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7"/>
  <workbookPr/>
  <mc:AlternateContent xmlns:mc="http://schemas.openxmlformats.org/markup-compatibility/2006">
    <mc:Choice Requires="x15">
      <x15ac:absPath xmlns:x15ac="http://schemas.microsoft.com/office/spreadsheetml/2010/11/ac" url="/Users/micaelsimoes/PycharmProjects/shared-resources-planning/data/HR1/Market Data/"/>
    </mc:Choice>
  </mc:AlternateContent>
  <xr:revisionPtr revIDLastSave="0" documentId="13_ncr:1_{E895503B-837A-2340-8134-6B4B52C91C63}" xr6:coauthVersionLast="47" xr6:coauthVersionMax="47" xr10:uidLastSave="{00000000-0000-0000-0000-000000000000}"/>
  <bookViews>
    <workbookView xWindow="1060" yWindow="500" windowWidth="50140" windowHeight="28300" activeTab="2" xr2:uid="{00000000-000D-0000-FFFF-FFFF00000000}"/>
  </bookViews>
  <sheets>
    <sheet name="Growth Factors" sheetId="1" r:id="rId1"/>
    <sheet name="Energy" sheetId="16" r:id="rId2"/>
    <sheet name="Flexibility" sheetId="17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6" l="1"/>
  <c r="E5" i="16"/>
  <c r="F5" i="16"/>
  <c r="G5" i="16"/>
  <c r="H5" i="16"/>
  <c r="I5" i="16"/>
  <c r="J5" i="16"/>
  <c r="K5" i="16"/>
  <c r="L5" i="16"/>
  <c r="M5" i="16"/>
  <c r="N5" i="16"/>
  <c r="O5" i="16"/>
  <c r="P5" i="16"/>
  <c r="Q5" i="16"/>
  <c r="R5" i="16"/>
  <c r="S5" i="16"/>
  <c r="T5" i="16"/>
  <c r="U5" i="16"/>
  <c r="V5" i="16"/>
  <c r="W5" i="16"/>
  <c r="X5" i="16"/>
  <c r="Y5" i="16"/>
  <c r="Z5" i="16"/>
  <c r="D6" i="16"/>
  <c r="E6" i="16"/>
  <c r="F6" i="16"/>
  <c r="G6" i="16"/>
  <c r="H6" i="16"/>
  <c r="I6" i="16"/>
  <c r="J6" i="16"/>
  <c r="K6" i="16"/>
  <c r="L6" i="16"/>
  <c r="M6" i="16"/>
  <c r="N6" i="16"/>
  <c r="O6" i="16"/>
  <c r="P6" i="16"/>
  <c r="Q6" i="16"/>
  <c r="R6" i="16"/>
  <c r="S6" i="16"/>
  <c r="T6" i="16"/>
  <c r="U6" i="16"/>
  <c r="V6" i="16"/>
  <c r="W6" i="16"/>
  <c r="X6" i="16"/>
  <c r="Y6" i="16"/>
  <c r="Z6" i="16"/>
  <c r="D7" i="16"/>
  <c r="E7" i="16"/>
  <c r="F7" i="16"/>
  <c r="G7" i="16"/>
  <c r="H7" i="16"/>
  <c r="I7" i="16"/>
  <c r="J7" i="16"/>
  <c r="K7" i="16"/>
  <c r="L7" i="16"/>
  <c r="M7" i="16"/>
  <c r="N7" i="16"/>
  <c r="O7" i="16"/>
  <c r="P7" i="16"/>
  <c r="Q7" i="16"/>
  <c r="R7" i="16"/>
  <c r="S7" i="16"/>
  <c r="T7" i="16"/>
  <c r="U7" i="16"/>
  <c r="V7" i="16"/>
  <c r="W7" i="16"/>
  <c r="X7" i="16"/>
  <c r="Y7" i="16"/>
  <c r="Z7" i="16"/>
  <c r="C6" i="16"/>
  <c r="C7" i="16"/>
  <c r="C5" i="16"/>
</calcChain>
</file>

<file path=xl/sharedStrings.xml><?xml version="1.0" encoding="utf-8"?>
<sst xmlns="http://schemas.openxmlformats.org/spreadsheetml/2006/main" count="32" uniqueCount="10">
  <si>
    <t>Scenario</t>
  </si>
  <si>
    <t>Growth factors</t>
  </si>
  <si>
    <t>Value, [%]</t>
  </si>
  <si>
    <t>Flexibility</t>
  </si>
  <si>
    <t>Season</t>
  </si>
  <si>
    <t>Winter</t>
  </si>
  <si>
    <t>Spring</t>
  </si>
  <si>
    <t>Summer</t>
  </si>
  <si>
    <t>Autumn</t>
  </si>
  <si>
    <t>Energy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</si>
</sst>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workbookViewId="0">
      <selection activeCell="E8" sqref="E8"/>
    </sheetView>
  </sheetViews>
  <sheetFormatPr baseColWidth="10" defaultColWidth="8.83203125" defaultRowHeight="15" x14ac:dyDescent="0.2"/>
  <cols>
    <col min="1" max="1" width="13.83203125" bestFit="1" customWidth="1"/>
  </cols>
  <sheetData>
    <row r="1" spans="1:2" x14ac:dyDescent="0.2">
      <c r="A1" t="s">
        <v>1</v>
      </c>
      <c r="B1" s="2" t="s">
        <v>2</v>
      </c>
    </row>
    <row r="2" spans="1:2" x14ac:dyDescent="0.2">
      <c r="A2" t="s">
        <v>9</v>
      </c>
      <c r="B2" s="2">
        <v>2.5000000000000001E-2</v>
      </c>
    </row>
    <row r="3" spans="1:2" x14ac:dyDescent="0.2">
      <c r="A3" t="s">
        <v>3</v>
      </c>
      <c r="B3" s="2">
        <v>0.02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1090B-5BAB-4DF9-A5D0-788EE84E9C0B}">
  <dimension ref="A1:Z13"/>
  <sheetViews>
    <sheetView workbookViewId="0">
      <selection activeCell="C4" sqref="C4"/>
    </sheetView>
  </sheetViews>
  <sheetFormatPr baseColWidth="10" defaultColWidth="8.83203125" defaultRowHeight="15" x14ac:dyDescent="0.2"/>
  <sheetData>
    <row r="1" spans="1:26" x14ac:dyDescent="0.2">
      <c r="A1" t="s">
        <v>4</v>
      </c>
      <c r="B1" t="s">
        <v>0</v>
      </c>
      <c r="C1">
        <v>0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>
        <v>21</v>
      </c>
      <c r="Y1">
        <v>22</v>
      </c>
      <c r="Z1">
        <v>23</v>
      </c>
    </row>
    <row r="2" spans="1:26" x14ac:dyDescent="0.2">
      <c r="A2" t="s">
        <v>5</v>
      </c>
      <c r="B2">
        <v>1</v>
      </c>
      <c r="C2" s="1">
        <v>97.25500000000001</v>
      </c>
      <c r="D2" s="1">
        <v>91.350800000000007</v>
      </c>
      <c r="E2" s="1">
        <v>87.025999999999996</v>
      </c>
      <c r="F2" s="1">
        <v>84.800000000000011</v>
      </c>
      <c r="G2" s="1">
        <v>84.376000000000005</v>
      </c>
      <c r="H2" s="1">
        <v>85.965999999999994</v>
      </c>
      <c r="I2" s="1">
        <v>91.064599999999999</v>
      </c>
      <c r="J2" s="1">
        <v>108.173</v>
      </c>
      <c r="K2" s="1">
        <v>120.67040000000001</v>
      </c>
      <c r="L2" s="1">
        <v>116.60000000000001</v>
      </c>
      <c r="M2" s="1">
        <v>103.48780000000001</v>
      </c>
      <c r="N2" s="1">
        <v>91.350800000000007</v>
      </c>
      <c r="O2" s="1">
        <v>88.923400000000001</v>
      </c>
      <c r="P2" s="1">
        <v>87.110800000000012</v>
      </c>
      <c r="Q2" s="1">
        <v>87.98</v>
      </c>
      <c r="R2" s="1">
        <v>90.100000000000009</v>
      </c>
      <c r="S2" s="1">
        <v>103.48780000000001</v>
      </c>
      <c r="T2" s="1">
        <v>125.61</v>
      </c>
      <c r="U2" s="1">
        <v>136.66580000000002</v>
      </c>
      <c r="V2" s="1">
        <v>140.24860000000001</v>
      </c>
      <c r="W2" s="1">
        <v>125.00580000000001</v>
      </c>
      <c r="X2" s="1">
        <v>114.82980000000001</v>
      </c>
      <c r="Y2" s="1">
        <v>106</v>
      </c>
      <c r="Z2" s="1">
        <v>98.85560000000001</v>
      </c>
    </row>
    <row r="3" spans="1:26" x14ac:dyDescent="0.2">
      <c r="A3" t="s">
        <v>5</v>
      </c>
      <c r="B3">
        <v>2</v>
      </c>
      <c r="C3" s="1">
        <v>97.878000000000014</v>
      </c>
      <c r="D3" s="1">
        <v>95.095000000000013</v>
      </c>
      <c r="E3" s="1">
        <v>93.489000000000004</v>
      </c>
      <c r="F3" s="1">
        <v>91.300000000000011</v>
      </c>
      <c r="G3" s="1">
        <v>91.454000000000008</v>
      </c>
      <c r="H3" s="1">
        <v>93.500000000000014</v>
      </c>
      <c r="I3" s="1">
        <v>97.9</v>
      </c>
      <c r="J3" s="1">
        <v>110.00000000000001</v>
      </c>
      <c r="K3" s="1">
        <v>115.247</v>
      </c>
      <c r="L3" s="1">
        <v>115.50000000000001</v>
      </c>
      <c r="M3" s="1">
        <v>110.00000000000001</v>
      </c>
      <c r="N3" s="1">
        <v>104.03800000000001</v>
      </c>
      <c r="O3" s="1">
        <v>101.2</v>
      </c>
      <c r="P3" s="1">
        <v>100.95800000000001</v>
      </c>
      <c r="Q3" s="1">
        <v>99.11</v>
      </c>
      <c r="R3" s="1">
        <v>101.21100000000001</v>
      </c>
      <c r="S3" s="1">
        <v>111.07800000000002</v>
      </c>
      <c r="T3" s="1">
        <v>117.81</v>
      </c>
      <c r="U3" s="1">
        <v>138.60000000000002</v>
      </c>
      <c r="V3" s="1">
        <v>131.417</v>
      </c>
      <c r="W3" s="1">
        <v>121.00000000000001</v>
      </c>
      <c r="X3" s="1">
        <v>112.48600000000002</v>
      </c>
      <c r="Y3" s="1">
        <v>107.80000000000001</v>
      </c>
      <c r="Z3" s="1">
        <v>105.039</v>
      </c>
    </row>
    <row r="4" spans="1:26" x14ac:dyDescent="0.2">
      <c r="A4" t="s">
        <v>5</v>
      </c>
      <c r="B4">
        <v>3</v>
      </c>
      <c r="C4" s="1">
        <v>100.6397</v>
      </c>
      <c r="D4" s="1">
        <v>98.230800000000016</v>
      </c>
      <c r="E4" s="1">
        <v>94.840900000000019</v>
      </c>
      <c r="F4" s="1">
        <v>93.522000000000006</v>
      </c>
      <c r="G4" s="1">
        <v>92.65</v>
      </c>
      <c r="H4" s="1">
        <v>94.067000000000007</v>
      </c>
      <c r="I4" s="1">
        <v>103.55000000000001</v>
      </c>
      <c r="J4" s="1">
        <v>113.2946</v>
      </c>
      <c r="K4" s="1">
        <v>132.32600000000002</v>
      </c>
      <c r="L4" s="1">
        <v>132.32600000000002</v>
      </c>
      <c r="M4" s="1">
        <v>114.8642</v>
      </c>
      <c r="N4" s="1">
        <v>112.2373</v>
      </c>
      <c r="O4" s="1">
        <v>108.98910000000001</v>
      </c>
      <c r="P4" s="1">
        <v>107.36500000000001</v>
      </c>
      <c r="Q4" s="1">
        <v>103.28840000000001</v>
      </c>
      <c r="R4" s="1">
        <v>103.25570000000002</v>
      </c>
      <c r="S4" s="1">
        <v>108.31330000000001</v>
      </c>
      <c r="T4" s="1">
        <v>111.94300000000001</v>
      </c>
      <c r="U4" s="1">
        <v>121.30610000000001</v>
      </c>
      <c r="V4" s="1">
        <v>132.32600000000002</v>
      </c>
      <c r="W4" s="1">
        <v>130.80000000000001</v>
      </c>
      <c r="X4" s="1">
        <v>117.40390000000001</v>
      </c>
      <c r="Y4" s="1">
        <v>110.4388</v>
      </c>
      <c r="Z4" s="1">
        <v>101.02120000000002</v>
      </c>
    </row>
    <row r="5" spans="1:26" x14ac:dyDescent="0.2">
      <c r="A5" t="s">
        <v>6</v>
      </c>
      <c r="B5">
        <v>1</v>
      </c>
      <c r="C5" s="1">
        <f>C2*(2/3)+C8*(1/3)</f>
        <v>102.55000000000001</v>
      </c>
      <c r="D5" s="1">
        <f t="shared" ref="D5:Z7" si="0">D2*(2/3)+D8*(1/3)</f>
        <v>98.360533333333336</v>
      </c>
      <c r="E5" s="1">
        <f t="shared" si="0"/>
        <v>95.563999999999993</v>
      </c>
      <c r="F5" s="1">
        <f t="shared" si="0"/>
        <v>94.06</v>
      </c>
      <c r="G5" s="1">
        <f t="shared" si="0"/>
        <v>93.877333333333326</v>
      </c>
      <c r="H5" s="1">
        <f t="shared" si="0"/>
        <v>96.257333333333321</v>
      </c>
      <c r="I5" s="1">
        <f t="shared" si="0"/>
        <v>100.94973333333333</v>
      </c>
      <c r="J5" s="1">
        <f t="shared" si="0"/>
        <v>111.06199999999998</v>
      </c>
      <c r="K5" s="1">
        <f t="shared" si="0"/>
        <v>118.05359999999999</v>
      </c>
      <c r="L5" s="1">
        <f t="shared" si="0"/>
        <v>115.03999999999999</v>
      </c>
      <c r="M5" s="1">
        <f t="shared" si="0"/>
        <v>101.65853333333334</v>
      </c>
      <c r="N5" s="1">
        <f t="shared" si="0"/>
        <v>91.893866666666668</v>
      </c>
      <c r="O5" s="1">
        <f t="shared" si="0"/>
        <v>90.212266666666665</v>
      </c>
      <c r="P5" s="1">
        <f t="shared" si="0"/>
        <v>87.737200000000001</v>
      </c>
      <c r="Q5" s="1">
        <f t="shared" si="0"/>
        <v>86.32</v>
      </c>
      <c r="R5" s="1">
        <f t="shared" si="0"/>
        <v>87.333333333333343</v>
      </c>
      <c r="S5" s="1">
        <f t="shared" si="0"/>
        <v>96.258533333333332</v>
      </c>
      <c r="T5" s="1">
        <f t="shared" si="0"/>
        <v>115.19666666666666</v>
      </c>
      <c r="U5" s="1">
        <f t="shared" si="0"/>
        <v>127.51053333333334</v>
      </c>
      <c r="V5" s="1">
        <f t="shared" si="0"/>
        <v>132.69906666666665</v>
      </c>
      <c r="W5" s="1">
        <f t="shared" si="0"/>
        <v>127.55719999999999</v>
      </c>
      <c r="X5" s="1">
        <f t="shared" si="0"/>
        <v>118.38653333333333</v>
      </c>
      <c r="Y5" s="1">
        <f t="shared" si="0"/>
        <v>109.71333333333332</v>
      </c>
      <c r="Z5" s="1">
        <f t="shared" si="0"/>
        <v>103.85040000000001</v>
      </c>
    </row>
    <row r="6" spans="1:26" x14ac:dyDescent="0.2">
      <c r="A6" t="s">
        <v>6</v>
      </c>
      <c r="B6">
        <v>2</v>
      </c>
      <c r="C6" s="1">
        <f t="shared" ref="C6:R7" si="1">C3*(2/3)+C9*(1/3)</f>
        <v>100.992</v>
      </c>
      <c r="D6" s="1">
        <f t="shared" si="1"/>
        <v>99.13333333333334</v>
      </c>
      <c r="E6" s="1">
        <f t="shared" si="1"/>
        <v>98.062666666666672</v>
      </c>
      <c r="F6" s="1">
        <f t="shared" si="1"/>
        <v>92.533333333333331</v>
      </c>
      <c r="G6" s="1">
        <f t="shared" si="1"/>
        <v>95.116</v>
      </c>
      <c r="H6" s="1">
        <f t="shared" si="1"/>
        <v>97.333333333333343</v>
      </c>
      <c r="I6" s="1">
        <f t="shared" si="1"/>
        <v>103.63333333333333</v>
      </c>
      <c r="J6" s="1">
        <f t="shared" si="1"/>
        <v>107.48</v>
      </c>
      <c r="K6" s="1">
        <f t="shared" si="1"/>
        <v>106.15466666666666</v>
      </c>
      <c r="L6" s="1">
        <f t="shared" si="1"/>
        <v>103.46333333333334</v>
      </c>
      <c r="M6" s="1">
        <f t="shared" si="1"/>
        <v>99.866666666666674</v>
      </c>
      <c r="N6" s="1">
        <f t="shared" si="1"/>
        <v>96.391999999999996</v>
      </c>
      <c r="O6" s="1">
        <f t="shared" si="1"/>
        <v>94.8</v>
      </c>
      <c r="P6" s="1">
        <f t="shared" si="1"/>
        <v>94.801999999999992</v>
      </c>
      <c r="Q6" s="1">
        <f t="shared" si="1"/>
        <v>92.606666666666655</v>
      </c>
      <c r="R6" s="1">
        <f t="shared" si="1"/>
        <v>94.007333333333335</v>
      </c>
      <c r="S6" s="1">
        <f t="shared" si="0"/>
        <v>101.38533333333334</v>
      </c>
      <c r="T6" s="1">
        <f t="shared" si="0"/>
        <v>106.61666666666666</v>
      </c>
      <c r="U6" s="1">
        <f t="shared" si="0"/>
        <v>122.06666666666666</v>
      </c>
      <c r="V6" s="1">
        <f t="shared" si="0"/>
        <v>126.34466666666667</v>
      </c>
      <c r="W6" s="1">
        <f t="shared" si="0"/>
        <v>123.63333333333334</v>
      </c>
      <c r="X6" s="1">
        <f t="shared" si="0"/>
        <v>115.79733333333334</v>
      </c>
      <c r="Y6" s="1">
        <f t="shared" si="0"/>
        <v>110.39333333333335</v>
      </c>
      <c r="Z6" s="1">
        <f t="shared" si="0"/>
        <v>105.94266666666667</v>
      </c>
    </row>
    <row r="7" spans="1:26" x14ac:dyDescent="0.2">
      <c r="A7" t="s">
        <v>6</v>
      </c>
      <c r="B7">
        <v>3</v>
      </c>
      <c r="C7" s="1">
        <f t="shared" si="1"/>
        <v>103.30646666666667</v>
      </c>
      <c r="D7" s="1">
        <f t="shared" si="0"/>
        <v>100.36386666666667</v>
      </c>
      <c r="E7" s="1">
        <f t="shared" si="0"/>
        <v>98.310600000000008</v>
      </c>
      <c r="F7" s="1">
        <f t="shared" si="0"/>
        <v>93.557999999999993</v>
      </c>
      <c r="G7" s="1">
        <f t="shared" si="0"/>
        <v>93.223333333333329</v>
      </c>
      <c r="H7" s="1">
        <f t="shared" si="0"/>
        <v>95.861333333333334</v>
      </c>
      <c r="I7" s="1">
        <f t="shared" si="0"/>
        <v>106.8</v>
      </c>
      <c r="J7" s="1">
        <f t="shared" si="0"/>
        <v>112.15306666666666</v>
      </c>
      <c r="K7" s="1">
        <f t="shared" si="0"/>
        <v>118.21733333333334</v>
      </c>
      <c r="L7" s="1">
        <f t="shared" si="0"/>
        <v>113.21733333333334</v>
      </c>
      <c r="M7" s="1">
        <f t="shared" si="0"/>
        <v>98.202799999999996</v>
      </c>
      <c r="N7" s="1">
        <f t="shared" si="0"/>
        <v>96.341533333333331</v>
      </c>
      <c r="O7" s="1">
        <f t="shared" si="0"/>
        <v>94.322733333333332</v>
      </c>
      <c r="P7" s="1">
        <f t="shared" si="0"/>
        <v>93.203333333333333</v>
      </c>
      <c r="Q7" s="1">
        <f t="shared" si="0"/>
        <v>89.982266666666675</v>
      </c>
      <c r="R7" s="1">
        <f t="shared" si="0"/>
        <v>88.837133333333341</v>
      </c>
      <c r="S7" s="1">
        <f t="shared" si="0"/>
        <v>93.512199999999993</v>
      </c>
      <c r="T7" s="1">
        <f t="shared" si="0"/>
        <v>97.958666666666673</v>
      </c>
      <c r="U7" s="1">
        <f t="shared" si="0"/>
        <v>109.38073333333332</v>
      </c>
      <c r="V7" s="1">
        <f t="shared" si="0"/>
        <v>124.55733333333333</v>
      </c>
      <c r="W7" s="1">
        <f t="shared" si="0"/>
        <v>125.28666666666666</v>
      </c>
      <c r="X7" s="1">
        <f t="shared" si="0"/>
        <v>114.44926666666666</v>
      </c>
      <c r="Y7" s="1">
        <f t="shared" si="0"/>
        <v>105.0192</v>
      </c>
      <c r="Z7" s="1">
        <f t="shared" si="0"/>
        <v>92.090800000000002</v>
      </c>
    </row>
    <row r="8" spans="1:26" x14ac:dyDescent="0.2">
      <c r="A8" t="s">
        <v>7</v>
      </c>
      <c r="B8">
        <v>1</v>
      </c>
      <c r="C8" s="1">
        <v>113.14</v>
      </c>
      <c r="D8" s="1">
        <v>112.38</v>
      </c>
      <c r="E8" s="1">
        <v>112.64</v>
      </c>
      <c r="F8" s="1">
        <v>112.58</v>
      </c>
      <c r="G8" s="1">
        <v>112.88</v>
      </c>
      <c r="H8" s="1">
        <v>116.84</v>
      </c>
      <c r="I8" s="1">
        <v>120.72</v>
      </c>
      <c r="J8" s="1">
        <v>116.84</v>
      </c>
      <c r="K8" s="1">
        <v>112.82</v>
      </c>
      <c r="L8" s="1">
        <v>111.92</v>
      </c>
      <c r="M8" s="1">
        <v>98</v>
      </c>
      <c r="N8" s="1">
        <v>92.98</v>
      </c>
      <c r="O8" s="1">
        <v>92.79</v>
      </c>
      <c r="P8" s="1">
        <v>88.99</v>
      </c>
      <c r="Q8" s="1">
        <v>83</v>
      </c>
      <c r="R8" s="1">
        <v>81.8</v>
      </c>
      <c r="S8" s="1">
        <v>81.8</v>
      </c>
      <c r="T8" s="1">
        <v>94.37</v>
      </c>
      <c r="U8" s="1">
        <v>109.2</v>
      </c>
      <c r="V8" s="1">
        <v>117.6</v>
      </c>
      <c r="W8" s="1">
        <v>132.66</v>
      </c>
      <c r="X8" s="1">
        <v>125.5</v>
      </c>
      <c r="Y8" s="1">
        <v>117.14</v>
      </c>
      <c r="Z8" s="1">
        <v>113.84</v>
      </c>
    </row>
    <row r="9" spans="1:26" x14ac:dyDescent="0.2">
      <c r="A9" t="s">
        <v>7</v>
      </c>
      <c r="B9">
        <v>2</v>
      </c>
      <c r="C9" s="1">
        <v>107.22</v>
      </c>
      <c r="D9" s="1">
        <v>107.21</v>
      </c>
      <c r="E9" s="1">
        <v>107.21</v>
      </c>
      <c r="F9" s="1">
        <v>95</v>
      </c>
      <c r="G9" s="1">
        <v>102.44</v>
      </c>
      <c r="H9" s="1">
        <v>105</v>
      </c>
      <c r="I9" s="1">
        <v>115.1</v>
      </c>
      <c r="J9" s="1">
        <v>102.44</v>
      </c>
      <c r="K9" s="1">
        <v>87.97</v>
      </c>
      <c r="L9" s="1">
        <v>79.39</v>
      </c>
      <c r="M9" s="1">
        <v>79.599999999999994</v>
      </c>
      <c r="N9" s="1">
        <v>81.099999999999994</v>
      </c>
      <c r="O9" s="1">
        <v>82</v>
      </c>
      <c r="P9" s="1">
        <v>82.49</v>
      </c>
      <c r="Q9" s="1">
        <v>79.599999999999994</v>
      </c>
      <c r="R9" s="1">
        <v>79.599999999999994</v>
      </c>
      <c r="S9" s="1">
        <v>82</v>
      </c>
      <c r="T9" s="1">
        <v>84.23</v>
      </c>
      <c r="U9" s="1">
        <v>89</v>
      </c>
      <c r="V9" s="1">
        <v>116.2</v>
      </c>
      <c r="W9" s="1">
        <v>128.9</v>
      </c>
      <c r="X9" s="1">
        <v>122.42</v>
      </c>
      <c r="Y9" s="1">
        <v>115.58</v>
      </c>
      <c r="Z9" s="1">
        <v>107.75</v>
      </c>
    </row>
    <row r="10" spans="1:26" x14ac:dyDescent="0.2">
      <c r="A10" t="s">
        <v>7</v>
      </c>
      <c r="B10">
        <v>3</v>
      </c>
      <c r="C10" s="1">
        <v>108.64</v>
      </c>
      <c r="D10" s="1">
        <v>104.63</v>
      </c>
      <c r="E10" s="1">
        <v>105.25</v>
      </c>
      <c r="F10" s="1">
        <v>93.63</v>
      </c>
      <c r="G10" s="1">
        <v>94.37</v>
      </c>
      <c r="H10" s="1">
        <v>99.45</v>
      </c>
      <c r="I10" s="1">
        <v>113.3</v>
      </c>
      <c r="J10" s="1">
        <v>109.87</v>
      </c>
      <c r="K10" s="1">
        <v>90</v>
      </c>
      <c r="L10" s="1">
        <v>75</v>
      </c>
      <c r="M10" s="1">
        <v>64.88</v>
      </c>
      <c r="N10" s="1">
        <v>64.55</v>
      </c>
      <c r="O10" s="1">
        <v>64.989999999999995</v>
      </c>
      <c r="P10" s="1">
        <v>64.88</v>
      </c>
      <c r="Q10" s="1">
        <v>63.37</v>
      </c>
      <c r="R10" s="1">
        <v>60</v>
      </c>
      <c r="S10" s="1">
        <v>63.91</v>
      </c>
      <c r="T10" s="1">
        <v>69.989999999999995</v>
      </c>
      <c r="U10" s="1">
        <v>85.53</v>
      </c>
      <c r="V10" s="1">
        <v>109.02</v>
      </c>
      <c r="W10" s="1">
        <v>114.26</v>
      </c>
      <c r="X10" s="1">
        <v>108.54</v>
      </c>
      <c r="Y10" s="1">
        <v>94.18</v>
      </c>
      <c r="Z10" s="1">
        <v>74.23</v>
      </c>
    </row>
    <row r="11" spans="1:26" x14ac:dyDescent="0.2">
      <c r="A11" t="s">
        <v>8</v>
      </c>
      <c r="B11">
        <v>1</v>
      </c>
      <c r="C11" s="1">
        <v>92.04</v>
      </c>
      <c r="D11" s="1">
        <v>89.96</v>
      </c>
      <c r="E11" s="1">
        <v>90.07</v>
      </c>
      <c r="F11" s="1">
        <v>83.82</v>
      </c>
      <c r="G11" s="1">
        <v>85.36</v>
      </c>
      <c r="H11" s="1">
        <v>89.89</v>
      </c>
      <c r="I11" s="1">
        <v>104.14</v>
      </c>
      <c r="J11" s="1">
        <v>121.15</v>
      </c>
      <c r="K11" s="1">
        <v>120.75</v>
      </c>
      <c r="L11" s="1">
        <v>118.04</v>
      </c>
      <c r="M11" s="1">
        <v>99.88</v>
      </c>
      <c r="N11" s="1">
        <v>93.32</v>
      </c>
      <c r="O11" s="1">
        <v>91.39</v>
      </c>
      <c r="P11" s="1">
        <v>90.1</v>
      </c>
      <c r="Q11" s="1">
        <v>92.4</v>
      </c>
      <c r="R11" s="1">
        <v>109.64</v>
      </c>
      <c r="S11" s="1">
        <v>120.94</v>
      </c>
      <c r="T11" s="1">
        <v>135.24</v>
      </c>
      <c r="U11" s="1">
        <v>160.54</v>
      </c>
      <c r="V11" s="1">
        <v>151.52000000000001</v>
      </c>
      <c r="W11" s="1">
        <v>123</v>
      </c>
      <c r="X11" s="1">
        <v>118.28</v>
      </c>
      <c r="Y11" s="1">
        <v>118.28</v>
      </c>
      <c r="Z11" s="1">
        <v>109.64</v>
      </c>
    </row>
    <row r="12" spans="1:26" x14ac:dyDescent="0.2">
      <c r="A12" t="s">
        <v>8</v>
      </c>
      <c r="B12">
        <v>2</v>
      </c>
      <c r="C12" s="1">
        <v>80</v>
      </c>
      <c r="D12" s="1">
        <v>76.790000000000006</v>
      </c>
      <c r="E12" s="1">
        <v>75</v>
      </c>
      <c r="F12" s="1">
        <v>72.59</v>
      </c>
      <c r="G12" s="1">
        <v>70.989999999999995</v>
      </c>
      <c r="H12" s="1">
        <v>77</v>
      </c>
      <c r="I12" s="1">
        <v>88.39</v>
      </c>
      <c r="J12" s="1">
        <v>107.36</v>
      </c>
      <c r="K12" s="1">
        <v>121.58</v>
      </c>
      <c r="L12" s="1">
        <v>102.8</v>
      </c>
      <c r="M12" s="1">
        <v>93.2</v>
      </c>
      <c r="N12" s="1">
        <v>85.04</v>
      </c>
      <c r="O12" s="1">
        <v>88.91</v>
      </c>
      <c r="P12" s="1">
        <v>85.31</v>
      </c>
      <c r="Q12" s="1">
        <v>85.51</v>
      </c>
      <c r="R12" s="1">
        <v>95.5</v>
      </c>
      <c r="S12" s="1">
        <v>113</v>
      </c>
      <c r="T12" s="1">
        <v>130</v>
      </c>
      <c r="U12" s="1">
        <v>134.13999999999999</v>
      </c>
      <c r="V12" s="1">
        <v>135.01</v>
      </c>
      <c r="W12" s="1">
        <v>148.72</v>
      </c>
      <c r="X12" s="1">
        <v>134.34</v>
      </c>
      <c r="Y12" s="1">
        <v>115.2</v>
      </c>
      <c r="Z12" s="1">
        <v>102</v>
      </c>
    </row>
    <row r="13" spans="1:26" x14ac:dyDescent="0.2">
      <c r="A13" t="s">
        <v>8</v>
      </c>
      <c r="B13">
        <v>3</v>
      </c>
      <c r="C13" s="1">
        <v>86.48</v>
      </c>
      <c r="D13" s="1">
        <v>81.709999999999994</v>
      </c>
      <c r="E13" s="1">
        <v>75</v>
      </c>
      <c r="F13" s="1">
        <v>70.7</v>
      </c>
      <c r="G13" s="1">
        <v>70.680000000000007</v>
      </c>
      <c r="H13" s="1">
        <v>71.66</v>
      </c>
      <c r="I13" s="1">
        <v>73.84</v>
      </c>
      <c r="J13" s="1">
        <v>78</v>
      </c>
      <c r="K13" s="1">
        <v>73.09</v>
      </c>
      <c r="L13" s="1">
        <v>70</v>
      </c>
      <c r="M13" s="1">
        <v>66.709999999999994</v>
      </c>
      <c r="N13" s="1">
        <v>47.8</v>
      </c>
      <c r="O13" s="1">
        <v>49.99</v>
      </c>
      <c r="P13" s="1">
        <v>50.24</v>
      </c>
      <c r="Q13" s="1">
        <v>60</v>
      </c>
      <c r="R13" s="1">
        <v>70.430000000000007</v>
      </c>
      <c r="S13" s="1">
        <v>83.76</v>
      </c>
      <c r="T13" s="1">
        <v>105.48</v>
      </c>
      <c r="U13" s="1">
        <v>125.88</v>
      </c>
      <c r="V13" s="1">
        <v>120.01</v>
      </c>
      <c r="W13" s="1">
        <v>119.7</v>
      </c>
      <c r="X13" s="1">
        <v>110.75</v>
      </c>
      <c r="Y13" s="1">
        <v>101.09</v>
      </c>
      <c r="Z13" s="1">
        <v>95.65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AE8BD-6C17-44DF-B187-38D65FB995D2}">
  <dimension ref="A1:Z13"/>
  <sheetViews>
    <sheetView tabSelected="1" workbookViewId="0"/>
  </sheetViews>
  <sheetFormatPr baseColWidth="10" defaultColWidth="8.83203125" defaultRowHeight="15" x14ac:dyDescent="0.2"/>
  <sheetData>
    <row r="1" spans="1:26" x14ac:dyDescent="0.2">
      <c r="A1" t="s">
        <v>4</v>
      </c>
      <c r="B1" t="s">
        <v>0</v>
      </c>
      <c r="C1">
        <v>0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>
        <v>21</v>
      </c>
      <c r="Y1">
        <v>22</v>
      </c>
      <c r="Z1">
        <v>23</v>
      </c>
    </row>
    <row r="2" spans="1:26" x14ac:dyDescent="0.2">
      <c r="A2" t="s">
        <v>5</v>
      </c>
      <c r="B2">
        <v>1</v>
      </c>
      <c r="C2" s="1">
        <v>61.085759500000016</v>
      </c>
      <c r="D2" s="1">
        <v>58.883000000000003</v>
      </c>
      <c r="E2" s="1">
        <v>56.819763000000002</v>
      </c>
      <c r="F2" s="1">
        <v>59.819576250000004</v>
      </c>
      <c r="G2" s="1">
        <v>56.479556000000002</v>
      </c>
      <c r="H2" s="1">
        <v>58.073425000000007</v>
      </c>
      <c r="I2" s="1">
        <v>63.812423999999993</v>
      </c>
      <c r="J2" s="1">
        <v>65.228981500000003</v>
      </c>
      <c r="K2" s="1">
        <v>59.574437999999994</v>
      </c>
      <c r="L2" s="1">
        <v>54.074667750000003</v>
      </c>
      <c r="M2" s="1">
        <v>46.584177750000009</v>
      </c>
      <c r="N2" s="1">
        <v>44.88089025</v>
      </c>
      <c r="O2" s="1">
        <v>39.024960000000007</v>
      </c>
      <c r="P2" s="1">
        <v>38.759589000000013</v>
      </c>
      <c r="Q2" s="1">
        <v>36.339821000000008</v>
      </c>
      <c r="R2" s="1">
        <v>37.095548000000008</v>
      </c>
      <c r="S2" s="1">
        <v>43.647023750000002</v>
      </c>
      <c r="T2" s="1">
        <v>51.411324999999998</v>
      </c>
      <c r="U2" s="1">
        <v>63.071325000000009</v>
      </c>
      <c r="V2" s="1">
        <v>69.695251749999997</v>
      </c>
      <c r="W2" s="1">
        <v>76.502055000000013</v>
      </c>
      <c r="X2" s="1">
        <v>64.269257499999995</v>
      </c>
      <c r="Y2" s="1">
        <v>66.474720000000005</v>
      </c>
      <c r="Z2" s="1">
        <v>65.306785500000004</v>
      </c>
    </row>
    <row r="3" spans="1:26" x14ac:dyDescent="0.2">
      <c r="A3" t="s">
        <v>5</v>
      </c>
      <c r="B3">
        <v>2</v>
      </c>
      <c r="C3" s="1">
        <v>54.792317250000004</v>
      </c>
      <c r="D3" s="1">
        <v>57.744225</v>
      </c>
      <c r="E3" s="1">
        <v>56.858051249999995</v>
      </c>
      <c r="F3" s="1">
        <v>52.676699624999998</v>
      </c>
      <c r="G3" s="1">
        <v>53.288037000000003</v>
      </c>
      <c r="H3" s="1">
        <v>56.950306874999995</v>
      </c>
      <c r="I3" s="1">
        <v>59.598395999999987</v>
      </c>
      <c r="J3" s="1">
        <v>62.127771749999994</v>
      </c>
      <c r="K3" s="1">
        <v>58.450391999999994</v>
      </c>
      <c r="L3" s="1">
        <v>49.003589250000005</v>
      </c>
      <c r="M3" s="1">
        <v>44.826284250000008</v>
      </c>
      <c r="N3" s="1">
        <v>41.087017125000003</v>
      </c>
      <c r="O3" s="1">
        <v>36.827505000000002</v>
      </c>
      <c r="P3" s="1">
        <v>35.834337000000005</v>
      </c>
      <c r="Q3" s="1">
        <v>33.247368000000002</v>
      </c>
      <c r="R3" s="1">
        <v>36.413487000000003</v>
      </c>
      <c r="S3" s="1">
        <v>39.553841250000005</v>
      </c>
      <c r="T3" s="1">
        <v>45.615425624999993</v>
      </c>
      <c r="U3" s="1">
        <v>57.139050375000004</v>
      </c>
      <c r="V3" s="1">
        <v>69.119089875</v>
      </c>
      <c r="W3" s="1">
        <v>67.367173500000007</v>
      </c>
      <c r="X3" s="1">
        <v>61.920589499999991</v>
      </c>
      <c r="Y3" s="1">
        <v>59.100029999999997</v>
      </c>
      <c r="Z3" s="1">
        <v>59.761869749999995</v>
      </c>
    </row>
    <row r="4" spans="1:26" x14ac:dyDescent="0.2">
      <c r="A4" t="s">
        <v>5</v>
      </c>
      <c r="B4">
        <v>3</v>
      </c>
      <c r="C4" s="1">
        <v>62.883070750000009</v>
      </c>
      <c r="D4" s="1">
        <v>57.060960000000001</v>
      </c>
      <c r="E4" s="1">
        <v>60.282114749999991</v>
      </c>
      <c r="F4" s="1">
        <v>58.083572374999996</v>
      </c>
      <c r="G4" s="1">
        <v>61.084695000000011</v>
      </c>
      <c r="H4" s="1">
        <v>59.207500374999995</v>
      </c>
      <c r="I4" s="1">
        <v>60.698210999999993</v>
      </c>
      <c r="J4" s="1">
        <v>64.540500749999993</v>
      </c>
      <c r="K4" s="1">
        <v>60.743900000000004</v>
      </c>
      <c r="L4" s="1">
        <v>56.746580625000007</v>
      </c>
      <c r="M4" s="1">
        <v>48.448610250000009</v>
      </c>
      <c r="N4" s="1">
        <v>42.612950625000003</v>
      </c>
      <c r="O4" s="1">
        <v>39.803465000000003</v>
      </c>
      <c r="P4" s="1">
        <v>39.125245500000013</v>
      </c>
      <c r="Q4" s="1">
        <v>36.308336750000002</v>
      </c>
      <c r="R4" s="1">
        <v>37.827603000000003</v>
      </c>
      <c r="S4" s="1">
        <v>42.75011125000001</v>
      </c>
      <c r="T4" s="1">
        <v>50.858410749999997</v>
      </c>
      <c r="U4" s="1">
        <v>63.666337500000012</v>
      </c>
      <c r="V4" s="1">
        <v>74.704470874999998</v>
      </c>
      <c r="W4" s="1">
        <v>71.340056500000003</v>
      </c>
      <c r="X4" s="1">
        <v>64.875571250000007</v>
      </c>
      <c r="Y4" s="1">
        <v>65.166209999999992</v>
      </c>
      <c r="Z4" s="1">
        <v>65.256999500000006</v>
      </c>
    </row>
    <row r="5" spans="1:26" x14ac:dyDescent="0.2">
      <c r="A5" t="s">
        <v>6</v>
      </c>
      <c r="B5">
        <v>1</v>
      </c>
      <c r="C5" s="1">
        <v>65.330999999999989</v>
      </c>
      <c r="D5" s="1">
        <v>66.395437499999986</v>
      </c>
      <c r="E5" s="1">
        <v>64.843950000000007</v>
      </c>
      <c r="F5" s="1">
        <v>63.312375000000003</v>
      </c>
      <c r="G5" s="1">
        <v>64.598300000000009</v>
      </c>
      <c r="H5" s="1">
        <v>62.763525000000001</v>
      </c>
      <c r="I5" s="1">
        <v>67.108387499999992</v>
      </c>
      <c r="J5" s="1">
        <v>65.098950000000002</v>
      </c>
      <c r="K5" s="1">
        <v>51.123674999999992</v>
      </c>
      <c r="L5" s="1">
        <v>40.077600000000004</v>
      </c>
      <c r="M5" s="1">
        <v>34.983750000000008</v>
      </c>
      <c r="N5" s="1">
        <v>37.009424999999993</v>
      </c>
      <c r="O5" s="1">
        <v>34.175874999999998</v>
      </c>
      <c r="P5" s="1">
        <v>34.043624999999999</v>
      </c>
      <c r="Q5" s="1">
        <v>29.746250000000003</v>
      </c>
      <c r="R5" s="1">
        <v>29.711674999999996</v>
      </c>
      <c r="S5" s="1">
        <v>33.264400000000002</v>
      </c>
      <c r="T5" s="1">
        <v>38.537500000000001</v>
      </c>
      <c r="U5" s="1">
        <v>48.698099999999997</v>
      </c>
      <c r="V5" s="1">
        <v>65.268524999999997</v>
      </c>
      <c r="W5" s="1">
        <v>70.05461249999999</v>
      </c>
      <c r="X5" s="1">
        <v>67.220650000000006</v>
      </c>
      <c r="Y5" s="1">
        <v>63.110024999999986</v>
      </c>
      <c r="Z5" s="1">
        <v>63.3909375</v>
      </c>
    </row>
    <row r="6" spans="1:26" x14ac:dyDescent="0.2">
      <c r="A6" t="s">
        <v>6</v>
      </c>
      <c r="B6">
        <v>2</v>
      </c>
      <c r="C6" s="1">
        <v>65.330999999999989</v>
      </c>
      <c r="D6" s="1">
        <v>60.072062499999987</v>
      </c>
      <c r="E6" s="1">
        <v>62.936775000000004</v>
      </c>
      <c r="F6" s="1">
        <v>61.503450000000001</v>
      </c>
      <c r="G6" s="1">
        <v>63.977162500000013</v>
      </c>
      <c r="H6" s="1">
        <v>64.031475</v>
      </c>
      <c r="I6" s="1">
        <v>65.7526625</v>
      </c>
      <c r="J6" s="1">
        <v>61.907825000000003</v>
      </c>
      <c r="K6" s="1">
        <v>50.617499999999993</v>
      </c>
      <c r="L6" s="1">
        <v>39.660125000000001</v>
      </c>
      <c r="M6" s="1">
        <v>37.193250000000006</v>
      </c>
      <c r="N6" s="1">
        <v>34.8324</v>
      </c>
      <c r="O6" s="1">
        <v>35.191000000000003</v>
      </c>
      <c r="P6" s="1">
        <v>30.801374999999997</v>
      </c>
      <c r="Q6" s="1">
        <v>30.936100000000007</v>
      </c>
      <c r="R6" s="1">
        <v>30.594199999999997</v>
      </c>
      <c r="S6" s="1">
        <v>32.304850000000002</v>
      </c>
      <c r="T6" s="1">
        <v>37.381375000000006</v>
      </c>
      <c r="U6" s="1">
        <v>47.714299999999994</v>
      </c>
      <c r="V6" s="1">
        <v>66.548299999999998</v>
      </c>
      <c r="W6" s="1">
        <v>75.110100000000003</v>
      </c>
      <c r="X6" s="1">
        <v>65.848799999999997</v>
      </c>
      <c r="Y6" s="1">
        <v>66.297399999999982</v>
      </c>
      <c r="Z6" s="1">
        <v>63.3909375</v>
      </c>
    </row>
    <row r="7" spans="1:26" x14ac:dyDescent="0.2">
      <c r="A7" t="s">
        <v>6</v>
      </c>
      <c r="B7">
        <v>3</v>
      </c>
      <c r="C7" s="1">
        <v>67.252499999999998</v>
      </c>
      <c r="D7" s="1">
        <v>65.130762499999989</v>
      </c>
      <c r="E7" s="1">
        <v>62.301050000000004</v>
      </c>
      <c r="F7" s="1">
        <v>57.282624999999996</v>
      </c>
      <c r="G7" s="1">
        <v>60.250337500000015</v>
      </c>
      <c r="H7" s="1">
        <v>63.397500000000001</v>
      </c>
      <c r="I7" s="1">
        <v>71.175562499999998</v>
      </c>
      <c r="J7" s="1">
        <v>64.460724999999996</v>
      </c>
      <c r="K7" s="1">
        <v>49.098974999999989</v>
      </c>
      <c r="L7" s="1">
        <v>42.582450000000001</v>
      </c>
      <c r="M7" s="1">
        <v>38.298000000000002</v>
      </c>
      <c r="N7" s="1">
        <v>35.9209125</v>
      </c>
      <c r="O7" s="1">
        <v>33.499124999999999</v>
      </c>
      <c r="P7" s="1">
        <v>31.774049999999999</v>
      </c>
      <c r="Q7" s="1">
        <v>28.258937500000002</v>
      </c>
      <c r="R7" s="1">
        <v>30.005849999999995</v>
      </c>
      <c r="S7" s="1">
        <v>31.984999999999999</v>
      </c>
      <c r="T7" s="1">
        <v>38.922875000000005</v>
      </c>
      <c r="U7" s="1">
        <v>50.665699999999994</v>
      </c>
      <c r="V7" s="1">
        <v>62.708975000000002</v>
      </c>
      <c r="W7" s="1">
        <v>73.665675000000007</v>
      </c>
      <c r="X7" s="1">
        <v>66.534724999999995</v>
      </c>
      <c r="Y7" s="1">
        <v>66.934874999999977</v>
      </c>
      <c r="Z7" s="1">
        <v>62.750624999999999</v>
      </c>
    </row>
    <row r="8" spans="1:26" x14ac:dyDescent="0.2">
      <c r="A8" t="s">
        <v>7</v>
      </c>
      <c r="B8">
        <v>1</v>
      </c>
      <c r="C8" s="1">
        <v>73.44</v>
      </c>
      <c r="D8" s="1">
        <v>70.869149999999991</v>
      </c>
      <c r="E8" s="1">
        <v>68.526862500000007</v>
      </c>
      <c r="F8" s="1">
        <v>67.360800000000012</v>
      </c>
      <c r="G8" s="1">
        <v>67.09</v>
      </c>
      <c r="H8" s="1">
        <v>72.779200000000003</v>
      </c>
      <c r="I8" s="1">
        <v>73.089437500000003</v>
      </c>
      <c r="J8" s="1">
        <v>79.457499999999996</v>
      </c>
      <c r="K8" s="1">
        <v>78.807299999999998</v>
      </c>
      <c r="L8" s="1">
        <v>71.036625000000015</v>
      </c>
      <c r="M8" s="1">
        <v>64.039424999999994</v>
      </c>
      <c r="N8" s="1">
        <v>58.098750000000003</v>
      </c>
      <c r="O8" s="1">
        <v>56.995987500000012</v>
      </c>
      <c r="P8" s="1">
        <v>54.863687499999997</v>
      </c>
      <c r="Q8" s="1">
        <v>55.085749999999997</v>
      </c>
      <c r="R8" s="1">
        <v>61.500037500000005</v>
      </c>
      <c r="S8" s="1">
        <v>70.221537499999997</v>
      </c>
      <c r="T8" s="1">
        <v>75.865475000000004</v>
      </c>
      <c r="U8" s="1">
        <v>92.438062500000001</v>
      </c>
      <c r="V8" s="1">
        <v>95.543400000000005</v>
      </c>
      <c r="W8" s="1">
        <v>91.109750000000005</v>
      </c>
      <c r="X8" s="1">
        <v>94.477687500000016</v>
      </c>
      <c r="Y8" s="1">
        <v>82.683750000000003</v>
      </c>
      <c r="Z8" s="1">
        <v>72.373199999999997</v>
      </c>
    </row>
    <row r="9" spans="1:26" x14ac:dyDescent="0.2">
      <c r="A9" t="s">
        <v>7</v>
      </c>
      <c r="B9">
        <v>2</v>
      </c>
      <c r="C9" s="1">
        <v>74.174399999999991</v>
      </c>
      <c r="D9" s="1">
        <v>73.016699999999986</v>
      </c>
      <c r="E9" s="1">
        <v>67.820400000000006</v>
      </c>
      <c r="F9" s="1">
        <v>66.040000000000006</v>
      </c>
      <c r="G9" s="1">
        <v>68.43180000000001</v>
      </c>
      <c r="H9" s="1">
        <v>66.481000000000009</v>
      </c>
      <c r="I9" s="1">
        <v>80.0137</v>
      </c>
      <c r="J9" s="1">
        <v>76.279200000000003</v>
      </c>
      <c r="K9" s="1">
        <v>74.260725000000008</v>
      </c>
      <c r="L9" s="1">
        <v>71.733062500000017</v>
      </c>
      <c r="M9" s="1">
        <v>60.272399999999998</v>
      </c>
      <c r="N9" s="1">
        <v>56.355787500000005</v>
      </c>
      <c r="O9" s="1">
        <v>59.933925000000009</v>
      </c>
      <c r="P9" s="1">
        <v>60.638812499999993</v>
      </c>
      <c r="Q9" s="1">
        <v>58.56485</v>
      </c>
      <c r="R9" s="1">
        <v>59.636400000000002</v>
      </c>
      <c r="S9" s="1">
        <v>67.494487499999991</v>
      </c>
      <c r="T9" s="1">
        <v>76.639612499999998</v>
      </c>
      <c r="U9" s="1">
        <v>88.036249999999995</v>
      </c>
      <c r="V9" s="1">
        <v>95.543400000000005</v>
      </c>
      <c r="W9" s="1">
        <v>99.741200000000006</v>
      </c>
      <c r="X9" s="1">
        <v>85.479812500000008</v>
      </c>
      <c r="Y9" s="1">
        <v>83.5105875</v>
      </c>
      <c r="Z9" s="1">
        <v>76.142637500000006</v>
      </c>
    </row>
    <row r="10" spans="1:26" x14ac:dyDescent="0.2">
      <c r="A10" t="s">
        <v>7</v>
      </c>
      <c r="B10">
        <v>3</v>
      </c>
      <c r="C10" s="1">
        <v>74.908799999999999</v>
      </c>
      <c r="D10" s="1">
        <v>74.448399999999992</v>
      </c>
      <c r="E10" s="1">
        <v>70.646250000000009</v>
      </c>
      <c r="F10" s="1">
        <v>64.058800000000005</v>
      </c>
      <c r="G10" s="1">
        <v>67.760900000000007</v>
      </c>
      <c r="H10" s="1">
        <v>67.180800000000005</v>
      </c>
      <c r="I10" s="1">
        <v>75.397525000000002</v>
      </c>
      <c r="J10" s="1">
        <v>78.662925000000001</v>
      </c>
      <c r="K10" s="1">
        <v>79.56506250000001</v>
      </c>
      <c r="L10" s="1">
        <v>71.036625000000015</v>
      </c>
      <c r="M10" s="1">
        <v>65.922937500000003</v>
      </c>
      <c r="N10" s="1">
        <v>60.422700000000006</v>
      </c>
      <c r="O10" s="1">
        <v>58.758750000000006</v>
      </c>
      <c r="P10" s="1">
        <v>56.018712499999999</v>
      </c>
      <c r="Q10" s="1">
        <v>57.405150000000006</v>
      </c>
      <c r="R10" s="1">
        <v>63.984887500000006</v>
      </c>
      <c r="S10" s="1">
        <v>69.539775000000006</v>
      </c>
      <c r="T10" s="1">
        <v>80.510300000000001</v>
      </c>
      <c r="U10" s="1">
        <v>85.395162499999984</v>
      </c>
      <c r="V10" s="1">
        <v>93.67</v>
      </c>
      <c r="W10" s="1">
        <v>98.782150000000001</v>
      </c>
      <c r="X10" s="1">
        <v>91.778325000000009</v>
      </c>
      <c r="Y10" s="1">
        <v>78.549562500000008</v>
      </c>
      <c r="Z10" s="1">
        <v>79.158187499999997</v>
      </c>
    </row>
    <row r="11" spans="1:26" x14ac:dyDescent="0.2">
      <c r="A11" t="s">
        <v>8</v>
      </c>
      <c r="B11">
        <v>1</v>
      </c>
      <c r="C11" s="1">
        <v>64.454075000000003</v>
      </c>
      <c r="D11" s="1">
        <v>67.09631250000001</v>
      </c>
      <c r="E11" s="1">
        <v>63.62438749999999</v>
      </c>
      <c r="F11" s="1">
        <v>56.514312500000003</v>
      </c>
      <c r="G11" s="1">
        <v>58.159324999999995</v>
      </c>
      <c r="H11" s="1">
        <v>60.141375000000011</v>
      </c>
      <c r="I11" s="1">
        <v>64.3536</v>
      </c>
      <c r="J11" s="1">
        <v>77.328125</v>
      </c>
      <c r="K11" s="1">
        <v>83.567324999999997</v>
      </c>
      <c r="L11" s="1">
        <v>81.541200000000003</v>
      </c>
      <c r="M11" s="1">
        <v>68.942999999999998</v>
      </c>
      <c r="N11" s="1">
        <v>61.8241625</v>
      </c>
      <c r="O11" s="1">
        <v>65.802099999999996</v>
      </c>
      <c r="P11" s="1">
        <v>64.131662500000004</v>
      </c>
      <c r="Q11" s="1">
        <v>60.060187500000005</v>
      </c>
      <c r="R11" s="1">
        <v>67.045474999999996</v>
      </c>
      <c r="S11" s="1">
        <v>77.729599999999991</v>
      </c>
      <c r="T11" s="1">
        <v>90.87260000000002</v>
      </c>
      <c r="U11" s="1">
        <v>93.43012499999999</v>
      </c>
      <c r="V11" s="1">
        <v>100.38894999999998</v>
      </c>
      <c r="W11" s="1">
        <v>87.797812500000006</v>
      </c>
      <c r="X11" s="1">
        <v>87.765012500000012</v>
      </c>
      <c r="Y11" s="1">
        <v>75.274437500000019</v>
      </c>
      <c r="Z11" s="1">
        <v>74.325900000000004</v>
      </c>
    </row>
    <row r="12" spans="1:26" x14ac:dyDescent="0.2">
      <c r="A12" t="s">
        <v>8</v>
      </c>
      <c r="B12">
        <v>2</v>
      </c>
      <c r="C12" s="1">
        <v>65.118549999999999</v>
      </c>
      <c r="D12" s="1">
        <v>67.09631250000001</v>
      </c>
      <c r="E12" s="1">
        <v>63.62438749999999</v>
      </c>
      <c r="F12" s="1">
        <v>61.273412500000013</v>
      </c>
      <c r="G12" s="1">
        <v>58.159324999999995</v>
      </c>
      <c r="H12" s="1">
        <v>58.914000000000009</v>
      </c>
      <c r="I12" s="1">
        <v>66.364649999999997</v>
      </c>
      <c r="J12" s="1">
        <v>74.265625</v>
      </c>
      <c r="K12" s="1">
        <v>80.290174999999991</v>
      </c>
      <c r="L12" s="1">
        <v>76.052849999999992</v>
      </c>
      <c r="M12" s="1">
        <v>69.646500000000003</v>
      </c>
      <c r="N12" s="1">
        <v>61.186800000000005</v>
      </c>
      <c r="O12" s="1">
        <v>65.169387499999999</v>
      </c>
      <c r="P12" s="1">
        <v>62.263750000000002</v>
      </c>
      <c r="Q12" s="1">
        <v>61.956825000000002</v>
      </c>
      <c r="R12" s="1">
        <v>64.993062499999994</v>
      </c>
      <c r="S12" s="1">
        <v>76.959999999999994</v>
      </c>
      <c r="T12" s="1">
        <v>83.882400000000018</v>
      </c>
      <c r="U12" s="1">
        <v>101.29792499999999</v>
      </c>
      <c r="V12" s="1">
        <v>102.33824999999999</v>
      </c>
      <c r="W12" s="1">
        <v>95.191312500000009</v>
      </c>
      <c r="X12" s="1">
        <v>82.652487500000007</v>
      </c>
      <c r="Y12" s="1">
        <v>76.859162500000011</v>
      </c>
      <c r="Z12" s="1">
        <v>73.59</v>
      </c>
    </row>
    <row r="13" spans="1:26" x14ac:dyDescent="0.2">
      <c r="A13" t="s">
        <v>8</v>
      </c>
      <c r="B13">
        <v>3</v>
      </c>
      <c r="C13" s="1">
        <v>68.440925000000007</v>
      </c>
      <c r="D13" s="1">
        <v>65.818287500000011</v>
      </c>
      <c r="E13" s="1">
        <v>62.388962499999998</v>
      </c>
      <c r="F13" s="1">
        <v>61.273412500000013</v>
      </c>
      <c r="G13" s="1">
        <v>59.939712499999999</v>
      </c>
      <c r="H13" s="1">
        <v>58.914000000000009</v>
      </c>
      <c r="I13" s="1">
        <v>68.375699999999995</v>
      </c>
      <c r="J13" s="1">
        <v>80.390625</v>
      </c>
      <c r="K13" s="1">
        <v>82.748037499999995</v>
      </c>
      <c r="L13" s="1">
        <v>77.620950000000008</v>
      </c>
      <c r="M13" s="1">
        <v>68.942999999999998</v>
      </c>
      <c r="N13" s="1">
        <v>60.549437499999996</v>
      </c>
      <c r="O13" s="1">
        <v>66.434812499999992</v>
      </c>
      <c r="P13" s="1">
        <v>63.509025000000001</v>
      </c>
      <c r="Q13" s="1">
        <v>60.060187500000005</v>
      </c>
      <c r="R13" s="1">
        <v>70.466162499999996</v>
      </c>
      <c r="S13" s="1">
        <v>73.881599999999992</v>
      </c>
      <c r="T13" s="1">
        <v>88.251275000000007</v>
      </c>
      <c r="U13" s="1">
        <v>100.31444999999999</v>
      </c>
      <c r="V13" s="1">
        <v>100.38894999999998</v>
      </c>
      <c r="W13" s="1">
        <v>88.722000000000008</v>
      </c>
      <c r="X13" s="1">
        <v>83.504575000000003</v>
      </c>
      <c r="Y13" s="1">
        <v>76.066800000000015</v>
      </c>
      <c r="Z13" s="1">
        <v>72.854100000000003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Growth Factors</vt:lpstr>
      <vt:lpstr>Energy</vt:lpstr>
      <vt:lpstr>Flexibility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 Filipe Simões</dc:creator>
  <cp:lastModifiedBy>Micael Filipe Simões</cp:lastModifiedBy>
  <dcterms:created xsi:type="dcterms:W3CDTF">2015-06-05T18:17:20Z</dcterms:created>
  <dcterms:modified xsi:type="dcterms:W3CDTF">2025-08-23T16:20:10Z</dcterms:modified>
</cp:coreProperties>
</file>