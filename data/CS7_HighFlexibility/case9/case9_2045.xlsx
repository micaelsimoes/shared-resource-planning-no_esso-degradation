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 Investment\case9\"/>
    </mc:Choice>
  </mc:AlternateContent>
  <xr:revisionPtr revIDLastSave="0" documentId="13_ncr:1_{B8A38604-243E-477C-997D-F72BC3ED3DC5}" xr6:coauthVersionLast="47" xr6:coauthVersionMax="47" xr10:uidLastSave="{00000000-0000-0000-0000-000000000000}"/>
  <bookViews>
    <workbookView xWindow="30285" yWindow="-1171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B4" i="265" l="1"/>
  <c r="B4" i="266"/>
  <c r="B4" i="264"/>
  <c r="B2" i="265"/>
  <c r="B2" i="266"/>
  <c r="B2" i="264"/>
  <c r="D2" i="266"/>
  <c r="D2" i="264"/>
  <c r="D2" i="265"/>
  <c r="B3" i="266"/>
  <c r="B3" i="265"/>
  <c r="B3" i="264"/>
  <c r="H4" i="265"/>
  <c r="H4" i="266"/>
  <c r="H4" i="264"/>
  <c r="P3" i="265"/>
  <c r="P3" i="266"/>
  <c r="P3" i="264"/>
  <c r="J3" i="264"/>
  <c r="J3" i="265"/>
  <c r="J3" i="266"/>
  <c r="J2" i="265"/>
  <c r="J2" i="264"/>
  <c r="J2" i="266"/>
  <c r="I2" i="265"/>
  <c r="I2" i="264"/>
  <c r="I2" i="266"/>
  <c r="W2" i="264"/>
  <c r="W2" i="265"/>
  <c r="W2" i="266"/>
  <c r="V2" i="264"/>
  <c r="V2" i="265"/>
  <c r="V2" i="266"/>
  <c r="L2" i="266"/>
  <c r="L2" i="264"/>
  <c r="L2" i="265"/>
  <c r="S4" i="264"/>
  <c r="S4" i="266"/>
  <c r="S4" i="265"/>
  <c r="Y3" i="266"/>
  <c r="Y3" i="265"/>
  <c r="Y3" i="264"/>
  <c r="I3" i="266"/>
  <c r="I3" i="264"/>
  <c r="I3" i="265"/>
  <c r="B2" i="257"/>
  <c r="B2" i="255"/>
  <c r="B2" i="256"/>
  <c r="Y2" i="265"/>
  <c r="Y2" i="264"/>
  <c r="Y2" i="266"/>
  <c r="P4" i="266"/>
  <c r="P4" i="264"/>
  <c r="P4" i="265"/>
  <c r="X3" i="266"/>
  <c r="X3" i="265"/>
  <c r="X3" i="264"/>
  <c r="H3" i="266"/>
  <c r="H3" i="264"/>
  <c r="H3" i="265"/>
  <c r="W3" i="264"/>
  <c r="W3" i="266"/>
  <c r="W3" i="265"/>
  <c r="X2" i="266"/>
  <c r="X2" i="264"/>
  <c r="X2" i="265"/>
  <c r="O4" i="266"/>
  <c r="O4" i="264"/>
  <c r="O4" i="265"/>
  <c r="M4" i="265"/>
  <c r="M4" i="264"/>
  <c r="M4" i="266"/>
  <c r="E3" i="265"/>
  <c r="E3" i="264"/>
  <c r="E3" i="266"/>
  <c r="H2" i="266"/>
  <c r="H2" i="264"/>
  <c r="H2" i="265"/>
  <c r="K3" i="264"/>
  <c r="K3" i="265"/>
  <c r="K3" i="266"/>
  <c r="U3" i="265"/>
  <c r="U3" i="266"/>
  <c r="U3" i="264"/>
  <c r="S3" i="264"/>
  <c r="S3" i="266"/>
  <c r="S3" i="265"/>
  <c r="S2" i="264"/>
  <c r="S2" i="266"/>
  <c r="S2" i="265"/>
  <c r="R3" i="265"/>
  <c r="R3" i="266"/>
  <c r="R3" i="264"/>
  <c r="K2" i="264"/>
  <c r="K2" i="266"/>
  <c r="K2" i="265"/>
  <c r="N4" i="266"/>
  <c r="N4" i="264"/>
  <c r="N4" i="265"/>
  <c r="Q4" i="264"/>
  <c r="Q4" i="266"/>
  <c r="Q4" i="265"/>
  <c r="F2" i="266"/>
  <c r="F2" i="264"/>
  <c r="F2" i="265"/>
  <c r="C3" i="266"/>
  <c r="C3" i="264"/>
  <c r="C3" i="265"/>
  <c r="G2" i="266"/>
  <c r="G2" i="265"/>
  <c r="G2" i="264"/>
  <c r="V3" i="264"/>
  <c r="V3" i="266"/>
  <c r="V3" i="265"/>
  <c r="K4" i="265"/>
  <c r="K4" i="266"/>
  <c r="K4" i="264"/>
  <c r="C2" i="266"/>
  <c r="C2" i="265"/>
  <c r="C2" i="264"/>
  <c r="X4" i="266"/>
  <c r="X4" i="264"/>
  <c r="X4" i="265"/>
  <c r="C4" i="266"/>
  <c r="C4" i="264"/>
  <c r="C4" i="265"/>
  <c r="R4" i="266"/>
  <c r="R4" i="264"/>
  <c r="R4" i="265"/>
  <c r="G3" i="265"/>
  <c r="G3" i="266"/>
  <c r="G3" i="264"/>
  <c r="F3" i="266"/>
  <c r="F3" i="265"/>
  <c r="F3" i="264"/>
  <c r="T2" i="265"/>
  <c r="T2" i="266"/>
  <c r="T2" i="264"/>
  <c r="J4" i="264"/>
  <c r="J4" i="265"/>
  <c r="J4" i="266"/>
  <c r="Q2" i="265"/>
  <c r="Q2" i="266"/>
  <c r="Q2" i="264"/>
  <c r="O2" i="266"/>
  <c r="O2" i="264"/>
  <c r="O2" i="265"/>
  <c r="V4" i="264"/>
  <c r="V4" i="266"/>
  <c r="V4" i="265"/>
  <c r="F4" i="264"/>
  <c r="F4" i="265"/>
  <c r="F4" i="266"/>
  <c r="N2" i="266"/>
  <c r="N2" i="264"/>
  <c r="N2" i="265"/>
  <c r="M3" i="266"/>
  <c r="M3" i="264"/>
  <c r="M3" i="265"/>
  <c r="N3" i="266"/>
  <c r="N3" i="264"/>
  <c r="N3" i="265"/>
  <c r="U4" i="266"/>
  <c r="U4" i="264"/>
  <c r="U4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U2" i="265"/>
  <c r="U2" i="266"/>
  <c r="U2" i="264"/>
  <c r="E2" i="266"/>
  <c r="E2" i="264"/>
  <c r="E2" i="265"/>
  <c r="L4" i="266"/>
  <c r="L4" i="264"/>
  <c r="L4" i="265"/>
  <c r="T3" i="266"/>
  <c r="T3" i="265"/>
  <c r="T3" i="264"/>
  <c r="D3" i="265"/>
  <c r="D3" i="266"/>
  <c r="D3" i="264"/>
  <c r="R2" i="264"/>
  <c r="R2" i="266"/>
  <c r="R2" i="265"/>
  <c r="Y4" i="265"/>
  <c r="Y4" i="264"/>
  <c r="Y4" i="266"/>
  <c r="I4" i="266"/>
  <c r="I4" i="264"/>
  <c r="I4" i="265"/>
  <c r="Q3" i="266"/>
  <c r="Q3" i="265"/>
  <c r="Q3" i="264"/>
  <c r="P2" i="266"/>
  <c r="P2" i="265"/>
  <c r="P2" i="264"/>
  <c r="W4" i="265"/>
  <c r="W4" i="264"/>
  <c r="W4" i="266"/>
  <c r="G4" i="266"/>
  <c r="G4" i="264"/>
  <c r="G4" i="265"/>
  <c r="O3" i="265"/>
  <c r="O3" i="264"/>
  <c r="O3" i="266"/>
  <c r="G2" i="256" l="1"/>
  <c r="G2" i="257"/>
  <c r="G2" i="255"/>
  <c r="N4" i="256"/>
  <c r="N4" i="255"/>
  <c r="N4" i="257"/>
  <c r="V3" i="257"/>
  <c r="V3" i="255"/>
  <c r="V3" i="256"/>
  <c r="F3" i="257"/>
  <c r="F3" i="255"/>
  <c r="F3" i="256"/>
  <c r="M4" i="257"/>
  <c r="M4" i="255"/>
  <c r="M4" i="256"/>
  <c r="U3" i="256"/>
  <c r="U3" i="257"/>
  <c r="U3" i="255"/>
  <c r="E3" i="256"/>
  <c r="E3" i="257"/>
  <c r="E3" i="255"/>
  <c r="K4" i="257"/>
  <c r="K4" i="256"/>
  <c r="K4" i="255"/>
  <c r="S3" i="257"/>
  <c r="S3" i="256"/>
  <c r="S3" i="255"/>
  <c r="C3" i="255"/>
  <c r="C3" i="256"/>
  <c r="C3" i="257"/>
  <c r="V2" i="256"/>
  <c r="V2" i="257"/>
  <c r="V2" i="255"/>
  <c r="U2" i="256"/>
  <c r="U2" i="255"/>
  <c r="U2" i="257"/>
  <c r="E2" i="256"/>
  <c r="E2" i="255"/>
  <c r="E2" i="257"/>
  <c r="T2" i="255"/>
  <c r="T2" i="256"/>
  <c r="T2" i="257"/>
  <c r="J4" i="256"/>
  <c r="J4" i="257"/>
  <c r="J4" i="255"/>
  <c r="R2" i="256"/>
  <c r="R2" i="257"/>
  <c r="R2" i="255"/>
  <c r="D2" i="255"/>
  <c r="D2" i="256"/>
  <c r="D2" i="257"/>
  <c r="C2" i="257"/>
  <c r="C2" i="255"/>
  <c r="C2" i="256"/>
  <c r="Q3" i="255"/>
  <c r="Q3" i="257"/>
  <c r="Q3" i="256"/>
  <c r="X4" i="257"/>
  <c r="X4" i="255"/>
  <c r="X4" i="256"/>
  <c r="P3" i="257"/>
  <c r="P3" i="256"/>
  <c r="P3" i="255"/>
  <c r="O3" i="257"/>
  <c r="O3" i="256"/>
  <c r="O3" i="255"/>
  <c r="F2" i="257"/>
  <c r="F2" i="256"/>
  <c r="F2" i="255"/>
  <c r="L4" i="256"/>
  <c r="L4" i="255"/>
  <c r="L4" i="257"/>
  <c r="S2" i="255"/>
  <c r="S2" i="256"/>
  <c r="S2" i="257"/>
  <c r="B3" i="257"/>
  <c r="B3" i="255"/>
  <c r="B3" i="256"/>
  <c r="Y4" i="255"/>
  <c r="Y4" i="256"/>
  <c r="Y4" i="257"/>
  <c r="P2" i="256"/>
  <c r="P2" i="257"/>
  <c r="P2" i="255"/>
  <c r="N3" i="255"/>
  <c r="N3" i="256"/>
  <c r="N3" i="257"/>
  <c r="E4" i="257"/>
  <c r="E4" i="255"/>
  <c r="E4" i="256"/>
  <c r="M3" i="257"/>
  <c r="M3" i="255"/>
  <c r="M3" i="256"/>
  <c r="W2" i="257"/>
  <c r="W2" i="255"/>
  <c r="W2" i="256"/>
  <c r="I4" i="257"/>
  <c r="I4" i="255"/>
  <c r="I4" i="256"/>
  <c r="W4" i="256"/>
  <c r="W4" i="257"/>
  <c r="W4" i="255"/>
  <c r="M2" i="256"/>
  <c r="M2" i="257"/>
  <c r="M2" i="255"/>
  <c r="D4" i="255"/>
  <c r="D4" i="257"/>
  <c r="D4" i="256"/>
  <c r="Q2" i="257"/>
  <c r="Q2" i="255"/>
  <c r="Q2" i="256"/>
  <c r="O2" i="255"/>
  <c r="O2" i="257"/>
  <c r="O2" i="256"/>
  <c r="V4" i="255"/>
  <c r="V4" i="257"/>
  <c r="V4" i="256"/>
  <c r="N2" i="257"/>
  <c r="N2" i="256"/>
  <c r="N2" i="255"/>
  <c r="L3" i="257"/>
  <c r="L3" i="255"/>
  <c r="L3" i="256"/>
  <c r="T3" i="256"/>
  <c r="T3" i="257"/>
  <c r="T3" i="255"/>
  <c r="G4" i="257"/>
  <c r="G4" i="255"/>
  <c r="G4" i="256"/>
  <c r="F4" i="255"/>
  <c r="F4" i="256"/>
  <c r="F4" i="257"/>
  <c r="U4" i="256"/>
  <c r="U4" i="257"/>
  <c r="U4" i="255"/>
  <c r="T4" i="256"/>
  <c r="T4" i="255"/>
  <c r="T4" i="257"/>
  <c r="K3" i="255"/>
  <c r="K3" i="257"/>
  <c r="K3" i="256"/>
  <c r="K2" i="255"/>
  <c r="K2" i="256"/>
  <c r="K2" i="257"/>
  <c r="B4" i="257"/>
  <c r="B4" i="255"/>
  <c r="B4" i="256"/>
  <c r="J3" i="255"/>
  <c r="J3" i="257"/>
  <c r="J3" i="256"/>
  <c r="Q4" i="255"/>
  <c r="Q4" i="256"/>
  <c r="Q4" i="257"/>
  <c r="Y3" i="255"/>
  <c r="Y3" i="257"/>
  <c r="Y3" i="256"/>
  <c r="I3" i="256"/>
  <c r="I3" i="257"/>
  <c r="I3" i="255"/>
  <c r="D3" i="256"/>
  <c r="D3" i="257"/>
  <c r="D3" i="255"/>
  <c r="R3" i="256"/>
  <c r="R3" i="257"/>
  <c r="R3" i="255"/>
  <c r="H4" i="257"/>
  <c r="H4" i="256"/>
  <c r="H4" i="255"/>
  <c r="S4" i="256"/>
  <c r="S4" i="257"/>
  <c r="S4" i="255"/>
  <c r="J2" i="256"/>
  <c r="J2" i="255"/>
  <c r="J2" i="257"/>
  <c r="P4" i="257"/>
  <c r="P4" i="255"/>
  <c r="P4" i="256"/>
  <c r="H3" i="257"/>
  <c r="H3" i="255"/>
  <c r="H3" i="256"/>
  <c r="L2" i="255"/>
  <c r="L2" i="256"/>
  <c r="L2" i="257"/>
  <c r="C4" i="257"/>
  <c r="C4" i="255"/>
  <c r="C4" i="256"/>
  <c r="R4" i="256"/>
  <c r="R4" i="257"/>
  <c r="R4" i="255"/>
  <c r="Y2" i="257"/>
  <c r="Y2" i="255"/>
  <c r="Y2" i="256"/>
  <c r="I2" i="255"/>
  <c r="I2" i="257"/>
  <c r="I2" i="256"/>
  <c r="X3" i="255"/>
  <c r="X3" i="257"/>
  <c r="X3" i="256"/>
  <c r="X2" i="256"/>
  <c r="X2" i="255"/>
  <c r="X2" i="257"/>
  <c r="H2" i="256"/>
  <c r="H2" i="257"/>
  <c r="H2" i="255"/>
  <c r="O4" i="255"/>
  <c r="O4" i="256"/>
  <c r="O4" i="257"/>
  <c r="W3" i="256"/>
  <c r="W3" i="257"/>
  <c r="W3" i="255"/>
  <c r="G3" i="255"/>
  <c r="G3" i="257"/>
  <c r="G3" i="256"/>
  <c r="N2" i="261" l="1"/>
  <c r="N2" i="262"/>
  <c r="N2" i="263"/>
  <c r="Y4" i="259"/>
  <c r="Y4" i="258"/>
  <c r="Y4" i="260"/>
  <c r="F3" i="263"/>
  <c r="F3" i="262"/>
  <c r="F3" i="261"/>
  <c r="M3" i="262"/>
  <c r="M3" i="263"/>
  <c r="M3" i="261"/>
  <c r="M4" i="270"/>
  <c r="M4" i="272"/>
  <c r="M4" i="271"/>
  <c r="Q4" i="270"/>
  <c r="Q4" i="271"/>
  <c r="Q4" i="272"/>
  <c r="R3" i="263"/>
  <c r="R3" i="261"/>
  <c r="R3" i="262"/>
  <c r="V3" i="263"/>
  <c r="V3" i="262"/>
  <c r="V3" i="261"/>
  <c r="J3" i="263"/>
  <c r="J3" i="261"/>
  <c r="J3" i="262"/>
  <c r="E4" i="263"/>
  <c r="E4" i="262"/>
  <c r="E4" i="261"/>
  <c r="X4" i="261"/>
  <c r="X4" i="263"/>
  <c r="X4" i="262"/>
  <c r="S4" i="258"/>
  <c r="S4" i="259"/>
  <c r="S4" i="260"/>
  <c r="G2" i="260"/>
  <c r="G2" i="258"/>
  <c r="G2" i="259"/>
  <c r="B3" i="260"/>
  <c r="B3" i="258"/>
  <c r="B3" i="259"/>
  <c r="F3" i="260"/>
  <c r="F3" i="259"/>
  <c r="F3" i="258"/>
  <c r="J2" i="272"/>
  <c r="J2" i="270"/>
  <c r="J2" i="271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8"/>
  <c r="C4" i="269"/>
  <c r="C4" i="267"/>
  <c r="V4" i="269"/>
  <c r="V4" i="267"/>
  <c r="V4" i="268"/>
  <c r="J2" i="269"/>
  <c r="J2" i="267"/>
  <c r="J2" i="268"/>
  <c r="N2" i="269"/>
  <c r="N2" i="268"/>
  <c r="N2" i="267"/>
  <c r="P3" i="262"/>
  <c r="P3" i="261"/>
  <c r="P3" i="263"/>
  <c r="R2" i="263"/>
  <c r="R2" i="261"/>
  <c r="R2" i="262"/>
  <c r="C4" i="259"/>
  <c r="C4" i="260"/>
  <c r="C4" i="258"/>
  <c r="J2" i="260"/>
  <c r="J2" i="258"/>
  <c r="J2" i="259"/>
  <c r="B4" i="263"/>
  <c r="B4" i="262"/>
  <c r="B4" i="261"/>
  <c r="I2" i="263"/>
  <c r="I2" i="261"/>
  <c r="I2" i="262"/>
  <c r="R3" i="259"/>
  <c r="R3" i="260"/>
  <c r="R3" i="258"/>
  <c r="V3" i="260"/>
  <c r="V3" i="259"/>
  <c r="V3" i="258"/>
  <c r="B3" i="272"/>
  <c r="B3" i="270"/>
  <c r="B3" i="271"/>
  <c r="F3" i="270"/>
  <c r="F3" i="271"/>
  <c r="F3" i="272"/>
  <c r="R2" i="272"/>
  <c r="R2" i="270"/>
  <c r="R2" i="271"/>
  <c r="M3" i="272"/>
  <c r="M3" i="270"/>
  <c r="M3" i="271"/>
  <c r="H4" i="272"/>
  <c r="H4" i="270"/>
  <c r="H4" i="271"/>
  <c r="S4" i="267"/>
  <c r="S4" i="268"/>
  <c r="S4" i="269"/>
  <c r="G2" i="268"/>
  <c r="G2" i="269"/>
  <c r="G2" i="267"/>
  <c r="B3" i="269"/>
  <c r="B3" i="267"/>
  <c r="B3" i="268"/>
  <c r="F3" i="269"/>
  <c r="F3" i="268"/>
  <c r="F3" i="267"/>
  <c r="U2" i="262"/>
  <c r="U2" i="261"/>
  <c r="U2" i="263"/>
  <c r="H4" i="263"/>
  <c r="H4" i="261"/>
  <c r="H4" i="262"/>
  <c r="J4" i="263"/>
  <c r="J4" i="261"/>
  <c r="J4" i="262"/>
  <c r="D2" i="260"/>
  <c r="D2" i="258"/>
  <c r="D2" i="259"/>
  <c r="O2" i="263"/>
  <c r="O2" i="262"/>
  <c r="O2" i="261"/>
  <c r="F2" i="263"/>
  <c r="F2" i="261"/>
  <c r="F2" i="262"/>
  <c r="Y2" i="263"/>
  <c r="Y2" i="261"/>
  <c r="Y2" i="262"/>
  <c r="O3" i="260"/>
  <c r="O3" i="258"/>
  <c r="O3" i="259"/>
  <c r="J4" i="258"/>
  <c r="J4" i="259"/>
  <c r="J4" i="260"/>
  <c r="V3" i="272"/>
  <c r="V3" i="271"/>
  <c r="V3" i="270"/>
  <c r="J3" i="270"/>
  <c r="J3" i="272"/>
  <c r="J3" i="271"/>
  <c r="R3" i="267"/>
  <c r="R3" i="268"/>
  <c r="R3" i="269"/>
  <c r="J2" i="261"/>
  <c r="J2" i="263"/>
  <c r="J2" i="262"/>
  <c r="F4" i="260"/>
  <c r="F4" i="259"/>
  <c r="F4" i="258"/>
  <c r="V4" i="260"/>
  <c r="V4" i="258"/>
  <c r="V4" i="259"/>
  <c r="N2" i="258"/>
  <c r="N2" i="259"/>
  <c r="N2" i="260"/>
  <c r="N4" i="263"/>
  <c r="N4" i="261"/>
  <c r="N4" i="262"/>
  <c r="U4" i="263"/>
  <c r="U4" i="261"/>
  <c r="U4" i="262"/>
  <c r="W2" i="260"/>
  <c r="W2" i="258"/>
  <c r="W2" i="259"/>
  <c r="K2" i="262"/>
  <c r="K2" i="263"/>
  <c r="K2" i="261"/>
  <c r="R4" i="263"/>
  <c r="R4" i="261"/>
  <c r="R4" i="262"/>
  <c r="T2" i="260"/>
  <c r="T2" i="258"/>
  <c r="T2" i="259"/>
  <c r="N4" i="260"/>
  <c r="N4" i="258"/>
  <c r="N4" i="259"/>
  <c r="R3" i="272"/>
  <c r="R3" i="271"/>
  <c r="R3" i="270"/>
  <c r="E4" i="271"/>
  <c r="E4" i="272"/>
  <c r="E4" i="270"/>
  <c r="X4" i="272"/>
  <c r="X4" i="270"/>
  <c r="X4" i="271"/>
  <c r="D2" i="269"/>
  <c r="D2" i="267"/>
  <c r="D2" i="268"/>
  <c r="W2" i="269"/>
  <c r="W2" i="267"/>
  <c r="W2" i="268"/>
  <c r="V3" i="269"/>
  <c r="V3" i="268"/>
  <c r="V3" i="267"/>
  <c r="C3" i="263"/>
  <c r="C3" i="261"/>
  <c r="C3" i="262"/>
  <c r="G3" i="263"/>
  <c r="G3" i="261"/>
  <c r="G3" i="262"/>
  <c r="C2" i="263"/>
  <c r="C2" i="261"/>
  <c r="C2" i="262"/>
  <c r="V2" i="261"/>
  <c r="V2" i="262"/>
  <c r="V2" i="263"/>
  <c r="Q3" i="263"/>
  <c r="Q3" i="261"/>
  <c r="Q3" i="262"/>
  <c r="L3" i="259"/>
  <c r="L3" i="258"/>
  <c r="L3" i="260"/>
  <c r="G4" i="258"/>
  <c r="G4" i="260"/>
  <c r="G4" i="259"/>
  <c r="K2" i="260"/>
  <c r="K2" i="258"/>
  <c r="K2" i="259"/>
  <c r="O2" i="260"/>
  <c r="O2" i="258"/>
  <c r="O2" i="259"/>
  <c r="J4" i="272"/>
  <c r="J4" i="270"/>
  <c r="J4" i="271"/>
  <c r="N4" i="272"/>
  <c r="N4" i="270"/>
  <c r="N4" i="271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7"/>
  <c r="N4" i="268"/>
  <c r="N4" i="269"/>
  <c r="S3" i="261"/>
  <c r="S3" i="263"/>
  <c r="S3" i="262"/>
  <c r="W3" i="263"/>
  <c r="W3" i="261"/>
  <c r="W3" i="262"/>
  <c r="S2" i="263"/>
  <c r="S2" i="261"/>
  <c r="S2" i="262"/>
  <c r="N3" i="261"/>
  <c r="N3" i="263"/>
  <c r="N3" i="262"/>
  <c r="I4" i="263"/>
  <c r="I4" i="261"/>
  <c r="I4" i="262"/>
  <c r="D4" i="260"/>
  <c r="D4" i="258"/>
  <c r="D4" i="259"/>
  <c r="W4" i="260"/>
  <c r="W4" i="258"/>
  <c r="W4" i="259"/>
  <c r="C3" i="260"/>
  <c r="C3" i="259"/>
  <c r="C3" i="258"/>
  <c r="G3" i="260"/>
  <c r="G3" i="259"/>
  <c r="G3" i="258"/>
  <c r="K2" i="272"/>
  <c r="K2" i="270"/>
  <c r="K2" i="271"/>
  <c r="O2" i="272"/>
  <c r="O2" i="270"/>
  <c r="O2" i="271"/>
  <c r="R4" i="272"/>
  <c r="R4" i="270"/>
  <c r="R4" i="271"/>
  <c r="F2" i="272"/>
  <c r="F2" i="271"/>
  <c r="F2" i="270"/>
  <c r="Y2" i="270"/>
  <c r="Y2" i="271"/>
  <c r="Y2" i="272"/>
  <c r="L3" i="269"/>
  <c r="L3" i="267"/>
  <c r="L3" i="268"/>
  <c r="G4" i="267"/>
  <c r="G4" i="268"/>
  <c r="G4" i="269"/>
  <c r="K2" i="269"/>
  <c r="K2" i="267"/>
  <c r="K2" i="268"/>
  <c r="O2" i="269"/>
  <c r="O2" i="267"/>
  <c r="O2" i="268"/>
  <c r="K4" i="263"/>
  <c r="K4" i="261"/>
  <c r="K4" i="262"/>
  <c r="O4" i="262"/>
  <c r="O4" i="261"/>
  <c r="O4" i="263"/>
  <c r="K3" i="263"/>
  <c r="K3" i="261"/>
  <c r="K3" i="262"/>
  <c r="F4" i="263"/>
  <c r="F4" i="261"/>
  <c r="F4" i="262"/>
  <c r="Y4" i="263"/>
  <c r="Y4" i="262"/>
  <c r="Y4" i="261"/>
  <c r="T4" i="260"/>
  <c r="T4" i="258"/>
  <c r="T4" i="259"/>
  <c r="H2" i="260"/>
  <c r="H2" i="258"/>
  <c r="H2" i="259"/>
  <c r="S3" i="260"/>
  <c r="S3" i="258"/>
  <c r="S3" i="259"/>
  <c r="G3" i="272"/>
  <c r="G3" i="271"/>
  <c r="G3" i="270"/>
  <c r="C2" i="272"/>
  <c r="C2" i="271"/>
  <c r="C2" i="270"/>
  <c r="V2" i="270"/>
  <c r="V2" i="271"/>
  <c r="V2" i="272"/>
  <c r="Q3" i="271"/>
  <c r="Q3" i="272"/>
  <c r="Q3" i="270"/>
  <c r="D4" i="267"/>
  <c r="D4" i="269"/>
  <c r="D4" i="268"/>
  <c r="W4" i="269"/>
  <c r="W4" i="267"/>
  <c r="W4" i="268"/>
  <c r="C3" i="268"/>
  <c r="C3" i="269"/>
  <c r="C3" i="267"/>
  <c r="G3" i="269"/>
  <c r="G3" i="267"/>
  <c r="G3" i="268"/>
  <c r="W3" i="258"/>
  <c r="W3" i="259"/>
  <c r="W3" i="260"/>
  <c r="C3" i="272"/>
  <c r="C3" i="270"/>
  <c r="C3" i="271"/>
  <c r="L2" i="263"/>
  <c r="L2" i="261"/>
  <c r="L2" i="262"/>
  <c r="P2" i="262"/>
  <c r="P2" i="263"/>
  <c r="P2" i="261"/>
  <c r="C4" i="263"/>
  <c r="C4" i="261"/>
  <c r="C4" i="262"/>
  <c r="V4" i="263"/>
  <c r="V4" i="261"/>
  <c r="V4" i="262"/>
  <c r="E2" i="260"/>
  <c r="E2" i="258"/>
  <c r="E2" i="259"/>
  <c r="X2" i="260"/>
  <c r="X2" i="258"/>
  <c r="X2" i="259"/>
  <c r="K4" i="258"/>
  <c r="K4" i="259"/>
  <c r="K4" i="260"/>
  <c r="O4" i="260"/>
  <c r="O4" i="259"/>
  <c r="O4" i="258"/>
  <c r="S3" i="270"/>
  <c r="S3" i="271"/>
  <c r="S3" i="272"/>
  <c r="W3" i="272"/>
  <c r="W3" i="270"/>
  <c r="W3" i="271"/>
  <c r="S2" i="271"/>
  <c r="S2" i="270"/>
  <c r="S2" i="272"/>
  <c r="N3" i="270"/>
  <c r="N3" i="272"/>
  <c r="N3" i="271"/>
  <c r="I4" i="271"/>
  <c r="I4" i="270"/>
  <c r="I4" i="272"/>
  <c r="T4" i="267"/>
  <c r="T4" i="268"/>
  <c r="T4" i="269"/>
  <c r="H2" i="269"/>
  <c r="H2" i="268"/>
  <c r="H2" i="267"/>
  <c r="S3" i="269"/>
  <c r="S3" i="267"/>
  <c r="S3" i="268"/>
  <c r="W3" i="269"/>
  <c r="W3" i="267"/>
  <c r="W3" i="268"/>
  <c r="D3" i="261"/>
  <c r="D3" i="263"/>
  <c r="D3" i="262"/>
  <c r="H3" i="262"/>
  <c r="H3" i="263"/>
  <c r="H3" i="261"/>
  <c r="S4" i="263"/>
  <c r="S4" i="261"/>
  <c r="S4" i="262"/>
  <c r="G2" i="263"/>
  <c r="G2" i="261"/>
  <c r="G2" i="262"/>
  <c r="B2" i="258"/>
  <c r="B2" i="260"/>
  <c r="B2" i="259"/>
  <c r="U2" i="260"/>
  <c r="U2" i="258"/>
  <c r="U2" i="259"/>
  <c r="P3" i="260"/>
  <c r="P3" i="258"/>
  <c r="P3" i="259"/>
  <c r="L2" i="260"/>
  <c r="L2" i="259"/>
  <c r="L2" i="258"/>
  <c r="P2" i="259"/>
  <c r="P2" i="260"/>
  <c r="P2" i="258"/>
  <c r="K4" i="272"/>
  <c r="K4" i="270"/>
  <c r="K4" i="271"/>
  <c r="O4" i="270"/>
  <c r="O4" i="272"/>
  <c r="O4" i="271"/>
  <c r="K3" i="271"/>
  <c r="K3" i="272"/>
  <c r="K3" i="270"/>
  <c r="F4" i="270"/>
  <c r="F4" i="271"/>
  <c r="F4" i="272"/>
  <c r="Y4" i="272"/>
  <c r="Y4" i="270"/>
  <c r="Y4" i="271"/>
  <c r="E2" i="269"/>
  <c r="E2" i="267"/>
  <c r="E2" i="268"/>
  <c r="X2" i="267"/>
  <c r="X2" i="268"/>
  <c r="X2" i="269"/>
  <c r="K4" i="269"/>
  <c r="K4" i="267"/>
  <c r="K4" i="268"/>
  <c r="O4" i="268"/>
  <c r="O4" i="269"/>
  <c r="O4" i="267"/>
  <c r="X3" i="263"/>
  <c r="X3" i="261"/>
  <c r="X3" i="262"/>
  <c r="D2" i="261"/>
  <c r="D2" i="263"/>
  <c r="D2" i="262"/>
  <c r="W2" i="263"/>
  <c r="W2" i="261"/>
  <c r="W2" i="262"/>
  <c r="R2" i="260"/>
  <c r="R2" i="258"/>
  <c r="R2" i="259"/>
  <c r="M3" i="260"/>
  <c r="M3" i="258"/>
  <c r="M3" i="259"/>
  <c r="H4" i="258"/>
  <c r="H4" i="259"/>
  <c r="H4" i="260"/>
  <c r="D3" i="260"/>
  <c r="D3" i="259"/>
  <c r="D3" i="258"/>
  <c r="H3" i="258"/>
  <c r="H3" i="259"/>
  <c r="H3" i="260"/>
  <c r="L2" i="272"/>
  <c r="L2" i="270"/>
  <c r="L2" i="271"/>
  <c r="P2" i="270"/>
  <c r="P2" i="271"/>
  <c r="P2" i="272"/>
  <c r="C4" i="272"/>
  <c r="C4" i="271"/>
  <c r="C4" i="270"/>
  <c r="V4" i="272"/>
  <c r="V4" i="271"/>
  <c r="V4" i="270"/>
  <c r="B2" i="267"/>
  <c r="B2" i="269"/>
  <c r="B2" i="268"/>
  <c r="U2" i="269"/>
  <c r="U2" i="267"/>
  <c r="U2" i="268"/>
  <c r="P3" i="267"/>
  <c r="P3" i="269"/>
  <c r="P3" i="268"/>
  <c r="L2" i="267"/>
  <c r="L2" i="269"/>
  <c r="L2" i="268"/>
  <c r="P2" i="269"/>
  <c r="P2" i="267"/>
  <c r="P2" i="268"/>
  <c r="T3" i="263"/>
  <c r="T3" i="261"/>
  <c r="T3" i="262"/>
  <c r="L4" i="261"/>
  <c r="L4" i="263"/>
  <c r="L4" i="262"/>
  <c r="P4" i="263"/>
  <c r="P4" i="262"/>
  <c r="P4" i="261"/>
  <c r="T2" i="263"/>
  <c r="T2" i="261"/>
  <c r="T2" i="262"/>
  <c r="O3" i="261"/>
  <c r="O3" i="262"/>
  <c r="O3" i="263"/>
  <c r="J3" i="258"/>
  <c r="J3" i="259"/>
  <c r="J3" i="260"/>
  <c r="E4" i="260"/>
  <c r="E4" i="258"/>
  <c r="E4" i="259"/>
  <c r="X4" i="258"/>
  <c r="X4" i="260"/>
  <c r="X4" i="259"/>
  <c r="T3" i="260"/>
  <c r="T3" i="259"/>
  <c r="T3" i="258"/>
  <c r="X3" i="259"/>
  <c r="X3" i="260"/>
  <c r="X3" i="258"/>
  <c r="D3" i="272"/>
  <c r="D3" i="270"/>
  <c r="D3" i="271"/>
  <c r="H3" i="271"/>
  <c r="H3" i="272"/>
  <c r="H3" i="270"/>
  <c r="S4" i="272"/>
  <c r="S4" i="271"/>
  <c r="S4" i="270"/>
  <c r="G2" i="272"/>
  <c r="G2" i="271"/>
  <c r="G2" i="270"/>
  <c r="R2" i="268"/>
  <c r="R2" i="267"/>
  <c r="R2" i="269"/>
  <c r="M3" i="268"/>
  <c r="M3" i="267"/>
  <c r="M3" i="269"/>
  <c r="H4" i="268"/>
  <c r="H4" i="267"/>
  <c r="H4" i="269"/>
  <c r="D3" i="269"/>
  <c r="D3" i="267"/>
  <c r="D3" i="268"/>
  <c r="H3" i="269"/>
  <c r="H3" i="267"/>
  <c r="H3" i="268"/>
  <c r="M2" i="263"/>
  <c r="M2" i="261"/>
  <c r="M2" i="262"/>
  <c r="Q2" i="263"/>
  <c r="Q2" i="262"/>
  <c r="Q2" i="261"/>
  <c r="L3" i="263"/>
  <c r="L3" i="262"/>
  <c r="L3" i="261"/>
  <c r="G4" i="263"/>
  <c r="G4" i="262"/>
  <c r="G4" i="261"/>
  <c r="B4" i="258"/>
  <c r="B4" i="260"/>
  <c r="B4" i="259"/>
  <c r="U4" i="258"/>
  <c r="U4" i="260"/>
  <c r="U4" i="259"/>
  <c r="I2" i="260"/>
  <c r="I2" i="259"/>
  <c r="I2" i="258"/>
  <c r="L4" i="258"/>
  <c r="L4" i="259"/>
  <c r="L4" i="260"/>
  <c r="P4" i="259"/>
  <c r="P4" i="260"/>
  <c r="P4" i="258"/>
  <c r="T3" i="271"/>
  <c r="T3" i="272"/>
  <c r="T3" i="270"/>
  <c r="X3" i="270"/>
  <c r="X3" i="272"/>
  <c r="X3" i="271"/>
  <c r="D2" i="272"/>
  <c r="D2" i="270"/>
  <c r="D2" i="271"/>
  <c r="W2" i="271"/>
  <c r="W2" i="270"/>
  <c r="W2" i="272"/>
  <c r="J3" i="267"/>
  <c r="J3" i="268"/>
  <c r="J3" i="269"/>
  <c r="E4" i="268"/>
  <c r="E4" i="267"/>
  <c r="E4" i="269"/>
  <c r="X4" i="267"/>
  <c r="X4" i="269"/>
  <c r="X4" i="268"/>
  <c r="T3" i="268"/>
  <c r="T3" i="269"/>
  <c r="T3" i="267"/>
  <c r="X3" i="269"/>
  <c r="X3" i="267"/>
  <c r="X3" i="268"/>
  <c r="D4" i="262"/>
  <c r="D4" i="263"/>
  <c r="D4" i="261"/>
  <c r="W4" i="263"/>
  <c r="W4" i="261"/>
  <c r="W4" i="262"/>
  <c r="R4" i="260"/>
  <c r="R4" i="259"/>
  <c r="R4" i="258"/>
  <c r="F2" i="260"/>
  <c r="F2" i="259"/>
  <c r="F2" i="258"/>
  <c r="Y2" i="260"/>
  <c r="Y2" i="259"/>
  <c r="Y2" i="258"/>
  <c r="M2" i="259"/>
  <c r="M2" i="258"/>
  <c r="M2" i="260"/>
  <c r="Q2" i="259"/>
  <c r="Q2" i="260"/>
  <c r="Q2" i="258"/>
  <c r="L4" i="272"/>
  <c r="L4" i="270"/>
  <c r="L4" i="271"/>
  <c r="P4" i="272"/>
  <c r="P4" i="270"/>
  <c r="P4" i="271"/>
  <c r="T2" i="270"/>
  <c r="T2" i="272"/>
  <c r="T2" i="271"/>
  <c r="O3" i="272"/>
  <c r="O3" i="271"/>
  <c r="O3" i="270"/>
  <c r="B4" i="267"/>
  <c r="B4" i="269"/>
  <c r="B4" i="268"/>
  <c r="U4" i="268"/>
  <c r="U4" i="269"/>
  <c r="U4" i="267"/>
  <c r="I2" i="267"/>
  <c r="I2" i="269"/>
  <c r="I2" i="268"/>
  <c r="L4" i="269"/>
  <c r="L4" i="268"/>
  <c r="L4" i="267"/>
  <c r="P4" i="267"/>
  <c r="P4" i="268"/>
  <c r="P4" i="269"/>
  <c r="E3" i="263"/>
  <c r="E3" i="262"/>
  <c r="E3" i="261"/>
  <c r="I3" i="262"/>
  <c r="I3" i="263"/>
  <c r="I3" i="261"/>
  <c r="U3" i="263"/>
  <c r="U3" i="261"/>
  <c r="U3" i="262"/>
  <c r="Y3" i="263"/>
  <c r="Y3" i="261"/>
  <c r="Y3" i="262"/>
  <c r="T4" i="261"/>
  <c r="T4" i="262"/>
  <c r="T4" i="263"/>
  <c r="H2" i="263"/>
  <c r="H2" i="261"/>
  <c r="H2" i="262"/>
  <c r="C2" i="258"/>
  <c r="C2" i="260"/>
  <c r="C2" i="259"/>
  <c r="V2" i="259"/>
  <c r="V2" i="258"/>
  <c r="V2" i="260"/>
  <c r="Q3" i="258"/>
  <c r="Q3" i="260"/>
  <c r="Q3" i="259"/>
  <c r="E3" i="260"/>
  <c r="E3" i="259"/>
  <c r="E3" i="258"/>
  <c r="I3" i="259"/>
  <c r="I3" i="260"/>
  <c r="I3" i="258"/>
  <c r="M2" i="270"/>
  <c r="M2" i="271"/>
  <c r="M2" i="272"/>
  <c r="Q2" i="270"/>
  <c r="Q2" i="271"/>
  <c r="Q2" i="272"/>
  <c r="L3" i="272"/>
  <c r="L3" i="270"/>
  <c r="L3" i="271"/>
  <c r="G4" i="271"/>
  <c r="G4" i="272"/>
  <c r="G4" i="270"/>
  <c r="R4" i="268"/>
  <c r="R4" i="267"/>
  <c r="R4" i="269"/>
  <c r="F2" i="267"/>
  <c r="F2" i="269"/>
  <c r="F2" i="268"/>
  <c r="Y2" i="268"/>
  <c r="Y2" i="269"/>
  <c r="Y2" i="267"/>
  <c r="M2" i="267"/>
  <c r="M2" i="268"/>
  <c r="M2" i="269"/>
  <c r="Q2" i="269"/>
  <c r="Q2" i="267"/>
  <c r="Q2" i="268"/>
  <c r="M4" i="261"/>
  <c r="M4" i="262"/>
  <c r="M4" i="263"/>
  <c r="Q4" i="261"/>
  <c r="Q4" i="263"/>
  <c r="Q4" i="262"/>
  <c r="E2" i="262"/>
  <c r="E2" i="261"/>
  <c r="E2" i="263"/>
  <c r="X2" i="263"/>
  <c r="X2" i="262"/>
  <c r="X2" i="261"/>
  <c r="S2" i="258"/>
  <c r="S2" i="260"/>
  <c r="S2" i="259"/>
  <c r="N3" i="260"/>
  <c r="N3" i="259"/>
  <c r="N3" i="258"/>
  <c r="I4" i="260"/>
  <c r="I4" i="258"/>
  <c r="I4" i="259"/>
  <c r="U3" i="260"/>
  <c r="U3" i="258"/>
  <c r="U3" i="259"/>
  <c r="Y3" i="258"/>
  <c r="Y3" i="259"/>
  <c r="Y3" i="260"/>
  <c r="E3" i="271"/>
  <c r="E3" i="272"/>
  <c r="E3" i="270"/>
  <c r="I3" i="272"/>
  <c r="I3" i="271"/>
  <c r="I3" i="270"/>
  <c r="D4" i="272"/>
  <c r="D4" i="270"/>
  <c r="D4" i="271"/>
  <c r="W4" i="271"/>
  <c r="W4" i="272"/>
  <c r="W4" i="270"/>
  <c r="C2" i="268"/>
  <c r="C2" i="269"/>
  <c r="C2" i="267"/>
  <c r="V2" i="269"/>
  <c r="V2" i="267"/>
  <c r="V2" i="268"/>
  <c r="Q3" i="268"/>
  <c r="Q3" i="267"/>
  <c r="Q3" i="269"/>
  <c r="E3" i="269"/>
  <c r="E3" i="267"/>
  <c r="E3" i="268"/>
  <c r="I3" i="268"/>
  <c r="I3" i="269"/>
  <c r="I3" i="267"/>
  <c r="B2" i="263"/>
  <c r="B2" i="261"/>
  <c r="B2" i="262"/>
  <c r="M4" i="259"/>
  <c r="M4" i="260"/>
  <c r="M4" i="258"/>
  <c r="Q4" i="258"/>
  <c r="Q4" i="259"/>
  <c r="Q4" i="260"/>
  <c r="U3" i="271"/>
  <c r="U3" i="270"/>
  <c r="U3" i="272"/>
  <c r="Y3" i="272"/>
  <c r="Y3" i="270"/>
  <c r="Y3" i="271"/>
  <c r="T4" i="270"/>
  <c r="T4" i="272"/>
  <c r="T4" i="271"/>
  <c r="H2" i="270"/>
  <c r="H2" i="272"/>
  <c r="H2" i="271"/>
  <c r="S2" i="268"/>
  <c r="S2" i="267"/>
  <c r="S2" i="269"/>
  <c r="N3" i="267"/>
  <c r="N3" i="268"/>
  <c r="N3" i="269"/>
  <c r="I4" i="269"/>
  <c r="I4" i="268"/>
  <c r="I4" i="267"/>
  <c r="U3" i="269"/>
  <c r="U3" i="267"/>
  <c r="U3" i="268"/>
  <c r="Y3" i="267"/>
  <c r="Y3" i="268"/>
  <c r="Y3" i="269"/>
  <c r="Q2" i="309"/>
  <c r="Q2" i="232"/>
  <c r="Q2" i="310"/>
  <c r="Q2" i="233"/>
  <c r="Q2" i="311"/>
  <c r="Q2" i="231"/>
  <c r="K3" i="260"/>
  <c r="K3" i="258"/>
  <c r="K3" i="259"/>
  <c r="O4" i="232"/>
  <c r="O4" i="310"/>
  <c r="O4" i="309"/>
  <c r="O4" i="231"/>
  <c r="O4" i="311"/>
  <c r="O4" i="233"/>
  <c r="B3" i="263"/>
  <c r="B3" i="262"/>
  <c r="B3" i="261"/>
  <c r="B4" i="182"/>
  <c r="B4" i="194"/>
  <c r="B4" i="195"/>
  <c r="E2" i="271"/>
  <c r="E2" i="270"/>
  <c r="E2" i="272"/>
  <c r="X2" i="272"/>
  <c r="X2" i="270"/>
  <c r="X2" i="271"/>
  <c r="K3" i="269"/>
  <c r="K3" i="268"/>
  <c r="K3" i="267"/>
  <c r="F4" i="268"/>
  <c r="F4" i="269"/>
  <c r="F4" i="267"/>
  <c r="Y4" i="268"/>
  <c r="Y4" i="269"/>
  <c r="Y4" i="267"/>
  <c r="M4" i="269"/>
  <c r="M4" i="267"/>
  <c r="M4" i="268"/>
  <c r="Q4" i="268"/>
  <c r="Q4" i="269"/>
  <c r="Q4" i="267"/>
  <c r="N2" i="196" l="1"/>
  <c r="N2" i="197"/>
  <c r="N2" i="183"/>
  <c r="W3" i="185"/>
  <c r="W3" i="202"/>
  <c r="W3" i="203"/>
  <c r="I4" i="196"/>
  <c r="I4" i="197"/>
  <c r="I4" i="183"/>
  <c r="L2" i="194"/>
  <c r="L2" i="195"/>
  <c r="L2" i="182"/>
  <c r="L4" i="311"/>
  <c r="L4" i="233"/>
  <c r="L4" i="232"/>
  <c r="L4" i="231"/>
  <c r="L4" i="310"/>
  <c r="L4" i="309"/>
  <c r="R4" i="306"/>
  <c r="R4" i="229"/>
  <c r="R4" i="308"/>
  <c r="R4" i="307"/>
  <c r="R4" i="228"/>
  <c r="R4" i="230"/>
  <c r="O2" i="195"/>
  <c r="O2" i="182"/>
  <c r="O2" i="194"/>
  <c r="X2" i="184"/>
  <c r="X2" i="201"/>
  <c r="X2" i="200"/>
  <c r="G2" i="203"/>
  <c r="G2" i="185"/>
  <c r="G2" i="202"/>
  <c r="G4" i="200"/>
  <c r="G4" i="201"/>
  <c r="G4" i="184"/>
  <c r="B3" i="194"/>
  <c r="B3" i="195"/>
  <c r="B3" i="182"/>
  <c r="Y3" i="183"/>
  <c r="Y3" i="196"/>
  <c r="Y3" i="197"/>
  <c r="C2" i="201"/>
  <c r="C2" i="200"/>
  <c r="C2" i="184"/>
  <c r="P2" i="297"/>
  <c r="P2" i="299"/>
  <c r="P2" i="221"/>
  <c r="P2" i="219"/>
  <c r="P2" i="220"/>
  <c r="P2" i="298"/>
  <c r="F2" i="229"/>
  <c r="F2" i="307"/>
  <c r="F2" i="306"/>
  <c r="F2" i="230"/>
  <c r="F2" i="228"/>
  <c r="F2" i="308"/>
  <c r="N4" i="220"/>
  <c r="N4" i="298"/>
  <c r="N4" i="297"/>
  <c r="N4" i="299"/>
  <c r="N4" i="221"/>
  <c r="N4" i="219"/>
  <c r="L3" i="310"/>
  <c r="L3" i="231"/>
  <c r="L3" i="233"/>
  <c r="L3" i="232"/>
  <c r="L3" i="309"/>
  <c r="L3" i="311"/>
  <c r="K2" i="310"/>
  <c r="K2" i="232"/>
  <c r="K2" i="311"/>
  <c r="K2" i="309"/>
  <c r="K2" i="233"/>
  <c r="K2" i="231"/>
  <c r="Y2" i="311"/>
  <c r="Y2" i="309"/>
  <c r="Y2" i="233"/>
  <c r="Y2" i="231"/>
  <c r="Y2" i="310"/>
  <c r="Y2" i="232"/>
  <c r="D4" i="223"/>
  <c r="D4" i="224"/>
  <c r="D4" i="301"/>
  <c r="D4" i="300"/>
  <c r="D4" i="302"/>
  <c r="D4" i="222"/>
  <c r="N3" i="301"/>
  <c r="N3" i="302"/>
  <c r="N3" i="300"/>
  <c r="N3" i="224"/>
  <c r="N3" i="222"/>
  <c r="N3" i="223"/>
  <c r="Y4" i="220"/>
  <c r="Y4" i="221"/>
  <c r="Y4" i="299"/>
  <c r="Y4" i="297"/>
  <c r="Y4" i="298"/>
  <c r="Y4" i="219"/>
  <c r="N3" i="306"/>
  <c r="N3" i="308"/>
  <c r="N3" i="230"/>
  <c r="N3" i="228"/>
  <c r="N3" i="229"/>
  <c r="N3" i="307"/>
  <c r="S3" i="202"/>
  <c r="S3" i="185"/>
  <c r="S3" i="203"/>
  <c r="I2" i="194"/>
  <c r="I2" i="195"/>
  <c r="I2" i="182"/>
  <c r="N4" i="307"/>
  <c r="N4" i="229"/>
  <c r="N4" i="230"/>
  <c r="N4" i="306"/>
  <c r="N4" i="308"/>
  <c r="N4" i="228"/>
  <c r="Y4" i="201"/>
  <c r="Y4" i="184"/>
  <c r="Y4" i="200"/>
  <c r="N2" i="195"/>
  <c r="N2" i="182"/>
  <c r="N2" i="194"/>
  <c r="I4" i="201"/>
  <c r="I4" i="184"/>
  <c r="I4" i="200"/>
  <c r="W3" i="184"/>
  <c r="W3" i="201"/>
  <c r="W3" i="200"/>
  <c r="N3" i="194"/>
  <c r="N3" i="195"/>
  <c r="N3" i="182"/>
  <c r="T2" i="183"/>
  <c r="T2" i="197"/>
  <c r="T2" i="196"/>
  <c r="T4" i="203"/>
  <c r="T4" i="202"/>
  <c r="T4" i="185"/>
  <c r="J2" i="202"/>
  <c r="J2" i="185"/>
  <c r="J2" i="203"/>
  <c r="F2" i="185"/>
  <c r="F2" i="203"/>
  <c r="F2" i="202"/>
  <c r="D3" i="203"/>
  <c r="D3" i="202"/>
  <c r="D3" i="185"/>
  <c r="K4" i="202"/>
  <c r="K4" i="203"/>
  <c r="K4" i="185"/>
  <c r="E2" i="301"/>
  <c r="E2" i="222"/>
  <c r="E2" i="302"/>
  <c r="E2" i="224"/>
  <c r="E2" i="300"/>
  <c r="E2" i="223"/>
  <c r="K3" i="311"/>
  <c r="K3" i="233"/>
  <c r="K3" i="232"/>
  <c r="K3" i="309"/>
  <c r="K3" i="310"/>
  <c r="K3" i="231"/>
  <c r="F4" i="185"/>
  <c r="F4" i="202"/>
  <c r="F4" i="203"/>
  <c r="B2" i="184"/>
  <c r="B2" i="200"/>
  <c r="B2" i="201"/>
  <c r="K2" i="196"/>
  <c r="K2" i="183"/>
  <c r="K2" i="197"/>
  <c r="R3" i="201"/>
  <c r="R3" i="200"/>
  <c r="R3" i="184"/>
  <c r="M3" i="194"/>
  <c r="M3" i="182"/>
  <c r="M3" i="195"/>
  <c r="D4" i="183"/>
  <c r="D4" i="196"/>
  <c r="D4" i="197"/>
  <c r="E3" i="302"/>
  <c r="E3" i="223"/>
  <c r="E3" i="222"/>
  <c r="E3" i="300"/>
  <c r="E3" i="301"/>
  <c r="E3" i="224"/>
  <c r="U3" i="230"/>
  <c r="U3" i="228"/>
  <c r="U3" i="307"/>
  <c r="U3" i="308"/>
  <c r="U3" i="306"/>
  <c r="U3" i="229"/>
  <c r="H3" i="182"/>
  <c r="H3" i="194"/>
  <c r="H3" i="195"/>
  <c r="O2" i="196"/>
  <c r="O2" i="197"/>
  <c r="O2" i="183"/>
  <c r="S4" i="197"/>
  <c r="S4" i="183"/>
  <c r="S4" i="196"/>
  <c r="I2" i="185"/>
  <c r="I2" i="202"/>
  <c r="I2" i="203"/>
  <c r="U3" i="183"/>
  <c r="U3" i="196"/>
  <c r="U3" i="197"/>
  <c r="G4" i="195"/>
  <c r="G4" i="194"/>
  <c r="G4" i="182"/>
  <c r="P4" i="183"/>
  <c r="P4" i="196"/>
  <c r="P4" i="197"/>
  <c r="M2" i="297"/>
  <c r="M2" i="220"/>
  <c r="M2" i="221"/>
  <c r="M2" i="299"/>
  <c r="M2" i="298"/>
  <c r="M2" i="219"/>
  <c r="G4" i="298"/>
  <c r="G4" i="299"/>
  <c r="G4" i="221"/>
  <c r="G4" i="219"/>
  <c r="G4" i="220"/>
  <c r="G4" i="297"/>
  <c r="K4" i="307"/>
  <c r="K4" i="306"/>
  <c r="K4" i="308"/>
  <c r="K4" i="230"/>
  <c r="K4" i="228"/>
  <c r="K4" i="229"/>
  <c r="U3" i="222"/>
  <c r="U3" i="224"/>
  <c r="U3" i="302"/>
  <c r="U3" i="301"/>
  <c r="U3" i="300"/>
  <c r="U3" i="223"/>
  <c r="U4" i="222"/>
  <c r="U4" i="300"/>
  <c r="U4" i="301"/>
  <c r="U4" i="302"/>
  <c r="U4" i="223"/>
  <c r="U4" i="224"/>
  <c r="C2" i="299"/>
  <c r="C2" i="298"/>
  <c r="C2" i="297"/>
  <c r="C2" i="219"/>
  <c r="C2" i="220"/>
  <c r="C2" i="221"/>
  <c r="J3" i="219"/>
  <c r="J3" i="299"/>
  <c r="J3" i="297"/>
  <c r="J3" i="220"/>
  <c r="J3" i="298"/>
  <c r="J3" i="221"/>
  <c r="T2" i="202"/>
  <c r="T2" i="203"/>
  <c r="T2" i="185"/>
  <c r="X4" i="183"/>
  <c r="X4" i="196"/>
  <c r="X4" i="197"/>
  <c r="L2" i="197"/>
  <c r="L2" i="183"/>
  <c r="L2" i="196"/>
  <c r="L4" i="222"/>
  <c r="L4" i="302"/>
  <c r="L4" i="224"/>
  <c r="L4" i="301"/>
  <c r="L4" i="223"/>
  <c r="L4" i="300"/>
  <c r="Q4" i="230"/>
  <c r="Q4" i="228"/>
  <c r="Q4" i="229"/>
  <c r="Q4" i="307"/>
  <c r="Q4" i="308"/>
  <c r="Q4" i="306"/>
  <c r="H2" i="197"/>
  <c r="H2" i="183"/>
  <c r="H2" i="196"/>
  <c r="S2" i="197"/>
  <c r="S2" i="196"/>
  <c r="S2" i="183"/>
  <c r="H2" i="182"/>
  <c r="H2" i="195"/>
  <c r="H2" i="194"/>
  <c r="N2" i="201"/>
  <c r="N2" i="184"/>
  <c r="N2" i="200"/>
  <c r="W4" i="202"/>
  <c r="W4" i="185"/>
  <c r="W4" i="203"/>
  <c r="V2" i="184"/>
  <c r="V2" i="200"/>
  <c r="V2" i="201"/>
  <c r="J3" i="182"/>
  <c r="J3" i="194"/>
  <c r="J3" i="195"/>
  <c r="K3" i="297"/>
  <c r="K3" i="299"/>
  <c r="K3" i="298"/>
  <c r="K3" i="221"/>
  <c r="K3" i="219"/>
  <c r="K3" i="220"/>
  <c r="T2" i="308"/>
  <c r="T2" i="306"/>
  <c r="T2" i="229"/>
  <c r="T2" i="230"/>
  <c r="T2" i="228"/>
  <c r="T2" i="307"/>
  <c r="C2" i="309"/>
  <c r="C2" i="311"/>
  <c r="C2" i="233"/>
  <c r="C2" i="310"/>
  <c r="C2" i="231"/>
  <c r="C2" i="232"/>
  <c r="E4" i="223"/>
  <c r="E4" i="224"/>
  <c r="E4" i="222"/>
  <c r="E4" i="302"/>
  <c r="E4" i="301"/>
  <c r="E4" i="300"/>
  <c r="S4" i="220"/>
  <c r="S4" i="221"/>
  <c r="S4" i="219"/>
  <c r="S4" i="299"/>
  <c r="S4" i="298"/>
  <c r="S4" i="297"/>
  <c r="S3" i="220"/>
  <c r="S3" i="221"/>
  <c r="S3" i="298"/>
  <c r="S3" i="219"/>
  <c r="S3" i="299"/>
  <c r="S3" i="297"/>
  <c r="D2" i="184"/>
  <c r="D2" i="201"/>
  <c r="D2" i="200"/>
  <c r="W2" i="184"/>
  <c r="W2" i="201"/>
  <c r="W2" i="200"/>
  <c r="F2" i="197"/>
  <c r="F2" i="183"/>
  <c r="F2" i="196"/>
  <c r="P2" i="184"/>
  <c r="P2" i="200"/>
  <c r="P2" i="201"/>
  <c r="F3" i="200"/>
  <c r="F3" i="184"/>
  <c r="F3" i="201"/>
  <c r="R4" i="202"/>
  <c r="R4" i="203"/>
  <c r="R4" i="185"/>
  <c r="R2" i="195"/>
  <c r="R2" i="182"/>
  <c r="R2" i="194"/>
  <c r="G4" i="197"/>
  <c r="G4" i="183"/>
  <c r="G4" i="196"/>
  <c r="W4" i="200"/>
  <c r="W4" i="184"/>
  <c r="W4" i="201"/>
  <c r="L3" i="203"/>
  <c r="L3" i="202"/>
  <c r="L3" i="185"/>
  <c r="W2" i="194"/>
  <c r="W2" i="182"/>
  <c r="W2" i="195"/>
  <c r="F4" i="219"/>
  <c r="F4" i="220"/>
  <c r="F4" i="299"/>
  <c r="F4" i="297"/>
  <c r="F4" i="298"/>
  <c r="F4" i="221"/>
  <c r="V3" i="308"/>
  <c r="V3" i="306"/>
  <c r="V3" i="307"/>
  <c r="V3" i="230"/>
  <c r="V3" i="229"/>
  <c r="V3" i="228"/>
  <c r="W3" i="228"/>
  <c r="W3" i="307"/>
  <c r="W3" i="229"/>
  <c r="W3" i="308"/>
  <c r="W3" i="306"/>
  <c r="W3" i="230"/>
  <c r="O3" i="221"/>
  <c r="O3" i="297"/>
  <c r="O3" i="298"/>
  <c r="O3" i="299"/>
  <c r="O3" i="220"/>
  <c r="O3" i="219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2"/>
  <c r="Q2" i="301"/>
  <c r="Q2" i="223"/>
  <c r="Q2" i="302"/>
  <c r="Q2" i="300"/>
  <c r="Q2" i="224"/>
  <c r="F4" i="301"/>
  <c r="F4" i="300"/>
  <c r="F4" i="302"/>
  <c r="F4" i="224"/>
  <c r="F4" i="222"/>
  <c r="F4" i="223"/>
  <c r="O4" i="307"/>
  <c r="O4" i="306"/>
  <c r="O4" i="308"/>
  <c r="O4" i="228"/>
  <c r="O4" i="230"/>
  <c r="O4" i="229"/>
  <c r="D4" i="194"/>
  <c r="D4" i="182"/>
  <c r="D4" i="195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184"/>
  <c r="M2" i="201"/>
  <c r="M2" i="200"/>
  <c r="K2" i="203"/>
  <c r="K2" i="185"/>
  <c r="K2" i="202"/>
  <c r="B3" i="183"/>
  <c r="B3" i="197"/>
  <c r="B3" i="196"/>
  <c r="F3" i="203"/>
  <c r="F3" i="202"/>
  <c r="F3" i="185"/>
  <c r="G4" i="203"/>
  <c r="G4" i="185"/>
  <c r="G4" i="202"/>
  <c r="W2" i="185"/>
  <c r="W2" i="203"/>
  <c r="W2" i="202"/>
  <c r="Q2" i="197"/>
  <c r="Q2" i="183"/>
  <c r="Q2" i="196"/>
  <c r="V4" i="201"/>
  <c r="V4" i="184"/>
  <c r="V4" i="200"/>
  <c r="V2" i="203"/>
  <c r="V2" i="185"/>
  <c r="V2" i="202"/>
  <c r="X2" i="183"/>
  <c r="X2" i="196"/>
  <c r="X2" i="197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300"/>
  <c r="Y3" i="302"/>
  <c r="Y3" i="223"/>
  <c r="Y3" i="301"/>
  <c r="Y3" i="222"/>
  <c r="Y3" i="224"/>
  <c r="W2" i="299"/>
  <c r="W2" i="297"/>
  <c r="W2" i="220"/>
  <c r="W2" i="298"/>
  <c r="W2" i="219"/>
  <c r="W2" i="221"/>
  <c r="D2" i="302"/>
  <c r="D2" i="300"/>
  <c r="D2" i="222"/>
  <c r="D2" i="224"/>
  <c r="D2" i="301"/>
  <c r="D2" i="223"/>
  <c r="B2" i="307"/>
  <c r="B2" i="308"/>
  <c r="B2" i="230"/>
  <c r="B2" i="306"/>
  <c r="B2" i="228"/>
  <c r="B2" i="229"/>
  <c r="L3" i="301"/>
  <c r="L3" i="302"/>
  <c r="L3" i="222"/>
  <c r="L3" i="223"/>
  <c r="L3" i="224"/>
  <c r="L3" i="300"/>
  <c r="X4" i="223"/>
  <c r="X4" i="224"/>
  <c r="X4" i="302"/>
  <c r="X4" i="222"/>
  <c r="X4" i="300"/>
  <c r="X4" i="301"/>
  <c r="F3" i="311"/>
  <c r="F3" i="309"/>
  <c r="F3" i="231"/>
  <c r="F3" i="232"/>
  <c r="F3" i="233"/>
  <c r="F3" i="310"/>
  <c r="I4" i="309"/>
  <c r="I4" i="310"/>
  <c r="I4" i="231"/>
  <c r="I4" i="233"/>
  <c r="I4" i="232"/>
  <c r="I4" i="311"/>
  <c r="C4" i="308"/>
  <c r="C4" i="230"/>
  <c r="C4" i="306"/>
  <c r="C4" i="307"/>
  <c r="C4" i="228"/>
  <c r="C4" i="229"/>
  <c r="X4" i="311"/>
  <c r="X4" i="309"/>
  <c r="X4" i="310"/>
  <c r="X4" i="233"/>
  <c r="X4" i="232"/>
  <c r="X4" i="231"/>
  <c r="I2" i="311"/>
  <c r="I2" i="309"/>
  <c r="I2" i="232"/>
  <c r="I2" i="233"/>
  <c r="I2" i="310"/>
  <c r="I2" i="231"/>
  <c r="J3" i="301"/>
  <c r="J3" i="300"/>
  <c r="J3" i="302"/>
  <c r="J3" i="222"/>
  <c r="J3" i="223"/>
  <c r="J3" i="224"/>
  <c r="H2" i="301"/>
  <c r="H2" i="224"/>
  <c r="H2" i="223"/>
  <c r="H2" i="222"/>
  <c r="H2" i="302"/>
  <c r="H2" i="300"/>
  <c r="L2" i="224"/>
  <c r="L2" i="222"/>
  <c r="L2" i="223"/>
  <c r="L2" i="300"/>
  <c r="L2" i="302"/>
  <c r="L2" i="301"/>
  <c r="I2" i="298"/>
  <c r="I2" i="219"/>
  <c r="I2" i="220"/>
  <c r="I2" i="221"/>
  <c r="I2" i="299"/>
  <c r="I2" i="297"/>
  <c r="P4" i="185"/>
  <c r="P4" i="203"/>
  <c r="P4" i="202"/>
  <c r="I3" i="307"/>
  <c r="I3" i="308"/>
  <c r="I3" i="306"/>
  <c r="I3" i="228"/>
  <c r="I3" i="229"/>
  <c r="I3" i="230"/>
  <c r="H4" i="195"/>
  <c r="H4" i="182"/>
  <c r="H4" i="194"/>
  <c r="Q2" i="203"/>
  <c r="Q2" i="185"/>
  <c r="Q2" i="202"/>
  <c r="X4" i="201"/>
  <c r="X4" i="200"/>
  <c r="X4" i="184"/>
  <c r="P4" i="309"/>
  <c r="P4" i="232"/>
  <c r="P4" i="233"/>
  <c r="P4" i="310"/>
  <c r="P4" i="231"/>
  <c r="P4" i="311"/>
  <c r="F4" i="196"/>
  <c r="F4" i="183"/>
  <c r="F4" i="197"/>
  <c r="B2" i="182"/>
  <c r="B2" i="195"/>
  <c r="B2" i="194"/>
  <c r="N2" i="302"/>
  <c r="N2" i="300"/>
  <c r="N2" i="222"/>
  <c r="N2" i="223"/>
  <c r="N2" i="301"/>
  <c r="N2" i="224"/>
  <c r="K3" i="301"/>
  <c r="K3" i="300"/>
  <c r="K3" i="224"/>
  <c r="K3" i="222"/>
  <c r="K3" i="223"/>
  <c r="K3" i="302"/>
  <c r="C3" i="300"/>
  <c r="C3" i="301"/>
  <c r="C3" i="224"/>
  <c r="C3" i="222"/>
  <c r="C3" i="302"/>
  <c r="C3" i="223"/>
  <c r="X4" i="182"/>
  <c r="X4" i="194"/>
  <c r="X4" i="195"/>
  <c r="B2" i="203"/>
  <c r="B2" i="185"/>
  <c r="B2" i="202"/>
  <c r="N4" i="197"/>
  <c r="N4" i="183"/>
  <c r="N4" i="196"/>
  <c r="D4" i="310"/>
  <c r="D4" i="231"/>
  <c r="D4" i="232"/>
  <c r="D4" i="233"/>
  <c r="D4" i="309"/>
  <c r="D4" i="311"/>
  <c r="D2" i="220"/>
  <c r="D2" i="297"/>
  <c r="D2" i="219"/>
  <c r="D2" i="299"/>
  <c r="D2" i="298"/>
  <c r="D2" i="221"/>
  <c r="C2" i="185"/>
  <c r="C2" i="203"/>
  <c r="C2" i="202"/>
  <c r="E4" i="196"/>
  <c r="E4" i="197"/>
  <c r="E4" i="183"/>
  <c r="L3" i="194"/>
  <c r="L3" i="182"/>
  <c r="L3" i="195"/>
  <c r="V3" i="194"/>
  <c r="V3" i="195"/>
  <c r="V3" i="182"/>
  <c r="S3" i="201"/>
  <c r="S3" i="200"/>
  <c r="S3" i="184"/>
  <c r="U3" i="200"/>
  <c r="U3" i="184"/>
  <c r="U3" i="201"/>
  <c r="X3" i="182"/>
  <c r="X3" i="195"/>
  <c r="X3" i="194"/>
  <c r="B4" i="203"/>
  <c r="B4" i="202"/>
  <c r="B4" i="185"/>
  <c r="I3" i="197"/>
  <c r="I3" i="196"/>
  <c r="I3" i="183"/>
  <c r="M2" i="197"/>
  <c r="M2" i="196"/>
  <c r="M2" i="183"/>
  <c r="J2" i="297"/>
  <c r="J2" i="298"/>
  <c r="J2" i="220"/>
  <c r="J2" i="299"/>
  <c r="J2" i="221"/>
  <c r="J2" i="219"/>
  <c r="R2" i="301"/>
  <c r="R2" i="224"/>
  <c r="R2" i="223"/>
  <c r="R2" i="300"/>
  <c r="R2" i="222"/>
  <c r="R2" i="302"/>
  <c r="N2" i="298"/>
  <c r="N2" i="220"/>
  <c r="N2" i="221"/>
  <c r="N2" i="219"/>
  <c r="N2" i="297"/>
  <c r="N2" i="299"/>
  <c r="X2" i="230"/>
  <c r="X2" i="228"/>
  <c r="X2" i="229"/>
  <c r="X2" i="306"/>
  <c r="X2" i="307"/>
  <c r="X2" i="308"/>
  <c r="V2" i="310"/>
  <c r="V2" i="233"/>
  <c r="V2" i="231"/>
  <c r="V2" i="311"/>
  <c r="V2" i="309"/>
  <c r="V2" i="232"/>
  <c r="G2" i="194"/>
  <c r="G2" i="182"/>
  <c r="G2" i="195"/>
  <c r="N3" i="196"/>
  <c r="N3" i="183"/>
  <c r="N3" i="197"/>
  <c r="G2" i="196"/>
  <c r="G2" i="197"/>
  <c r="G2" i="183"/>
  <c r="C4" i="200"/>
  <c r="C4" i="201"/>
  <c r="C4" i="184"/>
  <c r="K4" i="201"/>
  <c r="K4" i="200"/>
  <c r="K4" i="184"/>
  <c r="J2" i="201"/>
  <c r="J2" i="200"/>
  <c r="J2" i="184"/>
  <c r="J4" i="299"/>
  <c r="J4" i="219"/>
  <c r="J4" i="298"/>
  <c r="J4" i="297"/>
  <c r="J4" i="220"/>
  <c r="J4" i="221"/>
  <c r="G2" i="222"/>
  <c r="G2" i="300"/>
  <c r="G2" i="301"/>
  <c r="G2" i="302"/>
  <c r="G2" i="223"/>
  <c r="G2" i="224"/>
  <c r="G3" i="231"/>
  <c r="G3" i="311"/>
  <c r="G3" i="309"/>
  <c r="G3" i="310"/>
  <c r="G3" i="233"/>
  <c r="G3" i="232"/>
  <c r="H4" i="230"/>
  <c r="H4" i="229"/>
  <c r="H4" i="308"/>
  <c r="H4" i="307"/>
  <c r="H4" i="306"/>
  <c r="H4" i="228"/>
  <c r="U4" i="229"/>
  <c r="U4" i="306"/>
  <c r="U4" i="230"/>
  <c r="U4" i="308"/>
  <c r="U4" i="307"/>
  <c r="U4" i="228"/>
  <c r="Q3" i="220"/>
  <c r="Q3" i="299"/>
  <c r="Q3" i="298"/>
  <c r="Q3" i="221"/>
  <c r="Q3" i="297"/>
  <c r="Q3" i="219"/>
  <c r="E3" i="233"/>
  <c r="E3" i="231"/>
  <c r="E3" i="310"/>
  <c r="E3" i="232"/>
  <c r="E3" i="311"/>
  <c r="E3" i="309"/>
  <c r="J3" i="308"/>
  <c r="J3" i="230"/>
  <c r="J3" i="306"/>
  <c r="J3" i="307"/>
  <c r="J3" i="228"/>
  <c r="J3" i="229"/>
  <c r="P3" i="220"/>
  <c r="P3" i="219"/>
  <c r="P3" i="221"/>
  <c r="P3" i="297"/>
  <c r="P3" i="299"/>
  <c r="P3" i="298"/>
  <c r="R2" i="298"/>
  <c r="R2" i="297"/>
  <c r="R2" i="219"/>
  <c r="R2" i="220"/>
  <c r="R2" i="221"/>
  <c r="R2" i="299"/>
  <c r="O3" i="310"/>
  <c r="O3" i="311"/>
  <c r="O3" i="309"/>
  <c r="O3" i="233"/>
  <c r="O3" i="231"/>
  <c r="O3" i="232"/>
  <c r="N4" i="302"/>
  <c r="N4" i="300"/>
  <c r="N4" i="301"/>
  <c r="N4" i="224"/>
  <c r="N4" i="223"/>
  <c r="N4" i="222"/>
  <c r="R4" i="196"/>
  <c r="R4" i="183"/>
  <c r="R4" i="197"/>
  <c r="E4" i="229"/>
  <c r="E4" i="228"/>
  <c r="E4" i="306"/>
  <c r="E4" i="307"/>
  <c r="E4" i="230"/>
  <c r="E4" i="308"/>
  <c r="E3" i="196"/>
  <c r="E3" i="197"/>
  <c r="E3" i="183"/>
  <c r="U4" i="184"/>
  <c r="U4" i="200"/>
  <c r="U4" i="201"/>
  <c r="X3" i="230"/>
  <c r="X3" i="306"/>
  <c r="X3" i="308"/>
  <c r="X3" i="307"/>
  <c r="X3" i="228"/>
  <c r="X3" i="229"/>
  <c r="P2" i="300"/>
  <c r="P2" i="223"/>
  <c r="P2" i="224"/>
  <c r="P2" i="222"/>
  <c r="P2" i="302"/>
  <c r="P2" i="301"/>
  <c r="E2" i="185"/>
  <c r="E2" i="202"/>
  <c r="E2" i="203"/>
  <c r="B2" i="224"/>
  <c r="B2" i="222"/>
  <c r="B2" i="223"/>
  <c r="B2" i="301"/>
  <c r="B2" i="302"/>
  <c r="B2" i="300"/>
  <c r="L2" i="221"/>
  <c r="L2" i="298"/>
  <c r="L2" i="220"/>
  <c r="L2" i="219"/>
  <c r="L2" i="299"/>
  <c r="L2" i="297"/>
  <c r="Q4" i="299"/>
  <c r="Q4" i="221"/>
  <c r="Q4" i="298"/>
  <c r="Q4" i="219"/>
  <c r="Q4" i="220"/>
  <c r="Q4" i="297"/>
  <c r="K2" i="219"/>
  <c r="K2" i="221"/>
  <c r="K2" i="297"/>
  <c r="K2" i="298"/>
  <c r="K2" i="220"/>
  <c r="K2" i="299"/>
  <c r="G3" i="194"/>
  <c r="G3" i="182"/>
  <c r="G3" i="195"/>
  <c r="L4" i="197"/>
  <c r="L4" i="196"/>
  <c r="L4" i="183"/>
  <c r="S3" i="194"/>
  <c r="S3" i="195"/>
  <c r="S3" i="182"/>
  <c r="M2" i="194"/>
  <c r="M2" i="182"/>
  <c r="M2" i="195"/>
  <c r="N3" i="203"/>
  <c r="N3" i="202"/>
  <c r="N3" i="185"/>
  <c r="K3" i="195"/>
  <c r="K3" i="182"/>
  <c r="K3" i="194"/>
  <c r="J4" i="183"/>
  <c r="J4" i="197"/>
  <c r="J4" i="196"/>
  <c r="Q4" i="197"/>
  <c r="Q4" i="183"/>
  <c r="Q4" i="196"/>
  <c r="Q3" i="185"/>
  <c r="Q3" i="202"/>
  <c r="Q3" i="203"/>
  <c r="H3" i="311"/>
  <c r="H3" i="310"/>
  <c r="H3" i="309"/>
  <c r="H3" i="232"/>
  <c r="H3" i="233"/>
  <c r="H3" i="231"/>
  <c r="V4" i="307"/>
  <c r="V4" i="229"/>
  <c r="V4" i="230"/>
  <c r="V4" i="306"/>
  <c r="V4" i="228"/>
  <c r="V4" i="308"/>
  <c r="R2" i="202"/>
  <c r="R2" i="203"/>
  <c r="R2" i="185"/>
  <c r="K4" i="194"/>
  <c r="K4" i="195"/>
  <c r="K4" i="182"/>
  <c r="D4" i="185"/>
  <c r="D4" i="202"/>
  <c r="D4" i="203"/>
  <c r="V2" i="182"/>
  <c r="V2" i="194"/>
  <c r="V2" i="195"/>
  <c r="V4" i="195"/>
  <c r="V4" i="182"/>
  <c r="V4" i="194"/>
  <c r="E2" i="201"/>
  <c r="E2" i="184"/>
  <c r="E2" i="200"/>
  <c r="T3" i="203"/>
  <c r="T3" i="202"/>
  <c r="T3" i="185"/>
  <c r="C3" i="309"/>
  <c r="C3" i="233"/>
  <c r="C3" i="231"/>
  <c r="C3" i="310"/>
  <c r="C3" i="311"/>
  <c r="C3" i="232"/>
  <c r="W3" i="311"/>
  <c r="W3" i="233"/>
  <c r="W3" i="231"/>
  <c r="W3" i="232"/>
  <c r="W3" i="309"/>
  <c r="W3" i="310"/>
  <c r="V2" i="302"/>
  <c r="V2" i="222"/>
  <c r="V2" i="301"/>
  <c r="V2" i="300"/>
  <c r="V2" i="223"/>
  <c r="V2" i="224"/>
  <c r="T4" i="299"/>
  <c r="T4" i="219"/>
  <c r="T4" i="220"/>
  <c r="T4" i="221"/>
  <c r="T4" i="297"/>
  <c r="T4" i="298"/>
  <c r="W2" i="311"/>
  <c r="W2" i="310"/>
  <c r="W2" i="309"/>
  <c r="W2" i="232"/>
  <c r="W2" i="233"/>
  <c r="W2" i="231"/>
  <c r="G3" i="229"/>
  <c r="G3" i="230"/>
  <c r="G3" i="307"/>
  <c r="G3" i="308"/>
  <c r="G3" i="228"/>
  <c r="G3" i="306"/>
  <c r="F3" i="228"/>
  <c r="F3" i="229"/>
  <c r="F3" i="308"/>
  <c r="F3" i="306"/>
  <c r="F3" i="230"/>
  <c r="F3" i="307"/>
  <c r="I4" i="219"/>
  <c r="I4" i="220"/>
  <c r="I4" i="298"/>
  <c r="I4" i="221"/>
  <c r="I4" i="297"/>
  <c r="I4" i="299"/>
  <c r="T4" i="194"/>
  <c r="T4" i="195"/>
  <c r="T4" i="182"/>
  <c r="R4" i="222"/>
  <c r="R4" i="224"/>
  <c r="R4" i="300"/>
  <c r="R4" i="301"/>
  <c r="R4" i="302"/>
  <c r="R4" i="223"/>
  <c r="M2" i="185"/>
  <c r="M2" i="203"/>
  <c r="M2" i="202"/>
  <c r="H4" i="203"/>
  <c r="H4" i="202"/>
  <c r="H4" i="185"/>
  <c r="O3" i="182"/>
  <c r="O3" i="194"/>
  <c r="O3" i="195"/>
  <c r="Q3" i="182"/>
  <c r="Q3" i="194"/>
  <c r="Q3" i="195"/>
  <c r="H2" i="220"/>
  <c r="H2" i="299"/>
  <c r="H2" i="298"/>
  <c r="H2" i="297"/>
  <c r="H2" i="221"/>
  <c r="H2" i="219"/>
  <c r="X3" i="201"/>
  <c r="X3" i="184"/>
  <c r="X3" i="200"/>
  <c r="R3" i="182"/>
  <c r="R3" i="195"/>
  <c r="R3" i="194"/>
  <c r="W2" i="196"/>
  <c r="W2" i="197"/>
  <c r="W2" i="183"/>
  <c r="Y4" i="183"/>
  <c r="Y4" i="196"/>
  <c r="Y4" i="197"/>
  <c r="M4" i="202"/>
  <c r="M4" i="203"/>
  <c r="M4" i="185"/>
  <c r="T4" i="311"/>
  <c r="T4" i="232"/>
  <c r="T4" i="233"/>
  <c r="T4" i="231"/>
  <c r="T4" i="310"/>
  <c r="T4" i="309"/>
  <c r="M2" i="223"/>
  <c r="M2" i="302"/>
  <c r="M2" i="224"/>
  <c r="M2" i="222"/>
  <c r="M2" i="300"/>
  <c r="M2" i="301"/>
  <c r="S4" i="301"/>
  <c r="S4" i="223"/>
  <c r="S4" i="302"/>
  <c r="S4" i="300"/>
  <c r="S4" i="222"/>
  <c r="S4" i="224"/>
  <c r="U2" i="310"/>
  <c r="U2" i="233"/>
  <c r="U2" i="231"/>
  <c r="U2" i="309"/>
  <c r="U2" i="311"/>
  <c r="U2" i="232"/>
  <c r="Q4" i="302"/>
  <c r="Q4" i="222"/>
  <c r="Q4" i="224"/>
  <c r="Q4" i="300"/>
  <c r="Q4" i="301"/>
  <c r="Q4" i="223"/>
  <c r="R2" i="307"/>
  <c r="R2" i="308"/>
  <c r="R2" i="229"/>
  <c r="R2" i="306"/>
  <c r="R2" i="228"/>
  <c r="R2" i="230"/>
  <c r="R3" i="202"/>
  <c r="R3" i="203"/>
  <c r="R3" i="185"/>
  <c r="P2" i="202"/>
  <c r="P2" i="203"/>
  <c r="P2" i="185"/>
  <c r="Q4" i="201"/>
  <c r="Q4" i="200"/>
  <c r="Q4" i="184"/>
  <c r="M4" i="310"/>
  <c r="M4" i="231"/>
  <c r="M4" i="311"/>
  <c r="M4" i="233"/>
  <c r="M4" i="309"/>
  <c r="M4" i="232"/>
  <c r="W3" i="299"/>
  <c r="W3" i="220"/>
  <c r="W3" i="219"/>
  <c r="W3" i="297"/>
  <c r="W3" i="298"/>
  <c r="W3" i="221"/>
  <c r="R3" i="224"/>
  <c r="R3" i="302"/>
  <c r="R3" i="222"/>
  <c r="R3" i="301"/>
  <c r="R3" i="300"/>
  <c r="R3" i="223"/>
  <c r="O4" i="302"/>
  <c r="O4" i="301"/>
  <c r="O4" i="300"/>
  <c r="O4" i="224"/>
  <c r="O4" i="222"/>
  <c r="O4" i="223"/>
  <c r="S4" i="185"/>
  <c r="S4" i="202"/>
  <c r="S4" i="203"/>
  <c r="K2" i="195"/>
  <c r="K2" i="194"/>
  <c r="K2" i="182"/>
  <c r="C2" i="182"/>
  <c r="C2" i="195"/>
  <c r="C2" i="194"/>
  <c r="R4" i="182"/>
  <c r="R4" i="195"/>
  <c r="R4" i="194"/>
  <c r="W4" i="196"/>
  <c r="W4" i="183"/>
  <c r="W4" i="197"/>
  <c r="I2" i="200"/>
  <c r="I2" i="201"/>
  <c r="I2" i="184"/>
  <c r="N4" i="201"/>
  <c r="N4" i="184"/>
  <c r="N4" i="200"/>
  <c r="U3" i="203"/>
  <c r="U3" i="185"/>
  <c r="U3" i="202"/>
  <c r="P3" i="185"/>
  <c r="P3" i="203"/>
  <c r="P3" i="202"/>
  <c r="Y3" i="194"/>
  <c r="Y3" i="182"/>
  <c r="Y3" i="195"/>
  <c r="M4" i="197"/>
  <c r="M4" i="183"/>
  <c r="M4" i="196"/>
  <c r="R3" i="232"/>
  <c r="R3" i="231"/>
  <c r="R3" i="233"/>
  <c r="R3" i="309"/>
  <c r="R3" i="310"/>
  <c r="R3" i="311"/>
  <c r="U4" i="221"/>
  <c r="U4" i="298"/>
  <c r="U4" i="219"/>
  <c r="U4" i="220"/>
  <c r="U4" i="297"/>
  <c r="U4" i="299"/>
  <c r="S3" i="224"/>
  <c r="S3" i="222"/>
  <c r="S3" i="302"/>
  <c r="S3" i="301"/>
  <c r="S3" i="223"/>
  <c r="S3" i="300"/>
  <c r="G3" i="219"/>
  <c r="G3" i="298"/>
  <c r="G3" i="297"/>
  <c r="G3" i="221"/>
  <c r="G3" i="299"/>
  <c r="G3" i="220"/>
  <c r="Y3" i="297"/>
  <c r="Y3" i="220"/>
  <c r="Y3" i="219"/>
  <c r="Y3" i="221"/>
  <c r="Y3" i="299"/>
  <c r="Y3" i="298"/>
  <c r="I2" i="306"/>
  <c r="I2" i="229"/>
  <c r="I2" i="228"/>
  <c r="I2" i="308"/>
  <c r="I2" i="230"/>
  <c r="I2" i="307"/>
  <c r="I4" i="229"/>
  <c r="I4" i="228"/>
  <c r="I4" i="308"/>
  <c r="I4" i="230"/>
  <c r="I4" i="307"/>
  <c r="I4" i="306"/>
  <c r="T2" i="219"/>
  <c r="T2" i="297"/>
  <c r="T2" i="298"/>
  <c r="T2" i="221"/>
  <c r="T2" i="220"/>
  <c r="T2" i="299"/>
  <c r="R2" i="310"/>
  <c r="R2" i="311"/>
  <c r="R2" i="232"/>
  <c r="R2" i="309"/>
  <c r="R2" i="231"/>
  <c r="R2" i="233"/>
  <c r="L2" i="308"/>
  <c r="L2" i="307"/>
  <c r="L2" i="306"/>
  <c r="L2" i="230"/>
  <c r="L2" i="228"/>
  <c r="L2" i="229"/>
  <c r="U2" i="203"/>
  <c r="U2" i="185"/>
  <c r="U2" i="202"/>
  <c r="N4" i="203"/>
  <c r="N4" i="202"/>
  <c r="N4" i="185"/>
  <c r="J3" i="201"/>
  <c r="J3" i="184"/>
  <c r="J3" i="200"/>
  <c r="Y2" i="194"/>
  <c r="Y2" i="182"/>
  <c r="Y2" i="195"/>
  <c r="W3" i="194"/>
  <c r="W3" i="182"/>
  <c r="W3" i="195"/>
  <c r="P2" i="195"/>
  <c r="P2" i="182"/>
  <c r="P2" i="194"/>
  <c r="H2" i="202"/>
  <c r="H2" i="203"/>
  <c r="H2" i="185"/>
  <c r="H2" i="184"/>
  <c r="H2" i="200"/>
  <c r="H2" i="201"/>
  <c r="K4" i="183"/>
  <c r="K4" i="197"/>
  <c r="K4" i="196"/>
  <c r="V4" i="197"/>
  <c r="V4" i="196"/>
  <c r="V4" i="183"/>
  <c r="X4" i="185"/>
  <c r="X4" i="202"/>
  <c r="X4" i="203"/>
  <c r="L2" i="200"/>
  <c r="L2" i="184"/>
  <c r="L2" i="201"/>
  <c r="S4" i="200"/>
  <c r="S4" i="201"/>
  <c r="S4" i="184"/>
  <c r="U2" i="200"/>
  <c r="U2" i="201"/>
  <c r="U2" i="184"/>
  <c r="S2" i="195"/>
  <c r="S2" i="182"/>
  <c r="S2" i="194"/>
  <c r="R3" i="196"/>
  <c r="R3" i="183"/>
  <c r="R3" i="197"/>
  <c r="T4" i="197"/>
  <c r="T4" i="183"/>
  <c r="T4" i="196"/>
  <c r="S2" i="184"/>
  <c r="S2" i="200"/>
  <c r="S2" i="201"/>
  <c r="T2" i="231"/>
  <c r="T2" i="311"/>
  <c r="T2" i="310"/>
  <c r="T2" i="232"/>
  <c r="T2" i="309"/>
  <c r="T2" i="233"/>
  <c r="D2" i="310"/>
  <c r="D2" i="309"/>
  <c r="D2" i="311"/>
  <c r="D2" i="231"/>
  <c r="D2" i="232"/>
  <c r="D2" i="233"/>
  <c r="H3" i="306"/>
  <c r="H3" i="307"/>
  <c r="H3" i="228"/>
  <c r="H3" i="229"/>
  <c r="H3" i="230"/>
  <c r="H3" i="308"/>
  <c r="R3" i="220"/>
  <c r="R3" i="299"/>
  <c r="R3" i="297"/>
  <c r="R3" i="298"/>
  <c r="R3" i="221"/>
  <c r="R3" i="219"/>
  <c r="M4" i="302"/>
  <c r="M4" i="222"/>
  <c r="M4" i="224"/>
  <c r="M4" i="301"/>
  <c r="M4" i="300"/>
  <c r="M4" i="223"/>
  <c r="W2" i="300"/>
  <c r="W2" i="302"/>
  <c r="W2" i="223"/>
  <c r="W2" i="224"/>
  <c r="W2" i="222"/>
  <c r="W2" i="301"/>
  <c r="H4" i="233"/>
  <c r="H4" i="309"/>
  <c r="H4" i="310"/>
  <c r="H4" i="231"/>
  <c r="H4" i="311"/>
  <c r="H4" i="232"/>
  <c r="H4" i="298"/>
  <c r="H4" i="220"/>
  <c r="H4" i="219"/>
  <c r="H4" i="299"/>
  <c r="H4" i="297"/>
  <c r="H4" i="221"/>
  <c r="M3" i="231"/>
  <c r="M3" i="311"/>
  <c r="M3" i="309"/>
  <c r="M3" i="232"/>
  <c r="M3" i="310"/>
  <c r="M3" i="233"/>
  <c r="N3" i="221"/>
  <c r="N3" i="219"/>
  <c r="N3" i="299"/>
  <c r="N3" i="298"/>
  <c r="N3" i="220"/>
  <c r="N3" i="297"/>
  <c r="P4" i="302"/>
  <c r="P4" i="300"/>
  <c r="P4" i="224"/>
  <c r="P4" i="223"/>
  <c r="P4" i="301"/>
  <c r="P4" i="222"/>
  <c r="H2" i="230"/>
  <c r="H2" i="308"/>
  <c r="H2" i="307"/>
  <c r="H2" i="306"/>
  <c r="H2" i="228"/>
  <c r="H2" i="229"/>
  <c r="I2" i="302"/>
  <c r="I2" i="223"/>
  <c r="I2" i="224"/>
  <c r="I2" i="301"/>
  <c r="I2" i="300"/>
  <c r="I2" i="222"/>
  <c r="C2" i="228"/>
  <c r="C2" i="307"/>
  <c r="C2" i="306"/>
  <c r="C2" i="308"/>
  <c r="C2" i="229"/>
  <c r="C2" i="230"/>
  <c r="G4" i="309"/>
  <c r="G4" i="232"/>
  <c r="G4" i="310"/>
  <c r="G4" i="233"/>
  <c r="G4" i="231"/>
  <c r="G4" i="311"/>
  <c r="E3" i="298"/>
  <c r="E3" i="299"/>
  <c r="E3" i="219"/>
  <c r="E3" i="297"/>
  <c r="E3" i="221"/>
  <c r="E3" i="220"/>
  <c r="X3" i="232"/>
  <c r="X3" i="231"/>
  <c r="X3" i="233"/>
  <c r="X3" i="309"/>
  <c r="X3" i="311"/>
  <c r="X3" i="310"/>
  <c r="Y3" i="308"/>
  <c r="Y3" i="306"/>
  <c r="Y3" i="307"/>
  <c r="Y3" i="228"/>
  <c r="Y3" i="229"/>
  <c r="Y3" i="230"/>
  <c r="L4" i="221"/>
  <c r="L4" i="219"/>
  <c r="L4" i="297"/>
  <c r="L4" i="220"/>
  <c r="L4" i="298"/>
  <c r="L4" i="299"/>
  <c r="Q2" i="308"/>
  <c r="Q2" i="307"/>
  <c r="Q2" i="228"/>
  <c r="Q2" i="229"/>
  <c r="Q2" i="230"/>
  <c r="Q2" i="306"/>
  <c r="W4" i="221"/>
  <c r="W4" i="219"/>
  <c r="W4" i="298"/>
  <c r="W4" i="299"/>
  <c r="W4" i="297"/>
  <c r="W4" i="220"/>
  <c r="K4" i="223"/>
  <c r="K4" i="301"/>
  <c r="K4" i="224"/>
  <c r="K4" i="302"/>
  <c r="K4" i="300"/>
  <c r="K4" i="222"/>
  <c r="O4" i="299"/>
  <c r="O4" i="297"/>
  <c r="O4" i="298"/>
  <c r="O4" i="219"/>
  <c r="O4" i="221"/>
  <c r="O4" i="220"/>
  <c r="N4" i="231"/>
  <c r="N4" i="310"/>
  <c r="N4" i="311"/>
  <c r="N4" i="232"/>
  <c r="N4" i="309"/>
  <c r="N4" i="233"/>
  <c r="Q3" i="302"/>
  <c r="Q3" i="301"/>
  <c r="Q3" i="300"/>
  <c r="Q3" i="223"/>
  <c r="Q3" i="224"/>
  <c r="Q3" i="222"/>
  <c r="J4" i="301"/>
  <c r="J4" i="300"/>
  <c r="J4" i="223"/>
  <c r="J4" i="224"/>
  <c r="J4" i="302"/>
  <c r="J4" i="222"/>
  <c r="G4" i="223"/>
  <c r="G4" i="300"/>
  <c r="G4" i="301"/>
  <c r="G4" i="222"/>
  <c r="G4" i="224"/>
  <c r="G4" i="302"/>
  <c r="D3" i="297"/>
  <c r="D3" i="298"/>
  <c r="D3" i="299"/>
  <c r="D3" i="220"/>
  <c r="D3" i="221"/>
  <c r="D3" i="219"/>
  <c r="W2" i="307"/>
  <c r="W2" i="229"/>
  <c r="W2" i="306"/>
  <c r="W2" i="308"/>
  <c r="W2" i="230"/>
  <c r="W2" i="228"/>
  <c r="E4" i="231"/>
  <c r="E4" i="311"/>
  <c r="E4" i="233"/>
  <c r="E4" i="310"/>
  <c r="E4" i="309"/>
  <c r="E4" i="232"/>
  <c r="C3" i="299"/>
  <c r="C3" i="219"/>
  <c r="C3" i="220"/>
  <c r="C3" i="298"/>
  <c r="C3" i="221"/>
  <c r="C3" i="297"/>
  <c r="S3" i="233"/>
  <c r="S3" i="310"/>
  <c r="S3" i="309"/>
  <c r="S3" i="232"/>
  <c r="S3" i="311"/>
  <c r="S3" i="231"/>
  <c r="P3" i="307"/>
  <c r="P3" i="306"/>
  <c r="P3" i="230"/>
  <c r="P3" i="229"/>
  <c r="P3" i="228"/>
  <c r="P3" i="308"/>
  <c r="X3" i="203"/>
  <c r="X3" i="185"/>
  <c r="X3" i="202"/>
  <c r="X3" i="197"/>
  <c r="X3" i="183"/>
  <c r="X3" i="196"/>
  <c r="Y2" i="184"/>
  <c r="Y2" i="201"/>
  <c r="Y2" i="200"/>
  <c r="M3" i="184"/>
  <c r="M3" i="200"/>
  <c r="M3" i="201"/>
  <c r="E3" i="194"/>
  <c r="E3" i="182"/>
  <c r="E3" i="195"/>
  <c r="O3" i="203"/>
  <c r="O3" i="185"/>
  <c r="O3" i="202"/>
  <c r="P3" i="197"/>
  <c r="P3" i="183"/>
  <c r="P3" i="196"/>
  <c r="B4" i="223"/>
  <c r="B4" i="224"/>
  <c r="B4" i="300"/>
  <c r="B4" i="302"/>
  <c r="B4" i="301"/>
  <c r="B4" i="222"/>
  <c r="X4" i="220"/>
  <c r="X4" i="221"/>
  <c r="X4" i="297"/>
  <c r="X4" i="219"/>
  <c r="X4" i="299"/>
  <c r="X4" i="298"/>
  <c r="Y3" i="202"/>
  <c r="Y3" i="185"/>
  <c r="Y3" i="203"/>
  <c r="C4" i="183"/>
  <c r="C4" i="196"/>
  <c r="C4" i="197"/>
  <c r="H4" i="197"/>
  <c r="H4" i="183"/>
  <c r="H4" i="196"/>
  <c r="Q4" i="203"/>
  <c r="Q4" i="202"/>
  <c r="Q4" i="185"/>
  <c r="U2" i="306"/>
  <c r="U2" i="229"/>
  <c r="U2" i="307"/>
  <c r="U2" i="308"/>
  <c r="U2" i="230"/>
  <c r="U2" i="228"/>
  <c r="U2" i="222"/>
  <c r="U2" i="300"/>
  <c r="U2" i="223"/>
  <c r="U2" i="302"/>
  <c r="U2" i="301"/>
  <c r="U2" i="224"/>
  <c r="M3" i="221"/>
  <c r="M3" i="219"/>
  <c r="M3" i="220"/>
  <c r="M3" i="297"/>
  <c r="M3" i="299"/>
  <c r="M3" i="298"/>
  <c r="X4" i="229"/>
  <c r="X4" i="307"/>
  <c r="X4" i="228"/>
  <c r="X4" i="230"/>
  <c r="X4" i="306"/>
  <c r="X4" i="308"/>
  <c r="S4" i="307"/>
  <c r="S4" i="308"/>
  <c r="S4" i="306"/>
  <c r="S4" i="229"/>
  <c r="S4" i="228"/>
  <c r="S4" i="230"/>
  <c r="H4" i="201"/>
  <c r="H4" i="200"/>
  <c r="H4" i="184"/>
  <c r="F4" i="182"/>
  <c r="F4" i="195"/>
  <c r="F4" i="194"/>
  <c r="T3" i="182"/>
  <c r="T3" i="194"/>
  <c r="T3" i="195"/>
  <c r="B3" i="219"/>
  <c r="B3" i="220"/>
  <c r="B3" i="297"/>
  <c r="B3" i="299"/>
  <c r="B3" i="298"/>
  <c r="B3" i="221"/>
  <c r="K3" i="230"/>
  <c r="K3" i="229"/>
  <c r="K3" i="228"/>
  <c r="K3" i="306"/>
  <c r="K3" i="308"/>
  <c r="K3" i="307"/>
  <c r="O2" i="224"/>
  <c r="O2" i="222"/>
  <c r="O2" i="300"/>
  <c r="O2" i="223"/>
  <c r="O2" i="301"/>
  <c r="O2" i="302"/>
  <c r="W3" i="183"/>
  <c r="W3" i="196"/>
  <c r="W3" i="197"/>
  <c r="D4" i="184"/>
  <c r="D4" i="201"/>
  <c r="D4" i="200"/>
  <c r="V3" i="184"/>
  <c r="V3" i="201"/>
  <c r="V3" i="200"/>
  <c r="F4" i="201"/>
  <c r="F4" i="184"/>
  <c r="F4" i="200"/>
  <c r="T2" i="184"/>
  <c r="T2" i="201"/>
  <c r="T2" i="200"/>
  <c r="B4" i="183"/>
  <c r="B4" i="196"/>
  <c r="B4" i="197"/>
  <c r="D2" i="197"/>
  <c r="D2" i="183"/>
  <c r="D2" i="196"/>
  <c r="U4" i="202"/>
  <c r="U4" i="203"/>
  <c r="U4" i="185"/>
  <c r="X2" i="195"/>
  <c r="X2" i="182"/>
  <c r="X2" i="194"/>
  <c r="P3" i="195"/>
  <c r="P3" i="182"/>
  <c r="P3" i="194"/>
  <c r="B3" i="229"/>
  <c r="B3" i="228"/>
  <c r="B3" i="230"/>
  <c r="B3" i="307"/>
  <c r="B3" i="306"/>
  <c r="B3" i="308"/>
  <c r="G3" i="224"/>
  <c r="G3" i="301"/>
  <c r="G3" i="302"/>
  <c r="G3" i="300"/>
  <c r="G3" i="223"/>
  <c r="G3" i="222"/>
  <c r="V4" i="222"/>
  <c r="V4" i="301"/>
  <c r="V4" i="300"/>
  <c r="V4" i="302"/>
  <c r="V4" i="224"/>
  <c r="V4" i="223"/>
  <c r="N3" i="233"/>
  <c r="N3" i="232"/>
  <c r="N3" i="231"/>
  <c r="N3" i="309"/>
  <c r="N3" i="310"/>
  <c r="N3" i="311"/>
  <c r="H3" i="299"/>
  <c r="H3" i="297"/>
  <c r="H3" i="219"/>
  <c r="H3" i="220"/>
  <c r="H3" i="221"/>
  <c r="H3" i="298"/>
  <c r="W4" i="224"/>
  <c r="W4" i="302"/>
  <c r="W4" i="300"/>
  <c r="W4" i="223"/>
  <c r="W4" i="222"/>
  <c r="W4" i="301"/>
  <c r="V2" i="308"/>
  <c r="V2" i="228"/>
  <c r="V2" i="306"/>
  <c r="V2" i="229"/>
  <c r="V2" i="230"/>
  <c r="V2" i="307"/>
  <c r="E4" i="194"/>
  <c r="E4" i="182"/>
  <c r="E4" i="195"/>
  <c r="O4" i="185"/>
  <c r="O4" i="203"/>
  <c r="O4" i="202"/>
  <c r="N4" i="194"/>
  <c r="N4" i="182"/>
  <c r="N4" i="195"/>
  <c r="R4" i="310"/>
  <c r="R4" i="311"/>
  <c r="R4" i="231"/>
  <c r="R4" i="233"/>
  <c r="R4" i="232"/>
  <c r="R4" i="309"/>
  <c r="J2" i="311"/>
  <c r="J2" i="231"/>
  <c r="J2" i="310"/>
  <c r="J2" i="309"/>
  <c r="J2" i="232"/>
  <c r="J2" i="233"/>
  <c r="M3" i="196"/>
  <c r="M3" i="183"/>
  <c r="M3" i="197"/>
  <c r="O4" i="194"/>
  <c r="O4" i="195"/>
  <c r="O4" i="182"/>
  <c r="H3" i="185"/>
  <c r="H3" i="202"/>
  <c r="H3" i="203"/>
  <c r="T2" i="182"/>
  <c r="T2" i="195"/>
  <c r="T2" i="194"/>
  <c r="S2" i="203"/>
  <c r="S2" i="185"/>
  <c r="S2" i="202"/>
  <c r="V3" i="301"/>
  <c r="V3" i="302"/>
  <c r="V3" i="300"/>
  <c r="V3" i="224"/>
  <c r="V3" i="222"/>
  <c r="V3" i="223"/>
  <c r="F3" i="298"/>
  <c r="F3" i="221"/>
  <c r="F3" i="219"/>
  <c r="F3" i="220"/>
  <c r="F3" i="297"/>
  <c r="F3" i="299"/>
  <c r="S4" i="311"/>
  <c r="S4" i="310"/>
  <c r="S4" i="309"/>
  <c r="S4" i="232"/>
  <c r="S4" i="233"/>
  <c r="S4" i="231"/>
  <c r="Q4" i="310"/>
  <c r="Q4" i="311"/>
  <c r="Q4" i="309"/>
  <c r="Q4" i="232"/>
  <c r="Q4" i="233"/>
  <c r="Q4" i="231"/>
  <c r="O3" i="302"/>
  <c r="O3" i="222"/>
  <c r="O3" i="300"/>
  <c r="O3" i="301"/>
  <c r="O3" i="224"/>
  <c r="O3" i="223"/>
  <c r="D4" i="297"/>
  <c r="D4" i="298"/>
  <c r="D4" i="220"/>
  <c r="D4" i="219"/>
  <c r="D4" i="221"/>
  <c r="D4" i="299"/>
  <c r="K2" i="307"/>
  <c r="K2" i="228"/>
  <c r="K2" i="229"/>
  <c r="K2" i="306"/>
  <c r="K2" i="308"/>
  <c r="K2" i="230"/>
  <c r="P3" i="309"/>
  <c r="P3" i="310"/>
  <c r="P3" i="231"/>
  <c r="P3" i="232"/>
  <c r="P3" i="233"/>
  <c r="P3" i="311"/>
  <c r="X2" i="223"/>
  <c r="X2" i="301"/>
  <c r="X2" i="302"/>
  <c r="X2" i="300"/>
  <c r="X2" i="224"/>
  <c r="X2" i="222"/>
  <c r="N2" i="229"/>
  <c r="N2" i="230"/>
  <c r="N2" i="308"/>
  <c r="N2" i="307"/>
  <c r="N2" i="306"/>
  <c r="N2" i="228"/>
  <c r="Y2" i="222"/>
  <c r="Y2" i="300"/>
  <c r="Y2" i="302"/>
  <c r="Y2" i="224"/>
  <c r="Y2" i="223"/>
  <c r="Y2" i="301"/>
  <c r="T3" i="228"/>
  <c r="T3" i="230"/>
  <c r="T3" i="307"/>
  <c r="T3" i="308"/>
  <c r="T3" i="306"/>
  <c r="T3" i="229"/>
  <c r="B3" i="202"/>
  <c r="B3" i="203"/>
  <c r="B3" i="185"/>
  <c r="I3" i="202"/>
  <c r="I3" i="185"/>
  <c r="I3" i="203"/>
  <c r="O3" i="200"/>
  <c r="O3" i="201"/>
  <c r="O3" i="184"/>
  <c r="E2" i="196"/>
  <c r="E2" i="197"/>
  <c r="E2" i="183"/>
  <c r="Y4" i="185"/>
  <c r="Y4" i="203"/>
  <c r="Y4" i="202"/>
  <c r="M4" i="182"/>
  <c r="M4" i="195"/>
  <c r="M4" i="194"/>
  <c r="L3" i="297"/>
  <c r="L3" i="219"/>
  <c r="L3" i="221"/>
  <c r="L3" i="220"/>
  <c r="L3" i="299"/>
  <c r="L3" i="298"/>
  <c r="L4" i="230"/>
  <c r="L4" i="228"/>
  <c r="L4" i="229"/>
  <c r="L4" i="306"/>
  <c r="L4" i="307"/>
  <c r="L4" i="308"/>
  <c r="O2" i="309"/>
  <c r="O2" i="310"/>
  <c r="O2" i="311"/>
  <c r="O2" i="232"/>
  <c r="O2" i="233"/>
  <c r="O2" i="231"/>
  <c r="V4" i="233"/>
  <c r="V4" i="231"/>
  <c r="V4" i="311"/>
  <c r="V4" i="232"/>
  <c r="V4" i="309"/>
  <c r="V4" i="310"/>
  <c r="I3" i="301"/>
  <c r="I3" i="224"/>
  <c r="I3" i="222"/>
  <c r="I3" i="223"/>
  <c r="I3" i="302"/>
  <c r="I3" i="300"/>
  <c r="K2" i="222"/>
  <c r="K2" i="224"/>
  <c r="K2" i="223"/>
  <c r="K2" i="302"/>
  <c r="K2" i="301"/>
  <c r="K2" i="300"/>
  <c r="F2" i="232"/>
  <c r="F2" i="233"/>
  <c r="F2" i="309"/>
  <c r="F2" i="310"/>
  <c r="F2" i="311"/>
  <c r="F2" i="231"/>
  <c r="E2" i="307"/>
  <c r="E2" i="306"/>
  <c r="E2" i="230"/>
  <c r="E2" i="228"/>
  <c r="E2" i="229"/>
  <c r="E2" i="308"/>
  <c r="T4" i="308"/>
  <c r="T4" i="228"/>
  <c r="T4" i="229"/>
  <c r="T4" i="307"/>
  <c r="T4" i="306"/>
  <c r="T4" i="230"/>
  <c r="S3" i="308"/>
  <c r="S3" i="230"/>
  <c r="S3" i="307"/>
  <c r="S3" i="306"/>
  <c r="S3" i="229"/>
  <c r="S3" i="228"/>
  <c r="T3" i="201"/>
  <c r="T3" i="200"/>
  <c r="T3" i="184"/>
  <c r="C3" i="182"/>
  <c r="C3" i="194"/>
  <c r="C3" i="195"/>
  <c r="P4" i="201"/>
  <c r="P4" i="184"/>
  <c r="P4" i="200"/>
  <c r="H3" i="200"/>
  <c r="H3" i="184"/>
  <c r="H3" i="201"/>
  <c r="X2" i="185"/>
  <c r="X2" i="203"/>
  <c r="X2" i="202"/>
  <c r="G2" i="184"/>
  <c r="G2" i="201"/>
  <c r="G2" i="200"/>
  <c r="J3" i="197"/>
  <c r="J3" i="196"/>
  <c r="J3" i="183"/>
  <c r="Q3" i="184"/>
  <c r="Q3" i="201"/>
  <c r="Q3" i="200"/>
  <c r="P4" i="182"/>
  <c r="P4" i="194"/>
  <c r="P4" i="195"/>
  <c r="O3" i="197"/>
  <c r="O3" i="196"/>
  <c r="O3" i="183"/>
  <c r="V3" i="196"/>
  <c r="V3" i="197"/>
  <c r="V3" i="183"/>
  <c r="E3" i="202"/>
  <c r="E3" i="185"/>
  <c r="E3" i="203"/>
  <c r="E2" i="182"/>
  <c r="E2" i="195"/>
  <c r="E2" i="194"/>
  <c r="S2" i="300"/>
  <c r="S2" i="302"/>
  <c r="S2" i="224"/>
  <c r="S2" i="222"/>
  <c r="S2" i="223"/>
  <c r="S2" i="301"/>
  <c r="Y2" i="299"/>
  <c r="Y2" i="220"/>
  <c r="Y2" i="221"/>
  <c r="Y2" i="219"/>
  <c r="Y2" i="297"/>
  <c r="Y2" i="298"/>
  <c r="B2" i="221"/>
  <c r="B2" i="220"/>
  <c r="B2" i="299"/>
  <c r="B2" i="298"/>
  <c r="B2" i="297"/>
  <c r="B2" i="219"/>
  <c r="Y4" i="311"/>
  <c r="Y4" i="309"/>
  <c r="Y4" i="310"/>
  <c r="Y4" i="232"/>
  <c r="Y4" i="233"/>
  <c r="Y4" i="231"/>
  <c r="X2" i="231"/>
  <c r="X2" i="309"/>
  <c r="X2" i="310"/>
  <c r="X2" i="311"/>
  <c r="X2" i="232"/>
  <c r="X2" i="233"/>
  <c r="D4" i="230"/>
  <c r="D4" i="228"/>
  <c r="D4" i="307"/>
  <c r="D4" i="306"/>
  <c r="D4" i="308"/>
  <c r="D4" i="229"/>
  <c r="B4" i="200"/>
  <c r="B4" i="201"/>
  <c r="B4" i="184"/>
  <c r="F2" i="182"/>
  <c r="F2" i="194"/>
  <c r="F2" i="195"/>
  <c r="O2" i="184"/>
  <c r="O2" i="200"/>
  <c r="O2" i="201"/>
  <c r="Q2" i="184"/>
  <c r="Q2" i="201"/>
  <c r="Q2" i="200"/>
  <c r="V2" i="183"/>
  <c r="V2" i="196"/>
  <c r="V2" i="197"/>
  <c r="G3" i="202"/>
  <c r="G3" i="185"/>
  <c r="G3" i="203"/>
  <c r="C3" i="184"/>
  <c r="C3" i="201"/>
  <c r="C3" i="200"/>
  <c r="J4" i="182"/>
  <c r="J4" i="194"/>
  <c r="J4" i="195"/>
  <c r="J4" i="200"/>
  <c r="J4" i="184"/>
  <c r="J4" i="201"/>
  <c r="U4" i="195"/>
  <c r="U4" i="194"/>
  <c r="U4" i="182"/>
  <c r="P2" i="196"/>
  <c r="P2" i="197"/>
  <c r="P2" i="183"/>
  <c r="C3" i="196"/>
  <c r="C3" i="197"/>
  <c r="C3" i="183"/>
  <c r="I4" i="202"/>
  <c r="I4" i="203"/>
  <c r="I4" i="185"/>
  <c r="E3" i="184"/>
  <c r="E3" i="200"/>
  <c r="E3" i="201"/>
  <c r="M3" i="203"/>
  <c r="M3" i="185"/>
  <c r="M3" i="202"/>
  <c r="V4" i="203"/>
  <c r="V4" i="185"/>
  <c r="V4" i="202"/>
  <c r="J4" i="203"/>
  <c r="J4" i="202"/>
  <c r="J4" i="185"/>
  <c r="J3" i="203"/>
  <c r="J3" i="185"/>
  <c r="J3" i="202"/>
  <c r="C2" i="300"/>
  <c r="C2" i="224"/>
  <c r="C2" i="223"/>
  <c r="C2" i="222"/>
  <c r="C2" i="302"/>
  <c r="C2" i="301"/>
  <c r="C4" i="222"/>
  <c r="C4" i="224"/>
  <c r="C4" i="223"/>
  <c r="C4" i="301"/>
  <c r="C4" i="302"/>
  <c r="C4" i="300"/>
  <c r="M3" i="306"/>
  <c r="M3" i="307"/>
  <c r="M3" i="230"/>
  <c r="M3" i="228"/>
  <c r="M3" i="229"/>
  <c r="M3" i="308"/>
  <c r="J2" i="300"/>
  <c r="J2" i="302"/>
  <c r="J2" i="301"/>
  <c r="J2" i="224"/>
  <c r="J2" i="223"/>
  <c r="J2" i="222"/>
  <c r="U3" i="311"/>
  <c r="U3" i="310"/>
  <c r="U3" i="231"/>
  <c r="U3" i="233"/>
  <c r="U3" i="232"/>
  <c r="U3" i="309"/>
  <c r="Q3" i="311"/>
  <c r="Q3" i="310"/>
  <c r="Q3" i="233"/>
  <c r="Q3" i="231"/>
  <c r="Q3" i="232"/>
  <c r="Q3" i="309"/>
  <c r="D3" i="233"/>
  <c r="D3" i="231"/>
  <c r="D3" i="232"/>
  <c r="D3" i="311"/>
  <c r="D3" i="309"/>
  <c r="D3" i="310"/>
  <c r="L3" i="308"/>
  <c r="L3" i="307"/>
  <c r="L3" i="228"/>
  <c r="L3" i="229"/>
  <c r="L3" i="230"/>
  <c r="L3" i="306"/>
  <c r="V4" i="297"/>
  <c r="V4" i="298"/>
  <c r="V4" i="220"/>
  <c r="V4" i="219"/>
  <c r="V4" i="299"/>
  <c r="V4" i="221"/>
  <c r="O2" i="308"/>
  <c r="O2" i="230"/>
  <c r="O2" i="228"/>
  <c r="O2" i="229"/>
  <c r="O2" i="306"/>
  <c r="O2" i="307"/>
  <c r="S2" i="297"/>
  <c r="S2" i="299"/>
  <c r="S2" i="221"/>
  <c r="S2" i="219"/>
  <c r="S2" i="220"/>
  <c r="S2" i="298"/>
  <c r="B3" i="302"/>
  <c r="B3" i="301"/>
  <c r="B3" i="300"/>
  <c r="B3" i="222"/>
  <c r="B3" i="224"/>
  <c r="B3" i="223"/>
  <c r="T3" i="309"/>
  <c r="T3" i="233"/>
  <c r="T3" i="232"/>
  <c r="T3" i="311"/>
  <c r="T3" i="310"/>
  <c r="T3" i="231"/>
  <c r="C4" i="298"/>
  <c r="C4" i="299"/>
  <c r="C4" i="297"/>
  <c r="C4" i="220"/>
  <c r="C4" i="219"/>
  <c r="C4" i="221"/>
  <c r="J2" i="229"/>
  <c r="J2" i="307"/>
  <c r="J2" i="306"/>
  <c r="J2" i="230"/>
  <c r="J2" i="308"/>
  <c r="J2" i="228"/>
  <c r="F2" i="301"/>
  <c r="F2" i="223"/>
  <c r="F2" i="302"/>
  <c r="F2" i="224"/>
  <c r="F2" i="222"/>
  <c r="F2" i="300"/>
  <c r="B4" i="308"/>
  <c r="B4" i="306"/>
  <c r="B4" i="307"/>
  <c r="B4" i="230"/>
  <c r="B4" i="228"/>
  <c r="B4" i="229"/>
  <c r="C4" i="233"/>
  <c r="C4" i="310"/>
  <c r="C4" i="309"/>
  <c r="C4" i="232"/>
  <c r="C4" i="311"/>
  <c r="C4" i="231"/>
  <c r="L4" i="194"/>
  <c r="L4" i="195"/>
  <c r="L4" i="182"/>
  <c r="U2" i="196"/>
  <c r="U2" i="183"/>
  <c r="U2" i="197"/>
  <c r="I2" i="183"/>
  <c r="I2" i="197"/>
  <c r="I2" i="196"/>
  <c r="T4" i="201"/>
  <c r="T4" i="184"/>
  <c r="T4" i="200"/>
  <c r="E3" i="308"/>
  <c r="E3" i="307"/>
  <c r="E3" i="230"/>
  <c r="E3" i="229"/>
  <c r="E3" i="306"/>
  <c r="E3" i="228"/>
  <c r="O2" i="298"/>
  <c r="O2" i="221"/>
  <c r="O2" i="219"/>
  <c r="O2" i="299"/>
  <c r="O2" i="220"/>
  <c r="O2" i="297"/>
  <c r="B4" i="231"/>
  <c r="B4" i="311"/>
  <c r="B4" i="309"/>
  <c r="B4" i="233"/>
  <c r="B4" i="232"/>
  <c r="B4" i="310"/>
  <c r="B3" i="232"/>
  <c r="B3" i="309"/>
  <c r="B3" i="231"/>
  <c r="B3" i="310"/>
  <c r="B3" i="311"/>
  <c r="B3" i="233"/>
  <c r="V3" i="233"/>
  <c r="V3" i="311"/>
  <c r="V3" i="231"/>
  <c r="V3" i="310"/>
  <c r="V3" i="232"/>
  <c r="V3" i="309"/>
  <c r="W3" i="223"/>
  <c r="W3" i="302"/>
  <c r="W3" i="300"/>
  <c r="W3" i="224"/>
  <c r="W3" i="222"/>
  <c r="W3" i="301"/>
  <c r="M3" i="224"/>
  <c r="M3" i="302"/>
  <c r="M3" i="301"/>
  <c r="M3" i="300"/>
  <c r="M3" i="223"/>
  <c r="M3" i="222"/>
  <c r="T4" i="224"/>
  <c r="T4" i="300"/>
  <c r="T4" i="301"/>
  <c r="T4" i="302"/>
  <c r="T4" i="222"/>
  <c r="T4" i="223"/>
  <c r="O3" i="230"/>
  <c r="O3" i="228"/>
  <c r="O3" i="306"/>
  <c r="O3" i="229"/>
  <c r="O3" i="307"/>
  <c r="O3" i="308"/>
  <c r="I3" i="195"/>
  <c r="I3" i="182"/>
  <c r="I3" i="194"/>
  <c r="F3" i="302"/>
  <c r="F3" i="300"/>
  <c r="F3" i="301"/>
  <c r="F3" i="222"/>
  <c r="F3" i="223"/>
  <c r="F3" i="224"/>
  <c r="R2" i="196"/>
  <c r="R2" i="183"/>
  <c r="R2" i="197"/>
  <c r="U2" i="195"/>
  <c r="U2" i="194"/>
  <c r="U2" i="182"/>
  <c r="B2" i="310"/>
  <c r="B2" i="309"/>
  <c r="B2" i="231"/>
  <c r="B2" i="233"/>
  <c r="B2" i="311"/>
  <c r="B2" i="232"/>
  <c r="H4" i="302"/>
  <c r="H4" i="222"/>
  <c r="H4" i="223"/>
  <c r="H4" i="300"/>
  <c r="H4" i="301"/>
  <c r="H4" i="224"/>
  <c r="I3" i="311"/>
  <c r="I3" i="231"/>
  <c r="I3" i="232"/>
  <c r="I3" i="233"/>
  <c r="I3" i="310"/>
  <c r="I3" i="309"/>
  <c r="P2" i="306"/>
  <c r="P2" i="230"/>
  <c r="P2" i="229"/>
  <c r="P2" i="307"/>
  <c r="P2" i="228"/>
  <c r="P2" i="308"/>
  <c r="K4" i="231"/>
  <c r="K4" i="310"/>
  <c r="K4" i="233"/>
  <c r="K4" i="311"/>
  <c r="K4" i="309"/>
  <c r="K4" i="232"/>
  <c r="J2" i="194"/>
  <c r="J2" i="182"/>
  <c r="J2" i="195"/>
  <c r="J4" i="307"/>
  <c r="J4" i="308"/>
  <c r="J4" i="306"/>
  <c r="J4" i="230"/>
  <c r="J4" i="228"/>
  <c r="J4" i="229"/>
  <c r="P2" i="231"/>
  <c r="P2" i="232"/>
  <c r="P2" i="311"/>
  <c r="P2" i="233"/>
  <c r="P2" i="310"/>
  <c r="P2" i="309"/>
  <c r="L2" i="231"/>
  <c r="L2" i="232"/>
  <c r="L2" i="309"/>
  <c r="L2" i="310"/>
  <c r="L2" i="233"/>
  <c r="L2" i="311"/>
  <c r="G2" i="311"/>
  <c r="G2" i="233"/>
  <c r="G2" i="231"/>
  <c r="G2" i="310"/>
  <c r="G2" i="232"/>
  <c r="G2" i="309"/>
  <c r="G2" i="299"/>
  <c r="G2" i="220"/>
  <c r="G2" i="219"/>
  <c r="G2" i="297"/>
  <c r="G2" i="298"/>
  <c r="G2" i="221"/>
  <c r="S2" i="228"/>
  <c r="S2" i="306"/>
  <c r="S2" i="308"/>
  <c r="S2" i="307"/>
  <c r="S2" i="230"/>
  <c r="S2" i="229"/>
  <c r="M4" i="221"/>
  <c r="M4" i="219"/>
  <c r="M4" i="298"/>
  <c r="M4" i="299"/>
  <c r="M4" i="297"/>
  <c r="M4" i="220"/>
  <c r="X2" i="221"/>
  <c r="X2" i="299"/>
  <c r="X2" i="297"/>
  <c r="X2" i="298"/>
  <c r="X2" i="219"/>
  <c r="X2" i="220"/>
  <c r="E2" i="232"/>
  <c r="E2" i="310"/>
  <c r="E2" i="233"/>
  <c r="E2" i="309"/>
  <c r="E2" i="231"/>
  <c r="E2" i="311"/>
  <c r="R4" i="298"/>
  <c r="R4" i="219"/>
  <c r="R4" i="297"/>
  <c r="R4" i="299"/>
  <c r="R4" i="220"/>
  <c r="R4" i="221"/>
  <c r="U2" i="299"/>
  <c r="U2" i="298"/>
  <c r="U2" i="221"/>
  <c r="U2" i="219"/>
  <c r="U2" i="220"/>
  <c r="U2" i="297"/>
  <c r="H3" i="196"/>
  <c r="H3" i="183"/>
  <c r="H3" i="197"/>
  <c r="S4" i="182"/>
  <c r="S4" i="195"/>
  <c r="S4" i="194"/>
  <c r="D3" i="200"/>
  <c r="D3" i="184"/>
  <c r="D3" i="201"/>
  <c r="P3" i="201"/>
  <c r="P3" i="184"/>
  <c r="P3" i="200"/>
  <c r="Y3" i="184"/>
  <c r="Y3" i="201"/>
  <c r="Y3" i="200"/>
  <c r="G3" i="201"/>
  <c r="G3" i="184"/>
  <c r="G3" i="200"/>
  <c r="K3" i="183"/>
  <c r="K3" i="196"/>
  <c r="K3" i="197"/>
  <c r="K3" i="202"/>
  <c r="K3" i="185"/>
  <c r="K3" i="203"/>
  <c r="W4" i="195"/>
  <c r="W4" i="194"/>
  <c r="W4" i="182"/>
  <c r="Y2" i="196"/>
  <c r="Y2" i="183"/>
  <c r="Y2" i="197"/>
  <c r="L4" i="185"/>
  <c r="L4" i="202"/>
  <c r="L4" i="203"/>
  <c r="L3" i="184"/>
  <c r="L3" i="201"/>
  <c r="L3" i="200"/>
  <c r="O2" i="202"/>
  <c r="O2" i="203"/>
  <c r="O2" i="185"/>
  <c r="T3" i="197"/>
  <c r="T3" i="183"/>
  <c r="T3" i="196"/>
  <c r="R2" i="200"/>
  <c r="R2" i="201"/>
  <c r="R2" i="184"/>
  <c r="I4" i="222"/>
  <c r="I4" i="300"/>
  <c r="I4" i="224"/>
  <c r="I4" i="301"/>
  <c r="I4" i="302"/>
  <c r="I4" i="223"/>
  <c r="P3" i="302"/>
  <c r="P3" i="224"/>
  <c r="P3" i="300"/>
  <c r="P3" i="222"/>
  <c r="P3" i="223"/>
  <c r="P3" i="301"/>
  <c r="T3" i="224"/>
  <c r="T3" i="302"/>
  <c r="T3" i="223"/>
  <c r="T3" i="222"/>
  <c r="T3" i="301"/>
  <c r="T3" i="300"/>
  <c r="G4" i="307"/>
  <c r="G4" i="308"/>
  <c r="G4" i="229"/>
  <c r="G4" i="228"/>
  <c r="G4" i="306"/>
  <c r="G4" i="230"/>
  <c r="M4" i="229"/>
  <c r="M4" i="308"/>
  <c r="M4" i="230"/>
  <c r="M4" i="228"/>
  <c r="M4" i="307"/>
  <c r="M4" i="306"/>
  <c r="M2" i="311"/>
  <c r="M2" i="309"/>
  <c r="M2" i="231"/>
  <c r="M2" i="310"/>
  <c r="M2" i="232"/>
  <c r="M2" i="233"/>
  <c r="S2" i="233"/>
  <c r="S2" i="311"/>
  <c r="S2" i="232"/>
  <c r="S2" i="309"/>
  <c r="S2" i="310"/>
  <c r="S2" i="231"/>
  <c r="Y4" i="307"/>
  <c r="Y4" i="306"/>
  <c r="Y4" i="228"/>
  <c r="Y4" i="229"/>
  <c r="Y4" i="308"/>
  <c r="Y4" i="230"/>
  <c r="E2" i="299"/>
  <c r="E2" i="219"/>
  <c r="E2" i="298"/>
  <c r="E2" i="297"/>
  <c r="E2" i="221"/>
  <c r="E2" i="220"/>
  <c r="J3" i="309"/>
  <c r="J3" i="310"/>
  <c r="J3" i="311"/>
  <c r="J3" i="231"/>
  <c r="J3" i="233"/>
  <c r="J3" i="232"/>
  <c r="K4" i="299"/>
  <c r="K4" i="219"/>
  <c r="K4" i="221"/>
  <c r="K4" i="220"/>
  <c r="K4" i="297"/>
  <c r="K4" i="298"/>
  <c r="V2" i="219"/>
  <c r="V2" i="299"/>
  <c r="V2" i="221"/>
  <c r="V2" i="297"/>
  <c r="V2" i="298"/>
  <c r="V2" i="220"/>
  <c r="F4" i="228"/>
  <c r="F4" i="230"/>
  <c r="F4" i="229"/>
  <c r="F4" i="306"/>
  <c r="F4" i="307"/>
  <c r="F4" i="308"/>
  <c r="Q2" i="298"/>
  <c r="Q2" i="297"/>
  <c r="Q2" i="220"/>
  <c r="Q2" i="221"/>
  <c r="Q2" i="299"/>
  <c r="Q2" i="219"/>
  <c r="G2" i="229"/>
  <c r="G2" i="307"/>
  <c r="G2" i="230"/>
  <c r="G2" i="228"/>
  <c r="G2" i="306"/>
  <c r="G2" i="308"/>
  <c r="V3" i="299"/>
  <c r="V3" i="221"/>
  <c r="V3" i="297"/>
  <c r="V3" i="298"/>
  <c r="V3" i="219"/>
  <c r="V3" i="220"/>
  <c r="H3" i="300"/>
  <c r="H3" i="224"/>
  <c r="H3" i="223"/>
  <c r="H3" i="302"/>
  <c r="H3" i="301"/>
  <c r="H3" i="222"/>
  <c r="W4" i="229"/>
  <c r="W4" i="307"/>
  <c r="W4" i="228"/>
  <c r="W4" i="308"/>
  <c r="W4" i="306"/>
  <c r="W4" i="230"/>
  <c r="N3" i="184"/>
  <c r="N3" i="201"/>
  <c r="N3" i="200"/>
  <c r="C4" i="182"/>
  <c r="C4" i="195"/>
  <c r="C4" i="194"/>
  <c r="D2" i="194"/>
  <c r="D2" i="195"/>
  <c r="D2" i="182"/>
  <c r="O4" i="184"/>
  <c r="O4" i="200"/>
  <c r="O4" i="201"/>
  <c r="S3" i="196"/>
  <c r="S3" i="183"/>
  <c r="S3" i="197"/>
  <c r="C2" i="197"/>
  <c r="C2" i="196"/>
  <c r="C2" i="183"/>
  <c r="J2" i="197"/>
  <c r="J2" i="183"/>
  <c r="J2" i="196"/>
  <c r="D2" i="228"/>
  <c r="D2" i="229"/>
  <c r="D2" i="307"/>
  <c r="D2" i="308"/>
  <c r="D2" i="230"/>
  <c r="D2" i="306"/>
  <c r="F4" i="233"/>
  <c r="F4" i="311"/>
  <c r="F4" i="310"/>
  <c r="F4" i="231"/>
  <c r="F4" i="232"/>
  <c r="F4" i="309"/>
  <c r="C3" i="306"/>
  <c r="C3" i="307"/>
  <c r="C3" i="229"/>
  <c r="C3" i="228"/>
  <c r="C3" i="230"/>
  <c r="C3" i="308"/>
  <c r="C3" i="185"/>
  <c r="C3" i="203"/>
  <c r="C3" i="202"/>
  <c r="L3" i="196"/>
  <c r="L3" i="197"/>
  <c r="L3" i="183"/>
  <c r="F3" i="194"/>
  <c r="F3" i="182"/>
  <c r="F3" i="195"/>
  <c r="K3" i="184"/>
  <c r="K3" i="200"/>
  <c r="K3" i="201"/>
  <c r="P4" i="228"/>
  <c r="P4" i="306"/>
  <c r="P4" i="229"/>
  <c r="P4" i="307"/>
  <c r="P4" i="308"/>
  <c r="P4" i="230"/>
  <c r="D2" i="202"/>
  <c r="D2" i="203"/>
  <c r="D2" i="185"/>
  <c r="D3" i="194"/>
  <c r="D3" i="195"/>
  <c r="D3" i="182"/>
  <c r="N2" i="203"/>
  <c r="N2" i="202"/>
  <c r="N2" i="185"/>
  <c r="D3" i="183"/>
  <c r="D3" i="196"/>
  <c r="D3" i="197"/>
  <c r="I4" i="182"/>
  <c r="I4" i="194"/>
  <c r="I4" i="195"/>
  <c r="B3" i="184"/>
  <c r="B3" i="200"/>
  <c r="B3" i="201"/>
  <c r="K2" i="201"/>
  <c r="K2" i="184"/>
  <c r="K2" i="200"/>
  <c r="Q3" i="183"/>
  <c r="Q3" i="197"/>
  <c r="Q3" i="196"/>
  <c r="L2" i="202"/>
  <c r="L2" i="185"/>
  <c r="L2" i="203"/>
  <c r="G3" i="196"/>
  <c r="G3" i="197"/>
  <c r="G3" i="183"/>
  <c r="Y2" i="203"/>
  <c r="Y2" i="185"/>
  <c r="Y2" i="202"/>
  <c r="V3" i="203"/>
  <c r="V3" i="185"/>
  <c r="V3" i="202"/>
  <c r="F3" i="183"/>
  <c r="F3" i="196"/>
  <c r="F3" i="197"/>
  <c r="Q2" i="194"/>
  <c r="Q2" i="195"/>
  <c r="Q2" i="182"/>
  <c r="U3" i="195"/>
  <c r="U3" i="194"/>
  <c r="U3" i="182"/>
  <c r="R4" i="200"/>
  <c r="R4" i="184"/>
  <c r="R4" i="201"/>
  <c r="F2" i="200"/>
  <c r="F2" i="201"/>
  <c r="F2" i="184"/>
  <c r="E4" i="200"/>
  <c r="E4" i="184"/>
  <c r="E4" i="201"/>
  <c r="I3" i="201"/>
  <c r="I3" i="184"/>
  <c r="I3" i="200"/>
  <c r="C4" i="185"/>
  <c r="C4" i="202"/>
  <c r="C4" i="203"/>
  <c r="M4" i="200"/>
  <c r="M4" i="201"/>
  <c r="M4" i="184"/>
  <c r="E4" i="219"/>
  <c r="E4" i="220"/>
  <c r="E4" i="297"/>
  <c r="E4" i="298"/>
  <c r="E4" i="221"/>
  <c r="E4" i="299"/>
  <c r="B4" i="219"/>
  <c r="B4" i="221"/>
  <c r="B4" i="220"/>
  <c r="B4" i="297"/>
  <c r="B4" i="298"/>
  <c r="B4" i="299"/>
  <c r="I3" i="221"/>
  <c r="I3" i="298"/>
  <c r="I3" i="220"/>
  <c r="I3" i="299"/>
  <c r="I3" i="297"/>
  <c r="I3" i="219"/>
  <c r="D3" i="308"/>
  <c r="D3" i="228"/>
  <c r="D3" i="307"/>
  <c r="D3" i="230"/>
  <c r="D3" i="229"/>
  <c r="D3" i="306"/>
  <c r="M2" i="308"/>
  <c r="M2" i="229"/>
  <c r="M2" i="228"/>
  <c r="M2" i="230"/>
  <c r="M2" i="307"/>
  <c r="M2" i="306"/>
  <c r="J4" i="309"/>
  <c r="J4" i="232"/>
  <c r="J4" i="233"/>
  <c r="J4" i="311"/>
  <c r="J4" i="231"/>
  <c r="J4" i="310"/>
  <c r="R3" i="228"/>
  <c r="R3" i="307"/>
  <c r="R3" i="306"/>
  <c r="R3" i="230"/>
  <c r="R3" i="308"/>
  <c r="R3" i="229"/>
  <c r="X3" i="302"/>
  <c r="X3" i="301"/>
  <c r="X3" i="300"/>
  <c r="X3" i="223"/>
  <c r="X3" i="224"/>
  <c r="X3" i="222"/>
  <c r="Q3" i="307"/>
  <c r="Q3" i="308"/>
  <c r="Q3" i="230"/>
  <c r="Q3" i="228"/>
  <c r="Q3" i="229"/>
  <c r="Q3" i="306"/>
  <c r="D3" i="302"/>
  <c r="D3" i="300"/>
  <c r="D3" i="223"/>
  <c r="D3" i="222"/>
  <c r="D3" i="301"/>
  <c r="D3" i="224"/>
  <c r="U4" i="311"/>
  <c r="U4" i="232"/>
  <c r="U4" i="310"/>
  <c r="U4" i="231"/>
  <c r="U4" i="233"/>
  <c r="U4" i="309"/>
  <c r="Y3" i="311"/>
  <c r="Y3" i="310"/>
  <c r="Y3" i="309"/>
  <c r="Y3" i="232"/>
  <c r="Y3" i="231"/>
  <c r="Y3" i="233"/>
  <c r="W4" i="232"/>
  <c r="W4" i="309"/>
  <c r="W4" i="311"/>
  <c r="W4" i="231"/>
  <c r="W4" i="233"/>
  <c r="W4" i="310"/>
  <c r="U3" i="298"/>
  <c r="U3" i="220"/>
  <c r="U3" i="219"/>
  <c r="U3" i="299"/>
  <c r="U3" i="221"/>
  <c r="U3" i="297"/>
  <c r="T2" i="300"/>
  <c r="T2" i="223"/>
  <c r="T2" i="302"/>
  <c r="T2" i="222"/>
  <c r="T2" i="301"/>
  <c r="T2" i="224"/>
  <c r="T3" i="299"/>
  <c r="T3" i="297"/>
  <c r="T3" i="219"/>
  <c r="T3" i="220"/>
  <c r="T3" i="221"/>
  <c r="T3" i="298"/>
  <c r="Y4" i="223"/>
  <c r="Y4" i="300"/>
  <c r="Y4" i="302"/>
  <c r="Y4" i="301"/>
  <c r="Y4" i="224"/>
  <c r="Y4" i="222"/>
  <c r="Y2" i="230"/>
  <c r="Y2" i="229"/>
  <c r="Y2" i="307"/>
  <c r="Y2" i="306"/>
  <c r="Y2" i="308"/>
  <c r="Y2" i="228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<sst xmlns="http://schemas.openxmlformats.org/spreadsheetml/2006/main" count="178" uniqueCount="19">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</sst>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%20Investment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29.786338278264157</v>
          </cell>
          <cell r="C2">
            <v>27.783156212675038</v>
          </cell>
          <cell r="D2">
            <v>26.325394326234992</v>
          </cell>
          <cell r="E2">
            <v>26.139127510773925</v>
          </cell>
          <cell r="F2">
            <v>26.454424735626194</v>
          </cell>
          <cell r="G2">
            <v>29.079124688488484</v>
          </cell>
          <cell r="H2">
            <v>34.698482393227422</v>
          </cell>
          <cell r="I2">
            <v>41.76639400206232</v>
          </cell>
          <cell r="J2">
            <v>45.472253868889233</v>
          </cell>
          <cell r="K2">
            <v>46.039285131542499</v>
          </cell>
          <cell r="L2">
            <v>44.796839092021656</v>
          </cell>
          <cell r="M2">
            <v>45.027727988237366</v>
          </cell>
          <cell r="N2">
            <v>44.990725462982169</v>
          </cell>
          <cell r="O2">
            <v>44.256051013730755</v>
          </cell>
          <cell r="P2">
            <v>41.733918440926018</v>
          </cell>
          <cell r="Q2">
            <v>40.538226259103567</v>
          </cell>
          <cell r="R2">
            <v>42.218500027612457</v>
          </cell>
          <cell r="S2">
            <v>46.800000000000004</v>
          </cell>
          <cell r="T2">
            <v>46.630350740175039</v>
          </cell>
          <cell r="U2">
            <v>45.664934806214433</v>
          </cell>
          <cell r="V2">
            <v>44.879616100095198</v>
          </cell>
          <cell r="W2">
            <v>42.064271607694835</v>
          </cell>
          <cell r="X2">
            <v>36.79841128710526</v>
          </cell>
          <cell r="Y2">
            <v>33.385499873006495</v>
          </cell>
        </row>
        <row r="3">
          <cell r="B3">
            <v>29.451459264862283</v>
          </cell>
          <cell r="C3">
            <v>27.36781238281565</v>
          </cell>
          <cell r="D3">
            <v>24.766573963601012</v>
          </cell>
          <cell r="E3">
            <v>26.637871938177849</v>
          </cell>
          <cell r="F3">
            <v>26.544969648674471</v>
          </cell>
          <cell r="G3">
            <v>27.673052172946029</v>
          </cell>
          <cell r="H3">
            <v>41.183603565905464</v>
          </cell>
          <cell r="I3">
            <v>45.868497415760345</v>
          </cell>
          <cell r="J3">
            <v>50.287953723636981</v>
          </cell>
          <cell r="K3">
            <v>50.314495201323382</v>
          </cell>
          <cell r="L3">
            <v>47.527452199365747</v>
          </cell>
          <cell r="M3">
            <v>52</v>
          </cell>
          <cell r="N3">
            <v>49.040424588871531</v>
          </cell>
          <cell r="O3">
            <v>45.908313906586798</v>
          </cell>
          <cell r="P3">
            <v>44.514790982087781</v>
          </cell>
          <cell r="Q3">
            <v>41.595026356496227</v>
          </cell>
          <cell r="R3">
            <v>41.621570681223005</v>
          </cell>
          <cell r="S3">
            <v>44.063557405960111</v>
          </cell>
          <cell r="T3">
            <v>44.063557405960111</v>
          </cell>
          <cell r="U3">
            <v>44.727131333491428</v>
          </cell>
          <cell r="V3">
            <v>43.519410133486268</v>
          </cell>
          <cell r="W3">
            <v>39.325566350585497</v>
          </cell>
          <cell r="X3">
            <v>33.260427432675691</v>
          </cell>
          <cell r="Y3">
            <v>32.18541931518336</v>
          </cell>
        </row>
        <row r="4">
          <cell r="B4">
            <v>42.808400499680047</v>
          </cell>
          <cell r="C4">
            <v>37.665601899968429</v>
          </cell>
          <cell r="D4">
            <v>35.460423562581511</v>
          </cell>
          <cell r="E4">
            <v>35.039314306038591</v>
          </cell>
          <cell r="F4">
            <v>36.675773374910243</v>
          </cell>
          <cell r="G4">
            <v>39.598970065058246</v>
          </cell>
          <cell r="H4">
            <v>47.783085395500066</v>
          </cell>
          <cell r="I4">
            <v>53.418412230822518</v>
          </cell>
          <cell r="J4">
            <v>56.538531158026203</v>
          </cell>
          <cell r="K4">
            <v>58.461925310373594</v>
          </cell>
          <cell r="L4">
            <v>58.996825851613103</v>
          </cell>
          <cell r="M4">
            <v>58.3814680095333</v>
          </cell>
          <cell r="N4">
            <v>58.050199424333861</v>
          </cell>
          <cell r="O4">
            <v>56.853088176131301</v>
          </cell>
          <cell r="P4">
            <v>55.043354050594807</v>
          </cell>
          <cell r="Q4">
            <v>54.046703107895205</v>
          </cell>
          <cell r="R4">
            <v>55.97613546879812</v>
          </cell>
          <cell r="S4">
            <v>63.372914521543628</v>
          </cell>
          <cell r="T4">
            <v>64.616237595743144</v>
          </cell>
          <cell r="U4">
            <v>65</v>
          </cell>
          <cell r="V4">
            <v>63.067099016572605</v>
          </cell>
          <cell r="W4">
            <v>60.18419742340155</v>
          </cell>
          <cell r="X4">
            <v>54.879180957521818</v>
          </cell>
          <cell r="Y4">
            <v>48.508085097544537</v>
          </cell>
        </row>
      </sheetData>
      <sheetData sheetId="8">
        <row r="2">
          <cell r="B2">
            <v>27.208674388798986</v>
          </cell>
          <cell r="C2">
            <v>25.37884461734739</v>
          </cell>
          <cell r="D2">
            <v>24.047235201849269</v>
          </cell>
          <cell r="E2">
            <v>23.877087630033873</v>
          </cell>
          <cell r="F2">
            <v>24.16509951812008</v>
          </cell>
          <cell r="G2">
            <v>26.562661975061594</v>
          </cell>
          <cell r="H2">
            <v>31.695729109198123</v>
          </cell>
          <cell r="I2">
            <v>38.151994521114624</v>
          </cell>
          <cell r="J2">
            <v>41.537154976389203</v>
          </cell>
          <cell r="K2">
            <v>42.055116225928238</v>
          </cell>
          <cell r="L2">
            <v>40.92018955521209</v>
          </cell>
          <cell r="M2">
            <v>41.131097681562984</v>
          </cell>
          <cell r="N2">
            <v>41.097297297916398</v>
          </cell>
          <cell r="O2">
            <v>40.426200445234819</v>
          </cell>
          <cell r="P2">
            <v>38.12232934507665</v>
          </cell>
          <cell r="Q2">
            <v>37.030110525142682</v>
          </cell>
          <cell r="R2">
            <v>38.564975986761375</v>
          </cell>
          <cell r="S2">
            <v>42.75</v>
          </cell>
          <cell r="T2">
            <v>42.595031926121429</v>
          </cell>
          <cell r="U2">
            <v>41.713161601830485</v>
          </cell>
          <cell r="V2">
            <v>40.995803168356183</v>
          </cell>
          <cell r="W2">
            <v>38.424094257028933</v>
          </cell>
          <cell r="X2">
            <v>33.613933387259607</v>
          </cell>
          <cell r="Y2">
            <v>30.496370076304007</v>
          </cell>
        </row>
        <row r="3">
          <cell r="B3">
            <v>26.902775290018425</v>
          </cell>
          <cell r="C3">
            <v>24.999444003533522</v>
          </cell>
          <cell r="D3">
            <v>22.623312755212464</v>
          </cell>
          <cell r="E3">
            <v>24.332671481989376</v>
          </cell>
          <cell r="F3">
            <v>24.247808813693027</v>
          </cell>
          <cell r="G3">
            <v>25.278268811825701</v>
          </cell>
          <cell r="H3">
            <v>37.6196378727021</v>
          </cell>
          <cell r="I3">
            <v>41.899108216319547</v>
          </cell>
          <cell r="J3">
            <v>45.936111574476087</v>
          </cell>
          <cell r="K3">
            <v>45.960356193516553</v>
          </cell>
          <cell r="L3">
            <v>43.41449960518986</v>
          </cell>
          <cell r="M3">
            <v>47.5</v>
          </cell>
          <cell r="N3">
            <v>44.796541691757646</v>
          </cell>
          <cell r="O3">
            <v>41.935479049286009</v>
          </cell>
          <cell r="P3">
            <v>40.662549454791723</v>
          </cell>
          <cell r="Q3">
            <v>37.995456767953286</v>
          </cell>
          <cell r="R3">
            <v>38.019703987655632</v>
          </cell>
          <cell r="S3">
            <v>40.250364938136634</v>
          </cell>
          <cell r="T3">
            <v>40.250364938136634</v>
          </cell>
          <cell r="U3">
            <v>40.856514198862357</v>
          </cell>
          <cell r="V3">
            <v>39.753307333473032</v>
          </cell>
          <cell r="W3">
            <v>35.922392339477135</v>
          </cell>
          <cell r="X3">
            <v>30.382121212540298</v>
          </cell>
          <cell r="Y3">
            <v>29.400142643677107</v>
          </cell>
        </row>
        <row r="4">
          <cell r="B4">
            <v>39.10382737951543</v>
          </cell>
          <cell r="C4">
            <v>34.406078658624999</v>
          </cell>
          <cell r="D4">
            <v>32.391733061973497</v>
          </cell>
          <cell r="E4">
            <v>32.0070659526314</v>
          </cell>
          <cell r="F4">
            <v>33.50190837131224</v>
          </cell>
          <cell r="G4">
            <v>36.172136117120516</v>
          </cell>
          <cell r="H4">
            <v>43.648010697812559</v>
          </cell>
          <cell r="I4">
            <v>48.795665018539793</v>
          </cell>
          <cell r="J4">
            <v>51.645773653966238</v>
          </cell>
          <cell r="K4">
            <v>53.402720235437414</v>
          </cell>
          <cell r="L4">
            <v>53.891331306761963</v>
          </cell>
          <cell r="M4">
            <v>53.329225585631377</v>
          </cell>
          <cell r="N4">
            <v>53.026624474151113</v>
          </cell>
          <cell r="O4">
            <v>51.933109391658391</v>
          </cell>
          <cell r="P4">
            <v>50.279986873139492</v>
          </cell>
          <cell r="Q4">
            <v>49.369584569711961</v>
          </cell>
          <cell r="R4">
            <v>51.132046822459813</v>
          </cell>
          <cell r="S4">
            <v>57.888719995640812</v>
          </cell>
          <cell r="T4">
            <v>59.024447803803824</v>
          </cell>
          <cell r="U4">
            <v>59.375</v>
          </cell>
          <cell r="V4">
            <v>57.609369293984585</v>
          </cell>
          <cell r="W4">
            <v>54.975949569453341</v>
          </cell>
          <cell r="X4">
            <v>50.130021066967039</v>
          </cell>
          <cell r="Y4">
            <v>44.31027004102625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-12.968576933603448</v>
          </cell>
          <cell r="C2">
            <v>-14.095062236822269</v>
          </cell>
          <cell r="D2">
            <v>-15.18232846371799</v>
          </cell>
          <cell r="E2">
            <v>-15.071805004514596</v>
          </cell>
          <cell r="F2">
            <v>-15.600000000000001</v>
          </cell>
          <cell r="G2">
            <v>-13.886936541257574</v>
          </cell>
          <cell r="H2">
            <v>-10.341401352104736</v>
          </cell>
          <cell r="I2">
            <v>-4.2567265649958612</v>
          </cell>
          <cell r="J2">
            <v>-1.2535814922996888</v>
          </cell>
          <cell r="K2">
            <v>-0.19610196427217425</v>
          </cell>
          <cell r="L2">
            <v>-1.7604916401565005</v>
          </cell>
          <cell r="M2">
            <v>-1.294279266739977</v>
          </cell>
          <cell r="N2">
            <v>-1.7914586607209477</v>
          </cell>
          <cell r="O2">
            <v>-1.8071673538841331</v>
          </cell>
          <cell r="P2">
            <v>-4.5685701117733197</v>
          </cell>
          <cell r="Q2">
            <v>-6.5794602415928143</v>
          </cell>
          <cell r="R2">
            <v>-5.8512282350334557</v>
          </cell>
          <cell r="S2">
            <v>-1.9973329569826968</v>
          </cell>
          <cell r="T2">
            <v>-2.9054032466649118</v>
          </cell>
          <cell r="U2">
            <v>-3.6522307354590073</v>
          </cell>
          <cell r="V2">
            <v>-5.7370072648947552</v>
          </cell>
          <cell r="W2">
            <v>-7.4470080048959746</v>
          </cell>
          <cell r="X2">
            <v>-9.9911741101534428</v>
          </cell>
          <cell r="Y2">
            <v>-11.245916381595578</v>
          </cell>
        </row>
        <row r="3">
          <cell r="B3">
            <v>14.692647725045742</v>
          </cell>
          <cell r="C3">
            <v>18.2</v>
          </cell>
          <cell r="D3">
            <v>18.2</v>
          </cell>
          <cell r="E3">
            <v>18.2</v>
          </cell>
          <cell r="F3">
            <v>18.2</v>
          </cell>
          <cell r="G3">
            <v>14.746608950652714</v>
          </cell>
          <cell r="H3">
            <v>6.6886965325571746</v>
          </cell>
          <cell r="I3">
            <v>0.86110035140942953</v>
          </cell>
          <cell r="J3">
            <v>-5.0384364237816772</v>
          </cell>
          <cell r="K3">
            <v>-5.0384364237816772</v>
          </cell>
          <cell r="L3">
            <v>-0.43391502465195786</v>
          </cell>
          <cell r="M3">
            <v>-5.254281326209564</v>
          </cell>
          <cell r="N3">
            <v>-5.254281326209564</v>
          </cell>
          <cell r="O3">
            <v>-4.0671768260224868</v>
          </cell>
          <cell r="P3">
            <v>-0.50586332546125368</v>
          </cell>
          <cell r="Q3">
            <v>3.0554385997603455</v>
          </cell>
          <cell r="R3">
            <v>4.2425392415008787</v>
          </cell>
          <cell r="S3">
            <v>4.2425392415008787</v>
          </cell>
          <cell r="T3">
            <v>4.2425392415008787</v>
          </cell>
          <cell r="U3">
            <v>4.2425392415008787</v>
          </cell>
          <cell r="V3">
            <v>4.2425392415008787</v>
          </cell>
          <cell r="W3">
            <v>8.8470606001219725</v>
          </cell>
          <cell r="X3">
            <v>13.523530300060987</v>
          </cell>
          <cell r="Y3">
            <v>13.523530300060987</v>
          </cell>
        </row>
        <row r="4">
          <cell r="B4">
            <v>9.9696743555456155</v>
          </cell>
          <cell r="C4">
            <v>7.6903329299439855</v>
          </cell>
          <cell r="D4">
            <v>6.5833185466980577</v>
          </cell>
          <cell r="E4">
            <v>6.4422147059747834</v>
          </cell>
          <cell r="F4">
            <v>7.321968508632569</v>
          </cell>
          <cell r="G4">
            <v>9.0912328239277702</v>
          </cell>
          <cell r="H4">
            <v>14.105122239321766</v>
          </cell>
          <cell r="I4">
            <v>17.219655340350027</v>
          </cell>
          <cell r="J4">
            <v>19.894872713219776</v>
          </cell>
          <cell r="K4">
            <v>21.907915764303798</v>
          </cell>
          <cell r="L4">
            <v>22.092801774221119</v>
          </cell>
          <cell r="M4">
            <v>21.696659954444463</v>
          </cell>
          <cell r="N4">
            <v>21.78906490435762</v>
          </cell>
          <cell r="O4">
            <v>21.566720026256831</v>
          </cell>
          <cell r="P4">
            <v>19.455670887301522</v>
          </cell>
          <cell r="Q4">
            <v>18.484634373965463</v>
          </cell>
          <cell r="R4">
            <v>19.076198913869405</v>
          </cell>
          <cell r="S4">
            <v>26</v>
          </cell>
          <cell r="T4">
            <v>25.962255886125341</v>
          </cell>
          <cell r="U4">
            <v>25.170009947843546</v>
          </cell>
          <cell r="V4">
            <v>23.297499288638722</v>
          </cell>
          <cell r="W4">
            <v>20.719242218533473</v>
          </cell>
          <cell r="X4">
            <v>16.899095456235166</v>
          </cell>
          <cell r="Y4">
            <v>12.964861754456456</v>
          </cell>
        </row>
      </sheetData>
      <sheetData sheetId="11">
        <row r="2">
          <cell r="B2">
            <v>-11.846296237426225</v>
          </cell>
          <cell r="C2">
            <v>-12.875297235558802</v>
          </cell>
          <cell r="D2">
            <v>-13.86847311589624</v>
          </cell>
          <cell r="E2">
            <v>-13.767514186816218</v>
          </cell>
          <cell r="F2">
            <v>-14.25</v>
          </cell>
          <cell r="G2">
            <v>-12.685182417494898</v>
          </cell>
          <cell r="H2">
            <v>-9.4464723889418263</v>
          </cell>
          <cell r="I2">
            <v>-3.8883559968712182</v>
          </cell>
          <cell r="J2">
            <v>-1.1450984785429852</v>
          </cell>
          <cell r="K2">
            <v>-0.1791316019793899</v>
          </cell>
          <cell r="L2">
            <v>-1.6081414020660341</v>
          </cell>
          <cell r="M2">
            <v>-1.1822743301951713</v>
          </cell>
          <cell r="N2">
            <v>-1.636428584312404</v>
          </cell>
          <cell r="O2">
            <v>-1.6507778713364674</v>
          </cell>
          <cell r="P2">
            <v>-4.173213082869859</v>
          </cell>
          <cell r="Q2">
            <v>-6.0100838745318965</v>
          </cell>
          <cell r="R2">
            <v>-5.3448719454632529</v>
          </cell>
          <cell r="S2">
            <v>-1.8244868357053481</v>
          </cell>
          <cell r="T2">
            <v>-2.6539741195496789</v>
          </cell>
          <cell r="U2">
            <v>-3.3361723064289004</v>
          </cell>
          <cell r="V2">
            <v>-5.2405354823557859</v>
          </cell>
          <cell r="W2">
            <v>-6.8025553890876687</v>
          </cell>
          <cell r="X2">
            <v>-9.1265532736978567</v>
          </cell>
          <cell r="Y2">
            <v>-10.272712079342114</v>
          </cell>
        </row>
        <row r="3">
          <cell r="B3">
            <v>13.421168594993706</v>
          </cell>
          <cell r="C3">
            <v>16.625</v>
          </cell>
          <cell r="D3">
            <v>16.625</v>
          </cell>
          <cell r="E3">
            <v>16.625</v>
          </cell>
          <cell r="F3">
            <v>16.625</v>
          </cell>
          <cell r="G3">
            <v>13.47046009915392</v>
          </cell>
          <cell r="H3">
            <v>6.1098670249320337</v>
          </cell>
          <cell r="I3">
            <v>0.78658205176822893</v>
          </cell>
          <cell r="J3">
            <v>-4.6024178871082624</v>
          </cell>
          <cell r="K3">
            <v>-4.6024178871082624</v>
          </cell>
          <cell r="L3">
            <v>-0.39636468598015384</v>
          </cell>
          <cell r="M3">
            <v>-4.7995839037491201</v>
          </cell>
          <cell r="N3">
            <v>-4.7995839037491201</v>
          </cell>
          <cell r="O3">
            <v>-3.7152096006936168</v>
          </cell>
          <cell r="P3">
            <v>-0.46208669152710669</v>
          </cell>
          <cell r="Q3">
            <v>2.7910256440118535</v>
          </cell>
          <cell r="R3">
            <v>3.8753964225248407</v>
          </cell>
          <cell r="S3">
            <v>3.8753964225248407</v>
          </cell>
          <cell r="T3">
            <v>3.8753964225248407</v>
          </cell>
          <cell r="U3">
            <v>3.8753964225248407</v>
          </cell>
          <cell r="V3">
            <v>3.8753964225248407</v>
          </cell>
          <cell r="W3">
            <v>8.0814495866498781</v>
          </cell>
          <cell r="X3">
            <v>12.353224793324939</v>
          </cell>
          <cell r="Y3">
            <v>12.353224793324939</v>
          </cell>
        </row>
        <row r="4">
          <cell r="B4">
            <v>9.1069140747772455</v>
          </cell>
          <cell r="C4">
            <v>7.0248233494680621</v>
          </cell>
          <cell r="D4">
            <v>6.0136082878491868</v>
          </cell>
          <cell r="E4">
            <v>5.8847153564192727</v>
          </cell>
          <cell r="F4">
            <v>6.6883366184624427</v>
          </cell>
          <cell r="G4">
            <v>8.3044915218570967</v>
          </cell>
          <cell r="H4">
            <v>12.88448666091892</v>
          </cell>
          <cell r="I4">
            <v>15.729492858973579</v>
          </cell>
          <cell r="J4">
            <v>18.173201036114218</v>
          </cell>
          <cell r="K4">
            <v>20.012038438546735</v>
          </cell>
          <cell r="L4">
            <v>20.180924697605828</v>
          </cell>
          <cell r="M4">
            <v>19.81906438146369</v>
          </cell>
          <cell r="N4">
            <v>19.903472749172824</v>
          </cell>
          <cell r="O4">
            <v>19.700369254753834</v>
          </cell>
          <cell r="P4">
            <v>17.772007060515811</v>
          </cell>
          <cell r="Q4">
            <v>16.885002553141526</v>
          </cell>
          <cell r="R4">
            <v>17.425374007861475</v>
          </cell>
          <cell r="S4">
            <v>23.75</v>
          </cell>
          <cell r="T4">
            <v>23.715522203672183</v>
          </cell>
          <cell r="U4">
            <v>22.991836010049393</v>
          </cell>
          <cell r="V4">
            <v>21.281369542506525</v>
          </cell>
          <cell r="W4">
            <v>18.926230872698845</v>
          </cell>
          <cell r="X4">
            <v>15.436673734060967</v>
          </cell>
          <cell r="Y4">
            <v>11.842902564166954</v>
          </cell>
        </row>
      </sheetData>
      <sheetData sheetId="12">
        <row r="2">
          <cell r="B2">
            <v>29.424691211993615</v>
          </cell>
          <cell r="C2">
            <v>27.648557721359516</v>
          </cell>
          <cell r="D2">
            <v>26.823441692819198</v>
          </cell>
          <cell r="E2">
            <v>26.180720472396271</v>
          </cell>
          <cell r="F2">
            <v>26.147649839768366</v>
          </cell>
          <cell r="G2">
            <v>27.12265898688911</v>
          </cell>
          <cell r="H2">
            <v>31.306548636907515</v>
          </cell>
          <cell r="I2">
            <v>35.59291550693122</v>
          </cell>
          <cell r="J2">
            <v>40.224647350273635</v>
          </cell>
          <cell r="K2">
            <v>40.9802403239879</v>
          </cell>
          <cell r="L2">
            <v>39.766738829370709</v>
          </cell>
          <cell r="M2">
            <v>40.250421647326839</v>
          </cell>
          <cell r="N2">
            <v>42.033712660263056</v>
          </cell>
          <cell r="O2">
            <v>40.210555552512844</v>
          </cell>
          <cell r="P2">
            <v>40.298802344188182</v>
          </cell>
          <cell r="Q2">
            <v>39.252156479589793</v>
          </cell>
          <cell r="R2">
            <v>38.455366696851172</v>
          </cell>
          <cell r="S2">
            <v>39.340968352429485</v>
          </cell>
          <cell r="T2">
            <v>42.004603944431352</v>
          </cell>
          <cell r="U2">
            <v>40.07085789677992</v>
          </cell>
          <cell r="V2">
            <v>41.467069906160354</v>
          </cell>
          <cell r="W2">
            <v>40.01219153241756</v>
          </cell>
          <cell r="X2">
            <v>35.036912062648383</v>
          </cell>
          <cell r="Y2">
            <v>32.692075556781433</v>
          </cell>
        </row>
        <row r="3">
          <cell r="B3">
            <v>29.069328401944382</v>
          </cell>
          <cell r="C3">
            <v>28.312398656831977</v>
          </cell>
          <cell r="D3">
            <v>25.611366938771475</v>
          </cell>
          <cell r="E3">
            <v>25.546651267896998</v>
          </cell>
          <cell r="F3">
            <v>25.834821948020714</v>
          </cell>
          <cell r="G3">
            <v>27.312024183196197</v>
          </cell>
          <cell r="H3">
            <v>35.022324562261566</v>
          </cell>
          <cell r="I3">
            <v>43.067481109758695</v>
          </cell>
          <cell r="J3">
            <v>46.384398923811368</v>
          </cell>
          <cell r="K3">
            <v>45.336224773496248</v>
          </cell>
          <cell r="L3">
            <v>43.844797584955089</v>
          </cell>
          <cell r="M3">
            <v>47.9</v>
          </cell>
          <cell r="N3">
            <v>46.452765623754544</v>
          </cell>
          <cell r="O3">
            <v>45.874191619714402</v>
          </cell>
          <cell r="P3">
            <v>42.993802191986838</v>
          </cell>
          <cell r="Q3">
            <v>41.09521595146299</v>
          </cell>
          <cell r="R3">
            <v>39.74368810191519</v>
          </cell>
          <cell r="S3">
            <v>40.902474282120806</v>
          </cell>
          <cell r="T3">
            <v>39.301209821169486</v>
          </cell>
          <cell r="U3">
            <v>41.220921460233029</v>
          </cell>
          <cell r="V3">
            <v>39.523603317084984</v>
          </cell>
          <cell r="W3">
            <v>38.493384359488381</v>
          </cell>
          <cell r="X3">
            <v>35.739679904694796</v>
          </cell>
          <cell r="Y3">
            <v>32.037168170416429</v>
          </cell>
        </row>
        <row r="4">
          <cell r="B4">
            <v>42.516602647078393</v>
          </cell>
          <cell r="C4">
            <v>36.78816903274793</v>
          </cell>
          <cell r="D4">
            <v>35.686505807367773</v>
          </cell>
          <cell r="E4">
            <v>34.55302753814054</v>
          </cell>
          <cell r="F4">
            <v>34.829038736303232</v>
          </cell>
          <cell r="G4">
            <v>34.178777800970785</v>
          </cell>
          <cell r="H4">
            <v>39.760462598292428</v>
          </cell>
          <cell r="I4">
            <v>45.449362877244845</v>
          </cell>
          <cell r="J4">
            <v>51.451272685763982</v>
          </cell>
          <cell r="K4">
            <v>55.137794589488848</v>
          </cell>
          <cell r="L4">
            <v>54.383534168478114</v>
          </cell>
          <cell r="M4">
            <v>53.150489186766059</v>
          </cell>
          <cell r="N4">
            <v>54.494148103411547</v>
          </cell>
          <cell r="O4">
            <v>55.308268923618606</v>
          </cell>
          <cell r="P4">
            <v>57.285405165029601</v>
          </cell>
          <cell r="Q4">
            <v>51.393997961255558</v>
          </cell>
          <cell r="R4">
            <v>52.300847843277836</v>
          </cell>
          <cell r="S4">
            <v>54.729512685477509</v>
          </cell>
          <cell r="T4">
            <v>59.134371733467482</v>
          </cell>
          <cell r="U4">
            <v>56.501112097521336</v>
          </cell>
          <cell r="V4">
            <v>55.828113564134377</v>
          </cell>
          <cell r="W4">
            <v>56.051683492717238</v>
          </cell>
          <cell r="X4">
            <v>55.276129940569938</v>
          </cell>
          <cell r="Y4">
            <v>50.20288273879585</v>
          </cell>
        </row>
      </sheetData>
      <sheetData sheetId="13">
        <row r="2">
          <cell r="B2">
            <v>30.60167886047336</v>
          </cell>
          <cell r="C2">
            <v>28.754500030213897</v>
          </cell>
          <cell r="D2">
            <v>27.896379360531967</v>
          </cell>
          <cell r="E2">
            <v>27.22794929129212</v>
          </cell>
          <cell r="F2">
            <v>27.193555833359103</v>
          </cell>
          <cell r="G2">
            <v>28.207565346364674</v>
          </cell>
          <cell r="H2">
            <v>32.558810582383821</v>
          </cell>
          <cell r="I2">
            <v>37.016632127208467</v>
          </cell>
          <cell r="J2">
            <v>41.833633244284577</v>
          </cell>
          <cell r="K2">
            <v>42.619449936947419</v>
          </cell>
          <cell r="L2">
            <v>41.357408382545536</v>
          </cell>
          <cell r="M2">
            <v>41.860438513219911</v>
          </cell>
          <cell r="N2">
            <v>43.715061166673578</v>
          </cell>
          <cell r="O2">
            <v>41.818977774613359</v>
          </cell>
          <cell r="P2">
            <v>41.910754437955717</v>
          </cell>
          <cell r="Q2">
            <v>40.82224273877339</v>
          </cell>
          <cell r="R2">
            <v>39.993581364725223</v>
          </cell>
          <cell r="S2">
            <v>40.914607086526665</v>
          </cell>
          <cell r="T2">
            <v>43.684788102208607</v>
          </cell>
          <cell r="U2">
            <v>41.673692212651119</v>
          </cell>
          <cell r="V2">
            <v>43.125752702406771</v>
          </cell>
          <cell r="W2">
            <v>41.612679193714264</v>
          </cell>
          <cell r="X2">
            <v>36.438388545154318</v>
          </cell>
          <cell r="Y2">
            <v>33.999758579052695</v>
          </cell>
        </row>
        <row r="3">
          <cell r="B3">
            <v>30.23210153802216</v>
          </cell>
          <cell r="C3">
            <v>29.444894603105258</v>
          </cell>
          <cell r="D3">
            <v>26.635821616322335</v>
          </cell>
          <cell r="E3">
            <v>26.568517318612876</v>
          </cell>
          <cell r="F3">
            <v>26.868214825941543</v>
          </cell>
          <cell r="G3">
            <v>28.404505150524045</v>
          </cell>
          <cell r="H3">
            <v>36.423217544752028</v>
          </cell>
          <cell r="I3">
            <v>44.790180354149051</v>
          </cell>
          <cell r="J3">
            <v>48.239774880763825</v>
          </cell>
          <cell r="K3">
            <v>47.149673764436102</v>
          </cell>
          <cell r="L3">
            <v>45.598589488353291</v>
          </cell>
          <cell r="M3">
            <v>49.816000000000003</v>
          </cell>
          <cell r="N3">
            <v>48.310876248704723</v>
          </cell>
          <cell r="O3">
            <v>47.709159284502981</v>
          </cell>
          <cell r="P3">
            <v>44.713554279666319</v>
          </cell>
          <cell r="Q3">
            <v>42.739024589521513</v>
          </cell>
          <cell r="R3">
            <v>41.333435625991797</v>
          </cell>
          <cell r="S3">
            <v>42.538573253405637</v>
          </cell>
          <cell r="T3">
            <v>40.873258214016268</v>
          </cell>
          <cell r="U3">
            <v>42.869758318642354</v>
          </cell>
          <cell r="V3">
            <v>41.104547449768383</v>
          </cell>
          <cell r="W3">
            <v>40.03311973386792</v>
          </cell>
          <cell r="X3">
            <v>37.169267100882593</v>
          </cell>
          <cell r="Y3">
            <v>33.318654897233088</v>
          </cell>
        </row>
        <row r="4">
          <cell r="B4">
            <v>44.217266752961528</v>
          </cell>
          <cell r="C4">
            <v>38.259695794057848</v>
          </cell>
          <cell r="D4">
            <v>37.113966039662479</v>
          </cell>
          <cell r="E4">
            <v>35.93514863966616</v>
          </cell>
          <cell r="F4">
            <v>36.222200285755363</v>
          </cell>
          <cell r="G4">
            <v>35.545928913009618</v>
          </cell>
          <cell r="H4">
            <v>41.350881102224122</v>
          </cell>
          <cell r="I4">
            <v>47.267337392334646</v>
          </cell>
          <cell r="J4">
            <v>53.509323593194537</v>
          </cell>
          <cell r="K4">
            <v>57.343306373068408</v>
          </cell>
          <cell r="L4">
            <v>56.558875535217247</v>
          </cell>
          <cell r="M4">
            <v>55.276508754236701</v>
          </cell>
          <cell r="N4">
            <v>56.673914027548008</v>
          </cell>
          <cell r="O4">
            <v>57.520599680563357</v>
          </cell>
          <cell r="P4">
            <v>59.576821371630786</v>
          </cell>
          <cell r="Q4">
            <v>53.449757879705778</v>
          </cell>
          <cell r="R4">
            <v>54.392881757008951</v>
          </cell>
          <cell r="S4">
            <v>56.918693192896612</v>
          </cell>
          <cell r="T4">
            <v>61.499746602806184</v>
          </cell>
          <cell r="U4">
            <v>58.761156581422192</v>
          </cell>
          <cell r="V4">
            <v>58.061238106699754</v>
          </cell>
          <cell r="W4">
            <v>58.293750832425935</v>
          </cell>
          <cell r="X4">
            <v>57.48717513819274</v>
          </cell>
          <cell r="Y4">
            <v>52.210998048347683</v>
          </cell>
        </row>
      </sheetData>
      <sheetData sheetId="14">
        <row r="2">
          <cell r="B2">
            <v>27.953456651393932</v>
          </cell>
          <cell r="C2">
            <v>26.26612983529154</v>
          </cell>
          <cell r="D2">
            <v>25.482269608178239</v>
          </cell>
          <cell r="E2">
            <v>24.871684448776456</v>
          </cell>
          <cell r="F2">
            <v>24.840267347779946</v>
          </cell>
          <cell r="G2">
            <v>25.766526037544651</v>
          </cell>
          <cell r="H2">
            <v>29.741221205062139</v>
          </cell>
          <cell r="I2">
            <v>33.813269731584661</v>
          </cell>
          <cell r="J2">
            <v>38.21341498275995</v>
          </cell>
          <cell r="K2">
            <v>38.931228307788508</v>
          </cell>
          <cell r="L2">
            <v>37.77840188790217</v>
          </cell>
          <cell r="M2">
            <v>38.237900564960491</v>
          </cell>
          <cell r="N2">
            <v>39.932027027249902</v>
          </cell>
          <cell r="O2">
            <v>38.200027774887197</v>
          </cell>
          <cell r="P2">
            <v>38.283862226978776</v>
          </cell>
          <cell r="Q2">
            <v>37.289548655610304</v>
          </cell>
          <cell r="R2">
            <v>36.532598362008613</v>
          </cell>
          <cell r="S2">
            <v>37.373919934808008</v>
          </cell>
          <cell r="T2">
            <v>39.904373747209782</v>
          </cell>
          <cell r="U2">
            <v>38.067315001940926</v>
          </cell>
          <cell r="V2">
            <v>39.393716410852335</v>
          </cell>
          <cell r="W2">
            <v>38.011581955796686</v>
          </cell>
          <cell r="X2">
            <v>33.28506645951596</v>
          </cell>
          <cell r="Y2">
            <v>31.057471778942361</v>
          </cell>
        </row>
        <row r="3">
          <cell r="B3">
            <v>27.615861981847161</v>
          </cell>
          <cell r="C3">
            <v>26.896778723990376</v>
          </cell>
          <cell r="D3">
            <v>24.330798591832899</v>
          </cell>
          <cell r="E3">
            <v>24.269318704502147</v>
          </cell>
          <cell r="F3">
            <v>24.543080850619678</v>
          </cell>
          <cell r="G3">
            <v>25.946422974036388</v>
          </cell>
          <cell r="H3">
            <v>33.271208334148483</v>
          </cell>
          <cell r="I3">
            <v>40.914107054270758</v>
          </cell>
          <cell r="J3">
            <v>44.065178977620803</v>
          </cell>
          <cell r="K3">
            <v>43.069413534821436</v>
          </cell>
          <cell r="L3">
            <v>41.652557705707331</v>
          </cell>
          <cell r="M3">
            <v>45.504999999999995</v>
          </cell>
          <cell r="N3">
            <v>44.130127342566816</v>
          </cell>
          <cell r="O3">
            <v>43.580482038728682</v>
          </cell>
          <cell r="P3">
            <v>40.844112082387497</v>
          </cell>
          <cell r="Q3">
            <v>39.040455153889845</v>
          </cell>
          <cell r="R3">
            <v>37.756503696819429</v>
          </cell>
          <cell r="S3">
            <v>38.857350568014766</v>
          </cell>
          <cell r="T3">
            <v>37.336149330111013</v>
          </cell>
          <cell r="U3">
            <v>39.159875387221376</v>
          </cell>
          <cell r="V3">
            <v>37.547423151230731</v>
          </cell>
          <cell r="W3">
            <v>36.568715141513955</v>
          </cell>
          <cell r="X3">
            <v>33.952695909460054</v>
          </cell>
          <cell r="Y3">
            <v>30.435309761895606</v>
          </cell>
        </row>
        <row r="4">
          <cell r="B4">
            <v>40.390772514724468</v>
          </cell>
          <cell r="C4">
            <v>34.948760581110534</v>
          </cell>
          <cell r="D4">
            <v>33.90218051699938</v>
          </cell>
          <cell r="E4">
            <v>32.825376161233507</v>
          </cell>
          <cell r="F4">
            <v>33.087586799488065</v>
          </cell>
          <cell r="G4">
            <v>32.469838910922242</v>
          </cell>
          <cell r="H4">
            <v>37.772439468377797</v>
          </cell>
          <cell r="I4">
            <v>43.176894733382603</v>
          </cell>
          <cell r="J4">
            <v>48.878709051475781</v>
          </cell>
          <cell r="K4">
            <v>52.380904860014404</v>
          </cell>
          <cell r="L4">
            <v>51.664357460054212</v>
          </cell>
          <cell r="M4">
            <v>50.492964727427754</v>
          </cell>
          <cell r="N4">
            <v>51.76944069824097</v>
          </cell>
          <cell r="O4">
            <v>52.542855477437669</v>
          </cell>
          <cell r="P4">
            <v>54.421134906778114</v>
          </cell>
          <cell r="Q4">
            <v>48.824298063192778</v>
          </cell>
          <cell r="R4">
            <v>49.685805451113936</v>
          </cell>
          <cell r="S4">
            <v>51.993037051203629</v>
          </cell>
          <cell r="T4">
            <v>56.177653146794107</v>
          </cell>
          <cell r="U4">
            <v>53.676056492645266</v>
          </cell>
          <cell r="V4">
            <v>53.036707885927655</v>
          </cell>
          <cell r="W4">
            <v>53.249099318081377</v>
          </cell>
          <cell r="X4">
            <v>52.512323443541433</v>
          </cell>
          <cell r="Y4">
            <v>47.692738601856057</v>
          </cell>
        </row>
      </sheetData>
      <sheetData sheetId="15">
        <row r="2">
          <cell r="B2">
            <v>-10.412987061661454</v>
          </cell>
          <cell r="C2">
            <v>-12.956899477375897</v>
          </cell>
          <cell r="D2">
            <v>-13.349930908045824</v>
          </cell>
          <cell r="E2">
            <v>-13.864210009917642</v>
          </cell>
          <cell r="F2">
            <v>-14.737233347975074</v>
          </cell>
          <cell r="G2">
            <v>-13.747718144555767</v>
          </cell>
          <cell r="H2">
            <v>-10.795686034326726</v>
          </cell>
          <cell r="I2">
            <v>-2.7900634633520851</v>
          </cell>
          <cell r="J2">
            <v>3.252202323495101</v>
          </cell>
          <cell r="K2">
            <v>5.6015074556621469</v>
          </cell>
          <cell r="L2">
            <v>3.5538769532983405</v>
          </cell>
          <cell r="M2">
            <v>4.9651189415650618</v>
          </cell>
          <cell r="N2">
            <v>4.211574625248022</v>
          </cell>
          <cell r="O2">
            <v>4.4421182318098138</v>
          </cell>
          <cell r="P2">
            <v>0.9425097439635669</v>
          </cell>
          <cell r="Q2">
            <v>-1.8356220807941357</v>
          </cell>
          <cell r="R2">
            <v>-0.63257157351309201</v>
          </cell>
          <cell r="S2">
            <v>0.98444429821736446</v>
          </cell>
          <cell r="T2">
            <v>1.1438581185526098E-2</v>
          </cell>
          <cell r="U2">
            <v>-1.4620561292114167</v>
          </cell>
          <cell r="V2">
            <v>-2.7854964676396818</v>
          </cell>
          <cell r="W2">
            <v>-3.2127037185838825</v>
          </cell>
          <cell r="X2">
            <v>-6.084016967064958</v>
          </cell>
          <cell r="Y2">
            <v>-7.4670784077108845</v>
          </cell>
        </row>
        <row r="3">
          <cell r="B3">
            <v>-2.2447679193820487</v>
          </cell>
          <cell r="C3">
            <v>-0.54605902364586578</v>
          </cell>
          <cell r="D3">
            <v>-2.2760973115740271</v>
          </cell>
          <cell r="E3">
            <v>-3.3249999999999993</v>
          </cell>
          <cell r="F3">
            <v>-2.6600000000000006</v>
          </cell>
          <cell r="G3">
            <v>-4.5952514138049905</v>
          </cell>
          <cell r="H3">
            <v>-1.3916969470821314</v>
          </cell>
          <cell r="I3">
            <v>1.1130403014486832</v>
          </cell>
          <cell r="J3">
            <v>0.87405084101717212</v>
          </cell>
          <cell r="K3">
            <v>0.84863747119548982</v>
          </cell>
          <cell r="L3">
            <v>2.3580225451945811</v>
          </cell>
          <cell r="M3">
            <v>1.7238234492720028</v>
          </cell>
          <cell r="N3">
            <v>2.9219188501495021</v>
          </cell>
          <cell r="O3">
            <v>2.9053063052998276</v>
          </cell>
          <cell r="P3">
            <v>2.5074848906709293</v>
          </cell>
          <cell r="Q3">
            <v>3.2742378493636339</v>
          </cell>
          <cell r="R3">
            <v>1.2616199380147131</v>
          </cell>
          <cell r="S3">
            <v>1.2500782087010671</v>
          </cell>
          <cell r="T3">
            <v>1.2545888753718235</v>
          </cell>
          <cell r="U3">
            <v>1.1800326449089267</v>
          </cell>
          <cell r="V3">
            <v>-0.75475332865739186</v>
          </cell>
          <cell r="W3">
            <v>0.58242098617542359</v>
          </cell>
          <cell r="X3">
            <v>-3.0285811017596651</v>
          </cell>
          <cell r="Y3">
            <v>-2.915760030181624</v>
          </cell>
        </row>
        <row r="4">
          <cell r="B4">
            <v>9.7341430517642671</v>
          </cell>
          <cell r="C4">
            <v>7.3587919977123608</v>
          </cell>
          <cell r="D4">
            <v>7.0357521727521801</v>
          </cell>
          <cell r="E4">
            <v>6.3971191872708193</v>
          </cell>
          <cell r="F4">
            <v>7.0662393893291737</v>
          </cell>
          <cell r="G4">
            <v>5.4243384999145476</v>
          </cell>
          <cell r="H4">
            <v>8.7116147046850898</v>
          </cell>
          <cell r="I4">
            <v>13.906762159459296</v>
          </cell>
          <cell r="J4">
            <v>17.399946997658695</v>
          </cell>
          <cell r="K4">
            <v>20.553845767546996</v>
          </cell>
          <cell r="L4">
            <v>21.607596006432878</v>
          </cell>
          <cell r="M4">
            <v>20.666443390494965</v>
          </cell>
          <cell r="N4">
            <v>21.555224599383589</v>
          </cell>
          <cell r="O4">
            <v>23.14489231779109</v>
          </cell>
          <cell r="P4">
            <v>20.661191696240184</v>
          </cell>
          <cell r="Q4">
            <v>20.577625140215904</v>
          </cell>
          <cell r="R4">
            <v>19.575761610026415</v>
          </cell>
          <cell r="S4">
            <v>21.49399941385326</v>
          </cell>
          <cell r="T4">
            <v>20.484318711489809</v>
          </cell>
          <cell r="U4">
            <v>20.322643248847527</v>
          </cell>
          <cell r="V4">
            <v>18.93755539221144</v>
          </cell>
          <cell r="W4">
            <v>19.887183305798139</v>
          </cell>
          <cell r="X4">
            <v>16.402571249723589</v>
          </cell>
          <cell r="Y4">
            <v>13.499111641610201</v>
          </cell>
        </row>
      </sheetData>
      <sheetData sheetId="16">
        <row r="2">
          <cell r="B2">
            <v>-10.829506544127913</v>
          </cell>
          <cell r="C2">
            <v>-13.475175456470934</v>
          </cell>
          <cell r="D2">
            <v>-13.883928144367657</v>
          </cell>
          <cell r="E2">
            <v>-14.418778410314347</v>
          </cell>
          <cell r="F2">
            <v>-15.326722681894079</v>
          </cell>
          <cell r="G2">
            <v>-14.297626870337998</v>
          </cell>
          <cell r="H2">
            <v>-11.227513475699796</v>
          </cell>
          <cell r="I2">
            <v>-2.9016660018861686</v>
          </cell>
          <cell r="J2">
            <v>3.382290416434905</v>
          </cell>
          <cell r="K2">
            <v>5.8255677538886337</v>
          </cell>
          <cell r="L2">
            <v>3.6960320314302741</v>
          </cell>
          <cell r="M2">
            <v>5.1637236992276643</v>
          </cell>
          <cell r="N2">
            <v>4.3800376102579426</v>
          </cell>
          <cell r="O2">
            <v>4.6198029610822067</v>
          </cell>
          <cell r="P2">
            <v>0.98021013372210952</v>
          </cell>
          <cell r="Q2">
            <v>-1.9090469640259011</v>
          </cell>
          <cell r="R2">
            <v>-0.65787443645361565</v>
          </cell>
          <cell r="S2">
            <v>1.023822070146059</v>
          </cell>
          <cell r="T2">
            <v>1.1896124432947141E-2</v>
          </cell>
          <cell r="U2">
            <v>-1.5205383743798735</v>
          </cell>
          <cell r="V2">
            <v>-2.8969163263452691</v>
          </cell>
          <cell r="W2">
            <v>-3.341211867327238</v>
          </cell>
          <cell r="X2">
            <v>-6.327377645747557</v>
          </cell>
          <cell r="Y2">
            <v>-7.7657615440193197</v>
          </cell>
        </row>
        <row r="3">
          <cell r="B3">
            <v>-2.3345586361573307</v>
          </cell>
          <cell r="C3">
            <v>-0.56790138459170048</v>
          </cell>
          <cell r="D3">
            <v>-2.3671412040369884</v>
          </cell>
          <cell r="E3">
            <v>-3.4579999999999989</v>
          </cell>
          <cell r="F3">
            <v>-2.7664000000000004</v>
          </cell>
          <cell r="G3">
            <v>-4.7790614703571901</v>
          </cell>
          <cell r="H3">
            <v>-1.4473648249654167</v>
          </cell>
          <cell r="I3">
            <v>1.1575619135066304</v>
          </cell>
          <cell r="J3">
            <v>0.90901287465785907</v>
          </cell>
          <cell r="K3">
            <v>0.88258297004330932</v>
          </cell>
          <cell r="L3">
            <v>2.4523434470023644</v>
          </cell>
          <cell r="M3">
            <v>1.7927763872428832</v>
          </cell>
          <cell r="N3">
            <v>3.0387956041554824</v>
          </cell>
          <cell r="O3">
            <v>3.0215185575118206</v>
          </cell>
          <cell r="P3">
            <v>2.6077842862977665</v>
          </cell>
          <cell r="Q3">
            <v>3.4052073633381794</v>
          </cell>
          <cell r="R3">
            <v>1.3120847355353016</v>
          </cell>
          <cell r="S3">
            <v>1.3000813370491098</v>
          </cell>
          <cell r="T3">
            <v>1.3047724303866965</v>
          </cell>
          <cell r="U3">
            <v>1.2272339507052836</v>
          </cell>
          <cell r="V3">
            <v>-0.78494346180368757</v>
          </cell>
          <cell r="W3">
            <v>0.60571782562244059</v>
          </cell>
          <cell r="X3">
            <v>-3.1497243458300517</v>
          </cell>
          <cell r="Y3">
            <v>-3.0323904313888885</v>
          </cell>
        </row>
        <row r="4">
          <cell r="B4">
            <v>10.123508773834839</v>
          </cell>
          <cell r="C4">
            <v>7.6531436776208555</v>
          </cell>
          <cell r="D4">
            <v>7.3171822596622675</v>
          </cell>
          <cell r="E4">
            <v>6.653003954761652</v>
          </cell>
          <cell r="F4">
            <v>7.3488889649023408</v>
          </cell>
          <cell r="G4">
            <v>5.6413120399111305</v>
          </cell>
          <cell r="H4">
            <v>9.0600792928724925</v>
          </cell>
          <cell r="I4">
            <v>14.463032645837668</v>
          </cell>
          <cell r="J4">
            <v>18.095944877565042</v>
          </cell>
          <cell r="K4">
            <v>21.375999598248878</v>
          </cell>
          <cell r="L4">
            <v>22.471899846690192</v>
          </cell>
          <cell r="M4">
            <v>21.493101126114762</v>
          </cell>
          <cell r="N4">
            <v>22.417433583358935</v>
          </cell>
          <cell r="O4">
            <v>24.070688010502732</v>
          </cell>
          <cell r="P4">
            <v>21.487639364089791</v>
          </cell>
          <cell r="Q4">
            <v>21.400730145824543</v>
          </cell>
          <cell r="R4">
            <v>20.358792074427473</v>
          </cell>
          <cell r="S4">
            <v>22.35375939040739</v>
          </cell>
          <cell r="T4">
            <v>21.303691459949402</v>
          </cell>
          <cell r="U4">
            <v>21.135548978801431</v>
          </cell>
          <cell r="V4">
            <v>19.695057607899898</v>
          </cell>
          <cell r="W4">
            <v>20.682670638030064</v>
          </cell>
          <cell r="X4">
            <v>17.058674099712533</v>
          </cell>
          <cell r="Y4">
            <v>14.039076107274608</v>
          </cell>
        </row>
      </sheetData>
      <sheetData sheetId="17">
        <row r="2">
          <cell r="B2">
            <v>-9.8923377085783795</v>
          </cell>
          <cell r="C2">
            <v>-12.309054503507102</v>
          </cell>
          <cell r="D2">
            <v>-12.682434362643532</v>
          </cell>
          <cell r="E2">
            <v>-13.170999509421758</v>
          </cell>
          <cell r="F2">
            <v>-14.00037168057632</v>
          </cell>
          <cell r="G2">
            <v>-13.060332237327978</v>
          </cell>
          <cell r="H2">
            <v>-10.25590173261039</v>
          </cell>
          <cell r="I2">
            <v>-2.6505602901844805</v>
          </cell>
          <cell r="J2">
            <v>3.0895922073203455</v>
          </cell>
          <cell r="K2">
            <v>5.3214320828790393</v>
          </cell>
          <cell r="L2">
            <v>3.3761831056334235</v>
          </cell>
          <cell r="M2">
            <v>4.7168629944868083</v>
          </cell>
          <cell r="N2">
            <v>4.0009958939856203</v>
          </cell>
          <cell r="O2">
            <v>4.2200123202193227</v>
          </cell>
          <cell r="P2">
            <v>0.89538425676538858</v>
          </cell>
          <cell r="Q2">
            <v>-1.7438409767544287</v>
          </cell>
          <cell r="R2">
            <v>-0.60094299483743741</v>
          </cell>
          <cell r="S2">
            <v>0.93522208330649614</v>
          </cell>
          <cell r="T2">
            <v>1.0866652126249791E-2</v>
          </cell>
          <cell r="U2">
            <v>-1.3889533227508459</v>
          </cell>
          <cell r="V2">
            <v>-2.6462216442576976</v>
          </cell>
          <cell r="W2">
            <v>-3.0520685326546886</v>
          </cell>
          <cell r="X2">
            <v>-5.7798161187117101</v>
          </cell>
          <cell r="Y2">
            <v>-7.0937244873253391</v>
          </cell>
        </row>
        <row r="3">
          <cell r="B3">
            <v>-2.1325295234129462</v>
          </cell>
          <cell r="C3">
            <v>-0.51875607246357247</v>
          </cell>
          <cell r="D3">
            <v>-2.1622924459953259</v>
          </cell>
          <cell r="E3">
            <v>-3.1587499999999991</v>
          </cell>
          <cell r="F3">
            <v>-2.5270000000000006</v>
          </cell>
          <cell r="G3">
            <v>-4.3654888431147398</v>
          </cell>
          <cell r="H3">
            <v>-1.3221120997280249</v>
          </cell>
          <cell r="I3">
            <v>1.0573882863762489</v>
          </cell>
          <cell r="J3">
            <v>0.83034829896631346</v>
          </cell>
          <cell r="K3">
            <v>0.80620559763571531</v>
          </cell>
          <cell r="L3">
            <v>2.2401214179348523</v>
          </cell>
          <cell r="M3">
            <v>1.6376322768084028</v>
          </cell>
          <cell r="N3">
            <v>2.7758229076420267</v>
          </cell>
          <cell r="O3">
            <v>2.7600409900348359</v>
          </cell>
          <cell r="P3">
            <v>2.3821106461373827</v>
          </cell>
          <cell r="Q3">
            <v>3.1105259568954522</v>
          </cell>
          <cell r="R3">
            <v>1.1985389411139775</v>
          </cell>
          <cell r="S3">
            <v>1.1875742982660138</v>
          </cell>
          <cell r="T3">
            <v>1.1918594316032323</v>
          </cell>
          <cell r="U3">
            <v>1.1210310126634804</v>
          </cell>
          <cell r="V3">
            <v>-0.71701566222452229</v>
          </cell>
          <cell r="W3">
            <v>0.55329993686665246</v>
          </cell>
          <cell r="X3">
            <v>-2.8771520466716818</v>
          </cell>
          <cell r="Y3">
            <v>-2.7699720286725427</v>
          </cell>
        </row>
        <row r="4">
          <cell r="B4">
            <v>9.2474358991760521</v>
          </cell>
          <cell r="C4">
            <v>6.9908523978267425</v>
          </cell>
          <cell r="D4">
            <v>6.6839645641145706</v>
          </cell>
          <cell r="E4">
            <v>6.0772632279072782</v>
          </cell>
          <cell r="F4">
            <v>6.7129274198627149</v>
          </cell>
          <cell r="G4">
            <v>5.1531215749188206</v>
          </cell>
          <cell r="H4">
            <v>8.2760339694508342</v>
          </cell>
          <cell r="I4">
            <v>13.211424051486331</v>
          </cell>
          <cell r="J4">
            <v>16.529949647775759</v>
          </cell>
          <cell r="K4">
            <v>19.526153479169643</v>
          </cell>
          <cell r="L4">
            <v>20.52721620611123</v>
          </cell>
          <cell r="M4">
            <v>19.633121220970214</v>
          </cell>
          <cell r="N4">
            <v>20.477463369414412</v>
          </cell>
          <cell r="O4">
            <v>21.987647701901533</v>
          </cell>
          <cell r="P4">
            <v>19.628132111428172</v>
          </cell>
          <cell r="Q4">
            <v>19.548743883205109</v>
          </cell>
          <cell r="R4">
            <v>18.596973529525094</v>
          </cell>
          <cell r="S4">
            <v>20.419299443160597</v>
          </cell>
          <cell r="T4">
            <v>19.46010277591532</v>
          </cell>
          <cell r="U4">
            <v>19.306511086405152</v>
          </cell>
          <cell r="V4">
            <v>17.990677622600867</v>
          </cell>
          <cell r="W4">
            <v>18.892824140508232</v>
          </cell>
          <cell r="X4">
            <v>15.58244268723741</v>
          </cell>
          <cell r="Y4">
            <v>12.82415605952969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34.130070982987213</v>
          </cell>
          <cell r="C2">
            <v>31.008696833499641</v>
          </cell>
          <cell r="D2">
            <v>30.467055491294683</v>
          </cell>
          <cell r="E2">
            <v>30.389225446673997</v>
          </cell>
          <cell r="F2">
            <v>30.391621336562313</v>
          </cell>
          <cell r="G2">
            <v>30.122846717701062</v>
          </cell>
          <cell r="H2">
            <v>32.520302004217179</v>
          </cell>
          <cell r="I2">
            <v>38.609543446436675</v>
          </cell>
          <cell r="J2">
            <v>44.003901028864995</v>
          </cell>
          <cell r="K2">
            <v>45.356055067181785</v>
          </cell>
          <cell r="L2">
            <v>44.897063890009875</v>
          </cell>
          <cell r="M2">
            <v>46.166690351190098</v>
          </cell>
          <cell r="N2">
            <v>46.800000000000004</v>
          </cell>
          <cell r="O2">
            <v>45.934287676640423</v>
          </cell>
          <cell r="P2">
            <v>44.139395798261837</v>
          </cell>
          <cell r="Q2">
            <v>42.362861267190048</v>
          </cell>
          <cell r="R2">
            <v>43.101954358871645</v>
          </cell>
          <cell r="S2">
            <v>43.52779090097529</v>
          </cell>
          <cell r="T2">
            <v>43.712550203606213</v>
          </cell>
          <cell r="U2">
            <v>42.988906535990353</v>
          </cell>
          <cell r="V2">
            <v>43.118069263212718</v>
          </cell>
          <cell r="W2">
            <v>44.903932156949885</v>
          </cell>
          <cell r="X2">
            <v>41.855899817042115</v>
          </cell>
          <cell r="Y2">
            <v>38.369069977931531</v>
          </cell>
        </row>
        <row r="3">
          <cell r="B3">
            <v>34.605795381844715</v>
          </cell>
          <cell r="C3">
            <v>31.509616412527823</v>
          </cell>
          <cell r="D3">
            <v>29.967327710155718</v>
          </cell>
          <cell r="E3">
            <v>28.900486592916064</v>
          </cell>
          <cell r="F3">
            <v>28.900486592916064</v>
          </cell>
          <cell r="G3">
            <v>30.987792433469235</v>
          </cell>
          <cell r="H3">
            <v>38.826785954279771</v>
          </cell>
          <cell r="I3">
            <v>47.778991997980071</v>
          </cell>
          <cell r="J3">
            <v>49.866300339200407</v>
          </cell>
          <cell r="K3">
            <v>48.82264492478582</v>
          </cell>
          <cell r="L3">
            <v>48.799456734351907</v>
          </cell>
          <cell r="M3">
            <v>52</v>
          </cell>
          <cell r="N3">
            <v>52</v>
          </cell>
          <cell r="O3">
            <v>52</v>
          </cell>
          <cell r="P3">
            <v>49.390862707767944</v>
          </cell>
          <cell r="Q3">
            <v>46.758532246619687</v>
          </cell>
          <cell r="R3">
            <v>43.557993959453881</v>
          </cell>
          <cell r="S3">
            <v>43.557993959453881</v>
          </cell>
          <cell r="T3">
            <v>43.557993959453881</v>
          </cell>
          <cell r="U3">
            <v>43.557993959453881</v>
          </cell>
          <cell r="V3">
            <v>43.557993959453881</v>
          </cell>
          <cell r="W3">
            <v>43.557993959453881</v>
          </cell>
          <cell r="X3">
            <v>41.99252204186557</v>
          </cell>
          <cell r="Y3">
            <v>39.290624508748415</v>
          </cell>
        </row>
        <row r="4">
          <cell r="B4">
            <v>46.660499586882572</v>
          </cell>
          <cell r="C4">
            <v>41.075343930756681</v>
          </cell>
          <cell r="D4">
            <v>38.84114193414176</v>
          </cell>
          <cell r="E4">
            <v>37.60925031805251</v>
          </cell>
          <cell r="F4">
            <v>39.869325761032272</v>
          </cell>
          <cell r="G4">
            <v>36.517740436505164</v>
          </cell>
          <cell r="H4">
            <v>42.828646508271234</v>
          </cell>
          <cell r="I4">
            <v>49.710476931274009</v>
          </cell>
          <cell r="J4">
            <v>56.002207911008512</v>
          </cell>
          <cell r="K4">
            <v>60.105275933487363</v>
          </cell>
          <cell r="L4">
            <v>62.028774764188483</v>
          </cell>
          <cell r="M4">
            <v>63.010471108826991</v>
          </cell>
          <cell r="N4">
            <v>64.247692017757885</v>
          </cell>
          <cell r="O4">
            <v>64.773904169064494</v>
          </cell>
          <cell r="P4">
            <v>65</v>
          </cell>
          <cell r="Q4">
            <v>62.54955175635542</v>
          </cell>
          <cell r="R4">
            <v>62.580859082391193</v>
          </cell>
          <cell r="S4">
            <v>60.140999404230818</v>
          </cell>
          <cell r="T4">
            <v>60.457435210255724</v>
          </cell>
          <cell r="U4">
            <v>60.95449923337398</v>
          </cell>
          <cell r="V4">
            <v>60.453440568088929</v>
          </cell>
          <cell r="W4">
            <v>62.620577476964378</v>
          </cell>
          <cell r="X4">
            <v>61.181184018442487</v>
          </cell>
          <cell r="Y4">
            <v>54.679606682216452</v>
          </cell>
        </row>
      </sheetData>
      <sheetData sheetId="20">
        <row r="2">
          <cell r="B2">
            <v>31.176507147921011</v>
          </cell>
          <cell r="C2">
            <v>28.325251915216015</v>
          </cell>
          <cell r="D2">
            <v>27.830483381471105</v>
          </cell>
          <cell r="E2">
            <v>27.759388629173362</v>
          </cell>
          <cell r="F2">
            <v>27.761577182436728</v>
          </cell>
          <cell r="G2">
            <v>27.516061905592313</v>
          </cell>
          <cell r="H2">
            <v>29.706045100006076</v>
          </cell>
          <cell r="I2">
            <v>35.268332955879657</v>
          </cell>
          <cell r="J2">
            <v>40.19587113213629</v>
          </cell>
          <cell r="K2">
            <v>41.431011840214126</v>
          </cell>
          <cell r="L2">
            <v>41.011741053374408</v>
          </cell>
          <cell r="M2">
            <v>42.171495993875574</v>
          </cell>
          <cell r="N2">
            <v>42.75</v>
          </cell>
          <cell r="O2">
            <v>41.95920508923885</v>
          </cell>
          <cell r="P2">
            <v>40.319640392643024</v>
          </cell>
          <cell r="Q2">
            <v>38.696844426760137</v>
          </cell>
          <cell r="R2">
            <v>39.3719775393539</v>
          </cell>
          <cell r="S2">
            <v>39.760962842237042</v>
          </cell>
          <cell r="T2">
            <v>39.929733359063363</v>
          </cell>
          <cell r="U2">
            <v>39.268712701145034</v>
          </cell>
          <cell r="V2">
            <v>39.386697884665459</v>
          </cell>
          <cell r="W2">
            <v>41.018014951059989</v>
          </cell>
          <cell r="X2">
            <v>38.233754640567312</v>
          </cell>
          <cell r="Y2">
            <v>35.048669691379764</v>
          </cell>
        </row>
        <row r="3">
          <cell r="B3">
            <v>31.611063089185077</v>
          </cell>
          <cell r="C3">
            <v>28.78282268452061</v>
          </cell>
          <cell r="D3">
            <v>27.374001273699932</v>
          </cell>
          <cell r="E3">
            <v>26.399482945452174</v>
          </cell>
          <cell r="F3">
            <v>26.399482945452174</v>
          </cell>
          <cell r="G3">
            <v>28.306156549803625</v>
          </cell>
          <cell r="H3">
            <v>35.466775631313254</v>
          </cell>
          <cell r="I3">
            <v>43.644271536616415</v>
          </cell>
          <cell r="J3">
            <v>45.550947425231143</v>
          </cell>
          <cell r="K3">
            <v>44.597608344756274</v>
          </cell>
          <cell r="L3">
            <v>44.576426824648372</v>
          </cell>
          <cell r="M3">
            <v>47.5</v>
          </cell>
          <cell r="N3">
            <v>47.5</v>
          </cell>
          <cell r="O3">
            <v>47.5</v>
          </cell>
          <cell r="P3">
            <v>45.116653434980329</v>
          </cell>
          <cell r="Q3">
            <v>42.712120802200673</v>
          </cell>
          <cell r="R3">
            <v>39.788552174501142</v>
          </cell>
          <cell r="S3">
            <v>39.788552174501142</v>
          </cell>
          <cell r="T3">
            <v>39.788552174501142</v>
          </cell>
          <cell r="U3">
            <v>39.788552174501142</v>
          </cell>
          <cell r="V3">
            <v>39.788552174501142</v>
          </cell>
          <cell r="W3">
            <v>39.788552174501142</v>
          </cell>
          <cell r="X3">
            <v>38.358553788242581</v>
          </cell>
          <cell r="Y3">
            <v>35.890474310875959</v>
          </cell>
        </row>
        <row r="4">
          <cell r="B4">
            <v>42.622571738017726</v>
          </cell>
          <cell r="C4">
            <v>37.520746859825806</v>
          </cell>
          <cell r="D4">
            <v>35.479889266764104</v>
          </cell>
          <cell r="E4">
            <v>34.354603655913351</v>
          </cell>
          <cell r="F4">
            <v>36.419095647096775</v>
          </cell>
          <cell r="G4">
            <v>33.357551360269142</v>
          </cell>
          <cell r="H4">
            <v>39.122321329670839</v>
          </cell>
          <cell r="I4">
            <v>45.408608735298365</v>
          </cell>
          <cell r="J4">
            <v>51.155862995632766</v>
          </cell>
          <cell r="K4">
            <v>54.903857823858644</v>
          </cell>
          <cell r="L4">
            <v>56.660900024979867</v>
          </cell>
          <cell r="M4">
            <v>57.55764187825541</v>
          </cell>
          <cell r="N4">
            <v>58.687795593144223</v>
          </cell>
          <cell r="O4">
            <v>59.168470154433905</v>
          </cell>
          <cell r="P4">
            <v>59.375</v>
          </cell>
          <cell r="Q4">
            <v>57.136609777440036</v>
          </cell>
          <cell r="R4">
            <v>57.165207815645786</v>
          </cell>
          <cell r="S4">
            <v>54.936489840403148</v>
          </cell>
          <cell r="T4">
            <v>55.225541778598974</v>
          </cell>
          <cell r="U4">
            <v>55.679590645870455</v>
          </cell>
          <cell r="V4">
            <v>55.221892826619694</v>
          </cell>
          <cell r="W4">
            <v>57.201489041457847</v>
          </cell>
          <cell r="X4">
            <v>55.886658478384959</v>
          </cell>
          <cell r="Y4">
            <v>49.947717642409252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-10.878978124687372</v>
          </cell>
          <cell r="C2">
            <v>-14.144007395829979</v>
          </cell>
          <cell r="D2">
            <v>-15.589425735979962</v>
          </cell>
          <cell r="E2">
            <v>-14.226167724792198</v>
          </cell>
          <cell r="F2">
            <v>-15.248537803156797</v>
          </cell>
          <cell r="G2">
            <v>-15.600000000000001</v>
          </cell>
          <cell r="H2">
            <v>-13.520368448430563</v>
          </cell>
          <cell r="I2">
            <v>-2.1034655717330248</v>
          </cell>
          <cell r="J2">
            <v>6.751969704509456</v>
          </cell>
          <cell r="K2">
            <v>9.8295554612346567</v>
          </cell>
          <cell r="L2">
            <v>7.726909376115457</v>
          </cell>
          <cell r="M2">
            <v>10.292455445513866</v>
          </cell>
          <cell r="N2">
            <v>9.1337295242765624</v>
          </cell>
          <cell r="O2">
            <v>9.4087350275854202</v>
          </cell>
          <cell r="P2">
            <v>4.8545619842423635</v>
          </cell>
          <cell r="Q2">
            <v>1.2272920342096738</v>
          </cell>
          <cell r="R2">
            <v>2.730235748795931</v>
          </cell>
          <cell r="S2">
            <v>3.3162924548655837</v>
          </cell>
          <cell r="T2">
            <v>1.997941314454154</v>
          </cell>
          <cell r="U2">
            <v>-0.37270889422940345</v>
          </cell>
          <cell r="V2">
            <v>-1.4549956534518496</v>
          </cell>
          <cell r="W2">
            <v>-1.0122781728828636</v>
          </cell>
          <cell r="X2">
            <v>-4.8546255919617014</v>
          </cell>
          <cell r="Y2">
            <v>-6.5711310065075113</v>
          </cell>
        </row>
        <row r="3">
          <cell r="B3">
            <v>-13.768248043143336</v>
          </cell>
          <cell r="C3">
            <v>-13.768248043143336</v>
          </cell>
          <cell r="D3">
            <v>-15.984124021571668</v>
          </cell>
          <cell r="E3">
            <v>-18.2</v>
          </cell>
          <cell r="F3">
            <v>-18.2</v>
          </cell>
          <cell r="G3">
            <v>-18.2</v>
          </cell>
          <cell r="H3">
            <v>-7.2569866688771327</v>
          </cell>
          <cell r="I3">
            <v>1.5042459782084188</v>
          </cell>
          <cell r="J3">
            <v>4.7769298021390583</v>
          </cell>
          <cell r="K3">
            <v>4.7769298021390583</v>
          </cell>
          <cell r="L3">
            <v>4.3678374609455402</v>
          </cell>
          <cell r="M3">
            <v>6.1405294411305436</v>
          </cell>
          <cell r="N3">
            <v>8.3223137625090668</v>
          </cell>
          <cell r="O3">
            <v>8.5780010752161573</v>
          </cell>
          <cell r="P3">
            <v>4.811017783458837</v>
          </cell>
          <cell r="Q3">
            <v>3.7542099187621165</v>
          </cell>
          <cell r="R3">
            <v>-0.60935876238375519</v>
          </cell>
          <cell r="S3">
            <v>-0.60935876238375519</v>
          </cell>
          <cell r="T3">
            <v>-0.60935876238375519</v>
          </cell>
          <cell r="U3">
            <v>-0.60935876238375519</v>
          </cell>
          <cell r="V3">
            <v>-3.8820462428500133</v>
          </cell>
          <cell r="W3">
            <v>-4.972942069672099</v>
          </cell>
          <cell r="X3">
            <v>-13.904599968422453</v>
          </cell>
          <cell r="Y3">
            <v>-13.904599968422453</v>
          </cell>
        </row>
        <row r="4">
          <cell r="B4">
            <v>11.114092138118428</v>
          </cell>
          <cell r="C4">
            <v>8.5155482300372736</v>
          </cell>
          <cell r="D4">
            <v>8.069757476839662</v>
          </cell>
          <cell r="E4">
            <v>7.0479156893395842</v>
          </cell>
          <cell r="F4">
            <v>8.1135458505767666</v>
          </cell>
          <cell r="G4">
            <v>3.7656223823499988</v>
          </cell>
          <cell r="H4">
            <v>6.5701316190762764</v>
          </cell>
          <cell r="I4">
            <v>12.625284182829427</v>
          </cell>
          <cell r="J4">
            <v>18.365934406299154</v>
          </cell>
          <cell r="K4">
            <v>21.823838290835383</v>
          </cell>
          <cell r="L4">
            <v>23.824913791837901</v>
          </cell>
          <cell r="M4">
            <v>24.694735154154895</v>
          </cell>
          <cell r="N4">
            <v>25.804762900636792</v>
          </cell>
          <cell r="O4">
            <v>26</v>
          </cell>
          <cell r="P4">
            <v>25.815452525386995</v>
          </cell>
          <cell r="Q4">
            <v>24.956093056201709</v>
          </cell>
          <cell r="R4">
            <v>23.749703781081706</v>
          </cell>
          <cell r="S4">
            <v>21.075187956026443</v>
          </cell>
          <cell r="T4">
            <v>20.977683054288214</v>
          </cell>
          <cell r="U4">
            <v>19.95610892964396</v>
          </cell>
          <cell r="V4">
            <v>17.98839843573705</v>
          </cell>
          <cell r="W4">
            <v>21.564576759237958</v>
          </cell>
          <cell r="X4">
            <v>19.322645705311757</v>
          </cell>
          <cell r="Y4">
            <v>15.550087325568885</v>
          </cell>
        </row>
      </sheetData>
      <sheetData sheetId="23">
        <row r="2">
          <cell r="B2">
            <v>-9.937528094666348</v>
          </cell>
          <cell r="C2">
            <v>-12.920006755806231</v>
          </cell>
          <cell r="D2">
            <v>-14.240340816520154</v>
          </cell>
          <cell r="E2">
            <v>-12.995057056300565</v>
          </cell>
          <cell r="F2">
            <v>-13.928952800960534</v>
          </cell>
          <cell r="G2">
            <v>-14.25</v>
          </cell>
          <cell r="H2">
            <v>-12.350336563470226</v>
          </cell>
          <cell r="I2">
            <v>-1.9214348972561286</v>
          </cell>
          <cell r="J2">
            <v>6.1676646339269068</v>
          </cell>
          <cell r="K2">
            <v>8.9789208540124257</v>
          </cell>
          <cell r="L2">
            <v>7.0582345262593114</v>
          </cell>
          <cell r="M2">
            <v>9.4017621858059357</v>
          </cell>
          <cell r="N2">
            <v>8.3433106231372438</v>
          </cell>
          <cell r="O2">
            <v>8.5945175732751427</v>
          </cell>
          <cell r="P2">
            <v>4.4344556586829285</v>
          </cell>
          <cell r="Q2">
            <v>1.1210840697107596</v>
          </cell>
          <cell r="R2">
            <v>2.4939653474578209</v>
          </cell>
          <cell r="S2">
            <v>3.0293056078099081</v>
          </cell>
          <cell r="T2">
            <v>1.8250425468571598</v>
          </cell>
          <cell r="U2">
            <v>-0.34045523992108961</v>
          </cell>
          <cell r="V2">
            <v>-1.3290825680569778</v>
          </cell>
          <cell r="W2">
            <v>-0.92467717715261577</v>
          </cell>
          <cell r="X2">
            <v>-4.4345137618880921</v>
          </cell>
          <cell r="Y2">
            <v>-6.0024754386366688</v>
          </cell>
        </row>
        <row r="3">
          <cell r="B3">
            <v>-12.576765039409779</v>
          </cell>
          <cell r="C3">
            <v>-12.576765039409779</v>
          </cell>
          <cell r="D3">
            <v>-14.600882519704887</v>
          </cell>
          <cell r="E3">
            <v>-16.625</v>
          </cell>
          <cell r="F3">
            <v>-16.625</v>
          </cell>
          <cell r="G3">
            <v>-16.625</v>
          </cell>
          <cell r="H3">
            <v>-6.6289782071473811</v>
          </cell>
          <cell r="I3">
            <v>1.3740708454788439</v>
          </cell>
          <cell r="J3">
            <v>4.363541646184717</v>
          </cell>
          <cell r="K3">
            <v>4.363541646184717</v>
          </cell>
          <cell r="L3">
            <v>3.9898515268252521</v>
          </cell>
          <cell r="M3">
            <v>5.6091374702634766</v>
          </cell>
          <cell r="N3">
            <v>7.6021135330611669</v>
          </cell>
          <cell r="O3">
            <v>7.8356740590916827</v>
          </cell>
          <cell r="P3">
            <v>4.3946797060441298</v>
          </cell>
          <cell r="Q3">
            <v>3.4293263681000097</v>
          </cell>
          <cell r="R3">
            <v>-0.556625792562084</v>
          </cell>
          <cell r="S3">
            <v>-0.556625792562084</v>
          </cell>
          <cell r="T3">
            <v>-0.556625792562084</v>
          </cell>
          <cell r="U3">
            <v>-0.556625792562084</v>
          </cell>
          <cell r="V3">
            <v>-3.546099933372608</v>
          </cell>
          <cell r="W3">
            <v>-4.5425913136427818</v>
          </cell>
          <cell r="X3">
            <v>-12.70131727884743</v>
          </cell>
          <cell r="Y3">
            <v>-12.70131727884743</v>
          </cell>
        </row>
        <row r="4">
          <cell r="B4">
            <v>10.152295703088948</v>
          </cell>
          <cell r="C4">
            <v>7.7786257870532785</v>
          </cell>
          <cell r="D4">
            <v>7.3714130798054596</v>
          </cell>
          <cell r="E4">
            <v>6.4379999085313502</v>
          </cell>
          <cell r="F4">
            <v>7.4114120750460826</v>
          </cell>
          <cell r="G4">
            <v>3.4397512146466331</v>
          </cell>
          <cell r="H4">
            <v>6.0015625366562135</v>
          </cell>
          <cell r="I4">
            <v>11.532711513161496</v>
          </cell>
          <cell r="J4">
            <v>16.776574698061726</v>
          </cell>
          <cell r="K4">
            <v>19.93523690028232</v>
          </cell>
          <cell r="L4">
            <v>21.763142406005773</v>
          </cell>
          <cell r="M4">
            <v>22.557690765814566</v>
          </cell>
          <cell r="N4">
            <v>23.571658418850912</v>
          </cell>
          <cell r="O4">
            <v>23.75</v>
          </cell>
          <cell r="P4">
            <v>23.581422979920809</v>
          </cell>
          <cell r="Q4">
            <v>22.796431157107328</v>
          </cell>
          <cell r="R4">
            <v>21.694440953872711</v>
          </cell>
          <cell r="S4">
            <v>19.251373613677998</v>
          </cell>
          <cell r="T4">
            <v>19.162306636128655</v>
          </cell>
          <cell r="U4">
            <v>18.229137964578616</v>
          </cell>
          <cell r="V4">
            <v>16.431710109567497</v>
          </cell>
          <cell r="W4">
            <v>19.698411462765439</v>
          </cell>
          <cell r="X4">
            <v>17.650493673121314</v>
          </cell>
          <cell r="Y4">
            <v>14.204406691625421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1.2824319950172343</v>
      </c>
    </row>
    <row r="6" spans="1:11" x14ac:dyDescent="0.3">
      <c r="A6" t="s">
        <v>10</v>
      </c>
      <c r="B6" s="7">
        <f>((1+[1]Main!$B$3)^($B$3-2020))*$B$4</f>
        <v>1.8539440983221533</v>
      </c>
    </row>
    <row r="7" spans="1:11" x14ac:dyDescent="0.3">
      <c r="A7" t="s">
        <v>12</v>
      </c>
      <c r="B7" s="2">
        <f>SUM('RES installed'!$C$2:$C$7)</f>
        <v>570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80</v>
      </c>
    </row>
    <row r="3" spans="1:3" x14ac:dyDescent="0.3">
      <c r="A3">
        <v>5</v>
      </c>
      <c r="B3">
        <v>6</v>
      </c>
      <c r="C3" s="4">
        <v>120</v>
      </c>
    </row>
    <row r="4" spans="1:3" x14ac:dyDescent="0.3">
      <c r="A4">
        <v>6</v>
      </c>
      <c r="B4">
        <v>8</v>
      </c>
      <c r="C4" s="4">
        <v>75</v>
      </c>
    </row>
    <row r="5" spans="1:3" x14ac:dyDescent="0.3">
      <c r="A5">
        <v>7</v>
      </c>
      <c r="B5">
        <v>4</v>
      </c>
      <c r="C5" s="4">
        <v>125</v>
      </c>
    </row>
    <row r="6" spans="1:3" x14ac:dyDescent="0.3">
      <c r="A6">
        <v>8</v>
      </c>
      <c r="B6">
        <v>6</v>
      </c>
      <c r="C6" s="4">
        <v>80</v>
      </c>
    </row>
    <row r="7" spans="1:3" x14ac:dyDescent="0.3">
      <c r="A7">
        <v>9</v>
      </c>
      <c r="B7">
        <v>8</v>
      </c>
      <c r="C7" s="4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0</v>
      </c>
      <c r="C2" s="2">
        <f>'[1]EV Profiles'!C2*Main!$B$6</f>
        <v>0</v>
      </c>
      <c r="D2" s="2">
        <f>'[1]EV Profiles'!D2*Main!$B$6</f>
        <v>0</v>
      </c>
      <c r="E2" s="2">
        <f>'[1]EV Profiles'!E2*Main!$B$6</f>
        <v>0</v>
      </c>
      <c r="F2" s="2">
        <f>'[1]EV Profiles'!F2*Main!$B$6</f>
        <v>0</v>
      </c>
      <c r="G2" s="2">
        <f>'[1]EV Profiles'!G2*Main!$B$6</f>
        <v>0</v>
      </c>
      <c r="H2" s="2">
        <f>'[1]EV Profiles'!H2*Main!$B$6</f>
        <v>0</v>
      </c>
      <c r="I2" s="2">
        <f>'[1]EV Profiles'!I2*Main!$B$6</f>
        <v>0</v>
      </c>
      <c r="J2" s="2">
        <f>'[1]EV Profiles'!J2*Main!$B$6</f>
        <v>0</v>
      </c>
      <c r="K2" s="2">
        <f>'[1]EV Profiles'!K2*Main!$B$6</f>
        <v>0</v>
      </c>
      <c r="L2" s="2">
        <f>'[1]EV Profiles'!L2*Main!$B$6</f>
        <v>0</v>
      </c>
      <c r="M2" s="2">
        <f>'[1]EV Profiles'!M2*Main!$B$6</f>
        <v>0</v>
      </c>
      <c r="N2" s="2">
        <f>'[1]EV Profiles'!N2*Main!$B$6</f>
        <v>0</v>
      </c>
      <c r="O2" s="2">
        <f>'[1]EV Profiles'!O2*Main!$B$6</f>
        <v>0</v>
      </c>
      <c r="P2" s="2">
        <f>'[1]EV Profiles'!P2*Main!$B$6</f>
        <v>0</v>
      </c>
      <c r="Q2" s="2">
        <f>'[1]EV Profiles'!Q2*Main!$B$6</f>
        <v>0</v>
      </c>
      <c r="R2" s="2">
        <f>'[1]EV Profiles'!R2*Main!$B$6</f>
        <v>0</v>
      </c>
      <c r="S2" s="2">
        <f>'[1]EV Profiles'!S2*Main!$B$6</f>
        <v>0</v>
      </c>
      <c r="T2" s="2">
        <f>'[1]EV Profiles'!T2*Main!$B$6</f>
        <v>0</v>
      </c>
      <c r="U2" s="2">
        <f>'[1]EV Profiles'!U2*Main!$B$6</f>
        <v>0</v>
      </c>
      <c r="V2" s="2">
        <f>'[1]EV Profiles'!V2*Main!$B$6</f>
        <v>0</v>
      </c>
      <c r="W2" s="2">
        <f>'[1]EV Profiles'!W2*Main!$B$6</f>
        <v>0</v>
      </c>
      <c r="X2" s="2">
        <f>'[1]EV Profiles'!X2*Main!$B$6</f>
        <v>0</v>
      </c>
      <c r="Y2" s="2">
        <f>'[1]EV Profiles'!Y2*Main!$B$6</f>
        <v>0</v>
      </c>
    </row>
    <row r="3" spans="1:25" x14ac:dyDescent="0.3">
      <c r="A3" t="s">
        <v>17</v>
      </c>
      <c r="B3" s="2">
        <f>'[1]EV Profiles'!B3*Main!$B$6</f>
        <v>0</v>
      </c>
      <c r="C3" s="2">
        <f>'[1]EV Profiles'!C3*Main!$B$6</f>
        <v>0</v>
      </c>
      <c r="D3" s="2">
        <f>'[1]EV Profiles'!D3*Main!$B$6</f>
        <v>0</v>
      </c>
      <c r="E3" s="2">
        <f>'[1]EV Profiles'!E3*Main!$B$6</f>
        <v>0</v>
      </c>
      <c r="F3" s="2">
        <f>'[1]EV Profiles'!F3*Main!$B$6</f>
        <v>0</v>
      </c>
      <c r="G3" s="2">
        <f>'[1]EV Profiles'!G3*Main!$B$6</f>
        <v>0</v>
      </c>
      <c r="H3" s="2">
        <f>'[1]EV Profiles'!H3*Main!$B$6</f>
        <v>0</v>
      </c>
      <c r="I3" s="2">
        <f>'[1]EV Profiles'!I3*Main!$B$6</f>
        <v>0</v>
      </c>
      <c r="J3" s="2">
        <f>'[1]EV Profiles'!J3*Main!$B$6</f>
        <v>0</v>
      </c>
      <c r="K3" s="2">
        <f>'[1]EV Profiles'!K3*Main!$B$6</f>
        <v>0</v>
      </c>
      <c r="L3" s="2">
        <f>'[1]EV Profiles'!L3*Main!$B$6</f>
        <v>0</v>
      </c>
      <c r="M3" s="2">
        <f>'[1]EV Profiles'!M3*Main!$B$6</f>
        <v>0</v>
      </c>
      <c r="N3" s="2">
        <f>'[1]EV Profiles'!N3*Main!$B$6</f>
        <v>0</v>
      </c>
      <c r="O3" s="2">
        <f>'[1]EV Profiles'!O3*Main!$B$6</f>
        <v>0</v>
      </c>
      <c r="P3" s="2">
        <f>'[1]EV Profiles'!P3*Main!$B$6</f>
        <v>0</v>
      </c>
      <c r="Q3" s="2">
        <f>'[1]EV Profiles'!Q3*Main!$B$6</f>
        <v>0</v>
      </c>
      <c r="R3" s="2">
        <f>'[1]EV Profiles'!R3*Main!$B$6</f>
        <v>0</v>
      </c>
      <c r="S3" s="2">
        <f>'[1]EV Profiles'!S3*Main!$B$6</f>
        <v>0</v>
      </c>
      <c r="T3" s="2">
        <f>'[1]EV Profiles'!T3*Main!$B$6</f>
        <v>0</v>
      </c>
      <c r="U3" s="2">
        <f>'[1]EV Profiles'!U3*Main!$B$6</f>
        <v>0</v>
      </c>
      <c r="V3" s="2">
        <f>'[1]EV Profiles'!V3*Main!$B$6</f>
        <v>0</v>
      </c>
      <c r="W3" s="2">
        <f>'[1]EV Profiles'!W3*Main!$B$6</f>
        <v>0</v>
      </c>
      <c r="X3" s="2">
        <f>'[1]EV Profiles'!X3*Main!$B$6</f>
        <v>0</v>
      </c>
      <c r="Y3" s="2">
        <f>'[1]EV Profiles'!Y3*Main!$B$6</f>
        <v>0</v>
      </c>
    </row>
    <row r="4" spans="1:25" x14ac:dyDescent="0.3">
      <c r="A4" t="s">
        <v>18</v>
      </c>
      <c r="B4" s="2">
        <f>'[1]EV Profiles'!B4*Main!$B$6</f>
        <v>0</v>
      </c>
      <c r="C4" s="2">
        <f>'[1]EV Profiles'!C4*Main!$B$6</f>
        <v>0</v>
      </c>
      <c r="D4" s="2">
        <f>'[1]EV Profiles'!D4*Main!$B$6</f>
        <v>0</v>
      </c>
      <c r="E4" s="2">
        <f>'[1]EV Profiles'!E4*Main!$B$6</f>
        <v>0</v>
      </c>
      <c r="F4" s="2">
        <f>'[1]EV Profiles'!F4*Main!$B$6</f>
        <v>0</v>
      </c>
      <c r="G4" s="2">
        <f>'[1]EV Profiles'!G4*Main!$B$6</f>
        <v>0</v>
      </c>
      <c r="H4" s="2">
        <f>'[1]EV Profiles'!H4*Main!$B$6</f>
        <v>0</v>
      </c>
      <c r="I4" s="2">
        <f>'[1]EV Profiles'!I4*Main!$B$6</f>
        <v>0</v>
      </c>
      <c r="J4" s="2">
        <f>'[1]EV Profiles'!J4*Main!$B$6</f>
        <v>0</v>
      </c>
      <c r="K4" s="2">
        <f>'[1]EV Profiles'!K4*Main!$B$6</f>
        <v>0</v>
      </c>
      <c r="L4" s="2">
        <f>'[1]EV Profiles'!L4*Main!$B$6</f>
        <v>0</v>
      </c>
      <c r="M4" s="2">
        <f>'[1]EV Profiles'!M4*Main!$B$6</f>
        <v>0</v>
      </c>
      <c r="N4" s="2">
        <f>'[1]EV Profiles'!N4*Main!$B$6</f>
        <v>0</v>
      </c>
      <c r="O4" s="2">
        <f>'[1]EV Profiles'!O4*Main!$B$6</f>
        <v>0</v>
      </c>
      <c r="P4" s="2">
        <f>'[1]EV Profiles'!P4*Main!$B$6</f>
        <v>0</v>
      </c>
      <c r="Q4" s="2">
        <f>'[1]EV Profiles'!Q4*Main!$B$6</f>
        <v>0</v>
      </c>
      <c r="R4" s="2">
        <f>'[1]EV Profiles'!R4*Main!$B$6</f>
        <v>0</v>
      </c>
      <c r="S4" s="2">
        <f>'[1]EV Profiles'!S4*Main!$B$6</f>
        <v>0</v>
      </c>
      <c r="T4" s="2">
        <f>'[1]EV Profiles'!T4*Main!$B$6</f>
        <v>0</v>
      </c>
      <c r="U4" s="2">
        <f>'[1]EV Profiles'!U4*Main!$B$6</f>
        <v>0</v>
      </c>
      <c r="V4" s="2">
        <f>'[1]EV Profiles'!V4*Main!$B$6</f>
        <v>0</v>
      </c>
      <c r="W4" s="2">
        <f>'[1]EV Profiles'!W4*Main!$B$6</f>
        <v>0</v>
      </c>
      <c r="X4" s="2">
        <f>'[1]EV Profiles'!X4*Main!$B$6</f>
        <v>0</v>
      </c>
      <c r="Y4" s="2">
        <f>'[1]EV Profiles'!Y4*Main!$B$6</f>
        <v>0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36.729762713896648</v>
      </c>
      <c r="C2" s="2">
        <f>('[1]Pc, Winter, S1'!C2*Main!$B$5)+(_xlfn.IFNA(VLOOKUP($A2,'FL Ratio'!$A$3:$B$10,2,FALSE),0)*'FL Characterization'!C$2)</f>
        <v>34.259623509323383</v>
      </c>
      <c r="D2" s="2">
        <f>('[1]Pc, Winter, S1'!D2*Main!$B$5)+(_xlfn.IFNA(VLOOKUP($A2,'FL Ratio'!$A$3:$B$10,2,FALSE),0)*'FL Characterization'!D$2)</f>
        <v>32.462046120585498</v>
      </c>
      <c r="E2" s="2">
        <f>('[1]Pc, Winter, S1'!E2*Main!$B$5)+(_xlfn.IFNA(VLOOKUP($A2,'FL Ratio'!$A$3:$B$10,2,FALSE),0)*'FL Characterization'!E$2)</f>
        <v>32.23235907851123</v>
      </c>
      <c r="F2" s="2">
        <f>('[1]Pc, Winter, S1'!F2*Main!$B$5)+(_xlfn.IFNA(VLOOKUP($A2,'FL Ratio'!$A$3:$B$10,2,FALSE),0)*'FL Characterization'!F$2)</f>
        <v>32.621154510329198</v>
      </c>
      <c r="G2" s="2">
        <f>('[1]Pc, Winter, S1'!G2*Main!$B$5)+(_xlfn.IFNA(VLOOKUP($A2,'FL Ratio'!$A$3:$B$10,2,FALSE),0)*'FL Characterization'!G$2)</f>
        <v>35.857692199628069</v>
      </c>
      <c r="H2" s="2">
        <f>('[1]Pc, Winter, S1'!H2*Main!$B$5)+(_xlfn.IFNA(VLOOKUP($A2,'FL Ratio'!$A$3:$B$10,2,FALSE),0)*'FL Characterization'!H$2)</f>
        <v>42.786965384247132</v>
      </c>
      <c r="I2" s="2">
        <f>('[1]Pc, Winter, S1'!I2*Main!$B$5)+(_xlfn.IFNA(VLOOKUP($A2,'FL Ratio'!$A$3:$B$10,2,FALSE),0)*'FL Characterization'!I$2)</f>
        <v>51.502461523789066</v>
      </c>
      <c r="J2" s="2">
        <f>('[1]Pc, Winter, S1'!J2*Main!$B$5)+(_xlfn.IFNA(VLOOKUP($A2,'FL Ratio'!$A$3:$B$10,2,FALSE),0)*'FL Characterization'!J$2)</f>
        <v>56.072185814432473</v>
      </c>
      <c r="K2" s="2">
        <f>('[1]Pc, Winter, S1'!K2*Main!$B$5)+(_xlfn.IFNA(VLOOKUP($A2,'FL Ratio'!$A$3:$B$10,2,FALSE),0)*'FL Characterization'!K$2)</f>
        <v>56.771396423472432</v>
      </c>
      <c r="L2" s="2">
        <f>('[1]Pc, Winter, S1'!L2*Main!$B$5)+(_xlfn.IFNA(VLOOKUP($A2,'FL Ratio'!$A$3:$B$10,2,FALSE),0)*'FL Characterization'!L$2)</f>
        <v>55.239326660814775</v>
      </c>
      <c r="M2" s="2">
        <f>('[1]Pc, Winter, S1'!M2*Main!$B$5)+(_xlfn.IFNA(VLOOKUP($A2,'FL Ratio'!$A$3:$B$10,2,FALSE),0)*'FL Characterization'!M$2)</f>
        <v>55.524037533700579</v>
      </c>
      <c r="N2" s="2">
        <f>('[1]Pc, Winter, S1'!N2*Main!$B$5)+(_xlfn.IFNA(VLOOKUP($A2,'FL Ratio'!$A$3:$B$10,2,FALSE),0)*'FL Characterization'!N$2)</f>
        <v>55.478409435350862</v>
      </c>
      <c r="O2" s="2">
        <f>('[1]Pc, Winter, S1'!O2*Main!$B$5)+(_xlfn.IFNA(VLOOKUP($A2,'FL Ratio'!$A$3:$B$10,2,FALSE),0)*'FL Characterization'!O$2)</f>
        <v>54.57247672415695</v>
      </c>
      <c r="P2" s="2">
        <f>('[1]Pc, Winter, S1'!P2*Main!$B$5)+(_xlfn.IFNA(VLOOKUP($A2,'FL Ratio'!$A$3:$B$10,2,FALSE),0)*'FL Characterization'!P$2)</f>
        <v>51.46241565969548</v>
      </c>
      <c r="Q2" s="2">
        <f>('[1]Pc, Winter, S1'!Q2*Main!$B$5)+(_xlfn.IFNA(VLOOKUP($A2,'FL Ratio'!$A$3:$B$10,2,FALSE),0)*'FL Characterization'!Q$2)</f>
        <v>49.987998438386747</v>
      </c>
      <c r="R2" s="2">
        <f>('[1]Pc, Winter, S1'!R2*Main!$B$5)+(_xlfn.IFNA(VLOOKUP($A2,'FL Ratio'!$A$3:$B$10,2,FALSE),0)*'FL Characterization'!R$2)</f>
        <v>52.059956939467504</v>
      </c>
      <c r="S2" s="2">
        <f>('[1]Pc, Winter, S1'!S2*Main!$B$5)+(_xlfn.IFNA(VLOOKUP($A2,'FL Ratio'!$A$3:$B$10,2,FALSE),0)*'FL Characterization'!S$2)</f>
        <v>57.709439775775543</v>
      </c>
      <c r="T2" s="2">
        <f>('[1]Pc, Winter, S1'!T2*Main!$B$5)+(_xlfn.IFNA(VLOOKUP($A2,'FL Ratio'!$A$3:$B$10,2,FALSE),0)*'FL Characterization'!T$2)</f>
        <v>57.500243969303888</v>
      </c>
      <c r="U2" s="2">
        <f>('[1]Pc, Winter, S1'!U2*Main!$B$5)+(_xlfn.IFNA(VLOOKUP($A2,'FL Ratio'!$A$3:$B$10,2,FALSE),0)*'FL Characterization'!U$2)</f>
        <v>56.309782159486062</v>
      </c>
      <c r="V2" s="2">
        <f>('[1]Pc, Winter, S1'!V2*Main!$B$5)+(_xlfn.IFNA(VLOOKUP($A2,'FL Ratio'!$A$3:$B$10,2,FALSE),0)*'FL Characterization'!V$2)</f>
        <v>55.341399625819875</v>
      </c>
      <c r="W2" s="2">
        <f>('[1]Pc, Winter, S1'!W2*Main!$B$5)+(_xlfn.IFNA(VLOOKUP($A2,'FL Ratio'!$A$3:$B$10,2,FALSE),0)*'FL Characterization'!W$2)</f>
        <v>51.869776689233547</v>
      </c>
      <c r="X2" s="2">
        <f>('[1]Pc, Winter, S1'!X2*Main!$B$5)+(_xlfn.IFNA(VLOOKUP($A2,'FL Ratio'!$A$3:$B$10,2,FALSE),0)*'FL Characterization'!X$2)</f>
        <v>45.37640384652606</v>
      </c>
      <c r="Y2" s="2">
        <f>('[1]Pc, Winter, S1'!Y2*Main!$B$5)+(_xlfn.IFNA(VLOOKUP($A2,'FL Ratio'!$A$3:$B$10,2,FALSE),0)*'FL Characterization'!Y$2)</f>
        <v>41.167916544987825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36.316820828082832</v>
      </c>
      <c r="C3" s="2">
        <f>('[1]Pc, Winter, S1'!C3*Main!$B$5)+(_xlfn.IFNA(VLOOKUP($A3,'FL Ratio'!$A$3:$B$10,2,FALSE),0)*'FL Characterization'!C$2)</f>
        <v>33.747459839761191</v>
      </c>
      <c r="D3" s="2">
        <f>('[1]Pc, Winter, S1'!D3*Main!$B$5)+(_xlfn.IFNA(VLOOKUP($A3,'FL Ratio'!$A$3:$B$10,2,FALSE),0)*'FL Characterization'!D$2)</f>
        <v>30.539852747964172</v>
      </c>
      <c r="E3" s="2">
        <f>('[1]Pc, Winter, S1'!E3*Main!$B$5)+(_xlfn.IFNA(VLOOKUP($A3,'FL Ratio'!$A$3:$B$10,2,FALSE),0)*'FL Characterization'!E$2)</f>
        <v>32.847364666049053</v>
      </c>
      <c r="F3" s="2">
        <f>('[1]Pc, Winter, S1'!F3*Main!$B$5)+(_xlfn.IFNA(VLOOKUP($A3,'FL Ratio'!$A$3:$B$10,2,FALSE),0)*'FL Characterization'!F$2)</f>
        <v>32.732806138674555</v>
      </c>
      <c r="G3" s="2">
        <f>('[1]Pc, Winter, S1'!G3*Main!$B$5)+(_xlfn.IFNA(VLOOKUP($A3,'FL Ratio'!$A$3:$B$10,2,FALSE),0)*'FL Characterization'!G$2)</f>
        <v>34.123853371506911</v>
      </c>
      <c r="H3" s="2">
        <f>('[1]Pc, Winter, S1'!H3*Main!$B$5)+(_xlfn.IFNA(VLOOKUP($A3,'FL Ratio'!$A$3:$B$10,2,FALSE),0)*'FL Characterization'!H$2)</f>
        <v>50.783818156752901</v>
      </c>
      <c r="I3" s="2">
        <f>('[1]Pc, Winter, S1'!I3*Main!$B$5)+(_xlfn.IFNA(VLOOKUP($A3,'FL Ratio'!$A$3:$B$10,2,FALSE),0)*'FL Characterization'!I$2)</f>
        <v>56.560796778208072</v>
      </c>
      <c r="J3" s="2">
        <f>('[1]Pc, Winter, S1'!J3*Main!$B$5)+(_xlfn.IFNA(VLOOKUP($A3,'FL Ratio'!$A$3:$B$10,2,FALSE),0)*'FL Characterization'!J$2)</f>
        <v>62.010462326094348</v>
      </c>
      <c r="K3" s="2">
        <f>('[1]Pc, Winter, S1'!K3*Main!$B$5)+(_xlfn.IFNA(VLOOKUP($A3,'FL Ratio'!$A$3:$B$10,2,FALSE),0)*'FL Characterization'!K$2)</f>
        <v>62.043190826267512</v>
      </c>
      <c r="L3" s="2">
        <f>('[1]Pc, Winter, S1'!L3*Main!$B$5)+(_xlfn.IFNA(VLOOKUP($A3,'FL Ratio'!$A$3:$B$10,2,FALSE),0)*'FL Characterization'!L$2)</f>
        <v>58.606466675114277</v>
      </c>
      <c r="M3" s="2">
        <f>('[1]Pc, Winter, S1'!M3*Main!$B$5)+(_xlfn.IFNA(VLOOKUP($A3,'FL Ratio'!$A$3:$B$10,2,FALSE),0)*'FL Characterization'!M$2)</f>
        <v>64.121599750861719</v>
      </c>
      <c r="N3" s="2">
        <f>('[1]Pc, Winter, S1'!N3*Main!$B$5)+(_xlfn.IFNA(VLOOKUP($A3,'FL Ratio'!$A$3:$B$10,2,FALSE),0)*'FL Characterization'!N$2)</f>
        <v>60.47212455961418</v>
      </c>
      <c r="O3" s="2">
        <f>('[1]Pc, Winter, S1'!O3*Main!$B$5)+(_xlfn.IFNA(VLOOKUP($A3,'FL Ratio'!$A$3:$B$10,2,FALSE),0)*'FL Characterization'!O$2)</f>
        <v>56.6098947991361</v>
      </c>
      <c r="P3" s="2">
        <f>('[1]Pc, Winter, S1'!P3*Main!$B$5)+(_xlfn.IFNA(VLOOKUP($A3,'FL Ratio'!$A$3:$B$10,2,FALSE),0)*'FL Characterization'!P$2)</f>
        <v>54.891530968205792</v>
      </c>
      <c r="Q3" s="2">
        <f>('[1]Pc, Winter, S1'!Q3*Main!$B$5)+(_xlfn.IFNA(VLOOKUP($A3,'FL Ratio'!$A$3:$B$10,2,FALSE),0)*'FL Characterization'!Q$2)</f>
        <v>51.291146762649902</v>
      </c>
      <c r="R3" s="2">
        <f>('[1]Pc, Winter, S1'!R3*Main!$B$5)+(_xlfn.IFNA(VLOOKUP($A3,'FL Ratio'!$A$3:$B$10,2,FALSE),0)*'FL Characterization'!R$2)</f>
        <v>51.323878773530431</v>
      </c>
      <c r="S3" s="2">
        <f>('[1]Pc, Winter, S1'!S3*Main!$B$5)+(_xlfn.IFNA(VLOOKUP($A3,'FL Ratio'!$A$3:$B$10,2,FALSE),0)*'FL Characterization'!S$2)</f>
        <v>54.335111376617164</v>
      </c>
      <c r="T3" s="2">
        <f>('[1]Pc, Winter, S1'!T3*Main!$B$5)+(_xlfn.IFNA(VLOOKUP($A3,'FL Ratio'!$A$3:$B$10,2,FALSE),0)*'FL Characterization'!T$2)</f>
        <v>54.335111376617164</v>
      </c>
      <c r="U3" s="2">
        <f>('[1]Pc, Winter, S1'!U3*Main!$B$5)+(_xlfn.IFNA(VLOOKUP($A3,'FL Ratio'!$A$3:$B$10,2,FALSE),0)*'FL Characterization'!U$2)</f>
        <v>55.153369487891588</v>
      </c>
      <c r="V3" s="2">
        <f>('[1]Pc, Winter, S1'!V3*Main!$B$5)+(_xlfn.IFNA(VLOOKUP($A3,'FL Ratio'!$A$3:$B$10,2,FALSE),0)*'FL Characterization'!V$2)</f>
        <v>53.664119191788494</v>
      </c>
      <c r="W3" s="2">
        <f>('[1]Pc, Winter, S1'!W3*Main!$B$5)+(_xlfn.IFNA(VLOOKUP($A3,'FL Ratio'!$A$3:$B$10,2,FALSE),0)*'FL Characterization'!W$2)</f>
        <v>48.492658182849972</v>
      </c>
      <c r="X3" s="2">
        <f>('[1]Pc, Winter, S1'!X3*Main!$B$5)+(_xlfn.IFNA(VLOOKUP($A3,'FL Ratio'!$A$3:$B$10,2,FALSE),0)*'FL Characterization'!X$2)</f>
        <v>41.013688757319457</v>
      </c>
      <c r="Y3" s="2">
        <f>('[1]Pc, Winter, S1'!Y3*Main!$B$5)+(_xlfn.IFNA(VLOOKUP($A3,'FL Ratio'!$A$3:$B$10,2,FALSE),0)*'FL Characterization'!Y$2)</f>
        <v>39.688087983496942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52.787367746443707</v>
      </c>
      <c r="C4" s="2">
        <f>('[1]Pc, Winter, S1'!C4*Main!$B$5)+(_xlfn.IFNA(VLOOKUP($A4,'FL Ratio'!$A$3:$B$10,2,FALSE),0)*'FL Characterization'!C$2)</f>
        <v>46.445743257789836</v>
      </c>
      <c r="D4" s="2">
        <f>('[1]Pc, Winter, S1'!D4*Main!$B$5)+(_xlfn.IFNA(VLOOKUP($A4,'FL Ratio'!$A$3:$B$10,2,FALSE),0)*'FL Characterization'!D$2)</f>
        <v>43.726520897613035</v>
      </c>
      <c r="E4" s="2">
        <f>('[1]Pc, Winter, S1'!E4*Main!$B$5)+(_xlfn.IFNA(VLOOKUP($A4,'FL Ratio'!$A$3:$B$10,2,FALSE),0)*'FL Characterization'!E$2)</f>
        <v>43.207247836085564</v>
      </c>
      <c r="F4" s="2">
        <f>('[1]Pc, Winter, S1'!F4*Main!$B$5)+(_xlfn.IFNA(VLOOKUP($A4,'FL Ratio'!$A$3:$B$10,2,FALSE),0)*'FL Characterization'!F$2)</f>
        <v>45.225178094217412</v>
      </c>
      <c r="G4" s="2">
        <f>('[1]Pc, Winter, S1'!G4*Main!$B$5)+(_xlfn.IFNA(VLOOKUP($A4,'FL Ratio'!$A$3:$B$10,2,FALSE),0)*'FL Characterization'!G$2)</f>
        <v>48.829794404961909</v>
      </c>
      <c r="H4" s="2">
        <f>('[1]Pc, Winter, S1'!H4*Main!$B$5)+(_xlfn.IFNA(VLOOKUP($A4,'FL Ratio'!$A$3:$B$10,2,FALSE),0)*'FL Characterization'!H$2)</f>
        <v>58.921689934451948</v>
      </c>
      <c r="I4" s="2">
        <f>('[1]Pc, Winter, S1'!I4*Main!$B$5)+(_xlfn.IFNA(VLOOKUP($A4,'FL Ratio'!$A$3:$B$10,2,FALSE),0)*'FL Characterization'!I$2)</f>
        <v>65.870654776756496</v>
      </c>
      <c r="J4" s="2">
        <f>('[1]Pc, Winter, S1'!J4*Main!$B$5)+(_xlfn.IFNA(VLOOKUP($A4,'FL Ratio'!$A$3:$B$10,2,FALSE),0)*'FL Characterization'!J$2)</f>
        <v>69.718097411857315</v>
      </c>
      <c r="K4" s="2">
        <f>('[1]Pc, Winter, S1'!K4*Main!$B$5)+(_xlfn.IFNA(VLOOKUP($A4,'FL Ratio'!$A$3:$B$10,2,FALSE),0)*'FL Characterization'!K$2)</f>
        <v>72.089849527241299</v>
      </c>
      <c r="L4" s="2">
        <f>('[1]Pc, Winter, S1'!L4*Main!$B$5)+(_xlfn.IFNA(VLOOKUP($A4,'FL Ratio'!$A$3:$B$10,2,FALSE),0)*'FL Characterization'!L$2)</f>
        <v>72.749439496700518</v>
      </c>
      <c r="M4" s="2">
        <f>('[1]Pc, Winter, S1'!M4*Main!$B$5)+(_xlfn.IFNA(VLOOKUP($A4,'FL Ratio'!$A$3:$B$10,2,FALSE),0)*'FL Characterization'!M$2)</f>
        <v>71.990637011058297</v>
      </c>
      <c r="N4" s="2">
        <f>('[1]Pc, Winter, S1'!N4*Main!$B$5)+(_xlfn.IFNA(VLOOKUP($A4,'FL Ratio'!$A$3:$B$10,2,FALSE),0)*'FL Characterization'!N$2)</f>
        <v>71.582147172016121</v>
      </c>
      <c r="O4" s="2">
        <f>('[1]Pc, Winter, S1'!O4*Main!$B$5)+(_xlfn.IFNA(VLOOKUP($A4,'FL Ratio'!$A$3:$B$10,2,FALSE),0)*'FL Characterization'!O$2)</f>
        <v>70.105980089044991</v>
      </c>
      <c r="P4" s="2">
        <f>('[1]Pc, Winter, S1'!P4*Main!$B$5)+(_xlfn.IFNA(VLOOKUP($A4,'FL Ratio'!$A$3:$B$10,2,FALSE),0)*'FL Characterization'!P$2)</f>
        <v>67.874383026484864</v>
      </c>
      <c r="Q4" s="2">
        <f>('[1]Pc, Winter, S1'!Q4*Main!$B$5)+(_xlfn.IFNA(VLOOKUP($A4,'FL Ratio'!$A$3:$B$10,2,FALSE),0)*'FL Characterization'!Q$2)</f>
        <v>66.645405087271342</v>
      </c>
      <c r="R4" s="2">
        <f>('[1]Pc, Winter, S1'!R4*Main!$B$5)+(_xlfn.IFNA(VLOOKUP($A4,'FL Ratio'!$A$3:$B$10,2,FALSE),0)*'FL Characterization'!R$2)</f>
        <v>69.024602964043979</v>
      </c>
      <c r="S4" s="2">
        <f>('[1]Pc, Winter, S1'!S4*Main!$B$5)+(_xlfn.IFNA(VLOOKUP($A4,'FL Ratio'!$A$3:$B$10,2,FALSE),0)*'FL Characterization'!S$2)</f>
        <v>78.145628076846009</v>
      </c>
      <c r="T4" s="2">
        <f>('[1]Pc, Winter, S1'!T4*Main!$B$5)+(_xlfn.IFNA(VLOOKUP($A4,'FL Ratio'!$A$3:$B$10,2,FALSE),0)*'FL Characterization'!T$2)</f>
        <v>79.678779317708162</v>
      </c>
      <c r="U4" s="2">
        <f>('[1]Pc, Winter, S1'!U4*Main!$B$5)+(_xlfn.IFNA(VLOOKUP($A4,'FL Ratio'!$A$3:$B$10,2,FALSE),0)*'FL Characterization'!U$2)</f>
        <v>80.151999688577135</v>
      </c>
      <c r="V4" s="2">
        <f>('[1]Pc, Winter, S1'!V4*Main!$B$5)+(_xlfn.IFNA(VLOOKUP($A4,'FL Ratio'!$A$3:$B$10,2,FALSE),0)*'FL Characterization'!V$2)</f>
        <v>77.768524626704476</v>
      </c>
      <c r="W4" s="2">
        <f>('[1]Pc, Winter, S1'!W4*Main!$B$5)+(_xlfn.IFNA(VLOOKUP($A4,'FL Ratio'!$A$3:$B$10,2,FALSE),0)*'FL Characterization'!W$2)</f>
        <v>74.213596509811481</v>
      </c>
      <c r="X4" s="2">
        <f>('[1]Pc, Winter, S1'!X4*Main!$B$5)+(_xlfn.IFNA(VLOOKUP($A4,'FL Ratio'!$A$3:$B$10,2,FALSE),0)*'FL Characterization'!X$2)</f>
        <v>67.671939923333184</v>
      </c>
      <c r="Y4" s="2">
        <f>('[1]Pc, Winter, S1'!Y4*Main!$B$5)+(_xlfn.IFNA(VLOOKUP($A4,'FL Ratio'!$A$3:$B$10,2,FALSE),0)*'FL Characterization'!Y$2)</f>
        <v>59.815692640490198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36.729762713896648</v>
      </c>
      <c r="C2" s="2">
        <f>('[1]Pc, Winter, S1'!C2*Main!$B$5)+(_xlfn.IFNA(VLOOKUP($A2,'FL Ratio'!$A$3:$B$10,2,FALSE),0)*'FL Characterization'!C$2)</f>
        <v>34.259623509323383</v>
      </c>
      <c r="D2" s="2">
        <f>('[1]Pc, Winter, S1'!D2*Main!$B$5)+(_xlfn.IFNA(VLOOKUP($A2,'FL Ratio'!$A$3:$B$10,2,FALSE),0)*'FL Characterization'!D$2)</f>
        <v>32.462046120585498</v>
      </c>
      <c r="E2" s="2">
        <f>('[1]Pc, Winter, S1'!E2*Main!$B$5)+(_xlfn.IFNA(VLOOKUP($A2,'FL Ratio'!$A$3:$B$10,2,FALSE),0)*'FL Characterization'!E$2)</f>
        <v>32.23235907851123</v>
      </c>
      <c r="F2" s="2">
        <f>('[1]Pc, Winter, S1'!F2*Main!$B$5)+(_xlfn.IFNA(VLOOKUP($A2,'FL Ratio'!$A$3:$B$10,2,FALSE),0)*'FL Characterization'!F$2)</f>
        <v>32.621154510329198</v>
      </c>
      <c r="G2" s="2">
        <f>('[1]Pc, Winter, S1'!G2*Main!$B$5)+(_xlfn.IFNA(VLOOKUP($A2,'FL Ratio'!$A$3:$B$10,2,FALSE),0)*'FL Characterization'!G$2)</f>
        <v>35.857692199628069</v>
      </c>
      <c r="H2" s="2">
        <f>('[1]Pc, Winter, S1'!H2*Main!$B$5)+(_xlfn.IFNA(VLOOKUP($A2,'FL Ratio'!$A$3:$B$10,2,FALSE),0)*'FL Characterization'!H$2)</f>
        <v>42.786965384247132</v>
      </c>
      <c r="I2" s="2">
        <f>('[1]Pc, Winter, S1'!I2*Main!$B$5)+(_xlfn.IFNA(VLOOKUP($A2,'FL Ratio'!$A$3:$B$10,2,FALSE),0)*'FL Characterization'!I$2)</f>
        <v>51.502461523789066</v>
      </c>
      <c r="J2" s="2">
        <f>('[1]Pc, Winter, S1'!J2*Main!$B$5)+(_xlfn.IFNA(VLOOKUP($A2,'FL Ratio'!$A$3:$B$10,2,FALSE),0)*'FL Characterization'!J$2)</f>
        <v>56.072185814432473</v>
      </c>
      <c r="K2" s="2">
        <f>('[1]Pc, Winter, S1'!K2*Main!$B$5)+(_xlfn.IFNA(VLOOKUP($A2,'FL Ratio'!$A$3:$B$10,2,FALSE),0)*'FL Characterization'!K$2)</f>
        <v>56.771396423472432</v>
      </c>
      <c r="L2" s="2">
        <f>('[1]Pc, Winter, S1'!L2*Main!$B$5)+(_xlfn.IFNA(VLOOKUP($A2,'FL Ratio'!$A$3:$B$10,2,FALSE),0)*'FL Characterization'!L$2)</f>
        <v>55.239326660814775</v>
      </c>
      <c r="M2" s="2">
        <f>('[1]Pc, Winter, S1'!M2*Main!$B$5)+(_xlfn.IFNA(VLOOKUP($A2,'FL Ratio'!$A$3:$B$10,2,FALSE),0)*'FL Characterization'!M$2)</f>
        <v>55.524037533700579</v>
      </c>
      <c r="N2" s="2">
        <f>('[1]Pc, Winter, S1'!N2*Main!$B$5)+(_xlfn.IFNA(VLOOKUP($A2,'FL Ratio'!$A$3:$B$10,2,FALSE),0)*'FL Characterization'!N$2)</f>
        <v>55.478409435350862</v>
      </c>
      <c r="O2" s="2">
        <f>('[1]Pc, Winter, S1'!O2*Main!$B$5)+(_xlfn.IFNA(VLOOKUP($A2,'FL Ratio'!$A$3:$B$10,2,FALSE),0)*'FL Characterization'!O$2)</f>
        <v>54.57247672415695</v>
      </c>
      <c r="P2" s="2">
        <f>('[1]Pc, Winter, S1'!P2*Main!$B$5)+(_xlfn.IFNA(VLOOKUP($A2,'FL Ratio'!$A$3:$B$10,2,FALSE),0)*'FL Characterization'!P$2)</f>
        <v>51.46241565969548</v>
      </c>
      <c r="Q2" s="2">
        <f>('[1]Pc, Winter, S1'!Q2*Main!$B$5)+(_xlfn.IFNA(VLOOKUP($A2,'FL Ratio'!$A$3:$B$10,2,FALSE),0)*'FL Characterization'!Q$2)</f>
        <v>49.987998438386747</v>
      </c>
      <c r="R2" s="2">
        <f>('[1]Pc, Winter, S1'!R2*Main!$B$5)+(_xlfn.IFNA(VLOOKUP($A2,'FL Ratio'!$A$3:$B$10,2,FALSE),0)*'FL Characterization'!R$2)</f>
        <v>52.059956939467504</v>
      </c>
      <c r="S2" s="2">
        <f>('[1]Pc, Winter, S1'!S2*Main!$B$5)+(_xlfn.IFNA(VLOOKUP($A2,'FL Ratio'!$A$3:$B$10,2,FALSE),0)*'FL Characterization'!S$2)</f>
        <v>57.709439775775543</v>
      </c>
      <c r="T2" s="2">
        <f>('[1]Pc, Winter, S1'!T2*Main!$B$5)+(_xlfn.IFNA(VLOOKUP($A2,'FL Ratio'!$A$3:$B$10,2,FALSE),0)*'FL Characterization'!T$2)</f>
        <v>57.500243969303888</v>
      </c>
      <c r="U2" s="2">
        <f>('[1]Pc, Winter, S1'!U2*Main!$B$5)+(_xlfn.IFNA(VLOOKUP($A2,'FL Ratio'!$A$3:$B$10,2,FALSE),0)*'FL Characterization'!U$2)</f>
        <v>56.309782159486062</v>
      </c>
      <c r="V2" s="2">
        <f>('[1]Pc, Winter, S1'!V2*Main!$B$5)+(_xlfn.IFNA(VLOOKUP($A2,'FL Ratio'!$A$3:$B$10,2,FALSE),0)*'FL Characterization'!V$2)</f>
        <v>55.341399625819875</v>
      </c>
      <c r="W2" s="2">
        <f>('[1]Pc, Winter, S1'!W2*Main!$B$5)+(_xlfn.IFNA(VLOOKUP($A2,'FL Ratio'!$A$3:$B$10,2,FALSE),0)*'FL Characterization'!W$2)</f>
        <v>51.869776689233547</v>
      </c>
      <c r="X2" s="2">
        <f>('[1]Pc, Winter, S1'!X2*Main!$B$5)+(_xlfn.IFNA(VLOOKUP($A2,'FL Ratio'!$A$3:$B$10,2,FALSE),0)*'FL Characterization'!X$2)</f>
        <v>45.37640384652606</v>
      </c>
      <c r="Y2" s="2">
        <f>('[1]Pc, Winter, S1'!Y2*Main!$B$5)+(_xlfn.IFNA(VLOOKUP($A2,'FL Ratio'!$A$3:$B$10,2,FALSE),0)*'FL Characterization'!Y$2)</f>
        <v>41.167916544987825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36.316820828082832</v>
      </c>
      <c r="C3" s="2">
        <f>('[1]Pc, Winter, S1'!C3*Main!$B$5)+(_xlfn.IFNA(VLOOKUP($A3,'FL Ratio'!$A$3:$B$10,2,FALSE),0)*'FL Characterization'!C$2)</f>
        <v>33.747459839761191</v>
      </c>
      <c r="D3" s="2">
        <f>('[1]Pc, Winter, S1'!D3*Main!$B$5)+(_xlfn.IFNA(VLOOKUP($A3,'FL Ratio'!$A$3:$B$10,2,FALSE),0)*'FL Characterization'!D$2)</f>
        <v>30.539852747964172</v>
      </c>
      <c r="E3" s="2">
        <f>('[1]Pc, Winter, S1'!E3*Main!$B$5)+(_xlfn.IFNA(VLOOKUP($A3,'FL Ratio'!$A$3:$B$10,2,FALSE),0)*'FL Characterization'!E$2)</f>
        <v>32.847364666049053</v>
      </c>
      <c r="F3" s="2">
        <f>('[1]Pc, Winter, S1'!F3*Main!$B$5)+(_xlfn.IFNA(VLOOKUP($A3,'FL Ratio'!$A$3:$B$10,2,FALSE),0)*'FL Characterization'!F$2)</f>
        <v>32.732806138674555</v>
      </c>
      <c r="G3" s="2">
        <f>('[1]Pc, Winter, S1'!G3*Main!$B$5)+(_xlfn.IFNA(VLOOKUP($A3,'FL Ratio'!$A$3:$B$10,2,FALSE),0)*'FL Characterization'!G$2)</f>
        <v>34.123853371506911</v>
      </c>
      <c r="H3" s="2">
        <f>('[1]Pc, Winter, S1'!H3*Main!$B$5)+(_xlfn.IFNA(VLOOKUP($A3,'FL Ratio'!$A$3:$B$10,2,FALSE),0)*'FL Characterization'!H$2)</f>
        <v>50.783818156752901</v>
      </c>
      <c r="I3" s="2">
        <f>('[1]Pc, Winter, S1'!I3*Main!$B$5)+(_xlfn.IFNA(VLOOKUP($A3,'FL Ratio'!$A$3:$B$10,2,FALSE),0)*'FL Characterization'!I$2)</f>
        <v>56.560796778208072</v>
      </c>
      <c r="J3" s="2">
        <f>('[1]Pc, Winter, S1'!J3*Main!$B$5)+(_xlfn.IFNA(VLOOKUP($A3,'FL Ratio'!$A$3:$B$10,2,FALSE),0)*'FL Characterization'!J$2)</f>
        <v>62.010462326094348</v>
      </c>
      <c r="K3" s="2">
        <f>('[1]Pc, Winter, S1'!K3*Main!$B$5)+(_xlfn.IFNA(VLOOKUP($A3,'FL Ratio'!$A$3:$B$10,2,FALSE),0)*'FL Characterization'!K$2)</f>
        <v>62.043190826267512</v>
      </c>
      <c r="L3" s="2">
        <f>('[1]Pc, Winter, S1'!L3*Main!$B$5)+(_xlfn.IFNA(VLOOKUP($A3,'FL Ratio'!$A$3:$B$10,2,FALSE),0)*'FL Characterization'!L$2)</f>
        <v>58.606466675114277</v>
      </c>
      <c r="M3" s="2">
        <f>('[1]Pc, Winter, S1'!M3*Main!$B$5)+(_xlfn.IFNA(VLOOKUP($A3,'FL Ratio'!$A$3:$B$10,2,FALSE),0)*'FL Characterization'!M$2)</f>
        <v>64.121599750861719</v>
      </c>
      <c r="N3" s="2">
        <f>('[1]Pc, Winter, S1'!N3*Main!$B$5)+(_xlfn.IFNA(VLOOKUP($A3,'FL Ratio'!$A$3:$B$10,2,FALSE),0)*'FL Characterization'!N$2)</f>
        <v>60.47212455961418</v>
      </c>
      <c r="O3" s="2">
        <f>('[1]Pc, Winter, S1'!O3*Main!$B$5)+(_xlfn.IFNA(VLOOKUP($A3,'FL Ratio'!$A$3:$B$10,2,FALSE),0)*'FL Characterization'!O$2)</f>
        <v>56.6098947991361</v>
      </c>
      <c r="P3" s="2">
        <f>('[1]Pc, Winter, S1'!P3*Main!$B$5)+(_xlfn.IFNA(VLOOKUP($A3,'FL Ratio'!$A$3:$B$10,2,FALSE),0)*'FL Characterization'!P$2)</f>
        <v>54.891530968205792</v>
      </c>
      <c r="Q3" s="2">
        <f>('[1]Pc, Winter, S1'!Q3*Main!$B$5)+(_xlfn.IFNA(VLOOKUP($A3,'FL Ratio'!$A$3:$B$10,2,FALSE),0)*'FL Characterization'!Q$2)</f>
        <v>51.291146762649902</v>
      </c>
      <c r="R3" s="2">
        <f>('[1]Pc, Winter, S1'!R3*Main!$B$5)+(_xlfn.IFNA(VLOOKUP($A3,'FL Ratio'!$A$3:$B$10,2,FALSE),0)*'FL Characterization'!R$2)</f>
        <v>51.323878773530431</v>
      </c>
      <c r="S3" s="2">
        <f>('[1]Pc, Winter, S1'!S3*Main!$B$5)+(_xlfn.IFNA(VLOOKUP($A3,'FL Ratio'!$A$3:$B$10,2,FALSE),0)*'FL Characterization'!S$2)</f>
        <v>54.335111376617164</v>
      </c>
      <c r="T3" s="2">
        <f>('[1]Pc, Winter, S1'!T3*Main!$B$5)+(_xlfn.IFNA(VLOOKUP($A3,'FL Ratio'!$A$3:$B$10,2,FALSE),0)*'FL Characterization'!T$2)</f>
        <v>54.335111376617164</v>
      </c>
      <c r="U3" s="2">
        <f>('[1]Pc, Winter, S1'!U3*Main!$B$5)+(_xlfn.IFNA(VLOOKUP($A3,'FL Ratio'!$A$3:$B$10,2,FALSE),0)*'FL Characterization'!U$2)</f>
        <v>55.153369487891588</v>
      </c>
      <c r="V3" s="2">
        <f>('[1]Pc, Winter, S1'!V3*Main!$B$5)+(_xlfn.IFNA(VLOOKUP($A3,'FL Ratio'!$A$3:$B$10,2,FALSE),0)*'FL Characterization'!V$2)</f>
        <v>53.664119191788494</v>
      </c>
      <c r="W3" s="2">
        <f>('[1]Pc, Winter, S1'!W3*Main!$B$5)+(_xlfn.IFNA(VLOOKUP($A3,'FL Ratio'!$A$3:$B$10,2,FALSE),0)*'FL Characterization'!W$2)</f>
        <v>48.492658182849972</v>
      </c>
      <c r="X3" s="2">
        <f>('[1]Pc, Winter, S1'!X3*Main!$B$5)+(_xlfn.IFNA(VLOOKUP($A3,'FL Ratio'!$A$3:$B$10,2,FALSE),0)*'FL Characterization'!X$2)</f>
        <v>41.013688757319457</v>
      </c>
      <c r="Y3" s="2">
        <f>('[1]Pc, Winter, S1'!Y3*Main!$B$5)+(_xlfn.IFNA(VLOOKUP($A3,'FL Ratio'!$A$3:$B$10,2,FALSE),0)*'FL Characterization'!Y$2)</f>
        <v>39.688087983496942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52.787367746443707</v>
      </c>
      <c r="C4" s="2">
        <f>('[1]Pc, Winter, S1'!C4*Main!$B$5)+(_xlfn.IFNA(VLOOKUP($A4,'FL Ratio'!$A$3:$B$10,2,FALSE),0)*'FL Characterization'!C$2)</f>
        <v>46.445743257789836</v>
      </c>
      <c r="D4" s="2">
        <f>('[1]Pc, Winter, S1'!D4*Main!$B$5)+(_xlfn.IFNA(VLOOKUP($A4,'FL Ratio'!$A$3:$B$10,2,FALSE),0)*'FL Characterization'!D$2)</f>
        <v>43.726520897613035</v>
      </c>
      <c r="E4" s="2">
        <f>('[1]Pc, Winter, S1'!E4*Main!$B$5)+(_xlfn.IFNA(VLOOKUP($A4,'FL Ratio'!$A$3:$B$10,2,FALSE),0)*'FL Characterization'!E$2)</f>
        <v>43.207247836085564</v>
      </c>
      <c r="F4" s="2">
        <f>('[1]Pc, Winter, S1'!F4*Main!$B$5)+(_xlfn.IFNA(VLOOKUP($A4,'FL Ratio'!$A$3:$B$10,2,FALSE),0)*'FL Characterization'!F$2)</f>
        <v>45.225178094217412</v>
      </c>
      <c r="G4" s="2">
        <f>('[1]Pc, Winter, S1'!G4*Main!$B$5)+(_xlfn.IFNA(VLOOKUP($A4,'FL Ratio'!$A$3:$B$10,2,FALSE),0)*'FL Characterization'!G$2)</f>
        <v>48.829794404961909</v>
      </c>
      <c r="H4" s="2">
        <f>('[1]Pc, Winter, S1'!H4*Main!$B$5)+(_xlfn.IFNA(VLOOKUP($A4,'FL Ratio'!$A$3:$B$10,2,FALSE),0)*'FL Characterization'!H$2)</f>
        <v>58.921689934451948</v>
      </c>
      <c r="I4" s="2">
        <f>('[1]Pc, Winter, S1'!I4*Main!$B$5)+(_xlfn.IFNA(VLOOKUP($A4,'FL Ratio'!$A$3:$B$10,2,FALSE),0)*'FL Characterization'!I$2)</f>
        <v>65.870654776756496</v>
      </c>
      <c r="J4" s="2">
        <f>('[1]Pc, Winter, S1'!J4*Main!$B$5)+(_xlfn.IFNA(VLOOKUP($A4,'FL Ratio'!$A$3:$B$10,2,FALSE),0)*'FL Characterization'!J$2)</f>
        <v>69.718097411857315</v>
      </c>
      <c r="K4" s="2">
        <f>('[1]Pc, Winter, S1'!K4*Main!$B$5)+(_xlfn.IFNA(VLOOKUP($A4,'FL Ratio'!$A$3:$B$10,2,FALSE),0)*'FL Characterization'!K$2)</f>
        <v>72.089849527241299</v>
      </c>
      <c r="L4" s="2">
        <f>('[1]Pc, Winter, S1'!L4*Main!$B$5)+(_xlfn.IFNA(VLOOKUP($A4,'FL Ratio'!$A$3:$B$10,2,FALSE),0)*'FL Characterization'!L$2)</f>
        <v>72.749439496700518</v>
      </c>
      <c r="M4" s="2">
        <f>('[1]Pc, Winter, S1'!M4*Main!$B$5)+(_xlfn.IFNA(VLOOKUP($A4,'FL Ratio'!$A$3:$B$10,2,FALSE),0)*'FL Characterization'!M$2)</f>
        <v>71.990637011058297</v>
      </c>
      <c r="N4" s="2">
        <f>('[1]Pc, Winter, S1'!N4*Main!$B$5)+(_xlfn.IFNA(VLOOKUP($A4,'FL Ratio'!$A$3:$B$10,2,FALSE),0)*'FL Characterization'!N$2)</f>
        <v>71.582147172016121</v>
      </c>
      <c r="O4" s="2">
        <f>('[1]Pc, Winter, S1'!O4*Main!$B$5)+(_xlfn.IFNA(VLOOKUP($A4,'FL Ratio'!$A$3:$B$10,2,FALSE),0)*'FL Characterization'!O$2)</f>
        <v>70.105980089044991</v>
      </c>
      <c r="P4" s="2">
        <f>('[1]Pc, Winter, S1'!P4*Main!$B$5)+(_xlfn.IFNA(VLOOKUP($A4,'FL Ratio'!$A$3:$B$10,2,FALSE),0)*'FL Characterization'!P$2)</f>
        <v>67.874383026484864</v>
      </c>
      <c r="Q4" s="2">
        <f>('[1]Pc, Winter, S1'!Q4*Main!$B$5)+(_xlfn.IFNA(VLOOKUP($A4,'FL Ratio'!$A$3:$B$10,2,FALSE),0)*'FL Characterization'!Q$2)</f>
        <v>66.645405087271342</v>
      </c>
      <c r="R4" s="2">
        <f>('[1]Pc, Winter, S1'!R4*Main!$B$5)+(_xlfn.IFNA(VLOOKUP($A4,'FL Ratio'!$A$3:$B$10,2,FALSE),0)*'FL Characterization'!R$2)</f>
        <v>69.024602964043979</v>
      </c>
      <c r="S4" s="2">
        <f>('[1]Pc, Winter, S1'!S4*Main!$B$5)+(_xlfn.IFNA(VLOOKUP($A4,'FL Ratio'!$A$3:$B$10,2,FALSE),0)*'FL Characterization'!S$2)</f>
        <v>78.145628076846009</v>
      </c>
      <c r="T4" s="2">
        <f>('[1]Pc, Winter, S1'!T4*Main!$B$5)+(_xlfn.IFNA(VLOOKUP($A4,'FL Ratio'!$A$3:$B$10,2,FALSE),0)*'FL Characterization'!T$2)</f>
        <v>79.678779317708162</v>
      </c>
      <c r="U4" s="2">
        <f>('[1]Pc, Winter, S1'!U4*Main!$B$5)+(_xlfn.IFNA(VLOOKUP($A4,'FL Ratio'!$A$3:$B$10,2,FALSE),0)*'FL Characterization'!U$2)</f>
        <v>80.151999688577135</v>
      </c>
      <c r="V4" s="2">
        <f>('[1]Pc, Winter, S1'!V4*Main!$B$5)+(_xlfn.IFNA(VLOOKUP($A4,'FL Ratio'!$A$3:$B$10,2,FALSE),0)*'FL Characterization'!V$2)</f>
        <v>77.768524626704476</v>
      </c>
      <c r="W4" s="2">
        <f>('[1]Pc, Winter, S1'!W4*Main!$B$5)+(_xlfn.IFNA(VLOOKUP($A4,'FL Ratio'!$A$3:$B$10,2,FALSE),0)*'FL Characterization'!W$2)</f>
        <v>74.213596509811481</v>
      </c>
      <c r="X4" s="2">
        <f>('[1]Pc, Winter, S1'!X4*Main!$B$5)+(_xlfn.IFNA(VLOOKUP($A4,'FL Ratio'!$A$3:$B$10,2,FALSE),0)*'FL Characterization'!X$2)</f>
        <v>67.671939923333184</v>
      </c>
      <c r="Y4" s="2">
        <f>('[1]Pc, Winter, S1'!Y4*Main!$B$5)+(_xlfn.IFNA(VLOOKUP($A4,'FL Ratio'!$A$3:$B$10,2,FALSE),0)*'FL Characterization'!Y$2)</f>
        <v>59.815692640490198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36.729762713896648</v>
      </c>
      <c r="C2" s="2">
        <f>('[1]Pc, Winter, S1'!C2*Main!$B$5)+(_xlfn.IFNA(VLOOKUP($A2,'FL Ratio'!$A$3:$B$10,2,FALSE),0)*'FL Characterization'!C$2)</f>
        <v>34.259623509323383</v>
      </c>
      <c r="D2" s="2">
        <f>('[1]Pc, Winter, S1'!D2*Main!$B$5)+(_xlfn.IFNA(VLOOKUP($A2,'FL Ratio'!$A$3:$B$10,2,FALSE),0)*'FL Characterization'!D$2)</f>
        <v>32.462046120585498</v>
      </c>
      <c r="E2" s="2">
        <f>('[1]Pc, Winter, S1'!E2*Main!$B$5)+(_xlfn.IFNA(VLOOKUP($A2,'FL Ratio'!$A$3:$B$10,2,FALSE),0)*'FL Characterization'!E$2)</f>
        <v>32.23235907851123</v>
      </c>
      <c r="F2" s="2">
        <f>('[1]Pc, Winter, S1'!F2*Main!$B$5)+(_xlfn.IFNA(VLOOKUP($A2,'FL Ratio'!$A$3:$B$10,2,FALSE),0)*'FL Characterization'!F$2)</f>
        <v>32.621154510329198</v>
      </c>
      <c r="G2" s="2">
        <f>('[1]Pc, Winter, S1'!G2*Main!$B$5)+(_xlfn.IFNA(VLOOKUP($A2,'FL Ratio'!$A$3:$B$10,2,FALSE),0)*'FL Characterization'!G$2)</f>
        <v>35.857692199628069</v>
      </c>
      <c r="H2" s="2">
        <f>('[1]Pc, Winter, S1'!H2*Main!$B$5)+(_xlfn.IFNA(VLOOKUP($A2,'FL Ratio'!$A$3:$B$10,2,FALSE),0)*'FL Characterization'!H$2)</f>
        <v>42.786965384247132</v>
      </c>
      <c r="I2" s="2">
        <f>('[1]Pc, Winter, S1'!I2*Main!$B$5)+(_xlfn.IFNA(VLOOKUP($A2,'FL Ratio'!$A$3:$B$10,2,FALSE),0)*'FL Characterization'!I$2)</f>
        <v>51.502461523789066</v>
      </c>
      <c r="J2" s="2">
        <f>('[1]Pc, Winter, S1'!J2*Main!$B$5)+(_xlfn.IFNA(VLOOKUP($A2,'FL Ratio'!$A$3:$B$10,2,FALSE),0)*'FL Characterization'!J$2)</f>
        <v>56.072185814432473</v>
      </c>
      <c r="K2" s="2">
        <f>('[1]Pc, Winter, S1'!K2*Main!$B$5)+(_xlfn.IFNA(VLOOKUP($A2,'FL Ratio'!$A$3:$B$10,2,FALSE),0)*'FL Characterization'!K$2)</f>
        <v>56.771396423472432</v>
      </c>
      <c r="L2" s="2">
        <f>('[1]Pc, Winter, S1'!L2*Main!$B$5)+(_xlfn.IFNA(VLOOKUP($A2,'FL Ratio'!$A$3:$B$10,2,FALSE),0)*'FL Characterization'!L$2)</f>
        <v>55.239326660814775</v>
      </c>
      <c r="M2" s="2">
        <f>('[1]Pc, Winter, S1'!M2*Main!$B$5)+(_xlfn.IFNA(VLOOKUP($A2,'FL Ratio'!$A$3:$B$10,2,FALSE),0)*'FL Characterization'!M$2)</f>
        <v>55.524037533700579</v>
      </c>
      <c r="N2" s="2">
        <f>('[1]Pc, Winter, S1'!N2*Main!$B$5)+(_xlfn.IFNA(VLOOKUP($A2,'FL Ratio'!$A$3:$B$10,2,FALSE),0)*'FL Characterization'!N$2)</f>
        <v>55.478409435350862</v>
      </c>
      <c r="O2" s="2">
        <f>('[1]Pc, Winter, S1'!O2*Main!$B$5)+(_xlfn.IFNA(VLOOKUP($A2,'FL Ratio'!$A$3:$B$10,2,FALSE),0)*'FL Characterization'!O$2)</f>
        <v>54.57247672415695</v>
      </c>
      <c r="P2" s="2">
        <f>('[1]Pc, Winter, S1'!P2*Main!$B$5)+(_xlfn.IFNA(VLOOKUP($A2,'FL Ratio'!$A$3:$B$10,2,FALSE),0)*'FL Characterization'!P$2)</f>
        <v>51.46241565969548</v>
      </c>
      <c r="Q2" s="2">
        <f>('[1]Pc, Winter, S1'!Q2*Main!$B$5)+(_xlfn.IFNA(VLOOKUP($A2,'FL Ratio'!$A$3:$B$10,2,FALSE),0)*'FL Characterization'!Q$2)</f>
        <v>49.987998438386747</v>
      </c>
      <c r="R2" s="2">
        <f>('[1]Pc, Winter, S1'!R2*Main!$B$5)+(_xlfn.IFNA(VLOOKUP($A2,'FL Ratio'!$A$3:$B$10,2,FALSE),0)*'FL Characterization'!R$2)</f>
        <v>52.059956939467504</v>
      </c>
      <c r="S2" s="2">
        <f>('[1]Pc, Winter, S1'!S2*Main!$B$5)+(_xlfn.IFNA(VLOOKUP($A2,'FL Ratio'!$A$3:$B$10,2,FALSE),0)*'FL Characterization'!S$2)</f>
        <v>57.709439775775543</v>
      </c>
      <c r="T2" s="2">
        <f>('[1]Pc, Winter, S1'!T2*Main!$B$5)+(_xlfn.IFNA(VLOOKUP($A2,'FL Ratio'!$A$3:$B$10,2,FALSE),0)*'FL Characterization'!T$2)</f>
        <v>57.500243969303888</v>
      </c>
      <c r="U2" s="2">
        <f>('[1]Pc, Winter, S1'!U2*Main!$B$5)+(_xlfn.IFNA(VLOOKUP($A2,'FL Ratio'!$A$3:$B$10,2,FALSE),0)*'FL Characterization'!U$2)</f>
        <v>56.309782159486062</v>
      </c>
      <c r="V2" s="2">
        <f>('[1]Pc, Winter, S1'!V2*Main!$B$5)+(_xlfn.IFNA(VLOOKUP($A2,'FL Ratio'!$A$3:$B$10,2,FALSE),0)*'FL Characterization'!V$2)</f>
        <v>55.341399625819875</v>
      </c>
      <c r="W2" s="2">
        <f>('[1]Pc, Winter, S1'!W2*Main!$B$5)+(_xlfn.IFNA(VLOOKUP($A2,'FL Ratio'!$A$3:$B$10,2,FALSE),0)*'FL Characterization'!W$2)</f>
        <v>51.869776689233547</v>
      </c>
      <c r="X2" s="2">
        <f>('[1]Pc, Winter, S1'!X2*Main!$B$5)+(_xlfn.IFNA(VLOOKUP($A2,'FL Ratio'!$A$3:$B$10,2,FALSE),0)*'FL Characterization'!X$2)</f>
        <v>45.37640384652606</v>
      </c>
      <c r="Y2" s="2">
        <f>('[1]Pc, Winter, S1'!Y2*Main!$B$5)+(_xlfn.IFNA(VLOOKUP($A2,'FL Ratio'!$A$3:$B$10,2,FALSE),0)*'FL Characterization'!Y$2)</f>
        <v>41.167916544987825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36.316820828082832</v>
      </c>
      <c r="C3" s="2">
        <f>('[1]Pc, Winter, S1'!C3*Main!$B$5)+(_xlfn.IFNA(VLOOKUP($A3,'FL Ratio'!$A$3:$B$10,2,FALSE),0)*'FL Characterization'!C$2)</f>
        <v>33.747459839761191</v>
      </c>
      <c r="D3" s="2">
        <f>('[1]Pc, Winter, S1'!D3*Main!$B$5)+(_xlfn.IFNA(VLOOKUP($A3,'FL Ratio'!$A$3:$B$10,2,FALSE),0)*'FL Characterization'!D$2)</f>
        <v>30.539852747964172</v>
      </c>
      <c r="E3" s="2">
        <f>('[1]Pc, Winter, S1'!E3*Main!$B$5)+(_xlfn.IFNA(VLOOKUP($A3,'FL Ratio'!$A$3:$B$10,2,FALSE),0)*'FL Characterization'!E$2)</f>
        <v>32.847364666049053</v>
      </c>
      <c r="F3" s="2">
        <f>('[1]Pc, Winter, S1'!F3*Main!$B$5)+(_xlfn.IFNA(VLOOKUP($A3,'FL Ratio'!$A$3:$B$10,2,FALSE),0)*'FL Characterization'!F$2)</f>
        <v>32.732806138674555</v>
      </c>
      <c r="G3" s="2">
        <f>('[1]Pc, Winter, S1'!G3*Main!$B$5)+(_xlfn.IFNA(VLOOKUP($A3,'FL Ratio'!$A$3:$B$10,2,FALSE),0)*'FL Characterization'!G$2)</f>
        <v>34.123853371506911</v>
      </c>
      <c r="H3" s="2">
        <f>('[1]Pc, Winter, S1'!H3*Main!$B$5)+(_xlfn.IFNA(VLOOKUP($A3,'FL Ratio'!$A$3:$B$10,2,FALSE),0)*'FL Characterization'!H$2)</f>
        <v>50.783818156752901</v>
      </c>
      <c r="I3" s="2">
        <f>('[1]Pc, Winter, S1'!I3*Main!$B$5)+(_xlfn.IFNA(VLOOKUP($A3,'FL Ratio'!$A$3:$B$10,2,FALSE),0)*'FL Characterization'!I$2)</f>
        <v>56.560796778208072</v>
      </c>
      <c r="J3" s="2">
        <f>('[1]Pc, Winter, S1'!J3*Main!$B$5)+(_xlfn.IFNA(VLOOKUP($A3,'FL Ratio'!$A$3:$B$10,2,FALSE),0)*'FL Characterization'!J$2)</f>
        <v>62.010462326094348</v>
      </c>
      <c r="K3" s="2">
        <f>('[1]Pc, Winter, S1'!K3*Main!$B$5)+(_xlfn.IFNA(VLOOKUP($A3,'FL Ratio'!$A$3:$B$10,2,FALSE),0)*'FL Characterization'!K$2)</f>
        <v>62.043190826267512</v>
      </c>
      <c r="L3" s="2">
        <f>('[1]Pc, Winter, S1'!L3*Main!$B$5)+(_xlfn.IFNA(VLOOKUP($A3,'FL Ratio'!$A$3:$B$10,2,FALSE),0)*'FL Characterization'!L$2)</f>
        <v>58.606466675114277</v>
      </c>
      <c r="M3" s="2">
        <f>('[1]Pc, Winter, S1'!M3*Main!$B$5)+(_xlfn.IFNA(VLOOKUP($A3,'FL Ratio'!$A$3:$B$10,2,FALSE),0)*'FL Characterization'!M$2)</f>
        <v>64.121599750861719</v>
      </c>
      <c r="N3" s="2">
        <f>('[1]Pc, Winter, S1'!N3*Main!$B$5)+(_xlfn.IFNA(VLOOKUP($A3,'FL Ratio'!$A$3:$B$10,2,FALSE),0)*'FL Characterization'!N$2)</f>
        <v>60.47212455961418</v>
      </c>
      <c r="O3" s="2">
        <f>('[1]Pc, Winter, S1'!O3*Main!$B$5)+(_xlfn.IFNA(VLOOKUP($A3,'FL Ratio'!$A$3:$B$10,2,FALSE),0)*'FL Characterization'!O$2)</f>
        <v>56.6098947991361</v>
      </c>
      <c r="P3" s="2">
        <f>('[1]Pc, Winter, S1'!P3*Main!$B$5)+(_xlfn.IFNA(VLOOKUP($A3,'FL Ratio'!$A$3:$B$10,2,FALSE),0)*'FL Characterization'!P$2)</f>
        <v>54.891530968205792</v>
      </c>
      <c r="Q3" s="2">
        <f>('[1]Pc, Winter, S1'!Q3*Main!$B$5)+(_xlfn.IFNA(VLOOKUP($A3,'FL Ratio'!$A$3:$B$10,2,FALSE),0)*'FL Characterization'!Q$2)</f>
        <v>51.291146762649902</v>
      </c>
      <c r="R3" s="2">
        <f>('[1]Pc, Winter, S1'!R3*Main!$B$5)+(_xlfn.IFNA(VLOOKUP($A3,'FL Ratio'!$A$3:$B$10,2,FALSE),0)*'FL Characterization'!R$2)</f>
        <v>51.323878773530431</v>
      </c>
      <c r="S3" s="2">
        <f>('[1]Pc, Winter, S1'!S3*Main!$B$5)+(_xlfn.IFNA(VLOOKUP($A3,'FL Ratio'!$A$3:$B$10,2,FALSE),0)*'FL Characterization'!S$2)</f>
        <v>54.335111376617164</v>
      </c>
      <c r="T3" s="2">
        <f>('[1]Pc, Winter, S1'!T3*Main!$B$5)+(_xlfn.IFNA(VLOOKUP($A3,'FL Ratio'!$A$3:$B$10,2,FALSE),0)*'FL Characterization'!T$2)</f>
        <v>54.335111376617164</v>
      </c>
      <c r="U3" s="2">
        <f>('[1]Pc, Winter, S1'!U3*Main!$B$5)+(_xlfn.IFNA(VLOOKUP($A3,'FL Ratio'!$A$3:$B$10,2,FALSE),0)*'FL Characterization'!U$2)</f>
        <v>55.153369487891588</v>
      </c>
      <c r="V3" s="2">
        <f>('[1]Pc, Winter, S1'!V3*Main!$B$5)+(_xlfn.IFNA(VLOOKUP($A3,'FL Ratio'!$A$3:$B$10,2,FALSE),0)*'FL Characterization'!V$2)</f>
        <v>53.664119191788494</v>
      </c>
      <c r="W3" s="2">
        <f>('[1]Pc, Winter, S1'!W3*Main!$B$5)+(_xlfn.IFNA(VLOOKUP($A3,'FL Ratio'!$A$3:$B$10,2,FALSE),0)*'FL Characterization'!W$2)</f>
        <v>48.492658182849972</v>
      </c>
      <c r="X3" s="2">
        <f>('[1]Pc, Winter, S1'!X3*Main!$B$5)+(_xlfn.IFNA(VLOOKUP($A3,'FL Ratio'!$A$3:$B$10,2,FALSE),0)*'FL Characterization'!X$2)</f>
        <v>41.013688757319457</v>
      </c>
      <c r="Y3" s="2">
        <f>('[1]Pc, Winter, S1'!Y3*Main!$B$5)+(_xlfn.IFNA(VLOOKUP($A3,'FL Ratio'!$A$3:$B$10,2,FALSE),0)*'FL Characterization'!Y$2)</f>
        <v>39.688087983496942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52.787367746443707</v>
      </c>
      <c r="C4" s="2">
        <f>('[1]Pc, Winter, S1'!C4*Main!$B$5)+(_xlfn.IFNA(VLOOKUP($A4,'FL Ratio'!$A$3:$B$10,2,FALSE),0)*'FL Characterization'!C$2)</f>
        <v>46.445743257789836</v>
      </c>
      <c r="D4" s="2">
        <f>('[1]Pc, Winter, S1'!D4*Main!$B$5)+(_xlfn.IFNA(VLOOKUP($A4,'FL Ratio'!$A$3:$B$10,2,FALSE),0)*'FL Characterization'!D$2)</f>
        <v>43.726520897613035</v>
      </c>
      <c r="E4" s="2">
        <f>('[1]Pc, Winter, S1'!E4*Main!$B$5)+(_xlfn.IFNA(VLOOKUP($A4,'FL Ratio'!$A$3:$B$10,2,FALSE),0)*'FL Characterization'!E$2)</f>
        <v>43.207247836085564</v>
      </c>
      <c r="F4" s="2">
        <f>('[1]Pc, Winter, S1'!F4*Main!$B$5)+(_xlfn.IFNA(VLOOKUP($A4,'FL Ratio'!$A$3:$B$10,2,FALSE),0)*'FL Characterization'!F$2)</f>
        <v>45.225178094217412</v>
      </c>
      <c r="G4" s="2">
        <f>('[1]Pc, Winter, S1'!G4*Main!$B$5)+(_xlfn.IFNA(VLOOKUP($A4,'FL Ratio'!$A$3:$B$10,2,FALSE),0)*'FL Characterization'!G$2)</f>
        <v>48.829794404961909</v>
      </c>
      <c r="H4" s="2">
        <f>('[1]Pc, Winter, S1'!H4*Main!$B$5)+(_xlfn.IFNA(VLOOKUP($A4,'FL Ratio'!$A$3:$B$10,2,FALSE),0)*'FL Characterization'!H$2)</f>
        <v>58.921689934451948</v>
      </c>
      <c r="I4" s="2">
        <f>('[1]Pc, Winter, S1'!I4*Main!$B$5)+(_xlfn.IFNA(VLOOKUP($A4,'FL Ratio'!$A$3:$B$10,2,FALSE),0)*'FL Characterization'!I$2)</f>
        <v>65.870654776756496</v>
      </c>
      <c r="J4" s="2">
        <f>('[1]Pc, Winter, S1'!J4*Main!$B$5)+(_xlfn.IFNA(VLOOKUP($A4,'FL Ratio'!$A$3:$B$10,2,FALSE),0)*'FL Characterization'!J$2)</f>
        <v>69.718097411857315</v>
      </c>
      <c r="K4" s="2">
        <f>('[1]Pc, Winter, S1'!K4*Main!$B$5)+(_xlfn.IFNA(VLOOKUP($A4,'FL Ratio'!$A$3:$B$10,2,FALSE),0)*'FL Characterization'!K$2)</f>
        <v>72.089849527241299</v>
      </c>
      <c r="L4" s="2">
        <f>('[1]Pc, Winter, S1'!L4*Main!$B$5)+(_xlfn.IFNA(VLOOKUP($A4,'FL Ratio'!$A$3:$B$10,2,FALSE),0)*'FL Characterization'!L$2)</f>
        <v>72.749439496700518</v>
      </c>
      <c r="M4" s="2">
        <f>('[1]Pc, Winter, S1'!M4*Main!$B$5)+(_xlfn.IFNA(VLOOKUP($A4,'FL Ratio'!$A$3:$B$10,2,FALSE),0)*'FL Characterization'!M$2)</f>
        <v>71.990637011058297</v>
      </c>
      <c r="N4" s="2">
        <f>('[1]Pc, Winter, S1'!N4*Main!$B$5)+(_xlfn.IFNA(VLOOKUP($A4,'FL Ratio'!$A$3:$B$10,2,FALSE),0)*'FL Characterization'!N$2)</f>
        <v>71.582147172016121</v>
      </c>
      <c r="O4" s="2">
        <f>('[1]Pc, Winter, S1'!O4*Main!$B$5)+(_xlfn.IFNA(VLOOKUP($A4,'FL Ratio'!$A$3:$B$10,2,FALSE),0)*'FL Characterization'!O$2)</f>
        <v>70.105980089044991</v>
      </c>
      <c r="P4" s="2">
        <f>('[1]Pc, Winter, S1'!P4*Main!$B$5)+(_xlfn.IFNA(VLOOKUP($A4,'FL Ratio'!$A$3:$B$10,2,FALSE),0)*'FL Characterization'!P$2)</f>
        <v>67.874383026484864</v>
      </c>
      <c r="Q4" s="2">
        <f>('[1]Pc, Winter, S1'!Q4*Main!$B$5)+(_xlfn.IFNA(VLOOKUP($A4,'FL Ratio'!$A$3:$B$10,2,FALSE),0)*'FL Characterization'!Q$2)</f>
        <v>66.645405087271342</v>
      </c>
      <c r="R4" s="2">
        <f>('[1]Pc, Winter, S1'!R4*Main!$B$5)+(_xlfn.IFNA(VLOOKUP($A4,'FL Ratio'!$A$3:$B$10,2,FALSE),0)*'FL Characterization'!R$2)</f>
        <v>69.024602964043979</v>
      </c>
      <c r="S4" s="2">
        <f>('[1]Pc, Winter, S1'!S4*Main!$B$5)+(_xlfn.IFNA(VLOOKUP($A4,'FL Ratio'!$A$3:$B$10,2,FALSE),0)*'FL Characterization'!S$2)</f>
        <v>78.145628076846009</v>
      </c>
      <c r="T4" s="2">
        <f>('[1]Pc, Winter, S1'!T4*Main!$B$5)+(_xlfn.IFNA(VLOOKUP($A4,'FL Ratio'!$A$3:$B$10,2,FALSE),0)*'FL Characterization'!T$2)</f>
        <v>79.678779317708162</v>
      </c>
      <c r="U4" s="2">
        <f>('[1]Pc, Winter, S1'!U4*Main!$B$5)+(_xlfn.IFNA(VLOOKUP($A4,'FL Ratio'!$A$3:$B$10,2,FALSE),0)*'FL Characterization'!U$2)</f>
        <v>80.151999688577135</v>
      </c>
      <c r="V4" s="2">
        <f>('[1]Pc, Winter, S1'!V4*Main!$B$5)+(_xlfn.IFNA(VLOOKUP($A4,'FL Ratio'!$A$3:$B$10,2,FALSE),0)*'FL Characterization'!V$2)</f>
        <v>77.768524626704476</v>
      </c>
      <c r="W4" s="2">
        <f>('[1]Pc, Winter, S1'!W4*Main!$B$5)+(_xlfn.IFNA(VLOOKUP($A4,'FL Ratio'!$A$3:$B$10,2,FALSE),0)*'FL Characterization'!W$2)</f>
        <v>74.213596509811481</v>
      </c>
      <c r="X4" s="2">
        <f>('[1]Pc, Winter, S1'!X4*Main!$B$5)+(_xlfn.IFNA(VLOOKUP($A4,'FL Ratio'!$A$3:$B$10,2,FALSE),0)*'FL Characterization'!X$2)</f>
        <v>67.671939923333184</v>
      </c>
      <c r="Y4" s="2">
        <f>('[1]Pc, Winter, S1'!Y4*Main!$B$5)+(_xlfn.IFNA(VLOOKUP($A4,'FL Ratio'!$A$3:$B$10,2,FALSE),0)*'FL Characterization'!Y$2)</f>
        <v>59.815692640490198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38.198953222452516</v>
      </c>
      <c r="C2" s="2">
        <f ca="1">('[1]Pc, Winter, S2'!C2*Main!$B$5)+(_xlfn.IFNA(VLOOKUP($A2,'FL Ratio'!$A$3:$B$10,2,FALSE),0)*'FL Characterization'!C$2)</f>
        <v>35.630008449696319</v>
      </c>
      <c r="D2" s="2">
        <f ca="1">('[1]Pc, Winter, S2'!D2*Main!$B$5)+(_xlfn.IFNA(VLOOKUP($A2,'FL Ratio'!$A$3:$B$10,2,FALSE),0)*'FL Characterization'!D$2)</f>
        <v>33.760527965408919</v>
      </c>
      <c r="E2" s="2">
        <f ca="1">('[1]Pc, Winter, S2'!E2*Main!$B$5)+(_xlfn.IFNA(VLOOKUP($A2,'FL Ratio'!$A$3:$B$10,2,FALSE),0)*'FL Characterization'!E$2)</f>
        <v>33.521653441651679</v>
      </c>
      <c r="F2" s="2">
        <f ca="1">('[1]Pc, Winter, S2'!F2*Main!$B$5)+(_xlfn.IFNA(VLOOKUP($A2,'FL Ratio'!$A$3:$B$10,2,FALSE),0)*'FL Characterization'!F$2)</f>
        <v>33.92600069074237</v>
      </c>
      <c r="G2" s="2">
        <f ca="1">('[1]Pc, Winter, S2'!G2*Main!$B$5)+(_xlfn.IFNA(VLOOKUP($A2,'FL Ratio'!$A$3:$B$10,2,FALSE),0)*'FL Characterization'!G$2)</f>
        <v>37.291999887613194</v>
      </c>
      <c r="H2" s="2">
        <f ca="1">('[1]Pc, Winter, S2'!H2*Main!$B$5)+(_xlfn.IFNA(VLOOKUP($A2,'FL Ratio'!$A$3:$B$10,2,FALSE),0)*'FL Characterization'!H$2)</f>
        <v>44.498443999617024</v>
      </c>
      <c r="I2" s="2">
        <f ca="1">('[1]Pc, Winter, S2'!I2*Main!$B$5)+(_xlfn.IFNA(VLOOKUP($A2,'FL Ratio'!$A$3:$B$10,2,FALSE),0)*'FL Characterization'!I$2)</f>
        <v>53.562559984740631</v>
      </c>
      <c r="J2" s="2">
        <f ca="1">('[1]Pc, Winter, S2'!J2*Main!$B$5)+(_xlfn.IFNA(VLOOKUP($A2,'FL Ratio'!$A$3:$B$10,2,FALSE),0)*'FL Characterization'!J$2)</f>
        <v>58.315073247009771</v>
      </c>
      <c r="K2" s="2">
        <f ca="1">('[1]Pc, Winter, S2'!K2*Main!$B$5)+(_xlfn.IFNA(VLOOKUP($A2,'FL Ratio'!$A$3:$B$10,2,FALSE),0)*'FL Characterization'!K$2)</f>
        <v>59.04225228041134</v>
      </c>
      <c r="L2" s="2">
        <f ca="1">('[1]Pc, Winter, S2'!L2*Main!$B$5)+(_xlfn.IFNA(VLOOKUP($A2,'FL Ratio'!$A$3:$B$10,2,FALSE),0)*'FL Characterization'!L$2)</f>
        <v>57.448899727247358</v>
      </c>
      <c r="M2" s="2">
        <f ca="1">('[1]Pc, Winter, S2'!M2*Main!$B$5)+(_xlfn.IFNA(VLOOKUP($A2,'FL Ratio'!$A$3:$B$10,2,FALSE),0)*'FL Characterization'!M$2)</f>
        <v>57.7449990350486</v>
      </c>
      <c r="N2" s="2">
        <f ca="1">('[1]Pc, Winter, S2'!N2*Main!$B$5)+(_xlfn.IFNA(VLOOKUP($A2,'FL Ratio'!$A$3:$B$10,2,FALSE),0)*'FL Characterization'!N$2)</f>
        <v>57.697545812764901</v>
      </c>
      <c r="O2" s="2">
        <f ca="1">('[1]Pc, Winter, S2'!O2*Main!$B$5)+(_xlfn.IFNA(VLOOKUP($A2,'FL Ratio'!$A$3:$B$10,2,FALSE),0)*'FL Characterization'!O$2)</f>
        <v>56.755375793123221</v>
      </c>
      <c r="P2" s="2">
        <f ca="1">('[1]Pc, Winter, S2'!P2*Main!$B$5)+(_xlfn.IFNA(VLOOKUP($A2,'FL Ratio'!$A$3:$B$10,2,FALSE),0)*'FL Characterization'!P$2)</f>
        <v>53.520912286083295</v>
      </c>
      <c r="Q2" s="2">
        <f ca="1">('[1]Pc, Winter, S2'!Q2*Main!$B$5)+(_xlfn.IFNA(VLOOKUP($A2,'FL Ratio'!$A$3:$B$10,2,FALSE),0)*'FL Characterization'!Q$2)</f>
        <v>51.987518375922221</v>
      </c>
      <c r="R2" s="2">
        <f ca="1">('[1]Pc, Winter, S2'!R2*Main!$B$5)+(_xlfn.IFNA(VLOOKUP($A2,'FL Ratio'!$A$3:$B$10,2,FALSE),0)*'FL Characterization'!R$2)</f>
        <v>54.142355217046202</v>
      </c>
      <c r="S2" s="2">
        <f ca="1">('[1]Pc, Winter, S2'!S2*Main!$B$5)+(_xlfn.IFNA(VLOOKUP($A2,'FL Ratio'!$A$3:$B$10,2,FALSE),0)*'FL Characterization'!S$2)</f>
        <v>60.017817366806568</v>
      </c>
      <c r="T2" s="2">
        <f ca="1">('[1]Pc, Winter, S2'!T2*Main!$B$5)+(_xlfn.IFNA(VLOOKUP($A2,'FL Ratio'!$A$3:$B$10,2,FALSE),0)*'FL Characterization'!T$2)</f>
        <v>59.800253728076044</v>
      </c>
      <c r="U2" s="2">
        <f ca="1">('[1]Pc, Winter, S2'!U2*Main!$B$5)+(_xlfn.IFNA(VLOOKUP($A2,'FL Ratio'!$A$3:$B$10,2,FALSE),0)*'FL Characterization'!U$2)</f>
        <v>58.562173445865511</v>
      </c>
      <c r="V2" s="2">
        <f ca="1">('[1]Pc, Winter, S2'!V2*Main!$B$5)+(_xlfn.IFNA(VLOOKUP($A2,'FL Ratio'!$A$3:$B$10,2,FALSE),0)*'FL Characterization'!V$2)</f>
        <v>57.555055610852669</v>
      </c>
      <c r="W2" s="2">
        <f ca="1">('[1]Pc, Winter, S2'!W2*Main!$B$5)+(_xlfn.IFNA(VLOOKUP($A2,'FL Ratio'!$A$3:$B$10,2,FALSE),0)*'FL Characterization'!W$2)</f>
        <v>53.94456775680289</v>
      </c>
      <c r="X2" s="2">
        <f ca="1">('[1]Pc, Winter, S2'!X2*Main!$B$5)+(_xlfn.IFNA(VLOOKUP($A2,'FL Ratio'!$A$3:$B$10,2,FALSE),0)*'FL Characterization'!X$2)</f>
        <v>47.19146000038711</v>
      </c>
      <c r="Y2" s="2">
        <f ca="1">('[1]Pc, Winter, S2'!Y2*Main!$B$5)+(_xlfn.IFNA(VLOOKUP($A2,'FL Ratio'!$A$3:$B$10,2,FALSE),0)*'FL Characterization'!Y$2)</f>
        <v>42.814633206787342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37.769493661206148</v>
      </c>
      <c r="C3" s="2">
        <f ca="1">('[1]Pc, Winter, S2'!C3*Main!$B$5)+(_xlfn.IFNA(VLOOKUP($A3,'FL Ratio'!$A$3:$B$10,2,FALSE),0)*'FL Characterization'!C$2)</f>
        <v>35.097358233351642</v>
      </c>
      <c r="D3" s="2">
        <f ca="1">('[1]Pc, Winter, S2'!D3*Main!$B$5)+(_xlfn.IFNA(VLOOKUP($A3,'FL Ratio'!$A$3:$B$10,2,FALSE),0)*'FL Characterization'!D$2)</f>
        <v>31.761446857882735</v>
      </c>
      <c r="E3" s="2">
        <f ca="1">('[1]Pc, Winter, S2'!E3*Main!$B$5)+(_xlfn.IFNA(VLOOKUP($A3,'FL Ratio'!$A$3:$B$10,2,FALSE),0)*'FL Characterization'!E$2)</f>
        <v>34.161259252691018</v>
      </c>
      <c r="F3" s="2">
        <f ca="1">('[1]Pc, Winter, S2'!F3*Main!$B$5)+(_xlfn.IFNA(VLOOKUP($A3,'FL Ratio'!$A$3:$B$10,2,FALSE),0)*'FL Characterization'!F$2)</f>
        <v>34.042118384221531</v>
      </c>
      <c r="G3" s="2">
        <f ca="1">('[1]Pc, Winter, S2'!G3*Main!$B$5)+(_xlfn.IFNA(VLOOKUP($A3,'FL Ratio'!$A$3:$B$10,2,FALSE),0)*'FL Characterization'!G$2)</f>
        <v>35.488807506367188</v>
      </c>
      <c r="H3" s="2">
        <f ca="1">('[1]Pc, Winter, S2'!H3*Main!$B$5)+(_xlfn.IFNA(VLOOKUP($A3,'FL Ratio'!$A$3:$B$10,2,FALSE),0)*'FL Characterization'!H$2)</f>
        <v>52.815170883023029</v>
      </c>
      <c r="I3" s="2">
        <f ca="1">('[1]Pc, Winter, S2'!I3*Main!$B$5)+(_xlfn.IFNA(VLOOKUP($A3,'FL Ratio'!$A$3:$B$10,2,FALSE),0)*'FL Characterization'!I$2)</f>
        <v>58.823228649336393</v>
      </c>
      <c r="J3" s="2">
        <f ca="1">('[1]Pc, Winter, S2'!J3*Main!$B$5)+(_xlfn.IFNA(VLOOKUP($A3,'FL Ratio'!$A$3:$B$10,2,FALSE),0)*'FL Characterization'!J$2)</f>
        <v>64.490880819138127</v>
      </c>
      <c r="K3" s="2">
        <f ca="1">('[1]Pc, Winter, S2'!K3*Main!$B$5)+(_xlfn.IFNA(VLOOKUP($A3,'FL Ratio'!$A$3:$B$10,2,FALSE),0)*'FL Characterization'!K$2)</f>
        <v>64.524918459318201</v>
      </c>
      <c r="L3" s="2">
        <f ca="1">('[1]Pc, Winter, S2'!L3*Main!$B$5)+(_xlfn.IFNA(VLOOKUP($A3,'FL Ratio'!$A$3:$B$10,2,FALSE),0)*'FL Characterization'!L$2)</f>
        <v>60.950725342118851</v>
      </c>
      <c r="M3" s="2">
        <f ca="1">('[1]Pc, Winter, S2'!M3*Main!$B$5)+(_xlfn.IFNA(VLOOKUP($A3,'FL Ratio'!$A$3:$B$10,2,FALSE),0)*'FL Characterization'!M$2)</f>
        <v>66.686463740896187</v>
      </c>
      <c r="N3" s="2">
        <f ca="1">('[1]Pc, Winter, S2'!N3*Main!$B$5)+(_xlfn.IFNA(VLOOKUP($A3,'FL Ratio'!$A$3:$B$10,2,FALSE),0)*'FL Characterization'!N$2)</f>
        <v>62.891009541998748</v>
      </c>
      <c r="O3" s="2">
        <f ca="1">('[1]Pc, Winter, S2'!O3*Main!$B$5)+(_xlfn.IFNA(VLOOKUP($A3,'FL Ratio'!$A$3:$B$10,2,FALSE),0)*'FL Characterization'!O$2)</f>
        <v>58.874290591101548</v>
      </c>
      <c r="P3" s="2">
        <f ca="1">('[1]Pc, Winter, S2'!P3*Main!$B$5)+(_xlfn.IFNA(VLOOKUP($A3,'FL Ratio'!$A$3:$B$10,2,FALSE),0)*'FL Characterization'!P$2)</f>
        <v>57.08719220693402</v>
      </c>
      <c r="Q3" s="2">
        <f ca="1">('[1]Pc, Winter, S2'!Q3*Main!$B$5)+(_xlfn.IFNA(VLOOKUP($A3,'FL Ratio'!$A$3:$B$10,2,FALSE),0)*'FL Characterization'!Q$2)</f>
        <v>53.342792633155895</v>
      </c>
      <c r="R3" s="2">
        <f ca="1">('[1]Pc, Winter, S2'!R3*Main!$B$5)+(_xlfn.IFNA(VLOOKUP($A3,'FL Ratio'!$A$3:$B$10,2,FALSE),0)*'FL Characterization'!R$2)</f>
        <v>53.376833924471647</v>
      </c>
      <c r="S3" s="2">
        <f ca="1">('[1]Pc, Winter, S2'!S3*Main!$B$5)+(_xlfn.IFNA(VLOOKUP($A3,'FL Ratio'!$A$3:$B$10,2,FALSE),0)*'FL Characterization'!S$2)</f>
        <v>56.508515831681855</v>
      </c>
      <c r="T3" s="2">
        <f ca="1">('[1]Pc, Winter, S2'!T3*Main!$B$5)+(_xlfn.IFNA(VLOOKUP($A3,'FL Ratio'!$A$3:$B$10,2,FALSE),0)*'FL Characterization'!T$2)</f>
        <v>56.508515831681855</v>
      </c>
      <c r="U3" s="2">
        <f ca="1">('[1]Pc, Winter, S2'!U3*Main!$B$5)+(_xlfn.IFNA(VLOOKUP($A3,'FL Ratio'!$A$3:$B$10,2,FALSE),0)*'FL Characterization'!U$2)</f>
        <v>57.35950426740726</v>
      </c>
      <c r="V3" s="2">
        <f ca="1">('[1]Pc, Winter, S2'!V3*Main!$B$5)+(_xlfn.IFNA(VLOOKUP($A3,'FL Ratio'!$A$3:$B$10,2,FALSE),0)*'FL Characterization'!V$2)</f>
        <v>55.810683959460036</v>
      </c>
      <c r="W3" s="2">
        <f ca="1">('[1]Pc, Winter, S2'!W3*Main!$B$5)+(_xlfn.IFNA(VLOOKUP($A3,'FL Ratio'!$A$3:$B$10,2,FALSE),0)*'FL Characterization'!W$2)</f>
        <v>50.432364510163978</v>
      </c>
      <c r="X3" s="2">
        <f ca="1">('[1]Pc, Winter, S2'!X3*Main!$B$5)+(_xlfn.IFNA(VLOOKUP($A3,'FL Ratio'!$A$3:$B$10,2,FALSE),0)*'FL Characterization'!X$2)</f>
        <v>42.65423630761223</v>
      </c>
      <c r="Y3" s="2">
        <f ca="1">('[1]Pc, Winter, S2'!Y3*Main!$B$5)+(_xlfn.IFNA(VLOOKUP($A3,'FL Ratio'!$A$3:$B$10,2,FALSE),0)*'FL Characterization'!Y$2)</f>
        <v>41.275611502836824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54.898862456301451</v>
      </c>
      <c r="C4" s="2">
        <f ca="1">('[1]Pc, Winter, S2'!C4*Main!$B$5)+(_xlfn.IFNA(VLOOKUP($A4,'FL Ratio'!$A$3:$B$10,2,FALSE),0)*'FL Characterization'!C$2)</f>
        <v>48.303572988101443</v>
      </c>
      <c r="D4" s="2">
        <f ca="1">('[1]Pc, Winter, S2'!D4*Main!$B$5)+(_xlfn.IFNA(VLOOKUP($A4,'FL Ratio'!$A$3:$B$10,2,FALSE),0)*'FL Characterization'!D$2)</f>
        <v>45.475581733517551</v>
      </c>
      <c r="E4" s="2">
        <f ca="1">('[1]Pc, Winter, S2'!E4*Main!$B$5)+(_xlfn.IFNA(VLOOKUP($A4,'FL Ratio'!$A$3:$B$10,2,FALSE),0)*'FL Characterization'!E$2)</f>
        <v>44.93553774952899</v>
      </c>
      <c r="F4" s="2">
        <f ca="1">('[1]Pc, Winter, S2'!F4*Main!$B$5)+(_xlfn.IFNA(VLOOKUP($A4,'FL Ratio'!$A$3:$B$10,2,FALSE),0)*'FL Characterization'!F$2)</f>
        <v>47.034185217986106</v>
      </c>
      <c r="G4" s="2">
        <f ca="1">('[1]Pc, Winter, S2'!G4*Main!$B$5)+(_xlfn.IFNA(VLOOKUP($A4,'FL Ratio'!$A$3:$B$10,2,FALSE),0)*'FL Characterization'!G$2)</f>
        <v>50.782986181160389</v>
      </c>
      <c r="H4" s="2">
        <f ca="1">('[1]Pc, Winter, S2'!H4*Main!$B$5)+(_xlfn.IFNA(VLOOKUP($A4,'FL Ratio'!$A$3:$B$10,2,FALSE),0)*'FL Characterization'!H$2)</f>
        <v>61.278557531830018</v>
      </c>
      <c r="I4" s="2">
        <f ca="1">('[1]Pc, Winter, S2'!I4*Main!$B$5)+(_xlfn.IFNA(VLOOKUP($A4,'FL Ratio'!$A$3:$B$10,2,FALSE),0)*'FL Characterization'!I$2)</f>
        <v>68.505480967826756</v>
      </c>
      <c r="J4" s="2">
        <f ca="1">('[1]Pc, Winter, S2'!J4*Main!$B$5)+(_xlfn.IFNA(VLOOKUP($A4,'FL Ratio'!$A$3:$B$10,2,FALSE),0)*'FL Characterization'!J$2)</f>
        <v>72.50682130833161</v>
      </c>
      <c r="K4" s="2">
        <f ca="1">('[1]Pc, Winter, S2'!K4*Main!$B$5)+(_xlfn.IFNA(VLOOKUP($A4,'FL Ratio'!$A$3:$B$10,2,FALSE),0)*'FL Characterization'!K$2)</f>
        <v>74.973443508330945</v>
      </c>
      <c r="L4" s="2">
        <f ca="1">('[1]Pc, Winter, S2'!L4*Main!$B$5)+(_xlfn.IFNA(VLOOKUP($A4,'FL Ratio'!$A$3:$B$10,2,FALSE),0)*'FL Characterization'!L$2)</f>
        <v>75.659417076568531</v>
      </c>
      <c r="M4" s="2">
        <f ca="1">('[1]Pc, Winter, S2'!M4*Main!$B$5)+(_xlfn.IFNA(VLOOKUP($A4,'FL Ratio'!$A$3:$B$10,2,FALSE),0)*'FL Characterization'!M$2)</f>
        <v>74.870262491500625</v>
      </c>
      <c r="N4" s="2">
        <f ca="1">('[1]Pc, Winter, S2'!N4*Main!$B$5)+(_xlfn.IFNA(VLOOKUP($A4,'FL Ratio'!$A$3:$B$10,2,FALSE),0)*'FL Characterization'!N$2)</f>
        <v>74.445433058896782</v>
      </c>
      <c r="O4" s="2">
        <f ca="1">('[1]Pc, Winter, S2'!O4*Main!$B$5)+(_xlfn.IFNA(VLOOKUP($A4,'FL Ratio'!$A$3:$B$10,2,FALSE),0)*'FL Characterization'!O$2)</f>
        <v>72.910219292606797</v>
      </c>
      <c r="P4" s="2">
        <f ca="1">('[1]Pc, Winter, S2'!P4*Main!$B$5)+(_xlfn.IFNA(VLOOKUP($A4,'FL Ratio'!$A$3:$B$10,2,FALSE),0)*'FL Characterization'!P$2)</f>
        <v>70.589358347544263</v>
      </c>
      <c r="Q4" s="2">
        <f ca="1">('[1]Pc, Winter, S2'!Q4*Main!$B$5)+(_xlfn.IFNA(VLOOKUP($A4,'FL Ratio'!$A$3:$B$10,2,FALSE),0)*'FL Characterization'!Q$2)</f>
        <v>69.311221290762205</v>
      </c>
      <c r="R4" s="2">
        <f ca="1">('[1]Pc, Winter, S2'!R4*Main!$B$5)+(_xlfn.IFNA(VLOOKUP($A4,'FL Ratio'!$A$3:$B$10,2,FALSE),0)*'FL Characterization'!R$2)</f>
        <v>71.785587082605744</v>
      </c>
      <c r="S4" s="2">
        <f ca="1">('[1]Pc, Winter, S2'!S4*Main!$B$5)+(_xlfn.IFNA(VLOOKUP($A4,'FL Ratio'!$A$3:$B$10,2,FALSE),0)*'FL Characterization'!S$2)</f>
        <v>81.271453199919847</v>
      </c>
      <c r="T4" s="2">
        <f ca="1">('[1]Pc, Winter, S2'!T4*Main!$B$5)+(_xlfn.IFNA(VLOOKUP($A4,'FL Ratio'!$A$3:$B$10,2,FALSE),0)*'FL Characterization'!T$2)</f>
        <v>82.865930490416503</v>
      </c>
      <c r="U4" s="2">
        <f ca="1">('[1]Pc, Winter, S2'!U4*Main!$B$5)+(_xlfn.IFNA(VLOOKUP($A4,'FL Ratio'!$A$3:$B$10,2,FALSE),0)*'FL Characterization'!U$2)</f>
        <v>83.358079676120227</v>
      </c>
      <c r="V4" s="2">
        <f ca="1">('[1]Pc, Winter, S2'!V4*Main!$B$5)+(_xlfn.IFNA(VLOOKUP($A4,'FL Ratio'!$A$3:$B$10,2,FALSE),0)*'FL Characterization'!V$2)</f>
        <v>80.879265611772652</v>
      </c>
      <c r="W4" s="2">
        <f ca="1">('[1]Pc, Winter, S2'!W4*Main!$B$5)+(_xlfn.IFNA(VLOOKUP($A4,'FL Ratio'!$A$3:$B$10,2,FALSE),0)*'FL Characterization'!W$2)</f>
        <v>77.182140370203939</v>
      </c>
      <c r="X4" s="2">
        <f ca="1">('[1]Pc, Winter, S2'!X4*Main!$B$5)+(_xlfn.IFNA(VLOOKUP($A4,'FL Ratio'!$A$3:$B$10,2,FALSE),0)*'FL Characterization'!X$2)</f>
        <v>70.378817520266523</v>
      </c>
      <c r="Y4" s="2">
        <f ca="1">('[1]Pc, Winter, S2'!Y4*Main!$B$5)+(_xlfn.IFNA(VLOOKUP($A4,'FL Ratio'!$A$3:$B$10,2,FALSE),0)*'FL Characterization'!Y$2)</f>
        <v>62.208320346109808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38.198953222452516</v>
      </c>
      <c r="C2" s="2">
        <f ca="1">('[1]Pc, Winter, S2'!C2*Main!$B$5)+(_xlfn.IFNA(VLOOKUP($A2,'FL Ratio'!$A$3:$B$10,2,FALSE),0)*'FL Characterization'!C$2)</f>
        <v>35.630008449696319</v>
      </c>
      <c r="D2" s="2">
        <f ca="1">('[1]Pc, Winter, S2'!D2*Main!$B$5)+(_xlfn.IFNA(VLOOKUP($A2,'FL Ratio'!$A$3:$B$10,2,FALSE),0)*'FL Characterization'!D$2)</f>
        <v>33.760527965408919</v>
      </c>
      <c r="E2" s="2">
        <f ca="1">('[1]Pc, Winter, S2'!E2*Main!$B$5)+(_xlfn.IFNA(VLOOKUP($A2,'FL Ratio'!$A$3:$B$10,2,FALSE),0)*'FL Characterization'!E$2)</f>
        <v>33.521653441651679</v>
      </c>
      <c r="F2" s="2">
        <f ca="1">('[1]Pc, Winter, S2'!F2*Main!$B$5)+(_xlfn.IFNA(VLOOKUP($A2,'FL Ratio'!$A$3:$B$10,2,FALSE),0)*'FL Characterization'!F$2)</f>
        <v>33.92600069074237</v>
      </c>
      <c r="G2" s="2">
        <f ca="1">('[1]Pc, Winter, S2'!G2*Main!$B$5)+(_xlfn.IFNA(VLOOKUP($A2,'FL Ratio'!$A$3:$B$10,2,FALSE),0)*'FL Characterization'!G$2)</f>
        <v>37.291999887613194</v>
      </c>
      <c r="H2" s="2">
        <f ca="1">('[1]Pc, Winter, S2'!H2*Main!$B$5)+(_xlfn.IFNA(VLOOKUP($A2,'FL Ratio'!$A$3:$B$10,2,FALSE),0)*'FL Characterization'!H$2)</f>
        <v>44.498443999617024</v>
      </c>
      <c r="I2" s="2">
        <f ca="1">('[1]Pc, Winter, S2'!I2*Main!$B$5)+(_xlfn.IFNA(VLOOKUP($A2,'FL Ratio'!$A$3:$B$10,2,FALSE),0)*'FL Characterization'!I$2)</f>
        <v>53.562559984740631</v>
      </c>
      <c r="J2" s="2">
        <f ca="1">('[1]Pc, Winter, S2'!J2*Main!$B$5)+(_xlfn.IFNA(VLOOKUP($A2,'FL Ratio'!$A$3:$B$10,2,FALSE),0)*'FL Characterization'!J$2)</f>
        <v>58.315073247009771</v>
      </c>
      <c r="K2" s="2">
        <f ca="1">('[1]Pc, Winter, S2'!K2*Main!$B$5)+(_xlfn.IFNA(VLOOKUP($A2,'FL Ratio'!$A$3:$B$10,2,FALSE),0)*'FL Characterization'!K$2)</f>
        <v>59.04225228041134</v>
      </c>
      <c r="L2" s="2">
        <f ca="1">('[1]Pc, Winter, S2'!L2*Main!$B$5)+(_xlfn.IFNA(VLOOKUP($A2,'FL Ratio'!$A$3:$B$10,2,FALSE),0)*'FL Characterization'!L$2)</f>
        <v>57.448899727247358</v>
      </c>
      <c r="M2" s="2">
        <f ca="1">('[1]Pc, Winter, S2'!M2*Main!$B$5)+(_xlfn.IFNA(VLOOKUP($A2,'FL Ratio'!$A$3:$B$10,2,FALSE),0)*'FL Characterization'!M$2)</f>
        <v>57.7449990350486</v>
      </c>
      <c r="N2" s="2">
        <f ca="1">('[1]Pc, Winter, S2'!N2*Main!$B$5)+(_xlfn.IFNA(VLOOKUP($A2,'FL Ratio'!$A$3:$B$10,2,FALSE),0)*'FL Characterization'!N$2)</f>
        <v>57.697545812764901</v>
      </c>
      <c r="O2" s="2">
        <f ca="1">('[1]Pc, Winter, S2'!O2*Main!$B$5)+(_xlfn.IFNA(VLOOKUP($A2,'FL Ratio'!$A$3:$B$10,2,FALSE),0)*'FL Characterization'!O$2)</f>
        <v>56.755375793123221</v>
      </c>
      <c r="P2" s="2">
        <f ca="1">('[1]Pc, Winter, S2'!P2*Main!$B$5)+(_xlfn.IFNA(VLOOKUP($A2,'FL Ratio'!$A$3:$B$10,2,FALSE),0)*'FL Characterization'!P$2)</f>
        <v>53.520912286083295</v>
      </c>
      <c r="Q2" s="2">
        <f ca="1">('[1]Pc, Winter, S2'!Q2*Main!$B$5)+(_xlfn.IFNA(VLOOKUP($A2,'FL Ratio'!$A$3:$B$10,2,FALSE),0)*'FL Characterization'!Q$2)</f>
        <v>51.987518375922221</v>
      </c>
      <c r="R2" s="2">
        <f ca="1">('[1]Pc, Winter, S2'!R2*Main!$B$5)+(_xlfn.IFNA(VLOOKUP($A2,'FL Ratio'!$A$3:$B$10,2,FALSE),0)*'FL Characterization'!R$2)</f>
        <v>54.142355217046202</v>
      </c>
      <c r="S2" s="2">
        <f ca="1">('[1]Pc, Winter, S2'!S2*Main!$B$5)+(_xlfn.IFNA(VLOOKUP($A2,'FL Ratio'!$A$3:$B$10,2,FALSE),0)*'FL Characterization'!S$2)</f>
        <v>60.017817366806568</v>
      </c>
      <c r="T2" s="2">
        <f ca="1">('[1]Pc, Winter, S2'!T2*Main!$B$5)+(_xlfn.IFNA(VLOOKUP($A2,'FL Ratio'!$A$3:$B$10,2,FALSE),0)*'FL Characterization'!T$2)</f>
        <v>59.800253728076044</v>
      </c>
      <c r="U2" s="2">
        <f ca="1">('[1]Pc, Winter, S2'!U2*Main!$B$5)+(_xlfn.IFNA(VLOOKUP($A2,'FL Ratio'!$A$3:$B$10,2,FALSE),0)*'FL Characterization'!U$2)</f>
        <v>58.562173445865511</v>
      </c>
      <c r="V2" s="2">
        <f ca="1">('[1]Pc, Winter, S2'!V2*Main!$B$5)+(_xlfn.IFNA(VLOOKUP($A2,'FL Ratio'!$A$3:$B$10,2,FALSE),0)*'FL Characterization'!V$2)</f>
        <v>57.555055610852669</v>
      </c>
      <c r="W2" s="2">
        <f ca="1">('[1]Pc, Winter, S2'!W2*Main!$B$5)+(_xlfn.IFNA(VLOOKUP($A2,'FL Ratio'!$A$3:$B$10,2,FALSE),0)*'FL Characterization'!W$2)</f>
        <v>53.94456775680289</v>
      </c>
      <c r="X2" s="2">
        <f ca="1">('[1]Pc, Winter, S2'!X2*Main!$B$5)+(_xlfn.IFNA(VLOOKUP($A2,'FL Ratio'!$A$3:$B$10,2,FALSE),0)*'FL Characterization'!X$2)</f>
        <v>47.19146000038711</v>
      </c>
      <c r="Y2" s="2">
        <f ca="1">('[1]Pc, Winter, S2'!Y2*Main!$B$5)+(_xlfn.IFNA(VLOOKUP($A2,'FL Ratio'!$A$3:$B$10,2,FALSE),0)*'FL Characterization'!Y$2)</f>
        <v>42.814633206787342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37.769493661206148</v>
      </c>
      <c r="C3" s="2">
        <f ca="1">('[1]Pc, Winter, S2'!C3*Main!$B$5)+(_xlfn.IFNA(VLOOKUP($A3,'FL Ratio'!$A$3:$B$10,2,FALSE),0)*'FL Characterization'!C$2)</f>
        <v>35.097358233351642</v>
      </c>
      <c r="D3" s="2">
        <f ca="1">('[1]Pc, Winter, S2'!D3*Main!$B$5)+(_xlfn.IFNA(VLOOKUP($A3,'FL Ratio'!$A$3:$B$10,2,FALSE),0)*'FL Characterization'!D$2)</f>
        <v>31.761446857882735</v>
      </c>
      <c r="E3" s="2">
        <f ca="1">('[1]Pc, Winter, S2'!E3*Main!$B$5)+(_xlfn.IFNA(VLOOKUP($A3,'FL Ratio'!$A$3:$B$10,2,FALSE),0)*'FL Characterization'!E$2)</f>
        <v>34.161259252691018</v>
      </c>
      <c r="F3" s="2">
        <f ca="1">('[1]Pc, Winter, S2'!F3*Main!$B$5)+(_xlfn.IFNA(VLOOKUP($A3,'FL Ratio'!$A$3:$B$10,2,FALSE),0)*'FL Characterization'!F$2)</f>
        <v>34.042118384221531</v>
      </c>
      <c r="G3" s="2">
        <f ca="1">('[1]Pc, Winter, S2'!G3*Main!$B$5)+(_xlfn.IFNA(VLOOKUP($A3,'FL Ratio'!$A$3:$B$10,2,FALSE),0)*'FL Characterization'!G$2)</f>
        <v>35.488807506367188</v>
      </c>
      <c r="H3" s="2">
        <f ca="1">('[1]Pc, Winter, S2'!H3*Main!$B$5)+(_xlfn.IFNA(VLOOKUP($A3,'FL Ratio'!$A$3:$B$10,2,FALSE),0)*'FL Characterization'!H$2)</f>
        <v>52.815170883023029</v>
      </c>
      <c r="I3" s="2">
        <f ca="1">('[1]Pc, Winter, S2'!I3*Main!$B$5)+(_xlfn.IFNA(VLOOKUP($A3,'FL Ratio'!$A$3:$B$10,2,FALSE),0)*'FL Characterization'!I$2)</f>
        <v>58.823228649336393</v>
      </c>
      <c r="J3" s="2">
        <f ca="1">('[1]Pc, Winter, S2'!J3*Main!$B$5)+(_xlfn.IFNA(VLOOKUP($A3,'FL Ratio'!$A$3:$B$10,2,FALSE),0)*'FL Characterization'!J$2)</f>
        <v>64.490880819138127</v>
      </c>
      <c r="K3" s="2">
        <f ca="1">('[1]Pc, Winter, S2'!K3*Main!$B$5)+(_xlfn.IFNA(VLOOKUP($A3,'FL Ratio'!$A$3:$B$10,2,FALSE),0)*'FL Characterization'!K$2)</f>
        <v>64.524918459318201</v>
      </c>
      <c r="L3" s="2">
        <f ca="1">('[1]Pc, Winter, S2'!L3*Main!$B$5)+(_xlfn.IFNA(VLOOKUP($A3,'FL Ratio'!$A$3:$B$10,2,FALSE),0)*'FL Characterization'!L$2)</f>
        <v>60.950725342118851</v>
      </c>
      <c r="M3" s="2">
        <f ca="1">('[1]Pc, Winter, S2'!M3*Main!$B$5)+(_xlfn.IFNA(VLOOKUP($A3,'FL Ratio'!$A$3:$B$10,2,FALSE),0)*'FL Characterization'!M$2)</f>
        <v>66.686463740896187</v>
      </c>
      <c r="N3" s="2">
        <f ca="1">('[1]Pc, Winter, S2'!N3*Main!$B$5)+(_xlfn.IFNA(VLOOKUP($A3,'FL Ratio'!$A$3:$B$10,2,FALSE),0)*'FL Characterization'!N$2)</f>
        <v>62.891009541998748</v>
      </c>
      <c r="O3" s="2">
        <f ca="1">('[1]Pc, Winter, S2'!O3*Main!$B$5)+(_xlfn.IFNA(VLOOKUP($A3,'FL Ratio'!$A$3:$B$10,2,FALSE),0)*'FL Characterization'!O$2)</f>
        <v>58.874290591101548</v>
      </c>
      <c r="P3" s="2">
        <f ca="1">('[1]Pc, Winter, S2'!P3*Main!$B$5)+(_xlfn.IFNA(VLOOKUP($A3,'FL Ratio'!$A$3:$B$10,2,FALSE),0)*'FL Characterization'!P$2)</f>
        <v>57.08719220693402</v>
      </c>
      <c r="Q3" s="2">
        <f ca="1">('[1]Pc, Winter, S2'!Q3*Main!$B$5)+(_xlfn.IFNA(VLOOKUP($A3,'FL Ratio'!$A$3:$B$10,2,FALSE),0)*'FL Characterization'!Q$2)</f>
        <v>53.342792633155895</v>
      </c>
      <c r="R3" s="2">
        <f ca="1">('[1]Pc, Winter, S2'!R3*Main!$B$5)+(_xlfn.IFNA(VLOOKUP($A3,'FL Ratio'!$A$3:$B$10,2,FALSE),0)*'FL Characterization'!R$2)</f>
        <v>53.376833924471647</v>
      </c>
      <c r="S3" s="2">
        <f ca="1">('[1]Pc, Winter, S2'!S3*Main!$B$5)+(_xlfn.IFNA(VLOOKUP($A3,'FL Ratio'!$A$3:$B$10,2,FALSE),0)*'FL Characterization'!S$2)</f>
        <v>56.508515831681855</v>
      </c>
      <c r="T3" s="2">
        <f ca="1">('[1]Pc, Winter, S2'!T3*Main!$B$5)+(_xlfn.IFNA(VLOOKUP($A3,'FL Ratio'!$A$3:$B$10,2,FALSE),0)*'FL Characterization'!T$2)</f>
        <v>56.508515831681855</v>
      </c>
      <c r="U3" s="2">
        <f ca="1">('[1]Pc, Winter, S2'!U3*Main!$B$5)+(_xlfn.IFNA(VLOOKUP($A3,'FL Ratio'!$A$3:$B$10,2,FALSE),0)*'FL Characterization'!U$2)</f>
        <v>57.35950426740726</v>
      </c>
      <c r="V3" s="2">
        <f ca="1">('[1]Pc, Winter, S2'!V3*Main!$B$5)+(_xlfn.IFNA(VLOOKUP($A3,'FL Ratio'!$A$3:$B$10,2,FALSE),0)*'FL Characterization'!V$2)</f>
        <v>55.810683959460036</v>
      </c>
      <c r="W3" s="2">
        <f ca="1">('[1]Pc, Winter, S2'!W3*Main!$B$5)+(_xlfn.IFNA(VLOOKUP($A3,'FL Ratio'!$A$3:$B$10,2,FALSE),0)*'FL Characterization'!W$2)</f>
        <v>50.432364510163978</v>
      </c>
      <c r="X3" s="2">
        <f ca="1">('[1]Pc, Winter, S2'!X3*Main!$B$5)+(_xlfn.IFNA(VLOOKUP($A3,'FL Ratio'!$A$3:$B$10,2,FALSE),0)*'FL Characterization'!X$2)</f>
        <v>42.65423630761223</v>
      </c>
      <c r="Y3" s="2">
        <f ca="1">('[1]Pc, Winter, S2'!Y3*Main!$B$5)+(_xlfn.IFNA(VLOOKUP($A3,'FL Ratio'!$A$3:$B$10,2,FALSE),0)*'FL Characterization'!Y$2)</f>
        <v>41.275611502836824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54.898862456301451</v>
      </c>
      <c r="C4" s="2">
        <f ca="1">('[1]Pc, Winter, S2'!C4*Main!$B$5)+(_xlfn.IFNA(VLOOKUP($A4,'FL Ratio'!$A$3:$B$10,2,FALSE),0)*'FL Characterization'!C$2)</f>
        <v>48.303572988101443</v>
      </c>
      <c r="D4" s="2">
        <f ca="1">('[1]Pc, Winter, S2'!D4*Main!$B$5)+(_xlfn.IFNA(VLOOKUP($A4,'FL Ratio'!$A$3:$B$10,2,FALSE),0)*'FL Characterization'!D$2)</f>
        <v>45.475581733517551</v>
      </c>
      <c r="E4" s="2">
        <f ca="1">('[1]Pc, Winter, S2'!E4*Main!$B$5)+(_xlfn.IFNA(VLOOKUP($A4,'FL Ratio'!$A$3:$B$10,2,FALSE),0)*'FL Characterization'!E$2)</f>
        <v>44.93553774952899</v>
      </c>
      <c r="F4" s="2">
        <f ca="1">('[1]Pc, Winter, S2'!F4*Main!$B$5)+(_xlfn.IFNA(VLOOKUP($A4,'FL Ratio'!$A$3:$B$10,2,FALSE),0)*'FL Characterization'!F$2)</f>
        <v>47.034185217986106</v>
      </c>
      <c r="G4" s="2">
        <f ca="1">('[1]Pc, Winter, S2'!G4*Main!$B$5)+(_xlfn.IFNA(VLOOKUP($A4,'FL Ratio'!$A$3:$B$10,2,FALSE),0)*'FL Characterization'!G$2)</f>
        <v>50.782986181160389</v>
      </c>
      <c r="H4" s="2">
        <f ca="1">('[1]Pc, Winter, S2'!H4*Main!$B$5)+(_xlfn.IFNA(VLOOKUP($A4,'FL Ratio'!$A$3:$B$10,2,FALSE),0)*'FL Characterization'!H$2)</f>
        <v>61.278557531830018</v>
      </c>
      <c r="I4" s="2">
        <f ca="1">('[1]Pc, Winter, S2'!I4*Main!$B$5)+(_xlfn.IFNA(VLOOKUP($A4,'FL Ratio'!$A$3:$B$10,2,FALSE),0)*'FL Characterization'!I$2)</f>
        <v>68.505480967826756</v>
      </c>
      <c r="J4" s="2">
        <f ca="1">('[1]Pc, Winter, S2'!J4*Main!$B$5)+(_xlfn.IFNA(VLOOKUP($A4,'FL Ratio'!$A$3:$B$10,2,FALSE),0)*'FL Characterization'!J$2)</f>
        <v>72.50682130833161</v>
      </c>
      <c r="K4" s="2">
        <f ca="1">('[1]Pc, Winter, S2'!K4*Main!$B$5)+(_xlfn.IFNA(VLOOKUP($A4,'FL Ratio'!$A$3:$B$10,2,FALSE),0)*'FL Characterization'!K$2)</f>
        <v>74.973443508330945</v>
      </c>
      <c r="L4" s="2">
        <f ca="1">('[1]Pc, Winter, S2'!L4*Main!$B$5)+(_xlfn.IFNA(VLOOKUP($A4,'FL Ratio'!$A$3:$B$10,2,FALSE),0)*'FL Characterization'!L$2)</f>
        <v>75.659417076568531</v>
      </c>
      <c r="M4" s="2">
        <f ca="1">('[1]Pc, Winter, S2'!M4*Main!$B$5)+(_xlfn.IFNA(VLOOKUP($A4,'FL Ratio'!$A$3:$B$10,2,FALSE),0)*'FL Characterization'!M$2)</f>
        <v>74.870262491500625</v>
      </c>
      <c r="N4" s="2">
        <f ca="1">('[1]Pc, Winter, S2'!N4*Main!$B$5)+(_xlfn.IFNA(VLOOKUP($A4,'FL Ratio'!$A$3:$B$10,2,FALSE),0)*'FL Characterization'!N$2)</f>
        <v>74.445433058896782</v>
      </c>
      <c r="O4" s="2">
        <f ca="1">('[1]Pc, Winter, S2'!O4*Main!$B$5)+(_xlfn.IFNA(VLOOKUP($A4,'FL Ratio'!$A$3:$B$10,2,FALSE),0)*'FL Characterization'!O$2)</f>
        <v>72.910219292606797</v>
      </c>
      <c r="P4" s="2">
        <f ca="1">('[1]Pc, Winter, S2'!P4*Main!$B$5)+(_xlfn.IFNA(VLOOKUP($A4,'FL Ratio'!$A$3:$B$10,2,FALSE),0)*'FL Characterization'!P$2)</f>
        <v>70.589358347544263</v>
      </c>
      <c r="Q4" s="2">
        <f ca="1">('[1]Pc, Winter, S2'!Q4*Main!$B$5)+(_xlfn.IFNA(VLOOKUP($A4,'FL Ratio'!$A$3:$B$10,2,FALSE),0)*'FL Characterization'!Q$2)</f>
        <v>69.311221290762205</v>
      </c>
      <c r="R4" s="2">
        <f ca="1">('[1]Pc, Winter, S2'!R4*Main!$B$5)+(_xlfn.IFNA(VLOOKUP($A4,'FL Ratio'!$A$3:$B$10,2,FALSE),0)*'FL Characterization'!R$2)</f>
        <v>71.785587082605744</v>
      </c>
      <c r="S4" s="2">
        <f ca="1">('[1]Pc, Winter, S2'!S4*Main!$B$5)+(_xlfn.IFNA(VLOOKUP($A4,'FL Ratio'!$A$3:$B$10,2,FALSE),0)*'FL Characterization'!S$2)</f>
        <v>81.271453199919847</v>
      </c>
      <c r="T4" s="2">
        <f ca="1">('[1]Pc, Winter, S2'!T4*Main!$B$5)+(_xlfn.IFNA(VLOOKUP($A4,'FL Ratio'!$A$3:$B$10,2,FALSE),0)*'FL Characterization'!T$2)</f>
        <v>82.865930490416503</v>
      </c>
      <c r="U4" s="2">
        <f ca="1">('[1]Pc, Winter, S2'!U4*Main!$B$5)+(_xlfn.IFNA(VLOOKUP($A4,'FL Ratio'!$A$3:$B$10,2,FALSE),0)*'FL Characterization'!U$2)</f>
        <v>83.358079676120227</v>
      </c>
      <c r="V4" s="2">
        <f ca="1">('[1]Pc, Winter, S2'!V4*Main!$B$5)+(_xlfn.IFNA(VLOOKUP($A4,'FL Ratio'!$A$3:$B$10,2,FALSE),0)*'FL Characterization'!V$2)</f>
        <v>80.879265611772652</v>
      </c>
      <c r="W4" s="2">
        <f ca="1">('[1]Pc, Winter, S2'!W4*Main!$B$5)+(_xlfn.IFNA(VLOOKUP($A4,'FL Ratio'!$A$3:$B$10,2,FALSE),0)*'FL Characterization'!W$2)</f>
        <v>77.182140370203939</v>
      </c>
      <c r="X4" s="2">
        <f ca="1">('[1]Pc, Winter, S2'!X4*Main!$B$5)+(_xlfn.IFNA(VLOOKUP($A4,'FL Ratio'!$A$3:$B$10,2,FALSE),0)*'FL Characterization'!X$2)</f>
        <v>70.378817520266523</v>
      </c>
      <c r="Y4" s="2">
        <f ca="1">('[1]Pc, Winter, S2'!Y4*Main!$B$5)+(_xlfn.IFNA(VLOOKUP($A4,'FL Ratio'!$A$3:$B$10,2,FALSE),0)*'FL Characterization'!Y$2)</f>
        <v>62.208320346109808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38.198953222452516</v>
      </c>
      <c r="C2" s="2">
        <f ca="1">('[1]Pc, Winter, S2'!C2*Main!$B$5)+(_xlfn.IFNA(VLOOKUP($A2,'FL Ratio'!$A$3:$B$10,2,FALSE),0)*'FL Characterization'!C$2)</f>
        <v>35.630008449696319</v>
      </c>
      <c r="D2" s="2">
        <f ca="1">('[1]Pc, Winter, S2'!D2*Main!$B$5)+(_xlfn.IFNA(VLOOKUP($A2,'FL Ratio'!$A$3:$B$10,2,FALSE),0)*'FL Characterization'!D$2)</f>
        <v>33.760527965408919</v>
      </c>
      <c r="E2" s="2">
        <f ca="1">('[1]Pc, Winter, S2'!E2*Main!$B$5)+(_xlfn.IFNA(VLOOKUP($A2,'FL Ratio'!$A$3:$B$10,2,FALSE),0)*'FL Characterization'!E$2)</f>
        <v>33.521653441651679</v>
      </c>
      <c r="F2" s="2">
        <f ca="1">('[1]Pc, Winter, S2'!F2*Main!$B$5)+(_xlfn.IFNA(VLOOKUP($A2,'FL Ratio'!$A$3:$B$10,2,FALSE),0)*'FL Characterization'!F$2)</f>
        <v>33.92600069074237</v>
      </c>
      <c r="G2" s="2">
        <f ca="1">('[1]Pc, Winter, S2'!G2*Main!$B$5)+(_xlfn.IFNA(VLOOKUP($A2,'FL Ratio'!$A$3:$B$10,2,FALSE),0)*'FL Characterization'!G$2)</f>
        <v>37.291999887613194</v>
      </c>
      <c r="H2" s="2">
        <f ca="1">('[1]Pc, Winter, S2'!H2*Main!$B$5)+(_xlfn.IFNA(VLOOKUP($A2,'FL Ratio'!$A$3:$B$10,2,FALSE),0)*'FL Characterization'!H$2)</f>
        <v>44.498443999617024</v>
      </c>
      <c r="I2" s="2">
        <f ca="1">('[1]Pc, Winter, S2'!I2*Main!$B$5)+(_xlfn.IFNA(VLOOKUP($A2,'FL Ratio'!$A$3:$B$10,2,FALSE),0)*'FL Characterization'!I$2)</f>
        <v>53.562559984740631</v>
      </c>
      <c r="J2" s="2">
        <f ca="1">('[1]Pc, Winter, S2'!J2*Main!$B$5)+(_xlfn.IFNA(VLOOKUP($A2,'FL Ratio'!$A$3:$B$10,2,FALSE),0)*'FL Characterization'!J$2)</f>
        <v>58.315073247009771</v>
      </c>
      <c r="K2" s="2">
        <f ca="1">('[1]Pc, Winter, S2'!K2*Main!$B$5)+(_xlfn.IFNA(VLOOKUP($A2,'FL Ratio'!$A$3:$B$10,2,FALSE),0)*'FL Characterization'!K$2)</f>
        <v>59.04225228041134</v>
      </c>
      <c r="L2" s="2">
        <f ca="1">('[1]Pc, Winter, S2'!L2*Main!$B$5)+(_xlfn.IFNA(VLOOKUP($A2,'FL Ratio'!$A$3:$B$10,2,FALSE),0)*'FL Characterization'!L$2)</f>
        <v>57.448899727247358</v>
      </c>
      <c r="M2" s="2">
        <f ca="1">('[1]Pc, Winter, S2'!M2*Main!$B$5)+(_xlfn.IFNA(VLOOKUP($A2,'FL Ratio'!$A$3:$B$10,2,FALSE),0)*'FL Characterization'!M$2)</f>
        <v>57.7449990350486</v>
      </c>
      <c r="N2" s="2">
        <f ca="1">('[1]Pc, Winter, S2'!N2*Main!$B$5)+(_xlfn.IFNA(VLOOKUP($A2,'FL Ratio'!$A$3:$B$10,2,FALSE),0)*'FL Characterization'!N$2)</f>
        <v>57.697545812764901</v>
      </c>
      <c r="O2" s="2">
        <f ca="1">('[1]Pc, Winter, S2'!O2*Main!$B$5)+(_xlfn.IFNA(VLOOKUP($A2,'FL Ratio'!$A$3:$B$10,2,FALSE),0)*'FL Characterization'!O$2)</f>
        <v>56.755375793123221</v>
      </c>
      <c r="P2" s="2">
        <f ca="1">('[1]Pc, Winter, S2'!P2*Main!$B$5)+(_xlfn.IFNA(VLOOKUP($A2,'FL Ratio'!$A$3:$B$10,2,FALSE),0)*'FL Characterization'!P$2)</f>
        <v>53.520912286083295</v>
      </c>
      <c r="Q2" s="2">
        <f ca="1">('[1]Pc, Winter, S2'!Q2*Main!$B$5)+(_xlfn.IFNA(VLOOKUP($A2,'FL Ratio'!$A$3:$B$10,2,FALSE),0)*'FL Characterization'!Q$2)</f>
        <v>51.987518375922221</v>
      </c>
      <c r="R2" s="2">
        <f ca="1">('[1]Pc, Winter, S2'!R2*Main!$B$5)+(_xlfn.IFNA(VLOOKUP($A2,'FL Ratio'!$A$3:$B$10,2,FALSE),0)*'FL Characterization'!R$2)</f>
        <v>54.142355217046202</v>
      </c>
      <c r="S2" s="2">
        <f ca="1">('[1]Pc, Winter, S2'!S2*Main!$B$5)+(_xlfn.IFNA(VLOOKUP($A2,'FL Ratio'!$A$3:$B$10,2,FALSE),0)*'FL Characterization'!S$2)</f>
        <v>60.017817366806568</v>
      </c>
      <c r="T2" s="2">
        <f ca="1">('[1]Pc, Winter, S2'!T2*Main!$B$5)+(_xlfn.IFNA(VLOOKUP($A2,'FL Ratio'!$A$3:$B$10,2,FALSE),0)*'FL Characterization'!T$2)</f>
        <v>59.800253728076044</v>
      </c>
      <c r="U2" s="2">
        <f ca="1">('[1]Pc, Winter, S2'!U2*Main!$B$5)+(_xlfn.IFNA(VLOOKUP($A2,'FL Ratio'!$A$3:$B$10,2,FALSE),0)*'FL Characterization'!U$2)</f>
        <v>58.562173445865511</v>
      </c>
      <c r="V2" s="2">
        <f ca="1">('[1]Pc, Winter, S2'!V2*Main!$B$5)+(_xlfn.IFNA(VLOOKUP($A2,'FL Ratio'!$A$3:$B$10,2,FALSE),0)*'FL Characterization'!V$2)</f>
        <v>57.555055610852669</v>
      </c>
      <c r="W2" s="2">
        <f ca="1">('[1]Pc, Winter, S2'!W2*Main!$B$5)+(_xlfn.IFNA(VLOOKUP($A2,'FL Ratio'!$A$3:$B$10,2,FALSE),0)*'FL Characterization'!W$2)</f>
        <v>53.94456775680289</v>
      </c>
      <c r="X2" s="2">
        <f ca="1">('[1]Pc, Winter, S2'!X2*Main!$B$5)+(_xlfn.IFNA(VLOOKUP($A2,'FL Ratio'!$A$3:$B$10,2,FALSE),0)*'FL Characterization'!X$2)</f>
        <v>47.19146000038711</v>
      </c>
      <c r="Y2" s="2">
        <f ca="1">('[1]Pc, Winter, S2'!Y2*Main!$B$5)+(_xlfn.IFNA(VLOOKUP($A2,'FL Ratio'!$A$3:$B$10,2,FALSE),0)*'FL Characterization'!Y$2)</f>
        <v>42.814633206787342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37.769493661206148</v>
      </c>
      <c r="C3" s="2">
        <f ca="1">('[1]Pc, Winter, S2'!C3*Main!$B$5)+(_xlfn.IFNA(VLOOKUP($A3,'FL Ratio'!$A$3:$B$10,2,FALSE),0)*'FL Characterization'!C$2)</f>
        <v>35.097358233351642</v>
      </c>
      <c r="D3" s="2">
        <f ca="1">('[1]Pc, Winter, S2'!D3*Main!$B$5)+(_xlfn.IFNA(VLOOKUP($A3,'FL Ratio'!$A$3:$B$10,2,FALSE),0)*'FL Characterization'!D$2)</f>
        <v>31.761446857882735</v>
      </c>
      <c r="E3" s="2">
        <f ca="1">('[1]Pc, Winter, S2'!E3*Main!$B$5)+(_xlfn.IFNA(VLOOKUP($A3,'FL Ratio'!$A$3:$B$10,2,FALSE),0)*'FL Characterization'!E$2)</f>
        <v>34.161259252691018</v>
      </c>
      <c r="F3" s="2">
        <f ca="1">('[1]Pc, Winter, S2'!F3*Main!$B$5)+(_xlfn.IFNA(VLOOKUP($A3,'FL Ratio'!$A$3:$B$10,2,FALSE),0)*'FL Characterization'!F$2)</f>
        <v>34.042118384221531</v>
      </c>
      <c r="G3" s="2">
        <f ca="1">('[1]Pc, Winter, S2'!G3*Main!$B$5)+(_xlfn.IFNA(VLOOKUP($A3,'FL Ratio'!$A$3:$B$10,2,FALSE),0)*'FL Characterization'!G$2)</f>
        <v>35.488807506367188</v>
      </c>
      <c r="H3" s="2">
        <f ca="1">('[1]Pc, Winter, S2'!H3*Main!$B$5)+(_xlfn.IFNA(VLOOKUP($A3,'FL Ratio'!$A$3:$B$10,2,FALSE),0)*'FL Characterization'!H$2)</f>
        <v>52.815170883023029</v>
      </c>
      <c r="I3" s="2">
        <f ca="1">('[1]Pc, Winter, S2'!I3*Main!$B$5)+(_xlfn.IFNA(VLOOKUP($A3,'FL Ratio'!$A$3:$B$10,2,FALSE),0)*'FL Characterization'!I$2)</f>
        <v>58.823228649336393</v>
      </c>
      <c r="J3" s="2">
        <f ca="1">('[1]Pc, Winter, S2'!J3*Main!$B$5)+(_xlfn.IFNA(VLOOKUP($A3,'FL Ratio'!$A$3:$B$10,2,FALSE),0)*'FL Characterization'!J$2)</f>
        <v>64.490880819138127</v>
      </c>
      <c r="K3" s="2">
        <f ca="1">('[1]Pc, Winter, S2'!K3*Main!$B$5)+(_xlfn.IFNA(VLOOKUP($A3,'FL Ratio'!$A$3:$B$10,2,FALSE),0)*'FL Characterization'!K$2)</f>
        <v>64.524918459318201</v>
      </c>
      <c r="L3" s="2">
        <f ca="1">('[1]Pc, Winter, S2'!L3*Main!$B$5)+(_xlfn.IFNA(VLOOKUP($A3,'FL Ratio'!$A$3:$B$10,2,FALSE),0)*'FL Characterization'!L$2)</f>
        <v>60.950725342118851</v>
      </c>
      <c r="M3" s="2">
        <f ca="1">('[1]Pc, Winter, S2'!M3*Main!$B$5)+(_xlfn.IFNA(VLOOKUP($A3,'FL Ratio'!$A$3:$B$10,2,FALSE),0)*'FL Characterization'!M$2)</f>
        <v>66.686463740896187</v>
      </c>
      <c r="N3" s="2">
        <f ca="1">('[1]Pc, Winter, S2'!N3*Main!$B$5)+(_xlfn.IFNA(VLOOKUP($A3,'FL Ratio'!$A$3:$B$10,2,FALSE),0)*'FL Characterization'!N$2)</f>
        <v>62.891009541998748</v>
      </c>
      <c r="O3" s="2">
        <f ca="1">('[1]Pc, Winter, S2'!O3*Main!$B$5)+(_xlfn.IFNA(VLOOKUP($A3,'FL Ratio'!$A$3:$B$10,2,FALSE),0)*'FL Characterization'!O$2)</f>
        <v>58.874290591101548</v>
      </c>
      <c r="P3" s="2">
        <f ca="1">('[1]Pc, Winter, S2'!P3*Main!$B$5)+(_xlfn.IFNA(VLOOKUP($A3,'FL Ratio'!$A$3:$B$10,2,FALSE),0)*'FL Characterization'!P$2)</f>
        <v>57.08719220693402</v>
      </c>
      <c r="Q3" s="2">
        <f ca="1">('[1]Pc, Winter, S2'!Q3*Main!$B$5)+(_xlfn.IFNA(VLOOKUP($A3,'FL Ratio'!$A$3:$B$10,2,FALSE),0)*'FL Characterization'!Q$2)</f>
        <v>53.342792633155895</v>
      </c>
      <c r="R3" s="2">
        <f ca="1">('[1]Pc, Winter, S2'!R3*Main!$B$5)+(_xlfn.IFNA(VLOOKUP($A3,'FL Ratio'!$A$3:$B$10,2,FALSE),0)*'FL Characterization'!R$2)</f>
        <v>53.376833924471647</v>
      </c>
      <c r="S3" s="2">
        <f ca="1">('[1]Pc, Winter, S2'!S3*Main!$B$5)+(_xlfn.IFNA(VLOOKUP($A3,'FL Ratio'!$A$3:$B$10,2,FALSE),0)*'FL Characterization'!S$2)</f>
        <v>56.508515831681855</v>
      </c>
      <c r="T3" s="2">
        <f ca="1">('[1]Pc, Winter, S2'!T3*Main!$B$5)+(_xlfn.IFNA(VLOOKUP($A3,'FL Ratio'!$A$3:$B$10,2,FALSE),0)*'FL Characterization'!T$2)</f>
        <v>56.508515831681855</v>
      </c>
      <c r="U3" s="2">
        <f ca="1">('[1]Pc, Winter, S2'!U3*Main!$B$5)+(_xlfn.IFNA(VLOOKUP($A3,'FL Ratio'!$A$3:$B$10,2,FALSE),0)*'FL Characterization'!U$2)</f>
        <v>57.35950426740726</v>
      </c>
      <c r="V3" s="2">
        <f ca="1">('[1]Pc, Winter, S2'!V3*Main!$B$5)+(_xlfn.IFNA(VLOOKUP($A3,'FL Ratio'!$A$3:$B$10,2,FALSE),0)*'FL Characterization'!V$2)</f>
        <v>55.810683959460036</v>
      </c>
      <c r="W3" s="2">
        <f ca="1">('[1]Pc, Winter, S2'!W3*Main!$B$5)+(_xlfn.IFNA(VLOOKUP($A3,'FL Ratio'!$A$3:$B$10,2,FALSE),0)*'FL Characterization'!W$2)</f>
        <v>50.432364510163978</v>
      </c>
      <c r="X3" s="2">
        <f ca="1">('[1]Pc, Winter, S2'!X3*Main!$B$5)+(_xlfn.IFNA(VLOOKUP($A3,'FL Ratio'!$A$3:$B$10,2,FALSE),0)*'FL Characterization'!X$2)</f>
        <v>42.65423630761223</v>
      </c>
      <c r="Y3" s="2">
        <f ca="1">('[1]Pc, Winter, S2'!Y3*Main!$B$5)+(_xlfn.IFNA(VLOOKUP($A3,'FL Ratio'!$A$3:$B$10,2,FALSE),0)*'FL Characterization'!Y$2)</f>
        <v>41.275611502836824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54.898862456301451</v>
      </c>
      <c r="C4" s="2">
        <f ca="1">('[1]Pc, Winter, S2'!C4*Main!$B$5)+(_xlfn.IFNA(VLOOKUP($A4,'FL Ratio'!$A$3:$B$10,2,FALSE),0)*'FL Characterization'!C$2)</f>
        <v>48.303572988101443</v>
      </c>
      <c r="D4" s="2">
        <f ca="1">('[1]Pc, Winter, S2'!D4*Main!$B$5)+(_xlfn.IFNA(VLOOKUP($A4,'FL Ratio'!$A$3:$B$10,2,FALSE),0)*'FL Characterization'!D$2)</f>
        <v>45.475581733517551</v>
      </c>
      <c r="E4" s="2">
        <f ca="1">('[1]Pc, Winter, S2'!E4*Main!$B$5)+(_xlfn.IFNA(VLOOKUP($A4,'FL Ratio'!$A$3:$B$10,2,FALSE),0)*'FL Characterization'!E$2)</f>
        <v>44.93553774952899</v>
      </c>
      <c r="F4" s="2">
        <f ca="1">('[1]Pc, Winter, S2'!F4*Main!$B$5)+(_xlfn.IFNA(VLOOKUP($A4,'FL Ratio'!$A$3:$B$10,2,FALSE),0)*'FL Characterization'!F$2)</f>
        <v>47.034185217986106</v>
      </c>
      <c r="G4" s="2">
        <f ca="1">('[1]Pc, Winter, S2'!G4*Main!$B$5)+(_xlfn.IFNA(VLOOKUP($A4,'FL Ratio'!$A$3:$B$10,2,FALSE),0)*'FL Characterization'!G$2)</f>
        <v>50.782986181160389</v>
      </c>
      <c r="H4" s="2">
        <f ca="1">('[1]Pc, Winter, S2'!H4*Main!$B$5)+(_xlfn.IFNA(VLOOKUP($A4,'FL Ratio'!$A$3:$B$10,2,FALSE),0)*'FL Characterization'!H$2)</f>
        <v>61.278557531830018</v>
      </c>
      <c r="I4" s="2">
        <f ca="1">('[1]Pc, Winter, S2'!I4*Main!$B$5)+(_xlfn.IFNA(VLOOKUP($A4,'FL Ratio'!$A$3:$B$10,2,FALSE),0)*'FL Characterization'!I$2)</f>
        <v>68.505480967826756</v>
      </c>
      <c r="J4" s="2">
        <f ca="1">('[1]Pc, Winter, S2'!J4*Main!$B$5)+(_xlfn.IFNA(VLOOKUP($A4,'FL Ratio'!$A$3:$B$10,2,FALSE),0)*'FL Characterization'!J$2)</f>
        <v>72.50682130833161</v>
      </c>
      <c r="K4" s="2">
        <f ca="1">('[1]Pc, Winter, S2'!K4*Main!$B$5)+(_xlfn.IFNA(VLOOKUP($A4,'FL Ratio'!$A$3:$B$10,2,FALSE),0)*'FL Characterization'!K$2)</f>
        <v>74.973443508330945</v>
      </c>
      <c r="L4" s="2">
        <f ca="1">('[1]Pc, Winter, S2'!L4*Main!$B$5)+(_xlfn.IFNA(VLOOKUP($A4,'FL Ratio'!$A$3:$B$10,2,FALSE),0)*'FL Characterization'!L$2)</f>
        <v>75.659417076568531</v>
      </c>
      <c r="M4" s="2">
        <f ca="1">('[1]Pc, Winter, S2'!M4*Main!$B$5)+(_xlfn.IFNA(VLOOKUP($A4,'FL Ratio'!$A$3:$B$10,2,FALSE),0)*'FL Characterization'!M$2)</f>
        <v>74.870262491500625</v>
      </c>
      <c r="N4" s="2">
        <f ca="1">('[1]Pc, Winter, S2'!N4*Main!$B$5)+(_xlfn.IFNA(VLOOKUP($A4,'FL Ratio'!$A$3:$B$10,2,FALSE),0)*'FL Characterization'!N$2)</f>
        <v>74.445433058896782</v>
      </c>
      <c r="O4" s="2">
        <f ca="1">('[1]Pc, Winter, S2'!O4*Main!$B$5)+(_xlfn.IFNA(VLOOKUP($A4,'FL Ratio'!$A$3:$B$10,2,FALSE),0)*'FL Characterization'!O$2)</f>
        <v>72.910219292606797</v>
      </c>
      <c r="P4" s="2">
        <f ca="1">('[1]Pc, Winter, S2'!P4*Main!$B$5)+(_xlfn.IFNA(VLOOKUP($A4,'FL Ratio'!$A$3:$B$10,2,FALSE),0)*'FL Characterization'!P$2)</f>
        <v>70.589358347544263</v>
      </c>
      <c r="Q4" s="2">
        <f ca="1">('[1]Pc, Winter, S2'!Q4*Main!$B$5)+(_xlfn.IFNA(VLOOKUP($A4,'FL Ratio'!$A$3:$B$10,2,FALSE),0)*'FL Characterization'!Q$2)</f>
        <v>69.311221290762205</v>
      </c>
      <c r="R4" s="2">
        <f ca="1">('[1]Pc, Winter, S2'!R4*Main!$B$5)+(_xlfn.IFNA(VLOOKUP($A4,'FL Ratio'!$A$3:$B$10,2,FALSE),0)*'FL Characterization'!R$2)</f>
        <v>71.785587082605744</v>
      </c>
      <c r="S4" s="2">
        <f ca="1">('[1]Pc, Winter, S2'!S4*Main!$B$5)+(_xlfn.IFNA(VLOOKUP($A4,'FL Ratio'!$A$3:$B$10,2,FALSE),0)*'FL Characterization'!S$2)</f>
        <v>81.271453199919847</v>
      </c>
      <c r="T4" s="2">
        <f ca="1">('[1]Pc, Winter, S2'!T4*Main!$B$5)+(_xlfn.IFNA(VLOOKUP($A4,'FL Ratio'!$A$3:$B$10,2,FALSE),0)*'FL Characterization'!T$2)</f>
        <v>82.865930490416503</v>
      </c>
      <c r="U4" s="2">
        <f ca="1">('[1]Pc, Winter, S2'!U4*Main!$B$5)+(_xlfn.IFNA(VLOOKUP($A4,'FL Ratio'!$A$3:$B$10,2,FALSE),0)*'FL Characterization'!U$2)</f>
        <v>83.358079676120227</v>
      </c>
      <c r="V4" s="2">
        <f ca="1">('[1]Pc, Winter, S2'!V4*Main!$B$5)+(_xlfn.IFNA(VLOOKUP($A4,'FL Ratio'!$A$3:$B$10,2,FALSE),0)*'FL Characterization'!V$2)</f>
        <v>80.879265611772652</v>
      </c>
      <c r="W4" s="2">
        <f ca="1">('[1]Pc, Winter, S2'!W4*Main!$B$5)+(_xlfn.IFNA(VLOOKUP($A4,'FL Ratio'!$A$3:$B$10,2,FALSE),0)*'FL Characterization'!W$2)</f>
        <v>77.182140370203939</v>
      </c>
      <c r="X4" s="2">
        <f ca="1">('[1]Pc, Winter, S2'!X4*Main!$B$5)+(_xlfn.IFNA(VLOOKUP($A4,'FL Ratio'!$A$3:$B$10,2,FALSE),0)*'FL Characterization'!X$2)</f>
        <v>70.378817520266523</v>
      </c>
      <c r="Y4" s="2">
        <f ca="1">('[1]Pc, Winter, S2'!Y4*Main!$B$5)+(_xlfn.IFNA(VLOOKUP($A4,'FL Ratio'!$A$3:$B$10,2,FALSE),0)*'FL Characterization'!Y$2)</f>
        <v>62.208320346109808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34.893274578201812</v>
      </c>
      <c r="C2" s="2">
        <f ca="1">('[1]Pc, Winter, S3'!C2*Main!$B$5)+(_xlfn.IFNA(VLOOKUP($A2,'FL Ratio'!$A$3:$B$10,2,FALSE),0)*'FL Characterization'!C$2)</f>
        <v>32.546642333857214</v>
      </c>
      <c r="D2" s="2">
        <f ca="1">('[1]Pc, Winter, S3'!D2*Main!$B$5)+(_xlfn.IFNA(VLOOKUP($A2,'FL Ratio'!$A$3:$B$10,2,FALSE),0)*'FL Characterization'!D$2)</f>
        <v>30.83894381455622</v>
      </c>
      <c r="E2" s="2">
        <f ca="1">('[1]Pc, Winter, S3'!E2*Main!$B$5)+(_xlfn.IFNA(VLOOKUP($A2,'FL Ratio'!$A$3:$B$10,2,FALSE),0)*'FL Characterization'!E$2)</f>
        <v>30.620741124585667</v>
      </c>
      <c r="F2" s="2">
        <f ca="1">('[1]Pc, Winter, S3'!F2*Main!$B$5)+(_xlfn.IFNA(VLOOKUP($A2,'FL Ratio'!$A$3:$B$10,2,FALSE),0)*'FL Characterization'!F$2)</f>
        <v>30.990096784812739</v>
      </c>
      <c r="G2" s="2">
        <f ca="1">('[1]Pc, Winter, S3'!G2*Main!$B$5)+(_xlfn.IFNA(VLOOKUP($A2,'FL Ratio'!$A$3:$B$10,2,FALSE),0)*'FL Characterization'!G$2)</f>
        <v>34.064807589646669</v>
      </c>
      <c r="H2" s="2">
        <f ca="1">('[1]Pc, Winter, S3'!H2*Main!$B$5)+(_xlfn.IFNA(VLOOKUP($A2,'FL Ratio'!$A$3:$B$10,2,FALSE),0)*'FL Characterization'!H$2)</f>
        <v>40.647617115034777</v>
      </c>
      <c r="I2" s="2">
        <f ca="1">('[1]Pc, Winter, S3'!I2*Main!$B$5)+(_xlfn.IFNA(VLOOKUP($A2,'FL Ratio'!$A$3:$B$10,2,FALSE),0)*'FL Characterization'!I$2)</f>
        <v>48.927338447599617</v>
      </c>
      <c r="J2" s="2">
        <f ca="1">('[1]Pc, Winter, S3'!J2*Main!$B$5)+(_xlfn.IFNA(VLOOKUP($A2,'FL Ratio'!$A$3:$B$10,2,FALSE),0)*'FL Characterization'!J$2)</f>
        <v>53.268576523710848</v>
      </c>
      <c r="K2" s="2">
        <f ca="1">('[1]Pc, Winter, S3'!K2*Main!$B$5)+(_xlfn.IFNA(VLOOKUP($A2,'FL Ratio'!$A$3:$B$10,2,FALSE),0)*'FL Characterization'!K$2)</f>
        <v>53.93282660229881</v>
      </c>
      <c r="L2" s="2">
        <f ca="1">('[1]Pc, Winter, S3'!L2*Main!$B$5)+(_xlfn.IFNA(VLOOKUP($A2,'FL Ratio'!$A$3:$B$10,2,FALSE),0)*'FL Characterization'!L$2)</f>
        <v>52.477360327774029</v>
      </c>
      <c r="M2" s="2">
        <f ca="1">('[1]Pc, Winter, S3'!M2*Main!$B$5)+(_xlfn.IFNA(VLOOKUP($A2,'FL Ratio'!$A$3:$B$10,2,FALSE),0)*'FL Characterization'!M$2)</f>
        <v>52.747835657015557</v>
      </c>
      <c r="N2" s="2">
        <f ca="1">('[1]Pc, Winter, S3'!N2*Main!$B$5)+(_xlfn.IFNA(VLOOKUP($A2,'FL Ratio'!$A$3:$B$10,2,FALSE),0)*'FL Characterization'!N$2)</f>
        <v>52.704488963583316</v>
      </c>
      <c r="O2" s="2">
        <f ca="1">('[1]Pc, Winter, S3'!O2*Main!$B$5)+(_xlfn.IFNA(VLOOKUP($A2,'FL Ratio'!$A$3:$B$10,2,FALSE),0)*'FL Characterization'!O$2)</f>
        <v>51.84385288794909</v>
      </c>
      <c r="P2" s="2">
        <f ca="1">('[1]Pc, Winter, S3'!P2*Main!$B$5)+(_xlfn.IFNA(VLOOKUP($A2,'FL Ratio'!$A$3:$B$10,2,FALSE),0)*'FL Characterization'!P$2)</f>
        <v>48.8892948767107</v>
      </c>
      <c r="Q2" s="2">
        <f ca="1">('[1]Pc, Winter, S3'!Q2*Main!$B$5)+(_xlfn.IFNA(VLOOKUP($A2,'FL Ratio'!$A$3:$B$10,2,FALSE),0)*'FL Characterization'!Q$2)</f>
        <v>47.488598516467412</v>
      </c>
      <c r="R2" s="2">
        <f ca="1">('[1]Pc, Winter, S3'!R2*Main!$B$5)+(_xlfn.IFNA(VLOOKUP($A2,'FL Ratio'!$A$3:$B$10,2,FALSE),0)*'FL Characterization'!R$2)</f>
        <v>49.456959092494124</v>
      </c>
      <c r="S2" s="2">
        <f ca="1">('[1]Pc, Winter, S3'!S2*Main!$B$5)+(_xlfn.IFNA(VLOOKUP($A2,'FL Ratio'!$A$3:$B$10,2,FALSE),0)*'FL Characterization'!S$2)</f>
        <v>54.823967786986763</v>
      </c>
      <c r="T2" s="2">
        <f ca="1">('[1]Pc, Winter, S3'!T2*Main!$B$5)+(_xlfn.IFNA(VLOOKUP($A2,'FL Ratio'!$A$3:$B$10,2,FALSE),0)*'FL Characterization'!T$2)</f>
        <v>54.625231770838688</v>
      </c>
      <c r="U2" s="2">
        <f ca="1">('[1]Pc, Winter, S3'!U2*Main!$B$5)+(_xlfn.IFNA(VLOOKUP($A2,'FL Ratio'!$A$3:$B$10,2,FALSE),0)*'FL Characterization'!U$2)</f>
        <v>53.494293051511761</v>
      </c>
      <c r="V2" s="2">
        <f ca="1">('[1]Pc, Winter, S3'!V2*Main!$B$5)+(_xlfn.IFNA(VLOOKUP($A2,'FL Ratio'!$A$3:$B$10,2,FALSE),0)*'FL Characterization'!V$2)</f>
        <v>52.574329644528873</v>
      </c>
      <c r="W2" s="2">
        <f ca="1">('[1]Pc, Winter, S3'!W2*Main!$B$5)+(_xlfn.IFNA(VLOOKUP($A2,'FL Ratio'!$A$3:$B$10,2,FALSE),0)*'FL Characterization'!W$2)</f>
        <v>49.276287854771866</v>
      </c>
      <c r="X2" s="2">
        <f ca="1">('[1]Pc, Winter, S3'!X2*Main!$B$5)+(_xlfn.IFNA(VLOOKUP($A2,'FL Ratio'!$A$3:$B$10,2,FALSE),0)*'FL Characterization'!X$2)</f>
        <v>43.107583654199757</v>
      </c>
      <c r="Y2" s="2">
        <f ca="1">('[1]Pc, Winter, S3'!Y2*Main!$B$5)+(_xlfn.IFNA(VLOOKUP($A2,'FL Ratio'!$A$3:$B$10,2,FALSE),0)*'FL Characterization'!Y$2)</f>
        <v>39.109520717738434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34.500979786678684</v>
      </c>
      <c r="C3" s="2">
        <f ca="1">('[1]Pc, Winter, S3'!C3*Main!$B$5)+(_xlfn.IFNA(VLOOKUP($A3,'FL Ratio'!$A$3:$B$10,2,FALSE),0)*'FL Characterization'!C$2)</f>
        <v>32.060086847773128</v>
      </c>
      <c r="D3" s="2">
        <f ca="1">('[1]Pc, Winter, S3'!D3*Main!$B$5)+(_xlfn.IFNA(VLOOKUP($A3,'FL Ratio'!$A$3:$B$10,2,FALSE),0)*'FL Characterization'!D$2)</f>
        <v>29.012860110565963</v>
      </c>
      <c r="E3" s="2">
        <f ca="1">('[1]Pc, Winter, S3'!E3*Main!$B$5)+(_xlfn.IFNA(VLOOKUP($A3,'FL Ratio'!$A$3:$B$10,2,FALSE),0)*'FL Characterization'!E$2)</f>
        <v>31.204996432746597</v>
      </c>
      <c r="F3" s="2">
        <f ca="1">('[1]Pc, Winter, S3'!F3*Main!$B$5)+(_xlfn.IFNA(VLOOKUP($A3,'FL Ratio'!$A$3:$B$10,2,FALSE),0)*'FL Characterization'!F$2)</f>
        <v>31.096165831740823</v>
      </c>
      <c r="G3" s="2">
        <f ca="1">('[1]Pc, Winter, S3'!G3*Main!$B$5)+(_xlfn.IFNA(VLOOKUP($A3,'FL Ratio'!$A$3:$B$10,2,FALSE),0)*'FL Characterization'!G$2)</f>
        <v>32.417660702931563</v>
      </c>
      <c r="H3" s="2">
        <f ca="1">('[1]Pc, Winter, S3'!H3*Main!$B$5)+(_xlfn.IFNA(VLOOKUP($A3,'FL Ratio'!$A$3:$B$10,2,FALSE),0)*'FL Characterization'!H$2)</f>
        <v>48.244627248915258</v>
      </c>
      <c r="I3" s="2">
        <f ca="1">('[1]Pc, Winter, S3'!I3*Main!$B$5)+(_xlfn.IFNA(VLOOKUP($A3,'FL Ratio'!$A$3:$B$10,2,FALSE),0)*'FL Characterization'!I$2)</f>
        <v>53.732756939297666</v>
      </c>
      <c r="J3" s="2">
        <f ca="1">('[1]Pc, Winter, S3'!J3*Main!$B$5)+(_xlfn.IFNA(VLOOKUP($A3,'FL Ratio'!$A$3:$B$10,2,FALSE),0)*'FL Characterization'!J$2)</f>
        <v>58.909939209789634</v>
      </c>
      <c r="K3" s="2">
        <f ca="1">('[1]Pc, Winter, S3'!K3*Main!$B$5)+(_xlfn.IFNA(VLOOKUP($A3,'FL Ratio'!$A$3:$B$10,2,FALSE),0)*'FL Characterization'!K$2)</f>
        <v>58.941031284954128</v>
      </c>
      <c r="L3" s="2">
        <f ca="1">('[1]Pc, Winter, S3'!L3*Main!$B$5)+(_xlfn.IFNA(VLOOKUP($A3,'FL Ratio'!$A$3:$B$10,2,FALSE),0)*'FL Characterization'!L$2)</f>
        <v>55.676143341358561</v>
      </c>
      <c r="M3" s="2">
        <f ca="1">('[1]Pc, Winter, S3'!M3*Main!$B$5)+(_xlfn.IFNA(VLOOKUP($A3,'FL Ratio'!$A$3:$B$10,2,FALSE),0)*'FL Characterization'!M$2)</f>
        <v>60.915519763318628</v>
      </c>
      <c r="N3" s="2">
        <f ca="1">('[1]Pc, Winter, S3'!N3*Main!$B$5)+(_xlfn.IFNA(VLOOKUP($A3,'FL Ratio'!$A$3:$B$10,2,FALSE),0)*'FL Characterization'!N$2)</f>
        <v>57.448518331633466</v>
      </c>
      <c r="O3" s="2">
        <f ca="1">('[1]Pc, Winter, S3'!O3*Main!$B$5)+(_xlfn.IFNA(VLOOKUP($A3,'FL Ratio'!$A$3:$B$10,2,FALSE),0)*'FL Characterization'!O$2)</f>
        <v>53.779400059179288</v>
      </c>
      <c r="P3" s="2">
        <f ca="1">('[1]Pc, Winter, S3'!P3*Main!$B$5)+(_xlfn.IFNA(VLOOKUP($A3,'FL Ratio'!$A$3:$B$10,2,FALSE),0)*'FL Characterization'!P$2)</f>
        <v>52.146954419795499</v>
      </c>
      <c r="Q3" s="2">
        <f ca="1">('[1]Pc, Winter, S3'!Q3*Main!$B$5)+(_xlfn.IFNA(VLOOKUP($A3,'FL Ratio'!$A$3:$B$10,2,FALSE),0)*'FL Characterization'!Q$2)</f>
        <v>48.726589424517407</v>
      </c>
      <c r="R3" s="2">
        <f ca="1">('[1]Pc, Winter, S3'!R3*Main!$B$5)+(_xlfn.IFNA(VLOOKUP($A3,'FL Ratio'!$A$3:$B$10,2,FALSE),0)*'FL Characterization'!R$2)</f>
        <v>48.757684834853912</v>
      </c>
      <c r="S3" s="2">
        <f ca="1">('[1]Pc, Winter, S3'!S3*Main!$B$5)+(_xlfn.IFNA(VLOOKUP($A3,'FL Ratio'!$A$3:$B$10,2,FALSE),0)*'FL Characterization'!S$2)</f>
        <v>51.618355807786301</v>
      </c>
      <c r="T3" s="2">
        <f ca="1">('[1]Pc, Winter, S3'!T3*Main!$B$5)+(_xlfn.IFNA(VLOOKUP($A3,'FL Ratio'!$A$3:$B$10,2,FALSE),0)*'FL Characterization'!T$2)</f>
        <v>51.618355807786301</v>
      </c>
      <c r="U3" s="2">
        <f ca="1">('[1]Pc, Winter, S3'!U3*Main!$B$5)+(_xlfn.IFNA(VLOOKUP($A3,'FL Ratio'!$A$3:$B$10,2,FALSE),0)*'FL Characterization'!U$2)</f>
        <v>52.39570101349701</v>
      </c>
      <c r="V3" s="2">
        <f ca="1">('[1]Pc, Winter, S3'!V3*Main!$B$5)+(_xlfn.IFNA(VLOOKUP($A3,'FL Ratio'!$A$3:$B$10,2,FALSE),0)*'FL Characterization'!V$2)</f>
        <v>50.980913232199072</v>
      </c>
      <c r="W3" s="2">
        <f ca="1">('[1]Pc, Winter, S3'!W3*Main!$B$5)+(_xlfn.IFNA(VLOOKUP($A3,'FL Ratio'!$A$3:$B$10,2,FALSE),0)*'FL Characterization'!W$2)</f>
        <v>46.068025273707477</v>
      </c>
      <c r="X3" s="2">
        <f ca="1">('[1]Pc, Winter, S3'!X3*Main!$B$5)+(_xlfn.IFNA(VLOOKUP($A3,'FL Ratio'!$A$3:$B$10,2,FALSE),0)*'FL Characterization'!X$2)</f>
        <v>38.963004319453489</v>
      </c>
      <c r="Y3" s="2">
        <f ca="1">('[1]Pc, Winter, S3'!Y3*Main!$B$5)+(_xlfn.IFNA(VLOOKUP($A3,'FL Ratio'!$A$3:$B$10,2,FALSE),0)*'FL Characterization'!Y$2)</f>
        <v>37.703683584322093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50.147999359121521</v>
      </c>
      <c r="C4" s="2">
        <f ca="1">('[1]Pc, Winter, S3'!C4*Main!$B$5)+(_xlfn.IFNA(VLOOKUP($A4,'FL Ratio'!$A$3:$B$10,2,FALSE),0)*'FL Characterization'!C$2)</f>
        <v>44.123456094900348</v>
      </c>
      <c r="D4" s="2">
        <f ca="1">('[1]Pc, Winter, S3'!D4*Main!$B$5)+(_xlfn.IFNA(VLOOKUP($A4,'FL Ratio'!$A$3:$B$10,2,FALSE),0)*'FL Characterization'!D$2)</f>
        <v>41.540194852732377</v>
      </c>
      <c r="E4" s="2">
        <f ca="1">('[1]Pc, Winter, S3'!E4*Main!$B$5)+(_xlfn.IFNA(VLOOKUP($A4,'FL Ratio'!$A$3:$B$10,2,FALSE),0)*'FL Characterization'!E$2)</f>
        <v>41.04688544428128</v>
      </c>
      <c r="F4" s="2">
        <f ca="1">('[1]Pc, Winter, S3'!F4*Main!$B$5)+(_xlfn.IFNA(VLOOKUP($A4,'FL Ratio'!$A$3:$B$10,2,FALSE),0)*'FL Characterization'!F$2)</f>
        <v>42.963919189506534</v>
      </c>
      <c r="G4" s="2">
        <f ca="1">('[1]Pc, Winter, S3'!G4*Main!$B$5)+(_xlfn.IFNA(VLOOKUP($A4,'FL Ratio'!$A$3:$B$10,2,FALSE),0)*'FL Characterization'!G$2)</f>
        <v>46.388304684713816</v>
      </c>
      <c r="H4" s="2">
        <f ca="1">('[1]Pc, Winter, S3'!H4*Main!$B$5)+(_xlfn.IFNA(VLOOKUP($A4,'FL Ratio'!$A$3:$B$10,2,FALSE),0)*'FL Characterization'!H$2)</f>
        <v>55.975605437729342</v>
      </c>
      <c r="I4" s="2">
        <f ca="1">('[1]Pc, Winter, S3'!I4*Main!$B$5)+(_xlfn.IFNA(VLOOKUP($A4,'FL Ratio'!$A$3:$B$10,2,FALSE),0)*'FL Characterization'!I$2)</f>
        <v>62.577122037918656</v>
      </c>
      <c r="J4" s="2">
        <f ca="1">('[1]Pc, Winter, S3'!J4*Main!$B$5)+(_xlfn.IFNA(VLOOKUP($A4,'FL Ratio'!$A$3:$B$10,2,FALSE),0)*'FL Characterization'!J$2)</f>
        <v>66.232192541264439</v>
      </c>
      <c r="K4" s="2">
        <f ca="1">('[1]Pc, Winter, S3'!K4*Main!$B$5)+(_xlfn.IFNA(VLOOKUP($A4,'FL Ratio'!$A$3:$B$10,2,FALSE),0)*'FL Characterization'!K$2)</f>
        <v>68.48535705087923</v>
      </c>
      <c r="L4" s="2">
        <f ca="1">('[1]Pc, Winter, S3'!L4*Main!$B$5)+(_xlfn.IFNA(VLOOKUP($A4,'FL Ratio'!$A$3:$B$10,2,FALSE),0)*'FL Characterization'!L$2)</f>
        <v>69.111967521865481</v>
      </c>
      <c r="M4" s="2">
        <f ca="1">('[1]Pc, Winter, S3'!M4*Main!$B$5)+(_xlfn.IFNA(VLOOKUP($A4,'FL Ratio'!$A$3:$B$10,2,FALSE),0)*'FL Characterization'!M$2)</f>
        <v>68.391105160505376</v>
      </c>
      <c r="N4" s="2">
        <f ca="1">('[1]Pc, Winter, S3'!N4*Main!$B$5)+(_xlfn.IFNA(VLOOKUP($A4,'FL Ratio'!$A$3:$B$10,2,FALSE),0)*'FL Characterization'!N$2)</f>
        <v>68.003039813415313</v>
      </c>
      <c r="O4" s="2">
        <f ca="1">('[1]Pc, Winter, S3'!O4*Main!$B$5)+(_xlfn.IFNA(VLOOKUP($A4,'FL Ratio'!$A$3:$B$10,2,FALSE),0)*'FL Characterization'!O$2)</f>
        <v>66.600681084592736</v>
      </c>
      <c r="P4" s="2">
        <f ca="1">('[1]Pc, Winter, S3'!P4*Main!$B$5)+(_xlfn.IFNA(VLOOKUP($A4,'FL Ratio'!$A$3:$B$10,2,FALSE),0)*'FL Characterization'!P$2)</f>
        <v>64.48066387516063</v>
      </c>
      <c r="Q4" s="2">
        <f ca="1">('[1]Pc, Winter, S3'!Q4*Main!$B$5)+(_xlfn.IFNA(VLOOKUP($A4,'FL Ratio'!$A$3:$B$10,2,FALSE),0)*'FL Characterization'!Q$2)</f>
        <v>63.313134832907778</v>
      </c>
      <c r="R4" s="2">
        <f ca="1">('[1]Pc, Winter, S3'!R4*Main!$B$5)+(_xlfn.IFNA(VLOOKUP($A4,'FL Ratio'!$A$3:$B$10,2,FALSE),0)*'FL Characterization'!R$2)</f>
        <v>65.573372815841765</v>
      </c>
      <c r="S4" s="2">
        <f ca="1">('[1]Pc, Winter, S3'!S4*Main!$B$5)+(_xlfn.IFNA(VLOOKUP($A4,'FL Ratio'!$A$3:$B$10,2,FALSE),0)*'FL Characterization'!S$2)</f>
        <v>74.238346673003704</v>
      </c>
      <c r="T4" s="2">
        <f ca="1">('[1]Pc, Winter, S3'!T4*Main!$B$5)+(_xlfn.IFNA(VLOOKUP($A4,'FL Ratio'!$A$3:$B$10,2,FALSE),0)*'FL Characterization'!T$2)</f>
        <v>75.694840351822748</v>
      </c>
      <c r="U4" s="2">
        <f ca="1">('[1]Pc, Winter, S3'!U4*Main!$B$5)+(_xlfn.IFNA(VLOOKUP($A4,'FL Ratio'!$A$3:$B$10,2,FALSE),0)*'FL Characterization'!U$2)</f>
        <v>76.144399704148285</v>
      </c>
      <c r="V4" s="2">
        <f ca="1">('[1]Pc, Winter, S3'!V4*Main!$B$5)+(_xlfn.IFNA(VLOOKUP($A4,'FL Ratio'!$A$3:$B$10,2,FALSE),0)*'FL Characterization'!V$2)</f>
        <v>73.880098395369245</v>
      </c>
      <c r="W4" s="2">
        <f ca="1">('[1]Pc, Winter, S3'!W4*Main!$B$5)+(_xlfn.IFNA(VLOOKUP($A4,'FL Ratio'!$A$3:$B$10,2,FALSE),0)*'FL Characterization'!W$2)</f>
        <v>70.502916684320908</v>
      </c>
      <c r="X4" s="2">
        <f ca="1">('[1]Pc, Winter, S3'!X4*Main!$B$5)+(_xlfn.IFNA(VLOOKUP($A4,'FL Ratio'!$A$3:$B$10,2,FALSE),0)*'FL Characterization'!X$2)</f>
        <v>64.288342927166525</v>
      </c>
      <c r="Y4" s="2">
        <f ca="1">('[1]Pc, Winter, S3'!Y4*Main!$B$5)+(_xlfn.IFNA(VLOOKUP($A4,'FL Ratio'!$A$3:$B$10,2,FALSE),0)*'FL Characterization'!Y$2)</f>
        <v>56.824908008465684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34.893274578201812</v>
      </c>
      <c r="C2" s="2">
        <f ca="1">('[1]Pc, Winter, S3'!C2*Main!$B$5)+(_xlfn.IFNA(VLOOKUP($A2,'FL Ratio'!$A$3:$B$10,2,FALSE),0)*'FL Characterization'!C$2)</f>
        <v>32.546642333857214</v>
      </c>
      <c r="D2" s="2">
        <f ca="1">('[1]Pc, Winter, S3'!D2*Main!$B$5)+(_xlfn.IFNA(VLOOKUP($A2,'FL Ratio'!$A$3:$B$10,2,FALSE),0)*'FL Characterization'!D$2)</f>
        <v>30.83894381455622</v>
      </c>
      <c r="E2" s="2">
        <f ca="1">('[1]Pc, Winter, S3'!E2*Main!$B$5)+(_xlfn.IFNA(VLOOKUP($A2,'FL Ratio'!$A$3:$B$10,2,FALSE),0)*'FL Characterization'!E$2)</f>
        <v>30.620741124585667</v>
      </c>
      <c r="F2" s="2">
        <f ca="1">('[1]Pc, Winter, S3'!F2*Main!$B$5)+(_xlfn.IFNA(VLOOKUP($A2,'FL Ratio'!$A$3:$B$10,2,FALSE),0)*'FL Characterization'!F$2)</f>
        <v>30.990096784812739</v>
      </c>
      <c r="G2" s="2">
        <f ca="1">('[1]Pc, Winter, S3'!G2*Main!$B$5)+(_xlfn.IFNA(VLOOKUP($A2,'FL Ratio'!$A$3:$B$10,2,FALSE),0)*'FL Characterization'!G$2)</f>
        <v>34.064807589646669</v>
      </c>
      <c r="H2" s="2">
        <f ca="1">('[1]Pc, Winter, S3'!H2*Main!$B$5)+(_xlfn.IFNA(VLOOKUP($A2,'FL Ratio'!$A$3:$B$10,2,FALSE),0)*'FL Characterization'!H$2)</f>
        <v>40.647617115034777</v>
      </c>
      <c r="I2" s="2">
        <f ca="1">('[1]Pc, Winter, S3'!I2*Main!$B$5)+(_xlfn.IFNA(VLOOKUP($A2,'FL Ratio'!$A$3:$B$10,2,FALSE),0)*'FL Characterization'!I$2)</f>
        <v>48.927338447599617</v>
      </c>
      <c r="J2" s="2">
        <f ca="1">('[1]Pc, Winter, S3'!J2*Main!$B$5)+(_xlfn.IFNA(VLOOKUP($A2,'FL Ratio'!$A$3:$B$10,2,FALSE),0)*'FL Characterization'!J$2)</f>
        <v>53.268576523710848</v>
      </c>
      <c r="K2" s="2">
        <f ca="1">('[1]Pc, Winter, S3'!K2*Main!$B$5)+(_xlfn.IFNA(VLOOKUP($A2,'FL Ratio'!$A$3:$B$10,2,FALSE),0)*'FL Characterization'!K$2)</f>
        <v>53.93282660229881</v>
      </c>
      <c r="L2" s="2">
        <f ca="1">('[1]Pc, Winter, S3'!L2*Main!$B$5)+(_xlfn.IFNA(VLOOKUP($A2,'FL Ratio'!$A$3:$B$10,2,FALSE),0)*'FL Characterization'!L$2)</f>
        <v>52.477360327774029</v>
      </c>
      <c r="M2" s="2">
        <f ca="1">('[1]Pc, Winter, S3'!M2*Main!$B$5)+(_xlfn.IFNA(VLOOKUP($A2,'FL Ratio'!$A$3:$B$10,2,FALSE),0)*'FL Characterization'!M$2)</f>
        <v>52.747835657015557</v>
      </c>
      <c r="N2" s="2">
        <f ca="1">('[1]Pc, Winter, S3'!N2*Main!$B$5)+(_xlfn.IFNA(VLOOKUP($A2,'FL Ratio'!$A$3:$B$10,2,FALSE),0)*'FL Characterization'!N$2)</f>
        <v>52.704488963583316</v>
      </c>
      <c r="O2" s="2">
        <f ca="1">('[1]Pc, Winter, S3'!O2*Main!$B$5)+(_xlfn.IFNA(VLOOKUP($A2,'FL Ratio'!$A$3:$B$10,2,FALSE),0)*'FL Characterization'!O$2)</f>
        <v>51.84385288794909</v>
      </c>
      <c r="P2" s="2">
        <f ca="1">('[1]Pc, Winter, S3'!P2*Main!$B$5)+(_xlfn.IFNA(VLOOKUP($A2,'FL Ratio'!$A$3:$B$10,2,FALSE),0)*'FL Characterization'!P$2)</f>
        <v>48.8892948767107</v>
      </c>
      <c r="Q2" s="2">
        <f ca="1">('[1]Pc, Winter, S3'!Q2*Main!$B$5)+(_xlfn.IFNA(VLOOKUP($A2,'FL Ratio'!$A$3:$B$10,2,FALSE),0)*'FL Characterization'!Q$2)</f>
        <v>47.488598516467412</v>
      </c>
      <c r="R2" s="2">
        <f ca="1">('[1]Pc, Winter, S3'!R2*Main!$B$5)+(_xlfn.IFNA(VLOOKUP($A2,'FL Ratio'!$A$3:$B$10,2,FALSE),0)*'FL Characterization'!R$2)</f>
        <v>49.456959092494124</v>
      </c>
      <c r="S2" s="2">
        <f ca="1">('[1]Pc, Winter, S3'!S2*Main!$B$5)+(_xlfn.IFNA(VLOOKUP($A2,'FL Ratio'!$A$3:$B$10,2,FALSE),0)*'FL Characterization'!S$2)</f>
        <v>54.823967786986763</v>
      </c>
      <c r="T2" s="2">
        <f ca="1">('[1]Pc, Winter, S3'!T2*Main!$B$5)+(_xlfn.IFNA(VLOOKUP($A2,'FL Ratio'!$A$3:$B$10,2,FALSE),0)*'FL Characterization'!T$2)</f>
        <v>54.625231770838688</v>
      </c>
      <c r="U2" s="2">
        <f ca="1">('[1]Pc, Winter, S3'!U2*Main!$B$5)+(_xlfn.IFNA(VLOOKUP($A2,'FL Ratio'!$A$3:$B$10,2,FALSE),0)*'FL Characterization'!U$2)</f>
        <v>53.494293051511761</v>
      </c>
      <c r="V2" s="2">
        <f ca="1">('[1]Pc, Winter, S3'!V2*Main!$B$5)+(_xlfn.IFNA(VLOOKUP($A2,'FL Ratio'!$A$3:$B$10,2,FALSE),0)*'FL Characterization'!V$2)</f>
        <v>52.574329644528873</v>
      </c>
      <c r="W2" s="2">
        <f ca="1">('[1]Pc, Winter, S3'!W2*Main!$B$5)+(_xlfn.IFNA(VLOOKUP($A2,'FL Ratio'!$A$3:$B$10,2,FALSE),0)*'FL Characterization'!W$2)</f>
        <v>49.276287854771866</v>
      </c>
      <c r="X2" s="2">
        <f ca="1">('[1]Pc, Winter, S3'!X2*Main!$B$5)+(_xlfn.IFNA(VLOOKUP($A2,'FL Ratio'!$A$3:$B$10,2,FALSE),0)*'FL Characterization'!X$2)</f>
        <v>43.107583654199757</v>
      </c>
      <c r="Y2" s="2">
        <f ca="1">('[1]Pc, Winter, S3'!Y2*Main!$B$5)+(_xlfn.IFNA(VLOOKUP($A2,'FL Ratio'!$A$3:$B$10,2,FALSE),0)*'FL Characterization'!Y$2)</f>
        <v>39.109520717738434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34.500979786678684</v>
      </c>
      <c r="C3" s="2">
        <f ca="1">('[1]Pc, Winter, S3'!C3*Main!$B$5)+(_xlfn.IFNA(VLOOKUP($A3,'FL Ratio'!$A$3:$B$10,2,FALSE),0)*'FL Characterization'!C$2)</f>
        <v>32.060086847773128</v>
      </c>
      <c r="D3" s="2">
        <f ca="1">('[1]Pc, Winter, S3'!D3*Main!$B$5)+(_xlfn.IFNA(VLOOKUP($A3,'FL Ratio'!$A$3:$B$10,2,FALSE),0)*'FL Characterization'!D$2)</f>
        <v>29.012860110565963</v>
      </c>
      <c r="E3" s="2">
        <f ca="1">('[1]Pc, Winter, S3'!E3*Main!$B$5)+(_xlfn.IFNA(VLOOKUP($A3,'FL Ratio'!$A$3:$B$10,2,FALSE),0)*'FL Characterization'!E$2)</f>
        <v>31.204996432746597</v>
      </c>
      <c r="F3" s="2">
        <f ca="1">('[1]Pc, Winter, S3'!F3*Main!$B$5)+(_xlfn.IFNA(VLOOKUP($A3,'FL Ratio'!$A$3:$B$10,2,FALSE),0)*'FL Characterization'!F$2)</f>
        <v>31.096165831740823</v>
      </c>
      <c r="G3" s="2">
        <f ca="1">('[1]Pc, Winter, S3'!G3*Main!$B$5)+(_xlfn.IFNA(VLOOKUP($A3,'FL Ratio'!$A$3:$B$10,2,FALSE),0)*'FL Characterization'!G$2)</f>
        <v>32.417660702931563</v>
      </c>
      <c r="H3" s="2">
        <f ca="1">('[1]Pc, Winter, S3'!H3*Main!$B$5)+(_xlfn.IFNA(VLOOKUP($A3,'FL Ratio'!$A$3:$B$10,2,FALSE),0)*'FL Characterization'!H$2)</f>
        <v>48.244627248915258</v>
      </c>
      <c r="I3" s="2">
        <f ca="1">('[1]Pc, Winter, S3'!I3*Main!$B$5)+(_xlfn.IFNA(VLOOKUP($A3,'FL Ratio'!$A$3:$B$10,2,FALSE),0)*'FL Characterization'!I$2)</f>
        <v>53.732756939297666</v>
      </c>
      <c r="J3" s="2">
        <f ca="1">('[1]Pc, Winter, S3'!J3*Main!$B$5)+(_xlfn.IFNA(VLOOKUP($A3,'FL Ratio'!$A$3:$B$10,2,FALSE),0)*'FL Characterization'!J$2)</f>
        <v>58.909939209789634</v>
      </c>
      <c r="K3" s="2">
        <f ca="1">('[1]Pc, Winter, S3'!K3*Main!$B$5)+(_xlfn.IFNA(VLOOKUP($A3,'FL Ratio'!$A$3:$B$10,2,FALSE),0)*'FL Characterization'!K$2)</f>
        <v>58.941031284954128</v>
      </c>
      <c r="L3" s="2">
        <f ca="1">('[1]Pc, Winter, S3'!L3*Main!$B$5)+(_xlfn.IFNA(VLOOKUP($A3,'FL Ratio'!$A$3:$B$10,2,FALSE),0)*'FL Characterization'!L$2)</f>
        <v>55.676143341358561</v>
      </c>
      <c r="M3" s="2">
        <f ca="1">('[1]Pc, Winter, S3'!M3*Main!$B$5)+(_xlfn.IFNA(VLOOKUP($A3,'FL Ratio'!$A$3:$B$10,2,FALSE),0)*'FL Characterization'!M$2)</f>
        <v>60.915519763318628</v>
      </c>
      <c r="N3" s="2">
        <f ca="1">('[1]Pc, Winter, S3'!N3*Main!$B$5)+(_xlfn.IFNA(VLOOKUP($A3,'FL Ratio'!$A$3:$B$10,2,FALSE),0)*'FL Characterization'!N$2)</f>
        <v>57.448518331633466</v>
      </c>
      <c r="O3" s="2">
        <f ca="1">('[1]Pc, Winter, S3'!O3*Main!$B$5)+(_xlfn.IFNA(VLOOKUP($A3,'FL Ratio'!$A$3:$B$10,2,FALSE),0)*'FL Characterization'!O$2)</f>
        <v>53.779400059179288</v>
      </c>
      <c r="P3" s="2">
        <f ca="1">('[1]Pc, Winter, S3'!P3*Main!$B$5)+(_xlfn.IFNA(VLOOKUP($A3,'FL Ratio'!$A$3:$B$10,2,FALSE),0)*'FL Characterization'!P$2)</f>
        <v>52.146954419795499</v>
      </c>
      <c r="Q3" s="2">
        <f ca="1">('[1]Pc, Winter, S3'!Q3*Main!$B$5)+(_xlfn.IFNA(VLOOKUP($A3,'FL Ratio'!$A$3:$B$10,2,FALSE),0)*'FL Characterization'!Q$2)</f>
        <v>48.726589424517407</v>
      </c>
      <c r="R3" s="2">
        <f ca="1">('[1]Pc, Winter, S3'!R3*Main!$B$5)+(_xlfn.IFNA(VLOOKUP($A3,'FL Ratio'!$A$3:$B$10,2,FALSE),0)*'FL Characterization'!R$2)</f>
        <v>48.757684834853912</v>
      </c>
      <c r="S3" s="2">
        <f ca="1">('[1]Pc, Winter, S3'!S3*Main!$B$5)+(_xlfn.IFNA(VLOOKUP($A3,'FL Ratio'!$A$3:$B$10,2,FALSE),0)*'FL Characterization'!S$2)</f>
        <v>51.618355807786301</v>
      </c>
      <c r="T3" s="2">
        <f ca="1">('[1]Pc, Winter, S3'!T3*Main!$B$5)+(_xlfn.IFNA(VLOOKUP($A3,'FL Ratio'!$A$3:$B$10,2,FALSE),0)*'FL Characterization'!T$2)</f>
        <v>51.618355807786301</v>
      </c>
      <c r="U3" s="2">
        <f ca="1">('[1]Pc, Winter, S3'!U3*Main!$B$5)+(_xlfn.IFNA(VLOOKUP($A3,'FL Ratio'!$A$3:$B$10,2,FALSE),0)*'FL Characterization'!U$2)</f>
        <v>52.39570101349701</v>
      </c>
      <c r="V3" s="2">
        <f ca="1">('[1]Pc, Winter, S3'!V3*Main!$B$5)+(_xlfn.IFNA(VLOOKUP($A3,'FL Ratio'!$A$3:$B$10,2,FALSE),0)*'FL Characterization'!V$2)</f>
        <v>50.980913232199072</v>
      </c>
      <c r="W3" s="2">
        <f ca="1">('[1]Pc, Winter, S3'!W3*Main!$B$5)+(_xlfn.IFNA(VLOOKUP($A3,'FL Ratio'!$A$3:$B$10,2,FALSE),0)*'FL Characterization'!W$2)</f>
        <v>46.068025273707477</v>
      </c>
      <c r="X3" s="2">
        <f ca="1">('[1]Pc, Winter, S3'!X3*Main!$B$5)+(_xlfn.IFNA(VLOOKUP($A3,'FL Ratio'!$A$3:$B$10,2,FALSE),0)*'FL Characterization'!X$2)</f>
        <v>38.963004319453489</v>
      </c>
      <c r="Y3" s="2">
        <f ca="1">('[1]Pc, Winter, S3'!Y3*Main!$B$5)+(_xlfn.IFNA(VLOOKUP($A3,'FL Ratio'!$A$3:$B$10,2,FALSE),0)*'FL Characterization'!Y$2)</f>
        <v>37.703683584322093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50.147999359121521</v>
      </c>
      <c r="C4" s="2">
        <f ca="1">('[1]Pc, Winter, S3'!C4*Main!$B$5)+(_xlfn.IFNA(VLOOKUP($A4,'FL Ratio'!$A$3:$B$10,2,FALSE),0)*'FL Characterization'!C$2)</f>
        <v>44.123456094900348</v>
      </c>
      <c r="D4" s="2">
        <f ca="1">('[1]Pc, Winter, S3'!D4*Main!$B$5)+(_xlfn.IFNA(VLOOKUP($A4,'FL Ratio'!$A$3:$B$10,2,FALSE),0)*'FL Characterization'!D$2)</f>
        <v>41.540194852732377</v>
      </c>
      <c r="E4" s="2">
        <f ca="1">('[1]Pc, Winter, S3'!E4*Main!$B$5)+(_xlfn.IFNA(VLOOKUP($A4,'FL Ratio'!$A$3:$B$10,2,FALSE),0)*'FL Characterization'!E$2)</f>
        <v>41.04688544428128</v>
      </c>
      <c r="F4" s="2">
        <f ca="1">('[1]Pc, Winter, S3'!F4*Main!$B$5)+(_xlfn.IFNA(VLOOKUP($A4,'FL Ratio'!$A$3:$B$10,2,FALSE),0)*'FL Characterization'!F$2)</f>
        <v>42.963919189506534</v>
      </c>
      <c r="G4" s="2">
        <f ca="1">('[1]Pc, Winter, S3'!G4*Main!$B$5)+(_xlfn.IFNA(VLOOKUP($A4,'FL Ratio'!$A$3:$B$10,2,FALSE),0)*'FL Characterization'!G$2)</f>
        <v>46.388304684713816</v>
      </c>
      <c r="H4" s="2">
        <f ca="1">('[1]Pc, Winter, S3'!H4*Main!$B$5)+(_xlfn.IFNA(VLOOKUP($A4,'FL Ratio'!$A$3:$B$10,2,FALSE),0)*'FL Characterization'!H$2)</f>
        <v>55.975605437729342</v>
      </c>
      <c r="I4" s="2">
        <f ca="1">('[1]Pc, Winter, S3'!I4*Main!$B$5)+(_xlfn.IFNA(VLOOKUP($A4,'FL Ratio'!$A$3:$B$10,2,FALSE),0)*'FL Characterization'!I$2)</f>
        <v>62.577122037918656</v>
      </c>
      <c r="J4" s="2">
        <f ca="1">('[1]Pc, Winter, S3'!J4*Main!$B$5)+(_xlfn.IFNA(VLOOKUP($A4,'FL Ratio'!$A$3:$B$10,2,FALSE),0)*'FL Characterization'!J$2)</f>
        <v>66.232192541264439</v>
      </c>
      <c r="K4" s="2">
        <f ca="1">('[1]Pc, Winter, S3'!K4*Main!$B$5)+(_xlfn.IFNA(VLOOKUP($A4,'FL Ratio'!$A$3:$B$10,2,FALSE),0)*'FL Characterization'!K$2)</f>
        <v>68.48535705087923</v>
      </c>
      <c r="L4" s="2">
        <f ca="1">('[1]Pc, Winter, S3'!L4*Main!$B$5)+(_xlfn.IFNA(VLOOKUP($A4,'FL Ratio'!$A$3:$B$10,2,FALSE),0)*'FL Characterization'!L$2)</f>
        <v>69.111967521865481</v>
      </c>
      <c r="M4" s="2">
        <f ca="1">('[1]Pc, Winter, S3'!M4*Main!$B$5)+(_xlfn.IFNA(VLOOKUP($A4,'FL Ratio'!$A$3:$B$10,2,FALSE),0)*'FL Characterization'!M$2)</f>
        <v>68.391105160505376</v>
      </c>
      <c r="N4" s="2">
        <f ca="1">('[1]Pc, Winter, S3'!N4*Main!$B$5)+(_xlfn.IFNA(VLOOKUP($A4,'FL Ratio'!$A$3:$B$10,2,FALSE),0)*'FL Characterization'!N$2)</f>
        <v>68.003039813415313</v>
      </c>
      <c r="O4" s="2">
        <f ca="1">('[1]Pc, Winter, S3'!O4*Main!$B$5)+(_xlfn.IFNA(VLOOKUP($A4,'FL Ratio'!$A$3:$B$10,2,FALSE),0)*'FL Characterization'!O$2)</f>
        <v>66.600681084592736</v>
      </c>
      <c r="P4" s="2">
        <f ca="1">('[1]Pc, Winter, S3'!P4*Main!$B$5)+(_xlfn.IFNA(VLOOKUP($A4,'FL Ratio'!$A$3:$B$10,2,FALSE),0)*'FL Characterization'!P$2)</f>
        <v>64.48066387516063</v>
      </c>
      <c r="Q4" s="2">
        <f ca="1">('[1]Pc, Winter, S3'!Q4*Main!$B$5)+(_xlfn.IFNA(VLOOKUP($A4,'FL Ratio'!$A$3:$B$10,2,FALSE),0)*'FL Characterization'!Q$2)</f>
        <v>63.313134832907778</v>
      </c>
      <c r="R4" s="2">
        <f ca="1">('[1]Pc, Winter, S3'!R4*Main!$B$5)+(_xlfn.IFNA(VLOOKUP($A4,'FL Ratio'!$A$3:$B$10,2,FALSE),0)*'FL Characterization'!R$2)</f>
        <v>65.573372815841765</v>
      </c>
      <c r="S4" s="2">
        <f ca="1">('[1]Pc, Winter, S3'!S4*Main!$B$5)+(_xlfn.IFNA(VLOOKUP($A4,'FL Ratio'!$A$3:$B$10,2,FALSE),0)*'FL Characterization'!S$2)</f>
        <v>74.238346673003704</v>
      </c>
      <c r="T4" s="2">
        <f ca="1">('[1]Pc, Winter, S3'!T4*Main!$B$5)+(_xlfn.IFNA(VLOOKUP($A4,'FL Ratio'!$A$3:$B$10,2,FALSE),0)*'FL Characterization'!T$2)</f>
        <v>75.694840351822748</v>
      </c>
      <c r="U4" s="2">
        <f ca="1">('[1]Pc, Winter, S3'!U4*Main!$B$5)+(_xlfn.IFNA(VLOOKUP($A4,'FL Ratio'!$A$3:$B$10,2,FALSE),0)*'FL Characterization'!U$2)</f>
        <v>76.144399704148285</v>
      </c>
      <c r="V4" s="2">
        <f ca="1">('[1]Pc, Winter, S3'!V4*Main!$B$5)+(_xlfn.IFNA(VLOOKUP($A4,'FL Ratio'!$A$3:$B$10,2,FALSE),0)*'FL Characterization'!V$2)</f>
        <v>73.880098395369245</v>
      </c>
      <c r="W4" s="2">
        <f ca="1">('[1]Pc, Winter, S3'!W4*Main!$B$5)+(_xlfn.IFNA(VLOOKUP($A4,'FL Ratio'!$A$3:$B$10,2,FALSE),0)*'FL Characterization'!W$2)</f>
        <v>70.502916684320908</v>
      </c>
      <c r="X4" s="2">
        <f ca="1">('[1]Pc, Winter, S3'!X4*Main!$B$5)+(_xlfn.IFNA(VLOOKUP($A4,'FL Ratio'!$A$3:$B$10,2,FALSE),0)*'FL Characterization'!X$2)</f>
        <v>64.288342927166525</v>
      </c>
      <c r="Y4" s="2">
        <f ca="1">('[1]Pc, Winter, S3'!Y4*Main!$B$5)+(_xlfn.IFNA(VLOOKUP($A4,'FL Ratio'!$A$3:$B$10,2,FALSE),0)*'FL Characterization'!Y$2)</f>
        <v>56.824908008465684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34.893274578201812</v>
      </c>
      <c r="C2" s="2">
        <f ca="1">('[1]Pc, Winter, S3'!C2*Main!$B$5)+(_xlfn.IFNA(VLOOKUP($A2,'FL Ratio'!$A$3:$B$10,2,FALSE),0)*'FL Characterization'!C$2)</f>
        <v>32.546642333857214</v>
      </c>
      <c r="D2" s="2">
        <f ca="1">('[1]Pc, Winter, S3'!D2*Main!$B$5)+(_xlfn.IFNA(VLOOKUP($A2,'FL Ratio'!$A$3:$B$10,2,FALSE),0)*'FL Characterization'!D$2)</f>
        <v>30.83894381455622</v>
      </c>
      <c r="E2" s="2">
        <f ca="1">('[1]Pc, Winter, S3'!E2*Main!$B$5)+(_xlfn.IFNA(VLOOKUP($A2,'FL Ratio'!$A$3:$B$10,2,FALSE),0)*'FL Characterization'!E$2)</f>
        <v>30.620741124585667</v>
      </c>
      <c r="F2" s="2">
        <f ca="1">('[1]Pc, Winter, S3'!F2*Main!$B$5)+(_xlfn.IFNA(VLOOKUP($A2,'FL Ratio'!$A$3:$B$10,2,FALSE),0)*'FL Characterization'!F$2)</f>
        <v>30.990096784812739</v>
      </c>
      <c r="G2" s="2">
        <f ca="1">('[1]Pc, Winter, S3'!G2*Main!$B$5)+(_xlfn.IFNA(VLOOKUP($A2,'FL Ratio'!$A$3:$B$10,2,FALSE),0)*'FL Characterization'!G$2)</f>
        <v>34.064807589646669</v>
      </c>
      <c r="H2" s="2">
        <f ca="1">('[1]Pc, Winter, S3'!H2*Main!$B$5)+(_xlfn.IFNA(VLOOKUP($A2,'FL Ratio'!$A$3:$B$10,2,FALSE),0)*'FL Characterization'!H$2)</f>
        <v>40.647617115034777</v>
      </c>
      <c r="I2" s="2">
        <f ca="1">('[1]Pc, Winter, S3'!I2*Main!$B$5)+(_xlfn.IFNA(VLOOKUP($A2,'FL Ratio'!$A$3:$B$10,2,FALSE),0)*'FL Characterization'!I$2)</f>
        <v>48.927338447599617</v>
      </c>
      <c r="J2" s="2">
        <f ca="1">('[1]Pc, Winter, S3'!J2*Main!$B$5)+(_xlfn.IFNA(VLOOKUP($A2,'FL Ratio'!$A$3:$B$10,2,FALSE),0)*'FL Characterization'!J$2)</f>
        <v>53.268576523710848</v>
      </c>
      <c r="K2" s="2">
        <f ca="1">('[1]Pc, Winter, S3'!K2*Main!$B$5)+(_xlfn.IFNA(VLOOKUP($A2,'FL Ratio'!$A$3:$B$10,2,FALSE),0)*'FL Characterization'!K$2)</f>
        <v>53.93282660229881</v>
      </c>
      <c r="L2" s="2">
        <f ca="1">('[1]Pc, Winter, S3'!L2*Main!$B$5)+(_xlfn.IFNA(VLOOKUP($A2,'FL Ratio'!$A$3:$B$10,2,FALSE),0)*'FL Characterization'!L$2)</f>
        <v>52.477360327774029</v>
      </c>
      <c r="M2" s="2">
        <f ca="1">('[1]Pc, Winter, S3'!M2*Main!$B$5)+(_xlfn.IFNA(VLOOKUP($A2,'FL Ratio'!$A$3:$B$10,2,FALSE),0)*'FL Characterization'!M$2)</f>
        <v>52.747835657015557</v>
      </c>
      <c r="N2" s="2">
        <f ca="1">('[1]Pc, Winter, S3'!N2*Main!$B$5)+(_xlfn.IFNA(VLOOKUP($A2,'FL Ratio'!$A$3:$B$10,2,FALSE),0)*'FL Characterization'!N$2)</f>
        <v>52.704488963583316</v>
      </c>
      <c r="O2" s="2">
        <f ca="1">('[1]Pc, Winter, S3'!O2*Main!$B$5)+(_xlfn.IFNA(VLOOKUP($A2,'FL Ratio'!$A$3:$B$10,2,FALSE),0)*'FL Characterization'!O$2)</f>
        <v>51.84385288794909</v>
      </c>
      <c r="P2" s="2">
        <f ca="1">('[1]Pc, Winter, S3'!P2*Main!$B$5)+(_xlfn.IFNA(VLOOKUP($A2,'FL Ratio'!$A$3:$B$10,2,FALSE),0)*'FL Characterization'!P$2)</f>
        <v>48.8892948767107</v>
      </c>
      <c r="Q2" s="2">
        <f ca="1">('[1]Pc, Winter, S3'!Q2*Main!$B$5)+(_xlfn.IFNA(VLOOKUP($A2,'FL Ratio'!$A$3:$B$10,2,FALSE),0)*'FL Characterization'!Q$2)</f>
        <v>47.488598516467412</v>
      </c>
      <c r="R2" s="2">
        <f ca="1">('[1]Pc, Winter, S3'!R2*Main!$B$5)+(_xlfn.IFNA(VLOOKUP($A2,'FL Ratio'!$A$3:$B$10,2,FALSE),0)*'FL Characterization'!R$2)</f>
        <v>49.456959092494124</v>
      </c>
      <c r="S2" s="2">
        <f ca="1">('[1]Pc, Winter, S3'!S2*Main!$B$5)+(_xlfn.IFNA(VLOOKUP($A2,'FL Ratio'!$A$3:$B$10,2,FALSE),0)*'FL Characterization'!S$2)</f>
        <v>54.823967786986763</v>
      </c>
      <c r="T2" s="2">
        <f ca="1">('[1]Pc, Winter, S3'!T2*Main!$B$5)+(_xlfn.IFNA(VLOOKUP($A2,'FL Ratio'!$A$3:$B$10,2,FALSE),0)*'FL Characterization'!T$2)</f>
        <v>54.625231770838688</v>
      </c>
      <c r="U2" s="2">
        <f ca="1">('[1]Pc, Winter, S3'!U2*Main!$B$5)+(_xlfn.IFNA(VLOOKUP($A2,'FL Ratio'!$A$3:$B$10,2,FALSE),0)*'FL Characterization'!U$2)</f>
        <v>53.494293051511761</v>
      </c>
      <c r="V2" s="2">
        <f ca="1">('[1]Pc, Winter, S3'!V2*Main!$B$5)+(_xlfn.IFNA(VLOOKUP($A2,'FL Ratio'!$A$3:$B$10,2,FALSE),0)*'FL Characterization'!V$2)</f>
        <v>52.574329644528873</v>
      </c>
      <c r="W2" s="2">
        <f ca="1">('[1]Pc, Winter, S3'!W2*Main!$B$5)+(_xlfn.IFNA(VLOOKUP($A2,'FL Ratio'!$A$3:$B$10,2,FALSE),0)*'FL Characterization'!W$2)</f>
        <v>49.276287854771866</v>
      </c>
      <c r="X2" s="2">
        <f ca="1">('[1]Pc, Winter, S3'!X2*Main!$B$5)+(_xlfn.IFNA(VLOOKUP($A2,'FL Ratio'!$A$3:$B$10,2,FALSE),0)*'FL Characterization'!X$2)</f>
        <v>43.107583654199757</v>
      </c>
      <c r="Y2" s="2">
        <f ca="1">('[1]Pc, Winter, S3'!Y2*Main!$B$5)+(_xlfn.IFNA(VLOOKUP($A2,'FL Ratio'!$A$3:$B$10,2,FALSE),0)*'FL Characterization'!Y$2)</f>
        <v>39.109520717738434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34.500979786678684</v>
      </c>
      <c r="C3" s="2">
        <f ca="1">('[1]Pc, Winter, S3'!C3*Main!$B$5)+(_xlfn.IFNA(VLOOKUP($A3,'FL Ratio'!$A$3:$B$10,2,FALSE),0)*'FL Characterization'!C$2)</f>
        <v>32.060086847773128</v>
      </c>
      <c r="D3" s="2">
        <f ca="1">('[1]Pc, Winter, S3'!D3*Main!$B$5)+(_xlfn.IFNA(VLOOKUP($A3,'FL Ratio'!$A$3:$B$10,2,FALSE),0)*'FL Characterization'!D$2)</f>
        <v>29.012860110565963</v>
      </c>
      <c r="E3" s="2">
        <f ca="1">('[1]Pc, Winter, S3'!E3*Main!$B$5)+(_xlfn.IFNA(VLOOKUP($A3,'FL Ratio'!$A$3:$B$10,2,FALSE),0)*'FL Characterization'!E$2)</f>
        <v>31.204996432746597</v>
      </c>
      <c r="F3" s="2">
        <f ca="1">('[1]Pc, Winter, S3'!F3*Main!$B$5)+(_xlfn.IFNA(VLOOKUP($A3,'FL Ratio'!$A$3:$B$10,2,FALSE),0)*'FL Characterization'!F$2)</f>
        <v>31.096165831740823</v>
      </c>
      <c r="G3" s="2">
        <f ca="1">('[1]Pc, Winter, S3'!G3*Main!$B$5)+(_xlfn.IFNA(VLOOKUP($A3,'FL Ratio'!$A$3:$B$10,2,FALSE),0)*'FL Characterization'!G$2)</f>
        <v>32.417660702931563</v>
      </c>
      <c r="H3" s="2">
        <f ca="1">('[1]Pc, Winter, S3'!H3*Main!$B$5)+(_xlfn.IFNA(VLOOKUP($A3,'FL Ratio'!$A$3:$B$10,2,FALSE),0)*'FL Characterization'!H$2)</f>
        <v>48.244627248915258</v>
      </c>
      <c r="I3" s="2">
        <f ca="1">('[1]Pc, Winter, S3'!I3*Main!$B$5)+(_xlfn.IFNA(VLOOKUP($A3,'FL Ratio'!$A$3:$B$10,2,FALSE),0)*'FL Characterization'!I$2)</f>
        <v>53.732756939297666</v>
      </c>
      <c r="J3" s="2">
        <f ca="1">('[1]Pc, Winter, S3'!J3*Main!$B$5)+(_xlfn.IFNA(VLOOKUP($A3,'FL Ratio'!$A$3:$B$10,2,FALSE),0)*'FL Characterization'!J$2)</f>
        <v>58.909939209789634</v>
      </c>
      <c r="K3" s="2">
        <f ca="1">('[1]Pc, Winter, S3'!K3*Main!$B$5)+(_xlfn.IFNA(VLOOKUP($A3,'FL Ratio'!$A$3:$B$10,2,FALSE),0)*'FL Characterization'!K$2)</f>
        <v>58.941031284954128</v>
      </c>
      <c r="L3" s="2">
        <f ca="1">('[1]Pc, Winter, S3'!L3*Main!$B$5)+(_xlfn.IFNA(VLOOKUP($A3,'FL Ratio'!$A$3:$B$10,2,FALSE),0)*'FL Characterization'!L$2)</f>
        <v>55.676143341358561</v>
      </c>
      <c r="M3" s="2">
        <f ca="1">('[1]Pc, Winter, S3'!M3*Main!$B$5)+(_xlfn.IFNA(VLOOKUP($A3,'FL Ratio'!$A$3:$B$10,2,FALSE),0)*'FL Characterization'!M$2)</f>
        <v>60.915519763318628</v>
      </c>
      <c r="N3" s="2">
        <f ca="1">('[1]Pc, Winter, S3'!N3*Main!$B$5)+(_xlfn.IFNA(VLOOKUP($A3,'FL Ratio'!$A$3:$B$10,2,FALSE),0)*'FL Characterization'!N$2)</f>
        <v>57.448518331633466</v>
      </c>
      <c r="O3" s="2">
        <f ca="1">('[1]Pc, Winter, S3'!O3*Main!$B$5)+(_xlfn.IFNA(VLOOKUP($A3,'FL Ratio'!$A$3:$B$10,2,FALSE),0)*'FL Characterization'!O$2)</f>
        <v>53.779400059179288</v>
      </c>
      <c r="P3" s="2">
        <f ca="1">('[1]Pc, Winter, S3'!P3*Main!$B$5)+(_xlfn.IFNA(VLOOKUP($A3,'FL Ratio'!$A$3:$B$10,2,FALSE),0)*'FL Characterization'!P$2)</f>
        <v>52.146954419795499</v>
      </c>
      <c r="Q3" s="2">
        <f ca="1">('[1]Pc, Winter, S3'!Q3*Main!$B$5)+(_xlfn.IFNA(VLOOKUP($A3,'FL Ratio'!$A$3:$B$10,2,FALSE),0)*'FL Characterization'!Q$2)</f>
        <v>48.726589424517407</v>
      </c>
      <c r="R3" s="2">
        <f ca="1">('[1]Pc, Winter, S3'!R3*Main!$B$5)+(_xlfn.IFNA(VLOOKUP($A3,'FL Ratio'!$A$3:$B$10,2,FALSE),0)*'FL Characterization'!R$2)</f>
        <v>48.757684834853912</v>
      </c>
      <c r="S3" s="2">
        <f ca="1">('[1]Pc, Winter, S3'!S3*Main!$B$5)+(_xlfn.IFNA(VLOOKUP($A3,'FL Ratio'!$A$3:$B$10,2,FALSE),0)*'FL Characterization'!S$2)</f>
        <v>51.618355807786301</v>
      </c>
      <c r="T3" s="2">
        <f ca="1">('[1]Pc, Winter, S3'!T3*Main!$B$5)+(_xlfn.IFNA(VLOOKUP($A3,'FL Ratio'!$A$3:$B$10,2,FALSE),0)*'FL Characterization'!T$2)</f>
        <v>51.618355807786301</v>
      </c>
      <c r="U3" s="2">
        <f ca="1">('[1]Pc, Winter, S3'!U3*Main!$B$5)+(_xlfn.IFNA(VLOOKUP($A3,'FL Ratio'!$A$3:$B$10,2,FALSE),0)*'FL Characterization'!U$2)</f>
        <v>52.39570101349701</v>
      </c>
      <c r="V3" s="2">
        <f ca="1">('[1]Pc, Winter, S3'!V3*Main!$B$5)+(_xlfn.IFNA(VLOOKUP($A3,'FL Ratio'!$A$3:$B$10,2,FALSE),0)*'FL Characterization'!V$2)</f>
        <v>50.980913232199072</v>
      </c>
      <c r="W3" s="2">
        <f ca="1">('[1]Pc, Winter, S3'!W3*Main!$B$5)+(_xlfn.IFNA(VLOOKUP($A3,'FL Ratio'!$A$3:$B$10,2,FALSE),0)*'FL Characterization'!W$2)</f>
        <v>46.068025273707477</v>
      </c>
      <c r="X3" s="2">
        <f ca="1">('[1]Pc, Winter, S3'!X3*Main!$B$5)+(_xlfn.IFNA(VLOOKUP($A3,'FL Ratio'!$A$3:$B$10,2,FALSE),0)*'FL Characterization'!X$2)</f>
        <v>38.963004319453489</v>
      </c>
      <c r="Y3" s="2">
        <f ca="1">('[1]Pc, Winter, S3'!Y3*Main!$B$5)+(_xlfn.IFNA(VLOOKUP($A3,'FL Ratio'!$A$3:$B$10,2,FALSE),0)*'FL Characterization'!Y$2)</f>
        <v>37.703683584322093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50.147999359121521</v>
      </c>
      <c r="C4" s="2">
        <f ca="1">('[1]Pc, Winter, S3'!C4*Main!$B$5)+(_xlfn.IFNA(VLOOKUP($A4,'FL Ratio'!$A$3:$B$10,2,FALSE),0)*'FL Characterization'!C$2)</f>
        <v>44.123456094900348</v>
      </c>
      <c r="D4" s="2">
        <f ca="1">('[1]Pc, Winter, S3'!D4*Main!$B$5)+(_xlfn.IFNA(VLOOKUP($A4,'FL Ratio'!$A$3:$B$10,2,FALSE),0)*'FL Characterization'!D$2)</f>
        <v>41.540194852732377</v>
      </c>
      <c r="E4" s="2">
        <f ca="1">('[1]Pc, Winter, S3'!E4*Main!$B$5)+(_xlfn.IFNA(VLOOKUP($A4,'FL Ratio'!$A$3:$B$10,2,FALSE),0)*'FL Characterization'!E$2)</f>
        <v>41.04688544428128</v>
      </c>
      <c r="F4" s="2">
        <f ca="1">('[1]Pc, Winter, S3'!F4*Main!$B$5)+(_xlfn.IFNA(VLOOKUP($A4,'FL Ratio'!$A$3:$B$10,2,FALSE),0)*'FL Characterization'!F$2)</f>
        <v>42.963919189506534</v>
      </c>
      <c r="G4" s="2">
        <f ca="1">('[1]Pc, Winter, S3'!G4*Main!$B$5)+(_xlfn.IFNA(VLOOKUP($A4,'FL Ratio'!$A$3:$B$10,2,FALSE),0)*'FL Characterization'!G$2)</f>
        <v>46.388304684713816</v>
      </c>
      <c r="H4" s="2">
        <f ca="1">('[1]Pc, Winter, S3'!H4*Main!$B$5)+(_xlfn.IFNA(VLOOKUP($A4,'FL Ratio'!$A$3:$B$10,2,FALSE),0)*'FL Characterization'!H$2)</f>
        <v>55.975605437729342</v>
      </c>
      <c r="I4" s="2">
        <f ca="1">('[1]Pc, Winter, S3'!I4*Main!$B$5)+(_xlfn.IFNA(VLOOKUP($A4,'FL Ratio'!$A$3:$B$10,2,FALSE),0)*'FL Characterization'!I$2)</f>
        <v>62.577122037918656</v>
      </c>
      <c r="J4" s="2">
        <f ca="1">('[1]Pc, Winter, S3'!J4*Main!$B$5)+(_xlfn.IFNA(VLOOKUP($A4,'FL Ratio'!$A$3:$B$10,2,FALSE),0)*'FL Characterization'!J$2)</f>
        <v>66.232192541264439</v>
      </c>
      <c r="K4" s="2">
        <f ca="1">('[1]Pc, Winter, S3'!K4*Main!$B$5)+(_xlfn.IFNA(VLOOKUP($A4,'FL Ratio'!$A$3:$B$10,2,FALSE),0)*'FL Characterization'!K$2)</f>
        <v>68.48535705087923</v>
      </c>
      <c r="L4" s="2">
        <f ca="1">('[1]Pc, Winter, S3'!L4*Main!$B$5)+(_xlfn.IFNA(VLOOKUP($A4,'FL Ratio'!$A$3:$B$10,2,FALSE),0)*'FL Characterization'!L$2)</f>
        <v>69.111967521865481</v>
      </c>
      <c r="M4" s="2">
        <f ca="1">('[1]Pc, Winter, S3'!M4*Main!$B$5)+(_xlfn.IFNA(VLOOKUP($A4,'FL Ratio'!$A$3:$B$10,2,FALSE),0)*'FL Characterization'!M$2)</f>
        <v>68.391105160505376</v>
      </c>
      <c r="N4" s="2">
        <f ca="1">('[1]Pc, Winter, S3'!N4*Main!$B$5)+(_xlfn.IFNA(VLOOKUP($A4,'FL Ratio'!$A$3:$B$10,2,FALSE),0)*'FL Characterization'!N$2)</f>
        <v>68.003039813415313</v>
      </c>
      <c r="O4" s="2">
        <f ca="1">('[1]Pc, Winter, S3'!O4*Main!$B$5)+(_xlfn.IFNA(VLOOKUP($A4,'FL Ratio'!$A$3:$B$10,2,FALSE),0)*'FL Characterization'!O$2)</f>
        <v>66.600681084592736</v>
      </c>
      <c r="P4" s="2">
        <f ca="1">('[1]Pc, Winter, S3'!P4*Main!$B$5)+(_xlfn.IFNA(VLOOKUP($A4,'FL Ratio'!$A$3:$B$10,2,FALSE),0)*'FL Characterization'!P$2)</f>
        <v>64.48066387516063</v>
      </c>
      <c r="Q4" s="2">
        <f ca="1">('[1]Pc, Winter, S3'!Q4*Main!$B$5)+(_xlfn.IFNA(VLOOKUP($A4,'FL Ratio'!$A$3:$B$10,2,FALSE),0)*'FL Characterization'!Q$2)</f>
        <v>63.313134832907778</v>
      </c>
      <c r="R4" s="2">
        <f ca="1">('[1]Pc, Winter, S3'!R4*Main!$B$5)+(_xlfn.IFNA(VLOOKUP($A4,'FL Ratio'!$A$3:$B$10,2,FALSE),0)*'FL Characterization'!R$2)</f>
        <v>65.573372815841765</v>
      </c>
      <c r="S4" s="2">
        <f ca="1">('[1]Pc, Winter, S3'!S4*Main!$B$5)+(_xlfn.IFNA(VLOOKUP($A4,'FL Ratio'!$A$3:$B$10,2,FALSE),0)*'FL Characterization'!S$2)</f>
        <v>74.238346673003704</v>
      </c>
      <c r="T4" s="2">
        <f ca="1">('[1]Pc, Winter, S3'!T4*Main!$B$5)+(_xlfn.IFNA(VLOOKUP($A4,'FL Ratio'!$A$3:$B$10,2,FALSE),0)*'FL Characterization'!T$2)</f>
        <v>75.694840351822748</v>
      </c>
      <c r="U4" s="2">
        <f ca="1">('[1]Pc, Winter, S3'!U4*Main!$B$5)+(_xlfn.IFNA(VLOOKUP($A4,'FL Ratio'!$A$3:$B$10,2,FALSE),0)*'FL Characterization'!U$2)</f>
        <v>76.144399704148285</v>
      </c>
      <c r="V4" s="2">
        <f ca="1">('[1]Pc, Winter, S3'!V4*Main!$B$5)+(_xlfn.IFNA(VLOOKUP($A4,'FL Ratio'!$A$3:$B$10,2,FALSE),0)*'FL Characterization'!V$2)</f>
        <v>73.880098395369245</v>
      </c>
      <c r="W4" s="2">
        <f ca="1">('[1]Pc, Winter, S3'!W4*Main!$B$5)+(_xlfn.IFNA(VLOOKUP($A4,'FL Ratio'!$A$3:$B$10,2,FALSE),0)*'FL Characterization'!W$2)</f>
        <v>70.502916684320908</v>
      </c>
      <c r="X4" s="2">
        <f ca="1">('[1]Pc, Winter, S3'!X4*Main!$B$5)+(_xlfn.IFNA(VLOOKUP($A4,'FL Ratio'!$A$3:$B$10,2,FALSE),0)*'FL Characterization'!X$2)</f>
        <v>64.288342927166525</v>
      </c>
      <c r="Y4" s="2">
        <f ca="1">('[1]Pc, Winter, S3'!Y4*Main!$B$5)+(_xlfn.IFNA(VLOOKUP($A4,'FL Ratio'!$A$3:$B$10,2,FALSE),0)*'FL Characterization'!Y$2)</f>
        <v>56.824908008465684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-15.991651912976495</v>
      </c>
      <c r="C2" s="2">
        <f>('[1]Qc, Winter, S1'!C2*Main!$B$5)</f>
        <v>-17.38072960025006</v>
      </c>
      <c r="D2" s="2">
        <f>('[1]Qc, Winter, S1'!D2*Main!$B$5)</f>
        <v>-18.721445943012309</v>
      </c>
      <c r="E2" s="2">
        <f>('[1]Qc, Winter, S1'!E2*Main!$B$5)</f>
        <v>-18.585158615817679</v>
      </c>
      <c r="F2" s="2">
        <f>('[1]Qc, Winter, S1'!F2*Main!$B$5)</f>
        <v>-19.236479925258514</v>
      </c>
      <c r="G2" s="2">
        <f>('[1]Qc, Winter, S1'!G2*Main!$B$5)</f>
        <v>-17.124088205079499</v>
      </c>
      <c r="H2" s="2">
        <f>('[1]Qc, Winter, S1'!H2*Main!$B$5)</f>
        <v>-12.752061506974616</v>
      </c>
      <c r="I2" s="2">
        <f>('[1]Qc, Winter, S1'!I2*Main!$B$5)</f>
        <v>-5.2490022509524046</v>
      </c>
      <c r="J2" s="2">
        <f>('[1]Qc, Winter, S1'!J2*Main!$B$5)</f>
        <v>-1.5458009750832422</v>
      </c>
      <c r="K2" s="2">
        <f>('[1]Qc, Winter, S1'!K2*Main!$B$5)</f>
        <v>-0.24181483968111805</v>
      </c>
      <c r="L2" s="2">
        <f>('[1]Qc, Winter, S1'!L2*Main!$B$5)</f>
        <v>-2.170875775285638</v>
      </c>
      <c r="M2" s="2">
        <f>('[1]Qc, Winter, S1'!M2*Main!$B$5)</f>
        <v>-1.5959857136103766</v>
      </c>
      <c r="N2" s="2">
        <f>('[1]Qc, Winter, S1'!N2*Main!$B$5)</f>
        <v>-2.2090614464031417</v>
      </c>
      <c r="O2" s="2">
        <f>('[1]Qc, Winter, S1'!O2*Main!$B$5)</f>
        <v>-2.2284319567035045</v>
      </c>
      <c r="P2" s="2">
        <f>('[1]Qc, Winter, S1'!P2*Main!$B$5)</f>
        <v>-5.6335389257861221</v>
      </c>
      <c r="Q2" s="2">
        <f>('[1]Qc, Winter, S1'!Q2*Main!$B$5)</f>
        <v>-8.1131830036177366</v>
      </c>
      <c r="R2" s="2">
        <f>('[1]Qc, Winter, S1'!R2*Main!$B$5)</f>
        <v>-7.2151945180337744</v>
      </c>
      <c r="S2" s="2">
        <f>('[1]Qc, Winter, S1'!S2*Main!$B$5)</f>
        <v>-2.4629266237855689</v>
      </c>
      <c r="T2" s="2">
        <f>('[1]Qc, Winter, S1'!T2*Main!$B$5)</f>
        <v>-3.5826750787981081</v>
      </c>
      <c r="U2" s="2">
        <f>('[1]Qc, Winter, S1'!U2*Main!$B$5)</f>
        <v>-4.5035937964788033</v>
      </c>
      <c r="V2" s="2">
        <f>('[1]Qc, Winter, S1'!V2*Main!$B$5)</f>
        <v>-7.0743477616801416</v>
      </c>
      <c r="W2" s="2">
        <f>('[1]Qc, Winter, S1'!W2*Main!$B$5)</f>
        <v>-9.1829628198346711</v>
      </c>
      <c r="X2" s="2">
        <f>('[1]Qc, Winter, S1'!X2*Main!$B$5)</f>
        <v>-12.32019360254675</v>
      </c>
      <c r="Y2" s="2">
        <f>('[1]Qc, Winter, S1'!Y2*Main!$B$5)</f>
        <v>-13.867425943314052</v>
      </c>
    </row>
    <row r="3" spans="1:25" x14ac:dyDescent="0.3">
      <c r="A3">
        <v>2</v>
      </c>
      <c r="B3" s="2">
        <f>('[1]Qc, Winter, S1'!B3*Main!$B$5)</f>
        <v>18.117616859726766</v>
      </c>
      <c r="C3" s="2">
        <f>('[1]Qc, Winter, S1'!C3*Main!$B$5)</f>
        <v>22.442559912801599</v>
      </c>
      <c r="D3" s="2">
        <f>('[1]Qc, Winter, S1'!D3*Main!$B$5)</f>
        <v>22.442559912801599</v>
      </c>
      <c r="E3" s="2">
        <f>('[1]Qc, Winter, S1'!E3*Main!$B$5)</f>
        <v>22.442559912801599</v>
      </c>
      <c r="F3" s="2">
        <f>('[1]Qc, Winter, S1'!F3*Main!$B$5)</f>
        <v>22.442559912801599</v>
      </c>
      <c r="G3" s="2">
        <f>('[1]Qc, Winter, S1'!G3*Main!$B$5)</f>
        <v>18.184156861850539</v>
      </c>
      <c r="H3" s="2">
        <f>('[1]Qc, Winter, S1'!H3*Main!$B$5)</f>
        <v>8.2478831137616861</v>
      </c>
      <c r="I3" s="2">
        <f>('[1]Qc, Winter, S1'!I3*Main!$B$5)</f>
        <v>1.0618294630461886</v>
      </c>
      <c r="J3" s="2">
        <f>('[1]Qc, Winter, S1'!J3*Main!$B$5)</f>
        <v>-6.2129346872286879</v>
      </c>
      <c r="K3" s="2">
        <f>('[1]Qc, Winter, S1'!K3*Main!$B$5)</f>
        <v>-6.2129346872286879</v>
      </c>
      <c r="L3" s="2">
        <f>('[1]Qc, Winter, S1'!L3*Main!$B$5)</f>
        <v>-0.5350639526272718</v>
      </c>
      <c r="M3" s="2">
        <f>('[1]Qc, Winter, S1'!M3*Main!$B$5)</f>
        <v>-6.4790946957237789</v>
      </c>
      <c r="N3" s="2">
        <f>('[1]Qc, Winter, S1'!N3*Main!$B$5)</f>
        <v>-6.4790946957237789</v>
      </c>
      <c r="O3" s="2">
        <f>('[1]Qc, Winter, S1'!O3*Main!$B$5)</f>
        <v>-5.0152670106575767</v>
      </c>
      <c r="P3" s="2">
        <f>('[1]Qc, Winter, S1'!P3*Main!$B$5)</f>
        <v>-0.62378395545896925</v>
      </c>
      <c r="Q3" s="2">
        <f>('[1]Qc, Winter, S1'!Q3*Main!$B$5)</f>
        <v>3.7676848260993498</v>
      </c>
      <c r="R3" s="2">
        <f>('[1]Qc, Winter, S1'!R3*Main!$B$5)</f>
        <v>5.2315077532854577</v>
      </c>
      <c r="S3" s="2">
        <f>('[1]Qc, Winter, S1'!S3*Main!$B$5)</f>
        <v>5.2315077532854577</v>
      </c>
      <c r="T3" s="2">
        <f>('[1]Qc, Winter, S1'!T3*Main!$B$5)</f>
        <v>5.2315077532854577</v>
      </c>
      <c r="U3" s="2">
        <f>('[1]Qc, Winter, S1'!U3*Main!$B$5)</f>
        <v>5.2315077532854577</v>
      </c>
      <c r="V3" s="2">
        <f>('[1]Qc, Winter, S1'!V3*Main!$B$5)</f>
        <v>5.2315077532854577</v>
      </c>
      <c r="W3" s="2">
        <f>('[1]Qc, Winter, S1'!W3*Main!$B$5)</f>
        <v>10.909378437935375</v>
      </c>
      <c r="X3" s="2">
        <f>('[1]Qc, Winter, S1'!X3*Main!$B$5)</f>
        <v>16.675969175368486</v>
      </c>
      <c r="Y3" s="2">
        <f>('[1]Qc, Winter, S1'!Y3*Main!$B$5)</f>
        <v>16.675969175368486</v>
      </c>
    </row>
    <row r="4" spans="1:25" x14ac:dyDescent="0.3">
      <c r="A4">
        <v>3</v>
      </c>
      <c r="B4" s="2">
        <f>('[1]Qc, Winter, S1'!B4*Main!$B$5)</f>
        <v>12.29368208986012</v>
      </c>
      <c r="C4" s="2">
        <f>('[1]Qc, Winter, S1'!C4*Main!$B$5)</f>
        <v>9.483008655475766</v>
      </c>
      <c r="D4" s="2">
        <f>('[1]Qc, Winter, S1'!D4*Main!$B$5)</f>
        <v>8.117940709303797</v>
      </c>
      <c r="E4" s="2">
        <f>('[1]Qc, Winter, S1'!E4*Main!$B$5)</f>
        <v>7.9439444785698132</v>
      </c>
      <c r="F4" s="2">
        <f>('[1]Qc, Winter, S1'!F4*Main!$B$5)</f>
        <v>9.0287756557490653</v>
      </c>
      <c r="G4" s="2">
        <f>('[1]Qc, Winter, S1'!G4*Main!$B$5)</f>
        <v>11.210469084188322</v>
      </c>
      <c r="H4" s="2">
        <f>('[1]Qc, Winter, S1'!H4*Main!$B$5)</f>
        <v>17.393134666668626</v>
      </c>
      <c r="I4" s="2">
        <f>('[1]Qc, Winter, S1'!I4*Main!$B$5)</f>
        <v>21.233689376571398</v>
      </c>
      <c r="J4" s="2">
        <f>('[1]Qc, Winter, S1'!J4*Main!$B$5)</f>
        <v>24.532520484834972</v>
      </c>
      <c r="K4" s="2">
        <f>('[1]Qc, Winter, S1'!K4*Main!$B$5)</f>
        <v>27.014819346428496</v>
      </c>
      <c r="L4" s="2">
        <f>('[1]Qc, Winter, S1'!L4*Main!$B$5)</f>
        <v>27.242803706571809</v>
      </c>
      <c r="M4" s="2">
        <f>('[1]Qc, Winter, S1'!M4*Main!$B$5)</f>
        <v>26.754318183258412</v>
      </c>
      <c r="N4" s="2">
        <f>('[1]Qc, Winter, S1'!N4*Main!$B$5)</f>
        <v>26.868263437360905</v>
      </c>
      <c r="O4" s="2">
        <f>('[1]Qc, Winter, S1'!O4*Main!$B$5)</f>
        <v>26.594088258894889</v>
      </c>
      <c r="P4" s="2">
        <f>('[1]Qc, Winter, S1'!P4*Main!$B$5)</f>
        <v>23.990937336923857</v>
      </c>
      <c r="Q4" s="2">
        <f>('[1]Qc, Winter, S1'!Q4*Main!$B$5)</f>
        <v>22.793544747469873</v>
      </c>
      <c r="R4" s="2">
        <f>('[1]Qc, Winter, S1'!R4*Main!$B$5)</f>
        <v>23.523007529287629</v>
      </c>
      <c r="S4" s="2">
        <f>('[1]Qc, Winter, S1'!S4*Main!$B$5)</f>
        <v>32.06079987543086</v>
      </c>
      <c r="T4" s="2">
        <f>('[1]Qc, Winter, S1'!T4*Main!$B$5)</f>
        <v>32.01425731845351</v>
      </c>
      <c r="U4" s="2">
        <f>('[1]Qc, Winter, S1'!U4*Main!$B$5)</f>
        <v>31.037332761554453</v>
      </c>
      <c r="V4" s="2">
        <f>('[1]Qc, Winter, S1'!V4*Main!$B$5)</f>
        <v>28.728325472732259</v>
      </c>
      <c r="W4" s="2">
        <f>('[1]Qc, Winter, S1'!W4*Main!$B$5)</f>
        <v>25.549056859191527</v>
      </c>
      <c r="X4" s="2">
        <f>('[1]Qc, Winter, S1'!X4*Main!$B$5)</f>
        <v>20.838404519159944</v>
      </c>
      <c r="Y4" s="2">
        <f>('[1]Qc, Winter, S1'!Y4*Main!$B$5)</f>
        <v>15.987070697009838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-15.991651912976495</v>
      </c>
      <c r="C2" s="2">
        <f>('[1]Qc, Winter, S1'!C2*Main!$B$5)</f>
        <v>-17.38072960025006</v>
      </c>
      <c r="D2" s="2">
        <f>('[1]Qc, Winter, S1'!D2*Main!$B$5)</f>
        <v>-18.721445943012309</v>
      </c>
      <c r="E2" s="2">
        <f>('[1]Qc, Winter, S1'!E2*Main!$B$5)</f>
        <v>-18.585158615817679</v>
      </c>
      <c r="F2" s="2">
        <f>('[1]Qc, Winter, S1'!F2*Main!$B$5)</f>
        <v>-19.236479925258514</v>
      </c>
      <c r="G2" s="2">
        <f>('[1]Qc, Winter, S1'!G2*Main!$B$5)</f>
        <v>-17.124088205079499</v>
      </c>
      <c r="H2" s="2">
        <f>('[1]Qc, Winter, S1'!H2*Main!$B$5)</f>
        <v>-12.752061506974616</v>
      </c>
      <c r="I2" s="2">
        <f>('[1]Qc, Winter, S1'!I2*Main!$B$5)</f>
        <v>-5.2490022509524046</v>
      </c>
      <c r="J2" s="2">
        <f>('[1]Qc, Winter, S1'!J2*Main!$B$5)</f>
        <v>-1.5458009750832422</v>
      </c>
      <c r="K2" s="2">
        <f>('[1]Qc, Winter, S1'!K2*Main!$B$5)</f>
        <v>-0.24181483968111805</v>
      </c>
      <c r="L2" s="2">
        <f>('[1]Qc, Winter, S1'!L2*Main!$B$5)</f>
        <v>-2.170875775285638</v>
      </c>
      <c r="M2" s="2">
        <f>('[1]Qc, Winter, S1'!M2*Main!$B$5)</f>
        <v>-1.5959857136103766</v>
      </c>
      <c r="N2" s="2">
        <f>('[1]Qc, Winter, S1'!N2*Main!$B$5)</f>
        <v>-2.2090614464031417</v>
      </c>
      <c r="O2" s="2">
        <f>('[1]Qc, Winter, S1'!O2*Main!$B$5)</f>
        <v>-2.2284319567035045</v>
      </c>
      <c r="P2" s="2">
        <f>('[1]Qc, Winter, S1'!P2*Main!$B$5)</f>
        <v>-5.6335389257861221</v>
      </c>
      <c r="Q2" s="2">
        <f>('[1]Qc, Winter, S1'!Q2*Main!$B$5)</f>
        <v>-8.1131830036177366</v>
      </c>
      <c r="R2" s="2">
        <f>('[1]Qc, Winter, S1'!R2*Main!$B$5)</f>
        <v>-7.2151945180337744</v>
      </c>
      <c r="S2" s="2">
        <f>('[1]Qc, Winter, S1'!S2*Main!$B$5)</f>
        <v>-2.4629266237855689</v>
      </c>
      <c r="T2" s="2">
        <f>('[1]Qc, Winter, S1'!T2*Main!$B$5)</f>
        <v>-3.5826750787981081</v>
      </c>
      <c r="U2" s="2">
        <f>('[1]Qc, Winter, S1'!U2*Main!$B$5)</f>
        <v>-4.5035937964788033</v>
      </c>
      <c r="V2" s="2">
        <f>('[1]Qc, Winter, S1'!V2*Main!$B$5)</f>
        <v>-7.0743477616801416</v>
      </c>
      <c r="W2" s="2">
        <f>('[1]Qc, Winter, S1'!W2*Main!$B$5)</f>
        <v>-9.1829628198346711</v>
      </c>
      <c r="X2" s="2">
        <f>('[1]Qc, Winter, S1'!X2*Main!$B$5)</f>
        <v>-12.32019360254675</v>
      </c>
      <c r="Y2" s="2">
        <f>('[1]Qc, Winter, S1'!Y2*Main!$B$5)</f>
        <v>-13.867425943314052</v>
      </c>
    </row>
    <row r="3" spans="1:25" x14ac:dyDescent="0.3">
      <c r="A3">
        <v>2</v>
      </c>
      <c r="B3" s="2">
        <f>('[1]Qc, Winter, S1'!B3*Main!$B$5)</f>
        <v>18.117616859726766</v>
      </c>
      <c r="C3" s="2">
        <f>('[1]Qc, Winter, S1'!C3*Main!$B$5)</f>
        <v>22.442559912801599</v>
      </c>
      <c r="D3" s="2">
        <f>('[1]Qc, Winter, S1'!D3*Main!$B$5)</f>
        <v>22.442559912801599</v>
      </c>
      <c r="E3" s="2">
        <f>('[1]Qc, Winter, S1'!E3*Main!$B$5)</f>
        <v>22.442559912801599</v>
      </c>
      <c r="F3" s="2">
        <f>('[1]Qc, Winter, S1'!F3*Main!$B$5)</f>
        <v>22.442559912801599</v>
      </c>
      <c r="G3" s="2">
        <f>('[1]Qc, Winter, S1'!G3*Main!$B$5)</f>
        <v>18.184156861850539</v>
      </c>
      <c r="H3" s="2">
        <f>('[1]Qc, Winter, S1'!H3*Main!$B$5)</f>
        <v>8.2478831137616861</v>
      </c>
      <c r="I3" s="2">
        <f>('[1]Qc, Winter, S1'!I3*Main!$B$5)</f>
        <v>1.0618294630461886</v>
      </c>
      <c r="J3" s="2">
        <f>('[1]Qc, Winter, S1'!J3*Main!$B$5)</f>
        <v>-6.2129346872286879</v>
      </c>
      <c r="K3" s="2">
        <f>('[1]Qc, Winter, S1'!K3*Main!$B$5)</f>
        <v>-6.2129346872286879</v>
      </c>
      <c r="L3" s="2">
        <f>('[1]Qc, Winter, S1'!L3*Main!$B$5)</f>
        <v>-0.5350639526272718</v>
      </c>
      <c r="M3" s="2">
        <f>('[1]Qc, Winter, S1'!M3*Main!$B$5)</f>
        <v>-6.4790946957237789</v>
      </c>
      <c r="N3" s="2">
        <f>('[1]Qc, Winter, S1'!N3*Main!$B$5)</f>
        <v>-6.4790946957237789</v>
      </c>
      <c r="O3" s="2">
        <f>('[1]Qc, Winter, S1'!O3*Main!$B$5)</f>
        <v>-5.0152670106575767</v>
      </c>
      <c r="P3" s="2">
        <f>('[1]Qc, Winter, S1'!P3*Main!$B$5)</f>
        <v>-0.62378395545896925</v>
      </c>
      <c r="Q3" s="2">
        <f>('[1]Qc, Winter, S1'!Q3*Main!$B$5)</f>
        <v>3.7676848260993498</v>
      </c>
      <c r="R3" s="2">
        <f>('[1]Qc, Winter, S1'!R3*Main!$B$5)</f>
        <v>5.2315077532854577</v>
      </c>
      <c r="S3" s="2">
        <f>('[1]Qc, Winter, S1'!S3*Main!$B$5)</f>
        <v>5.2315077532854577</v>
      </c>
      <c r="T3" s="2">
        <f>('[1]Qc, Winter, S1'!T3*Main!$B$5)</f>
        <v>5.2315077532854577</v>
      </c>
      <c r="U3" s="2">
        <f>('[1]Qc, Winter, S1'!U3*Main!$B$5)</f>
        <v>5.2315077532854577</v>
      </c>
      <c r="V3" s="2">
        <f>('[1]Qc, Winter, S1'!V3*Main!$B$5)</f>
        <v>5.2315077532854577</v>
      </c>
      <c r="W3" s="2">
        <f>('[1]Qc, Winter, S1'!W3*Main!$B$5)</f>
        <v>10.909378437935375</v>
      </c>
      <c r="X3" s="2">
        <f>('[1]Qc, Winter, S1'!X3*Main!$B$5)</f>
        <v>16.675969175368486</v>
      </c>
      <c r="Y3" s="2">
        <f>('[1]Qc, Winter, S1'!Y3*Main!$B$5)</f>
        <v>16.675969175368486</v>
      </c>
    </row>
    <row r="4" spans="1:25" x14ac:dyDescent="0.3">
      <c r="A4">
        <v>3</v>
      </c>
      <c r="B4" s="2">
        <f>('[1]Qc, Winter, S1'!B4*Main!$B$5)</f>
        <v>12.29368208986012</v>
      </c>
      <c r="C4" s="2">
        <f>('[1]Qc, Winter, S1'!C4*Main!$B$5)</f>
        <v>9.483008655475766</v>
      </c>
      <c r="D4" s="2">
        <f>('[1]Qc, Winter, S1'!D4*Main!$B$5)</f>
        <v>8.117940709303797</v>
      </c>
      <c r="E4" s="2">
        <f>('[1]Qc, Winter, S1'!E4*Main!$B$5)</f>
        <v>7.9439444785698132</v>
      </c>
      <c r="F4" s="2">
        <f>('[1]Qc, Winter, S1'!F4*Main!$B$5)</f>
        <v>9.0287756557490653</v>
      </c>
      <c r="G4" s="2">
        <f>('[1]Qc, Winter, S1'!G4*Main!$B$5)</f>
        <v>11.210469084188322</v>
      </c>
      <c r="H4" s="2">
        <f>('[1]Qc, Winter, S1'!H4*Main!$B$5)</f>
        <v>17.393134666668626</v>
      </c>
      <c r="I4" s="2">
        <f>('[1]Qc, Winter, S1'!I4*Main!$B$5)</f>
        <v>21.233689376571398</v>
      </c>
      <c r="J4" s="2">
        <f>('[1]Qc, Winter, S1'!J4*Main!$B$5)</f>
        <v>24.532520484834972</v>
      </c>
      <c r="K4" s="2">
        <f>('[1]Qc, Winter, S1'!K4*Main!$B$5)</f>
        <v>27.014819346428496</v>
      </c>
      <c r="L4" s="2">
        <f>('[1]Qc, Winter, S1'!L4*Main!$B$5)</f>
        <v>27.242803706571809</v>
      </c>
      <c r="M4" s="2">
        <f>('[1]Qc, Winter, S1'!M4*Main!$B$5)</f>
        <v>26.754318183258412</v>
      </c>
      <c r="N4" s="2">
        <f>('[1]Qc, Winter, S1'!N4*Main!$B$5)</f>
        <v>26.868263437360905</v>
      </c>
      <c r="O4" s="2">
        <f>('[1]Qc, Winter, S1'!O4*Main!$B$5)</f>
        <v>26.594088258894889</v>
      </c>
      <c r="P4" s="2">
        <f>('[1]Qc, Winter, S1'!P4*Main!$B$5)</f>
        <v>23.990937336923857</v>
      </c>
      <c r="Q4" s="2">
        <f>('[1]Qc, Winter, S1'!Q4*Main!$B$5)</f>
        <v>22.793544747469873</v>
      </c>
      <c r="R4" s="2">
        <f>('[1]Qc, Winter, S1'!R4*Main!$B$5)</f>
        <v>23.523007529287629</v>
      </c>
      <c r="S4" s="2">
        <f>('[1]Qc, Winter, S1'!S4*Main!$B$5)</f>
        <v>32.06079987543086</v>
      </c>
      <c r="T4" s="2">
        <f>('[1]Qc, Winter, S1'!T4*Main!$B$5)</f>
        <v>32.01425731845351</v>
      </c>
      <c r="U4" s="2">
        <f>('[1]Qc, Winter, S1'!U4*Main!$B$5)</f>
        <v>31.037332761554453</v>
      </c>
      <c r="V4" s="2">
        <f>('[1]Qc, Winter, S1'!V4*Main!$B$5)</f>
        <v>28.728325472732259</v>
      </c>
      <c r="W4" s="2">
        <f>('[1]Qc, Winter, S1'!W4*Main!$B$5)</f>
        <v>25.549056859191527</v>
      </c>
      <c r="X4" s="2">
        <f>('[1]Qc, Winter, S1'!X4*Main!$B$5)</f>
        <v>20.838404519159944</v>
      </c>
      <c r="Y4" s="2">
        <f>('[1]Qc, Winter, S1'!Y4*Main!$B$5)</f>
        <v>15.987070697009838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-15.991651912976495</v>
      </c>
      <c r="C2" s="2">
        <f>('[1]Qc, Winter, S1'!C2*Main!$B$5)</f>
        <v>-17.38072960025006</v>
      </c>
      <c r="D2" s="2">
        <f>('[1]Qc, Winter, S1'!D2*Main!$B$5)</f>
        <v>-18.721445943012309</v>
      </c>
      <c r="E2" s="2">
        <f>('[1]Qc, Winter, S1'!E2*Main!$B$5)</f>
        <v>-18.585158615817679</v>
      </c>
      <c r="F2" s="2">
        <f>('[1]Qc, Winter, S1'!F2*Main!$B$5)</f>
        <v>-19.236479925258514</v>
      </c>
      <c r="G2" s="2">
        <f>('[1]Qc, Winter, S1'!G2*Main!$B$5)</f>
        <v>-17.124088205079499</v>
      </c>
      <c r="H2" s="2">
        <f>('[1]Qc, Winter, S1'!H2*Main!$B$5)</f>
        <v>-12.752061506974616</v>
      </c>
      <c r="I2" s="2">
        <f>('[1]Qc, Winter, S1'!I2*Main!$B$5)</f>
        <v>-5.2490022509524046</v>
      </c>
      <c r="J2" s="2">
        <f>('[1]Qc, Winter, S1'!J2*Main!$B$5)</f>
        <v>-1.5458009750832422</v>
      </c>
      <c r="K2" s="2">
        <f>('[1]Qc, Winter, S1'!K2*Main!$B$5)</f>
        <v>-0.24181483968111805</v>
      </c>
      <c r="L2" s="2">
        <f>('[1]Qc, Winter, S1'!L2*Main!$B$5)</f>
        <v>-2.170875775285638</v>
      </c>
      <c r="M2" s="2">
        <f>('[1]Qc, Winter, S1'!M2*Main!$B$5)</f>
        <v>-1.5959857136103766</v>
      </c>
      <c r="N2" s="2">
        <f>('[1]Qc, Winter, S1'!N2*Main!$B$5)</f>
        <v>-2.2090614464031417</v>
      </c>
      <c r="O2" s="2">
        <f>('[1]Qc, Winter, S1'!O2*Main!$B$5)</f>
        <v>-2.2284319567035045</v>
      </c>
      <c r="P2" s="2">
        <f>('[1]Qc, Winter, S1'!P2*Main!$B$5)</f>
        <v>-5.6335389257861221</v>
      </c>
      <c r="Q2" s="2">
        <f>('[1]Qc, Winter, S1'!Q2*Main!$B$5)</f>
        <v>-8.1131830036177366</v>
      </c>
      <c r="R2" s="2">
        <f>('[1]Qc, Winter, S1'!R2*Main!$B$5)</f>
        <v>-7.2151945180337744</v>
      </c>
      <c r="S2" s="2">
        <f>('[1]Qc, Winter, S1'!S2*Main!$B$5)</f>
        <v>-2.4629266237855689</v>
      </c>
      <c r="T2" s="2">
        <f>('[1]Qc, Winter, S1'!T2*Main!$B$5)</f>
        <v>-3.5826750787981081</v>
      </c>
      <c r="U2" s="2">
        <f>('[1]Qc, Winter, S1'!U2*Main!$B$5)</f>
        <v>-4.5035937964788033</v>
      </c>
      <c r="V2" s="2">
        <f>('[1]Qc, Winter, S1'!V2*Main!$B$5)</f>
        <v>-7.0743477616801416</v>
      </c>
      <c r="W2" s="2">
        <f>('[1]Qc, Winter, S1'!W2*Main!$B$5)</f>
        <v>-9.1829628198346711</v>
      </c>
      <c r="X2" s="2">
        <f>('[1]Qc, Winter, S1'!X2*Main!$B$5)</f>
        <v>-12.32019360254675</v>
      </c>
      <c r="Y2" s="2">
        <f>('[1]Qc, Winter, S1'!Y2*Main!$B$5)</f>
        <v>-13.867425943314052</v>
      </c>
    </row>
    <row r="3" spans="1:25" x14ac:dyDescent="0.3">
      <c r="A3">
        <v>2</v>
      </c>
      <c r="B3" s="2">
        <f>('[1]Qc, Winter, S1'!B3*Main!$B$5)</f>
        <v>18.117616859726766</v>
      </c>
      <c r="C3" s="2">
        <f>('[1]Qc, Winter, S1'!C3*Main!$B$5)</f>
        <v>22.442559912801599</v>
      </c>
      <c r="D3" s="2">
        <f>('[1]Qc, Winter, S1'!D3*Main!$B$5)</f>
        <v>22.442559912801599</v>
      </c>
      <c r="E3" s="2">
        <f>('[1]Qc, Winter, S1'!E3*Main!$B$5)</f>
        <v>22.442559912801599</v>
      </c>
      <c r="F3" s="2">
        <f>('[1]Qc, Winter, S1'!F3*Main!$B$5)</f>
        <v>22.442559912801599</v>
      </c>
      <c r="G3" s="2">
        <f>('[1]Qc, Winter, S1'!G3*Main!$B$5)</f>
        <v>18.184156861850539</v>
      </c>
      <c r="H3" s="2">
        <f>('[1]Qc, Winter, S1'!H3*Main!$B$5)</f>
        <v>8.2478831137616861</v>
      </c>
      <c r="I3" s="2">
        <f>('[1]Qc, Winter, S1'!I3*Main!$B$5)</f>
        <v>1.0618294630461886</v>
      </c>
      <c r="J3" s="2">
        <f>('[1]Qc, Winter, S1'!J3*Main!$B$5)</f>
        <v>-6.2129346872286879</v>
      </c>
      <c r="K3" s="2">
        <f>('[1]Qc, Winter, S1'!K3*Main!$B$5)</f>
        <v>-6.2129346872286879</v>
      </c>
      <c r="L3" s="2">
        <f>('[1]Qc, Winter, S1'!L3*Main!$B$5)</f>
        <v>-0.5350639526272718</v>
      </c>
      <c r="M3" s="2">
        <f>('[1]Qc, Winter, S1'!M3*Main!$B$5)</f>
        <v>-6.4790946957237789</v>
      </c>
      <c r="N3" s="2">
        <f>('[1]Qc, Winter, S1'!N3*Main!$B$5)</f>
        <v>-6.4790946957237789</v>
      </c>
      <c r="O3" s="2">
        <f>('[1]Qc, Winter, S1'!O3*Main!$B$5)</f>
        <v>-5.0152670106575767</v>
      </c>
      <c r="P3" s="2">
        <f>('[1]Qc, Winter, S1'!P3*Main!$B$5)</f>
        <v>-0.62378395545896925</v>
      </c>
      <c r="Q3" s="2">
        <f>('[1]Qc, Winter, S1'!Q3*Main!$B$5)</f>
        <v>3.7676848260993498</v>
      </c>
      <c r="R3" s="2">
        <f>('[1]Qc, Winter, S1'!R3*Main!$B$5)</f>
        <v>5.2315077532854577</v>
      </c>
      <c r="S3" s="2">
        <f>('[1]Qc, Winter, S1'!S3*Main!$B$5)</f>
        <v>5.2315077532854577</v>
      </c>
      <c r="T3" s="2">
        <f>('[1]Qc, Winter, S1'!T3*Main!$B$5)</f>
        <v>5.2315077532854577</v>
      </c>
      <c r="U3" s="2">
        <f>('[1]Qc, Winter, S1'!U3*Main!$B$5)</f>
        <v>5.2315077532854577</v>
      </c>
      <c r="V3" s="2">
        <f>('[1]Qc, Winter, S1'!V3*Main!$B$5)</f>
        <v>5.2315077532854577</v>
      </c>
      <c r="W3" s="2">
        <f>('[1]Qc, Winter, S1'!W3*Main!$B$5)</f>
        <v>10.909378437935375</v>
      </c>
      <c r="X3" s="2">
        <f>('[1]Qc, Winter, S1'!X3*Main!$B$5)</f>
        <v>16.675969175368486</v>
      </c>
      <c r="Y3" s="2">
        <f>('[1]Qc, Winter, S1'!Y3*Main!$B$5)</f>
        <v>16.675969175368486</v>
      </c>
    </row>
    <row r="4" spans="1:25" x14ac:dyDescent="0.3">
      <c r="A4">
        <v>3</v>
      </c>
      <c r="B4" s="2">
        <f>('[1]Qc, Winter, S1'!B4*Main!$B$5)</f>
        <v>12.29368208986012</v>
      </c>
      <c r="C4" s="2">
        <f>('[1]Qc, Winter, S1'!C4*Main!$B$5)</f>
        <v>9.483008655475766</v>
      </c>
      <c r="D4" s="2">
        <f>('[1]Qc, Winter, S1'!D4*Main!$B$5)</f>
        <v>8.117940709303797</v>
      </c>
      <c r="E4" s="2">
        <f>('[1]Qc, Winter, S1'!E4*Main!$B$5)</f>
        <v>7.9439444785698132</v>
      </c>
      <c r="F4" s="2">
        <f>('[1]Qc, Winter, S1'!F4*Main!$B$5)</f>
        <v>9.0287756557490653</v>
      </c>
      <c r="G4" s="2">
        <f>('[1]Qc, Winter, S1'!G4*Main!$B$5)</f>
        <v>11.210469084188322</v>
      </c>
      <c r="H4" s="2">
        <f>('[1]Qc, Winter, S1'!H4*Main!$B$5)</f>
        <v>17.393134666668626</v>
      </c>
      <c r="I4" s="2">
        <f>('[1]Qc, Winter, S1'!I4*Main!$B$5)</f>
        <v>21.233689376571398</v>
      </c>
      <c r="J4" s="2">
        <f>('[1]Qc, Winter, S1'!J4*Main!$B$5)</f>
        <v>24.532520484834972</v>
      </c>
      <c r="K4" s="2">
        <f>('[1]Qc, Winter, S1'!K4*Main!$B$5)</f>
        <v>27.014819346428496</v>
      </c>
      <c r="L4" s="2">
        <f>('[1]Qc, Winter, S1'!L4*Main!$B$5)</f>
        <v>27.242803706571809</v>
      </c>
      <c r="M4" s="2">
        <f>('[1]Qc, Winter, S1'!M4*Main!$B$5)</f>
        <v>26.754318183258412</v>
      </c>
      <c r="N4" s="2">
        <f>('[1]Qc, Winter, S1'!N4*Main!$B$5)</f>
        <v>26.868263437360905</v>
      </c>
      <c r="O4" s="2">
        <f>('[1]Qc, Winter, S1'!O4*Main!$B$5)</f>
        <v>26.594088258894889</v>
      </c>
      <c r="P4" s="2">
        <f>('[1]Qc, Winter, S1'!P4*Main!$B$5)</f>
        <v>23.990937336923857</v>
      </c>
      <c r="Q4" s="2">
        <f>('[1]Qc, Winter, S1'!Q4*Main!$B$5)</f>
        <v>22.793544747469873</v>
      </c>
      <c r="R4" s="2">
        <f>('[1]Qc, Winter, S1'!R4*Main!$B$5)</f>
        <v>23.523007529287629</v>
      </c>
      <c r="S4" s="2">
        <f>('[1]Qc, Winter, S1'!S4*Main!$B$5)</f>
        <v>32.06079987543086</v>
      </c>
      <c r="T4" s="2">
        <f>('[1]Qc, Winter, S1'!T4*Main!$B$5)</f>
        <v>32.01425731845351</v>
      </c>
      <c r="U4" s="2">
        <f>('[1]Qc, Winter, S1'!U4*Main!$B$5)</f>
        <v>31.037332761554453</v>
      </c>
      <c r="V4" s="2">
        <f>('[1]Qc, Winter, S1'!V4*Main!$B$5)</f>
        <v>28.728325472732259</v>
      </c>
      <c r="W4" s="2">
        <f>('[1]Qc, Winter, S1'!W4*Main!$B$5)</f>
        <v>25.549056859191527</v>
      </c>
      <c r="X4" s="2">
        <f>('[1]Qc, Winter, S1'!X4*Main!$B$5)</f>
        <v>20.838404519159944</v>
      </c>
      <c r="Y4" s="2">
        <f>('[1]Qc, Winter, S1'!Y4*Main!$B$5)</f>
        <v>15.987070697009838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-16.631317989495557</v>
      </c>
      <c r="C2" s="2">
        <f ca="1">('[1]Qc, Winter, S2'!C2*Main!$B$5)</f>
        <v>-18.075958784260063</v>
      </c>
      <c r="D2" s="2">
        <f ca="1">('[1]Qc, Winter, S2'!D2*Main!$B$5)</f>
        <v>-19.470303780732802</v>
      </c>
      <c r="E2" s="2">
        <f ca="1">('[1]Qc, Winter, S2'!E2*Main!$B$5)</f>
        <v>-19.32856496045039</v>
      </c>
      <c r="F2" s="2">
        <f ca="1">('[1]Qc, Winter, S2'!F2*Main!$B$5)</f>
        <v>-20.005939122268856</v>
      </c>
      <c r="G2" s="2">
        <f ca="1">('[1]Qc, Winter, S2'!G2*Main!$B$5)</f>
        <v>-17.809051733282683</v>
      </c>
      <c r="H2" s="2">
        <f ca="1">('[1]Qc, Winter, S2'!H2*Main!$B$5)</f>
        <v>-13.2621439672536</v>
      </c>
      <c r="I2" s="2">
        <f ca="1">('[1]Qc, Winter, S2'!I2*Main!$B$5)</f>
        <v>-5.4589623409905013</v>
      </c>
      <c r="J2" s="2">
        <f ca="1">('[1]Qc, Winter, S2'!J2*Main!$B$5)</f>
        <v>-1.6076330140865716</v>
      </c>
      <c r="K2" s="2">
        <f ca="1">('[1]Qc, Winter, S2'!K2*Main!$B$5)</f>
        <v>-0.25148743326836281</v>
      </c>
      <c r="L2" s="2">
        <f ca="1">('[1]Qc, Winter, S2'!L2*Main!$B$5)</f>
        <v>-2.2577108062970637</v>
      </c>
      <c r="M2" s="2">
        <f ca="1">('[1]Qc, Winter, S2'!M2*Main!$B$5)</f>
        <v>-1.6598251421547918</v>
      </c>
      <c r="N2" s="2">
        <f ca="1">('[1]Qc, Winter, S2'!N2*Main!$B$5)</f>
        <v>-2.2974239042592677</v>
      </c>
      <c r="O2" s="2">
        <f ca="1">('[1]Qc, Winter, S2'!O2*Main!$B$5)</f>
        <v>-2.317569234971645</v>
      </c>
      <c r="P2" s="2">
        <f ca="1">('[1]Qc, Winter, S2'!P2*Main!$B$5)</f>
        <v>-5.8588804828175673</v>
      </c>
      <c r="Q2" s="2">
        <f ca="1">('[1]Qc, Winter, S2'!Q2*Main!$B$5)</f>
        <v>-8.4377103237624471</v>
      </c>
      <c r="R2" s="2">
        <f ca="1">('[1]Qc, Winter, S2'!R2*Main!$B$5)</f>
        <v>-7.5038022987551249</v>
      </c>
      <c r="S2" s="2">
        <f ca="1">('[1]Qc, Winter, S2'!S2*Main!$B$5)</f>
        <v>-2.5614436887369916</v>
      </c>
      <c r="T2" s="2">
        <f ca="1">('[1]Qc, Winter, S2'!T2*Main!$B$5)</f>
        <v>-3.7259820819500322</v>
      </c>
      <c r="U2" s="2">
        <f ca="1">('[1]Qc, Winter, S2'!U2*Main!$B$5)</f>
        <v>-4.6837375483379553</v>
      </c>
      <c r="V2" s="2">
        <f ca="1">('[1]Qc, Winter, S2'!V2*Main!$B$5)</f>
        <v>-7.3573216721473473</v>
      </c>
      <c r="W2" s="2">
        <f ca="1">('[1]Qc, Winter, S2'!W2*Main!$B$5)</f>
        <v>-9.5502813326280585</v>
      </c>
      <c r="X2" s="2">
        <f ca="1">('[1]Qc, Winter, S2'!X2*Main!$B$5)</f>
        <v>-12.813001346648621</v>
      </c>
      <c r="Y2" s="2">
        <f ca="1">('[1]Qc, Winter, S2'!Y2*Main!$B$5)</f>
        <v>-14.422122981046613</v>
      </c>
    </row>
    <row r="3" spans="1:25" x14ac:dyDescent="0.3">
      <c r="A3">
        <v>2</v>
      </c>
      <c r="B3" s="2">
        <f ca="1">('[1]Qc, Winter, S2'!B3*Main!$B$5)</f>
        <v>18.84232153411584</v>
      </c>
      <c r="C3" s="2">
        <f ca="1">('[1]Qc, Winter, S2'!C3*Main!$B$5)</f>
        <v>23.340262309313662</v>
      </c>
      <c r="D3" s="2">
        <f ca="1">('[1]Qc, Winter, S2'!D3*Main!$B$5)</f>
        <v>23.340262309313662</v>
      </c>
      <c r="E3" s="2">
        <f ca="1">('[1]Qc, Winter, S2'!E3*Main!$B$5)</f>
        <v>23.340262309313662</v>
      </c>
      <c r="F3" s="2">
        <f ca="1">('[1]Qc, Winter, S2'!F3*Main!$B$5)</f>
        <v>23.340262309313662</v>
      </c>
      <c r="G3" s="2">
        <f ca="1">('[1]Qc, Winter, S2'!G3*Main!$B$5)</f>
        <v>18.911523136324565</v>
      </c>
      <c r="H3" s="2">
        <f ca="1">('[1]Qc, Winter, S2'!H3*Main!$B$5)</f>
        <v>8.5777984383121542</v>
      </c>
      <c r="I3" s="2">
        <f ca="1">('[1]Qc, Winter, S2'!I3*Main!$B$5)</f>
        <v>1.1043026415680361</v>
      </c>
      <c r="J3" s="2">
        <f ca="1">('[1]Qc, Winter, S2'!J3*Main!$B$5)</f>
        <v>-6.4614520747178359</v>
      </c>
      <c r="K3" s="2">
        <f ca="1">('[1]Qc, Winter, S2'!K3*Main!$B$5)</f>
        <v>-6.4614520747178359</v>
      </c>
      <c r="L3" s="2">
        <f ca="1">('[1]Qc, Winter, S2'!L3*Main!$B$5)</f>
        <v>-0.55646651073236275</v>
      </c>
      <c r="M3" s="2">
        <f ca="1">('[1]Qc, Winter, S2'!M3*Main!$B$5)</f>
        <v>-6.7382584835527304</v>
      </c>
      <c r="N3" s="2">
        <f ca="1">('[1]Qc, Winter, S2'!N3*Main!$B$5)</f>
        <v>-6.7382584835527304</v>
      </c>
      <c r="O3" s="2">
        <f ca="1">('[1]Qc, Winter, S2'!O3*Main!$B$5)</f>
        <v>-5.2158776910838807</v>
      </c>
      <c r="P3" s="2">
        <f ca="1">('[1]Qc, Winter, S2'!P3*Main!$B$5)</f>
        <v>-0.64873531367732806</v>
      </c>
      <c r="Q3" s="2">
        <f ca="1">('[1]Qc, Winter, S2'!Q3*Main!$B$5)</f>
        <v>3.9183922191433247</v>
      </c>
      <c r="R3" s="2">
        <f ca="1">('[1]Qc, Winter, S2'!R3*Main!$B$5)</f>
        <v>5.4407680634168756</v>
      </c>
      <c r="S3" s="2">
        <f ca="1">('[1]Qc, Winter, S2'!S3*Main!$B$5)</f>
        <v>5.4407680634168756</v>
      </c>
      <c r="T3" s="2">
        <f ca="1">('[1]Qc, Winter, S2'!T3*Main!$B$5)</f>
        <v>5.4407680634168756</v>
      </c>
      <c r="U3" s="2">
        <f ca="1">('[1]Qc, Winter, S2'!U3*Main!$B$5)</f>
        <v>5.4407680634168756</v>
      </c>
      <c r="V3" s="2">
        <f ca="1">('[1]Qc, Winter, S2'!V3*Main!$B$5)</f>
        <v>5.4407680634168756</v>
      </c>
      <c r="W3" s="2">
        <f ca="1">('[1]Qc, Winter, S2'!W3*Main!$B$5)</f>
        <v>11.345753575452791</v>
      </c>
      <c r="X3" s="2">
        <f ca="1">('[1]Qc, Winter, S2'!X3*Main!$B$5)</f>
        <v>17.343007942383228</v>
      </c>
      <c r="Y3" s="2">
        <f ca="1">('[1]Qc, Winter, S2'!Y3*Main!$B$5)</f>
        <v>17.343007942383228</v>
      </c>
    </row>
    <row r="4" spans="1:25" x14ac:dyDescent="0.3">
      <c r="A4">
        <v>3</v>
      </c>
      <c r="B4" s="2">
        <f ca="1">('[1]Qc, Winter, S2'!B4*Main!$B$5)</f>
        <v>12.785429373454523</v>
      </c>
      <c r="C4" s="2">
        <f ca="1">('[1]Qc, Winter, S2'!C4*Main!$B$5)</f>
        <v>9.862329001694798</v>
      </c>
      <c r="D4" s="2">
        <f ca="1">('[1]Qc, Winter, S2'!D4*Main!$B$5)</f>
        <v>8.4426583376759492</v>
      </c>
      <c r="E4" s="2">
        <f ca="1">('[1]Qc, Winter, S2'!E4*Main!$B$5)</f>
        <v>8.2617022577126065</v>
      </c>
      <c r="F4" s="2">
        <f ca="1">('[1]Qc, Winter, S2'!F4*Main!$B$5)</f>
        <v>9.3899266819790288</v>
      </c>
      <c r="G4" s="2">
        <f ca="1">('[1]Qc, Winter, S2'!G4*Main!$B$5)</f>
        <v>11.658887847555855</v>
      </c>
      <c r="H4" s="2">
        <f ca="1">('[1]Qc, Winter, S2'!H4*Main!$B$5)</f>
        <v>18.08886005333537</v>
      </c>
      <c r="I4" s="2">
        <f ca="1">('[1]Qc, Winter, S2'!I4*Main!$B$5)</f>
        <v>22.083036951634256</v>
      </c>
      <c r="J4" s="2">
        <f ca="1">('[1]Qc, Winter, S2'!J4*Main!$B$5)</f>
        <v>25.513821304228372</v>
      </c>
      <c r="K4" s="2">
        <f ca="1">('[1]Qc, Winter, S2'!K4*Main!$B$5)</f>
        <v>28.095412120285637</v>
      </c>
      <c r="L4" s="2">
        <f ca="1">('[1]Qc, Winter, S2'!L4*Main!$B$5)</f>
        <v>28.332515854834682</v>
      </c>
      <c r="M4" s="2">
        <f ca="1">('[1]Qc, Winter, S2'!M4*Main!$B$5)</f>
        <v>27.824490910588747</v>
      </c>
      <c r="N4" s="2">
        <f ca="1">('[1]Qc, Winter, S2'!N4*Main!$B$5)</f>
        <v>27.942993974855344</v>
      </c>
      <c r="O4" s="2">
        <f ca="1">('[1]Qc, Winter, S2'!O4*Main!$B$5)</f>
        <v>27.657851789250689</v>
      </c>
      <c r="P4" s="2">
        <f ca="1">('[1]Qc, Winter, S2'!P4*Main!$B$5)</f>
        <v>24.950574830400814</v>
      </c>
      <c r="Q4" s="2">
        <f ca="1">('[1]Qc, Winter, S2'!Q4*Main!$B$5)</f>
        <v>23.705286537368675</v>
      </c>
      <c r="R4" s="2">
        <f ca="1">('[1]Qc, Winter, S2'!R4*Main!$B$5)</f>
        <v>24.463927830459138</v>
      </c>
      <c r="S4" s="2">
        <f ca="1">('[1]Qc, Winter, S2'!S4*Main!$B$5)</f>
        <v>33.343231870448093</v>
      </c>
      <c r="T4" s="2">
        <f ca="1">('[1]Qc, Winter, S2'!T4*Main!$B$5)</f>
        <v>33.294827611191657</v>
      </c>
      <c r="U4" s="2">
        <f ca="1">('[1]Qc, Winter, S2'!U4*Main!$B$5)</f>
        <v>32.278826072016635</v>
      </c>
      <c r="V4" s="2">
        <f ca="1">('[1]Qc, Winter, S2'!V4*Main!$B$5)</f>
        <v>29.877458491641551</v>
      </c>
      <c r="W4" s="2">
        <f ca="1">('[1]Qc, Winter, S2'!W4*Main!$B$5)</f>
        <v>26.57101913355919</v>
      </c>
      <c r="X4" s="2">
        <f ca="1">('[1]Qc, Winter, S2'!X4*Main!$B$5)</f>
        <v>21.671940699926342</v>
      </c>
      <c r="Y4" s="2">
        <f ca="1">('[1]Qc, Winter, S2'!Y4*Main!$B$5)</f>
        <v>16.626553524890234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-16.631317989495557</v>
      </c>
      <c r="C2" s="2">
        <f ca="1">('[1]Qc, Winter, S2'!C2*Main!$B$5)</f>
        <v>-18.075958784260063</v>
      </c>
      <c r="D2" s="2">
        <f ca="1">('[1]Qc, Winter, S2'!D2*Main!$B$5)</f>
        <v>-19.470303780732802</v>
      </c>
      <c r="E2" s="2">
        <f ca="1">('[1]Qc, Winter, S2'!E2*Main!$B$5)</f>
        <v>-19.32856496045039</v>
      </c>
      <c r="F2" s="2">
        <f ca="1">('[1]Qc, Winter, S2'!F2*Main!$B$5)</f>
        <v>-20.005939122268856</v>
      </c>
      <c r="G2" s="2">
        <f ca="1">('[1]Qc, Winter, S2'!G2*Main!$B$5)</f>
        <v>-17.809051733282683</v>
      </c>
      <c r="H2" s="2">
        <f ca="1">('[1]Qc, Winter, S2'!H2*Main!$B$5)</f>
        <v>-13.2621439672536</v>
      </c>
      <c r="I2" s="2">
        <f ca="1">('[1]Qc, Winter, S2'!I2*Main!$B$5)</f>
        <v>-5.4589623409905013</v>
      </c>
      <c r="J2" s="2">
        <f ca="1">('[1]Qc, Winter, S2'!J2*Main!$B$5)</f>
        <v>-1.6076330140865716</v>
      </c>
      <c r="K2" s="2">
        <f ca="1">('[1]Qc, Winter, S2'!K2*Main!$B$5)</f>
        <v>-0.25148743326836281</v>
      </c>
      <c r="L2" s="2">
        <f ca="1">('[1]Qc, Winter, S2'!L2*Main!$B$5)</f>
        <v>-2.2577108062970637</v>
      </c>
      <c r="M2" s="2">
        <f ca="1">('[1]Qc, Winter, S2'!M2*Main!$B$5)</f>
        <v>-1.6598251421547918</v>
      </c>
      <c r="N2" s="2">
        <f ca="1">('[1]Qc, Winter, S2'!N2*Main!$B$5)</f>
        <v>-2.2974239042592677</v>
      </c>
      <c r="O2" s="2">
        <f ca="1">('[1]Qc, Winter, S2'!O2*Main!$B$5)</f>
        <v>-2.317569234971645</v>
      </c>
      <c r="P2" s="2">
        <f ca="1">('[1]Qc, Winter, S2'!P2*Main!$B$5)</f>
        <v>-5.8588804828175673</v>
      </c>
      <c r="Q2" s="2">
        <f ca="1">('[1]Qc, Winter, S2'!Q2*Main!$B$5)</f>
        <v>-8.4377103237624471</v>
      </c>
      <c r="R2" s="2">
        <f ca="1">('[1]Qc, Winter, S2'!R2*Main!$B$5)</f>
        <v>-7.5038022987551249</v>
      </c>
      <c r="S2" s="2">
        <f ca="1">('[1]Qc, Winter, S2'!S2*Main!$B$5)</f>
        <v>-2.5614436887369916</v>
      </c>
      <c r="T2" s="2">
        <f ca="1">('[1]Qc, Winter, S2'!T2*Main!$B$5)</f>
        <v>-3.7259820819500322</v>
      </c>
      <c r="U2" s="2">
        <f ca="1">('[1]Qc, Winter, S2'!U2*Main!$B$5)</f>
        <v>-4.6837375483379553</v>
      </c>
      <c r="V2" s="2">
        <f ca="1">('[1]Qc, Winter, S2'!V2*Main!$B$5)</f>
        <v>-7.3573216721473473</v>
      </c>
      <c r="W2" s="2">
        <f ca="1">('[1]Qc, Winter, S2'!W2*Main!$B$5)</f>
        <v>-9.5502813326280585</v>
      </c>
      <c r="X2" s="2">
        <f ca="1">('[1]Qc, Winter, S2'!X2*Main!$B$5)</f>
        <v>-12.813001346648621</v>
      </c>
      <c r="Y2" s="2">
        <f ca="1">('[1]Qc, Winter, S2'!Y2*Main!$B$5)</f>
        <v>-14.422122981046613</v>
      </c>
    </row>
    <row r="3" spans="1:25" x14ac:dyDescent="0.3">
      <c r="A3">
        <v>2</v>
      </c>
      <c r="B3" s="2">
        <f ca="1">('[1]Qc, Winter, S2'!B3*Main!$B$5)</f>
        <v>18.84232153411584</v>
      </c>
      <c r="C3" s="2">
        <f ca="1">('[1]Qc, Winter, S2'!C3*Main!$B$5)</f>
        <v>23.340262309313662</v>
      </c>
      <c r="D3" s="2">
        <f ca="1">('[1]Qc, Winter, S2'!D3*Main!$B$5)</f>
        <v>23.340262309313662</v>
      </c>
      <c r="E3" s="2">
        <f ca="1">('[1]Qc, Winter, S2'!E3*Main!$B$5)</f>
        <v>23.340262309313662</v>
      </c>
      <c r="F3" s="2">
        <f ca="1">('[1]Qc, Winter, S2'!F3*Main!$B$5)</f>
        <v>23.340262309313662</v>
      </c>
      <c r="G3" s="2">
        <f ca="1">('[1]Qc, Winter, S2'!G3*Main!$B$5)</f>
        <v>18.911523136324565</v>
      </c>
      <c r="H3" s="2">
        <f ca="1">('[1]Qc, Winter, S2'!H3*Main!$B$5)</f>
        <v>8.5777984383121542</v>
      </c>
      <c r="I3" s="2">
        <f ca="1">('[1]Qc, Winter, S2'!I3*Main!$B$5)</f>
        <v>1.1043026415680361</v>
      </c>
      <c r="J3" s="2">
        <f ca="1">('[1]Qc, Winter, S2'!J3*Main!$B$5)</f>
        <v>-6.4614520747178359</v>
      </c>
      <c r="K3" s="2">
        <f ca="1">('[1]Qc, Winter, S2'!K3*Main!$B$5)</f>
        <v>-6.4614520747178359</v>
      </c>
      <c r="L3" s="2">
        <f ca="1">('[1]Qc, Winter, S2'!L3*Main!$B$5)</f>
        <v>-0.55646651073236275</v>
      </c>
      <c r="M3" s="2">
        <f ca="1">('[1]Qc, Winter, S2'!M3*Main!$B$5)</f>
        <v>-6.7382584835527304</v>
      </c>
      <c r="N3" s="2">
        <f ca="1">('[1]Qc, Winter, S2'!N3*Main!$B$5)</f>
        <v>-6.7382584835527304</v>
      </c>
      <c r="O3" s="2">
        <f ca="1">('[1]Qc, Winter, S2'!O3*Main!$B$5)</f>
        <v>-5.2158776910838807</v>
      </c>
      <c r="P3" s="2">
        <f ca="1">('[1]Qc, Winter, S2'!P3*Main!$B$5)</f>
        <v>-0.64873531367732806</v>
      </c>
      <c r="Q3" s="2">
        <f ca="1">('[1]Qc, Winter, S2'!Q3*Main!$B$5)</f>
        <v>3.9183922191433247</v>
      </c>
      <c r="R3" s="2">
        <f ca="1">('[1]Qc, Winter, S2'!R3*Main!$B$5)</f>
        <v>5.4407680634168756</v>
      </c>
      <c r="S3" s="2">
        <f ca="1">('[1]Qc, Winter, S2'!S3*Main!$B$5)</f>
        <v>5.4407680634168756</v>
      </c>
      <c r="T3" s="2">
        <f ca="1">('[1]Qc, Winter, S2'!T3*Main!$B$5)</f>
        <v>5.4407680634168756</v>
      </c>
      <c r="U3" s="2">
        <f ca="1">('[1]Qc, Winter, S2'!U3*Main!$B$5)</f>
        <v>5.4407680634168756</v>
      </c>
      <c r="V3" s="2">
        <f ca="1">('[1]Qc, Winter, S2'!V3*Main!$B$5)</f>
        <v>5.4407680634168756</v>
      </c>
      <c r="W3" s="2">
        <f ca="1">('[1]Qc, Winter, S2'!W3*Main!$B$5)</f>
        <v>11.345753575452791</v>
      </c>
      <c r="X3" s="2">
        <f ca="1">('[1]Qc, Winter, S2'!X3*Main!$B$5)</f>
        <v>17.343007942383228</v>
      </c>
      <c r="Y3" s="2">
        <f ca="1">('[1]Qc, Winter, S2'!Y3*Main!$B$5)</f>
        <v>17.343007942383228</v>
      </c>
    </row>
    <row r="4" spans="1:25" x14ac:dyDescent="0.3">
      <c r="A4">
        <v>3</v>
      </c>
      <c r="B4" s="2">
        <f ca="1">('[1]Qc, Winter, S2'!B4*Main!$B$5)</f>
        <v>12.785429373454523</v>
      </c>
      <c r="C4" s="2">
        <f ca="1">('[1]Qc, Winter, S2'!C4*Main!$B$5)</f>
        <v>9.862329001694798</v>
      </c>
      <c r="D4" s="2">
        <f ca="1">('[1]Qc, Winter, S2'!D4*Main!$B$5)</f>
        <v>8.4426583376759492</v>
      </c>
      <c r="E4" s="2">
        <f ca="1">('[1]Qc, Winter, S2'!E4*Main!$B$5)</f>
        <v>8.2617022577126065</v>
      </c>
      <c r="F4" s="2">
        <f ca="1">('[1]Qc, Winter, S2'!F4*Main!$B$5)</f>
        <v>9.3899266819790288</v>
      </c>
      <c r="G4" s="2">
        <f ca="1">('[1]Qc, Winter, S2'!G4*Main!$B$5)</f>
        <v>11.658887847555855</v>
      </c>
      <c r="H4" s="2">
        <f ca="1">('[1]Qc, Winter, S2'!H4*Main!$B$5)</f>
        <v>18.08886005333537</v>
      </c>
      <c r="I4" s="2">
        <f ca="1">('[1]Qc, Winter, S2'!I4*Main!$B$5)</f>
        <v>22.083036951634256</v>
      </c>
      <c r="J4" s="2">
        <f ca="1">('[1]Qc, Winter, S2'!J4*Main!$B$5)</f>
        <v>25.513821304228372</v>
      </c>
      <c r="K4" s="2">
        <f ca="1">('[1]Qc, Winter, S2'!K4*Main!$B$5)</f>
        <v>28.095412120285637</v>
      </c>
      <c r="L4" s="2">
        <f ca="1">('[1]Qc, Winter, S2'!L4*Main!$B$5)</f>
        <v>28.332515854834682</v>
      </c>
      <c r="M4" s="2">
        <f ca="1">('[1]Qc, Winter, S2'!M4*Main!$B$5)</f>
        <v>27.824490910588747</v>
      </c>
      <c r="N4" s="2">
        <f ca="1">('[1]Qc, Winter, S2'!N4*Main!$B$5)</f>
        <v>27.942993974855344</v>
      </c>
      <c r="O4" s="2">
        <f ca="1">('[1]Qc, Winter, S2'!O4*Main!$B$5)</f>
        <v>27.657851789250689</v>
      </c>
      <c r="P4" s="2">
        <f ca="1">('[1]Qc, Winter, S2'!P4*Main!$B$5)</f>
        <v>24.950574830400814</v>
      </c>
      <c r="Q4" s="2">
        <f ca="1">('[1]Qc, Winter, S2'!Q4*Main!$B$5)</f>
        <v>23.705286537368675</v>
      </c>
      <c r="R4" s="2">
        <f ca="1">('[1]Qc, Winter, S2'!R4*Main!$B$5)</f>
        <v>24.463927830459138</v>
      </c>
      <c r="S4" s="2">
        <f ca="1">('[1]Qc, Winter, S2'!S4*Main!$B$5)</f>
        <v>33.343231870448093</v>
      </c>
      <c r="T4" s="2">
        <f ca="1">('[1]Qc, Winter, S2'!T4*Main!$B$5)</f>
        <v>33.294827611191657</v>
      </c>
      <c r="U4" s="2">
        <f ca="1">('[1]Qc, Winter, S2'!U4*Main!$B$5)</f>
        <v>32.278826072016635</v>
      </c>
      <c r="V4" s="2">
        <f ca="1">('[1]Qc, Winter, S2'!V4*Main!$B$5)</f>
        <v>29.877458491641551</v>
      </c>
      <c r="W4" s="2">
        <f ca="1">('[1]Qc, Winter, S2'!W4*Main!$B$5)</f>
        <v>26.57101913355919</v>
      </c>
      <c r="X4" s="2">
        <f ca="1">('[1]Qc, Winter, S2'!X4*Main!$B$5)</f>
        <v>21.671940699926342</v>
      </c>
      <c r="Y4" s="2">
        <f ca="1">('[1]Qc, Winter, S2'!Y4*Main!$B$5)</f>
        <v>16.626553524890234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-16.631317989495557</v>
      </c>
      <c r="C2" s="2">
        <f ca="1">('[1]Qc, Winter, S2'!C2*Main!$B$5)</f>
        <v>-18.075958784260063</v>
      </c>
      <c r="D2" s="2">
        <f ca="1">('[1]Qc, Winter, S2'!D2*Main!$B$5)</f>
        <v>-19.470303780732802</v>
      </c>
      <c r="E2" s="2">
        <f ca="1">('[1]Qc, Winter, S2'!E2*Main!$B$5)</f>
        <v>-19.32856496045039</v>
      </c>
      <c r="F2" s="2">
        <f ca="1">('[1]Qc, Winter, S2'!F2*Main!$B$5)</f>
        <v>-20.005939122268856</v>
      </c>
      <c r="G2" s="2">
        <f ca="1">('[1]Qc, Winter, S2'!G2*Main!$B$5)</f>
        <v>-17.809051733282683</v>
      </c>
      <c r="H2" s="2">
        <f ca="1">('[1]Qc, Winter, S2'!H2*Main!$B$5)</f>
        <v>-13.2621439672536</v>
      </c>
      <c r="I2" s="2">
        <f ca="1">('[1]Qc, Winter, S2'!I2*Main!$B$5)</f>
        <v>-5.4589623409905013</v>
      </c>
      <c r="J2" s="2">
        <f ca="1">('[1]Qc, Winter, S2'!J2*Main!$B$5)</f>
        <v>-1.6076330140865716</v>
      </c>
      <c r="K2" s="2">
        <f ca="1">('[1]Qc, Winter, S2'!K2*Main!$B$5)</f>
        <v>-0.25148743326836281</v>
      </c>
      <c r="L2" s="2">
        <f ca="1">('[1]Qc, Winter, S2'!L2*Main!$B$5)</f>
        <v>-2.2577108062970637</v>
      </c>
      <c r="M2" s="2">
        <f ca="1">('[1]Qc, Winter, S2'!M2*Main!$B$5)</f>
        <v>-1.6598251421547918</v>
      </c>
      <c r="N2" s="2">
        <f ca="1">('[1]Qc, Winter, S2'!N2*Main!$B$5)</f>
        <v>-2.2974239042592677</v>
      </c>
      <c r="O2" s="2">
        <f ca="1">('[1]Qc, Winter, S2'!O2*Main!$B$5)</f>
        <v>-2.317569234971645</v>
      </c>
      <c r="P2" s="2">
        <f ca="1">('[1]Qc, Winter, S2'!P2*Main!$B$5)</f>
        <v>-5.8588804828175673</v>
      </c>
      <c r="Q2" s="2">
        <f ca="1">('[1]Qc, Winter, S2'!Q2*Main!$B$5)</f>
        <v>-8.4377103237624471</v>
      </c>
      <c r="R2" s="2">
        <f ca="1">('[1]Qc, Winter, S2'!R2*Main!$B$5)</f>
        <v>-7.5038022987551249</v>
      </c>
      <c r="S2" s="2">
        <f ca="1">('[1]Qc, Winter, S2'!S2*Main!$B$5)</f>
        <v>-2.5614436887369916</v>
      </c>
      <c r="T2" s="2">
        <f ca="1">('[1]Qc, Winter, S2'!T2*Main!$B$5)</f>
        <v>-3.7259820819500322</v>
      </c>
      <c r="U2" s="2">
        <f ca="1">('[1]Qc, Winter, S2'!U2*Main!$B$5)</f>
        <v>-4.6837375483379553</v>
      </c>
      <c r="V2" s="2">
        <f ca="1">('[1]Qc, Winter, S2'!V2*Main!$B$5)</f>
        <v>-7.3573216721473473</v>
      </c>
      <c r="W2" s="2">
        <f ca="1">('[1]Qc, Winter, S2'!W2*Main!$B$5)</f>
        <v>-9.5502813326280585</v>
      </c>
      <c r="X2" s="2">
        <f ca="1">('[1]Qc, Winter, S2'!X2*Main!$B$5)</f>
        <v>-12.813001346648621</v>
      </c>
      <c r="Y2" s="2">
        <f ca="1">('[1]Qc, Winter, S2'!Y2*Main!$B$5)</f>
        <v>-14.422122981046613</v>
      </c>
    </row>
    <row r="3" spans="1:25" x14ac:dyDescent="0.3">
      <c r="A3">
        <v>2</v>
      </c>
      <c r="B3" s="2">
        <f ca="1">('[1]Qc, Winter, S2'!B3*Main!$B$5)</f>
        <v>18.84232153411584</v>
      </c>
      <c r="C3" s="2">
        <f ca="1">('[1]Qc, Winter, S2'!C3*Main!$B$5)</f>
        <v>23.340262309313662</v>
      </c>
      <c r="D3" s="2">
        <f ca="1">('[1]Qc, Winter, S2'!D3*Main!$B$5)</f>
        <v>23.340262309313662</v>
      </c>
      <c r="E3" s="2">
        <f ca="1">('[1]Qc, Winter, S2'!E3*Main!$B$5)</f>
        <v>23.340262309313662</v>
      </c>
      <c r="F3" s="2">
        <f ca="1">('[1]Qc, Winter, S2'!F3*Main!$B$5)</f>
        <v>23.340262309313662</v>
      </c>
      <c r="G3" s="2">
        <f ca="1">('[1]Qc, Winter, S2'!G3*Main!$B$5)</f>
        <v>18.911523136324565</v>
      </c>
      <c r="H3" s="2">
        <f ca="1">('[1]Qc, Winter, S2'!H3*Main!$B$5)</f>
        <v>8.5777984383121542</v>
      </c>
      <c r="I3" s="2">
        <f ca="1">('[1]Qc, Winter, S2'!I3*Main!$B$5)</f>
        <v>1.1043026415680361</v>
      </c>
      <c r="J3" s="2">
        <f ca="1">('[1]Qc, Winter, S2'!J3*Main!$B$5)</f>
        <v>-6.4614520747178359</v>
      </c>
      <c r="K3" s="2">
        <f ca="1">('[1]Qc, Winter, S2'!K3*Main!$B$5)</f>
        <v>-6.4614520747178359</v>
      </c>
      <c r="L3" s="2">
        <f ca="1">('[1]Qc, Winter, S2'!L3*Main!$B$5)</f>
        <v>-0.55646651073236275</v>
      </c>
      <c r="M3" s="2">
        <f ca="1">('[1]Qc, Winter, S2'!M3*Main!$B$5)</f>
        <v>-6.7382584835527304</v>
      </c>
      <c r="N3" s="2">
        <f ca="1">('[1]Qc, Winter, S2'!N3*Main!$B$5)</f>
        <v>-6.7382584835527304</v>
      </c>
      <c r="O3" s="2">
        <f ca="1">('[1]Qc, Winter, S2'!O3*Main!$B$5)</f>
        <v>-5.2158776910838807</v>
      </c>
      <c r="P3" s="2">
        <f ca="1">('[1]Qc, Winter, S2'!P3*Main!$B$5)</f>
        <v>-0.64873531367732806</v>
      </c>
      <c r="Q3" s="2">
        <f ca="1">('[1]Qc, Winter, S2'!Q3*Main!$B$5)</f>
        <v>3.9183922191433247</v>
      </c>
      <c r="R3" s="2">
        <f ca="1">('[1]Qc, Winter, S2'!R3*Main!$B$5)</f>
        <v>5.4407680634168756</v>
      </c>
      <c r="S3" s="2">
        <f ca="1">('[1]Qc, Winter, S2'!S3*Main!$B$5)</f>
        <v>5.4407680634168756</v>
      </c>
      <c r="T3" s="2">
        <f ca="1">('[1]Qc, Winter, S2'!T3*Main!$B$5)</f>
        <v>5.4407680634168756</v>
      </c>
      <c r="U3" s="2">
        <f ca="1">('[1]Qc, Winter, S2'!U3*Main!$B$5)</f>
        <v>5.4407680634168756</v>
      </c>
      <c r="V3" s="2">
        <f ca="1">('[1]Qc, Winter, S2'!V3*Main!$B$5)</f>
        <v>5.4407680634168756</v>
      </c>
      <c r="W3" s="2">
        <f ca="1">('[1]Qc, Winter, S2'!W3*Main!$B$5)</f>
        <v>11.345753575452791</v>
      </c>
      <c r="X3" s="2">
        <f ca="1">('[1]Qc, Winter, S2'!X3*Main!$B$5)</f>
        <v>17.343007942383228</v>
      </c>
      <c r="Y3" s="2">
        <f ca="1">('[1]Qc, Winter, S2'!Y3*Main!$B$5)</f>
        <v>17.343007942383228</v>
      </c>
    </row>
    <row r="4" spans="1:25" x14ac:dyDescent="0.3">
      <c r="A4">
        <v>3</v>
      </c>
      <c r="B4" s="2">
        <f ca="1">('[1]Qc, Winter, S2'!B4*Main!$B$5)</f>
        <v>12.785429373454523</v>
      </c>
      <c r="C4" s="2">
        <f ca="1">('[1]Qc, Winter, S2'!C4*Main!$B$5)</f>
        <v>9.862329001694798</v>
      </c>
      <c r="D4" s="2">
        <f ca="1">('[1]Qc, Winter, S2'!D4*Main!$B$5)</f>
        <v>8.4426583376759492</v>
      </c>
      <c r="E4" s="2">
        <f ca="1">('[1]Qc, Winter, S2'!E4*Main!$B$5)</f>
        <v>8.2617022577126065</v>
      </c>
      <c r="F4" s="2">
        <f ca="1">('[1]Qc, Winter, S2'!F4*Main!$B$5)</f>
        <v>9.3899266819790288</v>
      </c>
      <c r="G4" s="2">
        <f ca="1">('[1]Qc, Winter, S2'!G4*Main!$B$5)</f>
        <v>11.658887847555855</v>
      </c>
      <c r="H4" s="2">
        <f ca="1">('[1]Qc, Winter, S2'!H4*Main!$B$5)</f>
        <v>18.08886005333537</v>
      </c>
      <c r="I4" s="2">
        <f ca="1">('[1]Qc, Winter, S2'!I4*Main!$B$5)</f>
        <v>22.083036951634256</v>
      </c>
      <c r="J4" s="2">
        <f ca="1">('[1]Qc, Winter, S2'!J4*Main!$B$5)</f>
        <v>25.513821304228372</v>
      </c>
      <c r="K4" s="2">
        <f ca="1">('[1]Qc, Winter, S2'!K4*Main!$B$5)</f>
        <v>28.095412120285637</v>
      </c>
      <c r="L4" s="2">
        <f ca="1">('[1]Qc, Winter, S2'!L4*Main!$B$5)</f>
        <v>28.332515854834682</v>
      </c>
      <c r="M4" s="2">
        <f ca="1">('[1]Qc, Winter, S2'!M4*Main!$B$5)</f>
        <v>27.824490910588747</v>
      </c>
      <c r="N4" s="2">
        <f ca="1">('[1]Qc, Winter, S2'!N4*Main!$B$5)</f>
        <v>27.942993974855344</v>
      </c>
      <c r="O4" s="2">
        <f ca="1">('[1]Qc, Winter, S2'!O4*Main!$B$5)</f>
        <v>27.657851789250689</v>
      </c>
      <c r="P4" s="2">
        <f ca="1">('[1]Qc, Winter, S2'!P4*Main!$B$5)</f>
        <v>24.950574830400814</v>
      </c>
      <c r="Q4" s="2">
        <f ca="1">('[1]Qc, Winter, S2'!Q4*Main!$B$5)</f>
        <v>23.705286537368675</v>
      </c>
      <c r="R4" s="2">
        <f ca="1">('[1]Qc, Winter, S2'!R4*Main!$B$5)</f>
        <v>24.463927830459138</v>
      </c>
      <c r="S4" s="2">
        <f ca="1">('[1]Qc, Winter, S2'!S4*Main!$B$5)</f>
        <v>33.343231870448093</v>
      </c>
      <c r="T4" s="2">
        <f ca="1">('[1]Qc, Winter, S2'!T4*Main!$B$5)</f>
        <v>33.294827611191657</v>
      </c>
      <c r="U4" s="2">
        <f ca="1">('[1]Qc, Winter, S2'!U4*Main!$B$5)</f>
        <v>32.278826072016635</v>
      </c>
      <c r="V4" s="2">
        <f ca="1">('[1]Qc, Winter, S2'!V4*Main!$B$5)</f>
        <v>29.877458491641551</v>
      </c>
      <c r="W4" s="2">
        <f ca="1">('[1]Qc, Winter, S2'!W4*Main!$B$5)</f>
        <v>26.57101913355919</v>
      </c>
      <c r="X4" s="2">
        <f ca="1">('[1]Qc, Winter, S2'!X4*Main!$B$5)</f>
        <v>21.671940699926342</v>
      </c>
      <c r="Y4" s="2">
        <f ca="1">('[1]Qc, Winter, S2'!Y4*Main!$B$5)</f>
        <v>16.626553524890234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-15.19206931732767</v>
      </c>
      <c r="C2" s="2">
        <f ca="1">('[1]Qc, Winter, S3'!C2*Main!$B$5)</f>
        <v>-16.511693120237556</v>
      </c>
      <c r="D2" s="2">
        <f ca="1">('[1]Qc, Winter, S3'!D2*Main!$B$5)</f>
        <v>-17.785373645861693</v>
      </c>
      <c r="E2" s="2">
        <f ca="1">('[1]Qc, Winter, S3'!E2*Main!$B$5)</f>
        <v>-17.655900685026797</v>
      </c>
      <c r="F2" s="2">
        <f ca="1">('[1]Qc, Winter, S3'!F2*Main!$B$5)</f>
        <v>-18.274655928995589</v>
      </c>
      <c r="G2" s="2">
        <f ca="1">('[1]Qc, Winter, S3'!G2*Main!$B$5)</f>
        <v>-16.267883794825526</v>
      </c>
      <c r="H2" s="2">
        <f ca="1">('[1]Qc, Winter, S3'!H2*Main!$B$5)</f>
        <v>-12.114458431625884</v>
      </c>
      <c r="I2" s="2">
        <f ca="1">('[1]Qc, Winter, S3'!I2*Main!$B$5)</f>
        <v>-4.9865521384047833</v>
      </c>
      <c r="J2" s="2">
        <f ca="1">('[1]Qc, Winter, S3'!J2*Main!$B$5)</f>
        <v>-1.4685109263290801</v>
      </c>
      <c r="K2" s="2">
        <f ca="1">('[1]Qc, Winter, S3'!K2*Main!$B$5)</f>
        <v>-0.22972409769706215</v>
      </c>
      <c r="L2" s="2">
        <f ca="1">('[1]Qc, Winter, S3'!L2*Main!$B$5)</f>
        <v>-2.0623319865213565</v>
      </c>
      <c r="M2" s="2">
        <f ca="1">('[1]Qc, Winter, S3'!M2*Main!$B$5)</f>
        <v>-1.5161864279298578</v>
      </c>
      <c r="N2" s="2">
        <f ca="1">('[1]Qc, Winter, S3'!N2*Main!$B$5)</f>
        <v>-2.0986083740829846</v>
      </c>
      <c r="O2" s="2">
        <f ca="1">('[1]Qc, Winter, S3'!O2*Main!$B$5)</f>
        <v>-2.1170103588683289</v>
      </c>
      <c r="P2" s="2">
        <f ca="1">('[1]Qc, Winter, S3'!P2*Main!$B$5)</f>
        <v>-5.3518619794968156</v>
      </c>
      <c r="Q2" s="2">
        <f ca="1">('[1]Qc, Winter, S3'!Q2*Main!$B$5)</f>
        <v>-7.7075238534368493</v>
      </c>
      <c r="R2" s="2">
        <f ca="1">('[1]Qc, Winter, S3'!R2*Main!$B$5)</f>
        <v>-6.8544347921320856</v>
      </c>
      <c r="S2" s="2">
        <f ca="1">('[1]Qc, Winter, S3'!S2*Main!$B$5)</f>
        <v>-2.3397802925962905</v>
      </c>
      <c r="T2" s="2">
        <f ca="1">('[1]Qc, Winter, S3'!T2*Main!$B$5)</f>
        <v>-3.4035413248582023</v>
      </c>
      <c r="U2" s="2">
        <f ca="1">('[1]Qc, Winter, S3'!U2*Main!$B$5)</f>
        <v>-4.2784141066548624</v>
      </c>
      <c r="V2" s="2">
        <f ca="1">('[1]Qc, Winter, S3'!V2*Main!$B$5)</f>
        <v>-6.7206303735961344</v>
      </c>
      <c r="W2" s="2">
        <f ca="1">('[1]Qc, Winter, S3'!W2*Main!$B$5)</f>
        <v>-8.7238146788429365</v>
      </c>
      <c r="X2" s="2">
        <f ca="1">('[1]Qc, Winter, S3'!X2*Main!$B$5)</f>
        <v>-11.704183922419412</v>
      </c>
      <c r="Y2" s="2">
        <f ca="1">('[1]Qc, Winter, S3'!Y2*Main!$B$5)</f>
        <v>-13.174054646148347</v>
      </c>
    </row>
    <row r="3" spans="1:25" x14ac:dyDescent="0.3">
      <c r="A3">
        <v>2</v>
      </c>
      <c r="B3" s="2">
        <f ca="1">('[1]Qc, Winter, S3'!B3*Main!$B$5)</f>
        <v>17.211736016740428</v>
      </c>
      <c r="C3" s="2">
        <f ca="1">('[1]Qc, Winter, S3'!C3*Main!$B$5)</f>
        <v>21.320431917161521</v>
      </c>
      <c r="D3" s="2">
        <f ca="1">('[1]Qc, Winter, S3'!D3*Main!$B$5)</f>
        <v>21.320431917161521</v>
      </c>
      <c r="E3" s="2">
        <f ca="1">('[1]Qc, Winter, S3'!E3*Main!$B$5)</f>
        <v>21.320431917161521</v>
      </c>
      <c r="F3" s="2">
        <f ca="1">('[1]Qc, Winter, S3'!F3*Main!$B$5)</f>
        <v>21.320431917161521</v>
      </c>
      <c r="G3" s="2">
        <f ca="1">('[1]Qc, Winter, S3'!G3*Main!$B$5)</f>
        <v>17.274949018758011</v>
      </c>
      <c r="H3" s="2">
        <f ca="1">('[1]Qc, Winter, S3'!H3*Main!$B$5)</f>
        <v>7.8354889580736016</v>
      </c>
      <c r="I3" s="2">
        <f ca="1">('[1]Qc, Winter, S3'!I3*Main!$B$5)</f>
        <v>1.0087379898938793</v>
      </c>
      <c r="J3" s="2">
        <f ca="1">('[1]Qc, Winter, S3'!J3*Main!$B$5)</f>
        <v>-5.9022879528672529</v>
      </c>
      <c r="K3" s="2">
        <f ca="1">('[1]Qc, Winter, S3'!K3*Main!$B$5)</f>
        <v>-5.9022879528672529</v>
      </c>
      <c r="L3" s="2">
        <f ca="1">('[1]Qc, Winter, S3'!L3*Main!$B$5)</f>
        <v>-0.50831075499590828</v>
      </c>
      <c r="M3" s="2">
        <f ca="1">('[1]Qc, Winter, S3'!M3*Main!$B$5)</f>
        <v>-6.1551399609375892</v>
      </c>
      <c r="N3" s="2">
        <f ca="1">('[1]Qc, Winter, S3'!N3*Main!$B$5)</f>
        <v>-6.1551399609375892</v>
      </c>
      <c r="O3" s="2">
        <f ca="1">('[1]Qc, Winter, S3'!O3*Main!$B$5)</f>
        <v>-4.7645036601246975</v>
      </c>
      <c r="P3" s="2">
        <f ca="1">('[1]Qc, Winter, S3'!P3*Main!$B$5)</f>
        <v>-0.59259475768602077</v>
      </c>
      <c r="Q3" s="2">
        <f ca="1">('[1]Qc, Winter, S3'!Q3*Main!$B$5)</f>
        <v>3.5793005847943822</v>
      </c>
      <c r="R3" s="2">
        <f ca="1">('[1]Qc, Winter, S3'!R3*Main!$B$5)</f>
        <v>4.969932365621184</v>
      </c>
      <c r="S3" s="2">
        <f ca="1">('[1]Qc, Winter, S3'!S3*Main!$B$5)</f>
        <v>4.969932365621184</v>
      </c>
      <c r="T3" s="2">
        <f ca="1">('[1]Qc, Winter, S3'!T3*Main!$B$5)</f>
        <v>4.969932365621184</v>
      </c>
      <c r="U3" s="2">
        <f ca="1">('[1]Qc, Winter, S3'!U3*Main!$B$5)</f>
        <v>4.969932365621184</v>
      </c>
      <c r="V3" s="2">
        <f ca="1">('[1]Qc, Winter, S3'!V3*Main!$B$5)</f>
        <v>4.969932365621184</v>
      </c>
      <c r="W3" s="2">
        <f ca="1">('[1]Qc, Winter, S3'!W3*Main!$B$5)</f>
        <v>10.363909516038607</v>
      </c>
      <c r="X3" s="2">
        <f ca="1">('[1]Qc, Winter, S3'!X3*Main!$B$5)</f>
        <v>15.842170716600062</v>
      </c>
      <c r="Y3" s="2">
        <f ca="1">('[1]Qc, Winter, S3'!Y3*Main!$B$5)</f>
        <v>15.842170716600062</v>
      </c>
    </row>
    <row r="4" spans="1:25" x14ac:dyDescent="0.3">
      <c r="A4">
        <v>3</v>
      </c>
      <c r="B4" s="2">
        <f ca="1">('[1]Qc, Winter, S3'!B4*Main!$B$5)</f>
        <v>11.678997985367113</v>
      </c>
      <c r="C4" s="2">
        <f ca="1">('[1]Qc, Winter, S3'!C4*Main!$B$5)</f>
        <v>9.008858222701976</v>
      </c>
      <c r="D4" s="2">
        <f ca="1">('[1]Qc, Winter, S3'!D4*Main!$B$5)</f>
        <v>7.7120436738386067</v>
      </c>
      <c r="E4" s="2">
        <f ca="1">('[1]Qc, Winter, S3'!E4*Main!$B$5)</f>
        <v>7.546747254641323</v>
      </c>
      <c r="F4" s="2">
        <f ca="1">('[1]Qc, Winter, S3'!F4*Main!$B$5)</f>
        <v>8.5773368729616131</v>
      </c>
      <c r="G4" s="2">
        <f ca="1">('[1]Qc, Winter, S3'!G4*Main!$B$5)</f>
        <v>10.649945629978905</v>
      </c>
      <c r="H4" s="2">
        <f ca="1">('[1]Qc, Winter, S3'!H4*Main!$B$5)</f>
        <v>16.523477933335194</v>
      </c>
      <c r="I4" s="2">
        <f ca="1">('[1]Qc, Winter, S3'!I4*Main!$B$5)</f>
        <v>20.172004907742828</v>
      </c>
      <c r="J4" s="2">
        <f ca="1">('[1]Qc, Winter, S3'!J4*Main!$B$5)</f>
        <v>23.305894460593226</v>
      </c>
      <c r="K4" s="2">
        <f ca="1">('[1]Qc, Winter, S3'!K4*Main!$B$5)</f>
        <v>25.664078379107067</v>
      </c>
      <c r="L4" s="2">
        <f ca="1">('[1]Qc, Winter, S3'!L4*Main!$B$5)</f>
        <v>25.880663521243218</v>
      </c>
      <c r="M4" s="2">
        <f ca="1">('[1]Qc, Winter, S3'!M4*Main!$B$5)</f>
        <v>25.416602274095489</v>
      </c>
      <c r="N4" s="2">
        <f ca="1">('[1]Qc, Winter, S3'!N4*Main!$B$5)</f>
        <v>25.524850265492862</v>
      </c>
      <c r="O4" s="2">
        <f ca="1">('[1]Qc, Winter, S3'!O4*Main!$B$5)</f>
        <v>25.264383845950146</v>
      </c>
      <c r="P4" s="2">
        <f ca="1">('[1]Qc, Winter, S3'!P4*Main!$B$5)</f>
        <v>22.791390470077665</v>
      </c>
      <c r="Q4" s="2">
        <f ca="1">('[1]Qc, Winter, S3'!Q4*Main!$B$5)</f>
        <v>21.653867510096379</v>
      </c>
      <c r="R4" s="2">
        <f ca="1">('[1]Qc, Winter, S3'!R4*Main!$B$5)</f>
        <v>22.346857152823251</v>
      </c>
      <c r="S4" s="2">
        <f ca="1">('[1]Qc, Winter, S3'!S4*Main!$B$5)</f>
        <v>30.457759881659314</v>
      </c>
      <c r="T4" s="2">
        <f ca="1">('[1]Qc, Winter, S3'!T4*Main!$B$5)</f>
        <v>30.413544452530832</v>
      </c>
      <c r="U4" s="2">
        <f ca="1">('[1]Qc, Winter, S3'!U4*Main!$B$5)</f>
        <v>29.48546612347673</v>
      </c>
      <c r="V4" s="2">
        <f ca="1">('[1]Qc, Winter, S3'!V4*Main!$B$5)</f>
        <v>27.291909199095649</v>
      </c>
      <c r="W4" s="2">
        <f ca="1">('[1]Qc, Winter, S3'!W4*Main!$B$5)</f>
        <v>24.271604016231951</v>
      </c>
      <c r="X4" s="2">
        <f ca="1">('[1]Qc, Winter, S3'!X4*Main!$B$5)</f>
        <v>19.796484293201946</v>
      </c>
      <c r="Y4" s="2">
        <f ca="1">('[1]Qc, Winter, S3'!Y4*Main!$B$5)</f>
        <v>15.187717162159345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-15.19206931732767</v>
      </c>
      <c r="C2" s="2">
        <f ca="1">('[1]Qc, Winter, S3'!C2*Main!$B$5)</f>
        <v>-16.511693120237556</v>
      </c>
      <c r="D2" s="2">
        <f ca="1">('[1]Qc, Winter, S3'!D2*Main!$B$5)</f>
        <v>-17.785373645861693</v>
      </c>
      <c r="E2" s="2">
        <f ca="1">('[1]Qc, Winter, S3'!E2*Main!$B$5)</f>
        <v>-17.655900685026797</v>
      </c>
      <c r="F2" s="2">
        <f ca="1">('[1]Qc, Winter, S3'!F2*Main!$B$5)</f>
        <v>-18.274655928995589</v>
      </c>
      <c r="G2" s="2">
        <f ca="1">('[1]Qc, Winter, S3'!G2*Main!$B$5)</f>
        <v>-16.267883794825526</v>
      </c>
      <c r="H2" s="2">
        <f ca="1">('[1]Qc, Winter, S3'!H2*Main!$B$5)</f>
        <v>-12.114458431625884</v>
      </c>
      <c r="I2" s="2">
        <f ca="1">('[1]Qc, Winter, S3'!I2*Main!$B$5)</f>
        <v>-4.9865521384047833</v>
      </c>
      <c r="J2" s="2">
        <f ca="1">('[1]Qc, Winter, S3'!J2*Main!$B$5)</f>
        <v>-1.4685109263290801</v>
      </c>
      <c r="K2" s="2">
        <f ca="1">('[1]Qc, Winter, S3'!K2*Main!$B$5)</f>
        <v>-0.22972409769706215</v>
      </c>
      <c r="L2" s="2">
        <f ca="1">('[1]Qc, Winter, S3'!L2*Main!$B$5)</f>
        <v>-2.0623319865213565</v>
      </c>
      <c r="M2" s="2">
        <f ca="1">('[1]Qc, Winter, S3'!M2*Main!$B$5)</f>
        <v>-1.5161864279298578</v>
      </c>
      <c r="N2" s="2">
        <f ca="1">('[1]Qc, Winter, S3'!N2*Main!$B$5)</f>
        <v>-2.0986083740829846</v>
      </c>
      <c r="O2" s="2">
        <f ca="1">('[1]Qc, Winter, S3'!O2*Main!$B$5)</f>
        <v>-2.1170103588683289</v>
      </c>
      <c r="P2" s="2">
        <f ca="1">('[1]Qc, Winter, S3'!P2*Main!$B$5)</f>
        <v>-5.3518619794968156</v>
      </c>
      <c r="Q2" s="2">
        <f ca="1">('[1]Qc, Winter, S3'!Q2*Main!$B$5)</f>
        <v>-7.7075238534368493</v>
      </c>
      <c r="R2" s="2">
        <f ca="1">('[1]Qc, Winter, S3'!R2*Main!$B$5)</f>
        <v>-6.8544347921320856</v>
      </c>
      <c r="S2" s="2">
        <f ca="1">('[1]Qc, Winter, S3'!S2*Main!$B$5)</f>
        <v>-2.3397802925962905</v>
      </c>
      <c r="T2" s="2">
        <f ca="1">('[1]Qc, Winter, S3'!T2*Main!$B$5)</f>
        <v>-3.4035413248582023</v>
      </c>
      <c r="U2" s="2">
        <f ca="1">('[1]Qc, Winter, S3'!U2*Main!$B$5)</f>
        <v>-4.2784141066548624</v>
      </c>
      <c r="V2" s="2">
        <f ca="1">('[1]Qc, Winter, S3'!V2*Main!$B$5)</f>
        <v>-6.7206303735961344</v>
      </c>
      <c r="W2" s="2">
        <f ca="1">('[1]Qc, Winter, S3'!W2*Main!$B$5)</f>
        <v>-8.7238146788429365</v>
      </c>
      <c r="X2" s="2">
        <f ca="1">('[1]Qc, Winter, S3'!X2*Main!$B$5)</f>
        <v>-11.704183922419412</v>
      </c>
      <c r="Y2" s="2">
        <f ca="1">('[1]Qc, Winter, S3'!Y2*Main!$B$5)</f>
        <v>-13.174054646148347</v>
      </c>
    </row>
    <row r="3" spans="1:25" x14ac:dyDescent="0.3">
      <c r="A3">
        <v>2</v>
      </c>
      <c r="B3" s="2">
        <f ca="1">('[1]Qc, Winter, S3'!B3*Main!$B$5)</f>
        <v>17.211736016740428</v>
      </c>
      <c r="C3" s="2">
        <f ca="1">('[1]Qc, Winter, S3'!C3*Main!$B$5)</f>
        <v>21.320431917161521</v>
      </c>
      <c r="D3" s="2">
        <f ca="1">('[1]Qc, Winter, S3'!D3*Main!$B$5)</f>
        <v>21.320431917161521</v>
      </c>
      <c r="E3" s="2">
        <f ca="1">('[1]Qc, Winter, S3'!E3*Main!$B$5)</f>
        <v>21.320431917161521</v>
      </c>
      <c r="F3" s="2">
        <f ca="1">('[1]Qc, Winter, S3'!F3*Main!$B$5)</f>
        <v>21.320431917161521</v>
      </c>
      <c r="G3" s="2">
        <f ca="1">('[1]Qc, Winter, S3'!G3*Main!$B$5)</f>
        <v>17.274949018758011</v>
      </c>
      <c r="H3" s="2">
        <f ca="1">('[1]Qc, Winter, S3'!H3*Main!$B$5)</f>
        <v>7.8354889580736016</v>
      </c>
      <c r="I3" s="2">
        <f ca="1">('[1]Qc, Winter, S3'!I3*Main!$B$5)</f>
        <v>1.0087379898938793</v>
      </c>
      <c r="J3" s="2">
        <f ca="1">('[1]Qc, Winter, S3'!J3*Main!$B$5)</f>
        <v>-5.9022879528672529</v>
      </c>
      <c r="K3" s="2">
        <f ca="1">('[1]Qc, Winter, S3'!K3*Main!$B$5)</f>
        <v>-5.9022879528672529</v>
      </c>
      <c r="L3" s="2">
        <f ca="1">('[1]Qc, Winter, S3'!L3*Main!$B$5)</f>
        <v>-0.50831075499590828</v>
      </c>
      <c r="M3" s="2">
        <f ca="1">('[1]Qc, Winter, S3'!M3*Main!$B$5)</f>
        <v>-6.1551399609375892</v>
      </c>
      <c r="N3" s="2">
        <f ca="1">('[1]Qc, Winter, S3'!N3*Main!$B$5)</f>
        <v>-6.1551399609375892</v>
      </c>
      <c r="O3" s="2">
        <f ca="1">('[1]Qc, Winter, S3'!O3*Main!$B$5)</f>
        <v>-4.7645036601246975</v>
      </c>
      <c r="P3" s="2">
        <f ca="1">('[1]Qc, Winter, S3'!P3*Main!$B$5)</f>
        <v>-0.59259475768602077</v>
      </c>
      <c r="Q3" s="2">
        <f ca="1">('[1]Qc, Winter, S3'!Q3*Main!$B$5)</f>
        <v>3.5793005847943822</v>
      </c>
      <c r="R3" s="2">
        <f ca="1">('[1]Qc, Winter, S3'!R3*Main!$B$5)</f>
        <v>4.969932365621184</v>
      </c>
      <c r="S3" s="2">
        <f ca="1">('[1]Qc, Winter, S3'!S3*Main!$B$5)</f>
        <v>4.969932365621184</v>
      </c>
      <c r="T3" s="2">
        <f ca="1">('[1]Qc, Winter, S3'!T3*Main!$B$5)</f>
        <v>4.969932365621184</v>
      </c>
      <c r="U3" s="2">
        <f ca="1">('[1]Qc, Winter, S3'!U3*Main!$B$5)</f>
        <v>4.969932365621184</v>
      </c>
      <c r="V3" s="2">
        <f ca="1">('[1]Qc, Winter, S3'!V3*Main!$B$5)</f>
        <v>4.969932365621184</v>
      </c>
      <c r="W3" s="2">
        <f ca="1">('[1]Qc, Winter, S3'!W3*Main!$B$5)</f>
        <v>10.363909516038607</v>
      </c>
      <c r="X3" s="2">
        <f ca="1">('[1]Qc, Winter, S3'!X3*Main!$B$5)</f>
        <v>15.842170716600062</v>
      </c>
      <c r="Y3" s="2">
        <f ca="1">('[1]Qc, Winter, S3'!Y3*Main!$B$5)</f>
        <v>15.842170716600062</v>
      </c>
    </row>
    <row r="4" spans="1:25" x14ac:dyDescent="0.3">
      <c r="A4">
        <v>3</v>
      </c>
      <c r="B4" s="2">
        <f ca="1">('[1]Qc, Winter, S3'!B4*Main!$B$5)</f>
        <v>11.678997985367113</v>
      </c>
      <c r="C4" s="2">
        <f ca="1">('[1]Qc, Winter, S3'!C4*Main!$B$5)</f>
        <v>9.008858222701976</v>
      </c>
      <c r="D4" s="2">
        <f ca="1">('[1]Qc, Winter, S3'!D4*Main!$B$5)</f>
        <v>7.7120436738386067</v>
      </c>
      <c r="E4" s="2">
        <f ca="1">('[1]Qc, Winter, S3'!E4*Main!$B$5)</f>
        <v>7.546747254641323</v>
      </c>
      <c r="F4" s="2">
        <f ca="1">('[1]Qc, Winter, S3'!F4*Main!$B$5)</f>
        <v>8.5773368729616131</v>
      </c>
      <c r="G4" s="2">
        <f ca="1">('[1]Qc, Winter, S3'!G4*Main!$B$5)</f>
        <v>10.649945629978905</v>
      </c>
      <c r="H4" s="2">
        <f ca="1">('[1]Qc, Winter, S3'!H4*Main!$B$5)</f>
        <v>16.523477933335194</v>
      </c>
      <c r="I4" s="2">
        <f ca="1">('[1]Qc, Winter, S3'!I4*Main!$B$5)</f>
        <v>20.172004907742828</v>
      </c>
      <c r="J4" s="2">
        <f ca="1">('[1]Qc, Winter, S3'!J4*Main!$B$5)</f>
        <v>23.305894460593226</v>
      </c>
      <c r="K4" s="2">
        <f ca="1">('[1]Qc, Winter, S3'!K4*Main!$B$5)</f>
        <v>25.664078379107067</v>
      </c>
      <c r="L4" s="2">
        <f ca="1">('[1]Qc, Winter, S3'!L4*Main!$B$5)</f>
        <v>25.880663521243218</v>
      </c>
      <c r="M4" s="2">
        <f ca="1">('[1]Qc, Winter, S3'!M4*Main!$B$5)</f>
        <v>25.416602274095489</v>
      </c>
      <c r="N4" s="2">
        <f ca="1">('[1]Qc, Winter, S3'!N4*Main!$B$5)</f>
        <v>25.524850265492862</v>
      </c>
      <c r="O4" s="2">
        <f ca="1">('[1]Qc, Winter, S3'!O4*Main!$B$5)</f>
        <v>25.264383845950146</v>
      </c>
      <c r="P4" s="2">
        <f ca="1">('[1]Qc, Winter, S3'!P4*Main!$B$5)</f>
        <v>22.791390470077665</v>
      </c>
      <c r="Q4" s="2">
        <f ca="1">('[1]Qc, Winter, S3'!Q4*Main!$B$5)</f>
        <v>21.653867510096379</v>
      </c>
      <c r="R4" s="2">
        <f ca="1">('[1]Qc, Winter, S3'!R4*Main!$B$5)</f>
        <v>22.346857152823251</v>
      </c>
      <c r="S4" s="2">
        <f ca="1">('[1]Qc, Winter, S3'!S4*Main!$B$5)</f>
        <v>30.457759881659314</v>
      </c>
      <c r="T4" s="2">
        <f ca="1">('[1]Qc, Winter, S3'!T4*Main!$B$5)</f>
        <v>30.413544452530832</v>
      </c>
      <c r="U4" s="2">
        <f ca="1">('[1]Qc, Winter, S3'!U4*Main!$B$5)</f>
        <v>29.48546612347673</v>
      </c>
      <c r="V4" s="2">
        <f ca="1">('[1]Qc, Winter, S3'!V4*Main!$B$5)</f>
        <v>27.291909199095649</v>
      </c>
      <c r="W4" s="2">
        <f ca="1">('[1]Qc, Winter, S3'!W4*Main!$B$5)</f>
        <v>24.271604016231951</v>
      </c>
      <c r="X4" s="2">
        <f ca="1">('[1]Qc, Winter, S3'!X4*Main!$B$5)</f>
        <v>19.796484293201946</v>
      </c>
      <c r="Y4" s="2">
        <f ca="1">('[1]Qc, Winter, S3'!Y4*Main!$B$5)</f>
        <v>15.187717162159345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-15.19206931732767</v>
      </c>
      <c r="C2" s="2">
        <f ca="1">('[1]Qc, Winter, S3'!C2*Main!$B$5)</f>
        <v>-16.511693120237556</v>
      </c>
      <c r="D2" s="2">
        <f ca="1">('[1]Qc, Winter, S3'!D2*Main!$B$5)</f>
        <v>-17.785373645861693</v>
      </c>
      <c r="E2" s="2">
        <f ca="1">('[1]Qc, Winter, S3'!E2*Main!$B$5)</f>
        <v>-17.655900685026797</v>
      </c>
      <c r="F2" s="2">
        <f ca="1">('[1]Qc, Winter, S3'!F2*Main!$B$5)</f>
        <v>-18.274655928995589</v>
      </c>
      <c r="G2" s="2">
        <f ca="1">('[1]Qc, Winter, S3'!G2*Main!$B$5)</f>
        <v>-16.267883794825526</v>
      </c>
      <c r="H2" s="2">
        <f ca="1">('[1]Qc, Winter, S3'!H2*Main!$B$5)</f>
        <v>-12.114458431625884</v>
      </c>
      <c r="I2" s="2">
        <f ca="1">('[1]Qc, Winter, S3'!I2*Main!$B$5)</f>
        <v>-4.9865521384047833</v>
      </c>
      <c r="J2" s="2">
        <f ca="1">('[1]Qc, Winter, S3'!J2*Main!$B$5)</f>
        <v>-1.4685109263290801</v>
      </c>
      <c r="K2" s="2">
        <f ca="1">('[1]Qc, Winter, S3'!K2*Main!$B$5)</f>
        <v>-0.22972409769706215</v>
      </c>
      <c r="L2" s="2">
        <f ca="1">('[1]Qc, Winter, S3'!L2*Main!$B$5)</f>
        <v>-2.0623319865213565</v>
      </c>
      <c r="M2" s="2">
        <f ca="1">('[1]Qc, Winter, S3'!M2*Main!$B$5)</f>
        <v>-1.5161864279298578</v>
      </c>
      <c r="N2" s="2">
        <f ca="1">('[1]Qc, Winter, S3'!N2*Main!$B$5)</f>
        <v>-2.0986083740829846</v>
      </c>
      <c r="O2" s="2">
        <f ca="1">('[1]Qc, Winter, S3'!O2*Main!$B$5)</f>
        <v>-2.1170103588683289</v>
      </c>
      <c r="P2" s="2">
        <f ca="1">('[1]Qc, Winter, S3'!P2*Main!$B$5)</f>
        <v>-5.3518619794968156</v>
      </c>
      <c r="Q2" s="2">
        <f ca="1">('[1]Qc, Winter, S3'!Q2*Main!$B$5)</f>
        <v>-7.7075238534368493</v>
      </c>
      <c r="R2" s="2">
        <f ca="1">('[1]Qc, Winter, S3'!R2*Main!$B$5)</f>
        <v>-6.8544347921320856</v>
      </c>
      <c r="S2" s="2">
        <f ca="1">('[1]Qc, Winter, S3'!S2*Main!$B$5)</f>
        <v>-2.3397802925962905</v>
      </c>
      <c r="T2" s="2">
        <f ca="1">('[1]Qc, Winter, S3'!T2*Main!$B$5)</f>
        <v>-3.4035413248582023</v>
      </c>
      <c r="U2" s="2">
        <f ca="1">('[1]Qc, Winter, S3'!U2*Main!$B$5)</f>
        <v>-4.2784141066548624</v>
      </c>
      <c r="V2" s="2">
        <f ca="1">('[1]Qc, Winter, S3'!V2*Main!$B$5)</f>
        <v>-6.7206303735961344</v>
      </c>
      <c r="W2" s="2">
        <f ca="1">('[1]Qc, Winter, S3'!W2*Main!$B$5)</f>
        <v>-8.7238146788429365</v>
      </c>
      <c r="X2" s="2">
        <f ca="1">('[1]Qc, Winter, S3'!X2*Main!$B$5)</f>
        <v>-11.704183922419412</v>
      </c>
      <c r="Y2" s="2">
        <f ca="1">('[1]Qc, Winter, S3'!Y2*Main!$B$5)</f>
        <v>-13.174054646148347</v>
      </c>
    </row>
    <row r="3" spans="1:25" x14ac:dyDescent="0.3">
      <c r="A3">
        <v>2</v>
      </c>
      <c r="B3" s="2">
        <f ca="1">('[1]Qc, Winter, S3'!B3*Main!$B$5)</f>
        <v>17.211736016740428</v>
      </c>
      <c r="C3" s="2">
        <f ca="1">('[1]Qc, Winter, S3'!C3*Main!$B$5)</f>
        <v>21.320431917161521</v>
      </c>
      <c r="D3" s="2">
        <f ca="1">('[1]Qc, Winter, S3'!D3*Main!$B$5)</f>
        <v>21.320431917161521</v>
      </c>
      <c r="E3" s="2">
        <f ca="1">('[1]Qc, Winter, S3'!E3*Main!$B$5)</f>
        <v>21.320431917161521</v>
      </c>
      <c r="F3" s="2">
        <f ca="1">('[1]Qc, Winter, S3'!F3*Main!$B$5)</f>
        <v>21.320431917161521</v>
      </c>
      <c r="G3" s="2">
        <f ca="1">('[1]Qc, Winter, S3'!G3*Main!$B$5)</f>
        <v>17.274949018758011</v>
      </c>
      <c r="H3" s="2">
        <f ca="1">('[1]Qc, Winter, S3'!H3*Main!$B$5)</f>
        <v>7.8354889580736016</v>
      </c>
      <c r="I3" s="2">
        <f ca="1">('[1]Qc, Winter, S3'!I3*Main!$B$5)</f>
        <v>1.0087379898938793</v>
      </c>
      <c r="J3" s="2">
        <f ca="1">('[1]Qc, Winter, S3'!J3*Main!$B$5)</f>
        <v>-5.9022879528672529</v>
      </c>
      <c r="K3" s="2">
        <f ca="1">('[1]Qc, Winter, S3'!K3*Main!$B$5)</f>
        <v>-5.9022879528672529</v>
      </c>
      <c r="L3" s="2">
        <f ca="1">('[1]Qc, Winter, S3'!L3*Main!$B$5)</f>
        <v>-0.50831075499590828</v>
      </c>
      <c r="M3" s="2">
        <f ca="1">('[1]Qc, Winter, S3'!M3*Main!$B$5)</f>
        <v>-6.1551399609375892</v>
      </c>
      <c r="N3" s="2">
        <f ca="1">('[1]Qc, Winter, S3'!N3*Main!$B$5)</f>
        <v>-6.1551399609375892</v>
      </c>
      <c r="O3" s="2">
        <f ca="1">('[1]Qc, Winter, S3'!O3*Main!$B$5)</f>
        <v>-4.7645036601246975</v>
      </c>
      <c r="P3" s="2">
        <f ca="1">('[1]Qc, Winter, S3'!P3*Main!$B$5)</f>
        <v>-0.59259475768602077</v>
      </c>
      <c r="Q3" s="2">
        <f ca="1">('[1]Qc, Winter, S3'!Q3*Main!$B$5)</f>
        <v>3.5793005847943822</v>
      </c>
      <c r="R3" s="2">
        <f ca="1">('[1]Qc, Winter, S3'!R3*Main!$B$5)</f>
        <v>4.969932365621184</v>
      </c>
      <c r="S3" s="2">
        <f ca="1">('[1]Qc, Winter, S3'!S3*Main!$B$5)</f>
        <v>4.969932365621184</v>
      </c>
      <c r="T3" s="2">
        <f ca="1">('[1]Qc, Winter, S3'!T3*Main!$B$5)</f>
        <v>4.969932365621184</v>
      </c>
      <c r="U3" s="2">
        <f ca="1">('[1]Qc, Winter, S3'!U3*Main!$B$5)</f>
        <v>4.969932365621184</v>
      </c>
      <c r="V3" s="2">
        <f ca="1">('[1]Qc, Winter, S3'!V3*Main!$B$5)</f>
        <v>4.969932365621184</v>
      </c>
      <c r="W3" s="2">
        <f ca="1">('[1]Qc, Winter, S3'!W3*Main!$B$5)</f>
        <v>10.363909516038607</v>
      </c>
      <c r="X3" s="2">
        <f ca="1">('[1]Qc, Winter, S3'!X3*Main!$B$5)</f>
        <v>15.842170716600062</v>
      </c>
      <c r="Y3" s="2">
        <f ca="1">('[1]Qc, Winter, S3'!Y3*Main!$B$5)</f>
        <v>15.842170716600062</v>
      </c>
    </row>
    <row r="4" spans="1:25" x14ac:dyDescent="0.3">
      <c r="A4">
        <v>3</v>
      </c>
      <c r="B4" s="2">
        <f ca="1">('[1]Qc, Winter, S3'!B4*Main!$B$5)</f>
        <v>11.678997985367113</v>
      </c>
      <c r="C4" s="2">
        <f ca="1">('[1]Qc, Winter, S3'!C4*Main!$B$5)</f>
        <v>9.008858222701976</v>
      </c>
      <c r="D4" s="2">
        <f ca="1">('[1]Qc, Winter, S3'!D4*Main!$B$5)</f>
        <v>7.7120436738386067</v>
      </c>
      <c r="E4" s="2">
        <f ca="1">('[1]Qc, Winter, S3'!E4*Main!$B$5)</f>
        <v>7.546747254641323</v>
      </c>
      <c r="F4" s="2">
        <f ca="1">('[1]Qc, Winter, S3'!F4*Main!$B$5)</f>
        <v>8.5773368729616131</v>
      </c>
      <c r="G4" s="2">
        <f ca="1">('[1]Qc, Winter, S3'!G4*Main!$B$5)</f>
        <v>10.649945629978905</v>
      </c>
      <c r="H4" s="2">
        <f ca="1">('[1]Qc, Winter, S3'!H4*Main!$B$5)</f>
        <v>16.523477933335194</v>
      </c>
      <c r="I4" s="2">
        <f ca="1">('[1]Qc, Winter, S3'!I4*Main!$B$5)</f>
        <v>20.172004907742828</v>
      </c>
      <c r="J4" s="2">
        <f ca="1">('[1]Qc, Winter, S3'!J4*Main!$B$5)</f>
        <v>23.305894460593226</v>
      </c>
      <c r="K4" s="2">
        <f ca="1">('[1]Qc, Winter, S3'!K4*Main!$B$5)</f>
        <v>25.664078379107067</v>
      </c>
      <c r="L4" s="2">
        <f ca="1">('[1]Qc, Winter, S3'!L4*Main!$B$5)</f>
        <v>25.880663521243218</v>
      </c>
      <c r="M4" s="2">
        <f ca="1">('[1]Qc, Winter, S3'!M4*Main!$B$5)</f>
        <v>25.416602274095489</v>
      </c>
      <c r="N4" s="2">
        <f ca="1">('[1]Qc, Winter, S3'!N4*Main!$B$5)</f>
        <v>25.524850265492862</v>
      </c>
      <c r="O4" s="2">
        <f ca="1">('[1]Qc, Winter, S3'!O4*Main!$B$5)</f>
        <v>25.264383845950146</v>
      </c>
      <c r="P4" s="2">
        <f ca="1">('[1]Qc, Winter, S3'!P4*Main!$B$5)</f>
        <v>22.791390470077665</v>
      </c>
      <c r="Q4" s="2">
        <f ca="1">('[1]Qc, Winter, S3'!Q4*Main!$B$5)</f>
        <v>21.653867510096379</v>
      </c>
      <c r="R4" s="2">
        <f ca="1">('[1]Qc, Winter, S3'!R4*Main!$B$5)</f>
        <v>22.346857152823251</v>
      </c>
      <c r="S4" s="2">
        <f ca="1">('[1]Qc, Winter, S3'!S4*Main!$B$5)</f>
        <v>30.457759881659314</v>
      </c>
      <c r="T4" s="2">
        <f ca="1">('[1]Qc, Winter, S3'!T4*Main!$B$5)</f>
        <v>30.413544452530832</v>
      </c>
      <c r="U4" s="2">
        <f ca="1">('[1]Qc, Winter, S3'!U4*Main!$B$5)</f>
        <v>29.48546612347673</v>
      </c>
      <c r="V4" s="2">
        <f ca="1">('[1]Qc, Winter, S3'!V4*Main!$B$5)</f>
        <v>27.291909199095649</v>
      </c>
      <c r="W4" s="2">
        <f ca="1">('[1]Qc, Winter, S3'!W4*Main!$B$5)</f>
        <v>24.271604016231951</v>
      </c>
      <c r="X4" s="2">
        <f ca="1">('[1]Qc, Winter, S3'!X4*Main!$B$5)</f>
        <v>19.796484293201946</v>
      </c>
      <c r="Y4" s="2">
        <f ca="1">('[1]Qc, Winter, S3'!Y4*Main!$B$5)</f>
        <v>15.187717162159345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43.372139702930554</v>
      </c>
      <c r="C5" s="9">
        <f>VLOOKUP($A5,'RES installed'!$A$2:$C$7,3,FALSE)*'[1]Profiles, RES, Winter'!C$5</f>
        <v>46.663990365315129</v>
      </c>
      <c r="D5" s="9">
        <f>VLOOKUP($A5,'RES installed'!$A$2:$C$7,3,FALSE)*'[1]Profiles, RES, Winter'!D$5</f>
        <v>46.423123243677239</v>
      </c>
      <c r="E5" s="9">
        <f>VLOOKUP($A5,'RES installed'!$A$2:$C$7,3,FALSE)*'[1]Profiles, RES, Winter'!E$5</f>
        <v>46.519470092332398</v>
      </c>
      <c r="F5" s="9">
        <f>VLOOKUP($A5,'RES installed'!$A$2:$C$7,3,FALSE)*'[1]Profiles, RES, Winter'!F$5</f>
        <v>48.157366519470095</v>
      </c>
      <c r="G5" s="9">
        <f>VLOOKUP($A5,'RES installed'!$A$2:$C$7,3,FALSE)*'[1]Profiles, RES, Winter'!G$5</f>
        <v>50.839020473705347</v>
      </c>
      <c r="H5" s="9">
        <f>VLOOKUP($A5,'RES installed'!$A$2:$C$7,3,FALSE)*'[1]Profiles, RES, Winter'!H$5</f>
        <v>54.162986752308306</v>
      </c>
      <c r="I5" s="9">
        <f>VLOOKUP($A5,'RES installed'!$A$2:$C$7,3,FALSE)*'[1]Profiles, RES, Winter'!I$5</f>
        <v>54.259333600963473</v>
      </c>
      <c r="J5" s="9">
        <f>VLOOKUP($A5,'RES installed'!$A$2:$C$7,3,FALSE)*'[1]Profiles, RES, Winter'!J$5</f>
        <v>53.777599357687677</v>
      </c>
      <c r="K5" s="9">
        <f>VLOOKUP($A5,'RES installed'!$A$2:$C$7,3,FALSE)*'[1]Profiles, RES, Winter'!K$5</f>
        <v>50.469690887193899</v>
      </c>
      <c r="L5" s="9">
        <f>VLOOKUP($A5,'RES installed'!$A$2:$C$7,3,FALSE)*'[1]Profiles, RES, Winter'!L$5</f>
        <v>44.014452027298276</v>
      </c>
      <c r="M5" s="9">
        <f>VLOOKUP($A5,'RES installed'!$A$2:$C$7,3,FALSE)*'[1]Profiles, RES, Winter'!M$5</f>
        <v>40.497792051384984</v>
      </c>
      <c r="N5" s="9">
        <f>VLOOKUP($A5,'RES installed'!$A$2:$C$7,3,FALSE)*'[1]Profiles, RES, Winter'!N$5</f>
        <v>38.908069048574873</v>
      </c>
      <c r="O5" s="9">
        <f>VLOOKUP($A5,'RES installed'!$A$2:$C$7,3,FALSE)*'[1]Profiles, RES, Winter'!O$5</f>
        <v>36.258530710558013</v>
      </c>
      <c r="P5" s="9">
        <f>VLOOKUP($A5,'RES installed'!$A$2:$C$7,3,FALSE)*'[1]Profiles, RES, Winter'!P$5</f>
        <v>33.143315937374553</v>
      </c>
      <c r="Q5" s="9">
        <f>VLOOKUP($A5,'RES installed'!$A$2:$C$7,3,FALSE)*'[1]Profiles, RES, Winter'!Q$5</f>
        <v>33.432356483340023</v>
      </c>
      <c r="R5" s="9">
        <f>VLOOKUP($A5,'RES installed'!$A$2:$C$7,3,FALSE)*'[1]Profiles, RES, Winter'!R$5</f>
        <v>34.684865515857084</v>
      </c>
      <c r="S5" s="9">
        <f>VLOOKUP($A5,'RES installed'!$A$2:$C$7,3,FALSE)*'[1]Profiles, RES, Winter'!S$5</f>
        <v>39.967884383781616</v>
      </c>
      <c r="T5" s="9">
        <f>VLOOKUP($A5,'RES installed'!$A$2:$C$7,3,FALSE)*'[1]Profiles, RES, Winter'!T$5</f>
        <v>43.275792854275394</v>
      </c>
      <c r="U5" s="9">
        <f>VLOOKUP($A5,'RES installed'!$A$2:$C$7,3,FALSE)*'[1]Profiles, RES, Winter'!U$5</f>
        <v>44.351665997591326</v>
      </c>
      <c r="V5" s="9">
        <f>VLOOKUP($A5,'RES installed'!$A$2:$C$7,3,FALSE)*'[1]Profiles, RES, Winter'!V$5</f>
        <v>42.890405459654758</v>
      </c>
      <c r="W5" s="9">
        <f>VLOOKUP($A5,'RES installed'!$A$2:$C$7,3,FALSE)*'[1]Profiles, RES, Winter'!W$5</f>
        <v>40.562023283821759</v>
      </c>
      <c r="X5" s="9">
        <f>VLOOKUP($A5,'RES installed'!$A$2:$C$7,3,FALSE)*'[1]Profiles, RES, Winter'!X$5</f>
        <v>40.995584102769975</v>
      </c>
      <c r="Y5" s="9">
        <f>VLOOKUP($A5,'RES installed'!$A$2:$C$7,3,FALSE)*'[1]Profiles, RES, Winter'!Y$5</f>
        <v>42.681653954235244</v>
      </c>
    </row>
    <row r="6" spans="1:25" x14ac:dyDescent="0.3">
      <c r="A6" s="8">
        <v>5</v>
      </c>
      <c r="B6" s="9">
        <f>VLOOKUP($A6,'RES installed'!$A$2:$C$7,3,FALSE)*'[1]Profiles, RES, Winter'!B$5</f>
        <v>65.05820955439583</v>
      </c>
      <c r="C6" s="9">
        <f>VLOOKUP($A6,'RES installed'!$A$2:$C$7,3,FALSE)*'[1]Profiles, RES, Winter'!C$5</f>
        <v>69.995985547972694</v>
      </c>
      <c r="D6" s="9">
        <f>VLOOKUP($A6,'RES installed'!$A$2:$C$7,3,FALSE)*'[1]Profiles, RES, Winter'!D$5</f>
        <v>69.634684865515865</v>
      </c>
      <c r="E6" s="9">
        <f>VLOOKUP($A6,'RES installed'!$A$2:$C$7,3,FALSE)*'[1]Profiles, RES, Winter'!E$5</f>
        <v>69.779205138498597</v>
      </c>
      <c r="F6" s="9">
        <f>VLOOKUP($A6,'RES installed'!$A$2:$C$7,3,FALSE)*'[1]Profiles, RES, Winter'!F$5</f>
        <v>72.236049779205146</v>
      </c>
      <c r="G6" s="9">
        <f>VLOOKUP($A6,'RES installed'!$A$2:$C$7,3,FALSE)*'[1]Profiles, RES, Winter'!G$5</f>
        <v>76.25853071055802</v>
      </c>
      <c r="H6" s="9">
        <f>VLOOKUP($A6,'RES installed'!$A$2:$C$7,3,FALSE)*'[1]Profiles, RES, Winter'!H$5</f>
        <v>81.244480128462456</v>
      </c>
      <c r="I6" s="9">
        <f>VLOOKUP($A6,'RES installed'!$A$2:$C$7,3,FALSE)*'[1]Profiles, RES, Winter'!I$5</f>
        <v>81.389000401445202</v>
      </c>
      <c r="J6" s="9">
        <f>VLOOKUP($A6,'RES installed'!$A$2:$C$7,3,FALSE)*'[1]Profiles, RES, Winter'!J$5</f>
        <v>80.666399036531516</v>
      </c>
      <c r="K6" s="9">
        <f>VLOOKUP($A6,'RES installed'!$A$2:$C$7,3,FALSE)*'[1]Profiles, RES, Winter'!K$5</f>
        <v>75.704536330790845</v>
      </c>
      <c r="L6" s="9">
        <f>VLOOKUP($A6,'RES installed'!$A$2:$C$7,3,FALSE)*'[1]Profiles, RES, Winter'!L$5</f>
        <v>66.021678040947407</v>
      </c>
      <c r="M6" s="9">
        <f>VLOOKUP($A6,'RES installed'!$A$2:$C$7,3,FALSE)*'[1]Profiles, RES, Winter'!M$5</f>
        <v>60.746688077077472</v>
      </c>
      <c r="N6" s="9">
        <f>VLOOKUP($A6,'RES installed'!$A$2:$C$7,3,FALSE)*'[1]Profiles, RES, Winter'!N$5</f>
        <v>58.36210357286231</v>
      </c>
      <c r="O6" s="9">
        <f>VLOOKUP($A6,'RES installed'!$A$2:$C$7,3,FALSE)*'[1]Profiles, RES, Winter'!O$5</f>
        <v>54.387796065837016</v>
      </c>
      <c r="P6" s="9">
        <f>VLOOKUP($A6,'RES installed'!$A$2:$C$7,3,FALSE)*'[1]Profiles, RES, Winter'!P$5</f>
        <v>49.714973906061822</v>
      </c>
      <c r="Q6" s="9">
        <f>VLOOKUP($A6,'RES installed'!$A$2:$C$7,3,FALSE)*'[1]Profiles, RES, Winter'!Q$5</f>
        <v>50.148534725010038</v>
      </c>
      <c r="R6" s="9">
        <f>VLOOKUP($A6,'RES installed'!$A$2:$C$7,3,FALSE)*'[1]Profiles, RES, Winter'!R$5</f>
        <v>52.027298273785632</v>
      </c>
      <c r="S6" s="9">
        <f>VLOOKUP($A6,'RES installed'!$A$2:$C$7,3,FALSE)*'[1]Profiles, RES, Winter'!S$5</f>
        <v>59.95182657567242</v>
      </c>
      <c r="T6" s="9">
        <f>VLOOKUP($A6,'RES installed'!$A$2:$C$7,3,FALSE)*'[1]Profiles, RES, Winter'!T$5</f>
        <v>64.913689281413099</v>
      </c>
      <c r="U6" s="9">
        <f>VLOOKUP($A6,'RES installed'!$A$2:$C$7,3,FALSE)*'[1]Profiles, RES, Winter'!U$5</f>
        <v>66.527498996386996</v>
      </c>
      <c r="V6" s="9">
        <f>VLOOKUP($A6,'RES installed'!$A$2:$C$7,3,FALSE)*'[1]Profiles, RES, Winter'!V$5</f>
        <v>64.33560818948213</v>
      </c>
      <c r="W6" s="9">
        <f>VLOOKUP($A6,'RES installed'!$A$2:$C$7,3,FALSE)*'[1]Profiles, RES, Winter'!W$5</f>
        <v>60.843034925732631</v>
      </c>
      <c r="X6" s="9">
        <f>VLOOKUP($A6,'RES installed'!$A$2:$C$7,3,FALSE)*'[1]Profiles, RES, Winter'!X$5</f>
        <v>61.493376154154959</v>
      </c>
      <c r="Y6" s="9">
        <f>VLOOKUP($A6,'RES installed'!$A$2:$C$7,3,FALSE)*'[1]Profiles, RES, Winter'!Y$5</f>
        <v>64.022480931352874</v>
      </c>
    </row>
    <row r="7" spans="1:25" x14ac:dyDescent="0.3">
      <c r="A7" s="8">
        <v>6</v>
      </c>
      <c r="B7" s="9">
        <f>VLOOKUP($A7,'RES installed'!$A$2:$C$7,3,FALSE)*'[1]Profiles, RES, Winter'!B$5</f>
        <v>40.661380971497394</v>
      </c>
      <c r="C7" s="9">
        <f>VLOOKUP($A7,'RES installed'!$A$2:$C$7,3,FALSE)*'[1]Profiles, RES, Winter'!C$5</f>
        <v>43.747490967482932</v>
      </c>
      <c r="D7" s="9">
        <f>VLOOKUP($A7,'RES installed'!$A$2:$C$7,3,FALSE)*'[1]Profiles, RES, Winter'!D$5</f>
        <v>43.521678040947414</v>
      </c>
      <c r="E7" s="9">
        <f>VLOOKUP($A7,'RES installed'!$A$2:$C$7,3,FALSE)*'[1]Profiles, RES, Winter'!E$5</f>
        <v>43.612003211561621</v>
      </c>
      <c r="F7" s="9">
        <f>VLOOKUP($A7,'RES installed'!$A$2:$C$7,3,FALSE)*'[1]Profiles, RES, Winter'!F$5</f>
        <v>45.147531112003215</v>
      </c>
      <c r="G7" s="9">
        <f>VLOOKUP($A7,'RES installed'!$A$2:$C$7,3,FALSE)*'[1]Profiles, RES, Winter'!G$5</f>
        <v>47.661581694098757</v>
      </c>
      <c r="H7" s="9">
        <f>VLOOKUP($A7,'RES installed'!$A$2:$C$7,3,FALSE)*'[1]Profiles, RES, Winter'!H$5</f>
        <v>50.77780008028904</v>
      </c>
      <c r="I7" s="9">
        <f>VLOOKUP($A7,'RES installed'!$A$2:$C$7,3,FALSE)*'[1]Profiles, RES, Winter'!I$5</f>
        <v>50.868125250903255</v>
      </c>
      <c r="J7" s="9">
        <f>VLOOKUP($A7,'RES installed'!$A$2:$C$7,3,FALSE)*'[1]Profiles, RES, Winter'!J$5</f>
        <v>50.416499397832197</v>
      </c>
      <c r="K7" s="9">
        <f>VLOOKUP($A7,'RES installed'!$A$2:$C$7,3,FALSE)*'[1]Profiles, RES, Winter'!K$5</f>
        <v>47.31533520674428</v>
      </c>
      <c r="L7" s="9">
        <f>VLOOKUP($A7,'RES installed'!$A$2:$C$7,3,FALSE)*'[1]Profiles, RES, Winter'!L$5</f>
        <v>41.263548775592135</v>
      </c>
      <c r="M7" s="9">
        <f>VLOOKUP($A7,'RES installed'!$A$2:$C$7,3,FALSE)*'[1]Profiles, RES, Winter'!M$5</f>
        <v>37.966680048173423</v>
      </c>
      <c r="N7" s="9">
        <f>VLOOKUP($A7,'RES installed'!$A$2:$C$7,3,FALSE)*'[1]Profiles, RES, Winter'!N$5</f>
        <v>36.47631473303894</v>
      </c>
      <c r="O7" s="9">
        <f>VLOOKUP($A7,'RES installed'!$A$2:$C$7,3,FALSE)*'[1]Profiles, RES, Winter'!O$5</f>
        <v>33.992372541148136</v>
      </c>
      <c r="P7" s="9">
        <f>VLOOKUP($A7,'RES installed'!$A$2:$C$7,3,FALSE)*'[1]Profiles, RES, Winter'!P$5</f>
        <v>31.071858691288639</v>
      </c>
      <c r="Q7" s="9">
        <f>VLOOKUP($A7,'RES installed'!$A$2:$C$7,3,FALSE)*'[1]Profiles, RES, Winter'!Q$5</f>
        <v>31.342834203131272</v>
      </c>
      <c r="R7" s="9">
        <f>VLOOKUP($A7,'RES installed'!$A$2:$C$7,3,FALSE)*'[1]Profiles, RES, Winter'!R$5</f>
        <v>32.517061421116018</v>
      </c>
      <c r="S7" s="9">
        <f>VLOOKUP($A7,'RES installed'!$A$2:$C$7,3,FALSE)*'[1]Profiles, RES, Winter'!S$5</f>
        <v>37.469891609795262</v>
      </c>
      <c r="T7" s="9">
        <f>VLOOKUP($A7,'RES installed'!$A$2:$C$7,3,FALSE)*'[1]Profiles, RES, Winter'!T$5</f>
        <v>40.57105580088318</v>
      </c>
      <c r="U7" s="9">
        <f>VLOOKUP($A7,'RES installed'!$A$2:$C$7,3,FALSE)*'[1]Profiles, RES, Winter'!U$5</f>
        <v>41.579686872741867</v>
      </c>
      <c r="V7" s="9">
        <f>VLOOKUP($A7,'RES installed'!$A$2:$C$7,3,FALSE)*'[1]Profiles, RES, Winter'!V$5</f>
        <v>40.20975511842633</v>
      </c>
      <c r="W7" s="9">
        <f>VLOOKUP($A7,'RES installed'!$A$2:$C$7,3,FALSE)*'[1]Profiles, RES, Winter'!W$5</f>
        <v>38.026896828582899</v>
      </c>
      <c r="X7" s="9">
        <f>VLOOKUP($A7,'RES installed'!$A$2:$C$7,3,FALSE)*'[1]Profiles, RES, Winter'!X$5</f>
        <v>38.433360096346853</v>
      </c>
      <c r="Y7" s="9">
        <f>VLOOKUP($A7,'RES installed'!$A$2:$C$7,3,FALSE)*'[1]Profiles, RES, Winter'!Y$5</f>
        <v>40.014050582095543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4.7384382107657316E-2</v>
      </c>
      <c r="J8" s="6">
        <f>VLOOKUP($A8,'RES installed'!$A$2:$C$7,3,FALSE)*'[1]Profiles, RES, Winter'!J$2</f>
        <v>5.5439727065959064</v>
      </c>
      <c r="K8" s="6">
        <f>VLOOKUP($A8,'RES installed'!$A$2:$C$7,3,FALSE)*'[1]Profiles, RES, Winter'!K$2</f>
        <v>23.407884761182714</v>
      </c>
      <c r="L8" s="6">
        <f>VLOOKUP($A8,'RES installed'!$A$2:$C$7,3,FALSE)*'[1]Profiles, RES, Winter'!L$2</f>
        <v>41.17702805155421</v>
      </c>
      <c r="M8" s="6">
        <f>VLOOKUP($A8,'RES installed'!$A$2:$C$7,3,FALSE)*'[1]Profiles, RES, Winter'!M$2</f>
        <v>48.99545109931767</v>
      </c>
      <c r="N8" s="6">
        <f>VLOOKUP($A8,'RES installed'!$A$2:$C$7,3,FALSE)*'[1]Profiles, RES, Winter'!N$2</f>
        <v>47.147460197119031</v>
      </c>
      <c r="O8" s="6">
        <f>VLOOKUP($A8,'RES installed'!$A$2:$C$7,3,FALSE)*'[1]Profiles, RES, Winter'!O$2</f>
        <v>47.526535253980292</v>
      </c>
      <c r="P8" s="6">
        <f>VLOOKUP($A8,'RES installed'!$A$2:$C$7,3,FALSE)*'[1]Profiles, RES, Winter'!P$2</f>
        <v>44.87300985595148</v>
      </c>
      <c r="Q8" s="6">
        <f>VLOOKUP($A8,'RES installed'!$A$2:$C$7,3,FALSE)*'[1]Profiles, RES, Winter'!Q$2</f>
        <v>33.595526914329035</v>
      </c>
      <c r="R8" s="6">
        <f>VLOOKUP($A8,'RES installed'!$A$2:$C$7,3,FALSE)*'[1]Profiles, RES, Winter'!R$2</f>
        <v>12.651630022744502</v>
      </c>
      <c r="S8" s="6">
        <f>VLOOKUP($A8,'RES installed'!$A$2:$C$7,3,FALSE)*'[1]Profiles, RES, Winter'!S$2</f>
        <v>0.56861258529188774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3.0326004548900682E-2</v>
      </c>
      <c r="J9" s="6">
        <f>VLOOKUP($A9,'RES installed'!$A$2:$C$7,3,FALSE)*'[1]Profiles, RES, Winter'!J$2</f>
        <v>3.5481425322213802</v>
      </c>
      <c r="K9" s="6">
        <f>VLOOKUP($A9,'RES installed'!$A$2:$C$7,3,FALSE)*'[1]Profiles, RES, Winter'!K$2</f>
        <v>14.981046247156938</v>
      </c>
      <c r="L9" s="6">
        <f>VLOOKUP($A9,'RES installed'!$A$2:$C$7,3,FALSE)*'[1]Profiles, RES, Winter'!L$2</f>
        <v>26.353297952994694</v>
      </c>
      <c r="M9" s="6">
        <f>VLOOKUP($A9,'RES installed'!$A$2:$C$7,3,FALSE)*'[1]Profiles, RES, Winter'!M$2</f>
        <v>31.357088703563306</v>
      </c>
      <c r="N9" s="6">
        <f>VLOOKUP($A9,'RES installed'!$A$2:$C$7,3,FALSE)*'[1]Profiles, RES, Winter'!N$2</f>
        <v>30.174374526156178</v>
      </c>
      <c r="O9" s="6">
        <f>VLOOKUP($A9,'RES installed'!$A$2:$C$7,3,FALSE)*'[1]Profiles, RES, Winter'!O$2</f>
        <v>30.416982562547386</v>
      </c>
      <c r="P9" s="6">
        <f>VLOOKUP($A9,'RES installed'!$A$2:$C$7,3,FALSE)*'[1]Profiles, RES, Winter'!P$2</f>
        <v>28.71872630780895</v>
      </c>
      <c r="Q9" s="6">
        <f>VLOOKUP($A9,'RES installed'!$A$2:$C$7,3,FALSE)*'[1]Profiles, RES, Winter'!Q$2</f>
        <v>21.501137225170584</v>
      </c>
      <c r="R9" s="6">
        <f>VLOOKUP($A9,'RES installed'!$A$2:$C$7,3,FALSE)*'[1]Profiles, RES, Winter'!R$2</f>
        <v>8.0970432145564821</v>
      </c>
      <c r="S9" s="6">
        <f>VLOOKUP($A9,'RES installed'!$A$2:$C$7,3,FALSE)*'[1]Profiles, RES, Winter'!S$2</f>
        <v>0.3639120545868082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3.4116755117513269E-2</v>
      </c>
      <c r="J10" s="6">
        <f>VLOOKUP($A10,'RES installed'!$A$2:$C$7,3,FALSE)*'[1]Profiles, RES, Winter'!J$2</f>
        <v>3.9916603487490523</v>
      </c>
      <c r="K10" s="6">
        <f>VLOOKUP($A10,'RES installed'!$A$2:$C$7,3,FALSE)*'[1]Profiles, RES, Winter'!K$2</f>
        <v>16.853677028051553</v>
      </c>
      <c r="L10" s="6">
        <f>VLOOKUP($A10,'RES installed'!$A$2:$C$7,3,FALSE)*'[1]Profiles, RES, Winter'!L$2</f>
        <v>29.647460197119031</v>
      </c>
      <c r="M10" s="6">
        <f>VLOOKUP($A10,'RES installed'!$A$2:$C$7,3,FALSE)*'[1]Profiles, RES, Winter'!M$2</f>
        <v>35.27672479150872</v>
      </c>
      <c r="N10" s="6">
        <f>VLOOKUP($A10,'RES installed'!$A$2:$C$7,3,FALSE)*'[1]Profiles, RES, Winter'!N$2</f>
        <v>33.946171341925705</v>
      </c>
      <c r="O10" s="6">
        <f>VLOOKUP($A10,'RES installed'!$A$2:$C$7,3,FALSE)*'[1]Profiles, RES, Winter'!O$2</f>
        <v>34.219105382865806</v>
      </c>
      <c r="P10" s="6">
        <f>VLOOKUP($A10,'RES installed'!$A$2:$C$7,3,FALSE)*'[1]Profiles, RES, Winter'!P$2</f>
        <v>32.308567096285067</v>
      </c>
      <c r="Q10" s="6">
        <f>VLOOKUP($A10,'RES installed'!$A$2:$C$7,3,FALSE)*'[1]Profiles, RES, Winter'!Q$2</f>
        <v>24.188779378316905</v>
      </c>
      <c r="R10" s="6">
        <f>VLOOKUP($A10,'RES installed'!$A$2:$C$7,3,FALSE)*'[1]Profiles, RES, Winter'!R$2</f>
        <v>9.1091736163760419</v>
      </c>
      <c r="S10" s="6">
        <f>VLOOKUP($A10,'RES installed'!$A$2:$C$7,3,FALSE)*'[1]Profiles, RES, Winter'!S$2</f>
        <v>0.40940106141015919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41.975110397430754</v>
      </c>
      <c r="C5" s="9">
        <f>VLOOKUP($A5,'RES installed'!$A$2:$C$7,3,FALSE)*'[1]Profiles, RES, Winter'!C$6</f>
        <v>42.617422721798476</v>
      </c>
      <c r="D5" s="9">
        <f>VLOOKUP($A5,'RES installed'!$A$2:$C$7,3,FALSE)*'[1]Profiles, RES, Winter'!D$6</f>
        <v>42.761942994781208</v>
      </c>
      <c r="E5" s="9">
        <f>VLOOKUP($A5,'RES installed'!$A$2:$C$7,3,FALSE)*'[1]Profiles, RES, Winter'!E$6</f>
        <v>39.100762745885184</v>
      </c>
      <c r="F5" s="9">
        <f>VLOOKUP($A5,'RES installed'!$A$2:$C$7,3,FALSE)*'[1]Profiles, RES, Winter'!F$6</f>
        <v>40.353271778402245</v>
      </c>
      <c r="G5" s="9">
        <f>VLOOKUP($A5,'RES installed'!$A$2:$C$7,3,FALSE)*'[1]Profiles, RES, Winter'!G$6</f>
        <v>42.601364913689281</v>
      </c>
      <c r="H5" s="9">
        <f>VLOOKUP($A5,'RES installed'!$A$2:$C$7,3,FALSE)*'[1]Profiles, RES, Winter'!H$6</f>
        <v>43.613006824568444</v>
      </c>
      <c r="I5" s="9">
        <f>VLOOKUP($A5,'RES installed'!$A$2:$C$7,3,FALSE)*'[1]Profiles, RES, Winter'!I$6</f>
        <v>41.541549578482531</v>
      </c>
      <c r="J5" s="9">
        <f>VLOOKUP($A5,'RES installed'!$A$2:$C$7,3,FALSE)*'[1]Profiles, RES, Winter'!J$6</f>
        <v>39.5343235648334</v>
      </c>
      <c r="K5" s="9">
        <f>VLOOKUP($A5,'RES installed'!$A$2:$C$7,3,FALSE)*'[1]Profiles, RES, Winter'!K$6</f>
        <v>37.238057005218785</v>
      </c>
      <c r="L5" s="9">
        <f>VLOOKUP($A5,'RES installed'!$A$2:$C$7,3,FALSE)*'[1]Profiles, RES, Winter'!L$6</f>
        <v>34.989963869931756</v>
      </c>
      <c r="M5" s="9">
        <f>VLOOKUP($A5,'RES installed'!$A$2:$C$7,3,FALSE)*'[1]Profiles, RES, Winter'!M$6</f>
        <v>33.063026896828582</v>
      </c>
      <c r="N5" s="9">
        <f>VLOOKUP($A5,'RES installed'!$A$2:$C$7,3,FALSE)*'[1]Profiles, RES, Winter'!N$6</f>
        <v>30.477719791248497</v>
      </c>
      <c r="O5" s="9">
        <f>VLOOKUP($A5,'RES installed'!$A$2:$C$7,3,FALSE)*'[1]Profiles, RES, Winter'!O$6</f>
        <v>23.60497792051385</v>
      </c>
      <c r="P5" s="9">
        <f>VLOOKUP($A5,'RES installed'!$A$2:$C$7,3,FALSE)*'[1]Profiles, RES, Winter'!P$6</f>
        <v>23.091128061019674</v>
      </c>
      <c r="Q5" s="9">
        <f>VLOOKUP($A5,'RES installed'!$A$2:$C$7,3,FALSE)*'[1]Profiles, RES, Winter'!Q$6</f>
        <v>23.492573263749499</v>
      </c>
      <c r="R5" s="9">
        <f>VLOOKUP($A5,'RES installed'!$A$2:$C$7,3,FALSE)*'[1]Profiles, RES, Winter'!R$6</f>
        <v>29.803291850662387</v>
      </c>
      <c r="S5" s="9">
        <f>VLOOKUP($A5,'RES installed'!$A$2:$C$7,3,FALSE)*'[1]Profiles, RES, Winter'!S$6</f>
        <v>34.925732637494981</v>
      </c>
      <c r="T5" s="9">
        <f>VLOOKUP($A5,'RES installed'!$A$2:$C$7,3,FALSE)*'[1]Profiles, RES, Winter'!T$6</f>
        <v>37.205941389000401</v>
      </c>
      <c r="U5" s="9">
        <f>VLOOKUP($A5,'RES installed'!$A$2:$C$7,3,FALSE)*'[1]Profiles, RES, Winter'!U$6</f>
        <v>38.859895624247287</v>
      </c>
      <c r="V5" s="9">
        <f>VLOOKUP($A5,'RES installed'!$A$2:$C$7,3,FALSE)*'[1]Profiles, RES, Winter'!V$6</f>
        <v>40.160578081091927</v>
      </c>
      <c r="W5" s="9">
        <f>VLOOKUP($A5,'RES installed'!$A$2:$C$7,3,FALSE)*'[1]Profiles, RES, Winter'!W$6</f>
        <v>41.686069851465277</v>
      </c>
      <c r="X5" s="9">
        <f>VLOOKUP($A5,'RES installed'!$A$2:$C$7,3,FALSE)*'[1]Profiles, RES, Winter'!X$6</f>
        <v>40.899237254114816</v>
      </c>
      <c r="Y5" s="9">
        <f>VLOOKUP($A5,'RES installed'!$A$2:$C$7,3,FALSE)*'[1]Profiles, RES, Winter'!Y$6</f>
        <v>39.791248494580486</v>
      </c>
    </row>
    <row r="6" spans="1:25" x14ac:dyDescent="0.3">
      <c r="A6" s="8">
        <v>5</v>
      </c>
      <c r="B6" s="9">
        <f>VLOOKUP($A6,'RES installed'!$A$2:$C$7,3,FALSE)*'[1]Profiles, RES, Winter'!B$6</f>
        <v>62.962665596146124</v>
      </c>
      <c r="C6" s="9">
        <f>VLOOKUP($A6,'RES installed'!$A$2:$C$7,3,FALSE)*'[1]Profiles, RES, Winter'!C$6</f>
        <v>63.926134082697715</v>
      </c>
      <c r="D6" s="9">
        <f>VLOOKUP($A6,'RES installed'!$A$2:$C$7,3,FALSE)*'[1]Profiles, RES, Winter'!D$6</f>
        <v>64.142914492171812</v>
      </c>
      <c r="E6" s="9">
        <f>VLOOKUP($A6,'RES installed'!$A$2:$C$7,3,FALSE)*'[1]Profiles, RES, Winter'!E$6</f>
        <v>58.65114411882778</v>
      </c>
      <c r="F6" s="9">
        <f>VLOOKUP($A6,'RES installed'!$A$2:$C$7,3,FALSE)*'[1]Profiles, RES, Winter'!F$6</f>
        <v>60.529907667603375</v>
      </c>
      <c r="G6" s="9">
        <f>VLOOKUP($A6,'RES installed'!$A$2:$C$7,3,FALSE)*'[1]Profiles, RES, Winter'!G$6</f>
        <v>63.902047370533921</v>
      </c>
      <c r="H6" s="9">
        <f>VLOOKUP($A6,'RES installed'!$A$2:$C$7,3,FALSE)*'[1]Profiles, RES, Winter'!H$6</f>
        <v>65.419510236852673</v>
      </c>
      <c r="I6" s="9">
        <f>VLOOKUP($A6,'RES installed'!$A$2:$C$7,3,FALSE)*'[1]Profiles, RES, Winter'!I$6</f>
        <v>62.312324367723797</v>
      </c>
      <c r="J6" s="9">
        <f>VLOOKUP($A6,'RES installed'!$A$2:$C$7,3,FALSE)*'[1]Profiles, RES, Winter'!J$6</f>
        <v>59.3014853472501</v>
      </c>
      <c r="K6" s="9">
        <f>VLOOKUP($A6,'RES installed'!$A$2:$C$7,3,FALSE)*'[1]Profiles, RES, Winter'!K$6</f>
        <v>55.857085507828181</v>
      </c>
      <c r="L6" s="9">
        <f>VLOOKUP($A6,'RES installed'!$A$2:$C$7,3,FALSE)*'[1]Profiles, RES, Winter'!L$6</f>
        <v>52.484945804897627</v>
      </c>
      <c r="M6" s="9">
        <f>VLOOKUP($A6,'RES installed'!$A$2:$C$7,3,FALSE)*'[1]Profiles, RES, Winter'!M$6</f>
        <v>49.594540345242876</v>
      </c>
      <c r="N6" s="9">
        <f>VLOOKUP($A6,'RES installed'!$A$2:$C$7,3,FALSE)*'[1]Profiles, RES, Winter'!N$6</f>
        <v>45.716579686872748</v>
      </c>
      <c r="O6" s="9">
        <f>VLOOKUP($A6,'RES installed'!$A$2:$C$7,3,FALSE)*'[1]Profiles, RES, Winter'!O$6</f>
        <v>35.407466880770777</v>
      </c>
      <c r="P6" s="9">
        <f>VLOOKUP($A6,'RES installed'!$A$2:$C$7,3,FALSE)*'[1]Profiles, RES, Winter'!P$6</f>
        <v>34.636692091529511</v>
      </c>
      <c r="Q6" s="9">
        <f>VLOOKUP($A6,'RES installed'!$A$2:$C$7,3,FALSE)*'[1]Profiles, RES, Winter'!Q$6</f>
        <v>35.238859895624245</v>
      </c>
      <c r="R6" s="9">
        <f>VLOOKUP($A6,'RES installed'!$A$2:$C$7,3,FALSE)*'[1]Profiles, RES, Winter'!R$6</f>
        <v>44.704937775993578</v>
      </c>
      <c r="S6" s="9">
        <f>VLOOKUP($A6,'RES installed'!$A$2:$C$7,3,FALSE)*'[1]Profiles, RES, Winter'!S$6</f>
        <v>52.388598956242475</v>
      </c>
      <c r="T6" s="9">
        <f>VLOOKUP($A6,'RES installed'!$A$2:$C$7,3,FALSE)*'[1]Profiles, RES, Winter'!T$6</f>
        <v>55.808912083500601</v>
      </c>
      <c r="U6" s="9">
        <f>VLOOKUP($A6,'RES installed'!$A$2:$C$7,3,FALSE)*'[1]Profiles, RES, Winter'!U$6</f>
        <v>58.289843436370937</v>
      </c>
      <c r="V6" s="9">
        <f>VLOOKUP($A6,'RES installed'!$A$2:$C$7,3,FALSE)*'[1]Profiles, RES, Winter'!V$6</f>
        <v>60.240867121637891</v>
      </c>
      <c r="W6" s="9">
        <f>VLOOKUP($A6,'RES installed'!$A$2:$C$7,3,FALSE)*'[1]Profiles, RES, Winter'!W$6</f>
        <v>62.529104777197915</v>
      </c>
      <c r="X6" s="9">
        <f>VLOOKUP($A6,'RES installed'!$A$2:$C$7,3,FALSE)*'[1]Profiles, RES, Winter'!X$6</f>
        <v>61.348855881172227</v>
      </c>
      <c r="Y6" s="9">
        <f>VLOOKUP($A6,'RES installed'!$A$2:$C$7,3,FALSE)*'[1]Profiles, RES, Winter'!Y$6</f>
        <v>59.686872741870737</v>
      </c>
    </row>
    <row r="7" spans="1:25" x14ac:dyDescent="0.3">
      <c r="A7" s="8">
        <v>6</v>
      </c>
      <c r="B7" s="9">
        <f>VLOOKUP($A7,'RES installed'!$A$2:$C$7,3,FALSE)*'[1]Profiles, RES, Winter'!B$6</f>
        <v>39.351665997591326</v>
      </c>
      <c r="C7" s="9">
        <f>VLOOKUP($A7,'RES installed'!$A$2:$C$7,3,FALSE)*'[1]Profiles, RES, Winter'!C$6</f>
        <v>39.953833801686073</v>
      </c>
      <c r="D7" s="9">
        <f>VLOOKUP($A7,'RES installed'!$A$2:$C$7,3,FALSE)*'[1]Profiles, RES, Winter'!D$6</f>
        <v>40.089321557607384</v>
      </c>
      <c r="E7" s="9">
        <f>VLOOKUP($A7,'RES installed'!$A$2:$C$7,3,FALSE)*'[1]Profiles, RES, Winter'!E$6</f>
        <v>36.656965074267362</v>
      </c>
      <c r="F7" s="9">
        <f>VLOOKUP($A7,'RES installed'!$A$2:$C$7,3,FALSE)*'[1]Profiles, RES, Winter'!F$6</f>
        <v>37.831192292252105</v>
      </c>
      <c r="G7" s="9">
        <f>VLOOKUP($A7,'RES installed'!$A$2:$C$7,3,FALSE)*'[1]Profiles, RES, Winter'!G$6</f>
        <v>39.938779606583701</v>
      </c>
      <c r="H7" s="9">
        <f>VLOOKUP($A7,'RES installed'!$A$2:$C$7,3,FALSE)*'[1]Profiles, RES, Winter'!H$6</f>
        <v>40.887193898032919</v>
      </c>
      <c r="I7" s="9">
        <f>VLOOKUP($A7,'RES installed'!$A$2:$C$7,3,FALSE)*'[1]Profiles, RES, Winter'!I$6</f>
        <v>38.945202729827372</v>
      </c>
      <c r="J7" s="9">
        <f>VLOOKUP($A7,'RES installed'!$A$2:$C$7,3,FALSE)*'[1]Profiles, RES, Winter'!J$6</f>
        <v>37.063428342031315</v>
      </c>
      <c r="K7" s="9">
        <f>VLOOKUP($A7,'RES installed'!$A$2:$C$7,3,FALSE)*'[1]Profiles, RES, Winter'!K$6</f>
        <v>34.910678442392616</v>
      </c>
      <c r="L7" s="9">
        <f>VLOOKUP($A7,'RES installed'!$A$2:$C$7,3,FALSE)*'[1]Profiles, RES, Winter'!L$6</f>
        <v>32.80309112806102</v>
      </c>
      <c r="M7" s="9">
        <f>VLOOKUP($A7,'RES installed'!$A$2:$C$7,3,FALSE)*'[1]Profiles, RES, Winter'!M$6</f>
        <v>30.996587715776798</v>
      </c>
      <c r="N7" s="9">
        <f>VLOOKUP($A7,'RES installed'!$A$2:$C$7,3,FALSE)*'[1]Profiles, RES, Winter'!N$6</f>
        <v>28.572862304295466</v>
      </c>
      <c r="O7" s="9">
        <f>VLOOKUP($A7,'RES installed'!$A$2:$C$7,3,FALSE)*'[1]Profiles, RES, Winter'!O$6</f>
        <v>22.129666800481733</v>
      </c>
      <c r="P7" s="9">
        <f>VLOOKUP($A7,'RES installed'!$A$2:$C$7,3,FALSE)*'[1]Profiles, RES, Winter'!P$6</f>
        <v>21.647932557205944</v>
      </c>
      <c r="Q7" s="9">
        <f>VLOOKUP($A7,'RES installed'!$A$2:$C$7,3,FALSE)*'[1]Profiles, RES, Winter'!Q$6</f>
        <v>22.024287434765156</v>
      </c>
      <c r="R7" s="9">
        <f>VLOOKUP($A7,'RES installed'!$A$2:$C$7,3,FALSE)*'[1]Profiles, RES, Winter'!R$6</f>
        <v>27.940586109995987</v>
      </c>
      <c r="S7" s="9">
        <f>VLOOKUP($A7,'RES installed'!$A$2:$C$7,3,FALSE)*'[1]Profiles, RES, Winter'!S$6</f>
        <v>32.742874347651551</v>
      </c>
      <c r="T7" s="9">
        <f>VLOOKUP($A7,'RES installed'!$A$2:$C$7,3,FALSE)*'[1]Profiles, RES, Winter'!T$6</f>
        <v>34.880570052187878</v>
      </c>
      <c r="U7" s="9">
        <f>VLOOKUP($A7,'RES installed'!$A$2:$C$7,3,FALSE)*'[1]Profiles, RES, Winter'!U$6</f>
        <v>36.431152147731837</v>
      </c>
      <c r="V7" s="9">
        <f>VLOOKUP($A7,'RES installed'!$A$2:$C$7,3,FALSE)*'[1]Profiles, RES, Winter'!V$6</f>
        <v>37.650541951023683</v>
      </c>
      <c r="W7" s="9">
        <f>VLOOKUP($A7,'RES installed'!$A$2:$C$7,3,FALSE)*'[1]Profiles, RES, Winter'!W$6</f>
        <v>39.080690485748697</v>
      </c>
      <c r="X7" s="9">
        <f>VLOOKUP($A7,'RES installed'!$A$2:$C$7,3,FALSE)*'[1]Profiles, RES, Winter'!X$6</f>
        <v>38.343034925732638</v>
      </c>
      <c r="Y7" s="9">
        <f>VLOOKUP($A7,'RES installed'!$A$2:$C$7,3,FALSE)*'[1]Profiles, RES, Winter'!Y$6</f>
        <v>37.304295463669206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9.4768764215314633E-2</v>
      </c>
      <c r="J8" s="6">
        <f>VLOOKUP($A8,'RES installed'!$A$2:$C$7,3,FALSE)*'[1]Profiles, RES, Winter'!J$3</f>
        <v>8.1027293404094021</v>
      </c>
      <c r="K8" s="6">
        <f>VLOOKUP($A8,'RES installed'!$A$2:$C$7,3,FALSE)*'[1]Profiles, RES, Winter'!K$3</f>
        <v>27.862016679302503</v>
      </c>
      <c r="L8" s="6">
        <f>VLOOKUP($A8,'RES installed'!$A$2:$C$7,3,FALSE)*'[1]Profiles, RES, Winter'!L$3</f>
        <v>42.788097043214556</v>
      </c>
      <c r="M8" s="6">
        <f>VLOOKUP($A8,'RES installed'!$A$2:$C$7,3,FALSE)*'[1]Profiles, RES, Winter'!M$3</f>
        <v>42.456406368460961</v>
      </c>
      <c r="N8" s="6">
        <f>VLOOKUP($A8,'RES installed'!$A$2:$C$7,3,FALSE)*'[1]Profiles, RES, Winter'!N$3</f>
        <v>47.19484457922669</v>
      </c>
      <c r="O8" s="6">
        <f>VLOOKUP($A8,'RES installed'!$A$2:$C$7,3,FALSE)*'[1]Profiles, RES, Winter'!O$3</f>
        <v>46.152388172858224</v>
      </c>
      <c r="P8" s="6">
        <f>VLOOKUP($A8,'RES installed'!$A$2:$C$7,3,FALSE)*'[1]Profiles, RES, Winter'!P$3</f>
        <v>39.044730856709627</v>
      </c>
      <c r="Q8" s="6">
        <f>VLOOKUP($A8,'RES installed'!$A$2:$C$7,3,FALSE)*'[1]Profiles, RES, Winter'!Q$3</f>
        <v>25.113722517058378</v>
      </c>
      <c r="R8" s="6">
        <f>VLOOKUP($A8,'RES installed'!$A$2:$C$7,3,FALSE)*'[1]Profiles, RES, Winter'!R$3</f>
        <v>8.0079605761940869</v>
      </c>
      <c r="S8" s="6">
        <f>VLOOKUP($A8,'RES installed'!$A$2:$C$7,3,FALSE)*'[1]Profiles, RES, Winter'!S$3</f>
        <v>0.47384382107657314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6.0652009097801364E-2</v>
      </c>
      <c r="J9" s="6">
        <f>VLOOKUP($A9,'RES installed'!$A$2:$C$7,3,FALSE)*'[1]Profiles, RES, Winter'!J$3</f>
        <v>5.1857467778620165</v>
      </c>
      <c r="K9" s="6">
        <f>VLOOKUP($A9,'RES installed'!$A$2:$C$7,3,FALSE)*'[1]Profiles, RES, Winter'!K$3</f>
        <v>17.831690674753602</v>
      </c>
      <c r="L9" s="6">
        <f>VLOOKUP($A9,'RES installed'!$A$2:$C$7,3,FALSE)*'[1]Profiles, RES, Winter'!L$3</f>
        <v>27.384382107657316</v>
      </c>
      <c r="M9" s="6">
        <f>VLOOKUP($A9,'RES installed'!$A$2:$C$7,3,FALSE)*'[1]Profiles, RES, Winter'!M$3</f>
        <v>27.172100075815013</v>
      </c>
      <c r="N9" s="6">
        <f>VLOOKUP($A9,'RES installed'!$A$2:$C$7,3,FALSE)*'[1]Profiles, RES, Winter'!N$3</f>
        <v>30.204700530705079</v>
      </c>
      <c r="O9" s="6">
        <f>VLOOKUP($A9,'RES installed'!$A$2:$C$7,3,FALSE)*'[1]Profiles, RES, Winter'!O$3</f>
        <v>29.537528430629262</v>
      </c>
      <c r="P9" s="6">
        <f>VLOOKUP($A9,'RES installed'!$A$2:$C$7,3,FALSE)*'[1]Profiles, RES, Winter'!P$3</f>
        <v>24.98862774829416</v>
      </c>
      <c r="Q9" s="6">
        <f>VLOOKUP($A9,'RES installed'!$A$2:$C$7,3,FALSE)*'[1]Profiles, RES, Winter'!Q$3</f>
        <v>16.072782410917362</v>
      </c>
      <c r="R9" s="6">
        <f>VLOOKUP($A9,'RES installed'!$A$2:$C$7,3,FALSE)*'[1]Profiles, RES, Winter'!R$3</f>
        <v>5.1250947687642157</v>
      </c>
      <c r="S9" s="6">
        <f>VLOOKUP($A9,'RES installed'!$A$2:$C$7,3,FALSE)*'[1]Profiles, RES, Winter'!S$3</f>
        <v>0.30326004548900681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6.8233510235026537E-2</v>
      </c>
      <c r="J10" s="6">
        <f>VLOOKUP($A10,'RES installed'!$A$2:$C$7,3,FALSE)*'[1]Profiles, RES, Winter'!J$3</f>
        <v>5.8339651250947693</v>
      </c>
      <c r="K10" s="6">
        <f>VLOOKUP($A10,'RES installed'!$A$2:$C$7,3,FALSE)*'[1]Profiles, RES, Winter'!K$3</f>
        <v>20.060652009097801</v>
      </c>
      <c r="L10" s="6">
        <f>VLOOKUP($A10,'RES installed'!$A$2:$C$7,3,FALSE)*'[1]Profiles, RES, Winter'!L$3</f>
        <v>30.807429871114479</v>
      </c>
      <c r="M10" s="6">
        <f>VLOOKUP($A10,'RES installed'!$A$2:$C$7,3,FALSE)*'[1]Profiles, RES, Winter'!M$3</f>
        <v>30.568612585291891</v>
      </c>
      <c r="N10" s="6">
        <f>VLOOKUP($A10,'RES installed'!$A$2:$C$7,3,FALSE)*'[1]Profiles, RES, Winter'!N$3</f>
        <v>33.980288097043214</v>
      </c>
      <c r="O10" s="6">
        <f>VLOOKUP($A10,'RES installed'!$A$2:$C$7,3,FALSE)*'[1]Profiles, RES, Winter'!O$3</f>
        <v>33.229719484457924</v>
      </c>
      <c r="P10" s="6">
        <f>VLOOKUP($A10,'RES installed'!$A$2:$C$7,3,FALSE)*'[1]Profiles, RES, Winter'!P$3</f>
        <v>28.112206216830931</v>
      </c>
      <c r="Q10" s="6">
        <f>VLOOKUP($A10,'RES installed'!$A$2:$C$7,3,FALSE)*'[1]Profiles, RES, Winter'!Q$3</f>
        <v>18.08188021228203</v>
      </c>
      <c r="R10" s="6">
        <f>VLOOKUP($A10,'RES installed'!$A$2:$C$7,3,FALSE)*'[1]Profiles, RES, Winter'!R$3</f>
        <v>5.7657316148597424</v>
      </c>
      <c r="S10" s="6">
        <f>VLOOKUP($A10,'RES installed'!$A$2:$C$7,3,FALSE)*'[1]Profiles, RES, Winter'!S$3</f>
        <v>0.3411675511751327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40.192693697310318</v>
      </c>
      <c r="C5" s="9">
        <f>VLOOKUP($A5,'RES installed'!$A$2:$C$7,3,FALSE)*'[1]Profiles, RES, Winter'!C$7</f>
        <v>40.016057808109196</v>
      </c>
      <c r="D5" s="9">
        <f>VLOOKUP($A5,'RES installed'!$A$2:$C$7,3,FALSE)*'[1]Profiles, RES, Winter'!D$7</f>
        <v>39.004415897230025</v>
      </c>
      <c r="E5" s="9">
        <f>VLOOKUP($A5,'RES installed'!$A$2:$C$7,3,FALSE)*'[1]Profiles, RES, Winter'!E$7</f>
        <v>39.967884383781616</v>
      </c>
      <c r="F5" s="9">
        <f>VLOOKUP($A5,'RES installed'!$A$2:$C$7,3,FALSE)*'[1]Profiles, RES, Winter'!F$7</f>
        <v>38.843837816138098</v>
      </c>
      <c r="G5" s="9">
        <f>VLOOKUP($A5,'RES installed'!$A$2:$C$7,3,FALSE)*'[1]Profiles, RES, Winter'!G$7</f>
        <v>38.635086310718584</v>
      </c>
      <c r="H5" s="9">
        <f>VLOOKUP($A5,'RES installed'!$A$2:$C$7,3,FALSE)*'[1]Profiles, RES, Winter'!H$7</f>
        <v>40.032115616218384</v>
      </c>
      <c r="I5" s="9">
        <f>VLOOKUP($A5,'RES installed'!$A$2:$C$7,3,FALSE)*'[1]Profiles, RES, Winter'!I$7</f>
        <v>37.623444399839421</v>
      </c>
      <c r="J5" s="9">
        <f>VLOOKUP($A5,'RES installed'!$A$2:$C$7,3,FALSE)*'[1]Profiles, RES, Winter'!J$7</f>
        <v>34.636692091529504</v>
      </c>
      <c r="K5" s="9">
        <f>VLOOKUP($A5,'RES installed'!$A$2:$C$7,3,FALSE)*'[1]Profiles, RES, Winter'!K$7</f>
        <v>32.436772380570048</v>
      </c>
      <c r="L5" s="9">
        <f>VLOOKUP($A5,'RES installed'!$A$2:$C$7,3,FALSE)*'[1]Profiles, RES, Winter'!L$7</f>
        <v>29.337615415495787</v>
      </c>
      <c r="M5" s="9">
        <f>VLOOKUP($A5,'RES installed'!$A$2:$C$7,3,FALSE)*'[1]Profiles, RES, Winter'!M$7</f>
        <v>25.274989963869935</v>
      </c>
      <c r="N5" s="9">
        <f>VLOOKUP($A5,'RES installed'!$A$2:$C$7,3,FALSE)*'[1]Profiles, RES, Winter'!N$7</f>
        <v>22.786029706945001</v>
      </c>
      <c r="O5" s="9">
        <f>VLOOKUP($A5,'RES installed'!$A$2:$C$7,3,FALSE)*'[1]Profiles, RES, Winter'!O$7</f>
        <v>22.641509433962263</v>
      </c>
      <c r="P5" s="9">
        <f>VLOOKUP($A5,'RES installed'!$A$2:$C$7,3,FALSE)*'[1]Profiles, RES, Winter'!P$7</f>
        <v>25.692492974708951</v>
      </c>
      <c r="Q5" s="9">
        <f>VLOOKUP($A5,'RES installed'!$A$2:$C$7,3,FALSE)*'[1]Profiles, RES, Winter'!Q$7</f>
        <v>26.591730228823764</v>
      </c>
      <c r="R5" s="9">
        <f>VLOOKUP($A5,'RES installed'!$A$2:$C$7,3,FALSE)*'[1]Profiles, RES, Winter'!R$7</f>
        <v>29.401846647932558</v>
      </c>
      <c r="S5" s="9">
        <f>VLOOKUP($A5,'RES installed'!$A$2:$C$7,3,FALSE)*'[1]Profiles, RES, Winter'!S$7</f>
        <v>34.074668807707752</v>
      </c>
      <c r="T5" s="9">
        <f>VLOOKUP($A5,'RES installed'!$A$2:$C$7,3,FALSE)*'[1]Profiles, RES, Winter'!T$7</f>
        <v>37.061421116017662</v>
      </c>
      <c r="U5" s="9">
        <f>VLOOKUP($A5,'RES installed'!$A$2:$C$7,3,FALSE)*'[1]Profiles, RES, Winter'!U$7</f>
        <v>39.277398635086314</v>
      </c>
      <c r="V5" s="9">
        <f>VLOOKUP($A5,'RES installed'!$A$2:$C$7,3,FALSE)*'[1]Profiles, RES, Winter'!V$7</f>
        <v>39.598554797270175</v>
      </c>
      <c r="W5" s="9">
        <f>VLOOKUP($A5,'RES installed'!$A$2:$C$7,3,FALSE)*'[1]Profiles, RES, Winter'!W$7</f>
        <v>36.499397832195903</v>
      </c>
      <c r="X5" s="9">
        <f>VLOOKUP($A5,'RES installed'!$A$2:$C$7,3,FALSE)*'[1]Profiles, RES, Winter'!X$7</f>
        <v>33.657165796868725</v>
      </c>
      <c r="Y5" s="9">
        <f>VLOOKUP($A5,'RES installed'!$A$2:$C$7,3,FALSE)*'[1]Profiles, RES, Winter'!Y$7</f>
        <v>32.3243677238057</v>
      </c>
    </row>
    <row r="6" spans="1:25" x14ac:dyDescent="0.3">
      <c r="A6" s="8">
        <v>5</v>
      </c>
      <c r="B6" s="9">
        <f>VLOOKUP($A6,'RES installed'!$A$2:$C$7,3,FALSE)*'[1]Profiles, RES, Winter'!B$7</f>
        <v>60.289040545965477</v>
      </c>
      <c r="C6" s="9">
        <f>VLOOKUP($A6,'RES installed'!$A$2:$C$7,3,FALSE)*'[1]Profiles, RES, Winter'!C$7</f>
        <v>60.024086712163793</v>
      </c>
      <c r="D6" s="9">
        <f>VLOOKUP($A6,'RES installed'!$A$2:$C$7,3,FALSE)*'[1]Profiles, RES, Winter'!D$7</f>
        <v>58.506623845845041</v>
      </c>
      <c r="E6" s="9">
        <f>VLOOKUP($A6,'RES installed'!$A$2:$C$7,3,FALSE)*'[1]Profiles, RES, Winter'!E$7</f>
        <v>59.95182657567242</v>
      </c>
      <c r="F6" s="9">
        <f>VLOOKUP($A6,'RES installed'!$A$2:$C$7,3,FALSE)*'[1]Profiles, RES, Winter'!F$7</f>
        <v>58.265756724207151</v>
      </c>
      <c r="G6" s="9">
        <f>VLOOKUP($A6,'RES installed'!$A$2:$C$7,3,FALSE)*'[1]Profiles, RES, Winter'!G$7</f>
        <v>57.95262946607788</v>
      </c>
      <c r="H6" s="9">
        <f>VLOOKUP($A6,'RES installed'!$A$2:$C$7,3,FALSE)*'[1]Profiles, RES, Winter'!H$7</f>
        <v>60.048173424327572</v>
      </c>
      <c r="I6" s="9">
        <f>VLOOKUP($A6,'RES installed'!$A$2:$C$7,3,FALSE)*'[1]Profiles, RES, Winter'!I$7</f>
        <v>56.435166599759135</v>
      </c>
      <c r="J6" s="9">
        <f>VLOOKUP($A6,'RES installed'!$A$2:$C$7,3,FALSE)*'[1]Profiles, RES, Winter'!J$7</f>
        <v>51.955038137294252</v>
      </c>
      <c r="K6" s="9">
        <f>VLOOKUP($A6,'RES installed'!$A$2:$C$7,3,FALSE)*'[1]Profiles, RES, Winter'!K$7</f>
        <v>48.655158570855079</v>
      </c>
      <c r="L6" s="9">
        <f>VLOOKUP($A6,'RES installed'!$A$2:$C$7,3,FALSE)*'[1]Profiles, RES, Winter'!L$7</f>
        <v>44.006423123243678</v>
      </c>
      <c r="M6" s="9">
        <f>VLOOKUP($A6,'RES installed'!$A$2:$C$7,3,FALSE)*'[1]Profiles, RES, Winter'!M$7</f>
        <v>37.912484945804898</v>
      </c>
      <c r="N6" s="9">
        <f>VLOOKUP($A6,'RES installed'!$A$2:$C$7,3,FALSE)*'[1]Profiles, RES, Winter'!N$7</f>
        <v>34.179044560417502</v>
      </c>
      <c r="O6" s="9">
        <f>VLOOKUP($A6,'RES installed'!$A$2:$C$7,3,FALSE)*'[1]Profiles, RES, Winter'!O$7</f>
        <v>33.962264150943398</v>
      </c>
      <c r="P6" s="9">
        <f>VLOOKUP($A6,'RES installed'!$A$2:$C$7,3,FALSE)*'[1]Profiles, RES, Winter'!P$7</f>
        <v>38.538739462063425</v>
      </c>
      <c r="Q6" s="9">
        <f>VLOOKUP($A6,'RES installed'!$A$2:$C$7,3,FALSE)*'[1]Profiles, RES, Winter'!Q$7</f>
        <v>39.887595343235645</v>
      </c>
      <c r="R6" s="9">
        <f>VLOOKUP($A6,'RES installed'!$A$2:$C$7,3,FALSE)*'[1]Profiles, RES, Winter'!R$7</f>
        <v>44.102769971898837</v>
      </c>
      <c r="S6" s="9">
        <f>VLOOKUP($A6,'RES installed'!$A$2:$C$7,3,FALSE)*'[1]Profiles, RES, Winter'!S$7</f>
        <v>51.112003211561621</v>
      </c>
      <c r="T6" s="9">
        <f>VLOOKUP($A6,'RES installed'!$A$2:$C$7,3,FALSE)*'[1]Profiles, RES, Winter'!T$7</f>
        <v>55.592131674026497</v>
      </c>
      <c r="U6" s="9">
        <f>VLOOKUP($A6,'RES installed'!$A$2:$C$7,3,FALSE)*'[1]Profiles, RES, Winter'!U$7</f>
        <v>58.916097952629464</v>
      </c>
      <c r="V6" s="9">
        <f>VLOOKUP($A6,'RES installed'!$A$2:$C$7,3,FALSE)*'[1]Profiles, RES, Winter'!V$7</f>
        <v>59.397832195905259</v>
      </c>
      <c r="W6" s="9">
        <f>VLOOKUP($A6,'RES installed'!$A$2:$C$7,3,FALSE)*'[1]Profiles, RES, Winter'!W$7</f>
        <v>54.749096748293852</v>
      </c>
      <c r="X6" s="9">
        <f>VLOOKUP($A6,'RES installed'!$A$2:$C$7,3,FALSE)*'[1]Profiles, RES, Winter'!X$7</f>
        <v>50.485748695303087</v>
      </c>
      <c r="Y6" s="9">
        <f>VLOOKUP($A6,'RES installed'!$A$2:$C$7,3,FALSE)*'[1]Profiles, RES, Winter'!Y$7</f>
        <v>48.486551585708554</v>
      </c>
    </row>
    <row r="7" spans="1:25" x14ac:dyDescent="0.3">
      <c r="A7" s="8">
        <v>6</v>
      </c>
      <c r="B7" s="9">
        <f>VLOOKUP($A7,'RES installed'!$A$2:$C$7,3,FALSE)*'[1]Profiles, RES, Winter'!B$7</f>
        <v>37.680650341228421</v>
      </c>
      <c r="C7" s="9">
        <f>VLOOKUP($A7,'RES installed'!$A$2:$C$7,3,FALSE)*'[1]Profiles, RES, Winter'!C$7</f>
        <v>37.515054195102373</v>
      </c>
      <c r="D7" s="9">
        <f>VLOOKUP($A7,'RES installed'!$A$2:$C$7,3,FALSE)*'[1]Profiles, RES, Winter'!D$7</f>
        <v>36.566639903653147</v>
      </c>
      <c r="E7" s="9">
        <f>VLOOKUP($A7,'RES installed'!$A$2:$C$7,3,FALSE)*'[1]Profiles, RES, Winter'!E$7</f>
        <v>37.469891609795262</v>
      </c>
      <c r="F7" s="9">
        <f>VLOOKUP($A7,'RES installed'!$A$2:$C$7,3,FALSE)*'[1]Profiles, RES, Winter'!F$7</f>
        <v>36.416097952629464</v>
      </c>
      <c r="G7" s="9">
        <f>VLOOKUP($A7,'RES installed'!$A$2:$C$7,3,FALSE)*'[1]Profiles, RES, Winter'!G$7</f>
        <v>36.220393416298677</v>
      </c>
      <c r="H7" s="9">
        <f>VLOOKUP($A7,'RES installed'!$A$2:$C$7,3,FALSE)*'[1]Profiles, RES, Winter'!H$7</f>
        <v>37.530108390204731</v>
      </c>
      <c r="I7" s="9">
        <f>VLOOKUP($A7,'RES installed'!$A$2:$C$7,3,FALSE)*'[1]Profiles, RES, Winter'!I$7</f>
        <v>35.271979124849459</v>
      </c>
      <c r="J7" s="9">
        <f>VLOOKUP($A7,'RES installed'!$A$2:$C$7,3,FALSE)*'[1]Profiles, RES, Winter'!J$7</f>
        <v>32.471898835808908</v>
      </c>
      <c r="K7" s="9">
        <f>VLOOKUP($A7,'RES installed'!$A$2:$C$7,3,FALSE)*'[1]Profiles, RES, Winter'!K$7</f>
        <v>30.409474106784423</v>
      </c>
      <c r="L7" s="9">
        <f>VLOOKUP($A7,'RES installed'!$A$2:$C$7,3,FALSE)*'[1]Profiles, RES, Winter'!L$7</f>
        <v>27.504014452027299</v>
      </c>
      <c r="M7" s="9">
        <f>VLOOKUP($A7,'RES installed'!$A$2:$C$7,3,FALSE)*'[1]Profiles, RES, Winter'!M$7</f>
        <v>23.695303091128064</v>
      </c>
      <c r="N7" s="9">
        <f>VLOOKUP($A7,'RES installed'!$A$2:$C$7,3,FALSE)*'[1]Profiles, RES, Winter'!N$7</f>
        <v>21.36190285026094</v>
      </c>
      <c r="O7" s="9">
        <f>VLOOKUP($A7,'RES installed'!$A$2:$C$7,3,FALSE)*'[1]Profiles, RES, Winter'!O$7</f>
        <v>21.226415094339622</v>
      </c>
      <c r="P7" s="9">
        <f>VLOOKUP($A7,'RES installed'!$A$2:$C$7,3,FALSE)*'[1]Profiles, RES, Winter'!P$7</f>
        <v>24.086712163789642</v>
      </c>
      <c r="Q7" s="9">
        <f>VLOOKUP($A7,'RES installed'!$A$2:$C$7,3,FALSE)*'[1]Profiles, RES, Winter'!Q$7</f>
        <v>24.92974708952228</v>
      </c>
      <c r="R7" s="9">
        <f>VLOOKUP($A7,'RES installed'!$A$2:$C$7,3,FALSE)*'[1]Profiles, RES, Winter'!R$7</f>
        <v>27.564231232436775</v>
      </c>
      <c r="S7" s="9">
        <f>VLOOKUP($A7,'RES installed'!$A$2:$C$7,3,FALSE)*'[1]Profiles, RES, Winter'!S$7</f>
        <v>31.945002007226016</v>
      </c>
      <c r="T7" s="9">
        <f>VLOOKUP($A7,'RES installed'!$A$2:$C$7,3,FALSE)*'[1]Profiles, RES, Winter'!T$7</f>
        <v>34.74508229626656</v>
      </c>
      <c r="U7" s="9">
        <f>VLOOKUP($A7,'RES installed'!$A$2:$C$7,3,FALSE)*'[1]Profiles, RES, Winter'!U$7</f>
        <v>36.822561220393418</v>
      </c>
      <c r="V7" s="9">
        <f>VLOOKUP($A7,'RES installed'!$A$2:$C$7,3,FALSE)*'[1]Profiles, RES, Winter'!V$7</f>
        <v>37.123645122440784</v>
      </c>
      <c r="W7" s="9">
        <f>VLOOKUP($A7,'RES installed'!$A$2:$C$7,3,FALSE)*'[1]Profiles, RES, Winter'!W$7</f>
        <v>34.218185467683661</v>
      </c>
      <c r="X7" s="9">
        <f>VLOOKUP($A7,'RES installed'!$A$2:$C$7,3,FALSE)*'[1]Profiles, RES, Winter'!X$7</f>
        <v>31.553592934564431</v>
      </c>
      <c r="Y7" s="9">
        <f>VLOOKUP($A7,'RES installed'!$A$2:$C$7,3,FALSE)*'[1]Profiles, RES, Winter'!Y$7</f>
        <v>30.304094741067843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4.7384382107657316E-2</v>
      </c>
      <c r="J8" s="6">
        <f>VLOOKUP($A8,'RES installed'!$A$2:$C$7,3,FALSE)*'[1]Profiles, RES, Winter'!J$4</f>
        <v>4.2172100075815013</v>
      </c>
      <c r="K8" s="6">
        <f>VLOOKUP($A8,'RES installed'!$A$2:$C$7,3,FALSE)*'[1]Profiles, RES, Winter'!K$4</f>
        <v>18.100833965125094</v>
      </c>
      <c r="L8" s="6">
        <f>VLOOKUP($A8,'RES installed'!$A$2:$C$7,3,FALSE)*'[1]Profiles, RES, Winter'!L$4</f>
        <v>29.85216072782411</v>
      </c>
      <c r="M8" s="6">
        <f>VLOOKUP($A8,'RES installed'!$A$2:$C$7,3,FALSE)*'[1]Profiles, RES, Winter'!M$4</f>
        <v>33.927217589082638</v>
      </c>
      <c r="N8" s="6">
        <f>VLOOKUP($A8,'RES installed'!$A$2:$C$7,3,FALSE)*'[1]Profiles, RES, Winter'!N$4</f>
        <v>32.410917361637608</v>
      </c>
      <c r="O8" s="6">
        <f>VLOOKUP($A8,'RES installed'!$A$2:$C$7,3,FALSE)*'[1]Profiles, RES, Winter'!O$4</f>
        <v>33.026914329037147</v>
      </c>
      <c r="P8" s="6">
        <f>VLOOKUP($A8,'RES installed'!$A$2:$C$7,3,FALSE)*'[1]Profiles, RES, Winter'!P$4</f>
        <v>35.727824109173618</v>
      </c>
      <c r="Q8" s="6">
        <f>VLOOKUP($A8,'RES installed'!$A$2:$C$7,3,FALSE)*'[1]Profiles, RES, Winter'!Q$4</f>
        <v>32.55307050796057</v>
      </c>
      <c r="R8" s="6">
        <f>VLOOKUP($A8,'RES installed'!$A$2:$C$7,3,FALSE)*'[1]Profiles, RES, Winter'!R$4</f>
        <v>14.83131159969674</v>
      </c>
      <c r="S8" s="6">
        <f>VLOOKUP($A8,'RES installed'!$A$2:$C$7,3,FALSE)*'[1]Profiles, RES, Winter'!S$4</f>
        <v>0.75815011372251706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3.0326004548900682E-2</v>
      </c>
      <c r="J9" s="6">
        <f>VLOOKUP($A9,'RES installed'!$A$2:$C$7,3,FALSE)*'[1]Profiles, RES, Winter'!J$4</f>
        <v>2.6990144048521607</v>
      </c>
      <c r="K9" s="6">
        <f>VLOOKUP($A9,'RES installed'!$A$2:$C$7,3,FALSE)*'[1]Profiles, RES, Winter'!K$4</f>
        <v>11.584533737680061</v>
      </c>
      <c r="L9" s="6">
        <f>VLOOKUP($A9,'RES installed'!$A$2:$C$7,3,FALSE)*'[1]Profiles, RES, Winter'!L$4</f>
        <v>19.105382865807428</v>
      </c>
      <c r="M9" s="6">
        <f>VLOOKUP($A9,'RES installed'!$A$2:$C$7,3,FALSE)*'[1]Profiles, RES, Winter'!M$4</f>
        <v>21.713419257012887</v>
      </c>
      <c r="N9" s="6">
        <f>VLOOKUP($A9,'RES installed'!$A$2:$C$7,3,FALSE)*'[1]Profiles, RES, Winter'!N$4</f>
        <v>20.742987111448066</v>
      </c>
      <c r="O9" s="6">
        <f>VLOOKUP($A9,'RES installed'!$A$2:$C$7,3,FALSE)*'[1]Profiles, RES, Winter'!O$4</f>
        <v>21.137225170583775</v>
      </c>
      <c r="P9" s="6">
        <f>VLOOKUP($A9,'RES installed'!$A$2:$C$7,3,FALSE)*'[1]Profiles, RES, Winter'!P$4</f>
        <v>22.865807429871118</v>
      </c>
      <c r="Q9" s="6">
        <f>VLOOKUP($A9,'RES installed'!$A$2:$C$7,3,FALSE)*'[1]Profiles, RES, Winter'!Q$4</f>
        <v>20.833965125094768</v>
      </c>
      <c r="R9" s="6">
        <f>VLOOKUP($A9,'RES installed'!$A$2:$C$7,3,FALSE)*'[1]Profiles, RES, Winter'!R$4</f>
        <v>9.4920394238059131</v>
      </c>
      <c r="S9" s="6">
        <f>VLOOKUP($A9,'RES installed'!$A$2:$C$7,3,FALSE)*'[1]Profiles, RES, Winter'!S$4</f>
        <v>0.48521607278241091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3.4116755117513269E-2</v>
      </c>
      <c r="J10" s="6">
        <f>VLOOKUP($A10,'RES installed'!$A$2:$C$7,3,FALSE)*'[1]Profiles, RES, Winter'!J$4</f>
        <v>3.0363912054586808</v>
      </c>
      <c r="K10" s="6">
        <f>VLOOKUP($A10,'RES installed'!$A$2:$C$7,3,FALSE)*'[1]Profiles, RES, Winter'!K$4</f>
        <v>13.032600454890067</v>
      </c>
      <c r="L10" s="6">
        <f>VLOOKUP($A10,'RES installed'!$A$2:$C$7,3,FALSE)*'[1]Profiles, RES, Winter'!L$4</f>
        <v>21.49355572403336</v>
      </c>
      <c r="M10" s="6">
        <f>VLOOKUP($A10,'RES installed'!$A$2:$C$7,3,FALSE)*'[1]Profiles, RES, Winter'!M$4</f>
        <v>24.4275966641395</v>
      </c>
      <c r="N10" s="6">
        <f>VLOOKUP($A10,'RES installed'!$A$2:$C$7,3,FALSE)*'[1]Profiles, RES, Winter'!N$4</f>
        <v>23.335860500379077</v>
      </c>
      <c r="O10" s="6">
        <f>VLOOKUP($A10,'RES installed'!$A$2:$C$7,3,FALSE)*'[1]Profiles, RES, Winter'!O$4</f>
        <v>23.779378316906747</v>
      </c>
      <c r="P10" s="6">
        <f>VLOOKUP($A10,'RES installed'!$A$2:$C$7,3,FALSE)*'[1]Profiles, RES, Winter'!P$4</f>
        <v>25.724033358605006</v>
      </c>
      <c r="Q10" s="6">
        <f>VLOOKUP($A10,'RES installed'!$A$2:$C$7,3,FALSE)*'[1]Profiles, RES, Winter'!Q$4</f>
        <v>23.438210765731611</v>
      </c>
      <c r="R10" s="6">
        <f>VLOOKUP($A10,'RES installed'!$A$2:$C$7,3,FALSE)*'[1]Profiles, RES, Winter'!R$4</f>
        <v>10.678544351781653</v>
      </c>
      <c r="S10" s="6">
        <f>VLOOKUP($A10,'RES installed'!$A$2:$C$7,3,FALSE)*'[1]Profiles, RES, Winter'!S$4</f>
        <v>0.5458680818802123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37.735165453763052</v>
      </c>
      <c r="C2" s="2">
        <f ca="1">('[1]Pc, Spring, S1'!C2*Main!$B$5)+(_xlfn.IFNA(VLOOKUP($A2,'FL Ratio'!$A$3:$B$10,2,FALSE),0)*'FL Characterization'!C$2)</f>
        <v>35.457395037952239</v>
      </c>
      <c r="D2" s="2">
        <f ca="1">('[1]Pc, Spring, S1'!D2*Main!$B$5)+(_xlfn.IFNA(VLOOKUP($A2,'FL Ratio'!$A$3:$B$10,2,FALSE),0)*'FL Characterization'!D$2)</f>
        <v>34.399239843350585</v>
      </c>
      <c r="E2" s="2">
        <f ca="1">('[1]Pc, Spring, S1'!E2*Main!$B$5)+(_xlfn.IFNA(VLOOKUP($A2,'FL Ratio'!$A$3:$B$10,2,FALSE),0)*'FL Characterization'!E$2)</f>
        <v>33.5749935864037</v>
      </c>
      <c r="F2" s="2">
        <f ca="1">('[1]Pc, Spring, S1'!F2*Main!$B$5)+(_xlfn.IFNA(VLOOKUP($A2,'FL Ratio'!$A$3:$B$10,2,FALSE),0)*'FL Characterization'!F$2)</f>
        <v>33.532582749026211</v>
      </c>
      <c r="G2" s="2">
        <f ca="1">('[1]Pc, Spring, S1'!G2*Main!$B$5)+(_xlfn.IFNA(VLOOKUP($A2,'FL Ratio'!$A$3:$B$10,2,FALSE),0)*'FL Characterization'!G$2)</f>
        <v>34.782965674728317</v>
      </c>
      <c r="H2" s="2">
        <f ca="1">('[1]Pc, Spring, S1'!H2*Main!$B$5)+(_xlfn.IFNA(VLOOKUP($A2,'FL Ratio'!$A$3:$B$10,2,FALSE),0)*'FL Characterization'!H$2)</f>
        <v>40.148519625533382</v>
      </c>
      <c r="I2" s="2">
        <f ca="1">('[1]Pc, Spring, S1'!I2*Main!$B$5)+(_xlfn.IFNA(VLOOKUP($A2,'FL Ratio'!$A$3:$B$10,2,FALSE),0)*'FL Characterization'!I$2)</f>
        <v>45.645493642033657</v>
      </c>
      <c r="J2" s="2">
        <f ca="1">('[1]Pc, Spring, S1'!J2*Main!$B$5)+(_xlfn.IFNA(VLOOKUP($A2,'FL Ratio'!$A$3:$B$10,2,FALSE),0)*'FL Characterization'!J$2)</f>
        <v>51.585374750276124</v>
      </c>
      <c r="K2" s="2">
        <f ca="1">('[1]Pc, Spring, S1'!K2*Main!$B$5)+(_xlfn.IFNA(VLOOKUP($A2,'FL Ratio'!$A$3:$B$10,2,FALSE),0)*'FL Characterization'!K$2)</f>
        <v>52.554371354977512</v>
      </c>
      <c r="L2" s="2">
        <f ca="1">('[1]Pc, Spring, S1'!L2*Main!$B$5)+(_xlfn.IFNA(VLOOKUP($A2,'FL Ratio'!$A$3:$B$10,2,FALSE),0)*'FL Characterization'!L$2)</f>
        <v>50.998138212279194</v>
      </c>
      <c r="M2" s="2">
        <f ca="1">('[1]Pc, Spring, S1'!M2*Main!$B$5)+(_xlfn.IFNA(VLOOKUP($A2,'FL Ratio'!$A$3:$B$10,2,FALSE),0)*'FL Characterization'!M$2)</f>
        <v>51.618428533466229</v>
      </c>
      <c r="N2" s="2">
        <f ca="1">('[1]Pc, Spring, S1'!N2*Main!$B$5)+(_xlfn.IFNA(VLOOKUP($A2,'FL Ratio'!$A$3:$B$10,2,FALSE),0)*'FL Characterization'!N$2)</f>
        <v>53.905377984882328</v>
      </c>
      <c r="O2" s="2">
        <f ca="1">('[1]Pc, Spring, S1'!O2*Main!$B$5)+(_xlfn.IFNA(VLOOKUP($A2,'FL Ratio'!$A$3:$B$10,2,FALSE),0)*'FL Characterization'!O$2)</f>
        <v>51.567302977960374</v>
      </c>
      <c r="P2" s="2">
        <f ca="1">('[1]Pc, Spring, S1'!P2*Main!$B$5)+(_xlfn.IFNA(VLOOKUP($A2,'FL Ratio'!$A$3:$B$10,2,FALSE),0)*'FL Characterization'!P$2)</f>
        <v>51.68047348706245</v>
      </c>
      <c r="Q2" s="2">
        <f ca="1">('[1]Pc, Spring, S1'!Q2*Main!$B$5)+(_xlfn.IFNA(VLOOKUP($A2,'FL Ratio'!$A$3:$B$10,2,FALSE),0)*'FL Characterization'!Q$2)</f>
        <v>50.338221342848996</v>
      </c>
      <c r="R2" s="2">
        <f ca="1">('[1]Pc, Spring, S1'!R2*Main!$B$5)+(_xlfn.IFNA(VLOOKUP($A2,'FL Ratio'!$A$3:$B$10,2,FALSE),0)*'FL Characterization'!R$2)</f>
        <v>49.316392632162156</v>
      </c>
      <c r="S2" s="2">
        <f ca="1">('[1]Pc, Spring, S1'!S2*Main!$B$5)+(_xlfn.IFNA(VLOOKUP($A2,'FL Ratio'!$A$3:$B$10,2,FALSE),0)*'FL Characterization'!S$2)</f>
        <v>50.452116530116022</v>
      </c>
      <c r="T2" s="2">
        <f ca="1">('[1]Pc, Spring, S1'!T2*Main!$B$5)+(_xlfn.IFNA(VLOOKUP($A2,'FL Ratio'!$A$3:$B$10,2,FALSE),0)*'FL Characterization'!T$2)</f>
        <v>53.868048036365884</v>
      </c>
      <c r="U2" s="2">
        <f ca="1">('[1]Pc, Spring, S1'!U2*Main!$B$5)+(_xlfn.IFNA(VLOOKUP($A2,'FL Ratio'!$A$3:$B$10,2,FALSE),0)*'FL Characterization'!U$2)</f>
        <v>51.388150234619566</v>
      </c>
      <c r="V2" s="2">
        <f ca="1">('[1]Pc, Spring, S1'!V2*Main!$B$5)+(_xlfn.IFNA(VLOOKUP($A2,'FL Ratio'!$A$3:$B$10,2,FALSE),0)*'FL Characterization'!V$2)</f>
        <v>53.178697187276342</v>
      </c>
      <c r="W2" s="2">
        <f ca="1">('[1]Pc, Spring, S1'!W2*Main!$B$5)+(_xlfn.IFNA(VLOOKUP($A2,'FL Ratio'!$A$3:$B$10,2,FALSE),0)*'FL Characterization'!W$2)</f>
        <v>51.312914611929941</v>
      </c>
      <c r="X2" s="2">
        <f ca="1">('[1]Pc, Spring, S1'!X2*Main!$B$5)+(_xlfn.IFNA(VLOOKUP($A2,'FL Ratio'!$A$3:$B$10,2,FALSE),0)*'FL Characterization'!X$2)</f>
        <v>44.932457035745564</v>
      </c>
      <c r="Y2" s="2">
        <f ca="1">('[1]Pc, Spring, S1'!Y2*Main!$B$5)+(_xlfn.IFNA(VLOOKUP($A2,'FL Ratio'!$A$3:$B$10,2,FALSE),0)*'FL Characterization'!Y$2)</f>
        <v>41.925363677537369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37.279436816316682</v>
      </c>
      <c r="C3" s="2">
        <f ca="1">('[1]Pc, Spring, S1'!C3*Main!$B$5)+(_xlfn.IFNA(VLOOKUP($A3,'FL Ratio'!$A$3:$B$10,2,FALSE),0)*'FL Characterization'!C$2)</f>
        <v>36.308725893204297</v>
      </c>
      <c r="D3" s="2">
        <f ca="1">('[1]Pc, Spring, S1'!D3*Main!$B$5)+(_xlfn.IFNA(VLOOKUP($A3,'FL Ratio'!$A$3:$B$10,2,FALSE),0)*'FL Characterization'!D$2)</f>
        <v>32.844836398407139</v>
      </c>
      <c r="E3" s="2">
        <f ca="1">('[1]Pc, Spring, S1'!E3*Main!$B$5)+(_xlfn.IFNA(VLOOKUP($A3,'FL Ratio'!$A$3:$B$10,2,FALSE),0)*'FL Characterization'!E$2)</f>
        <v>32.761842951498707</v>
      </c>
      <c r="F3" s="2">
        <f ca="1">('[1]Pc, Spring, S1'!F3*Main!$B$5)+(_xlfn.IFNA(VLOOKUP($A3,'FL Ratio'!$A$3:$B$10,2,FALSE),0)*'FL Characterization'!F$2)</f>
        <v>33.131402251715237</v>
      </c>
      <c r="G3" s="2">
        <f ca="1">('[1]Pc, Spring, S1'!G3*Main!$B$5)+(_xlfn.IFNA(VLOOKUP($A3,'FL Ratio'!$A$3:$B$10,2,FALSE),0)*'FL Characterization'!G$2)</f>
        <v>35.025813661215246</v>
      </c>
      <c r="H3" s="2">
        <f ca="1">('[1]Pc, Spring, S1'!H3*Main!$B$5)+(_xlfn.IFNA(VLOOKUP($A3,'FL Ratio'!$A$3:$B$10,2,FALSE),0)*'FL Characterization'!H$2)</f>
        <v>44.913749558522184</v>
      </c>
      <c r="I3" s="2">
        <f ca="1">('[1]Pc, Spring, S1'!I3*Main!$B$5)+(_xlfn.IFNA(VLOOKUP($A3,'FL Ratio'!$A$3:$B$10,2,FALSE),0)*'FL Characterization'!I$2)</f>
        <v>55.231115719954893</v>
      </c>
      <c r="J3" s="2">
        <f ca="1">('[1]Pc, Spring, S1'!J3*Main!$B$5)+(_xlfn.IFNA(VLOOKUP($A3,'FL Ratio'!$A$3:$B$10,2,FALSE),0)*'FL Characterization'!J$2)</f>
        <v>59.484837249538664</v>
      </c>
      <c r="K3" s="2">
        <f ca="1">('[1]Pc, Spring, S1'!K3*Main!$B$5)+(_xlfn.IFNA(VLOOKUP($A3,'FL Ratio'!$A$3:$B$10,2,FALSE),0)*'FL Characterization'!K$2)</f>
        <v>58.14062518282455</v>
      </c>
      <c r="L3" s="2">
        <f ca="1">('[1]Pc, Spring, S1'!L3*Main!$B$5)+(_xlfn.IFNA(VLOOKUP($A3,'FL Ratio'!$A$3:$B$10,2,FALSE),0)*'FL Characterization'!L$2)</f>
        <v>56.227971238000769</v>
      </c>
      <c r="M3" s="2">
        <f ca="1">('[1]Pc, Spring, S1'!M3*Main!$B$5)+(_xlfn.IFNA(VLOOKUP($A3,'FL Ratio'!$A$3:$B$10,2,FALSE),0)*'FL Characterization'!M$2)</f>
        <v>61.42849256132552</v>
      </c>
      <c r="N3" s="2">
        <f ca="1">('[1]Pc, Spring, S1'!N3*Main!$B$5)+(_xlfn.IFNA(VLOOKUP($A3,'FL Ratio'!$A$3:$B$10,2,FALSE),0)*'FL Characterization'!N$2)</f>
        <v>59.572512892939535</v>
      </c>
      <c r="O3" s="2">
        <f ca="1">('[1]Pc, Spring, S1'!O3*Main!$B$5)+(_xlfn.IFNA(VLOOKUP($A3,'FL Ratio'!$A$3:$B$10,2,FALSE),0)*'FL Characterization'!O$2)</f>
        <v>58.830531078673232</v>
      </c>
      <c r="P3" s="2">
        <f ca="1">('[1]Pc, Spring, S1'!P3*Main!$B$5)+(_xlfn.IFNA(VLOOKUP($A3,'FL Ratio'!$A$3:$B$10,2,FALSE),0)*'FL Characterization'!P$2)</f>
        <v>55.136627518446019</v>
      </c>
      <c r="Q3" s="2">
        <f ca="1">('[1]Pc, Spring, S1'!Q3*Main!$B$5)+(_xlfn.IFNA(VLOOKUP($A3,'FL Ratio'!$A$3:$B$10,2,FALSE),0)*'FL Characterization'!Q$2)</f>
        <v>52.701819778298749</v>
      </c>
      <c r="R3" s="2">
        <f ca="1">('[1]Pc, Spring, S1'!R3*Main!$B$5)+(_xlfn.IFNA(VLOOKUP($A3,'FL Ratio'!$A$3:$B$10,2,FALSE),0)*'FL Characterization'!R$2)</f>
        <v>50.968577221881816</v>
      </c>
      <c r="S3" s="2">
        <f ca="1">('[1]Pc, Spring, S1'!S3*Main!$B$5)+(_xlfn.IFNA(VLOOKUP($A3,'FL Ratio'!$A$3:$B$10,2,FALSE),0)*'FL Characterization'!S$2)</f>
        <v>52.4546416947613</v>
      </c>
      <c r="T3" s="2">
        <f ca="1">('[1]Pc, Spring, S1'!T3*Main!$B$5)+(_xlfn.IFNA(VLOOKUP($A3,'FL Ratio'!$A$3:$B$10,2,FALSE),0)*'FL Characterization'!T$2)</f>
        <v>50.401128917553308</v>
      </c>
      <c r="U3" s="2">
        <f ca="1">('[1]Pc, Spring, S1'!U3*Main!$B$5)+(_xlfn.IFNA(VLOOKUP($A3,'FL Ratio'!$A$3:$B$10,2,FALSE),0)*'FL Characterization'!U$2)</f>
        <v>52.863028544695368</v>
      </c>
      <c r="V3" s="2">
        <f ca="1">('[1]Pc, Spring, S1'!V3*Main!$B$5)+(_xlfn.IFNA(VLOOKUP($A3,'FL Ratio'!$A$3:$B$10,2,FALSE),0)*'FL Characterization'!V$2)</f>
        <v>50.686333452199072</v>
      </c>
      <c r="W3" s="2">
        <f ca="1">('[1]Pc, Spring, S1'!W3*Main!$B$5)+(_xlfn.IFNA(VLOOKUP($A3,'FL Ratio'!$A$3:$B$10,2,FALSE),0)*'FL Characterization'!W$2)</f>
        <v>49.365147699103886</v>
      </c>
      <c r="X3" s="2">
        <f ca="1">('[1]Pc, Spring, S1'!X3*Main!$B$5)+(_xlfn.IFNA(VLOOKUP($A3,'FL Ratio'!$A$3:$B$10,2,FALSE),0)*'FL Characterization'!X$2)</f>
        <v>45.833709001455105</v>
      </c>
      <c r="Y3" s="2">
        <f ca="1">('[1]Pc, Spring, S1'!Y3*Main!$B$5)+(_xlfn.IFNA(VLOOKUP($A3,'FL Ratio'!$A$3:$B$10,2,FALSE),0)*'FL Characterization'!Y$2)</f>
        <v>41.085489491489781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54.524651554047765</v>
      </c>
      <c r="C4" s="2">
        <f ca="1">('[1]Pc, Spring, S1'!C4*Main!$B$5)+(_xlfn.IFNA(VLOOKUP($A4,'FL Ratio'!$A$3:$B$10,2,FALSE),0)*'FL Characterization'!C$2)</f>
        <v>47.178325005698163</v>
      </c>
      <c r="D4" s="2">
        <f ca="1">('[1]Pc, Spring, S1'!D4*Main!$B$5)+(_xlfn.IFNA(VLOOKUP($A4,'FL Ratio'!$A$3:$B$10,2,FALSE),0)*'FL Characterization'!D$2)</f>
        <v>45.765516837736769</v>
      </c>
      <c r="E4" s="2">
        <f ca="1">('[1]Pc, Spring, S1'!E4*Main!$B$5)+(_xlfn.IFNA(VLOOKUP($A4,'FL Ratio'!$A$3:$B$10,2,FALSE),0)*'FL Characterization'!E$2)</f>
        <v>44.311908039623006</v>
      </c>
      <c r="F4" s="2">
        <f ca="1">('[1]Pc, Spring, S1'!F4*Main!$B$5)+(_xlfn.IFNA(VLOOKUP($A4,'FL Ratio'!$A$3:$B$10,2,FALSE),0)*'FL Characterization'!F$2)</f>
        <v>44.665873631129884</v>
      </c>
      <c r="G4" s="2">
        <f ca="1">('[1]Pc, Spring, S1'!G4*Main!$B$5)+(_xlfn.IFNA(VLOOKUP($A4,'FL Ratio'!$A$3:$B$10,2,FALSE),0)*'FL Characterization'!G$2)</f>
        <v>43.831958202549721</v>
      </c>
      <c r="H4" s="2">
        <f ca="1">('[1]Pc, Spring, S1'!H4*Main!$B$5)+(_xlfn.IFNA(VLOOKUP($A4,'FL Ratio'!$A$3:$B$10,2,FALSE),0)*'FL Characterization'!H$2)</f>
        <v>50.990089372736286</v>
      </c>
      <c r="I4" s="2">
        <f ca="1">('[1]Pc, Spring, S1'!I4*Main!$B$5)+(_xlfn.IFNA(VLOOKUP($A4,'FL Ratio'!$A$3:$B$10,2,FALSE),0)*'FL Characterization'!I$2)</f>
        <v>58.285717106927329</v>
      </c>
      <c r="J4" s="2">
        <f ca="1">('[1]Pc, Spring, S1'!J4*Main!$B$5)+(_xlfn.IFNA(VLOOKUP($A4,'FL Ratio'!$A$3:$B$10,2,FALSE),0)*'FL Characterization'!J$2)</f>
        <v>65.982758276580043</v>
      </c>
      <c r="K4" s="2">
        <f ca="1">('[1]Pc, Spring, S1'!K4*Main!$B$5)+(_xlfn.IFNA(VLOOKUP($A4,'FL Ratio'!$A$3:$B$10,2,FALSE),0)*'FL Characterization'!K$2)</f>
        <v>70.71047191624865</v>
      </c>
      <c r="L4" s="2">
        <f ca="1">('[1]Pc, Spring, S1'!L4*Main!$B$5)+(_xlfn.IFNA(VLOOKUP($A4,'FL Ratio'!$A$3:$B$10,2,FALSE),0)*'FL Characterization'!L$2)</f>
        <v>69.743184219769319</v>
      </c>
      <c r="M4" s="2">
        <f ca="1">('[1]Pc, Spring, S1'!M4*Main!$B$5)+(_xlfn.IFNA(VLOOKUP($A4,'FL Ratio'!$A$3:$B$10,2,FALSE),0)*'FL Characterization'!M$2)</f>
        <v>68.16188788392634</v>
      </c>
      <c r="N4" s="2">
        <f ca="1">('[1]Pc, Spring, S1'!N4*Main!$B$5)+(_xlfn.IFNA(VLOOKUP($A4,'FL Ratio'!$A$3:$B$10,2,FALSE),0)*'FL Characterization'!N$2)</f>
        <v>69.885039069022696</v>
      </c>
      <c r="O4" s="2">
        <f ca="1">('[1]Pc, Spring, S1'!O4*Main!$B$5)+(_xlfn.IFNA(VLOOKUP($A4,'FL Ratio'!$A$3:$B$10,2,FALSE),0)*'FL Characterization'!O$2)</f>
        <v>70.929093656665913</v>
      </c>
      <c r="P4" s="2">
        <f ca="1">('[1]Pc, Spring, S1'!P4*Main!$B$5)+(_xlfn.IFNA(VLOOKUP($A4,'FL Ratio'!$A$3:$B$10,2,FALSE),0)*'FL Characterization'!P$2)</f>
        <v>73.464636431159491</v>
      </c>
      <c r="Q4" s="2">
        <f ca="1">('[1]Pc, Spring, S1'!Q4*Main!$B$5)+(_xlfn.IFNA(VLOOKUP($A4,'FL Ratio'!$A$3:$B$10,2,FALSE),0)*'FL Characterization'!Q$2)</f>
        <v>65.909307337364638</v>
      </c>
      <c r="R4" s="2">
        <f ca="1">('[1]Pc, Spring, S1'!R4*Main!$B$5)+(_xlfn.IFNA(VLOOKUP($A4,'FL Ratio'!$A$3:$B$10,2,FALSE),0)*'FL Characterization'!R$2)</f>
        <v>67.072280640747607</v>
      </c>
      <c r="S4" s="2">
        <f ca="1">('[1]Pc, Spring, S1'!S4*Main!$B$5)+(_xlfn.IFNA(VLOOKUP($A4,'FL Ratio'!$A$3:$B$10,2,FALSE),0)*'FL Characterization'!S$2)</f>
        <v>70.186878139557948</v>
      </c>
      <c r="T4" s="2">
        <f ca="1">('[1]Pc, Spring, S1'!T4*Main!$B$5)+(_xlfn.IFNA(VLOOKUP($A4,'FL Ratio'!$A$3:$B$10,2,FALSE),0)*'FL Characterization'!T$2)</f>
        <v>75.835810316241449</v>
      </c>
      <c r="U4" s="2">
        <f ca="1">('[1]Pc, Spring, S1'!U4*Main!$B$5)+(_xlfn.IFNA(VLOOKUP($A4,'FL Ratio'!$A$3:$B$10,2,FALSE),0)*'FL Characterization'!U$2)</f>
        <v>72.45883390791667</v>
      </c>
      <c r="V4" s="2">
        <f ca="1">('[1]Pc, Spring, S1'!V4*Main!$B$5)+(_xlfn.IFNA(VLOOKUP($A4,'FL Ratio'!$A$3:$B$10,2,FALSE),0)*'FL Characterization'!V$2)</f>
        <v>71.595759056101571</v>
      </c>
      <c r="W4" s="2">
        <f ca="1">('[1]Pc, Spring, S1'!W4*Main!$B$5)+(_xlfn.IFNA(VLOOKUP($A4,'FL Ratio'!$A$3:$B$10,2,FALSE),0)*'FL Characterization'!W$2)</f>
        <v>71.882472285639949</v>
      </c>
      <c r="X4" s="2">
        <f ca="1">('[1]Pc, Spring, S1'!X4*Main!$B$5)+(_xlfn.IFNA(VLOOKUP($A4,'FL Ratio'!$A$3:$B$10,2,FALSE),0)*'FL Characterization'!X$2)</f>
        <v>70.887877596516987</v>
      </c>
      <c r="Y4" s="2">
        <f ca="1">('[1]Pc, Spring, S1'!Y4*Main!$B$5)+(_xlfn.IFNA(VLOOKUP($A4,'FL Ratio'!$A$3:$B$10,2,FALSE),0)*'FL Characterization'!Y$2)</f>
        <v>64.381783066330229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37.735165453763052</v>
      </c>
      <c r="C2" s="2">
        <f ca="1">('[1]Pc, Spring, S1'!C2*Main!$B$5)+(_xlfn.IFNA(VLOOKUP($A2,'FL Ratio'!$A$3:$B$10,2,FALSE),0)*'FL Characterization'!C$2)</f>
        <v>35.457395037952239</v>
      </c>
      <c r="D2" s="2">
        <f ca="1">('[1]Pc, Spring, S1'!D2*Main!$B$5)+(_xlfn.IFNA(VLOOKUP($A2,'FL Ratio'!$A$3:$B$10,2,FALSE),0)*'FL Characterization'!D$2)</f>
        <v>34.399239843350585</v>
      </c>
      <c r="E2" s="2">
        <f ca="1">('[1]Pc, Spring, S1'!E2*Main!$B$5)+(_xlfn.IFNA(VLOOKUP($A2,'FL Ratio'!$A$3:$B$10,2,FALSE),0)*'FL Characterization'!E$2)</f>
        <v>33.5749935864037</v>
      </c>
      <c r="F2" s="2">
        <f ca="1">('[1]Pc, Spring, S1'!F2*Main!$B$5)+(_xlfn.IFNA(VLOOKUP($A2,'FL Ratio'!$A$3:$B$10,2,FALSE),0)*'FL Characterization'!F$2)</f>
        <v>33.532582749026211</v>
      </c>
      <c r="G2" s="2">
        <f ca="1">('[1]Pc, Spring, S1'!G2*Main!$B$5)+(_xlfn.IFNA(VLOOKUP($A2,'FL Ratio'!$A$3:$B$10,2,FALSE),0)*'FL Characterization'!G$2)</f>
        <v>34.782965674728317</v>
      </c>
      <c r="H2" s="2">
        <f ca="1">('[1]Pc, Spring, S1'!H2*Main!$B$5)+(_xlfn.IFNA(VLOOKUP($A2,'FL Ratio'!$A$3:$B$10,2,FALSE),0)*'FL Characterization'!H$2)</f>
        <v>40.148519625533382</v>
      </c>
      <c r="I2" s="2">
        <f ca="1">('[1]Pc, Spring, S1'!I2*Main!$B$5)+(_xlfn.IFNA(VLOOKUP($A2,'FL Ratio'!$A$3:$B$10,2,FALSE),0)*'FL Characterization'!I$2)</f>
        <v>45.645493642033657</v>
      </c>
      <c r="J2" s="2">
        <f ca="1">('[1]Pc, Spring, S1'!J2*Main!$B$5)+(_xlfn.IFNA(VLOOKUP($A2,'FL Ratio'!$A$3:$B$10,2,FALSE),0)*'FL Characterization'!J$2)</f>
        <v>51.585374750276124</v>
      </c>
      <c r="K2" s="2">
        <f ca="1">('[1]Pc, Spring, S1'!K2*Main!$B$5)+(_xlfn.IFNA(VLOOKUP($A2,'FL Ratio'!$A$3:$B$10,2,FALSE),0)*'FL Characterization'!K$2)</f>
        <v>52.554371354977512</v>
      </c>
      <c r="L2" s="2">
        <f ca="1">('[1]Pc, Spring, S1'!L2*Main!$B$5)+(_xlfn.IFNA(VLOOKUP($A2,'FL Ratio'!$A$3:$B$10,2,FALSE),0)*'FL Characterization'!L$2)</f>
        <v>50.998138212279194</v>
      </c>
      <c r="M2" s="2">
        <f ca="1">('[1]Pc, Spring, S1'!M2*Main!$B$5)+(_xlfn.IFNA(VLOOKUP($A2,'FL Ratio'!$A$3:$B$10,2,FALSE),0)*'FL Characterization'!M$2)</f>
        <v>51.618428533466229</v>
      </c>
      <c r="N2" s="2">
        <f ca="1">('[1]Pc, Spring, S1'!N2*Main!$B$5)+(_xlfn.IFNA(VLOOKUP($A2,'FL Ratio'!$A$3:$B$10,2,FALSE),0)*'FL Characterization'!N$2)</f>
        <v>53.905377984882328</v>
      </c>
      <c r="O2" s="2">
        <f ca="1">('[1]Pc, Spring, S1'!O2*Main!$B$5)+(_xlfn.IFNA(VLOOKUP($A2,'FL Ratio'!$A$3:$B$10,2,FALSE),0)*'FL Characterization'!O$2)</f>
        <v>51.567302977960374</v>
      </c>
      <c r="P2" s="2">
        <f ca="1">('[1]Pc, Spring, S1'!P2*Main!$B$5)+(_xlfn.IFNA(VLOOKUP($A2,'FL Ratio'!$A$3:$B$10,2,FALSE),0)*'FL Characterization'!P$2)</f>
        <v>51.68047348706245</v>
      </c>
      <c r="Q2" s="2">
        <f ca="1">('[1]Pc, Spring, S1'!Q2*Main!$B$5)+(_xlfn.IFNA(VLOOKUP($A2,'FL Ratio'!$A$3:$B$10,2,FALSE),0)*'FL Characterization'!Q$2)</f>
        <v>50.338221342848996</v>
      </c>
      <c r="R2" s="2">
        <f ca="1">('[1]Pc, Spring, S1'!R2*Main!$B$5)+(_xlfn.IFNA(VLOOKUP($A2,'FL Ratio'!$A$3:$B$10,2,FALSE),0)*'FL Characterization'!R$2)</f>
        <v>49.316392632162156</v>
      </c>
      <c r="S2" s="2">
        <f ca="1">('[1]Pc, Spring, S1'!S2*Main!$B$5)+(_xlfn.IFNA(VLOOKUP($A2,'FL Ratio'!$A$3:$B$10,2,FALSE),0)*'FL Characterization'!S$2)</f>
        <v>50.452116530116022</v>
      </c>
      <c r="T2" s="2">
        <f ca="1">('[1]Pc, Spring, S1'!T2*Main!$B$5)+(_xlfn.IFNA(VLOOKUP($A2,'FL Ratio'!$A$3:$B$10,2,FALSE),0)*'FL Characterization'!T$2)</f>
        <v>53.868048036365884</v>
      </c>
      <c r="U2" s="2">
        <f ca="1">('[1]Pc, Spring, S1'!U2*Main!$B$5)+(_xlfn.IFNA(VLOOKUP($A2,'FL Ratio'!$A$3:$B$10,2,FALSE),0)*'FL Characterization'!U$2)</f>
        <v>51.388150234619566</v>
      </c>
      <c r="V2" s="2">
        <f ca="1">('[1]Pc, Spring, S1'!V2*Main!$B$5)+(_xlfn.IFNA(VLOOKUP($A2,'FL Ratio'!$A$3:$B$10,2,FALSE),0)*'FL Characterization'!V$2)</f>
        <v>53.178697187276342</v>
      </c>
      <c r="W2" s="2">
        <f ca="1">('[1]Pc, Spring, S1'!W2*Main!$B$5)+(_xlfn.IFNA(VLOOKUP($A2,'FL Ratio'!$A$3:$B$10,2,FALSE),0)*'FL Characterization'!W$2)</f>
        <v>51.312914611929941</v>
      </c>
      <c r="X2" s="2">
        <f ca="1">('[1]Pc, Spring, S1'!X2*Main!$B$5)+(_xlfn.IFNA(VLOOKUP($A2,'FL Ratio'!$A$3:$B$10,2,FALSE),0)*'FL Characterization'!X$2)</f>
        <v>44.932457035745564</v>
      </c>
      <c r="Y2" s="2">
        <f ca="1">('[1]Pc, Spring, S1'!Y2*Main!$B$5)+(_xlfn.IFNA(VLOOKUP($A2,'FL Ratio'!$A$3:$B$10,2,FALSE),0)*'FL Characterization'!Y$2)</f>
        <v>41.925363677537369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37.279436816316682</v>
      </c>
      <c r="C3" s="2">
        <f ca="1">('[1]Pc, Spring, S1'!C3*Main!$B$5)+(_xlfn.IFNA(VLOOKUP($A3,'FL Ratio'!$A$3:$B$10,2,FALSE),0)*'FL Characterization'!C$2)</f>
        <v>36.308725893204297</v>
      </c>
      <c r="D3" s="2">
        <f ca="1">('[1]Pc, Spring, S1'!D3*Main!$B$5)+(_xlfn.IFNA(VLOOKUP($A3,'FL Ratio'!$A$3:$B$10,2,FALSE),0)*'FL Characterization'!D$2)</f>
        <v>32.844836398407139</v>
      </c>
      <c r="E3" s="2">
        <f ca="1">('[1]Pc, Spring, S1'!E3*Main!$B$5)+(_xlfn.IFNA(VLOOKUP($A3,'FL Ratio'!$A$3:$B$10,2,FALSE),0)*'FL Characterization'!E$2)</f>
        <v>32.761842951498707</v>
      </c>
      <c r="F3" s="2">
        <f ca="1">('[1]Pc, Spring, S1'!F3*Main!$B$5)+(_xlfn.IFNA(VLOOKUP($A3,'FL Ratio'!$A$3:$B$10,2,FALSE),0)*'FL Characterization'!F$2)</f>
        <v>33.131402251715237</v>
      </c>
      <c r="G3" s="2">
        <f ca="1">('[1]Pc, Spring, S1'!G3*Main!$B$5)+(_xlfn.IFNA(VLOOKUP($A3,'FL Ratio'!$A$3:$B$10,2,FALSE),0)*'FL Characterization'!G$2)</f>
        <v>35.025813661215246</v>
      </c>
      <c r="H3" s="2">
        <f ca="1">('[1]Pc, Spring, S1'!H3*Main!$B$5)+(_xlfn.IFNA(VLOOKUP($A3,'FL Ratio'!$A$3:$B$10,2,FALSE),0)*'FL Characterization'!H$2)</f>
        <v>44.913749558522184</v>
      </c>
      <c r="I3" s="2">
        <f ca="1">('[1]Pc, Spring, S1'!I3*Main!$B$5)+(_xlfn.IFNA(VLOOKUP($A3,'FL Ratio'!$A$3:$B$10,2,FALSE),0)*'FL Characterization'!I$2)</f>
        <v>55.231115719954893</v>
      </c>
      <c r="J3" s="2">
        <f ca="1">('[1]Pc, Spring, S1'!J3*Main!$B$5)+(_xlfn.IFNA(VLOOKUP($A3,'FL Ratio'!$A$3:$B$10,2,FALSE),0)*'FL Characterization'!J$2)</f>
        <v>59.484837249538664</v>
      </c>
      <c r="K3" s="2">
        <f ca="1">('[1]Pc, Spring, S1'!K3*Main!$B$5)+(_xlfn.IFNA(VLOOKUP($A3,'FL Ratio'!$A$3:$B$10,2,FALSE),0)*'FL Characterization'!K$2)</f>
        <v>58.14062518282455</v>
      </c>
      <c r="L3" s="2">
        <f ca="1">('[1]Pc, Spring, S1'!L3*Main!$B$5)+(_xlfn.IFNA(VLOOKUP($A3,'FL Ratio'!$A$3:$B$10,2,FALSE),0)*'FL Characterization'!L$2)</f>
        <v>56.227971238000769</v>
      </c>
      <c r="M3" s="2">
        <f ca="1">('[1]Pc, Spring, S1'!M3*Main!$B$5)+(_xlfn.IFNA(VLOOKUP($A3,'FL Ratio'!$A$3:$B$10,2,FALSE),0)*'FL Characterization'!M$2)</f>
        <v>61.42849256132552</v>
      </c>
      <c r="N3" s="2">
        <f ca="1">('[1]Pc, Spring, S1'!N3*Main!$B$5)+(_xlfn.IFNA(VLOOKUP($A3,'FL Ratio'!$A$3:$B$10,2,FALSE),0)*'FL Characterization'!N$2)</f>
        <v>59.572512892939535</v>
      </c>
      <c r="O3" s="2">
        <f ca="1">('[1]Pc, Spring, S1'!O3*Main!$B$5)+(_xlfn.IFNA(VLOOKUP($A3,'FL Ratio'!$A$3:$B$10,2,FALSE),0)*'FL Characterization'!O$2)</f>
        <v>58.830531078673232</v>
      </c>
      <c r="P3" s="2">
        <f ca="1">('[1]Pc, Spring, S1'!P3*Main!$B$5)+(_xlfn.IFNA(VLOOKUP($A3,'FL Ratio'!$A$3:$B$10,2,FALSE),0)*'FL Characterization'!P$2)</f>
        <v>55.136627518446019</v>
      </c>
      <c r="Q3" s="2">
        <f ca="1">('[1]Pc, Spring, S1'!Q3*Main!$B$5)+(_xlfn.IFNA(VLOOKUP($A3,'FL Ratio'!$A$3:$B$10,2,FALSE),0)*'FL Characterization'!Q$2)</f>
        <v>52.701819778298749</v>
      </c>
      <c r="R3" s="2">
        <f ca="1">('[1]Pc, Spring, S1'!R3*Main!$B$5)+(_xlfn.IFNA(VLOOKUP($A3,'FL Ratio'!$A$3:$B$10,2,FALSE),0)*'FL Characterization'!R$2)</f>
        <v>50.968577221881816</v>
      </c>
      <c r="S3" s="2">
        <f ca="1">('[1]Pc, Spring, S1'!S3*Main!$B$5)+(_xlfn.IFNA(VLOOKUP($A3,'FL Ratio'!$A$3:$B$10,2,FALSE),0)*'FL Characterization'!S$2)</f>
        <v>52.4546416947613</v>
      </c>
      <c r="T3" s="2">
        <f ca="1">('[1]Pc, Spring, S1'!T3*Main!$B$5)+(_xlfn.IFNA(VLOOKUP($A3,'FL Ratio'!$A$3:$B$10,2,FALSE),0)*'FL Characterization'!T$2)</f>
        <v>50.401128917553308</v>
      </c>
      <c r="U3" s="2">
        <f ca="1">('[1]Pc, Spring, S1'!U3*Main!$B$5)+(_xlfn.IFNA(VLOOKUP($A3,'FL Ratio'!$A$3:$B$10,2,FALSE),0)*'FL Characterization'!U$2)</f>
        <v>52.863028544695368</v>
      </c>
      <c r="V3" s="2">
        <f ca="1">('[1]Pc, Spring, S1'!V3*Main!$B$5)+(_xlfn.IFNA(VLOOKUP($A3,'FL Ratio'!$A$3:$B$10,2,FALSE),0)*'FL Characterization'!V$2)</f>
        <v>50.686333452199072</v>
      </c>
      <c r="W3" s="2">
        <f ca="1">('[1]Pc, Spring, S1'!W3*Main!$B$5)+(_xlfn.IFNA(VLOOKUP($A3,'FL Ratio'!$A$3:$B$10,2,FALSE),0)*'FL Characterization'!W$2)</f>
        <v>49.365147699103886</v>
      </c>
      <c r="X3" s="2">
        <f ca="1">('[1]Pc, Spring, S1'!X3*Main!$B$5)+(_xlfn.IFNA(VLOOKUP($A3,'FL Ratio'!$A$3:$B$10,2,FALSE),0)*'FL Characterization'!X$2)</f>
        <v>45.833709001455105</v>
      </c>
      <c r="Y3" s="2">
        <f ca="1">('[1]Pc, Spring, S1'!Y3*Main!$B$5)+(_xlfn.IFNA(VLOOKUP($A3,'FL Ratio'!$A$3:$B$10,2,FALSE),0)*'FL Characterization'!Y$2)</f>
        <v>41.085489491489781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54.524651554047765</v>
      </c>
      <c r="C4" s="2">
        <f ca="1">('[1]Pc, Spring, S1'!C4*Main!$B$5)+(_xlfn.IFNA(VLOOKUP($A4,'FL Ratio'!$A$3:$B$10,2,FALSE),0)*'FL Characterization'!C$2)</f>
        <v>47.178325005698163</v>
      </c>
      <c r="D4" s="2">
        <f ca="1">('[1]Pc, Spring, S1'!D4*Main!$B$5)+(_xlfn.IFNA(VLOOKUP($A4,'FL Ratio'!$A$3:$B$10,2,FALSE),0)*'FL Characterization'!D$2)</f>
        <v>45.765516837736769</v>
      </c>
      <c r="E4" s="2">
        <f ca="1">('[1]Pc, Spring, S1'!E4*Main!$B$5)+(_xlfn.IFNA(VLOOKUP($A4,'FL Ratio'!$A$3:$B$10,2,FALSE),0)*'FL Characterization'!E$2)</f>
        <v>44.311908039623006</v>
      </c>
      <c r="F4" s="2">
        <f ca="1">('[1]Pc, Spring, S1'!F4*Main!$B$5)+(_xlfn.IFNA(VLOOKUP($A4,'FL Ratio'!$A$3:$B$10,2,FALSE),0)*'FL Characterization'!F$2)</f>
        <v>44.665873631129884</v>
      </c>
      <c r="G4" s="2">
        <f ca="1">('[1]Pc, Spring, S1'!G4*Main!$B$5)+(_xlfn.IFNA(VLOOKUP($A4,'FL Ratio'!$A$3:$B$10,2,FALSE),0)*'FL Characterization'!G$2)</f>
        <v>43.831958202549721</v>
      </c>
      <c r="H4" s="2">
        <f ca="1">('[1]Pc, Spring, S1'!H4*Main!$B$5)+(_xlfn.IFNA(VLOOKUP($A4,'FL Ratio'!$A$3:$B$10,2,FALSE),0)*'FL Characterization'!H$2)</f>
        <v>50.990089372736286</v>
      </c>
      <c r="I4" s="2">
        <f ca="1">('[1]Pc, Spring, S1'!I4*Main!$B$5)+(_xlfn.IFNA(VLOOKUP($A4,'FL Ratio'!$A$3:$B$10,2,FALSE),0)*'FL Characterization'!I$2)</f>
        <v>58.285717106927329</v>
      </c>
      <c r="J4" s="2">
        <f ca="1">('[1]Pc, Spring, S1'!J4*Main!$B$5)+(_xlfn.IFNA(VLOOKUP($A4,'FL Ratio'!$A$3:$B$10,2,FALSE),0)*'FL Characterization'!J$2)</f>
        <v>65.982758276580043</v>
      </c>
      <c r="K4" s="2">
        <f ca="1">('[1]Pc, Spring, S1'!K4*Main!$B$5)+(_xlfn.IFNA(VLOOKUP($A4,'FL Ratio'!$A$3:$B$10,2,FALSE),0)*'FL Characterization'!K$2)</f>
        <v>70.71047191624865</v>
      </c>
      <c r="L4" s="2">
        <f ca="1">('[1]Pc, Spring, S1'!L4*Main!$B$5)+(_xlfn.IFNA(VLOOKUP($A4,'FL Ratio'!$A$3:$B$10,2,FALSE),0)*'FL Characterization'!L$2)</f>
        <v>69.743184219769319</v>
      </c>
      <c r="M4" s="2">
        <f ca="1">('[1]Pc, Spring, S1'!M4*Main!$B$5)+(_xlfn.IFNA(VLOOKUP($A4,'FL Ratio'!$A$3:$B$10,2,FALSE),0)*'FL Characterization'!M$2)</f>
        <v>68.16188788392634</v>
      </c>
      <c r="N4" s="2">
        <f ca="1">('[1]Pc, Spring, S1'!N4*Main!$B$5)+(_xlfn.IFNA(VLOOKUP($A4,'FL Ratio'!$A$3:$B$10,2,FALSE),0)*'FL Characterization'!N$2)</f>
        <v>69.885039069022696</v>
      </c>
      <c r="O4" s="2">
        <f ca="1">('[1]Pc, Spring, S1'!O4*Main!$B$5)+(_xlfn.IFNA(VLOOKUP($A4,'FL Ratio'!$A$3:$B$10,2,FALSE),0)*'FL Characterization'!O$2)</f>
        <v>70.929093656665913</v>
      </c>
      <c r="P4" s="2">
        <f ca="1">('[1]Pc, Spring, S1'!P4*Main!$B$5)+(_xlfn.IFNA(VLOOKUP($A4,'FL Ratio'!$A$3:$B$10,2,FALSE),0)*'FL Characterization'!P$2)</f>
        <v>73.464636431159491</v>
      </c>
      <c r="Q4" s="2">
        <f ca="1">('[1]Pc, Spring, S1'!Q4*Main!$B$5)+(_xlfn.IFNA(VLOOKUP($A4,'FL Ratio'!$A$3:$B$10,2,FALSE),0)*'FL Characterization'!Q$2)</f>
        <v>65.909307337364638</v>
      </c>
      <c r="R4" s="2">
        <f ca="1">('[1]Pc, Spring, S1'!R4*Main!$B$5)+(_xlfn.IFNA(VLOOKUP($A4,'FL Ratio'!$A$3:$B$10,2,FALSE),0)*'FL Characterization'!R$2)</f>
        <v>67.072280640747607</v>
      </c>
      <c r="S4" s="2">
        <f ca="1">('[1]Pc, Spring, S1'!S4*Main!$B$5)+(_xlfn.IFNA(VLOOKUP($A4,'FL Ratio'!$A$3:$B$10,2,FALSE),0)*'FL Characterization'!S$2)</f>
        <v>70.186878139557948</v>
      </c>
      <c r="T4" s="2">
        <f ca="1">('[1]Pc, Spring, S1'!T4*Main!$B$5)+(_xlfn.IFNA(VLOOKUP($A4,'FL Ratio'!$A$3:$B$10,2,FALSE),0)*'FL Characterization'!T$2)</f>
        <v>75.835810316241449</v>
      </c>
      <c r="U4" s="2">
        <f ca="1">('[1]Pc, Spring, S1'!U4*Main!$B$5)+(_xlfn.IFNA(VLOOKUP($A4,'FL Ratio'!$A$3:$B$10,2,FALSE),0)*'FL Characterization'!U$2)</f>
        <v>72.45883390791667</v>
      </c>
      <c r="V4" s="2">
        <f ca="1">('[1]Pc, Spring, S1'!V4*Main!$B$5)+(_xlfn.IFNA(VLOOKUP($A4,'FL Ratio'!$A$3:$B$10,2,FALSE),0)*'FL Characterization'!V$2)</f>
        <v>71.595759056101571</v>
      </c>
      <c r="W4" s="2">
        <f ca="1">('[1]Pc, Spring, S1'!W4*Main!$B$5)+(_xlfn.IFNA(VLOOKUP($A4,'FL Ratio'!$A$3:$B$10,2,FALSE),0)*'FL Characterization'!W$2)</f>
        <v>71.882472285639949</v>
      </c>
      <c r="X4" s="2">
        <f ca="1">('[1]Pc, Spring, S1'!X4*Main!$B$5)+(_xlfn.IFNA(VLOOKUP($A4,'FL Ratio'!$A$3:$B$10,2,FALSE),0)*'FL Characterization'!X$2)</f>
        <v>70.887877596516987</v>
      </c>
      <c r="Y4" s="2">
        <f ca="1">('[1]Pc, Spring, S1'!Y4*Main!$B$5)+(_xlfn.IFNA(VLOOKUP($A4,'FL Ratio'!$A$3:$B$10,2,FALSE),0)*'FL Characterization'!Y$2)</f>
        <v>64.381783066330229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37.735165453763052</v>
      </c>
      <c r="C2" s="2">
        <f ca="1">('[1]Pc, Spring, S1'!C2*Main!$B$5)+(_xlfn.IFNA(VLOOKUP($A2,'FL Ratio'!$A$3:$B$10,2,FALSE),0)*'FL Characterization'!C$2)</f>
        <v>35.457395037952239</v>
      </c>
      <c r="D2" s="2">
        <f ca="1">('[1]Pc, Spring, S1'!D2*Main!$B$5)+(_xlfn.IFNA(VLOOKUP($A2,'FL Ratio'!$A$3:$B$10,2,FALSE),0)*'FL Characterization'!D$2)</f>
        <v>34.399239843350585</v>
      </c>
      <c r="E2" s="2">
        <f ca="1">('[1]Pc, Spring, S1'!E2*Main!$B$5)+(_xlfn.IFNA(VLOOKUP($A2,'FL Ratio'!$A$3:$B$10,2,FALSE),0)*'FL Characterization'!E$2)</f>
        <v>33.5749935864037</v>
      </c>
      <c r="F2" s="2">
        <f ca="1">('[1]Pc, Spring, S1'!F2*Main!$B$5)+(_xlfn.IFNA(VLOOKUP($A2,'FL Ratio'!$A$3:$B$10,2,FALSE),0)*'FL Characterization'!F$2)</f>
        <v>33.532582749026211</v>
      </c>
      <c r="G2" s="2">
        <f ca="1">('[1]Pc, Spring, S1'!G2*Main!$B$5)+(_xlfn.IFNA(VLOOKUP($A2,'FL Ratio'!$A$3:$B$10,2,FALSE),0)*'FL Characterization'!G$2)</f>
        <v>34.782965674728317</v>
      </c>
      <c r="H2" s="2">
        <f ca="1">('[1]Pc, Spring, S1'!H2*Main!$B$5)+(_xlfn.IFNA(VLOOKUP($A2,'FL Ratio'!$A$3:$B$10,2,FALSE),0)*'FL Characterization'!H$2)</f>
        <v>40.148519625533382</v>
      </c>
      <c r="I2" s="2">
        <f ca="1">('[1]Pc, Spring, S1'!I2*Main!$B$5)+(_xlfn.IFNA(VLOOKUP($A2,'FL Ratio'!$A$3:$B$10,2,FALSE),0)*'FL Characterization'!I$2)</f>
        <v>45.645493642033657</v>
      </c>
      <c r="J2" s="2">
        <f ca="1">('[1]Pc, Spring, S1'!J2*Main!$B$5)+(_xlfn.IFNA(VLOOKUP($A2,'FL Ratio'!$A$3:$B$10,2,FALSE),0)*'FL Characterization'!J$2)</f>
        <v>51.585374750276124</v>
      </c>
      <c r="K2" s="2">
        <f ca="1">('[1]Pc, Spring, S1'!K2*Main!$B$5)+(_xlfn.IFNA(VLOOKUP($A2,'FL Ratio'!$A$3:$B$10,2,FALSE),0)*'FL Characterization'!K$2)</f>
        <v>52.554371354977512</v>
      </c>
      <c r="L2" s="2">
        <f ca="1">('[1]Pc, Spring, S1'!L2*Main!$B$5)+(_xlfn.IFNA(VLOOKUP($A2,'FL Ratio'!$A$3:$B$10,2,FALSE),0)*'FL Characterization'!L$2)</f>
        <v>50.998138212279194</v>
      </c>
      <c r="M2" s="2">
        <f ca="1">('[1]Pc, Spring, S1'!M2*Main!$B$5)+(_xlfn.IFNA(VLOOKUP($A2,'FL Ratio'!$A$3:$B$10,2,FALSE),0)*'FL Characterization'!M$2)</f>
        <v>51.618428533466229</v>
      </c>
      <c r="N2" s="2">
        <f ca="1">('[1]Pc, Spring, S1'!N2*Main!$B$5)+(_xlfn.IFNA(VLOOKUP($A2,'FL Ratio'!$A$3:$B$10,2,FALSE),0)*'FL Characterization'!N$2)</f>
        <v>53.905377984882328</v>
      </c>
      <c r="O2" s="2">
        <f ca="1">('[1]Pc, Spring, S1'!O2*Main!$B$5)+(_xlfn.IFNA(VLOOKUP($A2,'FL Ratio'!$A$3:$B$10,2,FALSE),0)*'FL Characterization'!O$2)</f>
        <v>51.567302977960374</v>
      </c>
      <c r="P2" s="2">
        <f ca="1">('[1]Pc, Spring, S1'!P2*Main!$B$5)+(_xlfn.IFNA(VLOOKUP($A2,'FL Ratio'!$A$3:$B$10,2,FALSE),0)*'FL Characterization'!P$2)</f>
        <v>51.68047348706245</v>
      </c>
      <c r="Q2" s="2">
        <f ca="1">('[1]Pc, Spring, S1'!Q2*Main!$B$5)+(_xlfn.IFNA(VLOOKUP($A2,'FL Ratio'!$A$3:$B$10,2,FALSE),0)*'FL Characterization'!Q$2)</f>
        <v>50.338221342848996</v>
      </c>
      <c r="R2" s="2">
        <f ca="1">('[1]Pc, Spring, S1'!R2*Main!$B$5)+(_xlfn.IFNA(VLOOKUP($A2,'FL Ratio'!$A$3:$B$10,2,FALSE),0)*'FL Characterization'!R$2)</f>
        <v>49.316392632162156</v>
      </c>
      <c r="S2" s="2">
        <f ca="1">('[1]Pc, Spring, S1'!S2*Main!$B$5)+(_xlfn.IFNA(VLOOKUP($A2,'FL Ratio'!$A$3:$B$10,2,FALSE),0)*'FL Characterization'!S$2)</f>
        <v>50.452116530116022</v>
      </c>
      <c r="T2" s="2">
        <f ca="1">('[1]Pc, Spring, S1'!T2*Main!$B$5)+(_xlfn.IFNA(VLOOKUP($A2,'FL Ratio'!$A$3:$B$10,2,FALSE),0)*'FL Characterization'!T$2)</f>
        <v>53.868048036365884</v>
      </c>
      <c r="U2" s="2">
        <f ca="1">('[1]Pc, Spring, S1'!U2*Main!$B$5)+(_xlfn.IFNA(VLOOKUP($A2,'FL Ratio'!$A$3:$B$10,2,FALSE),0)*'FL Characterization'!U$2)</f>
        <v>51.388150234619566</v>
      </c>
      <c r="V2" s="2">
        <f ca="1">('[1]Pc, Spring, S1'!V2*Main!$B$5)+(_xlfn.IFNA(VLOOKUP($A2,'FL Ratio'!$A$3:$B$10,2,FALSE),0)*'FL Characterization'!V$2)</f>
        <v>53.178697187276342</v>
      </c>
      <c r="W2" s="2">
        <f ca="1">('[1]Pc, Spring, S1'!W2*Main!$B$5)+(_xlfn.IFNA(VLOOKUP($A2,'FL Ratio'!$A$3:$B$10,2,FALSE),0)*'FL Characterization'!W$2)</f>
        <v>51.312914611929941</v>
      </c>
      <c r="X2" s="2">
        <f ca="1">('[1]Pc, Spring, S1'!X2*Main!$B$5)+(_xlfn.IFNA(VLOOKUP($A2,'FL Ratio'!$A$3:$B$10,2,FALSE),0)*'FL Characterization'!X$2)</f>
        <v>44.932457035745564</v>
      </c>
      <c r="Y2" s="2">
        <f ca="1">('[1]Pc, Spring, S1'!Y2*Main!$B$5)+(_xlfn.IFNA(VLOOKUP($A2,'FL Ratio'!$A$3:$B$10,2,FALSE),0)*'FL Characterization'!Y$2)</f>
        <v>41.925363677537369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37.279436816316682</v>
      </c>
      <c r="C3" s="2">
        <f ca="1">('[1]Pc, Spring, S1'!C3*Main!$B$5)+(_xlfn.IFNA(VLOOKUP($A3,'FL Ratio'!$A$3:$B$10,2,FALSE),0)*'FL Characterization'!C$2)</f>
        <v>36.308725893204297</v>
      </c>
      <c r="D3" s="2">
        <f ca="1">('[1]Pc, Spring, S1'!D3*Main!$B$5)+(_xlfn.IFNA(VLOOKUP($A3,'FL Ratio'!$A$3:$B$10,2,FALSE),0)*'FL Characterization'!D$2)</f>
        <v>32.844836398407139</v>
      </c>
      <c r="E3" s="2">
        <f ca="1">('[1]Pc, Spring, S1'!E3*Main!$B$5)+(_xlfn.IFNA(VLOOKUP($A3,'FL Ratio'!$A$3:$B$10,2,FALSE),0)*'FL Characterization'!E$2)</f>
        <v>32.761842951498707</v>
      </c>
      <c r="F3" s="2">
        <f ca="1">('[1]Pc, Spring, S1'!F3*Main!$B$5)+(_xlfn.IFNA(VLOOKUP($A3,'FL Ratio'!$A$3:$B$10,2,FALSE),0)*'FL Characterization'!F$2)</f>
        <v>33.131402251715237</v>
      </c>
      <c r="G3" s="2">
        <f ca="1">('[1]Pc, Spring, S1'!G3*Main!$B$5)+(_xlfn.IFNA(VLOOKUP($A3,'FL Ratio'!$A$3:$B$10,2,FALSE),0)*'FL Characterization'!G$2)</f>
        <v>35.025813661215246</v>
      </c>
      <c r="H3" s="2">
        <f ca="1">('[1]Pc, Spring, S1'!H3*Main!$B$5)+(_xlfn.IFNA(VLOOKUP($A3,'FL Ratio'!$A$3:$B$10,2,FALSE),0)*'FL Characterization'!H$2)</f>
        <v>44.913749558522184</v>
      </c>
      <c r="I3" s="2">
        <f ca="1">('[1]Pc, Spring, S1'!I3*Main!$B$5)+(_xlfn.IFNA(VLOOKUP($A3,'FL Ratio'!$A$3:$B$10,2,FALSE),0)*'FL Characterization'!I$2)</f>
        <v>55.231115719954893</v>
      </c>
      <c r="J3" s="2">
        <f ca="1">('[1]Pc, Spring, S1'!J3*Main!$B$5)+(_xlfn.IFNA(VLOOKUP($A3,'FL Ratio'!$A$3:$B$10,2,FALSE),0)*'FL Characterization'!J$2)</f>
        <v>59.484837249538664</v>
      </c>
      <c r="K3" s="2">
        <f ca="1">('[1]Pc, Spring, S1'!K3*Main!$B$5)+(_xlfn.IFNA(VLOOKUP($A3,'FL Ratio'!$A$3:$B$10,2,FALSE),0)*'FL Characterization'!K$2)</f>
        <v>58.14062518282455</v>
      </c>
      <c r="L3" s="2">
        <f ca="1">('[1]Pc, Spring, S1'!L3*Main!$B$5)+(_xlfn.IFNA(VLOOKUP($A3,'FL Ratio'!$A$3:$B$10,2,FALSE),0)*'FL Characterization'!L$2)</f>
        <v>56.227971238000769</v>
      </c>
      <c r="M3" s="2">
        <f ca="1">('[1]Pc, Spring, S1'!M3*Main!$B$5)+(_xlfn.IFNA(VLOOKUP($A3,'FL Ratio'!$A$3:$B$10,2,FALSE),0)*'FL Characterization'!M$2)</f>
        <v>61.42849256132552</v>
      </c>
      <c r="N3" s="2">
        <f ca="1">('[1]Pc, Spring, S1'!N3*Main!$B$5)+(_xlfn.IFNA(VLOOKUP($A3,'FL Ratio'!$A$3:$B$10,2,FALSE),0)*'FL Characterization'!N$2)</f>
        <v>59.572512892939535</v>
      </c>
      <c r="O3" s="2">
        <f ca="1">('[1]Pc, Spring, S1'!O3*Main!$B$5)+(_xlfn.IFNA(VLOOKUP($A3,'FL Ratio'!$A$3:$B$10,2,FALSE),0)*'FL Characterization'!O$2)</f>
        <v>58.830531078673232</v>
      </c>
      <c r="P3" s="2">
        <f ca="1">('[1]Pc, Spring, S1'!P3*Main!$B$5)+(_xlfn.IFNA(VLOOKUP($A3,'FL Ratio'!$A$3:$B$10,2,FALSE),0)*'FL Characterization'!P$2)</f>
        <v>55.136627518446019</v>
      </c>
      <c r="Q3" s="2">
        <f ca="1">('[1]Pc, Spring, S1'!Q3*Main!$B$5)+(_xlfn.IFNA(VLOOKUP($A3,'FL Ratio'!$A$3:$B$10,2,FALSE),0)*'FL Characterization'!Q$2)</f>
        <v>52.701819778298749</v>
      </c>
      <c r="R3" s="2">
        <f ca="1">('[1]Pc, Spring, S1'!R3*Main!$B$5)+(_xlfn.IFNA(VLOOKUP($A3,'FL Ratio'!$A$3:$B$10,2,FALSE),0)*'FL Characterization'!R$2)</f>
        <v>50.968577221881816</v>
      </c>
      <c r="S3" s="2">
        <f ca="1">('[1]Pc, Spring, S1'!S3*Main!$B$5)+(_xlfn.IFNA(VLOOKUP($A3,'FL Ratio'!$A$3:$B$10,2,FALSE),0)*'FL Characterization'!S$2)</f>
        <v>52.4546416947613</v>
      </c>
      <c r="T3" s="2">
        <f ca="1">('[1]Pc, Spring, S1'!T3*Main!$B$5)+(_xlfn.IFNA(VLOOKUP($A3,'FL Ratio'!$A$3:$B$10,2,FALSE),0)*'FL Characterization'!T$2)</f>
        <v>50.401128917553308</v>
      </c>
      <c r="U3" s="2">
        <f ca="1">('[1]Pc, Spring, S1'!U3*Main!$B$5)+(_xlfn.IFNA(VLOOKUP($A3,'FL Ratio'!$A$3:$B$10,2,FALSE),0)*'FL Characterization'!U$2)</f>
        <v>52.863028544695368</v>
      </c>
      <c r="V3" s="2">
        <f ca="1">('[1]Pc, Spring, S1'!V3*Main!$B$5)+(_xlfn.IFNA(VLOOKUP($A3,'FL Ratio'!$A$3:$B$10,2,FALSE),0)*'FL Characterization'!V$2)</f>
        <v>50.686333452199072</v>
      </c>
      <c r="W3" s="2">
        <f ca="1">('[1]Pc, Spring, S1'!W3*Main!$B$5)+(_xlfn.IFNA(VLOOKUP($A3,'FL Ratio'!$A$3:$B$10,2,FALSE),0)*'FL Characterization'!W$2)</f>
        <v>49.365147699103886</v>
      </c>
      <c r="X3" s="2">
        <f ca="1">('[1]Pc, Spring, S1'!X3*Main!$B$5)+(_xlfn.IFNA(VLOOKUP($A3,'FL Ratio'!$A$3:$B$10,2,FALSE),0)*'FL Characterization'!X$2)</f>
        <v>45.833709001455105</v>
      </c>
      <c r="Y3" s="2">
        <f ca="1">('[1]Pc, Spring, S1'!Y3*Main!$B$5)+(_xlfn.IFNA(VLOOKUP($A3,'FL Ratio'!$A$3:$B$10,2,FALSE),0)*'FL Characterization'!Y$2)</f>
        <v>41.085489491489781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54.524651554047765</v>
      </c>
      <c r="C4" s="2">
        <f ca="1">('[1]Pc, Spring, S1'!C4*Main!$B$5)+(_xlfn.IFNA(VLOOKUP($A4,'FL Ratio'!$A$3:$B$10,2,FALSE),0)*'FL Characterization'!C$2)</f>
        <v>47.178325005698163</v>
      </c>
      <c r="D4" s="2">
        <f ca="1">('[1]Pc, Spring, S1'!D4*Main!$B$5)+(_xlfn.IFNA(VLOOKUP($A4,'FL Ratio'!$A$3:$B$10,2,FALSE),0)*'FL Characterization'!D$2)</f>
        <v>45.765516837736769</v>
      </c>
      <c r="E4" s="2">
        <f ca="1">('[1]Pc, Spring, S1'!E4*Main!$B$5)+(_xlfn.IFNA(VLOOKUP($A4,'FL Ratio'!$A$3:$B$10,2,FALSE),0)*'FL Characterization'!E$2)</f>
        <v>44.311908039623006</v>
      </c>
      <c r="F4" s="2">
        <f ca="1">('[1]Pc, Spring, S1'!F4*Main!$B$5)+(_xlfn.IFNA(VLOOKUP($A4,'FL Ratio'!$A$3:$B$10,2,FALSE),0)*'FL Characterization'!F$2)</f>
        <v>44.665873631129884</v>
      </c>
      <c r="G4" s="2">
        <f ca="1">('[1]Pc, Spring, S1'!G4*Main!$B$5)+(_xlfn.IFNA(VLOOKUP($A4,'FL Ratio'!$A$3:$B$10,2,FALSE),0)*'FL Characterization'!G$2)</f>
        <v>43.831958202549721</v>
      </c>
      <c r="H4" s="2">
        <f ca="1">('[1]Pc, Spring, S1'!H4*Main!$B$5)+(_xlfn.IFNA(VLOOKUP($A4,'FL Ratio'!$A$3:$B$10,2,FALSE),0)*'FL Characterization'!H$2)</f>
        <v>50.990089372736286</v>
      </c>
      <c r="I4" s="2">
        <f ca="1">('[1]Pc, Spring, S1'!I4*Main!$B$5)+(_xlfn.IFNA(VLOOKUP($A4,'FL Ratio'!$A$3:$B$10,2,FALSE),0)*'FL Characterization'!I$2)</f>
        <v>58.285717106927329</v>
      </c>
      <c r="J4" s="2">
        <f ca="1">('[1]Pc, Spring, S1'!J4*Main!$B$5)+(_xlfn.IFNA(VLOOKUP($A4,'FL Ratio'!$A$3:$B$10,2,FALSE),0)*'FL Characterization'!J$2)</f>
        <v>65.982758276580043</v>
      </c>
      <c r="K4" s="2">
        <f ca="1">('[1]Pc, Spring, S1'!K4*Main!$B$5)+(_xlfn.IFNA(VLOOKUP($A4,'FL Ratio'!$A$3:$B$10,2,FALSE),0)*'FL Characterization'!K$2)</f>
        <v>70.71047191624865</v>
      </c>
      <c r="L4" s="2">
        <f ca="1">('[1]Pc, Spring, S1'!L4*Main!$B$5)+(_xlfn.IFNA(VLOOKUP($A4,'FL Ratio'!$A$3:$B$10,2,FALSE),0)*'FL Characterization'!L$2)</f>
        <v>69.743184219769319</v>
      </c>
      <c r="M4" s="2">
        <f ca="1">('[1]Pc, Spring, S1'!M4*Main!$B$5)+(_xlfn.IFNA(VLOOKUP($A4,'FL Ratio'!$A$3:$B$10,2,FALSE),0)*'FL Characterization'!M$2)</f>
        <v>68.16188788392634</v>
      </c>
      <c r="N4" s="2">
        <f ca="1">('[1]Pc, Spring, S1'!N4*Main!$B$5)+(_xlfn.IFNA(VLOOKUP($A4,'FL Ratio'!$A$3:$B$10,2,FALSE),0)*'FL Characterization'!N$2)</f>
        <v>69.885039069022696</v>
      </c>
      <c r="O4" s="2">
        <f ca="1">('[1]Pc, Spring, S1'!O4*Main!$B$5)+(_xlfn.IFNA(VLOOKUP($A4,'FL Ratio'!$A$3:$B$10,2,FALSE),0)*'FL Characterization'!O$2)</f>
        <v>70.929093656665913</v>
      </c>
      <c r="P4" s="2">
        <f ca="1">('[1]Pc, Spring, S1'!P4*Main!$B$5)+(_xlfn.IFNA(VLOOKUP($A4,'FL Ratio'!$A$3:$B$10,2,FALSE),0)*'FL Characterization'!P$2)</f>
        <v>73.464636431159491</v>
      </c>
      <c r="Q4" s="2">
        <f ca="1">('[1]Pc, Spring, S1'!Q4*Main!$B$5)+(_xlfn.IFNA(VLOOKUP($A4,'FL Ratio'!$A$3:$B$10,2,FALSE),0)*'FL Characterization'!Q$2)</f>
        <v>65.909307337364638</v>
      </c>
      <c r="R4" s="2">
        <f ca="1">('[1]Pc, Spring, S1'!R4*Main!$B$5)+(_xlfn.IFNA(VLOOKUP($A4,'FL Ratio'!$A$3:$B$10,2,FALSE),0)*'FL Characterization'!R$2)</f>
        <v>67.072280640747607</v>
      </c>
      <c r="S4" s="2">
        <f ca="1">('[1]Pc, Spring, S1'!S4*Main!$B$5)+(_xlfn.IFNA(VLOOKUP($A4,'FL Ratio'!$A$3:$B$10,2,FALSE),0)*'FL Characterization'!S$2)</f>
        <v>70.186878139557948</v>
      </c>
      <c r="T4" s="2">
        <f ca="1">('[1]Pc, Spring, S1'!T4*Main!$B$5)+(_xlfn.IFNA(VLOOKUP($A4,'FL Ratio'!$A$3:$B$10,2,FALSE),0)*'FL Characterization'!T$2)</f>
        <v>75.835810316241449</v>
      </c>
      <c r="U4" s="2">
        <f ca="1">('[1]Pc, Spring, S1'!U4*Main!$B$5)+(_xlfn.IFNA(VLOOKUP($A4,'FL Ratio'!$A$3:$B$10,2,FALSE),0)*'FL Characterization'!U$2)</f>
        <v>72.45883390791667</v>
      </c>
      <c r="V4" s="2">
        <f ca="1">('[1]Pc, Spring, S1'!V4*Main!$B$5)+(_xlfn.IFNA(VLOOKUP($A4,'FL Ratio'!$A$3:$B$10,2,FALSE),0)*'FL Characterization'!V$2)</f>
        <v>71.595759056101571</v>
      </c>
      <c r="W4" s="2">
        <f ca="1">('[1]Pc, Spring, S1'!W4*Main!$B$5)+(_xlfn.IFNA(VLOOKUP($A4,'FL Ratio'!$A$3:$B$10,2,FALSE),0)*'FL Characterization'!W$2)</f>
        <v>71.882472285639949</v>
      </c>
      <c r="X4" s="2">
        <f ca="1">('[1]Pc, Spring, S1'!X4*Main!$B$5)+(_xlfn.IFNA(VLOOKUP($A4,'FL Ratio'!$A$3:$B$10,2,FALSE),0)*'FL Characterization'!X$2)</f>
        <v>70.887877596516987</v>
      </c>
      <c r="Y4" s="2">
        <f ca="1">('[1]Pc, Spring, S1'!Y4*Main!$B$5)+(_xlfn.IFNA(VLOOKUP($A4,'FL Ratio'!$A$3:$B$10,2,FALSE),0)*'FL Characterization'!Y$2)</f>
        <v>64.381783066330229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39.244572071913574</v>
      </c>
      <c r="C2" s="2">
        <f ca="1">('[1]Pc, Spring, S2'!C2*Main!$B$5)+(_xlfn.IFNA(VLOOKUP($A2,'FL Ratio'!$A$3:$B$10,2,FALSE),0)*'FL Characterization'!C$2)</f>
        <v>36.87569083947033</v>
      </c>
      <c r="D2" s="2">
        <f ca="1">('[1]Pc, Spring, S2'!D2*Main!$B$5)+(_xlfn.IFNA(VLOOKUP($A2,'FL Ratio'!$A$3:$B$10,2,FALSE),0)*'FL Characterization'!D$2)</f>
        <v>35.775209437084605</v>
      </c>
      <c r="E2" s="2">
        <f ca="1">('[1]Pc, Spring, S2'!E2*Main!$B$5)+(_xlfn.IFNA(VLOOKUP($A2,'FL Ratio'!$A$3:$B$10,2,FALSE),0)*'FL Characterization'!E$2)</f>
        <v>34.91799332985984</v>
      </c>
      <c r="F2" s="2">
        <f ca="1">('[1]Pc, Spring, S2'!F2*Main!$B$5)+(_xlfn.IFNA(VLOOKUP($A2,'FL Ratio'!$A$3:$B$10,2,FALSE),0)*'FL Characterization'!F$2)</f>
        <v>34.87388605898726</v>
      </c>
      <c r="G2" s="2">
        <f ca="1">('[1]Pc, Spring, S2'!G2*Main!$B$5)+(_xlfn.IFNA(VLOOKUP($A2,'FL Ratio'!$A$3:$B$10,2,FALSE),0)*'FL Characterization'!G$2)</f>
        <v>36.174284301717449</v>
      </c>
      <c r="H2" s="2">
        <f ca="1">('[1]Pc, Spring, S2'!H2*Main!$B$5)+(_xlfn.IFNA(VLOOKUP($A2,'FL Ratio'!$A$3:$B$10,2,FALSE),0)*'FL Characterization'!H$2)</f>
        <v>41.754460410554721</v>
      </c>
      <c r="I2" s="2">
        <f ca="1">('[1]Pc, Spring, S2'!I2*Main!$B$5)+(_xlfn.IFNA(VLOOKUP($A2,'FL Ratio'!$A$3:$B$10,2,FALSE),0)*'FL Characterization'!I$2)</f>
        <v>47.471313387715</v>
      </c>
      <c r="J2" s="2">
        <f ca="1">('[1]Pc, Spring, S2'!J2*Main!$B$5)+(_xlfn.IFNA(VLOOKUP($A2,'FL Ratio'!$A$3:$B$10,2,FALSE),0)*'FL Characterization'!J$2)</f>
        <v>53.648789740287164</v>
      </c>
      <c r="K2" s="2">
        <f ca="1">('[1]Pc, Spring, S2'!K2*Main!$B$5)+(_xlfn.IFNA(VLOOKUP($A2,'FL Ratio'!$A$3:$B$10,2,FALSE),0)*'FL Characterization'!K$2)</f>
        <v>54.656546209176618</v>
      </c>
      <c r="L2" s="2">
        <f ca="1">('[1]Pc, Spring, S2'!L2*Main!$B$5)+(_xlfn.IFNA(VLOOKUP($A2,'FL Ratio'!$A$3:$B$10,2,FALSE),0)*'FL Characterization'!L$2)</f>
        <v>53.038063740770362</v>
      </c>
      <c r="M2" s="2">
        <f ca="1">('[1]Pc, Spring, S2'!M2*Main!$B$5)+(_xlfn.IFNA(VLOOKUP($A2,'FL Ratio'!$A$3:$B$10,2,FALSE),0)*'FL Characterization'!M$2)</f>
        <v>53.683165674804876</v>
      </c>
      <c r="N2" s="2">
        <f ca="1">('[1]Pc, Spring, S2'!N2*Main!$B$5)+(_xlfn.IFNA(VLOOKUP($A2,'FL Ratio'!$A$3:$B$10,2,FALSE),0)*'FL Characterization'!N$2)</f>
        <v>56.06159310427762</v>
      </c>
      <c r="O2" s="2">
        <f ca="1">('[1]Pc, Spring, S2'!O2*Main!$B$5)+(_xlfn.IFNA(VLOOKUP($A2,'FL Ratio'!$A$3:$B$10,2,FALSE),0)*'FL Characterization'!O$2)</f>
        <v>53.62999509707879</v>
      </c>
      <c r="P2" s="2">
        <f ca="1">('[1]Pc, Spring, S2'!P2*Main!$B$5)+(_xlfn.IFNA(VLOOKUP($A2,'FL Ratio'!$A$3:$B$10,2,FALSE),0)*'FL Characterization'!P$2)</f>
        <v>53.747692426544951</v>
      </c>
      <c r="Q2" s="2">
        <f ca="1">('[1]Pc, Spring, S2'!Q2*Main!$B$5)+(_xlfn.IFNA(VLOOKUP($A2,'FL Ratio'!$A$3:$B$10,2,FALSE),0)*'FL Characterization'!Q$2)</f>
        <v>52.351750196562961</v>
      </c>
      <c r="R2" s="2">
        <f ca="1">('[1]Pc, Spring, S2'!R2*Main!$B$5)+(_xlfn.IFNA(VLOOKUP($A2,'FL Ratio'!$A$3:$B$10,2,FALSE),0)*'FL Characterization'!R$2)</f>
        <v>51.289048337448648</v>
      </c>
      <c r="S2" s="2">
        <f ca="1">('[1]Pc, Spring, S2'!S2*Main!$B$5)+(_xlfn.IFNA(VLOOKUP($A2,'FL Ratio'!$A$3:$B$10,2,FALSE),0)*'FL Characterization'!S$2)</f>
        <v>52.470201191320662</v>
      </c>
      <c r="T2" s="2">
        <f ca="1">('[1]Pc, Spring, S2'!T2*Main!$B$5)+(_xlfn.IFNA(VLOOKUP($A2,'FL Ratio'!$A$3:$B$10,2,FALSE),0)*'FL Characterization'!T$2)</f>
        <v>56.022769957820522</v>
      </c>
      <c r="U2" s="2">
        <f ca="1">('[1]Pc, Spring, S2'!U2*Main!$B$5)+(_xlfn.IFNA(VLOOKUP($A2,'FL Ratio'!$A$3:$B$10,2,FALSE),0)*'FL Characterization'!U$2)</f>
        <v>53.443676244004351</v>
      </c>
      <c r="V2" s="2">
        <f ca="1">('[1]Pc, Spring, S2'!V2*Main!$B$5)+(_xlfn.IFNA(VLOOKUP($A2,'FL Ratio'!$A$3:$B$10,2,FALSE),0)*'FL Characterization'!V$2)</f>
        <v>55.305845074767397</v>
      </c>
      <c r="W2" s="2">
        <f ca="1">('[1]Pc, Spring, S2'!W2*Main!$B$5)+(_xlfn.IFNA(VLOOKUP($A2,'FL Ratio'!$A$3:$B$10,2,FALSE),0)*'FL Characterization'!W$2)</f>
        <v>53.365431196407137</v>
      </c>
      <c r="X2" s="2">
        <f ca="1">('[1]Pc, Spring, S2'!X2*Main!$B$5)+(_xlfn.IFNA(VLOOKUP($A2,'FL Ratio'!$A$3:$B$10,2,FALSE),0)*'FL Characterization'!X$2)</f>
        <v>46.729755317175389</v>
      </c>
      <c r="Y2" s="2">
        <f ca="1">('[1]Pc, Spring, S2'!Y2*Main!$B$5)+(_xlfn.IFNA(VLOOKUP($A2,'FL Ratio'!$A$3:$B$10,2,FALSE),0)*'FL Characterization'!Y$2)</f>
        <v>43.602378224638876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38.770614288969355</v>
      </c>
      <c r="C3" s="2">
        <f ca="1">('[1]Pc, Spring, S2'!C3*Main!$B$5)+(_xlfn.IFNA(VLOOKUP($A3,'FL Ratio'!$A$3:$B$10,2,FALSE),0)*'FL Characterization'!C$2)</f>
        <v>37.761074928932473</v>
      </c>
      <c r="D3" s="2">
        <f ca="1">('[1]Pc, Spring, S2'!D3*Main!$B$5)+(_xlfn.IFNA(VLOOKUP($A3,'FL Ratio'!$A$3:$B$10,2,FALSE),0)*'FL Characterization'!D$2)</f>
        <v>34.158629854343424</v>
      </c>
      <c r="E3" s="2">
        <f ca="1">('[1]Pc, Spring, S2'!E3*Main!$B$5)+(_xlfn.IFNA(VLOOKUP($A3,'FL Ratio'!$A$3:$B$10,2,FALSE),0)*'FL Characterization'!E$2)</f>
        <v>34.072316669558653</v>
      </c>
      <c r="F3" s="2">
        <f ca="1">('[1]Pc, Spring, S2'!F3*Main!$B$5)+(_xlfn.IFNA(VLOOKUP($A3,'FL Ratio'!$A$3:$B$10,2,FALSE),0)*'FL Characterization'!F$2)</f>
        <v>34.456658341783843</v>
      </c>
      <c r="G3" s="2">
        <f ca="1">('[1]Pc, Spring, S2'!G3*Main!$B$5)+(_xlfn.IFNA(VLOOKUP($A3,'FL Ratio'!$A$3:$B$10,2,FALSE),0)*'FL Characterization'!G$2)</f>
        <v>36.426846207663857</v>
      </c>
      <c r="H3" s="2">
        <f ca="1">('[1]Pc, Spring, S2'!H3*Main!$B$5)+(_xlfn.IFNA(VLOOKUP($A3,'FL Ratio'!$A$3:$B$10,2,FALSE),0)*'FL Characterization'!H$2)</f>
        <v>46.710299540863069</v>
      </c>
      <c r="I3" s="2">
        <f ca="1">('[1]Pc, Spring, S2'!I3*Main!$B$5)+(_xlfn.IFNA(VLOOKUP($A3,'FL Ratio'!$A$3:$B$10,2,FALSE),0)*'FL Characterization'!I$2)</f>
        <v>57.440360348753103</v>
      </c>
      <c r="J3" s="2">
        <f ca="1">('[1]Pc, Spring, S2'!J3*Main!$B$5)+(_xlfn.IFNA(VLOOKUP($A3,'FL Ratio'!$A$3:$B$10,2,FALSE),0)*'FL Characterization'!J$2)</f>
        <v>61.864230739520217</v>
      </c>
      <c r="K3" s="2">
        <f ca="1">('[1]Pc, Spring, S2'!K3*Main!$B$5)+(_xlfn.IFNA(VLOOKUP($A3,'FL Ratio'!$A$3:$B$10,2,FALSE),0)*'FL Characterization'!K$2)</f>
        <v>60.466250190137544</v>
      </c>
      <c r="L3" s="2">
        <f ca="1">('[1]Pc, Spring, S2'!L3*Main!$B$5)+(_xlfn.IFNA(VLOOKUP($A3,'FL Ratio'!$A$3:$B$10,2,FALSE),0)*'FL Characterization'!L$2)</f>
        <v>58.4770900875208</v>
      </c>
      <c r="M3" s="2">
        <f ca="1">('[1]Pc, Spring, S2'!M3*Main!$B$5)+(_xlfn.IFNA(VLOOKUP($A3,'FL Ratio'!$A$3:$B$10,2,FALSE),0)*'FL Characterization'!M$2)</f>
        <v>63.885632263778547</v>
      </c>
      <c r="N3" s="2">
        <f ca="1">('[1]Pc, Spring, S2'!N3*Main!$B$5)+(_xlfn.IFNA(VLOOKUP($A3,'FL Ratio'!$A$3:$B$10,2,FALSE),0)*'FL Characterization'!N$2)</f>
        <v>61.955413408657115</v>
      </c>
      <c r="O3" s="2">
        <f ca="1">('[1]Pc, Spring, S2'!O3*Main!$B$5)+(_xlfn.IFNA(VLOOKUP($A3,'FL Ratio'!$A$3:$B$10,2,FALSE),0)*'FL Characterization'!O$2)</f>
        <v>61.183752321820165</v>
      </c>
      <c r="P3" s="2">
        <f ca="1">('[1]Pc, Spring, S2'!P3*Main!$B$5)+(_xlfn.IFNA(VLOOKUP($A3,'FL Ratio'!$A$3:$B$10,2,FALSE),0)*'FL Characterization'!P$2)</f>
        <v>57.342092619183873</v>
      </c>
      <c r="Q3" s="2">
        <f ca="1">('[1]Pc, Spring, S2'!Q3*Main!$B$5)+(_xlfn.IFNA(VLOOKUP($A3,'FL Ratio'!$A$3:$B$10,2,FALSE),0)*'FL Characterization'!Q$2)</f>
        <v>54.809892569430708</v>
      </c>
      <c r="R3" s="2">
        <f ca="1">('[1]Pc, Spring, S2'!R3*Main!$B$5)+(_xlfn.IFNA(VLOOKUP($A3,'FL Ratio'!$A$3:$B$10,2,FALSE),0)*'FL Characterization'!R$2)</f>
        <v>53.007320310757088</v>
      </c>
      <c r="S3" s="2">
        <f ca="1">('[1]Pc, Spring, S2'!S3*Main!$B$5)+(_xlfn.IFNA(VLOOKUP($A3,'FL Ratio'!$A$3:$B$10,2,FALSE),0)*'FL Characterization'!S$2)</f>
        <v>54.552827362551753</v>
      </c>
      <c r="T3" s="2">
        <f ca="1">('[1]Pc, Spring, S2'!T3*Main!$B$5)+(_xlfn.IFNA(VLOOKUP($A3,'FL Ratio'!$A$3:$B$10,2,FALSE),0)*'FL Characterization'!T$2)</f>
        <v>52.417174074255442</v>
      </c>
      <c r="U3" s="2">
        <f ca="1">('[1]Pc, Spring, S2'!U3*Main!$B$5)+(_xlfn.IFNA(VLOOKUP($A3,'FL Ratio'!$A$3:$B$10,2,FALSE),0)*'FL Characterization'!U$2)</f>
        <v>54.977549686483187</v>
      </c>
      <c r="V3" s="2">
        <f ca="1">('[1]Pc, Spring, S2'!V3*Main!$B$5)+(_xlfn.IFNA(VLOOKUP($A3,'FL Ratio'!$A$3:$B$10,2,FALSE),0)*'FL Characterization'!V$2)</f>
        <v>52.713786790287038</v>
      </c>
      <c r="W3" s="2">
        <f ca="1">('[1]Pc, Spring, S2'!W3*Main!$B$5)+(_xlfn.IFNA(VLOOKUP($A3,'FL Ratio'!$A$3:$B$10,2,FALSE),0)*'FL Characterization'!W$2)</f>
        <v>51.339753607068047</v>
      </c>
      <c r="X3" s="2">
        <f ca="1">('[1]Pc, Spring, S2'!X3*Main!$B$5)+(_xlfn.IFNA(VLOOKUP($A3,'FL Ratio'!$A$3:$B$10,2,FALSE),0)*'FL Characterization'!X$2)</f>
        <v>47.667057361513315</v>
      </c>
      <c r="Y3" s="2">
        <f ca="1">('[1]Pc, Spring, S2'!Y3*Main!$B$5)+(_xlfn.IFNA(VLOOKUP($A3,'FL Ratio'!$A$3:$B$10,2,FALSE),0)*'FL Characterization'!Y$2)</f>
        <v>42.728909071149374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56.705637616209678</v>
      </c>
      <c r="C4" s="2">
        <f ca="1">('[1]Pc, Spring, S2'!C4*Main!$B$5)+(_xlfn.IFNA(VLOOKUP($A4,'FL Ratio'!$A$3:$B$10,2,FALSE),0)*'FL Characterization'!C$2)</f>
        <v>49.065458005926089</v>
      </c>
      <c r="D4" s="2">
        <f ca="1">('[1]Pc, Spring, S2'!D4*Main!$B$5)+(_xlfn.IFNA(VLOOKUP($A4,'FL Ratio'!$A$3:$B$10,2,FALSE),0)*'FL Characterization'!D$2)</f>
        <v>47.596137511246233</v>
      </c>
      <c r="E4" s="2">
        <f ca="1">('[1]Pc, Spring, S2'!E4*Main!$B$5)+(_xlfn.IFNA(VLOOKUP($A4,'FL Ratio'!$A$3:$B$10,2,FALSE),0)*'FL Characterization'!E$2)</f>
        <v>46.084384361207924</v>
      </c>
      <c r="F4" s="2">
        <f ca="1">('[1]Pc, Spring, S2'!F4*Main!$B$5)+(_xlfn.IFNA(VLOOKUP($A4,'FL Ratio'!$A$3:$B$10,2,FALSE),0)*'FL Characterization'!F$2)</f>
        <v>46.452508576375081</v>
      </c>
      <c r="G4" s="2">
        <f ca="1">('[1]Pc, Spring, S2'!G4*Main!$B$5)+(_xlfn.IFNA(VLOOKUP($A4,'FL Ratio'!$A$3:$B$10,2,FALSE),0)*'FL Characterization'!G$2)</f>
        <v>45.585236530651713</v>
      </c>
      <c r="H4" s="2">
        <f ca="1">('[1]Pc, Spring, S2'!H4*Main!$B$5)+(_xlfn.IFNA(VLOOKUP($A4,'FL Ratio'!$A$3:$B$10,2,FALSE),0)*'FL Characterization'!H$2)</f>
        <v>53.029692947645728</v>
      </c>
      <c r="I4" s="2">
        <f ca="1">('[1]Pc, Spring, S2'!I4*Main!$B$5)+(_xlfn.IFNA(VLOOKUP($A4,'FL Ratio'!$A$3:$B$10,2,FALSE),0)*'FL Characterization'!I$2)</f>
        <v>60.617145791204436</v>
      </c>
      <c r="J4" s="2">
        <f ca="1">('[1]Pc, Spring, S2'!J4*Main!$B$5)+(_xlfn.IFNA(VLOOKUP($A4,'FL Ratio'!$A$3:$B$10,2,FALSE),0)*'FL Characterization'!J$2)</f>
        <v>68.622068607643229</v>
      </c>
      <c r="K4" s="2">
        <f ca="1">('[1]Pc, Spring, S2'!K4*Main!$B$5)+(_xlfn.IFNA(VLOOKUP($A4,'FL Ratio'!$A$3:$B$10,2,FALSE),0)*'FL Characterization'!K$2)</f>
        <v>73.538890792898599</v>
      </c>
      <c r="L4" s="2">
        <f ca="1">('[1]Pc, Spring, S2'!L4*Main!$B$5)+(_xlfn.IFNA(VLOOKUP($A4,'FL Ratio'!$A$3:$B$10,2,FALSE),0)*'FL Characterization'!L$2)</f>
        <v>72.532911588560097</v>
      </c>
      <c r="M4" s="2">
        <f ca="1">('[1]Pc, Spring, S2'!M4*Main!$B$5)+(_xlfn.IFNA(VLOOKUP($A4,'FL Ratio'!$A$3:$B$10,2,FALSE),0)*'FL Characterization'!M$2)</f>
        <v>70.888363399283392</v>
      </c>
      <c r="N4" s="2">
        <f ca="1">('[1]Pc, Spring, S2'!N4*Main!$B$5)+(_xlfn.IFNA(VLOOKUP($A4,'FL Ratio'!$A$3:$B$10,2,FALSE),0)*'FL Characterization'!N$2)</f>
        <v>72.680440631783611</v>
      </c>
      <c r="O4" s="2">
        <f ca="1">('[1]Pc, Spring, S2'!O4*Main!$B$5)+(_xlfn.IFNA(VLOOKUP($A4,'FL Ratio'!$A$3:$B$10,2,FALSE),0)*'FL Characterization'!O$2)</f>
        <v>73.766257402932553</v>
      </c>
      <c r="P4" s="2">
        <f ca="1">('[1]Pc, Spring, S2'!P4*Main!$B$5)+(_xlfn.IFNA(VLOOKUP($A4,'FL Ratio'!$A$3:$B$10,2,FALSE),0)*'FL Characterization'!P$2)</f>
        <v>76.403221888405866</v>
      </c>
      <c r="Q4" s="2">
        <f ca="1">('[1]Pc, Spring, S2'!Q4*Main!$B$5)+(_xlfn.IFNA(VLOOKUP($A4,'FL Ratio'!$A$3:$B$10,2,FALSE),0)*'FL Characterization'!Q$2)</f>
        <v>68.545679630859212</v>
      </c>
      <c r="R4" s="2">
        <f ca="1">('[1]Pc, Spring, S2'!R4*Main!$B$5)+(_xlfn.IFNA(VLOOKUP($A4,'FL Ratio'!$A$3:$B$10,2,FALSE),0)*'FL Characterization'!R$2)</f>
        <v>69.755171866377509</v>
      </c>
      <c r="S4" s="2">
        <f ca="1">('[1]Pc, Spring, S2'!S4*Main!$B$5)+(_xlfn.IFNA(VLOOKUP($A4,'FL Ratio'!$A$3:$B$10,2,FALSE),0)*'FL Characterization'!S$2)</f>
        <v>72.994353265140276</v>
      </c>
      <c r="T4" s="2">
        <f ca="1">('[1]Pc, Spring, S2'!T4*Main!$B$5)+(_xlfn.IFNA(VLOOKUP($A4,'FL Ratio'!$A$3:$B$10,2,FALSE),0)*'FL Characterization'!T$2)</f>
        <v>78.869242728891109</v>
      </c>
      <c r="U4" s="2">
        <f ca="1">('[1]Pc, Spring, S2'!U4*Main!$B$5)+(_xlfn.IFNA(VLOOKUP($A4,'FL Ratio'!$A$3:$B$10,2,FALSE),0)*'FL Characterization'!U$2)</f>
        <v>75.357187264233346</v>
      </c>
      <c r="V4" s="2">
        <f ca="1">('[1]Pc, Spring, S2'!V4*Main!$B$5)+(_xlfn.IFNA(VLOOKUP($A4,'FL Ratio'!$A$3:$B$10,2,FALSE),0)*'FL Characterization'!V$2)</f>
        <v>74.459589418345629</v>
      </c>
      <c r="W4" s="2">
        <f ca="1">('[1]Pc, Spring, S2'!W4*Main!$B$5)+(_xlfn.IFNA(VLOOKUP($A4,'FL Ratio'!$A$3:$B$10,2,FALSE),0)*'FL Characterization'!W$2)</f>
        <v>74.75777117706555</v>
      </c>
      <c r="X4" s="2">
        <f ca="1">('[1]Pc, Spring, S2'!X4*Main!$B$5)+(_xlfn.IFNA(VLOOKUP($A4,'FL Ratio'!$A$3:$B$10,2,FALSE),0)*'FL Characterization'!X$2)</f>
        <v>73.723392700377659</v>
      </c>
      <c r="Y4" s="2">
        <f ca="1">('[1]Pc, Spring, S2'!Y4*Main!$B$5)+(_xlfn.IFNA(VLOOKUP($A4,'FL Ratio'!$A$3:$B$10,2,FALSE),0)*'FL Characterization'!Y$2)</f>
        <v>66.957054388983437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39.244572071913574</v>
      </c>
      <c r="C2" s="2">
        <f ca="1">('[1]Pc, Spring, S2'!C2*Main!$B$5)+(_xlfn.IFNA(VLOOKUP($A2,'FL Ratio'!$A$3:$B$10,2,FALSE),0)*'FL Characterization'!C$2)</f>
        <v>36.87569083947033</v>
      </c>
      <c r="D2" s="2">
        <f ca="1">('[1]Pc, Spring, S2'!D2*Main!$B$5)+(_xlfn.IFNA(VLOOKUP($A2,'FL Ratio'!$A$3:$B$10,2,FALSE),0)*'FL Characterization'!D$2)</f>
        <v>35.775209437084605</v>
      </c>
      <c r="E2" s="2">
        <f ca="1">('[1]Pc, Spring, S2'!E2*Main!$B$5)+(_xlfn.IFNA(VLOOKUP($A2,'FL Ratio'!$A$3:$B$10,2,FALSE),0)*'FL Characterization'!E$2)</f>
        <v>34.91799332985984</v>
      </c>
      <c r="F2" s="2">
        <f ca="1">('[1]Pc, Spring, S2'!F2*Main!$B$5)+(_xlfn.IFNA(VLOOKUP($A2,'FL Ratio'!$A$3:$B$10,2,FALSE),0)*'FL Characterization'!F$2)</f>
        <v>34.87388605898726</v>
      </c>
      <c r="G2" s="2">
        <f ca="1">('[1]Pc, Spring, S2'!G2*Main!$B$5)+(_xlfn.IFNA(VLOOKUP($A2,'FL Ratio'!$A$3:$B$10,2,FALSE),0)*'FL Characterization'!G$2)</f>
        <v>36.174284301717449</v>
      </c>
      <c r="H2" s="2">
        <f ca="1">('[1]Pc, Spring, S2'!H2*Main!$B$5)+(_xlfn.IFNA(VLOOKUP($A2,'FL Ratio'!$A$3:$B$10,2,FALSE),0)*'FL Characterization'!H$2)</f>
        <v>41.754460410554721</v>
      </c>
      <c r="I2" s="2">
        <f ca="1">('[1]Pc, Spring, S2'!I2*Main!$B$5)+(_xlfn.IFNA(VLOOKUP($A2,'FL Ratio'!$A$3:$B$10,2,FALSE),0)*'FL Characterization'!I$2)</f>
        <v>47.471313387715</v>
      </c>
      <c r="J2" s="2">
        <f ca="1">('[1]Pc, Spring, S2'!J2*Main!$B$5)+(_xlfn.IFNA(VLOOKUP($A2,'FL Ratio'!$A$3:$B$10,2,FALSE),0)*'FL Characterization'!J$2)</f>
        <v>53.648789740287164</v>
      </c>
      <c r="K2" s="2">
        <f ca="1">('[1]Pc, Spring, S2'!K2*Main!$B$5)+(_xlfn.IFNA(VLOOKUP($A2,'FL Ratio'!$A$3:$B$10,2,FALSE),0)*'FL Characterization'!K$2)</f>
        <v>54.656546209176618</v>
      </c>
      <c r="L2" s="2">
        <f ca="1">('[1]Pc, Spring, S2'!L2*Main!$B$5)+(_xlfn.IFNA(VLOOKUP($A2,'FL Ratio'!$A$3:$B$10,2,FALSE),0)*'FL Characterization'!L$2)</f>
        <v>53.038063740770362</v>
      </c>
      <c r="M2" s="2">
        <f ca="1">('[1]Pc, Spring, S2'!M2*Main!$B$5)+(_xlfn.IFNA(VLOOKUP($A2,'FL Ratio'!$A$3:$B$10,2,FALSE),0)*'FL Characterization'!M$2)</f>
        <v>53.683165674804876</v>
      </c>
      <c r="N2" s="2">
        <f ca="1">('[1]Pc, Spring, S2'!N2*Main!$B$5)+(_xlfn.IFNA(VLOOKUP($A2,'FL Ratio'!$A$3:$B$10,2,FALSE),0)*'FL Characterization'!N$2)</f>
        <v>56.06159310427762</v>
      </c>
      <c r="O2" s="2">
        <f ca="1">('[1]Pc, Spring, S2'!O2*Main!$B$5)+(_xlfn.IFNA(VLOOKUP($A2,'FL Ratio'!$A$3:$B$10,2,FALSE),0)*'FL Characterization'!O$2)</f>
        <v>53.62999509707879</v>
      </c>
      <c r="P2" s="2">
        <f ca="1">('[1]Pc, Spring, S2'!P2*Main!$B$5)+(_xlfn.IFNA(VLOOKUP($A2,'FL Ratio'!$A$3:$B$10,2,FALSE),0)*'FL Characterization'!P$2)</f>
        <v>53.747692426544951</v>
      </c>
      <c r="Q2" s="2">
        <f ca="1">('[1]Pc, Spring, S2'!Q2*Main!$B$5)+(_xlfn.IFNA(VLOOKUP($A2,'FL Ratio'!$A$3:$B$10,2,FALSE),0)*'FL Characterization'!Q$2)</f>
        <v>52.351750196562961</v>
      </c>
      <c r="R2" s="2">
        <f ca="1">('[1]Pc, Spring, S2'!R2*Main!$B$5)+(_xlfn.IFNA(VLOOKUP($A2,'FL Ratio'!$A$3:$B$10,2,FALSE),0)*'FL Characterization'!R$2)</f>
        <v>51.289048337448648</v>
      </c>
      <c r="S2" s="2">
        <f ca="1">('[1]Pc, Spring, S2'!S2*Main!$B$5)+(_xlfn.IFNA(VLOOKUP($A2,'FL Ratio'!$A$3:$B$10,2,FALSE),0)*'FL Characterization'!S$2)</f>
        <v>52.470201191320662</v>
      </c>
      <c r="T2" s="2">
        <f ca="1">('[1]Pc, Spring, S2'!T2*Main!$B$5)+(_xlfn.IFNA(VLOOKUP($A2,'FL Ratio'!$A$3:$B$10,2,FALSE),0)*'FL Characterization'!T$2)</f>
        <v>56.022769957820522</v>
      </c>
      <c r="U2" s="2">
        <f ca="1">('[1]Pc, Spring, S2'!U2*Main!$B$5)+(_xlfn.IFNA(VLOOKUP($A2,'FL Ratio'!$A$3:$B$10,2,FALSE),0)*'FL Characterization'!U$2)</f>
        <v>53.443676244004351</v>
      </c>
      <c r="V2" s="2">
        <f ca="1">('[1]Pc, Spring, S2'!V2*Main!$B$5)+(_xlfn.IFNA(VLOOKUP($A2,'FL Ratio'!$A$3:$B$10,2,FALSE),0)*'FL Characterization'!V$2)</f>
        <v>55.305845074767397</v>
      </c>
      <c r="W2" s="2">
        <f ca="1">('[1]Pc, Spring, S2'!W2*Main!$B$5)+(_xlfn.IFNA(VLOOKUP($A2,'FL Ratio'!$A$3:$B$10,2,FALSE),0)*'FL Characterization'!W$2)</f>
        <v>53.365431196407137</v>
      </c>
      <c r="X2" s="2">
        <f ca="1">('[1]Pc, Spring, S2'!X2*Main!$B$5)+(_xlfn.IFNA(VLOOKUP($A2,'FL Ratio'!$A$3:$B$10,2,FALSE),0)*'FL Characterization'!X$2)</f>
        <v>46.729755317175389</v>
      </c>
      <c r="Y2" s="2">
        <f ca="1">('[1]Pc, Spring, S2'!Y2*Main!$B$5)+(_xlfn.IFNA(VLOOKUP($A2,'FL Ratio'!$A$3:$B$10,2,FALSE),0)*'FL Characterization'!Y$2)</f>
        <v>43.602378224638876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38.770614288969355</v>
      </c>
      <c r="C3" s="2">
        <f ca="1">('[1]Pc, Spring, S2'!C3*Main!$B$5)+(_xlfn.IFNA(VLOOKUP($A3,'FL Ratio'!$A$3:$B$10,2,FALSE),0)*'FL Characterization'!C$2)</f>
        <v>37.761074928932473</v>
      </c>
      <c r="D3" s="2">
        <f ca="1">('[1]Pc, Spring, S2'!D3*Main!$B$5)+(_xlfn.IFNA(VLOOKUP($A3,'FL Ratio'!$A$3:$B$10,2,FALSE),0)*'FL Characterization'!D$2)</f>
        <v>34.158629854343424</v>
      </c>
      <c r="E3" s="2">
        <f ca="1">('[1]Pc, Spring, S2'!E3*Main!$B$5)+(_xlfn.IFNA(VLOOKUP($A3,'FL Ratio'!$A$3:$B$10,2,FALSE),0)*'FL Characterization'!E$2)</f>
        <v>34.072316669558653</v>
      </c>
      <c r="F3" s="2">
        <f ca="1">('[1]Pc, Spring, S2'!F3*Main!$B$5)+(_xlfn.IFNA(VLOOKUP($A3,'FL Ratio'!$A$3:$B$10,2,FALSE),0)*'FL Characterization'!F$2)</f>
        <v>34.456658341783843</v>
      </c>
      <c r="G3" s="2">
        <f ca="1">('[1]Pc, Spring, S2'!G3*Main!$B$5)+(_xlfn.IFNA(VLOOKUP($A3,'FL Ratio'!$A$3:$B$10,2,FALSE),0)*'FL Characterization'!G$2)</f>
        <v>36.426846207663857</v>
      </c>
      <c r="H3" s="2">
        <f ca="1">('[1]Pc, Spring, S2'!H3*Main!$B$5)+(_xlfn.IFNA(VLOOKUP($A3,'FL Ratio'!$A$3:$B$10,2,FALSE),0)*'FL Characterization'!H$2)</f>
        <v>46.710299540863069</v>
      </c>
      <c r="I3" s="2">
        <f ca="1">('[1]Pc, Spring, S2'!I3*Main!$B$5)+(_xlfn.IFNA(VLOOKUP($A3,'FL Ratio'!$A$3:$B$10,2,FALSE),0)*'FL Characterization'!I$2)</f>
        <v>57.440360348753103</v>
      </c>
      <c r="J3" s="2">
        <f ca="1">('[1]Pc, Spring, S2'!J3*Main!$B$5)+(_xlfn.IFNA(VLOOKUP($A3,'FL Ratio'!$A$3:$B$10,2,FALSE),0)*'FL Characterization'!J$2)</f>
        <v>61.864230739520217</v>
      </c>
      <c r="K3" s="2">
        <f ca="1">('[1]Pc, Spring, S2'!K3*Main!$B$5)+(_xlfn.IFNA(VLOOKUP($A3,'FL Ratio'!$A$3:$B$10,2,FALSE),0)*'FL Characterization'!K$2)</f>
        <v>60.466250190137544</v>
      </c>
      <c r="L3" s="2">
        <f ca="1">('[1]Pc, Spring, S2'!L3*Main!$B$5)+(_xlfn.IFNA(VLOOKUP($A3,'FL Ratio'!$A$3:$B$10,2,FALSE),0)*'FL Characterization'!L$2)</f>
        <v>58.4770900875208</v>
      </c>
      <c r="M3" s="2">
        <f ca="1">('[1]Pc, Spring, S2'!M3*Main!$B$5)+(_xlfn.IFNA(VLOOKUP($A3,'FL Ratio'!$A$3:$B$10,2,FALSE),0)*'FL Characterization'!M$2)</f>
        <v>63.885632263778547</v>
      </c>
      <c r="N3" s="2">
        <f ca="1">('[1]Pc, Spring, S2'!N3*Main!$B$5)+(_xlfn.IFNA(VLOOKUP($A3,'FL Ratio'!$A$3:$B$10,2,FALSE),0)*'FL Characterization'!N$2)</f>
        <v>61.955413408657115</v>
      </c>
      <c r="O3" s="2">
        <f ca="1">('[1]Pc, Spring, S2'!O3*Main!$B$5)+(_xlfn.IFNA(VLOOKUP($A3,'FL Ratio'!$A$3:$B$10,2,FALSE),0)*'FL Characterization'!O$2)</f>
        <v>61.183752321820165</v>
      </c>
      <c r="P3" s="2">
        <f ca="1">('[1]Pc, Spring, S2'!P3*Main!$B$5)+(_xlfn.IFNA(VLOOKUP($A3,'FL Ratio'!$A$3:$B$10,2,FALSE),0)*'FL Characterization'!P$2)</f>
        <v>57.342092619183873</v>
      </c>
      <c r="Q3" s="2">
        <f ca="1">('[1]Pc, Spring, S2'!Q3*Main!$B$5)+(_xlfn.IFNA(VLOOKUP($A3,'FL Ratio'!$A$3:$B$10,2,FALSE),0)*'FL Characterization'!Q$2)</f>
        <v>54.809892569430708</v>
      </c>
      <c r="R3" s="2">
        <f ca="1">('[1]Pc, Spring, S2'!R3*Main!$B$5)+(_xlfn.IFNA(VLOOKUP($A3,'FL Ratio'!$A$3:$B$10,2,FALSE),0)*'FL Characterization'!R$2)</f>
        <v>53.007320310757088</v>
      </c>
      <c r="S3" s="2">
        <f ca="1">('[1]Pc, Spring, S2'!S3*Main!$B$5)+(_xlfn.IFNA(VLOOKUP($A3,'FL Ratio'!$A$3:$B$10,2,FALSE),0)*'FL Characterization'!S$2)</f>
        <v>54.552827362551753</v>
      </c>
      <c r="T3" s="2">
        <f ca="1">('[1]Pc, Spring, S2'!T3*Main!$B$5)+(_xlfn.IFNA(VLOOKUP($A3,'FL Ratio'!$A$3:$B$10,2,FALSE),0)*'FL Characterization'!T$2)</f>
        <v>52.417174074255442</v>
      </c>
      <c r="U3" s="2">
        <f ca="1">('[1]Pc, Spring, S2'!U3*Main!$B$5)+(_xlfn.IFNA(VLOOKUP($A3,'FL Ratio'!$A$3:$B$10,2,FALSE),0)*'FL Characterization'!U$2)</f>
        <v>54.977549686483187</v>
      </c>
      <c r="V3" s="2">
        <f ca="1">('[1]Pc, Spring, S2'!V3*Main!$B$5)+(_xlfn.IFNA(VLOOKUP($A3,'FL Ratio'!$A$3:$B$10,2,FALSE),0)*'FL Characterization'!V$2)</f>
        <v>52.713786790287038</v>
      </c>
      <c r="W3" s="2">
        <f ca="1">('[1]Pc, Spring, S2'!W3*Main!$B$5)+(_xlfn.IFNA(VLOOKUP($A3,'FL Ratio'!$A$3:$B$10,2,FALSE),0)*'FL Characterization'!W$2)</f>
        <v>51.339753607068047</v>
      </c>
      <c r="X3" s="2">
        <f ca="1">('[1]Pc, Spring, S2'!X3*Main!$B$5)+(_xlfn.IFNA(VLOOKUP($A3,'FL Ratio'!$A$3:$B$10,2,FALSE),0)*'FL Characterization'!X$2)</f>
        <v>47.667057361513315</v>
      </c>
      <c r="Y3" s="2">
        <f ca="1">('[1]Pc, Spring, S2'!Y3*Main!$B$5)+(_xlfn.IFNA(VLOOKUP($A3,'FL Ratio'!$A$3:$B$10,2,FALSE),0)*'FL Characterization'!Y$2)</f>
        <v>42.728909071149374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56.705637616209678</v>
      </c>
      <c r="C4" s="2">
        <f ca="1">('[1]Pc, Spring, S2'!C4*Main!$B$5)+(_xlfn.IFNA(VLOOKUP($A4,'FL Ratio'!$A$3:$B$10,2,FALSE),0)*'FL Characterization'!C$2)</f>
        <v>49.065458005926089</v>
      </c>
      <c r="D4" s="2">
        <f ca="1">('[1]Pc, Spring, S2'!D4*Main!$B$5)+(_xlfn.IFNA(VLOOKUP($A4,'FL Ratio'!$A$3:$B$10,2,FALSE),0)*'FL Characterization'!D$2)</f>
        <v>47.596137511246233</v>
      </c>
      <c r="E4" s="2">
        <f ca="1">('[1]Pc, Spring, S2'!E4*Main!$B$5)+(_xlfn.IFNA(VLOOKUP($A4,'FL Ratio'!$A$3:$B$10,2,FALSE),0)*'FL Characterization'!E$2)</f>
        <v>46.084384361207924</v>
      </c>
      <c r="F4" s="2">
        <f ca="1">('[1]Pc, Spring, S2'!F4*Main!$B$5)+(_xlfn.IFNA(VLOOKUP($A4,'FL Ratio'!$A$3:$B$10,2,FALSE),0)*'FL Characterization'!F$2)</f>
        <v>46.452508576375081</v>
      </c>
      <c r="G4" s="2">
        <f ca="1">('[1]Pc, Spring, S2'!G4*Main!$B$5)+(_xlfn.IFNA(VLOOKUP($A4,'FL Ratio'!$A$3:$B$10,2,FALSE),0)*'FL Characterization'!G$2)</f>
        <v>45.585236530651713</v>
      </c>
      <c r="H4" s="2">
        <f ca="1">('[1]Pc, Spring, S2'!H4*Main!$B$5)+(_xlfn.IFNA(VLOOKUP($A4,'FL Ratio'!$A$3:$B$10,2,FALSE),0)*'FL Characterization'!H$2)</f>
        <v>53.029692947645728</v>
      </c>
      <c r="I4" s="2">
        <f ca="1">('[1]Pc, Spring, S2'!I4*Main!$B$5)+(_xlfn.IFNA(VLOOKUP($A4,'FL Ratio'!$A$3:$B$10,2,FALSE),0)*'FL Characterization'!I$2)</f>
        <v>60.617145791204436</v>
      </c>
      <c r="J4" s="2">
        <f ca="1">('[1]Pc, Spring, S2'!J4*Main!$B$5)+(_xlfn.IFNA(VLOOKUP($A4,'FL Ratio'!$A$3:$B$10,2,FALSE),0)*'FL Characterization'!J$2)</f>
        <v>68.622068607643229</v>
      </c>
      <c r="K4" s="2">
        <f ca="1">('[1]Pc, Spring, S2'!K4*Main!$B$5)+(_xlfn.IFNA(VLOOKUP($A4,'FL Ratio'!$A$3:$B$10,2,FALSE),0)*'FL Characterization'!K$2)</f>
        <v>73.538890792898599</v>
      </c>
      <c r="L4" s="2">
        <f ca="1">('[1]Pc, Spring, S2'!L4*Main!$B$5)+(_xlfn.IFNA(VLOOKUP($A4,'FL Ratio'!$A$3:$B$10,2,FALSE),0)*'FL Characterization'!L$2)</f>
        <v>72.532911588560097</v>
      </c>
      <c r="M4" s="2">
        <f ca="1">('[1]Pc, Spring, S2'!M4*Main!$B$5)+(_xlfn.IFNA(VLOOKUP($A4,'FL Ratio'!$A$3:$B$10,2,FALSE),0)*'FL Characterization'!M$2)</f>
        <v>70.888363399283392</v>
      </c>
      <c r="N4" s="2">
        <f ca="1">('[1]Pc, Spring, S2'!N4*Main!$B$5)+(_xlfn.IFNA(VLOOKUP($A4,'FL Ratio'!$A$3:$B$10,2,FALSE),0)*'FL Characterization'!N$2)</f>
        <v>72.680440631783611</v>
      </c>
      <c r="O4" s="2">
        <f ca="1">('[1]Pc, Spring, S2'!O4*Main!$B$5)+(_xlfn.IFNA(VLOOKUP($A4,'FL Ratio'!$A$3:$B$10,2,FALSE),0)*'FL Characterization'!O$2)</f>
        <v>73.766257402932553</v>
      </c>
      <c r="P4" s="2">
        <f ca="1">('[1]Pc, Spring, S2'!P4*Main!$B$5)+(_xlfn.IFNA(VLOOKUP($A4,'FL Ratio'!$A$3:$B$10,2,FALSE),0)*'FL Characterization'!P$2)</f>
        <v>76.403221888405866</v>
      </c>
      <c r="Q4" s="2">
        <f ca="1">('[1]Pc, Spring, S2'!Q4*Main!$B$5)+(_xlfn.IFNA(VLOOKUP($A4,'FL Ratio'!$A$3:$B$10,2,FALSE),0)*'FL Characterization'!Q$2)</f>
        <v>68.545679630859212</v>
      </c>
      <c r="R4" s="2">
        <f ca="1">('[1]Pc, Spring, S2'!R4*Main!$B$5)+(_xlfn.IFNA(VLOOKUP($A4,'FL Ratio'!$A$3:$B$10,2,FALSE),0)*'FL Characterization'!R$2)</f>
        <v>69.755171866377509</v>
      </c>
      <c r="S4" s="2">
        <f ca="1">('[1]Pc, Spring, S2'!S4*Main!$B$5)+(_xlfn.IFNA(VLOOKUP($A4,'FL Ratio'!$A$3:$B$10,2,FALSE),0)*'FL Characterization'!S$2)</f>
        <v>72.994353265140276</v>
      </c>
      <c r="T4" s="2">
        <f ca="1">('[1]Pc, Spring, S2'!T4*Main!$B$5)+(_xlfn.IFNA(VLOOKUP($A4,'FL Ratio'!$A$3:$B$10,2,FALSE),0)*'FL Characterization'!T$2)</f>
        <v>78.869242728891109</v>
      </c>
      <c r="U4" s="2">
        <f ca="1">('[1]Pc, Spring, S2'!U4*Main!$B$5)+(_xlfn.IFNA(VLOOKUP($A4,'FL Ratio'!$A$3:$B$10,2,FALSE),0)*'FL Characterization'!U$2)</f>
        <v>75.357187264233346</v>
      </c>
      <c r="V4" s="2">
        <f ca="1">('[1]Pc, Spring, S2'!V4*Main!$B$5)+(_xlfn.IFNA(VLOOKUP($A4,'FL Ratio'!$A$3:$B$10,2,FALSE),0)*'FL Characterization'!V$2)</f>
        <v>74.459589418345629</v>
      </c>
      <c r="W4" s="2">
        <f ca="1">('[1]Pc, Spring, S2'!W4*Main!$B$5)+(_xlfn.IFNA(VLOOKUP($A4,'FL Ratio'!$A$3:$B$10,2,FALSE),0)*'FL Characterization'!W$2)</f>
        <v>74.75777117706555</v>
      </c>
      <c r="X4" s="2">
        <f ca="1">('[1]Pc, Spring, S2'!X4*Main!$B$5)+(_xlfn.IFNA(VLOOKUP($A4,'FL Ratio'!$A$3:$B$10,2,FALSE),0)*'FL Characterization'!X$2)</f>
        <v>73.723392700377659</v>
      </c>
      <c r="Y4" s="2">
        <f ca="1">('[1]Pc, Spring, S2'!Y4*Main!$B$5)+(_xlfn.IFNA(VLOOKUP($A4,'FL Ratio'!$A$3:$B$10,2,FALSE),0)*'FL Characterization'!Y$2)</f>
        <v>66.957054388983437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39.244572071913574</v>
      </c>
      <c r="C2" s="2">
        <f ca="1">('[1]Pc, Spring, S2'!C2*Main!$B$5)+(_xlfn.IFNA(VLOOKUP($A2,'FL Ratio'!$A$3:$B$10,2,FALSE),0)*'FL Characterization'!C$2)</f>
        <v>36.87569083947033</v>
      </c>
      <c r="D2" s="2">
        <f ca="1">('[1]Pc, Spring, S2'!D2*Main!$B$5)+(_xlfn.IFNA(VLOOKUP($A2,'FL Ratio'!$A$3:$B$10,2,FALSE),0)*'FL Characterization'!D$2)</f>
        <v>35.775209437084605</v>
      </c>
      <c r="E2" s="2">
        <f ca="1">('[1]Pc, Spring, S2'!E2*Main!$B$5)+(_xlfn.IFNA(VLOOKUP($A2,'FL Ratio'!$A$3:$B$10,2,FALSE),0)*'FL Characterization'!E$2)</f>
        <v>34.91799332985984</v>
      </c>
      <c r="F2" s="2">
        <f ca="1">('[1]Pc, Spring, S2'!F2*Main!$B$5)+(_xlfn.IFNA(VLOOKUP($A2,'FL Ratio'!$A$3:$B$10,2,FALSE),0)*'FL Characterization'!F$2)</f>
        <v>34.87388605898726</v>
      </c>
      <c r="G2" s="2">
        <f ca="1">('[1]Pc, Spring, S2'!G2*Main!$B$5)+(_xlfn.IFNA(VLOOKUP($A2,'FL Ratio'!$A$3:$B$10,2,FALSE),0)*'FL Characterization'!G$2)</f>
        <v>36.174284301717449</v>
      </c>
      <c r="H2" s="2">
        <f ca="1">('[1]Pc, Spring, S2'!H2*Main!$B$5)+(_xlfn.IFNA(VLOOKUP($A2,'FL Ratio'!$A$3:$B$10,2,FALSE),0)*'FL Characterization'!H$2)</f>
        <v>41.754460410554721</v>
      </c>
      <c r="I2" s="2">
        <f ca="1">('[1]Pc, Spring, S2'!I2*Main!$B$5)+(_xlfn.IFNA(VLOOKUP($A2,'FL Ratio'!$A$3:$B$10,2,FALSE),0)*'FL Characterization'!I$2)</f>
        <v>47.471313387715</v>
      </c>
      <c r="J2" s="2">
        <f ca="1">('[1]Pc, Spring, S2'!J2*Main!$B$5)+(_xlfn.IFNA(VLOOKUP($A2,'FL Ratio'!$A$3:$B$10,2,FALSE),0)*'FL Characterization'!J$2)</f>
        <v>53.648789740287164</v>
      </c>
      <c r="K2" s="2">
        <f ca="1">('[1]Pc, Spring, S2'!K2*Main!$B$5)+(_xlfn.IFNA(VLOOKUP($A2,'FL Ratio'!$A$3:$B$10,2,FALSE),0)*'FL Characterization'!K$2)</f>
        <v>54.656546209176618</v>
      </c>
      <c r="L2" s="2">
        <f ca="1">('[1]Pc, Spring, S2'!L2*Main!$B$5)+(_xlfn.IFNA(VLOOKUP($A2,'FL Ratio'!$A$3:$B$10,2,FALSE),0)*'FL Characterization'!L$2)</f>
        <v>53.038063740770362</v>
      </c>
      <c r="M2" s="2">
        <f ca="1">('[1]Pc, Spring, S2'!M2*Main!$B$5)+(_xlfn.IFNA(VLOOKUP($A2,'FL Ratio'!$A$3:$B$10,2,FALSE),0)*'FL Characterization'!M$2)</f>
        <v>53.683165674804876</v>
      </c>
      <c r="N2" s="2">
        <f ca="1">('[1]Pc, Spring, S2'!N2*Main!$B$5)+(_xlfn.IFNA(VLOOKUP($A2,'FL Ratio'!$A$3:$B$10,2,FALSE),0)*'FL Characterization'!N$2)</f>
        <v>56.06159310427762</v>
      </c>
      <c r="O2" s="2">
        <f ca="1">('[1]Pc, Spring, S2'!O2*Main!$B$5)+(_xlfn.IFNA(VLOOKUP($A2,'FL Ratio'!$A$3:$B$10,2,FALSE),0)*'FL Characterization'!O$2)</f>
        <v>53.62999509707879</v>
      </c>
      <c r="P2" s="2">
        <f ca="1">('[1]Pc, Spring, S2'!P2*Main!$B$5)+(_xlfn.IFNA(VLOOKUP($A2,'FL Ratio'!$A$3:$B$10,2,FALSE),0)*'FL Characterization'!P$2)</f>
        <v>53.747692426544951</v>
      </c>
      <c r="Q2" s="2">
        <f ca="1">('[1]Pc, Spring, S2'!Q2*Main!$B$5)+(_xlfn.IFNA(VLOOKUP($A2,'FL Ratio'!$A$3:$B$10,2,FALSE),0)*'FL Characterization'!Q$2)</f>
        <v>52.351750196562961</v>
      </c>
      <c r="R2" s="2">
        <f ca="1">('[1]Pc, Spring, S2'!R2*Main!$B$5)+(_xlfn.IFNA(VLOOKUP($A2,'FL Ratio'!$A$3:$B$10,2,FALSE),0)*'FL Characterization'!R$2)</f>
        <v>51.289048337448648</v>
      </c>
      <c r="S2" s="2">
        <f ca="1">('[1]Pc, Spring, S2'!S2*Main!$B$5)+(_xlfn.IFNA(VLOOKUP($A2,'FL Ratio'!$A$3:$B$10,2,FALSE),0)*'FL Characterization'!S$2)</f>
        <v>52.470201191320662</v>
      </c>
      <c r="T2" s="2">
        <f ca="1">('[1]Pc, Spring, S2'!T2*Main!$B$5)+(_xlfn.IFNA(VLOOKUP($A2,'FL Ratio'!$A$3:$B$10,2,FALSE),0)*'FL Characterization'!T$2)</f>
        <v>56.022769957820522</v>
      </c>
      <c r="U2" s="2">
        <f ca="1">('[1]Pc, Spring, S2'!U2*Main!$B$5)+(_xlfn.IFNA(VLOOKUP($A2,'FL Ratio'!$A$3:$B$10,2,FALSE),0)*'FL Characterization'!U$2)</f>
        <v>53.443676244004351</v>
      </c>
      <c r="V2" s="2">
        <f ca="1">('[1]Pc, Spring, S2'!V2*Main!$B$5)+(_xlfn.IFNA(VLOOKUP($A2,'FL Ratio'!$A$3:$B$10,2,FALSE),0)*'FL Characterization'!V$2)</f>
        <v>55.305845074767397</v>
      </c>
      <c r="W2" s="2">
        <f ca="1">('[1]Pc, Spring, S2'!W2*Main!$B$5)+(_xlfn.IFNA(VLOOKUP($A2,'FL Ratio'!$A$3:$B$10,2,FALSE),0)*'FL Characterization'!W$2)</f>
        <v>53.365431196407137</v>
      </c>
      <c r="X2" s="2">
        <f ca="1">('[1]Pc, Spring, S2'!X2*Main!$B$5)+(_xlfn.IFNA(VLOOKUP($A2,'FL Ratio'!$A$3:$B$10,2,FALSE),0)*'FL Characterization'!X$2)</f>
        <v>46.729755317175389</v>
      </c>
      <c r="Y2" s="2">
        <f ca="1">('[1]Pc, Spring, S2'!Y2*Main!$B$5)+(_xlfn.IFNA(VLOOKUP($A2,'FL Ratio'!$A$3:$B$10,2,FALSE),0)*'FL Characterization'!Y$2)</f>
        <v>43.602378224638876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38.770614288969355</v>
      </c>
      <c r="C3" s="2">
        <f ca="1">('[1]Pc, Spring, S2'!C3*Main!$B$5)+(_xlfn.IFNA(VLOOKUP($A3,'FL Ratio'!$A$3:$B$10,2,FALSE),0)*'FL Characterization'!C$2)</f>
        <v>37.761074928932473</v>
      </c>
      <c r="D3" s="2">
        <f ca="1">('[1]Pc, Spring, S2'!D3*Main!$B$5)+(_xlfn.IFNA(VLOOKUP($A3,'FL Ratio'!$A$3:$B$10,2,FALSE),0)*'FL Characterization'!D$2)</f>
        <v>34.158629854343424</v>
      </c>
      <c r="E3" s="2">
        <f ca="1">('[1]Pc, Spring, S2'!E3*Main!$B$5)+(_xlfn.IFNA(VLOOKUP($A3,'FL Ratio'!$A$3:$B$10,2,FALSE),0)*'FL Characterization'!E$2)</f>
        <v>34.072316669558653</v>
      </c>
      <c r="F3" s="2">
        <f ca="1">('[1]Pc, Spring, S2'!F3*Main!$B$5)+(_xlfn.IFNA(VLOOKUP($A3,'FL Ratio'!$A$3:$B$10,2,FALSE),0)*'FL Characterization'!F$2)</f>
        <v>34.456658341783843</v>
      </c>
      <c r="G3" s="2">
        <f ca="1">('[1]Pc, Spring, S2'!G3*Main!$B$5)+(_xlfn.IFNA(VLOOKUP($A3,'FL Ratio'!$A$3:$B$10,2,FALSE),0)*'FL Characterization'!G$2)</f>
        <v>36.426846207663857</v>
      </c>
      <c r="H3" s="2">
        <f ca="1">('[1]Pc, Spring, S2'!H3*Main!$B$5)+(_xlfn.IFNA(VLOOKUP($A3,'FL Ratio'!$A$3:$B$10,2,FALSE),0)*'FL Characterization'!H$2)</f>
        <v>46.710299540863069</v>
      </c>
      <c r="I3" s="2">
        <f ca="1">('[1]Pc, Spring, S2'!I3*Main!$B$5)+(_xlfn.IFNA(VLOOKUP($A3,'FL Ratio'!$A$3:$B$10,2,FALSE),0)*'FL Characterization'!I$2)</f>
        <v>57.440360348753103</v>
      </c>
      <c r="J3" s="2">
        <f ca="1">('[1]Pc, Spring, S2'!J3*Main!$B$5)+(_xlfn.IFNA(VLOOKUP($A3,'FL Ratio'!$A$3:$B$10,2,FALSE),0)*'FL Characterization'!J$2)</f>
        <v>61.864230739520217</v>
      </c>
      <c r="K3" s="2">
        <f ca="1">('[1]Pc, Spring, S2'!K3*Main!$B$5)+(_xlfn.IFNA(VLOOKUP($A3,'FL Ratio'!$A$3:$B$10,2,FALSE),0)*'FL Characterization'!K$2)</f>
        <v>60.466250190137544</v>
      </c>
      <c r="L3" s="2">
        <f ca="1">('[1]Pc, Spring, S2'!L3*Main!$B$5)+(_xlfn.IFNA(VLOOKUP($A3,'FL Ratio'!$A$3:$B$10,2,FALSE),0)*'FL Characterization'!L$2)</f>
        <v>58.4770900875208</v>
      </c>
      <c r="M3" s="2">
        <f ca="1">('[1]Pc, Spring, S2'!M3*Main!$B$5)+(_xlfn.IFNA(VLOOKUP($A3,'FL Ratio'!$A$3:$B$10,2,FALSE),0)*'FL Characterization'!M$2)</f>
        <v>63.885632263778547</v>
      </c>
      <c r="N3" s="2">
        <f ca="1">('[1]Pc, Spring, S2'!N3*Main!$B$5)+(_xlfn.IFNA(VLOOKUP($A3,'FL Ratio'!$A$3:$B$10,2,FALSE),0)*'FL Characterization'!N$2)</f>
        <v>61.955413408657115</v>
      </c>
      <c r="O3" s="2">
        <f ca="1">('[1]Pc, Spring, S2'!O3*Main!$B$5)+(_xlfn.IFNA(VLOOKUP($A3,'FL Ratio'!$A$3:$B$10,2,FALSE),0)*'FL Characterization'!O$2)</f>
        <v>61.183752321820165</v>
      </c>
      <c r="P3" s="2">
        <f ca="1">('[1]Pc, Spring, S2'!P3*Main!$B$5)+(_xlfn.IFNA(VLOOKUP($A3,'FL Ratio'!$A$3:$B$10,2,FALSE),0)*'FL Characterization'!P$2)</f>
        <v>57.342092619183873</v>
      </c>
      <c r="Q3" s="2">
        <f ca="1">('[1]Pc, Spring, S2'!Q3*Main!$B$5)+(_xlfn.IFNA(VLOOKUP($A3,'FL Ratio'!$A$3:$B$10,2,FALSE),0)*'FL Characterization'!Q$2)</f>
        <v>54.809892569430708</v>
      </c>
      <c r="R3" s="2">
        <f ca="1">('[1]Pc, Spring, S2'!R3*Main!$B$5)+(_xlfn.IFNA(VLOOKUP($A3,'FL Ratio'!$A$3:$B$10,2,FALSE),0)*'FL Characterization'!R$2)</f>
        <v>53.007320310757088</v>
      </c>
      <c r="S3" s="2">
        <f ca="1">('[1]Pc, Spring, S2'!S3*Main!$B$5)+(_xlfn.IFNA(VLOOKUP($A3,'FL Ratio'!$A$3:$B$10,2,FALSE),0)*'FL Characterization'!S$2)</f>
        <v>54.552827362551753</v>
      </c>
      <c r="T3" s="2">
        <f ca="1">('[1]Pc, Spring, S2'!T3*Main!$B$5)+(_xlfn.IFNA(VLOOKUP($A3,'FL Ratio'!$A$3:$B$10,2,FALSE),0)*'FL Characterization'!T$2)</f>
        <v>52.417174074255442</v>
      </c>
      <c r="U3" s="2">
        <f ca="1">('[1]Pc, Spring, S2'!U3*Main!$B$5)+(_xlfn.IFNA(VLOOKUP($A3,'FL Ratio'!$A$3:$B$10,2,FALSE),0)*'FL Characterization'!U$2)</f>
        <v>54.977549686483187</v>
      </c>
      <c r="V3" s="2">
        <f ca="1">('[1]Pc, Spring, S2'!V3*Main!$B$5)+(_xlfn.IFNA(VLOOKUP($A3,'FL Ratio'!$A$3:$B$10,2,FALSE),0)*'FL Characterization'!V$2)</f>
        <v>52.713786790287038</v>
      </c>
      <c r="W3" s="2">
        <f ca="1">('[1]Pc, Spring, S2'!W3*Main!$B$5)+(_xlfn.IFNA(VLOOKUP($A3,'FL Ratio'!$A$3:$B$10,2,FALSE),0)*'FL Characterization'!W$2)</f>
        <v>51.339753607068047</v>
      </c>
      <c r="X3" s="2">
        <f ca="1">('[1]Pc, Spring, S2'!X3*Main!$B$5)+(_xlfn.IFNA(VLOOKUP($A3,'FL Ratio'!$A$3:$B$10,2,FALSE),0)*'FL Characterization'!X$2)</f>
        <v>47.667057361513315</v>
      </c>
      <c r="Y3" s="2">
        <f ca="1">('[1]Pc, Spring, S2'!Y3*Main!$B$5)+(_xlfn.IFNA(VLOOKUP($A3,'FL Ratio'!$A$3:$B$10,2,FALSE),0)*'FL Characterization'!Y$2)</f>
        <v>42.728909071149374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56.705637616209678</v>
      </c>
      <c r="C4" s="2">
        <f ca="1">('[1]Pc, Spring, S2'!C4*Main!$B$5)+(_xlfn.IFNA(VLOOKUP($A4,'FL Ratio'!$A$3:$B$10,2,FALSE),0)*'FL Characterization'!C$2)</f>
        <v>49.065458005926089</v>
      </c>
      <c r="D4" s="2">
        <f ca="1">('[1]Pc, Spring, S2'!D4*Main!$B$5)+(_xlfn.IFNA(VLOOKUP($A4,'FL Ratio'!$A$3:$B$10,2,FALSE),0)*'FL Characterization'!D$2)</f>
        <v>47.596137511246233</v>
      </c>
      <c r="E4" s="2">
        <f ca="1">('[1]Pc, Spring, S2'!E4*Main!$B$5)+(_xlfn.IFNA(VLOOKUP($A4,'FL Ratio'!$A$3:$B$10,2,FALSE),0)*'FL Characterization'!E$2)</f>
        <v>46.084384361207924</v>
      </c>
      <c r="F4" s="2">
        <f ca="1">('[1]Pc, Spring, S2'!F4*Main!$B$5)+(_xlfn.IFNA(VLOOKUP($A4,'FL Ratio'!$A$3:$B$10,2,FALSE),0)*'FL Characterization'!F$2)</f>
        <v>46.452508576375081</v>
      </c>
      <c r="G4" s="2">
        <f ca="1">('[1]Pc, Spring, S2'!G4*Main!$B$5)+(_xlfn.IFNA(VLOOKUP($A4,'FL Ratio'!$A$3:$B$10,2,FALSE),0)*'FL Characterization'!G$2)</f>
        <v>45.585236530651713</v>
      </c>
      <c r="H4" s="2">
        <f ca="1">('[1]Pc, Spring, S2'!H4*Main!$B$5)+(_xlfn.IFNA(VLOOKUP($A4,'FL Ratio'!$A$3:$B$10,2,FALSE),0)*'FL Characterization'!H$2)</f>
        <v>53.029692947645728</v>
      </c>
      <c r="I4" s="2">
        <f ca="1">('[1]Pc, Spring, S2'!I4*Main!$B$5)+(_xlfn.IFNA(VLOOKUP($A4,'FL Ratio'!$A$3:$B$10,2,FALSE),0)*'FL Characterization'!I$2)</f>
        <v>60.617145791204436</v>
      </c>
      <c r="J4" s="2">
        <f ca="1">('[1]Pc, Spring, S2'!J4*Main!$B$5)+(_xlfn.IFNA(VLOOKUP($A4,'FL Ratio'!$A$3:$B$10,2,FALSE),0)*'FL Characterization'!J$2)</f>
        <v>68.622068607643229</v>
      </c>
      <c r="K4" s="2">
        <f ca="1">('[1]Pc, Spring, S2'!K4*Main!$B$5)+(_xlfn.IFNA(VLOOKUP($A4,'FL Ratio'!$A$3:$B$10,2,FALSE),0)*'FL Characterization'!K$2)</f>
        <v>73.538890792898599</v>
      </c>
      <c r="L4" s="2">
        <f ca="1">('[1]Pc, Spring, S2'!L4*Main!$B$5)+(_xlfn.IFNA(VLOOKUP($A4,'FL Ratio'!$A$3:$B$10,2,FALSE),0)*'FL Characterization'!L$2)</f>
        <v>72.532911588560097</v>
      </c>
      <c r="M4" s="2">
        <f ca="1">('[1]Pc, Spring, S2'!M4*Main!$B$5)+(_xlfn.IFNA(VLOOKUP($A4,'FL Ratio'!$A$3:$B$10,2,FALSE),0)*'FL Characterization'!M$2)</f>
        <v>70.888363399283392</v>
      </c>
      <c r="N4" s="2">
        <f ca="1">('[1]Pc, Spring, S2'!N4*Main!$B$5)+(_xlfn.IFNA(VLOOKUP($A4,'FL Ratio'!$A$3:$B$10,2,FALSE),0)*'FL Characterization'!N$2)</f>
        <v>72.680440631783611</v>
      </c>
      <c r="O4" s="2">
        <f ca="1">('[1]Pc, Spring, S2'!O4*Main!$B$5)+(_xlfn.IFNA(VLOOKUP($A4,'FL Ratio'!$A$3:$B$10,2,FALSE),0)*'FL Characterization'!O$2)</f>
        <v>73.766257402932553</v>
      </c>
      <c r="P4" s="2">
        <f ca="1">('[1]Pc, Spring, S2'!P4*Main!$B$5)+(_xlfn.IFNA(VLOOKUP($A4,'FL Ratio'!$A$3:$B$10,2,FALSE),0)*'FL Characterization'!P$2)</f>
        <v>76.403221888405866</v>
      </c>
      <c r="Q4" s="2">
        <f ca="1">('[1]Pc, Spring, S2'!Q4*Main!$B$5)+(_xlfn.IFNA(VLOOKUP($A4,'FL Ratio'!$A$3:$B$10,2,FALSE),0)*'FL Characterization'!Q$2)</f>
        <v>68.545679630859212</v>
      </c>
      <c r="R4" s="2">
        <f ca="1">('[1]Pc, Spring, S2'!R4*Main!$B$5)+(_xlfn.IFNA(VLOOKUP($A4,'FL Ratio'!$A$3:$B$10,2,FALSE),0)*'FL Characterization'!R$2)</f>
        <v>69.755171866377509</v>
      </c>
      <c r="S4" s="2">
        <f ca="1">('[1]Pc, Spring, S2'!S4*Main!$B$5)+(_xlfn.IFNA(VLOOKUP($A4,'FL Ratio'!$A$3:$B$10,2,FALSE),0)*'FL Characterization'!S$2)</f>
        <v>72.994353265140276</v>
      </c>
      <c r="T4" s="2">
        <f ca="1">('[1]Pc, Spring, S2'!T4*Main!$B$5)+(_xlfn.IFNA(VLOOKUP($A4,'FL Ratio'!$A$3:$B$10,2,FALSE),0)*'FL Characterization'!T$2)</f>
        <v>78.869242728891109</v>
      </c>
      <c r="U4" s="2">
        <f ca="1">('[1]Pc, Spring, S2'!U4*Main!$B$5)+(_xlfn.IFNA(VLOOKUP($A4,'FL Ratio'!$A$3:$B$10,2,FALSE),0)*'FL Characterization'!U$2)</f>
        <v>75.357187264233346</v>
      </c>
      <c r="V4" s="2">
        <f ca="1">('[1]Pc, Spring, S2'!V4*Main!$B$5)+(_xlfn.IFNA(VLOOKUP($A4,'FL Ratio'!$A$3:$B$10,2,FALSE),0)*'FL Characterization'!V$2)</f>
        <v>74.459589418345629</v>
      </c>
      <c r="W4" s="2">
        <f ca="1">('[1]Pc, Spring, S2'!W4*Main!$B$5)+(_xlfn.IFNA(VLOOKUP($A4,'FL Ratio'!$A$3:$B$10,2,FALSE),0)*'FL Characterization'!W$2)</f>
        <v>74.75777117706555</v>
      </c>
      <c r="X4" s="2">
        <f ca="1">('[1]Pc, Spring, S2'!X4*Main!$B$5)+(_xlfn.IFNA(VLOOKUP($A4,'FL Ratio'!$A$3:$B$10,2,FALSE),0)*'FL Characterization'!X$2)</f>
        <v>73.723392700377659</v>
      </c>
      <c r="Y4" s="2">
        <f ca="1">('[1]Pc, Spring, S2'!Y4*Main!$B$5)+(_xlfn.IFNA(VLOOKUP($A4,'FL Ratio'!$A$3:$B$10,2,FALSE),0)*'FL Characterization'!Y$2)</f>
        <v>66.957054388983437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35.848407181074897</v>
      </c>
      <c r="C2" s="2">
        <f ca="1">('[1]Pc, Spring, S3'!C2*Main!$B$5)+(_xlfn.IFNA(VLOOKUP($A2,'FL Ratio'!$A$3:$B$10,2,FALSE),0)*'FL Characterization'!C$2)</f>
        <v>33.68452528605463</v>
      </c>
      <c r="D2" s="2">
        <f ca="1">('[1]Pc, Spring, S3'!D2*Main!$B$5)+(_xlfn.IFNA(VLOOKUP($A2,'FL Ratio'!$A$3:$B$10,2,FALSE),0)*'FL Characterization'!D$2)</f>
        <v>32.679277851183052</v>
      </c>
      <c r="E2" s="2">
        <f ca="1">('[1]Pc, Spring, S3'!E2*Main!$B$5)+(_xlfn.IFNA(VLOOKUP($A2,'FL Ratio'!$A$3:$B$10,2,FALSE),0)*'FL Characterization'!E$2)</f>
        <v>31.896243907083512</v>
      </c>
      <c r="F2" s="2">
        <f ca="1">('[1]Pc, Spring, S3'!F2*Main!$B$5)+(_xlfn.IFNA(VLOOKUP($A2,'FL Ratio'!$A$3:$B$10,2,FALSE),0)*'FL Characterization'!F$2)</f>
        <v>31.855953611574897</v>
      </c>
      <c r="G2" s="2">
        <f ca="1">('[1]Pc, Spring, S3'!G2*Main!$B$5)+(_xlfn.IFNA(VLOOKUP($A2,'FL Ratio'!$A$3:$B$10,2,FALSE),0)*'FL Characterization'!G$2)</f>
        <v>33.043817390991897</v>
      </c>
      <c r="H2" s="2">
        <f ca="1">('[1]Pc, Spring, S3'!H2*Main!$B$5)+(_xlfn.IFNA(VLOOKUP($A2,'FL Ratio'!$A$3:$B$10,2,FALSE),0)*'FL Characterization'!H$2)</f>
        <v>38.141093644256713</v>
      </c>
      <c r="I2" s="2">
        <f ca="1">('[1]Pc, Spring, S3'!I2*Main!$B$5)+(_xlfn.IFNA(VLOOKUP($A2,'FL Ratio'!$A$3:$B$10,2,FALSE),0)*'FL Characterization'!I$2)</f>
        <v>43.363218959931977</v>
      </c>
      <c r="J2" s="2">
        <f ca="1">('[1]Pc, Spring, S3'!J2*Main!$B$5)+(_xlfn.IFNA(VLOOKUP($A2,'FL Ratio'!$A$3:$B$10,2,FALSE),0)*'FL Characterization'!J$2)</f>
        <v>49.006106012762316</v>
      </c>
      <c r="K2" s="2">
        <f ca="1">('[1]Pc, Spring, S3'!K2*Main!$B$5)+(_xlfn.IFNA(VLOOKUP($A2,'FL Ratio'!$A$3:$B$10,2,FALSE),0)*'FL Characterization'!K$2)</f>
        <v>49.92665278722864</v>
      </c>
      <c r="L2" s="2">
        <f ca="1">('[1]Pc, Spring, S3'!L2*Main!$B$5)+(_xlfn.IFNA(VLOOKUP($A2,'FL Ratio'!$A$3:$B$10,2,FALSE),0)*'FL Characterization'!L$2)</f>
        <v>48.448231301665231</v>
      </c>
      <c r="M2" s="2">
        <f ca="1">('[1]Pc, Spring, S3'!M2*Main!$B$5)+(_xlfn.IFNA(VLOOKUP($A2,'FL Ratio'!$A$3:$B$10,2,FALSE),0)*'FL Characterization'!M$2)</f>
        <v>49.037507106792908</v>
      </c>
      <c r="N2" s="2">
        <f ca="1">('[1]Pc, Spring, S3'!N2*Main!$B$5)+(_xlfn.IFNA(VLOOKUP($A2,'FL Ratio'!$A$3:$B$10,2,FALSE),0)*'FL Characterization'!N$2)</f>
        <v>51.210109085638209</v>
      </c>
      <c r="O2" s="2">
        <f ca="1">('[1]Pc, Spring, S3'!O2*Main!$B$5)+(_xlfn.IFNA(VLOOKUP($A2,'FL Ratio'!$A$3:$B$10,2,FALSE),0)*'FL Characterization'!O$2)</f>
        <v>48.988937829062351</v>
      </c>
      <c r="P2" s="2">
        <f ca="1">('[1]Pc, Spring, S3'!P2*Main!$B$5)+(_xlfn.IFNA(VLOOKUP($A2,'FL Ratio'!$A$3:$B$10,2,FALSE),0)*'FL Characterization'!P$2)</f>
        <v>49.096449812709331</v>
      </c>
      <c r="Q2" s="2">
        <f ca="1">('[1]Pc, Spring, S3'!Q2*Main!$B$5)+(_xlfn.IFNA(VLOOKUP($A2,'FL Ratio'!$A$3:$B$10,2,FALSE),0)*'FL Characterization'!Q$2)</f>
        <v>47.821310275706544</v>
      </c>
      <c r="R2" s="2">
        <f ca="1">('[1]Pc, Spring, S3'!R2*Main!$B$5)+(_xlfn.IFNA(VLOOKUP($A2,'FL Ratio'!$A$3:$B$10,2,FALSE),0)*'FL Characterization'!R$2)</f>
        <v>46.85057300055405</v>
      </c>
      <c r="S2" s="2">
        <f ca="1">('[1]Pc, Spring, S3'!S2*Main!$B$5)+(_xlfn.IFNA(VLOOKUP($A2,'FL Ratio'!$A$3:$B$10,2,FALSE),0)*'FL Characterization'!S$2)</f>
        <v>47.929510703610212</v>
      </c>
      <c r="T2" s="2">
        <f ca="1">('[1]Pc, Spring, S3'!T2*Main!$B$5)+(_xlfn.IFNA(VLOOKUP($A2,'FL Ratio'!$A$3:$B$10,2,FALSE),0)*'FL Characterization'!T$2)</f>
        <v>51.174645634547588</v>
      </c>
      <c r="U2" s="2">
        <f ca="1">('[1]Pc, Spring, S3'!U2*Main!$B$5)+(_xlfn.IFNA(VLOOKUP($A2,'FL Ratio'!$A$3:$B$10,2,FALSE),0)*'FL Characterization'!U$2)</f>
        <v>48.818742722888594</v>
      </c>
      <c r="V2" s="2">
        <f ca="1">('[1]Pc, Spring, S3'!V2*Main!$B$5)+(_xlfn.IFNA(VLOOKUP($A2,'FL Ratio'!$A$3:$B$10,2,FALSE),0)*'FL Characterization'!V$2)</f>
        <v>50.519762327912524</v>
      </c>
      <c r="W2" s="2">
        <f ca="1">('[1]Pc, Spring, S3'!W2*Main!$B$5)+(_xlfn.IFNA(VLOOKUP($A2,'FL Ratio'!$A$3:$B$10,2,FALSE),0)*'FL Characterization'!W$2)</f>
        <v>48.747268881333447</v>
      </c>
      <c r="X2" s="2">
        <f ca="1">('[1]Pc, Spring, S3'!X2*Main!$B$5)+(_xlfn.IFNA(VLOOKUP($A2,'FL Ratio'!$A$3:$B$10,2,FALSE),0)*'FL Characterization'!X$2)</f>
        <v>42.685834183958285</v>
      </c>
      <c r="Y2" s="2">
        <f ca="1">('[1]Pc, Spring, S3'!Y2*Main!$B$5)+(_xlfn.IFNA(VLOOKUP($A2,'FL Ratio'!$A$3:$B$10,2,FALSE),0)*'FL Characterization'!Y$2)</f>
        <v>39.829095493660503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35.415464975500846</v>
      </c>
      <c r="C3" s="2">
        <f ca="1">('[1]Pc, Spring, S3'!C3*Main!$B$5)+(_xlfn.IFNA(VLOOKUP($A3,'FL Ratio'!$A$3:$B$10,2,FALSE),0)*'FL Characterization'!C$2)</f>
        <v>34.493289598544081</v>
      </c>
      <c r="D3" s="2">
        <f ca="1">('[1]Pc, Spring, S3'!D3*Main!$B$5)+(_xlfn.IFNA(VLOOKUP($A3,'FL Ratio'!$A$3:$B$10,2,FALSE),0)*'FL Characterization'!D$2)</f>
        <v>31.202594578486778</v>
      </c>
      <c r="E3" s="2">
        <f ca="1">('[1]Pc, Spring, S3'!E3*Main!$B$5)+(_xlfn.IFNA(VLOOKUP($A3,'FL Ratio'!$A$3:$B$10,2,FALSE),0)*'FL Characterization'!E$2)</f>
        <v>31.12375080392377</v>
      </c>
      <c r="F3" s="2">
        <f ca="1">('[1]Pc, Spring, S3'!F3*Main!$B$5)+(_xlfn.IFNA(VLOOKUP($A3,'FL Ratio'!$A$3:$B$10,2,FALSE),0)*'FL Characterization'!F$2)</f>
        <v>31.474832139129472</v>
      </c>
      <c r="G3" s="2">
        <f ca="1">('[1]Pc, Spring, S3'!G3*Main!$B$5)+(_xlfn.IFNA(VLOOKUP($A3,'FL Ratio'!$A$3:$B$10,2,FALSE),0)*'FL Characterization'!G$2)</f>
        <v>33.274522978154486</v>
      </c>
      <c r="H3" s="2">
        <f ca="1">('[1]Pc, Spring, S3'!H3*Main!$B$5)+(_xlfn.IFNA(VLOOKUP($A3,'FL Ratio'!$A$3:$B$10,2,FALSE),0)*'FL Characterization'!H$2)</f>
        <v>42.668062080596073</v>
      </c>
      <c r="I3" s="2">
        <f ca="1">('[1]Pc, Spring, S3'!I3*Main!$B$5)+(_xlfn.IFNA(VLOOKUP($A3,'FL Ratio'!$A$3:$B$10,2,FALSE),0)*'FL Characterization'!I$2)</f>
        <v>52.469559933957143</v>
      </c>
      <c r="J3" s="2">
        <f ca="1">('[1]Pc, Spring, S3'!J3*Main!$B$5)+(_xlfn.IFNA(VLOOKUP($A3,'FL Ratio'!$A$3:$B$10,2,FALSE),0)*'FL Characterization'!J$2)</f>
        <v>56.510595387061741</v>
      </c>
      <c r="K3" s="2">
        <f ca="1">('[1]Pc, Spring, S3'!K3*Main!$B$5)+(_xlfn.IFNA(VLOOKUP($A3,'FL Ratio'!$A$3:$B$10,2,FALSE),0)*'FL Characterization'!K$2)</f>
        <v>55.233593923683323</v>
      </c>
      <c r="L3" s="2">
        <f ca="1">('[1]Pc, Spring, S3'!L3*Main!$B$5)+(_xlfn.IFNA(VLOOKUP($A3,'FL Ratio'!$A$3:$B$10,2,FALSE),0)*'FL Characterization'!L$2)</f>
        <v>53.416572676100728</v>
      </c>
      <c r="M3" s="2">
        <f ca="1">('[1]Pc, Spring, S3'!M3*Main!$B$5)+(_xlfn.IFNA(VLOOKUP($A3,'FL Ratio'!$A$3:$B$10,2,FALSE),0)*'FL Characterization'!M$2)</f>
        <v>58.357067933259238</v>
      </c>
      <c r="N3" s="2">
        <f ca="1">('[1]Pc, Spring, S3'!N3*Main!$B$5)+(_xlfn.IFNA(VLOOKUP($A3,'FL Ratio'!$A$3:$B$10,2,FALSE),0)*'FL Characterization'!N$2)</f>
        <v>56.59388724829256</v>
      </c>
      <c r="O3" s="2">
        <f ca="1">('[1]Pc, Spring, S3'!O3*Main!$B$5)+(_xlfn.IFNA(VLOOKUP($A3,'FL Ratio'!$A$3:$B$10,2,FALSE),0)*'FL Characterization'!O$2)</f>
        <v>55.889004524739569</v>
      </c>
      <c r="P3" s="2">
        <f ca="1">('[1]Pc, Spring, S3'!P3*Main!$B$5)+(_xlfn.IFNA(VLOOKUP($A3,'FL Ratio'!$A$3:$B$10,2,FALSE),0)*'FL Characterization'!P$2)</f>
        <v>52.379796142523723</v>
      </c>
      <c r="Q3" s="2">
        <f ca="1">('[1]Pc, Spring, S3'!Q3*Main!$B$5)+(_xlfn.IFNA(VLOOKUP($A3,'FL Ratio'!$A$3:$B$10,2,FALSE),0)*'FL Characterization'!Q$2)</f>
        <v>50.066728789383816</v>
      </c>
      <c r="R3" s="2">
        <f ca="1">('[1]Pc, Spring, S3'!R3*Main!$B$5)+(_xlfn.IFNA(VLOOKUP($A3,'FL Ratio'!$A$3:$B$10,2,FALSE),0)*'FL Characterization'!R$2)</f>
        <v>48.420148360787721</v>
      </c>
      <c r="S3" s="2">
        <f ca="1">('[1]Pc, Spring, S3'!S3*Main!$B$5)+(_xlfn.IFNA(VLOOKUP($A3,'FL Ratio'!$A$3:$B$10,2,FALSE),0)*'FL Characterization'!S$2)</f>
        <v>49.831909610023239</v>
      </c>
      <c r="T3" s="2">
        <f ca="1">('[1]Pc, Spring, S3'!T3*Main!$B$5)+(_xlfn.IFNA(VLOOKUP($A3,'FL Ratio'!$A$3:$B$10,2,FALSE),0)*'FL Characterization'!T$2)</f>
        <v>47.881072471675644</v>
      </c>
      <c r="U3" s="2">
        <f ca="1">('[1]Pc, Spring, S3'!U3*Main!$B$5)+(_xlfn.IFNA(VLOOKUP($A3,'FL Ratio'!$A$3:$B$10,2,FALSE),0)*'FL Characterization'!U$2)</f>
        <v>50.219877117460598</v>
      </c>
      <c r="V3" s="2">
        <f ca="1">('[1]Pc, Spring, S3'!V3*Main!$B$5)+(_xlfn.IFNA(VLOOKUP($A3,'FL Ratio'!$A$3:$B$10,2,FALSE),0)*'FL Characterization'!V$2)</f>
        <v>48.152016779589118</v>
      </c>
      <c r="W3" s="2">
        <f ca="1">('[1]Pc, Spring, S3'!W3*Main!$B$5)+(_xlfn.IFNA(VLOOKUP($A3,'FL Ratio'!$A$3:$B$10,2,FALSE),0)*'FL Characterization'!W$2)</f>
        <v>46.896890314148685</v>
      </c>
      <c r="X3" s="2">
        <f ca="1">('[1]Pc, Spring, S3'!X3*Main!$B$5)+(_xlfn.IFNA(VLOOKUP($A3,'FL Ratio'!$A$3:$B$10,2,FALSE),0)*'FL Characterization'!X$2)</f>
        <v>43.542023551382343</v>
      </c>
      <c r="Y3" s="2">
        <f ca="1">('[1]Pc, Spring, S3'!Y3*Main!$B$5)+(_xlfn.IFNA(VLOOKUP($A3,'FL Ratio'!$A$3:$B$10,2,FALSE),0)*'FL Characterization'!Y$2)</f>
        <v>39.03121501691529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51.798418976345374</v>
      </c>
      <c r="C4" s="2">
        <f ca="1">('[1]Pc, Spring, S3'!C4*Main!$B$5)+(_xlfn.IFNA(VLOOKUP($A4,'FL Ratio'!$A$3:$B$10,2,FALSE),0)*'FL Characterization'!C$2)</f>
        <v>44.819408755413257</v>
      </c>
      <c r="D4" s="2">
        <f ca="1">('[1]Pc, Spring, S3'!D4*Main!$B$5)+(_xlfn.IFNA(VLOOKUP($A4,'FL Ratio'!$A$3:$B$10,2,FALSE),0)*'FL Characterization'!D$2)</f>
        <v>43.477240995849925</v>
      </c>
      <c r="E4" s="2">
        <f ca="1">('[1]Pc, Spring, S3'!E4*Main!$B$5)+(_xlfn.IFNA(VLOOKUP($A4,'FL Ratio'!$A$3:$B$10,2,FALSE),0)*'FL Characterization'!E$2)</f>
        <v>42.096312637641851</v>
      </c>
      <c r="F4" s="2">
        <f ca="1">('[1]Pc, Spring, S3'!F4*Main!$B$5)+(_xlfn.IFNA(VLOOKUP($A4,'FL Ratio'!$A$3:$B$10,2,FALSE),0)*'FL Characterization'!F$2)</f>
        <v>42.432579949573388</v>
      </c>
      <c r="G4" s="2">
        <f ca="1">('[1]Pc, Spring, S3'!G4*Main!$B$5)+(_xlfn.IFNA(VLOOKUP($A4,'FL Ratio'!$A$3:$B$10,2,FALSE),0)*'FL Characterization'!G$2)</f>
        <v>41.64036029242223</v>
      </c>
      <c r="H4" s="2">
        <f ca="1">('[1]Pc, Spring, S3'!H4*Main!$B$5)+(_xlfn.IFNA(VLOOKUP($A4,'FL Ratio'!$A$3:$B$10,2,FALSE),0)*'FL Characterization'!H$2)</f>
        <v>48.44058490409946</v>
      </c>
      <c r="I4" s="2">
        <f ca="1">('[1]Pc, Spring, S3'!I4*Main!$B$5)+(_xlfn.IFNA(VLOOKUP($A4,'FL Ratio'!$A$3:$B$10,2,FALSE),0)*'FL Characterization'!I$2)</f>
        <v>55.371431251580965</v>
      </c>
      <c r="J4" s="2">
        <f ca="1">('[1]Pc, Spring, S3'!J4*Main!$B$5)+(_xlfn.IFNA(VLOOKUP($A4,'FL Ratio'!$A$3:$B$10,2,FALSE),0)*'FL Characterization'!J$2)</f>
        <v>62.683620362751029</v>
      </c>
      <c r="K4" s="2">
        <f ca="1">('[1]Pc, Spring, S3'!K4*Main!$B$5)+(_xlfn.IFNA(VLOOKUP($A4,'FL Ratio'!$A$3:$B$10,2,FALSE),0)*'FL Characterization'!K$2)</f>
        <v>67.174948320436215</v>
      </c>
      <c r="L4" s="2">
        <f ca="1">('[1]Pc, Spring, S3'!L4*Main!$B$5)+(_xlfn.IFNA(VLOOKUP($A4,'FL Ratio'!$A$3:$B$10,2,FALSE),0)*'FL Characterization'!L$2)</f>
        <v>66.256025008780853</v>
      </c>
      <c r="M4" s="2">
        <f ca="1">('[1]Pc, Spring, S3'!M4*Main!$B$5)+(_xlfn.IFNA(VLOOKUP($A4,'FL Ratio'!$A$3:$B$10,2,FALSE),0)*'FL Characterization'!M$2)</f>
        <v>64.753793489730015</v>
      </c>
      <c r="N4" s="2">
        <f ca="1">('[1]Pc, Spring, S3'!N4*Main!$B$5)+(_xlfn.IFNA(VLOOKUP($A4,'FL Ratio'!$A$3:$B$10,2,FALSE),0)*'FL Characterization'!N$2)</f>
        <v>66.39078711557157</v>
      </c>
      <c r="O4" s="2">
        <f ca="1">('[1]Pc, Spring, S3'!O4*Main!$B$5)+(_xlfn.IFNA(VLOOKUP($A4,'FL Ratio'!$A$3:$B$10,2,FALSE),0)*'FL Characterization'!O$2)</f>
        <v>67.382638973832599</v>
      </c>
      <c r="P4" s="2">
        <f ca="1">('[1]Pc, Spring, S3'!P4*Main!$B$5)+(_xlfn.IFNA(VLOOKUP($A4,'FL Ratio'!$A$3:$B$10,2,FALSE),0)*'FL Characterization'!P$2)</f>
        <v>69.7914046096015</v>
      </c>
      <c r="Q4" s="2">
        <f ca="1">('[1]Pc, Spring, S3'!Q4*Main!$B$5)+(_xlfn.IFNA(VLOOKUP($A4,'FL Ratio'!$A$3:$B$10,2,FALSE),0)*'FL Characterization'!Q$2)</f>
        <v>62.613841970496402</v>
      </c>
      <c r="R4" s="2">
        <f ca="1">('[1]Pc, Spring, S3'!R4*Main!$B$5)+(_xlfn.IFNA(VLOOKUP($A4,'FL Ratio'!$A$3:$B$10,2,FALSE),0)*'FL Characterization'!R$2)</f>
        <v>63.718666608710215</v>
      </c>
      <c r="S4" s="2">
        <f ca="1">('[1]Pc, Spring, S3'!S4*Main!$B$5)+(_xlfn.IFNA(VLOOKUP($A4,'FL Ratio'!$A$3:$B$10,2,FALSE),0)*'FL Characterization'!S$2)</f>
        <v>66.677534232580044</v>
      </c>
      <c r="T4" s="2">
        <f ca="1">('[1]Pc, Spring, S3'!T4*Main!$B$5)+(_xlfn.IFNA(VLOOKUP($A4,'FL Ratio'!$A$3:$B$10,2,FALSE),0)*'FL Characterization'!T$2)</f>
        <v>72.044019800429368</v>
      </c>
      <c r="U4" s="2">
        <f ca="1">('[1]Pc, Spring, S3'!U4*Main!$B$5)+(_xlfn.IFNA(VLOOKUP($A4,'FL Ratio'!$A$3:$B$10,2,FALSE),0)*'FL Characterization'!U$2)</f>
        <v>68.835892212520832</v>
      </c>
      <c r="V4" s="2">
        <f ca="1">('[1]Pc, Spring, S3'!V4*Main!$B$5)+(_xlfn.IFNA(VLOOKUP($A4,'FL Ratio'!$A$3:$B$10,2,FALSE),0)*'FL Characterization'!V$2)</f>
        <v>68.015971103296479</v>
      </c>
      <c r="W4" s="2">
        <f ca="1">('[1]Pc, Spring, S3'!W4*Main!$B$5)+(_xlfn.IFNA(VLOOKUP($A4,'FL Ratio'!$A$3:$B$10,2,FALSE),0)*'FL Characterization'!W$2)</f>
        <v>68.288348671357952</v>
      </c>
      <c r="X4" s="2">
        <f ca="1">('[1]Pc, Spring, S3'!X4*Main!$B$5)+(_xlfn.IFNA(VLOOKUP($A4,'FL Ratio'!$A$3:$B$10,2,FALSE),0)*'FL Characterization'!X$2)</f>
        <v>67.343483716691125</v>
      </c>
      <c r="Y4" s="2">
        <f ca="1">('[1]Pc, Spring, S3'!Y4*Main!$B$5)+(_xlfn.IFNA(VLOOKUP($A4,'FL Ratio'!$A$3:$B$10,2,FALSE),0)*'FL Characterization'!Y$2)</f>
        <v>61.162693913013726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35.848407181074897</v>
      </c>
      <c r="C2" s="2">
        <f ca="1">('[1]Pc, Spring, S3'!C2*Main!$B$5)+(_xlfn.IFNA(VLOOKUP($A2,'FL Ratio'!$A$3:$B$10,2,FALSE),0)*'FL Characterization'!C$2)</f>
        <v>33.68452528605463</v>
      </c>
      <c r="D2" s="2">
        <f ca="1">('[1]Pc, Spring, S3'!D2*Main!$B$5)+(_xlfn.IFNA(VLOOKUP($A2,'FL Ratio'!$A$3:$B$10,2,FALSE),0)*'FL Characterization'!D$2)</f>
        <v>32.679277851183052</v>
      </c>
      <c r="E2" s="2">
        <f ca="1">('[1]Pc, Spring, S3'!E2*Main!$B$5)+(_xlfn.IFNA(VLOOKUP($A2,'FL Ratio'!$A$3:$B$10,2,FALSE),0)*'FL Characterization'!E$2)</f>
        <v>31.896243907083512</v>
      </c>
      <c r="F2" s="2">
        <f ca="1">('[1]Pc, Spring, S3'!F2*Main!$B$5)+(_xlfn.IFNA(VLOOKUP($A2,'FL Ratio'!$A$3:$B$10,2,FALSE),0)*'FL Characterization'!F$2)</f>
        <v>31.855953611574897</v>
      </c>
      <c r="G2" s="2">
        <f ca="1">('[1]Pc, Spring, S3'!G2*Main!$B$5)+(_xlfn.IFNA(VLOOKUP($A2,'FL Ratio'!$A$3:$B$10,2,FALSE),0)*'FL Characterization'!G$2)</f>
        <v>33.043817390991897</v>
      </c>
      <c r="H2" s="2">
        <f ca="1">('[1]Pc, Spring, S3'!H2*Main!$B$5)+(_xlfn.IFNA(VLOOKUP($A2,'FL Ratio'!$A$3:$B$10,2,FALSE),0)*'FL Characterization'!H$2)</f>
        <v>38.141093644256713</v>
      </c>
      <c r="I2" s="2">
        <f ca="1">('[1]Pc, Spring, S3'!I2*Main!$B$5)+(_xlfn.IFNA(VLOOKUP($A2,'FL Ratio'!$A$3:$B$10,2,FALSE),0)*'FL Characterization'!I$2)</f>
        <v>43.363218959931977</v>
      </c>
      <c r="J2" s="2">
        <f ca="1">('[1]Pc, Spring, S3'!J2*Main!$B$5)+(_xlfn.IFNA(VLOOKUP($A2,'FL Ratio'!$A$3:$B$10,2,FALSE),0)*'FL Characterization'!J$2)</f>
        <v>49.006106012762316</v>
      </c>
      <c r="K2" s="2">
        <f ca="1">('[1]Pc, Spring, S3'!K2*Main!$B$5)+(_xlfn.IFNA(VLOOKUP($A2,'FL Ratio'!$A$3:$B$10,2,FALSE),0)*'FL Characterization'!K$2)</f>
        <v>49.92665278722864</v>
      </c>
      <c r="L2" s="2">
        <f ca="1">('[1]Pc, Spring, S3'!L2*Main!$B$5)+(_xlfn.IFNA(VLOOKUP($A2,'FL Ratio'!$A$3:$B$10,2,FALSE),0)*'FL Characterization'!L$2)</f>
        <v>48.448231301665231</v>
      </c>
      <c r="M2" s="2">
        <f ca="1">('[1]Pc, Spring, S3'!M2*Main!$B$5)+(_xlfn.IFNA(VLOOKUP($A2,'FL Ratio'!$A$3:$B$10,2,FALSE),0)*'FL Characterization'!M$2)</f>
        <v>49.037507106792908</v>
      </c>
      <c r="N2" s="2">
        <f ca="1">('[1]Pc, Spring, S3'!N2*Main!$B$5)+(_xlfn.IFNA(VLOOKUP($A2,'FL Ratio'!$A$3:$B$10,2,FALSE),0)*'FL Characterization'!N$2)</f>
        <v>51.210109085638209</v>
      </c>
      <c r="O2" s="2">
        <f ca="1">('[1]Pc, Spring, S3'!O2*Main!$B$5)+(_xlfn.IFNA(VLOOKUP($A2,'FL Ratio'!$A$3:$B$10,2,FALSE),0)*'FL Characterization'!O$2)</f>
        <v>48.988937829062351</v>
      </c>
      <c r="P2" s="2">
        <f ca="1">('[1]Pc, Spring, S3'!P2*Main!$B$5)+(_xlfn.IFNA(VLOOKUP($A2,'FL Ratio'!$A$3:$B$10,2,FALSE),0)*'FL Characterization'!P$2)</f>
        <v>49.096449812709331</v>
      </c>
      <c r="Q2" s="2">
        <f ca="1">('[1]Pc, Spring, S3'!Q2*Main!$B$5)+(_xlfn.IFNA(VLOOKUP($A2,'FL Ratio'!$A$3:$B$10,2,FALSE),0)*'FL Characterization'!Q$2)</f>
        <v>47.821310275706544</v>
      </c>
      <c r="R2" s="2">
        <f ca="1">('[1]Pc, Spring, S3'!R2*Main!$B$5)+(_xlfn.IFNA(VLOOKUP($A2,'FL Ratio'!$A$3:$B$10,2,FALSE),0)*'FL Characterization'!R$2)</f>
        <v>46.85057300055405</v>
      </c>
      <c r="S2" s="2">
        <f ca="1">('[1]Pc, Spring, S3'!S2*Main!$B$5)+(_xlfn.IFNA(VLOOKUP($A2,'FL Ratio'!$A$3:$B$10,2,FALSE),0)*'FL Characterization'!S$2)</f>
        <v>47.929510703610212</v>
      </c>
      <c r="T2" s="2">
        <f ca="1">('[1]Pc, Spring, S3'!T2*Main!$B$5)+(_xlfn.IFNA(VLOOKUP($A2,'FL Ratio'!$A$3:$B$10,2,FALSE),0)*'FL Characterization'!T$2)</f>
        <v>51.174645634547588</v>
      </c>
      <c r="U2" s="2">
        <f ca="1">('[1]Pc, Spring, S3'!U2*Main!$B$5)+(_xlfn.IFNA(VLOOKUP($A2,'FL Ratio'!$A$3:$B$10,2,FALSE),0)*'FL Characterization'!U$2)</f>
        <v>48.818742722888594</v>
      </c>
      <c r="V2" s="2">
        <f ca="1">('[1]Pc, Spring, S3'!V2*Main!$B$5)+(_xlfn.IFNA(VLOOKUP($A2,'FL Ratio'!$A$3:$B$10,2,FALSE),0)*'FL Characterization'!V$2)</f>
        <v>50.519762327912524</v>
      </c>
      <c r="W2" s="2">
        <f ca="1">('[1]Pc, Spring, S3'!W2*Main!$B$5)+(_xlfn.IFNA(VLOOKUP($A2,'FL Ratio'!$A$3:$B$10,2,FALSE),0)*'FL Characterization'!W$2)</f>
        <v>48.747268881333447</v>
      </c>
      <c r="X2" s="2">
        <f ca="1">('[1]Pc, Spring, S3'!X2*Main!$B$5)+(_xlfn.IFNA(VLOOKUP($A2,'FL Ratio'!$A$3:$B$10,2,FALSE),0)*'FL Characterization'!X$2)</f>
        <v>42.685834183958285</v>
      </c>
      <c r="Y2" s="2">
        <f ca="1">('[1]Pc, Spring, S3'!Y2*Main!$B$5)+(_xlfn.IFNA(VLOOKUP($A2,'FL Ratio'!$A$3:$B$10,2,FALSE),0)*'FL Characterization'!Y$2)</f>
        <v>39.829095493660503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35.415464975500846</v>
      </c>
      <c r="C3" s="2">
        <f ca="1">('[1]Pc, Spring, S3'!C3*Main!$B$5)+(_xlfn.IFNA(VLOOKUP($A3,'FL Ratio'!$A$3:$B$10,2,FALSE),0)*'FL Characterization'!C$2)</f>
        <v>34.493289598544081</v>
      </c>
      <c r="D3" s="2">
        <f ca="1">('[1]Pc, Spring, S3'!D3*Main!$B$5)+(_xlfn.IFNA(VLOOKUP($A3,'FL Ratio'!$A$3:$B$10,2,FALSE),0)*'FL Characterization'!D$2)</f>
        <v>31.202594578486778</v>
      </c>
      <c r="E3" s="2">
        <f ca="1">('[1]Pc, Spring, S3'!E3*Main!$B$5)+(_xlfn.IFNA(VLOOKUP($A3,'FL Ratio'!$A$3:$B$10,2,FALSE),0)*'FL Characterization'!E$2)</f>
        <v>31.12375080392377</v>
      </c>
      <c r="F3" s="2">
        <f ca="1">('[1]Pc, Spring, S3'!F3*Main!$B$5)+(_xlfn.IFNA(VLOOKUP($A3,'FL Ratio'!$A$3:$B$10,2,FALSE),0)*'FL Characterization'!F$2)</f>
        <v>31.474832139129472</v>
      </c>
      <c r="G3" s="2">
        <f ca="1">('[1]Pc, Spring, S3'!G3*Main!$B$5)+(_xlfn.IFNA(VLOOKUP($A3,'FL Ratio'!$A$3:$B$10,2,FALSE),0)*'FL Characterization'!G$2)</f>
        <v>33.274522978154486</v>
      </c>
      <c r="H3" s="2">
        <f ca="1">('[1]Pc, Spring, S3'!H3*Main!$B$5)+(_xlfn.IFNA(VLOOKUP($A3,'FL Ratio'!$A$3:$B$10,2,FALSE),0)*'FL Characterization'!H$2)</f>
        <v>42.668062080596073</v>
      </c>
      <c r="I3" s="2">
        <f ca="1">('[1]Pc, Spring, S3'!I3*Main!$B$5)+(_xlfn.IFNA(VLOOKUP($A3,'FL Ratio'!$A$3:$B$10,2,FALSE),0)*'FL Characterization'!I$2)</f>
        <v>52.469559933957143</v>
      </c>
      <c r="J3" s="2">
        <f ca="1">('[1]Pc, Spring, S3'!J3*Main!$B$5)+(_xlfn.IFNA(VLOOKUP($A3,'FL Ratio'!$A$3:$B$10,2,FALSE),0)*'FL Characterization'!J$2)</f>
        <v>56.510595387061741</v>
      </c>
      <c r="K3" s="2">
        <f ca="1">('[1]Pc, Spring, S3'!K3*Main!$B$5)+(_xlfn.IFNA(VLOOKUP($A3,'FL Ratio'!$A$3:$B$10,2,FALSE),0)*'FL Characterization'!K$2)</f>
        <v>55.233593923683323</v>
      </c>
      <c r="L3" s="2">
        <f ca="1">('[1]Pc, Spring, S3'!L3*Main!$B$5)+(_xlfn.IFNA(VLOOKUP($A3,'FL Ratio'!$A$3:$B$10,2,FALSE),0)*'FL Characterization'!L$2)</f>
        <v>53.416572676100728</v>
      </c>
      <c r="M3" s="2">
        <f ca="1">('[1]Pc, Spring, S3'!M3*Main!$B$5)+(_xlfn.IFNA(VLOOKUP($A3,'FL Ratio'!$A$3:$B$10,2,FALSE),0)*'FL Characterization'!M$2)</f>
        <v>58.357067933259238</v>
      </c>
      <c r="N3" s="2">
        <f ca="1">('[1]Pc, Spring, S3'!N3*Main!$B$5)+(_xlfn.IFNA(VLOOKUP($A3,'FL Ratio'!$A$3:$B$10,2,FALSE),0)*'FL Characterization'!N$2)</f>
        <v>56.59388724829256</v>
      </c>
      <c r="O3" s="2">
        <f ca="1">('[1]Pc, Spring, S3'!O3*Main!$B$5)+(_xlfn.IFNA(VLOOKUP($A3,'FL Ratio'!$A$3:$B$10,2,FALSE),0)*'FL Characterization'!O$2)</f>
        <v>55.889004524739569</v>
      </c>
      <c r="P3" s="2">
        <f ca="1">('[1]Pc, Spring, S3'!P3*Main!$B$5)+(_xlfn.IFNA(VLOOKUP($A3,'FL Ratio'!$A$3:$B$10,2,FALSE),0)*'FL Characterization'!P$2)</f>
        <v>52.379796142523723</v>
      </c>
      <c r="Q3" s="2">
        <f ca="1">('[1]Pc, Spring, S3'!Q3*Main!$B$5)+(_xlfn.IFNA(VLOOKUP($A3,'FL Ratio'!$A$3:$B$10,2,FALSE),0)*'FL Characterization'!Q$2)</f>
        <v>50.066728789383816</v>
      </c>
      <c r="R3" s="2">
        <f ca="1">('[1]Pc, Spring, S3'!R3*Main!$B$5)+(_xlfn.IFNA(VLOOKUP($A3,'FL Ratio'!$A$3:$B$10,2,FALSE),0)*'FL Characterization'!R$2)</f>
        <v>48.420148360787721</v>
      </c>
      <c r="S3" s="2">
        <f ca="1">('[1]Pc, Spring, S3'!S3*Main!$B$5)+(_xlfn.IFNA(VLOOKUP($A3,'FL Ratio'!$A$3:$B$10,2,FALSE),0)*'FL Characterization'!S$2)</f>
        <v>49.831909610023239</v>
      </c>
      <c r="T3" s="2">
        <f ca="1">('[1]Pc, Spring, S3'!T3*Main!$B$5)+(_xlfn.IFNA(VLOOKUP($A3,'FL Ratio'!$A$3:$B$10,2,FALSE),0)*'FL Characterization'!T$2)</f>
        <v>47.881072471675644</v>
      </c>
      <c r="U3" s="2">
        <f ca="1">('[1]Pc, Spring, S3'!U3*Main!$B$5)+(_xlfn.IFNA(VLOOKUP($A3,'FL Ratio'!$A$3:$B$10,2,FALSE),0)*'FL Characterization'!U$2)</f>
        <v>50.219877117460598</v>
      </c>
      <c r="V3" s="2">
        <f ca="1">('[1]Pc, Spring, S3'!V3*Main!$B$5)+(_xlfn.IFNA(VLOOKUP($A3,'FL Ratio'!$A$3:$B$10,2,FALSE),0)*'FL Characterization'!V$2)</f>
        <v>48.152016779589118</v>
      </c>
      <c r="W3" s="2">
        <f ca="1">('[1]Pc, Spring, S3'!W3*Main!$B$5)+(_xlfn.IFNA(VLOOKUP($A3,'FL Ratio'!$A$3:$B$10,2,FALSE),0)*'FL Characterization'!W$2)</f>
        <v>46.896890314148685</v>
      </c>
      <c r="X3" s="2">
        <f ca="1">('[1]Pc, Spring, S3'!X3*Main!$B$5)+(_xlfn.IFNA(VLOOKUP($A3,'FL Ratio'!$A$3:$B$10,2,FALSE),0)*'FL Characterization'!X$2)</f>
        <v>43.542023551382343</v>
      </c>
      <c r="Y3" s="2">
        <f ca="1">('[1]Pc, Spring, S3'!Y3*Main!$B$5)+(_xlfn.IFNA(VLOOKUP($A3,'FL Ratio'!$A$3:$B$10,2,FALSE),0)*'FL Characterization'!Y$2)</f>
        <v>39.03121501691529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51.798418976345374</v>
      </c>
      <c r="C4" s="2">
        <f ca="1">('[1]Pc, Spring, S3'!C4*Main!$B$5)+(_xlfn.IFNA(VLOOKUP($A4,'FL Ratio'!$A$3:$B$10,2,FALSE),0)*'FL Characterization'!C$2)</f>
        <v>44.819408755413257</v>
      </c>
      <c r="D4" s="2">
        <f ca="1">('[1]Pc, Spring, S3'!D4*Main!$B$5)+(_xlfn.IFNA(VLOOKUP($A4,'FL Ratio'!$A$3:$B$10,2,FALSE),0)*'FL Characterization'!D$2)</f>
        <v>43.477240995849925</v>
      </c>
      <c r="E4" s="2">
        <f ca="1">('[1]Pc, Spring, S3'!E4*Main!$B$5)+(_xlfn.IFNA(VLOOKUP($A4,'FL Ratio'!$A$3:$B$10,2,FALSE),0)*'FL Characterization'!E$2)</f>
        <v>42.096312637641851</v>
      </c>
      <c r="F4" s="2">
        <f ca="1">('[1]Pc, Spring, S3'!F4*Main!$B$5)+(_xlfn.IFNA(VLOOKUP($A4,'FL Ratio'!$A$3:$B$10,2,FALSE),0)*'FL Characterization'!F$2)</f>
        <v>42.432579949573388</v>
      </c>
      <c r="G4" s="2">
        <f ca="1">('[1]Pc, Spring, S3'!G4*Main!$B$5)+(_xlfn.IFNA(VLOOKUP($A4,'FL Ratio'!$A$3:$B$10,2,FALSE),0)*'FL Characterization'!G$2)</f>
        <v>41.64036029242223</v>
      </c>
      <c r="H4" s="2">
        <f ca="1">('[1]Pc, Spring, S3'!H4*Main!$B$5)+(_xlfn.IFNA(VLOOKUP($A4,'FL Ratio'!$A$3:$B$10,2,FALSE),0)*'FL Characterization'!H$2)</f>
        <v>48.44058490409946</v>
      </c>
      <c r="I4" s="2">
        <f ca="1">('[1]Pc, Spring, S3'!I4*Main!$B$5)+(_xlfn.IFNA(VLOOKUP($A4,'FL Ratio'!$A$3:$B$10,2,FALSE),0)*'FL Characterization'!I$2)</f>
        <v>55.371431251580965</v>
      </c>
      <c r="J4" s="2">
        <f ca="1">('[1]Pc, Spring, S3'!J4*Main!$B$5)+(_xlfn.IFNA(VLOOKUP($A4,'FL Ratio'!$A$3:$B$10,2,FALSE),0)*'FL Characterization'!J$2)</f>
        <v>62.683620362751029</v>
      </c>
      <c r="K4" s="2">
        <f ca="1">('[1]Pc, Spring, S3'!K4*Main!$B$5)+(_xlfn.IFNA(VLOOKUP($A4,'FL Ratio'!$A$3:$B$10,2,FALSE),0)*'FL Characterization'!K$2)</f>
        <v>67.174948320436215</v>
      </c>
      <c r="L4" s="2">
        <f ca="1">('[1]Pc, Spring, S3'!L4*Main!$B$5)+(_xlfn.IFNA(VLOOKUP($A4,'FL Ratio'!$A$3:$B$10,2,FALSE),0)*'FL Characterization'!L$2)</f>
        <v>66.256025008780853</v>
      </c>
      <c r="M4" s="2">
        <f ca="1">('[1]Pc, Spring, S3'!M4*Main!$B$5)+(_xlfn.IFNA(VLOOKUP($A4,'FL Ratio'!$A$3:$B$10,2,FALSE),0)*'FL Characterization'!M$2)</f>
        <v>64.753793489730015</v>
      </c>
      <c r="N4" s="2">
        <f ca="1">('[1]Pc, Spring, S3'!N4*Main!$B$5)+(_xlfn.IFNA(VLOOKUP($A4,'FL Ratio'!$A$3:$B$10,2,FALSE),0)*'FL Characterization'!N$2)</f>
        <v>66.39078711557157</v>
      </c>
      <c r="O4" s="2">
        <f ca="1">('[1]Pc, Spring, S3'!O4*Main!$B$5)+(_xlfn.IFNA(VLOOKUP($A4,'FL Ratio'!$A$3:$B$10,2,FALSE),0)*'FL Characterization'!O$2)</f>
        <v>67.382638973832599</v>
      </c>
      <c r="P4" s="2">
        <f ca="1">('[1]Pc, Spring, S3'!P4*Main!$B$5)+(_xlfn.IFNA(VLOOKUP($A4,'FL Ratio'!$A$3:$B$10,2,FALSE),0)*'FL Characterization'!P$2)</f>
        <v>69.7914046096015</v>
      </c>
      <c r="Q4" s="2">
        <f ca="1">('[1]Pc, Spring, S3'!Q4*Main!$B$5)+(_xlfn.IFNA(VLOOKUP($A4,'FL Ratio'!$A$3:$B$10,2,FALSE),0)*'FL Characterization'!Q$2)</f>
        <v>62.613841970496402</v>
      </c>
      <c r="R4" s="2">
        <f ca="1">('[1]Pc, Spring, S3'!R4*Main!$B$5)+(_xlfn.IFNA(VLOOKUP($A4,'FL Ratio'!$A$3:$B$10,2,FALSE),0)*'FL Characterization'!R$2)</f>
        <v>63.718666608710215</v>
      </c>
      <c r="S4" s="2">
        <f ca="1">('[1]Pc, Spring, S3'!S4*Main!$B$5)+(_xlfn.IFNA(VLOOKUP($A4,'FL Ratio'!$A$3:$B$10,2,FALSE),0)*'FL Characterization'!S$2)</f>
        <v>66.677534232580044</v>
      </c>
      <c r="T4" s="2">
        <f ca="1">('[1]Pc, Spring, S3'!T4*Main!$B$5)+(_xlfn.IFNA(VLOOKUP($A4,'FL Ratio'!$A$3:$B$10,2,FALSE),0)*'FL Characterization'!T$2)</f>
        <v>72.044019800429368</v>
      </c>
      <c r="U4" s="2">
        <f ca="1">('[1]Pc, Spring, S3'!U4*Main!$B$5)+(_xlfn.IFNA(VLOOKUP($A4,'FL Ratio'!$A$3:$B$10,2,FALSE),0)*'FL Characterization'!U$2)</f>
        <v>68.835892212520832</v>
      </c>
      <c r="V4" s="2">
        <f ca="1">('[1]Pc, Spring, S3'!V4*Main!$B$5)+(_xlfn.IFNA(VLOOKUP($A4,'FL Ratio'!$A$3:$B$10,2,FALSE),0)*'FL Characterization'!V$2)</f>
        <v>68.015971103296479</v>
      </c>
      <c r="W4" s="2">
        <f ca="1">('[1]Pc, Spring, S3'!W4*Main!$B$5)+(_xlfn.IFNA(VLOOKUP($A4,'FL Ratio'!$A$3:$B$10,2,FALSE),0)*'FL Characterization'!W$2)</f>
        <v>68.288348671357952</v>
      </c>
      <c r="X4" s="2">
        <f ca="1">('[1]Pc, Spring, S3'!X4*Main!$B$5)+(_xlfn.IFNA(VLOOKUP($A4,'FL Ratio'!$A$3:$B$10,2,FALSE),0)*'FL Characterization'!X$2)</f>
        <v>67.343483716691125</v>
      </c>
      <c r="Y4" s="2">
        <f ca="1">('[1]Pc, Spring, S3'!Y4*Main!$B$5)+(_xlfn.IFNA(VLOOKUP($A4,'FL Ratio'!$A$3:$B$10,2,FALSE),0)*'FL Characterization'!Y$2)</f>
        <v>61.162693913013726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35.848407181074897</v>
      </c>
      <c r="C2" s="2">
        <f ca="1">('[1]Pc, Spring, S3'!C2*Main!$B$5)+(_xlfn.IFNA(VLOOKUP($A2,'FL Ratio'!$A$3:$B$10,2,FALSE),0)*'FL Characterization'!C$2)</f>
        <v>33.68452528605463</v>
      </c>
      <c r="D2" s="2">
        <f ca="1">('[1]Pc, Spring, S3'!D2*Main!$B$5)+(_xlfn.IFNA(VLOOKUP($A2,'FL Ratio'!$A$3:$B$10,2,FALSE),0)*'FL Characterization'!D$2)</f>
        <v>32.679277851183052</v>
      </c>
      <c r="E2" s="2">
        <f ca="1">('[1]Pc, Spring, S3'!E2*Main!$B$5)+(_xlfn.IFNA(VLOOKUP($A2,'FL Ratio'!$A$3:$B$10,2,FALSE),0)*'FL Characterization'!E$2)</f>
        <v>31.896243907083512</v>
      </c>
      <c r="F2" s="2">
        <f ca="1">('[1]Pc, Spring, S3'!F2*Main!$B$5)+(_xlfn.IFNA(VLOOKUP($A2,'FL Ratio'!$A$3:$B$10,2,FALSE),0)*'FL Characterization'!F$2)</f>
        <v>31.855953611574897</v>
      </c>
      <c r="G2" s="2">
        <f ca="1">('[1]Pc, Spring, S3'!G2*Main!$B$5)+(_xlfn.IFNA(VLOOKUP($A2,'FL Ratio'!$A$3:$B$10,2,FALSE),0)*'FL Characterization'!G$2)</f>
        <v>33.043817390991897</v>
      </c>
      <c r="H2" s="2">
        <f ca="1">('[1]Pc, Spring, S3'!H2*Main!$B$5)+(_xlfn.IFNA(VLOOKUP($A2,'FL Ratio'!$A$3:$B$10,2,FALSE),0)*'FL Characterization'!H$2)</f>
        <v>38.141093644256713</v>
      </c>
      <c r="I2" s="2">
        <f ca="1">('[1]Pc, Spring, S3'!I2*Main!$B$5)+(_xlfn.IFNA(VLOOKUP($A2,'FL Ratio'!$A$3:$B$10,2,FALSE),0)*'FL Characterization'!I$2)</f>
        <v>43.363218959931977</v>
      </c>
      <c r="J2" s="2">
        <f ca="1">('[1]Pc, Spring, S3'!J2*Main!$B$5)+(_xlfn.IFNA(VLOOKUP($A2,'FL Ratio'!$A$3:$B$10,2,FALSE),0)*'FL Characterization'!J$2)</f>
        <v>49.006106012762316</v>
      </c>
      <c r="K2" s="2">
        <f ca="1">('[1]Pc, Spring, S3'!K2*Main!$B$5)+(_xlfn.IFNA(VLOOKUP($A2,'FL Ratio'!$A$3:$B$10,2,FALSE),0)*'FL Characterization'!K$2)</f>
        <v>49.92665278722864</v>
      </c>
      <c r="L2" s="2">
        <f ca="1">('[1]Pc, Spring, S3'!L2*Main!$B$5)+(_xlfn.IFNA(VLOOKUP($A2,'FL Ratio'!$A$3:$B$10,2,FALSE),0)*'FL Characterization'!L$2)</f>
        <v>48.448231301665231</v>
      </c>
      <c r="M2" s="2">
        <f ca="1">('[1]Pc, Spring, S3'!M2*Main!$B$5)+(_xlfn.IFNA(VLOOKUP($A2,'FL Ratio'!$A$3:$B$10,2,FALSE),0)*'FL Characterization'!M$2)</f>
        <v>49.037507106792908</v>
      </c>
      <c r="N2" s="2">
        <f ca="1">('[1]Pc, Spring, S3'!N2*Main!$B$5)+(_xlfn.IFNA(VLOOKUP($A2,'FL Ratio'!$A$3:$B$10,2,FALSE),0)*'FL Characterization'!N$2)</f>
        <v>51.210109085638209</v>
      </c>
      <c r="O2" s="2">
        <f ca="1">('[1]Pc, Spring, S3'!O2*Main!$B$5)+(_xlfn.IFNA(VLOOKUP($A2,'FL Ratio'!$A$3:$B$10,2,FALSE),0)*'FL Characterization'!O$2)</f>
        <v>48.988937829062351</v>
      </c>
      <c r="P2" s="2">
        <f ca="1">('[1]Pc, Spring, S3'!P2*Main!$B$5)+(_xlfn.IFNA(VLOOKUP($A2,'FL Ratio'!$A$3:$B$10,2,FALSE),0)*'FL Characterization'!P$2)</f>
        <v>49.096449812709331</v>
      </c>
      <c r="Q2" s="2">
        <f ca="1">('[1]Pc, Spring, S3'!Q2*Main!$B$5)+(_xlfn.IFNA(VLOOKUP($A2,'FL Ratio'!$A$3:$B$10,2,FALSE),0)*'FL Characterization'!Q$2)</f>
        <v>47.821310275706544</v>
      </c>
      <c r="R2" s="2">
        <f ca="1">('[1]Pc, Spring, S3'!R2*Main!$B$5)+(_xlfn.IFNA(VLOOKUP($A2,'FL Ratio'!$A$3:$B$10,2,FALSE),0)*'FL Characterization'!R$2)</f>
        <v>46.85057300055405</v>
      </c>
      <c r="S2" s="2">
        <f ca="1">('[1]Pc, Spring, S3'!S2*Main!$B$5)+(_xlfn.IFNA(VLOOKUP($A2,'FL Ratio'!$A$3:$B$10,2,FALSE),0)*'FL Characterization'!S$2)</f>
        <v>47.929510703610212</v>
      </c>
      <c r="T2" s="2">
        <f ca="1">('[1]Pc, Spring, S3'!T2*Main!$B$5)+(_xlfn.IFNA(VLOOKUP($A2,'FL Ratio'!$A$3:$B$10,2,FALSE),0)*'FL Characterization'!T$2)</f>
        <v>51.174645634547588</v>
      </c>
      <c r="U2" s="2">
        <f ca="1">('[1]Pc, Spring, S3'!U2*Main!$B$5)+(_xlfn.IFNA(VLOOKUP($A2,'FL Ratio'!$A$3:$B$10,2,FALSE),0)*'FL Characterization'!U$2)</f>
        <v>48.818742722888594</v>
      </c>
      <c r="V2" s="2">
        <f ca="1">('[1]Pc, Spring, S3'!V2*Main!$B$5)+(_xlfn.IFNA(VLOOKUP($A2,'FL Ratio'!$A$3:$B$10,2,FALSE),0)*'FL Characterization'!V$2)</f>
        <v>50.519762327912524</v>
      </c>
      <c r="W2" s="2">
        <f ca="1">('[1]Pc, Spring, S3'!W2*Main!$B$5)+(_xlfn.IFNA(VLOOKUP($A2,'FL Ratio'!$A$3:$B$10,2,FALSE),0)*'FL Characterization'!W$2)</f>
        <v>48.747268881333447</v>
      </c>
      <c r="X2" s="2">
        <f ca="1">('[1]Pc, Spring, S3'!X2*Main!$B$5)+(_xlfn.IFNA(VLOOKUP($A2,'FL Ratio'!$A$3:$B$10,2,FALSE),0)*'FL Characterization'!X$2)</f>
        <v>42.685834183958285</v>
      </c>
      <c r="Y2" s="2">
        <f ca="1">('[1]Pc, Spring, S3'!Y2*Main!$B$5)+(_xlfn.IFNA(VLOOKUP($A2,'FL Ratio'!$A$3:$B$10,2,FALSE),0)*'FL Characterization'!Y$2)</f>
        <v>39.829095493660503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35.415464975500846</v>
      </c>
      <c r="C3" s="2">
        <f ca="1">('[1]Pc, Spring, S3'!C3*Main!$B$5)+(_xlfn.IFNA(VLOOKUP($A3,'FL Ratio'!$A$3:$B$10,2,FALSE),0)*'FL Characterization'!C$2)</f>
        <v>34.493289598544081</v>
      </c>
      <c r="D3" s="2">
        <f ca="1">('[1]Pc, Spring, S3'!D3*Main!$B$5)+(_xlfn.IFNA(VLOOKUP($A3,'FL Ratio'!$A$3:$B$10,2,FALSE),0)*'FL Characterization'!D$2)</f>
        <v>31.202594578486778</v>
      </c>
      <c r="E3" s="2">
        <f ca="1">('[1]Pc, Spring, S3'!E3*Main!$B$5)+(_xlfn.IFNA(VLOOKUP($A3,'FL Ratio'!$A$3:$B$10,2,FALSE),0)*'FL Characterization'!E$2)</f>
        <v>31.12375080392377</v>
      </c>
      <c r="F3" s="2">
        <f ca="1">('[1]Pc, Spring, S3'!F3*Main!$B$5)+(_xlfn.IFNA(VLOOKUP($A3,'FL Ratio'!$A$3:$B$10,2,FALSE),0)*'FL Characterization'!F$2)</f>
        <v>31.474832139129472</v>
      </c>
      <c r="G3" s="2">
        <f ca="1">('[1]Pc, Spring, S3'!G3*Main!$B$5)+(_xlfn.IFNA(VLOOKUP($A3,'FL Ratio'!$A$3:$B$10,2,FALSE),0)*'FL Characterization'!G$2)</f>
        <v>33.274522978154486</v>
      </c>
      <c r="H3" s="2">
        <f ca="1">('[1]Pc, Spring, S3'!H3*Main!$B$5)+(_xlfn.IFNA(VLOOKUP($A3,'FL Ratio'!$A$3:$B$10,2,FALSE),0)*'FL Characterization'!H$2)</f>
        <v>42.668062080596073</v>
      </c>
      <c r="I3" s="2">
        <f ca="1">('[1]Pc, Spring, S3'!I3*Main!$B$5)+(_xlfn.IFNA(VLOOKUP($A3,'FL Ratio'!$A$3:$B$10,2,FALSE),0)*'FL Characterization'!I$2)</f>
        <v>52.469559933957143</v>
      </c>
      <c r="J3" s="2">
        <f ca="1">('[1]Pc, Spring, S3'!J3*Main!$B$5)+(_xlfn.IFNA(VLOOKUP($A3,'FL Ratio'!$A$3:$B$10,2,FALSE),0)*'FL Characterization'!J$2)</f>
        <v>56.510595387061741</v>
      </c>
      <c r="K3" s="2">
        <f ca="1">('[1]Pc, Spring, S3'!K3*Main!$B$5)+(_xlfn.IFNA(VLOOKUP($A3,'FL Ratio'!$A$3:$B$10,2,FALSE),0)*'FL Characterization'!K$2)</f>
        <v>55.233593923683323</v>
      </c>
      <c r="L3" s="2">
        <f ca="1">('[1]Pc, Spring, S3'!L3*Main!$B$5)+(_xlfn.IFNA(VLOOKUP($A3,'FL Ratio'!$A$3:$B$10,2,FALSE),0)*'FL Characterization'!L$2)</f>
        <v>53.416572676100728</v>
      </c>
      <c r="M3" s="2">
        <f ca="1">('[1]Pc, Spring, S3'!M3*Main!$B$5)+(_xlfn.IFNA(VLOOKUP($A3,'FL Ratio'!$A$3:$B$10,2,FALSE),0)*'FL Characterization'!M$2)</f>
        <v>58.357067933259238</v>
      </c>
      <c r="N3" s="2">
        <f ca="1">('[1]Pc, Spring, S3'!N3*Main!$B$5)+(_xlfn.IFNA(VLOOKUP($A3,'FL Ratio'!$A$3:$B$10,2,FALSE),0)*'FL Characterization'!N$2)</f>
        <v>56.59388724829256</v>
      </c>
      <c r="O3" s="2">
        <f ca="1">('[1]Pc, Spring, S3'!O3*Main!$B$5)+(_xlfn.IFNA(VLOOKUP($A3,'FL Ratio'!$A$3:$B$10,2,FALSE),0)*'FL Characterization'!O$2)</f>
        <v>55.889004524739569</v>
      </c>
      <c r="P3" s="2">
        <f ca="1">('[1]Pc, Spring, S3'!P3*Main!$B$5)+(_xlfn.IFNA(VLOOKUP($A3,'FL Ratio'!$A$3:$B$10,2,FALSE),0)*'FL Characterization'!P$2)</f>
        <v>52.379796142523723</v>
      </c>
      <c r="Q3" s="2">
        <f ca="1">('[1]Pc, Spring, S3'!Q3*Main!$B$5)+(_xlfn.IFNA(VLOOKUP($A3,'FL Ratio'!$A$3:$B$10,2,FALSE),0)*'FL Characterization'!Q$2)</f>
        <v>50.066728789383816</v>
      </c>
      <c r="R3" s="2">
        <f ca="1">('[1]Pc, Spring, S3'!R3*Main!$B$5)+(_xlfn.IFNA(VLOOKUP($A3,'FL Ratio'!$A$3:$B$10,2,FALSE),0)*'FL Characterization'!R$2)</f>
        <v>48.420148360787721</v>
      </c>
      <c r="S3" s="2">
        <f ca="1">('[1]Pc, Spring, S3'!S3*Main!$B$5)+(_xlfn.IFNA(VLOOKUP($A3,'FL Ratio'!$A$3:$B$10,2,FALSE),0)*'FL Characterization'!S$2)</f>
        <v>49.831909610023239</v>
      </c>
      <c r="T3" s="2">
        <f ca="1">('[1]Pc, Spring, S3'!T3*Main!$B$5)+(_xlfn.IFNA(VLOOKUP($A3,'FL Ratio'!$A$3:$B$10,2,FALSE),0)*'FL Characterization'!T$2)</f>
        <v>47.881072471675644</v>
      </c>
      <c r="U3" s="2">
        <f ca="1">('[1]Pc, Spring, S3'!U3*Main!$B$5)+(_xlfn.IFNA(VLOOKUP($A3,'FL Ratio'!$A$3:$B$10,2,FALSE),0)*'FL Characterization'!U$2)</f>
        <v>50.219877117460598</v>
      </c>
      <c r="V3" s="2">
        <f ca="1">('[1]Pc, Spring, S3'!V3*Main!$B$5)+(_xlfn.IFNA(VLOOKUP($A3,'FL Ratio'!$A$3:$B$10,2,FALSE),0)*'FL Characterization'!V$2)</f>
        <v>48.152016779589118</v>
      </c>
      <c r="W3" s="2">
        <f ca="1">('[1]Pc, Spring, S3'!W3*Main!$B$5)+(_xlfn.IFNA(VLOOKUP($A3,'FL Ratio'!$A$3:$B$10,2,FALSE),0)*'FL Characterization'!W$2)</f>
        <v>46.896890314148685</v>
      </c>
      <c r="X3" s="2">
        <f ca="1">('[1]Pc, Spring, S3'!X3*Main!$B$5)+(_xlfn.IFNA(VLOOKUP($A3,'FL Ratio'!$A$3:$B$10,2,FALSE),0)*'FL Characterization'!X$2)</f>
        <v>43.542023551382343</v>
      </c>
      <c r="Y3" s="2">
        <f ca="1">('[1]Pc, Spring, S3'!Y3*Main!$B$5)+(_xlfn.IFNA(VLOOKUP($A3,'FL Ratio'!$A$3:$B$10,2,FALSE),0)*'FL Characterization'!Y$2)</f>
        <v>39.03121501691529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51.798418976345374</v>
      </c>
      <c r="C4" s="2">
        <f ca="1">('[1]Pc, Spring, S3'!C4*Main!$B$5)+(_xlfn.IFNA(VLOOKUP($A4,'FL Ratio'!$A$3:$B$10,2,FALSE),0)*'FL Characterization'!C$2)</f>
        <v>44.819408755413257</v>
      </c>
      <c r="D4" s="2">
        <f ca="1">('[1]Pc, Spring, S3'!D4*Main!$B$5)+(_xlfn.IFNA(VLOOKUP($A4,'FL Ratio'!$A$3:$B$10,2,FALSE),0)*'FL Characterization'!D$2)</f>
        <v>43.477240995849925</v>
      </c>
      <c r="E4" s="2">
        <f ca="1">('[1]Pc, Spring, S3'!E4*Main!$B$5)+(_xlfn.IFNA(VLOOKUP($A4,'FL Ratio'!$A$3:$B$10,2,FALSE),0)*'FL Characterization'!E$2)</f>
        <v>42.096312637641851</v>
      </c>
      <c r="F4" s="2">
        <f ca="1">('[1]Pc, Spring, S3'!F4*Main!$B$5)+(_xlfn.IFNA(VLOOKUP($A4,'FL Ratio'!$A$3:$B$10,2,FALSE),0)*'FL Characterization'!F$2)</f>
        <v>42.432579949573388</v>
      </c>
      <c r="G4" s="2">
        <f ca="1">('[1]Pc, Spring, S3'!G4*Main!$B$5)+(_xlfn.IFNA(VLOOKUP($A4,'FL Ratio'!$A$3:$B$10,2,FALSE),0)*'FL Characterization'!G$2)</f>
        <v>41.64036029242223</v>
      </c>
      <c r="H4" s="2">
        <f ca="1">('[1]Pc, Spring, S3'!H4*Main!$B$5)+(_xlfn.IFNA(VLOOKUP($A4,'FL Ratio'!$A$3:$B$10,2,FALSE),0)*'FL Characterization'!H$2)</f>
        <v>48.44058490409946</v>
      </c>
      <c r="I4" s="2">
        <f ca="1">('[1]Pc, Spring, S3'!I4*Main!$B$5)+(_xlfn.IFNA(VLOOKUP($A4,'FL Ratio'!$A$3:$B$10,2,FALSE),0)*'FL Characterization'!I$2)</f>
        <v>55.371431251580965</v>
      </c>
      <c r="J4" s="2">
        <f ca="1">('[1]Pc, Spring, S3'!J4*Main!$B$5)+(_xlfn.IFNA(VLOOKUP($A4,'FL Ratio'!$A$3:$B$10,2,FALSE),0)*'FL Characterization'!J$2)</f>
        <v>62.683620362751029</v>
      </c>
      <c r="K4" s="2">
        <f ca="1">('[1]Pc, Spring, S3'!K4*Main!$B$5)+(_xlfn.IFNA(VLOOKUP($A4,'FL Ratio'!$A$3:$B$10,2,FALSE),0)*'FL Characterization'!K$2)</f>
        <v>67.174948320436215</v>
      </c>
      <c r="L4" s="2">
        <f ca="1">('[1]Pc, Spring, S3'!L4*Main!$B$5)+(_xlfn.IFNA(VLOOKUP($A4,'FL Ratio'!$A$3:$B$10,2,FALSE),0)*'FL Characterization'!L$2)</f>
        <v>66.256025008780853</v>
      </c>
      <c r="M4" s="2">
        <f ca="1">('[1]Pc, Spring, S3'!M4*Main!$B$5)+(_xlfn.IFNA(VLOOKUP($A4,'FL Ratio'!$A$3:$B$10,2,FALSE),0)*'FL Characterization'!M$2)</f>
        <v>64.753793489730015</v>
      </c>
      <c r="N4" s="2">
        <f ca="1">('[1]Pc, Spring, S3'!N4*Main!$B$5)+(_xlfn.IFNA(VLOOKUP($A4,'FL Ratio'!$A$3:$B$10,2,FALSE),0)*'FL Characterization'!N$2)</f>
        <v>66.39078711557157</v>
      </c>
      <c r="O4" s="2">
        <f ca="1">('[1]Pc, Spring, S3'!O4*Main!$B$5)+(_xlfn.IFNA(VLOOKUP($A4,'FL Ratio'!$A$3:$B$10,2,FALSE),0)*'FL Characterization'!O$2)</f>
        <v>67.382638973832599</v>
      </c>
      <c r="P4" s="2">
        <f ca="1">('[1]Pc, Spring, S3'!P4*Main!$B$5)+(_xlfn.IFNA(VLOOKUP($A4,'FL Ratio'!$A$3:$B$10,2,FALSE),0)*'FL Characterization'!P$2)</f>
        <v>69.7914046096015</v>
      </c>
      <c r="Q4" s="2">
        <f ca="1">('[1]Pc, Spring, S3'!Q4*Main!$B$5)+(_xlfn.IFNA(VLOOKUP($A4,'FL Ratio'!$A$3:$B$10,2,FALSE),0)*'FL Characterization'!Q$2)</f>
        <v>62.613841970496402</v>
      </c>
      <c r="R4" s="2">
        <f ca="1">('[1]Pc, Spring, S3'!R4*Main!$B$5)+(_xlfn.IFNA(VLOOKUP($A4,'FL Ratio'!$A$3:$B$10,2,FALSE),0)*'FL Characterization'!R$2)</f>
        <v>63.718666608710215</v>
      </c>
      <c r="S4" s="2">
        <f ca="1">('[1]Pc, Spring, S3'!S4*Main!$B$5)+(_xlfn.IFNA(VLOOKUP($A4,'FL Ratio'!$A$3:$B$10,2,FALSE),0)*'FL Characterization'!S$2)</f>
        <v>66.677534232580044</v>
      </c>
      <c r="T4" s="2">
        <f ca="1">('[1]Pc, Spring, S3'!T4*Main!$B$5)+(_xlfn.IFNA(VLOOKUP($A4,'FL Ratio'!$A$3:$B$10,2,FALSE),0)*'FL Characterization'!T$2)</f>
        <v>72.044019800429368</v>
      </c>
      <c r="U4" s="2">
        <f ca="1">('[1]Pc, Spring, S3'!U4*Main!$B$5)+(_xlfn.IFNA(VLOOKUP($A4,'FL Ratio'!$A$3:$B$10,2,FALSE),0)*'FL Characterization'!U$2)</f>
        <v>68.835892212520832</v>
      </c>
      <c r="V4" s="2">
        <f ca="1">('[1]Pc, Spring, S3'!V4*Main!$B$5)+(_xlfn.IFNA(VLOOKUP($A4,'FL Ratio'!$A$3:$B$10,2,FALSE),0)*'FL Characterization'!V$2)</f>
        <v>68.015971103296479</v>
      </c>
      <c r="W4" s="2">
        <f ca="1">('[1]Pc, Spring, S3'!W4*Main!$B$5)+(_xlfn.IFNA(VLOOKUP($A4,'FL Ratio'!$A$3:$B$10,2,FALSE),0)*'FL Characterization'!W$2)</f>
        <v>68.288348671357952</v>
      </c>
      <c r="X4" s="2">
        <f ca="1">('[1]Pc, Spring, S3'!X4*Main!$B$5)+(_xlfn.IFNA(VLOOKUP($A4,'FL Ratio'!$A$3:$B$10,2,FALSE),0)*'FL Characterization'!X$2)</f>
        <v>67.343483716691125</v>
      </c>
      <c r="Y4" s="2">
        <f ca="1">('[1]Pc, Spring, S3'!Y4*Main!$B$5)+(_xlfn.IFNA(VLOOKUP($A4,'FL Ratio'!$A$3:$B$10,2,FALSE),0)*'FL Characterization'!Y$2)</f>
        <v>61.162693913013726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-13.353947771575147</v>
      </c>
      <c r="C2" s="2">
        <f ca="1">('[1]Qc, Spring, S1'!C2*Main!$B$5)</f>
        <v>-16.616342446008932</v>
      </c>
      <c r="D2" s="2">
        <f ca="1">('[1]Qc, Spring, S1'!D2*Main!$B$5)</f>
        <v>-17.120378527747445</v>
      </c>
      <c r="E2" s="2">
        <f ca="1">('[1]Qc, Spring, S1'!E2*Main!$B$5)</f>
        <v>-17.779906502356589</v>
      </c>
      <c r="F2" s="2">
        <f ca="1">('[1]Qc, Spring, S1'!F2*Main!$B$5)</f>
        <v>-18.899499563478191</v>
      </c>
      <c r="G2" s="2">
        <f ca="1">('[1]Qc, Spring, S1'!G2*Main!$B$5)</f>
        <v>-17.630513607057281</v>
      </c>
      <c r="H2" s="2">
        <f ca="1">('[1]Qc, Spring, S1'!H2*Main!$B$5)</f>
        <v>-13.844733178581318</v>
      </c>
      <c r="I2" s="2">
        <f ca="1">('[1]Qc, Spring, S1'!I2*Main!$B$5)</f>
        <v>-3.5780666535313084</v>
      </c>
      <c r="J2" s="2">
        <f ca="1">('[1]Qc, Spring, S1'!J2*Main!$B$5)</f>
        <v>4.1707283139195068</v>
      </c>
      <c r="K2" s="2">
        <f ca="1">('[1]Qc, Spring, S1'!K2*Main!$B$5)</f>
        <v>7.1835523814687186</v>
      </c>
      <c r="L2" s="2">
        <f ca="1">('[1]Qc, Spring, S1'!L2*Main!$B$5)</f>
        <v>4.5576055112641614</v>
      </c>
      <c r="M2" s="2">
        <f ca="1">('[1]Qc, Spring, S1'!M2*Main!$B$5)</f>
        <v>6.3674273897291407</v>
      </c>
      <c r="N2" s="2">
        <f ca="1">('[1]Qc, Spring, S1'!N2*Main!$B$5)</f>
        <v>5.4010580488207811</v>
      </c>
      <c r="O2" s="2">
        <f ca="1">('[1]Qc, Spring, S1'!O2*Main!$B$5)</f>
        <v>5.6967145461222888</v>
      </c>
      <c r="P2" s="2">
        <f ca="1">('[1]Qc, Spring, S1'!P2*Main!$B$5)</f>
        <v>1.2087046512743798</v>
      </c>
      <c r="Q2" s="2">
        <f ca="1">('[1]Qc, Spring, S1'!Q2*Main!$B$5)</f>
        <v>-2.3540604871705102</v>
      </c>
      <c r="R2" s="2">
        <f ca="1">('[1]Qc, Spring, S1'!R2*Main!$B$5)</f>
        <v>-0.8112300250115857</v>
      </c>
      <c r="S2" s="2">
        <f ca="1">('[1]Qc, Spring, S1'!S2*Main!$B$5)</f>
        <v>1.2624828653462359</v>
      </c>
      <c r="T2" s="2">
        <f ca="1">('[1]Qc, Spring, S1'!T2*Main!$B$5)</f>
        <v>1.4669202489920834E-2</v>
      </c>
      <c r="U2" s="2">
        <f ca="1">('[1]Qc, Spring, S1'!U2*Main!$B$5)</f>
        <v>-1.8749875586117724</v>
      </c>
      <c r="V2" s="2">
        <f ca="1">('[1]Qc, Spring, S1'!V2*Main!$B$5)</f>
        <v>-3.572209792108616</v>
      </c>
      <c r="W2" s="2">
        <f ca="1">('[1]Qc, Spring, S1'!W2*Main!$B$5)</f>
        <v>-4.1200740392228159</v>
      </c>
      <c r="X2" s="2">
        <f ca="1">('[1]Qc, Spring, S1'!X2*Main!$B$5)</f>
        <v>-7.8023380167918166</v>
      </c>
      <c r="Y2" s="2">
        <f ca="1">('[1]Qc, Spring, S1'!Y2*Main!$B$5)</f>
        <v>-9.5760202593507824</v>
      </c>
    </row>
    <row r="3" spans="1:25" x14ac:dyDescent="0.3">
      <c r="A3">
        <v>2</v>
      </c>
      <c r="B3" s="2">
        <f ca="1">('[1]Qc, Spring, S1'!B3*Main!$B$5)</f>
        <v>-2.8787622012038065</v>
      </c>
      <c r="C3" s="2">
        <f ca="1">('[1]Qc, Spring, S1'!C3*Main!$B$5)</f>
        <v>-0.70028356309133077</v>
      </c>
      <c r="D3" s="2">
        <f ca="1">('[1]Qc, Spring, S1'!D3*Main!$B$5)</f>
        <v>-2.918940016135243</v>
      </c>
      <c r="E3" s="2">
        <f ca="1">('[1]Qc, Spring, S1'!E3*Main!$B$5)</f>
        <v>-4.2640863834323026</v>
      </c>
      <c r="F3" s="2">
        <f ca="1">('[1]Qc, Spring, S1'!F3*Main!$B$5)</f>
        <v>-3.411269106745844</v>
      </c>
      <c r="G3" s="2">
        <f ca="1">('[1]Qc, Spring, S1'!G3*Main!$B$5)</f>
        <v>-5.8930974382116998</v>
      </c>
      <c r="H3" s="2">
        <f ca="1">('[1]Qc, Spring, S1'!H3*Main!$B$5)</f>
        <v>-1.7847566923059321</v>
      </c>
      <c r="I3" s="2">
        <f ca="1">('[1]Qc, Spring, S1'!I3*Main!$B$5)</f>
        <v>1.4273984943214186</v>
      </c>
      <c r="J3" s="2">
        <f ca="1">('[1]Qc, Spring, S1'!J3*Main!$B$5)</f>
        <v>1.1209107637921434</v>
      </c>
      <c r="K3" s="2">
        <f ca="1">('[1]Qc, Spring, S1'!K3*Main!$B$5)</f>
        <v>1.0883198452316127</v>
      </c>
      <c r="L3" s="2">
        <f ca="1">('[1]Qc, Spring, S1'!L3*Main!$B$5)</f>
        <v>3.024003556929503</v>
      </c>
      <c r="M3" s="2">
        <f ca="1">('[1]Qc, Spring, S1'!M3*Main!$B$5)</f>
        <v>2.2106863451073848</v>
      </c>
      <c r="N3" s="2">
        <f ca="1">('[1]Qc, Spring, S1'!N3*Main!$B$5)</f>
        <v>3.7471622202756891</v>
      </c>
      <c r="O3" s="2">
        <f ca="1">('[1]Qc, Spring, S1'!O3*Main!$B$5)</f>
        <v>3.7258577612418078</v>
      </c>
      <c r="P3" s="2">
        <f ca="1">('[1]Qc, Spring, S1'!P3*Main!$B$5)</f>
        <v>3.2156788508186915</v>
      </c>
      <c r="Q3" s="2">
        <f ca="1">('[1]Qc, Spring, S1'!Q3*Main!$B$5)</f>
        <v>4.1989873773203437</v>
      </c>
      <c r="R3" s="2">
        <f ca="1">('[1]Qc, Spring, S1'!R3*Main!$B$5)</f>
        <v>1.6179417740617279</v>
      </c>
      <c r="S3" s="2">
        <f ca="1">('[1]Qc, Spring, S1'!S3*Main!$B$5)</f>
        <v>1.60314029111208</v>
      </c>
      <c r="T3" s="2">
        <f ca="1">('[1]Qc, Spring, S1'!T3*Main!$B$5)</f>
        <v>1.6089249143695159</v>
      </c>
      <c r="U3" s="2">
        <f ca="1">('[1]Qc, Spring, S1'!U3*Main!$B$5)</f>
        <v>1.5133116189960185</v>
      </c>
      <c r="V3" s="2">
        <f ca="1">('[1]Qc, Spring, S1'!V3*Main!$B$5)</f>
        <v>-0.96791981701599739</v>
      </c>
      <c r="W3" s="2">
        <f ca="1">('[1]Qc, Spring, S1'!W3*Main!$B$5)</f>
        <v>0.74691530724085353</v>
      </c>
      <c r="X3" s="2">
        <f ca="1">('[1]Qc, Spring, S1'!X3*Main!$B$5)</f>
        <v>-3.8839493044011406</v>
      </c>
      <c r="Y3" s="2">
        <f ca="1">('[1]Qc, Spring, S1'!Y3*Main!$B$5)</f>
        <v>-3.7392639524973315</v>
      </c>
    </row>
    <row r="4" spans="1:25" x14ac:dyDescent="0.3">
      <c r="A4">
        <v>3</v>
      </c>
      <c r="B4" s="2">
        <f ca="1">('[1]Qc, Spring, S1'!B4*Main!$B$5)</f>
        <v>12.483376493657198</v>
      </c>
      <c r="C4" s="2">
        <f ca="1">('[1]Qc, Spring, S1'!C4*Main!$B$5)</f>
        <v>9.437150302543122</v>
      </c>
      <c r="D4" s="2">
        <f ca="1">('[1]Qc, Spring, S1'!D4*Main!$B$5)</f>
        <v>9.0228736953494195</v>
      </c>
      <c r="E4" s="2">
        <f ca="1">('[1]Qc, Spring, S1'!E4*Main!$B$5)</f>
        <v>8.2038703216947457</v>
      </c>
      <c r="F4" s="2">
        <f ca="1">('[1]Qc, Spring, S1'!F4*Main!$B$5)</f>
        <v>9.0619714773267752</v>
      </c>
      <c r="G4" s="2">
        <f ca="1">('[1]Qc, Spring, S1'!G4*Main!$B$5)</f>
        <v>6.9563452440942051</v>
      </c>
      <c r="H4" s="2">
        <f ca="1">('[1]Qc, Spring, S1'!H4*Main!$B$5)</f>
        <v>11.172053425550773</v>
      </c>
      <c r="I4" s="2">
        <f ca="1">('[1]Qc, Spring, S1'!I4*Main!$B$5)</f>
        <v>17.834476740385565</v>
      </c>
      <c r="J4" s="2">
        <f ca="1">('[1]Qc, Spring, S1'!J4*Main!$B$5)</f>
        <v>22.314248741401578</v>
      </c>
      <c r="K4" s="2">
        <f ca="1">('[1]Qc, Spring, S1'!K4*Main!$B$5)</f>
        <v>26.35890943295183</v>
      </c>
      <c r="L4" s="2">
        <f ca="1">('[1]Qc, Spring, S1'!L4*Main!$B$5)</f>
        <v>27.710272454056138</v>
      </c>
      <c r="M4" s="2">
        <f ca="1">('[1]Qc, Spring, S1'!M4*Main!$B$5)</f>
        <v>26.503308227183194</v>
      </c>
      <c r="N4" s="2">
        <f ca="1">('[1]Qc, Spring, S1'!N4*Main!$B$5)</f>
        <v>27.643109686032059</v>
      </c>
      <c r="O4" s="2">
        <f ca="1">('[1]Qc, Spring, S1'!O4*Main!$B$5)</f>
        <v>29.681750429563888</v>
      </c>
      <c r="P4" s="2">
        <f ca="1">('[1]Qc, Spring, S1'!P4*Main!$B$5)</f>
        <v>26.496573286442814</v>
      </c>
      <c r="Q4" s="2">
        <f ca="1">('[1]Qc, Spring, S1'!Q4*Main!$B$5)</f>
        <v>26.389404861283875</v>
      </c>
      <c r="R4" s="2">
        <f ca="1">('[1]Qc, Spring, S1'!R4*Main!$B$5)</f>
        <v>25.104583015527961</v>
      </c>
      <c r="S4" s="2">
        <f ca="1">('[1]Qc, Spring, S1'!S4*Main!$B$5)</f>
        <v>27.564592549207099</v>
      </c>
      <c r="T4" s="2">
        <f ca="1">('[1]Qc, Spring, S1'!T4*Main!$B$5)</f>
        <v>26.269745711744736</v>
      </c>
      <c r="U4" s="2">
        <f ca="1">('[1]Qc, Spring, S1'!U4*Main!$B$5)</f>
        <v>26.062407925643061</v>
      </c>
      <c r="V4" s="2">
        <f ca="1">('[1]Qc, Spring, S1'!V4*Main!$B$5)</f>
        <v>24.286126942383099</v>
      </c>
      <c r="W4" s="2">
        <f ca="1">('[1]Qc, Spring, S1'!W4*Main!$B$5)</f>
        <v>25.503960162128145</v>
      </c>
      <c r="X4" s="2">
        <f ca="1">('[1]Qc, Spring, S1'!X4*Main!$B$5)</f>
        <v>21.035182171195352</v>
      </c>
      <c r="Y4" s="2">
        <f ca="1">('[1]Qc, Spring, S1'!Y4*Main!$B$5)</f>
        <v>17.311692673510542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-13.353947771575147</v>
      </c>
      <c r="C2" s="2">
        <f ca="1">('[1]Qc, Spring, S1'!C2*Main!$B$5)</f>
        <v>-16.616342446008932</v>
      </c>
      <c r="D2" s="2">
        <f ca="1">('[1]Qc, Spring, S1'!D2*Main!$B$5)</f>
        <v>-17.120378527747445</v>
      </c>
      <c r="E2" s="2">
        <f ca="1">('[1]Qc, Spring, S1'!E2*Main!$B$5)</f>
        <v>-17.779906502356589</v>
      </c>
      <c r="F2" s="2">
        <f ca="1">('[1]Qc, Spring, S1'!F2*Main!$B$5)</f>
        <v>-18.899499563478191</v>
      </c>
      <c r="G2" s="2">
        <f ca="1">('[1]Qc, Spring, S1'!G2*Main!$B$5)</f>
        <v>-17.630513607057281</v>
      </c>
      <c r="H2" s="2">
        <f ca="1">('[1]Qc, Spring, S1'!H2*Main!$B$5)</f>
        <v>-13.844733178581318</v>
      </c>
      <c r="I2" s="2">
        <f ca="1">('[1]Qc, Spring, S1'!I2*Main!$B$5)</f>
        <v>-3.5780666535313084</v>
      </c>
      <c r="J2" s="2">
        <f ca="1">('[1]Qc, Spring, S1'!J2*Main!$B$5)</f>
        <v>4.1707283139195068</v>
      </c>
      <c r="K2" s="2">
        <f ca="1">('[1]Qc, Spring, S1'!K2*Main!$B$5)</f>
        <v>7.1835523814687186</v>
      </c>
      <c r="L2" s="2">
        <f ca="1">('[1]Qc, Spring, S1'!L2*Main!$B$5)</f>
        <v>4.5576055112641614</v>
      </c>
      <c r="M2" s="2">
        <f ca="1">('[1]Qc, Spring, S1'!M2*Main!$B$5)</f>
        <v>6.3674273897291407</v>
      </c>
      <c r="N2" s="2">
        <f ca="1">('[1]Qc, Spring, S1'!N2*Main!$B$5)</f>
        <v>5.4010580488207811</v>
      </c>
      <c r="O2" s="2">
        <f ca="1">('[1]Qc, Spring, S1'!O2*Main!$B$5)</f>
        <v>5.6967145461222888</v>
      </c>
      <c r="P2" s="2">
        <f ca="1">('[1]Qc, Spring, S1'!P2*Main!$B$5)</f>
        <v>1.2087046512743798</v>
      </c>
      <c r="Q2" s="2">
        <f ca="1">('[1]Qc, Spring, S1'!Q2*Main!$B$5)</f>
        <v>-2.3540604871705102</v>
      </c>
      <c r="R2" s="2">
        <f ca="1">('[1]Qc, Spring, S1'!R2*Main!$B$5)</f>
        <v>-0.8112300250115857</v>
      </c>
      <c r="S2" s="2">
        <f ca="1">('[1]Qc, Spring, S1'!S2*Main!$B$5)</f>
        <v>1.2624828653462359</v>
      </c>
      <c r="T2" s="2">
        <f ca="1">('[1]Qc, Spring, S1'!T2*Main!$B$5)</f>
        <v>1.4669202489920834E-2</v>
      </c>
      <c r="U2" s="2">
        <f ca="1">('[1]Qc, Spring, S1'!U2*Main!$B$5)</f>
        <v>-1.8749875586117724</v>
      </c>
      <c r="V2" s="2">
        <f ca="1">('[1]Qc, Spring, S1'!V2*Main!$B$5)</f>
        <v>-3.572209792108616</v>
      </c>
      <c r="W2" s="2">
        <f ca="1">('[1]Qc, Spring, S1'!W2*Main!$B$5)</f>
        <v>-4.1200740392228159</v>
      </c>
      <c r="X2" s="2">
        <f ca="1">('[1]Qc, Spring, S1'!X2*Main!$B$5)</f>
        <v>-7.8023380167918166</v>
      </c>
      <c r="Y2" s="2">
        <f ca="1">('[1]Qc, Spring, S1'!Y2*Main!$B$5)</f>
        <v>-9.5760202593507824</v>
      </c>
    </row>
    <row r="3" spans="1:25" x14ac:dyDescent="0.3">
      <c r="A3">
        <v>2</v>
      </c>
      <c r="B3" s="2">
        <f ca="1">('[1]Qc, Spring, S1'!B3*Main!$B$5)</f>
        <v>-2.8787622012038065</v>
      </c>
      <c r="C3" s="2">
        <f ca="1">('[1]Qc, Spring, S1'!C3*Main!$B$5)</f>
        <v>-0.70028356309133077</v>
      </c>
      <c r="D3" s="2">
        <f ca="1">('[1]Qc, Spring, S1'!D3*Main!$B$5)</f>
        <v>-2.918940016135243</v>
      </c>
      <c r="E3" s="2">
        <f ca="1">('[1]Qc, Spring, S1'!E3*Main!$B$5)</f>
        <v>-4.2640863834323026</v>
      </c>
      <c r="F3" s="2">
        <f ca="1">('[1]Qc, Spring, S1'!F3*Main!$B$5)</f>
        <v>-3.411269106745844</v>
      </c>
      <c r="G3" s="2">
        <f ca="1">('[1]Qc, Spring, S1'!G3*Main!$B$5)</f>
        <v>-5.8930974382116998</v>
      </c>
      <c r="H3" s="2">
        <f ca="1">('[1]Qc, Spring, S1'!H3*Main!$B$5)</f>
        <v>-1.7847566923059321</v>
      </c>
      <c r="I3" s="2">
        <f ca="1">('[1]Qc, Spring, S1'!I3*Main!$B$5)</f>
        <v>1.4273984943214186</v>
      </c>
      <c r="J3" s="2">
        <f ca="1">('[1]Qc, Spring, S1'!J3*Main!$B$5)</f>
        <v>1.1209107637921434</v>
      </c>
      <c r="K3" s="2">
        <f ca="1">('[1]Qc, Spring, S1'!K3*Main!$B$5)</f>
        <v>1.0883198452316127</v>
      </c>
      <c r="L3" s="2">
        <f ca="1">('[1]Qc, Spring, S1'!L3*Main!$B$5)</f>
        <v>3.024003556929503</v>
      </c>
      <c r="M3" s="2">
        <f ca="1">('[1]Qc, Spring, S1'!M3*Main!$B$5)</f>
        <v>2.2106863451073848</v>
      </c>
      <c r="N3" s="2">
        <f ca="1">('[1]Qc, Spring, S1'!N3*Main!$B$5)</f>
        <v>3.7471622202756891</v>
      </c>
      <c r="O3" s="2">
        <f ca="1">('[1]Qc, Spring, S1'!O3*Main!$B$5)</f>
        <v>3.7258577612418078</v>
      </c>
      <c r="P3" s="2">
        <f ca="1">('[1]Qc, Spring, S1'!P3*Main!$B$5)</f>
        <v>3.2156788508186915</v>
      </c>
      <c r="Q3" s="2">
        <f ca="1">('[1]Qc, Spring, S1'!Q3*Main!$B$5)</f>
        <v>4.1989873773203437</v>
      </c>
      <c r="R3" s="2">
        <f ca="1">('[1]Qc, Spring, S1'!R3*Main!$B$5)</f>
        <v>1.6179417740617279</v>
      </c>
      <c r="S3" s="2">
        <f ca="1">('[1]Qc, Spring, S1'!S3*Main!$B$5)</f>
        <v>1.60314029111208</v>
      </c>
      <c r="T3" s="2">
        <f ca="1">('[1]Qc, Spring, S1'!T3*Main!$B$5)</f>
        <v>1.6089249143695159</v>
      </c>
      <c r="U3" s="2">
        <f ca="1">('[1]Qc, Spring, S1'!U3*Main!$B$5)</f>
        <v>1.5133116189960185</v>
      </c>
      <c r="V3" s="2">
        <f ca="1">('[1]Qc, Spring, S1'!V3*Main!$B$5)</f>
        <v>-0.96791981701599739</v>
      </c>
      <c r="W3" s="2">
        <f ca="1">('[1]Qc, Spring, S1'!W3*Main!$B$5)</f>
        <v>0.74691530724085353</v>
      </c>
      <c r="X3" s="2">
        <f ca="1">('[1]Qc, Spring, S1'!X3*Main!$B$5)</f>
        <v>-3.8839493044011406</v>
      </c>
      <c r="Y3" s="2">
        <f ca="1">('[1]Qc, Spring, S1'!Y3*Main!$B$5)</f>
        <v>-3.7392639524973315</v>
      </c>
    </row>
    <row r="4" spans="1:25" x14ac:dyDescent="0.3">
      <c r="A4">
        <v>3</v>
      </c>
      <c r="B4" s="2">
        <f ca="1">('[1]Qc, Spring, S1'!B4*Main!$B$5)</f>
        <v>12.483376493657198</v>
      </c>
      <c r="C4" s="2">
        <f ca="1">('[1]Qc, Spring, S1'!C4*Main!$B$5)</f>
        <v>9.437150302543122</v>
      </c>
      <c r="D4" s="2">
        <f ca="1">('[1]Qc, Spring, S1'!D4*Main!$B$5)</f>
        <v>9.0228736953494195</v>
      </c>
      <c r="E4" s="2">
        <f ca="1">('[1]Qc, Spring, S1'!E4*Main!$B$5)</f>
        <v>8.2038703216947457</v>
      </c>
      <c r="F4" s="2">
        <f ca="1">('[1]Qc, Spring, S1'!F4*Main!$B$5)</f>
        <v>9.0619714773267752</v>
      </c>
      <c r="G4" s="2">
        <f ca="1">('[1]Qc, Spring, S1'!G4*Main!$B$5)</f>
        <v>6.9563452440942051</v>
      </c>
      <c r="H4" s="2">
        <f ca="1">('[1]Qc, Spring, S1'!H4*Main!$B$5)</f>
        <v>11.172053425550773</v>
      </c>
      <c r="I4" s="2">
        <f ca="1">('[1]Qc, Spring, S1'!I4*Main!$B$5)</f>
        <v>17.834476740385565</v>
      </c>
      <c r="J4" s="2">
        <f ca="1">('[1]Qc, Spring, S1'!J4*Main!$B$5)</f>
        <v>22.314248741401578</v>
      </c>
      <c r="K4" s="2">
        <f ca="1">('[1]Qc, Spring, S1'!K4*Main!$B$5)</f>
        <v>26.35890943295183</v>
      </c>
      <c r="L4" s="2">
        <f ca="1">('[1]Qc, Spring, S1'!L4*Main!$B$5)</f>
        <v>27.710272454056138</v>
      </c>
      <c r="M4" s="2">
        <f ca="1">('[1]Qc, Spring, S1'!M4*Main!$B$5)</f>
        <v>26.503308227183194</v>
      </c>
      <c r="N4" s="2">
        <f ca="1">('[1]Qc, Spring, S1'!N4*Main!$B$5)</f>
        <v>27.643109686032059</v>
      </c>
      <c r="O4" s="2">
        <f ca="1">('[1]Qc, Spring, S1'!O4*Main!$B$5)</f>
        <v>29.681750429563888</v>
      </c>
      <c r="P4" s="2">
        <f ca="1">('[1]Qc, Spring, S1'!P4*Main!$B$5)</f>
        <v>26.496573286442814</v>
      </c>
      <c r="Q4" s="2">
        <f ca="1">('[1]Qc, Spring, S1'!Q4*Main!$B$5)</f>
        <v>26.389404861283875</v>
      </c>
      <c r="R4" s="2">
        <f ca="1">('[1]Qc, Spring, S1'!R4*Main!$B$5)</f>
        <v>25.104583015527961</v>
      </c>
      <c r="S4" s="2">
        <f ca="1">('[1]Qc, Spring, S1'!S4*Main!$B$5)</f>
        <v>27.564592549207099</v>
      </c>
      <c r="T4" s="2">
        <f ca="1">('[1]Qc, Spring, S1'!T4*Main!$B$5)</f>
        <v>26.269745711744736</v>
      </c>
      <c r="U4" s="2">
        <f ca="1">('[1]Qc, Spring, S1'!U4*Main!$B$5)</f>
        <v>26.062407925643061</v>
      </c>
      <c r="V4" s="2">
        <f ca="1">('[1]Qc, Spring, S1'!V4*Main!$B$5)</f>
        <v>24.286126942383099</v>
      </c>
      <c r="W4" s="2">
        <f ca="1">('[1]Qc, Spring, S1'!W4*Main!$B$5)</f>
        <v>25.503960162128145</v>
      </c>
      <c r="X4" s="2">
        <f ca="1">('[1]Qc, Spring, S1'!X4*Main!$B$5)</f>
        <v>21.035182171195352</v>
      </c>
      <c r="Y4" s="2">
        <f ca="1">('[1]Qc, Spring, S1'!Y4*Main!$B$5)</f>
        <v>17.311692673510542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-13.353947771575147</v>
      </c>
      <c r="C2" s="2">
        <f ca="1">('[1]Qc, Spring, S1'!C2*Main!$B$5)</f>
        <v>-16.616342446008932</v>
      </c>
      <c r="D2" s="2">
        <f ca="1">('[1]Qc, Spring, S1'!D2*Main!$B$5)</f>
        <v>-17.120378527747445</v>
      </c>
      <c r="E2" s="2">
        <f ca="1">('[1]Qc, Spring, S1'!E2*Main!$B$5)</f>
        <v>-17.779906502356589</v>
      </c>
      <c r="F2" s="2">
        <f ca="1">('[1]Qc, Spring, S1'!F2*Main!$B$5)</f>
        <v>-18.899499563478191</v>
      </c>
      <c r="G2" s="2">
        <f ca="1">('[1]Qc, Spring, S1'!G2*Main!$B$5)</f>
        <v>-17.630513607057281</v>
      </c>
      <c r="H2" s="2">
        <f ca="1">('[1]Qc, Spring, S1'!H2*Main!$B$5)</f>
        <v>-13.844733178581318</v>
      </c>
      <c r="I2" s="2">
        <f ca="1">('[1]Qc, Spring, S1'!I2*Main!$B$5)</f>
        <v>-3.5780666535313084</v>
      </c>
      <c r="J2" s="2">
        <f ca="1">('[1]Qc, Spring, S1'!J2*Main!$B$5)</f>
        <v>4.1707283139195068</v>
      </c>
      <c r="K2" s="2">
        <f ca="1">('[1]Qc, Spring, S1'!K2*Main!$B$5)</f>
        <v>7.1835523814687186</v>
      </c>
      <c r="L2" s="2">
        <f ca="1">('[1]Qc, Spring, S1'!L2*Main!$B$5)</f>
        <v>4.5576055112641614</v>
      </c>
      <c r="M2" s="2">
        <f ca="1">('[1]Qc, Spring, S1'!M2*Main!$B$5)</f>
        <v>6.3674273897291407</v>
      </c>
      <c r="N2" s="2">
        <f ca="1">('[1]Qc, Spring, S1'!N2*Main!$B$5)</f>
        <v>5.4010580488207811</v>
      </c>
      <c r="O2" s="2">
        <f ca="1">('[1]Qc, Spring, S1'!O2*Main!$B$5)</f>
        <v>5.6967145461222888</v>
      </c>
      <c r="P2" s="2">
        <f ca="1">('[1]Qc, Spring, S1'!P2*Main!$B$5)</f>
        <v>1.2087046512743798</v>
      </c>
      <c r="Q2" s="2">
        <f ca="1">('[1]Qc, Spring, S1'!Q2*Main!$B$5)</f>
        <v>-2.3540604871705102</v>
      </c>
      <c r="R2" s="2">
        <f ca="1">('[1]Qc, Spring, S1'!R2*Main!$B$5)</f>
        <v>-0.8112300250115857</v>
      </c>
      <c r="S2" s="2">
        <f ca="1">('[1]Qc, Spring, S1'!S2*Main!$B$5)</f>
        <v>1.2624828653462359</v>
      </c>
      <c r="T2" s="2">
        <f ca="1">('[1]Qc, Spring, S1'!T2*Main!$B$5)</f>
        <v>1.4669202489920834E-2</v>
      </c>
      <c r="U2" s="2">
        <f ca="1">('[1]Qc, Spring, S1'!U2*Main!$B$5)</f>
        <v>-1.8749875586117724</v>
      </c>
      <c r="V2" s="2">
        <f ca="1">('[1]Qc, Spring, S1'!V2*Main!$B$5)</f>
        <v>-3.572209792108616</v>
      </c>
      <c r="W2" s="2">
        <f ca="1">('[1]Qc, Spring, S1'!W2*Main!$B$5)</f>
        <v>-4.1200740392228159</v>
      </c>
      <c r="X2" s="2">
        <f ca="1">('[1]Qc, Spring, S1'!X2*Main!$B$5)</f>
        <v>-7.8023380167918166</v>
      </c>
      <c r="Y2" s="2">
        <f ca="1">('[1]Qc, Spring, S1'!Y2*Main!$B$5)</f>
        <v>-9.5760202593507824</v>
      </c>
    </row>
    <row r="3" spans="1:25" x14ac:dyDescent="0.3">
      <c r="A3">
        <v>2</v>
      </c>
      <c r="B3" s="2">
        <f ca="1">('[1]Qc, Spring, S1'!B3*Main!$B$5)</f>
        <v>-2.8787622012038065</v>
      </c>
      <c r="C3" s="2">
        <f ca="1">('[1]Qc, Spring, S1'!C3*Main!$B$5)</f>
        <v>-0.70028356309133077</v>
      </c>
      <c r="D3" s="2">
        <f ca="1">('[1]Qc, Spring, S1'!D3*Main!$B$5)</f>
        <v>-2.918940016135243</v>
      </c>
      <c r="E3" s="2">
        <f ca="1">('[1]Qc, Spring, S1'!E3*Main!$B$5)</f>
        <v>-4.2640863834323026</v>
      </c>
      <c r="F3" s="2">
        <f ca="1">('[1]Qc, Spring, S1'!F3*Main!$B$5)</f>
        <v>-3.411269106745844</v>
      </c>
      <c r="G3" s="2">
        <f ca="1">('[1]Qc, Spring, S1'!G3*Main!$B$5)</f>
        <v>-5.8930974382116998</v>
      </c>
      <c r="H3" s="2">
        <f ca="1">('[1]Qc, Spring, S1'!H3*Main!$B$5)</f>
        <v>-1.7847566923059321</v>
      </c>
      <c r="I3" s="2">
        <f ca="1">('[1]Qc, Spring, S1'!I3*Main!$B$5)</f>
        <v>1.4273984943214186</v>
      </c>
      <c r="J3" s="2">
        <f ca="1">('[1]Qc, Spring, S1'!J3*Main!$B$5)</f>
        <v>1.1209107637921434</v>
      </c>
      <c r="K3" s="2">
        <f ca="1">('[1]Qc, Spring, S1'!K3*Main!$B$5)</f>
        <v>1.0883198452316127</v>
      </c>
      <c r="L3" s="2">
        <f ca="1">('[1]Qc, Spring, S1'!L3*Main!$B$5)</f>
        <v>3.024003556929503</v>
      </c>
      <c r="M3" s="2">
        <f ca="1">('[1]Qc, Spring, S1'!M3*Main!$B$5)</f>
        <v>2.2106863451073848</v>
      </c>
      <c r="N3" s="2">
        <f ca="1">('[1]Qc, Spring, S1'!N3*Main!$B$5)</f>
        <v>3.7471622202756891</v>
      </c>
      <c r="O3" s="2">
        <f ca="1">('[1]Qc, Spring, S1'!O3*Main!$B$5)</f>
        <v>3.7258577612418078</v>
      </c>
      <c r="P3" s="2">
        <f ca="1">('[1]Qc, Spring, S1'!P3*Main!$B$5)</f>
        <v>3.2156788508186915</v>
      </c>
      <c r="Q3" s="2">
        <f ca="1">('[1]Qc, Spring, S1'!Q3*Main!$B$5)</f>
        <v>4.1989873773203437</v>
      </c>
      <c r="R3" s="2">
        <f ca="1">('[1]Qc, Spring, S1'!R3*Main!$B$5)</f>
        <v>1.6179417740617279</v>
      </c>
      <c r="S3" s="2">
        <f ca="1">('[1]Qc, Spring, S1'!S3*Main!$B$5)</f>
        <v>1.60314029111208</v>
      </c>
      <c r="T3" s="2">
        <f ca="1">('[1]Qc, Spring, S1'!T3*Main!$B$5)</f>
        <v>1.6089249143695159</v>
      </c>
      <c r="U3" s="2">
        <f ca="1">('[1]Qc, Spring, S1'!U3*Main!$B$5)</f>
        <v>1.5133116189960185</v>
      </c>
      <c r="V3" s="2">
        <f ca="1">('[1]Qc, Spring, S1'!V3*Main!$B$5)</f>
        <v>-0.96791981701599739</v>
      </c>
      <c r="W3" s="2">
        <f ca="1">('[1]Qc, Spring, S1'!W3*Main!$B$5)</f>
        <v>0.74691530724085353</v>
      </c>
      <c r="X3" s="2">
        <f ca="1">('[1]Qc, Spring, S1'!X3*Main!$B$5)</f>
        <v>-3.8839493044011406</v>
      </c>
      <c r="Y3" s="2">
        <f ca="1">('[1]Qc, Spring, S1'!Y3*Main!$B$5)</f>
        <v>-3.7392639524973315</v>
      </c>
    </row>
    <row r="4" spans="1:25" x14ac:dyDescent="0.3">
      <c r="A4">
        <v>3</v>
      </c>
      <c r="B4" s="2">
        <f ca="1">('[1]Qc, Spring, S1'!B4*Main!$B$5)</f>
        <v>12.483376493657198</v>
      </c>
      <c r="C4" s="2">
        <f ca="1">('[1]Qc, Spring, S1'!C4*Main!$B$5)</f>
        <v>9.437150302543122</v>
      </c>
      <c r="D4" s="2">
        <f ca="1">('[1]Qc, Spring, S1'!D4*Main!$B$5)</f>
        <v>9.0228736953494195</v>
      </c>
      <c r="E4" s="2">
        <f ca="1">('[1]Qc, Spring, S1'!E4*Main!$B$5)</f>
        <v>8.2038703216947457</v>
      </c>
      <c r="F4" s="2">
        <f ca="1">('[1]Qc, Spring, S1'!F4*Main!$B$5)</f>
        <v>9.0619714773267752</v>
      </c>
      <c r="G4" s="2">
        <f ca="1">('[1]Qc, Spring, S1'!G4*Main!$B$5)</f>
        <v>6.9563452440942051</v>
      </c>
      <c r="H4" s="2">
        <f ca="1">('[1]Qc, Spring, S1'!H4*Main!$B$5)</f>
        <v>11.172053425550773</v>
      </c>
      <c r="I4" s="2">
        <f ca="1">('[1]Qc, Spring, S1'!I4*Main!$B$5)</f>
        <v>17.834476740385565</v>
      </c>
      <c r="J4" s="2">
        <f ca="1">('[1]Qc, Spring, S1'!J4*Main!$B$5)</f>
        <v>22.314248741401578</v>
      </c>
      <c r="K4" s="2">
        <f ca="1">('[1]Qc, Spring, S1'!K4*Main!$B$5)</f>
        <v>26.35890943295183</v>
      </c>
      <c r="L4" s="2">
        <f ca="1">('[1]Qc, Spring, S1'!L4*Main!$B$5)</f>
        <v>27.710272454056138</v>
      </c>
      <c r="M4" s="2">
        <f ca="1">('[1]Qc, Spring, S1'!M4*Main!$B$5)</f>
        <v>26.503308227183194</v>
      </c>
      <c r="N4" s="2">
        <f ca="1">('[1]Qc, Spring, S1'!N4*Main!$B$5)</f>
        <v>27.643109686032059</v>
      </c>
      <c r="O4" s="2">
        <f ca="1">('[1]Qc, Spring, S1'!O4*Main!$B$5)</f>
        <v>29.681750429563888</v>
      </c>
      <c r="P4" s="2">
        <f ca="1">('[1]Qc, Spring, S1'!P4*Main!$B$5)</f>
        <v>26.496573286442814</v>
      </c>
      <c r="Q4" s="2">
        <f ca="1">('[1]Qc, Spring, S1'!Q4*Main!$B$5)</f>
        <v>26.389404861283875</v>
      </c>
      <c r="R4" s="2">
        <f ca="1">('[1]Qc, Spring, S1'!R4*Main!$B$5)</f>
        <v>25.104583015527961</v>
      </c>
      <c r="S4" s="2">
        <f ca="1">('[1]Qc, Spring, S1'!S4*Main!$B$5)</f>
        <v>27.564592549207099</v>
      </c>
      <c r="T4" s="2">
        <f ca="1">('[1]Qc, Spring, S1'!T4*Main!$B$5)</f>
        <v>26.269745711744736</v>
      </c>
      <c r="U4" s="2">
        <f ca="1">('[1]Qc, Spring, S1'!U4*Main!$B$5)</f>
        <v>26.062407925643061</v>
      </c>
      <c r="V4" s="2">
        <f ca="1">('[1]Qc, Spring, S1'!V4*Main!$B$5)</f>
        <v>24.286126942383099</v>
      </c>
      <c r="W4" s="2">
        <f ca="1">('[1]Qc, Spring, S1'!W4*Main!$B$5)</f>
        <v>25.503960162128145</v>
      </c>
      <c r="X4" s="2">
        <f ca="1">('[1]Qc, Spring, S1'!X4*Main!$B$5)</f>
        <v>21.035182171195352</v>
      </c>
      <c r="Y4" s="2">
        <f ca="1">('[1]Qc, Spring, S1'!Y4*Main!$B$5)</f>
        <v>17.311692673510542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-13.888105682438153</v>
      </c>
      <c r="C2" s="2">
        <f ca="1">('[1]Qc, Spring, S2'!C2*Main!$B$5)</f>
        <v>-17.28099614384929</v>
      </c>
      <c r="D2" s="2">
        <f ca="1">('[1]Qc, Spring, S2'!D2*Main!$B$5)</f>
        <v>-17.805193668857342</v>
      </c>
      <c r="E2" s="2">
        <f ca="1">('[1]Qc, Spring, S2'!E2*Main!$B$5)</f>
        <v>-18.491102762450854</v>
      </c>
      <c r="F2" s="2">
        <f ca="1">('[1]Qc, Spring, S2'!F2*Main!$B$5)</f>
        <v>-19.655479546017318</v>
      </c>
      <c r="G2" s="2">
        <f ca="1">('[1]Qc, Spring, S2'!G2*Main!$B$5)</f>
        <v>-18.335734151339576</v>
      </c>
      <c r="H2" s="2">
        <f ca="1">('[1]Qc, Spring, S2'!H2*Main!$B$5)</f>
        <v>-14.398522505724571</v>
      </c>
      <c r="I2" s="2">
        <f ca="1">('[1]Qc, Spring, S2'!I2*Main!$B$5)</f>
        <v>-3.7211893196725612</v>
      </c>
      <c r="J2" s="2">
        <f ca="1">('[1]Qc, Spring, S2'!J2*Main!$B$5)</f>
        <v>4.3375574464762874</v>
      </c>
      <c r="K2" s="2">
        <f ca="1">('[1]Qc, Spring, S2'!K2*Main!$B$5)</f>
        <v>7.4708944767274685</v>
      </c>
      <c r="L2" s="2">
        <f ca="1">('[1]Qc, Spring, S2'!L2*Main!$B$5)</f>
        <v>4.7399097317147278</v>
      </c>
      <c r="M2" s="2">
        <f ca="1">('[1]Qc, Spring, S2'!M2*Main!$B$5)</f>
        <v>6.6221244853183068</v>
      </c>
      <c r="N2" s="2">
        <f ca="1">('[1]Qc, Spring, S2'!N2*Main!$B$5)</f>
        <v>5.6171003707736125</v>
      </c>
      <c r="O2" s="2">
        <f ca="1">('[1]Qc, Spring, S2'!O2*Main!$B$5)</f>
        <v>5.9245831279671801</v>
      </c>
      <c r="P2" s="2">
        <f ca="1">('[1]Qc, Spring, S2'!P2*Main!$B$5)</f>
        <v>1.2570528373253549</v>
      </c>
      <c r="Q2" s="2">
        <f ca="1">('[1]Qc, Spring, S2'!Q2*Main!$B$5)</f>
        <v>-2.4482229066573304</v>
      </c>
      <c r="R2" s="2">
        <f ca="1">('[1]Qc, Spring, S2'!R2*Main!$B$5)</f>
        <v>-0.84367922601204903</v>
      </c>
      <c r="S2" s="2">
        <f ca="1">('[1]Qc, Spring, S2'!S2*Main!$B$5)</f>
        <v>1.3129821799600851</v>
      </c>
      <c r="T2" s="2">
        <f ca="1">('[1]Qc, Spring, S2'!T2*Main!$B$5)</f>
        <v>1.5255970589517666E-2</v>
      </c>
      <c r="U2" s="2">
        <f ca="1">('[1]Qc, Spring, S2'!U2*Main!$B$5)</f>
        <v>-1.9499870609562433</v>
      </c>
      <c r="V2" s="2">
        <f ca="1">('[1]Qc, Spring, S2'!V2*Main!$B$5)</f>
        <v>-3.7150981837929606</v>
      </c>
      <c r="W2" s="2">
        <f ca="1">('[1]Qc, Spring, S2'!W2*Main!$B$5)</f>
        <v>-4.2848770007917283</v>
      </c>
      <c r="X2" s="2">
        <f ca="1">('[1]Qc, Spring, S2'!X2*Main!$B$5)</f>
        <v>-8.1144315374634903</v>
      </c>
      <c r="Y2" s="2">
        <f ca="1">('[1]Qc, Spring, S2'!Y2*Main!$B$5)</f>
        <v>-9.9590610697248145</v>
      </c>
    </row>
    <row r="3" spans="1:25" x14ac:dyDescent="0.3">
      <c r="A3">
        <v>2</v>
      </c>
      <c r="B3" s="2">
        <f ca="1">('[1]Qc, Spring, S2'!B3*Main!$B$5)</f>
        <v>-2.993912689251959</v>
      </c>
      <c r="C3" s="2">
        <f ca="1">('[1]Qc, Spring, S2'!C3*Main!$B$5)</f>
        <v>-0.72829490561498411</v>
      </c>
      <c r="D3" s="2">
        <f ca="1">('[1]Qc, Spring, S2'!D3*Main!$B$5)</f>
        <v>-3.0356976167806531</v>
      </c>
      <c r="E3" s="2">
        <f ca="1">('[1]Qc, Spring, S2'!E3*Main!$B$5)</f>
        <v>-4.4346498387695945</v>
      </c>
      <c r="F3" s="2">
        <f ca="1">('[1]Qc, Spring, S2'!F3*Main!$B$5)</f>
        <v>-3.5477198710156772</v>
      </c>
      <c r="G3" s="2">
        <f ca="1">('[1]Qc, Spring, S2'!G3*Main!$B$5)</f>
        <v>-6.1288213357401684</v>
      </c>
      <c r="H3" s="2">
        <f ca="1">('[1]Qc, Spring, S2'!H3*Main!$B$5)</f>
        <v>-1.8561469599981695</v>
      </c>
      <c r="I3" s="2">
        <f ca="1">('[1]Qc, Spring, S2'!I3*Main!$B$5)</f>
        <v>1.4844944340942752</v>
      </c>
      <c r="J3" s="2">
        <f ca="1">('[1]Qc, Spring, S2'!J3*Main!$B$5)</f>
        <v>1.1657471943438293</v>
      </c>
      <c r="K3" s="2">
        <f ca="1">('[1]Qc, Spring, S2'!K3*Main!$B$5)</f>
        <v>1.1318526390408772</v>
      </c>
      <c r="L3" s="2">
        <f ca="1">('[1]Qc, Spring, S2'!L3*Main!$B$5)</f>
        <v>3.1449636992066834</v>
      </c>
      <c r="M3" s="2">
        <f ca="1">('[1]Qc, Spring, S2'!M3*Main!$B$5)</f>
        <v>2.2991137989116806</v>
      </c>
      <c r="N3" s="2">
        <f ca="1">('[1]Qc, Spring, S2'!N3*Main!$B$5)</f>
        <v>3.8970487090867172</v>
      </c>
      <c r="O3" s="2">
        <f ca="1">('[1]Qc, Spring, S2'!O3*Main!$B$5)</f>
        <v>3.8748920716914799</v>
      </c>
      <c r="P3" s="2">
        <f ca="1">('[1]Qc, Spring, S2'!P3*Main!$B$5)</f>
        <v>3.3443060048514393</v>
      </c>
      <c r="Q3" s="2">
        <f ca="1">('[1]Qc, Spring, S2'!Q3*Main!$B$5)</f>
        <v>4.3669468724131573</v>
      </c>
      <c r="R3" s="2">
        <f ca="1">('[1]Qc, Spring, S2'!R3*Main!$B$5)</f>
        <v>1.682659445024197</v>
      </c>
      <c r="S3" s="2">
        <f ca="1">('[1]Qc, Spring, S2'!S3*Main!$B$5)</f>
        <v>1.6672659027565633</v>
      </c>
      <c r="T3" s="2">
        <f ca="1">('[1]Qc, Spring, S2'!T3*Main!$B$5)</f>
        <v>1.6732819109442967</v>
      </c>
      <c r="U3" s="2">
        <f ca="1">('[1]Qc, Spring, S2'!U3*Main!$B$5)</f>
        <v>1.5738440837558589</v>
      </c>
      <c r="V3" s="2">
        <f ca="1">('[1]Qc, Spring, S2'!V3*Main!$B$5)</f>
        <v>-1.0066366096966373</v>
      </c>
      <c r="W3" s="2">
        <f ca="1">('[1]Qc, Spring, S2'!W3*Main!$B$5)</f>
        <v>0.77679191953048765</v>
      </c>
      <c r="X3" s="2">
        <f ca="1">('[1]Qc, Spring, S2'!X3*Main!$B$5)</f>
        <v>-4.039307276577186</v>
      </c>
      <c r="Y3" s="2">
        <f ca="1">('[1]Qc, Spring, S2'!Y3*Main!$B$5)</f>
        <v>-3.8888345105972237</v>
      </c>
    </row>
    <row r="4" spans="1:25" x14ac:dyDescent="0.3">
      <c r="A4">
        <v>3</v>
      </c>
      <c r="B4" s="2">
        <f ca="1">('[1]Qc, Spring, S2'!B4*Main!$B$5)</f>
        <v>12.982711553403488</v>
      </c>
      <c r="C4" s="2">
        <f ca="1">('[1]Qc, Spring, S2'!C4*Main!$B$5)</f>
        <v>9.8146363146448472</v>
      </c>
      <c r="D4" s="2">
        <f ca="1">('[1]Qc, Spring, S2'!D4*Main!$B$5)</f>
        <v>9.3837886431633954</v>
      </c>
      <c r="E4" s="2">
        <f ca="1">('[1]Qc, Spring, S2'!E4*Main!$B$5)</f>
        <v>8.5320251345625344</v>
      </c>
      <c r="F4" s="2">
        <f ca="1">('[1]Qc, Spring, S2'!F4*Main!$B$5)</f>
        <v>9.4244503364198469</v>
      </c>
      <c r="G4" s="2">
        <f ca="1">('[1]Qc, Spring, S2'!G4*Main!$B$5)</f>
        <v>7.2345990538579743</v>
      </c>
      <c r="H4" s="2">
        <f ca="1">('[1]Qc, Spring, S2'!H4*Main!$B$5)</f>
        <v>11.618935562572803</v>
      </c>
      <c r="I4" s="2">
        <f ca="1">('[1]Qc, Spring, S2'!I4*Main!$B$5)</f>
        <v>18.547855810000989</v>
      </c>
      <c r="J4" s="2">
        <f ca="1">('[1]Qc, Spring, S2'!J4*Main!$B$5)</f>
        <v>23.206818691057638</v>
      </c>
      <c r="K4" s="2">
        <f ca="1">('[1]Qc, Spring, S2'!K4*Main!$B$5)</f>
        <v>27.413265810269905</v>
      </c>
      <c r="L4" s="2">
        <f ca="1">('[1]Qc, Spring, S2'!L4*Main!$B$5)</f>
        <v>28.818683352218383</v>
      </c>
      <c r="M4" s="2">
        <f ca="1">('[1]Qc, Spring, S2'!M4*Main!$B$5)</f>
        <v>27.563440556270518</v>
      </c>
      <c r="N4" s="2">
        <f ca="1">('[1]Qc, Spring, S2'!N4*Main!$B$5)</f>
        <v>28.748834073473347</v>
      </c>
      <c r="O4" s="2">
        <f ca="1">('[1]Qc, Spring, S2'!O4*Main!$B$5)</f>
        <v>30.86902044674644</v>
      </c>
      <c r="P4" s="2">
        <f ca="1">('[1]Qc, Spring, S2'!P4*Main!$B$5)</f>
        <v>27.556436217900526</v>
      </c>
      <c r="Q4" s="2">
        <f ca="1">('[1]Qc, Spring, S2'!Q4*Main!$B$5)</f>
        <v>27.444981055735234</v>
      </c>
      <c r="R4" s="2">
        <f ca="1">('[1]Qc, Spring, S2'!R4*Main!$B$5)</f>
        <v>26.108766336149081</v>
      </c>
      <c r="S4" s="2">
        <f ca="1">('[1]Qc, Spring, S2'!S4*Main!$B$5)</f>
        <v>28.667176251175384</v>
      </c>
      <c r="T4" s="2">
        <f ca="1">('[1]Qc, Spring, S2'!T4*Main!$B$5)</f>
        <v>27.320535540214529</v>
      </c>
      <c r="U4" s="2">
        <f ca="1">('[1]Qc, Spring, S2'!U4*Main!$B$5)</f>
        <v>27.104904242668788</v>
      </c>
      <c r="V4" s="2">
        <f ca="1">('[1]Qc, Spring, S2'!V4*Main!$B$5)</f>
        <v>25.257572020078424</v>
      </c>
      <c r="W4" s="2">
        <f ca="1">('[1]Qc, Spring, S2'!W4*Main!$B$5)</f>
        <v>26.524118568613268</v>
      </c>
      <c r="X4" s="2">
        <f ca="1">('[1]Qc, Spring, S2'!X4*Main!$B$5)</f>
        <v>21.876589458043167</v>
      </c>
      <c r="Y4" s="2">
        <f ca="1">('[1]Qc, Spring, S2'!Y4*Main!$B$5)</f>
        <v>18.004160380450962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-13.888105682438153</v>
      </c>
      <c r="C2" s="2">
        <f ca="1">('[1]Qc, Spring, S2'!C2*Main!$B$5)</f>
        <v>-17.28099614384929</v>
      </c>
      <c r="D2" s="2">
        <f ca="1">('[1]Qc, Spring, S2'!D2*Main!$B$5)</f>
        <v>-17.805193668857342</v>
      </c>
      <c r="E2" s="2">
        <f ca="1">('[1]Qc, Spring, S2'!E2*Main!$B$5)</f>
        <v>-18.491102762450854</v>
      </c>
      <c r="F2" s="2">
        <f ca="1">('[1]Qc, Spring, S2'!F2*Main!$B$5)</f>
        <v>-19.655479546017318</v>
      </c>
      <c r="G2" s="2">
        <f ca="1">('[1]Qc, Spring, S2'!G2*Main!$B$5)</f>
        <v>-18.335734151339576</v>
      </c>
      <c r="H2" s="2">
        <f ca="1">('[1]Qc, Spring, S2'!H2*Main!$B$5)</f>
        <v>-14.398522505724571</v>
      </c>
      <c r="I2" s="2">
        <f ca="1">('[1]Qc, Spring, S2'!I2*Main!$B$5)</f>
        <v>-3.7211893196725612</v>
      </c>
      <c r="J2" s="2">
        <f ca="1">('[1]Qc, Spring, S2'!J2*Main!$B$5)</f>
        <v>4.3375574464762874</v>
      </c>
      <c r="K2" s="2">
        <f ca="1">('[1]Qc, Spring, S2'!K2*Main!$B$5)</f>
        <v>7.4708944767274685</v>
      </c>
      <c r="L2" s="2">
        <f ca="1">('[1]Qc, Spring, S2'!L2*Main!$B$5)</f>
        <v>4.7399097317147278</v>
      </c>
      <c r="M2" s="2">
        <f ca="1">('[1]Qc, Spring, S2'!M2*Main!$B$5)</f>
        <v>6.6221244853183068</v>
      </c>
      <c r="N2" s="2">
        <f ca="1">('[1]Qc, Spring, S2'!N2*Main!$B$5)</f>
        <v>5.6171003707736125</v>
      </c>
      <c r="O2" s="2">
        <f ca="1">('[1]Qc, Spring, S2'!O2*Main!$B$5)</f>
        <v>5.9245831279671801</v>
      </c>
      <c r="P2" s="2">
        <f ca="1">('[1]Qc, Spring, S2'!P2*Main!$B$5)</f>
        <v>1.2570528373253549</v>
      </c>
      <c r="Q2" s="2">
        <f ca="1">('[1]Qc, Spring, S2'!Q2*Main!$B$5)</f>
        <v>-2.4482229066573304</v>
      </c>
      <c r="R2" s="2">
        <f ca="1">('[1]Qc, Spring, S2'!R2*Main!$B$5)</f>
        <v>-0.84367922601204903</v>
      </c>
      <c r="S2" s="2">
        <f ca="1">('[1]Qc, Spring, S2'!S2*Main!$B$5)</f>
        <v>1.3129821799600851</v>
      </c>
      <c r="T2" s="2">
        <f ca="1">('[1]Qc, Spring, S2'!T2*Main!$B$5)</f>
        <v>1.5255970589517666E-2</v>
      </c>
      <c r="U2" s="2">
        <f ca="1">('[1]Qc, Spring, S2'!U2*Main!$B$5)</f>
        <v>-1.9499870609562433</v>
      </c>
      <c r="V2" s="2">
        <f ca="1">('[1]Qc, Spring, S2'!V2*Main!$B$5)</f>
        <v>-3.7150981837929606</v>
      </c>
      <c r="W2" s="2">
        <f ca="1">('[1]Qc, Spring, S2'!W2*Main!$B$5)</f>
        <v>-4.2848770007917283</v>
      </c>
      <c r="X2" s="2">
        <f ca="1">('[1]Qc, Spring, S2'!X2*Main!$B$5)</f>
        <v>-8.1144315374634903</v>
      </c>
      <c r="Y2" s="2">
        <f ca="1">('[1]Qc, Spring, S2'!Y2*Main!$B$5)</f>
        <v>-9.9590610697248145</v>
      </c>
    </row>
    <row r="3" spans="1:25" x14ac:dyDescent="0.3">
      <c r="A3">
        <v>2</v>
      </c>
      <c r="B3" s="2">
        <f ca="1">('[1]Qc, Spring, S2'!B3*Main!$B$5)</f>
        <v>-2.993912689251959</v>
      </c>
      <c r="C3" s="2">
        <f ca="1">('[1]Qc, Spring, S2'!C3*Main!$B$5)</f>
        <v>-0.72829490561498411</v>
      </c>
      <c r="D3" s="2">
        <f ca="1">('[1]Qc, Spring, S2'!D3*Main!$B$5)</f>
        <v>-3.0356976167806531</v>
      </c>
      <c r="E3" s="2">
        <f ca="1">('[1]Qc, Spring, S2'!E3*Main!$B$5)</f>
        <v>-4.4346498387695945</v>
      </c>
      <c r="F3" s="2">
        <f ca="1">('[1]Qc, Spring, S2'!F3*Main!$B$5)</f>
        <v>-3.5477198710156772</v>
      </c>
      <c r="G3" s="2">
        <f ca="1">('[1]Qc, Spring, S2'!G3*Main!$B$5)</f>
        <v>-6.1288213357401684</v>
      </c>
      <c r="H3" s="2">
        <f ca="1">('[1]Qc, Spring, S2'!H3*Main!$B$5)</f>
        <v>-1.8561469599981695</v>
      </c>
      <c r="I3" s="2">
        <f ca="1">('[1]Qc, Spring, S2'!I3*Main!$B$5)</f>
        <v>1.4844944340942752</v>
      </c>
      <c r="J3" s="2">
        <f ca="1">('[1]Qc, Spring, S2'!J3*Main!$B$5)</f>
        <v>1.1657471943438293</v>
      </c>
      <c r="K3" s="2">
        <f ca="1">('[1]Qc, Spring, S2'!K3*Main!$B$5)</f>
        <v>1.1318526390408772</v>
      </c>
      <c r="L3" s="2">
        <f ca="1">('[1]Qc, Spring, S2'!L3*Main!$B$5)</f>
        <v>3.1449636992066834</v>
      </c>
      <c r="M3" s="2">
        <f ca="1">('[1]Qc, Spring, S2'!M3*Main!$B$5)</f>
        <v>2.2991137989116806</v>
      </c>
      <c r="N3" s="2">
        <f ca="1">('[1]Qc, Spring, S2'!N3*Main!$B$5)</f>
        <v>3.8970487090867172</v>
      </c>
      <c r="O3" s="2">
        <f ca="1">('[1]Qc, Spring, S2'!O3*Main!$B$5)</f>
        <v>3.8748920716914799</v>
      </c>
      <c r="P3" s="2">
        <f ca="1">('[1]Qc, Spring, S2'!P3*Main!$B$5)</f>
        <v>3.3443060048514393</v>
      </c>
      <c r="Q3" s="2">
        <f ca="1">('[1]Qc, Spring, S2'!Q3*Main!$B$5)</f>
        <v>4.3669468724131573</v>
      </c>
      <c r="R3" s="2">
        <f ca="1">('[1]Qc, Spring, S2'!R3*Main!$B$5)</f>
        <v>1.682659445024197</v>
      </c>
      <c r="S3" s="2">
        <f ca="1">('[1]Qc, Spring, S2'!S3*Main!$B$5)</f>
        <v>1.6672659027565633</v>
      </c>
      <c r="T3" s="2">
        <f ca="1">('[1]Qc, Spring, S2'!T3*Main!$B$5)</f>
        <v>1.6732819109442967</v>
      </c>
      <c r="U3" s="2">
        <f ca="1">('[1]Qc, Spring, S2'!U3*Main!$B$5)</f>
        <v>1.5738440837558589</v>
      </c>
      <c r="V3" s="2">
        <f ca="1">('[1]Qc, Spring, S2'!V3*Main!$B$5)</f>
        <v>-1.0066366096966373</v>
      </c>
      <c r="W3" s="2">
        <f ca="1">('[1]Qc, Spring, S2'!W3*Main!$B$5)</f>
        <v>0.77679191953048765</v>
      </c>
      <c r="X3" s="2">
        <f ca="1">('[1]Qc, Spring, S2'!X3*Main!$B$5)</f>
        <v>-4.039307276577186</v>
      </c>
      <c r="Y3" s="2">
        <f ca="1">('[1]Qc, Spring, S2'!Y3*Main!$B$5)</f>
        <v>-3.8888345105972237</v>
      </c>
    </row>
    <row r="4" spans="1:25" x14ac:dyDescent="0.3">
      <c r="A4">
        <v>3</v>
      </c>
      <c r="B4" s="2">
        <f ca="1">('[1]Qc, Spring, S2'!B4*Main!$B$5)</f>
        <v>12.982711553403488</v>
      </c>
      <c r="C4" s="2">
        <f ca="1">('[1]Qc, Spring, S2'!C4*Main!$B$5)</f>
        <v>9.8146363146448472</v>
      </c>
      <c r="D4" s="2">
        <f ca="1">('[1]Qc, Spring, S2'!D4*Main!$B$5)</f>
        <v>9.3837886431633954</v>
      </c>
      <c r="E4" s="2">
        <f ca="1">('[1]Qc, Spring, S2'!E4*Main!$B$5)</f>
        <v>8.5320251345625344</v>
      </c>
      <c r="F4" s="2">
        <f ca="1">('[1]Qc, Spring, S2'!F4*Main!$B$5)</f>
        <v>9.4244503364198469</v>
      </c>
      <c r="G4" s="2">
        <f ca="1">('[1]Qc, Spring, S2'!G4*Main!$B$5)</f>
        <v>7.2345990538579743</v>
      </c>
      <c r="H4" s="2">
        <f ca="1">('[1]Qc, Spring, S2'!H4*Main!$B$5)</f>
        <v>11.618935562572803</v>
      </c>
      <c r="I4" s="2">
        <f ca="1">('[1]Qc, Spring, S2'!I4*Main!$B$5)</f>
        <v>18.547855810000989</v>
      </c>
      <c r="J4" s="2">
        <f ca="1">('[1]Qc, Spring, S2'!J4*Main!$B$5)</f>
        <v>23.206818691057638</v>
      </c>
      <c r="K4" s="2">
        <f ca="1">('[1]Qc, Spring, S2'!K4*Main!$B$5)</f>
        <v>27.413265810269905</v>
      </c>
      <c r="L4" s="2">
        <f ca="1">('[1]Qc, Spring, S2'!L4*Main!$B$5)</f>
        <v>28.818683352218383</v>
      </c>
      <c r="M4" s="2">
        <f ca="1">('[1]Qc, Spring, S2'!M4*Main!$B$5)</f>
        <v>27.563440556270518</v>
      </c>
      <c r="N4" s="2">
        <f ca="1">('[1]Qc, Spring, S2'!N4*Main!$B$5)</f>
        <v>28.748834073473347</v>
      </c>
      <c r="O4" s="2">
        <f ca="1">('[1]Qc, Spring, S2'!O4*Main!$B$5)</f>
        <v>30.86902044674644</v>
      </c>
      <c r="P4" s="2">
        <f ca="1">('[1]Qc, Spring, S2'!P4*Main!$B$5)</f>
        <v>27.556436217900526</v>
      </c>
      <c r="Q4" s="2">
        <f ca="1">('[1]Qc, Spring, S2'!Q4*Main!$B$5)</f>
        <v>27.444981055735234</v>
      </c>
      <c r="R4" s="2">
        <f ca="1">('[1]Qc, Spring, S2'!R4*Main!$B$5)</f>
        <v>26.108766336149081</v>
      </c>
      <c r="S4" s="2">
        <f ca="1">('[1]Qc, Spring, S2'!S4*Main!$B$5)</f>
        <v>28.667176251175384</v>
      </c>
      <c r="T4" s="2">
        <f ca="1">('[1]Qc, Spring, S2'!T4*Main!$B$5)</f>
        <v>27.320535540214529</v>
      </c>
      <c r="U4" s="2">
        <f ca="1">('[1]Qc, Spring, S2'!U4*Main!$B$5)</f>
        <v>27.104904242668788</v>
      </c>
      <c r="V4" s="2">
        <f ca="1">('[1]Qc, Spring, S2'!V4*Main!$B$5)</f>
        <v>25.257572020078424</v>
      </c>
      <c r="W4" s="2">
        <f ca="1">('[1]Qc, Spring, S2'!W4*Main!$B$5)</f>
        <v>26.524118568613268</v>
      </c>
      <c r="X4" s="2">
        <f ca="1">('[1]Qc, Spring, S2'!X4*Main!$B$5)</f>
        <v>21.876589458043167</v>
      </c>
      <c r="Y4" s="2">
        <f ca="1">('[1]Qc, Spring, S2'!Y4*Main!$B$5)</f>
        <v>18.004160380450962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-13.888105682438153</v>
      </c>
      <c r="C2" s="2">
        <f ca="1">('[1]Qc, Spring, S2'!C2*Main!$B$5)</f>
        <v>-17.28099614384929</v>
      </c>
      <c r="D2" s="2">
        <f ca="1">('[1]Qc, Spring, S2'!D2*Main!$B$5)</f>
        <v>-17.805193668857342</v>
      </c>
      <c r="E2" s="2">
        <f ca="1">('[1]Qc, Spring, S2'!E2*Main!$B$5)</f>
        <v>-18.491102762450854</v>
      </c>
      <c r="F2" s="2">
        <f ca="1">('[1]Qc, Spring, S2'!F2*Main!$B$5)</f>
        <v>-19.655479546017318</v>
      </c>
      <c r="G2" s="2">
        <f ca="1">('[1]Qc, Spring, S2'!G2*Main!$B$5)</f>
        <v>-18.335734151339576</v>
      </c>
      <c r="H2" s="2">
        <f ca="1">('[1]Qc, Spring, S2'!H2*Main!$B$5)</f>
        <v>-14.398522505724571</v>
      </c>
      <c r="I2" s="2">
        <f ca="1">('[1]Qc, Spring, S2'!I2*Main!$B$5)</f>
        <v>-3.7211893196725612</v>
      </c>
      <c r="J2" s="2">
        <f ca="1">('[1]Qc, Spring, S2'!J2*Main!$B$5)</f>
        <v>4.3375574464762874</v>
      </c>
      <c r="K2" s="2">
        <f ca="1">('[1]Qc, Spring, S2'!K2*Main!$B$5)</f>
        <v>7.4708944767274685</v>
      </c>
      <c r="L2" s="2">
        <f ca="1">('[1]Qc, Spring, S2'!L2*Main!$B$5)</f>
        <v>4.7399097317147278</v>
      </c>
      <c r="M2" s="2">
        <f ca="1">('[1]Qc, Spring, S2'!M2*Main!$B$5)</f>
        <v>6.6221244853183068</v>
      </c>
      <c r="N2" s="2">
        <f ca="1">('[1]Qc, Spring, S2'!N2*Main!$B$5)</f>
        <v>5.6171003707736125</v>
      </c>
      <c r="O2" s="2">
        <f ca="1">('[1]Qc, Spring, S2'!O2*Main!$B$5)</f>
        <v>5.9245831279671801</v>
      </c>
      <c r="P2" s="2">
        <f ca="1">('[1]Qc, Spring, S2'!P2*Main!$B$5)</f>
        <v>1.2570528373253549</v>
      </c>
      <c r="Q2" s="2">
        <f ca="1">('[1]Qc, Spring, S2'!Q2*Main!$B$5)</f>
        <v>-2.4482229066573304</v>
      </c>
      <c r="R2" s="2">
        <f ca="1">('[1]Qc, Spring, S2'!R2*Main!$B$5)</f>
        <v>-0.84367922601204903</v>
      </c>
      <c r="S2" s="2">
        <f ca="1">('[1]Qc, Spring, S2'!S2*Main!$B$5)</f>
        <v>1.3129821799600851</v>
      </c>
      <c r="T2" s="2">
        <f ca="1">('[1]Qc, Spring, S2'!T2*Main!$B$5)</f>
        <v>1.5255970589517666E-2</v>
      </c>
      <c r="U2" s="2">
        <f ca="1">('[1]Qc, Spring, S2'!U2*Main!$B$5)</f>
        <v>-1.9499870609562433</v>
      </c>
      <c r="V2" s="2">
        <f ca="1">('[1]Qc, Spring, S2'!V2*Main!$B$5)</f>
        <v>-3.7150981837929606</v>
      </c>
      <c r="W2" s="2">
        <f ca="1">('[1]Qc, Spring, S2'!W2*Main!$B$5)</f>
        <v>-4.2848770007917283</v>
      </c>
      <c r="X2" s="2">
        <f ca="1">('[1]Qc, Spring, S2'!X2*Main!$B$5)</f>
        <v>-8.1144315374634903</v>
      </c>
      <c r="Y2" s="2">
        <f ca="1">('[1]Qc, Spring, S2'!Y2*Main!$B$5)</f>
        <v>-9.9590610697248145</v>
      </c>
    </row>
    <row r="3" spans="1:25" x14ac:dyDescent="0.3">
      <c r="A3">
        <v>2</v>
      </c>
      <c r="B3" s="2">
        <f ca="1">('[1]Qc, Spring, S2'!B3*Main!$B$5)</f>
        <v>-2.993912689251959</v>
      </c>
      <c r="C3" s="2">
        <f ca="1">('[1]Qc, Spring, S2'!C3*Main!$B$5)</f>
        <v>-0.72829490561498411</v>
      </c>
      <c r="D3" s="2">
        <f ca="1">('[1]Qc, Spring, S2'!D3*Main!$B$5)</f>
        <v>-3.0356976167806531</v>
      </c>
      <c r="E3" s="2">
        <f ca="1">('[1]Qc, Spring, S2'!E3*Main!$B$5)</f>
        <v>-4.4346498387695945</v>
      </c>
      <c r="F3" s="2">
        <f ca="1">('[1]Qc, Spring, S2'!F3*Main!$B$5)</f>
        <v>-3.5477198710156772</v>
      </c>
      <c r="G3" s="2">
        <f ca="1">('[1]Qc, Spring, S2'!G3*Main!$B$5)</f>
        <v>-6.1288213357401684</v>
      </c>
      <c r="H3" s="2">
        <f ca="1">('[1]Qc, Spring, S2'!H3*Main!$B$5)</f>
        <v>-1.8561469599981695</v>
      </c>
      <c r="I3" s="2">
        <f ca="1">('[1]Qc, Spring, S2'!I3*Main!$B$5)</f>
        <v>1.4844944340942752</v>
      </c>
      <c r="J3" s="2">
        <f ca="1">('[1]Qc, Spring, S2'!J3*Main!$B$5)</f>
        <v>1.1657471943438293</v>
      </c>
      <c r="K3" s="2">
        <f ca="1">('[1]Qc, Spring, S2'!K3*Main!$B$5)</f>
        <v>1.1318526390408772</v>
      </c>
      <c r="L3" s="2">
        <f ca="1">('[1]Qc, Spring, S2'!L3*Main!$B$5)</f>
        <v>3.1449636992066834</v>
      </c>
      <c r="M3" s="2">
        <f ca="1">('[1]Qc, Spring, S2'!M3*Main!$B$5)</f>
        <v>2.2991137989116806</v>
      </c>
      <c r="N3" s="2">
        <f ca="1">('[1]Qc, Spring, S2'!N3*Main!$B$5)</f>
        <v>3.8970487090867172</v>
      </c>
      <c r="O3" s="2">
        <f ca="1">('[1]Qc, Spring, S2'!O3*Main!$B$5)</f>
        <v>3.8748920716914799</v>
      </c>
      <c r="P3" s="2">
        <f ca="1">('[1]Qc, Spring, S2'!P3*Main!$B$5)</f>
        <v>3.3443060048514393</v>
      </c>
      <c r="Q3" s="2">
        <f ca="1">('[1]Qc, Spring, S2'!Q3*Main!$B$5)</f>
        <v>4.3669468724131573</v>
      </c>
      <c r="R3" s="2">
        <f ca="1">('[1]Qc, Spring, S2'!R3*Main!$B$5)</f>
        <v>1.682659445024197</v>
      </c>
      <c r="S3" s="2">
        <f ca="1">('[1]Qc, Spring, S2'!S3*Main!$B$5)</f>
        <v>1.6672659027565633</v>
      </c>
      <c r="T3" s="2">
        <f ca="1">('[1]Qc, Spring, S2'!T3*Main!$B$5)</f>
        <v>1.6732819109442967</v>
      </c>
      <c r="U3" s="2">
        <f ca="1">('[1]Qc, Spring, S2'!U3*Main!$B$5)</f>
        <v>1.5738440837558589</v>
      </c>
      <c r="V3" s="2">
        <f ca="1">('[1]Qc, Spring, S2'!V3*Main!$B$5)</f>
        <v>-1.0066366096966373</v>
      </c>
      <c r="W3" s="2">
        <f ca="1">('[1]Qc, Spring, S2'!W3*Main!$B$5)</f>
        <v>0.77679191953048765</v>
      </c>
      <c r="X3" s="2">
        <f ca="1">('[1]Qc, Spring, S2'!X3*Main!$B$5)</f>
        <v>-4.039307276577186</v>
      </c>
      <c r="Y3" s="2">
        <f ca="1">('[1]Qc, Spring, S2'!Y3*Main!$B$5)</f>
        <v>-3.8888345105972237</v>
      </c>
    </row>
    <row r="4" spans="1:25" x14ac:dyDescent="0.3">
      <c r="A4">
        <v>3</v>
      </c>
      <c r="B4" s="2">
        <f ca="1">('[1]Qc, Spring, S2'!B4*Main!$B$5)</f>
        <v>12.982711553403488</v>
      </c>
      <c r="C4" s="2">
        <f ca="1">('[1]Qc, Spring, S2'!C4*Main!$B$5)</f>
        <v>9.8146363146448472</v>
      </c>
      <c r="D4" s="2">
        <f ca="1">('[1]Qc, Spring, S2'!D4*Main!$B$5)</f>
        <v>9.3837886431633954</v>
      </c>
      <c r="E4" s="2">
        <f ca="1">('[1]Qc, Spring, S2'!E4*Main!$B$5)</f>
        <v>8.5320251345625344</v>
      </c>
      <c r="F4" s="2">
        <f ca="1">('[1]Qc, Spring, S2'!F4*Main!$B$5)</f>
        <v>9.4244503364198469</v>
      </c>
      <c r="G4" s="2">
        <f ca="1">('[1]Qc, Spring, S2'!G4*Main!$B$5)</f>
        <v>7.2345990538579743</v>
      </c>
      <c r="H4" s="2">
        <f ca="1">('[1]Qc, Spring, S2'!H4*Main!$B$5)</f>
        <v>11.618935562572803</v>
      </c>
      <c r="I4" s="2">
        <f ca="1">('[1]Qc, Spring, S2'!I4*Main!$B$5)</f>
        <v>18.547855810000989</v>
      </c>
      <c r="J4" s="2">
        <f ca="1">('[1]Qc, Spring, S2'!J4*Main!$B$5)</f>
        <v>23.206818691057638</v>
      </c>
      <c r="K4" s="2">
        <f ca="1">('[1]Qc, Spring, S2'!K4*Main!$B$5)</f>
        <v>27.413265810269905</v>
      </c>
      <c r="L4" s="2">
        <f ca="1">('[1]Qc, Spring, S2'!L4*Main!$B$5)</f>
        <v>28.818683352218383</v>
      </c>
      <c r="M4" s="2">
        <f ca="1">('[1]Qc, Spring, S2'!M4*Main!$B$5)</f>
        <v>27.563440556270518</v>
      </c>
      <c r="N4" s="2">
        <f ca="1">('[1]Qc, Spring, S2'!N4*Main!$B$5)</f>
        <v>28.748834073473347</v>
      </c>
      <c r="O4" s="2">
        <f ca="1">('[1]Qc, Spring, S2'!O4*Main!$B$5)</f>
        <v>30.86902044674644</v>
      </c>
      <c r="P4" s="2">
        <f ca="1">('[1]Qc, Spring, S2'!P4*Main!$B$5)</f>
        <v>27.556436217900526</v>
      </c>
      <c r="Q4" s="2">
        <f ca="1">('[1]Qc, Spring, S2'!Q4*Main!$B$5)</f>
        <v>27.444981055735234</v>
      </c>
      <c r="R4" s="2">
        <f ca="1">('[1]Qc, Spring, S2'!R4*Main!$B$5)</f>
        <v>26.108766336149081</v>
      </c>
      <c r="S4" s="2">
        <f ca="1">('[1]Qc, Spring, S2'!S4*Main!$B$5)</f>
        <v>28.667176251175384</v>
      </c>
      <c r="T4" s="2">
        <f ca="1">('[1]Qc, Spring, S2'!T4*Main!$B$5)</f>
        <v>27.320535540214529</v>
      </c>
      <c r="U4" s="2">
        <f ca="1">('[1]Qc, Spring, S2'!U4*Main!$B$5)</f>
        <v>27.104904242668788</v>
      </c>
      <c r="V4" s="2">
        <f ca="1">('[1]Qc, Spring, S2'!V4*Main!$B$5)</f>
        <v>25.257572020078424</v>
      </c>
      <c r="W4" s="2">
        <f ca="1">('[1]Qc, Spring, S2'!W4*Main!$B$5)</f>
        <v>26.524118568613268</v>
      </c>
      <c r="X4" s="2">
        <f ca="1">('[1]Qc, Spring, S2'!X4*Main!$B$5)</f>
        <v>21.876589458043167</v>
      </c>
      <c r="Y4" s="2">
        <f ca="1">('[1]Qc, Spring, S2'!Y4*Main!$B$5)</f>
        <v>18.004160380450962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-12.686250382996388</v>
      </c>
      <c r="C2" s="2">
        <f ca="1">('[1]Qc, Spring, S3'!C2*Main!$B$5)</f>
        <v>-15.785525323708486</v>
      </c>
      <c r="D2" s="2">
        <f ca="1">('[1]Qc, Spring, S3'!D2*Main!$B$5)</f>
        <v>-16.26435960136007</v>
      </c>
      <c r="E2" s="2">
        <f ca="1">('[1]Qc, Spring, S3'!E2*Main!$B$5)</f>
        <v>-16.89091117723876</v>
      </c>
      <c r="F2" s="2">
        <f ca="1">('[1]Qc, Spring, S3'!F2*Main!$B$5)</f>
        <v>-17.954524585304281</v>
      </c>
      <c r="G2" s="2">
        <f ca="1">('[1]Qc, Spring, S3'!G2*Main!$B$5)</f>
        <v>-16.748987926704419</v>
      </c>
      <c r="H2" s="2">
        <f ca="1">('[1]Qc, Spring, S3'!H2*Main!$B$5)</f>
        <v>-13.152496519652251</v>
      </c>
      <c r="I2" s="2">
        <f ca="1">('[1]Qc, Spring, S3'!I2*Main!$B$5)</f>
        <v>-3.3991633208547425</v>
      </c>
      <c r="J2" s="2">
        <f ca="1">('[1]Qc, Spring, S3'!J2*Main!$B$5)</f>
        <v>3.9621918982235309</v>
      </c>
      <c r="K2" s="2">
        <f ca="1">('[1]Qc, Spring, S3'!K2*Main!$B$5)</f>
        <v>6.8243747623952826</v>
      </c>
      <c r="L2" s="2">
        <f ca="1">('[1]Qc, Spring, S3'!L2*Main!$B$5)</f>
        <v>4.3297252357009528</v>
      </c>
      <c r="M2" s="2">
        <f ca="1">('[1]Qc, Spring, S3'!M2*Main!$B$5)</f>
        <v>6.0490560202426833</v>
      </c>
      <c r="N2" s="2">
        <f ca="1">('[1]Qc, Spring, S3'!N2*Main!$B$5)</f>
        <v>5.1310051463797421</v>
      </c>
      <c r="O2" s="2">
        <f ca="1">('[1]Qc, Spring, S3'!O2*Main!$B$5)</f>
        <v>5.4118788188161737</v>
      </c>
      <c r="P2" s="2">
        <f ca="1">('[1]Qc, Spring, S3'!P2*Main!$B$5)</f>
        <v>1.1482694187106608</v>
      </c>
      <c r="Q2" s="2">
        <f ca="1">('[1]Qc, Spring, S3'!Q2*Main!$B$5)</f>
        <v>-2.2363574628119847</v>
      </c>
      <c r="R2" s="2">
        <f ca="1">('[1]Qc, Spring, S3'!R2*Main!$B$5)</f>
        <v>-0.77066852376100636</v>
      </c>
      <c r="S2" s="2">
        <f ca="1">('[1]Qc, Spring, S3'!S2*Main!$B$5)</f>
        <v>1.1993587220789239</v>
      </c>
      <c r="T2" s="2">
        <f ca="1">('[1]Qc, Spring, S3'!T2*Main!$B$5)</f>
        <v>1.393574236542479E-2</v>
      </c>
      <c r="U2" s="2">
        <f ca="1">('[1]Qc, Spring, S3'!U2*Main!$B$5)</f>
        <v>-1.7812381806811839</v>
      </c>
      <c r="V2" s="2">
        <f ca="1">('[1]Qc, Spring, S3'!V2*Main!$B$5)</f>
        <v>-3.3935993025031852</v>
      </c>
      <c r="W2" s="2">
        <f ca="1">('[1]Qc, Spring, S3'!W2*Main!$B$5)</f>
        <v>-3.9140703372616752</v>
      </c>
      <c r="X2" s="2">
        <f ca="1">('[1]Qc, Spring, S3'!X2*Main!$B$5)</f>
        <v>-7.4122211159522262</v>
      </c>
      <c r="Y2" s="2">
        <f ca="1">('[1]Qc, Spring, S3'!Y2*Main!$B$5)</f>
        <v>-9.0972192463832418</v>
      </c>
    </row>
    <row r="3" spans="1:25" x14ac:dyDescent="0.3">
      <c r="A3">
        <v>2</v>
      </c>
      <c r="B3" s="2">
        <f ca="1">('[1]Qc, Spring, S3'!B3*Main!$B$5)</f>
        <v>-2.7348240911436164</v>
      </c>
      <c r="C3" s="2">
        <f ca="1">('[1]Qc, Spring, S3'!C3*Main!$B$5)</f>
        <v>-0.66526938493676424</v>
      </c>
      <c r="D3" s="2">
        <f ca="1">('[1]Qc, Spring, S3'!D3*Main!$B$5)</f>
        <v>-2.7729930153284812</v>
      </c>
      <c r="E3" s="2">
        <f ca="1">('[1]Qc, Spring, S3'!E3*Main!$B$5)</f>
        <v>-4.0508820642606871</v>
      </c>
      <c r="F3" s="2">
        <f ca="1">('[1]Qc, Spring, S3'!F3*Main!$B$5)</f>
        <v>-3.2407056514085517</v>
      </c>
      <c r="G3" s="2">
        <f ca="1">('[1]Qc, Spring, S3'!G3*Main!$B$5)</f>
        <v>-5.5984425663011139</v>
      </c>
      <c r="H3" s="2">
        <f ca="1">('[1]Qc, Spring, S3'!H3*Main!$B$5)</f>
        <v>-1.6955188576906355</v>
      </c>
      <c r="I3" s="2">
        <f ca="1">('[1]Qc, Spring, S3'!I3*Main!$B$5)</f>
        <v>1.3560285696053476</v>
      </c>
      <c r="J3" s="2">
        <f ca="1">('[1]Qc, Spring, S3'!J3*Main!$B$5)</f>
        <v>1.0648652256025362</v>
      </c>
      <c r="K3" s="2">
        <f ca="1">('[1]Qc, Spring, S3'!K3*Main!$B$5)</f>
        <v>1.033903852970032</v>
      </c>
      <c r="L3" s="2">
        <f ca="1">('[1]Qc, Spring, S3'!L3*Main!$B$5)</f>
        <v>2.8728033790830283</v>
      </c>
      <c r="M3" s="2">
        <f ca="1">('[1]Qc, Spring, S3'!M3*Main!$B$5)</f>
        <v>2.1001520278520158</v>
      </c>
      <c r="N3" s="2">
        <f ca="1">('[1]Qc, Spring, S3'!N3*Main!$B$5)</f>
        <v>3.5598041092619042</v>
      </c>
      <c r="O3" s="2">
        <f ca="1">('[1]Qc, Spring, S3'!O3*Main!$B$5)</f>
        <v>3.5395648731797169</v>
      </c>
      <c r="P3" s="2">
        <f ca="1">('[1]Qc, Spring, S3'!P3*Main!$B$5)</f>
        <v>3.0548949082777566</v>
      </c>
      <c r="Q3" s="2">
        <f ca="1">('[1]Qc, Spring, S3'!Q3*Main!$B$5)</f>
        <v>3.9890380084543264</v>
      </c>
      <c r="R3" s="2">
        <f ca="1">('[1]Qc, Spring, S3'!R3*Main!$B$5)</f>
        <v>1.5370446853586417</v>
      </c>
      <c r="S3" s="2">
        <f ca="1">('[1]Qc, Spring, S3'!S3*Main!$B$5)</f>
        <v>1.5229832765564761</v>
      </c>
      <c r="T3" s="2">
        <f ca="1">('[1]Qc, Spring, S3'!T3*Main!$B$5)</f>
        <v>1.5284786686510401</v>
      </c>
      <c r="U3" s="2">
        <f ca="1">('[1]Qc, Spring, S3'!U3*Main!$B$5)</f>
        <v>1.4376460380462175</v>
      </c>
      <c r="V3" s="2">
        <f ca="1">('[1]Qc, Spring, S3'!V3*Main!$B$5)</f>
        <v>-0.91952382616519746</v>
      </c>
      <c r="W3" s="2">
        <f ca="1">('[1]Qc, Spring, S3'!W3*Main!$B$5)</f>
        <v>0.70956954187881094</v>
      </c>
      <c r="X3" s="2">
        <f ca="1">('[1]Qc, Spring, S3'!X3*Main!$B$5)</f>
        <v>-3.6897518391810835</v>
      </c>
      <c r="Y3" s="2">
        <f ca="1">('[1]Qc, Spring, S3'!Y3*Main!$B$5)</f>
        <v>-3.5523007548724643</v>
      </c>
    </row>
    <row r="4" spans="1:25" x14ac:dyDescent="0.3">
      <c r="A4">
        <v>3</v>
      </c>
      <c r="B4" s="2">
        <f ca="1">('[1]Qc, Spring, S3'!B4*Main!$B$5)</f>
        <v>11.859207668974337</v>
      </c>
      <c r="C4" s="2">
        <f ca="1">('[1]Qc, Spring, S3'!C4*Main!$B$5)</f>
        <v>8.9652927874159651</v>
      </c>
      <c r="D4" s="2">
        <f ca="1">('[1]Qc, Spring, S3'!D4*Main!$B$5)</f>
        <v>8.5717300105819483</v>
      </c>
      <c r="E4" s="2">
        <f ca="1">('[1]Qc, Spring, S3'!E4*Main!$B$5)</f>
        <v>7.7936768056100076</v>
      </c>
      <c r="F4" s="2">
        <f ca="1">('[1]Qc, Spring, S3'!F4*Main!$B$5)</f>
        <v>8.608872903460437</v>
      </c>
      <c r="G4" s="2">
        <f ca="1">('[1]Qc, Spring, S3'!G4*Main!$B$5)</f>
        <v>6.6085279818894955</v>
      </c>
      <c r="H4" s="2">
        <f ca="1">('[1]Qc, Spring, S3'!H4*Main!$B$5)</f>
        <v>10.613450754273234</v>
      </c>
      <c r="I4" s="2">
        <f ca="1">('[1]Qc, Spring, S3'!I4*Main!$B$5)</f>
        <v>16.942752903366287</v>
      </c>
      <c r="J4" s="2">
        <f ca="1">('[1]Qc, Spring, S3'!J4*Main!$B$5)</f>
        <v>21.198536304331494</v>
      </c>
      <c r="K4" s="2">
        <f ca="1">('[1]Qc, Spring, S3'!K4*Main!$B$5)</f>
        <v>25.040963961304236</v>
      </c>
      <c r="L4" s="2">
        <f ca="1">('[1]Qc, Spring, S3'!L4*Main!$B$5)</f>
        <v>26.324758831353329</v>
      </c>
      <c r="M4" s="2">
        <f ca="1">('[1]Qc, Spring, S3'!M4*Main!$B$5)</f>
        <v>25.178142815824028</v>
      </c>
      <c r="N4" s="2">
        <f ca="1">('[1]Qc, Spring, S3'!N4*Main!$B$5)</f>
        <v>26.26095420173046</v>
      </c>
      <c r="O4" s="2">
        <f ca="1">('[1]Qc, Spring, S3'!O4*Main!$B$5)</f>
        <v>28.19766290808569</v>
      </c>
      <c r="P4" s="2">
        <f ca="1">('[1]Qc, Spring, S3'!P4*Main!$B$5)</f>
        <v>25.17174462212067</v>
      </c>
      <c r="Q4" s="2">
        <f ca="1">('[1]Qc, Spring, S3'!Q4*Main!$B$5)</f>
        <v>25.069934618219683</v>
      </c>
      <c r="R4" s="2">
        <f ca="1">('[1]Qc, Spring, S3'!R4*Main!$B$5)</f>
        <v>23.849353864751563</v>
      </c>
      <c r="S4" s="2">
        <f ca="1">('[1]Qc, Spring, S3'!S4*Main!$B$5)</f>
        <v>26.186362921746746</v>
      </c>
      <c r="T4" s="2">
        <f ca="1">('[1]Qc, Spring, S3'!T4*Main!$B$5)</f>
        <v>24.956258426157504</v>
      </c>
      <c r="U4" s="2">
        <f ca="1">('[1]Qc, Spring, S3'!U4*Main!$B$5)</f>
        <v>24.759287529360911</v>
      </c>
      <c r="V4" s="2">
        <f ca="1">('[1]Qc, Spring, S3'!V4*Main!$B$5)</f>
        <v>23.071820595263944</v>
      </c>
      <c r="W4" s="2">
        <f ca="1">('[1]Qc, Spring, S3'!W4*Main!$B$5)</f>
        <v>24.228762154021737</v>
      </c>
      <c r="X4" s="2">
        <f ca="1">('[1]Qc, Spring, S3'!X4*Main!$B$5)</f>
        <v>19.983423062635584</v>
      </c>
      <c r="Y4" s="2">
        <f ca="1">('[1]Qc, Spring, S3'!Y4*Main!$B$5)</f>
        <v>16.446108039835014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-12.686250382996388</v>
      </c>
      <c r="C2" s="2">
        <f ca="1">('[1]Qc, Spring, S3'!C2*Main!$B$5)</f>
        <v>-15.785525323708486</v>
      </c>
      <c r="D2" s="2">
        <f ca="1">('[1]Qc, Spring, S3'!D2*Main!$B$5)</f>
        <v>-16.26435960136007</v>
      </c>
      <c r="E2" s="2">
        <f ca="1">('[1]Qc, Spring, S3'!E2*Main!$B$5)</f>
        <v>-16.89091117723876</v>
      </c>
      <c r="F2" s="2">
        <f ca="1">('[1]Qc, Spring, S3'!F2*Main!$B$5)</f>
        <v>-17.954524585304281</v>
      </c>
      <c r="G2" s="2">
        <f ca="1">('[1]Qc, Spring, S3'!G2*Main!$B$5)</f>
        <v>-16.748987926704419</v>
      </c>
      <c r="H2" s="2">
        <f ca="1">('[1]Qc, Spring, S3'!H2*Main!$B$5)</f>
        <v>-13.152496519652251</v>
      </c>
      <c r="I2" s="2">
        <f ca="1">('[1]Qc, Spring, S3'!I2*Main!$B$5)</f>
        <v>-3.3991633208547425</v>
      </c>
      <c r="J2" s="2">
        <f ca="1">('[1]Qc, Spring, S3'!J2*Main!$B$5)</f>
        <v>3.9621918982235309</v>
      </c>
      <c r="K2" s="2">
        <f ca="1">('[1]Qc, Spring, S3'!K2*Main!$B$5)</f>
        <v>6.8243747623952826</v>
      </c>
      <c r="L2" s="2">
        <f ca="1">('[1]Qc, Spring, S3'!L2*Main!$B$5)</f>
        <v>4.3297252357009528</v>
      </c>
      <c r="M2" s="2">
        <f ca="1">('[1]Qc, Spring, S3'!M2*Main!$B$5)</f>
        <v>6.0490560202426833</v>
      </c>
      <c r="N2" s="2">
        <f ca="1">('[1]Qc, Spring, S3'!N2*Main!$B$5)</f>
        <v>5.1310051463797421</v>
      </c>
      <c r="O2" s="2">
        <f ca="1">('[1]Qc, Spring, S3'!O2*Main!$B$5)</f>
        <v>5.4118788188161737</v>
      </c>
      <c r="P2" s="2">
        <f ca="1">('[1]Qc, Spring, S3'!P2*Main!$B$5)</f>
        <v>1.1482694187106608</v>
      </c>
      <c r="Q2" s="2">
        <f ca="1">('[1]Qc, Spring, S3'!Q2*Main!$B$5)</f>
        <v>-2.2363574628119847</v>
      </c>
      <c r="R2" s="2">
        <f ca="1">('[1]Qc, Spring, S3'!R2*Main!$B$5)</f>
        <v>-0.77066852376100636</v>
      </c>
      <c r="S2" s="2">
        <f ca="1">('[1]Qc, Spring, S3'!S2*Main!$B$5)</f>
        <v>1.1993587220789239</v>
      </c>
      <c r="T2" s="2">
        <f ca="1">('[1]Qc, Spring, S3'!T2*Main!$B$5)</f>
        <v>1.393574236542479E-2</v>
      </c>
      <c r="U2" s="2">
        <f ca="1">('[1]Qc, Spring, S3'!U2*Main!$B$5)</f>
        <v>-1.7812381806811839</v>
      </c>
      <c r="V2" s="2">
        <f ca="1">('[1]Qc, Spring, S3'!V2*Main!$B$5)</f>
        <v>-3.3935993025031852</v>
      </c>
      <c r="W2" s="2">
        <f ca="1">('[1]Qc, Spring, S3'!W2*Main!$B$5)</f>
        <v>-3.9140703372616752</v>
      </c>
      <c r="X2" s="2">
        <f ca="1">('[1]Qc, Spring, S3'!X2*Main!$B$5)</f>
        <v>-7.4122211159522262</v>
      </c>
      <c r="Y2" s="2">
        <f ca="1">('[1]Qc, Spring, S3'!Y2*Main!$B$5)</f>
        <v>-9.0972192463832418</v>
      </c>
    </row>
    <row r="3" spans="1:25" x14ac:dyDescent="0.3">
      <c r="A3">
        <v>2</v>
      </c>
      <c r="B3" s="2">
        <f ca="1">('[1]Qc, Spring, S3'!B3*Main!$B$5)</f>
        <v>-2.7348240911436164</v>
      </c>
      <c r="C3" s="2">
        <f ca="1">('[1]Qc, Spring, S3'!C3*Main!$B$5)</f>
        <v>-0.66526938493676424</v>
      </c>
      <c r="D3" s="2">
        <f ca="1">('[1]Qc, Spring, S3'!D3*Main!$B$5)</f>
        <v>-2.7729930153284812</v>
      </c>
      <c r="E3" s="2">
        <f ca="1">('[1]Qc, Spring, S3'!E3*Main!$B$5)</f>
        <v>-4.0508820642606871</v>
      </c>
      <c r="F3" s="2">
        <f ca="1">('[1]Qc, Spring, S3'!F3*Main!$B$5)</f>
        <v>-3.2407056514085517</v>
      </c>
      <c r="G3" s="2">
        <f ca="1">('[1]Qc, Spring, S3'!G3*Main!$B$5)</f>
        <v>-5.5984425663011139</v>
      </c>
      <c r="H3" s="2">
        <f ca="1">('[1]Qc, Spring, S3'!H3*Main!$B$5)</f>
        <v>-1.6955188576906355</v>
      </c>
      <c r="I3" s="2">
        <f ca="1">('[1]Qc, Spring, S3'!I3*Main!$B$5)</f>
        <v>1.3560285696053476</v>
      </c>
      <c r="J3" s="2">
        <f ca="1">('[1]Qc, Spring, S3'!J3*Main!$B$5)</f>
        <v>1.0648652256025362</v>
      </c>
      <c r="K3" s="2">
        <f ca="1">('[1]Qc, Spring, S3'!K3*Main!$B$5)</f>
        <v>1.033903852970032</v>
      </c>
      <c r="L3" s="2">
        <f ca="1">('[1]Qc, Spring, S3'!L3*Main!$B$5)</f>
        <v>2.8728033790830283</v>
      </c>
      <c r="M3" s="2">
        <f ca="1">('[1]Qc, Spring, S3'!M3*Main!$B$5)</f>
        <v>2.1001520278520158</v>
      </c>
      <c r="N3" s="2">
        <f ca="1">('[1]Qc, Spring, S3'!N3*Main!$B$5)</f>
        <v>3.5598041092619042</v>
      </c>
      <c r="O3" s="2">
        <f ca="1">('[1]Qc, Spring, S3'!O3*Main!$B$5)</f>
        <v>3.5395648731797169</v>
      </c>
      <c r="P3" s="2">
        <f ca="1">('[1]Qc, Spring, S3'!P3*Main!$B$5)</f>
        <v>3.0548949082777566</v>
      </c>
      <c r="Q3" s="2">
        <f ca="1">('[1]Qc, Spring, S3'!Q3*Main!$B$5)</f>
        <v>3.9890380084543264</v>
      </c>
      <c r="R3" s="2">
        <f ca="1">('[1]Qc, Spring, S3'!R3*Main!$B$5)</f>
        <v>1.5370446853586417</v>
      </c>
      <c r="S3" s="2">
        <f ca="1">('[1]Qc, Spring, S3'!S3*Main!$B$5)</f>
        <v>1.5229832765564761</v>
      </c>
      <c r="T3" s="2">
        <f ca="1">('[1]Qc, Spring, S3'!T3*Main!$B$5)</f>
        <v>1.5284786686510401</v>
      </c>
      <c r="U3" s="2">
        <f ca="1">('[1]Qc, Spring, S3'!U3*Main!$B$5)</f>
        <v>1.4376460380462175</v>
      </c>
      <c r="V3" s="2">
        <f ca="1">('[1]Qc, Spring, S3'!V3*Main!$B$5)</f>
        <v>-0.91952382616519746</v>
      </c>
      <c r="W3" s="2">
        <f ca="1">('[1]Qc, Spring, S3'!W3*Main!$B$5)</f>
        <v>0.70956954187881094</v>
      </c>
      <c r="X3" s="2">
        <f ca="1">('[1]Qc, Spring, S3'!X3*Main!$B$5)</f>
        <v>-3.6897518391810835</v>
      </c>
      <c r="Y3" s="2">
        <f ca="1">('[1]Qc, Spring, S3'!Y3*Main!$B$5)</f>
        <v>-3.5523007548724643</v>
      </c>
    </row>
    <row r="4" spans="1:25" x14ac:dyDescent="0.3">
      <c r="A4">
        <v>3</v>
      </c>
      <c r="B4" s="2">
        <f ca="1">('[1]Qc, Spring, S3'!B4*Main!$B$5)</f>
        <v>11.859207668974337</v>
      </c>
      <c r="C4" s="2">
        <f ca="1">('[1]Qc, Spring, S3'!C4*Main!$B$5)</f>
        <v>8.9652927874159651</v>
      </c>
      <c r="D4" s="2">
        <f ca="1">('[1]Qc, Spring, S3'!D4*Main!$B$5)</f>
        <v>8.5717300105819483</v>
      </c>
      <c r="E4" s="2">
        <f ca="1">('[1]Qc, Spring, S3'!E4*Main!$B$5)</f>
        <v>7.7936768056100076</v>
      </c>
      <c r="F4" s="2">
        <f ca="1">('[1]Qc, Spring, S3'!F4*Main!$B$5)</f>
        <v>8.608872903460437</v>
      </c>
      <c r="G4" s="2">
        <f ca="1">('[1]Qc, Spring, S3'!G4*Main!$B$5)</f>
        <v>6.6085279818894955</v>
      </c>
      <c r="H4" s="2">
        <f ca="1">('[1]Qc, Spring, S3'!H4*Main!$B$5)</f>
        <v>10.613450754273234</v>
      </c>
      <c r="I4" s="2">
        <f ca="1">('[1]Qc, Spring, S3'!I4*Main!$B$5)</f>
        <v>16.942752903366287</v>
      </c>
      <c r="J4" s="2">
        <f ca="1">('[1]Qc, Spring, S3'!J4*Main!$B$5)</f>
        <v>21.198536304331494</v>
      </c>
      <c r="K4" s="2">
        <f ca="1">('[1]Qc, Spring, S3'!K4*Main!$B$5)</f>
        <v>25.040963961304236</v>
      </c>
      <c r="L4" s="2">
        <f ca="1">('[1]Qc, Spring, S3'!L4*Main!$B$5)</f>
        <v>26.324758831353329</v>
      </c>
      <c r="M4" s="2">
        <f ca="1">('[1]Qc, Spring, S3'!M4*Main!$B$5)</f>
        <v>25.178142815824028</v>
      </c>
      <c r="N4" s="2">
        <f ca="1">('[1]Qc, Spring, S3'!N4*Main!$B$5)</f>
        <v>26.26095420173046</v>
      </c>
      <c r="O4" s="2">
        <f ca="1">('[1]Qc, Spring, S3'!O4*Main!$B$5)</f>
        <v>28.19766290808569</v>
      </c>
      <c r="P4" s="2">
        <f ca="1">('[1]Qc, Spring, S3'!P4*Main!$B$5)</f>
        <v>25.17174462212067</v>
      </c>
      <c r="Q4" s="2">
        <f ca="1">('[1]Qc, Spring, S3'!Q4*Main!$B$5)</f>
        <v>25.069934618219683</v>
      </c>
      <c r="R4" s="2">
        <f ca="1">('[1]Qc, Spring, S3'!R4*Main!$B$5)</f>
        <v>23.849353864751563</v>
      </c>
      <c r="S4" s="2">
        <f ca="1">('[1]Qc, Spring, S3'!S4*Main!$B$5)</f>
        <v>26.186362921746746</v>
      </c>
      <c r="T4" s="2">
        <f ca="1">('[1]Qc, Spring, S3'!T4*Main!$B$5)</f>
        <v>24.956258426157504</v>
      </c>
      <c r="U4" s="2">
        <f ca="1">('[1]Qc, Spring, S3'!U4*Main!$B$5)</f>
        <v>24.759287529360911</v>
      </c>
      <c r="V4" s="2">
        <f ca="1">('[1]Qc, Spring, S3'!V4*Main!$B$5)</f>
        <v>23.071820595263944</v>
      </c>
      <c r="W4" s="2">
        <f ca="1">('[1]Qc, Spring, S3'!W4*Main!$B$5)</f>
        <v>24.228762154021737</v>
      </c>
      <c r="X4" s="2">
        <f ca="1">('[1]Qc, Spring, S3'!X4*Main!$B$5)</f>
        <v>19.983423062635584</v>
      </c>
      <c r="Y4" s="2">
        <f ca="1">('[1]Qc, Spring, S3'!Y4*Main!$B$5)</f>
        <v>16.446108039835014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-12.686250382996388</v>
      </c>
      <c r="C2" s="2">
        <f ca="1">('[1]Qc, Spring, S3'!C2*Main!$B$5)</f>
        <v>-15.785525323708486</v>
      </c>
      <c r="D2" s="2">
        <f ca="1">('[1]Qc, Spring, S3'!D2*Main!$B$5)</f>
        <v>-16.26435960136007</v>
      </c>
      <c r="E2" s="2">
        <f ca="1">('[1]Qc, Spring, S3'!E2*Main!$B$5)</f>
        <v>-16.89091117723876</v>
      </c>
      <c r="F2" s="2">
        <f ca="1">('[1]Qc, Spring, S3'!F2*Main!$B$5)</f>
        <v>-17.954524585304281</v>
      </c>
      <c r="G2" s="2">
        <f ca="1">('[1]Qc, Spring, S3'!G2*Main!$B$5)</f>
        <v>-16.748987926704419</v>
      </c>
      <c r="H2" s="2">
        <f ca="1">('[1]Qc, Spring, S3'!H2*Main!$B$5)</f>
        <v>-13.152496519652251</v>
      </c>
      <c r="I2" s="2">
        <f ca="1">('[1]Qc, Spring, S3'!I2*Main!$B$5)</f>
        <v>-3.3991633208547425</v>
      </c>
      <c r="J2" s="2">
        <f ca="1">('[1]Qc, Spring, S3'!J2*Main!$B$5)</f>
        <v>3.9621918982235309</v>
      </c>
      <c r="K2" s="2">
        <f ca="1">('[1]Qc, Spring, S3'!K2*Main!$B$5)</f>
        <v>6.8243747623952826</v>
      </c>
      <c r="L2" s="2">
        <f ca="1">('[1]Qc, Spring, S3'!L2*Main!$B$5)</f>
        <v>4.3297252357009528</v>
      </c>
      <c r="M2" s="2">
        <f ca="1">('[1]Qc, Spring, S3'!M2*Main!$B$5)</f>
        <v>6.0490560202426833</v>
      </c>
      <c r="N2" s="2">
        <f ca="1">('[1]Qc, Spring, S3'!N2*Main!$B$5)</f>
        <v>5.1310051463797421</v>
      </c>
      <c r="O2" s="2">
        <f ca="1">('[1]Qc, Spring, S3'!O2*Main!$B$5)</f>
        <v>5.4118788188161737</v>
      </c>
      <c r="P2" s="2">
        <f ca="1">('[1]Qc, Spring, S3'!P2*Main!$B$5)</f>
        <v>1.1482694187106608</v>
      </c>
      <c r="Q2" s="2">
        <f ca="1">('[1]Qc, Spring, S3'!Q2*Main!$B$5)</f>
        <v>-2.2363574628119847</v>
      </c>
      <c r="R2" s="2">
        <f ca="1">('[1]Qc, Spring, S3'!R2*Main!$B$5)</f>
        <v>-0.77066852376100636</v>
      </c>
      <c r="S2" s="2">
        <f ca="1">('[1]Qc, Spring, S3'!S2*Main!$B$5)</f>
        <v>1.1993587220789239</v>
      </c>
      <c r="T2" s="2">
        <f ca="1">('[1]Qc, Spring, S3'!T2*Main!$B$5)</f>
        <v>1.393574236542479E-2</v>
      </c>
      <c r="U2" s="2">
        <f ca="1">('[1]Qc, Spring, S3'!U2*Main!$B$5)</f>
        <v>-1.7812381806811839</v>
      </c>
      <c r="V2" s="2">
        <f ca="1">('[1]Qc, Spring, S3'!V2*Main!$B$5)</f>
        <v>-3.3935993025031852</v>
      </c>
      <c r="W2" s="2">
        <f ca="1">('[1]Qc, Spring, S3'!W2*Main!$B$5)</f>
        <v>-3.9140703372616752</v>
      </c>
      <c r="X2" s="2">
        <f ca="1">('[1]Qc, Spring, S3'!X2*Main!$B$5)</f>
        <v>-7.4122211159522262</v>
      </c>
      <c r="Y2" s="2">
        <f ca="1">('[1]Qc, Spring, S3'!Y2*Main!$B$5)</f>
        <v>-9.0972192463832418</v>
      </c>
    </row>
    <row r="3" spans="1:25" x14ac:dyDescent="0.3">
      <c r="A3">
        <v>2</v>
      </c>
      <c r="B3" s="2">
        <f ca="1">('[1]Qc, Spring, S3'!B3*Main!$B$5)</f>
        <v>-2.7348240911436164</v>
      </c>
      <c r="C3" s="2">
        <f ca="1">('[1]Qc, Spring, S3'!C3*Main!$B$5)</f>
        <v>-0.66526938493676424</v>
      </c>
      <c r="D3" s="2">
        <f ca="1">('[1]Qc, Spring, S3'!D3*Main!$B$5)</f>
        <v>-2.7729930153284812</v>
      </c>
      <c r="E3" s="2">
        <f ca="1">('[1]Qc, Spring, S3'!E3*Main!$B$5)</f>
        <v>-4.0508820642606871</v>
      </c>
      <c r="F3" s="2">
        <f ca="1">('[1]Qc, Spring, S3'!F3*Main!$B$5)</f>
        <v>-3.2407056514085517</v>
      </c>
      <c r="G3" s="2">
        <f ca="1">('[1]Qc, Spring, S3'!G3*Main!$B$5)</f>
        <v>-5.5984425663011139</v>
      </c>
      <c r="H3" s="2">
        <f ca="1">('[1]Qc, Spring, S3'!H3*Main!$B$5)</f>
        <v>-1.6955188576906355</v>
      </c>
      <c r="I3" s="2">
        <f ca="1">('[1]Qc, Spring, S3'!I3*Main!$B$5)</f>
        <v>1.3560285696053476</v>
      </c>
      <c r="J3" s="2">
        <f ca="1">('[1]Qc, Spring, S3'!J3*Main!$B$5)</f>
        <v>1.0648652256025362</v>
      </c>
      <c r="K3" s="2">
        <f ca="1">('[1]Qc, Spring, S3'!K3*Main!$B$5)</f>
        <v>1.033903852970032</v>
      </c>
      <c r="L3" s="2">
        <f ca="1">('[1]Qc, Spring, S3'!L3*Main!$B$5)</f>
        <v>2.8728033790830283</v>
      </c>
      <c r="M3" s="2">
        <f ca="1">('[1]Qc, Spring, S3'!M3*Main!$B$5)</f>
        <v>2.1001520278520158</v>
      </c>
      <c r="N3" s="2">
        <f ca="1">('[1]Qc, Spring, S3'!N3*Main!$B$5)</f>
        <v>3.5598041092619042</v>
      </c>
      <c r="O3" s="2">
        <f ca="1">('[1]Qc, Spring, S3'!O3*Main!$B$5)</f>
        <v>3.5395648731797169</v>
      </c>
      <c r="P3" s="2">
        <f ca="1">('[1]Qc, Spring, S3'!P3*Main!$B$5)</f>
        <v>3.0548949082777566</v>
      </c>
      <c r="Q3" s="2">
        <f ca="1">('[1]Qc, Spring, S3'!Q3*Main!$B$5)</f>
        <v>3.9890380084543264</v>
      </c>
      <c r="R3" s="2">
        <f ca="1">('[1]Qc, Spring, S3'!R3*Main!$B$5)</f>
        <v>1.5370446853586417</v>
      </c>
      <c r="S3" s="2">
        <f ca="1">('[1]Qc, Spring, S3'!S3*Main!$B$5)</f>
        <v>1.5229832765564761</v>
      </c>
      <c r="T3" s="2">
        <f ca="1">('[1]Qc, Spring, S3'!T3*Main!$B$5)</f>
        <v>1.5284786686510401</v>
      </c>
      <c r="U3" s="2">
        <f ca="1">('[1]Qc, Spring, S3'!U3*Main!$B$5)</f>
        <v>1.4376460380462175</v>
      </c>
      <c r="V3" s="2">
        <f ca="1">('[1]Qc, Spring, S3'!V3*Main!$B$5)</f>
        <v>-0.91952382616519746</v>
      </c>
      <c r="W3" s="2">
        <f ca="1">('[1]Qc, Spring, S3'!W3*Main!$B$5)</f>
        <v>0.70956954187881094</v>
      </c>
      <c r="X3" s="2">
        <f ca="1">('[1]Qc, Spring, S3'!X3*Main!$B$5)</f>
        <v>-3.6897518391810835</v>
      </c>
      <c r="Y3" s="2">
        <f ca="1">('[1]Qc, Spring, S3'!Y3*Main!$B$5)</f>
        <v>-3.5523007548724643</v>
      </c>
    </row>
    <row r="4" spans="1:25" x14ac:dyDescent="0.3">
      <c r="A4">
        <v>3</v>
      </c>
      <c r="B4" s="2">
        <f ca="1">('[1]Qc, Spring, S3'!B4*Main!$B$5)</f>
        <v>11.859207668974337</v>
      </c>
      <c r="C4" s="2">
        <f ca="1">('[1]Qc, Spring, S3'!C4*Main!$B$5)</f>
        <v>8.9652927874159651</v>
      </c>
      <c r="D4" s="2">
        <f ca="1">('[1]Qc, Spring, S3'!D4*Main!$B$5)</f>
        <v>8.5717300105819483</v>
      </c>
      <c r="E4" s="2">
        <f ca="1">('[1]Qc, Spring, S3'!E4*Main!$B$5)</f>
        <v>7.7936768056100076</v>
      </c>
      <c r="F4" s="2">
        <f ca="1">('[1]Qc, Spring, S3'!F4*Main!$B$5)</f>
        <v>8.608872903460437</v>
      </c>
      <c r="G4" s="2">
        <f ca="1">('[1]Qc, Spring, S3'!G4*Main!$B$5)</f>
        <v>6.6085279818894955</v>
      </c>
      <c r="H4" s="2">
        <f ca="1">('[1]Qc, Spring, S3'!H4*Main!$B$5)</f>
        <v>10.613450754273234</v>
      </c>
      <c r="I4" s="2">
        <f ca="1">('[1]Qc, Spring, S3'!I4*Main!$B$5)</f>
        <v>16.942752903366287</v>
      </c>
      <c r="J4" s="2">
        <f ca="1">('[1]Qc, Spring, S3'!J4*Main!$B$5)</f>
        <v>21.198536304331494</v>
      </c>
      <c r="K4" s="2">
        <f ca="1">('[1]Qc, Spring, S3'!K4*Main!$B$5)</f>
        <v>25.040963961304236</v>
      </c>
      <c r="L4" s="2">
        <f ca="1">('[1]Qc, Spring, S3'!L4*Main!$B$5)</f>
        <v>26.324758831353329</v>
      </c>
      <c r="M4" s="2">
        <f ca="1">('[1]Qc, Spring, S3'!M4*Main!$B$5)</f>
        <v>25.178142815824028</v>
      </c>
      <c r="N4" s="2">
        <f ca="1">('[1]Qc, Spring, S3'!N4*Main!$B$5)</f>
        <v>26.26095420173046</v>
      </c>
      <c r="O4" s="2">
        <f ca="1">('[1]Qc, Spring, S3'!O4*Main!$B$5)</f>
        <v>28.19766290808569</v>
      </c>
      <c r="P4" s="2">
        <f ca="1">('[1]Qc, Spring, S3'!P4*Main!$B$5)</f>
        <v>25.17174462212067</v>
      </c>
      <c r="Q4" s="2">
        <f ca="1">('[1]Qc, Spring, S3'!Q4*Main!$B$5)</f>
        <v>25.069934618219683</v>
      </c>
      <c r="R4" s="2">
        <f ca="1">('[1]Qc, Spring, S3'!R4*Main!$B$5)</f>
        <v>23.849353864751563</v>
      </c>
      <c r="S4" s="2">
        <f ca="1">('[1]Qc, Spring, S3'!S4*Main!$B$5)</f>
        <v>26.186362921746746</v>
      </c>
      <c r="T4" s="2">
        <f ca="1">('[1]Qc, Spring, S3'!T4*Main!$B$5)</f>
        <v>24.956258426157504</v>
      </c>
      <c r="U4" s="2">
        <f ca="1">('[1]Qc, Spring, S3'!U4*Main!$B$5)</f>
        <v>24.759287529360911</v>
      </c>
      <c r="V4" s="2">
        <f ca="1">('[1]Qc, Spring, S3'!V4*Main!$B$5)</f>
        <v>23.071820595263944</v>
      </c>
      <c r="W4" s="2">
        <f ca="1">('[1]Qc, Spring, S3'!W4*Main!$B$5)</f>
        <v>24.228762154021737</v>
      </c>
      <c r="X4" s="2">
        <f ca="1">('[1]Qc, Spring, S3'!X4*Main!$B$5)</f>
        <v>19.983423062635584</v>
      </c>
      <c r="Y4" s="2">
        <f ca="1">('[1]Qc, Spring, S3'!Y4*Main!$B$5)</f>
        <v>16.446108039835014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20.65034122842232</v>
      </c>
      <c r="C5" s="9">
        <f>VLOOKUP($A5,'RES installed'!$A$2:$C$7,3,FALSE)*'[1]Profiles, RES, Spring'!C$5</f>
        <v>19.173022882376557</v>
      </c>
      <c r="D5" s="9">
        <f>VLOOKUP($A5,'RES installed'!$A$2:$C$7,3,FALSE)*'[1]Profiles, RES, Spring'!D$5</f>
        <v>19.269369731031713</v>
      </c>
      <c r="E5" s="9">
        <f>VLOOKUP($A5,'RES installed'!$A$2:$C$7,3,FALSE)*'[1]Profiles, RES, Spring'!E$5</f>
        <v>18.498594941790444</v>
      </c>
      <c r="F5" s="9">
        <f>VLOOKUP($A5,'RES installed'!$A$2:$C$7,3,FALSE)*'[1]Profiles, RES, Spring'!F$5</f>
        <v>18.321959052589321</v>
      </c>
      <c r="G5" s="9">
        <f>VLOOKUP($A5,'RES installed'!$A$2:$C$7,3,FALSE)*'[1]Profiles, RES, Spring'!G$5</f>
        <v>18.643115214773182</v>
      </c>
      <c r="H5" s="9">
        <f>VLOOKUP($A5,'RES installed'!$A$2:$C$7,3,FALSE)*'[1]Profiles, RES, Spring'!H$5</f>
        <v>16.732236049779207</v>
      </c>
      <c r="I5" s="9">
        <f>VLOOKUP($A5,'RES installed'!$A$2:$C$7,3,FALSE)*'[1]Profiles, RES, Spring'!I$5</f>
        <v>13.424327579285427</v>
      </c>
      <c r="J5" s="9">
        <f>VLOOKUP($A5,'RES installed'!$A$2:$C$7,3,FALSE)*'[1]Profiles, RES, Spring'!J$5</f>
        <v>10.58209554395825</v>
      </c>
      <c r="K5" s="9">
        <f>VLOOKUP($A5,'RES installed'!$A$2:$C$7,3,FALSE)*'[1]Profiles, RES, Spring'!K$5</f>
        <v>7.9967884383781618</v>
      </c>
      <c r="L5" s="9">
        <f>VLOOKUP($A5,'RES installed'!$A$2:$C$7,3,FALSE)*'[1]Profiles, RES, Spring'!L$5</f>
        <v>7.5953432356483344</v>
      </c>
      <c r="M5" s="9">
        <f>VLOOKUP($A5,'RES installed'!$A$2:$C$7,3,FALSE)*'[1]Profiles, RES, Spring'!M$5</f>
        <v>9.2492974708952218</v>
      </c>
      <c r="N5" s="9">
        <f>VLOOKUP($A5,'RES installed'!$A$2:$C$7,3,FALSE)*'[1]Profiles, RES, Spring'!N$5</f>
        <v>12.219991971095945</v>
      </c>
      <c r="O5" s="9">
        <f>VLOOKUP($A5,'RES installed'!$A$2:$C$7,3,FALSE)*'[1]Profiles, RES, Spring'!O$5</f>
        <v>16.892814130871137</v>
      </c>
      <c r="P5" s="9">
        <f>VLOOKUP($A5,'RES installed'!$A$2:$C$7,3,FALSE)*'[1]Profiles, RES, Spring'!P$5</f>
        <v>22.04737053392212</v>
      </c>
      <c r="Q5" s="9">
        <f>VLOOKUP($A5,'RES installed'!$A$2:$C$7,3,FALSE)*'[1]Profiles, RES, Spring'!Q$5</f>
        <v>27.507025291047775</v>
      </c>
      <c r="R5" s="9">
        <f>VLOOKUP($A5,'RES installed'!$A$2:$C$7,3,FALSE)*'[1]Profiles, RES, Spring'!R$5</f>
        <v>34.251304696908875</v>
      </c>
      <c r="S5" s="9">
        <f>VLOOKUP($A5,'RES installed'!$A$2:$C$7,3,FALSE)*'[1]Profiles, RES, Spring'!S$5</f>
        <v>38.024889602569246</v>
      </c>
      <c r="T5" s="9">
        <f>VLOOKUP($A5,'RES installed'!$A$2:$C$7,3,FALSE)*'[1]Profiles, RES, Spring'!T$5</f>
        <v>38.153352067442796</v>
      </c>
      <c r="U5" s="9">
        <f>VLOOKUP($A5,'RES installed'!$A$2:$C$7,3,FALSE)*'[1]Profiles, RES, Spring'!U$5</f>
        <v>37.157767964672821</v>
      </c>
      <c r="V5" s="9">
        <f>VLOOKUP($A5,'RES installed'!$A$2:$C$7,3,FALSE)*'[1]Profiles, RES, Spring'!V$5</f>
        <v>33.689281413087116</v>
      </c>
      <c r="W5" s="9">
        <f>VLOOKUP($A5,'RES installed'!$A$2:$C$7,3,FALSE)*'[1]Profiles, RES, Spring'!W$5</f>
        <v>31.136089923725411</v>
      </c>
      <c r="X5" s="9">
        <f>VLOOKUP($A5,'RES installed'!$A$2:$C$7,3,FALSE)*'[1]Profiles, RES, Spring'!X$5</f>
        <v>31.087916499397835</v>
      </c>
      <c r="Y5" s="9">
        <f>VLOOKUP($A5,'RES installed'!$A$2:$C$7,3,FALSE)*'[1]Profiles, RES, Spring'!Y$5</f>
        <v>29.482135688478522</v>
      </c>
    </row>
    <row r="6" spans="1:25" x14ac:dyDescent="0.3">
      <c r="A6" s="8">
        <v>5</v>
      </c>
      <c r="B6" s="9">
        <f>VLOOKUP($A6,'RES installed'!$A$2:$C$7,3,FALSE)*'[1]Profiles, RES, Spring'!B$5</f>
        <v>30.975511842633484</v>
      </c>
      <c r="C6" s="9">
        <f>VLOOKUP($A6,'RES installed'!$A$2:$C$7,3,FALSE)*'[1]Profiles, RES, Spring'!C$5</f>
        <v>28.759534323564832</v>
      </c>
      <c r="D6" s="9">
        <f>VLOOKUP($A6,'RES installed'!$A$2:$C$7,3,FALSE)*'[1]Profiles, RES, Spring'!D$5</f>
        <v>28.904054596547571</v>
      </c>
      <c r="E6" s="9">
        <f>VLOOKUP($A6,'RES installed'!$A$2:$C$7,3,FALSE)*'[1]Profiles, RES, Spring'!E$5</f>
        <v>27.747892412685669</v>
      </c>
      <c r="F6" s="9">
        <f>VLOOKUP($A6,'RES installed'!$A$2:$C$7,3,FALSE)*'[1]Profiles, RES, Spring'!F$5</f>
        <v>27.482938578883982</v>
      </c>
      <c r="G6" s="9">
        <f>VLOOKUP($A6,'RES installed'!$A$2:$C$7,3,FALSE)*'[1]Profiles, RES, Spring'!G$5</f>
        <v>27.964672822159773</v>
      </c>
      <c r="H6" s="9">
        <f>VLOOKUP($A6,'RES installed'!$A$2:$C$7,3,FALSE)*'[1]Profiles, RES, Spring'!H$5</f>
        <v>25.098354074668809</v>
      </c>
      <c r="I6" s="9">
        <f>VLOOKUP($A6,'RES installed'!$A$2:$C$7,3,FALSE)*'[1]Profiles, RES, Spring'!I$5</f>
        <v>20.136491368928141</v>
      </c>
      <c r="J6" s="9">
        <f>VLOOKUP($A6,'RES installed'!$A$2:$C$7,3,FALSE)*'[1]Profiles, RES, Spring'!J$5</f>
        <v>15.873143315937375</v>
      </c>
      <c r="K6" s="9">
        <f>VLOOKUP($A6,'RES installed'!$A$2:$C$7,3,FALSE)*'[1]Profiles, RES, Spring'!K$5</f>
        <v>11.995182657567243</v>
      </c>
      <c r="L6" s="9">
        <f>VLOOKUP($A6,'RES installed'!$A$2:$C$7,3,FALSE)*'[1]Profiles, RES, Spring'!L$5</f>
        <v>11.393014853472501</v>
      </c>
      <c r="M6" s="9">
        <f>VLOOKUP($A6,'RES installed'!$A$2:$C$7,3,FALSE)*'[1]Profiles, RES, Spring'!M$5</f>
        <v>13.873946206342834</v>
      </c>
      <c r="N6" s="9">
        <f>VLOOKUP($A6,'RES installed'!$A$2:$C$7,3,FALSE)*'[1]Profiles, RES, Spring'!N$5</f>
        <v>18.329987956643919</v>
      </c>
      <c r="O6" s="9">
        <f>VLOOKUP($A6,'RES installed'!$A$2:$C$7,3,FALSE)*'[1]Profiles, RES, Spring'!O$5</f>
        <v>25.339221196306706</v>
      </c>
      <c r="P6" s="9">
        <f>VLOOKUP($A6,'RES installed'!$A$2:$C$7,3,FALSE)*'[1]Profiles, RES, Spring'!P$5</f>
        <v>33.07105580088318</v>
      </c>
      <c r="Q6" s="9">
        <f>VLOOKUP($A6,'RES installed'!$A$2:$C$7,3,FALSE)*'[1]Profiles, RES, Spring'!Q$5</f>
        <v>41.260537936571659</v>
      </c>
      <c r="R6" s="9">
        <f>VLOOKUP($A6,'RES installed'!$A$2:$C$7,3,FALSE)*'[1]Profiles, RES, Spring'!R$5</f>
        <v>51.376957045363312</v>
      </c>
      <c r="S6" s="9">
        <f>VLOOKUP($A6,'RES installed'!$A$2:$C$7,3,FALSE)*'[1]Profiles, RES, Spring'!S$5</f>
        <v>57.037334403853876</v>
      </c>
      <c r="T6" s="9">
        <f>VLOOKUP($A6,'RES installed'!$A$2:$C$7,3,FALSE)*'[1]Profiles, RES, Spring'!T$5</f>
        <v>57.230028101164194</v>
      </c>
      <c r="U6" s="9">
        <f>VLOOKUP($A6,'RES installed'!$A$2:$C$7,3,FALSE)*'[1]Profiles, RES, Spring'!U$5</f>
        <v>55.736651947009236</v>
      </c>
      <c r="V6" s="9">
        <f>VLOOKUP($A6,'RES installed'!$A$2:$C$7,3,FALSE)*'[1]Profiles, RES, Spring'!V$5</f>
        <v>50.533922119630667</v>
      </c>
      <c r="W6" s="9">
        <f>VLOOKUP($A6,'RES installed'!$A$2:$C$7,3,FALSE)*'[1]Profiles, RES, Spring'!W$5</f>
        <v>46.704134885588118</v>
      </c>
      <c r="X6" s="9">
        <f>VLOOKUP($A6,'RES installed'!$A$2:$C$7,3,FALSE)*'[1]Profiles, RES, Spring'!X$5</f>
        <v>46.631874749096752</v>
      </c>
      <c r="Y6" s="9">
        <f>VLOOKUP($A6,'RES installed'!$A$2:$C$7,3,FALSE)*'[1]Profiles, RES, Spring'!Y$5</f>
        <v>44.223203532717783</v>
      </c>
    </row>
    <row r="7" spans="1:25" x14ac:dyDescent="0.3">
      <c r="A7" s="8">
        <v>6</v>
      </c>
      <c r="B7" s="9">
        <f>VLOOKUP($A7,'RES installed'!$A$2:$C$7,3,FALSE)*'[1]Profiles, RES, Spring'!B$5</f>
        <v>19.359694901645927</v>
      </c>
      <c r="C7" s="9">
        <f>VLOOKUP($A7,'RES installed'!$A$2:$C$7,3,FALSE)*'[1]Profiles, RES, Spring'!C$5</f>
        <v>17.974708952228021</v>
      </c>
      <c r="D7" s="9">
        <f>VLOOKUP($A7,'RES installed'!$A$2:$C$7,3,FALSE)*'[1]Profiles, RES, Spring'!D$5</f>
        <v>18.065034122842231</v>
      </c>
      <c r="E7" s="9">
        <f>VLOOKUP($A7,'RES installed'!$A$2:$C$7,3,FALSE)*'[1]Profiles, RES, Spring'!E$5</f>
        <v>17.342432757928542</v>
      </c>
      <c r="F7" s="9">
        <f>VLOOKUP($A7,'RES installed'!$A$2:$C$7,3,FALSE)*'[1]Profiles, RES, Spring'!F$5</f>
        <v>17.176836611802489</v>
      </c>
      <c r="G7" s="9">
        <f>VLOOKUP($A7,'RES installed'!$A$2:$C$7,3,FALSE)*'[1]Profiles, RES, Spring'!G$5</f>
        <v>17.47792051384986</v>
      </c>
      <c r="H7" s="9">
        <f>VLOOKUP($A7,'RES installed'!$A$2:$C$7,3,FALSE)*'[1]Profiles, RES, Spring'!H$5</f>
        <v>15.686471296668005</v>
      </c>
      <c r="I7" s="9">
        <f>VLOOKUP($A7,'RES installed'!$A$2:$C$7,3,FALSE)*'[1]Profiles, RES, Spring'!I$5</f>
        <v>12.585307105580087</v>
      </c>
      <c r="J7" s="9">
        <f>VLOOKUP($A7,'RES installed'!$A$2:$C$7,3,FALSE)*'[1]Profiles, RES, Spring'!J$5</f>
        <v>9.9207145724608594</v>
      </c>
      <c r="K7" s="9">
        <f>VLOOKUP($A7,'RES installed'!$A$2:$C$7,3,FALSE)*'[1]Profiles, RES, Spring'!K$5</f>
        <v>7.4969891609795267</v>
      </c>
      <c r="L7" s="9">
        <f>VLOOKUP($A7,'RES installed'!$A$2:$C$7,3,FALSE)*'[1]Profiles, RES, Spring'!L$5</f>
        <v>7.1206342834203129</v>
      </c>
      <c r="M7" s="9">
        <f>VLOOKUP($A7,'RES installed'!$A$2:$C$7,3,FALSE)*'[1]Profiles, RES, Spring'!M$5</f>
        <v>8.6712163789642709</v>
      </c>
      <c r="N7" s="9">
        <f>VLOOKUP($A7,'RES installed'!$A$2:$C$7,3,FALSE)*'[1]Profiles, RES, Spring'!N$5</f>
        <v>11.456242472902447</v>
      </c>
      <c r="O7" s="9">
        <f>VLOOKUP($A7,'RES installed'!$A$2:$C$7,3,FALSE)*'[1]Profiles, RES, Spring'!O$5</f>
        <v>15.83701324769169</v>
      </c>
      <c r="P7" s="9">
        <f>VLOOKUP($A7,'RES installed'!$A$2:$C$7,3,FALSE)*'[1]Profiles, RES, Spring'!P$5</f>
        <v>20.669409875551988</v>
      </c>
      <c r="Q7" s="9">
        <f>VLOOKUP($A7,'RES installed'!$A$2:$C$7,3,FALSE)*'[1]Profiles, RES, Spring'!Q$5</f>
        <v>25.787836210357288</v>
      </c>
      <c r="R7" s="9">
        <f>VLOOKUP($A7,'RES installed'!$A$2:$C$7,3,FALSE)*'[1]Profiles, RES, Spring'!R$5</f>
        <v>32.110598153352072</v>
      </c>
      <c r="S7" s="9">
        <f>VLOOKUP($A7,'RES installed'!$A$2:$C$7,3,FALSE)*'[1]Profiles, RES, Spring'!S$5</f>
        <v>35.648334002408674</v>
      </c>
      <c r="T7" s="9">
        <f>VLOOKUP($A7,'RES installed'!$A$2:$C$7,3,FALSE)*'[1]Profiles, RES, Spring'!T$5</f>
        <v>35.76876756322762</v>
      </c>
      <c r="U7" s="9">
        <f>VLOOKUP($A7,'RES installed'!$A$2:$C$7,3,FALSE)*'[1]Profiles, RES, Spring'!U$5</f>
        <v>34.835407466880774</v>
      </c>
      <c r="V7" s="9">
        <f>VLOOKUP($A7,'RES installed'!$A$2:$C$7,3,FALSE)*'[1]Profiles, RES, Spring'!V$5</f>
        <v>31.583701324769169</v>
      </c>
      <c r="W7" s="9">
        <f>VLOOKUP($A7,'RES installed'!$A$2:$C$7,3,FALSE)*'[1]Profiles, RES, Spring'!W$5</f>
        <v>29.190084303492572</v>
      </c>
      <c r="X7" s="9">
        <f>VLOOKUP($A7,'RES installed'!$A$2:$C$7,3,FALSE)*'[1]Profiles, RES, Spring'!X$5</f>
        <v>29.144921718185469</v>
      </c>
      <c r="Y7" s="9">
        <f>VLOOKUP($A7,'RES installed'!$A$2:$C$7,3,FALSE)*'[1]Profiles, RES, Spring'!Y$5</f>
        <v>27.639502207948617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1.1846095526914329</v>
      </c>
      <c r="H8" s="6">
        <f>VLOOKUP($A8,'RES installed'!$A$2:$C$7,3,FALSE)*'[1]Profiles, RES, Spring'!H$2</f>
        <v>11.893479909021986</v>
      </c>
      <c r="I8" s="6">
        <f>VLOOKUP($A8,'RES installed'!$A$2:$C$7,3,FALSE)*'[1]Profiles, RES, Spring'!I$2</f>
        <v>33.216451857467781</v>
      </c>
      <c r="J8" s="6">
        <f>VLOOKUP($A8,'RES installed'!$A$2:$C$7,3,FALSE)*'[1]Profiles, RES, Spring'!J$2</f>
        <v>51.317285822592872</v>
      </c>
      <c r="K8" s="6">
        <f>VLOOKUP($A8,'RES installed'!$A$2:$C$7,3,FALSE)*'[1]Profiles, RES, Spring'!K$2</f>
        <v>60.036012130401822</v>
      </c>
      <c r="L8" s="6">
        <f>VLOOKUP($A8,'RES installed'!$A$2:$C$7,3,FALSE)*'[1]Profiles, RES, Spring'!L$2</f>
        <v>68.612585291887797</v>
      </c>
      <c r="M8" s="6">
        <f>VLOOKUP($A8,'RES installed'!$A$2:$C$7,3,FALSE)*'[1]Profiles, RES, Spring'!M$2</f>
        <v>72.308567096285074</v>
      </c>
      <c r="N8" s="6">
        <f>VLOOKUP($A8,'RES installed'!$A$2:$C$7,3,FALSE)*'[1]Profiles, RES, Spring'!N$2</f>
        <v>77.994692949203937</v>
      </c>
      <c r="O8" s="6">
        <f>VLOOKUP($A8,'RES installed'!$A$2:$C$7,3,FALSE)*'[1]Profiles, RES, Spring'!O$2</f>
        <v>78.421152388172857</v>
      </c>
      <c r="P8" s="6">
        <f>VLOOKUP($A8,'RES installed'!$A$2:$C$7,3,FALSE)*'[1]Profiles, RES, Spring'!P$2</f>
        <v>78.847611827141776</v>
      </c>
      <c r="Q8" s="6">
        <f>VLOOKUP($A8,'RES installed'!$A$2:$C$7,3,FALSE)*'[1]Profiles, RES, Spring'!Q$2</f>
        <v>72.119029567854426</v>
      </c>
      <c r="R8" s="6">
        <f>VLOOKUP($A8,'RES installed'!$A$2:$C$7,3,FALSE)*'[1]Profiles, RES, Spring'!R$2</f>
        <v>57.38248673237301</v>
      </c>
      <c r="S8" s="6">
        <f>VLOOKUP($A8,'RES installed'!$A$2:$C$7,3,FALSE)*'[1]Profiles, RES, Spring'!S$2</f>
        <v>37.812736921910542</v>
      </c>
      <c r="T8" s="6">
        <f>VLOOKUP($A8,'RES installed'!$A$2:$C$7,3,FALSE)*'[1]Profiles, RES, Spring'!T$2</f>
        <v>13.931008339651251</v>
      </c>
      <c r="U8" s="6">
        <f>VLOOKUP($A8,'RES installed'!$A$2:$C$7,3,FALSE)*'[1]Profiles, RES, Spring'!U$2</f>
        <v>1.2319939347990903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0.75815011372251706</v>
      </c>
      <c r="H9" s="6">
        <f>VLOOKUP($A9,'RES installed'!$A$2:$C$7,3,FALSE)*'[1]Profiles, RES, Spring'!H$2</f>
        <v>7.6118271417740715</v>
      </c>
      <c r="I9" s="6">
        <f>VLOOKUP($A9,'RES installed'!$A$2:$C$7,3,FALSE)*'[1]Profiles, RES, Spring'!I$2</f>
        <v>21.258529188779377</v>
      </c>
      <c r="J9" s="6">
        <f>VLOOKUP($A9,'RES installed'!$A$2:$C$7,3,FALSE)*'[1]Profiles, RES, Spring'!J$2</f>
        <v>32.843062926459439</v>
      </c>
      <c r="K9" s="6">
        <f>VLOOKUP($A9,'RES installed'!$A$2:$C$7,3,FALSE)*'[1]Profiles, RES, Spring'!K$2</f>
        <v>38.423047763457163</v>
      </c>
      <c r="L9" s="6">
        <f>VLOOKUP($A9,'RES installed'!$A$2:$C$7,3,FALSE)*'[1]Profiles, RES, Spring'!L$2</f>
        <v>43.912054586808189</v>
      </c>
      <c r="M9" s="6">
        <f>VLOOKUP($A9,'RES installed'!$A$2:$C$7,3,FALSE)*'[1]Profiles, RES, Spring'!M$2</f>
        <v>46.277482941622445</v>
      </c>
      <c r="N9" s="6">
        <f>VLOOKUP($A9,'RES installed'!$A$2:$C$7,3,FALSE)*'[1]Profiles, RES, Spring'!N$2</f>
        <v>49.916603487490519</v>
      </c>
      <c r="O9" s="6">
        <f>VLOOKUP($A9,'RES installed'!$A$2:$C$7,3,FALSE)*'[1]Profiles, RES, Spring'!O$2</f>
        <v>50.189537528430634</v>
      </c>
      <c r="P9" s="6">
        <f>VLOOKUP($A9,'RES installed'!$A$2:$C$7,3,FALSE)*'[1]Profiles, RES, Spring'!P$2</f>
        <v>50.462471569370734</v>
      </c>
      <c r="Q9" s="6">
        <f>VLOOKUP($A9,'RES installed'!$A$2:$C$7,3,FALSE)*'[1]Profiles, RES, Spring'!Q$2</f>
        <v>46.156178923426836</v>
      </c>
      <c r="R9" s="6">
        <f>VLOOKUP($A9,'RES installed'!$A$2:$C$7,3,FALSE)*'[1]Profiles, RES, Spring'!R$2</f>
        <v>36.724791508718731</v>
      </c>
      <c r="S9" s="6">
        <f>VLOOKUP($A9,'RES installed'!$A$2:$C$7,3,FALSE)*'[1]Profiles, RES, Spring'!S$2</f>
        <v>24.200151630022745</v>
      </c>
      <c r="T9" s="6">
        <f>VLOOKUP($A9,'RES installed'!$A$2:$C$7,3,FALSE)*'[1]Profiles, RES, Spring'!T$2</f>
        <v>8.9158453373768012</v>
      </c>
      <c r="U9" s="6">
        <f>VLOOKUP($A9,'RES installed'!$A$2:$C$7,3,FALSE)*'[1]Profiles, RES, Spring'!U$2</f>
        <v>0.78847611827141773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0.85291887793783161</v>
      </c>
      <c r="H10" s="6">
        <f>VLOOKUP($A10,'RES installed'!$A$2:$C$7,3,FALSE)*'[1]Profiles, RES, Spring'!H$2</f>
        <v>8.5633055344958304</v>
      </c>
      <c r="I10" s="6">
        <f>VLOOKUP($A10,'RES installed'!$A$2:$C$7,3,FALSE)*'[1]Profiles, RES, Spring'!I$2</f>
        <v>23.915845337376801</v>
      </c>
      <c r="J10" s="6">
        <f>VLOOKUP($A10,'RES installed'!$A$2:$C$7,3,FALSE)*'[1]Profiles, RES, Spring'!J$2</f>
        <v>36.948445792266867</v>
      </c>
      <c r="K10" s="6">
        <f>VLOOKUP($A10,'RES installed'!$A$2:$C$7,3,FALSE)*'[1]Profiles, RES, Spring'!K$2</f>
        <v>43.225928733889312</v>
      </c>
      <c r="L10" s="6">
        <f>VLOOKUP($A10,'RES installed'!$A$2:$C$7,3,FALSE)*'[1]Profiles, RES, Spring'!L$2</f>
        <v>49.401061410159215</v>
      </c>
      <c r="M10" s="6">
        <f>VLOOKUP($A10,'RES installed'!$A$2:$C$7,3,FALSE)*'[1]Profiles, RES, Spring'!M$2</f>
        <v>52.062168309325251</v>
      </c>
      <c r="N10" s="6">
        <f>VLOOKUP($A10,'RES installed'!$A$2:$C$7,3,FALSE)*'[1]Profiles, RES, Spring'!N$2</f>
        <v>56.156178923426836</v>
      </c>
      <c r="O10" s="6">
        <f>VLOOKUP($A10,'RES installed'!$A$2:$C$7,3,FALSE)*'[1]Profiles, RES, Spring'!O$2</f>
        <v>56.46322971948446</v>
      </c>
      <c r="P10" s="6">
        <f>VLOOKUP($A10,'RES installed'!$A$2:$C$7,3,FALSE)*'[1]Profiles, RES, Spring'!P$2</f>
        <v>56.770280515542076</v>
      </c>
      <c r="Q10" s="6">
        <f>VLOOKUP($A10,'RES installed'!$A$2:$C$7,3,FALSE)*'[1]Profiles, RES, Spring'!Q$2</f>
        <v>51.925701288855194</v>
      </c>
      <c r="R10" s="6">
        <f>VLOOKUP($A10,'RES installed'!$A$2:$C$7,3,FALSE)*'[1]Profiles, RES, Spring'!R$2</f>
        <v>41.315390447308566</v>
      </c>
      <c r="S10" s="6">
        <f>VLOOKUP($A10,'RES installed'!$A$2:$C$7,3,FALSE)*'[1]Profiles, RES, Spring'!S$2</f>
        <v>27.22517058377559</v>
      </c>
      <c r="T10" s="6">
        <f>VLOOKUP($A10,'RES installed'!$A$2:$C$7,3,FALSE)*'[1]Profiles, RES, Spring'!T$2</f>
        <v>10.0303260045489</v>
      </c>
      <c r="U10" s="6">
        <f>VLOOKUP($A10,'RES installed'!$A$2:$C$7,3,FALSE)*'[1]Profiles, RES, Spring'!U$2</f>
        <v>0.88703563305534494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27.073464472099559</v>
      </c>
      <c r="C5" s="9">
        <f>VLOOKUP($A5,'RES installed'!$A$2:$C$7,3,FALSE)*'[1]Profiles, RES, Spring'!C$6</f>
        <v>24.568446407065437</v>
      </c>
      <c r="D5" s="9">
        <f>VLOOKUP($A5,'RES installed'!$A$2:$C$7,3,FALSE)*'[1]Profiles, RES, Spring'!D$6</f>
        <v>21.437173825772785</v>
      </c>
      <c r="E5" s="9">
        <f>VLOOKUP($A5,'RES installed'!$A$2:$C$7,3,FALSE)*'[1]Profiles, RES, Spring'!E$6</f>
        <v>19.3014853472501</v>
      </c>
      <c r="F5" s="9">
        <f>VLOOKUP($A5,'RES installed'!$A$2:$C$7,3,FALSE)*'[1]Profiles, RES, Spring'!F$6</f>
        <v>18.867924528301888</v>
      </c>
      <c r="G5" s="9">
        <f>VLOOKUP($A5,'RES installed'!$A$2:$C$7,3,FALSE)*'[1]Profiles, RES, Spring'!G$6</f>
        <v>19.076676033721398</v>
      </c>
      <c r="H5" s="9">
        <f>VLOOKUP($A5,'RES installed'!$A$2:$C$7,3,FALSE)*'[1]Profiles, RES, Spring'!H$6</f>
        <v>16.282617422721799</v>
      </c>
      <c r="I5" s="9">
        <f>VLOOKUP($A5,'RES installed'!$A$2:$C$7,3,FALSE)*'[1]Profiles, RES, Spring'!I$6</f>
        <v>12.252107587314331</v>
      </c>
      <c r="J5" s="9">
        <f>VLOOKUP($A5,'RES installed'!$A$2:$C$7,3,FALSE)*'[1]Profiles, RES, Spring'!J$6</f>
        <v>11.160176635889201</v>
      </c>
      <c r="K5" s="9">
        <f>VLOOKUP($A5,'RES installed'!$A$2:$C$7,3,FALSE)*'[1]Profiles, RES, Spring'!K$6</f>
        <v>11.625853071055801</v>
      </c>
      <c r="L5" s="9">
        <f>VLOOKUP($A5,'RES installed'!$A$2:$C$7,3,FALSE)*'[1]Profiles, RES, Spring'!L$6</f>
        <v>13.0228823765556</v>
      </c>
      <c r="M5" s="9">
        <f>VLOOKUP($A5,'RES installed'!$A$2:$C$7,3,FALSE)*'[1]Profiles, RES, Spring'!M$6</f>
        <v>14.933761541549579</v>
      </c>
      <c r="N5" s="9">
        <f>VLOOKUP($A5,'RES installed'!$A$2:$C$7,3,FALSE)*'[1]Profiles, RES, Spring'!N$6</f>
        <v>19.413890004014451</v>
      </c>
      <c r="O5" s="9">
        <f>VLOOKUP($A5,'RES installed'!$A$2:$C$7,3,FALSE)*'[1]Profiles, RES, Spring'!O$6</f>
        <v>24.102769971898837</v>
      </c>
      <c r="P5" s="9">
        <f>VLOOKUP($A5,'RES installed'!$A$2:$C$7,3,FALSE)*'[1]Profiles, RES, Spring'!P$6</f>
        <v>27.378562826174225</v>
      </c>
      <c r="Q5" s="9">
        <f>VLOOKUP($A5,'RES installed'!$A$2:$C$7,3,FALSE)*'[1]Profiles, RES, Spring'!Q$6</f>
        <v>30.124448012846248</v>
      </c>
      <c r="R5" s="9">
        <f>VLOOKUP($A5,'RES installed'!$A$2:$C$7,3,FALSE)*'[1]Profiles, RES, Spring'!R$6</f>
        <v>33.014853472501002</v>
      </c>
      <c r="S5" s="9">
        <f>VLOOKUP($A5,'RES installed'!$A$2:$C$7,3,FALSE)*'[1]Profiles, RES, Spring'!S$6</f>
        <v>31.585708550782815</v>
      </c>
      <c r="T5" s="9">
        <f>VLOOKUP($A5,'RES installed'!$A$2:$C$7,3,FALSE)*'[1]Profiles, RES, Spring'!T$6</f>
        <v>27.940586109995987</v>
      </c>
      <c r="U5" s="9">
        <f>VLOOKUP($A5,'RES installed'!$A$2:$C$7,3,FALSE)*'[1]Profiles, RES, Spring'!U$6</f>
        <v>26.880770774789241</v>
      </c>
      <c r="V5" s="9">
        <f>VLOOKUP($A5,'RES installed'!$A$2:$C$7,3,FALSE)*'[1]Profiles, RES, Spring'!V$6</f>
        <v>25.002007226013649</v>
      </c>
      <c r="W5" s="9">
        <f>VLOOKUP($A5,'RES installed'!$A$2:$C$7,3,FALSE)*'[1]Profiles, RES, Spring'!W$6</f>
        <v>23.717382577278201</v>
      </c>
      <c r="X5" s="9">
        <f>VLOOKUP($A5,'RES installed'!$A$2:$C$7,3,FALSE)*'[1]Profiles, RES, Spring'!X$6</f>
        <v>21.501405058209553</v>
      </c>
      <c r="Y5" s="9">
        <f>VLOOKUP($A5,'RES installed'!$A$2:$C$7,3,FALSE)*'[1]Profiles, RES, Spring'!Y$6</f>
        <v>19.173022882376557</v>
      </c>
    </row>
    <row r="6" spans="1:25" x14ac:dyDescent="0.3">
      <c r="A6" s="8">
        <v>5</v>
      </c>
      <c r="B6" s="9">
        <f>VLOOKUP($A6,'RES installed'!$A$2:$C$7,3,FALSE)*'[1]Profiles, RES, Spring'!B$6</f>
        <v>40.610196708149338</v>
      </c>
      <c r="C6" s="9">
        <f>VLOOKUP($A6,'RES installed'!$A$2:$C$7,3,FALSE)*'[1]Profiles, RES, Spring'!C$6</f>
        <v>36.852669610598156</v>
      </c>
      <c r="D6" s="9">
        <f>VLOOKUP($A6,'RES installed'!$A$2:$C$7,3,FALSE)*'[1]Profiles, RES, Spring'!D$6</f>
        <v>32.155760738659176</v>
      </c>
      <c r="E6" s="9">
        <f>VLOOKUP($A6,'RES installed'!$A$2:$C$7,3,FALSE)*'[1]Profiles, RES, Spring'!E$6</f>
        <v>28.95222802087515</v>
      </c>
      <c r="F6" s="9">
        <f>VLOOKUP($A6,'RES installed'!$A$2:$C$7,3,FALSE)*'[1]Profiles, RES, Spring'!F$6</f>
        <v>28.30188679245283</v>
      </c>
      <c r="G6" s="9">
        <f>VLOOKUP($A6,'RES installed'!$A$2:$C$7,3,FALSE)*'[1]Profiles, RES, Spring'!G$6</f>
        <v>28.615014050582097</v>
      </c>
      <c r="H6" s="9">
        <f>VLOOKUP($A6,'RES installed'!$A$2:$C$7,3,FALSE)*'[1]Profiles, RES, Spring'!H$6</f>
        <v>24.423926134082699</v>
      </c>
      <c r="I6" s="9">
        <f>VLOOKUP($A6,'RES installed'!$A$2:$C$7,3,FALSE)*'[1]Profiles, RES, Spring'!I$6</f>
        <v>18.378161380971498</v>
      </c>
      <c r="J6" s="9">
        <f>VLOOKUP($A6,'RES installed'!$A$2:$C$7,3,FALSE)*'[1]Profiles, RES, Spring'!J$6</f>
        <v>16.740264953833801</v>
      </c>
      <c r="K6" s="9">
        <f>VLOOKUP($A6,'RES installed'!$A$2:$C$7,3,FALSE)*'[1]Profiles, RES, Spring'!K$6</f>
        <v>17.438779606583701</v>
      </c>
      <c r="L6" s="9">
        <f>VLOOKUP($A6,'RES installed'!$A$2:$C$7,3,FALSE)*'[1]Profiles, RES, Spring'!L$6</f>
        <v>19.5343235648334</v>
      </c>
      <c r="M6" s="9">
        <f>VLOOKUP($A6,'RES installed'!$A$2:$C$7,3,FALSE)*'[1]Profiles, RES, Spring'!M$6</f>
        <v>22.400642312324369</v>
      </c>
      <c r="N6" s="9">
        <f>VLOOKUP($A6,'RES installed'!$A$2:$C$7,3,FALSE)*'[1]Profiles, RES, Spring'!N$6</f>
        <v>29.120835006021679</v>
      </c>
      <c r="O6" s="9">
        <f>VLOOKUP($A6,'RES installed'!$A$2:$C$7,3,FALSE)*'[1]Profiles, RES, Spring'!O$6</f>
        <v>36.154154957848256</v>
      </c>
      <c r="P6" s="9">
        <f>VLOOKUP($A6,'RES installed'!$A$2:$C$7,3,FALSE)*'[1]Profiles, RES, Spring'!P$6</f>
        <v>41.067844239261341</v>
      </c>
      <c r="Q6" s="9">
        <f>VLOOKUP($A6,'RES installed'!$A$2:$C$7,3,FALSE)*'[1]Profiles, RES, Spring'!Q$6</f>
        <v>45.186672019269373</v>
      </c>
      <c r="R6" s="9">
        <f>VLOOKUP($A6,'RES installed'!$A$2:$C$7,3,FALSE)*'[1]Profiles, RES, Spring'!R$6</f>
        <v>49.522280208751503</v>
      </c>
      <c r="S6" s="9">
        <f>VLOOKUP($A6,'RES installed'!$A$2:$C$7,3,FALSE)*'[1]Profiles, RES, Spring'!S$6</f>
        <v>47.378562826174225</v>
      </c>
      <c r="T6" s="9">
        <f>VLOOKUP($A6,'RES installed'!$A$2:$C$7,3,FALSE)*'[1]Profiles, RES, Spring'!T$6</f>
        <v>41.910879164993979</v>
      </c>
      <c r="U6" s="9">
        <f>VLOOKUP($A6,'RES installed'!$A$2:$C$7,3,FALSE)*'[1]Profiles, RES, Spring'!U$6</f>
        <v>40.321156162183861</v>
      </c>
      <c r="V6" s="9">
        <f>VLOOKUP($A6,'RES installed'!$A$2:$C$7,3,FALSE)*'[1]Profiles, RES, Spring'!V$6</f>
        <v>37.503010839020476</v>
      </c>
      <c r="W6" s="9">
        <f>VLOOKUP($A6,'RES installed'!$A$2:$C$7,3,FALSE)*'[1]Profiles, RES, Spring'!W$6</f>
        <v>35.576073865917301</v>
      </c>
      <c r="X6" s="9">
        <f>VLOOKUP($A6,'RES installed'!$A$2:$C$7,3,FALSE)*'[1]Profiles, RES, Spring'!X$6</f>
        <v>32.252107587314327</v>
      </c>
      <c r="Y6" s="9">
        <f>VLOOKUP($A6,'RES installed'!$A$2:$C$7,3,FALSE)*'[1]Profiles, RES, Spring'!Y$6</f>
        <v>28.759534323564832</v>
      </c>
    </row>
    <row r="7" spans="1:25" x14ac:dyDescent="0.3">
      <c r="A7" s="8">
        <v>6</v>
      </c>
      <c r="B7" s="9">
        <f>VLOOKUP($A7,'RES installed'!$A$2:$C$7,3,FALSE)*'[1]Profiles, RES, Spring'!B$6</f>
        <v>25.381372942593337</v>
      </c>
      <c r="C7" s="9">
        <f>VLOOKUP($A7,'RES installed'!$A$2:$C$7,3,FALSE)*'[1]Profiles, RES, Spring'!C$6</f>
        <v>23.032918506623847</v>
      </c>
      <c r="D7" s="9">
        <f>VLOOKUP($A7,'RES installed'!$A$2:$C$7,3,FALSE)*'[1]Profiles, RES, Spring'!D$6</f>
        <v>20.097350461661986</v>
      </c>
      <c r="E7" s="9">
        <f>VLOOKUP($A7,'RES installed'!$A$2:$C$7,3,FALSE)*'[1]Profiles, RES, Spring'!E$6</f>
        <v>18.095142513046969</v>
      </c>
      <c r="F7" s="9">
        <f>VLOOKUP($A7,'RES installed'!$A$2:$C$7,3,FALSE)*'[1]Profiles, RES, Spring'!F$6</f>
        <v>17.688679245283019</v>
      </c>
      <c r="G7" s="9">
        <f>VLOOKUP($A7,'RES installed'!$A$2:$C$7,3,FALSE)*'[1]Profiles, RES, Spring'!G$6</f>
        <v>17.88438378161381</v>
      </c>
      <c r="H7" s="9">
        <f>VLOOKUP($A7,'RES installed'!$A$2:$C$7,3,FALSE)*'[1]Profiles, RES, Spring'!H$6</f>
        <v>15.264953833801687</v>
      </c>
      <c r="I7" s="9">
        <f>VLOOKUP($A7,'RES installed'!$A$2:$C$7,3,FALSE)*'[1]Profiles, RES, Spring'!I$6</f>
        <v>11.486350863107186</v>
      </c>
      <c r="J7" s="9">
        <f>VLOOKUP($A7,'RES installed'!$A$2:$C$7,3,FALSE)*'[1]Profiles, RES, Spring'!J$6</f>
        <v>10.462665596146126</v>
      </c>
      <c r="K7" s="9">
        <f>VLOOKUP($A7,'RES installed'!$A$2:$C$7,3,FALSE)*'[1]Profiles, RES, Spring'!K$6</f>
        <v>10.899237254114812</v>
      </c>
      <c r="L7" s="9">
        <f>VLOOKUP($A7,'RES installed'!$A$2:$C$7,3,FALSE)*'[1]Profiles, RES, Spring'!L$6</f>
        <v>12.208952228020875</v>
      </c>
      <c r="M7" s="9">
        <f>VLOOKUP($A7,'RES installed'!$A$2:$C$7,3,FALSE)*'[1]Profiles, RES, Spring'!M$6</f>
        <v>14.00040144520273</v>
      </c>
      <c r="N7" s="9">
        <f>VLOOKUP($A7,'RES installed'!$A$2:$C$7,3,FALSE)*'[1]Profiles, RES, Spring'!N$6</f>
        <v>18.200521878763549</v>
      </c>
      <c r="O7" s="9">
        <f>VLOOKUP($A7,'RES installed'!$A$2:$C$7,3,FALSE)*'[1]Profiles, RES, Spring'!O$6</f>
        <v>22.596346848655159</v>
      </c>
      <c r="P7" s="9">
        <f>VLOOKUP($A7,'RES installed'!$A$2:$C$7,3,FALSE)*'[1]Profiles, RES, Spring'!P$6</f>
        <v>25.667402649538339</v>
      </c>
      <c r="Q7" s="9">
        <f>VLOOKUP($A7,'RES installed'!$A$2:$C$7,3,FALSE)*'[1]Profiles, RES, Spring'!Q$6</f>
        <v>28.241670012043357</v>
      </c>
      <c r="R7" s="9">
        <f>VLOOKUP($A7,'RES installed'!$A$2:$C$7,3,FALSE)*'[1]Profiles, RES, Spring'!R$6</f>
        <v>30.951425130469691</v>
      </c>
      <c r="S7" s="9">
        <f>VLOOKUP($A7,'RES installed'!$A$2:$C$7,3,FALSE)*'[1]Profiles, RES, Spring'!S$6</f>
        <v>29.611601766358891</v>
      </c>
      <c r="T7" s="9">
        <f>VLOOKUP($A7,'RES installed'!$A$2:$C$7,3,FALSE)*'[1]Profiles, RES, Spring'!T$6</f>
        <v>26.194299478121238</v>
      </c>
      <c r="U7" s="9">
        <f>VLOOKUP($A7,'RES installed'!$A$2:$C$7,3,FALSE)*'[1]Profiles, RES, Spring'!U$6</f>
        <v>25.200722601364912</v>
      </c>
      <c r="V7" s="9">
        <f>VLOOKUP($A7,'RES installed'!$A$2:$C$7,3,FALSE)*'[1]Profiles, RES, Spring'!V$6</f>
        <v>23.439381774387797</v>
      </c>
      <c r="W7" s="9">
        <f>VLOOKUP($A7,'RES installed'!$A$2:$C$7,3,FALSE)*'[1]Profiles, RES, Spring'!W$6</f>
        <v>22.235046166198313</v>
      </c>
      <c r="X7" s="9">
        <f>VLOOKUP($A7,'RES installed'!$A$2:$C$7,3,FALSE)*'[1]Profiles, RES, Spring'!X$6</f>
        <v>20.157567242071455</v>
      </c>
      <c r="Y7" s="9">
        <f>VLOOKUP($A7,'RES installed'!$A$2:$C$7,3,FALSE)*'[1]Profiles, RES, Spring'!Y$6</f>
        <v>17.974708952228021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1.4215314632297196</v>
      </c>
      <c r="H8" s="6">
        <f>VLOOKUP($A8,'RES installed'!$A$2:$C$7,3,FALSE)*'[1]Profiles, RES, Spring'!H$3</f>
        <v>12.462092494313874</v>
      </c>
      <c r="I8" s="6">
        <f>VLOOKUP($A8,'RES installed'!$A$2:$C$7,3,FALSE)*'[1]Profiles, RES, Spring'!I$3</f>
        <v>29.994313874147082</v>
      </c>
      <c r="J8" s="6">
        <f>VLOOKUP($A8,'RES installed'!$A$2:$C$7,3,FALSE)*'[1]Profiles, RES, Spring'!J$3</f>
        <v>45.252084912812741</v>
      </c>
      <c r="K8" s="6">
        <f>VLOOKUP($A8,'RES installed'!$A$2:$C$7,3,FALSE)*'[1]Profiles, RES, Spring'!K$3</f>
        <v>63.021228203184229</v>
      </c>
      <c r="L8" s="6">
        <f>VLOOKUP($A8,'RES installed'!$A$2:$C$7,3,FALSE)*'[1]Profiles, RES, Spring'!L$3</f>
        <v>74.583017437452611</v>
      </c>
      <c r="M8" s="6">
        <f>VLOOKUP($A8,'RES installed'!$A$2:$C$7,3,FALSE)*'[1]Profiles, RES, Spring'!M$3</f>
        <v>76.33623957543594</v>
      </c>
      <c r="N8" s="6">
        <f>VLOOKUP($A8,'RES installed'!$A$2:$C$7,3,FALSE)*'[1]Profiles, RES, Spring'!N$3</f>
        <v>78.13684609552692</v>
      </c>
      <c r="O8" s="6">
        <f>VLOOKUP($A8,'RES installed'!$A$2:$C$7,3,FALSE)*'[1]Profiles, RES, Spring'!O$3</f>
        <v>75.388551933282798</v>
      </c>
      <c r="P8" s="6">
        <f>VLOOKUP($A8,'RES installed'!$A$2:$C$7,3,FALSE)*'[1]Profiles, RES, Spring'!P$3</f>
        <v>80.12699014404852</v>
      </c>
      <c r="Q8" s="6">
        <f>VLOOKUP($A8,'RES installed'!$A$2:$C$7,3,FALSE)*'[1]Profiles, RES, Spring'!Q$3</f>
        <v>71.123957543593633</v>
      </c>
      <c r="R8" s="6">
        <f>VLOOKUP($A8,'RES installed'!$A$2:$C$7,3,FALSE)*'[1]Profiles, RES, Spring'!R$3</f>
        <v>59.656937073540561</v>
      </c>
      <c r="S8" s="6">
        <f>VLOOKUP($A8,'RES installed'!$A$2:$C$7,3,FALSE)*'[1]Profiles, RES, Spring'!S$3</f>
        <v>38.997346474601969</v>
      </c>
      <c r="T8" s="6">
        <f>VLOOKUP($A8,'RES installed'!$A$2:$C$7,3,FALSE)*'[1]Profiles, RES, Spring'!T$3</f>
        <v>14.215314632297195</v>
      </c>
      <c r="U8" s="6">
        <f>VLOOKUP($A8,'RES installed'!$A$2:$C$7,3,FALSE)*'[1]Profiles, RES, Spring'!U$3</f>
        <v>1.2793783169067474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0.90978013646702049</v>
      </c>
      <c r="H9" s="6">
        <f>VLOOKUP($A9,'RES installed'!$A$2:$C$7,3,FALSE)*'[1]Profiles, RES, Spring'!H$3</f>
        <v>7.9757391963608795</v>
      </c>
      <c r="I9" s="6">
        <f>VLOOKUP($A9,'RES installed'!$A$2:$C$7,3,FALSE)*'[1]Profiles, RES, Spring'!I$3</f>
        <v>19.196360879454133</v>
      </c>
      <c r="J9" s="6">
        <f>VLOOKUP($A9,'RES installed'!$A$2:$C$7,3,FALSE)*'[1]Profiles, RES, Spring'!J$3</f>
        <v>28.961334344200154</v>
      </c>
      <c r="K9" s="6">
        <f>VLOOKUP($A9,'RES installed'!$A$2:$C$7,3,FALSE)*'[1]Profiles, RES, Spring'!K$3</f>
        <v>40.333586050037908</v>
      </c>
      <c r="L9" s="6">
        <f>VLOOKUP($A9,'RES installed'!$A$2:$C$7,3,FALSE)*'[1]Profiles, RES, Spring'!L$3</f>
        <v>47.733131159969673</v>
      </c>
      <c r="M9" s="6">
        <f>VLOOKUP($A9,'RES installed'!$A$2:$C$7,3,FALSE)*'[1]Profiles, RES, Spring'!M$3</f>
        <v>48.855193328279</v>
      </c>
      <c r="N9" s="6">
        <f>VLOOKUP($A9,'RES installed'!$A$2:$C$7,3,FALSE)*'[1]Profiles, RES, Spring'!N$3</f>
        <v>50.007581501137224</v>
      </c>
      <c r="O9" s="6">
        <f>VLOOKUP($A9,'RES installed'!$A$2:$C$7,3,FALSE)*'[1]Profiles, RES, Spring'!O$3</f>
        <v>48.248673237300991</v>
      </c>
      <c r="P9" s="6">
        <f>VLOOKUP($A9,'RES installed'!$A$2:$C$7,3,FALSE)*'[1]Profiles, RES, Spring'!P$3</f>
        <v>51.28127369219105</v>
      </c>
      <c r="Q9" s="6">
        <f>VLOOKUP($A9,'RES installed'!$A$2:$C$7,3,FALSE)*'[1]Profiles, RES, Spring'!Q$3</f>
        <v>45.519332827899923</v>
      </c>
      <c r="R9" s="6">
        <f>VLOOKUP($A9,'RES installed'!$A$2:$C$7,3,FALSE)*'[1]Profiles, RES, Spring'!R$3</f>
        <v>38.180439727065959</v>
      </c>
      <c r="S9" s="6">
        <f>VLOOKUP($A9,'RES installed'!$A$2:$C$7,3,FALSE)*'[1]Profiles, RES, Spring'!S$3</f>
        <v>24.95830174374526</v>
      </c>
      <c r="T9" s="6">
        <f>VLOOKUP($A9,'RES installed'!$A$2:$C$7,3,FALSE)*'[1]Profiles, RES, Spring'!T$3</f>
        <v>9.0978013646702056</v>
      </c>
      <c r="U9" s="6">
        <f>VLOOKUP($A9,'RES installed'!$A$2:$C$7,3,FALSE)*'[1]Profiles, RES, Spring'!U$3</f>
        <v>0.81880212282031839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1.0235026535253982</v>
      </c>
      <c r="H10" s="6">
        <f>VLOOKUP($A10,'RES installed'!$A$2:$C$7,3,FALSE)*'[1]Profiles, RES, Spring'!H$3</f>
        <v>8.97270659590599</v>
      </c>
      <c r="I10" s="6">
        <f>VLOOKUP($A10,'RES installed'!$A$2:$C$7,3,FALSE)*'[1]Profiles, RES, Spring'!I$3</f>
        <v>21.595905989385898</v>
      </c>
      <c r="J10" s="6">
        <f>VLOOKUP($A10,'RES installed'!$A$2:$C$7,3,FALSE)*'[1]Profiles, RES, Spring'!J$3</f>
        <v>32.581501137225175</v>
      </c>
      <c r="K10" s="6">
        <f>VLOOKUP($A10,'RES installed'!$A$2:$C$7,3,FALSE)*'[1]Profiles, RES, Spring'!K$3</f>
        <v>45.375284306292649</v>
      </c>
      <c r="L10" s="6">
        <f>VLOOKUP($A10,'RES installed'!$A$2:$C$7,3,FALSE)*'[1]Profiles, RES, Spring'!L$3</f>
        <v>53.699772554965882</v>
      </c>
      <c r="M10" s="6">
        <f>VLOOKUP($A10,'RES installed'!$A$2:$C$7,3,FALSE)*'[1]Profiles, RES, Spring'!M$3</f>
        <v>54.962092494313872</v>
      </c>
      <c r="N10" s="6">
        <f>VLOOKUP($A10,'RES installed'!$A$2:$C$7,3,FALSE)*'[1]Profiles, RES, Spring'!N$3</f>
        <v>56.258529188779377</v>
      </c>
      <c r="O10" s="6">
        <f>VLOOKUP($A10,'RES installed'!$A$2:$C$7,3,FALSE)*'[1]Profiles, RES, Spring'!O$3</f>
        <v>54.279757391963614</v>
      </c>
      <c r="P10" s="6">
        <f>VLOOKUP($A10,'RES installed'!$A$2:$C$7,3,FALSE)*'[1]Profiles, RES, Spring'!P$3</f>
        <v>57.691432903714933</v>
      </c>
      <c r="Q10" s="6">
        <f>VLOOKUP($A10,'RES installed'!$A$2:$C$7,3,FALSE)*'[1]Profiles, RES, Spring'!Q$3</f>
        <v>51.209249431387413</v>
      </c>
      <c r="R10" s="6">
        <f>VLOOKUP($A10,'RES installed'!$A$2:$C$7,3,FALSE)*'[1]Profiles, RES, Spring'!R$3</f>
        <v>42.952994692949204</v>
      </c>
      <c r="S10" s="6">
        <f>VLOOKUP($A10,'RES installed'!$A$2:$C$7,3,FALSE)*'[1]Profiles, RES, Spring'!S$3</f>
        <v>28.078089461713418</v>
      </c>
      <c r="T10" s="6">
        <f>VLOOKUP($A10,'RES installed'!$A$2:$C$7,3,FALSE)*'[1]Profiles, RES, Spring'!T$3</f>
        <v>10.235026535253981</v>
      </c>
      <c r="U10" s="6">
        <f>VLOOKUP($A10,'RES installed'!$A$2:$C$7,3,FALSE)*'[1]Profiles, RES, Spring'!U$3</f>
        <v>0.92115238817285816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19.81533520674428</v>
      </c>
      <c r="C5" s="9">
        <f>VLOOKUP($A5,'RES installed'!$A$2:$C$7,3,FALSE)*'[1]Profiles, RES, Spring'!C$7</f>
        <v>18.787635487755921</v>
      </c>
      <c r="D5" s="9">
        <f>VLOOKUP($A5,'RES installed'!$A$2:$C$7,3,FALSE)*'[1]Profiles, RES, Spring'!D$7</f>
        <v>18.273785628261741</v>
      </c>
      <c r="E5" s="9">
        <f>VLOOKUP($A5,'RES installed'!$A$2:$C$7,3,FALSE)*'[1]Profiles, RES, Spring'!E$7</f>
        <v>19.237254114813325</v>
      </c>
      <c r="F5" s="9">
        <f>VLOOKUP($A5,'RES installed'!$A$2:$C$7,3,FALSE)*'[1]Profiles, RES, Spring'!F$7</f>
        <v>19.285427539140908</v>
      </c>
      <c r="G5" s="9">
        <f>VLOOKUP($A5,'RES installed'!$A$2:$C$7,3,FALSE)*'[1]Profiles, RES, Spring'!G$7</f>
        <v>17.149739060618224</v>
      </c>
      <c r="H5" s="9">
        <f>VLOOKUP($A5,'RES installed'!$A$2:$C$7,3,FALSE)*'[1]Profiles, RES, Spring'!H$7</f>
        <v>14.596547571256524</v>
      </c>
      <c r="I5" s="9">
        <f>VLOOKUP($A5,'RES installed'!$A$2:$C$7,3,FALSE)*'[1]Profiles, RES, Spring'!I$7</f>
        <v>10.99959855479727</v>
      </c>
      <c r="J5" s="9">
        <f>VLOOKUP($A5,'RES installed'!$A$2:$C$7,3,FALSE)*'[1]Profiles, RES, Spring'!J$7</f>
        <v>9.2653552790044156</v>
      </c>
      <c r="K5" s="9">
        <f>VLOOKUP($A5,'RES installed'!$A$2:$C$7,3,FALSE)*'[1]Profiles, RES, Spring'!K$7</f>
        <v>10.06824568446407</v>
      </c>
      <c r="L5" s="9">
        <f>VLOOKUP($A5,'RES installed'!$A$2:$C$7,3,FALSE)*'[1]Profiles, RES, Spring'!L$7</f>
        <v>11.898835808912082</v>
      </c>
      <c r="M5" s="9">
        <f>VLOOKUP($A5,'RES installed'!$A$2:$C$7,3,FALSE)*'[1]Profiles, RES, Spring'!M$7</f>
        <v>11.770373344038539</v>
      </c>
      <c r="N5" s="9">
        <f>VLOOKUP($A5,'RES installed'!$A$2:$C$7,3,FALSE)*'[1]Profiles, RES, Spring'!N$7</f>
        <v>13.520674427940587</v>
      </c>
      <c r="O5" s="9">
        <f>VLOOKUP($A5,'RES installed'!$A$2:$C$7,3,FALSE)*'[1]Profiles, RES, Spring'!O$7</f>
        <v>17.246085909273383</v>
      </c>
      <c r="P5" s="9">
        <f>VLOOKUP($A5,'RES installed'!$A$2:$C$7,3,FALSE)*'[1]Profiles, RES, Spring'!P$7</f>
        <v>20.136491368928141</v>
      </c>
      <c r="Q5" s="9">
        <f>VLOOKUP($A5,'RES installed'!$A$2:$C$7,3,FALSE)*'[1]Profiles, RES, Spring'!Q$7</f>
        <v>22.689682858289842</v>
      </c>
      <c r="R5" s="9">
        <f>VLOOKUP($A5,'RES installed'!$A$2:$C$7,3,FALSE)*'[1]Profiles, RES, Spring'!R$7</f>
        <v>25.499799277398637</v>
      </c>
      <c r="S5" s="9">
        <f>VLOOKUP($A5,'RES installed'!$A$2:$C$7,3,FALSE)*'[1]Profiles, RES, Spring'!S$7</f>
        <v>26.543556804496188</v>
      </c>
      <c r="T5" s="9">
        <f>VLOOKUP($A5,'RES installed'!$A$2:$C$7,3,FALSE)*'[1]Profiles, RES, Spring'!T$7</f>
        <v>26.55961461260538</v>
      </c>
      <c r="U5" s="9">
        <f>VLOOKUP($A5,'RES installed'!$A$2:$C$7,3,FALSE)*'[1]Profiles, RES, Spring'!U$7</f>
        <v>23.749498193496589</v>
      </c>
      <c r="V5" s="9">
        <f>VLOOKUP($A5,'RES installed'!$A$2:$C$7,3,FALSE)*'[1]Profiles, RES, Spring'!V$7</f>
        <v>22.67362505018065</v>
      </c>
      <c r="W5" s="9">
        <f>VLOOKUP($A5,'RES installed'!$A$2:$C$7,3,FALSE)*'[1]Profiles, RES, Spring'!W$7</f>
        <v>22.545162585307104</v>
      </c>
      <c r="X5" s="9">
        <f>VLOOKUP($A5,'RES installed'!$A$2:$C$7,3,FALSE)*'[1]Profiles, RES, Spring'!X$7</f>
        <v>22.914492171818548</v>
      </c>
      <c r="Y5" s="9">
        <f>VLOOKUP($A5,'RES installed'!$A$2:$C$7,3,FALSE)*'[1]Profiles, RES, Spring'!Y$7</f>
        <v>24.74508229626656</v>
      </c>
    </row>
    <row r="6" spans="1:25" x14ac:dyDescent="0.3">
      <c r="A6" s="8">
        <v>5</v>
      </c>
      <c r="B6" s="9">
        <f>VLOOKUP($A6,'RES installed'!$A$2:$C$7,3,FALSE)*'[1]Profiles, RES, Spring'!B$7</f>
        <v>29.723002810116419</v>
      </c>
      <c r="C6" s="9">
        <f>VLOOKUP($A6,'RES installed'!$A$2:$C$7,3,FALSE)*'[1]Profiles, RES, Spring'!C$7</f>
        <v>28.181453231633881</v>
      </c>
      <c r="D6" s="9">
        <f>VLOOKUP($A6,'RES installed'!$A$2:$C$7,3,FALSE)*'[1]Profiles, RES, Spring'!D$7</f>
        <v>27.410678442392616</v>
      </c>
      <c r="E6" s="9">
        <f>VLOOKUP($A6,'RES installed'!$A$2:$C$7,3,FALSE)*'[1]Profiles, RES, Spring'!E$7</f>
        <v>28.855881172219991</v>
      </c>
      <c r="F6" s="9">
        <f>VLOOKUP($A6,'RES installed'!$A$2:$C$7,3,FALSE)*'[1]Profiles, RES, Spring'!F$7</f>
        <v>28.928141308711361</v>
      </c>
      <c r="G6" s="9">
        <f>VLOOKUP($A6,'RES installed'!$A$2:$C$7,3,FALSE)*'[1]Profiles, RES, Spring'!G$7</f>
        <v>25.724608590927339</v>
      </c>
      <c r="H6" s="9">
        <f>VLOOKUP($A6,'RES installed'!$A$2:$C$7,3,FALSE)*'[1]Profiles, RES, Spring'!H$7</f>
        <v>21.894821356884787</v>
      </c>
      <c r="I6" s="9">
        <f>VLOOKUP($A6,'RES installed'!$A$2:$C$7,3,FALSE)*'[1]Profiles, RES, Spring'!I$7</f>
        <v>16.499397832195903</v>
      </c>
      <c r="J6" s="9">
        <f>VLOOKUP($A6,'RES installed'!$A$2:$C$7,3,FALSE)*'[1]Profiles, RES, Spring'!J$7</f>
        <v>13.898032918506624</v>
      </c>
      <c r="K6" s="9">
        <f>VLOOKUP($A6,'RES installed'!$A$2:$C$7,3,FALSE)*'[1]Profiles, RES, Spring'!K$7</f>
        <v>15.102368526696106</v>
      </c>
      <c r="L6" s="9">
        <f>VLOOKUP($A6,'RES installed'!$A$2:$C$7,3,FALSE)*'[1]Profiles, RES, Spring'!L$7</f>
        <v>17.848253713368123</v>
      </c>
      <c r="M6" s="9">
        <f>VLOOKUP($A6,'RES installed'!$A$2:$C$7,3,FALSE)*'[1]Profiles, RES, Spring'!M$7</f>
        <v>17.655560016057809</v>
      </c>
      <c r="N6" s="9">
        <f>VLOOKUP($A6,'RES installed'!$A$2:$C$7,3,FALSE)*'[1]Profiles, RES, Spring'!N$7</f>
        <v>20.281011641910879</v>
      </c>
      <c r="O6" s="9">
        <f>VLOOKUP($A6,'RES installed'!$A$2:$C$7,3,FALSE)*'[1]Profiles, RES, Spring'!O$7</f>
        <v>25.869128863910074</v>
      </c>
      <c r="P6" s="9">
        <f>VLOOKUP($A6,'RES installed'!$A$2:$C$7,3,FALSE)*'[1]Profiles, RES, Spring'!P$7</f>
        <v>30.204737053392211</v>
      </c>
      <c r="Q6" s="9">
        <f>VLOOKUP($A6,'RES installed'!$A$2:$C$7,3,FALSE)*'[1]Profiles, RES, Spring'!Q$7</f>
        <v>34.034524287434763</v>
      </c>
      <c r="R6" s="9">
        <f>VLOOKUP($A6,'RES installed'!$A$2:$C$7,3,FALSE)*'[1]Profiles, RES, Spring'!R$7</f>
        <v>38.249698916097955</v>
      </c>
      <c r="S6" s="9">
        <f>VLOOKUP($A6,'RES installed'!$A$2:$C$7,3,FALSE)*'[1]Profiles, RES, Spring'!S$7</f>
        <v>39.81533520674428</v>
      </c>
      <c r="T6" s="9">
        <f>VLOOKUP($A6,'RES installed'!$A$2:$C$7,3,FALSE)*'[1]Profiles, RES, Spring'!T$7</f>
        <v>39.839421918908066</v>
      </c>
      <c r="U6" s="9">
        <f>VLOOKUP($A6,'RES installed'!$A$2:$C$7,3,FALSE)*'[1]Profiles, RES, Spring'!U$7</f>
        <v>35.624247290244881</v>
      </c>
      <c r="V6" s="9">
        <f>VLOOKUP($A6,'RES installed'!$A$2:$C$7,3,FALSE)*'[1]Profiles, RES, Spring'!V$7</f>
        <v>34.010437575270977</v>
      </c>
      <c r="W6" s="9">
        <f>VLOOKUP($A6,'RES installed'!$A$2:$C$7,3,FALSE)*'[1]Profiles, RES, Spring'!W$7</f>
        <v>33.817743877960652</v>
      </c>
      <c r="X6" s="9">
        <f>VLOOKUP($A6,'RES installed'!$A$2:$C$7,3,FALSE)*'[1]Profiles, RES, Spring'!X$7</f>
        <v>34.37173825772782</v>
      </c>
      <c r="Y6" s="9">
        <f>VLOOKUP($A6,'RES installed'!$A$2:$C$7,3,FALSE)*'[1]Profiles, RES, Spring'!Y$7</f>
        <v>37.11762344439984</v>
      </c>
    </row>
    <row r="7" spans="1:25" x14ac:dyDescent="0.3">
      <c r="A7" s="8">
        <v>6</v>
      </c>
      <c r="B7" s="9">
        <f>VLOOKUP($A7,'RES installed'!$A$2:$C$7,3,FALSE)*'[1]Profiles, RES, Spring'!B$7</f>
        <v>18.576876756322761</v>
      </c>
      <c r="C7" s="9">
        <f>VLOOKUP($A7,'RES installed'!$A$2:$C$7,3,FALSE)*'[1]Profiles, RES, Spring'!C$7</f>
        <v>17.613408269771174</v>
      </c>
      <c r="D7" s="9">
        <f>VLOOKUP($A7,'RES installed'!$A$2:$C$7,3,FALSE)*'[1]Profiles, RES, Spring'!D$7</f>
        <v>17.131674026495382</v>
      </c>
      <c r="E7" s="9">
        <f>VLOOKUP($A7,'RES installed'!$A$2:$C$7,3,FALSE)*'[1]Profiles, RES, Spring'!E$7</f>
        <v>18.034925732637493</v>
      </c>
      <c r="F7" s="9">
        <f>VLOOKUP($A7,'RES installed'!$A$2:$C$7,3,FALSE)*'[1]Profiles, RES, Spring'!F$7</f>
        <v>18.0800883179446</v>
      </c>
      <c r="G7" s="9">
        <f>VLOOKUP($A7,'RES installed'!$A$2:$C$7,3,FALSE)*'[1]Profiles, RES, Spring'!G$7</f>
        <v>16.077880369329588</v>
      </c>
      <c r="H7" s="9">
        <f>VLOOKUP($A7,'RES installed'!$A$2:$C$7,3,FALSE)*'[1]Profiles, RES, Spring'!H$7</f>
        <v>13.68426334805299</v>
      </c>
      <c r="I7" s="9">
        <f>VLOOKUP($A7,'RES installed'!$A$2:$C$7,3,FALSE)*'[1]Profiles, RES, Spring'!I$7</f>
        <v>10.312123645122441</v>
      </c>
      <c r="J7" s="9">
        <f>VLOOKUP($A7,'RES installed'!$A$2:$C$7,3,FALSE)*'[1]Profiles, RES, Spring'!J$7</f>
        <v>8.6862705740666399</v>
      </c>
      <c r="K7" s="9">
        <f>VLOOKUP($A7,'RES installed'!$A$2:$C$7,3,FALSE)*'[1]Profiles, RES, Spring'!K$7</f>
        <v>9.4389803291850658</v>
      </c>
      <c r="L7" s="9">
        <f>VLOOKUP($A7,'RES installed'!$A$2:$C$7,3,FALSE)*'[1]Profiles, RES, Spring'!L$7</f>
        <v>11.155158570855077</v>
      </c>
      <c r="M7" s="9">
        <f>VLOOKUP($A7,'RES installed'!$A$2:$C$7,3,FALSE)*'[1]Profiles, RES, Spring'!M$7</f>
        <v>11.03472501003613</v>
      </c>
      <c r="N7" s="9">
        <f>VLOOKUP($A7,'RES installed'!$A$2:$C$7,3,FALSE)*'[1]Profiles, RES, Spring'!N$7</f>
        <v>12.6756322761943</v>
      </c>
      <c r="O7" s="9">
        <f>VLOOKUP($A7,'RES installed'!$A$2:$C$7,3,FALSE)*'[1]Profiles, RES, Spring'!O$7</f>
        <v>16.168205539943795</v>
      </c>
      <c r="P7" s="9">
        <f>VLOOKUP($A7,'RES installed'!$A$2:$C$7,3,FALSE)*'[1]Profiles, RES, Spring'!P$7</f>
        <v>18.877960658370132</v>
      </c>
      <c r="Q7" s="9">
        <f>VLOOKUP($A7,'RES installed'!$A$2:$C$7,3,FALSE)*'[1]Profiles, RES, Spring'!Q$7</f>
        <v>21.271577679646725</v>
      </c>
      <c r="R7" s="9">
        <f>VLOOKUP($A7,'RES installed'!$A$2:$C$7,3,FALSE)*'[1]Profiles, RES, Spring'!R$7</f>
        <v>23.90606182256122</v>
      </c>
      <c r="S7" s="9">
        <f>VLOOKUP($A7,'RES installed'!$A$2:$C$7,3,FALSE)*'[1]Profiles, RES, Spring'!S$7</f>
        <v>24.884584504215177</v>
      </c>
      <c r="T7" s="9">
        <f>VLOOKUP($A7,'RES installed'!$A$2:$C$7,3,FALSE)*'[1]Profiles, RES, Spring'!T$7</f>
        <v>24.899638699317542</v>
      </c>
      <c r="U7" s="9">
        <f>VLOOKUP($A7,'RES installed'!$A$2:$C$7,3,FALSE)*'[1]Profiles, RES, Spring'!U$7</f>
        <v>22.265154556403051</v>
      </c>
      <c r="V7" s="9">
        <f>VLOOKUP($A7,'RES installed'!$A$2:$C$7,3,FALSE)*'[1]Profiles, RES, Spring'!V$7</f>
        <v>21.25652348454436</v>
      </c>
      <c r="W7" s="9">
        <f>VLOOKUP($A7,'RES installed'!$A$2:$C$7,3,FALSE)*'[1]Profiles, RES, Spring'!W$7</f>
        <v>21.136089923725411</v>
      </c>
      <c r="X7" s="9">
        <f>VLOOKUP($A7,'RES installed'!$A$2:$C$7,3,FALSE)*'[1]Profiles, RES, Spring'!X$7</f>
        <v>21.482336411079888</v>
      </c>
      <c r="Y7" s="9">
        <f>VLOOKUP($A7,'RES installed'!$A$2:$C$7,3,FALSE)*'[1]Profiles, RES, Spring'!Y$7</f>
        <v>23.1985146527499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1.3741470811220622</v>
      </c>
      <c r="H8" s="6">
        <f>VLOOKUP($A8,'RES installed'!$A$2:$C$7,3,FALSE)*'[1]Profiles, RES, Spring'!H$4</f>
        <v>13.172858225928733</v>
      </c>
      <c r="I8" s="6">
        <f>VLOOKUP($A8,'RES installed'!$A$2:$C$7,3,FALSE)*'[1]Profiles, RES, Spring'!I$4</f>
        <v>36.580742987111449</v>
      </c>
      <c r="J8" s="6">
        <f>VLOOKUP($A8,'RES installed'!$A$2:$C$7,3,FALSE)*'[1]Profiles, RES, Spring'!J$4</f>
        <v>58.70924943138742</v>
      </c>
      <c r="K8" s="6">
        <f>VLOOKUP($A8,'RES installed'!$A$2:$C$7,3,FALSE)*'[1]Profiles, RES, Spring'!K$4</f>
        <v>69.60765731614859</v>
      </c>
      <c r="L8" s="6">
        <f>VLOOKUP($A8,'RES installed'!$A$2:$C$7,3,FALSE)*'[1]Profiles, RES, Spring'!L$4</f>
        <v>76.952236542835479</v>
      </c>
      <c r="M8" s="6">
        <f>VLOOKUP($A8,'RES installed'!$A$2:$C$7,3,FALSE)*'[1]Profiles, RES, Spring'!M$4</f>
        <v>85.576194086429112</v>
      </c>
      <c r="N8" s="6">
        <f>VLOOKUP($A8,'RES installed'!$A$2:$C$7,3,FALSE)*'[1]Profiles, RES, Spring'!N$4</f>
        <v>83.538665655799846</v>
      </c>
      <c r="O8" s="6">
        <f>VLOOKUP($A8,'RES installed'!$A$2:$C$7,3,FALSE)*'[1]Profiles, RES, Spring'!O$4</f>
        <v>83.112206216830941</v>
      </c>
      <c r="P8" s="6">
        <f>VLOOKUP($A8,'RES installed'!$A$2:$C$7,3,FALSE)*'[1]Profiles, RES, Spring'!P$4</f>
        <v>83.680818802122815</v>
      </c>
      <c r="Q8" s="6">
        <f>VLOOKUP($A8,'RES installed'!$A$2:$C$7,3,FALSE)*'[1]Profiles, RES, Spring'!Q$4</f>
        <v>77.331311599696733</v>
      </c>
      <c r="R8" s="6">
        <f>VLOOKUP($A8,'RES installed'!$A$2:$C$7,3,FALSE)*'[1]Profiles, RES, Spring'!R$4</f>
        <v>62.879075056861261</v>
      </c>
      <c r="S8" s="6">
        <f>VLOOKUP($A8,'RES installed'!$A$2:$C$7,3,FALSE)*'[1]Profiles, RES, Spring'!S$4</f>
        <v>41.224412433661868</v>
      </c>
      <c r="T8" s="6">
        <f>VLOOKUP($A8,'RES installed'!$A$2:$C$7,3,FALSE)*'[1]Profiles, RES, Spring'!T$4</f>
        <v>14.641774071266111</v>
      </c>
      <c r="U8" s="6">
        <f>VLOOKUP($A8,'RES installed'!$A$2:$C$7,3,FALSE)*'[1]Profiles, RES, Spring'!U$4</f>
        <v>1.5163002274450341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0.87945413191811983</v>
      </c>
      <c r="H9" s="6">
        <f>VLOOKUP($A9,'RES installed'!$A$2:$C$7,3,FALSE)*'[1]Profiles, RES, Spring'!H$4</f>
        <v>8.4306292645943888</v>
      </c>
      <c r="I9" s="6">
        <f>VLOOKUP($A9,'RES installed'!$A$2:$C$7,3,FALSE)*'[1]Profiles, RES, Spring'!I$4</f>
        <v>23.411675511751326</v>
      </c>
      <c r="J9" s="6">
        <f>VLOOKUP($A9,'RES installed'!$A$2:$C$7,3,FALSE)*'[1]Profiles, RES, Spring'!J$4</f>
        <v>37.57391963608795</v>
      </c>
      <c r="K9" s="6">
        <f>VLOOKUP($A9,'RES installed'!$A$2:$C$7,3,FALSE)*'[1]Profiles, RES, Spring'!K$4</f>
        <v>44.548900682335102</v>
      </c>
      <c r="L9" s="6">
        <f>VLOOKUP($A9,'RES installed'!$A$2:$C$7,3,FALSE)*'[1]Profiles, RES, Spring'!L$4</f>
        <v>49.249431387414702</v>
      </c>
      <c r="M9" s="6">
        <f>VLOOKUP($A9,'RES installed'!$A$2:$C$7,3,FALSE)*'[1]Profiles, RES, Spring'!M$4</f>
        <v>54.768764215314633</v>
      </c>
      <c r="N9" s="6">
        <f>VLOOKUP($A9,'RES installed'!$A$2:$C$7,3,FALSE)*'[1]Profiles, RES, Spring'!N$4</f>
        <v>53.464746019711896</v>
      </c>
      <c r="O9" s="6">
        <f>VLOOKUP($A9,'RES installed'!$A$2:$C$7,3,FALSE)*'[1]Profiles, RES, Spring'!O$4</f>
        <v>53.191811978771796</v>
      </c>
      <c r="P9" s="6">
        <f>VLOOKUP($A9,'RES installed'!$A$2:$C$7,3,FALSE)*'[1]Profiles, RES, Spring'!P$4</f>
        <v>53.555724033358601</v>
      </c>
      <c r="Q9" s="6">
        <f>VLOOKUP($A9,'RES installed'!$A$2:$C$7,3,FALSE)*'[1]Profiles, RES, Spring'!Q$4</f>
        <v>49.492039423805913</v>
      </c>
      <c r="R9" s="6">
        <f>VLOOKUP($A9,'RES installed'!$A$2:$C$7,3,FALSE)*'[1]Profiles, RES, Spring'!R$4</f>
        <v>40.242608036391204</v>
      </c>
      <c r="S9" s="6">
        <f>VLOOKUP($A9,'RES installed'!$A$2:$C$7,3,FALSE)*'[1]Profiles, RES, Spring'!S$4</f>
        <v>26.383623957543595</v>
      </c>
      <c r="T9" s="6">
        <f>VLOOKUP($A9,'RES installed'!$A$2:$C$7,3,FALSE)*'[1]Profiles, RES, Spring'!T$4</f>
        <v>9.3707354056103114</v>
      </c>
      <c r="U9" s="6">
        <f>VLOOKUP($A9,'RES installed'!$A$2:$C$7,3,FALSE)*'[1]Profiles, RES, Spring'!U$4</f>
        <v>0.97043214556482182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0.98938589840788482</v>
      </c>
      <c r="H10" s="6">
        <f>VLOOKUP($A10,'RES installed'!$A$2:$C$7,3,FALSE)*'[1]Profiles, RES, Spring'!H$4</f>
        <v>9.4844579226686871</v>
      </c>
      <c r="I10" s="6">
        <f>VLOOKUP($A10,'RES installed'!$A$2:$C$7,3,FALSE)*'[1]Profiles, RES, Spring'!I$4</f>
        <v>26.338134950720242</v>
      </c>
      <c r="J10" s="6">
        <f>VLOOKUP($A10,'RES installed'!$A$2:$C$7,3,FALSE)*'[1]Profiles, RES, Spring'!J$4</f>
        <v>42.270659590598939</v>
      </c>
      <c r="K10" s="6">
        <f>VLOOKUP($A10,'RES installed'!$A$2:$C$7,3,FALSE)*'[1]Profiles, RES, Spring'!K$4</f>
        <v>50.11751326762699</v>
      </c>
      <c r="L10" s="6">
        <f>VLOOKUP($A10,'RES installed'!$A$2:$C$7,3,FALSE)*'[1]Profiles, RES, Spring'!L$4</f>
        <v>55.405610310841546</v>
      </c>
      <c r="M10" s="6">
        <f>VLOOKUP($A10,'RES installed'!$A$2:$C$7,3,FALSE)*'[1]Profiles, RES, Spring'!M$4</f>
        <v>61.614859742228958</v>
      </c>
      <c r="N10" s="6">
        <f>VLOOKUP($A10,'RES installed'!$A$2:$C$7,3,FALSE)*'[1]Profiles, RES, Spring'!N$4</f>
        <v>60.147839272175887</v>
      </c>
      <c r="O10" s="6">
        <f>VLOOKUP($A10,'RES installed'!$A$2:$C$7,3,FALSE)*'[1]Profiles, RES, Spring'!O$4</f>
        <v>59.840788476118277</v>
      </c>
      <c r="P10" s="6">
        <f>VLOOKUP($A10,'RES installed'!$A$2:$C$7,3,FALSE)*'[1]Profiles, RES, Spring'!P$4</f>
        <v>60.250189537528428</v>
      </c>
      <c r="Q10" s="6">
        <f>VLOOKUP($A10,'RES installed'!$A$2:$C$7,3,FALSE)*'[1]Profiles, RES, Spring'!Q$4</f>
        <v>55.678544351781653</v>
      </c>
      <c r="R10" s="6">
        <f>VLOOKUP($A10,'RES installed'!$A$2:$C$7,3,FALSE)*'[1]Profiles, RES, Spring'!R$4</f>
        <v>45.272934040940108</v>
      </c>
      <c r="S10" s="6">
        <f>VLOOKUP($A10,'RES installed'!$A$2:$C$7,3,FALSE)*'[1]Profiles, RES, Spring'!S$4</f>
        <v>29.681576952236544</v>
      </c>
      <c r="T10" s="6">
        <f>VLOOKUP($A10,'RES installed'!$A$2:$C$7,3,FALSE)*'[1]Profiles, RES, Spring'!T$4</f>
        <v>10.542077331311599</v>
      </c>
      <c r="U10" s="6">
        <f>VLOOKUP($A10,'RES installed'!$A$2:$C$7,3,FALSE)*'[1]Profiles, RES, Spring'!U$4</f>
        <v>1.0917361637604246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F24" sqref="F2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42.67267231797819</v>
      </c>
      <c r="C3" s="2">
        <f>('[1]Pc, Summer, S1'!C3*Main!$B$5)+(_xlfn.IFNA(VLOOKUP($A3,'FL Ratio'!$A$3:$B$10,2,FALSE),0)*'FL Characterization'!C$2)</f>
        <v>38.85475022898639</v>
      </c>
      <c r="D3" s="2">
        <f>('[1]Pc, Summer, S1'!D3*Main!$B$5)+(_xlfn.IFNA(VLOOKUP($A3,'FL Ratio'!$A$3:$B$10,2,FALSE),0)*'FL Characterization'!D$2)</f>
        <v>36.952942173721389</v>
      </c>
      <c r="E3" s="2">
        <f>('[1]Pc, Summer, S1'!E3*Main!$B$5)+(_xlfn.IFNA(VLOOKUP($A3,'FL Ratio'!$A$3:$B$10,2,FALSE),0)*'FL Characterization'!E$2)</f>
        <v>35.637412190694405</v>
      </c>
      <c r="F3" s="2">
        <f>('[1]Pc, Summer, S1'!F3*Main!$B$5)+(_xlfn.IFNA(VLOOKUP($A3,'FL Ratio'!$A$3:$B$10,2,FALSE),0)*'FL Characterization'!F$2)</f>
        <v>35.637412190694405</v>
      </c>
      <c r="G3" s="2">
        <f>('[1]Pc, Summer, S1'!G3*Main!$B$5)+(_xlfn.IFNA(VLOOKUP($A3,'FL Ratio'!$A$3:$B$10,2,FALSE),0)*'FL Characterization'!G$2)</f>
        <v>38.211285068878752</v>
      </c>
      <c r="H3" s="2">
        <f>('[1]Pc, Summer, S1'!H3*Main!$B$5)+(_xlfn.IFNA(VLOOKUP($A3,'FL Ratio'!$A$3:$B$10,2,FALSE),0)*'FL Characterization'!H$2)</f>
        <v>47.877608241782831</v>
      </c>
      <c r="I3" s="2">
        <f>('[1]Pc, Summer, S1'!I3*Main!$B$5)+(_xlfn.IFNA(VLOOKUP($A3,'FL Ratio'!$A$3:$B$10,2,FALSE),0)*'FL Characterization'!I$2)</f>
        <v>58.916642334501979</v>
      </c>
      <c r="J3" s="2">
        <f>('[1]Pc, Summer, S1'!J3*Main!$B$5)+(_xlfn.IFNA(VLOOKUP($A3,'FL Ratio'!$A$3:$B$10,2,FALSE),0)*'FL Characterization'!J$2)</f>
        <v>61.490518296278232</v>
      </c>
      <c r="K3" s="2">
        <f>('[1]Pc, Summer, S1'!K3*Main!$B$5)+(_xlfn.IFNA(VLOOKUP($A3,'FL Ratio'!$A$3:$B$10,2,FALSE),0)*'FL Characterization'!K$2)</f>
        <v>60.203578781645305</v>
      </c>
      <c r="L3" s="2">
        <f>('[1]Pc, Summer, S1'!L3*Main!$B$5)+(_xlfn.IFNA(VLOOKUP($A3,'FL Ratio'!$A$3:$B$10,2,FALSE),0)*'FL Characterization'!L$2)</f>
        <v>60.174985245761654</v>
      </c>
      <c r="M3" s="2">
        <f>('[1]Pc, Summer, S1'!M3*Main!$B$5)+(_xlfn.IFNA(VLOOKUP($A3,'FL Ratio'!$A$3:$B$10,2,FALSE),0)*'FL Characterization'!M$2)</f>
        <v>64.121599750861719</v>
      </c>
      <c r="N3" s="2">
        <f>('[1]Pc, Summer, S1'!N3*Main!$B$5)+(_xlfn.IFNA(VLOOKUP($A3,'FL Ratio'!$A$3:$B$10,2,FALSE),0)*'FL Characterization'!N$2)</f>
        <v>64.121599750861719</v>
      </c>
      <c r="O3" s="2">
        <f>('[1]Pc, Summer, S1'!O3*Main!$B$5)+(_xlfn.IFNA(VLOOKUP($A3,'FL Ratio'!$A$3:$B$10,2,FALSE),0)*'FL Characterization'!O$2)</f>
        <v>64.121599750861719</v>
      </c>
      <c r="P3" s="2">
        <f>('[1]Pc, Summer, S1'!P3*Main!$B$5)+(_xlfn.IFNA(VLOOKUP($A3,'FL Ratio'!$A$3:$B$10,2,FALSE),0)*'FL Characterization'!P$2)</f>
        <v>60.904252498024192</v>
      </c>
      <c r="Q3" s="2">
        <f>('[1]Pc, Summer, S1'!Q3*Main!$B$5)+(_xlfn.IFNA(VLOOKUP($A3,'FL Ratio'!$A$3:$B$10,2,FALSE),0)*'FL Characterization'!Q$2)</f>
        <v>57.658305570298232</v>
      </c>
      <c r="R3" s="2">
        <f>('[1]Pc, Summer, S1'!R3*Main!$B$5)+(_xlfn.IFNA(VLOOKUP($A3,'FL Ratio'!$A$3:$B$10,2,FALSE),0)*'FL Characterization'!R$2)</f>
        <v>53.711697204202963</v>
      </c>
      <c r="S3" s="2">
        <f>('[1]Pc, Summer, S1'!S3*Main!$B$5)+(_xlfn.IFNA(VLOOKUP($A3,'FL Ratio'!$A$3:$B$10,2,FALSE),0)*'FL Characterization'!S$2)</f>
        <v>53.711697204202963</v>
      </c>
      <c r="T3" s="2">
        <f>('[1]Pc, Summer, S1'!T3*Main!$B$5)+(_xlfn.IFNA(VLOOKUP($A3,'FL Ratio'!$A$3:$B$10,2,FALSE),0)*'FL Characterization'!T$2)</f>
        <v>53.711697204202963</v>
      </c>
      <c r="U3" s="2">
        <f>('[1]Pc, Summer, S1'!U3*Main!$B$5)+(_xlfn.IFNA(VLOOKUP($A3,'FL Ratio'!$A$3:$B$10,2,FALSE),0)*'FL Characterization'!U$2)</f>
        <v>53.711697204202963</v>
      </c>
      <c r="V3" s="2">
        <f>('[1]Pc, Summer, S1'!V3*Main!$B$5)+(_xlfn.IFNA(VLOOKUP($A3,'FL Ratio'!$A$3:$B$10,2,FALSE),0)*'FL Characterization'!V$2)</f>
        <v>53.711697204202963</v>
      </c>
      <c r="W3" s="2">
        <f>('[1]Pc, Summer, S1'!W3*Main!$B$5)+(_xlfn.IFNA(VLOOKUP($A3,'FL Ratio'!$A$3:$B$10,2,FALSE),0)*'FL Characterization'!W$2)</f>
        <v>53.711697204202963</v>
      </c>
      <c r="X3" s="2">
        <f>('[1]Pc, Summer, S1'!X3*Main!$B$5)+(_xlfn.IFNA(VLOOKUP($A3,'FL Ratio'!$A$3:$B$10,2,FALSE),0)*'FL Characterization'!X$2)</f>
        <v>51.781301748033506</v>
      </c>
      <c r="Y3" s="2">
        <f>('[1]Pc, Summer, S1'!Y3*Main!$B$5)+(_xlfn.IFNA(VLOOKUP($A3,'FL Ratio'!$A$3:$B$10,2,FALSE),0)*'FL Characterization'!Y$2)</f>
        <v>48.449571129064687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57.537420743948701</v>
      </c>
      <c r="C4" s="2">
        <f>('[1]Pc, Summer, S1'!C4*Main!$B$5)+(_xlfn.IFNA(VLOOKUP($A4,'FL Ratio'!$A$3:$B$10,2,FALSE),0)*'FL Characterization'!C$2)</f>
        <v>50.650322368403202</v>
      </c>
      <c r="D4" s="2">
        <f>('[1]Pc, Summer, S1'!D4*Main!$B$5)+(_xlfn.IFNA(VLOOKUP($A4,'FL Ratio'!$A$3:$B$10,2,FALSE),0)*'FL Characterization'!D$2)</f>
        <v>47.895310710912476</v>
      </c>
      <c r="E4" s="2">
        <f>('[1]Pc, Summer, S1'!E4*Main!$B$5)+(_xlfn.IFNA(VLOOKUP($A4,'FL Ratio'!$A$3:$B$10,2,FALSE),0)*'FL Characterization'!E$2)</f>
        <v>46.376255688925603</v>
      </c>
      <c r="F4" s="2">
        <f>('[1]Pc, Summer, S1'!F4*Main!$B$5)+(_xlfn.IFNA(VLOOKUP($A4,'FL Ratio'!$A$3:$B$10,2,FALSE),0)*'FL Characterization'!F$2)</f>
        <v>49.16317209203136</v>
      </c>
      <c r="G4" s="2">
        <f>('[1]Pc, Summer, S1'!G4*Main!$B$5)+(_xlfn.IFNA(VLOOKUP($A4,'FL Ratio'!$A$3:$B$10,2,FALSE),0)*'FL Characterization'!G$2)</f>
        <v>45.030306462989273</v>
      </c>
      <c r="H4" s="2">
        <f>('[1]Pc, Summer, S1'!H4*Main!$B$5)+(_xlfn.IFNA(VLOOKUP($A4,'FL Ratio'!$A$3:$B$10,2,FALSE),0)*'FL Characterization'!H$2)</f>
        <v>52.812333255279022</v>
      </c>
      <c r="I4" s="2">
        <f>('[1]Pc, Summer, S1'!I4*Main!$B$5)+(_xlfn.IFNA(VLOOKUP($A4,'FL Ratio'!$A$3:$B$10,2,FALSE),0)*'FL Characterization'!I$2)</f>
        <v>61.298371254069153</v>
      </c>
      <c r="J4" s="2">
        <f>('[1]Pc, Summer, S1'!J4*Main!$B$5)+(_xlfn.IFNA(VLOOKUP($A4,'FL Ratio'!$A$3:$B$10,2,FALSE),0)*'FL Characterization'!J$2)</f>
        <v>69.056753092965948</v>
      </c>
      <c r="K4" s="2">
        <f>('[1]Pc, Summer, S1'!K4*Main!$B$5)+(_xlfn.IFNA(VLOOKUP($A4,'FL Ratio'!$A$3:$B$10,2,FALSE),0)*'FL Characterization'!K$2)</f>
        <v>74.116277813888018</v>
      </c>
      <c r="L4" s="2">
        <f>('[1]Pc, Summer, S1'!L4*Main!$B$5)+(_xlfn.IFNA(VLOOKUP($A4,'FL Ratio'!$A$3:$B$10,2,FALSE),0)*'FL Characterization'!L$2)</f>
        <v>76.488159008954725</v>
      </c>
      <c r="M4" s="2">
        <f>('[1]Pc, Summer, S1'!M4*Main!$B$5)+(_xlfn.IFNA(VLOOKUP($A4,'FL Ratio'!$A$3:$B$10,2,FALSE),0)*'FL Characterization'!M$2)</f>
        <v>77.698696318335379</v>
      </c>
      <c r="N4" s="2">
        <f>('[1]Pc, Summer, S1'!N4*Main!$B$5)+(_xlfn.IFNA(VLOOKUP($A4,'FL Ratio'!$A$3:$B$10,2,FALSE),0)*'FL Characterization'!N$2)</f>
        <v>79.224322932294314</v>
      </c>
      <c r="O4" s="2">
        <f>('[1]Pc, Summer, S1'!O4*Main!$B$5)+(_xlfn.IFNA(VLOOKUP($A4,'FL Ratio'!$A$3:$B$10,2,FALSE),0)*'FL Characterization'!O$2)</f>
        <v>79.87319918133511</v>
      </c>
      <c r="P4" s="2">
        <f>('[1]Pc, Summer, S1'!P4*Main!$B$5)+(_xlfn.IFNA(VLOOKUP($A4,'FL Ratio'!$A$3:$B$10,2,FALSE),0)*'FL Characterization'!P$2)</f>
        <v>80.151999688577135</v>
      </c>
      <c r="Q4" s="2">
        <f>('[1]Pc, Summer, S1'!Q4*Main!$B$5)+(_xlfn.IFNA(VLOOKUP($A4,'FL Ratio'!$A$3:$B$10,2,FALSE),0)*'FL Characterization'!Q$2)</f>
        <v>77.13033312147752</v>
      </c>
      <c r="R4" s="2">
        <f>('[1]Pc, Summer, S1'!R4*Main!$B$5)+(_xlfn.IFNA(VLOOKUP($A4,'FL Ratio'!$A$3:$B$10,2,FALSE),0)*'FL Characterization'!R$2)</f>
        <v>77.168938425887816</v>
      </c>
      <c r="S4" s="2">
        <f>('[1]Pc, Summer, S1'!S4*Main!$B$5)+(_xlfn.IFNA(VLOOKUP($A4,'FL Ratio'!$A$3:$B$10,2,FALSE),0)*'FL Characterization'!S$2)</f>
        <v>74.160328700286556</v>
      </c>
      <c r="T4" s="2">
        <f>('[1]Pc, Summer, S1'!T4*Main!$B$5)+(_xlfn.IFNA(VLOOKUP($A4,'FL Ratio'!$A$3:$B$10,2,FALSE),0)*'FL Characterization'!T$2)</f>
        <v>74.550528125301383</v>
      </c>
      <c r="U4" s="2">
        <f>('[1]Pc, Summer, S1'!U4*Main!$B$5)+(_xlfn.IFNA(VLOOKUP($A4,'FL Ratio'!$A$3:$B$10,2,FALSE),0)*'FL Characterization'!U$2)</f>
        <v>75.163461593396406</v>
      </c>
      <c r="V4" s="2">
        <f>('[1]Pc, Summer, S1'!V4*Main!$B$5)+(_xlfn.IFNA(VLOOKUP($A4,'FL Ratio'!$A$3:$B$10,2,FALSE),0)*'FL Characterization'!V$2)</f>
        <v>74.545602301336629</v>
      </c>
      <c r="W4" s="2">
        <f>('[1]Pc, Summer, S1'!W4*Main!$B$5)+(_xlfn.IFNA(VLOOKUP($A4,'FL Ratio'!$A$3:$B$10,2,FALSE),0)*'FL Characterization'!W$2)</f>
        <v>77.217915483571844</v>
      </c>
      <c r="X4" s="2">
        <f>('[1]Pc, Summer, S1'!X4*Main!$B$5)+(_xlfn.IFNA(VLOOKUP($A4,'FL Ratio'!$A$3:$B$10,2,FALSE),0)*'FL Characterization'!X$2)</f>
        <v>75.442988344507427</v>
      </c>
      <c r="Y4" s="2">
        <f>('[1]Pc, Summer, S1'!Y4*Main!$B$5)+(_xlfn.IFNA(VLOOKUP($A4,'FL Ratio'!$A$3:$B$10,2,FALSE),0)*'FL Characterization'!Y$2)</f>
        <v>67.425843350223587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42.67267231797819</v>
      </c>
      <c r="C3" s="2">
        <f>('[1]Pc, Summer, S1'!C3*Main!$B$5)+(_xlfn.IFNA(VLOOKUP($A3,'FL Ratio'!$A$3:$B$10,2,FALSE),0)*'FL Characterization'!C$2)</f>
        <v>38.85475022898639</v>
      </c>
      <c r="D3" s="2">
        <f>('[1]Pc, Summer, S1'!D3*Main!$B$5)+(_xlfn.IFNA(VLOOKUP($A3,'FL Ratio'!$A$3:$B$10,2,FALSE),0)*'FL Characterization'!D$2)</f>
        <v>36.952942173721389</v>
      </c>
      <c r="E3" s="2">
        <f>('[1]Pc, Summer, S1'!E3*Main!$B$5)+(_xlfn.IFNA(VLOOKUP($A3,'FL Ratio'!$A$3:$B$10,2,FALSE),0)*'FL Characterization'!E$2)</f>
        <v>35.637412190694405</v>
      </c>
      <c r="F3" s="2">
        <f>('[1]Pc, Summer, S1'!F3*Main!$B$5)+(_xlfn.IFNA(VLOOKUP($A3,'FL Ratio'!$A$3:$B$10,2,FALSE),0)*'FL Characterization'!F$2)</f>
        <v>35.637412190694405</v>
      </c>
      <c r="G3" s="2">
        <f>('[1]Pc, Summer, S1'!G3*Main!$B$5)+(_xlfn.IFNA(VLOOKUP($A3,'FL Ratio'!$A$3:$B$10,2,FALSE),0)*'FL Characterization'!G$2)</f>
        <v>38.211285068878752</v>
      </c>
      <c r="H3" s="2">
        <f>('[1]Pc, Summer, S1'!H3*Main!$B$5)+(_xlfn.IFNA(VLOOKUP($A3,'FL Ratio'!$A$3:$B$10,2,FALSE),0)*'FL Characterization'!H$2)</f>
        <v>47.877608241782831</v>
      </c>
      <c r="I3" s="2">
        <f>('[1]Pc, Summer, S1'!I3*Main!$B$5)+(_xlfn.IFNA(VLOOKUP($A3,'FL Ratio'!$A$3:$B$10,2,FALSE),0)*'FL Characterization'!I$2)</f>
        <v>58.916642334501979</v>
      </c>
      <c r="J3" s="2">
        <f>('[1]Pc, Summer, S1'!J3*Main!$B$5)+(_xlfn.IFNA(VLOOKUP($A3,'FL Ratio'!$A$3:$B$10,2,FALSE),0)*'FL Characterization'!J$2)</f>
        <v>61.490518296278232</v>
      </c>
      <c r="K3" s="2">
        <f>('[1]Pc, Summer, S1'!K3*Main!$B$5)+(_xlfn.IFNA(VLOOKUP($A3,'FL Ratio'!$A$3:$B$10,2,FALSE),0)*'FL Characterization'!K$2)</f>
        <v>60.203578781645305</v>
      </c>
      <c r="L3" s="2">
        <f>('[1]Pc, Summer, S1'!L3*Main!$B$5)+(_xlfn.IFNA(VLOOKUP($A3,'FL Ratio'!$A$3:$B$10,2,FALSE),0)*'FL Characterization'!L$2)</f>
        <v>60.174985245761654</v>
      </c>
      <c r="M3" s="2">
        <f>('[1]Pc, Summer, S1'!M3*Main!$B$5)+(_xlfn.IFNA(VLOOKUP($A3,'FL Ratio'!$A$3:$B$10,2,FALSE),0)*'FL Characterization'!M$2)</f>
        <v>64.121599750861719</v>
      </c>
      <c r="N3" s="2">
        <f>('[1]Pc, Summer, S1'!N3*Main!$B$5)+(_xlfn.IFNA(VLOOKUP($A3,'FL Ratio'!$A$3:$B$10,2,FALSE),0)*'FL Characterization'!N$2)</f>
        <v>64.121599750861719</v>
      </c>
      <c r="O3" s="2">
        <f>('[1]Pc, Summer, S1'!O3*Main!$B$5)+(_xlfn.IFNA(VLOOKUP($A3,'FL Ratio'!$A$3:$B$10,2,FALSE),0)*'FL Characterization'!O$2)</f>
        <v>64.121599750861719</v>
      </c>
      <c r="P3" s="2">
        <f>('[1]Pc, Summer, S1'!P3*Main!$B$5)+(_xlfn.IFNA(VLOOKUP($A3,'FL Ratio'!$A$3:$B$10,2,FALSE),0)*'FL Characterization'!P$2)</f>
        <v>60.904252498024192</v>
      </c>
      <c r="Q3" s="2">
        <f>('[1]Pc, Summer, S1'!Q3*Main!$B$5)+(_xlfn.IFNA(VLOOKUP($A3,'FL Ratio'!$A$3:$B$10,2,FALSE),0)*'FL Characterization'!Q$2)</f>
        <v>57.658305570298232</v>
      </c>
      <c r="R3" s="2">
        <f>('[1]Pc, Summer, S1'!R3*Main!$B$5)+(_xlfn.IFNA(VLOOKUP($A3,'FL Ratio'!$A$3:$B$10,2,FALSE),0)*'FL Characterization'!R$2)</f>
        <v>53.711697204202963</v>
      </c>
      <c r="S3" s="2">
        <f>('[1]Pc, Summer, S1'!S3*Main!$B$5)+(_xlfn.IFNA(VLOOKUP($A3,'FL Ratio'!$A$3:$B$10,2,FALSE),0)*'FL Characterization'!S$2)</f>
        <v>53.711697204202963</v>
      </c>
      <c r="T3" s="2">
        <f>('[1]Pc, Summer, S1'!T3*Main!$B$5)+(_xlfn.IFNA(VLOOKUP($A3,'FL Ratio'!$A$3:$B$10,2,FALSE),0)*'FL Characterization'!T$2)</f>
        <v>53.711697204202963</v>
      </c>
      <c r="U3" s="2">
        <f>('[1]Pc, Summer, S1'!U3*Main!$B$5)+(_xlfn.IFNA(VLOOKUP($A3,'FL Ratio'!$A$3:$B$10,2,FALSE),0)*'FL Characterization'!U$2)</f>
        <v>53.711697204202963</v>
      </c>
      <c r="V3" s="2">
        <f>('[1]Pc, Summer, S1'!V3*Main!$B$5)+(_xlfn.IFNA(VLOOKUP($A3,'FL Ratio'!$A$3:$B$10,2,FALSE),0)*'FL Characterization'!V$2)</f>
        <v>53.711697204202963</v>
      </c>
      <c r="W3" s="2">
        <f>('[1]Pc, Summer, S1'!W3*Main!$B$5)+(_xlfn.IFNA(VLOOKUP($A3,'FL Ratio'!$A$3:$B$10,2,FALSE),0)*'FL Characterization'!W$2)</f>
        <v>53.711697204202963</v>
      </c>
      <c r="X3" s="2">
        <f>('[1]Pc, Summer, S1'!X3*Main!$B$5)+(_xlfn.IFNA(VLOOKUP($A3,'FL Ratio'!$A$3:$B$10,2,FALSE),0)*'FL Characterization'!X$2)</f>
        <v>51.781301748033506</v>
      </c>
      <c r="Y3" s="2">
        <f>('[1]Pc, Summer, S1'!Y3*Main!$B$5)+(_xlfn.IFNA(VLOOKUP($A3,'FL Ratio'!$A$3:$B$10,2,FALSE),0)*'FL Characterization'!Y$2)</f>
        <v>48.449571129064687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57.537420743948701</v>
      </c>
      <c r="C4" s="2">
        <f>('[1]Pc, Summer, S1'!C4*Main!$B$5)+(_xlfn.IFNA(VLOOKUP($A4,'FL Ratio'!$A$3:$B$10,2,FALSE),0)*'FL Characterization'!C$2)</f>
        <v>50.650322368403202</v>
      </c>
      <c r="D4" s="2">
        <f>('[1]Pc, Summer, S1'!D4*Main!$B$5)+(_xlfn.IFNA(VLOOKUP($A4,'FL Ratio'!$A$3:$B$10,2,FALSE),0)*'FL Characterization'!D$2)</f>
        <v>47.895310710912476</v>
      </c>
      <c r="E4" s="2">
        <f>('[1]Pc, Summer, S1'!E4*Main!$B$5)+(_xlfn.IFNA(VLOOKUP($A4,'FL Ratio'!$A$3:$B$10,2,FALSE),0)*'FL Characterization'!E$2)</f>
        <v>46.376255688925603</v>
      </c>
      <c r="F4" s="2">
        <f>('[1]Pc, Summer, S1'!F4*Main!$B$5)+(_xlfn.IFNA(VLOOKUP($A4,'FL Ratio'!$A$3:$B$10,2,FALSE),0)*'FL Characterization'!F$2)</f>
        <v>49.16317209203136</v>
      </c>
      <c r="G4" s="2">
        <f>('[1]Pc, Summer, S1'!G4*Main!$B$5)+(_xlfn.IFNA(VLOOKUP($A4,'FL Ratio'!$A$3:$B$10,2,FALSE),0)*'FL Characterization'!G$2)</f>
        <v>45.030306462989273</v>
      </c>
      <c r="H4" s="2">
        <f>('[1]Pc, Summer, S1'!H4*Main!$B$5)+(_xlfn.IFNA(VLOOKUP($A4,'FL Ratio'!$A$3:$B$10,2,FALSE),0)*'FL Characterization'!H$2)</f>
        <v>52.812333255279022</v>
      </c>
      <c r="I4" s="2">
        <f>('[1]Pc, Summer, S1'!I4*Main!$B$5)+(_xlfn.IFNA(VLOOKUP($A4,'FL Ratio'!$A$3:$B$10,2,FALSE),0)*'FL Characterization'!I$2)</f>
        <v>61.298371254069153</v>
      </c>
      <c r="J4" s="2">
        <f>('[1]Pc, Summer, S1'!J4*Main!$B$5)+(_xlfn.IFNA(VLOOKUP($A4,'FL Ratio'!$A$3:$B$10,2,FALSE),0)*'FL Characterization'!J$2)</f>
        <v>69.056753092965948</v>
      </c>
      <c r="K4" s="2">
        <f>('[1]Pc, Summer, S1'!K4*Main!$B$5)+(_xlfn.IFNA(VLOOKUP($A4,'FL Ratio'!$A$3:$B$10,2,FALSE),0)*'FL Characterization'!K$2)</f>
        <v>74.116277813888018</v>
      </c>
      <c r="L4" s="2">
        <f>('[1]Pc, Summer, S1'!L4*Main!$B$5)+(_xlfn.IFNA(VLOOKUP($A4,'FL Ratio'!$A$3:$B$10,2,FALSE),0)*'FL Characterization'!L$2)</f>
        <v>76.488159008954725</v>
      </c>
      <c r="M4" s="2">
        <f>('[1]Pc, Summer, S1'!M4*Main!$B$5)+(_xlfn.IFNA(VLOOKUP($A4,'FL Ratio'!$A$3:$B$10,2,FALSE),0)*'FL Characterization'!M$2)</f>
        <v>77.698696318335379</v>
      </c>
      <c r="N4" s="2">
        <f>('[1]Pc, Summer, S1'!N4*Main!$B$5)+(_xlfn.IFNA(VLOOKUP($A4,'FL Ratio'!$A$3:$B$10,2,FALSE),0)*'FL Characterization'!N$2)</f>
        <v>79.224322932294314</v>
      </c>
      <c r="O4" s="2">
        <f>('[1]Pc, Summer, S1'!O4*Main!$B$5)+(_xlfn.IFNA(VLOOKUP($A4,'FL Ratio'!$A$3:$B$10,2,FALSE),0)*'FL Characterization'!O$2)</f>
        <v>79.87319918133511</v>
      </c>
      <c r="P4" s="2">
        <f>('[1]Pc, Summer, S1'!P4*Main!$B$5)+(_xlfn.IFNA(VLOOKUP($A4,'FL Ratio'!$A$3:$B$10,2,FALSE),0)*'FL Characterization'!P$2)</f>
        <v>80.151999688577135</v>
      </c>
      <c r="Q4" s="2">
        <f>('[1]Pc, Summer, S1'!Q4*Main!$B$5)+(_xlfn.IFNA(VLOOKUP($A4,'FL Ratio'!$A$3:$B$10,2,FALSE),0)*'FL Characterization'!Q$2)</f>
        <v>77.13033312147752</v>
      </c>
      <c r="R4" s="2">
        <f>('[1]Pc, Summer, S1'!R4*Main!$B$5)+(_xlfn.IFNA(VLOOKUP($A4,'FL Ratio'!$A$3:$B$10,2,FALSE),0)*'FL Characterization'!R$2)</f>
        <v>77.168938425887816</v>
      </c>
      <c r="S4" s="2">
        <f>('[1]Pc, Summer, S1'!S4*Main!$B$5)+(_xlfn.IFNA(VLOOKUP($A4,'FL Ratio'!$A$3:$B$10,2,FALSE),0)*'FL Characterization'!S$2)</f>
        <v>74.160328700286556</v>
      </c>
      <c r="T4" s="2">
        <f>('[1]Pc, Summer, S1'!T4*Main!$B$5)+(_xlfn.IFNA(VLOOKUP($A4,'FL Ratio'!$A$3:$B$10,2,FALSE),0)*'FL Characterization'!T$2)</f>
        <v>74.550528125301383</v>
      </c>
      <c r="U4" s="2">
        <f>('[1]Pc, Summer, S1'!U4*Main!$B$5)+(_xlfn.IFNA(VLOOKUP($A4,'FL Ratio'!$A$3:$B$10,2,FALSE),0)*'FL Characterization'!U$2)</f>
        <v>75.163461593396406</v>
      </c>
      <c r="V4" s="2">
        <f>('[1]Pc, Summer, S1'!V4*Main!$B$5)+(_xlfn.IFNA(VLOOKUP($A4,'FL Ratio'!$A$3:$B$10,2,FALSE),0)*'FL Characterization'!V$2)</f>
        <v>74.545602301336629</v>
      </c>
      <c r="W4" s="2">
        <f>('[1]Pc, Summer, S1'!W4*Main!$B$5)+(_xlfn.IFNA(VLOOKUP($A4,'FL Ratio'!$A$3:$B$10,2,FALSE),0)*'FL Characterization'!W$2)</f>
        <v>77.217915483571844</v>
      </c>
      <c r="X4" s="2">
        <f>('[1]Pc, Summer, S1'!X4*Main!$B$5)+(_xlfn.IFNA(VLOOKUP($A4,'FL Ratio'!$A$3:$B$10,2,FALSE),0)*'FL Characterization'!X$2)</f>
        <v>75.442988344507427</v>
      </c>
      <c r="Y4" s="2">
        <f>('[1]Pc, Summer, S1'!Y4*Main!$B$5)+(_xlfn.IFNA(VLOOKUP($A4,'FL Ratio'!$A$3:$B$10,2,FALSE),0)*'FL Characterization'!Y$2)</f>
        <v>67.425843350223587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42.67267231797819</v>
      </c>
      <c r="C3" s="2">
        <f>('[1]Pc, Summer, S1'!C3*Main!$B$5)+(_xlfn.IFNA(VLOOKUP($A3,'FL Ratio'!$A$3:$B$10,2,FALSE),0)*'FL Characterization'!C$2)</f>
        <v>38.85475022898639</v>
      </c>
      <c r="D3" s="2">
        <f>('[1]Pc, Summer, S1'!D3*Main!$B$5)+(_xlfn.IFNA(VLOOKUP($A3,'FL Ratio'!$A$3:$B$10,2,FALSE),0)*'FL Characterization'!D$2)</f>
        <v>36.952942173721389</v>
      </c>
      <c r="E3" s="2">
        <f>('[1]Pc, Summer, S1'!E3*Main!$B$5)+(_xlfn.IFNA(VLOOKUP($A3,'FL Ratio'!$A$3:$B$10,2,FALSE),0)*'FL Characterization'!E$2)</f>
        <v>35.637412190694405</v>
      </c>
      <c r="F3" s="2">
        <f>('[1]Pc, Summer, S1'!F3*Main!$B$5)+(_xlfn.IFNA(VLOOKUP($A3,'FL Ratio'!$A$3:$B$10,2,FALSE),0)*'FL Characterization'!F$2)</f>
        <v>35.637412190694405</v>
      </c>
      <c r="G3" s="2">
        <f>('[1]Pc, Summer, S1'!G3*Main!$B$5)+(_xlfn.IFNA(VLOOKUP($A3,'FL Ratio'!$A$3:$B$10,2,FALSE),0)*'FL Characterization'!G$2)</f>
        <v>38.211285068878752</v>
      </c>
      <c r="H3" s="2">
        <f>('[1]Pc, Summer, S1'!H3*Main!$B$5)+(_xlfn.IFNA(VLOOKUP($A3,'FL Ratio'!$A$3:$B$10,2,FALSE),0)*'FL Characterization'!H$2)</f>
        <v>47.877608241782831</v>
      </c>
      <c r="I3" s="2">
        <f>('[1]Pc, Summer, S1'!I3*Main!$B$5)+(_xlfn.IFNA(VLOOKUP($A3,'FL Ratio'!$A$3:$B$10,2,FALSE),0)*'FL Characterization'!I$2)</f>
        <v>58.916642334501979</v>
      </c>
      <c r="J3" s="2">
        <f>('[1]Pc, Summer, S1'!J3*Main!$B$5)+(_xlfn.IFNA(VLOOKUP($A3,'FL Ratio'!$A$3:$B$10,2,FALSE),0)*'FL Characterization'!J$2)</f>
        <v>61.490518296278232</v>
      </c>
      <c r="K3" s="2">
        <f>('[1]Pc, Summer, S1'!K3*Main!$B$5)+(_xlfn.IFNA(VLOOKUP($A3,'FL Ratio'!$A$3:$B$10,2,FALSE),0)*'FL Characterization'!K$2)</f>
        <v>60.203578781645305</v>
      </c>
      <c r="L3" s="2">
        <f>('[1]Pc, Summer, S1'!L3*Main!$B$5)+(_xlfn.IFNA(VLOOKUP($A3,'FL Ratio'!$A$3:$B$10,2,FALSE),0)*'FL Characterization'!L$2)</f>
        <v>60.174985245761654</v>
      </c>
      <c r="M3" s="2">
        <f>('[1]Pc, Summer, S1'!M3*Main!$B$5)+(_xlfn.IFNA(VLOOKUP($A3,'FL Ratio'!$A$3:$B$10,2,FALSE),0)*'FL Characterization'!M$2)</f>
        <v>64.121599750861719</v>
      </c>
      <c r="N3" s="2">
        <f>('[1]Pc, Summer, S1'!N3*Main!$B$5)+(_xlfn.IFNA(VLOOKUP($A3,'FL Ratio'!$A$3:$B$10,2,FALSE),0)*'FL Characterization'!N$2)</f>
        <v>64.121599750861719</v>
      </c>
      <c r="O3" s="2">
        <f>('[1]Pc, Summer, S1'!O3*Main!$B$5)+(_xlfn.IFNA(VLOOKUP($A3,'FL Ratio'!$A$3:$B$10,2,FALSE),0)*'FL Characterization'!O$2)</f>
        <v>64.121599750861719</v>
      </c>
      <c r="P3" s="2">
        <f>('[1]Pc, Summer, S1'!P3*Main!$B$5)+(_xlfn.IFNA(VLOOKUP($A3,'FL Ratio'!$A$3:$B$10,2,FALSE),0)*'FL Characterization'!P$2)</f>
        <v>60.904252498024192</v>
      </c>
      <c r="Q3" s="2">
        <f>('[1]Pc, Summer, S1'!Q3*Main!$B$5)+(_xlfn.IFNA(VLOOKUP($A3,'FL Ratio'!$A$3:$B$10,2,FALSE),0)*'FL Characterization'!Q$2)</f>
        <v>57.658305570298232</v>
      </c>
      <c r="R3" s="2">
        <f>('[1]Pc, Summer, S1'!R3*Main!$B$5)+(_xlfn.IFNA(VLOOKUP($A3,'FL Ratio'!$A$3:$B$10,2,FALSE),0)*'FL Characterization'!R$2)</f>
        <v>53.711697204202963</v>
      </c>
      <c r="S3" s="2">
        <f>('[1]Pc, Summer, S1'!S3*Main!$B$5)+(_xlfn.IFNA(VLOOKUP($A3,'FL Ratio'!$A$3:$B$10,2,FALSE),0)*'FL Characterization'!S$2)</f>
        <v>53.711697204202963</v>
      </c>
      <c r="T3" s="2">
        <f>('[1]Pc, Summer, S1'!T3*Main!$B$5)+(_xlfn.IFNA(VLOOKUP($A3,'FL Ratio'!$A$3:$B$10,2,FALSE),0)*'FL Characterization'!T$2)</f>
        <v>53.711697204202963</v>
      </c>
      <c r="U3" s="2">
        <f>('[1]Pc, Summer, S1'!U3*Main!$B$5)+(_xlfn.IFNA(VLOOKUP($A3,'FL Ratio'!$A$3:$B$10,2,FALSE),0)*'FL Characterization'!U$2)</f>
        <v>53.711697204202963</v>
      </c>
      <c r="V3" s="2">
        <f>('[1]Pc, Summer, S1'!V3*Main!$B$5)+(_xlfn.IFNA(VLOOKUP($A3,'FL Ratio'!$A$3:$B$10,2,FALSE),0)*'FL Characterization'!V$2)</f>
        <v>53.711697204202963</v>
      </c>
      <c r="W3" s="2">
        <f>('[1]Pc, Summer, S1'!W3*Main!$B$5)+(_xlfn.IFNA(VLOOKUP($A3,'FL Ratio'!$A$3:$B$10,2,FALSE),0)*'FL Characterization'!W$2)</f>
        <v>53.711697204202963</v>
      </c>
      <c r="X3" s="2">
        <f>('[1]Pc, Summer, S1'!X3*Main!$B$5)+(_xlfn.IFNA(VLOOKUP($A3,'FL Ratio'!$A$3:$B$10,2,FALSE),0)*'FL Characterization'!X$2)</f>
        <v>51.781301748033506</v>
      </c>
      <c r="Y3" s="2">
        <f>('[1]Pc, Summer, S1'!Y3*Main!$B$5)+(_xlfn.IFNA(VLOOKUP($A3,'FL Ratio'!$A$3:$B$10,2,FALSE),0)*'FL Characterization'!Y$2)</f>
        <v>48.449571129064687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57.537420743948701</v>
      </c>
      <c r="C4" s="2">
        <f>('[1]Pc, Summer, S1'!C4*Main!$B$5)+(_xlfn.IFNA(VLOOKUP($A4,'FL Ratio'!$A$3:$B$10,2,FALSE),0)*'FL Characterization'!C$2)</f>
        <v>50.650322368403202</v>
      </c>
      <c r="D4" s="2">
        <f>('[1]Pc, Summer, S1'!D4*Main!$B$5)+(_xlfn.IFNA(VLOOKUP($A4,'FL Ratio'!$A$3:$B$10,2,FALSE),0)*'FL Characterization'!D$2)</f>
        <v>47.895310710912476</v>
      </c>
      <c r="E4" s="2">
        <f>('[1]Pc, Summer, S1'!E4*Main!$B$5)+(_xlfn.IFNA(VLOOKUP($A4,'FL Ratio'!$A$3:$B$10,2,FALSE),0)*'FL Characterization'!E$2)</f>
        <v>46.376255688925603</v>
      </c>
      <c r="F4" s="2">
        <f>('[1]Pc, Summer, S1'!F4*Main!$B$5)+(_xlfn.IFNA(VLOOKUP($A4,'FL Ratio'!$A$3:$B$10,2,FALSE),0)*'FL Characterization'!F$2)</f>
        <v>49.16317209203136</v>
      </c>
      <c r="G4" s="2">
        <f>('[1]Pc, Summer, S1'!G4*Main!$B$5)+(_xlfn.IFNA(VLOOKUP($A4,'FL Ratio'!$A$3:$B$10,2,FALSE),0)*'FL Characterization'!G$2)</f>
        <v>45.030306462989273</v>
      </c>
      <c r="H4" s="2">
        <f>('[1]Pc, Summer, S1'!H4*Main!$B$5)+(_xlfn.IFNA(VLOOKUP($A4,'FL Ratio'!$A$3:$B$10,2,FALSE),0)*'FL Characterization'!H$2)</f>
        <v>52.812333255279022</v>
      </c>
      <c r="I4" s="2">
        <f>('[1]Pc, Summer, S1'!I4*Main!$B$5)+(_xlfn.IFNA(VLOOKUP($A4,'FL Ratio'!$A$3:$B$10,2,FALSE),0)*'FL Characterization'!I$2)</f>
        <v>61.298371254069153</v>
      </c>
      <c r="J4" s="2">
        <f>('[1]Pc, Summer, S1'!J4*Main!$B$5)+(_xlfn.IFNA(VLOOKUP($A4,'FL Ratio'!$A$3:$B$10,2,FALSE),0)*'FL Characterization'!J$2)</f>
        <v>69.056753092965948</v>
      </c>
      <c r="K4" s="2">
        <f>('[1]Pc, Summer, S1'!K4*Main!$B$5)+(_xlfn.IFNA(VLOOKUP($A4,'FL Ratio'!$A$3:$B$10,2,FALSE),0)*'FL Characterization'!K$2)</f>
        <v>74.116277813888018</v>
      </c>
      <c r="L4" s="2">
        <f>('[1]Pc, Summer, S1'!L4*Main!$B$5)+(_xlfn.IFNA(VLOOKUP($A4,'FL Ratio'!$A$3:$B$10,2,FALSE),0)*'FL Characterization'!L$2)</f>
        <v>76.488159008954725</v>
      </c>
      <c r="M4" s="2">
        <f>('[1]Pc, Summer, S1'!M4*Main!$B$5)+(_xlfn.IFNA(VLOOKUP($A4,'FL Ratio'!$A$3:$B$10,2,FALSE),0)*'FL Characterization'!M$2)</f>
        <v>77.698696318335379</v>
      </c>
      <c r="N4" s="2">
        <f>('[1]Pc, Summer, S1'!N4*Main!$B$5)+(_xlfn.IFNA(VLOOKUP($A4,'FL Ratio'!$A$3:$B$10,2,FALSE),0)*'FL Characterization'!N$2)</f>
        <v>79.224322932294314</v>
      </c>
      <c r="O4" s="2">
        <f>('[1]Pc, Summer, S1'!O4*Main!$B$5)+(_xlfn.IFNA(VLOOKUP($A4,'FL Ratio'!$A$3:$B$10,2,FALSE),0)*'FL Characterization'!O$2)</f>
        <v>79.87319918133511</v>
      </c>
      <c r="P4" s="2">
        <f>('[1]Pc, Summer, S1'!P4*Main!$B$5)+(_xlfn.IFNA(VLOOKUP($A4,'FL Ratio'!$A$3:$B$10,2,FALSE),0)*'FL Characterization'!P$2)</f>
        <v>80.151999688577135</v>
      </c>
      <c r="Q4" s="2">
        <f>('[1]Pc, Summer, S1'!Q4*Main!$B$5)+(_xlfn.IFNA(VLOOKUP($A4,'FL Ratio'!$A$3:$B$10,2,FALSE),0)*'FL Characterization'!Q$2)</f>
        <v>77.13033312147752</v>
      </c>
      <c r="R4" s="2">
        <f>('[1]Pc, Summer, S1'!R4*Main!$B$5)+(_xlfn.IFNA(VLOOKUP($A4,'FL Ratio'!$A$3:$B$10,2,FALSE),0)*'FL Characterization'!R$2)</f>
        <v>77.168938425887816</v>
      </c>
      <c r="S4" s="2">
        <f>('[1]Pc, Summer, S1'!S4*Main!$B$5)+(_xlfn.IFNA(VLOOKUP($A4,'FL Ratio'!$A$3:$B$10,2,FALSE),0)*'FL Characterization'!S$2)</f>
        <v>74.160328700286556</v>
      </c>
      <c r="T4" s="2">
        <f>('[1]Pc, Summer, S1'!T4*Main!$B$5)+(_xlfn.IFNA(VLOOKUP($A4,'FL Ratio'!$A$3:$B$10,2,FALSE),0)*'FL Characterization'!T$2)</f>
        <v>74.550528125301383</v>
      </c>
      <c r="U4" s="2">
        <f>('[1]Pc, Summer, S1'!U4*Main!$B$5)+(_xlfn.IFNA(VLOOKUP($A4,'FL Ratio'!$A$3:$B$10,2,FALSE),0)*'FL Characterization'!U$2)</f>
        <v>75.163461593396406</v>
      </c>
      <c r="V4" s="2">
        <f>('[1]Pc, Summer, S1'!V4*Main!$B$5)+(_xlfn.IFNA(VLOOKUP($A4,'FL Ratio'!$A$3:$B$10,2,FALSE),0)*'FL Characterization'!V$2)</f>
        <v>74.545602301336629</v>
      </c>
      <c r="W4" s="2">
        <f>('[1]Pc, Summer, S1'!W4*Main!$B$5)+(_xlfn.IFNA(VLOOKUP($A4,'FL Ratio'!$A$3:$B$10,2,FALSE),0)*'FL Characterization'!W$2)</f>
        <v>77.217915483571844</v>
      </c>
      <c r="X4" s="2">
        <f>('[1]Pc, Summer, S1'!X4*Main!$B$5)+(_xlfn.IFNA(VLOOKUP($A4,'FL Ratio'!$A$3:$B$10,2,FALSE),0)*'FL Characterization'!X$2)</f>
        <v>75.442988344507427</v>
      </c>
      <c r="Y4" s="2">
        <f>('[1]Pc, Summer, S1'!Y4*Main!$B$5)+(_xlfn.IFNA(VLOOKUP($A4,'FL Ratio'!$A$3:$B$10,2,FALSE),0)*'FL Characterization'!Y$2)</f>
        <v>67.425843350223587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43.769495020792107</v>
      </c>
      <c r="C2" s="2">
        <f ca="1">('[1]Pc, Summer, S2'!C2*Main!$B$5)+(_xlfn.IFNA(VLOOKUP($A2,'FL Ratio'!$A$3:$B$10,2,FALSE),0)*'FL Characterization'!C$2)</f>
        <v>39.76654494306954</v>
      </c>
      <c r="D2" s="2">
        <f ca="1">('[1]Pc, Summer, S2'!D2*Main!$B$5)+(_xlfn.IFNA(VLOOKUP($A2,'FL Ratio'!$A$3:$B$10,2,FALSE),0)*'FL Characterization'!D$2)</f>
        <v>39.071926756001822</v>
      </c>
      <c r="E2" s="2">
        <f ca="1">('[1]Pc, Summer, S2'!E2*Main!$B$5)+(_xlfn.IFNA(VLOOKUP($A2,'FL Ratio'!$A$3:$B$10,2,FALSE),0)*'FL Characterization'!E$2)</f>
        <v>38.972115016606637</v>
      </c>
      <c r="F2" s="2">
        <f ca="1">('[1]Pc, Summer, S2'!F2*Main!$B$5)+(_xlfn.IFNA(VLOOKUP($A2,'FL Ratio'!$A$3:$B$10,2,FALSE),0)*'FL Characterization'!F$2)</f>
        <v>38.975187582455952</v>
      </c>
      <c r="G2" s="2">
        <f ca="1">('[1]Pc, Summer, S2'!G2*Main!$B$5)+(_xlfn.IFNA(VLOOKUP($A2,'FL Ratio'!$A$3:$B$10,2,FALSE),0)*'FL Characterization'!G$2)</f>
        <v>38.630502411779723</v>
      </c>
      <c r="H2" s="2">
        <f ca="1">('[1]Pc, Summer, S2'!H2*Main!$B$5)+(_xlfn.IFNA(VLOOKUP($A2,'FL Ratio'!$A$3:$B$10,2,FALSE),0)*'FL Characterization'!H$2)</f>
        <v>41.705075777831198</v>
      </c>
      <c r="I2" s="2">
        <f ca="1">('[1]Pc, Summer, S2'!I2*Main!$B$5)+(_xlfn.IFNA(VLOOKUP($A2,'FL Ratio'!$A$3:$B$10,2,FALSE),0)*'FL Characterization'!I$2)</f>
        <v>49.514113828718365</v>
      </c>
      <c r="J2" s="2">
        <f ca="1">('[1]Pc, Summer, S2'!J2*Main!$B$5)+(_xlfn.IFNA(VLOOKUP($A2,'FL Ratio'!$A$3:$B$10,2,FALSE),0)*'FL Characterization'!J$2)</f>
        <v>56.432010584988262</v>
      </c>
      <c r="K2" s="2">
        <f ca="1">('[1]Pc, Summer, S2'!K2*Main!$B$5)+(_xlfn.IFNA(VLOOKUP($A2,'FL Ratio'!$A$3:$B$10,2,FALSE),0)*'FL Characterization'!K$2)</f>
        <v>58.166056185917476</v>
      </c>
      <c r="L2" s="2">
        <f ca="1">('[1]Pc, Summer, S2'!L2*Main!$B$5)+(_xlfn.IFNA(VLOOKUP($A2,'FL Ratio'!$A$3:$B$10,2,FALSE),0)*'FL Characterization'!L$2)</f>
        <v>57.577431214881592</v>
      </c>
      <c r="M2" s="2">
        <f ca="1">('[1]Pc, Summer, S2'!M2*Main!$B$5)+(_xlfn.IFNA(VLOOKUP($A2,'FL Ratio'!$A$3:$B$10,2,FALSE),0)*'FL Characterization'!M$2)</f>
        <v>59.205640810419617</v>
      </c>
      <c r="N2" s="2">
        <f ca="1">('[1]Pc, Summer, S2'!N2*Main!$B$5)+(_xlfn.IFNA(VLOOKUP($A2,'FL Ratio'!$A$3:$B$10,2,FALSE),0)*'FL Characterization'!N$2)</f>
        <v>60.017817366806568</v>
      </c>
      <c r="O2" s="2">
        <f ca="1">('[1]Pc, Summer, S2'!O2*Main!$B$5)+(_xlfn.IFNA(VLOOKUP($A2,'FL Ratio'!$A$3:$B$10,2,FALSE),0)*'FL Characterization'!O$2)</f>
        <v>58.907600184849535</v>
      </c>
      <c r="P2" s="2">
        <f ca="1">('[1]Pc, Summer, S2'!P2*Main!$B$5)+(_xlfn.IFNA(VLOOKUP($A2,'FL Ratio'!$A$3:$B$10,2,FALSE),0)*'FL Characterization'!P$2)</f>
        <v>56.605773412420255</v>
      </c>
      <c r="Q2" s="2">
        <f ca="1">('[1]Pc, Summer, S2'!Q2*Main!$B$5)+(_xlfn.IFNA(VLOOKUP($A2,'FL Ratio'!$A$3:$B$10,2,FALSE),0)*'FL Characterization'!Q$2)</f>
        <v>54.327488689520855</v>
      </c>
      <c r="R2" s="2">
        <f ca="1">('[1]Pc, Summer, S2'!R2*Main!$B$5)+(_xlfn.IFNA(VLOOKUP($A2,'FL Ratio'!$A$3:$B$10,2,FALSE),0)*'FL Characterization'!R$2)</f>
        <v>55.275325317589541</v>
      </c>
      <c r="S2" s="2">
        <f ca="1">('[1]Pc, Summer, S2'!S2*Main!$B$5)+(_xlfn.IFNA(VLOOKUP($A2,'FL Ratio'!$A$3:$B$10,2,FALSE),0)*'FL Characterization'!S$2)</f>
        <v>55.821431723830756</v>
      </c>
      <c r="T2" s="2">
        <f ca="1">('[1]Pc, Summer, S2'!T2*Main!$B$5)+(_xlfn.IFNA(VLOOKUP($A2,'FL Ratio'!$A$3:$B$10,2,FALSE),0)*'FL Characterization'!T$2)</f>
        <v>56.058372964901729</v>
      </c>
      <c r="U2" s="2">
        <f ca="1">('[1]Pc, Summer, S2'!U2*Main!$B$5)+(_xlfn.IFNA(VLOOKUP($A2,'FL Ratio'!$A$3:$B$10,2,FALSE),0)*'FL Characterization'!U$2)</f>
        <v>55.130349172559526</v>
      </c>
      <c r="V2" s="2">
        <f ca="1">('[1]Pc, Summer, S2'!V2*Main!$B$5)+(_xlfn.IFNA(VLOOKUP($A2,'FL Ratio'!$A$3:$B$10,2,FALSE),0)*'FL Characterization'!V$2)</f>
        <v>55.295991586513175</v>
      </c>
      <c r="W2" s="2">
        <f ca="1">('[1]Pc, Summer, S2'!W2*Main!$B$5)+(_xlfn.IFNA(VLOOKUP($A2,'FL Ratio'!$A$3:$B$10,2,FALSE),0)*'FL Characterization'!W$2)</f>
        <v>57.586239300155782</v>
      </c>
      <c r="X2" s="2">
        <f ca="1">('[1]Pc, Summer, S2'!X2*Main!$B$5)+(_xlfn.IFNA(VLOOKUP($A2,'FL Ratio'!$A$3:$B$10,2,FALSE),0)*'FL Characterization'!X$2)</f>
        <v>53.677345105610812</v>
      </c>
      <c r="Y2" s="2">
        <f ca="1">('[1]Pc, Summer, S2'!Y2*Main!$B$5)+(_xlfn.IFNA(VLOOKUP($A2,'FL Ratio'!$A$3:$B$10,2,FALSE),0)*'FL Characterization'!Y$2)</f>
        <v>49.205722958754599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44.379579210697308</v>
      </c>
      <c r="C3" s="2">
        <f ca="1">('[1]Pc, Summer, S2'!C3*Main!$B$5)+(_xlfn.IFNA(VLOOKUP($A3,'FL Ratio'!$A$3:$B$10,2,FALSE),0)*'FL Characterization'!C$2)</f>
        <v>40.408940238145846</v>
      </c>
      <c r="D3" s="2">
        <f ca="1">('[1]Pc, Summer, S2'!D3*Main!$B$5)+(_xlfn.IFNA(VLOOKUP($A3,'FL Ratio'!$A$3:$B$10,2,FALSE),0)*'FL Characterization'!D$2)</f>
        <v>38.431059860670246</v>
      </c>
      <c r="E3" s="2">
        <f ca="1">('[1]Pc, Summer, S2'!E3*Main!$B$5)+(_xlfn.IFNA(VLOOKUP($A3,'FL Ratio'!$A$3:$B$10,2,FALSE),0)*'FL Characterization'!E$2)</f>
        <v>37.062908678322181</v>
      </c>
      <c r="F3" s="2">
        <f ca="1">('[1]Pc, Summer, S2'!F3*Main!$B$5)+(_xlfn.IFNA(VLOOKUP($A3,'FL Ratio'!$A$3:$B$10,2,FALSE),0)*'FL Characterization'!F$2)</f>
        <v>37.062908678322181</v>
      </c>
      <c r="G3" s="2">
        <f ca="1">('[1]Pc, Summer, S2'!G3*Main!$B$5)+(_xlfn.IFNA(VLOOKUP($A3,'FL Ratio'!$A$3:$B$10,2,FALSE),0)*'FL Characterization'!G$2)</f>
        <v>39.739736471633904</v>
      </c>
      <c r="H3" s="2">
        <f ca="1">('[1]Pc, Summer, S2'!H3*Main!$B$5)+(_xlfn.IFNA(VLOOKUP($A3,'FL Ratio'!$A$3:$B$10,2,FALSE),0)*'FL Characterization'!H$2)</f>
        <v>49.792712571454139</v>
      </c>
      <c r="I3" s="2">
        <f ca="1">('[1]Pc, Summer, S2'!I3*Main!$B$5)+(_xlfn.IFNA(VLOOKUP($A3,'FL Ratio'!$A$3:$B$10,2,FALSE),0)*'FL Characterization'!I$2)</f>
        <v>61.273308027882052</v>
      </c>
      <c r="J3" s="2">
        <f ca="1">('[1]Pc, Summer, S2'!J3*Main!$B$5)+(_xlfn.IFNA(VLOOKUP($A3,'FL Ratio'!$A$3:$B$10,2,FALSE),0)*'FL Characterization'!J$2)</f>
        <v>63.950139028129364</v>
      </c>
      <c r="K3" s="2">
        <f ca="1">('[1]Pc, Summer, S2'!K3*Main!$B$5)+(_xlfn.IFNA(VLOOKUP($A3,'FL Ratio'!$A$3:$B$10,2,FALSE),0)*'FL Characterization'!K$2)</f>
        <v>62.611721932911124</v>
      </c>
      <c r="L3" s="2">
        <f ca="1">('[1]Pc, Summer, S2'!L3*Main!$B$5)+(_xlfn.IFNA(VLOOKUP($A3,'FL Ratio'!$A$3:$B$10,2,FALSE),0)*'FL Characterization'!L$2)</f>
        <v>62.581984655592123</v>
      </c>
      <c r="M3" s="2">
        <f ca="1">('[1]Pc, Summer, S2'!M3*Main!$B$5)+(_xlfn.IFNA(VLOOKUP($A3,'FL Ratio'!$A$3:$B$10,2,FALSE),0)*'FL Characterization'!M$2)</f>
        <v>66.686463740896187</v>
      </c>
      <c r="N3" s="2">
        <f ca="1">('[1]Pc, Summer, S2'!N3*Main!$B$5)+(_xlfn.IFNA(VLOOKUP($A3,'FL Ratio'!$A$3:$B$10,2,FALSE),0)*'FL Characterization'!N$2)</f>
        <v>66.686463740896187</v>
      </c>
      <c r="O3" s="2">
        <f ca="1">('[1]Pc, Summer, S2'!O3*Main!$B$5)+(_xlfn.IFNA(VLOOKUP($A3,'FL Ratio'!$A$3:$B$10,2,FALSE),0)*'FL Characterization'!O$2)</f>
        <v>66.686463740896187</v>
      </c>
      <c r="P3" s="2">
        <f ca="1">('[1]Pc, Summer, S2'!P3*Main!$B$5)+(_xlfn.IFNA(VLOOKUP($A3,'FL Ratio'!$A$3:$B$10,2,FALSE),0)*'FL Characterization'!P$2)</f>
        <v>63.340422597945164</v>
      </c>
      <c r="Q3" s="2">
        <f ca="1">('[1]Pc, Summer, S2'!Q3*Main!$B$5)+(_xlfn.IFNA(VLOOKUP($A3,'FL Ratio'!$A$3:$B$10,2,FALSE),0)*'FL Characterization'!Q$2)</f>
        <v>59.964637793110164</v>
      </c>
      <c r="R3" s="2">
        <f ca="1">('[1]Pc, Summer, S2'!R3*Main!$B$5)+(_xlfn.IFNA(VLOOKUP($A3,'FL Ratio'!$A$3:$B$10,2,FALSE),0)*'FL Characterization'!R$2)</f>
        <v>55.860165092371084</v>
      </c>
      <c r="S3" s="2">
        <f ca="1">('[1]Pc, Summer, S2'!S3*Main!$B$5)+(_xlfn.IFNA(VLOOKUP($A3,'FL Ratio'!$A$3:$B$10,2,FALSE),0)*'FL Characterization'!S$2)</f>
        <v>55.860165092371084</v>
      </c>
      <c r="T3" s="2">
        <f ca="1">('[1]Pc, Summer, S2'!T3*Main!$B$5)+(_xlfn.IFNA(VLOOKUP($A3,'FL Ratio'!$A$3:$B$10,2,FALSE),0)*'FL Characterization'!T$2)</f>
        <v>55.860165092371084</v>
      </c>
      <c r="U3" s="2">
        <f ca="1">('[1]Pc, Summer, S2'!U3*Main!$B$5)+(_xlfn.IFNA(VLOOKUP($A3,'FL Ratio'!$A$3:$B$10,2,FALSE),0)*'FL Characterization'!U$2)</f>
        <v>55.860165092371084</v>
      </c>
      <c r="V3" s="2">
        <f ca="1">('[1]Pc, Summer, S2'!V3*Main!$B$5)+(_xlfn.IFNA(VLOOKUP($A3,'FL Ratio'!$A$3:$B$10,2,FALSE),0)*'FL Characterization'!V$2)</f>
        <v>55.860165092371084</v>
      </c>
      <c r="W3" s="2">
        <f ca="1">('[1]Pc, Summer, S2'!W3*Main!$B$5)+(_xlfn.IFNA(VLOOKUP($A3,'FL Ratio'!$A$3:$B$10,2,FALSE),0)*'FL Characterization'!W$2)</f>
        <v>55.860165092371084</v>
      </c>
      <c r="X3" s="2">
        <f ca="1">('[1]Pc, Summer, S2'!X3*Main!$B$5)+(_xlfn.IFNA(VLOOKUP($A3,'FL Ratio'!$A$3:$B$10,2,FALSE),0)*'FL Characterization'!X$2)</f>
        <v>53.852553817954849</v>
      </c>
      <c r="Y3" s="2">
        <f ca="1">('[1]Pc, Summer, S2'!Y3*Main!$B$5)+(_xlfn.IFNA(VLOOKUP($A3,'FL Ratio'!$A$3:$B$10,2,FALSE),0)*'FL Characterization'!Y$2)</f>
        <v>50.387553974227266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59.838917573706652</v>
      </c>
      <c r="C4" s="2">
        <f ca="1">('[1]Pc, Summer, S2'!C4*Main!$B$5)+(_xlfn.IFNA(VLOOKUP($A4,'FL Ratio'!$A$3:$B$10,2,FALSE),0)*'FL Characterization'!C$2)</f>
        <v>52.676335263139336</v>
      </c>
      <c r="D4" s="2">
        <f ca="1">('[1]Pc, Summer, S2'!D4*Main!$B$5)+(_xlfn.IFNA(VLOOKUP($A4,'FL Ratio'!$A$3:$B$10,2,FALSE),0)*'FL Characterization'!D$2)</f>
        <v>49.811123139348972</v>
      </c>
      <c r="E4" s="2">
        <f ca="1">('[1]Pc, Summer, S2'!E4*Main!$B$5)+(_xlfn.IFNA(VLOOKUP($A4,'FL Ratio'!$A$3:$B$10,2,FALSE),0)*'FL Characterization'!E$2)</f>
        <v>48.231305916482633</v>
      </c>
      <c r="F4" s="2">
        <f ca="1">('[1]Pc, Summer, S2'!F4*Main!$B$5)+(_xlfn.IFNA(VLOOKUP($A4,'FL Ratio'!$A$3:$B$10,2,FALSE),0)*'FL Characterization'!F$2)</f>
        <v>51.129698975712628</v>
      </c>
      <c r="G4" s="2">
        <f ca="1">('[1]Pc, Summer, S2'!G4*Main!$B$5)+(_xlfn.IFNA(VLOOKUP($A4,'FL Ratio'!$A$3:$B$10,2,FALSE),0)*'FL Characterization'!G$2)</f>
        <v>46.831518721508843</v>
      </c>
      <c r="H4" s="2">
        <f ca="1">('[1]Pc, Summer, S2'!H4*Main!$B$5)+(_xlfn.IFNA(VLOOKUP($A4,'FL Ratio'!$A$3:$B$10,2,FALSE),0)*'FL Characterization'!H$2)</f>
        <v>54.92482658549018</v>
      </c>
      <c r="I4" s="2">
        <f ca="1">('[1]Pc, Summer, S2'!I4*Main!$B$5)+(_xlfn.IFNA(VLOOKUP($A4,'FL Ratio'!$A$3:$B$10,2,FALSE),0)*'FL Characterization'!I$2)</f>
        <v>63.750306104231932</v>
      </c>
      <c r="J4" s="2">
        <f ca="1">('[1]Pc, Summer, S2'!J4*Main!$B$5)+(_xlfn.IFNA(VLOOKUP($A4,'FL Ratio'!$A$3:$B$10,2,FALSE),0)*'FL Characterization'!J$2)</f>
        <v>71.819023216684585</v>
      </c>
      <c r="K4" s="2">
        <f ca="1">('[1]Pc, Summer, S2'!K4*Main!$B$5)+(_xlfn.IFNA(VLOOKUP($A4,'FL Ratio'!$A$3:$B$10,2,FALSE),0)*'FL Characterization'!K$2)</f>
        <v>77.080928926443562</v>
      </c>
      <c r="L4" s="2">
        <f ca="1">('[1]Pc, Summer, S2'!L4*Main!$B$5)+(_xlfn.IFNA(VLOOKUP($A4,'FL Ratio'!$A$3:$B$10,2,FALSE),0)*'FL Characterization'!L$2)</f>
        <v>79.547685369312916</v>
      </c>
      <c r="M4" s="2">
        <f ca="1">('[1]Pc, Summer, S2'!M4*Main!$B$5)+(_xlfn.IFNA(VLOOKUP($A4,'FL Ratio'!$A$3:$B$10,2,FALSE),0)*'FL Characterization'!M$2)</f>
        <v>80.806644171068797</v>
      </c>
      <c r="N4" s="2">
        <f ca="1">('[1]Pc, Summer, S2'!N4*Main!$B$5)+(_xlfn.IFNA(VLOOKUP($A4,'FL Ratio'!$A$3:$B$10,2,FALSE),0)*'FL Characterization'!N$2)</f>
        <v>82.393295849586082</v>
      </c>
      <c r="O4" s="2">
        <f ca="1">('[1]Pc, Summer, S2'!O4*Main!$B$5)+(_xlfn.IFNA(VLOOKUP($A4,'FL Ratio'!$A$3:$B$10,2,FALSE),0)*'FL Characterization'!O$2)</f>
        <v>83.06812714858853</v>
      </c>
      <c r="P4" s="2">
        <f ca="1">('[1]Pc, Summer, S2'!P4*Main!$B$5)+(_xlfn.IFNA(VLOOKUP($A4,'FL Ratio'!$A$3:$B$10,2,FALSE),0)*'FL Characterization'!P$2)</f>
        <v>83.358079676120227</v>
      </c>
      <c r="Q4" s="2">
        <f ca="1">('[1]Pc, Summer, S2'!Q4*Main!$B$5)+(_xlfn.IFNA(VLOOKUP($A4,'FL Ratio'!$A$3:$B$10,2,FALSE),0)*'FL Characterization'!Q$2)</f>
        <v>80.215546446336631</v>
      </c>
      <c r="R4" s="2">
        <f ca="1">('[1]Pc, Summer, S2'!R4*Main!$B$5)+(_xlfn.IFNA(VLOOKUP($A4,'FL Ratio'!$A$3:$B$10,2,FALSE),0)*'FL Characterization'!R$2)</f>
        <v>80.25569596292334</v>
      </c>
      <c r="S4" s="2">
        <f ca="1">('[1]Pc, Summer, S2'!S4*Main!$B$5)+(_xlfn.IFNA(VLOOKUP($A4,'FL Ratio'!$A$3:$B$10,2,FALSE),0)*'FL Characterization'!S$2)</f>
        <v>77.126741848298025</v>
      </c>
      <c r="T4" s="2">
        <f ca="1">('[1]Pc, Summer, S2'!T4*Main!$B$5)+(_xlfn.IFNA(VLOOKUP($A4,'FL Ratio'!$A$3:$B$10,2,FALSE),0)*'FL Characterization'!T$2)</f>
        <v>77.532549250313437</v>
      </c>
      <c r="U4" s="2">
        <f ca="1">('[1]Pc, Summer, S2'!U4*Main!$B$5)+(_xlfn.IFNA(VLOOKUP($A4,'FL Ratio'!$A$3:$B$10,2,FALSE),0)*'FL Characterization'!U$2)</f>
        <v>78.17000005713227</v>
      </c>
      <c r="V4" s="2">
        <f ca="1">('[1]Pc, Summer, S2'!V4*Main!$B$5)+(_xlfn.IFNA(VLOOKUP($A4,'FL Ratio'!$A$3:$B$10,2,FALSE),0)*'FL Characterization'!V$2)</f>
        <v>77.527426393390087</v>
      </c>
      <c r="W4" s="2">
        <f ca="1">('[1]Pc, Summer, S2'!W4*Main!$B$5)+(_xlfn.IFNA(VLOOKUP($A4,'FL Ratio'!$A$3:$B$10,2,FALSE),0)*'FL Characterization'!W$2)</f>
        <v>80.306632102914719</v>
      </c>
      <c r="X4" s="2">
        <f ca="1">('[1]Pc, Summer, S2'!X4*Main!$B$5)+(_xlfn.IFNA(VLOOKUP($A4,'FL Ratio'!$A$3:$B$10,2,FALSE),0)*'FL Characterization'!X$2)</f>
        <v>78.460707878287721</v>
      </c>
      <c r="Y4" s="2">
        <f ca="1">('[1]Pc, Summer, S2'!Y4*Main!$B$5)+(_xlfn.IFNA(VLOOKUP($A4,'FL Ratio'!$A$3:$B$10,2,FALSE),0)*'FL Characterization'!Y$2)</f>
        <v>70.122877084232542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43.769495020792107</v>
      </c>
      <c r="C2" s="2">
        <f ca="1">('[1]Pc, Summer, S2'!C2*Main!$B$5)+(_xlfn.IFNA(VLOOKUP($A2,'FL Ratio'!$A$3:$B$10,2,FALSE),0)*'FL Characterization'!C$2)</f>
        <v>39.76654494306954</v>
      </c>
      <c r="D2" s="2">
        <f ca="1">('[1]Pc, Summer, S2'!D2*Main!$B$5)+(_xlfn.IFNA(VLOOKUP($A2,'FL Ratio'!$A$3:$B$10,2,FALSE),0)*'FL Characterization'!D$2)</f>
        <v>39.071926756001822</v>
      </c>
      <c r="E2" s="2">
        <f ca="1">('[1]Pc, Summer, S2'!E2*Main!$B$5)+(_xlfn.IFNA(VLOOKUP($A2,'FL Ratio'!$A$3:$B$10,2,FALSE),0)*'FL Characterization'!E$2)</f>
        <v>38.972115016606637</v>
      </c>
      <c r="F2" s="2">
        <f ca="1">('[1]Pc, Summer, S2'!F2*Main!$B$5)+(_xlfn.IFNA(VLOOKUP($A2,'FL Ratio'!$A$3:$B$10,2,FALSE),0)*'FL Characterization'!F$2)</f>
        <v>38.975187582455952</v>
      </c>
      <c r="G2" s="2">
        <f ca="1">('[1]Pc, Summer, S2'!G2*Main!$B$5)+(_xlfn.IFNA(VLOOKUP($A2,'FL Ratio'!$A$3:$B$10,2,FALSE),0)*'FL Characterization'!G$2)</f>
        <v>38.630502411779723</v>
      </c>
      <c r="H2" s="2">
        <f ca="1">('[1]Pc, Summer, S2'!H2*Main!$B$5)+(_xlfn.IFNA(VLOOKUP($A2,'FL Ratio'!$A$3:$B$10,2,FALSE),0)*'FL Characterization'!H$2)</f>
        <v>41.705075777831198</v>
      </c>
      <c r="I2" s="2">
        <f ca="1">('[1]Pc, Summer, S2'!I2*Main!$B$5)+(_xlfn.IFNA(VLOOKUP($A2,'FL Ratio'!$A$3:$B$10,2,FALSE),0)*'FL Characterization'!I$2)</f>
        <v>49.514113828718365</v>
      </c>
      <c r="J2" s="2">
        <f ca="1">('[1]Pc, Summer, S2'!J2*Main!$B$5)+(_xlfn.IFNA(VLOOKUP($A2,'FL Ratio'!$A$3:$B$10,2,FALSE),0)*'FL Characterization'!J$2)</f>
        <v>56.432010584988262</v>
      </c>
      <c r="K2" s="2">
        <f ca="1">('[1]Pc, Summer, S2'!K2*Main!$B$5)+(_xlfn.IFNA(VLOOKUP($A2,'FL Ratio'!$A$3:$B$10,2,FALSE),0)*'FL Characterization'!K$2)</f>
        <v>58.166056185917476</v>
      </c>
      <c r="L2" s="2">
        <f ca="1">('[1]Pc, Summer, S2'!L2*Main!$B$5)+(_xlfn.IFNA(VLOOKUP($A2,'FL Ratio'!$A$3:$B$10,2,FALSE),0)*'FL Characterization'!L$2)</f>
        <v>57.577431214881592</v>
      </c>
      <c r="M2" s="2">
        <f ca="1">('[1]Pc, Summer, S2'!M2*Main!$B$5)+(_xlfn.IFNA(VLOOKUP($A2,'FL Ratio'!$A$3:$B$10,2,FALSE),0)*'FL Characterization'!M$2)</f>
        <v>59.205640810419617</v>
      </c>
      <c r="N2" s="2">
        <f ca="1">('[1]Pc, Summer, S2'!N2*Main!$B$5)+(_xlfn.IFNA(VLOOKUP($A2,'FL Ratio'!$A$3:$B$10,2,FALSE),0)*'FL Characterization'!N$2)</f>
        <v>60.017817366806568</v>
      </c>
      <c r="O2" s="2">
        <f ca="1">('[1]Pc, Summer, S2'!O2*Main!$B$5)+(_xlfn.IFNA(VLOOKUP($A2,'FL Ratio'!$A$3:$B$10,2,FALSE),0)*'FL Characterization'!O$2)</f>
        <v>58.907600184849535</v>
      </c>
      <c r="P2" s="2">
        <f ca="1">('[1]Pc, Summer, S2'!P2*Main!$B$5)+(_xlfn.IFNA(VLOOKUP($A2,'FL Ratio'!$A$3:$B$10,2,FALSE),0)*'FL Characterization'!P$2)</f>
        <v>56.605773412420255</v>
      </c>
      <c r="Q2" s="2">
        <f ca="1">('[1]Pc, Summer, S2'!Q2*Main!$B$5)+(_xlfn.IFNA(VLOOKUP($A2,'FL Ratio'!$A$3:$B$10,2,FALSE),0)*'FL Characterization'!Q$2)</f>
        <v>54.327488689520855</v>
      </c>
      <c r="R2" s="2">
        <f ca="1">('[1]Pc, Summer, S2'!R2*Main!$B$5)+(_xlfn.IFNA(VLOOKUP($A2,'FL Ratio'!$A$3:$B$10,2,FALSE),0)*'FL Characterization'!R$2)</f>
        <v>55.275325317589541</v>
      </c>
      <c r="S2" s="2">
        <f ca="1">('[1]Pc, Summer, S2'!S2*Main!$B$5)+(_xlfn.IFNA(VLOOKUP($A2,'FL Ratio'!$A$3:$B$10,2,FALSE),0)*'FL Characterization'!S$2)</f>
        <v>55.821431723830756</v>
      </c>
      <c r="T2" s="2">
        <f ca="1">('[1]Pc, Summer, S2'!T2*Main!$B$5)+(_xlfn.IFNA(VLOOKUP($A2,'FL Ratio'!$A$3:$B$10,2,FALSE),0)*'FL Characterization'!T$2)</f>
        <v>56.058372964901729</v>
      </c>
      <c r="U2" s="2">
        <f ca="1">('[1]Pc, Summer, S2'!U2*Main!$B$5)+(_xlfn.IFNA(VLOOKUP($A2,'FL Ratio'!$A$3:$B$10,2,FALSE),0)*'FL Characterization'!U$2)</f>
        <v>55.130349172559526</v>
      </c>
      <c r="V2" s="2">
        <f ca="1">('[1]Pc, Summer, S2'!V2*Main!$B$5)+(_xlfn.IFNA(VLOOKUP($A2,'FL Ratio'!$A$3:$B$10,2,FALSE),0)*'FL Characterization'!V$2)</f>
        <v>55.295991586513175</v>
      </c>
      <c r="W2" s="2">
        <f ca="1">('[1]Pc, Summer, S2'!W2*Main!$B$5)+(_xlfn.IFNA(VLOOKUP($A2,'FL Ratio'!$A$3:$B$10,2,FALSE),0)*'FL Characterization'!W$2)</f>
        <v>57.586239300155782</v>
      </c>
      <c r="X2" s="2">
        <f ca="1">('[1]Pc, Summer, S2'!X2*Main!$B$5)+(_xlfn.IFNA(VLOOKUP($A2,'FL Ratio'!$A$3:$B$10,2,FALSE),0)*'FL Characterization'!X$2)</f>
        <v>53.677345105610812</v>
      </c>
      <c r="Y2" s="2">
        <f ca="1">('[1]Pc, Summer, S2'!Y2*Main!$B$5)+(_xlfn.IFNA(VLOOKUP($A2,'FL Ratio'!$A$3:$B$10,2,FALSE),0)*'FL Characterization'!Y$2)</f>
        <v>49.205722958754599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44.379579210697308</v>
      </c>
      <c r="C3" s="2">
        <f ca="1">('[1]Pc, Summer, S2'!C3*Main!$B$5)+(_xlfn.IFNA(VLOOKUP($A3,'FL Ratio'!$A$3:$B$10,2,FALSE),0)*'FL Characterization'!C$2)</f>
        <v>40.408940238145846</v>
      </c>
      <c r="D3" s="2">
        <f ca="1">('[1]Pc, Summer, S2'!D3*Main!$B$5)+(_xlfn.IFNA(VLOOKUP($A3,'FL Ratio'!$A$3:$B$10,2,FALSE),0)*'FL Characterization'!D$2)</f>
        <v>38.431059860670246</v>
      </c>
      <c r="E3" s="2">
        <f ca="1">('[1]Pc, Summer, S2'!E3*Main!$B$5)+(_xlfn.IFNA(VLOOKUP($A3,'FL Ratio'!$A$3:$B$10,2,FALSE),0)*'FL Characterization'!E$2)</f>
        <v>37.062908678322181</v>
      </c>
      <c r="F3" s="2">
        <f ca="1">('[1]Pc, Summer, S2'!F3*Main!$B$5)+(_xlfn.IFNA(VLOOKUP($A3,'FL Ratio'!$A$3:$B$10,2,FALSE),0)*'FL Characterization'!F$2)</f>
        <v>37.062908678322181</v>
      </c>
      <c r="G3" s="2">
        <f ca="1">('[1]Pc, Summer, S2'!G3*Main!$B$5)+(_xlfn.IFNA(VLOOKUP($A3,'FL Ratio'!$A$3:$B$10,2,FALSE),0)*'FL Characterization'!G$2)</f>
        <v>39.739736471633904</v>
      </c>
      <c r="H3" s="2">
        <f ca="1">('[1]Pc, Summer, S2'!H3*Main!$B$5)+(_xlfn.IFNA(VLOOKUP($A3,'FL Ratio'!$A$3:$B$10,2,FALSE),0)*'FL Characterization'!H$2)</f>
        <v>49.792712571454139</v>
      </c>
      <c r="I3" s="2">
        <f ca="1">('[1]Pc, Summer, S2'!I3*Main!$B$5)+(_xlfn.IFNA(VLOOKUP($A3,'FL Ratio'!$A$3:$B$10,2,FALSE),0)*'FL Characterization'!I$2)</f>
        <v>61.273308027882052</v>
      </c>
      <c r="J3" s="2">
        <f ca="1">('[1]Pc, Summer, S2'!J3*Main!$B$5)+(_xlfn.IFNA(VLOOKUP($A3,'FL Ratio'!$A$3:$B$10,2,FALSE),0)*'FL Characterization'!J$2)</f>
        <v>63.950139028129364</v>
      </c>
      <c r="K3" s="2">
        <f ca="1">('[1]Pc, Summer, S2'!K3*Main!$B$5)+(_xlfn.IFNA(VLOOKUP($A3,'FL Ratio'!$A$3:$B$10,2,FALSE),0)*'FL Characterization'!K$2)</f>
        <v>62.611721932911124</v>
      </c>
      <c r="L3" s="2">
        <f ca="1">('[1]Pc, Summer, S2'!L3*Main!$B$5)+(_xlfn.IFNA(VLOOKUP($A3,'FL Ratio'!$A$3:$B$10,2,FALSE),0)*'FL Characterization'!L$2)</f>
        <v>62.581984655592123</v>
      </c>
      <c r="M3" s="2">
        <f ca="1">('[1]Pc, Summer, S2'!M3*Main!$B$5)+(_xlfn.IFNA(VLOOKUP($A3,'FL Ratio'!$A$3:$B$10,2,FALSE),0)*'FL Characterization'!M$2)</f>
        <v>66.686463740896187</v>
      </c>
      <c r="N3" s="2">
        <f ca="1">('[1]Pc, Summer, S2'!N3*Main!$B$5)+(_xlfn.IFNA(VLOOKUP($A3,'FL Ratio'!$A$3:$B$10,2,FALSE),0)*'FL Characterization'!N$2)</f>
        <v>66.686463740896187</v>
      </c>
      <c r="O3" s="2">
        <f ca="1">('[1]Pc, Summer, S2'!O3*Main!$B$5)+(_xlfn.IFNA(VLOOKUP($A3,'FL Ratio'!$A$3:$B$10,2,FALSE),0)*'FL Characterization'!O$2)</f>
        <v>66.686463740896187</v>
      </c>
      <c r="P3" s="2">
        <f ca="1">('[1]Pc, Summer, S2'!P3*Main!$B$5)+(_xlfn.IFNA(VLOOKUP($A3,'FL Ratio'!$A$3:$B$10,2,FALSE),0)*'FL Characterization'!P$2)</f>
        <v>63.340422597945164</v>
      </c>
      <c r="Q3" s="2">
        <f ca="1">('[1]Pc, Summer, S2'!Q3*Main!$B$5)+(_xlfn.IFNA(VLOOKUP($A3,'FL Ratio'!$A$3:$B$10,2,FALSE),0)*'FL Characterization'!Q$2)</f>
        <v>59.964637793110164</v>
      </c>
      <c r="R3" s="2">
        <f ca="1">('[1]Pc, Summer, S2'!R3*Main!$B$5)+(_xlfn.IFNA(VLOOKUP($A3,'FL Ratio'!$A$3:$B$10,2,FALSE),0)*'FL Characterization'!R$2)</f>
        <v>55.860165092371084</v>
      </c>
      <c r="S3" s="2">
        <f ca="1">('[1]Pc, Summer, S2'!S3*Main!$B$5)+(_xlfn.IFNA(VLOOKUP($A3,'FL Ratio'!$A$3:$B$10,2,FALSE),0)*'FL Characterization'!S$2)</f>
        <v>55.860165092371084</v>
      </c>
      <c r="T3" s="2">
        <f ca="1">('[1]Pc, Summer, S2'!T3*Main!$B$5)+(_xlfn.IFNA(VLOOKUP($A3,'FL Ratio'!$A$3:$B$10,2,FALSE),0)*'FL Characterization'!T$2)</f>
        <v>55.860165092371084</v>
      </c>
      <c r="U3" s="2">
        <f ca="1">('[1]Pc, Summer, S2'!U3*Main!$B$5)+(_xlfn.IFNA(VLOOKUP($A3,'FL Ratio'!$A$3:$B$10,2,FALSE),0)*'FL Characterization'!U$2)</f>
        <v>55.860165092371084</v>
      </c>
      <c r="V3" s="2">
        <f ca="1">('[1]Pc, Summer, S2'!V3*Main!$B$5)+(_xlfn.IFNA(VLOOKUP($A3,'FL Ratio'!$A$3:$B$10,2,FALSE),0)*'FL Characterization'!V$2)</f>
        <v>55.860165092371084</v>
      </c>
      <c r="W3" s="2">
        <f ca="1">('[1]Pc, Summer, S2'!W3*Main!$B$5)+(_xlfn.IFNA(VLOOKUP($A3,'FL Ratio'!$A$3:$B$10,2,FALSE),0)*'FL Characterization'!W$2)</f>
        <v>55.860165092371084</v>
      </c>
      <c r="X3" s="2">
        <f ca="1">('[1]Pc, Summer, S2'!X3*Main!$B$5)+(_xlfn.IFNA(VLOOKUP($A3,'FL Ratio'!$A$3:$B$10,2,FALSE),0)*'FL Characterization'!X$2)</f>
        <v>53.852553817954849</v>
      </c>
      <c r="Y3" s="2">
        <f ca="1">('[1]Pc, Summer, S2'!Y3*Main!$B$5)+(_xlfn.IFNA(VLOOKUP($A3,'FL Ratio'!$A$3:$B$10,2,FALSE),0)*'FL Characterization'!Y$2)</f>
        <v>50.387553974227266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59.838917573706652</v>
      </c>
      <c r="C4" s="2">
        <f ca="1">('[1]Pc, Summer, S2'!C4*Main!$B$5)+(_xlfn.IFNA(VLOOKUP($A4,'FL Ratio'!$A$3:$B$10,2,FALSE),0)*'FL Characterization'!C$2)</f>
        <v>52.676335263139336</v>
      </c>
      <c r="D4" s="2">
        <f ca="1">('[1]Pc, Summer, S2'!D4*Main!$B$5)+(_xlfn.IFNA(VLOOKUP($A4,'FL Ratio'!$A$3:$B$10,2,FALSE),0)*'FL Characterization'!D$2)</f>
        <v>49.811123139348972</v>
      </c>
      <c r="E4" s="2">
        <f ca="1">('[1]Pc, Summer, S2'!E4*Main!$B$5)+(_xlfn.IFNA(VLOOKUP($A4,'FL Ratio'!$A$3:$B$10,2,FALSE),0)*'FL Characterization'!E$2)</f>
        <v>48.231305916482633</v>
      </c>
      <c r="F4" s="2">
        <f ca="1">('[1]Pc, Summer, S2'!F4*Main!$B$5)+(_xlfn.IFNA(VLOOKUP($A4,'FL Ratio'!$A$3:$B$10,2,FALSE),0)*'FL Characterization'!F$2)</f>
        <v>51.129698975712628</v>
      </c>
      <c r="G4" s="2">
        <f ca="1">('[1]Pc, Summer, S2'!G4*Main!$B$5)+(_xlfn.IFNA(VLOOKUP($A4,'FL Ratio'!$A$3:$B$10,2,FALSE),0)*'FL Characterization'!G$2)</f>
        <v>46.831518721508843</v>
      </c>
      <c r="H4" s="2">
        <f ca="1">('[1]Pc, Summer, S2'!H4*Main!$B$5)+(_xlfn.IFNA(VLOOKUP($A4,'FL Ratio'!$A$3:$B$10,2,FALSE),0)*'FL Characterization'!H$2)</f>
        <v>54.92482658549018</v>
      </c>
      <c r="I4" s="2">
        <f ca="1">('[1]Pc, Summer, S2'!I4*Main!$B$5)+(_xlfn.IFNA(VLOOKUP($A4,'FL Ratio'!$A$3:$B$10,2,FALSE),0)*'FL Characterization'!I$2)</f>
        <v>63.750306104231932</v>
      </c>
      <c r="J4" s="2">
        <f ca="1">('[1]Pc, Summer, S2'!J4*Main!$B$5)+(_xlfn.IFNA(VLOOKUP($A4,'FL Ratio'!$A$3:$B$10,2,FALSE),0)*'FL Characterization'!J$2)</f>
        <v>71.819023216684585</v>
      </c>
      <c r="K4" s="2">
        <f ca="1">('[1]Pc, Summer, S2'!K4*Main!$B$5)+(_xlfn.IFNA(VLOOKUP($A4,'FL Ratio'!$A$3:$B$10,2,FALSE),0)*'FL Characterization'!K$2)</f>
        <v>77.080928926443562</v>
      </c>
      <c r="L4" s="2">
        <f ca="1">('[1]Pc, Summer, S2'!L4*Main!$B$5)+(_xlfn.IFNA(VLOOKUP($A4,'FL Ratio'!$A$3:$B$10,2,FALSE),0)*'FL Characterization'!L$2)</f>
        <v>79.547685369312916</v>
      </c>
      <c r="M4" s="2">
        <f ca="1">('[1]Pc, Summer, S2'!M4*Main!$B$5)+(_xlfn.IFNA(VLOOKUP($A4,'FL Ratio'!$A$3:$B$10,2,FALSE),0)*'FL Characterization'!M$2)</f>
        <v>80.806644171068797</v>
      </c>
      <c r="N4" s="2">
        <f ca="1">('[1]Pc, Summer, S2'!N4*Main!$B$5)+(_xlfn.IFNA(VLOOKUP($A4,'FL Ratio'!$A$3:$B$10,2,FALSE),0)*'FL Characterization'!N$2)</f>
        <v>82.393295849586082</v>
      </c>
      <c r="O4" s="2">
        <f ca="1">('[1]Pc, Summer, S2'!O4*Main!$B$5)+(_xlfn.IFNA(VLOOKUP($A4,'FL Ratio'!$A$3:$B$10,2,FALSE),0)*'FL Characterization'!O$2)</f>
        <v>83.06812714858853</v>
      </c>
      <c r="P4" s="2">
        <f ca="1">('[1]Pc, Summer, S2'!P4*Main!$B$5)+(_xlfn.IFNA(VLOOKUP($A4,'FL Ratio'!$A$3:$B$10,2,FALSE),0)*'FL Characterization'!P$2)</f>
        <v>83.358079676120227</v>
      </c>
      <c r="Q4" s="2">
        <f ca="1">('[1]Pc, Summer, S2'!Q4*Main!$B$5)+(_xlfn.IFNA(VLOOKUP($A4,'FL Ratio'!$A$3:$B$10,2,FALSE),0)*'FL Characterization'!Q$2)</f>
        <v>80.215546446336631</v>
      </c>
      <c r="R4" s="2">
        <f ca="1">('[1]Pc, Summer, S2'!R4*Main!$B$5)+(_xlfn.IFNA(VLOOKUP($A4,'FL Ratio'!$A$3:$B$10,2,FALSE),0)*'FL Characterization'!R$2)</f>
        <v>80.25569596292334</v>
      </c>
      <c r="S4" s="2">
        <f ca="1">('[1]Pc, Summer, S2'!S4*Main!$B$5)+(_xlfn.IFNA(VLOOKUP($A4,'FL Ratio'!$A$3:$B$10,2,FALSE),0)*'FL Characterization'!S$2)</f>
        <v>77.126741848298025</v>
      </c>
      <c r="T4" s="2">
        <f ca="1">('[1]Pc, Summer, S2'!T4*Main!$B$5)+(_xlfn.IFNA(VLOOKUP($A4,'FL Ratio'!$A$3:$B$10,2,FALSE),0)*'FL Characterization'!T$2)</f>
        <v>77.532549250313437</v>
      </c>
      <c r="U4" s="2">
        <f ca="1">('[1]Pc, Summer, S2'!U4*Main!$B$5)+(_xlfn.IFNA(VLOOKUP($A4,'FL Ratio'!$A$3:$B$10,2,FALSE),0)*'FL Characterization'!U$2)</f>
        <v>78.17000005713227</v>
      </c>
      <c r="V4" s="2">
        <f ca="1">('[1]Pc, Summer, S2'!V4*Main!$B$5)+(_xlfn.IFNA(VLOOKUP($A4,'FL Ratio'!$A$3:$B$10,2,FALSE),0)*'FL Characterization'!V$2)</f>
        <v>77.527426393390087</v>
      </c>
      <c r="W4" s="2">
        <f ca="1">('[1]Pc, Summer, S2'!W4*Main!$B$5)+(_xlfn.IFNA(VLOOKUP($A4,'FL Ratio'!$A$3:$B$10,2,FALSE),0)*'FL Characterization'!W$2)</f>
        <v>80.306632102914719</v>
      </c>
      <c r="X4" s="2">
        <f ca="1">('[1]Pc, Summer, S2'!X4*Main!$B$5)+(_xlfn.IFNA(VLOOKUP($A4,'FL Ratio'!$A$3:$B$10,2,FALSE),0)*'FL Characterization'!X$2)</f>
        <v>78.460707878287721</v>
      </c>
      <c r="Y4" s="2">
        <f ca="1">('[1]Pc, Summer, S2'!Y4*Main!$B$5)+(_xlfn.IFNA(VLOOKUP($A4,'FL Ratio'!$A$3:$B$10,2,FALSE),0)*'FL Characterization'!Y$2)</f>
        <v>70.122877084232542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43.769495020792107</v>
      </c>
      <c r="C2" s="2">
        <f ca="1">('[1]Pc, Summer, S2'!C2*Main!$B$5)+(_xlfn.IFNA(VLOOKUP($A2,'FL Ratio'!$A$3:$B$10,2,FALSE),0)*'FL Characterization'!C$2)</f>
        <v>39.76654494306954</v>
      </c>
      <c r="D2" s="2">
        <f ca="1">('[1]Pc, Summer, S2'!D2*Main!$B$5)+(_xlfn.IFNA(VLOOKUP($A2,'FL Ratio'!$A$3:$B$10,2,FALSE),0)*'FL Characterization'!D$2)</f>
        <v>39.071926756001822</v>
      </c>
      <c r="E2" s="2">
        <f ca="1">('[1]Pc, Summer, S2'!E2*Main!$B$5)+(_xlfn.IFNA(VLOOKUP($A2,'FL Ratio'!$A$3:$B$10,2,FALSE),0)*'FL Characterization'!E$2)</f>
        <v>38.972115016606637</v>
      </c>
      <c r="F2" s="2">
        <f ca="1">('[1]Pc, Summer, S2'!F2*Main!$B$5)+(_xlfn.IFNA(VLOOKUP($A2,'FL Ratio'!$A$3:$B$10,2,FALSE),0)*'FL Characterization'!F$2)</f>
        <v>38.975187582455952</v>
      </c>
      <c r="G2" s="2">
        <f ca="1">('[1]Pc, Summer, S2'!G2*Main!$B$5)+(_xlfn.IFNA(VLOOKUP($A2,'FL Ratio'!$A$3:$B$10,2,FALSE),0)*'FL Characterization'!G$2)</f>
        <v>38.630502411779723</v>
      </c>
      <c r="H2" s="2">
        <f ca="1">('[1]Pc, Summer, S2'!H2*Main!$B$5)+(_xlfn.IFNA(VLOOKUP($A2,'FL Ratio'!$A$3:$B$10,2,FALSE),0)*'FL Characterization'!H$2)</f>
        <v>41.705075777831198</v>
      </c>
      <c r="I2" s="2">
        <f ca="1">('[1]Pc, Summer, S2'!I2*Main!$B$5)+(_xlfn.IFNA(VLOOKUP($A2,'FL Ratio'!$A$3:$B$10,2,FALSE),0)*'FL Characterization'!I$2)</f>
        <v>49.514113828718365</v>
      </c>
      <c r="J2" s="2">
        <f ca="1">('[1]Pc, Summer, S2'!J2*Main!$B$5)+(_xlfn.IFNA(VLOOKUP($A2,'FL Ratio'!$A$3:$B$10,2,FALSE),0)*'FL Characterization'!J$2)</f>
        <v>56.432010584988262</v>
      </c>
      <c r="K2" s="2">
        <f ca="1">('[1]Pc, Summer, S2'!K2*Main!$B$5)+(_xlfn.IFNA(VLOOKUP($A2,'FL Ratio'!$A$3:$B$10,2,FALSE),0)*'FL Characterization'!K$2)</f>
        <v>58.166056185917476</v>
      </c>
      <c r="L2" s="2">
        <f ca="1">('[1]Pc, Summer, S2'!L2*Main!$B$5)+(_xlfn.IFNA(VLOOKUP($A2,'FL Ratio'!$A$3:$B$10,2,FALSE),0)*'FL Characterization'!L$2)</f>
        <v>57.577431214881592</v>
      </c>
      <c r="M2" s="2">
        <f ca="1">('[1]Pc, Summer, S2'!M2*Main!$B$5)+(_xlfn.IFNA(VLOOKUP($A2,'FL Ratio'!$A$3:$B$10,2,FALSE),0)*'FL Characterization'!M$2)</f>
        <v>59.205640810419617</v>
      </c>
      <c r="N2" s="2">
        <f ca="1">('[1]Pc, Summer, S2'!N2*Main!$B$5)+(_xlfn.IFNA(VLOOKUP($A2,'FL Ratio'!$A$3:$B$10,2,FALSE),0)*'FL Characterization'!N$2)</f>
        <v>60.017817366806568</v>
      </c>
      <c r="O2" s="2">
        <f ca="1">('[1]Pc, Summer, S2'!O2*Main!$B$5)+(_xlfn.IFNA(VLOOKUP($A2,'FL Ratio'!$A$3:$B$10,2,FALSE),0)*'FL Characterization'!O$2)</f>
        <v>58.907600184849535</v>
      </c>
      <c r="P2" s="2">
        <f ca="1">('[1]Pc, Summer, S2'!P2*Main!$B$5)+(_xlfn.IFNA(VLOOKUP($A2,'FL Ratio'!$A$3:$B$10,2,FALSE),0)*'FL Characterization'!P$2)</f>
        <v>56.605773412420255</v>
      </c>
      <c r="Q2" s="2">
        <f ca="1">('[1]Pc, Summer, S2'!Q2*Main!$B$5)+(_xlfn.IFNA(VLOOKUP($A2,'FL Ratio'!$A$3:$B$10,2,FALSE),0)*'FL Characterization'!Q$2)</f>
        <v>54.327488689520855</v>
      </c>
      <c r="R2" s="2">
        <f ca="1">('[1]Pc, Summer, S2'!R2*Main!$B$5)+(_xlfn.IFNA(VLOOKUP($A2,'FL Ratio'!$A$3:$B$10,2,FALSE),0)*'FL Characterization'!R$2)</f>
        <v>55.275325317589541</v>
      </c>
      <c r="S2" s="2">
        <f ca="1">('[1]Pc, Summer, S2'!S2*Main!$B$5)+(_xlfn.IFNA(VLOOKUP($A2,'FL Ratio'!$A$3:$B$10,2,FALSE),0)*'FL Characterization'!S$2)</f>
        <v>55.821431723830756</v>
      </c>
      <c r="T2" s="2">
        <f ca="1">('[1]Pc, Summer, S2'!T2*Main!$B$5)+(_xlfn.IFNA(VLOOKUP($A2,'FL Ratio'!$A$3:$B$10,2,FALSE),0)*'FL Characterization'!T$2)</f>
        <v>56.058372964901729</v>
      </c>
      <c r="U2" s="2">
        <f ca="1">('[1]Pc, Summer, S2'!U2*Main!$B$5)+(_xlfn.IFNA(VLOOKUP($A2,'FL Ratio'!$A$3:$B$10,2,FALSE),0)*'FL Characterization'!U$2)</f>
        <v>55.130349172559526</v>
      </c>
      <c r="V2" s="2">
        <f ca="1">('[1]Pc, Summer, S2'!V2*Main!$B$5)+(_xlfn.IFNA(VLOOKUP($A2,'FL Ratio'!$A$3:$B$10,2,FALSE),0)*'FL Characterization'!V$2)</f>
        <v>55.295991586513175</v>
      </c>
      <c r="W2" s="2">
        <f ca="1">('[1]Pc, Summer, S2'!W2*Main!$B$5)+(_xlfn.IFNA(VLOOKUP($A2,'FL Ratio'!$A$3:$B$10,2,FALSE),0)*'FL Characterization'!W$2)</f>
        <v>57.586239300155782</v>
      </c>
      <c r="X2" s="2">
        <f ca="1">('[1]Pc, Summer, S2'!X2*Main!$B$5)+(_xlfn.IFNA(VLOOKUP($A2,'FL Ratio'!$A$3:$B$10,2,FALSE),0)*'FL Characterization'!X$2)</f>
        <v>53.677345105610812</v>
      </c>
      <c r="Y2" s="2">
        <f ca="1">('[1]Pc, Summer, S2'!Y2*Main!$B$5)+(_xlfn.IFNA(VLOOKUP($A2,'FL Ratio'!$A$3:$B$10,2,FALSE),0)*'FL Characterization'!Y$2)</f>
        <v>49.205722958754599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44.379579210697308</v>
      </c>
      <c r="C3" s="2">
        <f ca="1">('[1]Pc, Summer, S2'!C3*Main!$B$5)+(_xlfn.IFNA(VLOOKUP($A3,'FL Ratio'!$A$3:$B$10,2,FALSE),0)*'FL Characterization'!C$2)</f>
        <v>40.408940238145846</v>
      </c>
      <c r="D3" s="2">
        <f ca="1">('[1]Pc, Summer, S2'!D3*Main!$B$5)+(_xlfn.IFNA(VLOOKUP($A3,'FL Ratio'!$A$3:$B$10,2,FALSE),0)*'FL Characterization'!D$2)</f>
        <v>38.431059860670246</v>
      </c>
      <c r="E3" s="2">
        <f ca="1">('[1]Pc, Summer, S2'!E3*Main!$B$5)+(_xlfn.IFNA(VLOOKUP($A3,'FL Ratio'!$A$3:$B$10,2,FALSE),0)*'FL Characterization'!E$2)</f>
        <v>37.062908678322181</v>
      </c>
      <c r="F3" s="2">
        <f ca="1">('[1]Pc, Summer, S2'!F3*Main!$B$5)+(_xlfn.IFNA(VLOOKUP($A3,'FL Ratio'!$A$3:$B$10,2,FALSE),0)*'FL Characterization'!F$2)</f>
        <v>37.062908678322181</v>
      </c>
      <c r="G3" s="2">
        <f ca="1">('[1]Pc, Summer, S2'!G3*Main!$B$5)+(_xlfn.IFNA(VLOOKUP($A3,'FL Ratio'!$A$3:$B$10,2,FALSE),0)*'FL Characterization'!G$2)</f>
        <v>39.739736471633904</v>
      </c>
      <c r="H3" s="2">
        <f ca="1">('[1]Pc, Summer, S2'!H3*Main!$B$5)+(_xlfn.IFNA(VLOOKUP($A3,'FL Ratio'!$A$3:$B$10,2,FALSE),0)*'FL Characterization'!H$2)</f>
        <v>49.792712571454139</v>
      </c>
      <c r="I3" s="2">
        <f ca="1">('[1]Pc, Summer, S2'!I3*Main!$B$5)+(_xlfn.IFNA(VLOOKUP($A3,'FL Ratio'!$A$3:$B$10,2,FALSE),0)*'FL Characterization'!I$2)</f>
        <v>61.273308027882052</v>
      </c>
      <c r="J3" s="2">
        <f ca="1">('[1]Pc, Summer, S2'!J3*Main!$B$5)+(_xlfn.IFNA(VLOOKUP($A3,'FL Ratio'!$A$3:$B$10,2,FALSE),0)*'FL Characterization'!J$2)</f>
        <v>63.950139028129364</v>
      </c>
      <c r="K3" s="2">
        <f ca="1">('[1]Pc, Summer, S2'!K3*Main!$B$5)+(_xlfn.IFNA(VLOOKUP($A3,'FL Ratio'!$A$3:$B$10,2,FALSE),0)*'FL Characterization'!K$2)</f>
        <v>62.611721932911124</v>
      </c>
      <c r="L3" s="2">
        <f ca="1">('[1]Pc, Summer, S2'!L3*Main!$B$5)+(_xlfn.IFNA(VLOOKUP($A3,'FL Ratio'!$A$3:$B$10,2,FALSE),0)*'FL Characterization'!L$2)</f>
        <v>62.581984655592123</v>
      </c>
      <c r="M3" s="2">
        <f ca="1">('[1]Pc, Summer, S2'!M3*Main!$B$5)+(_xlfn.IFNA(VLOOKUP($A3,'FL Ratio'!$A$3:$B$10,2,FALSE),0)*'FL Characterization'!M$2)</f>
        <v>66.686463740896187</v>
      </c>
      <c r="N3" s="2">
        <f ca="1">('[1]Pc, Summer, S2'!N3*Main!$B$5)+(_xlfn.IFNA(VLOOKUP($A3,'FL Ratio'!$A$3:$B$10,2,FALSE),0)*'FL Characterization'!N$2)</f>
        <v>66.686463740896187</v>
      </c>
      <c r="O3" s="2">
        <f ca="1">('[1]Pc, Summer, S2'!O3*Main!$B$5)+(_xlfn.IFNA(VLOOKUP($A3,'FL Ratio'!$A$3:$B$10,2,FALSE),0)*'FL Characterization'!O$2)</f>
        <v>66.686463740896187</v>
      </c>
      <c r="P3" s="2">
        <f ca="1">('[1]Pc, Summer, S2'!P3*Main!$B$5)+(_xlfn.IFNA(VLOOKUP($A3,'FL Ratio'!$A$3:$B$10,2,FALSE),0)*'FL Characterization'!P$2)</f>
        <v>63.340422597945164</v>
      </c>
      <c r="Q3" s="2">
        <f ca="1">('[1]Pc, Summer, S2'!Q3*Main!$B$5)+(_xlfn.IFNA(VLOOKUP($A3,'FL Ratio'!$A$3:$B$10,2,FALSE),0)*'FL Characterization'!Q$2)</f>
        <v>59.964637793110164</v>
      </c>
      <c r="R3" s="2">
        <f ca="1">('[1]Pc, Summer, S2'!R3*Main!$B$5)+(_xlfn.IFNA(VLOOKUP($A3,'FL Ratio'!$A$3:$B$10,2,FALSE),0)*'FL Characterization'!R$2)</f>
        <v>55.860165092371084</v>
      </c>
      <c r="S3" s="2">
        <f ca="1">('[1]Pc, Summer, S2'!S3*Main!$B$5)+(_xlfn.IFNA(VLOOKUP($A3,'FL Ratio'!$A$3:$B$10,2,FALSE),0)*'FL Characterization'!S$2)</f>
        <v>55.860165092371084</v>
      </c>
      <c r="T3" s="2">
        <f ca="1">('[1]Pc, Summer, S2'!T3*Main!$B$5)+(_xlfn.IFNA(VLOOKUP($A3,'FL Ratio'!$A$3:$B$10,2,FALSE),0)*'FL Characterization'!T$2)</f>
        <v>55.860165092371084</v>
      </c>
      <c r="U3" s="2">
        <f ca="1">('[1]Pc, Summer, S2'!U3*Main!$B$5)+(_xlfn.IFNA(VLOOKUP($A3,'FL Ratio'!$A$3:$B$10,2,FALSE),0)*'FL Characterization'!U$2)</f>
        <v>55.860165092371084</v>
      </c>
      <c r="V3" s="2">
        <f ca="1">('[1]Pc, Summer, S2'!V3*Main!$B$5)+(_xlfn.IFNA(VLOOKUP($A3,'FL Ratio'!$A$3:$B$10,2,FALSE),0)*'FL Characterization'!V$2)</f>
        <v>55.860165092371084</v>
      </c>
      <c r="W3" s="2">
        <f ca="1">('[1]Pc, Summer, S2'!W3*Main!$B$5)+(_xlfn.IFNA(VLOOKUP($A3,'FL Ratio'!$A$3:$B$10,2,FALSE),0)*'FL Characterization'!W$2)</f>
        <v>55.860165092371084</v>
      </c>
      <c r="X3" s="2">
        <f ca="1">('[1]Pc, Summer, S2'!X3*Main!$B$5)+(_xlfn.IFNA(VLOOKUP($A3,'FL Ratio'!$A$3:$B$10,2,FALSE),0)*'FL Characterization'!X$2)</f>
        <v>53.852553817954849</v>
      </c>
      <c r="Y3" s="2">
        <f ca="1">('[1]Pc, Summer, S2'!Y3*Main!$B$5)+(_xlfn.IFNA(VLOOKUP($A3,'FL Ratio'!$A$3:$B$10,2,FALSE),0)*'FL Characterization'!Y$2)</f>
        <v>50.387553974227266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59.838917573706652</v>
      </c>
      <c r="C4" s="2">
        <f ca="1">('[1]Pc, Summer, S2'!C4*Main!$B$5)+(_xlfn.IFNA(VLOOKUP($A4,'FL Ratio'!$A$3:$B$10,2,FALSE),0)*'FL Characterization'!C$2)</f>
        <v>52.676335263139336</v>
      </c>
      <c r="D4" s="2">
        <f ca="1">('[1]Pc, Summer, S2'!D4*Main!$B$5)+(_xlfn.IFNA(VLOOKUP($A4,'FL Ratio'!$A$3:$B$10,2,FALSE),0)*'FL Characterization'!D$2)</f>
        <v>49.811123139348972</v>
      </c>
      <c r="E4" s="2">
        <f ca="1">('[1]Pc, Summer, S2'!E4*Main!$B$5)+(_xlfn.IFNA(VLOOKUP($A4,'FL Ratio'!$A$3:$B$10,2,FALSE),0)*'FL Characterization'!E$2)</f>
        <v>48.231305916482633</v>
      </c>
      <c r="F4" s="2">
        <f ca="1">('[1]Pc, Summer, S2'!F4*Main!$B$5)+(_xlfn.IFNA(VLOOKUP($A4,'FL Ratio'!$A$3:$B$10,2,FALSE),0)*'FL Characterization'!F$2)</f>
        <v>51.129698975712628</v>
      </c>
      <c r="G4" s="2">
        <f ca="1">('[1]Pc, Summer, S2'!G4*Main!$B$5)+(_xlfn.IFNA(VLOOKUP($A4,'FL Ratio'!$A$3:$B$10,2,FALSE),0)*'FL Characterization'!G$2)</f>
        <v>46.831518721508843</v>
      </c>
      <c r="H4" s="2">
        <f ca="1">('[1]Pc, Summer, S2'!H4*Main!$B$5)+(_xlfn.IFNA(VLOOKUP($A4,'FL Ratio'!$A$3:$B$10,2,FALSE),0)*'FL Characterization'!H$2)</f>
        <v>54.92482658549018</v>
      </c>
      <c r="I4" s="2">
        <f ca="1">('[1]Pc, Summer, S2'!I4*Main!$B$5)+(_xlfn.IFNA(VLOOKUP($A4,'FL Ratio'!$A$3:$B$10,2,FALSE),0)*'FL Characterization'!I$2)</f>
        <v>63.750306104231932</v>
      </c>
      <c r="J4" s="2">
        <f ca="1">('[1]Pc, Summer, S2'!J4*Main!$B$5)+(_xlfn.IFNA(VLOOKUP($A4,'FL Ratio'!$A$3:$B$10,2,FALSE),0)*'FL Characterization'!J$2)</f>
        <v>71.819023216684585</v>
      </c>
      <c r="K4" s="2">
        <f ca="1">('[1]Pc, Summer, S2'!K4*Main!$B$5)+(_xlfn.IFNA(VLOOKUP($A4,'FL Ratio'!$A$3:$B$10,2,FALSE),0)*'FL Characterization'!K$2)</f>
        <v>77.080928926443562</v>
      </c>
      <c r="L4" s="2">
        <f ca="1">('[1]Pc, Summer, S2'!L4*Main!$B$5)+(_xlfn.IFNA(VLOOKUP($A4,'FL Ratio'!$A$3:$B$10,2,FALSE),0)*'FL Characterization'!L$2)</f>
        <v>79.547685369312916</v>
      </c>
      <c r="M4" s="2">
        <f ca="1">('[1]Pc, Summer, S2'!M4*Main!$B$5)+(_xlfn.IFNA(VLOOKUP($A4,'FL Ratio'!$A$3:$B$10,2,FALSE),0)*'FL Characterization'!M$2)</f>
        <v>80.806644171068797</v>
      </c>
      <c r="N4" s="2">
        <f ca="1">('[1]Pc, Summer, S2'!N4*Main!$B$5)+(_xlfn.IFNA(VLOOKUP($A4,'FL Ratio'!$A$3:$B$10,2,FALSE),0)*'FL Characterization'!N$2)</f>
        <v>82.393295849586082</v>
      </c>
      <c r="O4" s="2">
        <f ca="1">('[1]Pc, Summer, S2'!O4*Main!$B$5)+(_xlfn.IFNA(VLOOKUP($A4,'FL Ratio'!$A$3:$B$10,2,FALSE),0)*'FL Characterization'!O$2)</f>
        <v>83.06812714858853</v>
      </c>
      <c r="P4" s="2">
        <f ca="1">('[1]Pc, Summer, S2'!P4*Main!$B$5)+(_xlfn.IFNA(VLOOKUP($A4,'FL Ratio'!$A$3:$B$10,2,FALSE),0)*'FL Characterization'!P$2)</f>
        <v>83.358079676120227</v>
      </c>
      <c r="Q4" s="2">
        <f ca="1">('[1]Pc, Summer, S2'!Q4*Main!$B$5)+(_xlfn.IFNA(VLOOKUP($A4,'FL Ratio'!$A$3:$B$10,2,FALSE),0)*'FL Characterization'!Q$2)</f>
        <v>80.215546446336631</v>
      </c>
      <c r="R4" s="2">
        <f ca="1">('[1]Pc, Summer, S2'!R4*Main!$B$5)+(_xlfn.IFNA(VLOOKUP($A4,'FL Ratio'!$A$3:$B$10,2,FALSE),0)*'FL Characterization'!R$2)</f>
        <v>80.25569596292334</v>
      </c>
      <c r="S4" s="2">
        <f ca="1">('[1]Pc, Summer, S2'!S4*Main!$B$5)+(_xlfn.IFNA(VLOOKUP($A4,'FL Ratio'!$A$3:$B$10,2,FALSE),0)*'FL Characterization'!S$2)</f>
        <v>77.126741848298025</v>
      </c>
      <c r="T4" s="2">
        <f ca="1">('[1]Pc, Summer, S2'!T4*Main!$B$5)+(_xlfn.IFNA(VLOOKUP($A4,'FL Ratio'!$A$3:$B$10,2,FALSE),0)*'FL Characterization'!T$2)</f>
        <v>77.532549250313437</v>
      </c>
      <c r="U4" s="2">
        <f ca="1">('[1]Pc, Summer, S2'!U4*Main!$B$5)+(_xlfn.IFNA(VLOOKUP($A4,'FL Ratio'!$A$3:$B$10,2,FALSE),0)*'FL Characterization'!U$2)</f>
        <v>78.17000005713227</v>
      </c>
      <c r="V4" s="2">
        <f ca="1">('[1]Pc, Summer, S2'!V4*Main!$B$5)+(_xlfn.IFNA(VLOOKUP($A4,'FL Ratio'!$A$3:$B$10,2,FALSE),0)*'FL Characterization'!V$2)</f>
        <v>77.527426393390087</v>
      </c>
      <c r="W4" s="2">
        <f ca="1">('[1]Pc, Summer, S2'!W4*Main!$B$5)+(_xlfn.IFNA(VLOOKUP($A4,'FL Ratio'!$A$3:$B$10,2,FALSE),0)*'FL Characterization'!W$2)</f>
        <v>80.306632102914719</v>
      </c>
      <c r="X4" s="2">
        <f ca="1">('[1]Pc, Summer, S2'!X4*Main!$B$5)+(_xlfn.IFNA(VLOOKUP($A4,'FL Ratio'!$A$3:$B$10,2,FALSE),0)*'FL Characterization'!X$2)</f>
        <v>78.460707878287721</v>
      </c>
      <c r="Y4" s="2">
        <f ca="1">('[1]Pc, Summer, S2'!Y4*Main!$B$5)+(_xlfn.IFNA(VLOOKUP($A4,'FL Ratio'!$A$3:$B$10,2,FALSE),0)*'FL Characterization'!Y$2)</f>
        <v>70.122877084232542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39.981750259377407</v>
      </c>
      <c r="C2" s="2">
        <f ca="1">('[1]Pc, Summer, S3'!C2*Main!$B$5)+(_xlfn.IFNA(VLOOKUP($A2,'FL Ratio'!$A$3:$B$10,2,FALSE),0)*'FL Characterization'!C$2)</f>
        <v>36.325209322996209</v>
      </c>
      <c r="D2" s="2">
        <f ca="1">('[1]Pc, Summer, S3'!D2*Main!$B$5)+(_xlfn.IFNA(VLOOKUP($A2,'FL Ratio'!$A$3:$B$10,2,FALSE),0)*'FL Characterization'!D$2)</f>
        <v>35.690702325193975</v>
      </c>
      <c r="E2" s="2">
        <f ca="1">('[1]Pc, Summer, S3'!E2*Main!$B$5)+(_xlfn.IFNA(VLOOKUP($A2,'FL Ratio'!$A$3:$B$10,2,FALSE),0)*'FL Characterization'!E$2)</f>
        <v>35.599528140169525</v>
      </c>
      <c r="F2" s="2">
        <f ca="1">('[1]Pc, Summer, S3'!F2*Main!$B$5)+(_xlfn.IFNA(VLOOKUP($A2,'FL Ratio'!$A$3:$B$10,2,FALSE),0)*'FL Characterization'!F$2)</f>
        <v>35.602334810897261</v>
      </c>
      <c r="G2" s="2">
        <f ca="1">('[1]Pc, Summer, S3'!G2*Main!$B$5)+(_xlfn.IFNA(VLOOKUP($A2,'FL Ratio'!$A$3:$B$10,2,FALSE),0)*'FL Characterization'!G$2)</f>
        <v>35.287478164606469</v>
      </c>
      <c r="H2" s="2">
        <f ca="1">('[1]Pc, Summer, S3'!H2*Main!$B$5)+(_xlfn.IFNA(VLOOKUP($A2,'FL Ratio'!$A$3:$B$10,2,FALSE),0)*'FL Characterization'!H$2)</f>
        <v>38.09598268167273</v>
      </c>
      <c r="I2" s="2">
        <f ca="1">('[1]Pc, Summer, S3'!I2*Main!$B$5)+(_xlfn.IFNA(VLOOKUP($A2,'FL Ratio'!$A$3:$B$10,2,FALSE),0)*'FL Characterization'!I$2)</f>
        <v>45.229238593540821</v>
      </c>
      <c r="J2" s="2">
        <f ca="1">('[1]Pc, Summer, S3'!J2*Main!$B$5)+(_xlfn.IFNA(VLOOKUP($A2,'FL Ratio'!$A$3:$B$10,2,FALSE),0)*'FL Characterization'!J$2)</f>
        <v>51.548471207441196</v>
      </c>
      <c r="K2" s="2">
        <f ca="1">('[1]Pc, Summer, S3'!K2*Main!$B$5)+(_xlfn.IFNA(VLOOKUP($A2,'FL Ratio'!$A$3:$B$10,2,FALSE),0)*'FL Characterization'!K$2)</f>
        <v>53.132455169828454</v>
      </c>
      <c r="L2" s="2">
        <f ca="1">('[1]Pc, Summer, S3'!L2*Main!$B$5)+(_xlfn.IFNA(VLOOKUP($A2,'FL Ratio'!$A$3:$B$10,2,FALSE),0)*'FL Characterization'!L$2)</f>
        <v>52.594768898209153</v>
      </c>
      <c r="M2" s="2">
        <f ca="1">('[1]Pc, Summer, S3'!M2*Main!$B$5)+(_xlfn.IFNA(VLOOKUP($A2,'FL Ratio'!$A$3:$B$10,2,FALSE),0)*'FL Characterization'!M$2)</f>
        <v>54.082075740287152</v>
      </c>
      <c r="N2" s="2">
        <f ca="1">('[1]Pc, Summer, S3'!N2*Main!$B$5)+(_xlfn.IFNA(VLOOKUP($A2,'FL Ratio'!$A$3:$B$10,2,FALSE),0)*'FL Characterization'!N$2)</f>
        <v>54.823967786986763</v>
      </c>
      <c r="O2" s="2">
        <f ca="1">('[1]Pc, Summer, S3'!O2*Main!$B$5)+(_xlfn.IFNA(VLOOKUP($A2,'FL Ratio'!$A$3:$B$10,2,FALSE),0)*'FL Characterization'!O$2)</f>
        <v>53.809827091929868</v>
      </c>
      <c r="P2" s="2">
        <f ca="1">('[1]Pc, Summer, S3'!P2*Main!$B$5)+(_xlfn.IFNA(VLOOKUP($A2,'FL Ratio'!$A$3:$B$10,2,FALSE),0)*'FL Characterization'!P$2)</f>
        <v>51.707196867114654</v>
      </c>
      <c r="Q2" s="2">
        <f ca="1">('[1]Pc, Summer, S3'!Q2*Main!$B$5)+(_xlfn.IFNA(VLOOKUP($A2,'FL Ratio'!$A$3:$B$10,2,FALSE),0)*'FL Characterization'!Q$2)</f>
        <v>49.626071399081546</v>
      </c>
      <c r="R2" s="2">
        <f ca="1">('[1]Pc, Summer, S3'!R2*Main!$B$5)+(_xlfn.IFNA(VLOOKUP($A2,'FL Ratio'!$A$3:$B$10,2,FALSE),0)*'FL Characterization'!R$2)</f>
        <v>50.49188370356736</v>
      </c>
      <c r="S2" s="2">
        <f ca="1">('[1]Pc, Summer, S3'!S2*Main!$B$5)+(_xlfn.IFNA(VLOOKUP($A2,'FL Ratio'!$A$3:$B$10,2,FALSE),0)*'FL Characterization'!S$2)</f>
        <v>50.990730901576171</v>
      </c>
      <c r="T2" s="2">
        <f ca="1">('[1]Pc, Summer, S3'!T2*Main!$B$5)+(_xlfn.IFNA(VLOOKUP($A2,'FL Ratio'!$A$3:$B$10,2,FALSE),0)*'FL Characterization'!T$2)</f>
        <v>51.20716761216984</v>
      </c>
      <c r="U2" s="2">
        <f ca="1">('[1]Pc, Summer, S3'!U2*Main!$B$5)+(_xlfn.IFNA(VLOOKUP($A2,'FL Ratio'!$A$3:$B$10,2,FALSE),0)*'FL Characterization'!U$2)</f>
        <v>50.359453571088032</v>
      </c>
      <c r="V2" s="2">
        <f ca="1">('[1]Pc, Summer, S3'!V2*Main!$B$5)+(_xlfn.IFNA(VLOOKUP($A2,'FL Ratio'!$A$3:$B$10,2,FALSE),0)*'FL Characterization'!V$2)</f>
        <v>50.510761545372603</v>
      </c>
      <c r="W2" s="2">
        <f ca="1">('[1]Pc, Summer, S3'!W2*Main!$B$5)+(_xlfn.IFNA(VLOOKUP($A2,'FL Ratio'!$A$3:$B$10,2,FALSE),0)*'FL Characterization'!W$2)</f>
        <v>52.602814745334605</v>
      </c>
      <c r="X2" s="2">
        <f ca="1">('[1]Pc, Summer, S3'!X2*Main!$B$5)+(_xlfn.IFNA(VLOOKUP($A2,'FL Ratio'!$A$3:$B$10,2,FALSE),0)*'FL Characterization'!X$2)</f>
        <v>49.032190240702178</v>
      </c>
      <c r="Y2" s="2">
        <f ca="1">('[1]Pc, Summer, S3'!Y2*Main!$B$5)+(_xlfn.IFNA(VLOOKUP($A2,'FL Ratio'!$A$3:$B$10,2,FALSE),0)*'FL Characterization'!Y$2)</f>
        <v>44.947535395016224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40.539038702079274</v>
      </c>
      <c r="C3" s="2">
        <f ca="1">('[1]Pc, Summer, S3'!C3*Main!$B$5)+(_xlfn.IFNA(VLOOKUP($A3,'FL Ratio'!$A$3:$B$10,2,FALSE),0)*'FL Characterization'!C$2)</f>
        <v>36.912012717537074</v>
      </c>
      <c r="D3" s="2">
        <f ca="1">('[1]Pc, Summer, S3'!D3*Main!$B$5)+(_xlfn.IFNA(VLOOKUP($A3,'FL Ratio'!$A$3:$B$10,2,FALSE),0)*'FL Characterization'!D$2)</f>
        <v>35.105295065035314</v>
      </c>
      <c r="E3" s="2">
        <f ca="1">('[1]Pc, Summer, S3'!E3*Main!$B$5)+(_xlfn.IFNA(VLOOKUP($A3,'FL Ratio'!$A$3:$B$10,2,FALSE),0)*'FL Characterization'!E$2)</f>
        <v>33.855541581159684</v>
      </c>
      <c r="F3" s="2">
        <f ca="1">('[1]Pc, Summer, S3'!F3*Main!$B$5)+(_xlfn.IFNA(VLOOKUP($A3,'FL Ratio'!$A$3:$B$10,2,FALSE),0)*'FL Characterization'!F$2)</f>
        <v>33.855541581159684</v>
      </c>
      <c r="G3" s="2">
        <f ca="1">('[1]Pc, Summer, S3'!G3*Main!$B$5)+(_xlfn.IFNA(VLOOKUP($A3,'FL Ratio'!$A$3:$B$10,2,FALSE),0)*'FL Characterization'!G$2)</f>
        <v>36.300720815434815</v>
      </c>
      <c r="H3" s="2">
        <f ca="1">('[1]Pc, Summer, S3'!H3*Main!$B$5)+(_xlfn.IFNA(VLOOKUP($A3,'FL Ratio'!$A$3:$B$10,2,FALSE),0)*'FL Characterization'!H$2)</f>
        <v>45.483727829693684</v>
      </c>
      <c r="I3" s="2">
        <f ca="1">('[1]Pc, Summer, S3'!I3*Main!$B$5)+(_xlfn.IFNA(VLOOKUP($A3,'FL Ratio'!$A$3:$B$10,2,FALSE),0)*'FL Characterization'!I$2)</f>
        <v>55.970810217776879</v>
      </c>
      <c r="J3" s="2">
        <f ca="1">('[1]Pc, Summer, S3'!J3*Main!$B$5)+(_xlfn.IFNA(VLOOKUP($A3,'FL Ratio'!$A$3:$B$10,2,FALSE),0)*'FL Characterization'!J$2)</f>
        <v>58.415992381464328</v>
      </c>
      <c r="K3" s="2">
        <f ca="1">('[1]Pc, Summer, S3'!K3*Main!$B$5)+(_xlfn.IFNA(VLOOKUP($A3,'FL Ratio'!$A$3:$B$10,2,FALSE),0)*'FL Characterization'!K$2)</f>
        <v>57.193399842563046</v>
      </c>
      <c r="L3" s="2">
        <f ca="1">('[1]Pc, Summer, S3'!L3*Main!$B$5)+(_xlfn.IFNA(VLOOKUP($A3,'FL Ratio'!$A$3:$B$10,2,FALSE),0)*'FL Characterization'!L$2)</f>
        <v>57.16623598347357</v>
      </c>
      <c r="M3" s="2">
        <f ca="1">('[1]Pc, Summer, S3'!M3*Main!$B$5)+(_xlfn.IFNA(VLOOKUP($A3,'FL Ratio'!$A$3:$B$10,2,FALSE),0)*'FL Characterization'!M$2)</f>
        <v>60.915519763318628</v>
      </c>
      <c r="N3" s="2">
        <f ca="1">('[1]Pc, Summer, S3'!N3*Main!$B$5)+(_xlfn.IFNA(VLOOKUP($A3,'FL Ratio'!$A$3:$B$10,2,FALSE),0)*'FL Characterization'!N$2)</f>
        <v>60.915519763318628</v>
      </c>
      <c r="O3" s="2">
        <f ca="1">('[1]Pc, Summer, S3'!O3*Main!$B$5)+(_xlfn.IFNA(VLOOKUP($A3,'FL Ratio'!$A$3:$B$10,2,FALSE),0)*'FL Characterization'!O$2)</f>
        <v>60.915519763318628</v>
      </c>
      <c r="P3" s="2">
        <f ca="1">('[1]Pc, Summer, S3'!P3*Main!$B$5)+(_xlfn.IFNA(VLOOKUP($A3,'FL Ratio'!$A$3:$B$10,2,FALSE),0)*'FL Characterization'!P$2)</f>
        <v>57.859039873122981</v>
      </c>
      <c r="Q3" s="2">
        <f ca="1">('[1]Pc, Summer, S3'!Q3*Main!$B$5)+(_xlfn.IFNA(VLOOKUP($A3,'FL Ratio'!$A$3:$B$10,2,FALSE),0)*'FL Characterization'!Q$2)</f>
        <v>54.775390291783317</v>
      </c>
      <c r="R3" s="2">
        <f ca="1">('[1]Pc, Summer, S3'!R3*Main!$B$5)+(_xlfn.IFNA(VLOOKUP($A3,'FL Ratio'!$A$3:$B$10,2,FALSE),0)*'FL Characterization'!R$2)</f>
        <v>51.026112343992814</v>
      </c>
      <c r="S3" s="2">
        <f ca="1">('[1]Pc, Summer, S3'!S3*Main!$B$5)+(_xlfn.IFNA(VLOOKUP($A3,'FL Ratio'!$A$3:$B$10,2,FALSE),0)*'FL Characterization'!S$2)</f>
        <v>51.026112343992814</v>
      </c>
      <c r="T3" s="2">
        <f ca="1">('[1]Pc, Summer, S3'!T3*Main!$B$5)+(_xlfn.IFNA(VLOOKUP($A3,'FL Ratio'!$A$3:$B$10,2,FALSE),0)*'FL Characterization'!T$2)</f>
        <v>51.026112343992814</v>
      </c>
      <c r="U3" s="2">
        <f ca="1">('[1]Pc, Summer, S3'!U3*Main!$B$5)+(_xlfn.IFNA(VLOOKUP($A3,'FL Ratio'!$A$3:$B$10,2,FALSE),0)*'FL Characterization'!U$2)</f>
        <v>51.026112343992814</v>
      </c>
      <c r="V3" s="2">
        <f ca="1">('[1]Pc, Summer, S3'!V3*Main!$B$5)+(_xlfn.IFNA(VLOOKUP($A3,'FL Ratio'!$A$3:$B$10,2,FALSE),0)*'FL Characterization'!V$2)</f>
        <v>51.026112343992814</v>
      </c>
      <c r="W3" s="2">
        <f ca="1">('[1]Pc, Summer, S3'!W3*Main!$B$5)+(_xlfn.IFNA(VLOOKUP($A3,'FL Ratio'!$A$3:$B$10,2,FALSE),0)*'FL Characterization'!W$2)</f>
        <v>51.026112343992814</v>
      </c>
      <c r="X3" s="2">
        <f ca="1">('[1]Pc, Summer, S3'!X3*Main!$B$5)+(_xlfn.IFNA(VLOOKUP($A3,'FL Ratio'!$A$3:$B$10,2,FALSE),0)*'FL Characterization'!X$2)</f>
        <v>49.192236660631821</v>
      </c>
      <c r="Y3" s="2">
        <f ca="1">('[1]Pc, Summer, S3'!Y3*Main!$B$5)+(_xlfn.IFNA(VLOOKUP($A3,'FL Ratio'!$A$3:$B$10,2,FALSE),0)*'FL Characterization'!Y$2)</f>
        <v>46.027092572611451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54.660549706751254</v>
      </c>
      <c r="C4" s="2">
        <f ca="1">('[1]Pc, Summer, S3'!C4*Main!$B$5)+(_xlfn.IFNA(VLOOKUP($A4,'FL Ratio'!$A$3:$B$10,2,FALSE),0)*'FL Characterization'!C$2)</f>
        <v>48.117806249983033</v>
      </c>
      <c r="D4" s="2">
        <f ca="1">('[1]Pc, Summer, S3'!D4*Main!$B$5)+(_xlfn.IFNA(VLOOKUP($A4,'FL Ratio'!$A$3:$B$10,2,FALSE),0)*'FL Characterization'!D$2)</f>
        <v>45.500545175366845</v>
      </c>
      <c r="E4" s="2">
        <f ca="1">('[1]Pc, Summer, S3'!E4*Main!$B$5)+(_xlfn.IFNA(VLOOKUP($A4,'FL Ratio'!$A$3:$B$10,2,FALSE),0)*'FL Characterization'!E$2)</f>
        <v>44.057442904479331</v>
      </c>
      <c r="F4" s="2">
        <f ca="1">('[1]Pc, Summer, S3'!F4*Main!$B$5)+(_xlfn.IFNA(VLOOKUP($A4,'FL Ratio'!$A$3:$B$10,2,FALSE),0)*'FL Characterization'!F$2)</f>
        <v>46.705013487429788</v>
      </c>
      <c r="G4" s="2">
        <f ca="1">('[1]Pc, Summer, S3'!G4*Main!$B$5)+(_xlfn.IFNA(VLOOKUP($A4,'FL Ratio'!$A$3:$B$10,2,FALSE),0)*'FL Characterization'!G$2)</f>
        <v>42.778791139839811</v>
      </c>
      <c r="H4" s="2">
        <f ca="1">('[1]Pc, Summer, S3'!H4*Main!$B$5)+(_xlfn.IFNA(VLOOKUP($A4,'FL Ratio'!$A$3:$B$10,2,FALSE),0)*'FL Characterization'!H$2)</f>
        <v>50.171716592515068</v>
      </c>
      <c r="I4" s="2">
        <f ca="1">('[1]Pc, Summer, S3'!I4*Main!$B$5)+(_xlfn.IFNA(VLOOKUP($A4,'FL Ratio'!$A$3:$B$10,2,FALSE),0)*'FL Characterization'!I$2)</f>
        <v>58.233452691365692</v>
      </c>
      <c r="J4" s="2">
        <f ca="1">('[1]Pc, Summer, S3'!J4*Main!$B$5)+(_xlfn.IFNA(VLOOKUP($A4,'FL Ratio'!$A$3:$B$10,2,FALSE),0)*'FL Characterization'!J$2)</f>
        <v>65.603915438317642</v>
      </c>
      <c r="K4" s="2">
        <f ca="1">('[1]Pc, Summer, S3'!K4*Main!$B$5)+(_xlfn.IFNA(VLOOKUP($A4,'FL Ratio'!$A$3:$B$10,2,FALSE),0)*'FL Characterization'!K$2)</f>
        <v>70.410463923193632</v>
      </c>
      <c r="L4" s="2">
        <f ca="1">('[1]Pc, Summer, S3'!L4*Main!$B$5)+(_xlfn.IFNA(VLOOKUP($A4,'FL Ratio'!$A$3:$B$10,2,FALSE),0)*'FL Characterization'!L$2)</f>
        <v>72.663751058506989</v>
      </c>
      <c r="M4" s="2">
        <f ca="1">('[1]Pc, Summer, S3'!M4*Main!$B$5)+(_xlfn.IFNA(VLOOKUP($A4,'FL Ratio'!$A$3:$B$10,2,FALSE),0)*'FL Characterization'!M$2)</f>
        <v>73.8137615024186</v>
      </c>
      <c r="N4" s="2">
        <f ca="1">('[1]Pc, Summer, S3'!N4*Main!$B$5)+(_xlfn.IFNA(VLOOKUP($A4,'FL Ratio'!$A$3:$B$10,2,FALSE),0)*'FL Characterization'!N$2)</f>
        <v>75.263106785679597</v>
      </c>
      <c r="O4" s="2">
        <f ca="1">('[1]Pc, Summer, S3'!O4*Main!$B$5)+(_xlfn.IFNA(VLOOKUP($A4,'FL Ratio'!$A$3:$B$10,2,FALSE),0)*'FL Characterization'!O$2)</f>
        <v>75.879539222268349</v>
      </c>
      <c r="P4" s="2">
        <f ca="1">('[1]Pc, Summer, S3'!P4*Main!$B$5)+(_xlfn.IFNA(VLOOKUP($A4,'FL Ratio'!$A$3:$B$10,2,FALSE),0)*'FL Characterization'!P$2)</f>
        <v>76.144399704148285</v>
      </c>
      <c r="Q4" s="2">
        <f ca="1">('[1]Pc, Summer, S3'!Q4*Main!$B$5)+(_xlfn.IFNA(VLOOKUP($A4,'FL Ratio'!$A$3:$B$10,2,FALSE),0)*'FL Characterization'!Q$2)</f>
        <v>73.273816465403641</v>
      </c>
      <c r="R4" s="2">
        <f ca="1">('[1]Pc, Summer, S3'!R4*Main!$B$5)+(_xlfn.IFNA(VLOOKUP($A4,'FL Ratio'!$A$3:$B$10,2,FALSE),0)*'FL Characterization'!R$2)</f>
        <v>73.310491504593415</v>
      </c>
      <c r="S4" s="2">
        <f ca="1">('[1]Pc, Summer, S3'!S4*Main!$B$5)+(_xlfn.IFNA(VLOOKUP($A4,'FL Ratio'!$A$3:$B$10,2,FALSE),0)*'FL Characterization'!S$2)</f>
        <v>70.452312265272226</v>
      </c>
      <c r="T4" s="2">
        <f ca="1">('[1]Pc, Summer, S3'!T4*Main!$B$5)+(_xlfn.IFNA(VLOOKUP($A4,'FL Ratio'!$A$3:$B$10,2,FALSE),0)*'FL Characterization'!T$2)</f>
        <v>70.823001719036299</v>
      </c>
      <c r="U4" s="2">
        <f ca="1">('[1]Pc, Summer, S3'!U4*Main!$B$5)+(_xlfn.IFNA(VLOOKUP($A4,'FL Ratio'!$A$3:$B$10,2,FALSE),0)*'FL Characterization'!U$2)</f>
        <v>71.405288513726589</v>
      </c>
      <c r="V4" s="2">
        <f ca="1">('[1]Pc, Summer, S3'!V4*Main!$B$5)+(_xlfn.IFNA(VLOOKUP($A4,'FL Ratio'!$A$3:$B$10,2,FALSE),0)*'FL Characterization'!V$2)</f>
        <v>70.818322186269796</v>
      </c>
      <c r="W4" s="2">
        <f ca="1">('[1]Pc, Summer, S3'!W4*Main!$B$5)+(_xlfn.IFNA(VLOOKUP($A4,'FL Ratio'!$A$3:$B$10,2,FALSE),0)*'FL Characterization'!W$2)</f>
        <v>73.357019709393256</v>
      </c>
      <c r="X4" s="2">
        <f ca="1">('[1]Pc, Summer, S3'!X4*Main!$B$5)+(_xlfn.IFNA(VLOOKUP($A4,'FL Ratio'!$A$3:$B$10,2,FALSE),0)*'FL Characterization'!X$2)</f>
        <v>71.670838927282048</v>
      </c>
      <c r="Y4" s="2">
        <f ca="1">('[1]Pc, Summer, S3'!Y4*Main!$B$5)+(_xlfn.IFNA(VLOOKUP($A4,'FL Ratio'!$A$3:$B$10,2,FALSE),0)*'FL Characterization'!Y$2)</f>
        <v>64.054551182712402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39.981750259377407</v>
      </c>
      <c r="C2" s="2">
        <f ca="1">('[1]Pc, Summer, S3'!C2*Main!$B$5)+(_xlfn.IFNA(VLOOKUP($A2,'FL Ratio'!$A$3:$B$10,2,FALSE),0)*'FL Characterization'!C$2)</f>
        <v>36.325209322996209</v>
      </c>
      <c r="D2" s="2">
        <f ca="1">('[1]Pc, Summer, S3'!D2*Main!$B$5)+(_xlfn.IFNA(VLOOKUP($A2,'FL Ratio'!$A$3:$B$10,2,FALSE),0)*'FL Characterization'!D$2)</f>
        <v>35.690702325193975</v>
      </c>
      <c r="E2" s="2">
        <f ca="1">('[1]Pc, Summer, S3'!E2*Main!$B$5)+(_xlfn.IFNA(VLOOKUP($A2,'FL Ratio'!$A$3:$B$10,2,FALSE),0)*'FL Characterization'!E$2)</f>
        <v>35.599528140169525</v>
      </c>
      <c r="F2" s="2">
        <f ca="1">('[1]Pc, Summer, S3'!F2*Main!$B$5)+(_xlfn.IFNA(VLOOKUP($A2,'FL Ratio'!$A$3:$B$10,2,FALSE),0)*'FL Characterization'!F$2)</f>
        <v>35.602334810897261</v>
      </c>
      <c r="G2" s="2">
        <f ca="1">('[1]Pc, Summer, S3'!G2*Main!$B$5)+(_xlfn.IFNA(VLOOKUP($A2,'FL Ratio'!$A$3:$B$10,2,FALSE),0)*'FL Characterization'!G$2)</f>
        <v>35.287478164606469</v>
      </c>
      <c r="H2" s="2">
        <f ca="1">('[1]Pc, Summer, S3'!H2*Main!$B$5)+(_xlfn.IFNA(VLOOKUP($A2,'FL Ratio'!$A$3:$B$10,2,FALSE),0)*'FL Characterization'!H$2)</f>
        <v>38.09598268167273</v>
      </c>
      <c r="I2" s="2">
        <f ca="1">('[1]Pc, Summer, S3'!I2*Main!$B$5)+(_xlfn.IFNA(VLOOKUP($A2,'FL Ratio'!$A$3:$B$10,2,FALSE),0)*'FL Characterization'!I$2)</f>
        <v>45.229238593540821</v>
      </c>
      <c r="J2" s="2">
        <f ca="1">('[1]Pc, Summer, S3'!J2*Main!$B$5)+(_xlfn.IFNA(VLOOKUP($A2,'FL Ratio'!$A$3:$B$10,2,FALSE),0)*'FL Characterization'!J$2)</f>
        <v>51.548471207441196</v>
      </c>
      <c r="K2" s="2">
        <f ca="1">('[1]Pc, Summer, S3'!K2*Main!$B$5)+(_xlfn.IFNA(VLOOKUP($A2,'FL Ratio'!$A$3:$B$10,2,FALSE),0)*'FL Characterization'!K$2)</f>
        <v>53.132455169828454</v>
      </c>
      <c r="L2" s="2">
        <f ca="1">('[1]Pc, Summer, S3'!L2*Main!$B$5)+(_xlfn.IFNA(VLOOKUP($A2,'FL Ratio'!$A$3:$B$10,2,FALSE),0)*'FL Characterization'!L$2)</f>
        <v>52.594768898209153</v>
      </c>
      <c r="M2" s="2">
        <f ca="1">('[1]Pc, Summer, S3'!M2*Main!$B$5)+(_xlfn.IFNA(VLOOKUP($A2,'FL Ratio'!$A$3:$B$10,2,FALSE),0)*'FL Characterization'!M$2)</f>
        <v>54.082075740287152</v>
      </c>
      <c r="N2" s="2">
        <f ca="1">('[1]Pc, Summer, S3'!N2*Main!$B$5)+(_xlfn.IFNA(VLOOKUP($A2,'FL Ratio'!$A$3:$B$10,2,FALSE),0)*'FL Characterization'!N$2)</f>
        <v>54.823967786986763</v>
      </c>
      <c r="O2" s="2">
        <f ca="1">('[1]Pc, Summer, S3'!O2*Main!$B$5)+(_xlfn.IFNA(VLOOKUP($A2,'FL Ratio'!$A$3:$B$10,2,FALSE),0)*'FL Characterization'!O$2)</f>
        <v>53.809827091929868</v>
      </c>
      <c r="P2" s="2">
        <f ca="1">('[1]Pc, Summer, S3'!P2*Main!$B$5)+(_xlfn.IFNA(VLOOKUP($A2,'FL Ratio'!$A$3:$B$10,2,FALSE),0)*'FL Characterization'!P$2)</f>
        <v>51.707196867114654</v>
      </c>
      <c r="Q2" s="2">
        <f ca="1">('[1]Pc, Summer, S3'!Q2*Main!$B$5)+(_xlfn.IFNA(VLOOKUP($A2,'FL Ratio'!$A$3:$B$10,2,FALSE),0)*'FL Characterization'!Q$2)</f>
        <v>49.626071399081546</v>
      </c>
      <c r="R2" s="2">
        <f ca="1">('[1]Pc, Summer, S3'!R2*Main!$B$5)+(_xlfn.IFNA(VLOOKUP($A2,'FL Ratio'!$A$3:$B$10,2,FALSE),0)*'FL Characterization'!R$2)</f>
        <v>50.49188370356736</v>
      </c>
      <c r="S2" s="2">
        <f ca="1">('[1]Pc, Summer, S3'!S2*Main!$B$5)+(_xlfn.IFNA(VLOOKUP($A2,'FL Ratio'!$A$3:$B$10,2,FALSE),0)*'FL Characterization'!S$2)</f>
        <v>50.990730901576171</v>
      </c>
      <c r="T2" s="2">
        <f ca="1">('[1]Pc, Summer, S3'!T2*Main!$B$5)+(_xlfn.IFNA(VLOOKUP($A2,'FL Ratio'!$A$3:$B$10,2,FALSE),0)*'FL Characterization'!T$2)</f>
        <v>51.20716761216984</v>
      </c>
      <c r="U2" s="2">
        <f ca="1">('[1]Pc, Summer, S3'!U2*Main!$B$5)+(_xlfn.IFNA(VLOOKUP($A2,'FL Ratio'!$A$3:$B$10,2,FALSE),0)*'FL Characterization'!U$2)</f>
        <v>50.359453571088032</v>
      </c>
      <c r="V2" s="2">
        <f ca="1">('[1]Pc, Summer, S3'!V2*Main!$B$5)+(_xlfn.IFNA(VLOOKUP($A2,'FL Ratio'!$A$3:$B$10,2,FALSE),0)*'FL Characterization'!V$2)</f>
        <v>50.510761545372603</v>
      </c>
      <c r="W2" s="2">
        <f ca="1">('[1]Pc, Summer, S3'!W2*Main!$B$5)+(_xlfn.IFNA(VLOOKUP($A2,'FL Ratio'!$A$3:$B$10,2,FALSE),0)*'FL Characterization'!W$2)</f>
        <v>52.602814745334605</v>
      </c>
      <c r="X2" s="2">
        <f ca="1">('[1]Pc, Summer, S3'!X2*Main!$B$5)+(_xlfn.IFNA(VLOOKUP($A2,'FL Ratio'!$A$3:$B$10,2,FALSE),0)*'FL Characterization'!X$2)</f>
        <v>49.032190240702178</v>
      </c>
      <c r="Y2" s="2">
        <f ca="1">('[1]Pc, Summer, S3'!Y2*Main!$B$5)+(_xlfn.IFNA(VLOOKUP($A2,'FL Ratio'!$A$3:$B$10,2,FALSE),0)*'FL Characterization'!Y$2)</f>
        <v>44.947535395016224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40.539038702079274</v>
      </c>
      <c r="C3" s="2">
        <f ca="1">('[1]Pc, Summer, S3'!C3*Main!$B$5)+(_xlfn.IFNA(VLOOKUP($A3,'FL Ratio'!$A$3:$B$10,2,FALSE),0)*'FL Characterization'!C$2)</f>
        <v>36.912012717537074</v>
      </c>
      <c r="D3" s="2">
        <f ca="1">('[1]Pc, Summer, S3'!D3*Main!$B$5)+(_xlfn.IFNA(VLOOKUP($A3,'FL Ratio'!$A$3:$B$10,2,FALSE),0)*'FL Characterization'!D$2)</f>
        <v>35.105295065035314</v>
      </c>
      <c r="E3" s="2">
        <f ca="1">('[1]Pc, Summer, S3'!E3*Main!$B$5)+(_xlfn.IFNA(VLOOKUP($A3,'FL Ratio'!$A$3:$B$10,2,FALSE),0)*'FL Characterization'!E$2)</f>
        <v>33.855541581159684</v>
      </c>
      <c r="F3" s="2">
        <f ca="1">('[1]Pc, Summer, S3'!F3*Main!$B$5)+(_xlfn.IFNA(VLOOKUP($A3,'FL Ratio'!$A$3:$B$10,2,FALSE),0)*'FL Characterization'!F$2)</f>
        <v>33.855541581159684</v>
      </c>
      <c r="G3" s="2">
        <f ca="1">('[1]Pc, Summer, S3'!G3*Main!$B$5)+(_xlfn.IFNA(VLOOKUP($A3,'FL Ratio'!$A$3:$B$10,2,FALSE),0)*'FL Characterization'!G$2)</f>
        <v>36.300720815434815</v>
      </c>
      <c r="H3" s="2">
        <f ca="1">('[1]Pc, Summer, S3'!H3*Main!$B$5)+(_xlfn.IFNA(VLOOKUP($A3,'FL Ratio'!$A$3:$B$10,2,FALSE),0)*'FL Characterization'!H$2)</f>
        <v>45.483727829693684</v>
      </c>
      <c r="I3" s="2">
        <f ca="1">('[1]Pc, Summer, S3'!I3*Main!$B$5)+(_xlfn.IFNA(VLOOKUP($A3,'FL Ratio'!$A$3:$B$10,2,FALSE),0)*'FL Characterization'!I$2)</f>
        <v>55.970810217776879</v>
      </c>
      <c r="J3" s="2">
        <f ca="1">('[1]Pc, Summer, S3'!J3*Main!$B$5)+(_xlfn.IFNA(VLOOKUP($A3,'FL Ratio'!$A$3:$B$10,2,FALSE),0)*'FL Characterization'!J$2)</f>
        <v>58.415992381464328</v>
      </c>
      <c r="K3" s="2">
        <f ca="1">('[1]Pc, Summer, S3'!K3*Main!$B$5)+(_xlfn.IFNA(VLOOKUP($A3,'FL Ratio'!$A$3:$B$10,2,FALSE),0)*'FL Characterization'!K$2)</f>
        <v>57.193399842563046</v>
      </c>
      <c r="L3" s="2">
        <f ca="1">('[1]Pc, Summer, S3'!L3*Main!$B$5)+(_xlfn.IFNA(VLOOKUP($A3,'FL Ratio'!$A$3:$B$10,2,FALSE),0)*'FL Characterization'!L$2)</f>
        <v>57.16623598347357</v>
      </c>
      <c r="M3" s="2">
        <f ca="1">('[1]Pc, Summer, S3'!M3*Main!$B$5)+(_xlfn.IFNA(VLOOKUP($A3,'FL Ratio'!$A$3:$B$10,2,FALSE),0)*'FL Characterization'!M$2)</f>
        <v>60.915519763318628</v>
      </c>
      <c r="N3" s="2">
        <f ca="1">('[1]Pc, Summer, S3'!N3*Main!$B$5)+(_xlfn.IFNA(VLOOKUP($A3,'FL Ratio'!$A$3:$B$10,2,FALSE),0)*'FL Characterization'!N$2)</f>
        <v>60.915519763318628</v>
      </c>
      <c r="O3" s="2">
        <f ca="1">('[1]Pc, Summer, S3'!O3*Main!$B$5)+(_xlfn.IFNA(VLOOKUP($A3,'FL Ratio'!$A$3:$B$10,2,FALSE),0)*'FL Characterization'!O$2)</f>
        <v>60.915519763318628</v>
      </c>
      <c r="P3" s="2">
        <f ca="1">('[1]Pc, Summer, S3'!P3*Main!$B$5)+(_xlfn.IFNA(VLOOKUP($A3,'FL Ratio'!$A$3:$B$10,2,FALSE),0)*'FL Characterization'!P$2)</f>
        <v>57.859039873122981</v>
      </c>
      <c r="Q3" s="2">
        <f ca="1">('[1]Pc, Summer, S3'!Q3*Main!$B$5)+(_xlfn.IFNA(VLOOKUP($A3,'FL Ratio'!$A$3:$B$10,2,FALSE),0)*'FL Characterization'!Q$2)</f>
        <v>54.775390291783317</v>
      </c>
      <c r="R3" s="2">
        <f ca="1">('[1]Pc, Summer, S3'!R3*Main!$B$5)+(_xlfn.IFNA(VLOOKUP($A3,'FL Ratio'!$A$3:$B$10,2,FALSE),0)*'FL Characterization'!R$2)</f>
        <v>51.026112343992814</v>
      </c>
      <c r="S3" s="2">
        <f ca="1">('[1]Pc, Summer, S3'!S3*Main!$B$5)+(_xlfn.IFNA(VLOOKUP($A3,'FL Ratio'!$A$3:$B$10,2,FALSE),0)*'FL Characterization'!S$2)</f>
        <v>51.026112343992814</v>
      </c>
      <c r="T3" s="2">
        <f ca="1">('[1]Pc, Summer, S3'!T3*Main!$B$5)+(_xlfn.IFNA(VLOOKUP($A3,'FL Ratio'!$A$3:$B$10,2,FALSE),0)*'FL Characterization'!T$2)</f>
        <v>51.026112343992814</v>
      </c>
      <c r="U3" s="2">
        <f ca="1">('[1]Pc, Summer, S3'!U3*Main!$B$5)+(_xlfn.IFNA(VLOOKUP($A3,'FL Ratio'!$A$3:$B$10,2,FALSE),0)*'FL Characterization'!U$2)</f>
        <v>51.026112343992814</v>
      </c>
      <c r="V3" s="2">
        <f ca="1">('[1]Pc, Summer, S3'!V3*Main!$B$5)+(_xlfn.IFNA(VLOOKUP($A3,'FL Ratio'!$A$3:$B$10,2,FALSE),0)*'FL Characterization'!V$2)</f>
        <v>51.026112343992814</v>
      </c>
      <c r="W3" s="2">
        <f ca="1">('[1]Pc, Summer, S3'!W3*Main!$B$5)+(_xlfn.IFNA(VLOOKUP($A3,'FL Ratio'!$A$3:$B$10,2,FALSE),0)*'FL Characterization'!W$2)</f>
        <v>51.026112343992814</v>
      </c>
      <c r="X3" s="2">
        <f ca="1">('[1]Pc, Summer, S3'!X3*Main!$B$5)+(_xlfn.IFNA(VLOOKUP($A3,'FL Ratio'!$A$3:$B$10,2,FALSE),0)*'FL Characterization'!X$2)</f>
        <v>49.192236660631821</v>
      </c>
      <c r="Y3" s="2">
        <f ca="1">('[1]Pc, Summer, S3'!Y3*Main!$B$5)+(_xlfn.IFNA(VLOOKUP($A3,'FL Ratio'!$A$3:$B$10,2,FALSE),0)*'FL Characterization'!Y$2)</f>
        <v>46.027092572611451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54.660549706751254</v>
      </c>
      <c r="C4" s="2">
        <f ca="1">('[1]Pc, Summer, S3'!C4*Main!$B$5)+(_xlfn.IFNA(VLOOKUP($A4,'FL Ratio'!$A$3:$B$10,2,FALSE),0)*'FL Characterization'!C$2)</f>
        <v>48.117806249983033</v>
      </c>
      <c r="D4" s="2">
        <f ca="1">('[1]Pc, Summer, S3'!D4*Main!$B$5)+(_xlfn.IFNA(VLOOKUP($A4,'FL Ratio'!$A$3:$B$10,2,FALSE),0)*'FL Characterization'!D$2)</f>
        <v>45.500545175366845</v>
      </c>
      <c r="E4" s="2">
        <f ca="1">('[1]Pc, Summer, S3'!E4*Main!$B$5)+(_xlfn.IFNA(VLOOKUP($A4,'FL Ratio'!$A$3:$B$10,2,FALSE),0)*'FL Characterization'!E$2)</f>
        <v>44.057442904479331</v>
      </c>
      <c r="F4" s="2">
        <f ca="1">('[1]Pc, Summer, S3'!F4*Main!$B$5)+(_xlfn.IFNA(VLOOKUP($A4,'FL Ratio'!$A$3:$B$10,2,FALSE),0)*'FL Characterization'!F$2)</f>
        <v>46.705013487429788</v>
      </c>
      <c r="G4" s="2">
        <f ca="1">('[1]Pc, Summer, S3'!G4*Main!$B$5)+(_xlfn.IFNA(VLOOKUP($A4,'FL Ratio'!$A$3:$B$10,2,FALSE),0)*'FL Characterization'!G$2)</f>
        <v>42.778791139839811</v>
      </c>
      <c r="H4" s="2">
        <f ca="1">('[1]Pc, Summer, S3'!H4*Main!$B$5)+(_xlfn.IFNA(VLOOKUP($A4,'FL Ratio'!$A$3:$B$10,2,FALSE),0)*'FL Characterization'!H$2)</f>
        <v>50.171716592515068</v>
      </c>
      <c r="I4" s="2">
        <f ca="1">('[1]Pc, Summer, S3'!I4*Main!$B$5)+(_xlfn.IFNA(VLOOKUP($A4,'FL Ratio'!$A$3:$B$10,2,FALSE),0)*'FL Characterization'!I$2)</f>
        <v>58.233452691365692</v>
      </c>
      <c r="J4" s="2">
        <f ca="1">('[1]Pc, Summer, S3'!J4*Main!$B$5)+(_xlfn.IFNA(VLOOKUP($A4,'FL Ratio'!$A$3:$B$10,2,FALSE),0)*'FL Characterization'!J$2)</f>
        <v>65.603915438317642</v>
      </c>
      <c r="K4" s="2">
        <f ca="1">('[1]Pc, Summer, S3'!K4*Main!$B$5)+(_xlfn.IFNA(VLOOKUP($A4,'FL Ratio'!$A$3:$B$10,2,FALSE),0)*'FL Characterization'!K$2)</f>
        <v>70.410463923193632</v>
      </c>
      <c r="L4" s="2">
        <f ca="1">('[1]Pc, Summer, S3'!L4*Main!$B$5)+(_xlfn.IFNA(VLOOKUP($A4,'FL Ratio'!$A$3:$B$10,2,FALSE),0)*'FL Characterization'!L$2)</f>
        <v>72.663751058506989</v>
      </c>
      <c r="M4" s="2">
        <f ca="1">('[1]Pc, Summer, S3'!M4*Main!$B$5)+(_xlfn.IFNA(VLOOKUP($A4,'FL Ratio'!$A$3:$B$10,2,FALSE),0)*'FL Characterization'!M$2)</f>
        <v>73.8137615024186</v>
      </c>
      <c r="N4" s="2">
        <f ca="1">('[1]Pc, Summer, S3'!N4*Main!$B$5)+(_xlfn.IFNA(VLOOKUP($A4,'FL Ratio'!$A$3:$B$10,2,FALSE),0)*'FL Characterization'!N$2)</f>
        <v>75.263106785679597</v>
      </c>
      <c r="O4" s="2">
        <f ca="1">('[1]Pc, Summer, S3'!O4*Main!$B$5)+(_xlfn.IFNA(VLOOKUP($A4,'FL Ratio'!$A$3:$B$10,2,FALSE),0)*'FL Characterization'!O$2)</f>
        <v>75.879539222268349</v>
      </c>
      <c r="P4" s="2">
        <f ca="1">('[1]Pc, Summer, S3'!P4*Main!$B$5)+(_xlfn.IFNA(VLOOKUP($A4,'FL Ratio'!$A$3:$B$10,2,FALSE),0)*'FL Characterization'!P$2)</f>
        <v>76.144399704148285</v>
      </c>
      <c r="Q4" s="2">
        <f ca="1">('[1]Pc, Summer, S3'!Q4*Main!$B$5)+(_xlfn.IFNA(VLOOKUP($A4,'FL Ratio'!$A$3:$B$10,2,FALSE),0)*'FL Characterization'!Q$2)</f>
        <v>73.273816465403641</v>
      </c>
      <c r="R4" s="2">
        <f ca="1">('[1]Pc, Summer, S3'!R4*Main!$B$5)+(_xlfn.IFNA(VLOOKUP($A4,'FL Ratio'!$A$3:$B$10,2,FALSE),0)*'FL Characterization'!R$2)</f>
        <v>73.310491504593415</v>
      </c>
      <c r="S4" s="2">
        <f ca="1">('[1]Pc, Summer, S3'!S4*Main!$B$5)+(_xlfn.IFNA(VLOOKUP($A4,'FL Ratio'!$A$3:$B$10,2,FALSE),0)*'FL Characterization'!S$2)</f>
        <v>70.452312265272226</v>
      </c>
      <c r="T4" s="2">
        <f ca="1">('[1]Pc, Summer, S3'!T4*Main!$B$5)+(_xlfn.IFNA(VLOOKUP($A4,'FL Ratio'!$A$3:$B$10,2,FALSE),0)*'FL Characterization'!T$2)</f>
        <v>70.823001719036299</v>
      </c>
      <c r="U4" s="2">
        <f ca="1">('[1]Pc, Summer, S3'!U4*Main!$B$5)+(_xlfn.IFNA(VLOOKUP($A4,'FL Ratio'!$A$3:$B$10,2,FALSE),0)*'FL Characterization'!U$2)</f>
        <v>71.405288513726589</v>
      </c>
      <c r="V4" s="2">
        <f ca="1">('[1]Pc, Summer, S3'!V4*Main!$B$5)+(_xlfn.IFNA(VLOOKUP($A4,'FL Ratio'!$A$3:$B$10,2,FALSE),0)*'FL Characterization'!V$2)</f>
        <v>70.818322186269796</v>
      </c>
      <c r="W4" s="2">
        <f ca="1">('[1]Pc, Summer, S3'!W4*Main!$B$5)+(_xlfn.IFNA(VLOOKUP($A4,'FL Ratio'!$A$3:$B$10,2,FALSE),0)*'FL Characterization'!W$2)</f>
        <v>73.357019709393256</v>
      </c>
      <c r="X4" s="2">
        <f ca="1">('[1]Pc, Summer, S3'!X4*Main!$B$5)+(_xlfn.IFNA(VLOOKUP($A4,'FL Ratio'!$A$3:$B$10,2,FALSE),0)*'FL Characterization'!X$2)</f>
        <v>71.670838927282048</v>
      </c>
      <c r="Y4" s="2">
        <f ca="1">('[1]Pc, Summer, S3'!Y4*Main!$B$5)+(_xlfn.IFNA(VLOOKUP($A4,'FL Ratio'!$A$3:$B$10,2,FALSE),0)*'FL Characterization'!Y$2)</f>
        <v>64.054551182712402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39.981750259377407</v>
      </c>
      <c r="C2" s="2">
        <f ca="1">('[1]Pc, Summer, S3'!C2*Main!$B$5)+(_xlfn.IFNA(VLOOKUP($A2,'FL Ratio'!$A$3:$B$10,2,FALSE),0)*'FL Characterization'!C$2)</f>
        <v>36.325209322996209</v>
      </c>
      <c r="D2" s="2">
        <f ca="1">('[1]Pc, Summer, S3'!D2*Main!$B$5)+(_xlfn.IFNA(VLOOKUP($A2,'FL Ratio'!$A$3:$B$10,2,FALSE),0)*'FL Characterization'!D$2)</f>
        <v>35.690702325193975</v>
      </c>
      <c r="E2" s="2">
        <f ca="1">('[1]Pc, Summer, S3'!E2*Main!$B$5)+(_xlfn.IFNA(VLOOKUP($A2,'FL Ratio'!$A$3:$B$10,2,FALSE),0)*'FL Characterization'!E$2)</f>
        <v>35.599528140169525</v>
      </c>
      <c r="F2" s="2">
        <f ca="1">('[1]Pc, Summer, S3'!F2*Main!$B$5)+(_xlfn.IFNA(VLOOKUP($A2,'FL Ratio'!$A$3:$B$10,2,FALSE),0)*'FL Characterization'!F$2)</f>
        <v>35.602334810897261</v>
      </c>
      <c r="G2" s="2">
        <f ca="1">('[1]Pc, Summer, S3'!G2*Main!$B$5)+(_xlfn.IFNA(VLOOKUP($A2,'FL Ratio'!$A$3:$B$10,2,FALSE),0)*'FL Characterization'!G$2)</f>
        <v>35.287478164606469</v>
      </c>
      <c r="H2" s="2">
        <f ca="1">('[1]Pc, Summer, S3'!H2*Main!$B$5)+(_xlfn.IFNA(VLOOKUP($A2,'FL Ratio'!$A$3:$B$10,2,FALSE),0)*'FL Characterization'!H$2)</f>
        <v>38.09598268167273</v>
      </c>
      <c r="I2" s="2">
        <f ca="1">('[1]Pc, Summer, S3'!I2*Main!$B$5)+(_xlfn.IFNA(VLOOKUP($A2,'FL Ratio'!$A$3:$B$10,2,FALSE),0)*'FL Characterization'!I$2)</f>
        <v>45.229238593540821</v>
      </c>
      <c r="J2" s="2">
        <f ca="1">('[1]Pc, Summer, S3'!J2*Main!$B$5)+(_xlfn.IFNA(VLOOKUP($A2,'FL Ratio'!$A$3:$B$10,2,FALSE),0)*'FL Characterization'!J$2)</f>
        <v>51.548471207441196</v>
      </c>
      <c r="K2" s="2">
        <f ca="1">('[1]Pc, Summer, S3'!K2*Main!$B$5)+(_xlfn.IFNA(VLOOKUP($A2,'FL Ratio'!$A$3:$B$10,2,FALSE),0)*'FL Characterization'!K$2)</f>
        <v>53.132455169828454</v>
      </c>
      <c r="L2" s="2">
        <f ca="1">('[1]Pc, Summer, S3'!L2*Main!$B$5)+(_xlfn.IFNA(VLOOKUP($A2,'FL Ratio'!$A$3:$B$10,2,FALSE),0)*'FL Characterization'!L$2)</f>
        <v>52.594768898209153</v>
      </c>
      <c r="M2" s="2">
        <f ca="1">('[1]Pc, Summer, S3'!M2*Main!$B$5)+(_xlfn.IFNA(VLOOKUP($A2,'FL Ratio'!$A$3:$B$10,2,FALSE),0)*'FL Characterization'!M$2)</f>
        <v>54.082075740287152</v>
      </c>
      <c r="N2" s="2">
        <f ca="1">('[1]Pc, Summer, S3'!N2*Main!$B$5)+(_xlfn.IFNA(VLOOKUP($A2,'FL Ratio'!$A$3:$B$10,2,FALSE),0)*'FL Characterization'!N$2)</f>
        <v>54.823967786986763</v>
      </c>
      <c r="O2" s="2">
        <f ca="1">('[1]Pc, Summer, S3'!O2*Main!$B$5)+(_xlfn.IFNA(VLOOKUP($A2,'FL Ratio'!$A$3:$B$10,2,FALSE),0)*'FL Characterization'!O$2)</f>
        <v>53.809827091929868</v>
      </c>
      <c r="P2" s="2">
        <f ca="1">('[1]Pc, Summer, S3'!P2*Main!$B$5)+(_xlfn.IFNA(VLOOKUP($A2,'FL Ratio'!$A$3:$B$10,2,FALSE),0)*'FL Characterization'!P$2)</f>
        <v>51.707196867114654</v>
      </c>
      <c r="Q2" s="2">
        <f ca="1">('[1]Pc, Summer, S3'!Q2*Main!$B$5)+(_xlfn.IFNA(VLOOKUP($A2,'FL Ratio'!$A$3:$B$10,2,FALSE),0)*'FL Characterization'!Q$2)</f>
        <v>49.626071399081546</v>
      </c>
      <c r="R2" s="2">
        <f ca="1">('[1]Pc, Summer, S3'!R2*Main!$B$5)+(_xlfn.IFNA(VLOOKUP($A2,'FL Ratio'!$A$3:$B$10,2,FALSE),0)*'FL Characterization'!R$2)</f>
        <v>50.49188370356736</v>
      </c>
      <c r="S2" s="2">
        <f ca="1">('[1]Pc, Summer, S3'!S2*Main!$B$5)+(_xlfn.IFNA(VLOOKUP($A2,'FL Ratio'!$A$3:$B$10,2,FALSE),0)*'FL Characterization'!S$2)</f>
        <v>50.990730901576171</v>
      </c>
      <c r="T2" s="2">
        <f ca="1">('[1]Pc, Summer, S3'!T2*Main!$B$5)+(_xlfn.IFNA(VLOOKUP($A2,'FL Ratio'!$A$3:$B$10,2,FALSE),0)*'FL Characterization'!T$2)</f>
        <v>51.20716761216984</v>
      </c>
      <c r="U2" s="2">
        <f ca="1">('[1]Pc, Summer, S3'!U2*Main!$B$5)+(_xlfn.IFNA(VLOOKUP($A2,'FL Ratio'!$A$3:$B$10,2,FALSE),0)*'FL Characterization'!U$2)</f>
        <v>50.359453571088032</v>
      </c>
      <c r="V2" s="2">
        <f ca="1">('[1]Pc, Summer, S3'!V2*Main!$B$5)+(_xlfn.IFNA(VLOOKUP($A2,'FL Ratio'!$A$3:$B$10,2,FALSE),0)*'FL Characterization'!V$2)</f>
        <v>50.510761545372603</v>
      </c>
      <c r="W2" s="2">
        <f ca="1">('[1]Pc, Summer, S3'!W2*Main!$B$5)+(_xlfn.IFNA(VLOOKUP($A2,'FL Ratio'!$A$3:$B$10,2,FALSE),0)*'FL Characterization'!W$2)</f>
        <v>52.602814745334605</v>
      </c>
      <c r="X2" s="2">
        <f ca="1">('[1]Pc, Summer, S3'!X2*Main!$B$5)+(_xlfn.IFNA(VLOOKUP($A2,'FL Ratio'!$A$3:$B$10,2,FALSE),0)*'FL Characterization'!X$2)</f>
        <v>49.032190240702178</v>
      </c>
      <c r="Y2" s="2">
        <f ca="1">('[1]Pc, Summer, S3'!Y2*Main!$B$5)+(_xlfn.IFNA(VLOOKUP($A2,'FL Ratio'!$A$3:$B$10,2,FALSE),0)*'FL Characterization'!Y$2)</f>
        <v>44.947535395016224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40.539038702079274</v>
      </c>
      <c r="C3" s="2">
        <f ca="1">('[1]Pc, Summer, S3'!C3*Main!$B$5)+(_xlfn.IFNA(VLOOKUP($A3,'FL Ratio'!$A$3:$B$10,2,FALSE),0)*'FL Characterization'!C$2)</f>
        <v>36.912012717537074</v>
      </c>
      <c r="D3" s="2">
        <f ca="1">('[1]Pc, Summer, S3'!D3*Main!$B$5)+(_xlfn.IFNA(VLOOKUP($A3,'FL Ratio'!$A$3:$B$10,2,FALSE),0)*'FL Characterization'!D$2)</f>
        <v>35.105295065035314</v>
      </c>
      <c r="E3" s="2">
        <f ca="1">('[1]Pc, Summer, S3'!E3*Main!$B$5)+(_xlfn.IFNA(VLOOKUP($A3,'FL Ratio'!$A$3:$B$10,2,FALSE),0)*'FL Characterization'!E$2)</f>
        <v>33.855541581159684</v>
      </c>
      <c r="F3" s="2">
        <f ca="1">('[1]Pc, Summer, S3'!F3*Main!$B$5)+(_xlfn.IFNA(VLOOKUP($A3,'FL Ratio'!$A$3:$B$10,2,FALSE),0)*'FL Characterization'!F$2)</f>
        <v>33.855541581159684</v>
      </c>
      <c r="G3" s="2">
        <f ca="1">('[1]Pc, Summer, S3'!G3*Main!$B$5)+(_xlfn.IFNA(VLOOKUP($A3,'FL Ratio'!$A$3:$B$10,2,FALSE),0)*'FL Characterization'!G$2)</f>
        <v>36.300720815434815</v>
      </c>
      <c r="H3" s="2">
        <f ca="1">('[1]Pc, Summer, S3'!H3*Main!$B$5)+(_xlfn.IFNA(VLOOKUP($A3,'FL Ratio'!$A$3:$B$10,2,FALSE),0)*'FL Characterization'!H$2)</f>
        <v>45.483727829693684</v>
      </c>
      <c r="I3" s="2">
        <f ca="1">('[1]Pc, Summer, S3'!I3*Main!$B$5)+(_xlfn.IFNA(VLOOKUP($A3,'FL Ratio'!$A$3:$B$10,2,FALSE),0)*'FL Characterization'!I$2)</f>
        <v>55.970810217776879</v>
      </c>
      <c r="J3" s="2">
        <f ca="1">('[1]Pc, Summer, S3'!J3*Main!$B$5)+(_xlfn.IFNA(VLOOKUP($A3,'FL Ratio'!$A$3:$B$10,2,FALSE),0)*'FL Characterization'!J$2)</f>
        <v>58.415992381464328</v>
      </c>
      <c r="K3" s="2">
        <f ca="1">('[1]Pc, Summer, S3'!K3*Main!$B$5)+(_xlfn.IFNA(VLOOKUP($A3,'FL Ratio'!$A$3:$B$10,2,FALSE),0)*'FL Characterization'!K$2)</f>
        <v>57.193399842563046</v>
      </c>
      <c r="L3" s="2">
        <f ca="1">('[1]Pc, Summer, S3'!L3*Main!$B$5)+(_xlfn.IFNA(VLOOKUP($A3,'FL Ratio'!$A$3:$B$10,2,FALSE),0)*'FL Characterization'!L$2)</f>
        <v>57.16623598347357</v>
      </c>
      <c r="M3" s="2">
        <f ca="1">('[1]Pc, Summer, S3'!M3*Main!$B$5)+(_xlfn.IFNA(VLOOKUP($A3,'FL Ratio'!$A$3:$B$10,2,FALSE),0)*'FL Characterization'!M$2)</f>
        <v>60.915519763318628</v>
      </c>
      <c r="N3" s="2">
        <f ca="1">('[1]Pc, Summer, S3'!N3*Main!$B$5)+(_xlfn.IFNA(VLOOKUP($A3,'FL Ratio'!$A$3:$B$10,2,FALSE),0)*'FL Characterization'!N$2)</f>
        <v>60.915519763318628</v>
      </c>
      <c r="O3" s="2">
        <f ca="1">('[1]Pc, Summer, S3'!O3*Main!$B$5)+(_xlfn.IFNA(VLOOKUP($A3,'FL Ratio'!$A$3:$B$10,2,FALSE),0)*'FL Characterization'!O$2)</f>
        <v>60.915519763318628</v>
      </c>
      <c r="P3" s="2">
        <f ca="1">('[1]Pc, Summer, S3'!P3*Main!$B$5)+(_xlfn.IFNA(VLOOKUP($A3,'FL Ratio'!$A$3:$B$10,2,FALSE),0)*'FL Characterization'!P$2)</f>
        <v>57.859039873122981</v>
      </c>
      <c r="Q3" s="2">
        <f ca="1">('[1]Pc, Summer, S3'!Q3*Main!$B$5)+(_xlfn.IFNA(VLOOKUP($A3,'FL Ratio'!$A$3:$B$10,2,FALSE),0)*'FL Characterization'!Q$2)</f>
        <v>54.775390291783317</v>
      </c>
      <c r="R3" s="2">
        <f ca="1">('[1]Pc, Summer, S3'!R3*Main!$B$5)+(_xlfn.IFNA(VLOOKUP($A3,'FL Ratio'!$A$3:$B$10,2,FALSE),0)*'FL Characterization'!R$2)</f>
        <v>51.026112343992814</v>
      </c>
      <c r="S3" s="2">
        <f ca="1">('[1]Pc, Summer, S3'!S3*Main!$B$5)+(_xlfn.IFNA(VLOOKUP($A3,'FL Ratio'!$A$3:$B$10,2,FALSE),0)*'FL Characterization'!S$2)</f>
        <v>51.026112343992814</v>
      </c>
      <c r="T3" s="2">
        <f ca="1">('[1]Pc, Summer, S3'!T3*Main!$B$5)+(_xlfn.IFNA(VLOOKUP($A3,'FL Ratio'!$A$3:$B$10,2,FALSE),0)*'FL Characterization'!T$2)</f>
        <v>51.026112343992814</v>
      </c>
      <c r="U3" s="2">
        <f ca="1">('[1]Pc, Summer, S3'!U3*Main!$B$5)+(_xlfn.IFNA(VLOOKUP($A3,'FL Ratio'!$A$3:$B$10,2,FALSE),0)*'FL Characterization'!U$2)</f>
        <v>51.026112343992814</v>
      </c>
      <c r="V3" s="2">
        <f ca="1">('[1]Pc, Summer, S3'!V3*Main!$B$5)+(_xlfn.IFNA(VLOOKUP($A3,'FL Ratio'!$A$3:$B$10,2,FALSE),0)*'FL Characterization'!V$2)</f>
        <v>51.026112343992814</v>
      </c>
      <c r="W3" s="2">
        <f ca="1">('[1]Pc, Summer, S3'!W3*Main!$B$5)+(_xlfn.IFNA(VLOOKUP($A3,'FL Ratio'!$A$3:$B$10,2,FALSE),0)*'FL Characterization'!W$2)</f>
        <v>51.026112343992814</v>
      </c>
      <c r="X3" s="2">
        <f ca="1">('[1]Pc, Summer, S3'!X3*Main!$B$5)+(_xlfn.IFNA(VLOOKUP($A3,'FL Ratio'!$A$3:$B$10,2,FALSE),0)*'FL Characterization'!X$2)</f>
        <v>49.192236660631821</v>
      </c>
      <c r="Y3" s="2">
        <f ca="1">('[1]Pc, Summer, S3'!Y3*Main!$B$5)+(_xlfn.IFNA(VLOOKUP($A3,'FL Ratio'!$A$3:$B$10,2,FALSE),0)*'FL Characterization'!Y$2)</f>
        <v>46.027092572611451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54.660549706751254</v>
      </c>
      <c r="C4" s="2">
        <f ca="1">('[1]Pc, Summer, S3'!C4*Main!$B$5)+(_xlfn.IFNA(VLOOKUP($A4,'FL Ratio'!$A$3:$B$10,2,FALSE),0)*'FL Characterization'!C$2)</f>
        <v>48.117806249983033</v>
      </c>
      <c r="D4" s="2">
        <f ca="1">('[1]Pc, Summer, S3'!D4*Main!$B$5)+(_xlfn.IFNA(VLOOKUP($A4,'FL Ratio'!$A$3:$B$10,2,FALSE),0)*'FL Characterization'!D$2)</f>
        <v>45.500545175366845</v>
      </c>
      <c r="E4" s="2">
        <f ca="1">('[1]Pc, Summer, S3'!E4*Main!$B$5)+(_xlfn.IFNA(VLOOKUP($A4,'FL Ratio'!$A$3:$B$10,2,FALSE),0)*'FL Characterization'!E$2)</f>
        <v>44.057442904479331</v>
      </c>
      <c r="F4" s="2">
        <f ca="1">('[1]Pc, Summer, S3'!F4*Main!$B$5)+(_xlfn.IFNA(VLOOKUP($A4,'FL Ratio'!$A$3:$B$10,2,FALSE),0)*'FL Characterization'!F$2)</f>
        <v>46.705013487429788</v>
      </c>
      <c r="G4" s="2">
        <f ca="1">('[1]Pc, Summer, S3'!G4*Main!$B$5)+(_xlfn.IFNA(VLOOKUP($A4,'FL Ratio'!$A$3:$B$10,2,FALSE),0)*'FL Characterization'!G$2)</f>
        <v>42.778791139839811</v>
      </c>
      <c r="H4" s="2">
        <f ca="1">('[1]Pc, Summer, S3'!H4*Main!$B$5)+(_xlfn.IFNA(VLOOKUP($A4,'FL Ratio'!$A$3:$B$10,2,FALSE),0)*'FL Characterization'!H$2)</f>
        <v>50.171716592515068</v>
      </c>
      <c r="I4" s="2">
        <f ca="1">('[1]Pc, Summer, S3'!I4*Main!$B$5)+(_xlfn.IFNA(VLOOKUP($A4,'FL Ratio'!$A$3:$B$10,2,FALSE),0)*'FL Characterization'!I$2)</f>
        <v>58.233452691365692</v>
      </c>
      <c r="J4" s="2">
        <f ca="1">('[1]Pc, Summer, S3'!J4*Main!$B$5)+(_xlfn.IFNA(VLOOKUP($A4,'FL Ratio'!$A$3:$B$10,2,FALSE),0)*'FL Characterization'!J$2)</f>
        <v>65.603915438317642</v>
      </c>
      <c r="K4" s="2">
        <f ca="1">('[1]Pc, Summer, S3'!K4*Main!$B$5)+(_xlfn.IFNA(VLOOKUP($A4,'FL Ratio'!$A$3:$B$10,2,FALSE),0)*'FL Characterization'!K$2)</f>
        <v>70.410463923193632</v>
      </c>
      <c r="L4" s="2">
        <f ca="1">('[1]Pc, Summer, S3'!L4*Main!$B$5)+(_xlfn.IFNA(VLOOKUP($A4,'FL Ratio'!$A$3:$B$10,2,FALSE),0)*'FL Characterization'!L$2)</f>
        <v>72.663751058506989</v>
      </c>
      <c r="M4" s="2">
        <f ca="1">('[1]Pc, Summer, S3'!M4*Main!$B$5)+(_xlfn.IFNA(VLOOKUP($A4,'FL Ratio'!$A$3:$B$10,2,FALSE),0)*'FL Characterization'!M$2)</f>
        <v>73.8137615024186</v>
      </c>
      <c r="N4" s="2">
        <f ca="1">('[1]Pc, Summer, S3'!N4*Main!$B$5)+(_xlfn.IFNA(VLOOKUP($A4,'FL Ratio'!$A$3:$B$10,2,FALSE),0)*'FL Characterization'!N$2)</f>
        <v>75.263106785679597</v>
      </c>
      <c r="O4" s="2">
        <f ca="1">('[1]Pc, Summer, S3'!O4*Main!$B$5)+(_xlfn.IFNA(VLOOKUP($A4,'FL Ratio'!$A$3:$B$10,2,FALSE),0)*'FL Characterization'!O$2)</f>
        <v>75.879539222268349</v>
      </c>
      <c r="P4" s="2">
        <f ca="1">('[1]Pc, Summer, S3'!P4*Main!$B$5)+(_xlfn.IFNA(VLOOKUP($A4,'FL Ratio'!$A$3:$B$10,2,FALSE),0)*'FL Characterization'!P$2)</f>
        <v>76.144399704148285</v>
      </c>
      <c r="Q4" s="2">
        <f ca="1">('[1]Pc, Summer, S3'!Q4*Main!$B$5)+(_xlfn.IFNA(VLOOKUP($A4,'FL Ratio'!$A$3:$B$10,2,FALSE),0)*'FL Characterization'!Q$2)</f>
        <v>73.273816465403641</v>
      </c>
      <c r="R4" s="2">
        <f ca="1">('[1]Pc, Summer, S3'!R4*Main!$B$5)+(_xlfn.IFNA(VLOOKUP($A4,'FL Ratio'!$A$3:$B$10,2,FALSE),0)*'FL Characterization'!R$2)</f>
        <v>73.310491504593415</v>
      </c>
      <c r="S4" s="2">
        <f ca="1">('[1]Pc, Summer, S3'!S4*Main!$B$5)+(_xlfn.IFNA(VLOOKUP($A4,'FL Ratio'!$A$3:$B$10,2,FALSE),0)*'FL Characterization'!S$2)</f>
        <v>70.452312265272226</v>
      </c>
      <c r="T4" s="2">
        <f ca="1">('[1]Pc, Summer, S3'!T4*Main!$B$5)+(_xlfn.IFNA(VLOOKUP($A4,'FL Ratio'!$A$3:$B$10,2,FALSE),0)*'FL Characterization'!T$2)</f>
        <v>70.823001719036299</v>
      </c>
      <c r="U4" s="2">
        <f ca="1">('[1]Pc, Summer, S3'!U4*Main!$B$5)+(_xlfn.IFNA(VLOOKUP($A4,'FL Ratio'!$A$3:$B$10,2,FALSE),0)*'FL Characterization'!U$2)</f>
        <v>71.405288513726589</v>
      </c>
      <c r="V4" s="2">
        <f ca="1">('[1]Pc, Summer, S3'!V4*Main!$B$5)+(_xlfn.IFNA(VLOOKUP($A4,'FL Ratio'!$A$3:$B$10,2,FALSE),0)*'FL Characterization'!V$2)</f>
        <v>70.818322186269796</v>
      </c>
      <c r="W4" s="2">
        <f ca="1">('[1]Pc, Summer, S3'!W4*Main!$B$5)+(_xlfn.IFNA(VLOOKUP($A4,'FL Ratio'!$A$3:$B$10,2,FALSE),0)*'FL Characterization'!W$2)</f>
        <v>73.357019709393256</v>
      </c>
      <c r="X4" s="2">
        <f ca="1">('[1]Pc, Summer, S3'!X4*Main!$B$5)+(_xlfn.IFNA(VLOOKUP($A4,'FL Ratio'!$A$3:$B$10,2,FALSE),0)*'FL Characterization'!X$2)</f>
        <v>71.670838927282048</v>
      </c>
      <c r="Y4" s="2">
        <f ca="1">('[1]Pc, Summer, S3'!Y4*Main!$B$5)+(_xlfn.IFNA(VLOOKUP($A4,'FL Ratio'!$A$3:$B$10,2,FALSE),0)*'FL Characterization'!Y$2)</f>
        <v>64.054551182712402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-13.951549620191676</v>
      </c>
      <c r="C2" s="2">
        <f ca="1">('[1]Qc, Summer, S2'!C2*Main!$B$5)</f>
        <v>-18.138727622172755</v>
      </c>
      <c r="D2" s="2">
        <f ca="1">('[1]Qc, Summer, S2'!D2*Main!$B$5)</f>
        <v>-19.992378347765797</v>
      </c>
      <c r="E2" s="2">
        <f ca="1">('[1]Qc, Summer, S2'!E2*Main!$B$5)</f>
        <v>-18.244092656755047</v>
      </c>
      <c r="F2" s="2">
        <f ca="1">('[1]Qc, Summer, S2'!F2*Main!$B$5)</f>
        <v>-19.555212755998085</v>
      </c>
      <c r="G2" s="2">
        <f ca="1">('[1]Qc, Summer, S2'!G2*Main!$B$5)</f>
        <v>-20.005939122268856</v>
      </c>
      <c r="H2" s="2">
        <f ca="1">('[1]Qc, Summer, S2'!H2*Main!$B$5)</f>
        <v>-17.338953082688874</v>
      </c>
      <c r="I2" s="2">
        <f ca="1">('[1]Qc, Summer, S2'!I2*Main!$B$5)</f>
        <v>-2.6975515496076503</v>
      </c>
      <c r="J2" s="2">
        <f ca="1">('[1]Qc, Summer, S2'!J2*Main!$B$5)</f>
        <v>8.6589419784499881</v>
      </c>
      <c r="K2" s="2">
        <f ca="1">('[1]Qc, Summer, S2'!K2*Main!$B$5)</f>
        <v>12.60573642028371</v>
      </c>
      <c r="L2" s="2">
        <f ca="1">('[1]Qc, Summer, S2'!L2*Main!$B$5)</f>
        <v>9.909235806529118</v>
      </c>
      <c r="M2" s="2">
        <f ca="1">('[1]Qc, Summer, S2'!M2*Main!$B$5)</f>
        <v>13.199374170616345</v>
      </c>
      <c r="N2" s="2">
        <f ca="1">('[1]Qc, Summer, S2'!N2*Main!$B$5)</f>
        <v>11.713386975765806</v>
      </c>
      <c r="O2" s="2">
        <f ca="1">('[1]Qc, Summer, S2'!O2*Main!$B$5)</f>
        <v>12.066062832014904</v>
      </c>
      <c r="P2" s="2">
        <f ca="1">('[1]Qc, Summer, S2'!P2*Main!$B$5)</f>
        <v>6.2256456103867572</v>
      </c>
      <c r="Q2" s="2">
        <f ca="1">('[1]Qc, Summer, S2'!Q2*Main!$B$5)</f>
        <v>1.5739185719002717</v>
      </c>
      <c r="R2" s="2">
        <f ca="1">('[1]Qc, Summer, S2'!R2*Main!$B$5)</f>
        <v>3.5013416781957383</v>
      </c>
      <c r="S2" s="2">
        <f ca="1">('[1]Qc, Summer, S2'!S2*Main!$B$5)</f>
        <v>4.252919548953872</v>
      </c>
      <c r="T2" s="2">
        <f ca="1">('[1]Qc, Summer, S2'!T2*Main!$B$5)</f>
        <v>2.562223865822796</v>
      </c>
      <c r="U2" s="2">
        <f ca="1">('[1]Qc, Summer, S2'!U2*Main!$B$5)</f>
        <v>-0.47797381078728124</v>
      </c>
      <c r="V2" s="2">
        <f ca="1">('[1]Qc, Summer, S2'!V2*Main!$B$5)</f>
        <v>-1.8659329785976599</v>
      </c>
      <c r="W2" s="2">
        <f ca="1">('[1]Qc, Summer, S2'!W2*Main!$B$5)</f>
        <v>-1.2981779167625715</v>
      </c>
      <c r="X2" s="2">
        <f ca="1">('[1]Qc, Summer, S2'!X2*Main!$B$5)</f>
        <v>-6.2257271829611662</v>
      </c>
      <c r="Y2" s="2">
        <f ca="1">('[1]Qc, Summer, S2'!Y2*Main!$B$5)</f>
        <v>-8.4270286461950334</v>
      </c>
    </row>
    <row r="3" spans="1:25" x14ac:dyDescent="0.3">
      <c r="A3">
        <v>2</v>
      </c>
      <c r="B3" s="2">
        <f ca="1">('[1]Qc, Summer, S2'!B3*Main!$B$5)</f>
        <v>-17.656841805860441</v>
      </c>
      <c r="C3" s="2">
        <f ca="1">('[1]Qc, Summer, S2'!C3*Main!$B$5)</f>
        <v>-17.656841805860441</v>
      </c>
      <c r="D3" s="2">
        <f ca="1">('[1]Qc, Summer, S2'!D3*Main!$B$5)</f>
        <v>-20.498552057587052</v>
      </c>
      <c r="E3" s="2">
        <f ca="1">('[1]Qc, Summer, S2'!E3*Main!$B$5)</f>
        <v>-23.340262309313662</v>
      </c>
      <c r="F3" s="2">
        <f ca="1">('[1]Qc, Summer, S2'!F3*Main!$B$5)</f>
        <v>-23.340262309313662</v>
      </c>
      <c r="G3" s="2">
        <f ca="1">('[1]Qc, Summer, S2'!G3*Main!$B$5)</f>
        <v>-23.340262309313662</v>
      </c>
      <c r="H3" s="2">
        <f ca="1">('[1]Qc, Summer, S2'!H3*Main!$B$5)</f>
        <v>-9.306591891581574</v>
      </c>
      <c r="I3" s="2">
        <f ca="1">('[1]Qc, Summer, S2'!I3*Main!$B$5)</f>
        <v>1.9290931708304735</v>
      </c>
      <c r="J3" s="2">
        <f ca="1">('[1]Qc, Summer, S2'!J3*Main!$B$5)</f>
        <v>6.1260876162144742</v>
      </c>
      <c r="K3" s="2">
        <f ca="1">('[1]Qc, Summer, S2'!K3*Main!$B$5)</f>
        <v>6.1260876162144742</v>
      </c>
      <c r="L3" s="2">
        <f ca="1">('[1]Qc, Summer, S2'!L3*Main!$B$5)</f>
        <v>5.6014545089514005</v>
      </c>
      <c r="M3" s="2">
        <f ca="1">('[1]Qc, Summer, S2'!M3*Main!$B$5)</f>
        <v>7.8748114216511054</v>
      </c>
      <c r="N3" s="2">
        <f ca="1">('[1]Qc, Summer, S2'!N3*Main!$B$5)</f>
        <v>10.672801441613888</v>
      </c>
      <c r="O3" s="2">
        <f ca="1">('[1]Qc, Summer, S2'!O3*Main!$B$5)</f>
        <v>11.000703032149437</v>
      </c>
      <c r="P3" s="2">
        <f ca="1">('[1]Qc, Summer, S2'!P3*Main!$B$5)</f>
        <v>6.1698031341045088</v>
      </c>
      <c r="Q3" s="2">
        <f ca="1">('[1]Qc, Summer, S2'!Q3*Main!$B$5)</f>
        <v>4.8145189158315898</v>
      </c>
      <c r="R3" s="2">
        <f ca="1">('[1]Qc, Summer, S2'!R3*Main!$B$5)</f>
        <v>-0.78146117332503195</v>
      </c>
      <c r="S3" s="2">
        <f ca="1">('[1]Qc, Summer, S2'!S3*Main!$B$5)</f>
        <v>-0.78146117332503195</v>
      </c>
      <c r="T3" s="2">
        <f ca="1">('[1]Qc, Summer, S2'!T3*Main!$B$5)</f>
        <v>-0.78146117332503195</v>
      </c>
      <c r="U3" s="2">
        <f ca="1">('[1]Qc, Summer, S2'!U3*Main!$B$5)</f>
        <v>-0.78146117332503195</v>
      </c>
      <c r="V3" s="2">
        <f ca="1">('[1]Qc, Summer, S2'!V3*Main!$B$5)</f>
        <v>-4.9784603079673015</v>
      </c>
      <c r="W3" s="2">
        <f ca="1">('[1]Qc, Summer, S2'!W3*Main!$B$5)</f>
        <v>-6.3774600195147242</v>
      </c>
      <c r="X3" s="2">
        <f ca="1">('[1]Qc, Summer, S2'!X3*Main!$B$5)</f>
        <v>-17.83170387742058</v>
      </c>
      <c r="Y3" s="2">
        <f ca="1">('[1]Qc, Summer, S2'!Y3*Main!$B$5)</f>
        <v>-17.83170387742058</v>
      </c>
    </row>
    <row r="4" spans="1:25" x14ac:dyDescent="0.3">
      <c r="A4">
        <v>3</v>
      </c>
      <c r="B4" s="2">
        <f ca="1">('[1]Qc, Summer, S2'!B4*Main!$B$5)</f>
        <v>14.253067353492574</v>
      </c>
      <c r="C4" s="2">
        <f ca="1">('[1]Qc, Summer, S2'!C4*Main!$B$5)</f>
        <v>10.920611505312179</v>
      </c>
      <c r="D4" s="2">
        <f ca="1">('[1]Qc, Summer, S2'!D4*Main!$B$5)</f>
        <v>10.34891518032873</v>
      </c>
      <c r="E4" s="2">
        <f ca="1">('[1]Qc, Summer, S2'!E4*Main!$B$5)</f>
        <v>9.0384725781930282</v>
      </c>
      <c r="F4" s="2">
        <f ca="1">('[1]Qc, Summer, S2'!F4*Main!$B$5)</f>
        <v>10.405070791818966</v>
      </c>
      <c r="G4" s="2">
        <f ca="1">('[1]Qc, Summer, S2'!G4*Main!$B$5)</f>
        <v>4.8291546242786598</v>
      </c>
      <c r="H4" s="2">
        <f ca="1">('[1]Qc, Summer, S2'!H4*Main!$B$5)</f>
        <v>8.4257469997778003</v>
      </c>
      <c r="I4" s="2">
        <f ca="1">('[1]Qc, Summer, S2'!I4*Main!$B$5)</f>
        <v>16.191068382245476</v>
      </c>
      <c r="J4" s="2">
        <f ca="1">('[1]Qc, Summer, S2'!J4*Main!$B$5)</f>
        <v>23.553061901025888</v>
      </c>
      <c r="K4" s="2">
        <f ca="1">('[1]Qc, Summer, S2'!K4*Main!$B$5)</f>
        <v>27.987588478249528</v>
      </c>
      <c r="L4" s="2">
        <f ca="1">('[1]Qc, Summer, S2'!L4*Main!$B$5)</f>
        <v>30.553831725180299</v>
      </c>
      <c r="M4" s="2">
        <f ca="1">('[1]Qc, Summer, S2'!M4*Main!$B$5)</f>
        <v>31.669318470165091</v>
      </c>
      <c r="N4" s="2">
        <f ca="1">('[1]Qc, Summer, S2'!N4*Main!$B$5)</f>
        <v>33.092853567610355</v>
      </c>
      <c r="O4" s="2">
        <f ca="1">('[1]Qc, Summer, S2'!O4*Main!$B$5)</f>
        <v>33.343231870448093</v>
      </c>
      <c r="P4" s="2">
        <f ca="1">('[1]Qc, Summer, S2'!P4*Main!$B$5)</f>
        <v>33.106562284404745</v>
      </c>
      <c r="Q4" s="2">
        <f ca="1">('[1]Qc, Summer, S2'!Q4*Main!$B$5)</f>
        <v>32.004492205900505</v>
      </c>
      <c r="R4" s="2">
        <f ca="1">('[1]Qc, Summer, S2'!R4*Main!$B$5)</f>
        <v>30.457380001040963</v>
      </c>
      <c r="S4" s="2">
        <f ca="1">('[1]Qc, Summer, S2'!S4*Main!$B$5)</f>
        <v>27.02749533581018</v>
      </c>
      <c r="T4" s="2">
        <f ca="1">('[1]Qc, Summer, S2'!T4*Main!$B$5)</f>
        <v>26.902451930150061</v>
      </c>
      <c r="U4" s="2">
        <f ca="1">('[1]Qc, Summer, S2'!U4*Main!$B$5)</f>
        <v>25.592352587424546</v>
      </c>
      <c r="V4" s="2">
        <f ca="1">('[1]Qc, Summer, S2'!V4*Main!$B$5)</f>
        <v>23.068897693107161</v>
      </c>
      <c r="W4" s="2">
        <f ca="1">('[1]Qc, Summer, S2'!W4*Main!$B$5)</f>
        <v>27.655103195051819</v>
      </c>
      <c r="X4" s="2">
        <f ca="1">('[1]Qc, Summer, S2'!X4*Main!$B$5)</f>
        <v>24.779979080874149</v>
      </c>
      <c r="Y4" s="2">
        <f ca="1">('[1]Qc, Summer, S2'!Y4*Main!$B$5)</f>
        <v>19.941929511621513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-13.951549620191676</v>
      </c>
      <c r="C2" s="2">
        <f ca="1">('[1]Qc, Summer, S2'!C2*Main!$B$5)</f>
        <v>-18.138727622172755</v>
      </c>
      <c r="D2" s="2">
        <f ca="1">('[1]Qc, Summer, S2'!D2*Main!$B$5)</f>
        <v>-19.992378347765797</v>
      </c>
      <c r="E2" s="2">
        <f ca="1">('[1]Qc, Summer, S2'!E2*Main!$B$5)</f>
        <v>-18.244092656755047</v>
      </c>
      <c r="F2" s="2">
        <f ca="1">('[1]Qc, Summer, S2'!F2*Main!$B$5)</f>
        <v>-19.555212755998085</v>
      </c>
      <c r="G2" s="2">
        <f ca="1">('[1]Qc, Summer, S2'!G2*Main!$B$5)</f>
        <v>-20.005939122268856</v>
      </c>
      <c r="H2" s="2">
        <f ca="1">('[1]Qc, Summer, S2'!H2*Main!$B$5)</f>
        <v>-17.338953082688874</v>
      </c>
      <c r="I2" s="2">
        <f ca="1">('[1]Qc, Summer, S2'!I2*Main!$B$5)</f>
        <v>-2.6975515496076503</v>
      </c>
      <c r="J2" s="2">
        <f ca="1">('[1]Qc, Summer, S2'!J2*Main!$B$5)</f>
        <v>8.6589419784499881</v>
      </c>
      <c r="K2" s="2">
        <f ca="1">('[1]Qc, Summer, S2'!K2*Main!$B$5)</f>
        <v>12.60573642028371</v>
      </c>
      <c r="L2" s="2">
        <f ca="1">('[1]Qc, Summer, S2'!L2*Main!$B$5)</f>
        <v>9.909235806529118</v>
      </c>
      <c r="M2" s="2">
        <f ca="1">('[1]Qc, Summer, S2'!M2*Main!$B$5)</f>
        <v>13.199374170616345</v>
      </c>
      <c r="N2" s="2">
        <f ca="1">('[1]Qc, Summer, S2'!N2*Main!$B$5)</f>
        <v>11.713386975765806</v>
      </c>
      <c r="O2" s="2">
        <f ca="1">('[1]Qc, Summer, S2'!O2*Main!$B$5)</f>
        <v>12.066062832014904</v>
      </c>
      <c r="P2" s="2">
        <f ca="1">('[1]Qc, Summer, S2'!P2*Main!$B$5)</f>
        <v>6.2256456103867572</v>
      </c>
      <c r="Q2" s="2">
        <f ca="1">('[1]Qc, Summer, S2'!Q2*Main!$B$5)</f>
        <v>1.5739185719002717</v>
      </c>
      <c r="R2" s="2">
        <f ca="1">('[1]Qc, Summer, S2'!R2*Main!$B$5)</f>
        <v>3.5013416781957383</v>
      </c>
      <c r="S2" s="2">
        <f ca="1">('[1]Qc, Summer, S2'!S2*Main!$B$5)</f>
        <v>4.252919548953872</v>
      </c>
      <c r="T2" s="2">
        <f ca="1">('[1]Qc, Summer, S2'!T2*Main!$B$5)</f>
        <v>2.562223865822796</v>
      </c>
      <c r="U2" s="2">
        <f ca="1">('[1]Qc, Summer, S2'!U2*Main!$B$5)</f>
        <v>-0.47797381078728124</v>
      </c>
      <c r="V2" s="2">
        <f ca="1">('[1]Qc, Summer, S2'!V2*Main!$B$5)</f>
        <v>-1.8659329785976599</v>
      </c>
      <c r="W2" s="2">
        <f ca="1">('[1]Qc, Summer, S2'!W2*Main!$B$5)</f>
        <v>-1.2981779167625715</v>
      </c>
      <c r="X2" s="2">
        <f ca="1">('[1]Qc, Summer, S2'!X2*Main!$B$5)</f>
        <v>-6.2257271829611662</v>
      </c>
      <c r="Y2" s="2">
        <f ca="1">('[1]Qc, Summer, S2'!Y2*Main!$B$5)</f>
        <v>-8.4270286461950334</v>
      </c>
    </row>
    <row r="3" spans="1:25" x14ac:dyDescent="0.3">
      <c r="A3">
        <v>2</v>
      </c>
      <c r="B3" s="2">
        <f ca="1">('[1]Qc, Summer, S2'!B3*Main!$B$5)</f>
        <v>-17.656841805860441</v>
      </c>
      <c r="C3" s="2">
        <f ca="1">('[1]Qc, Summer, S2'!C3*Main!$B$5)</f>
        <v>-17.656841805860441</v>
      </c>
      <c r="D3" s="2">
        <f ca="1">('[1]Qc, Summer, S2'!D3*Main!$B$5)</f>
        <v>-20.498552057587052</v>
      </c>
      <c r="E3" s="2">
        <f ca="1">('[1]Qc, Summer, S2'!E3*Main!$B$5)</f>
        <v>-23.340262309313662</v>
      </c>
      <c r="F3" s="2">
        <f ca="1">('[1]Qc, Summer, S2'!F3*Main!$B$5)</f>
        <v>-23.340262309313662</v>
      </c>
      <c r="G3" s="2">
        <f ca="1">('[1]Qc, Summer, S2'!G3*Main!$B$5)</f>
        <v>-23.340262309313662</v>
      </c>
      <c r="H3" s="2">
        <f ca="1">('[1]Qc, Summer, S2'!H3*Main!$B$5)</f>
        <v>-9.306591891581574</v>
      </c>
      <c r="I3" s="2">
        <f ca="1">('[1]Qc, Summer, S2'!I3*Main!$B$5)</f>
        <v>1.9290931708304735</v>
      </c>
      <c r="J3" s="2">
        <f ca="1">('[1]Qc, Summer, S2'!J3*Main!$B$5)</f>
        <v>6.1260876162144742</v>
      </c>
      <c r="K3" s="2">
        <f ca="1">('[1]Qc, Summer, S2'!K3*Main!$B$5)</f>
        <v>6.1260876162144742</v>
      </c>
      <c r="L3" s="2">
        <f ca="1">('[1]Qc, Summer, S2'!L3*Main!$B$5)</f>
        <v>5.6014545089514005</v>
      </c>
      <c r="M3" s="2">
        <f ca="1">('[1]Qc, Summer, S2'!M3*Main!$B$5)</f>
        <v>7.8748114216511054</v>
      </c>
      <c r="N3" s="2">
        <f ca="1">('[1]Qc, Summer, S2'!N3*Main!$B$5)</f>
        <v>10.672801441613888</v>
      </c>
      <c r="O3" s="2">
        <f ca="1">('[1]Qc, Summer, S2'!O3*Main!$B$5)</f>
        <v>11.000703032149437</v>
      </c>
      <c r="P3" s="2">
        <f ca="1">('[1]Qc, Summer, S2'!P3*Main!$B$5)</f>
        <v>6.1698031341045088</v>
      </c>
      <c r="Q3" s="2">
        <f ca="1">('[1]Qc, Summer, S2'!Q3*Main!$B$5)</f>
        <v>4.8145189158315898</v>
      </c>
      <c r="R3" s="2">
        <f ca="1">('[1]Qc, Summer, S2'!R3*Main!$B$5)</f>
        <v>-0.78146117332503195</v>
      </c>
      <c r="S3" s="2">
        <f ca="1">('[1]Qc, Summer, S2'!S3*Main!$B$5)</f>
        <v>-0.78146117332503195</v>
      </c>
      <c r="T3" s="2">
        <f ca="1">('[1]Qc, Summer, S2'!T3*Main!$B$5)</f>
        <v>-0.78146117332503195</v>
      </c>
      <c r="U3" s="2">
        <f ca="1">('[1]Qc, Summer, S2'!U3*Main!$B$5)</f>
        <v>-0.78146117332503195</v>
      </c>
      <c r="V3" s="2">
        <f ca="1">('[1]Qc, Summer, S2'!V3*Main!$B$5)</f>
        <v>-4.9784603079673015</v>
      </c>
      <c r="W3" s="2">
        <f ca="1">('[1]Qc, Summer, S2'!W3*Main!$B$5)</f>
        <v>-6.3774600195147242</v>
      </c>
      <c r="X3" s="2">
        <f ca="1">('[1]Qc, Summer, S2'!X3*Main!$B$5)</f>
        <v>-17.83170387742058</v>
      </c>
      <c r="Y3" s="2">
        <f ca="1">('[1]Qc, Summer, S2'!Y3*Main!$B$5)</f>
        <v>-17.83170387742058</v>
      </c>
    </row>
    <row r="4" spans="1:25" x14ac:dyDescent="0.3">
      <c r="A4">
        <v>3</v>
      </c>
      <c r="B4" s="2">
        <f ca="1">('[1]Qc, Summer, S2'!B4*Main!$B$5)</f>
        <v>14.253067353492574</v>
      </c>
      <c r="C4" s="2">
        <f ca="1">('[1]Qc, Summer, S2'!C4*Main!$B$5)</f>
        <v>10.920611505312179</v>
      </c>
      <c r="D4" s="2">
        <f ca="1">('[1]Qc, Summer, S2'!D4*Main!$B$5)</f>
        <v>10.34891518032873</v>
      </c>
      <c r="E4" s="2">
        <f ca="1">('[1]Qc, Summer, S2'!E4*Main!$B$5)</f>
        <v>9.0384725781930282</v>
      </c>
      <c r="F4" s="2">
        <f ca="1">('[1]Qc, Summer, S2'!F4*Main!$B$5)</f>
        <v>10.405070791818966</v>
      </c>
      <c r="G4" s="2">
        <f ca="1">('[1]Qc, Summer, S2'!G4*Main!$B$5)</f>
        <v>4.8291546242786598</v>
      </c>
      <c r="H4" s="2">
        <f ca="1">('[1]Qc, Summer, S2'!H4*Main!$B$5)</f>
        <v>8.4257469997778003</v>
      </c>
      <c r="I4" s="2">
        <f ca="1">('[1]Qc, Summer, S2'!I4*Main!$B$5)</f>
        <v>16.191068382245476</v>
      </c>
      <c r="J4" s="2">
        <f ca="1">('[1]Qc, Summer, S2'!J4*Main!$B$5)</f>
        <v>23.553061901025888</v>
      </c>
      <c r="K4" s="2">
        <f ca="1">('[1]Qc, Summer, S2'!K4*Main!$B$5)</f>
        <v>27.987588478249528</v>
      </c>
      <c r="L4" s="2">
        <f ca="1">('[1]Qc, Summer, S2'!L4*Main!$B$5)</f>
        <v>30.553831725180299</v>
      </c>
      <c r="M4" s="2">
        <f ca="1">('[1]Qc, Summer, S2'!M4*Main!$B$5)</f>
        <v>31.669318470165091</v>
      </c>
      <c r="N4" s="2">
        <f ca="1">('[1]Qc, Summer, S2'!N4*Main!$B$5)</f>
        <v>33.092853567610355</v>
      </c>
      <c r="O4" s="2">
        <f ca="1">('[1]Qc, Summer, S2'!O4*Main!$B$5)</f>
        <v>33.343231870448093</v>
      </c>
      <c r="P4" s="2">
        <f ca="1">('[1]Qc, Summer, S2'!P4*Main!$B$5)</f>
        <v>33.106562284404745</v>
      </c>
      <c r="Q4" s="2">
        <f ca="1">('[1]Qc, Summer, S2'!Q4*Main!$B$5)</f>
        <v>32.004492205900505</v>
      </c>
      <c r="R4" s="2">
        <f ca="1">('[1]Qc, Summer, S2'!R4*Main!$B$5)</f>
        <v>30.457380001040963</v>
      </c>
      <c r="S4" s="2">
        <f ca="1">('[1]Qc, Summer, S2'!S4*Main!$B$5)</f>
        <v>27.02749533581018</v>
      </c>
      <c r="T4" s="2">
        <f ca="1">('[1]Qc, Summer, S2'!T4*Main!$B$5)</f>
        <v>26.902451930150061</v>
      </c>
      <c r="U4" s="2">
        <f ca="1">('[1]Qc, Summer, S2'!U4*Main!$B$5)</f>
        <v>25.592352587424546</v>
      </c>
      <c r="V4" s="2">
        <f ca="1">('[1]Qc, Summer, S2'!V4*Main!$B$5)</f>
        <v>23.068897693107161</v>
      </c>
      <c r="W4" s="2">
        <f ca="1">('[1]Qc, Summer, S2'!W4*Main!$B$5)</f>
        <v>27.655103195051819</v>
      </c>
      <c r="X4" s="2">
        <f ca="1">('[1]Qc, Summer, S2'!X4*Main!$B$5)</f>
        <v>24.779979080874149</v>
      </c>
      <c r="Y4" s="2">
        <f ca="1">('[1]Qc, Summer, S2'!Y4*Main!$B$5)</f>
        <v>19.941929511621513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-13.951549620191676</v>
      </c>
      <c r="C2" s="2">
        <f ca="1">('[1]Qc, Summer, S2'!C2*Main!$B$5)</f>
        <v>-18.138727622172755</v>
      </c>
      <c r="D2" s="2">
        <f ca="1">('[1]Qc, Summer, S2'!D2*Main!$B$5)</f>
        <v>-19.992378347765797</v>
      </c>
      <c r="E2" s="2">
        <f ca="1">('[1]Qc, Summer, S2'!E2*Main!$B$5)</f>
        <v>-18.244092656755047</v>
      </c>
      <c r="F2" s="2">
        <f ca="1">('[1]Qc, Summer, S2'!F2*Main!$B$5)</f>
        <v>-19.555212755998085</v>
      </c>
      <c r="G2" s="2">
        <f ca="1">('[1]Qc, Summer, S2'!G2*Main!$B$5)</f>
        <v>-20.005939122268856</v>
      </c>
      <c r="H2" s="2">
        <f ca="1">('[1]Qc, Summer, S2'!H2*Main!$B$5)</f>
        <v>-17.338953082688874</v>
      </c>
      <c r="I2" s="2">
        <f ca="1">('[1]Qc, Summer, S2'!I2*Main!$B$5)</f>
        <v>-2.6975515496076503</v>
      </c>
      <c r="J2" s="2">
        <f ca="1">('[1]Qc, Summer, S2'!J2*Main!$B$5)</f>
        <v>8.6589419784499881</v>
      </c>
      <c r="K2" s="2">
        <f ca="1">('[1]Qc, Summer, S2'!K2*Main!$B$5)</f>
        <v>12.60573642028371</v>
      </c>
      <c r="L2" s="2">
        <f ca="1">('[1]Qc, Summer, S2'!L2*Main!$B$5)</f>
        <v>9.909235806529118</v>
      </c>
      <c r="M2" s="2">
        <f ca="1">('[1]Qc, Summer, S2'!M2*Main!$B$5)</f>
        <v>13.199374170616345</v>
      </c>
      <c r="N2" s="2">
        <f ca="1">('[1]Qc, Summer, S2'!N2*Main!$B$5)</f>
        <v>11.713386975765806</v>
      </c>
      <c r="O2" s="2">
        <f ca="1">('[1]Qc, Summer, S2'!O2*Main!$B$5)</f>
        <v>12.066062832014904</v>
      </c>
      <c r="P2" s="2">
        <f ca="1">('[1]Qc, Summer, S2'!P2*Main!$B$5)</f>
        <v>6.2256456103867572</v>
      </c>
      <c r="Q2" s="2">
        <f ca="1">('[1]Qc, Summer, S2'!Q2*Main!$B$5)</f>
        <v>1.5739185719002717</v>
      </c>
      <c r="R2" s="2">
        <f ca="1">('[1]Qc, Summer, S2'!R2*Main!$B$5)</f>
        <v>3.5013416781957383</v>
      </c>
      <c r="S2" s="2">
        <f ca="1">('[1]Qc, Summer, S2'!S2*Main!$B$5)</f>
        <v>4.252919548953872</v>
      </c>
      <c r="T2" s="2">
        <f ca="1">('[1]Qc, Summer, S2'!T2*Main!$B$5)</f>
        <v>2.562223865822796</v>
      </c>
      <c r="U2" s="2">
        <f ca="1">('[1]Qc, Summer, S2'!U2*Main!$B$5)</f>
        <v>-0.47797381078728124</v>
      </c>
      <c r="V2" s="2">
        <f ca="1">('[1]Qc, Summer, S2'!V2*Main!$B$5)</f>
        <v>-1.8659329785976599</v>
      </c>
      <c r="W2" s="2">
        <f ca="1">('[1]Qc, Summer, S2'!W2*Main!$B$5)</f>
        <v>-1.2981779167625715</v>
      </c>
      <c r="X2" s="2">
        <f ca="1">('[1]Qc, Summer, S2'!X2*Main!$B$5)</f>
        <v>-6.2257271829611662</v>
      </c>
      <c r="Y2" s="2">
        <f ca="1">('[1]Qc, Summer, S2'!Y2*Main!$B$5)</f>
        <v>-8.4270286461950334</v>
      </c>
    </row>
    <row r="3" spans="1:25" x14ac:dyDescent="0.3">
      <c r="A3">
        <v>2</v>
      </c>
      <c r="B3" s="2">
        <f ca="1">('[1]Qc, Summer, S2'!B3*Main!$B$5)</f>
        <v>-17.656841805860441</v>
      </c>
      <c r="C3" s="2">
        <f ca="1">('[1]Qc, Summer, S2'!C3*Main!$B$5)</f>
        <v>-17.656841805860441</v>
      </c>
      <c r="D3" s="2">
        <f ca="1">('[1]Qc, Summer, S2'!D3*Main!$B$5)</f>
        <v>-20.498552057587052</v>
      </c>
      <c r="E3" s="2">
        <f ca="1">('[1]Qc, Summer, S2'!E3*Main!$B$5)</f>
        <v>-23.340262309313662</v>
      </c>
      <c r="F3" s="2">
        <f ca="1">('[1]Qc, Summer, S2'!F3*Main!$B$5)</f>
        <v>-23.340262309313662</v>
      </c>
      <c r="G3" s="2">
        <f ca="1">('[1]Qc, Summer, S2'!G3*Main!$B$5)</f>
        <v>-23.340262309313662</v>
      </c>
      <c r="H3" s="2">
        <f ca="1">('[1]Qc, Summer, S2'!H3*Main!$B$5)</f>
        <v>-9.306591891581574</v>
      </c>
      <c r="I3" s="2">
        <f ca="1">('[1]Qc, Summer, S2'!I3*Main!$B$5)</f>
        <v>1.9290931708304735</v>
      </c>
      <c r="J3" s="2">
        <f ca="1">('[1]Qc, Summer, S2'!J3*Main!$B$5)</f>
        <v>6.1260876162144742</v>
      </c>
      <c r="K3" s="2">
        <f ca="1">('[1]Qc, Summer, S2'!K3*Main!$B$5)</f>
        <v>6.1260876162144742</v>
      </c>
      <c r="L3" s="2">
        <f ca="1">('[1]Qc, Summer, S2'!L3*Main!$B$5)</f>
        <v>5.6014545089514005</v>
      </c>
      <c r="M3" s="2">
        <f ca="1">('[1]Qc, Summer, S2'!M3*Main!$B$5)</f>
        <v>7.8748114216511054</v>
      </c>
      <c r="N3" s="2">
        <f ca="1">('[1]Qc, Summer, S2'!N3*Main!$B$5)</f>
        <v>10.672801441613888</v>
      </c>
      <c r="O3" s="2">
        <f ca="1">('[1]Qc, Summer, S2'!O3*Main!$B$5)</f>
        <v>11.000703032149437</v>
      </c>
      <c r="P3" s="2">
        <f ca="1">('[1]Qc, Summer, S2'!P3*Main!$B$5)</f>
        <v>6.1698031341045088</v>
      </c>
      <c r="Q3" s="2">
        <f ca="1">('[1]Qc, Summer, S2'!Q3*Main!$B$5)</f>
        <v>4.8145189158315898</v>
      </c>
      <c r="R3" s="2">
        <f ca="1">('[1]Qc, Summer, S2'!R3*Main!$B$5)</f>
        <v>-0.78146117332503195</v>
      </c>
      <c r="S3" s="2">
        <f ca="1">('[1]Qc, Summer, S2'!S3*Main!$B$5)</f>
        <v>-0.78146117332503195</v>
      </c>
      <c r="T3" s="2">
        <f ca="1">('[1]Qc, Summer, S2'!T3*Main!$B$5)</f>
        <v>-0.78146117332503195</v>
      </c>
      <c r="U3" s="2">
        <f ca="1">('[1]Qc, Summer, S2'!U3*Main!$B$5)</f>
        <v>-0.78146117332503195</v>
      </c>
      <c r="V3" s="2">
        <f ca="1">('[1]Qc, Summer, S2'!V3*Main!$B$5)</f>
        <v>-4.9784603079673015</v>
      </c>
      <c r="W3" s="2">
        <f ca="1">('[1]Qc, Summer, S2'!W3*Main!$B$5)</f>
        <v>-6.3774600195147242</v>
      </c>
      <c r="X3" s="2">
        <f ca="1">('[1]Qc, Summer, S2'!X3*Main!$B$5)</f>
        <v>-17.83170387742058</v>
      </c>
      <c r="Y3" s="2">
        <f ca="1">('[1]Qc, Summer, S2'!Y3*Main!$B$5)</f>
        <v>-17.83170387742058</v>
      </c>
    </row>
    <row r="4" spans="1:25" x14ac:dyDescent="0.3">
      <c r="A4">
        <v>3</v>
      </c>
      <c r="B4" s="2">
        <f ca="1">('[1]Qc, Summer, S2'!B4*Main!$B$5)</f>
        <v>14.253067353492574</v>
      </c>
      <c r="C4" s="2">
        <f ca="1">('[1]Qc, Summer, S2'!C4*Main!$B$5)</f>
        <v>10.920611505312179</v>
      </c>
      <c r="D4" s="2">
        <f ca="1">('[1]Qc, Summer, S2'!D4*Main!$B$5)</f>
        <v>10.34891518032873</v>
      </c>
      <c r="E4" s="2">
        <f ca="1">('[1]Qc, Summer, S2'!E4*Main!$B$5)</f>
        <v>9.0384725781930282</v>
      </c>
      <c r="F4" s="2">
        <f ca="1">('[1]Qc, Summer, S2'!F4*Main!$B$5)</f>
        <v>10.405070791818966</v>
      </c>
      <c r="G4" s="2">
        <f ca="1">('[1]Qc, Summer, S2'!G4*Main!$B$5)</f>
        <v>4.8291546242786598</v>
      </c>
      <c r="H4" s="2">
        <f ca="1">('[1]Qc, Summer, S2'!H4*Main!$B$5)</f>
        <v>8.4257469997778003</v>
      </c>
      <c r="I4" s="2">
        <f ca="1">('[1]Qc, Summer, S2'!I4*Main!$B$5)</f>
        <v>16.191068382245476</v>
      </c>
      <c r="J4" s="2">
        <f ca="1">('[1]Qc, Summer, S2'!J4*Main!$B$5)</f>
        <v>23.553061901025888</v>
      </c>
      <c r="K4" s="2">
        <f ca="1">('[1]Qc, Summer, S2'!K4*Main!$B$5)</f>
        <v>27.987588478249528</v>
      </c>
      <c r="L4" s="2">
        <f ca="1">('[1]Qc, Summer, S2'!L4*Main!$B$5)</f>
        <v>30.553831725180299</v>
      </c>
      <c r="M4" s="2">
        <f ca="1">('[1]Qc, Summer, S2'!M4*Main!$B$5)</f>
        <v>31.669318470165091</v>
      </c>
      <c r="N4" s="2">
        <f ca="1">('[1]Qc, Summer, S2'!N4*Main!$B$5)</f>
        <v>33.092853567610355</v>
      </c>
      <c r="O4" s="2">
        <f ca="1">('[1]Qc, Summer, S2'!O4*Main!$B$5)</f>
        <v>33.343231870448093</v>
      </c>
      <c r="P4" s="2">
        <f ca="1">('[1]Qc, Summer, S2'!P4*Main!$B$5)</f>
        <v>33.106562284404745</v>
      </c>
      <c r="Q4" s="2">
        <f ca="1">('[1]Qc, Summer, S2'!Q4*Main!$B$5)</f>
        <v>32.004492205900505</v>
      </c>
      <c r="R4" s="2">
        <f ca="1">('[1]Qc, Summer, S2'!R4*Main!$B$5)</f>
        <v>30.457380001040963</v>
      </c>
      <c r="S4" s="2">
        <f ca="1">('[1]Qc, Summer, S2'!S4*Main!$B$5)</f>
        <v>27.02749533581018</v>
      </c>
      <c r="T4" s="2">
        <f ca="1">('[1]Qc, Summer, S2'!T4*Main!$B$5)</f>
        <v>26.902451930150061</v>
      </c>
      <c r="U4" s="2">
        <f ca="1">('[1]Qc, Summer, S2'!U4*Main!$B$5)</f>
        <v>25.592352587424546</v>
      </c>
      <c r="V4" s="2">
        <f ca="1">('[1]Qc, Summer, S2'!V4*Main!$B$5)</f>
        <v>23.068897693107161</v>
      </c>
      <c r="W4" s="2">
        <f ca="1">('[1]Qc, Summer, S2'!W4*Main!$B$5)</f>
        <v>27.655103195051819</v>
      </c>
      <c r="X4" s="2">
        <f ca="1">('[1]Qc, Summer, S2'!X4*Main!$B$5)</f>
        <v>24.779979080874149</v>
      </c>
      <c r="Y4" s="2">
        <f ca="1">('[1]Qc, Summer, S2'!Y4*Main!$B$5)</f>
        <v>19.941929511621513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-12.74420397998278</v>
      </c>
      <c r="C2" s="2">
        <f ca="1">('[1]Qc, Summer, S3'!C2*Main!$B$5)</f>
        <v>-16.56903003948473</v>
      </c>
      <c r="D2" s="2">
        <f ca="1">('[1]Qc, Summer, S3'!D2*Main!$B$5)</f>
        <v>-18.262268683055293</v>
      </c>
      <c r="E2" s="2">
        <f ca="1">('[1]Qc, Summer, S3'!E2*Main!$B$5)</f>
        <v>-16.665276946074322</v>
      </c>
      <c r="F2" s="2">
        <f ca="1">('[1]Qc, Summer, S3'!F2*Main!$B$5)</f>
        <v>-17.862934729036709</v>
      </c>
      <c r="G2" s="2">
        <f ca="1">('[1]Qc, Summer, S3'!G2*Main!$B$5)</f>
        <v>-18.274655928995589</v>
      </c>
      <c r="H2" s="2">
        <f ca="1">('[1]Qc, Summer, S3'!H2*Main!$B$5)</f>
        <v>-15.838466758225415</v>
      </c>
      <c r="I2" s="2">
        <f ca="1">('[1]Qc, Summer, S3'!I2*Main!$B$5)</f>
        <v>-2.4641095885839115</v>
      </c>
      <c r="J2" s="2">
        <f ca="1">('[1]Qc, Summer, S3'!J2*Main!$B$5)</f>
        <v>7.9096104610841227</v>
      </c>
      <c r="K2" s="2">
        <f ca="1">('[1]Qc, Summer, S3'!K2*Main!$B$5)</f>
        <v>11.514855383913003</v>
      </c>
      <c r="L2" s="2">
        <f ca="1">('[1]Qc, Summer, S3'!L2*Main!$B$5)</f>
        <v>9.0517057848102525</v>
      </c>
      <c r="M2" s="2">
        <f ca="1">('[1]Qc, Summer, S3'!M2*Main!$B$5)</f>
        <v>12.057120636620699</v>
      </c>
      <c r="N2" s="2">
        <f ca="1">('[1]Qc, Summer, S3'!N2*Main!$B$5)</f>
        <v>10.69972848747838</v>
      </c>
      <c r="O2" s="2">
        <f ca="1">('[1]Qc, Summer, S3'!O2*Main!$B$5)</f>
        <v>11.02188431770592</v>
      </c>
      <c r="P2" s="2">
        <f ca="1">('[1]Qc, Summer, S3'!P2*Main!$B$5)</f>
        <v>5.686887817180212</v>
      </c>
      <c r="Q2" s="2">
        <f ca="1">('[1]Qc, Summer, S3'!Q2*Main!$B$5)</f>
        <v>1.4377140801012096</v>
      </c>
      <c r="R2" s="2">
        <f ca="1">('[1]Qc, Summer, S3'!R2*Main!$B$5)</f>
        <v>3.1983409560441833</v>
      </c>
      <c r="S2" s="2">
        <f ca="1">('[1]Qc, Summer, S3'!S2*Main!$B$5)</f>
        <v>3.884878434140556</v>
      </c>
      <c r="T2" s="2">
        <f ca="1">('[1]Qc, Summer, S3'!T2*Main!$B$5)</f>
        <v>2.3404929543573618</v>
      </c>
      <c r="U2" s="2">
        <f ca="1">('[1]Qc, Summer, S3'!U2*Main!$B$5)</f>
        <v>-0.4366106925460741</v>
      </c>
      <c r="V2" s="2">
        <f ca="1">('[1]Qc, Summer, S3'!V2*Main!$B$5)</f>
        <v>-1.7044580092959389</v>
      </c>
      <c r="W2" s="2">
        <f ca="1">('[1]Qc, Summer, S3'!W2*Main!$B$5)</f>
        <v>-1.1858355970427337</v>
      </c>
      <c r="X2" s="2">
        <f ca="1">('[1]Qc, Summer, S3'!X2*Main!$B$5)</f>
        <v>-5.6869623305895267</v>
      </c>
      <c r="Y2" s="2">
        <f ca="1">('[1]Qc, Summer, S3'!Y2*Main!$B$5)</f>
        <v>-7.6977665518127711</v>
      </c>
    </row>
    <row r="3" spans="1:25" x14ac:dyDescent="0.3">
      <c r="A3">
        <v>2</v>
      </c>
      <c r="B3" s="2">
        <f ca="1">('[1]Qc, Summer, S3'!B3*Main!$B$5)</f>
        <v>-16.128845880353285</v>
      </c>
      <c r="C3" s="2">
        <f ca="1">('[1]Qc, Summer, S3'!C3*Main!$B$5)</f>
        <v>-16.128845880353285</v>
      </c>
      <c r="D3" s="2">
        <f ca="1">('[1]Qc, Summer, S3'!D3*Main!$B$5)</f>
        <v>-18.724638898757402</v>
      </c>
      <c r="E3" s="2">
        <f ca="1">('[1]Qc, Summer, S3'!E3*Main!$B$5)</f>
        <v>-21.320431917161521</v>
      </c>
      <c r="F3" s="2">
        <f ca="1">('[1]Qc, Summer, S3'!F3*Main!$B$5)</f>
        <v>-21.320431917161521</v>
      </c>
      <c r="G3" s="2">
        <f ca="1">('[1]Qc, Summer, S3'!G3*Main!$B$5)</f>
        <v>-21.320431917161521</v>
      </c>
      <c r="H3" s="2">
        <f ca="1">('[1]Qc, Summer, S3'!H3*Main!$B$5)</f>
        <v>-8.5012137471177844</v>
      </c>
      <c r="I3" s="2">
        <f ca="1">('[1]Qc, Summer, S3'!I3*Main!$B$5)</f>
        <v>1.7621524156624517</v>
      </c>
      <c r="J3" s="2">
        <f ca="1">('[1]Qc, Summer, S3'!J3*Main!$B$5)</f>
        <v>5.5959454186574531</v>
      </c>
      <c r="K3" s="2">
        <f ca="1">('[1]Qc, Summer, S3'!K3*Main!$B$5)</f>
        <v>5.5959454186574531</v>
      </c>
      <c r="L3" s="2">
        <f ca="1">('[1]Qc, Summer, S3'!L3*Main!$B$5)</f>
        <v>5.116713253369066</v>
      </c>
      <c r="M3" s="2">
        <f ca="1">('[1]Qc, Summer, S3'!M3*Main!$B$5)</f>
        <v>7.1933373563159124</v>
      </c>
      <c r="N3" s="2">
        <f ca="1">('[1]Qc, Summer, S3'!N3*Main!$B$5)</f>
        <v>9.7491936245511468</v>
      </c>
      <c r="O3" s="2">
        <f ca="1">('[1]Qc, Summer, S3'!O3*Main!$B$5)</f>
        <v>10.048719115905737</v>
      </c>
      <c r="P3" s="2">
        <f ca="1">('[1]Qc, Summer, S3'!P3*Main!$B$5)</f>
        <v>5.6358778628839259</v>
      </c>
      <c r="Q3" s="2">
        <f ca="1">('[1]Qc, Summer, S3'!Q3*Main!$B$5)</f>
        <v>4.3978778558077014</v>
      </c>
      <c r="R3" s="2">
        <f ca="1">('[1]Qc, Summer, S3'!R3*Main!$B$5)</f>
        <v>-0.71383472563344252</v>
      </c>
      <c r="S3" s="2">
        <f ca="1">('[1]Qc, Summer, S3'!S3*Main!$B$5)</f>
        <v>-0.71383472563344252</v>
      </c>
      <c r="T3" s="2">
        <f ca="1">('[1]Qc, Summer, S3'!T3*Main!$B$5)</f>
        <v>-0.71383472563344252</v>
      </c>
      <c r="U3" s="2">
        <f ca="1">('[1]Qc, Summer, S3'!U3*Main!$B$5)</f>
        <v>-0.71383472563344252</v>
      </c>
      <c r="V3" s="2">
        <f ca="1">('[1]Qc, Summer, S3'!V3*Main!$B$5)</f>
        <v>-4.5476320120855149</v>
      </c>
      <c r="W3" s="2">
        <f ca="1">('[1]Qc, Summer, S3'!W3*Main!$B$5)</f>
        <v>-5.8255644409028715</v>
      </c>
      <c r="X3" s="2">
        <f ca="1">('[1]Qc, Summer, S3'!X3*Main!$B$5)</f>
        <v>-16.28857565725918</v>
      </c>
      <c r="Y3" s="2">
        <f ca="1">('[1]Qc, Summer, S3'!Y3*Main!$B$5)</f>
        <v>-16.28857565725918</v>
      </c>
    </row>
    <row r="4" spans="1:25" x14ac:dyDescent="0.3">
      <c r="A4">
        <v>3</v>
      </c>
      <c r="B4" s="2">
        <f ca="1">('[1]Qc, Summer, S3'!B4*Main!$B$5)</f>
        <v>13.019628832517254</v>
      </c>
      <c r="C4" s="2">
        <f ca="1">('[1]Qc, Summer, S3'!C4*Main!$B$5)</f>
        <v>9.9755585865832401</v>
      </c>
      <c r="D4" s="2">
        <f ca="1">('[1]Qc, Summer, S3'!D4*Main!$B$5)</f>
        <v>9.4533359820310512</v>
      </c>
      <c r="E4" s="2">
        <f ca="1">('[1]Qc, Summer, S3'!E4*Main!$B$5)</f>
        <v>8.2562970666186306</v>
      </c>
      <c r="F4" s="2">
        <f ca="1">('[1]Qc, Summer, S3'!F4*Main!$B$5)</f>
        <v>9.504631973296167</v>
      </c>
      <c r="G4" s="2">
        <f ca="1">('[1]Qc, Summer, S3'!G4*Main!$B$5)</f>
        <v>4.4112470125622369</v>
      </c>
      <c r="H4" s="2">
        <f ca="1">('[1]Qc, Summer, S3'!H4*Main!$B$5)</f>
        <v>7.6965958171047211</v>
      </c>
      <c r="I4" s="2">
        <f ca="1">('[1]Qc, Summer, S3'!I4*Main!$B$5)</f>
        <v>14.789918233781924</v>
      </c>
      <c r="J4" s="2">
        <f ca="1">('[1]Qc, Summer, S3'!J4*Main!$B$5)</f>
        <v>21.514816159590954</v>
      </c>
      <c r="K4" s="2">
        <f ca="1">('[1]Qc, Summer, S3'!K4*Main!$B$5)</f>
        <v>25.56558562917024</v>
      </c>
      <c r="L4" s="2">
        <f ca="1">('[1]Qc, Summer, S3'!L4*Main!$B$5)</f>
        <v>27.909750133578154</v>
      </c>
      <c r="M4" s="2">
        <f ca="1">('[1]Qc, Summer, S3'!M4*Main!$B$5)</f>
        <v>28.928704371785418</v>
      </c>
      <c r="N4" s="2">
        <f ca="1">('[1]Qc, Summer, S3'!N4*Main!$B$5)</f>
        <v>30.229048931951763</v>
      </c>
      <c r="O4" s="2">
        <f ca="1">('[1]Qc, Summer, S3'!O4*Main!$B$5)</f>
        <v>30.457759881659314</v>
      </c>
      <c r="P4" s="2">
        <f ca="1">('[1]Qc, Summer, S3'!P4*Main!$B$5)</f>
        <v>30.241571317485096</v>
      </c>
      <c r="Q4" s="2">
        <f ca="1">('[1]Qc, Summer, S3'!Q4*Main!$B$5)</f>
        <v>29.234872688082188</v>
      </c>
      <c r="R4" s="2">
        <f ca="1">('[1]Qc, Summer, S3'!R4*Main!$B$5)</f>
        <v>27.821645193258572</v>
      </c>
      <c r="S4" s="2">
        <f ca="1">('[1]Qc, Summer, S3'!S4*Main!$B$5)</f>
        <v>24.688577470211218</v>
      </c>
      <c r="T4" s="2">
        <f ca="1">('[1]Qc, Summer, S3'!T4*Main!$B$5)</f>
        <v>24.574355128502457</v>
      </c>
      <c r="U4" s="2">
        <f ca="1">('[1]Qc, Summer, S3'!U4*Main!$B$5)</f>
        <v>23.377629767358961</v>
      </c>
      <c r="V4" s="2">
        <f ca="1">('[1]Qc, Summer, S3'!V4*Main!$B$5)</f>
        <v>21.072550777357502</v>
      </c>
      <c r="W4" s="2">
        <f ca="1">('[1]Qc, Summer, S3'!W4*Main!$B$5)</f>
        <v>25.261873110864638</v>
      </c>
      <c r="X4" s="2">
        <f ca="1">('[1]Qc, Summer, S3'!X4*Main!$B$5)</f>
        <v>22.635557814260039</v>
      </c>
      <c r="Y4" s="2">
        <f ca="1">('[1]Qc, Summer, S3'!Y4*Main!$B$5)</f>
        <v>18.216185611577341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-12.74420397998278</v>
      </c>
      <c r="C2" s="2">
        <f ca="1">('[1]Qc, Summer, S3'!C2*Main!$B$5)</f>
        <v>-16.56903003948473</v>
      </c>
      <c r="D2" s="2">
        <f ca="1">('[1]Qc, Summer, S3'!D2*Main!$B$5)</f>
        <v>-18.262268683055293</v>
      </c>
      <c r="E2" s="2">
        <f ca="1">('[1]Qc, Summer, S3'!E2*Main!$B$5)</f>
        <v>-16.665276946074322</v>
      </c>
      <c r="F2" s="2">
        <f ca="1">('[1]Qc, Summer, S3'!F2*Main!$B$5)</f>
        <v>-17.862934729036709</v>
      </c>
      <c r="G2" s="2">
        <f ca="1">('[1]Qc, Summer, S3'!G2*Main!$B$5)</f>
        <v>-18.274655928995589</v>
      </c>
      <c r="H2" s="2">
        <f ca="1">('[1]Qc, Summer, S3'!H2*Main!$B$5)</f>
        <v>-15.838466758225415</v>
      </c>
      <c r="I2" s="2">
        <f ca="1">('[1]Qc, Summer, S3'!I2*Main!$B$5)</f>
        <v>-2.4641095885839115</v>
      </c>
      <c r="J2" s="2">
        <f ca="1">('[1]Qc, Summer, S3'!J2*Main!$B$5)</f>
        <v>7.9096104610841227</v>
      </c>
      <c r="K2" s="2">
        <f ca="1">('[1]Qc, Summer, S3'!K2*Main!$B$5)</f>
        <v>11.514855383913003</v>
      </c>
      <c r="L2" s="2">
        <f ca="1">('[1]Qc, Summer, S3'!L2*Main!$B$5)</f>
        <v>9.0517057848102525</v>
      </c>
      <c r="M2" s="2">
        <f ca="1">('[1]Qc, Summer, S3'!M2*Main!$B$5)</f>
        <v>12.057120636620699</v>
      </c>
      <c r="N2" s="2">
        <f ca="1">('[1]Qc, Summer, S3'!N2*Main!$B$5)</f>
        <v>10.69972848747838</v>
      </c>
      <c r="O2" s="2">
        <f ca="1">('[1]Qc, Summer, S3'!O2*Main!$B$5)</f>
        <v>11.02188431770592</v>
      </c>
      <c r="P2" s="2">
        <f ca="1">('[1]Qc, Summer, S3'!P2*Main!$B$5)</f>
        <v>5.686887817180212</v>
      </c>
      <c r="Q2" s="2">
        <f ca="1">('[1]Qc, Summer, S3'!Q2*Main!$B$5)</f>
        <v>1.4377140801012096</v>
      </c>
      <c r="R2" s="2">
        <f ca="1">('[1]Qc, Summer, S3'!R2*Main!$B$5)</f>
        <v>3.1983409560441833</v>
      </c>
      <c r="S2" s="2">
        <f ca="1">('[1]Qc, Summer, S3'!S2*Main!$B$5)</f>
        <v>3.884878434140556</v>
      </c>
      <c r="T2" s="2">
        <f ca="1">('[1]Qc, Summer, S3'!T2*Main!$B$5)</f>
        <v>2.3404929543573618</v>
      </c>
      <c r="U2" s="2">
        <f ca="1">('[1]Qc, Summer, S3'!U2*Main!$B$5)</f>
        <v>-0.4366106925460741</v>
      </c>
      <c r="V2" s="2">
        <f ca="1">('[1]Qc, Summer, S3'!V2*Main!$B$5)</f>
        <v>-1.7044580092959389</v>
      </c>
      <c r="W2" s="2">
        <f ca="1">('[1]Qc, Summer, S3'!W2*Main!$B$5)</f>
        <v>-1.1858355970427337</v>
      </c>
      <c r="X2" s="2">
        <f ca="1">('[1]Qc, Summer, S3'!X2*Main!$B$5)</f>
        <v>-5.6869623305895267</v>
      </c>
      <c r="Y2" s="2">
        <f ca="1">('[1]Qc, Summer, S3'!Y2*Main!$B$5)</f>
        <v>-7.6977665518127711</v>
      </c>
    </row>
    <row r="3" spans="1:25" x14ac:dyDescent="0.3">
      <c r="A3">
        <v>2</v>
      </c>
      <c r="B3" s="2">
        <f ca="1">('[1]Qc, Summer, S3'!B3*Main!$B$5)</f>
        <v>-16.128845880353285</v>
      </c>
      <c r="C3" s="2">
        <f ca="1">('[1]Qc, Summer, S3'!C3*Main!$B$5)</f>
        <v>-16.128845880353285</v>
      </c>
      <c r="D3" s="2">
        <f ca="1">('[1]Qc, Summer, S3'!D3*Main!$B$5)</f>
        <v>-18.724638898757402</v>
      </c>
      <c r="E3" s="2">
        <f ca="1">('[1]Qc, Summer, S3'!E3*Main!$B$5)</f>
        <v>-21.320431917161521</v>
      </c>
      <c r="F3" s="2">
        <f ca="1">('[1]Qc, Summer, S3'!F3*Main!$B$5)</f>
        <v>-21.320431917161521</v>
      </c>
      <c r="G3" s="2">
        <f ca="1">('[1]Qc, Summer, S3'!G3*Main!$B$5)</f>
        <v>-21.320431917161521</v>
      </c>
      <c r="H3" s="2">
        <f ca="1">('[1]Qc, Summer, S3'!H3*Main!$B$5)</f>
        <v>-8.5012137471177844</v>
      </c>
      <c r="I3" s="2">
        <f ca="1">('[1]Qc, Summer, S3'!I3*Main!$B$5)</f>
        <v>1.7621524156624517</v>
      </c>
      <c r="J3" s="2">
        <f ca="1">('[1]Qc, Summer, S3'!J3*Main!$B$5)</f>
        <v>5.5959454186574531</v>
      </c>
      <c r="K3" s="2">
        <f ca="1">('[1]Qc, Summer, S3'!K3*Main!$B$5)</f>
        <v>5.5959454186574531</v>
      </c>
      <c r="L3" s="2">
        <f ca="1">('[1]Qc, Summer, S3'!L3*Main!$B$5)</f>
        <v>5.116713253369066</v>
      </c>
      <c r="M3" s="2">
        <f ca="1">('[1]Qc, Summer, S3'!M3*Main!$B$5)</f>
        <v>7.1933373563159124</v>
      </c>
      <c r="N3" s="2">
        <f ca="1">('[1]Qc, Summer, S3'!N3*Main!$B$5)</f>
        <v>9.7491936245511468</v>
      </c>
      <c r="O3" s="2">
        <f ca="1">('[1]Qc, Summer, S3'!O3*Main!$B$5)</f>
        <v>10.048719115905737</v>
      </c>
      <c r="P3" s="2">
        <f ca="1">('[1]Qc, Summer, S3'!P3*Main!$B$5)</f>
        <v>5.6358778628839259</v>
      </c>
      <c r="Q3" s="2">
        <f ca="1">('[1]Qc, Summer, S3'!Q3*Main!$B$5)</f>
        <v>4.3978778558077014</v>
      </c>
      <c r="R3" s="2">
        <f ca="1">('[1]Qc, Summer, S3'!R3*Main!$B$5)</f>
        <v>-0.71383472563344252</v>
      </c>
      <c r="S3" s="2">
        <f ca="1">('[1]Qc, Summer, S3'!S3*Main!$B$5)</f>
        <v>-0.71383472563344252</v>
      </c>
      <c r="T3" s="2">
        <f ca="1">('[1]Qc, Summer, S3'!T3*Main!$B$5)</f>
        <v>-0.71383472563344252</v>
      </c>
      <c r="U3" s="2">
        <f ca="1">('[1]Qc, Summer, S3'!U3*Main!$B$5)</f>
        <v>-0.71383472563344252</v>
      </c>
      <c r="V3" s="2">
        <f ca="1">('[1]Qc, Summer, S3'!V3*Main!$B$5)</f>
        <v>-4.5476320120855149</v>
      </c>
      <c r="W3" s="2">
        <f ca="1">('[1]Qc, Summer, S3'!W3*Main!$B$5)</f>
        <v>-5.8255644409028715</v>
      </c>
      <c r="X3" s="2">
        <f ca="1">('[1]Qc, Summer, S3'!X3*Main!$B$5)</f>
        <v>-16.28857565725918</v>
      </c>
      <c r="Y3" s="2">
        <f ca="1">('[1]Qc, Summer, S3'!Y3*Main!$B$5)</f>
        <v>-16.28857565725918</v>
      </c>
    </row>
    <row r="4" spans="1:25" x14ac:dyDescent="0.3">
      <c r="A4">
        <v>3</v>
      </c>
      <c r="B4" s="2">
        <f ca="1">('[1]Qc, Summer, S3'!B4*Main!$B$5)</f>
        <v>13.019628832517254</v>
      </c>
      <c r="C4" s="2">
        <f ca="1">('[1]Qc, Summer, S3'!C4*Main!$B$5)</f>
        <v>9.9755585865832401</v>
      </c>
      <c r="D4" s="2">
        <f ca="1">('[1]Qc, Summer, S3'!D4*Main!$B$5)</f>
        <v>9.4533359820310512</v>
      </c>
      <c r="E4" s="2">
        <f ca="1">('[1]Qc, Summer, S3'!E4*Main!$B$5)</f>
        <v>8.2562970666186306</v>
      </c>
      <c r="F4" s="2">
        <f ca="1">('[1]Qc, Summer, S3'!F4*Main!$B$5)</f>
        <v>9.504631973296167</v>
      </c>
      <c r="G4" s="2">
        <f ca="1">('[1]Qc, Summer, S3'!G4*Main!$B$5)</f>
        <v>4.4112470125622369</v>
      </c>
      <c r="H4" s="2">
        <f ca="1">('[1]Qc, Summer, S3'!H4*Main!$B$5)</f>
        <v>7.6965958171047211</v>
      </c>
      <c r="I4" s="2">
        <f ca="1">('[1]Qc, Summer, S3'!I4*Main!$B$5)</f>
        <v>14.789918233781924</v>
      </c>
      <c r="J4" s="2">
        <f ca="1">('[1]Qc, Summer, S3'!J4*Main!$B$5)</f>
        <v>21.514816159590954</v>
      </c>
      <c r="K4" s="2">
        <f ca="1">('[1]Qc, Summer, S3'!K4*Main!$B$5)</f>
        <v>25.56558562917024</v>
      </c>
      <c r="L4" s="2">
        <f ca="1">('[1]Qc, Summer, S3'!L4*Main!$B$5)</f>
        <v>27.909750133578154</v>
      </c>
      <c r="M4" s="2">
        <f ca="1">('[1]Qc, Summer, S3'!M4*Main!$B$5)</f>
        <v>28.928704371785418</v>
      </c>
      <c r="N4" s="2">
        <f ca="1">('[1]Qc, Summer, S3'!N4*Main!$B$5)</f>
        <v>30.229048931951763</v>
      </c>
      <c r="O4" s="2">
        <f ca="1">('[1]Qc, Summer, S3'!O4*Main!$B$5)</f>
        <v>30.457759881659314</v>
      </c>
      <c r="P4" s="2">
        <f ca="1">('[1]Qc, Summer, S3'!P4*Main!$B$5)</f>
        <v>30.241571317485096</v>
      </c>
      <c r="Q4" s="2">
        <f ca="1">('[1]Qc, Summer, S3'!Q4*Main!$B$5)</f>
        <v>29.234872688082188</v>
      </c>
      <c r="R4" s="2">
        <f ca="1">('[1]Qc, Summer, S3'!R4*Main!$B$5)</f>
        <v>27.821645193258572</v>
      </c>
      <c r="S4" s="2">
        <f ca="1">('[1]Qc, Summer, S3'!S4*Main!$B$5)</f>
        <v>24.688577470211218</v>
      </c>
      <c r="T4" s="2">
        <f ca="1">('[1]Qc, Summer, S3'!T4*Main!$B$5)</f>
        <v>24.574355128502457</v>
      </c>
      <c r="U4" s="2">
        <f ca="1">('[1]Qc, Summer, S3'!U4*Main!$B$5)</f>
        <v>23.377629767358961</v>
      </c>
      <c r="V4" s="2">
        <f ca="1">('[1]Qc, Summer, S3'!V4*Main!$B$5)</f>
        <v>21.072550777357502</v>
      </c>
      <c r="W4" s="2">
        <f ca="1">('[1]Qc, Summer, S3'!W4*Main!$B$5)</f>
        <v>25.261873110864638</v>
      </c>
      <c r="X4" s="2">
        <f ca="1">('[1]Qc, Summer, S3'!X4*Main!$B$5)</f>
        <v>22.635557814260039</v>
      </c>
      <c r="Y4" s="2">
        <f ca="1">('[1]Qc, Summer, S3'!Y4*Main!$B$5)</f>
        <v>18.216185611577341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-12.74420397998278</v>
      </c>
      <c r="C2" s="2">
        <f ca="1">('[1]Qc, Summer, S3'!C2*Main!$B$5)</f>
        <v>-16.56903003948473</v>
      </c>
      <c r="D2" s="2">
        <f ca="1">('[1]Qc, Summer, S3'!D2*Main!$B$5)</f>
        <v>-18.262268683055293</v>
      </c>
      <c r="E2" s="2">
        <f ca="1">('[1]Qc, Summer, S3'!E2*Main!$B$5)</f>
        <v>-16.665276946074322</v>
      </c>
      <c r="F2" s="2">
        <f ca="1">('[1]Qc, Summer, S3'!F2*Main!$B$5)</f>
        <v>-17.862934729036709</v>
      </c>
      <c r="G2" s="2">
        <f ca="1">('[1]Qc, Summer, S3'!G2*Main!$B$5)</f>
        <v>-18.274655928995589</v>
      </c>
      <c r="H2" s="2">
        <f ca="1">('[1]Qc, Summer, S3'!H2*Main!$B$5)</f>
        <v>-15.838466758225415</v>
      </c>
      <c r="I2" s="2">
        <f ca="1">('[1]Qc, Summer, S3'!I2*Main!$B$5)</f>
        <v>-2.4641095885839115</v>
      </c>
      <c r="J2" s="2">
        <f ca="1">('[1]Qc, Summer, S3'!J2*Main!$B$5)</f>
        <v>7.9096104610841227</v>
      </c>
      <c r="K2" s="2">
        <f ca="1">('[1]Qc, Summer, S3'!K2*Main!$B$5)</f>
        <v>11.514855383913003</v>
      </c>
      <c r="L2" s="2">
        <f ca="1">('[1]Qc, Summer, S3'!L2*Main!$B$5)</f>
        <v>9.0517057848102525</v>
      </c>
      <c r="M2" s="2">
        <f ca="1">('[1]Qc, Summer, S3'!M2*Main!$B$5)</f>
        <v>12.057120636620699</v>
      </c>
      <c r="N2" s="2">
        <f ca="1">('[1]Qc, Summer, S3'!N2*Main!$B$5)</f>
        <v>10.69972848747838</v>
      </c>
      <c r="O2" s="2">
        <f ca="1">('[1]Qc, Summer, S3'!O2*Main!$B$5)</f>
        <v>11.02188431770592</v>
      </c>
      <c r="P2" s="2">
        <f ca="1">('[1]Qc, Summer, S3'!P2*Main!$B$5)</f>
        <v>5.686887817180212</v>
      </c>
      <c r="Q2" s="2">
        <f ca="1">('[1]Qc, Summer, S3'!Q2*Main!$B$5)</f>
        <v>1.4377140801012096</v>
      </c>
      <c r="R2" s="2">
        <f ca="1">('[1]Qc, Summer, S3'!R2*Main!$B$5)</f>
        <v>3.1983409560441833</v>
      </c>
      <c r="S2" s="2">
        <f ca="1">('[1]Qc, Summer, S3'!S2*Main!$B$5)</f>
        <v>3.884878434140556</v>
      </c>
      <c r="T2" s="2">
        <f ca="1">('[1]Qc, Summer, S3'!T2*Main!$B$5)</f>
        <v>2.3404929543573618</v>
      </c>
      <c r="U2" s="2">
        <f ca="1">('[1]Qc, Summer, S3'!U2*Main!$B$5)</f>
        <v>-0.4366106925460741</v>
      </c>
      <c r="V2" s="2">
        <f ca="1">('[1]Qc, Summer, S3'!V2*Main!$B$5)</f>
        <v>-1.7044580092959389</v>
      </c>
      <c r="W2" s="2">
        <f ca="1">('[1]Qc, Summer, S3'!W2*Main!$B$5)</f>
        <v>-1.1858355970427337</v>
      </c>
      <c r="X2" s="2">
        <f ca="1">('[1]Qc, Summer, S3'!X2*Main!$B$5)</f>
        <v>-5.6869623305895267</v>
      </c>
      <c r="Y2" s="2">
        <f ca="1">('[1]Qc, Summer, S3'!Y2*Main!$B$5)</f>
        <v>-7.6977665518127711</v>
      </c>
    </row>
    <row r="3" spans="1:25" x14ac:dyDescent="0.3">
      <c r="A3">
        <v>2</v>
      </c>
      <c r="B3" s="2">
        <f ca="1">('[1]Qc, Summer, S3'!B3*Main!$B$5)</f>
        <v>-16.128845880353285</v>
      </c>
      <c r="C3" s="2">
        <f ca="1">('[1]Qc, Summer, S3'!C3*Main!$B$5)</f>
        <v>-16.128845880353285</v>
      </c>
      <c r="D3" s="2">
        <f ca="1">('[1]Qc, Summer, S3'!D3*Main!$B$5)</f>
        <v>-18.724638898757402</v>
      </c>
      <c r="E3" s="2">
        <f ca="1">('[1]Qc, Summer, S3'!E3*Main!$B$5)</f>
        <v>-21.320431917161521</v>
      </c>
      <c r="F3" s="2">
        <f ca="1">('[1]Qc, Summer, S3'!F3*Main!$B$5)</f>
        <v>-21.320431917161521</v>
      </c>
      <c r="G3" s="2">
        <f ca="1">('[1]Qc, Summer, S3'!G3*Main!$B$5)</f>
        <v>-21.320431917161521</v>
      </c>
      <c r="H3" s="2">
        <f ca="1">('[1]Qc, Summer, S3'!H3*Main!$B$5)</f>
        <v>-8.5012137471177844</v>
      </c>
      <c r="I3" s="2">
        <f ca="1">('[1]Qc, Summer, S3'!I3*Main!$B$5)</f>
        <v>1.7621524156624517</v>
      </c>
      <c r="J3" s="2">
        <f ca="1">('[1]Qc, Summer, S3'!J3*Main!$B$5)</f>
        <v>5.5959454186574531</v>
      </c>
      <c r="K3" s="2">
        <f ca="1">('[1]Qc, Summer, S3'!K3*Main!$B$5)</f>
        <v>5.5959454186574531</v>
      </c>
      <c r="L3" s="2">
        <f ca="1">('[1]Qc, Summer, S3'!L3*Main!$B$5)</f>
        <v>5.116713253369066</v>
      </c>
      <c r="M3" s="2">
        <f ca="1">('[1]Qc, Summer, S3'!M3*Main!$B$5)</f>
        <v>7.1933373563159124</v>
      </c>
      <c r="N3" s="2">
        <f ca="1">('[1]Qc, Summer, S3'!N3*Main!$B$5)</f>
        <v>9.7491936245511468</v>
      </c>
      <c r="O3" s="2">
        <f ca="1">('[1]Qc, Summer, S3'!O3*Main!$B$5)</f>
        <v>10.048719115905737</v>
      </c>
      <c r="P3" s="2">
        <f ca="1">('[1]Qc, Summer, S3'!P3*Main!$B$5)</f>
        <v>5.6358778628839259</v>
      </c>
      <c r="Q3" s="2">
        <f ca="1">('[1]Qc, Summer, S3'!Q3*Main!$B$5)</f>
        <v>4.3978778558077014</v>
      </c>
      <c r="R3" s="2">
        <f ca="1">('[1]Qc, Summer, S3'!R3*Main!$B$5)</f>
        <v>-0.71383472563344252</v>
      </c>
      <c r="S3" s="2">
        <f ca="1">('[1]Qc, Summer, S3'!S3*Main!$B$5)</f>
        <v>-0.71383472563344252</v>
      </c>
      <c r="T3" s="2">
        <f ca="1">('[1]Qc, Summer, S3'!T3*Main!$B$5)</f>
        <v>-0.71383472563344252</v>
      </c>
      <c r="U3" s="2">
        <f ca="1">('[1]Qc, Summer, S3'!U3*Main!$B$5)</f>
        <v>-0.71383472563344252</v>
      </c>
      <c r="V3" s="2">
        <f ca="1">('[1]Qc, Summer, S3'!V3*Main!$B$5)</f>
        <v>-4.5476320120855149</v>
      </c>
      <c r="W3" s="2">
        <f ca="1">('[1]Qc, Summer, S3'!W3*Main!$B$5)</f>
        <v>-5.8255644409028715</v>
      </c>
      <c r="X3" s="2">
        <f ca="1">('[1]Qc, Summer, S3'!X3*Main!$B$5)</f>
        <v>-16.28857565725918</v>
      </c>
      <c r="Y3" s="2">
        <f ca="1">('[1]Qc, Summer, S3'!Y3*Main!$B$5)</f>
        <v>-16.28857565725918</v>
      </c>
    </row>
    <row r="4" spans="1:25" x14ac:dyDescent="0.3">
      <c r="A4">
        <v>3</v>
      </c>
      <c r="B4" s="2">
        <f ca="1">('[1]Qc, Summer, S3'!B4*Main!$B$5)</f>
        <v>13.019628832517254</v>
      </c>
      <c r="C4" s="2">
        <f ca="1">('[1]Qc, Summer, S3'!C4*Main!$B$5)</f>
        <v>9.9755585865832401</v>
      </c>
      <c r="D4" s="2">
        <f ca="1">('[1]Qc, Summer, S3'!D4*Main!$B$5)</f>
        <v>9.4533359820310512</v>
      </c>
      <c r="E4" s="2">
        <f ca="1">('[1]Qc, Summer, S3'!E4*Main!$B$5)</f>
        <v>8.2562970666186306</v>
      </c>
      <c r="F4" s="2">
        <f ca="1">('[1]Qc, Summer, S3'!F4*Main!$B$5)</f>
        <v>9.504631973296167</v>
      </c>
      <c r="G4" s="2">
        <f ca="1">('[1]Qc, Summer, S3'!G4*Main!$B$5)</f>
        <v>4.4112470125622369</v>
      </c>
      <c r="H4" s="2">
        <f ca="1">('[1]Qc, Summer, S3'!H4*Main!$B$5)</f>
        <v>7.6965958171047211</v>
      </c>
      <c r="I4" s="2">
        <f ca="1">('[1]Qc, Summer, S3'!I4*Main!$B$5)</f>
        <v>14.789918233781924</v>
      </c>
      <c r="J4" s="2">
        <f ca="1">('[1]Qc, Summer, S3'!J4*Main!$B$5)</f>
        <v>21.514816159590954</v>
      </c>
      <c r="K4" s="2">
        <f ca="1">('[1]Qc, Summer, S3'!K4*Main!$B$5)</f>
        <v>25.56558562917024</v>
      </c>
      <c r="L4" s="2">
        <f ca="1">('[1]Qc, Summer, S3'!L4*Main!$B$5)</f>
        <v>27.909750133578154</v>
      </c>
      <c r="M4" s="2">
        <f ca="1">('[1]Qc, Summer, S3'!M4*Main!$B$5)</f>
        <v>28.928704371785418</v>
      </c>
      <c r="N4" s="2">
        <f ca="1">('[1]Qc, Summer, S3'!N4*Main!$B$5)</f>
        <v>30.229048931951763</v>
      </c>
      <c r="O4" s="2">
        <f ca="1">('[1]Qc, Summer, S3'!O4*Main!$B$5)</f>
        <v>30.457759881659314</v>
      </c>
      <c r="P4" s="2">
        <f ca="1">('[1]Qc, Summer, S3'!P4*Main!$B$5)</f>
        <v>30.241571317485096</v>
      </c>
      <c r="Q4" s="2">
        <f ca="1">('[1]Qc, Summer, S3'!Q4*Main!$B$5)</f>
        <v>29.234872688082188</v>
      </c>
      <c r="R4" s="2">
        <f ca="1">('[1]Qc, Summer, S3'!R4*Main!$B$5)</f>
        <v>27.821645193258572</v>
      </c>
      <c r="S4" s="2">
        <f ca="1">('[1]Qc, Summer, S3'!S4*Main!$B$5)</f>
        <v>24.688577470211218</v>
      </c>
      <c r="T4" s="2">
        <f ca="1">('[1]Qc, Summer, S3'!T4*Main!$B$5)</f>
        <v>24.574355128502457</v>
      </c>
      <c r="U4" s="2">
        <f ca="1">('[1]Qc, Summer, S3'!U4*Main!$B$5)</f>
        <v>23.377629767358961</v>
      </c>
      <c r="V4" s="2">
        <f ca="1">('[1]Qc, Summer, S3'!V4*Main!$B$5)</f>
        <v>21.072550777357502</v>
      </c>
      <c r="W4" s="2">
        <f ca="1">('[1]Qc, Summer, S3'!W4*Main!$B$5)</f>
        <v>25.261873110864638</v>
      </c>
      <c r="X4" s="2">
        <f ca="1">('[1]Qc, Summer, S3'!X4*Main!$B$5)</f>
        <v>22.635557814260039</v>
      </c>
      <c r="Y4" s="2">
        <f ca="1">('[1]Qc, Summer, S3'!Y4*Main!$B$5)</f>
        <v>18.216185611577341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I4" sqref="I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42.67267231797819</v>
      </c>
      <c r="C3" s="2">
        <f>('[1]Pc, Summer, S1'!C3*Main!$B$5)+(_xlfn.IFNA(VLOOKUP($A3,'FL Ratio'!$A$3:$B$10,2,FALSE),0)*'FL Characterization'!C$2)</f>
        <v>38.85475022898639</v>
      </c>
      <c r="D3" s="2">
        <f>('[1]Pc, Summer, S1'!D3*Main!$B$5)+(_xlfn.IFNA(VLOOKUP($A3,'FL Ratio'!$A$3:$B$10,2,FALSE),0)*'FL Characterization'!D$2)</f>
        <v>36.952942173721389</v>
      </c>
      <c r="E3" s="2">
        <f>('[1]Pc, Summer, S1'!E3*Main!$B$5)+(_xlfn.IFNA(VLOOKUP($A3,'FL Ratio'!$A$3:$B$10,2,FALSE),0)*'FL Characterization'!E$2)</f>
        <v>35.637412190694405</v>
      </c>
      <c r="F3" s="2">
        <f>('[1]Pc, Summer, S1'!F3*Main!$B$5)+(_xlfn.IFNA(VLOOKUP($A3,'FL Ratio'!$A$3:$B$10,2,FALSE),0)*'FL Characterization'!F$2)</f>
        <v>35.637412190694405</v>
      </c>
      <c r="G3" s="2">
        <f>('[1]Pc, Summer, S1'!G3*Main!$B$5)+(_xlfn.IFNA(VLOOKUP($A3,'FL Ratio'!$A$3:$B$10,2,FALSE),0)*'FL Characterization'!G$2)</f>
        <v>38.211285068878752</v>
      </c>
      <c r="H3" s="2">
        <f>('[1]Pc, Summer, S1'!H3*Main!$B$5)+(_xlfn.IFNA(VLOOKUP($A3,'FL Ratio'!$A$3:$B$10,2,FALSE),0)*'FL Characterization'!H$2)</f>
        <v>47.877608241782831</v>
      </c>
      <c r="I3" s="2">
        <f>('[1]Pc, Summer, S1'!I3*Main!$B$5)+(_xlfn.IFNA(VLOOKUP($A3,'FL Ratio'!$A$3:$B$10,2,FALSE),0)*'FL Characterization'!I$2)</f>
        <v>58.916642334501979</v>
      </c>
      <c r="J3" s="2">
        <f>('[1]Pc, Summer, S1'!J3*Main!$B$5)+(_xlfn.IFNA(VLOOKUP($A3,'FL Ratio'!$A$3:$B$10,2,FALSE),0)*'FL Characterization'!J$2)</f>
        <v>61.490518296278232</v>
      </c>
      <c r="K3" s="2">
        <f>('[1]Pc, Summer, S1'!K3*Main!$B$5)+(_xlfn.IFNA(VLOOKUP($A3,'FL Ratio'!$A$3:$B$10,2,FALSE),0)*'FL Characterization'!K$2)</f>
        <v>60.203578781645305</v>
      </c>
      <c r="L3" s="2">
        <f>('[1]Pc, Summer, S1'!L3*Main!$B$5)+(_xlfn.IFNA(VLOOKUP($A3,'FL Ratio'!$A$3:$B$10,2,FALSE),0)*'FL Characterization'!L$2)</f>
        <v>60.174985245761654</v>
      </c>
      <c r="M3" s="2">
        <f>('[1]Pc, Summer, S1'!M3*Main!$B$5)+(_xlfn.IFNA(VLOOKUP($A3,'FL Ratio'!$A$3:$B$10,2,FALSE),0)*'FL Characterization'!M$2)</f>
        <v>64.121599750861719</v>
      </c>
      <c r="N3" s="2">
        <f>('[1]Pc, Summer, S1'!N3*Main!$B$5)+(_xlfn.IFNA(VLOOKUP($A3,'FL Ratio'!$A$3:$B$10,2,FALSE),0)*'FL Characterization'!N$2)</f>
        <v>64.121599750861719</v>
      </c>
      <c r="O3" s="2">
        <f>('[1]Pc, Summer, S1'!O3*Main!$B$5)+(_xlfn.IFNA(VLOOKUP($A3,'FL Ratio'!$A$3:$B$10,2,FALSE),0)*'FL Characterization'!O$2)</f>
        <v>64.121599750861719</v>
      </c>
      <c r="P3" s="2">
        <f>('[1]Pc, Summer, S1'!P3*Main!$B$5)+(_xlfn.IFNA(VLOOKUP($A3,'FL Ratio'!$A$3:$B$10,2,FALSE),0)*'FL Characterization'!P$2)</f>
        <v>60.904252498024192</v>
      </c>
      <c r="Q3" s="2">
        <f>('[1]Pc, Summer, S1'!Q3*Main!$B$5)+(_xlfn.IFNA(VLOOKUP($A3,'FL Ratio'!$A$3:$B$10,2,FALSE),0)*'FL Characterization'!Q$2)</f>
        <v>57.658305570298232</v>
      </c>
      <c r="R3" s="2">
        <f>('[1]Pc, Summer, S1'!R3*Main!$B$5)+(_xlfn.IFNA(VLOOKUP($A3,'FL Ratio'!$A$3:$B$10,2,FALSE),0)*'FL Characterization'!R$2)</f>
        <v>53.711697204202963</v>
      </c>
      <c r="S3" s="2">
        <f>('[1]Pc, Summer, S1'!S3*Main!$B$5)+(_xlfn.IFNA(VLOOKUP($A3,'FL Ratio'!$A$3:$B$10,2,FALSE),0)*'FL Characterization'!S$2)</f>
        <v>53.711697204202963</v>
      </c>
      <c r="T3" s="2">
        <f>('[1]Pc, Summer, S1'!T3*Main!$B$5)+(_xlfn.IFNA(VLOOKUP($A3,'FL Ratio'!$A$3:$B$10,2,FALSE),0)*'FL Characterization'!T$2)</f>
        <v>53.711697204202963</v>
      </c>
      <c r="U3" s="2">
        <f>('[1]Pc, Summer, S1'!U3*Main!$B$5)+(_xlfn.IFNA(VLOOKUP($A3,'FL Ratio'!$A$3:$B$10,2,FALSE),0)*'FL Characterization'!U$2)</f>
        <v>53.711697204202963</v>
      </c>
      <c r="V3" s="2">
        <f>('[1]Pc, Summer, S1'!V3*Main!$B$5)+(_xlfn.IFNA(VLOOKUP($A3,'FL Ratio'!$A$3:$B$10,2,FALSE),0)*'FL Characterization'!V$2)</f>
        <v>53.711697204202963</v>
      </c>
      <c r="W3" s="2">
        <f>('[1]Pc, Summer, S1'!W3*Main!$B$5)+(_xlfn.IFNA(VLOOKUP($A3,'FL Ratio'!$A$3:$B$10,2,FALSE),0)*'FL Characterization'!W$2)</f>
        <v>53.711697204202963</v>
      </c>
      <c r="X3" s="2">
        <f>('[1]Pc, Summer, S1'!X3*Main!$B$5)+(_xlfn.IFNA(VLOOKUP($A3,'FL Ratio'!$A$3:$B$10,2,FALSE),0)*'FL Characterization'!X$2)</f>
        <v>51.781301748033506</v>
      </c>
      <c r="Y3" s="2">
        <f>('[1]Pc, Summer, S1'!Y3*Main!$B$5)+(_xlfn.IFNA(VLOOKUP($A3,'FL Ratio'!$A$3:$B$10,2,FALSE),0)*'FL Characterization'!Y$2)</f>
        <v>48.449571129064687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57.537420743948701</v>
      </c>
      <c r="C4" s="2">
        <f>('[1]Pc, Summer, S1'!C4*Main!$B$5)+(_xlfn.IFNA(VLOOKUP($A4,'FL Ratio'!$A$3:$B$10,2,FALSE),0)*'FL Characterization'!C$2)</f>
        <v>50.650322368403202</v>
      </c>
      <c r="D4" s="2">
        <f>('[1]Pc, Summer, S1'!D4*Main!$B$5)+(_xlfn.IFNA(VLOOKUP($A4,'FL Ratio'!$A$3:$B$10,2,FALSE),0)*'FL Characterization'!D$2)</f>
        <v>47.895310710912476</v>
      </c>
      <c r="E4" s="2">
        <f>('[1]Pc, Summer, S1'!E4*Main!$B$5)+(_xlfn.IFNA(VLOOKUP($A4,'FL Ratio'!$A$3:$B$10,2,FALSE),0)*'FL Characterization'!E$2)</f>
        <v>46.376255688925603</v>
      </c>
      <c r="F4" s="2">
        <f>('[1]Pc, Summer, S1'!F4*Main!$B$5)+(_xlfn.IFNA(VLOOKUP($A4,'FL Ratio'!$A$3:$B$10,2,FALSE),0)*'FL Characterization'!F$2)</f>
        <v>49.16317209203136</v>
      </c>
      <c r="G4" s="2">
        <f>('[1]Pc, Summer, S1'!G4*Main!$B$5)+(_xlfn.IFNA(VLOOKUP($A4,'FL Ratio'!$A$3:$B$10,2,FALSE),0)*'FL Characterization'!G$2)</f>
        <v>45.030306462989273</v>
      </c>
      <c r="H4" s="2">
        <f>('[1]Pc, Summer, S1'!H4*Main!$B$5)+(_xlfn.IFNA(VLOOKUP($A4,'FL Ratio'!$A$3:$B$10,2,FALSE),0)*'FL Characterization'!H$2)</f>
        <v>52.812333255279022</v>
      </c>
      <c r="I4" s="2">
        <f>('[1]Pc, Summer, S1'!I4*Main!$B$5)+(_xlfn.IFNA(VLOOKUP($A4,'FL Ratio'!$A$3:$B$10,2,FALSE),0)*'FL Characterization'!I$2)</f>
        <v>61.298371254069153</v>
      </c>
      <c r="J4" s="2">
        <f>('[1]Pc, Summer, S1'!J4*Main!$B$5)+(_xlfn.IFNA(VLOOKUP($A4,'FL Ratio'!$A$3:$B$10,2,FALSE),0)*'FL Characterization'!J$2)</f>
        <v>69.056753092965948</v>
      </c>
      <c r="K4" s="2">
        <f>('[1]Pc, Summer, S1'!K4*Main!$B$5)+(_xlfn.IFNA(VLOOKUP($A4,'FL Ratio'!$A$3:$B$10,2,FALSE),0)*'FL Characterization'!K$2)</f>
        <v>74.116277813888018</v>
      </c>
      <c r="L4" s="2">
        <f>('[1]Pc, Summer, S1'!L4*Main!$B$5)+(_xlfn.IFNA(VLOOKUP($A4,'FL Ratio'!$A$3:$B$10,2,FALSE),0)*'FL Characterization'!L$2)</f>
        <v>76.488159008954725</v>
      </c>
      <c r="M4" s="2">
        <f>('[1]Pc, Summer, S1'!M4*Main!$B$5)+(_xlfn.IFNA(VLOOKUP($A4,'FL Ratio'!$A$3:$B$10,2,FALSE),0)*'FL Characterization'!M$2)</f>
        <v>77.698696318335379</v>
      </c>
      <c r="N4" s="2">
        <f>('[1]Pc, Summer, S1'!N4*Main!$B$5)+(_xlfn.IFNA(VLOOKUP($A4,'FL Ratio'!$A$3:$B$10,2,FALSE),0)*'FL Characterization'!N$2)</f>
        <v>79.224322932294314</v>
      </c>
      <c r="O4" s="2">
        <f>('[1]Pc, Summer, S1'!O4*Main!$B$5)+(_xlfn.IFNA(VLOOKUP($A4,'FL Ratio'!$A$3:$B$10,2,FALSE),0)*'FL Characterization'!O$2)</f>
        <v>79.87319918133511</v>
      </c>
      <c r="P4" s="2">
        <f>('[1]Pc, Summer, S1'!P4*Main!$B$5)+(_xlfn.IFNA(VLOOKUP($A4,'FL Ratio'!$A$3:$B$10,2,FALSE),0)*'FL Characterization'!P$2)</f>
        <v>80.151999688577135</v>
      </c>
      <c r="Q4" s="2">
        <f>('[1]Pc, Summer, S1'!Q4*Main!$B$5)+(_xlfn.IFNA(VLOOKUP($A4,'FL Ratio'!$A$3:$B$10,2,FALSE),0)*'FL Characterization'!Q$2)</f>
        <v>77.13033312147752</v>
      </c>
      <c r="R4" s="2">
        <f>('[1]Pc, Summer, S1'!R4*Main!$B$5)+(_xlfn.IFNA(VLOOKUP($A4,'FL Ratio'!$A$3:$B$10,2,FALSE),0)*'FL Characterization'!R$2)</f>
        <v>77.168938425887816</v>
      </c>
      <c r="S4" s="2">
        <f>('[1]Pc, Summer, S1'!S4*Main!$B$5)+(_xlfn.IFNA(VLOOKUP($A4,'FL Ratio'!$A$3:$B$10,2,FALSE),0)*'FL Characterization'!S$2)</f>
        <v>74.160328700286556</v>
      </c>
      <c r="T4" s="2">
        <f>('[1]Pc, Summer, S1'!T4*Main!$B$5)+(_xlfn.IFNA(VLOOKUP($A4,'FL Ratio'!$A$3:$B$10,2,FALSE),0)*'FL Characterization'!T$2)</f>
        <v>74.550528125301383</v>
      </c>
      <c r="U4" s="2">
        <f>('[1]Pc, Summer, S1'!U4*Main!$B$5)+(_xlfn.IFNA(VLOOKUP($A4,'FL Ratio'!$A$3:$B$10,2,FALSE),0)*'FL Characterization'!U$2)</f>
        <v>75.163461593396406</v>
      </c>
      <c r="V4" s="2">
        <f>('[1]Pc, Summer, S1'!V4*Main!$B$5)+(_xlfn.IFNA(VLOOKUP($A4,'FL Ratio'!$A$3:$B$10,2,FALSE),0)*'FL Characterization'!V$2)</f>
        <v>74.545602301336629</v>
      </c>
      <c r="W4" s="2">
        <f>('[1]Pc, Summer, S1'!W4*Main!$B$5)+(_xlfn.IFNA(VLOOKUP($A4,'FL Ratio'!$A$3:$B$10,2,FALSE),0)*'FL Characterization'!W$2)</f>
        <v>77.217915483571844</v>
      </c>
      <c r="X4" s="2">
        <f>('[1]Pc, Summer, S1'!X4*Main!$B$5)+(_xlfn.IFNA(VLOOKUP($A4,'FL Ratio'!$A$3:$B$10,2,FALSE),0)*'FL Characterization'!X$2)</f>
        <v>75.442988344507427</v>
      </c>
      <c r="Y4" s="2">
        <f>('[1]Pc, Summer, S1'!Y4*Main!$B$5)+(_xlfn.IFNA(VLOOKUP($A4,'FL Ratio'!$A$3:$B$10,2,FALSE),0)*'FL Characterization'!Y$2)</f>
        <v>67.425843350223587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42.67267231797819</v>
      </c>
      <c r="C3" s="2">
        <f>('[1]Pc, Summer, S1'!C3*Main!$B$5)+(_xlfn.IFNA(VLOOKUP($A3,'FL Ratio'!$A$3:$B$10,2,FALSE),0)*'FL Characterization'!C$2)</f>
        <v>38.85475022898639</v>
      </c>
      <c r="D3" s="2">
        <f>('[1]Pc, Summer, S1'!D3*Main!$B$5)+(_xlfn.IFNA(VLOOKUP($A3,'FL Ratio'!$A$3:$B$10,2,FALSE),0)*'FL Characterization'!D$2)</f>
        <v>36.952942173721389</v>
      </c>
      <c r="E3" s="2">
        <f>('[1]Pc, Summer, S1'!E3*Main!$B$5)+(_xlfn.IFNA(VLOOKUP($A3,'FL Ratio'!$A$3:$B$10,2,FALSE),0)*'FL Characterization'!E$2)</f>
        <v>35.637412190694405</v>
      </c>
      <c r="F3" s="2">
        <f>('[1]Pc, Summer, S1'!F3*Main!$B$5)+(_xlfn.IFNA(VLOOKUP($A3,'FL Ratio'!$A$3:$B$10,2,FALSE),0)*'FL Characterization'!F$2)</f>
        <v>35.637412190694405</v>
      </c>
      <c r="G3" s="2">
        <f>('[1]Pc, Summer, S1'!G3*Main!$B$5)+(_xlfn.IFNA(VLOOKUP($A3,'FL Ratio'!$A$3:$B$10,2,FALSE),0)*'FL Characterization'!G$2)</f>
        <v>38.211285068878752</v>
      </c>
      <c r="H3" s="2">
        <f>('[1]Pc, Summer, S1'!H3*Main!$B$5)+(_xlfn.IFNA(VLOOKUP($A3,'FL Ratio'!$A$3:$B$10,2,FALSE),0)*'FL Characterization'!H$2)</f>
        <v>47.877608241782831</v>
      </c>
      <c r="I3" s="2">
        <f>('[1]Pc, Summer, S1'!I3*Main!$B$5)+(_xlfn.IFNA(VLOOKUP($A3,'FL Ratio'!$A$3:$B$10,2,FALSE),0)*'FL Characterization'!I$2)</f>
        <v>58.916642334501979</v>
      </c>
      <c r="J3" s="2">
        <f>('[1]Pc, Summer, S1'!J3*Main!$B$5)+(_xlfn.IFNA(VLOOKUP($A3,'FL Ratio'!$A$3:$B$10,2,FALSE),0)*'FL Characterization'!J$2)</f>
        <v>61.490518296278232</v>
      </c>
      <c r="K3" s="2">
        <f>('[1]Pc, Summer, S1'!K3*Main!$B$5)+(_xlfn.IFNA(VLOOKUP($A3,'FL Ratio'!$A$3:$B$10,2,FALSE),0)*'FL Characterization'!K$2)</f>
        <v>60.203578781645305</v>
      </c>
      <c r="L3" s="2">
        <f>('[1]Pc, Summer, S1'!L3*Main!$B$5)+(_xlfn.IFNA(VLOOKUP($A3,'FL Ratio'!$A$3:$B$10,2,FALSE),0)*'FL Characterization'!L$2)</f>
        <v>60.174985245761654</v>
      </c>
      <c r="M3" s="2">
        <f>('[1]Pc, Summer, S1'!M3*Main!$B$5)+(_xlfn.IFNA(VLOOKUP($A3,'FL Ratio'!$A$3:$B$10,2,FALSE),0)*'FL Characterization'!M$2)</f>
        <v>64.121599750861719</v>
      </c>
      <c r="N3" s="2">
        <f>('[1]Pc, Summer, S1'!N3*Main!$B$5)+(_xlfn.IFNA(VLOOKUP($A3,'FL Ratio'!$A$3:$B$10,2,FALSE),0)*'FL Characterization'!N$2)</f>
        <v>64.121599750861719</v>
      </c>
      <c r="O3" s="2">
        <f>('[1]Pc, Summer, S1'!O3*Main!$B$5)+(_xlfn.IFNA(VLOOKUP($A3,'FL Ratio'!$A$3:$B$10,2,FALSE),0)*'FL Characterization'!O$2)</f>
        <v>64.121599750861719</v>
      </c>
      <c r="P3" s="2">
        <f>('[1]Pc, Summer, S1'!P3*Main!$B$5)+(_xlfn.IFNA(VLOOKUP($A3,'FL Ratio'!$A$3:$B$10,2,FALSE),0)*'FL Characterization'!P$2)</f>
        <v>60.904252498024192</v>
      </c>
      <c r="Q3" s="2">
        <f>('[1]Pc, Summer, S1'!Q3*Main!$B$5)+(_xlfn.IFNA(VLOOKUP($A3,'FL Ratio'!$A$3:$B$10,2,FALSE),0)*'FL Characterization'!Q$2)</f>
        <v>57.658305570298232</v>
      </c>
      <c r="R3" s="2">
        <f>('[1]Pc, Summer, S1'!R3*Main!$B$5)+(_xlfn.IFNA(VLOOKUP($A3,'FL Ratio'!$A$3:$B$10,2,FALSE),0)*'FL Characterization'!R$2)</f>
        <v>53.711697204202963</v>
      </c>
      <c r="S3" s="2">
        <f>('[1]Pc, Summer, S1'!S3*Main!$B$5)+(_xlfn.IFNA(VLOOKUP($A3,'FL Ratio'!$A$3:$B$10,2,FALSE),0)*'FL Characterization'!S$2)</f>
        <v>53.711697204202963</v>
      </c>
      <c r="T3" s="2">
        <f>('[1]Pc, Summer, S1'!T3*Main!$B$5)+(_xlfn.IFNA(VLOOKUP($A3,'FL Ratio'!$A$3:$B$10,2,FALSE),0)*'FL Characterization'!T$2)</f>
        <v>53.711697204202963</v>
      </c>
      <c r="U3" s="2">
        <f>('[1]Pc, Summer, S1'!U3*Main!$B$5)+(_xlfn.IFNA(VLOOKUP($A3,'FL Ratio'!$A$3:$B$10,2,FALSE),0)*'FL Characterization'!U$2)</f>
        <v>53.711697204202963</v>
      </c>
      <c r="V3" s="2">
        <f>('[1]Pc, Summer, S1'!V3*Main!$B$5)+(_xlfn.IFNA(VLOOKUP($A3,'FL Ratio'!$A$3:$B$10,2,FALSE),0)*'FL Characterization'!V$2)</f>
        <v>53.711697204202963</v>
      </c>
      <c r="W3" s="2">
        <f>('[1]Pc, Summer, S1'!W3*Main!$B$5)+(_xlfn.IFNA(VLOOKUP($A3,'FL Ratio'!$A$3:$B$10,2,FALSE),0)*'FL Characterization'!W$2)</f>
        <v>53.711697204202963</v>
      </c>
      <c r="X3" s="2">
        <f>('[1]Pc, Summer, S1'!X3*Main!$B$5)+(_xlfn.IFNA(VLOOKUP($A3,'FL Ratio'!$A$3:$B$10,2,FALSE),0)*'FL Characterization'!X$2)</f>
        <v>51.781301748033506</v>
      </c>
      <c r="Y3" s="2">
        <f>('[1]Pc, Summer, S1'!Y3*Main!$B$5)+(_xlfn.IFNA(VLOOKUP($A3,'FL Ratio'!$A$3:$B$10,2,FALSE),0)*'FL Characterization'!Y$2)</f>
        <v>48.449571129064687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57.537420743948701</v>
      </c>
      <c r="C4" s="2">
        <f>('[1]Pc, Summer, S1'!C4*Main!$B$5)+(_xlfn.IFNA(VLOOKUP($A4,'FL Ratio'!$A$3:$B$10,2,FALSE),0)*'FL Characterization'!C$2)</f>
        <v>50.650322368403202</v>
      </c>
      <c r="D4" s="2">
        <f>('[1]Pc, Summer, S1'!D4*Main!$B$5)+(_xlfn.IFNA(VLOOKUP($A4,'FL Ratio'!$A$3:$B$10,2,FALSE),0)*'FL Characterization'!D$2)</f>
        <v>47.895310710912476</v>
      </c>
      <c r="E4" s="2">
        <f>('[1]Pc, Summer, S1'!E4*Main!$B$5)+(_xlfn.IFNA(VLOOKUP($A4,'FL Ratio'!$A$3:$B$10,2,FALSE),0)*'FL Characterization'!E$2)</f>
        <v>46.376255688925603</v>
      </c>
      <c r="F4" s="2">
        <f>('[1]Pc, Summer, S1'!F4*Main!$B$5)+(_xlfn.IFNA(VLOOKUP($A4,'FL Ratio'!$A$3:$B$10,2,FALSE),0)*'FL Characterization'!F$2)</f>
        <v>49.16317209203136</v>
      </c>
      <c r="G4" s="2">
        <f>('[1]Pc, Summer, S1'!G4*Main!$B$5)+(_xlfn.IFNA(VLOOKUP($A4,'FL Ratio'!$A$3:$B$10,2,FALSE),0)*'FL Characterization'!G$2)</f>
        <v>45.030306462989273</v>
      </c>
      <c r="H4" s="2">
        <f>('[1]Pc, Summer, S1'!H4*Main!$B$5)+(_xlfn.IFNA(VLOOKUP($A4,'FL Ratio'!$A$3:$B$10,2,FALSE),0)*'FL Characterization'!H$2)</f>
        <v>52.812333255279022</v>
      </c>
      <c r="I4" s="2">
        <f>('[1]Pc, Summer, S1'!I4*Main!$B$5)+(_xlfn.IFNA(VLOOKUP($A4,'FL Ratio'!$A$3:$B$10,2,FALSE),0)*'FL Characterization'!I$2)</f>
        <v>61.298371254069153</v>
      </c>
      <c r="J4" s="2">
        <f>('[1]Pc, Summer, S1'!J4*Main!$B$5)+(_xlfn.IFNA(VLOOKUP($A4,'FL Ratio'!$A$3:$B$10,2,FALSE),0)*'FL Characterization'!J$2)</f>
        <v>69.056753092965948</v>
      </c>
      <c r="K4" s="2">
        <f>('[1]Pc, Summer, S1'!K4*Main!$B$5)+(_xlfn.IFNA(VLOOKUP($A4,'FL Ratio'!$A$3:$B$10,2,FALSE),0)*'FL Characterization'!K$2)</f>
        <v>74.116277813888018</v>
      </c>
      <c r="L4" s="2">
        <f>('[1]Pc, Summer, S1'!L4*Main!$B$5)+(_xlfn.IFNA(VLOOKUP($A4,'FL Ratio'!$A$3:$B$10,2,FALSE),0)*'FL Characterization'!L$2)</f>
        <v>76.488159008954725</v>
      </c>
      <c r="M4" s="2">
        <f>('[1]Pc, Summer, S1'!M4*Main!$B$5)+(_xlfn.IFNA(VLOOKUP($A4,'FL Ratio'!$A$3:$B$10,2,FALSE),0)*'FL Characterization'!M$2)</f>
        <v>77.698696318335379</v>
      </c>
      <c r="N4" s="2">
        <f>('[1]Pc, Summer, S1'!N4*Main!$B$5)+(_xlfn.IFNA(VLOOKUP($A4,'FL Ratio'!$A$3:$B$10,2,FALSE),0)*'FL Characterization'!N$2)</f>
        <v>79.224322932294314</v>
      </c>
      <c r="O4" s="2">
        <f>('[1]Pc, Summer, S1'!O4*Main!$B$5)+(_xlfn.IFNA(VLOOKUP($A4,'FL Ratio'!$A$3:$B$10,2,FALSE),0)*'FL Characterization'!O$2)</f>
        <v>79.87319918133511</v>
      </c>
      <c r="P4" s="2">
        <f>('[1]Pc, Summer, S1'!P4*Main!$B$5)+(_xlfn.IFNA(VLOOKUP($A4,'FL Ratio'!$A$3:$B$10,2,FALSE),0)*'FL Characterization'!P$2)</f>
        <v>80.151999688577135</v>
      </c>
      <c r="Q4" s="2">
        <f>('[1]Pc, Summer, S1'!Q4*Main!$B$5)+(_xlfn.IFNA(VLOOKUP($A4,'FL Ratio'!$A$3:$B$10,2,FALSE),0)*'FL Characterization'!Q$2)</f>
        <v>77.13033312147752</v>
      </c>
      <c r="R4" s="2">
        <f>('[1]Pc, Summer, S1'!R4*Main!$B$5)+(_xlfn.IFNA(VLOOKUP($A4,'FL Ratio'!$A$3:$B$10,2,FALSE),0)*'FL Characterization'!R$2)</f>
        <v>77.168938425887816</v>
      </c>
      <c r="S4" s="2">
        <f>('[1]Pc, Summer, S1'!S4*Main!$B$5)+(_xlfn.IFNA(VLOOKUP($A4,'FL Ratio'!$A$3:$B$10,2,FALSE),0)*'FL Characterization'!S$2)</f>
        <v>74.160328700286556</v>
      </c>
      <c r="T4" s="2">
        <f>('[1]Pc, Summer, S1'!T4*Main!$B$5)+(_xlfn.IFNA(VLOOKUP($A4,'FL Ratio'!$A$3:$B$10,2,FALSE),0)*'FL Characterization'!T$2)</f>
        <v>74.550528125301383</v>
      </c>
      <c r="U4" s="2">
        <f>('[1]Pc, Summer, S1'!U4*Main!$B$5)+(_xlfn.IFNA(VLOOKUP($A4,'FL Ratio'!$A$3:$B$10,2,FALSE),0)*'FL Characterization'!U$2)</f>
        <v>75.163461593396406</v>
      </c>
      <c r="V4" s="2">
        <f>('[1]Pc, Summer, S1'!V4*Main!$B$5)+(_xlfn.IFNA(VLOOKUP($A4,'FL Ratio'!$A$3:$B$10,2,FALSE),0)*'FL Characterization'!V$2)</f>
        <v>74.545602301336629</v>
      </c>
      <c r="W4" s="2">
        <f>('[1]Pc, Summer, S1'!W4*Main!$B$5)+(_xlfn.IFNA(VLOOKUP($A4,'FL Ratio'!$A$3:$B$10,2,FALSE),0)*'FL Characterization'!W$2)</f>
        <v>77.217915483571844</v>
      </c>
      <c r="X4" s="2">
        <f>('[1]Pc, Summer, S1'!X4*Main!$B$5)+(_xlfn.IFNA(VLOOKUP($A4,'FL Ratio'!$A$3:$B$10,2,FALSE),0)*'FL Characterization'!X$2)</f>
        <v>75.442988344507427</v>
      </c>
      <c r="Y4" s="2">
        <f>('[1]Pc, Summer, S1'!Y4*Main!$B$5)+(_xlfn.IFNA(VLOOKUP($A4,'FL Ratio'!$A$3:$B$10,2,FALSE),0)*'FL Characterization'!Y$2)</f>
        <v>67.425843350223587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42.086052904607804</v>
      </c>
      <c r="C2" s="2">
        <f>('[1]Pc, Summer, S1'!C2*Main!$B$5)+(_xlfn.IFNA(VLOOKUP($A2,'FL Ratio'!$A$3:$B$10,2,FALSE),0)*'FL Characterization'!C$2)</f>
        <v>38.23706244525917</v>
      </c>
      <c r="D2" s="2">
        <f>('[1]Pc, Summer, S1'!D2*Main!$B$5)+(_xlfn.IFNA(VLOOKUP($A2,'FL Ratio'!$A$3:$B$10,2,FALSE),0)*'FL Characterization'!D$2)</f>
        <v>37.569160342309445</v>
      </c>
      <c r="E2" s="2">
        <f>('[1]Pc, Summer, S1'!E2*Main!$B$5)+(_xlfn.IFNA(VLOOKUP($A2,'FL Ratio'!$A$3:$B$10,2,FALSE),0)*'FL Characterization'!E$2)</f>
        <v>37.473187515967922</v>
      </c>
      <c r="F2" s="2">
        <f>('[1]Pc, Summer, S1'!F2*Main!$B$5)+(_xlfn.IFNA(VLOOKUP($A2,'FL Ratio'!$A$3:$B$10,2,FALSE),0)*'FL Characterization'!F$2)</f>
        <v>37.476141906207644</v>
      </c>
      <c r="G2" s="2">
        <f>('[1]Pc, Summer, S1'!G2*Main!$B$5)+(_xlfn.IFNA(VLOOKUP($A2,'FL Ratio'!$A$3:$B$10,2,FALSE),0)*'FL Characterization'!G$2)</f>
        <v>37.144713857480497</v>
      </c>
      <c r="H2" s="2">
        <f>('[1]Pc, Summer, S1'!H2*Main!$B$5)+(_xlfn.IFNA(VLOOKUP($A2,'FL Ratio'!$A$3:$B$10,2,FALSE),0)*'FL Characterization'!H$2)</f>
        <v>40.101034401760764</v>
      </c>
      <c r="I2" s="2">
        <f>('[1]Pc, Summer, S1'!I2*Main!$B$5)+(_xlfn.IFNA(VLOOKUP($A2,'FL Ratio'!$A$3:$B$10,2,FALSE),0)*'FL Characterization'!I$2)</f>
        <v>47.609724835306125</v>
      </c>
      <c r="J2" s="2">
        <f>('[1]Pc, Summer, S1'!J2*Main!$B$5)+(_xlfn.IFNA(VLOOKUP($A2,'FL Ratio'!$A$3:$B$10,2,FALSE),0)*'FL Characterization'!J$2)</f>
        <v>54.261548639411792</v>
      </c>
      <c r="K2" s="2">
        <f>('[1]Pc, Summer, S1'!K2*Main!$B$5)+(_xlfn.IFNA(VLOOKUP($A2,'FL Ratio'!$A$3:$B$10,2,FALSE),0)*'FL Characterization'!K$2)</f>
        <v>55.92890017876681</v>
      </c>
      <c r="L2" s="2">
        <f>('[1]Pc, Summer, S1'!L2*Main!$B$5)+(_xlfn.IFNA(VLOOKUP($A2,'FL Ratio'!$A$3:$B$10,2,FALSE),0)*'FL Characterization'!L$2)</f>
        <v>55.36291462969384</v>
      </c>
      <c r="M2" s="2">
        <f>('[1]Pc, Summer, S1'!M2*Main!$B$5)+(_xlfn.IFNA(VLOOKUP($A2,'FL Ratio'!$A$3:$B$10,2,FALSE),0)*'FL Characterization'!M$2)</f>
        <v>56.928500779249639</v>
      </c>
      <c r="N2" s="2">
        <f>('[1]Pc, Summer, S1'!N2*Main!$B$5)+(_xlfn.IFNA(VLOOKUP($A2,'FL Ratio'!$A$3:$B$10,2,FALSE),0)*'FL Characterization'!N$2)</f>
        <v>57.709439775775543</v>
      </c>
      <c r="O2" s="2">
        <f>('[1]Pc, Summer, S1'!O2*Main!$B$5)+(_xlfn.IFNA(VLOOKUP($A2,'FL Ratio'!$A$3:$B$10,2,FALSE),0)*'FL Characterization'!O$2)</f>
        <v>56.64192325466302</v>
      </c>
      <c r="P2" s="2">
        <f>('[1]Pc, Summer, S1'!P2*Main!$B$5)+(_xlfn.IFNA(VLOOKUP($A2,'FL Ratio'!$A$3:$B$10,2,FALSE),0)*'FL Characterization'!P$2)</f>
        <v>54.428628281173324</v>
      </c>
      <c r="Q2" s="2">
        <f>('[1]Pc, Summer, S1'!Q2*Main!$B$5)+(_xlfn.IFNA(VLOOKUP($A2,'FL Ratio'!$A$3:$B$10,2,FALSE),0)*'FL Characterization'!Q$2)</f>
        <v>52.23796989377005</v>
      </c>
      <c r="R2" s="2">
        <f>('[1]Pc, Summer, S1'!R2*Main!$B$5)+(_xlfn.IFNA(VLOOKUP($A2,'FL Ratio'!$A$3:$B$10,2,FALSE),0)*'FL Characterization'!R$2)</f>
        <v>53.149351266913015</v>
      </c>
      <c r="S2" s="2">
        <f>('[1]Pc, Summer, S1'!S2*Main!$B$5)+(_xlfn.IFNA(VLOOKUP($A2,'FL Ratio'!$A$3:$B$10,2,FALSE),0)*'FL Characterization'!S$2)</f>
        <v>53.674453580606496</v>
      </c>
      <c r="T2" s="2">
        <f>('[1]Pc, Summer, S1'!T2*Main!$B$5)+(_xlfn.IFNA(VLOOKUP($A2,'FL Ratio'!$A$3:$B$10,2,FALSE),0)*'FL Characterization'!T$2)</f>
        <v>53.902281697020889</v>
      </c>
      <c r="U2" s="2">
        <f>('[1]Pc, Summer, S1'!U2*Main!$B$5)+(_xlfn.IFNA(VLOOKUP($A2,'FL Ratio'!$A$3:$B$10,2,FALSE),0)*'FL Characterization'!U$2)</f>
        <v>53.009951127461086</v>
      </c>
      <c r="V2" s="2">
        <f>('[1]Pc, Summer, S1'!V2*Main!$B$5)+(_xlfn.IFNA(VLOOKUP($A2,'FL Ratio'!$A$3:$B$10,2,FALSE),0)*'FL Characterization'!V$2)</f>
        <v>53.16922267933959</v>
      </c>
      <c r="W2" s="2">
        <f>('[1]Pc, Summer, S1'!W2*Main!$B$5)+(_xlfn.IFNA(VLOOKUP($A2,'FL Ratio'!$A$3:$B$10,2,FALSE),0)*'FL Characterization'!W$2)</f>
        <v>55.37138394245747</v>
      </c>
      <c r="X2" s="2">
        <f>('[1]Pc, Summer, S1'!X2*Main!$B$5)+(_xlfn.IFNA(VLOOKUP($A2,'FL Ratio'!$A$3:$B$10,2,FALSE),0)*'FL Characterization'!X$2)</f>
        <v>51.612831832318086</v>
      </c>
      <c r="Y2" s="2">
        <f>('[1]Pc, Summer, S1'!Y2*Main!$B$5)+(_xlfn.IFNA(VLOOKUP($A2,'FL Ratio'!$A$3:$B$10,2,FALSE),0)*'FL Characterization'!Y$2)</f>
        <v>47.313195152648653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42.67267231797819</v>
      </c>
      <c r="C3" s="2">
        <f>('[1]Pc, Summer, S1'!C3*Main!$B$5)+(_xlfn.IFNA(VLOOKUP($A3,'FL Ratio'!$A$3:$B$10,2,FALSE),0)*'FL Characterization'!C$2)</f>
        <v>38.85475022898639</v>
      </c>
      <c r="D3" s="2">
        <f>('[1]Pc, Summer, S1'!D3*Main!$B$5)+(_xlfn.IFNA(VLOOKUP($A3,'FL Ratio'!$A$3:$B$10,2,FALSE),0)*'FL Characterization'!D$2)</f>
        <v>36.952942173721389</v>
      </c>
      <c r="E3" s="2">
        <f>('[1]Pc, Summer, S1'!E3*Main!$B$5)+(_xlfn.IFNA(VLOOKUP($A3,'FL Ratio'!$A$3:$B$10,2,FALSE),0)*'FL Characterization'!E$2)</f>
        <v>35.637412190694405</v>
      </c>
      <c r="F3" s="2">
        <f>('[1]Pc, Summer, S1'!F3*Main!$B$5)+(_xlfn.IFNA(VLOOKUP($A3,'FL Ratio'!$A$3:$B$10,2,FALSE),0)*'FL Characterization'!F$2)</f>
        <v>35.637412190694405</v>
      </c>
      <c r="G3" s="2">
        <f>('[1]Pc, Summer, S1'!G3*Main!$B$5)+(_xlfn.IFNA(VLOOKUP($A3,'FL Ratio'!$A$3:$B$10,2,FALSE),0)*'FL Characterization'!G$2)</f>
        <v>38.211285068878752</v>
      </c>
      <c r="H3" s="2">
        <f>('[1]Pc, Summer, S1'!H3*Main!$B$5)+(_xlfn.IFNA(VLOOKUP($A3,'FL Ratio'!$A$3:$B$10,2,FALSE),0)*'FL Characterization'!H$2)</f>
        <v>47.877608241782831</v>
      </c>
      <c r="I3" s="2">
        <f>('[1]Pc, Summer, S1'!I3*Main!$B$5)+(_xlfn.IFNA(VLOOKUP($A3,'FL Ratio'!$A$3:$B$10,2,FALSE),0)*'FL Characterization'!I$2)</f>
        <v>58.916642334501979</v>
      </c>
      <c r="J3" s="2">
        <f>('[1]Pc, Summer, S1'!J3*Main!$B$5)+(_xlfn.IFNA(VLOOKUP($A3,'FL Ratio'!$A$3:$B$10,2,FALSE),0)*'FL Characterization'!J$2)</f>
        <v>61.490518296278232</v>
      </c>
      <c r="K3" s="2">
        <f>('[1]Pc, Summer, S1'!K3*Main!$B$5)+(_xlfn.IFNA(VLOOKUP($A3,'FL Ratio'!$A$3:$B$10,2,FALSE),0)*'FL Characterization'!K$2)</f>
        <v>60.203578781645305</v>
      </c>
      <c r="L3" s="2">
        <f>('[1]Pc, Summer, S1'!L3*Main!$B$5)+(_xlfn.IFNA(VLOOKUP($A3,'FL Ratio'!$A$3:$B$10,2,FALSE),0)*'FL Characterization'!L$2)</f>
        <v>60.174985245761654</v>
      </c>
      <c r="M3" s="2">
        <f>('[1]Pc, Summer, S1'!M3*Main!$B$5)+(_xlfn.IFNA(VLOOKUP($A3,'FL Ratio'!$A$3:$B$10,2,FALSE),0)*'FL Characterization'!M$2)</f>
        <v>64.121599750861719</v>
      </c>
      <c r="N3" s="2">
        <f>('[1]Pc, Summer, S1'!N3*Main!$B$5)+(_xlfn.IFNA(VLOOKUP($A3,'FL Ratio'!$A$3:$B$10,2,FALSE),0)*'FL Characterization'!N$2)</f>
        <v>64.121599750861719</v>
      </c>
      <c r="O3" s="2">
        <f>('[1]Pc, Summer, S1'!O3*Main!$B$5)+(_xlfn.IFNA(VLOOKUP($A3,'FL Ratio'!$A$3:$B$10,2,FALSE),0)*'FL Characterization'!O$2)</f>
        <v>64.121599750861719</v>
      </c>
      <c r="P3" s="2">
        <f>('[1]Pc, Summer, S1'!P3*Main!$B$5)+(_xlfn.IFNA(VLOOKUP($A3,'FL Ratio'!$A$3:$B$10,2,FALSE),0)*'FL Characterization'!P$2)</f>
        <v>60.904252498024192</v>
      </c>
      <c r="Q3" s="2">
        <f>('[1]Pc, Summer, S1'!Q3*Main!$B$5)+(_xlfn.IFNA(VLOOKUP($A3,'FL Ratio'!$A$3:$B$10,2,FALSE),0)*'FL Characterization'!Q$2)</f>
        <v>57.658305570298232</v>
      </c>
      <c r="R3" s="2">
        <f>('[1]Pc, Summer, S1'!R3*Main!$B$5)+(_xlfn.IFNA(VLOOKUP($A3,'FL Ratio'!$A$3:$B$10,2,FALSE),0)*'FL Characterization'!R$2)</f>
        <v>53.711697204202963</v>
      </c>
      <c r="S3" s="2">
        <f>('[1]Pc, Summer, S1'!S3*Main!$B$5)+(_xlfn.IFNA(VLOOKUP($A3,'FL Ratio'!$A$3:$B$10,2,FALSE),0)*'FL Characterization'!S$2)</f>
        <v>53.711697204202963</v>
      </c>
      <c r="T3" s="2">
        <f>('[1]Pc, Summer, S1'!T3*Main!$B$5)+(_xlfn.IFNA(VLOOKUP($A3,'FL Ratio'!$A$3:$B$10,2,FALSE),0)*'FL Characterization'!T$2)</f>
        <v>53.711697204202963</v>
      </c>
      <c r="U3" s="2">
        <f>('[1]Pc, Summer, S1'!U3*Main!$B$5)+(_xlfn.IFNA(VLOOKUP($A3,'FL Ratio'!$A$3:$B$10,2,FALSE),0)*'FL Characterization'!U$2)</f>
        <v>53.711697204202963</v>
      </c>
      <c r="V3" s="2">
        <f>('[1]Pc, Summer, S1'!V3*Main!$B$5)+(_xlfn.IFNA(VLOOKUP($A3,'FL Ratio'!$A$3:$B$10,2,FALSE),0)*'FL Characterization'!V$2)</f>
        <v>53.711697204202963</v>
      </c>
      <c r="W3" s="2">
        <f>('[1]Pc, Summer, S1'!W3*Main!$B$5)+(_xlfn.IFNA(VLOOKUP($A3,'FL Ratio'!$A$3:$B$10,2,FALSE),0)*'FL Characterization'!W$2)</f>
        <v>53.711697204202963</v>
      </c>
      <c r="X3" s="2">
        <f>('[1]Pc, Summer, S1'!X3*Main!$B$5)+(_xlfn.IFNA(VLOOKUP($A3,'FL Ratio'!$A$3:$B$10,2,FALSE),0)*'FL Characterization'!X$2)</f>
        <v>51.781301748033506</v>
      </c>
      <c r="Y3" s="2">
        <f>('[1]Pc, Summer, S1'!Y3*Main!$B$5)+(_xlfn.IFNA(VLOOKUP($A3,'FL Ratio'!$A$3:$B$10,2,FALSE),0)*'FL Characterization'!Y$2)</f>
        <v>48.449571129064687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57.537420743948701</v>
      </c>
      <c r="C4" s="2">
        <f>('[1]Pc, Summer, S1'!C4*Main!$B$5)+(_xlfn.IFNA(VLOOKUP($A4,'FL Ratio'!$A$3:$B$10,2,FALSE),0)*'FL Characterization'!C$2)</f>
        <v>50.650322368403202</v>
      </c>
      <c r="D4" s="2">
        <f>('[1]Pc, Summer, S1'!D4*Main!$B$5)+(_xlfn.IFNA(VLOOKUP($A4,'FL Ratio'!$A$3:$B$10,2,FALSE),0)*'FL Characterization'!D$2)</f>
        <v>47.895310710912476</v>
      </c>
      <c r="E4" s="2">
        <f>('[1]Pc, Summer, S1'!E4*Main!$B$5)+(_xlfn.IFNA(VLOOKUP($A4,'FL Ratio'!$A$3:$B$10,2,FALSE),0)*'FL Characterization'!E$2)</f>
        <v>46.376255688925603</v>
      </c>
      <c r="F4" s="2">
        <f>('[1]Pc, Summer, S1'!F4*Main!$B$5)+(_xlfn.IFNA(VLOOKUP($A4,'FL Ratio'!$A$3:$B$10,2,FALSE),0)*'FL Characterization'!F$2)</f>
        <v>49.16317209203136</v>
      </c>
      <c r="G4" s="2">
        <f>('[1]Pc, Summer, S1'!G4*Main!$B$5)+(_xlfn.IFNA(VLOOKUP($A4,'FL Ratio'!$A$3:$B$10,2,FALSE),0)*'FL Characterization'!G$2)</f>
        <v>45.030306462989273</v>
      </c>
      <c r="H4" s="2">
        <f>('[1]Pc, Summer, S1'!H4*Main!$B$5)+(_xlfn.IFNA(VLOOKUP($A4,'FL Ratio'!$A$3:$B$10,2,FALSE),0)*'FL Characterization'!H$2)</f>
        <v>52.812333255279022</v>
      </c>
      <c r="I4" s="2">
        <f>('[1]Pc, Summer, S1'!I4*Main!$B$5)+(_xlfn.IFNA(VLOOKUP($A4,'FL Ratio'!$A$3:$B$10,2,FALSE),0)*'FL Characterization'!I$2)</f>
        <v>61.298371254069153</v>
      </c>
      <c r="J4" s="2">
        <f>('[1]Pc, Summer, S1'!J4*Main!$B$5)+(_xlfn.IFNA(VLOOKUP($A4,'FL Ratio'!$A$3:$B$10,2,FALSE),0)*'FL Characterization'!J$2)</f>
        <v>69.056753092965948</v>
      </c>
      <c r="K4" s="2">
        <f>('[1]Pc, Summer, S1'!K4*Main!$B$5)+(_xlfn.IFNA(VLOOKUP($A4,'FL Ratio'!$A$3:$B$10,2,FALSE),0)*'FL Characterization'!K$2)</f>
        <v>74.116277813888018</v>
      </c>
      <c r="L4" s="2">
        <f>('[1]Pc, Summer, S1'!L4*Main!$B$5)+(_xlfn.IFNA(VLOOKUP($A4,'FL Ratio'!$A$3:$B$10,2,FALSE),0)*'FL Characterization'!L$2)</f>
        <v>76.488159008954725</v>
      </c>
      <c r="M4" s="2">
        <f>('[1]Pc, Summer, S1'!M4*Main!$B$5)+(_xlfn.IFNA(VLOOKUP($A4,'FL Ratio'!$A$3:$B$10,2,FALSE),0)*'FL Characterization'!M$2)</f>
        <v>77.698696318335379</v>
      </c>
      <c r="N4" s="2">
        <f>('[1]Pc, Summer, S1'!N4*Main!$B$5)+(_xlfn.IFNA(VLOOKUP($A4,'FL Ratio'!$A$3:$B$10,2,FALSE),0)*'FL Characterization'!N$2)</f>
        <v>79.224322932294314</v>
      </c>
      <c r="O4" s="2">
        <f>('[1]Pc, Summer, S1'!O4*Main!$B$5)+(_xlfn.IFNA(VLOOKUP($A4,'FL Ratio'!$A$3:$B$10,2,FALSE),0)*'FL Characterization'!O$2)</f>
        <v>79.87319918133511</v>
      </c>
      <c r="P4" s="2">
        <f>('[1]Pc, Summer, S1'!P4*Main!$B$5)+(_xlfn.IFNA(VLOOKUP($A4,'FL Ratio'!$A$3:$B$10,2,FALSE),0)*'FL Characterization'!P$2)</f>
        <v>80.151999688577135</v>
      </c>
      <c r="Q4" s="2">
        <f>('[1]Pc, Summer, S1'!Q4*Main!$B$5)+(_xlfn.IFNA(VLOOKUP($A4,'FL Ratio'!$A$3:$B$10,2,FALSE),0)*'FL Characterization'!Q$2)</f>
        <v>77.13033312147752</v>
      </c>
      <c r="R4" s="2">
        <f>('[1]Pc, Summer, S1'!R4*Main!$B$5)+(_xlfn.IFNA(VLOOKUP($A4,'FL Ratio'!$A$3:$B$10,2,FALSE),0)*'FL Characterization'!R$2)</f>
        <v>77.168938425887816</v>
      </c>
      <c r="S4" s="2">
        <f>('[1]Pc, Summer, S1'!S4*Main!$B$5)+(_xlfn.IFNA(VLOOKUP($A4,'FL Ratio'!$A$3:$B$10,2,FALSE),0)*'FL Characterization'!S$2)</f>
        <v>74.160328700286556</v>
      </c>
      <c r="T4" s="2">
        <f>('[1]Pc, Summer, S1'!T4*Main!$B$5)+(_xlfn.IFNA(VLOOKUP($A4,'FL Ratio'!$A$3:$B$10,2,FALSE),0)*'FL Characterization'!T$2)</f>
        <v>74.550528125301383</v>
      </c>
      <c r="U4" s="2">
        <f>('[1]Pc, Summer, S1'!U4*Main!$B$5)+(_xlfn.IFNA(VLOOKUP($A4,'FL Ratio'!$A$3:$B$10,2,FALSE),0)*'FL Characterization'!U$2)</f>
        <v>75.163461593396406</v>
      </c>
      <c r="V4" s="2">
        <f>('[1]Pc, Summer, S1'!V4*Main!$B$5)+(_xlfn.IFNA(VLOOKUP($A4,'FL Ratio'!$A$3:$B$10,2,FALSE),0)*'FL Characterization'!V$2)</f>
        <v>74.545602301336629</v>
      </c>
      <c r="W4" s="2">
        <f>('[1]Pc, Summer, S1'!W4*Main!$B$5)+(_xlfn.IFNA(VLOOKUP($A4,'FL Ratio'!$A$3:$B$10,2,FALSE),0)*'FL Characterization'!W$2)</f>
        <v>77.217915483571844</v>
      </c>
      <c r="X4" s="2">
        <f>('[1]Pc, Summer, S1'!X4*Main!$B$5)+(_xlfn.IFNA(VLOOKUP($A4,'FL Ratio'!$A$3:$B$10,2,FALSE),0)*'FL Characterization'!X$2)</f>
        <v>75.442988344507427</v>
      </c>
      <c r="Y4" s="2">
        <f>('[1]Pc, Summer, S1'!Y4*Main!$B$5)+(_xlfn.IFNA(VLOOKUP($A4,'FL Ratio'!$A$3:$B$10,2,FALSE),0)*'FL Characterization'!Y$2)</f>
        <v>67.425843350223587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43.769495020792107</v>
      </c>
      <c r="C2" s="2">
        <f ca="1">('[1]Pc, Summer, S2'!C2*Main!$B$5)+(_xlfn.IFNA(VLOOKUP($A2,'FL Ratio'!$A$3:$B$10,2,FALSE),0)*'FL Characterization'!C$2)</f>
        <v>39.76654494306954</v>
      </c>
      <c r="D2" s="2">
        <f ca="1">('[1]Pc, Summer, S2'!D2*Main!$B$5)+(_xlfn.IFNA(VLOOKUP($A2,'FL Ratio'!$A$3:$B$10,2,FALSE),0)*'FL Characterization'!D$2)</f>
        <v>39.071926756001822</v>
      </c>
      <c r="E2" s="2">
        <f ca="1">('[1]Pc, Summer, S2'!E2*Main!$B$5)+(_xlfn.IFNA(VLOOKUP($A2,'FL Ratio'!$A$3:$B$10,2,FALSE),0)*'FL Characterization'!E$2)</f>
        <v>38.972115016606637</v>
      </c>
      <c r="F2" s="2">
        <f ca="1">('[1]Pc, Summer, S2'!F2*Main!$B$5)+(_xlfn.IFNA(VLOOKUP($A2,'FL Ratio'!$A$3:$B$10,2,FALSE),0)*'FL Characterization'!F$2)</f>
        <v>38.975187582455952</v>
      </c>
      <c r="G2" s="2">
        <f ca="1">('[1]Pc, Summer, S2'!G2*Main!$B$5)+(_xlfn.IFNA(VLOOKUP($A2,'FL Ratio'!$A$3:$B$10,2,FALSE),0)*'FL Characterization'!G$2)</f>
        <v>38.630502411779723</v>
      </c>
      <c r="H2" s="2">
        <f ca="1">('[1]Pc, Summer, S2'!H2*Main!$B$5)+(_xlfn.IFNA(VLOOKUP($A2,'FL Ratio'!$A$3:$B$10,2,FALSE),0)*'FL Characterization'!H$2)</f>
        <v>41.705075777831198</v>
      </c>
      <c r="I2" s="2">
        <f ca="1">('[1]Pc, Summer, S2'!I2*Main!$B$5)+(_xlfn.IFNA(VLOOKUP($A2,'FL Ratio'!$A$3:$B$10,2,FALSE),0)*'FL Characterization'!I$2)</f>
        <v>49.514113828718365</v>
      </c>
      <c r="J2" s="2">
        <f ca="1">('[1]Pc, Summer, S2'!J2*Main!$B$5)+(_xlfn.IFNA(VLOOKUP($A2,'FL Ratio'!$A$3:$B$10,2,FALSE),0)*'FL Characterization'!J$2)</f>
        <v>56.432010584988262</v>
      </c>
      <c r="K2" s="2">
        <f ca="1">('[1]Pc, Summer, S2'!K2*Main!$B$5)+(_xlfn.IFNA(VLOOKUP($A2,'FL Ratio'!$A$3:$B$10,2,FALSE),0)*'FL Characterization'!K$2)</f>
        <v>58.166056185917476</v>
      </c>
      <c r="L2" s="2">
        <f ca="1">('[1]Pc, Summer, S2'!L2*Main!$B$5)+(_xlfn.IFNA(VLOOKUP($A2,'FL Ratio'!$A$3:$B$10,2,FALSE),0)*'FL Characterization'!L$2)</f>
        <v>57.577431214881592</v>
      </c>
      <c r="M2" s="2">
        <f ca="1">('[1]Pc, Summer, S2'!M2*Main!$B$5)+(_xlfn.IFNA(VLOOKUP($A2,'FL Ratio'!$A$3:$B$10,2,FALSE),0)*'FL Characterization'!M$2)</f>
        <v>59.205640810419617</v>
      </c>
      <c r="N2" s="2">
        <f ca="1">('[1]Pc, Summer, S2'!N2*Main!$B$5)+(_xlfn.IFNA(VLOOKUP($A2,'FL Ratio'!$A$3:$B$10,2,FALSE),0)*'FL Characterization'!N$2)</f>
        <v>60.017817366806568</v>
      </c>
      <c r="O2" s="2">
        <f ca="1">('[1]Pc, Summer, S2'!O2*Main!$B$5)+(_xlfn.IFNA(VLOOKUP($A2,'FL Ratio'!$A$3:$B$10,2,FALSE),0)*'FL Characterization'!O$2)</f>
        <v>58.907600184849535</v>
      </c>
      <c r="P2" s="2">
        <f ca="1">('[1]Pc, Summer, S2'!P2*Main!$B$5)+(_xlfn.IFNA(VLOOKUP($A2,'FL Ratio'!$A$3:$B$10,2,FALSE),0)*'FL Characterization'!P$2)</f>
        <v>56.605773412420255</v>
      </c>
      <c r="Q2" s="2">
        <f ca="1">('[1]Pc, Summer, S2'!Q2*Main!$B$5)+(_xlfn.IFNA(VLOOKUP($A2,'FL Ratio'!$A$3:$B$10,2,FALSE),0)*'FL Characterization'!Q$2)</f>
        <v>54.327488689520855</v>
      </c>
      <c r="R2" s="2">
        <f ca="1">('[1]Pc, Summer, S2'!R2*Main!$B$5)+(_xlfn.IFNA(VLOOKUP($A2,'FL Ratio'!$A$3:$B$10,2,FALSE),0)*'FL Characterization'!R$2)</f>
        <v>55.275325317589541</v>
      </c>
      <c r="S2" s="2">
        <f ca="1">('[1]Pc, Summer, S2'!S2*Main!$B$5)+(_xlfn.IFNA(VLOOKUP($A2,'FL Ratio'!$A$3:$B$10,2,FALSE),0)*'FL Characterization'!S$2)</f>
        <v>55.821431723830756</v>
      </c>
      <c r="T2" s="2">
        <f ca="1">('[1]Pc, Summer, S2'!T2*Main!$B$5)+(_xlfn.IFNA(VLOOKUP($A2,'FL Ratio'!$A$3:$B$10,2,FALSE),0)*'FL Characterization'!T$2)</f>
        <v>56.058372964901729</v>
      </c>
      <c r="U2" s="2">
        <f ca="1">('[1]Pc, Summer, S2'!U2*Main!$B$5)+(_xlfn.IFNA(VLOOKUP($A2,'FL Ratio'!$A$3:$B$10,2,FALSE),0)*'FL Characterization'!U$2)</f>
        <v>55.130349172559526</v>
      </c>
      <c r="V2" s="2">
        <f ca="1">('[1]Pc, Summer, S2'!V2*Main!$B$5)+(_xlfn.IFNA(VLOOKUP($A2,'FL Ratio'!$A$3:$B$10,2,FALSE),0)*'FL Characterization'!V$2)</f>
        <v>55.295991586513175</v>
      </c>
      <c r="W2" s="2">
        <f ca="1">('[1]Pc, Summer, S2'!W2*Main!$B$5)+(_xlfn.IFNA(VLOOKUP($A2,'FL Ratio'!$A$3:$B$10,2,FALSE),0)*'FL Characterization'!W$2)</f>
        <v>57.586239300155782</v>
      </c>
      <c r="X2" s="2">
        <f ca="1">('[1]Pc, Summer, S2'!X2*Main!$B$5)+(_xlfn.IFNA(VLOOKUP($A2,'FL Ratio'!$A$3:$B$10,2,FALSE),0)*'FL Characterization'!X$2)</f>
        <v>53.677345105610812</v>
      </c>
      <c r="Y2" s="2">
        <f ca="1">('[1]Pc, Summer, S2'!Y2*Main!$B$5)+(_xlfn.IFNA(VLOOKUP($A2,'FL Ratio'!$A$3:$B$10,2,FALSE),0)*'FL Characterization'!Y$2)</f>
        <v>49.205722958754599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44.379579210697308</v>
      </c>
      <c r="C3" s="2">
        <f ca="1">('[1]Pc, Summer, S2'!C3*Main!$B$5)+(_xlfn.IFNA(VLOOKUP($A3,'FL Ratio'!$A$3:$B$10,2,FALSE),0)*'FL Characterization'!C$2)</f>
        <v>40.408940238145846</v>
      </c>
      <c r="D3" s="2">
        <f ca="1">('[1]Pc, Summer, S2'!D3*Main!$B$5)+(_xlfn.IFNA(VLOOKUP($A3,'FL Ratio'!$A$3:$B$10,2,FALSE),0)*'FL Characterization'!D$2)</f>
        <v>38.431059860670246</v>
      </c>
      <c r="E3" s="2">
        <f ca="1">('[1]Pc, Summer, S2'!E3*Main!$B$5)+(_xlfn.IFNA(VLOOKUP($A3,'FL Ratio'!$A$3:$B$10,2,FALSE),0)*'FL Characterization'!E$2)</f>
        <v>37.062908678322181</v>
      </c>
      <c r="F3" s="2">
        <f ca="1">('[1]Pc, Summer, S2'!F3*Main!$B$5)+(_xlfn.IFNA(VLOOKUP($A3,'FL Ratio'!$A$3:$B$10,2,FALSE),0)*'FL Characterization'!F$2)</f>
        <v>37.062908678322181</v>
      </c>
      <c r="G3" s="2">
        <f ca="1">('[1]Pc, Summer, S2'!G3*Main!$B$5)+(_xlfn.IFNA(VLOOKUP($A3,'FL Ratio'!$A$3:$B$10,2,FALSE),0)*'FL Characterization'!G$2)</f>
        <v>39.739736471633904</v>
      </c>
      <c r="H3" s="2">
        <f ca="1">('[1]Pc, Summer, S2'!H3*Main!$B$5)+(_xlfn.IFNA(VLOOKUP($A3,'FL Ratio'!$A$3:$B$10,2,FALSE),0)*'FL Characterization'!H$2)</f>
        <v>49.792712571454139</v>
      </c>
      <c r="I3" s="2">
        <f ca="1">('[1]Pc, Summer, S2'!I3*Main!$B$5)+(_xlfn.IFNA(VLOOKUP($A3,'FL Ratio'!$A$3:$B$10,2,FALSE),0)*'FL Characterization'!I$2)</f>
        <v>61.273308027882052</v>
      </c>
      <c r="J3" s="2">
        <f ca="1">('[1]Pc, Summer, S2'!J3*Main!$B$5)+(_xlfn.IFNA(VLOOKUP($A3,'FL Ratio'!$A$3:$B$10,2,FALSE),0)*'FL Characterization'!J$2)</f>
        <v>63.950139028129364</v>
      </c>
      <c r="K3" s="2">
        <f ca="1">('[1]Pc, Summer, S2'!K3*Main!$B$5)+(_xlfn.IFNA(VLOOKUP($A3,'FL Ratio'!$A$3:$B$10,2,FALSE),0)*'FL Characterization'!K$2)</f>
        <v>62.611721932911124</v>
      </c>
      <c r="L3" s="2">
        <f ca="1">('[1]Pc, Summer, S2'!L3*Main!$B$5)+(_xlfn.IFNA(VLOOKUP($A3,'FL Ratio'!$A$3:$B$10,2,FALSE),0)*'FL Characterization'!L$2)</f>
        <v>62.581984655592123</v>
      </c>
      <c r="M3" s="2">
        <f ca="1">('[1]Pc, Summer, S2'!M3*Main!$B$5)+(_xlfn.IFNA(VLOOKUP($A3,'FL Ratio'!$A$3:$B$10,2,FALSE),0)*'FL Characterization'!M$2)</f>
        <v>66.686463740896187</v>
      </c>
      <c r="N3" s="2">
        <f ca="1">('[1]Pc, Summer, S2'!N3*Main!$B$5)+(_xlfn.IFNA(VLOOKUP($A3,'FL Ratio'!$A$3:$B$10,2,FALSE),0)*'FL Characterization'!N$2)</f>
        <v>66.686463740896187</v>
      </c>
      <c r="O3" s="2">
        <f ca="1">('[1]Pc, Summer, S2'!O3*Main!$B$5)+(_xlfn.IFNA(VLOOKUP($A3,'FL Ratio'!$A$3:$B$10,2,FALSE),0)*'FL Characterization'!O$2)</f>
        <v>66.686463740896187</v>
      </c>
      <c r="P3" s="2">
        <f ca="1">('[1]Pc, Summer, S2'!P3*Main!$B$5)+(_xlfn.IFNA(VLOOKUP($A3,'FL Ratio'!$A$3:$B$10,2,FALSE),0)*'FL Characterization'!P$2)</f>
        <v>63.340422597945164</v>
      </c>
      <c r="Q3" s="2">
        <f ca="1">('[1]Pc, Summer, S2'!Q3*Main!$B$5)+(_xlfn.IFNA(VLOOKUP($A3,'FL Ratio'!$A$3:$B$10,2,FALSE),0)*'FL Characterization'!Q$2)</f>
        <v>59.964637793110164</v>
      </c>
      <c r="R3" s="2">
        <f ca="1">('[1]Pc, Summer, S2'!R3*Main!$B$5)+(_xlfn.IFNA(VLOOKUP($A3,'FL Ratio'!$A$3:$B$10,2,FALSE),0)*'FL Characterization'!R$2)</f>
        <v>55.860165092371084</v>
      </c>
      <c r="S3" s="2">
        <f ca="1">('[1]Pc, Summer, S2'!S3*Main!$B$5)+(_xlfn.IFNA(VLOOKUP($A3,'FL Ratio'!$A$3:$B$10,2,FALSE),0)*'FL Characterization'!S$2)</f>
        <v>55.860165092371084</v>
      </c>
      <c r="T3" s="2">
        <f ca="1">('[1]Pc, Summer, S2'!T3*Main!$B$5)+(_xlfn.IFNA(VLOOKUP($A3,'FL Ratio'!$A$3:$B$10,2,FALSE),0)*'FL Characterization'!T$2)</f>
        <v>55.860165092371084</v>
      </c>
      <c r="U3" s="2">
        <f ca="1">('[1]Pc, Summer, S2'!U3*Main!$B$5)+(_xlfn.IFNA(VLOOKUP($A3,'FL Ratio'!$A$3:$B$10,2,FALSE),0)*'FL Characterization'!U$2)</f>
        <v>55.860165092371084</v>
      </c>
      <c r="V3" s="2">
        <f ca="1">('[1]Pc, Summer, S2'!V3*Main!$B$5)+(_xlfn.IFNA(VLOOKUP($A3,'FL Ratio'!$A$3:$B$10,2,FALSE),0)*'FL Characterization'!V$2)</f>
        <v>55.860165092371084</v>
      </c>
      <c r="W3" s="2">
        <f ca="1">('[1]Pc, Summer, S2'!W3*Main!$B$5)+(_xlfn.IFNA(VLOOKUP($A3,'FL Ratio'!$A$3:$B$10,2,FALSE),0)*'FL Characterization'!W$2)</f>
        <v>55.860165092371084</v>
      </c>
      <c r="X3" s="2">
        <f ca="1">('[1]Pc, Summer, S2'!X3*Main!$B$5)+(_xlfn.IFNA(VLOOKUP($A3,'FL Ratio'!$A$3:$B$10,2,FALSE),0)*'FL Characterization'!X$2)</f>
        <v>53.852553817954849</v>
      </c>
      <c r="Y3" s="2">
        <f ca="1">('[1]Pc, Summer, S2'!Y3*Main!$B$5)+(_xlfn.IFNA(VLOOKUP($A3,'FL Ratio'!$A$3:$B$10,2,FALSE),0)*'FL Characterization'!Y$2)</f>
        <v>50.387553974227266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59.838917573706652</v>
      </c>
      <c r="C4" s="2">
        <f ca="1">('[1]Pc, Summer, S2'!C4*Main!$B$5)+(_xlfn.IFNA(VLOOKUP($A4,'FL Ratio'!$A$3:$B$10,2,FALSE),0)*'FL Characterization'!C$2)</f>
        <v>52.676335263139336</v>
      </c>
      <c r="D4" s="2">
        <f ca="1">('[1]Pc, Summer, S2'!D4*Main!$B$5)+(_xlfn.IFNA(VLOOKUP($A4,'FL Ratio'!$A$3:$B$10,2,FALSE),0)*'FL Characterization'!D$2)</f>
        <v>49.811123139348972</v>
      </c>
      <c r="E4" s="2">
        <f ca="1">('[1]Pc, Summer, S2'!E4*Main!$B$5)+(_xlfn.IFNA(VLOOKUP($A4,'FL Ratio'!$A$3:$B$10,2,FALSE),0)*'FL Characterization'!E$2)</f>
        <v>48.231305916482633</v>
      </c>
      <c r="F4" s="2">
        <f ca="1">('[1]Pc, Summer, S2'!F4*Main!$B$5)+(_xlfn.IFNA(VLOOKUP($A4,'FL Ratio'!$A$3:$B$10,2,FALSE),0)*'FL Characterization'!F$2)</f>
        <v>51.129698975712628</v>
      </c>
      <c r="G4" s="2">
        <f ca="1">('[1]Pc, Summer, S2'!G4*Main!$B$5)+(_xlfn.IFNA(VLOOKUP($A4,'FL Ratio'!$A$3:$B$10,2,FALSE),0)*'FL Characterization'!G$2)</f>
        <v>46.831518721508843</v>
      </c>
      <c r="H4" s="2">
        <f ca="1">('[1]Pc, Summer, S2'!H4*Main!$B$5)+(_xlfn.IFNA(VLOOKUP($A4,'FL Ratio'!$A$3:$B$10,2,FALSE),0)*'FL Characterization'!H$2)</f>
        <v>54.92482658549018</v>
      </c>
      <c r="I4" s="2">
        <f ca="1">('[1]Pc, Summer, S2'!I4*Main!$B$5)+(_xlfn.IFNA(VLOOKUP($A4,'FL Ratio'!$A$3:$B$10,2,FALSE),0)*'FL Characterization'!I$2)</f>
        <v>63.750306104231932</v>
      </c>
      <c r="J4" s="2">
        <f ca="1">('[1]Pc, Summer, S2'!J4*Main!$B$5)+(_xlfn.IFNA(VLOOKUP($A4,'FL Ratio'!$A$3:$B$10,2,FALSE),0)*'FL Characterization'!J$2)</f>
        <v>71.819023216684585</v>
      </c>
      <c r="K4" s="2">
        <f ca="1">('[1]Pc, Summer, S2'!K4*Main!$B$5)+(_xlfn.IFNA(VLOOKUP($A4,'FL Ratio'!$A$3:$B$10,2,FALSE),0)*'FL Characterization'!K$2)</f>
        <v>77.080928926443562</v>
      </c>
      <c r="L4" s="2">
        <f ca="1">('[1]Pc, Summer, S2'!L4*Main!$B$5)+(_xlfn.IFNA(VLOOKUP($A4,'FL Ratio'!$A$3:$B$10,2,FALSE),0)*'FL Characterization'!L$2)</f>
        <v>79.547685369312916</v>
      </c>
      <c r="M4" s="2">
        <f ca="1">('[1]Pc, Summer, S2'!M4*Main!$B$5)+(_xlfn.IFNA(VLOOKUP($A4,'FL Ratio'!$A$3:$B$10,2,FALSE),0)*'FL Characterization'!M$2)</f>
        <v>80.806644171068797</v>
      </c>
      <c r="N4" s="2">
        <f ca="1">('[1]Pc, Summer, S2'!N4*Main!$B$5)+(_xlfn.IFNA(VLOOKUP($A4,'FL Ratio'!$A$3:$B$10,2,FALSE),0)*'FL Characterization'!N$2)</f>
        <v>82.393295849586082</v>
      </c>
      <c r="O4" s="2">
        <f ca="1">('[1]Pc, Summer, S2'!O4*Main!$B$5)+(_xlfn.IFNA(VLOOKUP($A4,'FL Ratio'!$A$3:$B$10,2,FALSE),0)*'FL Characterization'!O$2)</f>
        <v>83.06812714858853</v>
      </c>
      <c r="P4" s="2">
        <f ca="1">('[1]Pc, Summer, S2'!P4*Main!$B$5)+(_xlfn.IFNA(VLOOKUP($A4,'FL Ratio'!$A$3:$B$10,2,FALSE),0)*'FL Characterization'!P$2)</f>
        <v>83.358079676120227</v>
      </c>
      <c r="Q4" s="2">
        <f ca="1">('[1]Pc, Summer, S2'!Q4*Main!$B$5)+(_xlfn.IFNA(VLOOKUP($A4,'FL Ratio'!$A$3:$B$10,2,FALSE),0)*'FL Characterization'!Q$2)</f>
        <v>80.215546446336631</v>
      </c>
      <c r="R4" s="2">
        <f ca="1">('[1]Pc, Summer, S2'!R4*Main!$B$5)+(_xlfn.IFNA(VLOOKUP($A4,'FL Ratio'!$A$3:$B$10,2,FALSE),0)*'FL Characterization'!R$2)</f>
        <v>80.25569596292334</v>
      </c>
      <c r="S4" s="2">
        <f ca="1">('[1]Pc, Summer, S2'!S4*Main!$B$5)+(_xlfn.IFNA(VLOOKUP($A4,'FL Ratio'!$A$3:$B$10,2,FALSE),0)*'FL Characterization'!S$2)</f>
        <v>77.126741848298025</v>
      </c>
      <c r="T4" s="2">
        <f ca="1">('[1]Pc, Summer, S2'!T4*Main!$B$5)+(_xlfn.IFNA(VLOOKUP($A4,'FL Ratio'!$A$3:$B$10,2,FALSE),0)*'FL Characterization'!T$2)</f>
        <v>77.532549250313437</v>
      </c>
      <c r="U4" s="2">
        <f ca="1">('[1]Pc, Summer, S2'!U4*Main!$B$5)+(_xlfn.IFNA(VLOOKUP($A4,'FL Ratio'!$A$3:$B$10,2,FALSE),0)*'FL Characterization'!U$2)</f>
        <v>78.17000005713227</v>
      </c>
      <c r="V4" s="2">
        <f ca="1">('[1]Pc, Summer, S2'!V4*Main!$B$5)+(_xlfn.IFNA(VLOOKUP($A4,'FL Ratio'!$A$3:$B$10,2,FALSE),0)*'FL Characterization'!V$2)</f>
        <v>77.527426393390087</v>
      </c>
      <c r="W4" s="2">
        <f ca="1">('[1]Pc, Summer, S2'!W4*Main!$B$5)+(_xlfn.IFNA(VLOOKUP($A4,'FL Ratio'!$A$3:$B$10,2,FALSE),0)*'FL Characterization'!W$2)</f>
        <v>80.306632102914719</v>
      </c>
      <c r="X4" s="2">
        <f ca="1">('[1]Pc, Summer, S2'!X4*Main!$B$5)+(_xlfn.IFNA(VLOOKUP($A4,'FL Ratio'!$A$3:$B$10,2,FALSE),0)*'FL Characterization'!X$2)</f>
        <v>78.460707878287721</v>
      </c>
      <c r="Y4" s="2">
        <f ca="1">('[1]Pc, Summer, S2'!Y4*Main!$B$5)+(_xlfn.IFNA(VLOOKUP($A4,'FL Ratio'!$A$3:$B$10,2,FALSE),0)*'FL Characterization'!Y$2)</f>
        <v>70.122877084232542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43.769495020792107</v>
      </c>
      <c r="C2" s="2">
        <f ca="1">('[1]Pc, Summer, S2'!C2*Main!$B$5)+(_xlfn.IFNA(VLOOKUP($A2,'FL Ratio'!$A$3:$B$10,2,FALSE),0)*'FL Characterization'!C$2)</f>
        <v>39.76654494306954</v>
      </c>
      <c r="D2" s="2">
        <f ca="1">('[1]Pc, Summer, S2'!D2*Main!$B$5)+(_xlfn.IFNA(VLOOKUP($A2,'FL Ratio'!$A$3:$B$10,2,FALSE),0)*'FL Characterization'!D$2)</f>
        <v>39.071926756001822</v>
      </c>
      <c r="E2" s="2">
        <f ca="1">('[1]Pc, Summer, S2'!E2*Main!$B$5)+(_xlfn.IFNA(VLOOKUP($A2,'FL Ratio'!$A$3:$B$10,2,FALSE),0)*'FL Characterization'!E$2)</f>
        <v>38.972115016606637</v>
      </c>
      <c r="F2" s="2">
        <f ca="1">('[1]Pc, Summer, S2'!F2*Main!$B$5)+(_xlfn.IFNA(VLOOKUP($A2,'FL Ratio'!$A$3:$B$10,2,FALSE),0)*'FL Characterization'!F$2)</f>
        <v>38.975187582455952</v>
      </c>
      <c r="G2" s="2">
        <f ca="1">('[1]Pc, Summer, S2'!G2*Main!$B$5)+(_xlfn.IFNA(VLOOKUP($A2,'FL Ratio'!$A$3:$B$10,2,FALSE),0)*'FL Characterization'!G$2)</f>
        <v>38.630502411779723</v>
      </c>
      <c r="H2" s="2">
        <f ca="1">('[1]Pc, Summer, S2'!H2*Main!$B$5)+(_xlfn.IFNA(VLOOKUP($A2,'FL Ratio'!$A$3:$B$10,2,FALSE),0)*'FL Characterization'!H$2)</f>
        <v>41.705075777831198</v>
      </c>
      <c r="I2" s="2">
        <f ca="1">('[1]Pc, Summer, S2'!I2*Main!$B$5)+(_xlfn.IFNA(VLOOKUP($A2,'FL Ratio'!$A$3:$B$10,2,FALSE),0)*'FL Characterization'!I$2)</f>
        <v>49.514113828718365</v>
      </c>
      <c r="J2" s="2">
        <f ca="1">('[1]Pc, Summer, S2'!J2*Main!$B$5)+(_xlfn.IFNA(VLOOKUP($A2,'FL Ratio'!$A$3:$B$10,2,FALSE),0)*'FL Characterization'!J$2)</f>
        <v>56.432010584988262</v>
      </c>
      <c r="K2" s="2">
        <f ca="1">('[1]Pc, Summer, S2'!K2*Main!$B$5)+(_xlfn.IFNA(VLOOKUP($A2,'FL Ratio'!$A$3:$B$10,2,FALSE),0)*'FL Characterization'!K$2)</f>
        <v>58.166056185917476</v>
      </c>
      <c r="L2" s="2">
        <f ca="1">('[1]Pc, Summer, S2'!L2*Main!$B$5)+(_xlfn.IFNA(VLOOKUP($A2,'FL Ratio'!$A$3:$B$10,2,FALSE),0)*'FL Characterization'!L$2)</f>
        <v>57.577431214881592</v>
      </c>
      <c r="M2" s="2">
        <f ca="1">('[1]Pc, Summer, S2'!M2*Main!$B$5)+(_xlfn.IFNA(VLOOKUP($A2,'FL Ratio'!$A$3:$B$10,2,FALSE),0)*'FL Characterization'!M$2)</f>
        <v>59.205640810419617</v>
      </c>
      <c r="N2" s="2">
        <f ca="1">('[1]Pc, Summer, S2'!N2*Main!$B$5)+(_xlfn.IFNA(VLOOKUP($A2,'FL Ratio'!$A$3:$B$10,2,FALSE),0)*'FL Characterization'!N$2)</f>
        <v>60.017817366806568</v>
      </c>
      <c r="O2" s="2">
        <f ca="1">('[1]Pc, Summer, S2'!O2*Main!$B$5)+(_xlfn.IFNA(VLOOKUP($A2,'FL Ratio'!$A$3:$B$10,2,FALSE),0)*'FL Characterization'!O$2)</f>
        <v>58.907600184849535</v>
      </c>
      <c r="P2" s="2">
        <f ca="1">('[1]Pc, Summer, S2'!P2*Main!$B$5)+(_xlfn.IFNA(VLOOKUP($A2,'FL Ratio'!$A$3:$B$10,2,FALSE),0)*'FL Characterization'!P$2)</f>
        <v>56.605773412420255</v>
      </c>
      <c r="Q2" s="2">
        <f ca="1">('[1]Pc, Summer, S2'!Q2*Main!$B$5)+(_xlfn.IFNA(VLOOKUP($A2,'FL Ratio'!$A$3:$B$10,2,FALSE),0)*'FL Characterization'!Q$2)</f>
        <v>54.327488689520855</v>
      </c>
      <c r="R2" s="2">
        <f ca="1">('[1]Pc, Summer, S2'!R2*Main!$B$5)+(_xlfn.IFNA(VLOOKUP($A2,'FL Ratio'!$A$3:$B$10,2,FALSE),0)*'FL Characterization'!R$2)</f>
        <v>55.275325317589541</v>
      </c>
      <c r="S2" s="2">
        <f ca="1">('[1]Pc, Summer, S2'!S2*Main!$B$5)+(_xlfn.IFNA(VLOOKUP($A2,'FL Ratio'!$A$3:$B$10,2,FALSE),0)*'FL Characterization'!S$2)</f>
        <v>55.821431723830756</v>
      </c>
      <c r="T2" s="2">
        <f ca="1">('[1]Pc, Summer, S2'!T2*Main!$B$5)+(_xlfn.IFNA(VLOOKUP($A2,'FL Ratio'!$A$3:$B$10,2,FALSE),0)*'FL Characterization'!T$2)</f>
        <v>56.058372964901729</v>
      </c>
      <c r="U2" s="2">
        <f ca="1">('[1]Pc, Summer, S2'!U2*Main!$B$5)+(_xlfn.IFNA(VLOOKUP($A2,'FL Ratio'!$A$3:$B$10,2,FALSE),0)*'FL Characterization'!U$2)</f>
        <v>55.130349172559526</v>
      </c>
      <c r="V2" s="2">
        <f ca="1">('[1]Pc, Summer, S2'!V2*Main!$B$5)+(_xlfn.IFNA(VLOOKUP($A2,'FL Ratio'!$A$3:$B$10,2,FALSE),0)*'FL Characterization'!V$2)</f>
        <v>55.295991586513175</v>
      </c>
      <c r="W2" s="2">
        <f ca="1">('[1]Pc, Summer, S2'!W2*Main!$B$5)+(_xlfn.IFNA(VLOOKUP($A2,'FL Ratio'!$A$3:$B$10,2,FALSE),0)*'FL Characterization'!W$2)</f>
        <v>57.586239300155782</v>
      </c>
      <c r="X2" s="2">
        <f ca="1">('[1]Pc, Summer, S2'!X2*Main!$B$5)+(_xlfn.IFNA(VLOOKUP($A2,'FL Ratio'!$A$3:$B$10,2,FALSE),0)*'FL Characterization'!X$2)</f>
        <v>53.677345105610812</v>
      </c>
      <c r="Y2" s="2">
        <f ca="1">('[1]Pc, Summer, S2'!Y2*Main!$B$5)+(_xlfn.IFNA(VLOOKUP($A2,'FL Ratio'!$A$3:$B$10,2,FALSE),0)*'FL Characterization'!Y$2)</f>
        <v>49.205722958754599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44.379579210697308</v>
      </c>
      <c r="C3" s="2">
        <f ca="1">('[1]Pc, Summer, S2'!C3*Main!$B$5)+(_xlfn.IFNA(VLOOKUP($A3,'FL Ratio'!$A$3:$B$10,2,FALSE),0)*'FL Characterization'!C$2)</f>
        <v>40.408940238145846</v>
      </c>
      <c r="D3" s="2">
        <f ca="1">('[1]Pc, Summer, S2'!D3*Main!$B$5)+(_xlfn.IFNA(VLOOKUP($A3,'FL Ratio'!$A$3:$B$10,2,FALSE),0)*'FL Characterization'!D$2)</f>
        <v>38.431059860670246</v>
      </c>
      <c r="E3" s="2">
        <f ca="1">('[1]Pc, Summer, S2'!E3*Main!$B$5)+(_xlfn.IFNA(VLOOKUP($A3,'FL Ratio'!$A$3:$B$10,2,FALSE),0)*'FL Characterization'!E$2)</f>
        <v>37.062908678322181</v>
      </c>
      <c r="F3" s="2">
        <f ca="1">('[1]Pc, Summer, S2'!F3*Main!$B$5)+(_xlfn.IFNA(VLOOKUP($A3,'FL Ratio'!$A$3:$B$10,2,FALSE),0)*'FL Characterization'!F$2)</f>
        <v>37.062908678322181</v>
      </c>
      <c r="G3" s="2">
        <f ca="1">('[1]Pc, Summer, S2'!G3*Main!$B$5)+(_xlfn.IFNA(VLOOKUP($A3,'FL Ratio'!$A$3:$B$10,2,FALSE),0)*'FL Characterization'!G$2)</f>
        <v>39.739736471633904</v>
      </c>
      <c r="H3" s="2">
        <f ca="1">('[1]Pc, Summer, S2'!H3*Main!$B$5)+(_xlfn.IFNA(VLOOKUP($A3,'FL Ratio'!$A$3:$B$10,2,FALSE),0)*'FL Characterization'!H$2)</f>
        <v>49.792712571454139</v>
      </c>
      <c r="I3" s="2">
        <f ca="1">('[1]Pc, Summer, S2'!I3*Main!$B$5)+(_xlfn.IFNA(VLOOKUP($A3,'FL Ratio'!$A$3:$B$10,2,FALSE),0)*'FL Characterization'!I$2)</f>
        <v>61.273308027882052</v>
      </c>
      <c r="J3" s="2">
        <f ca="1">('[1]Pc, Summer, S2'!J3*Main!$B$5)+(_xlfn.IFNA(VLOOKUP($A3,'FL Ratio'!$A$3:$B$10,2,FALSE),0)*'FL Characterization'!J$2)</f>
        <v>63.950139028129364</v>
      </c>
      <c r="K3" s="2">
        <f ca="1">('[1]Pc, Summer, S2'!K3*Main!$B$5)+(_xlfn.IFNA(VLOOKUP($A3,'FL Ratio'!$A$3:$B$10,2,FALSE),0)*'FL Characterization'!K$2)</f>
        <v>62.611721932911124</v>
      </c>
      <c r="L3" s="2">
        <f ca="1">('[1]Pc, Summer, S2'!L3*Main!$B$5)+(_xlfn.IFNA(VLOOKUP($A3,'FL Ratio'!$A$3:$B$10,2,FALSE),0)*'FL Characterization'!L$2)</f>
        <v>62.581984655592123</v>
      </c>
      <c r="M3" s="2">
        <f ca="1">('[1]Pc, Summer, S2'!M3*Main!$B$5)+(_xlfn.IFNA(VLOOKUP($A3,'FL Ratio'!$A$3:$B$10,2,FALSE),0)*'FL Characterization'!M$2)</f>
        <v>66.686463740896187</v>
      </c>
      <c r="N3" s="2">
        <f ca="1">('[1]Pc, Summer, S2'!N3*Main!$B$5)+(_xlfn.IFNA(VLOOKUP($A3,'FL Ratio'!$A$3:$B$10,2,FALSE),0)*'FL Characterization'!N$2)</f>
        <v>66.686463740896187</v>
      </c>
      <c r="O3" s="2">
        <f ca="1">('[1]Pc, Summer, S2'!O3*Main!$B$5)+(_xlfn.IFNA(VLOOKUP($A3,'FL Ratio'!$A$3:$B$10,2,FALSE),0)*'FL Characterization'!O$2)</f>
        <v>66.686463740896187</v>
      </c>
      <c r="P3" s="2">
        <f ca="1">('[1]Pc, Summer, S2'!P3*Main!$B$5)+(_xlfn.IFNA(VLOOKUP($A3,'FL Ratio'!$A$3:$B$10,2,FALSE),0)*'FL Characterization'!P$2)</f>
        <v>63.340422597945164</v>
      </c>
      <c r="Q3" s="2">
        <f ca="1">('[1]Pc, Summer, S2'!Q3*Main!$B$5)+(_xlfn.IFNA(VLOOKUP($A3,'FL Ratio'!$A$3:$B$10,2,FALSE),0)*'FL Characterization'!Q$2)</f>
        <v>59.964637793110164</v>
      </c>
      <c r="R3" s="2">
        <f ca="1">('[1]Pc, Summer, S2'!R3*Main!$B$5)+(_xlfn.IFNA(VLOOKUP($A3,'FL Ratio'!$A$3:$B$10,2,FALSE),0)*'FL Characterization'!R$2)</f>
        <v>55.860165092371084</v>
      </c>
      <c r="S3" s="2">
        <f ca="1">('[1]Pc, Summer, S2'!S3*Main!$B$5)+(_xlfn.IFNA(VLOOKUP($A3,'FL Ratio'!$A$3:$B$10,2,FALSE),0)*'FL Characterization'!S$2)</f>
        <v>55.860165092371084</v>
      </c>
      <c r="T3" s="2">
        <f ca="1">('[1]Pc, Summer, S2'!T3*Main!$B$5)+(_xlfn.IFNA(VLOOKUP($A3,'FL Ratio'!$A$3:$B$10,2,FALSE),0)*'FL Characterization'!T$2)</f>
        <v>55.860165092371084</v>
      </c>
      <c r="U3" s="2">
        <f ca="1">('[1]Pc, Summer, S2'!U3*Main!$B$5)+(_xlfn.IFNA(VLOOKUP($A3,'FL Ratio'!$A$3:$B$10,2,FALSE),0)*'FL Characterization'!U$2)</f>
        <v>55.860165092371084</v>
      </c>
      <c r="V3" s="2">
        <f ca="1">('[1]Pc, Summer, S2'!V3*Main!$B$5)+(_xlfn.IFNA(VLOOKUP($A3,'FL Ratio'!$A$3:$B$10,2,FALSE),0)*'FL Characterization'!V$2)</f>
        <v>55.860165092371084</v>
      </c>
      <c r="W3" s="2">
        <f ca="1">('[1]Pc, Summer, S2'!W3*Main!$B$5)+(_xlfn.IFNA(VLOOKUP($A3,'FL Ratio'!$A$3:$B$10,2,FALSE),0)*'FL Characterization'!W$2)</f>
        <v>55.860165092371084</v>
      </c>
      <c r="X3" s="2">
        <f ca="1">('[1]Pc, Summer, S2'!X3*Main!$B$5)+(_xlfn.IFNA(VLOOKUP($A3,'FL Ratio'!$A$3:$B$10,2,FALSE),0)*'FL Characterization'!X$2)</f>
        <v>53.852553817954849</v>
      </c>
      <c r="Y3" s="2">
        <f ca="1">('[1]Pc, Summer, S2'!Y3*Main!$B$5)+(_xlfn.IFNA(VLOOKUP($A3,'FL Ratio'!$A$3:$B$10,2,FALSE),0)*'FL Characterization'!Y$2)</f>
        <v>50.387553974227266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59.838917573706652</v>
      </c>
      <c r="C4" s="2">
        <f ca="1">('[1]Pc, Summer, S2'!C4*Main!$B$5)+(_xlfn.IFNA(VLOOKUP($A4,'FL Ratio'!$A$3:$B$10,2,FALSE),0)*'FL Characterization'!C$2)</f>
        <v>52.676335263139336</v>
      </c>
      <c r="D4" s="2">
        <f ca="1">('[1]Pc, Summer, S2'!D4*Main!$B$5)+(_xlfn.IFNA(VLOOKUP($A4,'FL Ratio'!$A$3:$B$10,2,FALSE),0)*'FL Characterization'!D$2)</f>
        <v>49.811123139348972</v>
      </c>
      <c r="E4" s="2">
        <f ca="1">('[1]Pc, Summer, S2'!E4*Main!$B$5)+(_xlfn.IFNA(VLOOKUP($A4,'FL Ratio'!$A$3:$B$10,2,FALSE),0)*'FL Characterization'!E$2)</f>
        <v>48.231305916482633</v>
      </c>
      <c r="F4" s="2">
        <f ca="1">('[1]Pc, Summer, S2'!F4*Main!$B$5)+(_xlfn.IFNA(VLOOKUP($A4,'FL Ratio'!$A$3:$B$10,2,FALSE),0)*'FL Characterization'!F$2)</f>
        <v>51.129698975712628</v>
      </c>
      <c r="G4" s="2">
        <f ca="1">('[1]Pc, Summer, S2'!G4*Main!$B$5)+(_xlfn.IFNA(VLOOKUP($A4,'FL Ratio'!$A$3:$B$10,2,FALSE),0)*'FL Characterization'!G$2)</f>
        <v>46.831518721508843</v>
      </c>
      <c r="H4" s="2">
        <f ca="1">('[1]Pc, Summer, S2'!H4*Main!$B$5)+(_xlfn.IFNA(VLOOKUP($A4,'FL Ratio'!$A$3:$B$10,2,FALSE),0)*'FL Characterization'!H$2)</f>
        <v>54.92482658549018</v>
      </c>
      <c r="I4" s="2">
        <f ca="1">('[1]Pc, Summer, S2'!I4*Main!$B$5)+(_xlfn.IFNA(VLOOKUP($A4,'FL Ratio'!$A$3:$B$10,2,FALSE),0)*'FL Characterization'!I$2)</f>
        <v>63.750306104231932</v>
      </c>
      <c r="J4" s="2">
        <f ca="1">('[1]Pc, Summer, S2'!J4*Main!$B$5)+(_xlfn.IFNA(VLOOKUP($A4,'FL Ratio'!$A$3:$B$10,2,FALSE),0)*'FL Characterization'!J$2)</f>
        <v>71.819023216684585</v>
      </c>
      <c r="K4" s="2">
        <f ca="1">('[1]Pc, Summer, S2'!K4*Main!$B$5)+(_xlfn.IFNA(VLOOKUP($A4,'FL Ratio'!$A$3:$B$10,2,FALSE),0)*'FL Characterization'!K$2)</f>
        <v>77.080928926443562</v>
      </c>
      <c r="L4" s="2">
        <f ca="1">('[1]Pc, Summer, S2'!L4*Main!$B$5)+(_xlfn.IFNA(VLOOKUP($A4,'FL Ratio'!$A$3:$B$10,2,FALSE),0)*'FL Characterization'!L$2)</f>
        <v>79.547685369312916</v>
      </c>
      <c r="M4" s="2">
        <f ca="1">('[1]Pc, Summer, S2'!M4*Main!$B$5)+(_xlfn.IFNA(VLOOKUP($A4,'FL Ratio'!$A$3:$B$10,2,FALSE),0)*'FL Characterization'!M$2)</f>
        <v>80.806644171068797</v>
      </c>
      <c r="N4" s="2">
        <f ca="1">('[1]Pc, Summer, S2'!N4*Main!$B$5)+(_xlfn.IFNA(VLOOKUP($A4,'FL Ratio'!$A$3:$B$10,2,FALSE),0)*'FL Characterization'!N$2)</f>
        <v>82.393295849586082</v>
      </c>
      <c r="O4" s="2">
        <f ca="1">('[1]Pc, Summer, S2'!O4*Main!$B$5)+(_xlfn.IFNA(VLOOKUP($A4,'FL Ratio'!$A$3:$B$10,2,FALSE),0)*'FL Characterization'!O$2)</f>
        <v>83.06812714858853</v>
      </c>
      <c r="P4" s="2">
        <f ca="1">('[1]Pc, Summer, S2'!P4*Main!$B$5)+(_xlfn.IFNA(VLOOKUP($A4,'FL Ratio'!$A$3:$B$10,2,FALSE),0)*'FL Characterization'!P$2)</f>
        <v>83.358079676120227</v>
      </c>
      <c r="Q4" s="2">
        <f ca="1">('[1]Pc, Summer, S2'!Q4*Main!$B$5)+(_xlfn.IFNA(VLOOKUP($A4,'FL Ratio'!$A$3:$B$10,2,FALSE),0)*'FL Characterization'!Q$2)</f>
        <v>80.215546446336631</v>
      </c>
      <c r="R4" s="2">
        <f ca="1">('[1]Pc, Summer, S2'!R4*Main!$B$5)+(_xlfn.IFNA(VLOOKUP($A4,'FL Ratio'!$A$3:$B$10,2,FALSE),0)*'FL Characterization'!R$2)</f>
        <v>80.25569596292334</v>
      </c>
      <c r="S4" s="2">
        <f ca="1">('[1]Pc, Summer, S2'!S4*Main!$B$5)+(_xlfn.IFNA(VLOOKUP($A4,'FL Ratio'!$A$3:$B$10,2,FALSE),0)*'FL Characterization'!S$2)</f>
        <v>77.126741848298025</v>
      </c>
      <c r="T4" s="2">
        <f ca="1">('[1]Pc, Summer, S2'!T4*Main!$B$5)+(_xlfn.IFNA(VLOOKUP($A4,'FL Ratio'!$A$3:$B$10,2,FALSE),0)*'FL Characterization'!T$2)</f>
        <v>77.532549250313437</v>
      </c>
      <c r="U4" s="2">
        <f ca="1">('[1]Pc, Summer, S2'!U4*Main!$B$5)+(_xlfn.IFNA(VLOOKUP($A4,'FL Ratio'!$A$3:$B$10,2,FALSE),0)*'FL Characterization'!U$2)</f>
        <v>78.17000005713227</v>
      </c>
      <c r="V4" s="2">
        <f ca="1">('[1]Pc, Summer, S2'!V4*Main!$B$5)+(_xlfn.IFNA(VLOOKUP($A4,'FL Ratio'!$A$3:$B$10,2,FALSE),0)*'FL Characterization'!V$2)</f>
        <v>77.527426393390087</v>
      </c>
      <c r="W4" s="2">
        <f ca="1">('[1]Pc, Summer, S2'!W4*Main!$B$5)+(_xlfn.IFNA(VLOOKUP($A4,'FL Ratio'!$A$3:$B$10,2,FALSE),0)*'FL Characterization'!W$2)</f>
        <v>80.306632102914719</v>
      </c>
      <c r="X4" s="2">
        <f ca="1">('[1]Pc, Summer, S2'!X4*Main!$B$5)+(_xlfn.IFNA(VLOOKUP($A4,'FL Ratio'!$A$3:$B$10,2,FALSE),0)*'FL Characterization'!X$2)</f>
        <v>78.460707878287721</v>
      </c>
      <c r="Y4" s="2">
        <f ca="1">('[1]Pc, Summer, S2'!Y4*Main!$B$5)+(_xlfn.IFNA(VLOOKUP($A4,'FL Ratio'!$A$3:$B$10,2,FALSE),0)*'FL Characterization'!Y$2)</f>
        <v>70.122877084232542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43.769495020792107</v>
      </c>
      <c r="C2" s="2">
        <f ca="1">('[1]Pc, Summer, S2'!C2*Main!$B$5)+(_xlfn.IFNA(VLOOKUP($A2,'FL Ratio'!$A$3:$B$10,2,FALSE),0)*'FL Characterization'!C$2)</f>
        <v>39.76654494306954</v>
      </c>
      <c r="D2" s="2">
        <f ca="1">('[1]Pc, Summer, S2'!D2*Main!$B$5)+(_xlfn.IFNA(VLOOKUP($A2,'FL Ratio'!$A$3:$B$10,2,FALSE),0)*'FL Characterization'!D$2)</f>
        <v>39.071926756001822</v>
      </c>
      <c r="E2" s="2">
        <f ca="1">('[1]Pc, Summer, S2'!E2*Main!$B$5)+(_xlfn.IFNA(VLOOKUP($A2,'FL Ratio'!$A$3:$B$10,2,FALSE),0)*'FL Characterization'!E$2)</f>
        <v>38.972115016606637</v>
      </c>
      <c r="F2" s="2">
        <f ca="1">('[1]Pc, Summer, S2'!F2*Main!$B$5)+(_xlfn.IFNA(VLOOKUP($A2,'FL Ratio'!$A$3:$B$10,2,FALSE),0)*'FL Characterization'!F$2)</f>
        <v>38.975187582455952</v>
      </c>
      <c r="G2" s="2">
        <f ca="1">('[1]Pc, Summer, S2'!G2*Main!$B$5)+(_xlfn.IFNA(VLOOKUP($A2,'FL Ratio'!$A$3:$B$10,2,FALSE),0)*'FL Characterization'!G$2)</f>
        <v>38.630502411779723</v>
      </c>
      <c r="H2" s="2">
        <f ca="1">('[1]Pc, Summer, S2'!H2*Main!$B$5)+(_xlfn.IFNA(VLOOKUP($A2,'FL Ratio'!$A$3:$B$10,2,FALSE),0)*'FL Characterization'!H$2)</f>
        <v>41.705075777831198</v>
      </c>
      <c r="I2" s="2">
        <f ca="1">('[1]Pc, Summer, S2'!I2*Main!$B$5)+(_xlfn.IFNA(VLOOKUP($A2,'FL Ratio'!$A$3:$B$10,2,FALSE),0)*'FL Characterization'!I$2)</f>
        <v>49.514113828718365</v>
      </c>
      <c r="J2" s="2">
        <f ca="1">('[1]Pc, Summer, S2'!J2*Main!$B$5)+(_xlfn.IFNA(VLOOKUP($A2,'FL Ratio'!$A$3:$B$10,2,FALSE),0)*'FL Characterization'!J$2)</f>
        <v>56.432010584988262</v>
      </c>
      <c r="K2" s="2">
        <f ca="1">('[1]Pc, Summer, S2'!K2*Main!$B$5)+(_xlfn.IFNA(VLOOKUP($A2,'FL Ratio'!$A$3:$B$10,2,FALSE),0)*'FL Characterization'!K$2)</f>
        <v>58.166056185917476</v>
      </c>
      <c r="L2" s="2">
        <f ca="1">('[1]Pc, Summer, S2'!L2*Main!$B$5)+(_xlfn.IFNA(VLOOKUP($A2,'FL Ratio'!$A$3:$B$10,2,FALSE),0)*'FL Characterization'!L$2)</f>
        <v>57.577431214881592</v>
      </c>
      <c r="M2" s="2">
        <f ca="1">('[1]Pc, Summer, S2'!M2*Main!$B$5)+(_xlfn.IFNA(VLOOKUP($A2,'FL Ratio'!$A$3:$B$10,2,FALSE),0)*'FL Characterization'!M$2)</f>
        <v>59.205640810419617</v>
      </c>
      <c r="N2" s="2">
        <f ca="1">('[1]Pc, Summer, S2'!N2*Main!$B$5)+(_xlfn.IFNA(VLOOKUP($A2,'FL Ratio'!$A$3:$B$10,2,FALSE),0)*'FL Characterization'!N$2)</f>
        <v>60.017817366806568</v>
      </c>
      <c r="O2" s="2">
        <f ca="1">('[1]Pc, Summer, S2'!O2*Main!$B$5)+(_xlfn.IFNA(VLOOKUP($A2,'FL Ratio'!$A$3:$B$10,2,FALSE),0)*'FL Characterization'!O$2)</f>
        <v>58.907600184849535</v>
      </c>
      <c r="P2" s="2">
        <f ca="1">('[1]Pc, Summer, S2'!P2*Main!$B$5)+(_xlfn.IFNA(VLOOKUP($A2,'FL Ratio'!$A$3:$B$10,2,FALSE),0)*'FL Characterization'!P$2)</f>
        <v>56.605773412420255</v>
      </c>
      <c r="Q2" s="2">
        <f ca="1">('[1]Pc, Summer, S2'!Q2*Main!$B$5)+(_xlfn.IFNA(VLOOKUP($A2,'FL Ratio'!$A$3:$B$10,2,FALSE),0)*'FL Characterization'!Q$2)</f>
        <v>54.327488689520855</v>
      </c>
      <c r="R2" s="2">
        <f ca="1">('[1]Pc, Summer, S2'!R2*Main!$B$5)+(_xlfn.IFNA(VLOOKUP($A2,'FL Ratio'!$A$3:$B$10,2,FALSE),0)*'FL Characterization'!R$2)</f>
        <v>55.275325317589541</v>
      </c>
      <c r="S2" s="2">
        <f ca="1">('[1]Pc, Summer, S2'!S2*Main!$B$5)+(_xlfn.IFNA(VLOOKUP($A2,'FL Ratio'!$A$3:$B$10,2,FALSE),0)*'FL Characterization'!S$2)</f>
        <v>55.821431723830756</v>
      </c>
      <c r="T2" s="2">
        <f ca="1">('[1]Pc, Summer, S2'!T2*Main!$B$5)+(_xlfn.IFNA(VLOOKUP($A2,'FL Ratio'!$A$3:$B$10,2,FALSE),0)*'FL Characterization'!T$2)</f>
        <v>56.058372964901729</v>
      </c>
      <c r="U2" s="2">
        <f ca="1">('[1]Pc, Summer, S2'!U2*Main!$B$5)+(_xlfn.IFNA(VLOOKUP($A2,'FL Ratio'!$A$3:$B$10,2,FALSE),0)*'FL Characterization'!U$2)</f>
        <v>55.130349172559526</v>
      </c>
      <c r="V2" s="2">
        <f ca="1">('[1]Pc, Summer, S2'!V2*Main!$B$5)+(_xlfn.IFNA(VLOOKUP($A2,'FL Ratio'!$A$3:$B$10,2,FALSE),0)*'FL Characterization'!V$2)</f>
        <v>55.295991586513175</v>
      </c>
      <c r="W2" s="2">
        <f ca="1">('[1]Pc, Summer, S2'!W2*Main!$B$5)+(_xlfn.IFNA(VLOOKUP($A2,'FL Ratio'!$A$3:$B$10,2,FALSE),0)*'FL Characterization'!W$2)</f>
        <v>57.586239300155782</v>
      </c>
      <c r="X2" s="2">
        <f ca="1">('[1]Pc, Summer, S2'!X2*Main!$B$5)+(_xlfn.IFNA(VLOOKUP($A2,'FL Ratio'!$A$3:$B$10,2,FALSE),0)*'FL Characterization'!X$2)</f>
        <v>53.677345105610812</v>
      </c>
      <c r="Y2" s="2">
        <f ca="1">('[1]Pc, Summer, S2'!Y2*Main!$B$5)+(_xlfn.IFNA(VLOOKUP($A2,'FL Ratio'!$A$3:$B$10,2,FALSE),0)*'FL Characterization'!Y$2)</f>
        <v>49.205722958754599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44.379579210697308</v>
      </c>
      <c r="C3" s="2">
        <f ca="1">('[1]Pc, Summer, S2'!C3*Main!$B$5)+(_xlfn.IFNA(VLOOKUP($A3,'FL Ratio'!$A$3:$B$10,2,FALSE),0)*'FL Characterization'!C$2)</f>
        <v>40.408940238145846</v>
      </c>
      <c r="D3" s="2">
        <f ca="1">('[1]Pc, Summer, S2'!D3*Main!$B$5)+(_xlfn.IFNA(VLOOKUP($A3,'FL Ratio'!$A$3:$B$10,2,FALSE),0)*'FL Characterization'!D$2)</f>
        <v>38.431059860670246</v>
      </c>
      <c r="E3" s="2">
        <f ca="1">('[1]Pc, Summer, S2'!E3*Main!$B$5)+(_xlfn.IFNA(VLOOKUP($A3,'FL Ratio'!$A$3:$B$10,2,FALSE),0)*'FL Characterization'!E$2)</f>
        <v>37.062908678322181</v>
      </c>
      <c r="F3" s="2">
        <f ca="1">('[1]Pc, Summer, S2'!F3*Main!$B$5)+(_xlfn.IFNA(VLOOKUP($A3,'FL Ratio'!$A$3:$B$10,2,FALSE),0)*'FL Characterization'!F$2)</f>
        <v>37.062908678322181</v>
      </c>
      <c r="G3" s="2">
        <f ca="1">('[1]Pc, Summer, S2'!G3*Main!$B$5)+(_xlfn.IFNA(VLOOKUP($A3,'FL Ratio'!$A$3:$B$10,2,FALSE),0)*'FL Characterization'!G$2)</f>
        <v>39.739736471633904</v>
      </c>
      <c r="H3" s="2">
        <f ca="1">('[1]Pc, Summer, S2'!H3*Main!$B$5)+(_xlfn.IFNA(VLOOKUP($A3,'FL Ratio'!$A$3:$B$10,2,FALSE),0)*'FL Characterization'!H$2)</f>
        <v>49.792712571454139</v>
      </c>
      <c r="I3" s="2">
        <f ca="1">('[1]Pc, Summer, S2'!I3*Main!$B$5)+(_xlfn.IFNA(VLOOKUP($A3,'FL Ratio'!$A$3:$B$10,2,FALSE),0)*'FL Characterization'!I$2)</f>
        <v>61.273308027882052</v>
      </c>
      <c r="J3" s="2">
        <f ca="1">('[1]Pc, Summer, S2'!J3*Main!$B$5)+(_xlfn.IFNA(VLOOKUP($A3,'FL Ratio'!$A$3:$B$10,2,FALSE),0)*'FL Characterization'!J$2)</f>
        <v>63.950139028129364</v>
      </c>
      <c r="K3" s="2">
        <f ca="1">('[1]Pc, Summer, S2'!K3*Main!$B$5)+(_xlfn.IFNA(VLOOKUP($A3,'FL Ratio'!$A$3:$B$10,2,FALSE),0)*'FL Characterization'!K$2)</f>
        <v>62.611721932911124</v>
      </c>
      <c r="L3" s="2">
        <f ca="1">('[1]Pc, Summer, S2'!L3*Main!$B$5)+(_xlfn.IFNA(VLOOKUP($A3,'FL Ratio'!$A$3:$B$10,2,FALSE),0)*'FL Characterization'!L$2)</f>
        <v>62.581984655592123</v>
      </c>
      <c r="M3" s="2">
        <f ca="1">('[1]Pc, Summer, S2'!M3*Main!$B$5)+(_xlfn.IFNA(VLOOKUP($A3,'FL Ratio'!$A$3:$B$10,2,FALSE),0)*'FL Characterization'!M$2)</f>
        <v>66.686463740896187</v>
      </c>
      <c r="N3" s="2">
        <f ca="1">('[1]Pc, Summer, S2'!N3*Main!$B$5)+(_xlfn.IFNA(VLOOKUP($A3,'FL Ratio'!$A$3:$B$10,2,FALSE),0)*'FL Characterization'!N$2)</f>
        <v>66.686463740896187</v>
      </c>
      <c r="O3" s="2">
        <f ca="1">('[1]Pc, Summer, S2'!O3*Main!$B$5)+(_xlfn.IFNA(VLOOKUP($A3,'FL Ratio'!$A$3:$B$10,2,FALSE),0)*'FL Characterization'!O$2)</f>
        <v>66.686463740896187</v>
      </c>
      <c r="P3" s="2">
        <f ca="1">('[1]Pc, Summer, S2'!P3*Main!$B$5)+(_xlfn.IFNA(VLOOKUP($A3,'FL Ratio'!$A$3:$B$10,2,FALSE),0)*'FL Characterization'!P$2)</f>
        <v>63.340422597945164</v>
      </c>
      <c r="Q3" s="2">
        <f ca="1">('[1]Pc, Summer, S2'!Q3*Main!$B$5)+(_xlfn.IFNA(VLOOKUP($A3,'FL Ratio'!$A$3:$B$10,2,FALSE),0)*'FL Characterization'!Q$2)</f>
        <v>59.964637793110164</v>
      </c>
      <c r="R3" s="2">
        <f ca="1">('[1]Pc, Summer, S2'!R3*Main!$B$5)+(_xlfn.IFNA(VLOOKUP($A3,'FL Ratio'!$A$3:$B$10,2,FALSE),0)*'FL Characterization'!R$2)</f>
        <v>55.860165092371084</v>
      </c>
      <c r="S3" s="2">
        <f ca="1">('[1]Pc, Summer, S2'!S3*Main!$B$5)+(_xlfn.IFNA(VLOOKUP($A3,'FL Ratio'!$A$3:$B$10,2,FALSE),0)*'FL Characterization'!S$2)</f>
        <v>55.860165092371084</v>
      </c>
      <c r="T3" s="2">
        <f ca="1">('[1]Pc, Summer, S2'!T3*Main!$B$5)+(_xlfn.IFNA(VLOOKUP($A3,'FL Ratio'!$A$3:$B$10,2,FALSE),0)*'FL Characterization'!T$2)</f>
        <v>55.860165092371084</v>
      </c>
      <c r="U3" s="2">
        <f ca="1">('[1]Pc, Summer, S2'!U3*Main!$B$5)+(_xlfn.IFNA(VLOOKUP($A3,'FL Ratio'!$A$3:$B$10,2,FALSE),0)*'FL Characterization'!U$2)</f>
        <v>55.860165092371084</v>
      </c>
      <c r="V3" s="2">
        <f ca="1">('[1]Pc, Summer, S2'!V3*Main!$B$5)+(_xlfn.IFNA(VLOOKUP($A3,'FL Ratio'!$A$3:$B$10,2,FALSE),0)*'FL Characterization'!V$2)</f>
        <v>55.860165092371084</v>
      </c>
      <c r="W3" s="2">
        <f ca="1">('[1]Pc, Summer, S2'!W3*Main!$B$5)+(_xlfn.IFNA(VLOOKUP($A3,'FL Ratio'!$A$3:$B$10,2,FALSE),0)*'FL Characterization'!W$2)</f>
        <v>55.860165092371084</v>
      </c>
      <c r="X3" s="2">
        <f ca="1">('[1]Pc, Summer, S2'!X3*Main!$B$5)+(_xlfn.IFNA(VLOOKUP($A3,'FL Ratio'!$A$3:$B$10,2,FALSE),0)*'FL Characterization'!X$2)</f>
        <v>53.852553817954849</v>
      </c>
      <c r="Y3" s="2">
        <f ca="1">('[1]Pc, Summer, S2'!Y3*Main!$B$5)+(_xlfn.IFNA(VLOOKUP($A3,'FL Ratio'!$A$3:$B$10,2,FALSE),0)*'FL Characterization'!Y$2)</f>
        <v>50.387553974227266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59.838917573706652</v>
      </c>
      <c r="C4" s="2">
        <f ca="1">('[1]Pc, Summer, S2'!C4*Main!$B$5)+(_xlfn.IFNA(VLOOKUP($A4,'FL Ratio'!$A$3:$B$10,2,FALSE),0)*'FL Characterization'!C$2)</f>
        <v>52.676335263139336</v>
      </c>
      <c r="D4" s="2">
        <f ca="1">('[1]Pc, Summer, S2'!D4*Main!$B$5)+(_xlfn.IFNA(VLOOKUP($A4,'FL Ratio'!$A$3:$B$10,2,FALSE),0)*'FL Characterization'!D$2)</f>
        <v>49.811123139348972</v>
      </c>
      <c r="E4" s="2">
        <f ca="1">('[1]Pc, Summer, S2'!E4*Main!$B$5)+(_xlfn.IFNA(VLOOKUP($A4,'FL Ratio'!$A$3:$B$10,2,FALSE),0)*'FL Characterization'!E$2)</f>
        <v>48.231305916482633</v>
      </c>
      <c r="F4" s="2">
        <f ca="1">('[1]Pc, Summer, S2'!F4*Main!$B$5)+(_xlfn.IFNA(VLOOKUP($A4,'FL Ratio'!$A$3:$B$10,2,FALSE),0)*'FL Characterization'!F$2)</f>
        <v>51.129698975712628</v>
      </c>
      <c r="G4" s="2">
        <f ca="1">('[1]Pc, Summer, S2'!G4*Main!$B$5)+(_xlfn.IFNA(VLOOKUP($A4,'FL Ratio'!$A$3:$B$10,2,FALSE),0)*'FL Characterization'!G$2)</f>
        <v>46.831518721508843</v>
      </c>
      <c r="H4" s="2">
        <f ca="1">('[1]Pc, Summer, S2'!H4*Main!$B$5)+(_xlfn.IFNA(VLOOKUP($A4,'FL Ratio'!$A$3:$B$10,2,FALSE),0)*'FL Characterization'!H$2)</f>
        <v>54.92482658549018</v>
      </c>
      <c r="I4" s="2">
        <f ca="1">('[1]Pc, Summer, S2'!I4*Main!$B$5)+(_xlfn.IFNA(VLOOKUP($A4,'FL Ratio'!$A$3:$B$10,2,FALSE),0)*'FL Characterization'!I$2)</f>
        <v>63.750306104231932</v>
      </c>
      <c r="J4" s="2">
        <f ca="1">('[1]Pc, Summer, S2'!J4*Main!$B$5)+(_xlfn.IFNA(VLOOKUP($A4,'FL Ratio'!$A$3:$B$10,2,FALSE),0)*'FL Characterization'!J$2)</f>
        <v>71.819023216684585</v>
      </c>
      <c r="K4" s="2">
        <f ca="1">('[1]Pc, Summer, S2'!K4*Main!$B$5)+(_xlfn.IFNA(VLOOKUP($A4,'FL Ratio'!$A$3:$B$10,2,FALSE),0)*'FL Characterization'!K$2)</f>
        <v>77.080928926443562</v>
      </c>
      <c r="L4" s="2">
        <f ca="1">('[1]Pc, Summer, S2'!L4*Main!$B$5)+(_xlfn.IFNA(VLOOKUP($A4,'FL Ratio'!$A$3:$B$10,2,FALSE),0)*'FL Characterization'!L$2)</f>
        <v>79.547685369312916</v>
      </c>
      <c r="M4" s="2">
        <f ca="1">('[1]Pc, Summer, S2'!M4*Main!$B$5)+(_xlfn.IFNA(VLOOKUP($A4,'FL Ratio'!$A$3:$B$10,2,FALSE),0)*'FL Characterization'!M$2)</f>
        <v>80.806644171068797</v>
      </c>
      <c r="N4" s="2">
        <f ca="1">('[1]Pc, Summer, S2'!N4*Main!$B$5)+(_xlfn.IFNA(VLOOKUP($A4,'FL Ratio'!$A$3:$B$10,2,FALSE),0)*'FL Characterization'!N$2)</f>
        <v>82.393295849586082</v>
      </c>
      <c r="O4" s="2">
        <f ca="1">('[1]Pc, Summer, S2'!O4*Main!$B$5)+(_xlfn.IFNA(VLOOKUP($A4,'FL Ratio'!$A$3:$B$10,2,FALSE),0)*'FL Characterization'!O$2)</f>
        <v>83.06812714858853</v>
      </c>
      <c r="P4" s="2">
        <f ca="1">('[1]Pc, Summer, S2'!P4*Main!$B$5)+(_xlfn.IFNA(VLOOKUP($A4,'FL Ratio'!$A$3:$B$10,2,FALSE),0)*'FL Characterization'!P$2)</f>
        <v>83.358079676120227</v>
      </c>
      <c r="Q4" s="2">
        <f ca="1">('[1]Pc, Summer, S2'!Q4*Main!$B$5)+(_xlfn.IFNA(VLOOKUP($A4,'FL Ratio'!$A$3:$B$10,2,FALSE),0)*'FL Characterization'!Q$2)</f>
        <v>80.215546446336631</v>
      </c>
      <c r="R4" s="2">
        <f ca="1">('[1]Pc, Summer, S2'!R4*Main!$B$5)+(_xlfn.IFNA(VLOOKUP($A4,'FL Ratio'!$A$3:$B$10,2,FALSE),0)*'FL Characterization'!R$2)</f>
        <v>80.25569596292334</v>
      </c>
      <c r="S4" s="2">
        <f ca="1">('[1]Pc, Summer, S2'!S4*Main!$B$5)+(_xlfn.IFNA(VLOOKUP($A4,'FL Ratio'!$A$3:$B$10,2,FALSE),0)*'FL Characterization'!S$2)</f>
        <v>77.126741848298025</v>
      </c>
      <c r="T4" s="2">
        <f ca="1">('[1]Pc, Summer, S2'!T4*Main!$B$5)+(_xlfn.IFNA(VLOOKUP($A4,'FL Ratio'!$A$3:$B$10,2,FALSE),0)*'FL Characterization'!T$2)</f>
        <v>77.532549250313437</v>
      </c>
      <c r="U4" s="2">
        <f ca="1">('[1]Pc, Summer, S2'!U4*Main!$B$5)+(_xlfn.IFNA(VLOOKUP($A4,'FL Ratio'!$A$3:$B$10,2,FALSE),0)*'FL Characterization'!U$2)</f>
        <v>78.17000005713227</v>
      </c>
      <c r="V4" s="2">
        <f ca="1">('[1]Pc, Summer, S2'!V4*Main!$B$5)+(_xlfn.IFNA(VLOOKUP($A4,'FL Ratio'!$A$3:$B$10,2,FALSE),0)*'FL Characterization'!V$2)</f>
        <v>77.527426393390087</v>
      </c>
      <c r="W4" s="2">
        <f ca="1">('[1]Pc, Summer, S2'!W4*Main!$B$5)+(_xlfn.IFNA(VLOOKUP($A4,'FL Ratio'!$A$3:$B$10,2,FALSE),0)*'FL Characterization'!W$2)</f>
        <v>80.306632102914719</v>
      </c>
      <c r="X4" s="2">
        <f ca="1">('[1]Pc, Summer, S2'!X4*Main!$B$5)+(_xlfn.IFNA(VLOOKUP($A4,'FL Ratio'!$A$3:$B$10,2,FALSE),0)*'FL Characterization'!X$2)</f>
        <v>78.460707878287721</v>
      </c>
      <c r="Y4" s="2">
        <f ca="1">('[1]Pc, Summer, S2'!Y4*Main!$B$5)+(_xlfn.IFNA(VLOOKUP($A4,'FL Ratio'!$A$3:$B$10,2,FALSE),0)*'FL Characterization'!Y$2)</f>
        <v>70.122877084232542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39.981750259377407</v>
      </c>
      <c r="C2" s="2">
        <f ca="1">('[1]Pc, Summer, S3'!C2*Main!$B$5)+(_xlfn.IFNA(VLOOKUP($A2,'FL Ratio'!$A$3:$B$10,2,FALSE),0)*'FL Characterization'!C$2)</f>
        <v>36.325209322996209</v>
      </c>
      <c r="D2" s="2">
        <f ca="1">('[1]Pc, Summer, S3'!D2*Main!$B$5)+(_xlfn.IFNA(VLOOKUP($A2,'FL Ratio'!$A$3:$B$10,2,FALSE),0)*'FL Characterization'!D$2)</f>
        <v>35.690702325193975</v>
      </c>
      <c r="E2" s="2">
        <f ca="1">('[1]Pc, Summer, S3'!E2*Main!$B$5)+(_xlfn.IFNA(VLOOKUP($A2,'FL Ratio'!$A$3:$B$10,2,FALSE),0)*'FL Characterization'!E$2)</f>
        <v>35.599528140169525</v>
      </c>
      <c r="F2" s="2">
        <f ca="1">('[1]Pc, Summer, S3'!F2*Main!$B$5)+(_xlfn.IFNA(VLOOKUP($A2,'FL Ratio'!$A$3:$B$10,2,FALSE),0)*'FL Characterization'!F$2)</f>
        <v>35.602334810897261</v>
      </c>
      <c r="G2" s="2">
        <f ca="1">('[1]Pc, Summer, S3'!G2*Main!$B$5)+(_xlfn.IFNA(VLOOKUP($A2,'FL Ratio'!$A$3:$B$10,2,FALSE),0)*'FL Characterization'!G$2)</f>
        <v>35.287478164606469</v>
      </c>
      <c r="H2" s="2">
        <f ca="1">('[1]Pc, Summer, S3'!H2*Main!$B$5)+(_xlfn.IFNA(VLOOKUP($A2,'FL Ratio'!$A$3:$B$10,2,FALSE),0)*'FL Characterization'!H$2)</f>
        <v>38.09598268167273</v>
      </c>
      <c r="I2" s="2">
        <f ca="1">('[1]Pc, Summer, S3'!I2*Main!$B$5)+(_xlfn.IFNA(VLOOKUP($A2,'FL Ratio'!$A$3:$B$10,2,FALSE),0)*'FL Characterization'!I$2)</f>
        <v>45.229238593540821</v>
      </c>
      <c r="J2" s="2">
        <f ca="1">('[1]Pc, Summer, S3'!J2*Main!$B$5)+(_xlfn.IFNA(VLOOKUP($A2,'FL Ratio'!$A$3:$B$10,2,FALSE),0)*'FL Characterization'!J$2)</f>
        <v>51.548471207441196</v>
      </c>
      <c r="K2" s="2">
        <f ca="1">('[1]Pc, Summer, S3'!K2*Main!$B$5)+(_xlfn.IFNA(VLOOKUP($A2,'FL Ratio'!$A$3:$B$10,2,FALSE),0)*'FL Characterization'!K$2)</f>
        <v>53.132455169828454</v>
      </c>
      <c r="L2" s="2">
        <f ca="1">('[1]Pc, Summer, S3'!L2*Main!$B$5)+(_xlfn.IFNA(VLOOKUP($A2,'FL Ratio'!$A$3:$B$10,2,FALSE),0)*'FL Characterization'!L$2)</f>
        <v>52.594768898209153</v>
      </c>
      <c r="M2" s="2">
        <f ca="1">('[1]Pc, Summer, S3'!M2*Main!$B$5)+(_xlfn.IFNA(VLOOKUP($A2,'FL Ratio'!$A$3:$B$10,2,FALSE),0)*'FL Characterization'!M$2)</f>
        <v>54.082075740287152</v>
      </c>
      <c r="N2" s="2">
        <f ca="1">('[1]Pc, Summer, S3'!N2*Main!$B$5)+(_xlfn.IFNA(VLOOKUP($A2,'FL Ratio'!$A$3:$B$10,2,FALSE),0)*'FL Characterization'!N$2)</f>
        <v>54.823967786986763</v>
      </c>
      <c r="O2" s="2">
        <f ca="1">('[1]Pc, Summer, S3'!O2*Main!$B$5)+(_xlfn.IFNA(VLOOKUP($A2,'FL Ratio'!$A$3:$B$10,2,FALSE),0)*'FL Characterization'!O$2)</f>
        <v>53.809827091929868</v>
      </c>
      <c r="P2" s="2">
        <f ca="1">('[1]Pc, Summer, S3'!P2*Main!$B$5)+(_xlfn.IFNA(VLOOKUP($A2,'FL Ratio'!$A$3:$B$10,2,FALSE),0)*'FL Characterization'!P$2)</f>
        <v>51.707196867114654</v>
      </c>
      <c r="Q2" s="2">
        <f ca="1">('[1]Pc, Summer, S3'!Q2*Main!$B$5)+(_xlfn.IFNA(VLOOKUP($A2,'FL Ratio'!$A$3:$B$10,2,FALSE),0)*'FL Characterization'!Q$2)</f>
        <v>49.626071399081546</v>
      </c>
      <c r="R2" s="2">
        <f ca="1">('[1]Pc, Summer, S3'!R2*Main!$B$5)+(_xlfn.IFNA(VLOOKUP($A2,'FL Ratio'!$A$3:$B$10,2,FALSE),0)*'FL Characterization'!R$2)</f>
        <v>50.49188370356736</v>
      </c>
      <c r="S2" s="2">
        <f ca="1">('[1]Pc, Summer, S3'!S2*Main!$B$5)+(_xlfn.IFNA(VLOOKUP($A2,'FL Ratio'!$A$3:$B$10,2,FALSE),0)*'FL Characterization'!S$2)</f>
        <v>50.990730901576171</v>
      </c>
      <c r="T2" s="2">
        <f ca="1">('[1]Pc, Summer, S3'!T2*Main!$B$5)+(_xlfn.IFNA(VLOOKUP($A2,'FL Ratio'!$A$3:$B$10,2,FALSE),0)*'FL Characterization'!T$2)</f>
        <v>51.20716761216984</v>
      </c>
      <c r="U2" s="2">
        <f ca="1">('[1]Pc, Summer, S3'!U2*Main!$B$5)+(_xlfn.IFNA(VLOOKUP($A2,'FL Ratio'!$A$3:$B$10,2,FALSE),0)*'FL Characterization'!U$2)</f>
        <v>50.359453571088032</v>
      </c>
      <c r="V2" s="2">
        <f ca="1">('[1]Pc, Summer, S3'!V2*Main!$B$5)+(_xlfn.IFNA(VLOOKUP($A2,'FL Ratio'!$A$3:$B$10,2,FALSE),0)*'FL Characterization'!V$2)</f>
        <v>50.510761545372603</v>
      </c>
      <c r="W2" s="2">
        <f ca="1">('[1]Pc, Summer, S3'!W2*Main!$B$5)+(_xlfn.IFNA(VLOOKUP($A2,'FL Ratio'!$A$3:$B$10,2,FALSE),0)*'FL Characterization'!W$2)</f>
        <v>52.602814745334605</v>
      </c>
      <c r="X2" s="2">
        <f ca="1">('[1]Pc, Summer, S3'!X2*Main!$B$5)+(_xlfn.IFNA(VLOOKUP($A2,'FL Ratio'!$A$3:$B$10,2,FALSE),0)*'FL Characterization'!X$2)</f>
        <v>49.032190240702178</v>
      </c>
      <c r="Y2" s="2">
        <f ca="1">('[1]Pc, Summer, S3'!Y2*Main!$B$5)+(_xlfn.IFNA(VLOOKUP($A2,'FL Ratio'!$A$3:$B$10,2,FALSE),0)*'FL Characterization'!Y$2)</f>
        <v>44.947535395016224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40.539038702079274</v>
      </c>
      <c r="C3" s="2">
        <f ca="1">('[1]Pc, Summer, S3'!C3*Main!$B$5)+(_xlfn.IFNA(VLOOKUP($A3,'FL Ratio'!$A$3:$B$10,2,FALSE),0)*'FL Characterization'!C$2)</f>
        <v>36.912012717537074</v>
      </c>
      <c r="D3" s="2">
        <f ca="1">('[1]Pc, Summer, S3'!D3*Main!$B$5)+(_xlfn.IFNA(VLOOKUP($A3,'FL Ratio'!$A$3:$B$10,2,FALSE),0)*'FL Characterization'!D$2)</f>
        <v>35.105295065035314</v>
      </c>
      <c r="E3" s="2">
        <f ca="1">('[1]Pc, Summer, S3'!E3*Main!$B$5)+(_xlfn.IFNA(VLOOKUP($A3,'FL Ratio'!$A$3:$B$10,2,FALSE),0)*'FL Characterization'!E$2)</f>
        <v>33.855541581159684</v>
      </c>
      <c r="F3" s="2">
        <f ca="1">('[1]Pc, Summer, S3'!F3*Main!$B$5)+(_xlfn.IFNA(VLOOKUP($A3,'FL Ratio'!$A$3:$B$10,2,FALSE),0)*'FL Characterization'!F$2)</f>
        <v>33.855541581159684</v>
      </c>
      <c r="G3" s="2">
        <f ca="1">('[1]Pc, Summer, S3'!G3*Main!$B$5)+(_xlfn.IFNA(VLOOKUP($A3,'FL Ratio'!$A$3:$B$10,2,FALSE),0)*'FL Characterization'!G$2)</f>
        <v>36.300720815434815</v>
      </c>
      <c r="H3" s="2">
        <f ca="1">('[1]Pc, Summer, S3'!H3*Main!$B$5)+(_xlfn.IFNA(VLOOKUP($A3,'FL Ratio'!$A$3:$B$10,2,FALSE),0)*'FL Characterization'!H$2)</f>
        <v>45.483727829693684</v>
      </c>
      <c r="I3" s="2">
        <f ca="1">('[1]Pc, Summer, S3'!I3*Main!$B$5)+(_xlfn.IFNA(VLOOKUP($A3,'FL Ratio'!$A$3:$B$10,2,FALSE),0)*'FL Characterization'!I$2)</f>
        <v>55.970810217776879</v>
      </c>
      <c r="J3" s="2">
        <f ca="1">('[1]Pc, Summer, S3'!J3*Main!$B$5)+(_xlfn.IFNA(VLOOKUP($A3,'FL Ratio'!$A$3:$B$10,2,FALSE),0)*'FL Characterization'!J$2)</f>
        <v>58.415992381464328</v>
      </c>
      <c r="K3" s="2">
        <f ca="1">('[1]Pc, Summer, S3'!K3*Main!$B$5)+(_xlfn.IFNA(VLOOKUP($A3,'FL Ratio'!$A$3:$B$10,2,FALSE),0)*'FL Characterization'!K$2)</f>
        <v>57.193399842563046</v>
      </c>
      <c r="L3" s="2">
        <f ca="1">('[1]Pc, Summer, S3'!L3*Main!$B$5)+(_xlfn.IFNA(VLOOKUP($A3,'FL Ratio'!$A$3:$B$10,2,FALSE),0)*'FL Characterization'!L$2)</f>
        <v>57.16623598347357</v>
      </c>
      <c r="M3" s="2">
        <f ca="1">('[1]Pc, Summer, S3'!M3*Main!$B$5)+(_xlfn.IFNA(VLOOKUP($A3,'FL Ratio'!$A$3:$B$10,2,FALSE),0)*'FL Characterization'!M$2)</f>
        <v>60.915519763318628</v>
      </c>
      <c r="N3" s="2">
        <f ca="1">('[1]Pc, Summer, S3'!N3*Main!$B$5)+(_xlfn.IFNA(VLOOKUP($A3,'FL Ratio'!$A$3:$B$10,2,FALSE),0)*'FL Characterization'!N$2)</f>
        <v>60.915519763318628</v>
      </c>
      <c r="O3" s="2">
        <f ca="1">('[1]Pc, Summer, S3'!O3*Main!$B$5)+(_xlfn.IFNA(VLOOKUP($A3,'FL Ratio'!$A$3:$B$10,2,FALSE),0)*'FL Characterization'!O$2)</f>
        <v>60.915519763318628</v>
      </c>
      <c r="P3" s="2">
        <f ca="1">('[1]Pc, Summer, S3'!P3*Main!$B$5)+(_xlfn.IFNA(VLOOKUP($A3,'FL Ratio'!$A$3:$B$10,2,FALSE),0)*'FL Characterization'!P$2)</f>
        <v>57.859039873122981</v>
      </c>
      <c r="Q3" s="2">
        <f ca="1">('[1]Pc, Summer, S3'!Q3*Main!$B$5)+(_xlfn.IFNA(VLOOKUP($A3,'FL Ratio'!$A$3:$B$10,2,FALSE),0)*'FL Characterization'!Q$2)</f>
        <v>54.775390291783317</v>
      </c>
      <c r="R3" s="2">
        <f ca="1">('[1]Pc, Summer, S3'!R3*Main!$B$5)+(_xlfn.IFNA(VLOOKUP($A3,'FL Ratio'!$A$3:$B$10,2,FALSE),0)*'FL Characterization'!R$2)</f>
        <v>51.026112343992814</v>
      </c>
      <c r="S3" s="2">
        <f ca="1">('[1]Pc, Summer, S3'!S3*Main!$B$5)+(_xlfn.IFNA(VLOOKUP($A3,'FL Ratio'!$A$3:$B$10,2,FALSE),0)*'FL Characterization'!S$2)</f>
        <v>51.026112343992814</v>
      </c>
      <c r="T3" s="2">
        <f ca="1">('[1]Pc, Summer, S3'!T3*Main!$B$5)+(_xlfn.IFNA(VLOOKUP($A3,'FL Ratio'!$A$3:$B$10,2,FALSE),0)*'FL Characterization'!T$2)</f>
        <v>51.026112343992814</v>
      </c>
      <c r="U3" s="2">
        <f ca="1">('[1]Pc, Summer, S3'!U3*Main!$B$5)+(_xlfn.IFNA(VLOOKUP($A3,'FL Ratio'!$A$3:$B$10,2,FALSE),0)*'FL Characterization'!U$2)</f>
        <v>51.026112343992814</v>
      </c>
      <c r="V3" s="2">
        <f ca="1">('[1]Pc, Summer, S3'!V3*Main!$B$5)+(_xlfn.IFNA(VLOOKUP($A3,'FL Ratio'!$A$3:$B$10,2,FALSE),0)*'FL Characterization'!V$2)</f>
        <v>51.026112343992814</v>
      </c>
      <c r="W3" s="2">
        <f ca="1">('[1]Pc, Summer, S3'!W3*Main!$B$5)+(_xlfn.IFNA(VLOOKUP($A3,'FL Ratio'!$A$3:$B$10,2,FALSE),0)*'FL Characterization'!W$2)</f>
        <v>51.026112343992814</v>
      </c>
      <c r="X3" s="2">
        <f ca="1">('[1]Pc, Summer, S3'!X3*Main!$B$5)+(_xlfn.IFNA(VLOOKUP($A3,'FL Ratio'!$A$3:$B$10,2,FALSE),0)*'FL Characterization'!X$2)</f>
        <v>49.192236660631821</v>
      </c>
      <c r="Y3" s="2">
        <f ca="1">('[1]Pc, Summer, S3'!Y3*Main!$B$5)+(_xlfn.IFNA(VLOOKUP($A3,'FL Ratio'!$A$3:$B$10,2,FALSE),0)*'FL Characterization'!Y$2)</f>
        <v>46.027092572611451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54.660549706751254</v>
      </c>
      <c r="C4" s="2">
        <f ca="1">('[1]Pc, Summer, S3'!C4*Main!$B$5)+(_xlfn.IFNA(VLOOKUP($A4,'FL Ratio'!$A$3:$B$10,2,FALSE),0)*'FL Characterization'!C$2)</f>
        <v>48.117806249983033</v>
      </c>
      <c r="D4" s="2">
        <f ca="1">('[1]Pc, Summer, S3'!D4*Main!$B$5)+(_xlfn.IFNA(VLOOKUP($A4,'FL Ratio'!$A$3:$B$10,2,FALSE),0)*'FL Characterization'!D$2)</f>
        <v>45.500545175366845</v>
      </c>
      <c r="E4" s="2">
        <f ca="1">('[1]Pc, Summer, S3'!E4*Main!$B$5)+(_xlfn.IFNA(VLOOKUP($A4,'FL Ratio'!$A$3:$B$10,2,FALSE),0)*'FL Characterization'!E$2)</f>
        <v>44.057442904479331</v>
      </c>
      <c r="F4" s="2">
        <f ca="1">('[1]Pc, Summer, S3'!F4*Main!$B$5)+(_xlfn.IFNA(VLOOKUP($A4,'FL Ratio'!$A$3:$B$10,2,FALSE),0)*'FL Characterization'!F$2)</f>
        <v>46.705013487429788</v>
      </c>
      <c r="G4" s="2">
        <f ca="1">('[1]Pc, Summer, S3'!G4*Main!$B$5)+(_xlfn.IFNA(VLOOKUP($A4,'FL Ratio'!$A$3:$B$10,2,FALSE),0)*'FL Characterization'!G$2)</f>
        <v>42.778791139839811</v>
      </c>
      <c r="H4" s="2">
        <f ca="1">('[1]Pc, Summer, S3'!H4*Main!$B$5)+(_xlfn.IFNA(VLOOKUP($A4,'FL Ratio'!$A$3:$B$10,2,FALSE),0)*'FL Characterization'!H$2)</f>
        <v>50.171716592515068</v>
      </c>
      <c r="I4" s="2">
        <f ca="1">('[1]Pc, Summer, S3'!I4*Main!$B$5)+(_xlfn.IFNA(VLOOKUP($A4,'FL Ratio'!$A$3:$B$10,2,FALSE),0)*'FL Characterization'!I$2)</f>
        <v>58.233452691365692</v>
      </c>
      <c r="J4" s="2">
        <f ca="1">('[1]Pc, Summer, S3'!J4*Main!$B$5)+(_xlfn.IFNA(VLOOKUP($A4,'FL Ratio'!$A$3:$B$10,2,FALSE),0)*'FL Characterization'!J$2)</f>
        <v>65.603915438317642</v>
      </c>
      <c r="K4" s="2">
        <f ca="1">('[1]Pc, Summer, S3'!K4*Main!$B$5)+(_xlfn.IFNA(VLOOKUP($A4,'FL Ratio'!$A$3:$B$10,2,FALSE),0)*'FL Characterization'!K$2)</f>
        <v>70.410463923193632</v>
      </c>
      <c r="L4" s="2">
        <f ca="1">('[1]Pc, Summer, S3'!L4*Main!$B$5)+(_xlfn.IFNA(VLOOKUP($A4,'FL Ratio'!$A$3:$B$10,2,FALSE),0)*'FL Characterization'!L$2)</f>
        <v>72.663751058506989</v>
      </c>
      <c r="M4" s="2">
        <f ca="1">('[1]Pc, Summer, S3'!M4*Main!$B$5)+(_xlfn.IFNA(VLOOKUP($A4,'FL Ratio'!$A$3:$B$10,2,FALSE),0)*'FL Characterization'!M$2)</f>
        <v>73.8137615024186</v>
      </c>
      <c r="N4" s="2">
        <f ca="1">('[1]Pc, Summer, S3'!N4*Main!$B$5)+(_xlfn.IFNA(VLOOKUP($A4,'FL Ratio'!$A$3:$B$10,2,FALSE),0)*'FL Characterization'!N$2)</f>
        <v>75.263106785679597</v>
      </c>
      <c r="O4" s="2">
        <f ca="1">('[1]Pc, Summer, S3'!O4*Main!$B$5)+(_xlfn.IFNA(VLOOKUP($A4,'FL Ratio'!$A$3:$B$10,2,FALSE),0)*'FL Characterization'!O$2)</f>
        <v>75.879539222268349</v>
      </c>
      <c r="P4" s="2">
        <f ca="1">('[1]Pc, Summer, S3'!P4*Main!$B$5)+(_xlfn.IFNA(VLOOKUP($A4,'FL Ratio'!$A$3:$B$10,2,FALSE),0)*'FL Characterization'!P$2)</f>
        <v>76.144399704148285</v>
      </c>
      <c r="Q4" s="2">
        <f ca="1">('[1]Pc, Summer, S3'!Q4*Main!$B$5)+(_xlfn.IFNA(VLOOKUP($A4,'FL Ratio'!$A$3:$B$10,2,FALSE),0)*'FL Characterization'!Q$2)</f>
        <v>73.273816465403641</v>
      </c>
      <c r="R4" s="2">
        <f ca="1">('[1]Pc, Summer, S3'!R4*Main!$B$5)+(_xlfn.IFNA(VLOOKUP($A4,'FL Ratio'!$A$3:$B$10,2,FALSE),0)*'FL Characterization'!R$2)</f>
        <v>73.310491504593415</v>
      </c>
      <c r="S4" s="2">
        <f ca="1">('[1]Pc, Summer, S3'!S4*Main!$B$5)+(_xlfn.IFNA(VLOOKUP($A4,'FL Ratio'!$A$3:$B$10,2,FALSE),0)*'FL Characterization'!S$2)</f>
        <v>70.452312265272226</v>
      </c>
      <c r="T4" s="2">
        <f ca="1">('[1]Pc, Summer, S3'!T4*Main!$B$5)+(_xlfn.IFNA(VLOOKUP($A4,'FL Ratio'!$A$3:$B$10,2,FALSE),0)*'FL Characterization'!T$2)</f>
        <v>70.823001719036299</v>
      </c>
      <c r="U4" s="2">
        <f ca="1">('[1]Pc, Summer, S3'!U4*Main!$B$5)+(_xlfn.IFNA(VLOOKUP($A4,'FL Ratio'!$A$3:$B$10,2,FALSE),0)*'FL Characterization'!U$2)</f>
        <v>71.405288513726589</v>
      </c>
      <c r="V4" s="2">
        <f ca="1">('[1]Pc, Summer, S3'!V4*Main!$B$5)+(_xlfn.IFNA(VLOOKUP($A4,'FL Ratio'!$A$3:$B$10,2,FALSE),0)*'FL Characterization'!V$2)</f>
        <v>70.818322186269796</v>
      </c>
      <c r="W4" s="2">
        <f ca="1">('[1]Pc, Summer, S3'!W4*Main!$B$5)+(_xlfn.IFNA(VLOOKUP($A4,'FL Ratio'!$A$3:$B$10,2,FALSE),0)*'FL Characterization'!W$2)</f>
        <v>73.357019709393256</v>
      </c>
      <c r="X4" s="2">
        <f ca="1">('[1]Pc, Summer, S3'!X4*Main!$B$5)+(_xlfn.IFNA(VLOOKUP($A4,'FL Ratio'!$A$3:$B$10,2,FALSE),0)*'FL Characterization'!X$2)</f>
        <v>71.670838927282048</v>
      </c>
      <c r="Y4" s="2">
        <f ca="1">('[1]Pc, Summer, S3'!Y4*Main!$B$5)+(_xlfn.IFNA(VLOOKUP($A4,'FL Ratio'!$A$3:$B$10,2,FALSE),0)*'FL Characterization'!Y$2)</f>
        <v>64.054551182712402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39.981750259377407</v>
      </c>
      <c r="C2" s="2">
        <f ca="1">('[1]Pc, Summer, S3'!C2*Main!$B$5)+(_xlfn.IFNA(VLOOKUP($A2,'FL Ratio'!$A$3:$B$10,2,FALSE),0)*'FL Characterization'!C$2)</f>
        <v>36.325209322996209</v>
      </c>
      <c r="D2" s="2">
        <f ca="1">('[1]Pc, Summer, S3'!D2*Main!$B$5)+(_xlfn.IFNA(VLOOKUP($A2,'FL Ratio'!$A$3:$B$10,2,FALSE),0)*'FL Characterization'!D$2)</f>
        <v>35.690702325193975</v>
      </c>
      <c r="E2" s="2">
        <f ca="1">('[1]Pc, Summer, S3'!E2*Main!$B$5)+(_xlfn.IFNA(VLOOKUP($A2,'FL Ratio'!$A$3:$B$10,2,FALSE),0)*'FL Characterization'!E$2)</f>
        <v>35.599528140169525</v>
      </c>
      <c r="F2" s="2">
        <f ca="1">('[1]Pc, Summer, S3'!F2*Main!$B$5)+(_xlfn.IFNA(VLOOKUP($A2,'FL Ratio'!$A$3:$B$10,2,FALSE),0)*'FL Characterization'!F$2)</f>
        <v>35.602334810897261</v>
      </c>
      <c r="G2" s="2">
        <f ca="1">('[1]Pc, Summer, S3'!G2*Main!$B$5)+(_xlfn.IFNA(VLOOKUP($A2,'FL Ratio'!$A$3:$B$10,2,FALSE),0)*'FL Characterization'!G$2)</f>
        <v>35.287478164606469</v>
      </c>
      <c r="H2" s="2">
        <f ca="1">('[1]Pc, Summer, S3'!H2*Main!$B$5)+(_xlfn.IFNA(VLOOKUP($A2,'FL Ratio'!$A$3:$B$10,2,FALSE),0)*'FL Characterization'!H$2)</f>
        <v>38.09598268167273</v>
      </c>
      <c r="I2" s="2">
        <f ca="1">('[1]Pc, Summer, S3'!I2*Main!$B$5)+(_xlfn.IFNA(VLOOKUP($A2,'FL Ratio'!$A$3:$B$10,2,FALSE),0)*'FL Characterization'!I$2)</f>
        <v>45.229238593540821</v>
      </c>
      <c r="J2" s="2">
        <f ca="1">('[1]Pc, Summer, S3'!J2*Main!$B$5)+(_xlfn.IFNA(VLOOKUP($A2,'FL Ratio'!$A$3:$B$10,2,FALSE),0)*'FL Characterization'!J$2)</f>
        <v>51.548471207441196</v>
      </c>
      <c r="K2" s="2">
        <f ca="1">('[1]Pc, Summer, S3'!K2*Main!$B$5)+(_xlfn.IFNA(VLOOKUP($A2,'FL Ratio'!$A$3:$B$10,2,FALSE),0)*'FL Characterization'!K$2)</f>
        <v>53.132455169828454</v>
      </c>
      <c r="L2" s="2">
        <f ca="1">('[1]Pc, Summer, S3'!L2*Main!$B$5)+(_xlfn.IFNA(VLOOKUP($A2,'FL Ratio'!$A$3:$B$10,2,FALSE),0)*'FL Characterization'!L$2)</f>
        <v>52.594768898209153</v>
      </c>
      <c r="M2" s="2">
        <f ca="1">('[1]Pc, Summer, S3'!M2*Main!$B$5)+(_xlfn.IFNA(VLOOKUP($A2,'FL Ratio'!$A$3:$B$10,2,FALSE),0)*'FL Characterization'!M$2)</f>
        <v>54.082075740287152</v>
      </c>
      <c r="N2" s="2">
        <f ca="1">('[1]Pc, Summer, S3'!N2*Main!$B$5)+(_xlfn.IFNA(VLOOKUP($A2,'FL Ratio'!$A$3:$B$10,2,FALSE),0)*'FL Characterization'!N$2)</f>
        <v>54.823967786986763</v>
      </c>
      <c r="O2" s="2">
        <f ca="1">('[1]Pc, Summer, S3'!O2*Main!$B$5)+(_xlfn.IFNA(VLOOKUP($A2,'FL Ratio'!$A$3:$B$10,2,FALSE),0)*'FL Characterization'!O$2)</f>
        <v>53.809827091929868</v>
      </c>
      <c r="P2" s="2">
        <f ca="1">('[1]Pc, Summer, S3'!P2*Main!$B$5)+(_xlfn.IFNA(VLOOKUP($A2,'FL Ratio'!$A$3:$B$10,2,FALSE),0)*'FL Characterization'!P$2)</f>
        <v>51.707196867114654</v>
      </c>
      <c r="Q2" s="2">
        <f ca="1">('[1]Pc, Summer, S3'!Q2*Main!$B$5)+(_xlfn.IFNA(VLOOKUP($A2,'FL Ratio'!$A$3:$B$10,2,FALSE),0)*'FL Characterization'!Q$2)</f>
        <v>49.626071399081546</v>
      </c>
      <c r="R2" s="2">
        <f ca="1">('[1]Pc, Summer, S3'!R2*Main!$B$5)+(_xlfn.IFNA(VLOOKUP($A2,'FL Ratio'!$A$3:$B$10,2,FALSE),0)*'FL Characterization'!R$2)</f>
        <v>50.49188370356736</v>
      </c>
      <c r="S2" s="2">
        <f ca="1">('[1]Pc, Summer, S3'!S2*Main!$B$5)+(_xlfn.IFNA(VLOOKUP($A2,'FL Ratio'!$A$3:$B$10,2,FALSE),0)*'FL Characterization'!S$2)</f>
        <v>50.990730901576171</v>
      </c>
      <c r="T2" s="2">
        <f ca="1">('[1]Pc, Summer, S3'!T2*Main!$B$5)+(_xlfn.IFNA(VLOOKUP($A2,'FL Ratio'!$A$3:$B$10,2,FALSE),0)*'FL Characterization'!T$2)</f>
        <v>51.20716761216984</v>
      </c>
      <c r="U2" s="2">
        <f ca="1">('[1]Pc, Summer, S3'!U2*Main!$B$5)+(_xlfn.IFNA(VLOOKUP($A2,'FL Ratio'!$A$3:$B$10,2,FALSE),0)*'FL Characterization'!U$2)</f>
        <v>50.359453571088032</v>
      </c>
      <c r="V2" s="2">
        <f ca="1">('[1]Pc, Summer, S3'!V2*Main!$B$5)+(_xlfn.IFNA(VLOOKUP($A2,'FL Ratio'!$A$3:$B$10,2,FALSE),0)*'FL Characterization'!V$2)</f>
        <v>50.510761545372603</v>
      </c>
      <c r="W2" s="2">
        <f ca="1">('[1]Pc, Summer, S3'!W2*Main!$B$5)+(_xlfn.IFNA(VLOOKUP($A2,'FL Ratio'!$A$3:$B$10,2,FALSE),0)*'FL Characterization'!W$2)</f>
        <v>52.602814745334605</v>
      </c>
      <c r="X2" s="2">
        <f ca="1">('[1]Pc, Summer, S3'!X2*Main!$B$5)+(_xlfn.IFNA(VLOOKUP($A2,'FL Ratio'!$A$3:$B$10,2,FALSE),0)*'FL Characterization'!X$2)</f>
        <v>49.032190240702178</v>
      </c>
      <c r="Y2" s="2">
        <f ca="1">('[1]Pc, Summer, S3'!Y2*Main!$B$5)+(_xlfn.IFNA(VLOOKUP($A2,'FL Ratio'!$A$3:$B$10,2,FALSE),0)*'FL Characterization'!Y$2)</f>
        <v>44.947535395016224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40.539038702079274</v>
      </c>
      <c r="C3" s="2">
        <f ca="1">('[1]Pc, Summer, S3'!C3*Main!$B$5)+(_xlfn.IFNA(VLOOKUP($A3,'FL Ratio'!$A$3:$B$10,2,FALSE),0)*'FL Characterization'!C$2)</f>
        <v>36.912012717537074</v>
      </c>
      <c r="D3" s="2">
        <f ca="1">('[1]Pc, Summer, S3'!D3*Main!$B$5)+(_xlfn.IFNA(VLOOKUP($A3,'FL Ratio'!$A$3:$B$10,2,FALSE),0)*'FL Characterization'!D$2)</f>
        <v>35.105295065035314</v>
      </c>
      <c r="E3" s="2">
        <f ca="1">('[1]Pc, Summer, S3'!E3*Main!$B$5)+(_xlfn.IFNA(VLOOKUP($A3,'FL Ratio'!$A$3:$B$10,2,FALSE),0)*'FL Characterization'!E$2)</f>
        <v>33.855541581159684</v>
      </c>
      <c r="F3" s="2">
        <f ca="1">('[1]Pc, Summer, S3'!F3*Main!$B$5)+(_xlfn.IFNA(VLOOKUP($A3,'FL Ratio'!$A$3:$B$10,2,FALSE),0)*'FL Characterization'!F$2)</f>
        <v>33.855541581159684</v>
      </c>
      <c r="G3" s="2">
        <f ca="1">('[1]Pc, Summer, S3'!G3*Main!$B$5)+(_xlfn.IFNA(VLOOKUP($A3,'FL Ratio'!$A$3:$B$10,2,FALSE),0)*'FL Characterization'!G$2)</f>
        <v>36.300720815434815</v>
      </c>
      <c r="H3" s="2">
        <f ca="1">('[1]Pc, Summer, S3'!H3*Main!$B$5)+(_xlfn.IFNA(VLOOKUP($A3,'FL Ratio'!$A$3:$B$10,2,FALSE),0)*'FL Characterization'!H$2)</f>
        <v>45.483727829693684</v>
      </c>
      <c r="I3" s="2">
        <f ca="1">('[1]Pc, Summer, S3'!I3*Main!$B$5)+(_xlfn.IFNA(VLOOKUP($A3,'FL Ratio'!$A$3:$B$10,2,FALSE),0)*'FL Characterization'!I$2)</f>
        <v>55.970810217776879</v>
      </c>
      <c r="J3" s="2">
        <f ca="1">('[1]Pc, Summer, S3'!J3*Main!$B$5)+(_xlfn.IFNA(VLOOKUP($A3,'FL Ratio'!$A$3:$B$10,2,FALSE),0)*'FL Characterization'!J$2)</f>
        <v>58.415992381464328</v>
      </c>
      <c r="K3" s="2">
        <f ca="1">('[1]Pc, Summer, S3'!K3*Main!$B$5)+(_xlfn.IFNA(VLOOKUP($A3,'FL Ratio'!$A$3:$B$10,2,FALSE),0)*'FL Characterization'!K$2)</f>
        <v>57.193399842563046</v>
      </c>
      <c r="L3" s="2">
        <f ca="1">('[1]Pc, Summer, S3'!L3*Main!$B$5)+(_xlfn.IFNA(VLOOKUP($A3,'FL Ratio'!$A$3:$B$10,2,FALSE),0)*'FL Characterization'!L$2)</f>
        <v>57.16623598347357</v>
      </c>
      <c r="M3" s="2">
        <f ca="1">('[1]Pc, Summer, S3'!M3*Main!$B$5)+(_xlfn.IFNA(VLOOKUP($A3,'FL Ratio'!$A$3:$B$10,2,FALSE),0)*'FL Characterization'!M$2)</f>
        <v>60.915519763318628</v>
      </c>
      <c r="N3" s="2">
        <f ca="1">('[1]Pc, Summer, S3'!N3*Main!$B$5)+(_xlfn.IFNA(VLOOKUP($A3,'FL Ratio'!$A$3:$B$10,2,FALSE),0)*'FL Characterization'!N$2)</f>
        <v>60.915519763318628</v>
      </c>
      <c r="O3" s="2">
        <f ca="1">('[1]Pc, Summer, S3'!O3*Main!$B$5)+(_xlfn.IFNA(VLOOKUP($A3,'FL Ratio'!$A$3:$B$10,2,FALSE),0)*'FL Characterization'!O$2)</f>
        <v>60.915519763318628</v>
      </c>
      <c r="P3" s="2">
        <f ca="1">('[1]Pc, Summer, S3'!P3*Main!$B$5)+(_xlfn.IFNA(VLOOKUP($A3,'FL Ratio'!$A$3:$B$10,2,FALSE),0)*'FL Characterization'!P$2)</f>
        <v>57.859039873122981</v>
      </c>
      <c r="Q3" s="2">
        <f ca="1">('[1]Pc, Summer, S3'!Q3*Main!$B$5)+(_xlfn.IFNA(VLOOKUP($A3,'FL Ratio'!$A$3:$B$10,2,FALSE),0)*'FL Characterization'!Q$2)</f>
        <v>54.775390291783317</v>
      </c>
      <c r="R3" s="2">
        <f ca="1">('[1]Pc, Summer, S3'!R3*Main!$B$5)+(_xlfn.IFNA(VLOOKUP($A3,'FL Ratio'!$A$3:$B$10,2,FALSE),0)*'FL Characterization'!R$2)</f>
        <v>51.026112343992814</v>
      </c>
      <c r="S3" s="2">
        <f ca="1">('[1]Pc, Summer, S3'!S3*Main!$B$5)+(_xlfn.IFNA(VLOOKUP($A3,'FL Ratio'!$A$3:$B$10,2,FALSE),0)*'FL Characterization'!S$2)</f>
        <v>51.026112343992814</v>
      </c>
      <c r="T3" s="2">
        <f ca="1">('[1]Pc, Summer, S3'!T3*Main!$B$5)+(_xlfn.IFNA(VLOOKUP($A3,'FL Ratio'!$A$3:$B$10,2,FALSE),0)*'FL Characterization'!T$2)</f>
        <v>51.026112343992814</v>
      </c>
      <c r="U3" s="2">
        <f ca="1">('[1]Pc, Summer, S3'!U3*Main!$B$5)+(_xlfn.IFNA(VLOOKUP($A3,'FL Ratio'!$A$3:$B$10,2,FALSE),0)*'FL Characterization'!U$2)</f>
        <v>51.026112343992814</v>
      </c>
      <c r="V3" s="2">
        <f ca="1">('[1]Pc, Summer, S3'!V3*Main!$B$5)+(_xlfn.IFNA(VLOOKUP($A3,'FL Ratio'!$A$3:$B$10,2,FALSE),0)*'FL Characterization'!V$2)</f>
        <v>51.026112343992814</v>
      </c>
      <c r="W3" s="2">
        <f ca="1">('[1]Pc, Summer, S3'!W3*Main!$B$5)+(_xlfn.IFNA(VLOOKUP($A3,'FL Ratio'!$A$3:$B$10,2,FALSE),0)*'FL Characterization'!W$2)</f>
        <v>51.026112343992814</v>
      </c>
      <c r="X3" s="2">
        <f ca="1">('[1]Pc, Summer, S3'!X3*Main!$B$5)+(_xlfn.IFNA(VLOOKUP($A3,'FL Ratio'!$A$3:$B$10,2,FALSE),0)*'FL Characterization'!X$2)</f>
        <v>49.192236660631821</v>
      </c>
      <c r="Y3" s="2">
        <f ca="1">('[1]Pc, Summer, S3'!Y3*Main!$B$5)+(_xlfn.IFNA(VLOOKUP($A3,'FL Ratio'!$A$3:$B$10,2,FALSE),0)*'FL Characterization'!Y$2)</f>
        <v>46.027092572611451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54.660549706751254</v>
      </c>
      <c r="C4" s="2">
        <f ca="1">('[1]Pc, Summer, S3'!C4*Main!$B$5)+(_xlfn.IFNA(VLOOKUP($A4,'FL Ratio'!$A$3:$B$10,2,FALSE),0)*'FL Characterization'!C$2)</f>
        <v>48.117806249983033</v>
      </c>
      <c r="D4" s="2">
        <f ca="1">('[1]Pc, Summer, S3'!D4*Main!$B$5)+(_xlfn.IFNA(VLOOKUP($A4,'FL Ratio'!$A$3:$B$10,2,FALSE),0)*'FL Characterization'!D$2)</f>
        <v>45.500545175366845</v>
      </c>
      <c r="E4" s="2">
        <f ca="1">('[1]Pc, Summer, S3'!E4*Main!$B$5)+(_xlfn.IFNA(VLOOKUP($A4,'FL Ratio'!$A$3:$B$10,2,FALSE),0)*'FL Characterization'!E$2)</f>
        <v>44.057442904479331</v>
      </c>
      <c r="F4" s="2">
        <f ca="1">('[1]Pc, Summer, S3'!F4*Main!$B$5)+(_xlfn.IFNA(VLOOKUP($A4,'FL Ratio'!$A$3:$B$10,2,FALSE),0)*'FL Characterization'!F$2)</f>
        <v>46.705013487429788</v>
      </c>
      <c r="G4" s="2">
        <f ca="1">('[1]Pc, Summer, S3'!G4*Main!$B$5)+(_xlfn.IFNA(VLOOKUP($A4,'FL Ratio'!$A$3:$B$10,2,FALSE),0)*'FL Characterization'!G$2)</f>
        <v>42.778791139839811</v>
      </c>
      <c r="H4" s="2">
        <f ca="1">('[1]Pc, Summer, S3'!H4*Main!$B$5)+(_xlfn.IFNA(VLOOKUP($A4,'FL Ratio'!$A$3:$B$10,2,FALSE),0)*'FL Characterization'!H$2)</f>
        <v>50.171716592515068</v>
      </c>
      <c r="I4" s="2">
        <f ca="1">('[1]Pc, Summer, S3'!I4*Main!$B$5)+(_xlfn.IFNA(VLOOKUP($A4,'FL Ratio'!$A$3:$B$10,2,FALSE),0)*'FL Characterization'!I$2)</f>
        <v>58.233452691365692</v>
      </c>
      <c r="J4" s="2">
        <f ca="1">('[1]Pc, Summer, S3'!J4*Main!$B$5)+(_xlfn.IFNA(VLOOKUP($A4,'FL Ratio'!$A$3:$B$10,2,FALSE),0)*'FL Characterization'!J$2)</f>
        <v>65.603915438317642</v>
      </c>
      <c r="K4" s="2">
        <f ca="1">('[1]Pc, Summer, S3'!K4*Main!$B$5)+(_xlfn.IFNA(VLOOKUP($A4,'FL Ratio'!$A$3:$B$10,2,FALSE),0)*'FL Characterization'!K$2)</f>
        <v>70.410463923193632</v>
      </c>
      <c r="L4" s="2">
        <f ca="1">('[1]Pc, Summer, S3'!L4*Main!$B$5)+(_xlfn.IFNA(VLOOKUP($A4,'FL Ratio'!$A$3:$B$10,2,FALSE),0)*'FL Characterization'!L$2)</f>
        <v>72.663751058506989</v>
      </c>
      <c r="M4" s="2">
        <f ca="1">('[1]Pc, Summer, S3'!M4*Main!$B$5)+(_xlfn.IFNA(VLOOKUP($A4,'FL Ratio'!$A$3:$B$10,2,FALSE),0)*'FL Characterization'!M$2)</f>
        <v>73.8137615024186</v>
      </c>
      <c r="N4" s="2">
        <f ca="1">('[1]Pc, Summer, S3'!N4*Main!$B$5)+(_xlfn.IFNA(VLOOKUP($A4,'FL Ratio'!$A$3:$B$10,2,FALSE),0)*'FL Characterization'!N$2)</f>
        <v>75.263106785679597</v>
      </c>
      <c r="O4" s="2">
        <f ca="1">('[1]Pc, Summer, S3'!O4*Main!$B$5)+(_xlfn.IFNA(VLOOKUP($A4,'FL Ratio'!$A$3:$B$10,2,FALSE),0)*'FL Characterization'!O$2)</f>
        <v>75.879539222268349</v>
      </c>
      <c r="P4" s="2">
        <f ca="1">('[1]Pc, Summer, S3'!P4*Main!$B$5)+(_xlfn.IFNA(VLOOKUP($A4,'FL Ratio'!$A$3:$B$10,2,FALSE),0)*'FL Characterization'!P$2)</f>
        <v>76.144399704148285</v>
      </c>
      <c r="Q4" s="2">
        <f ca="1">('[1]Pc, Summer, S3'!Q4*Main!$B$5)+(_xlfn.IFNA(VLOOKUP($A4,'FL Ratio'!$A$3:$B$10,2,FALSE),0)*'FL Characterization'!Q$2)</f>
        <v>73.273816465403641</v>
      </c>
      <c r="R4" s="2">
        <f ca="1">('[1]Pc, Summer, S3'!R4*Main!$B$5)+(_xlfn.IFNA(VLOOKUP($A4,'FL Ratio'!$A$3:$B$10,2,FALSE),0)*'FL Characterization'!R$2)</f>
        <v>73.310491504593415</v>
      </c>
      <c r="S4" s="2">
        <f ca="1">('[1]Pc, Summer, S3'!S4*Main!$B$5)+(_xlfn.IFNA(VLOOKUP($A4,'FL Ratio'!$A$3:$B$10,2,FALSE),0)*'FL Characterization'!S$2)</f>
        <v>70.452312265272226</v>
      </c>
      <c r="T4" s="2">
        <f ca="1">('[1]Pc, Summer, S3'!T4*Main!$B$5)+(_xlfn.IFNA(VLOOKUP($A4,'FL Ratio'!$A$3:$B$10,2,FALSE),0)*'FL Characterization'!T$2)</f>
        <v>70.823001719036299</v>
      </c>
      <c r="U4" s="2">
        <f ca="1">('[1]Pc, Summer, S3'!U4*Main!$B$5)+(_xlfn.IFNA(VLOOKUP($A4,'FL Ratio'!$A$3:$B$10,2,FALSE),0)*'FL Characterization'!U$2)</f>
        <v>71.405288513726589</v>
      </c>
      <c r="V4" s="2">
        <f ca="1">('[1]Pc, Summer, S3'!V4*Main!$B$5)+(_xlfn.IFNA(VLOOKUP($A4,'FL Ratio'!$A$3:$B$10,2,FALSE),0)*'FL Characterization'!V$2)</f>
        <v>70.818322186269796</v>
      </c>
      <c r="W4" s="2">
        <f ca="1">('[1]Pc, Summer, S3'!W4*Main!$B$5)+(_xlfn.IFNA(VLOOKUP($A4,'FL Ratio'!$A$3:$B$10,2,FALSE),0)*'FL Characterization'!W$2)</f>
        <v>73.357019709393256</v>
      </c>
      <c r="X4" s="2">
        <f ca="1">('[1]Pc, Summer, S3'!X4*Main!$B$5)+(_xlfn.IFNA(VLOOKUP($A4,'FL Ratio'!$A$3:$B$10,2,FALSE),0)*'FL Characterization'!X$2)</f>
        <v>71.670838927282048</v>
      </c>
      <c r="Y4" s="2">
        <f ca="1">('[1]Pc, Summer, S3'!Y4*Main!$B$5)+(_xlfn.IFNA(VLOOKUP($A4,'FL Ratio'!$A$3:$B$10,2,FALSE),0)*'FL Characterization'!Y$2)</f>
        <v>64.054551182712402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39.981750259377407</v>
      </c>
      <c r="C2" s="2">
        <f ca="1">('[1]Pc, Summer, S3'!C2*Main!$B$5)+(_xlfn.IFNA(VLOOKUP($A2,'FL Ratio'!$A$3:$B$10,2,FALSE),0)*'FL Characterization'!C$2)</f>
        <v>36.325209322996209</v>
      </c>
      <c r="D2" s="2">
        <f ca="1">('[1]Pc, Summer, S3'!D2*Main!$B$5)+(_xlfn.IFNA(VLOOKUP($A2,'FL Ratio'!$A$3:$B$10,2,FALSE),0)*'FL Characterization'!D$2)</f>
        <v>35.690702325193975</v>
      </c>
      <c r="E2" s="2">
        <f ca="1">('[1]Pc, Summer, S3'!E2*Main!$B$5)+(_xlfn.IFNA(VLOOKUP($A2,'FL Ratio'!$A$3:$B$10,2,FALSE),0)*'FL Characterization'!E$2)</f>
        <v>35.599528140169525</v>
      </c>
      <c r="F2" s="2">
        <f ca="1">('[1]Pc, Summer, S3'!F2*Main!$B$5)+(_xlfn.IFNA(VLOOKUP($A2,'FL Ratio'!$A$3:$B$10,2,FALSE),0)*'FL Characterization'!F$2)</f>
        <v>35.602334810897261</v>
      </c>
      <c r="G2" s="2">
        <f ca="1">('[1]Pc, Summer, S3'!G2*Main!$B$5)+(_xlfn.IFNA(VLOOKUP($A2,'FL Ratio'!$A$3:$B$10,2,FALSE),0)*'FL Characterization'!G$2)</f>
        <v>35.287478164606469</v>
      </c>
      <c r="H2" s="2">
        <f ca="1">('[1]Pc, Summer, S3'!H2*Main!$B$5)+(_xlfn.IFNA(VLOOKUP($A2,'FL Ratio'!$A$3:$B$10,2,FALSE),0)*'FL Characterization'!H$2)</f>
        <v>38.09598268167273</v>
      </c>
      <c r="I2" s="2">
        <f ca="1">('[1]Pc, Summer, S3'!I2*Main!$B$5)+(_xlfn.IFNA(VLOOKUP($A2,'FL Ratio'!$A$3:$B$10,2,FALSE),0)*'FL Characterization'!I$2)</f>
        <v>45.229238593540821</v>
      </c>
      <c r="J2" s="2">
        <f ca="1">('[1]Pc, Summer, S3'!J2*Main!$B$5)+(_xlfn.IFNA(VLOOKUP($A2,'FL Ratio'!$A$3:$B$10,2,FALSE),0)*'FL Characterization'!J$2)</f>
        <v>51.548471207441196</v>
      </c>
      <c r="K2" s="2">
        <f ca="1">('[1]Pc, Summer, S3'!K2*Main!$B$5)+(_xlfn.IFNA(VLOOKUP($A2,'FL Ratio'!$A$3:$B$10,2,FALSE),0)*'FL Characterization'!K$2)</f>
        <v>53.132455169828454</v>
      </c>
      <c r="L2" s="2">
        <f ca="1">('[1]Pc, Summer, S3'!L2*Main!$B$5)+(_xlfn.IFNA(VLOOKUP($A2,'FL Ratio'!$A$3:$B$10,2,FALSE),0)*'FL Characterization'!L$2)</f>
        <v>52.594768898209153</v>
      </c>
      <c r="M2" s="2">
        <f ca="1">('[1]Pc, Summer, S3'!M2*Main!$B$5)+(_xlfn.IFNA(VLOOKUP($A2,'FL Ratio'!$A$3:$B$10,2,FALSE),0)*'FL Characterization'!M$2)</f>
        <v>54.082075740287152</v>
      </c>
      <c r="N2" s="2">
        <f ca="1">('[1]Pc, Summer, S3'!N2*Main!$B$5)+(_xlfn.IFNA(VLOOKUP($A2,'FL Ratio'!$A$3:$B$10,2,FALSE),0)*'FL Characterization'!N$2)</f>
        <v>54.823967786986763</v>
      </c>
      <c r="O2" s="2">
        <f ca="1">('[1]Pc, Summer, S3'!O2*Main!$B$5)+(_xlfn.IFNA(VLOOKUP($A2,'FL Ratio'!$A$3:$B$10,2,FALSE),0)*'FL Characterization'!O$2)</f>
        <v>53.809827091929868</v>
      </c>
      <c r="P2" s="2">
        <f ca="1">('[1]Pc, Summer, S3'!P2*Main!$B$5)+(_xlfn.IFNA(VLOOKUP($A2,'FL Ratio'!$A$3:$B$10,2,FALSE),0)*'FL Characterization'!P$2)</f>
        <v>51.707196867114654</v>
      </c>
      <c r="Q2" s="2">
        <f ca="1">('[1]Pc, Summer, S3'!Q2*Main!$B$5)+(_xlfn.IFNA(VLOOKUP($A2,'FL Ratio'!$A$3:$B$10,2,FALSE),0)*'FL Characterization'!Q$2)</f>
        <v>49.626071399081546</v>
      </c>
      <c r="R2" s="2">
        <f ca="1">('[1]Pc, Summer, S3'!R2*Main!$B$5)+(_xlfn.IFNA(VLOOKUP($A2,'FL Ratio'!$A$3:$B$10,2,FALSE),0)*'FL Characterization'!R$2)</f>
        <v>50.49188370356736</v>
      </c>
      <c r="S2" s="2">
        <f ca="1">('[1]Pc, Summer, S3'!S2*Main!$B$5)+(_xlfn.IFNA(VLOOKUP($A2,'FL Ratio'!$A$3:$B$10,2,FALSE),0)*'FL Characterization'!S$2)</f>
        <v>50.990730901576171</v>
      </c>
      <c r="T2" s="2">
        <f ca="1">('[1]Pc, Summer, S3'!T2*Main!$B$5)+(_xlfn.IFNA(VLOOKUP($A2,'FL Ratio'!$A$3:$B$10,2,FALSE),0)*'FL Characterization'!T$2)</f>
        <v>51.20716761216984</v>
      </c>
      <c r="U2" s="2">
        <f ca="1">('[1]Pc, Summer, S3'!U2*Main!$B$5)+(_xlfn.IFNA(VLOOKUP($A2,'FL Ratio'!$A$3:$B$10,2,FALSE),0)*'FL Characterization'!U$2)</f>
        <v>50.359453571088032</v>
      </c>
      <c r="V2" s="2">
        <f ca="1">('[1]Pc, Summer, S3'!V2*Main!$B$5)+(_xlfn.IFNA(VLOOKUP($A2,'FL Ratio'!$A$3:$B$10,2,FALSE),0)*'FL Characterization'!V$2)</f>
        <v>50.510761545372603</v>
      </c>
      <c r="W2" s="2">
        <f ca="1">('[1]Pc, Summer, S3'!W2*Main!$B$5)+(_xlfn.IFNA(VLOOKUP($A2,'FL Ratio'!$A$3:$B$10,2,FALSE),0)*'FL Characterization'!W$2)</f>
        <v>52.602814745334605</v>
      </c>
      <c r="X2" s="2">
        <f ca="1">('[1]Pc, Summer, S3'!X2*Main!$B$5)+(_xlfn.IFNA(VLOOKUP($A2,'FL Ratio'!$A$3:$B$10,2,FALSE),0)*'FL Characterization'!X$2)</f>
        <v>49.032190240702178</v>
      </c>
      <c r="Y2" s="2">
        <f ca="1">('[1]Pc, Summer, S3'!Y2*Main!$B$5)+(_xlfn.IFNA(VLOOKUP($A2,'FL Ratio'!$A$3:$B$10,2,FALSE),0)*'FL Characterization'!Y$2)</f>
        <v>44.947535395016224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40.539038702079274</v>
      </c>
      <c r="C3" s="2">
        <f ca="1">('[1]Pc, Summer, S3'!C3*Main!$B$5)+(_xlfn.IFNA(VLOOKUP($A3,'FL Ratio'!$A$3:$B$10,2,FALSE),0)*'FL Characterization'!C$2)</f>
        <v>36.912012717537074</v>
      </c>
      <c r="D3" s="2">
        <f ca="1">('[1]Pc, Summer, S3'!D3*Main!$B$5)+(_xlfn.IFNA(VLOOKUP($A3,'FL Ratio'!$A$3:$B$10,2,FALSE),0)*'FL Characterization'!D$2)</f>
        <v>35.105295065035314</v>
      </c>
      <c r="E3" s="2">
        <f ca="1">('[1]Pc, Summer, S3'!E3*Main!$B$5)+(_xlfn.IFNA(VLOOKUP($A3,'FL Ratio'!$A$3:$B$10,2,FALSE),0)*'FL Characterization'!E$2)</f>
        <v>33.855541581159684</v>
      </c>
      <c r="F3" s="2">
        <f ca="1">('[1]Pc, Summer, S3'!F3*Main!$B$5)+(_xlfn.IFNA(VLOOKUP($A3,'FL Ratio'!$A$3:$B$10,2,FALSE),0)*'FL Characterization'!F$2)</f>
        <v>33.855541581159684</v>
      </c>
      <c r="G3" s="2">
        <f ca="1">('[1]Pc, Summer, S3'!G3*Main!$B$5)+(_xlfn.IFNA(VLOOKUP($A3,'FL Ratio'!$A$3:$B$10,2,FALSE),0)*'FL Characterization'!G$2)</f>
        <v>36.300720815434815</v>
      </c>
      <c r="H3" s="2">
        <f ca="1">('[1]Pc, Summer, S3'!H3*Main!$B$5)+(_xlfn.IFNA(VLOOKUP($A3,'FL Ratio'!$A$3:$B$10,2,FALSE),0)*'FL Characterization'!H$2)</f>
        <v>45.483727829693684</v>
      </c>
      <c r="I3" s="2">
        <f ca="1">('[1]Pc, Summer, S3'!I3*Main!$B$5)+(_xlfn.IFNA(VLOOKUP($A3,'FL Ratio'!$A$3:$B$10,2,FALSE),0)*'FL Characterization'!I$2)</f>
        <v>55.970810217776879</v>
      </c>
      <c r="J3" s="2">
        <f ca="1">('[1]Pc, Summer, S3'!J3*Main!$B$5)+(_xlfn.IFNA(VLOOKUP($A3,'FL Ratio'!$A$3:$B$10,2,FALSE),0)*'FL Characterization'!J$2)</f>
        <v>58.415992381464328</v>
      </c>
      <c r="K3" s="2">
        <f ca="1">('[1]Pc, Summer, S3'!K3*Main!$B$5)+(_xlfn.IFNA(VLOOKUP($A3,'FL Ratio'!$A$3:$B$10,2,FALSE),0)*'FL Characterization'!K$2)</f>
        <v>57.193399842563046</v>
      </c>
      <c r="L3" s="2">
        <f ca="1">('[1]Pc, Summer, S3'!L3*Main!$B$5)+(_xlfn.IFNA(VLOOKUP($A3,'FL Ratio'!$A$3:$B$10,2,FALSE),0)*'FL Characterization'!L$2)</f>
        <v>57.16623598347357</v>
      </c>
      <c r="M3" s="2">
        <f ca="1">('[1]Pc, Summer, S3'!M3*Main!$B$5)+(_xlfn.IFNA(VLOOKUP($A3,'FL Ratio'!$A$3:$B$10,2,FALSE),0)*'FL Characterization'!M$2)</f>
        <v>60.915519763318628</v>
      </c>
      <c r="N3" s="2">
        <f ca="1">('[1]Pc, Summer, S3'!N3*Main!$B$5)+(_xlfn.IFNA(VLOOKUP($A3,'FL Ratio'!$A$3:$B$10,2,FALSE),0)*'FL Characterization'!N$2)</f>
        <v>60.915519763318628</v>
      </c>
      <c r="O3" s="2">
        <f ca="1">('[1]Pc, Summer, S3'!O3*Main!$B$5)+(_xlfn.IFNA(VLOOKUP($A3,'FL Ratio'!$A$3:$B$10,2,FALSE),0)*'FL Characterization'!O$2)</f>
        <v>60.915519763318628</v>
      </c>
      <c r="P3" s="2">
        <f ca="1">('[1]Pc, Summer, S3'!P3*Main!$B$5)+(_xlfn.IFNA(VLOOKUP($A3,'FL Ratio'!$A$3:$B$10,2,FALSE),0)*'FL Characterization'!P$2)</f>
        <v>57.859039873122981</v>
      </c>
      <c r="Q3" s="2">
        <f ca="1">('[1]Pc, Summer, S3'!Q3*Main!$B$5)+(_xlfn.IFNA(VLOOKUP($A3,'FL Ratio'!$A$3:$B$10,2,FALSE),0)*'FL Characterization'!Q$2)</f>
        <v>54.775390291783317</v>
      </c>
      <c r="R3" s="2">
        <f ca="1">('[1]Pc, Summer, S3'!R3*Main!$B$5)+(_xlfn.IFNA(VLOOKUP($A3,'FL Ratio'!$A$3:$B$10,2,FALSE),0)*'FL Characterization'!R$2)</f>
        <v>51.026112343992814</v>
      </c>
      <c r="S3" s="2">
        <f ca="1">('[1]Pc, Summer, S3'!S3*Main!$B$5)+(_xlfn.IFNA(VLOOKUP($A3,'FL Ratio'!$A$3:$B$10,2,FALSE),0)*'FL Characterization'!S$2)</f>
        <v>51.026112343992814</v>
      </c>
      <c r="T3" s="2">
        <f ca="1">('[1]Pc, Summer, S3'!T3*Main!$B$5)+(_xlfn.IFNA(VLOOKUP($A3,'FL Ratio'!$A$3:$B$10,2,FALSE),0)*'FL Characterization'!T$2)</f>
        <v>51.026112343992814</v>
      </c>
      <c r="U3" s="2">
        <f ca="1">('[1]Pc, Summer, S3'!U3*Main!$B$5)+(_xlfn.IFNA(VLOOKUP($A3,'FL Ratio'!$A$3:$B$10,2,FALSE),0)*'FL Characterization'!U$2)</f>
        <v>51.026112343992814</v>
      </c>
      <c r="V3" s="2">
        <f ca="1">('[1]Pc, Summer, S3'!V3*Main!$B$5)+(_xlfn.IFNA(VLOOKUP($A3,'FL Ratio'!$A$3:$B$10,2,FALSE),0)*'FL Characterization'!V$2)</f>
        <v>51.026112343992814</v>
      </c>
      <c r="W3" s="2">
        <f ca="1">('[1]Pc, Summer, S3'!W3*Main!$B$5)+(_xlfn.IFNA(VLOOKUP($A3,'FL Ratio'!$A$3:$B$10,2,FALSE),0)*'FL Characterization'!W$2)</f>
        <v>51.026112343992814</v>
      </c>
      <c r="X3" s="2">
        <f ca="1">('[1]Pc, Summer, S3'!X3*Main!$B$5)+(_xlfn.IFNA(VLOOKUP($A3,'FL Ratio'!$A$3:$B$10,2,FALSE),0)*'FL Characterization'!X$2)</f>
        <v>49.192236660631821</v>
      </c>
      <c r="Y3" s="2">
        <f ca="1">('[1]Pc, Summer, S3'!Y3*Main!$B$5)+(_xlfn.IFNA(VLOOKUP($A3,'FL Ratio'!$A$3:$B$10,2,FALSE),0)*'FL Characterization'!Y$2)</f>
        <v>46.027092572611451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54.660549706751254</v>
      </c>
      <c r="C4" s="2">
        <f ca="1">('[1]Pc, Summer, S3'!C4*Main!$B$5)+(_xlfn.IFNA(VLOOKUP($A4,'FL Ratio'!$A$3:$B$10,2,FALSE),0)*'FL Characterization'!C$2)</f>
        <v>48.117806249983033</v>
      </c>
      <c r="D4" s="2">
        <f ca="1">('[1]Pc, Summer, S3'!D4*Main!$B$5)+(_xlfn.IFNA(VLOOKUP($A4,'FL Ratio'!$A$3:$B$10,2,FALSE),0)*'FL Characterization'!D$2)</f>
        <v>45.500545175366845</v>
      </c>
      <c r="E4" s="2">
        <f ca="1">('[1]Pc, Summer, S3'!E4*Main!$B$5)+(_xlfn.IFNA(VLOOKUP($A4,'FL Ratio'!$A$3:$B$10,2,FALSE),0)*'FL Characterization'!E$2)</f>
        <v>44.057442904479331</v>
      </c>
      <c r="F4" s="2">
        <f ca="1">('[1]Pc, Summer, S3'!F4*Main!$B$5)+(_xlfn.IFNA(VLOOKUP($A4,'FL Ratio'!$A$3:$B$10,2,FALSE),0)*'FL Characterization'!F$2)</f>
        <v>46.705013487429788</v>
      </c>
      <c r="G4" s="2">
        <f ca="1">('[1]Pc, Summer, S3'!G4*Main!$B$5)+(_xlfn.IFNA(VLOOKUP($A4,'FL Ratio'!$A$3:$B$10,2,FALSE),0)*'FL Characterization'!G$2)</f>
        <v>42.778791139839811</v>
      </c>
      <c r="H4" s="2">
        <f ca="1">('[1]Pc, Summer, S3'!H4*Main!$B$5)+(_xlfn.IFNA(VLOOKUP($A4,'FL Ratio'!$A$3:$B$10,2,FALSE),0)*'FL Characterization'!H$2)</f>
        <v>50.171716592515068</v>
      </c>
      <c r="I4" s="2">
        <f ca="1">('[1]Pc, Summer, S3'!I4*Main!$B$5)+(_xlfn.IFNA(VLOOKUP($A4,'FL Ratio'!$A$3:$B$10,2,FALSE),0)*'FL Characterization'!I$2)</f>
        <v>58.233452691365692</v>
      </c>
      <c r="J4" s="2">
        <f ca="1">('[1]Pc, Summer, S3'!J4*Main!$B$5)+(_xlfn.IFNA(VLOOKUP($A4,'FL Ratio'!$A$3:$B$10,2,FALSE),0)*'FL Characterization'!J$2)</f>
        <v>65.603915438317642</v>
      </c>
      <c r="K4" s="2">
        <f ca="1">('[1]Pc, Summer, S3'!K4*Main!$B$5)+(_xlfn.IFNA(VLOOKUP($A4,'FL Ratio'!$A$3:$B$10,2,FALSE),0)*'FL Characterization'!K$2)</f>
        <v>70.410463923193632</v>
      </c>
      <c r="L4" s="2">
        <f ca="1">('[1]Pc, Summer, S3'!L4*Main!$B$5)+(_xlfn.IFNA(VLOOKUP($A4,'FL Ratio'!$A$3:$B$10,2,FALSE),0)*'FL Characterization'!L$2)</f>
        <v>72.663751058506989</v>
      </c>
      <c r="M4" s="2">
        <f ca="1">('[1]Pc, Summer, S3'!M4*Main!$B$5)+(_xlfn.IFNA(VLOOKUP($A4,'FL Ratio'!$A$3:$B$10,2,FALSE),0)*'FL Characterization'!M$2)</f>
        <v>73.8137615024186</v>
      </c>
      <c r="N4" s="2">
        <f ca="1">('[1]Pc, Summer, S3'!N4*Main!$B$5)+(_xlfn.IFNA(VLOOKUP($A4,'FL Ratio'!$A$3:$B$10,2,FALSE),0)*'FL Characterization'!N$2)</f>
        <v>75.263106785679597</v>
      </c>
      <c r="O4" s="2">
        <f ca="1">('[1]Pc, Summer, S3'!O4*Main!$B$5)+(_xlfn.IFNA(VLOOKUP($A4,'FL Ratio'!$A$3:$B$10,2,FALSE),0)*'FL Characterization'!O$2)</f>
        <v>75.879539222268349</v>
      </c>
      <c r="P4" s="2">
        <f ca="1">('[1]Pc, Summer, S3'!P4*Main!$B$5)+(_xlfn.IFNA(VLOOKUP($A4,'FL Ratio'!$A$3:$B$10,2,FALSE),0)*'FL Characterization'!P$2)</f>
        <v>76.144399704148285</v>
      </c>
      <c r="Q4" s="2">
        <f ca="1">('[1]Pc, Summer, S3'!Q4*Main!$B$5)+(_xlfn.IFNA(VLOOKUP($A4,'FL Ratio'!$A$3:$B$10,2,FALSE),0)*'FL Characterization'!Q$2)</f>
        <v>73.273816465403641</v>
      </c>
      <c r="R4" s="2">
        <f ca="1">('[1]Pc, Summer, S3'!R4*Main!$B$5)+(_xlfn.IFNA(VLOOKUP($A4,'FL Ratio'!$A$3:$B$10,2,FALSE),0)*'FL Characterization'!R$2)</f>
        <v>73.310491504593415</v>
      </c>
      <c r="S4" s="2">
        <f ca="1">('[1]Pc, Summer, S3'!S4*Main!$B$5)+(_xlfn.IFNA(VLOOKUP($A4,'FL Ratio'!$A$3:$B$10,2,FALSE),0)*'FL Characterization'!S$2)</f>
        <v>70.452312265272226</v>
      </c>
      <c r="T4" s="2">
        <f ca="1">('[1]Pc, Summer, S3'!T4*Main!$B$5)+(_xlfn.IFNA(VLOOKUP($A4,'FL Ratio'!$A$3:$B$10,2,FALSE),0)*'FL Characterization'!T$2)</f>
        <v>70.823001719036299</v>
      </c>
      <c r="U4" s="2">
        <f ca="1">('[1]Pc, Summer, S3'!U4*Main!$B$5)+(_xlfn.IFNA(VLOOKUP($A4,'FL Ratio'!$A$3:$B$10,2,FALSE),0)*'FL Characterization'!U$2)</f>
        <v>71.405288513726589</v>
      </c>
      <c r="V4" s="2">
        <f ca="1">('[1]Pc, Summer, S3'!V4*Main!$B$5)+(_xlfn.IFNA(VLOOKUP($A4,'FL Ratio'!$A$3:$B$10,2,FALSE),0)*'FL Characterization'!V$2)</f>
        <v>70.818322186269796</v>
      </c>
      <c r="W4" s="2">
        <f ca="1">('[1]Pc, Summer, S3'!W4*Main!$B$5)+(_xlfn.IFNA(VLOOKUP($A4,'FL Ratio'!$A$3:$B$10,2,FALSE),0)*'FL Characterization'!W$2)</f>
        <v>73.357019709393256</v>
      </c>
      <c r="X4" s="2">
        <f ca="1">('[1]Pc, Summer, S3'!X4*Main!$B$5)+(_xlfn.IFNA(VLOOKUP($A4,'FL Ratio'!$A$3:$B$10,2,FALSE),0)*'FL Characterization'!X$2)</f>
        <v>71.670838927282048</v>
      </c>
      <c r="Y4" s="2">
        <f ca="1">('[1]Pc, Summer, S3'!Y4*Main!$B$5)+(_xlfn.IFNA(VLOOKUP($A4,'FL Ratio'!$A$3:$B$10,2,FALSE),0)*'FL Characterization'!Y$2)</f>
        <v>64.054551182712402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-13.414951557876611</v>
      </c>
      <c r="C2" s="2">
        <f>('[1]Qc, Summer, S1'!C2*Main!$B$5)</f>
        <v>-17.44108425208919</v>
      </c>
      <c r="D2" s="2">
        <f>('[1]Qc, Summer, S1'!D2*Main!$B$5)</f>
        <v>-19.223440719005573</v>
      </c>
      <c r="E2" s="2">
        <f>('[1]Qc, Summer, S1'!E2*Main!$B$5)</f>
        <v>-17.542396785341392</v>
      </c>
      <c r="F2" s="2">
        <f>('[1]Qc, Summer, S1'!F2*Main!$B$5)</f>
        <v>-18.803089188459698</v>
      </c>
      <c r="G2" s="2">
        <f>('[1]Qc, Summer, S1'!G2*Main!$B$5)</f>
        <v>-19.236479925258514</v>
      </c>
      <c r="H2" s="2">
        <f>('[1]Qc, Summer, S1'!H2*Main!$B$5)</f>
        <v>-16.672070271816228</v>
      </c>
      <c r="I2" s="2">
        <f>('[1]Qc, Summer, S1'!I2*Main!$B$5)</f>
        <v>-2.5937995669304335</v>
      </c>
      <c r="J2" s="2">
        <f>('[1]Qc, Summer, S1'!J2*Main!$B$5)</f>
        <v>8.3259057485096015</v>
      </c>
      <c r="K2" s="2">
        <f>('[1]Qc, Summer, S1'!K2*Main!$B$5)</f>
        <v>12.120900404118951</v>
      </c>
      <c r="L2" s="2">
        <f>('[1]Qc, Summer, S1'!L2*Main!$B$5)</f>
        <v>9.5281113524318446</v>
      </c>
      <c r="M2" s="2">
        <f>('[1]Qc, Summer, S1'!M2*Main!$B$5)</f>
        <v>12.691705933284949</v>
      </c>
      <c r="N2" s="2">
        <f>('[1]Qc, Summer, S1'!N2*Main!$B$5)</f>
        <v>11.262872092082507</v>
      </c>
      <c r="O2" s="2">
        <f>('[1]Qc, Summer, S1'!O2*Main!$B$5)</f>
        <v>11.60198349232202</v>
      </c>
      <c r="P2" s="2">
        <f>('[1]Qc, Summer, S1'!P2*Main!$B$5)</f>
        <v>5.9861977022949597</v>
      </c>
      <c r="Q2" s="2">
        <f>('[1]Qc, Summer, S1'!Q2*Main!$B$5)</f>
        <v>1.5133832422117997</v>
      </c>
      <c r="R2" s="2">
        <f>('[1]Qc, Summer, S1'!R2*Main!$B$5)</f>
        <v>3.3666746905728249</v>
      </c>
      <c r="S2" s="2">
        <f>('[1]Qc, Summer, S1'!S2*Main!$B$5)</f>
        <v>4.0893457201479535</v>
      </c>
      <c r="T2" s="2">
        <f>('[1]Qc, Summer, S1'!T2*Main!$B$5)</f>
        <v>2.4636767940603805</v>
      </c>
      <c r="U2" s="2">
        <f>('[1]Qc, Summer, S1'!U2*Main!$B$5)</f>
        <v>-0.459590202680078</v>
      </c>
      <c r="V2" s="2">
        <f>('[1]Qc, Summer, S1'!V2*Main!$B$5)</f>
        <v>-1.7941663255746729</v>
      </c>
      <c r="W2" s="2">
        <f>('[1]Qc, Summer, S1'!W2*Main!$B$5)</f>
        <v>-1.2482479968870879</v>
      </c>
      <c r="X2" s="2">
        <f>('[1]Qc, Summer, S1'!X2*Main!$B$5)</f>
        <v>-5.9862761374626601</v>
      </c>
      <c r="Y2" s="2">
        <f>('[1]Qc, Summer, S1'!Y2*Main!$B$5)</f>
        <v>-8.1029121598029175</v>
      </c>
    </row>
    <row r="3" spans="1:25" x14ac:dyDescent="0.3">
      <c r="A3">
        <v>2</v>
      </c>
      <c r="B3" s="2">
        <f>('[1]Qc, Summer, S1'!B3*Main!$B$5)</f>
        <v>-16.977732505635039</v>
      </c>
      <c r="C3" s="2">
        <f>('[1]Qc, Summer, S1'!C3*Main!$B$5)</f>
        <v>-16.977732505635039</v>
      </c>
      <c r="D3" s="2">
        <f>('[1]Qc, Summer, S1'!D3*Main!$B$5)</f>
        <v>-19.710146209218316</v>
      </c>
      <c r="E3" s="2">
        <f>('[1]Qc, Summer, S1'!E3*Main!$B$5)</f>
        <v>-22.442559912801599</v>
      </c>
      <c r="F3" s="2">
        <f>('[1]Qc, Summer, S1'!F3*Main!$B$5)</f>
        <v>-22.442559912801599</v>
      </c>
      <c r="G3" s="2">
        <f>('[1]Qc, Summer, S1'!G3*Main!$B$5)</f>
        <v>-22.442559912801599</v>
      </c>
      <c r="H3" s="2">
        <f>('[1]Qc, Summer, S1'!H3*Main!$B$5)</f>
        <v>-8.9486460495976683</v>
      </c>
      <c r="I3" s="2">
        <f>('[1]Qc, Summer, S1'!I3*Main!$B$5)</f>
        <v>1.8548972796446861</v>
      </c>
      <c r="J3" s="2">
        <f>('[1]Qc, Summer, S1'!J3*Main!$B$5)</f>
        <v>5.8904688617446865</v>
      </c>
      <c r="K3" s="2">
        <f>('[1]Qc, Summer, S1'!K3*Main!$B$5)</f>
        <v>5.8904688617446865</v>
      </c>
      <c r="L3" s="2">
        <f>('[1]Qc, Summer, S1'!L3*Main!$B$5)</f>
        <v>5.3860139509148075</v>
      </c>
      <c r="M3" s="2">
        <f>('[1]Qc, Summer, S1'!M3*Main!$B$5)</f>
        <v>7.5719340592799096</v>
      </c>
      <c r="N3" s="2">
        <f>('[1]Qc, Summer, S1'!N3*Main!$B$5)</f>
        <v>10.262309078474892</v>
      </c>
      <c r="O3" s="2">
        <f>('[1]Qc, Summer, S1'!O3*Main!$B$5)</f>
        <v>10.577599069374461</v>
      </c>
      <c r="P3" s="2">
        <f>('[1]Qc, Summer, S1'!P3*Main!$B$5)</f>
        <v>5.9325030135620267</v>
      </c>
      <c r="Q3" s="2">
        <f>('[1]Qc, Summer, S1'!Q3*Main!$B$5)</f>
        <v>4.6293451113765283</v>
      </c>
      <c r="R3" s="2">
        <f>('[1]Qc, Summer, S1'!R3*Main!$B$5)</f>
        <v>-0.75140497435099229</v>
      </c>
      <c r="S3" s="2">
        <f>('[1]Qc, Summer, S1'!S3*Main!$B$5)</f>
        <v>-0.75140497435099229</v>
      </c>
      <c r="T3" s="2">
        <f>('[1]Qc, Summer, S1'!T3*Main!$B$5)</f>
        <v>-0.75140497435099229</v>
      </c>
      <c r="U3" s="2">
        <f>('[1]Qc, Summer, S1'!U3*Main!$B$5)</f>
        <v>-0.75140497435099229</v>
      </c>
      <c r="V3" s="2">
        <f>('[1]Qc, Summer, S1'!V3*Main!$B$5)</f>
        <v>-4.7869810653531735</v>
      </c>
      <c r="W3" s="2">
        <f>('[1]Qc, Summer, S1'!W3*Main!$B$5)</f>
        <v>-6.1321730956872331</v>
      </c>
      <c r="X3" s="2">
        <f>('[1]Qc, Summer, S1'!X3*Main!$B$5)</f>
        <v>-17.1458691129044</v>
      </c>
      <c r="Y3" s="2">
        <f>('[1]Qc, Summer, S1'!Y3*Main!$B$5)</f>
        <v>-17.1458691129044</v>
      </c>
    </row>
    <row r="4" spans="1:25" x14ac:dyDescent="0.3">
      <c r="A4">
        <v>3</v>
      </c>
      <c r="B4" s="2">
        <f>('[1]Qc, Summer, S1'!B4*Main!$B$5)</f>
        <v>13.704872455281322</v>
      </c>
      <c r="C4" s="2">
        <f>('[1]Qc, Summer, S1'!C4*Main!$B$5)</f>
        <v>10.500587985877095</v>
      </c>
      <c r="D4" s="2">
        <f>('[1]Qc, Summer, S1'!D4*Main!$B$5)</f>
        <v>9.9508799810853183</v>
      </c>
      <c r="E4" s="2">
        <f>('[1]Qc, Summer, S1'!E4*Main!$B$5)</f>
        <v>8.6908390174932961</v>
      </c>
      <c r="F4" s="2">
        <f>('[1]Qc, Summer, S1'!F4*Main!$B$5)</f>
        <v>10.004875761364389</v>
      </c>
      <c r="G4" s="2">
        <f>('[1]Qc, Summer, S1'!G4*Main!$B$5)</f>
        <v>4.6434179079602487</v>
      </c>
      <c r="H4" s="2">
        <f>('[1]Qc, Summer, S1'!H4*Main!$B$5)</f>
        <v>8.1016798074786553</v>
      </c>
      <c r="I4" s="2">
        <f>('[1]Qc, Summer, S1'!I4*Main!$B$5)</f>
        <v>15.568334982928342</v>
      </c>
      <c r="J4" s="2">
        <f>('[1]Qc, Summer, S1'!J4*Main!$B$5)</f>
        <v>22.647174904832582</v>
      </c>
      <c r="K4" s="2">
        <f>('[1]Qc, Summer, S1'!K4*Main!$B$5)</f>
        <v>26.911142767547624</v>
      </c>
      <c r="L4" s="2">
        <f>('[1]Qc, Summer, S1'!L4*Main!$B$5)</f>
        <v>29.378684351134901</v>
      </c>
      <c r="M4" s="2">
        <f>('[1]Qc, Summer, S1'!M4*Main!$B$5)</f>
        <v>30.451267759774126</v>
      </c>
      <c r="N4" s="2">
        <f>('[1]Qc, Summer, S1'!N4*Main!$B$5)</f>
        <v>31.820051507317647</v>
      </c>
      <c r="O4" s="2">
        <f>('[1]Qc, Summer, S1'!O4*Main!$B$5)</f>
        <v>32.06079987543086</v>
      </c>
      <c r="P4" s="2">
        <f>('[1]Qc, Summer, S1'!P4*Main!$B$5)</f>
        <v>31.833232965773789</v>
      </c>
      <c r="Q4" s="2">
        <f>('[1]Qc, Summer, S1'!Q4*Main!$B$5)</f>
        <v>30.773550197981251</v>
      </c>
      <c r="R4" s="2">
        <f>('[1]Qc, Summer, S1'!R4*Main!$B$5)</f>
        <v>29.285942308693233</v>
      </c>
      <c r="S4" s="2">
        <f>('[1]Qc, Summer, S1'!S4*Main!$B$5)</f>
        <v>25.987976284432861</v>
      </c>
      <c r="T4" s="2">
        <f>('[1]Qc, Summer, S1'!T4*Main!$B$5)</f>
        <v>25.867742240528901</v>
      </c>
      <c r="U4" s="2">
        <f>('[1]Qc, Summer, S1'!U4*Main!$B$5)</f>
        <v>24.608031334062062</v>
      </c>
      <c r="V4" s="2">
        <f>('[1]Qc, Summer, S1'!V4*Main!$B$5)</f>
        <v>22.181632397218426</v>
      </c>
      <c r="W4" s="2">
        <f>('[1]Qc, Summer, S1'!W4*Main!$B$5)</f>
        <v>26.591445379857515</v>
      </c>
      <c r="X4" s="2">
        <f>('[1]Qc, Summer, S1'!X4*Main!$B$5)</f>
        <v>23.826902962378988</v>
      </c>
      <c r="Y4" s="2">
        <f>('[1]Qc, Summer, S1'!Y4*Main!$B$5)</f>
        <v>19.174932222712993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-13.951549620191676</v>
      </c>
      <c r="C2" s="2">
        <f ca="1">('[1]Qc, Summer, S2'!C2*Main!$B$5)</f>
        <v>-18.138727622172755</v>
      </c>
      <c r="D2" s="2">
        <f ca="1">('[1]Qc, Summer, S2'!D2*Main!$B$5)</f>
        <v>-19.992378347765797</v>
      </c>
      <c r="E2" s="2">
        <f ca="1">('[1]Qc, Summer, S2'!E2*Main!$B$5)</f>
        <v>-18.244092656755047</v>
      </c>
      <c r="F2" s="2">
        <f ca="1">('[1]Qc, Summer, S2'!F2*Main!$B$5)</f>
        <v>-19.555212755998085</v>
      </c>
      <c r="G2" s="2">
        <f ca="1">('[1]Qc, Summer, S2'!G2*Main!$B$5)</f>
        <v>-20.005939122268856</v>
      </c>
      <c r="H2" s="2">
        <f ca="1">('[1]Qc, Summer, S2'!H2*Main!$B$5)</f>
        <v>-17.338953082688874</v>
      </c>
      <c r="I2" s="2">
        <f ca="1">('[1]Qc, Summer, S2'!I2*Main!$B$5)</f>
        <v>-2.6975515496076503</v>
      </c>
      <c r="J2" s="2">
        <f ca="1">('[1]Qc, Summer, S2'!J2*Main!$B$5)</f>
        <v>8.6589419784499881</v>
      </c>
      <c r="K2" s="2">
        <f ca="1">('[1]Qc, Summer, S2'!K2*Main!$B$5)</f>
        <v>12.60573642028371</v>
      </c>
      <c r="L2" s="2">
        <f ca="1">('[1]Qc, Summer, S2'!L2*Main!$B$5)</f>
        <v>9.909235806529118</v>
      </c>
      <c r="M2" s="2">
        <f ca="1">('[1]Qc, Summer, S2'!M2*Main!$B$5)</f>
        <v>13.199374170616345</v>
      </c>
      <c r="N2" s="2">
        <f ca="1">('[1]Qc, Summer, S2'!N2*Main!$B$5)</f>
        <v>11.713386975765806</v>
      </c>
      <c r="O2" s="2">
        <f ca="1">('[1]Qc, Summer, S2'!O2*Main!$B$5)</f>
        <v>12.066062832014904</v>
      </c>
      <c r="P2" s="2">
        <f ca="1">('[1]Qc, Summer, S2'!P2*Main!$B$5)</f>
        <v>6.2256456103867572</v>
      </c>
      <c r="Q2" s="2">
        <f ca="1">('[1]Qc, Summer, S2'!Q2*Main!$B$5)</f>
        <v>1.5739185719002717</v>
      </c>
      <c r="R2" s="2">
        <f ca="1">('[1]Qc, Summer, S2'!R2*Main!$B$5)</f>
        <v>3.5013416781957383</v>
      </c>
      <c r="S2" s="2">
        <f ca="1">('[1]Qc, Summer, S2'!S2*Main!$B$5)</f>
        <v>4.252919548953872</v>
      </c>
      <c r="T2" s="2">
        <f ca="1">('[1]Qc, Summer, S2'!T2*Main!$B$5)</f>
        <v>2.562223865822796</v>
      </c>
      <c r="U2" s="2">
        <f ca="1">('[1]Qc, Summer, S2'!U2*Main!$B$5)</f>
        <v>-0.47797381078728124</v>
      </c>
      <c r="V2" s="2">
        <f ca="1">('[1]Qc, Summer, S2'!V2*Main!$B$5)</f>
        <v>-1.8659329785976599</v>
      </c>
      <c r="W2" s="2">
        <f ca="1">('[1]Qc, Summer, S2'!W2*Main!$B$5)</f>
        <v>-1.2981779167625715</v>
      </c>
      <c r="X2" s="2">
        <f ca="1">('[1]Qc, Summer, S2'!X2*Main!$B$5)</f>
        <v>-6.2257271829611662</v>
      </c>
      <c r="Y2" s="2">
        <f ca="1">('[1]Qc, Summer, S2'!Y2*Main!$B$5)</f>
        <v>-8.4270286461950334</v>
      </c>
    </row>
    <row r="3" spans="1:25" x14ac:dyDescent="0.3">
      <c r="A3">
        <v>2</v>
      </c>
      <c r="B3" s="2">
        <f ca="1">('[1]Qc, Summer, S2'!B3*Main!$B$5)</f>
        <v>-17.656841805860441</v>
      </c>
      <c r="C3" s="2">
        <f ca="1">('[1]Qc, Summer, S2'!C3*Main!$B$5)</f>
        <v>-17.656841805860441</v>
      </c>
      <c r="D3" s="2">
        <f ca="1">('[1]Qc, Summer, S2'!D3*Main!$B$5)</f>
        <v>-20.498552057587052</v>
      </c>
      <c r="E3" s="2">
        <f ca="1">('[1]Qc, Summer, S2'!E3*Main!$B$5)</f>
        <v>-23.340262309313662</v>
      </c>
      <c r="F3" s="2">
        <f ca="1">('[1]Qc, Summer, S2'!F3*Main!$B$5)</f>
        <v>-23.340262309313662</v>
      </c>
      <c r="G3" s="2">
        <f ca="1">('[1]Qc, Summer, S2'!G3*Main!$B$5)</f>
        <v>-23.340262309313662</v>
      </c>
      <c r="H3" s="2">
        <f ca="1">('[1]Qc, Summer, S2'!H3*Main!$B$5)</f>
        <v>-9.306591891581574</v>
      </c>
      <c r="I3" s="2">
        <f ca="1">('[1]Qc, Summer, S2'!I3*Main!$B$5)</f>
        <v>1.9290931708304735</v>
      </c>
      <c r="J3" s="2">
        <f ca="1">('[1]Qc, Summer, S2'!J3*Main!$B$5)</f>
        <v>6.1260876162144742</v>
      </c>
      <c r="K3" s="2">
        <f ca="1">('[1]Qc, Summer, S2'!K3*Main!$B$5)</f>
        <v>6.1260876162144742</v>
      </c>
      <c r="L3" s="2">
        <f ca="1">('[1]Qc, Summer, S2'!L3*Main!$B$5)</f>
        <v>5.6014545089514005</v>
      </c>
      <c r="M3" s="2">
        <f ca="1">('[1]Qc, Summer, S2'!M3*Main!$B$5)</f>
        <v>7.8748114216511054</v>
      </c>
      <c r="N3" s="2">
        <f ca="1">('[1]Qc, Summer, S2'!N3*Main!$B$5)</f>
        <v>10.672801441613888</v>
      </c>
      <c r="O3" s="2">
        <f ca="1">('[1]Qc, Summer, S2'!O3*Main!$B$5)</f>
        <v>11.000703032149437</v>
      </c>
      <c r="P3" s="2">
        <f ca="1">('[1]Qc, Summer, S2'!P3*Main!$B$5)</f>
        <v>6.1698031341045088</v>
      </c>
      <c r="Q3" s="2">
        <f ca="1">('[1]Qc, Summer, S2'!Q3*Main!$B$5)</f>
        <v>4.8145189158315898</v>
      </c>
      <c r="R3" s="2">
        <f ca="1">('[1]Qc, Summer, S2'!R3*Main!$B$5)</f>
        <v>-0.78146117332503195</v>
      </c>
      <c r="S3" s="2">
        <f ca="1">('[1]Qc, Summer, S2'!S3*Main!$B$5)</f>
        <v>-0.78146117332503195</v>
      </c>
      <c r="T3" s="2">
        <f ca="1">('[1]Qc, Summer, S2'!T3*Main!$B$5)</f>
        <v>-0.78146117332503195</v>
      </c>
      <c r="U3" s="2">
        <f ca="1">('[1]Qc, Summer, S2'!U3*Main!$B$5)</f>
        <v>-0.78146117332503195</v>
      </c>
      <c r="V3" s="2">
        <f ca="1">('[1]Qc, Summer, S2'!V3*Main!$B$5)</f>
        <v>-4.9784603079673015</v>
      </c>
      <c r="W3" s="2">
        <f ca="1">('[1]Qc, Summer, S2'!W3*Main!$B$5)</f>
        <v>-6.3774600195147242</v>
      </c>
      <c r="X3" s="2">
        <f ca="1">('[1]Qc, Summer, S2'!X3*Main!$B$5)</f>
        <v>-17.83170387742058</v>
      </c>
      <c r="Y3" s="2">
        <f ca="1">('[1]Qc, Summer, S2'!Y3*Main!$B$5)</f>
        <v>-17.83170387742058</v>
      </c>
    </row>
    <row r="4" spans="1:25" x14ac:dyDescent="0.3">
      <c r="A4">
        <v>3</v>
      </c>
      <c r="B4" s="2">
        <f ca="1">('[1]Qc, Summer, S2'!B4*Main!$B$5)</f>
        <v>14.253067353492574</v>
      </c>
      <c r="C4" s="2">
        <f ca="1">('[1]Qc, Summer, S2'!C4*Main!$B$5)</f>
        <v>10.920611505312179</v>
      </c>
      <c r="D4" s="2">
        <f ca="1">('[1]Qc, Summer, S2'!D4*Main!$B$5)</f>
        <v>10.34891518032873</v>
      </c>
      <c r="E4" s="2">
        <f ca="1">('[1]Qc, Summer, S2'!E4*Main!$B$5)</f>
        <v>9.0384725781930282</v>
      </c>
      <c r="F4" s="2">
        <f ca="1">('[1]Qc, Summer, S2'!F4*Main!$B$5)</f>
        <v>10.405070791818966</v>
      </c>
      <c r="G4" s="2">
        <f ca="1">('[1]Qc, Summer, S2'!G4*Main!$B$5)</f>
        <v>4.8291546242786598</v>
      </c>
      <c r="H4" s="2">
        <f ca="1">('[1]Qc, Summer, S2'!H4*Main!$B$5)</f>
        <v>8.4257469997778003</v>
      </c>
      <c r="I4" s="2">
        <f ca="1">('[1]Qc, Summer, S2'!I4*Main!$B$5)</f>
        <v>16.191068382245476</v>
      </c>
      <c r="J4" s="2">
        <f ca="1">('[1]Qc, Summer, S2'!J4*Main!$B$5)</f>
        <v>23.553061901025888</v>
      </c>
      <c r="K4" s="2">
        <f ca="1">('[1]Qc, Summer, S2'!K4*Main!$B$5)</f>
        <v>27.987588478249528</v>
      </c>
      <c r="L4" s="2">
        <f ca="1">('[1]Qc, Summer, S2'!L4*Main!$B$5)</f>
        <v>30.553831725180299</v>
      </c>
      <c r="M4" s="2">
        <f ca="1">('[1]Qc, Summer, S2'!M4*Main!$B$5)</f>
        <v>31.669318470165091</v>
      </c>
      <c r="N4" s="2">
        <f ca="1">('[1]Qc, Summer, S2'!N4*Main!$B$5)</f>
        <v>33.092853567610355</v>
      </c>
      <c r="O4" s="2">
        <f ca="1">('[1]Qc, Summer, S2'!O4*Main!$B$5)</f>
        <v>33.343231870448093</v>
      </c>
      <c r="P4" s="2">
        <f ca="1">('[1]Qc, Summer, S2'!P4*Main!$B$5)</f>
        <v>33.106562284404745</v>
      </c>
      <c r="Q4" s="2">
        <f ca="1">('[1]Qc, Summer, S2'!Q4*Main!$B$5)</f>
        <v>32.004492205900505</v>
      </c>
      <c r="R4" s="2">
        <f ca="1">('[1]Qc, Summer, S2'!R4*Main!$B$5)</f>
        <v>30.457380001040963</v>
      </c>
      <c r="S4" s="2">
        <f ca="1">('[1]Qc, Summer, S2'!S4*Main!$B$5)</f>
        <v>27.02749533581018</v>
      </c>
      <c r="T4" s="2">
        <f ca="1">('[1]Qc, Summer, S2'!T4*Main!$B$5)</f>
        <v>26.902451930150061</v>
      </c>
      <c r="U4" s="2">
        <f ca="1">('[1]Qc, Summer, S2'!U4*Main!$B$5)</f>
        <v>25.592352587424546</v>
      </c>
      <c r="V4" s="2">
        <f ca="1">('[1]Qc, Summer, S2'!V4*Main!$B$5)</f>
        <v>23.068897693107161</v>
      </c>
      <c r="W4" s="2">
        <f ca="1">('[1]Qc, Summer, S2'!W4*Main!$B$5)</f>
        <v>27.655103195051819</v>
      </c>
      <c r="X4" s="2">
        <f ca="1">('[1]Qc, Summer, S2'!X4*Main!$B$5)</f>
        <v>24.779979080874149</v>
      </c>
      <c r="Y4" s="2">
        <f ca="1">('[1]Qc, Summer, S2'!Y4*Main!$B$5)</f>
        <v>19.941929511621513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-13.951549620191676</v>
      </c>
      <c r="C2" s="2">
        <f ca="1">('[1]Qc, Summer, S2'!C2*Main!$B$5)</f>
        <v>-18.138727622172755</v>
      </c>
      <c r="D2" s="2">
        <f ca="1">('[1]Qc, Summer, S2'!D2*Main!$B$5)</f>
        <v>-19.992378347765797</v>
      </c>
      <c r="E2" s="2">
        <f ca="1">('[1]Qc, Summer, S2'!E2*Main!$B$5)</f>
        <v>-18.244092656755047</v>
      </c>
      <c r="F2" s="2">
        <f ca="1">('[1]Qc, Summer, S2'!F2*Main!$B$5)</f>
        <v>-19.555212755998085</v>
      </c>
      <c r="G2" s="2">
        <f ca="1">('[1]Qc, Summer, S2'!G2*Main!$B$5)</f>
        <v>-20.005939122268856</v>
      </c>
      <c r="H2" s="2">
        <f ca="1">('[1]Qc, Summer, S2'!H2*Main!$B$5)</f>
        <v>-17.338953082688874</v>
      </c>
      <c r="I2" s="2">
        <f ca="1">('[1]Qc, Summer, S2'!I2*Main!$B$5)</f>
        <v>-2.6975515496076503</v>
      </c>
      <c r="J2" s="2">
        <f ca="1">('[1]Qc, Summer, S2'!J2*Main!$B$5)</f>
        <v>8.6589419784499881</v>
      </c>
      <c r="K2" s="2">
        <f ca="1">('[1]Qc, Summer, S2'!K2*Main!$B$5)</f>
        <v>12.60573642028371</v>
      </c>
      <c r="L2" s="2">
        <f ca="1">('[1]Qc, Summer, S2'!L2*Main!$B$5)</f>
        <v>9.909235806529118</v>
      </c>
      <c r="M2" s="2">
        <f ca="1">('[1]Qc, Summer, S2'!M2*Main!$B$5)</f>
        <v>13.199374170616345</v>
      </c>
      <c r="N2" s="2">
        <f ca="1">('[1]Qc, Summer, S2'!N2*Main!$B$5)</f>
        <v>11.713386975765806</v>
      </c>
      <c r="O2" s="2">
        <f ca="1">('[1]Qc, Summer, S2'!O2*Main!$B$5)</f>
        <v>12.066062832014904</v>
      </c>
      <c r="P2" s="2">
        <f ca="1">('[1]Qc, Summer, S2'!P2*Main!$B$5)</f>
        <v>6.2256456103867572</v>
      </c>
      <c r="Q2" s="2">
        <f ca="1">('[1]Qc, Summer, S2'!Q2*Main!$B$5)</f>
        <v>1.5739185719002717</v>
      </c>
      <c r="R2" s="2">
        <f ca="1">('[1]Qc, Summer, S2'!R2*Main!$B$5)</f>
        <v>3.5013416781957383</v>
      </c>
      <c r="S2" s="2">
        <f ca="1">('[1]Qc, Summer, S2'!S2*Main!$B$5)</f>
        <v>4.252919548953872</v>
      </c>
      <c r="T2" s="2">
        <f ca="1">('[1]Qc, Summer, S2'!T2*Main!$B$5)</f>
        <v>2.562223865822796</v>
      </c>
      <c r="U2" s="2">
        <f ca="1">('[1]Qc, Summer, S2'!U2*Main!$B$5)</f>
        <v>-0.47797381078728124</v>
      </c>
      <c r="V2" s="2">
        <f ca="1">('[1]Qc, Summer, S2'!V2*Main!$B$5)</f>
        <v>-1.8659329785976599</v>
      </c>
      <c r="W2" s="2">
        <f ca="1">('[1]Qc, Summer, S2'!W2*Main!$B$5)</f>
        <v>-1.2981779167625715</v>
      </c>
      <c r="X2" s="2">
        <f ca="1">('[1]Qc, Summer, S2'!X2*Main!$B$5)</f>
        <v>-6.2257271829611662</v>
      </c>
      <c r="Y2" s="2">
        <f ca="1">('[1]Qc, Summer, S2'!Y2*Main!$B$5)</f>
        <v>-8.4270286461950334</v>
      </c>
    </row>
    <row r="3" spans="1:25" x14ac:dyDescent="0.3">
      <c r="A3">
        <v>2</v>
      </c>
      <c r="B3" s="2">
        <f ca="1">('[1]Qc, Summer, S2'!B3*Main!$B$5)</f>
        <v>-17.656841805860441</v>
      </c>
      <c r="C3" s="2">
        <f ca="1">('[1]Qc, Summer, S2'!C3*Main!$B$5)</f>
        <v>-17.656841805860441</v>
      </c>
      <c r="D3" s="2">
        <f ca="1">('[1]Qc, Summer, S2'!D3*Main!$B$5)</f>
        <v>-20.498552057587052</v>
      </c>
      <c r="E3" s="2">
        <f ca="1">('[1]Qc, Summer, S2'!E3*Main!$B$5)</f>
        <v>-23.340262309313662</v>
      </c>
      <c r="F3" s="2">
        <f ca="1">('[1]Qc, Summer, S2'!F3*Main!$B$5)</f>
        <v>-23.340262309313662</v>
      </c>
      <c r="G3" s="2">
        <f ca="1">('[1]Qc, Summer, S2'!G3*Main!$B$5)</f>
        <v>-23.340262309313662</v>
      </c>
      <c r="H3" s="2">
        <f ca="1">('[1]Qc, Summer, S2'!H3*Main!$B$5)</f>
        <v>-9.306591891581574</v>
      </c>
      <c r="I3" s="2">
        <f ca="1">('[1]Qc, Summer, S2'!I3*Main!$B$5)</f>
        <v>1.9290931708304735</v>
      </c>
      <c r="J3" s="2">
        <f ca="1">('[1]Qc, Summer, S2'!J3*Main!$B$5)</f>
        <v>6.1260876162144742</v>
      </c>
      <c r="K3" s="2">
        <f ca="1">('[1]Qc, Summer, S2'!K3*Main!$B$5)</f>
        <v>6.1260876162144742</v>
      </c>
      <c r="L3" s="2">
        <f ca="1">('[1]Qc, Summer, S2'!L3*Main!$B$5)</f>
        <v>5.6014545089514005</v>
      </c>
      <c r="M3" s="2">
        <f ca="1">('[1]Qc, Summer, S2'!M3*Main!$B$5)</f>
        <v>7.8748114216511054</v>
      </c>
      <c r="N3" s="2">
        <f ca="1">('[1]Qc, Summer, S2'!N3*Main!$B$5)</f>
        <v>10.672801441613888</v>
      </c>
      <c r="O3" s="2">
        <f ca="1">('[1]Qc, Summer, S2'!O3*Main!$B$5)</f>
        <v>11.000703032149437</v>
      </c>
      <c r="P3" s="2">
        <f ca="1">('[1]Qc, Summer, S2'!P3*Main!$B$5)</f>
        <v>6.1698031341045088</v>
      </c>
      <c r="Q3" s="2">
        <f ca="1">('[1]Qc, Summer, S2'!Q3*Main!$B$5)</f>
        <v>4.8145189158315898</v>
      </c>
      <c r="R3" s="2">
        <f ca="1">('[1]Qc, Summer, S2'!R3*Main!$B$5)</f>
        <v>-0.78146117332503195</v>
      </c>
      <c r="S3" s="2">
        <f ca="1">('[1]Qc, Summer, S2'!S3*Main!$B$5)</f>
        <v>-0.78146117332503195</v>
      </c>
      <c r="T3" s="2">
        <f ca="1">('[1]Qc, Summer, S2'!T3*Main!$B$5)</f>
        <v>-0.78146117332503195</v>
      </c>
      <c r="U3" s="2">
        <f ca="1">('[1]Qc, Summer, S2'!U3*Main!$B$5)</f>
        <v>-0.78146117332503195</v>
      </c>
      <c r="V3" s="2">
        <f ca="1">('[1]Qc, Summer, S2'!V3*Main!$B$5)</f>
        <v>-4.9784603079673015</v>
      </c>
      <c r="W3" s="2">
        <f ca="1">('[1]Qc, Summer, S2'!W3*Main!$B$5)</f>
        <v>-6.3774600195147242</v>
      </c>
      <c r="X3" s="2">
        <f ca="1">('[1]Qc, Summer, S2'!X3*Main!$B$5)</f>
        <v>-17.83170387742058</v>
      </c>
      <c r="Y3" s="2">
        <f ca="1">('[1]Qc, Summer, S2'!Y3*Main!$B$5)</f>
        <v>-17.83170387742058</v>
      </c>
    </row>
    <row r="4" spans="1:25" x14ac:dyDescent="0.3">
      <c r="A4">
        <v>3</v>
      </c>
      <c r="B4" s="2">
        <f ca="1">('[1]Qc, Summer, S2'!B4*Main!$B$5)</f>
        <v>14.253067353492574</v>
      </c>
      <c r="C4" s="2">
        <f ca="1">('[1]Qc, Summer, S2'!C4*Main!$B$5)</f>
        <v>10.920611505312179</v>
      </c>
      <c r="D4" s="2">
        <f ca="1">('[1]Qc, Summer, S2'!D4*Main!$B$5)</f>
        <v>10.34891518032873</v>
      </c>
      <c r="E4" s="2">
        <f ca="1">('[1]Qc, Summer, S2'!E4*Main!$B$5)</f>
        <v>9.0384725781930282</v>
      </c>
      <c r="F4" s="2">
        <f ca="1">('[1]Qc, Summer, S2'!F4*Main!$B$5)</f>
        <v>10.405070791818966</v>
      </c>
      <c r="G4" s="2">
        <f ca="1">('[1]Qc, Summer, S2'!G4*Main!$B$5)</f>
        <v>4.8291546242786598</v>
      </c>
      <c r="H4" s="2">
        <f ca="1">('[1]Qc, Summer, S2'!H4*Main!$B$5)</f>
        <v>8.4257469997778003</v>
      </c>
      <c r="I4" s="2">
        <f ca="1">('[1]Qc, Summer, S2'!I4*Main!$B$5)</f>
        <v>16.191068382245476</v>
      </c>
      <c r="J4" s="2">
        <f ca="1">('[1]Qc, Summer, S2'!J4*Main!$B$5)</f>
        <v>23.553061901025888</v>
      </c>
      <c r="K4" s="2">
        <f ca="1">('[1]Qc, Summer, S2'!K4*Main!$B$5)</f>
        <v>27.987588478249528</v>
      </c>
      <c r="L4" s="2">
        <f ca="1">('[1]Qc, Summer, S2'!L4*Main!$B$5)</f>
        <v>30.553831725180299</v>
      </c>
      <c r="M4" s="2">
        <f ca="1">('[1]Qc, Summer, S2'!M4*Main!$B$5)</f>
        <v>31.669318470165091</v>
      </c>
      <c r="N4" s="2">
        <f ca="1">('[1]Qc, Summer, S2'!N4*Main!$B$5)</f>
        <v>33.092853567610355</v>
      </c>
      <c r="O4" s="2">
        <f ca="1">('[1]Qc, Summer, S2'!O4*Main!$B$5)</f>
        <v>33.343231870448093</v>
      </c>
      <c r="P4" s="2">
        <f ca="1">('[1]Qc, Summer, S2'!P4*Main!$B$5)</f>
        <v>33.106562284404745</v>
      </c>
      <c r="Q4" s="2">
        <f ca="1">('[1]Qc, Summer, S2'!Q4*Main!$B$5)</f>
        <v>32.004492205900505</v>
      </c>
      <c r="R4" s="2">
        <f ca="1">('[1]Qc, Summer, S2'!R4*Main!$B$5)</f>
        <v>30.457380001040963</v>
      </c>
      <c r="S4" s="2">
        <f ca="1">('[1]Qc, Summer, S2'!S4*Main!$B$5)</f>
        <v>27.02749533581018</v>
      </c>
      <c r="T4" s="2">
        <f ca="1">('[1]Qc, Summer, S2'!T4*Main!$B$5)</f>
        <v>26.902451930150061</v>
      </c>
      <c r="U4" s="2">
        <f ca="1">('[1]Qc, Summer, S2'!U4*Main!$B$5)</f>
        <v>25.592352587424546</v>
      </c>
      <c r="V4" s="2">
        <f ca="1">('[1]Qc, Summer, S2'!V4*Main!$B$5)</f>
        <v>23.068897693107161</v>
      </c>
      <c r="W4" s="2">
        <f ca="1">('[1]Qc, Summer, S2'!W4*Main!$B$5)</f>
        <v>27.655103195051819</v>
      </c>
      <c r="X4" s="2">
        <f ca="1">('[1]Qc, Summer, S2'!X4*Main!$B$5)</f>
        <v>24.779979080874149</v>
      </c>
      <c r="Y4" s="2">
        <f ca="1">('[1]Qc, Summer, S2'!Y4*Main!$B$5)</f>
        <v>19.941929511621513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-13.951549620191676</v>
      </c>
      <c r="C2" s="2">
        <f ca="1">('[1]Qc, Summer, S2'!C2*Main!$B$5)</f>
        <v>-18.138727622172755</v>
      </c>
      <c r="D2" s="2">
        <f ca="1">('[1]Qc, Summer, S2'!D2*Main!$B$5)</f>
        <v>-19.992378347765797</v>
      </c>
      <c r="E2" s="2">
        <f ca="1">('[1]Qc, Summer, S2'!E2*Main!$B$5)</f>
        <v>-18.244092656755047</v>
      </c>
      <c r="F2" s="2">
        <f ca="1">('[1]Qc, Summer, S2'!F2*Main!$B$5)</f>
        <v>-19.555212755998085</v>
      </c>
      <c r="G2" s="2">
        <f ca="1">('[1]Qc, Summer, S2'!G2*Main!$B$5)</f>
        <v>-20.005939122268856</v>
      </c>
      <c r="H2" s="2">
        <f ca="1">('[1]Qc, Summer, S2'!H2*Main!$B$5)</f>
        <v>-17.338953082688874</v>
      </c>
      <c r="I2" s="2">
        <f ca="1">('[1]Qc, Summer, S2'!I2*Main!$B$5)</f>
        <v>-2.6975515496076503</v>
      </c>
      <c r="J2" s="2">
        <f ca="1">('[1]Qc, Summer, S2'!J2*Main!$B$5)</f>
        <v>8.6589419784499881</v>
      </c>
      <c r="K2" s="2">
        <f ca="1">('[1]Qc, Summer, S2'!K2*Main!$B$5)</f>
        <v>12.60573642028371</v>
      </c>
      <c r="L2" s="2">
        <f ca="1">('[1]Qc, Summer, S2'!L2*Main!$B$5)</f>
        <v>9.909235806529118</v>
      </c>
      <c r="M2" s="2">
        <f ca="1">('[1]Qc, Summer, S2'!M2*Main!$B$5)</f>
        <v>13.199374170616345</v>
      </c>
      <c r="N2" s="2">
        <f ca="1">('[1]Qc, Summer, S2'!N2*Main!$B$5)</f>
        <v>11.713386975765806</v>
      </c>
      <c r="O2" s="2">
        <f ca="1">('[1]Qc, Summer, S2'!O2*Main!$B$5)</f>
        <v>12.066062832014904</v>
      </c>
      <c r="P2" s="2">
        <f ca="1">('[1]Qc, Summer, S2'!P2*Main!$B$5)</f>
        <v>6.2256456103867572</v>
      </c>
      <c r="Q2" s="2">
        <f ca="1">('[1]Qc, Summer, S2'!Q2*Main!$B$5)</f>
        <v>1.5739185719002717</v>
      </c>
      <c r="R2" s="2">
        <f ca="1">('[1]Qc, Summer, S2'!R2*Main!$B$5)</f>
        <v>3.5013416781957383</v>
      </c>
      <c r="S2" s="2">
        <f ca="1">('[1]Qc, Summer, S2'!S2*Main!$B$5)</f>
        <v>4.252919548953872</v>
      </c>
      <c r="T2" s="2">
        <f ca="1">('[1]Qc, Summer, S2'!T2*Main!$B$5)</f>
        <v>2.562223865822796</v>
      </c>
      <c r="U2" s="2">
        <f ca="1">('[1]Qc, Summer, S2'!U2*Main!$B$5)</f>
        <v>-0.47797381078728124</v>
      </c>
      <c r="V2" s="2">
        <f ca="1">('[1]Qc, Summer, S2'!V2*Main!$B$5)</f>
        <v>-1.8659329785976599</v>
      </c>
      <c r="W2" s="2">
        <f ca="1">('[1]Qc, Summer, S2'!W2*Main!$B$5)</f>
        <v>-1.2981779167625715</v>
      </c>
      <c r="X2" s="2">
        <f ca="1">('[1]Qc, Summer, S2'!X2*Main!$B$5)</f>
        <v>-6.2257271829611662</v>
      </c>
      <c r="Y2" s="2">
        <f ca="1">('[1]Qc, Summer, S2'!Y2*Main!$B$5)</f>
        <v>-8.4270286461950334</v>
      </c>
    </row>
    <row r="3" spans="1:25" x14ac:dyDescent="0.3">
      <c r="A3">
        <v>2</v>
      </c>
      <c r="B3" s="2">
        <f ca="1">('[1]Qc, Summer, S2'!B3*Main!$B$5)</f>
        <v>-17.656841805860441</v>
      </c>
      <c r="C3" s="2">
        <f ca="1">('[1]Qc, Summer, S2'!C3*Main!$B$5)</f>
        <v>-17.656841805860441</v>
      </c>
      <c r="D3" s="2">
        <f ca="1">('[1]Qc, Summer, S2'!D3*Main!$B$5)</f>
        <v>-20.498552057587052</v>
      </c>
      <c r="E3" s="2">
        <f ca="1">('[1]Qc, Summer, S2'!E3*Main!$B$5)</f>
        <v>-23.340262309313662</v>
      </c>
      <c r="F3" s="2">
        <f ca="1">('[1]Qc, Summer, S2'!F3*Main!$B$5)</f>
        <v>-23.340262309313662</v>
      </c>
      <c r="G3" s="2">
        <f ca="1">('[1]Qc, Summer, S2'!G3*Main!$B$5)</f>
        <v>-23.340262309313662</v>
      </c>
      <c r="H3" s="2">
        <f ca="1">('[1]Qc, Summer, S2'!H3*Main!$B$5)</f>
        <v>-9.306591891581574</v>
      </c>
      <c r="I3" s="2">
        <f ca="1">('[1]Qc, Summer, S2'!I3*Main!$B$5)</f>
        <v>1.9290931708304735</v>
      </c>
      <c r="J3" s="2">
        <f ca="1">('[1]Qc, Summer, S2'!J3*Main!$B$5)</f>
        <v>6.1260876162144742</v>
      </c>
      <c r="K3" s="2">
        <f ca="1">('[1]Qc, Summer, S2'!K3*Main!$B$5)</f>
        <v>6.1260876162144742</v>
      </c>
      <c r="L3" s="2">
        <f ca="1">('[1]Qc, Summer, S2'!L3*Main!$B$5)</f>
        <v>5.6014545089514005</v>
      </c>
      <c r="M3" s="2">
        <f ca="1">('[1]Qc, Summer, S2'!M3*Main!$B$5)</f>
        <v>7.8748114216511054</v>
      </c>
      <c r="N3" s="2">
        <f ca="1">('[1]Qc, Summer, S2'!N3*Main!$B$5)</f>
        <v>10.672801441613888</v>
      </c>
      <c r="O3" s="2">
        <f ca="1">('[1]Qc, Summer, S2'!O3*Main!$B$5)</f>
        <v>11.000703032149437</v>
      </c>
      <c r="P3" s="2">
        <f ca="1">('[1]Qc, Summer, S2'!P3*Main!$B$5)</f>
        <v>6.1698031341045088</v>
      </c>
      <c r="Q3" s="2">
        <f ca="1">('[1]Qc, Summer, S2'!Q3*Main!$B$5)</f>
        <v>4.8145189158315898</v>
      </c>
      <c r="R3" s="2">
        <f ca="1">('[1]Qc, Summer, S2'!R3*Main!$B$5)</f>
        <v>-0.78146117332503195</v>
      </c>
      <c r="S3" s="2">
        <f ca="1">('[1]Qc, Summer, S2'!S3*Main!$B$5)</f>
        <v>-0.78146117332503195</v>
      </c>
      <c r="T3" s="2">
        <f ca="1">('[1]Qc, Summer, S2'!T3*Main!$B$5)</f>
        <v>-0.78146117332503195</v>
      </c>
      <c r="U3" s="2">
        <f ca="1">('[1]Qc, Summer, S2'!U3*Main!$B$5)</f>
        <v>-0.78146117332503195</v>
      </c>
      <c r="V3" s="2">
        <f ca="1">('[1]Qc, Summer, S2'!V3*Main!$B$5)</f>
        <v>-4.9784603079673015</v>
      </c>
      <c r="W3" s="2">
        <f ca="1">('[1]Qc, Summer, S2'!W3*Main!$B$5)</f>
        <v>-6.3774600195147242</v>
      </c>
      <c r="X3" s="2">
        <f ca="1">('[1]Qc, Summer, S2'!X3*Main!$B$5)</f>
        <v>-17.83170387742058</v>
      </c>
      <c r="Y3" s="2">
        <f ca="1">('[1]Qc, Summer, S2'!Y3*Main!$B$5)</f>
        <v>-17.83170387742058</v>
      </c>
    </row>
    <row r="4" spans="1:25" x14ac:dyDescent="0.3">
      <c r="A4">
        <v>3</v>
      </c>
      <c r="B4" s="2">
        <f ca="1">('[1]Qc, Summer, S2'!B4*Main!$B$5)</f>
        <v>14.253067353492574</v>
      </c>
      <c r="C4" s="2">
        <f ca="1">('[1]Qc, Summer, S2'!C4*Main!$B$5)</f>
        <v>10.920611505312179</v>
      </c>
      <c r="D4" s="2">
        <f ca="1">('[1]Qc, Summer, S2'!D4*Main!$B$5)</f>
        <v>10.34891518032873</v>
      </c>
      <c r="E4" s="2">
        <f ca="1">('[1]Qc, Summer, S2'!E4*Main!$B$5)</f>
        <v>9.0384725781930282</v>
      </c>
      <c r="F4" s="2">
        <f ca="1">('[1]Qc, Summer, S2'!F4*Main!$B$5)</f>
        <v>10.405070791818966</v>
      </c>
      <c r="G4" s="2">
        <f ca="1">('[1]Qc, Summer, S2'!G4*Main!$B$5)</f>
        <v>4.8291546242786598</v>
      </c>
      <c r="H4" s="2">
        <f ca="1">('[1]Qc, Summer, S2'!H4*Main!$B$5)</f>
        <v>8.4257469997778003</v>
      </c>
      <c r="I4" s="2">
        <f ca="1">('[1]Qc, Summer, S2'!I4*Main!$B$5)</f>
        <v>16.191068382245476</v>
      </c>
      <c r="J4" s="2">
        <f ca="1">('[1]Qc, Summer, S2'!J4*Main!$B$5)</f>
        <v>23.553061901025888</v>
      </c>
      <c r="K4" s="2">
        <f ca="1">('[1]Qc, Summer, S2'!K4*Main!$B$5)</f>
        <v>27.987588478249528</v>
      </c>
      <c r="L4" s="2">
        <f ca="1">('[1]Qc, Summer, S2'!L4*Main!$B$5)</f>
        <v>30.553831725180299</v>
      </c>
      <c r="M4" s="2">
        <f ca="1">('[1]Qc, Summer, S2'!M4*Main!$B$5)</f>
        <v>31.669318470165091</v>
      </c>
      <c r="N4" s="2">
        <f ca="1">('[1]Qc, Summer, S2'!N4*Main!$B$5)</f>
        <v>33.092853567610355</v>
      </c>
      <c r="O4" s="2">
        <f ca="1">('[1]Qc, Summer, S2'!O4*Main!$B$5)</f>
        <v>33.343231870448093</v>
      </c>
      <c r="P4" s="2">
        <f ca="1">('[1]Qc, Summer, S2'!P4*Main!$B$5)</f>
        <v>33.106562284404745</v>
      </c>
      <c r="Q4" s="2">
        <f ca="1">('[1]Qc, Summer, S2'!Q4*Main!$B$5)</f>
        <v>32.004492205900505</v>
      </c>
      <c r="R4" s="2">
        <f ca="1">('[1]Qc, Summer, S2'!R4*Main!$B$5)</f>
        <v>30.457380001040963</v>
      </c>
      <c r="S4" s="2">
        <f ca="1">('[1]Qc, Summer, S2'!S4*Main!$B$5)</f>
        <v>27.02749533581018</v>
      </c>
      <c r="T4" s="2">
        <f ca="1">('[1]Qc, Summer, S2'!T4*Main!$B$5)</f>
        <v>26.902451930150061</v>
      </c>
      <c r="U4" s="2">
        <f ca="1">('[1]Qc, Summer, S2'!U4*Main!$B$5)</f>
        <v>25.592352587424546</v>
      </c>
      <c r="V4" s="2">
        <f ca="1">('[1]Qc, Summer, S2'!V4*Main!$B$5)</f>
        <v>23.068897693107161</v>
      </c>
      <c r="W4" s="2">
        <f ca="1">('[1]Qc, Summer, S2'!W4*Main!$B$5)</f>
        <v>27.655103195051819</v>
      </c>
      <c r="X4" s="2">
        <f ca="1">('[1]Qc, Summer, S2'!X4*Main!$B$5)</f>
        <v>24.779979080874149</v>
      </c>
      <c r="Y4" s="2">
        <f ca="1">('[1]Qc, Summer, S2'!Y4*Main!$B$5)</f>
        <v>19.941929511621513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-12.74420397998278</v>
      </c>
      <c r="C2" s="2">
        <f ca="1">('[1]Qc, Summer, S3'!C2*Main!$B$5)</f>
        <v>-16.56903003948473</v>
      </c>
      <c r="D2" s="2">
        <f ca="1">('[1]Qc, Summer, S3'!D2*Main!$B$5)</f>
        <v>-18.262268683055293</v>
      </c>
      <c r="E2" s="2">
        <f ca="1">('[1]Qc, Summer, S3'!E2*Main!$B$5)</f>
        <v>-16.665276946074322</v>
      </c>
      <c r="F2" s="2">
        <f ca="1">('[1]Qc, Summer, S3'!F2*Main!$B$5)</f>
        <v>-17.862934729036709</v>
      </c>
      <c r="G2" s="2">
        <f ca="1">('[1]Qc, Summer, S3'!G2*Main!$B$5)</f>
        <v>-18.274655928995589</v>
      </c>
      <c r="H2" s="2">
        <f ca="1">('[1]Qc, Summer, S3'!H2*Main!$B$5)</f>
        <v>-15.838466758225415</v>
      </c>
      <c r="I2" s="2">
        <f ca="1">('[1]Qc, Summer, S3'!I2*Main!$B$5)</f>
        <v>-2.4641095885839115</v>
      </c>
      <c r="J2" s="2">
        <f ca="1">('[1]Qc, Summer, S3'!J2*Main!$B$5)</f>
        <v>7.9096104610841227</v>
      </c>
      <c r="K2" s="2">
        <f ca="1">('[1]Qc, Summer, S3'!K2*Main!$B$5)</f>
        <v>11.514855383913003</v>
      </c>
      <c r="L2" s="2">
        <f ca="1">('[1]Qc, Summer, S3'!L2*Main!$B$5)</f>
        <v>9.0517057848102525</v>
      </c>
      <c r="M2" s="2">
        <f ca="1">('[1]Qc, Summer, S3'!M2*Main!$B$5)</f>
        <v>12.057120636620699</v>
      </c>
      <c r="N2" s="2">
        <f ca="1">('[1]Qc, Summer, S3'!N2*Main!$B$5)</f>
        <v>10.69972848747838</v>
      </c>
      <c r="O2" s="2">
        <f ca="1">('[1]Qc, Summer, S3'!O2*Main!$B$5)</f>
        <v>11.02188431770592</v>
      </c>
      <c r="P2" s="2">
        <f ca="1">('[1]Qc, Summer, S3'!P2*Main!$B$5)</f>
        <v>5.686887817180212</v>
      </c>
      <c r="Q2" s="2">
        <f ca="1">('[1]Qc, Summer, S3'!Q2*Main!$B$5)</f>
        <v>1.4377140801012096</v>
      </c>
      <c r="R2" s="2">
        <f ca="1">('[1]Qc, Summer, S3'!R2*Main!$B$5)</f>
        <v>3.1983409560441833</v>
      </c>
      <c r="S2" s="2">
        <f ca="1">('[1]Qc, Summer, S3'!S2*Main!$B$5)</f>
        <v>3.884878434140556</v>
      </c>
      <c r="T2" s="2">
        <f ca="1">('[1]Qc, Summer, S3'!T2*Main!$B$5)</f>
        <v>2.3404929543573618</v>
      </c>
      <c r="U2" s="2">
        <f ca="1">('[1]Qc, Summer, S3'!U2*Main!$B$5)</f>
        <v>-0.4366106925460741</v>
      </c>
      <c r="V2" s="2">
        <f ca="1">('[1]Qc, Summer, S3'!V2*Main!$B$5)</f>
        <v>-1.7044580092959389</v>
      </c>
      <c r="W2" s="2">
        <f ca="1">('[1]Qc, Summer, S3'!W2*Main!$B$5)</f>
        <v>-1.1858355970427337</v>
      </c>
      <c r="X2" s="2">
        <f ca="1">('[1]Qc, Summer, S3'!X2*Main!$B$5)</f>
        <v>-5.6869623305895267</v>
      </c>
      <c r="Y2" s="2">
        <f ca="1">('[1]Qc, Summer, S3'!Y2*Main!$B$5)</f>
        <v>-7.6977665518127711</v>
      </c>
    </row>
    <row r="3" spans="1:25" x14ac:dyDescent="0.3">
      <c r="A3">
        <v>2</v>
      </c>
      <c r="B3" s="2">
        <f ca="1">('[1]Qc, Summer, S3'!B3*Main!$B$5)</f>
        <v>-16.128845880353285</v>
      </c>
      <c r="C3" s="2">
        <f ca="1">('[1]Qc, Summer, S3'!C3*Main!$B$5)</f>
        <v>-16.128845880353285</v>
      </c>
      <c r="D3" s="2">
        <f ca="1">('[1]Qc, Summer, S3'!D3*Main!$B$5)</f>
        <v>-18.724638898757402</v>
      </c>
      <c r="E3" s="2">
        <f ca="1">('[1]Qc, Summer, S3'!E3*Main!$B$5)</f>
        <v>-21.320431917161521</v>
      </c>
      <c r="F3" s="2">
        <f ca="1">('[1]Qc, Summer, S3'!F3*Main!$B$5)</f>
        <v>-21.320431917161521</v>
      </c>
      <c r="G3" s="2">
        <f ca="1">('[1]Qc, Summer, S3'!G3*Main!$B$5)</f>
        <v>-21.320431917161521</v>
      </c>
      <c r="H3" s="2">
        <f ca="1">('[1]Qc, Summer, S3'!H3*Main!$B$5)</f>
        <v>-8.5012137471177844</v>
      </c>
      <c r="I3" s="2">
        <f ca="1">('[1]Qc, Summer, S3'!I3*Main!$B$5)</f>
        <v>1.7621524156624517</v>
      </c>
      <c r="J3" s="2">
        <f ca="1">('[1]Qc, Summer, S3'!J3*Main!$B$5)</f>
        <v>5.5959454186574531</v>
      </c>
      <c r="K3" s="2">
        <f ca="1">('[1]Qc, Summer, S3'!K3*Main!$B$5)</f>
        <v>5.5959454186574531</v>
      </c>
      <c r="L3" s="2">
        <f ca="1">('[1]Qc, Summer, S3'!L3*Main!$B$5)</f>
        <v>5.116713253369066</v>
      </c>
      <c r="M3" s="2">
        <f ca="1">('[1]Qc, Summer, S3'!M3*Main!$B$5)</f>
        <v>7.1933373563159124</v>
      </c>
      <c r="N3" s="2">
        <f ca="1">('[1]Qc, Summer, S3'!N3*Main!$B$5)</f>
        <v>9.7491936245511468</v>
      </c>
      <c r="O3" s="2">
        <f ca="1">('[1]Qc, Summer, S3'!O3*Main!$B$5)</f>
        <v>10.048719115905737</v>
      </c>
      <c r="P3" s="2">
        <f ca="1">('[1]Qc, Summer, S3'!P3*Main!$B$5)</f>
        <v>5.6358778628839259</v>
      </c>
      <c r="Q3" s="2">
        <f ca="1">('[1]Qc, Summer, S3'!Q3*Main!$B$5)</f>
        <v>4.3978778558077014</v>
      </c>
      <c r="R3" s="2">
        <f ca="1">('[1]Qc, Summer, S3'!R3*Main!$B$5)</f>
        <v>-0.71383472563344252</v>
      </c>
      <c r="S3" s="2">
        <f ca="1">('[1]Qc, Summer, S3'!S3*Main!$B$5)</f>
        <v>-0.71383472563344252</v>
      </c>
      <c r="T3" s="2">
        <f ca="1">('[1]Qc, Summer, S3'!T3*Main!$B$5)</f>
        <v>-0.71383472563344252</v>
      </c>
      <c r="U3" s="2">
        <f ca="1">('[1]Qc, Summer, S3'!U3*Main!$B$5)</f>
        <v>-0.71383472563344252</v>
      </c>
      <c r="V3" s="2">
        <f ca="1">('[1]Qc, Summer, S3'!V3*Main!$B$5)</f>
        <v>-4.5476320120855149</v>
      </c>
      <c r="W3" s="2">
        <f ca="1">('[1]Qc, Summer, S3'!W3*Main!$B$5)</f>
        <v>-5.8255644409028715</v>
      </c>
      <c r="X3" s="2">
        <f ca="1">('[1]Qc, Summer, S3'!X3*Main!$B$5)</f>
        <v>-16.28857565725918</v>
      </c>
      <c r="Y3" s="2">
        <f ca="1">('[1]Qc, Summer, S3'!Y3*Main!$B$5)</f>
        <v>-16.28857565725918</v>
      </c>
    </row>
    <row r="4" spans="1:25" x14ac:dyDescent="0.3">
      <c r="A4">
        <v>3</v>
      </c>
      <c r="B4" s="2">
        <f ca="1">('[1]Qc, Summer, S3'!B4*Main!$B$5)</f>
        <v>13.019628832517254</v>
      </c>
      <c r="C4" s="2">
        <f ca="1">('[1]Qc, Summer, S3'!C4*Main!$B$5)</f>
        <v>9.9755585865832401</v>
      </c>
      <c r="D4" s="2">
        <f ca="1">('[1]Qc, Summer, S3'!D4*Main!$B$5)</f>
        <v>9.4533359820310512</v>
      </c>
      <c r="E4" s="2">
        <f ca="1">('[1]Qc, Summer, S3'!E4*Main!$B$5)</f>
        <v>8.2562970666186306</v>
      </c>
      <c r="F4" s="2">
        <f ca="1">('[1]Qc, Summer, S3'!F4*Main!$B$5)</f>
        <v>9.504631973296167</v>
      </c>
      <c r="G4" s="2">
        <f ca="1">('[1]Qc, Summer, S3'!G4*Main!$B$5)</f>
        <v>4.4112470125622369</v>
      </c>
      <c r="H4" s="2">
        <f ca="1">('[1]Qc, Summer, S3'!H4*Main!$B$5)</f>
        <v>7.6965958171047211</v>
      </c>
      <c r="I4" s="2">
        <f ca="1">('[1]Qc, Summer, S3'!I4*Main!$B$5)</f>
        <v>14.789918233781924</v>
      </c>
      <c r="J4" s="2">
        <f ca="1">('[1]Qc, Summer, S3'!J4*Main!$B$5)</f>
        <v>21.514816159590954</v>
      </c>
      <c r="K4" s="2">
        <f ca="1">('[1]Qc, Summer, S3'!K4*Main!$B$5)</f>
        <v>25.56558562917024</v>
      </c>
      <c r="L4" s="2">
        <f ca="1">('[1]Qc, Summer, S3'!L4*Main!$B$5)</f>
        <v>27.909750133578154</v>
      </c>
      <c r="M4" s="2">
        <f ca="1">('[1]Qc, Summer, S3'!M4*Main!$B$5)</f>
        <v>28.928704371785418</v>
      </c>
      <c r="N4" s="2">
        <f ca="1">('[1]Qc, Summer, S3'!N4*Main!$B$5)</f>
        <v>30.229048931951763</v>
      </c>
      <c r="O4" s="2">
        <f ca="1">('[1]Qc, Summer, S3'!O4*Main!$B$5)</f>
        <v>30.457759881659314</v>
      </c>
      <c r="P4" s="2">
        <f ca="1">('[1]Qc, Summer, S3'!P4*Main!$B$5)</f>
        <v>30.241571317485096</v>
      </c>
      <c r="Q4" s="2">
        <f ca="1">('[1]Qc, Summer, S3'!Q4*Main!$B$5)</f>
        <v>29.234872688082188</v>
      </c>
      <c r="R4" s="2">
        <f ca="1">('[1]Qc, Summer, S3'!R4*Main!$B$5)</f>
        <v>27.821645193258572</v>
      </c>
      <c r="S4" s="2">
        <f ca="1">('[1]Qc, Summer, S3'!S4*Main!$B$5)</f>
        <v>24.688577470211218</v>
      </c>
      <c r="T4" s="2">
        <f ca="1">('[1]Qc, Summer, S3'!T4*Main!$B$5)</f>
        <v>24.574355128502457</v>
      </c>
      <c r="U4" s="2">
        <f ca="1">('[1]Qc, Summer, S3'!U4*Main!$B$5)</f>
        <v>23.377629767358961</v>
      </c>
      <c r="V4" s="2">
        <f ca="1">('[1]Qc, Summer, S3'!V4*Main!$B$5)</f>
        <v>21.072550777357502</v>
      </c>
      <c r="W4" s="2">
        <f ca="1">('[1]Qc, Summer, S3'!W4*Main!$B$5)</f>
        <v>25.261873110864638</v>
      </c>
      <c r="X4" s="2">
        <f ca="1">('[1]Qc, Summer, S3'!X4*Main!$B$5)</f>
        <v>22.635557814260039</v>
      </c>
      <c r="Y4" s="2">
        <f ca="1">('[1]Qc, Summer, S3'!Y4*Main!$B$5)</f>
        <v>18.216185611577341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-12.74420397998278</v>
      </c>
      <c r="C2" s="2">
        <f ca="1">('[1]Qc, Summer, S3'!C2*Main!$B$5)</f>
        <v>-16.56903003948473</v>
      </c>
      <c r="D2" s="2">
        <f ca="1">('[1]Qc, Summer, S3'!D2*Main!$B$5)</f>
        <v>-18.262268683055293</v>
      </c>
      <c r="E2" s="2">
        <f ca="1">('[1]Qc, Summer, S3'!E2*Main!$B$5)</f>
        <v>-16.665276946074322</v>
      </c>
      <c r="F2" s="2">
        <f ca="1">('[1]Qc, Summer, S3'!F2*Main!$B$5)</f>
        <v>-17.862934729036709</v>
      </c>
      <c r="G2" s="2">
        <f ca="1">('[1]Qc, Summer, S3'!G2*Main!$B$5)</f>
        <v>-18.274655928995589</v>
      </c>
      <c r="H2" s="2">
        <f ca="1">('[1]Qc, Summer, S3'!H2*Main!$B$5)</f>
        <v>-15.838466758225415</v>
      </c>
      <c r="I2" s="2">
        <f ca="1">('[1]Qc, Summer, S3'!I2*Main!$B$5)</f>
        <v>-2.4641095885839115</v>
      </c>
      <c r="J2" s="2">
        <f ca="1">('[1]Qc, Summer, S3'!J2*Main!$B$5)</f>
        <v>7.9096104610841227</v>
      </c>
      <c r="K2" s="2">
        <f ca="1">('[1]Qc, Summer, S3'!K2*Main!$B$5)</f>
        <v>11.514855383913003</v>
      </c>
      <c r="L2" s="2">
        <f ca="1">('[1]Qc, Summer, S3'!L2*Main!$B$5)</f>
        <v>9.0517057848102525</v>
      </c>
      <c r="M2" s="2">
        <f ca="1">('[1]Qc, Summer, S3'!M2*Main!$B$5)</f>
        <v>12.057120636620699</v>
      </c>
      <c r="N2" s="2">
        <f ca="1">('[1]Qc, Summer, S3'!N2*Main!$B$5)</f>
        <v>10.69972848747838</v>
      </c>
      <c r="O2" s="2">
        <f ca="1">('[1]Qc, Summer, S3'!O2*Main!$B$5)</f>
        <v>11.02188431770592</v>
      </c>
      <c r="P2" s="2">
        <f ca="1">('[1]Qc, Summer, S3'!P2*Main!$B$5)</f>
        <v>5.686887817180212</v>
      </c>
      <c r="Q2" s="2">
        <f ca="1">('[1]Qc, Summer, S3'!Q2*Main!$B$5)</f>
        <v>1.4377140801012096</v>
      </c>
      <c r="R2" s="2">
        <f ca="1">('[1]Qc, Summer, S3'!R2*Main!$B$5)</f>
        <v>3.1983409560441833</v>
      </c>
      <c r="S2" s="2">
        <f ca="1">('[1]Qc, Summer, S3'!S2*Main!$B$5)</f>
        <v>3.884878434140556</v>
      </c>
      <c r="T2" s="2">
        <f ca="1">('[1]Qc, Summer, S3'!T2*Main!$B$5)</f>
        <v>2.3404929543573618</v>
      </c>
      <c r="U2" s="2">
        <f ca="1">('[1]Qc, Summer, S3'!U2*Main!$B$5)</f>
        <v>-0.4366106925460741</v>
      </c>
      <c r="V2" s="2">
        <f ca="1">('[1]Qc, Summer, S3'!V2*Main!$B$5)</f>
        <v>-1.7044580092959389</v>
      </c>
      <c r="W2" s="2">
        <f ca="1">('[1]Qc, Summer, S3'!W2*Main!$B$5)</f>
        <v>-1.1858355970427337</v>
      </c>
      <c r="X2" s="2">
        <f ca="1">('[1]Qc, Summer, S3'!X2*Main!$B$5)</f>
        <v>-5.6869623305895267</v>
      </c>
      <c r="Y2" s="2">
        <f ca="1">('[1]Qc, Summer, S3'!Y2*Main!$B$5)</f>
        <v>-7.6977665518127711</v>
      </c>
    </row>
    <row r="3" spans="1:25" x14ac:dyDescent="0.3">
      <c r="A3">
        <v>2</v>
      </c>
      <c r="B3" s="2">
        <f ca="1">('[1]Qc, Summer, S3'!B3*Main!$B$5)</f>
        <v>-16.128845880353285</v>
      </c>
      <c r="C3" s="2">
        <f ca="1">('[1]Qc, Summer, S3'!C3*Main!$B$5)</f>
        <v>-16.128845880353285</v>
      </c>
      <c r="D3" s="2">
        <f ca="1">('[1]Qc, Summer, S3'!D3*Main!$B$5)</f>
        <v>-18.724638898757402</v>
      </c>
      <c r="E3" s="2">
        <f ca="1">('[1]Qc, Summer, S3'!E3*Main!$B$5)</f>
        <v>-21.320431917161521</v>
      </c>
      <c r="F3" s="2">
        <f ca="1">('[1]Qc, Summer, S3'!F3*Main!$B$5)</f>
        <v>-21.320431917161521</v>
      </c>
      <c r="G3" s="2">
        <f ca="1">('[1]Qc, Summer, S3'!G3*Main!$B$5)</f>
        <v>-21.320431917161521</v>
      </c>
      <c r="H3" s="2">
        <f ca="1">('[1]Qc, Summer, S3'!H3*Main!$B$5)</f>
        <v>-8.5012137471177844</v>
      </c>
      <c r="I3" s="2">
        <f ca="1">('[1]Qc, Summer, S3'!I3*Main!$B$5)</f>
        <v>1.7621524156624517</v>
      </c>
      <c r="J3" s="2">
        <f ca="1">('[1]Qc, Summer, S3'!J3*Main!$B$5)</f>
        <v>5.5959454186574531</v>
      </c>
      <c r="K3" s="2">
        <f ca="1">('[1]Qc, Summer, S3'!K3*Main!$B$5)</f>
        <v>5.5959454186574531</v>
      </c>
      <c r="L3" s="2">
        <f ca="1">('[1]Qc, Summer, S3'!L3*Main!$B$5)</f>
        <v>5.116713253369066</v>
      </c>
      <c r="M3" s="2">
        <f ca="1">('[1]Qc, Summer, S3'!M3*Main!$B$5)</f>
        <v>7.1933373563159124</v>
      </c>
      <c r="N3" s="2">
        <f ca="1">('[1]Qc, Summer, S3'!N3*Main!$B$5)</f>
        <v>9.7491936245511468</v>
      </c>
      <c r="O3" s="2">
        <f ca="1">('[1]Qc, Summer, S3'!O3*Main!$B$5)</f>
        <v>10.048719115905737</v>
      </c>
      <c r="P3" s="2">
        <f ca="1">('[1]Qc, Summer, S3'!P3*Main!$B$5)</f>
        <v>5.6358778628839259</v>
      </c>
      <c r="Q3" s="2">
        <f ca="1">('[1]Qc, Summer, S3'!Q3*Main!$B$5)</f>
        <v>4.3978778558077014</v>
      </c>
      <c r="R3" s="2">
        <f ca="1">('[1]Qc, Summer, S3'!R3*Main!$B$5)</f>
        <v>-0.71383472563344252</v>
      </c>
      <c r="S3" s="2">
        <f ca="1">('[1]Qc, Summer, S3'!S3*Main!$B$5)</f>
        <v>-0.71383472563344252</v>
      </c>
      <c r="T3" s="2">
        <f ca="1">('[1]Qc, Summer, S3'!T3*Main!$B$5)</f>
        <v>-0.71383472563344252</v>
      </c>
      <c r="U3" s="2">
        <f ca="1">('[1]Qc, Summer, S3'!U3*Main!$B$5)</f>
        <v>-0.71383472563344252</v>
      </c>
      <c r="V3" s="2">
        <f ca="1">('[1]Qc, Summer, S3'!V3*Main!$B$5)</f>
        <v>-4.5476320120855149</v>
      </c>
      <c r="W3" s="2">
        <f ca="1">('[1]Qc, Summer, S3'!W3*Main!$B$5)</f>
        <v>-5.8255644409028715</v>
      </c>
      <c r="X3" s="2">
        <f ca="1">('[1]Qc, Summer, S3'!X3*Main!$B$5)</f>
        <v>-16.28857565725918</v>
      </c>
      <c r="Y3" s="2">
        <f ca="1">('[1]Qc, Summer, S3'!Y3*Main!$B$5)</f>
        <v>-16.28857565725918</v>
      </c>
    </row>
    <row r="4" spans="1:25" x14ac:dyDescent="0.3">
      <c r="A4">
        <v>3</v>
      </c>
      <c r="B4" s="2">
        <f ca="1">('[1]Qc, Summer, S3'!B4*Main!$B$5)</f>
        <v>13.019628832517254</v>
      </c>
      <c r="C4" s="2">
        <f ca="1">('[1]Qc, Summer, S3'!C4*Main!$B$5)</f>
        <v>9.9755585865832401</v>
      </c>
      <c r="D4" s="2">
        <f ca="1">('[1]Qc, Summer, S3'!D4*Main!$B$5)</f>
        <v>9.4533359820310512</v>
      </c>
      <c r="E4" s="2">
        <f ca="1">('[1]Qc, Summer, S3'!E4*Main!$B$5)</f>
        <v>8.2562970666186306</v>
      </c>
      <c r="F4" s="2">
        <f ca="1">('[1]Qc, Summer, S3'!F4*Main!$B$5)</f>
        <v>9.504631973296167</v>
      </c>
      <c r="G4" s="2">
        <f ca="1">('[1]Qc, Summer, S3'!G4*Main!$B$5)</f>
        <v>4.4112470125622369</v>
      </c>
      <c r="H4" s="2">
        <f ca="1">('[1]Qc, Summer, S3'!H4*Main!$B$5)</f>
        <v>7.6965958171047211</v>
      </c>
      <c r="I4" s="2">
        <f ca="1">('[1]Qc, Summer, S3'!I4*Main!$B$5)</f>
        <v>14.789918233781924</v>
      </c>
      <c r="J4" s="2">
        <f ca="1">('[1]Qc, Summer, S3'!J4*Main!$B$5)</f>
        <v>21.514816159590954</v>
      </c>
      <c r="K4" s="2">
        <f ca="1">('[1]Qc, Summer, S3'!K4*Main!$B$5)</f>
        <v>25.56558562917024</v>
      </c>
      <c r="L4" s="2">
        <f ca="1">('[1]Qc, Summer, S3'!L4*Main!$B$5)</f>
        <v>27.909750133578154</v>
      </c>
      <c r="M4" s="2">
        <f ca="1">('[1]Qc, Summer, S3'!M4*Main!$B$5)</f>
        <v>28.928704371785418</v>
      </c>
      <c r="N4" s="2">
        <f ca="1">('[1]Qc, Summer, S3'!N4*Main!$B$5)</f>
        <v>30.229048931951763</v>
      </c>
      <c r="O4" s="2">
        <f ca="1">('[1]Qc, Summer, S3'!O4*Main!$B$5)</f>
        <v>30.457759881659314</v>
      </c>
      <c r="P4" s="2">
        <f ca="1">('[1]Qc, Summer, S3'!P4*Main!$B$5)</f>
        <v>30.241571317485096</v>
      </c>
      <c r="Q4" s="2">
        <f ca="1">('[1]Qc, Summer, S3'!Q4*Main!$B$5)</f>
        <v>29.234872688082188</v>
      </c>
      <c r="R4" s="2">
        <f ca="1">('[1]Qc, Summer, S3'!R4*Main!$B$5)</f>
        <v>27.821645193258572</v>
      </c>
      <c r="S4" s="2">
        <f ca="1">('[1]Qc, Summer, S3'!S4*Main!$B$5)</f>
        <v>24.688577470211218</v>
      </c>
      <c r="T4" s="2">
        <f ca="1">('[1]Qc, Summer, S3'!T4*Main!$B$5)</f>
        <v>24.574355128502457</v>
      </c>
      <c r="U4" s="2">
        <f ca="1">('[1]Qc, Summer, S3'!U4*Main!$B$5)</f>
        <v>23.377629767358961</v>
      </c>
      <c r="V4" s="2">
        <f ca="1">('[1]Qc, Summer, S3'!V4*Main!$B$5)</f>
        <v>21.072550777357502</v>
      </c>
      <c r="W4" s="2">
        <f ca="1">('[1]Qc, Summer, S3'!W4*Main!$B$5)</f>
        <v>25.261873110864638</v>
      </c>
      <c r="X4" s="2">
        <f ca="1">('[1]Qc, Summer, S3'!X4*Main!$B$5)</f>
        <v>22.635557814260039</v>
      </c>
      <c r="Y4" s="2">
        <f ca="1">('[1]Qc, Summer, S3'!Y4*Main!$B$5)</f>
        <v>18.216185611577341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-12.74420397998278</v>
      </c>
      <c r="C2" s="2">
        <f ca="1">('[1]Qc, Summer, S3'!C2*Main!$B$5)</f>
        <v>-16.56903003948473</v>
      </c>
      <c r="D2" s="2">
        <f ca="1">('[1]Qc, Summer, S3'!D2*Main!$B$5)</f>
        <v>-18.262268683055293</v>
      </c>
      <c r="E2" s="2">
        <f ca="1">('[1]Qc, Summer, S3'!E2*Main!$B$5)</f>
        <v>-16.665276946074322</v>
      </c>
      <c r="F2" s="2">
        <f ca="1">('[1]Qc, Summer, S3'!F2*Main!$B$5)</f>
        <v>-17.862934729036709</v>
      </c>
      <c r="G2" s="2">
        <f ca="1">('[1]Qc, Summer, S3'!G2*Main!$B$5)</f>
        <v>-18.274655928995589</v>
      </c>
      <c r="H2" s="2">
        <f ca="1">('[1]Qc, Summer, S3'!H2*Main!$B$5)</f>
        <v>-15.838466758225415</v>
      </c>
      <c r="I2" s="2">
        <f ca="1">('[1]Qc, Summer, S3'!I2*Main!$B$5)</f>
        <v>-2.4641095885839115</v>
      </c>
      <c r="J2" s="2">
        <f ca="1">('[1]Qc, Summer, S3'!J2*Main!$B$5)</f>
        <v>7.9096104610841227</v>
      </c>
      <c r="K2" s="2">
        <f ca="1">('[1]Qc, Summer, S3'!K2*Main!$B$5)</f>
        <v>11.514855383913003</v>
      </c>
      <c r="L2" s="2">
        <f ca="1">('[1]Qc, Summer, S3'!L2*Main!$B$5)</f>
        <v>9.0517057848102525</v>
      </c>
      <c r="M2" s="2">
        <f ca="1">('[1]Qc, Summer, S3'!M2*Main!$B$5)</f>
        <v>12.057120636620699</v>
      </c>
      <c r="N2" s="2">
        <f ca="1">('[1]Qc, Summer, S3'!N2*Main!$B$5)</f>
        <v>10.69972848747838</v>
      </c>
      <c r="O2" s="2">
        <f ca="1">('[1]Qc, Summer, S3'!O2*Main!$B$5)</f>
        <v>11.02188431770592</v>
      </c>
      <c r="P2" s="2">
        <f ca="1">('[1]Qc, Summer, S3'!P2*Main!$B$5)</f>
        <v>5.686887817180212</v>
      </c>
      <c r="Q2" s="2">
        <f ca="1">('[1]Qc, Summer, S3'!Q2*Main!$B$5)</f>
        <v>1.4377140801012096</v>
      </c>
      <c r="R2" s="2">
        <f ca="1">('[1]Qc, Summer, S3'!R2*Main!$B$5)</f>
        <v>3.1983409560441833</v>
      </c>
      <c r="S2" s="2">
        <f ca="1">('[1]Qc, Summer, S3'!S2*Main!$B$5)</f>
        <v>3.884878434140556</v>
      </c>
      <c r="T2" s="2">
        <f ca="1">('[1]Qc, Summer, S3'!T2*Main!$B$5)</f>
        <v>2.3404929543573618</v>
      </c>
      <c r="U2" s="2">
        <f ca="1">('[1]Qc, Summer, S3'!U2*Main!$B$5)</f>
        <v>-0.4366106925460741</v>
      </c>
      <c r="V2" s="2">
        <f ca="1">('[1]Qc, Summer, S3'!V2*Main!$B$5)</f>
        <v>-1.7044580092959389</v>
      </c>
      <c r="W2" s="2">
        <f ca="1">('[1]Qc, Summer, S3'!W2*Main!$B$5)</f>
        <v>-1.1858355970427337</v>
      </c>
      <c r="X2" s="2">
        <f ca="1">('[1]Qc, Summer, S3'!X2*Main!$B$5)</f>
        <v>-5.6869623305895267</v>
      </c>
      <c r="Y2" s="2">
        <f ca="1">('[1]Qc, Summer, S3'!Y2*Main!$B$5)</f>
        <v>-7.6977665518127711</v>
      </c>
    </row>
    <row r="3" spans="1:25" x14ac:dyDescent="0.3">
      <c r="A3">
        <v>2</v>
      </c>
      <c r="B3" s="2">
        <f ca="1">('[1]Qc, Summer, S3'!B3*Main!$B$5)</f>
        <v>-16.128845880353285</v>
      </c>
      <c r="C3" s="2">
        <f ca="1">('[1]Qc, Summer, S3'!C3*Main!$B$5)</f>
        <v>-16.128845880353285</v>
      </c>
      <c r="D3" s="2">
        <f ca="1">('[1]Qc, Summer, S3'!D3*Main!$B$5)</f>
        <v>-18.724638898757402</v>
      </c>
      <c r="E3" s="2">
        <f ca="1">('[1]Qc, Summer, S3'!E3*Main!$B$5)</f>
        <v>-21.320431917161521</v>
      </c>
      <c r="F3" s="2">
        <f ca="1">('[1]Qc, Summer, S3'!F3*Main!$B$5)</f>
        <v>-21.320431917161521</v>
      </c>
      <c r="G3" s="2">
        <f ca="1">('[1]Qc, Summer, S3'!G3*Main!$B$5)</f>
        <v>-21.320431917161521</v>
      </c>
      <c r="H3" s="2">
        <f ca="1">('[1]Qc, Summer, S3'!H3*Main!$B$5)</f>
        <v>-8.5012137471177844</v>
      </c>
      <c r="I3" s="2">
        <f ca="1">('[1]Qc, Summer, S3'!I3*Main!$B$5)</f>
        <v>1.7621524156624517</v>
      </c>
      <c r="J3" s="2">
        <f ca="1">('[1]Qc, Summer, S3'!J3*Main!$B$5)</f>
        <v>5.5959454186574531</v>
      </c>
      <c r="K3" s="2">
        <f ca="1">('[1]Qc, Summer, S3'!K3*Main!$B$5)</f>
        <v>5.5959454186574531</v>
      </c>
      <c r="L3" s="2">
        <f ca="1">('[1]Qc, Summer, S3'!L3*Main!$B$5)</f>
        <v>5.116713253369066</v>
      </c>
      <c r="M3" s="2">
        <f ca="1">('[1]Qc, Summer, S3'!M3*Main!$B$5)</f>
        <v>7.1933373563159124</v>
      </c>
      <c r="N3" s="2">
        <f ca="1">('[1]Qc, Summer, S3'!N3*Main!$B$5)</f>
        <v>9.7491936245511468</v>
      </c>
      <c r="O3" s="2">
        <f ca="1">('[1]Qc, Summer, S3'!O3*Main!$B$5)</f>
        <v>10.048719115905737</v>
      </c>
      <c r="P3" s="2">
        <f ca="1">('[1]Qc, Summer, S3'!P3*Main!$B$5)</f>
        <v>5.6358778628839259</v>
      </c>
      <c r="Q3" s="2">
        <f ca="1">('[1]Qc, Summer, S3'!Q3*Main!$B$5)</f>
        <v>4.3978778558077014</v>
      </c>
      <c r="R3" s="2">
        <f ca="1">('[1]Qc, Summer, S3'!R3*Main!$B$5)</f>
        <v>-0.71383472563344252</v>
      </c>
      <c r="S3" s="2">
        <f ca="1">('[1]Qc, Summer, S3'!S3*Main!$B$5)</f>
        <v>-0.71383472563344252</v>
      </c>
      <c r="T3" s="2">
        <f ca="1">('[1]Qc, Summer, S3'!T3*Main!$B$5)</f>
        <v>-0.71383472563344252</v>
      </c>
      <c r="U3" s="2">
        <f ca="1">('[1]Qc, Summer, S3'!U3*Main!$B$5)</f>
        <v>-0.71383472563344252</v>
      </c>
      <c r="V3" s="2">
        <f ca="1">('[1]Qc, Summer, S3'!V3*Main!$B$5)</f>
        <v>-4.5476320120855149</v>
      </c>
      <c r="W3" s="2">
        <f ca="1">('[1]Qc, Summer, S3'!W3*Main!$B$5)</f>
        <v>-5.8255644409028715</v>
      </c>
      <c r="X3" s="2">
        <f ca="1">('[1]Qc, Summer, S3'!X3*Main!$B$5)</f>
        <v>-16.28857565725918</v>
      </c>
      <c r="Y3" s="2">
        <f ca="1">('[1]Qc, Summer, S3'!Y3*Main!$B$5)</f>
        <v>-16.28857565725918</v>
      </c>
    </row>
    <row r="4" spans="1:25" x14ac:dyDescent="0.3">
      <c r="A4">
        <v>3</v>
      </c>
      <c r="B4" s="2">
        <f ca="1">('[1]Qc, Summer, S3'!B4*Main!$B$5)</f>
        <v>13.019628832517254</v>
      </c>
      <c r="C4" s="2">
        <f ca="1">('[1]Qc, Summer, S3'!C4*Main!$B$5)</f>
        <v>9.9755585865832401</v>
      </c>
      <c r="D4" s="2">
        <f ca="1">('[1]Qc, Summer, S3'!D4*Main!$B$5)</f>
        <v>9.4533359820310512</v>
      </c>
      <c r="E4" s="2">
        <f ca="1">('[1]Qc, Summer, S3'!E4*Main!$B$5)</f>
        <v>8.2562970666186306</v>
      </c>
      <c r="F4" s="2">
        <f ca="1">('[1]Qc, Summer, S3'!F4*Main!$B$5)</f>
        <v>9.504631973296167</v>
      </c>
      <c r="G4" s="2">
        <f ca="1">('[1]Qc, Summer, S3'!G4*Main!$B$5)</f>
        <v>4.4112470125622369</v>
      </c>
      <c r="H4" s="2">
        <f ca="1">('[1]Qc, Summer, S3'!H4*Main!$B$5)</f>
        <v>7.6965958171047211</v>
      </c>
      <c r="I4" s="2">
        <f ca="1">('[1]Qc, Summer, S3'!I4*Main!$B$5)</f>
        <v>14.789918233781924</v>
      </c>
      <c r="J4" s="2">
        <f ca="1">('[1]Qc, Summer, S3'!J4*Main!$B$5)</f>
        <v>21.514816159590954</v>
      </c>
      <c r="K4" s="2">
        <f ca="1">('[1]Qc, Summer, S3'!K4*Main!$B$5)</f>
        <v>25.56558562917024</v>
      </c>
      <c r="L4" s="2">
        <f ca="1">('[1]Qc, Summer, S3'!L4*Main!$B$5)</f>
        <v>27.909750133578154</v>
      </c>
      <c r="M4" s="2">
        <f ca="1">('[1]Qc, Summer, S3'!M4*Main!$B$5)</f>
        <v>28.928704371785418</v>
      </c>
      <c r="N4" s="2">
        <f ca="1">('[1]Qc, Summer, S3'!N4*Main!$B$5)</f>
        <v>30.229048931951763</v>
      </c>
      <c r="O4" s="2">
        <f ca="1">('[1]Qc, Summer, S3'!O4*Main!$B$5)</f>
        <v>30.457759881659314</v>
      </c>
      <c r="P4" s="2">
        <f ca="1">('[1]Qc, Summer, S3'!P4*Main!$B$5)</f>
        <v>30.241571317485096</v>
      </c>
      <c r="Q4" s="2">
        <f ca="1">('[1]Qc, Summer, S3'!Q4*Main!$B$5)</f>
        <v>29.234872688082188</v>
      </c>
      <c r="R4" s="2">
        <f ca="1">('[1]Qc, Summer, S3'!R4*Main!$B$5)</f>
        <v>27.821645193258572</v>
      </c>
      <c r="S4" s="2">
        <f ca="1">('[1]Qc, Summer, S3'!S4*Main!$B$5)</f>
        <v>24.688577470211218</v>
      </c>
      <c r="T4" s="2">
        <f ca="1">('[1]Qc, Summer, S3'!T4*Main!$B$5)</f>
        <v>24.574355128502457</v>
      </c>
      <c r="U4" s="2">
        <f ca="1">('[1]Qc, Summer, S3'!U4*Main!$B$5)</f>
        <v>23.377629767358961</v>
      </c>
      <c r="V4" s="2">
        <f ca="1">('[1]Qc, Summer, S3'!V4*Main!$B$5)</f>
        <v>21.072550777357502</v>
      </c>
      <c r="W4" s="2">
        <f ca="1">('[1]Qc, Summer, S3'!W4*Main!$B$5)</f>
        <v>25.261873110864638</v>
      </c>
      <c r="X4" s="2">
        <f ca="1">('[1]Qc, Summer, S3'!X4*Main!$B$5)</f>
        <v>22.635557814260039</v>
      </c>
      <c r="Y4" s="2">
        <f ca="1">('[1]Qc, Summer, S3'!Y4*Main!$B$5)</f>
        <v>18.216185611577341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21.613809714973904</v>
      </c>
      <c r="C5" s="9">
        <f>VLOOKUP($A5,'RES installed'!$A$2:$C$7,3,FALSE)*'[1]Profiles, RES, Summer'!C$5</f>
        <v>19.7671617824167</v>
      </c>
      <c r="D5" s="9">
        <f>VLOOKUP($A5,'RES installed'!$A$2:$C$7,3,FALSE)*'[1]Profiles, RES, Summer'!D$5</f>
        <v>17.294259333600962</v>
      </c>
      <c r="E5" s="9">
        <f>VLOOKUP($A5,'RES installed'!$A$2:$C$7,3,FALSE)*'[1]Profiles, RES, Summer'!E$5</f>
        <v>17.230028101164191</v>
      </c>
      <c r="F5" s="9">
        <f>VLOOKUP($A5,'RES installed'!$A$2:$C$7,3,FALSE)*'[1]Profiles, RES, Summer'!F$5</f>
        <v>16.314733038940187</v>
      </c>
      <c r="G5" s="9">
        <f>VLOOKUP($A5,'RES installed'!$A$2:$C$7,3,FALSE)*'[1]Profiles, RES, Summer'!G$5</f>
        <v>15.030108390204738</v>
      </c>
      <c r="H5" s="9">
        <f>VLOOKUP($A5,'RES installed'!$A$2:$C$7,3,FALSE)*'[1]Profiles, RES, Summer'!H$5</f>
        <v>13.215576073865918</v>
      </c>
      <c r="I5" s="9">
        <f>VLOOKUP($A5,'RES installed'!$A$2:$C$7,3,FALSE)*'[1]Profiles, RES, Summer'!I$5</f>
        <v>10.389401846647932</v>
      </c>
      <c r="J5" s="9">
        <f>VLOOKUP($A5,'RES installed'!$A$2:$C$7,3,FALSE)*'[1]Profiles, RES, Summer'!J$5</f>
        <v>8.6391007627458851</v>
      </c>
      <c r="K5" s="9">
        <f>VLOOKUP($A5,'RES installed'!$A$2:$C$7,3,FALSE)*'[1]Profiles, RES, Summer'!K$5</f>
        <v>8.077077478924128</v>
      </c>
      <c r="L5" s="9">
        <f>VLOOKUP($A5,'RES installed'!$A$2:$C$7,3,FALSE)*'[1]Profiles, RES, Summer'!L$5</f>
        <v>7.4347651545564029</v>
      </c>
      <c r="M5" s="9">
        <f>VLOOKUP($A5,'RES installed'!$A$2:$C$7,3,FALSE)*'[1]Profiles, RES, Summer'!M$5</f>
        <v>8.3661180248896034</v>
      </c>
      <c r="N5" s="9">
        <f>VLOOKUP($A5,'RES installed'!$A$2:$C$7,3,FALSE)*'[1]Profiles, RES, Summer'!N$5</f>
        <v>10.517864311521476</v>
      </c>
      <c r="O5" s="9">
        <f>VLOOKUP($A5,'RES installed'!$A$2:$C$7,3,FALSE)*'[1]Profiles, RES, Summer'!O$5</f>
        <v>13.054997992773988</v>
      </c>
      <c r="P5" s="9">
        <f>VLOOKUP($A5,'RES installed'!$A$2:$C$7,3,FALSE)*'[1]Profiles, RES, Summer'!P$5</f>
        <v>17.422721798474509</v>
      </c>
      <c r="Q5" s="9">
        <f>VLOOKUP($A5,'RES installed'!$A$2:$C$7,3,FALSE)*'[1]Profiles, RES, Summer'!Q$5</f>
        <v>22.240064231232438</v>
      </c>
      <c r="R5" s="9">
        <f>VLOOKUP($A5,'RES installed'!$A$2:$C$7,3,FALSE)*'[1]Profiles, RES, Summer'!R$5</f>
        <v>26.286631874749098</v>
      </c>
      <c r="S5" s="9">
        <f>VLOOKUP($A5,'RES installed'!$A$2:$C$7,3,FALSE)*'[1]Profiles, RES, Summer'!S$5</f>
        <v>28.052990766760338</v>
      </c>
      <c r="T5" s="9">
        <f>VLOOKUP($A5,'RES installed'!$A$2:$C$7,3,FALSE)*'[1]Profiles, RES, Summer'!T$5</f>
        <v>30.188679245283019</v>
      </c>
      <c r="U5" s="9">
        <f>VLOOKUP($A5,'RES installed'!$A$2:$C$7,3,FALSE)*'[1]Profiles, RES, Summer'!U$5</f>
        <v>33.625050180650341</v>
      </c>
      <c r="V5" s="9">
        <f>VLOOKUP($A5,'RES installed'!$A$2:$C$7,3,FALSE)*'[1]Profiles, RES, Summer'!V$5</f>
        <v>37.077478924126858</v>
      </c>
      <c r="W5" s="9">
        <f>VLOOKUP($A5,'RES installed'!$A$2:$C$7,3,FALSE)*'[1]Profiles, RES, Summer'!W$5</f>
        <v>38.619028502609396</v>
      </c>
      <c r="X5" s="9">
        <f>VLOOKUP($A5,'RES installed'!$A$2:$C$7,3,FALSE)*'[1]Profiles, RES, Summer'!X$5</f>
        <v>38.795664391810519</v>
      </c>
      <c r="Y5" s="9">
        <f>VLOOKUP($A5,'RES installed'!$A$2:$C$7,3,FALSE)*'[1]Profiles, RES, Summer'!Y$5</f>
        <v>37.414692894419915</v>
      </c>
    </row>
    <row r="6" spans="1:25" x14ac:dyDescent="0.3">
      <c r="A6" s="8">
        <v>5</v>
      </c>
      <c r="B6" s="9">
        <f>VLOOKUP($A6,'RES installed'!$A$2:$C$7,3,FALSE)*'[1]Profiles, RES, Summer'!B$5</f>
        <v>32.420714572460852</v>
      </c>
      <c r="C6" s="9">
        <f>VLOOKUP($A6,'RES installed'!$A$2:$C$7,3,FALSE)*'[1]Profiles, RES, Summer'!C$5</f>
        <v>29.65074267362505</v>
      </c>
      <c r="D6" s="9">
        <f>VLOOKUP($A6,'RES installed'!$A$2:$C$7,3,FALSE)*'[1]Profiles, RES, Summer'!D$5</f>
        <v>25.941389000401443</v>
      </c>
      <c r="E6" s="9">
        <f>VLOOKUP($A6,'RES installed'!$A$2:$C$7,3,FALSE)*'[1]Profiles, RES, Summer'!E$5</f>
        <v>25.845042151746288</v>
      </c>
      <c r="F6" s="9">
        <f>VLOOKUP($A6,'RES installed'!$A$2:$C$7,3,FALSE)*'[1]Profiles, RES, Summer'!F$5</f>
        <v>24.472099558410278</v>
      </c>
      <c r="G6" s="9">
        <f>VLOOKUP($A6,'RES installed'!$A$2:$C$7,3,FALSE)*'[1]Profiles, RES, Summer'!G$5</f>
        <v>22.545162585307107</v>
      </c>
      <c r="H6" s="9">
        <f>VLOOKUP($A6,'RES installed'!$A$2:$C$7,3,FALSE)*'[1]Profiles, RES, Summer'!H$5</f>
        <v>19.823364110798877</v>
      </c>
      <c r="I6" s="9">
        <f>VLOOKUP($A6,'RES installed'!$A$2:$C$7,3,FALSE)*'[1]Profiles, RES, Summer'!I$5</f>
        <v>15.584102769971897</v>
      </c>
      <c r="J6" s="9">
        <f>VLOOKUP($A6,'RES installed'!$A$2:$C$7,3,FALSE)*'[1]Profiles, RES, Summer'!J$5</f>
        <v>12.958651144118827</v>
      </c>
      <c r="K6" s="9">
        <f>VLOOKUP($A6,'RES installed'!$A$2:$C$7,3,FALSE)*'[1]Profiles, RES, Summer'!K$5</f>
        <v>12.11561621838619</v>
      </c>
      <c r="L6" s="9">
        <f>VLOOKUP($A6,'RES installed'!$A$2:$C$7,3,FALSE)*'[1]Profiles, RES, Summer'!L$5</f>
        <v>11.152147731834605</v>
      </c>
      <c r="M6" s="9">
        <f>VLOOKUP($A6,'RES installed'!$A$2:$C$7,3,FALSE)*'[1]Profiles, RES, Summer'!M$5</f>
        <v>12.549177037334404</v>
      </c>
      <c r="N6" s="9">
        <f>VLOOKUP($A6,'RES installed'!$A$2:$C$7,3,FALSE)*'[1]Profiles, RES, Summer'!N$5</f>
        <v>15.776796467282214</v>
      </c>
      <c r="O6" s="9">
        <f>VLOOKUP($A6,'RES installed'!$A$2:$C$7,3,FALSE)*'[1]Profiles, RES, Summer'!O$5</f>
        <v>19.58249698916098</v>
      </c>
      <c r="P6" s="9">
        <f>VLOOKUP($A6,'RES installed'!$A$2:$C$7,3,FALSE)*'[1]Profiles, RES, Summer'!P$5</f>
        <v>26.134082697711762</v>
      </c>
      <c r="Q6" s="9">
        <f>VLOOKUP($A6,'RES installed'!$A$2:$C$7,3,FALSE)*'[1]Profiles, RES, Summer'!Q$5</f>
        <v>33.360096346848657</v>
      </c>
      <c r="R6" s="9">
        <f>VLOOKUP($A6,'RES installed'!$A$2:$C$7,3,FALSE)*'[1]Profiles, RES, Summer'!R$5</f>
        <v>39.429947812123643</v>
      </c>
      <c r="S6" s="9">
        <f>VLOOKUP($A6,'RES installed'!$A$2:$C$7,3,FALSE)*'[1]Profiles, RES, Summer'!S$5</f>
        <v>42.079486150140504</v>
      </c>
      <c r="T6" s="9">
        <f>VLOOKUP($A6,'RES installed'!$A$2:$C$7,3,FALSE)*'[1]Profiles, RES, Summer'!T$5</f>
        <v>45.283018867924532</v>
      </c>
      <c r="U6" s="9">
        <f>VLOOKUP($A6,'RES installed'!$A$2:$C$7,3,FALSE)*'[1]Profiles, RES, Summer'!U$5</f>
        <v>50.437575270975508</v>
      </c>
      <c r="V6" s="9">
        <f>VLOOKUP($A6,'RES installed'!$A$2:$C$7,3,FALSE)*'[1]Profiles, RES, Summer'!V$5</f>
        <v>55.61621838619029</v>
      </c>
      <c r="W6" s="9">
        <f>VLOOKUP($A6,'RES installed'!$A$2:$C$7,3,FALSE)*'[1]Profiles, RES, Summer'!W$5</f>
        <v>57.928542753914094</v>
      </c>
      <c r="X6" s="9">
        <f>VLOOKUP($A6,'RES installed'!$A$2:$C$7,3,FALSE)*'[1]Profiles, RES, Summer'!X$5</f>
        <v>58.193496587715771</v>
      </c>
      <c r="Y6" s="9">
        <f>VLOOKUP($A6,'RES installed'!$A$2:$C$7,3,FALSE)*'[1]Profiles, RES, Summer'!Y$5</f>
        <v>56.122039341629865</v>
      </c>
    </row>
    <row r="7" spans="1:25" x14ac:dyDescent="0.3">
      <c r="A7" s="8">
        <v>6</v>
      </c>
      <c r="B7" s="9">
        <f>VLOOKUP($A7,'RES installed'!$A$2:$C$7,3,FALSE)*'[1]Profiles, RES, Summer'!B$5</f>
        <v>20.262946607788034</v>
      </c>
      <c r="C7" s="9">
        <f>VLOOKUP($A7,'RES installed'!$A$2:$C$7,3,FALSE)*'[1]Profiles, RES, Summer'!C$5</f>
        <v>18.531714171015658</v>
      </c>
      <c r="D7" s="9">
        <f>VLOOKUP($A7,'RES installed'!$A$2:$C$7,3,FALSE)*'[1]Profiles, RES, Summer'!D$5</f>
        <v>16.213368125250902</v>
      </c>
      <c r="E7" s="9">
        <f>VLOOKUP($A7,'RES installed'!$A$2:$C$7,3,FALSE)*'[1]Profiles, RES, Summer'!E$5</f>
        <v>16.153151344841429</v>
      </c>
      <c r="F7" s="9">
        <f>VLOOKUP($A7,'RES installed'!$A$2:$C$7,3,FALSE)*'[1]Profiles, RES, Summer'!F$5</f>
        <v>15.295062224006424</v>
      </c>
      <c r="G7" s="9">
        <f>VLOOKUP($A7,'RES installed'!$A$2:$C$7,3,FALSE)*'[1]Profiles, RES, Summer'!G$5</f>
        <v>14.090726615816941</v>
      </c>
      <c r="H7" s="9">
        <f>VLOOKUP($A7,'RES installed'!$A$2:$C$7,3,FALSE)*'[1]Profiles, RES, Summer'!H$5</f>
        <v>12.389602569249298</v>
      </c>
      <c r="I7" s="9">
        <f>VLOOKUP($A7,'RES installed'!$A$2:$C$7,3,FALSE)*'[1]Profiles, RES, Summer'!I$5</f>
        <v>9.7400642312324361</v>
      </c>
      <c r="J7" s="9">
        <f>VLOOKUP($A7,'RES installed'!$A$2:$C$7,3,FALSE)*'[1]Profiles, RES, Summer'!J$5</f>
        <v>8.0991569650742665</v>
      </c>
      <c r="K7" s="9">
        <f>VLOOKUP($A7,'RES installed'!$A$2:$C$7,3,FALSE)*'[1]Profiles, RES, Summer'!K$5</f>
        <v>7.5722601364913693</v>
      </c>
      <c r="L7" s="9">
        <f>VLOOKUP($A7,'RES installed'!$A$2:$C$7,3,FALSE)*'[1]Profiles, RES, Summer'!L$5</f>
        <v>6.9700923323966277</v>
      </c>
      <c r="M7" s="9">
        <f>VLOOKUP($A7,'RES installed'!$A$2:$C$7,3,FALSE)*'[1]Profiles, RES, Summer'!M$5</f>
        <v>7.8432356483340024</v>
      </c>
      <c r="N7" s="9">
        <f>VLOOKUP($A7,'RES installed'!$A$2:$C$7,3,FALSE)*'[1]Profiles, RES, Summer'!N$5</f>
        <v>9.860497792051385</v>
      </c>
      <c r="O7" s="9">
        <f>VLOOKUP($A7,'RES installed'!$A$2:$C$7,3,FALSE)*'[1]Profiles, RES, Summer'!O$5</f>
        <v>12.239060618225613</v>
      </c>
      <c r="P7" s="9">
        <f>VLOOKUP($A7,'RES installed'!$A$2:$C$7,3,FALSE)*'[1]Profiles, RES, Summer'!P$5</f>
        <v>16.333801686069851</v>
      </c>
      <c r="Q7" s="9">
        <f>VLOOKUP($A7,'RES installed'!$A$2:$C$7,3,FALSE)*'[1]Profiles, RES, Summer'!Q$5</f>
        <v>20.85006021678041</v>
      </c>
      <c r="R7" s="9">
        <f>VLOOKUP($A7,'RES installed'!$A$2:$C$7,3,FALSE)*'[1]Profiles, RES, Summer'!R$5</f>
        <v>24.643717382577279</v>
      </c>
      <c r="S7" s="9">
        <f>VLOOKUP($A7,'RES installed'!$A$2:$C$7,3,FALSE)*'[1]Profiles, RES, Summer'!S$5</f>
        <v>26.299678843837818</v>
      </c>
      <c r="T7" s="9">
        <f>VLOOKUP($A7,'RES installed'!$A$2:$C$7,3,FALSE)*'[1]Profiles, RES, Summer'!T$5</f>
        <v>28.301886792452834</v>
      </c>
      <c r="U7" s="9">
        <f>VLOOKUP($A7,'RES installed'!$A$2:$C$7,3,FALSE)*'[1]Profiles, RES, Summer'!U$5</f>
        <v>31.523484544359693</v>
      </c>
      <c r="V7" s="9">
        <f>VLOOKUP($A7,'RES installed'!$A$2:$C$7,3,FALSE)*'[1]Profiles, RES, Summer'!V$5</f>
        <v>34.760136491368932</v>
      </c>
      <c r="W7" s="9">
        <f>VLOOKUP($A7,'RES installed'!$A$2:$C$7,3,FALSE)*'[1]Profiles, RES, Summer'!W$5</f>
        <v>36.205339221196311</v>
      </c>
      <c r="X7" s="9">
        <f>VLOOKUP($A7,'RES installed'!$A$2:$C$7,3,FALSE)*'[1]Profiles, RES, Summer'!X$5</f>
        <v>36.37093536732236</v>
      </c>
      <c r="Y7" s="9">
        <f>VLOOKUP($A7,'RES installed'!$A$2:$C$7,3,FALSE)*'[1]Profiles, RES, Summer'!Y$5</f>
        <v>35.076274588518665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0.28430629264594387</v>
      </c>
      <c r="H8" s="6">
        <f>VLOOKUP($A8,'RES installed'!$A$2:$C$7,3,FALSE)*'[1]Profiles, RES, Summer'!H$2</f>
        <v>8.3396512509476874</v>
      </c>
      <c r="I8" s="6">
        <f>VLOOKUP($A8,'RES installed'!$A$2:$C$7,3,FALSE)*'[1]Profiles, RES, Summer'!I$2</f>
        <v>34.685367702805159</v>
      </c>
      <c r="J8" s="6">
        <f>VLOOKUP($A8,'RES installed'!$A$2:$C$7,3,FALSE)*'[1]Profiles, RES, Summer'!J$2</f>
        <v>71.834723275208503</v>
      </c>
      <c r="K8" s="6">
        <f>VLOOKUP($A8,'RES installed'!$A$2:$C$7,3,FALSE)*'[1]Profiles, RES, Summer'!K$2</f>
        <v>94.531842304776347</v>
      </c>
      <c r="L8" s="6">
        <f>VLOOKUP($A8,'RES installed'!$A$2:$C$7,3,FALSE)*'[1]Profiles, RES, Summer'!L$2</f>
        <v>108.60500379075057</v>
      </c>
      <c r="M8" s="6">
        <f>VLOOKUP($A8,'RES installed'!$A$2:$C$7,3,FALSE)*'[1]Profiles, RES, Summer'!M$2</f>
        <v>114.95451099317665</v>
      </c>
      <c r="N8" s="6">
        <f>VLOOKUP($A8,'RES installed'!$A$2:$C$7,3,FALSE)*'[1]Profiles, RES, Summer'!N$2</f>
        <v>117.51326762699014</v>
      </c>
      <c r="O8" s="6">
        <f>VLOOKUP($A8,'RES installed'!$A$2:$C$7,3,FALSE)*'[1]Profiles, RES, Summer'!O$2</f>
        <v>117.56065200909781</v>
      </c>
      <c r="P8" s="6">
        <f>VLOOKUP($A8,'RES installed'!$A$2:$C$7,3,FALSE)*'[1]Profiles, RES, Summer'!P$2</f>
        <v>113.53297952994693</v>
      </c>
      <c r="Q8" s="6">
        <f>VLOOKUP($A8,'RES installed'!$A$2:$C$7,3,FALSE)*'[1]Profiles, RES, Summer'!Q$2</f>
        <v>100.97611827141773</v>
      </c>
      <c r="R8" s="6">
        <f>VLOOKUP($A8,'RES installed'!$A$2:$C$7,3,FALSE)*'[1]Profiles, RES, Summer'!R$2</f>
        <v>80.932524639878693</v>
      </c>
      <c r="S8" s="6">
        <f>VLOOKUP($A8,'RES installed'!$A$2:$C$7,3,FALSE)*'[1]Profiles, RES, Summer'!S$2</f>
        <v>52.359742228961338</v>
      </c>
      <c r="T8" s="6">
        <f>VLOOKUP($A8,'RES installed'!$A$2:$C$7,3,FALSE)*'[1]Profiles, RES, Summer'!T$2</f>
        <v>18.24298711144807</v>
      </c>
      <c r="U8" s="6">
        <f>VLOOKUP($A8,'RES installed'!$A$2:$C$7,3,FALSE)*'[1]Profiles, RES, Summer'!U$2</f>
        <v>1.5163002274450341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0.1819560272934041</v>
      </c>
      <c r="H9" s="6">
        <f>VLOOKUP($A9,'RES installed'!$A$2:$C$7,3,FALSE)*'[1]Profiles, RES, Summer'!H$2</f>
        <v>5.3373768006065205</v>
      </c>
      <c r="I9" s="6">
        <f>VLOOKUP($A9,'RES installed'!$A$2:$C$7,3,FALSE)*'[1]Profiles, RES, Summer'!I$2</f>
        <v>22.198635329795302</v>
      </c>
      <c r="J9" s="6">
        <f>VLOOKUP($A9,'RES installed'!$A$2:$C$7,3,FALSE)*'[1]Profiles, RES, Summer'!J$2</f>
        <v>45.97422289613344</v>
      </c>
      <c r="K9" s="6">
        <f>VLOOKUP($A9,'RES installed'!$A$2:$C$7,3,FALSE)*'[1]Profiles, RES, Summer'!K$2</f>
        <v>60.500379075056863</v>
      </c>
      <c r="L9" s="6">
        <f>VLOOKUP($A9,'RES installed'!$A$2:$C$7,3,FALSE)*'[1]Profiles, RES, Summer'!L$2</f>
        <v>69.507202426080369</v>
      </c>
      <c r="M9" s="6">
        <f>VLOOKUP($A9,'RES installed'!$A$2:$C$7,3,FALSE)*'[1]Profiles, RES, Summer'!M$2</f>
        <v>73.570887035633049</v>
      </c>
      <c r="N9" s="6">
        <f>VLOOKUP($A9,'RES installed'!$A$2:$C$7,3,FALSE)*'[1]Profiles, RES, Summer'!N$2</f>
        <v>75.208491281273695</v>
      </c>
      <c r="O9" s="6">
        <f>VLOOKUP($A9,'RES installed'!$A$2:$C$7,3,FALSE)*'[1]Profiles, RES, Summer'!O$2</f>
        <v>75.238817285822591</v>
      </c>
      <c r="P9" s="6">
        <f>VLOOKUP($A9,'RES installed'!$A$2:$C$7,3,FALSE)*'[1]Profiles, RES, Summer'!P$2</f>
        <v>72.661106899166029</v>
      </c>
      <c r="Q9" s="6">
        <f>VLOOKUP($A9,'RES installed'!$A$2:$C$7,3,FALSE)*'[1]Profiles, RES, Summer'!Q$2</f>
        <v>64.624715693707358</v>
      </c>
      <c r="R9" s="6">
        <f>VLOOKUP($A9,'RES installed'!$A$2:$C$7,3,FALSE)*'[1]Profiles, RES, Summer'!R$2</f>
        <v>51.796815769522368</v>
      </c>
      <c r="S9" s="6">
        <f>VLOOKUP($A9,'RES installed'!$A$2:$C$7,3,FALSE)*'[1]Profiles, RES, Summer'!S$2</f>
        <v>33.510235026535256</v>
      </c>
      <c r="T9" s="6">
        <f>VLOOKUP($A9,'RES installed'!$A$2:$C$7,3,FALSE)*'[1]Profiles, RES, Summer'!T$2</f>
        <v>11.675511751326763</v>
      </c>
      <c r="U9" s="6">
        <f>VLOOKUP($A9,'RES installed'!$A$2:$C$7,3,FALSE)*'[1]Profiles, RES, Summer'!U$2</f>
        <v>0.97043214556482182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0.2047005307050796</v>
      </c>
      <c r="H10" s="6">
        <f>VLOOKUP($A10,'RES installed'!$A$2:$C$7,3,FALSE)*'[1]Profiles, RES, Summer'!H$2</f>
        <v>6.0045489006823356</v>
      </c>
      <c r="I10" s="6">
        <f>VLOOKUP($A10,'RES installed'!$A$2:$C$7,3,FALSE)*'[1]Profiles, RES, Summer'!I$2</f>
        <v>24.973464746019712</v>
      </c>
      <c r="J10" s="6">
        <f>VLOOKUP($A10,'RES installed'!$A$2:$C$7,3,FALSE)*'[1]Profiles, RES, Summer'!J$2</f>
        <v>51.721000758150119</v>
      </c>
      <c r="K10" s="6">
        <f>VLOOKUP($A10,'RES installed'!$A$2:$C$7,3,FALSE)*'[1]Profiles, RES, Summer'!K$2</f>
        <v>68.06292645943897</v>
      </c>
      <c r="L10" s="6">
        <f>VLOOKUP($A10,'RES installed'!$A$2:$C$7,3,FALSE)*'[1]Profiles, RES, Summer'!L$2</f>
        <v>78.195602729340408</v>
      </c>
      <c r="M10" s="6">
        <f>VLOOKUP($A10,'RES installed'!$A$2:$C$7,3,FALSE)*'[1]Profiles, RES, Summer'!M$2</f>
        <v>82.767247915087182</v>
      </c>
      <c r="N10" s="6">
        <f>VLOOKUP($A10,'RES installed'!$A$2:$C$7,3,FALSE)*'[1]Profiles, RES, Summer'!N$2</f>
        <v>84.60955269143291</v>
      </c>
      <c r="O10" s="6">
        <f>VLOOKUP($A10,'RES installed'!$A$2:$C$7,3,FALSE)*'[1]Profiles, RES, Summer'!O$2</f>
        <v>84.643669446550419</v>
      </c>
      <c r="P10" s="6">
        <f>VLOOKUP($A10,'RES installed'!$A$2:$C$7,3,FALSE)*'[1]Profiles, RES, Summer'!P$2</f>
        <v>81.743745261561784</v>
      </c>
      <c r="Q10" s="6">
        <f>VLOOKUP($A10,'RES installed'!$A$2:$C$7,3,FALSE)*'[1]Profiles, RES, Summer'!Q$2</f>
        <v>72.702805155420776</v>
      </c>
      <c r="R10" s="6">
        <f>VLOOKUP($A10,'RES installed'!$A$2:$C$7,3,FALSE)*'[1]Profiles, RES, Summer'!R$2</f>
        <v>58.271417740712664</v>
      </c>
      <c r="S10" s="6">
        <f>VLOOKUP($A10,'RES installed'!$A$2:$C$7,3,FALSE)*'[1]Profiles, RES, Summer'!S$2</f>
        <v>37.699014404852164</v>
      </c>
      <c r="T10" s="6">
        <f>VLOOKUP($A10,'RES installed'!$A$2:$C$7,3,FALSE)*'[1]Profiles, RES, Summer'!T$2</f>
        <v>13.134950720242609</v>
      </c>
      <c r="U10" s="6">
        <f>VLOOKUP($A10,'RES installed'!$A$2:$C$7,3,FALSE)*'[1]Profiles, RES, Summer'!U$2</f>
        <v>1.0917361637604246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22.802087515054197</v>
      </c>
      <c r="C5" s="9">
        <f>VLOOKUP($A5,'RES installed'!$A$2:$C$7,3,FALSE)*'[1]Profiles, RES, Summer'!C$6</f>
        <v>21.180248896025692</v>
      </c>
      <c r="D5" s="9">
        <f>VLOOKUP($A5,'RES installed'!$A$2:$C$7,3,FALSE)*'[1]Profiles, RES, Summer'!D$6</f>
        <v>21.53352067442794</v>
      </c>
      <c r="E5" s="9">
        <f>VLOOKUP($A5,'RES installed'!$A$2:$C$7,3,FALSE)*'[1]Profiles, RES, Summer'!E$6</f>
        <v>19.462063428342031</v>
      </c>
      <c r="F5" s="9">
        <f>VLOOKUP($A5,'RES installed'!$A$2:$C$7,3,FALSE)*'[1]Profiles, RES, Summer'!F$6</f>
        <v>18.20955439582497</v>
      </c>
      <c r="G5" s="9">
        <f>VLOOKUP($A5,'RES installed'!$A$2:$C$7,3,FALSE)*'[1]Profiles, RES, Summer'!G$6</f>
        <v>19.333600963468488</v>
      </c>
      <c r="H5" s="9">
        <f>VLOOKUP($A5,'RES installed'!$A$2:$C$7,3,FALSE)*'[1]Profiles, RES, Summer'!H$6</f>
        <v>19.124849458048978</v>
      </c>
      <c r="I5" s="9">
        <f>VLOOKUP($A5,'RES installed'!$A$2:$C$7,3,FALSE)*'[1]Profiles, RES, Summer'!I$6</f>
        <v>14.098755519871538</v>
      </c>
      <c r="J5" s="9">
        <f>VLOOKUP($A5,'RES installed'!$A$2:$C$7,3,FALSE)*'[1]Profiles, RES, Summer'!J$6</f>
        <v>9.0244881573665197</v>
      </c>
      <c r="K5" s="9">
        <f>VLOOKUP($A5,'RES installed'!$A$2:$C$7,3,FALSE)*'[1]Profiles, RES, Summer'!K$6</f>
        <v>6.5676435166599756</v>
      </c>
      <c r="L5" s="9">
        <f>VLOOKUP($A5,'RES installed'!$A$2:$C$7,3,FALSE)*'[1]Profiles, RES, Summer'!L$6</f>
        <v>4.9618627057406659</v>
      </c>
      <c r="M5" s="9">
        <f>VLOOKUP($A5,'RES installed'!$A$2:$C$7,3,FALSE)*'[1]Profiles, RES, Summer'!M$6</f>
        <v>4.6567643516659976</v>
      </c>
      <c r="N5" s="9">
        <f>VLOOKUP($A5,'RES installed'!$A$2:$C$7,3,FALSE)*'[1]Profiles, RES, Summer'!N$6</f>
        <v>5.8289843436370941</v>
      </c>
      <c r="O5" s="9">
        <f>VLOOKUP($A5,'RES installed'!$A$2:$C$7,3,FALSE)*'[1]Profiles, RES, Summer'!O$6</f>
        <v>7.5632276194299477</v>
      </c>
      <c r="P5" s="9">
        <f>VLOOKUP($A5,'RES installed'!$A$2:$C$7,3,FALSE)*'[1]Profiles, RES, Summer'!P$6</f>
        <v>10.774789241268568</v>
      </c>
      <c r="Q5" s="9">
        <f>VLOOKUP($A5,'RES installed'!$A$2:$C$7,3,FALSE)*'[1]Profiles, RES, Summer'!Q$6</f>
        <v>13.600963468486551</v>
      </c>
      <c r="R5" s="9">
        <f>VLOOKUP($A5,'RES installed'!$A$2:$C$7,3,FALSE)*'[1]Profiles, RES, Summer'!R$6</f>
        <v>16.282617422721799</v>
      </c>
      <c r="S5" s="9">
        <f>VLOOKUP($A5,'RES installed'!$A$2:$C$7,3,FALSE)*'[1]Profiles, RES, Summer'!S$6</f>
        <v>17.390606182256121</v>
      </c>
      <c r="T5" s="9">
        <f>VLOOKUP($A5,'RES installed'!$A$2:$C$7,3,FALSE)*'[1]Profiles, RES, Summer'!T$6</f>
        <v>16.539542352468889</v>
      </c>
      <c r="U5" s="9">
        <f>VLOOKUP($A5,'RES installed'!$A$2:$C$7,3,FALSE)*'[1]Profiles, RES, Summer'!U$6</f>
        <v>16.041750301083901</v>
      </c>
      <c r="V5" s="9">
        <f>VLOOKUP($A5,'RES installed'!$A$2:$C$7,3,FALSE)*'[1]Profiles, RES, Summer'!V$6</f>
        <v>16.089923725411481</v>
      </c>
      <c r="W5" s="9">
        <f>VLOOKUP($A5,'RES installed'!$A$2:$C$7,3,FALSE)*'[1]Profiles, RES, Summer'!W$6</f>
        <v>14.78924126856684</v>
      </c>
      <c r="X5" s="9">
        <f>VLOOKUP($A5,'RES installed'!$A$2:$C$7,3,FALSE)*'[1]Profiles, RES, Summer'!X$6</f>
        <v>13.713368125250904</v>
      </c>
      <c r="Y5" s="9">
        <f>VLOOKUP($A5,'RES installed'!$A$2:$C$7,3,FALSE)*'[1]Profiles, RES, Summer'!Y$6</f>
        <v>13.9542352468888</v>
      </c>
    </row>
    <row r="6" spans="1:25" x14ac:dyDescent="0.3">
      <c r="A6" s="8">
        <v>5</v>
      </c>
      <c r="B6" s="9">
        <f>VLOOKUP($A6,'RES installed'!$A$2:$C$7,3,FALSE)*'[1]Profiles, RES, Summer'!B$6</f>
        <v>34.203131272581295</v>
      </c>
      <c r="C6" s="9">
        <f>VLOOKUP($A6,'RES installed'!$A$2:$C$7,3,FALSE)*'[1]Profiles, RES, Summer'!C$6</f>
        <v>31.770373344038536</v>
      </c>
      <c r="D6" s="9">
        <f>VLOOKUP($A6,'RES installed'!$A$2:$C$7,3,FALSE)*'[1]Profiles, RES, Summer'!D$6</f>
        <v>32.300281011641907</v>
      </c>
      <c r="E6" s="9">
        <f>VLOOKUP($A6,'RES installed'!$A$2:$C$7,3,FALSE)*'[1]Profiles, RES, Summer'!E$6</f>
        <v>29.193095142513048</v>
      </c>
      <c r="F6" s="9">
        <f>VLOOKUP($A6,'RES installed'!$A$2:$C$7,3,FALSE)*'[1]Profiles, RES, Summer'!F$6</f>
        <v>27.314331593737453</v>
      </c>
      <c r="G6" s="9">
        <f>VLOOKUP($A6,'RES installed'!$A$2:$C$7,3,FALSE)*'[1]Profiles, RES, Summer'!G$6</f>
        <v>29.00040144520273</v>
      </c>
      <c r="H6" s="9">
        <f>VLOOKUP($A6,'RES installed'!$A$2:$C$7,3,FALSE)*'[1]Profiles, RES, Summer'!H$6</f>
        <v>28.687274187073463</v>
      </c>
      <c r="I6" s="9">
        <f>VLOOKUP($A6,'RES installed'!$A$2:$C$7,3,FALSE)*'[1]Profiles, RES, Summer'!I$6</f>
        <v>21.148133279807308</v>
      </c>
      <c r="J6" s="9">
        <f>VLOOKUP($A6,'RES installed'!$A$2:$C$7,3,FALSE)*'[1]Profiles, RES, Summer'!J$6</f>
        <v>13.536732236049779</v>
      </c>
      <c r="K6" s="9">
        <f>VLOOKUP($A6,'RES installed'!$A$2:$C$7,3,FALSE)*'[1]Profiles, RES, Summer'!K$6</f>
        <v>9.8514652749899625</v>
      </c>
      <c r="L6" s="9">
        <f>VLOOKUP($A6,'RES installed'!$A$2:$C$7,3,FALSE)*'[1]Profiles, RES, Summer'!L$6</f>
        <v>7.4427940586109989</v>
      </c>
      <c r="M6" s="9">
        <f>VLOOKUP($A6,'RES installed'!$A$2:$C$7,3,FALSE)*'[1]Profiles, RES, Summer'!M$6</f>
        <v>6.9851465274989959</v>
      </c>
      <c r="N6" s="9">
        <f>VLOOKUP($A6,'RES installed'!$A$2:$C$7,3,FALSE)*'[1]Profiles, RES, Summer'!N$6</f>
        <v>8.7434765154556402</v>
      </c>
      <c r="O6" s="9">
        <f>VLOOKUP($A6,'RES installed'!$A$2:$C$7,3,FALSE)*'[1]Profiles, RES, Summer'!O$6</f>
        <v>11.344841429144921</v>
      </c>
      <c r="P6" s="9">
        <f>VLOOKUP($A6,'RES installed'!$A$2:$C$7,3,FALSE)*'[1]Profiles, RES, Summer'!P$6</f>
        <v>16.16218386190285</v>
      </c>
      <c r="Q6" s="9">
        <f>VLOOKUP($A6,'RES installed'!$A$2:$C$7,3,FALSE)*'[1]Profiles, RES, Summer'!Q$6</f>
        <v>20.401445202729825</v>
      </c>
      <c r="R6" s="9">
        <f>VLOOKUP($A6,'RES installed'!$A$2:$C$7,3,FALSE)*'[1]Profiles, RES, Summer'!R$6</f>
        <v>24.423926134082699</v>
      </c>
      <c r="S6" s="9">
        <f>VLOOKUP($A6,'RES installed'!$A$2:$C$7,3,FALSE)*'[1]Profiles, RES, Summer'!S$6</f>
        <v>26.085909273384186</v>
      </c>
      <c r="T6" s="9">
        <f>VLOOKUP($A6,'RES installed'!$A$2:$C$7,3,FALSE)*'[1]Profiles, RES, Summer'!T$6</f>
        <v>24.809313528703331</v>
      </c>
      <c r="U6" s="9">
        <f>VLOOKUP($A6,'RES installed'!$A$2:$C$7,3,FALSE)*'[1]Profiles, RES, Summer'!U$6</f>
        <v>24.062625451625852</v>
      </c>
      <c r="V6" s="9">
        <f>VLOOKUP($A6,'RES installed'!$A$2:$C$7,3,FALSE)*'[1]Profiles, RES, Summer'!V$6</f>
        <v>24.134885588117221</v>
      </c>
      <c r="W6" s="9">
        <f>VLOOKUP($A6,'RES installed'!$A$2:$C$7,3,FALSE)*'[1]Profiles, RES, Summer'!W$6</f>
        <v>22.183861902850261</v>
      </c>
      <c r="X6" s="9">
        <f>VLOOKUP($A6,'RES installed'!$A$2:$C$7,3,FALSE)*'[1]Profiles, RES, Summer'!X$6</f>
        <v>20.570052187876357</v>
      </c>
      <c r="Y6" s="9">
        <f>VLOOKUP($A6,'RES installed'!$A$2:$C$7,3,FALSE)*'[1]Profiles, RES, Summer'!Y$6</f>
        <v>20.9313528703332</v>
      </c>
    </row>
    <row r="7" spans="1:25" x14ac:dyDescent="0.3">
      <c r="A7" s="8">
        <v>6</v>
      </c>
      <c r="B7" s="9">
        <f>VLOOKUP($A7,'RES installed'!$A$2:$C$7,3,FALSE)*'[1]Profiles, RES, Summer'!B$6</f>
        <v>21.376957045363309</v>
      </c>
      <c r="C7" s="9">
        <f>VLOOKUP($A7,'RES installed'!$A$2:$C$7,3,FALSE)*'[1]Profiles, RES, Summer'!C$6</f>
        <v>19.856483340024084</v>
      </c>
      <c r="D7" s="9">
        <f>VLOOKUP($A7,'RES installed'!$A$2:$C$7,3,FALSE)*'[1]Profiles, RES, Summer'!D$6</f>
        <v>20.187675632276193</v>
      </c>
      <c r="E7" s="9">
        <f>VLOOKUP($A7,'RES installed'!$A$2:$C$7,3,FALSE)*'[1]Profiles, RES, Summer'!E$6</f>
        <v>18.245684464070653</v>
      </c>
      <c r="F7" s="9">
        <f>VLOOKUP($A7,'RES installed'!$A$2:$C$7,3,FALSE)*'[1]Profiles, RES, Summer'!F$6</f>
        <v>17.07145724608591</v>
      </c>
      <c r="G7" s="9">
        <f>VLOOKUP($A7,'RES installed'!$A$2:$C$7,3,FALSE)*'[1]Profiles, RES, Summer'!G$6</f>
        <v>18.125250903251708</v>
      </c>
      <c r="H7" s="9">
        <f>VLOOKUP($A7,'RES installed'!$A$2:$C$7,3,FALSE)*'[1]Profiles, RES, Summer'!H$6</f>
        <v>17.929546366920913</v>
      </c>
      <c r="I7" s="9">
        <f>VLOOKUP($A7,'RES installed'!$A$2:$C$7,3,FALSE)*'[1]Profiles, RES, Summer'!I$6</f>
        <v>13.217583299879566</v>
      </c>
      <c r="J7" s="9">
        <f>VLOOKUP($A7,'RES installed'!$A$2:$C$7,3,FALSE)*'[1]Profiles, RES, Summer'!J$6</f>
        <v>8.4604576475311113</v>
      </c>
      <c r="K7" s="9">
        <f>VLOOKUP($A7,'RES installed'!$A$2:$C$7,3,FALSE)*'[1]Profiles, RES, Summer'!K$6</f>
        <v>6.1571657968687274</v>
      </c>
      <c r="L7" s="9">
        <f>VLOOKUP($A7,'RES installed'!$A$2:$C$7,3,FALSE)*'[1]Profiles, RES, Summer'!L$6</f>
        <v>4.6517462866318748</v>
      </c>
      <c r="M7" s="9">
        <f>VLOOKUP($A7,'RES installed'!$A$2:$C$7,3,FALSE)*'[1]Profiles, RES, Summer'!M$6</f>
        <v>4.3657165796868727</v>
      </c>
      <c r="N7" s="9">
        <f>VLOOKUP($A7,'RES installed'!$A$2:$C$7,3,FALSE)*'[1]Profiles, RES, Summer'!N$6</f>
        <v>5.4646728221597751</v>
      </c>
      <c r="O7" s="9">
        <f>VLOOKUP($A7,'RES installed'!$A$2:$C$7,3,FALSE)*'[1]Profiles, RES, Summer'!O$6</f>
        <v>7.0905258932155757</v>
      </c>
      <c r="P7" s="9">
        <f>VLOOKUP($A7,'RES installed'!$A$2:$C$7,3,FALSE)*'[1]Profiles, RES, Summer'!P$6</f>
        <v>10.101364913689283</v>
      </c>
      <c r="Q7" s="9">
        <f>VLOOKUP($A7,'RES installed'!$A$2:$C$7,3,FALSE)*'[1]Profiles, RES, Summer'!Q$6</f>
        <v>12.750903251706141</v>
      </c>
      <c r="R7" s="9">
        <f>VLOOKUP($A7,'RES installed'!$A$2:$C$7,3,FALSE)*'[1]Profiles, RES, Summer'!R$6</f>
        <v>15.264953833801687</v>
      </c>
      <c r="S7" s="9">
        <f>VLOOKUP($A7,'RES installed'!$A$2:$C$7,3,FALSE)*'[1]Profiles, RES, Summer'!S$6</f>
        <v>16.303693295865116</v>
      </c>
      <c r="T7" s="9">
        <f>VLOOKUP($A7,'RES installed'!$A$2:$C$7,3,FALSE)*'[1]Profiles, RES, Summer'!T$6</f>
        <v>15.505820955439582</v>
      </c>
      <c r="U7" s="9">
        <f>VLOOKUP($A7,'RES installed'!$A$2:$C$7,3,FALSE)*'[1]Profiles, RES, Summer'!U$6</f>
        <v>15.039140907266157</v>
      </c>
      <c r="V7" s="9">
        <f>VLOOKUP($A7,'RES installed'!$A$2:$C$7,3,FALSE)*'[1]Profiles, RES, Summer'!V$6</f>
        <v>15.084303492573264</v>
      </c>
      <c r="W7" s="9">
        <f>VLOOKUP($A7,'RES installed'!$A$2:$C$7,3,FALSE)*'[1]Profiles, RES, Summer'!W$6</f>
        <v>13.864913689281412</v>
      </c>
      <c r="X7" s="9">
        <f>VLOOKUP($A7,'RES installed'!$A$2:$C$7,3,FALSE)*'[1]Profiles, RES, Summer'!X$6</f>
        <v>12.856282617422723</v>
      </c>
      <c r="Y7" s="9">
        <f>VLOOKUP($A7,'RES installed'!$A$2:$C$7,3,FALSE)*'[1]Profiles, RES, Summer'!Y$6</f>
        <v>13.08209554395825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0.23692191053828657</v>
      </c>
      <c r="H8" s="6">
        <f>VLOOKUP($A8,'RES installed'!$A$2:$C$7,3,FALSE)*'[1]Profiles, RES, Summer'!H$3</f>
        <v>9.9981046247156939</v>
      </c>
      <c r="I8" s="6">
        <f>VLOOKUP($A8,'RES installed'!$A$2:$C$7,3,FALSE)*'[1]Profiles, RES, Summer'!I$3</f>
        <v>40.229340409401061</v>
      </c>
      <c r="J8" s="6">
        <f>VLOOKUP($A8,'RES installed'!$A$2:$C$7,3,FALSE)*'[1]Profiles, RES, Summer'!J$3</f>
        <v>73.540561031084152</v>
      </c>
      <c r="K8" s="6">
        <f>VLOOKUP($A8,'RES installed'!$A$2:$C$7,3,FALSE)*'[1]Profiles, RES, Summer'!K$3</f>
        <v>96.711523881728581</v>
      </c>
      <c r="L8" s="6">
        <f>VLOOKUP($A8,'RES installed'!$A$2:$C$7,3,FALSE)*'[1]Profiles, RES, Summer'!L$3</f>
        <v>112.49052312357846</v>
      </c>
      <c r="M8" s="6">
        <f>VLOOKUP($A8,'RES installed'!$A$2:$C$7,3,FALSE)*'[1]Profiles, RES, Summer'!M$3</f>
        <v>118.31880212282033</v>
      </c>
      <c r="N8" s="6">
        <f>VLOOKUP($A8,'RES installed'!$A$2:$C$7,3,FALSE)*'[1]Profiles, RES, Summer'!N$3</f>
        <v>118.65049279757392</v>
      </c>
      <c r="O8" s="6">
        <f>VLOOKUP($A8,'RES installed'!$A$2:$C$7,3,FALSE)*'[1]Profiles, RES, Summer'!O$3</f>
        <v>116.13912054586808</v>
      </c>
      <c r="P8" s="6">
        <f>VLOOKUP($A8,'RES installed'!$A$2:$C$7,3,FALSE)*'[1]Profiles, RES, Summer'!P$3</f>
        <v>112.44313874147082</v>
      </c>
      <c r="Q8" s="6">
        <f>VLOOKUP($A8,'RES installed'!$A$2:$C$7,3,FALSE)*'[1]Profiles, RES, Summer'!Q$3</f>
        <v>100.31273692191053</v>
      </c>
      <c r="R8" s="6">
        <f>VLOOKUP($A8,'RES installed'!$A$2:$C$7,3,FALSE)*'[1]Profiles, RES, Summer'!R$3</f>
        <v>80.553449583017439</v>
      </c>
      <c r="S8" s="6">
        <f>VLOOKUP($A8,'RES installed'!$A$2:$C$7,3,FALSE)*'[1]Profiles, RES, Summer'!S$3</f>
        <v>50.511751326762699</v>
      </c>
      <c r="T8" s="6">
        <f>VLOOKUP($A8,'RES installed'!$A$2:$C$7,3,FALSE)*'[1]Profiles, RES, Summer'!T$3</f>
        <v>16.44238059135709</v>
      </c>
      <c r="U8" s="6">
        <f>VLOOKUP($A8,'RES installed'!$A$2:$C$7,3,FALSE)*'[1]Profiles, RES, Summer'!U$3</f>
        <v>1.0898407884761183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0.15163002274450341</v>
      </c>
      <c r="H9" s="6">
        <f>VLOOKUP($A9,'RES installed'!$A$2:$C$7,3,FALSE)*'[1]Profiles, RES, Summer'!H$3</f>
        <v>6.3987869598180431</v>
      </c>
      <c r="I9" s="6">
        <f>VLOOKUP($A9,'RES installed'!$A$2:$C$7,3,FALSE)*'[1]Profiles, RES, Summer'!I$3</f>
        <v>25.746777862016682</v>
      </c>
      <c r="J9" s="6">
        <f>VLOOKUP($A9,'RES installed'!$A$2:$C$7,3,FALSE)*'[1]Profiles, RES, Summer'!J$3</f>
        <v>47.065959059893856</v>
      </c>
      <c r="K9" s="6">
        <f>VLOOKUP($A9,'RES installed'!$A$2:$C$7,3,FALSE)*'[1]Profiles, RES, Summer'!K$3</f>
        <v>61.895375284306297</v>
      </c>
      <c r="L9" s="6">
        <f>VLOOKUP($A9,'RES installed'!$A$2:$C$7,3,FALSE)*'[1]Profiles, RES, Summer'!L$3</f>
        <v>71.993934799090212</v>
      </c>
      <c r="M9" s="6">
        <f>VLOOKUP($A9,'RES installed'!$A$2:$C$7,3,FALSE)*'[1]Profiles, RES, Summer'!M$3</f>
        <v>75.724033358605013</v>
      </c>
      <c r="N9" s="6">
        <f>VLOOKUP($A9,'RES installed'!$A$2:$C$7,3,FALSE)*'[1]Profiles, RES, Summer'!N$3</f>
        <v>75.936315390447305</v>
      </c>
      <c r="O9" s="6">
        <f>VLOOKUP($A9,'RES installed'!$A$2:$C$7,3,FALSE)*'[1]Profiles, RES, Summer'!O$3</f>
        <v>74.329037149355571</v>
      </c>
      <c r="P9" s="6">
        <f>VLOOKUP($A9,'RES installed'!$A$2:$C$7,3,FALSE)*'[1]Profiles, RES, Summer'!P$3</f>
        <v>71.963608794541315</v>
      </c>
      <c r="Q9" s="6">
        <f>VLOOKUP($A9,'RES installed'!$A$2:$C$7,3,FALSE)*'[1]Profiles, RES, Summer'!Q$3</f>
        <v>64.200151630022745</v>
      </c>
      <c r="R9" s="6">
        <f>VLOOKUP($A9,'RES installed'!$A$2:$C$7,3,FALSE)*'[1]Profiles, RES, Summer'!R$3</f>
        <v>51.554207733131165</v>
      </c>
      <c r="S9" s="6">
        <f>VLOOKUP($A9,'RES installed'!$A$2:$C$7,3,FALSE)*'[1]Profiles, RES, Summer'!S$3</f>
        <v>32.327520849128128</v>
      </c>
      <c r="T9" s="6">
        <f>VLOOKUP($A9,'RES installed'!$A$2:$C$7,3,FALSE)*'[1]Profiles, RES, Summer'!T$3</f>
        <v>10.523123578468535</v>
      </c>
      <c r="U9" s="6">
        <f>VLOOKUP($A9,'RES installed'!$A$2:$C$7,3,FALSE)*'[1]Profiles, RES, Summer'!U$3</f>
        <v>0.69749810462471573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0.17058377558756635</v>
      </c>
      <c r="H10" s="6">
        <f>VLOOKUP($A10,'RES installed'!$A$2:$C$7,3,FALSE)*'[1]Profiles, RES, Summer'!H$3</f>
        <v>7.198635329795299</v>
      </c>
      <c r="I10" s="6">
        <f>VLOOKUP($A10,'RES installed'!$A$2:$C$7,3,FALSE)*'[1]Profiles, RES, Summer'!I$3</f>
        <v>28.965125094768766</v>
      </c>
      <c r="J10" s="6">
        <f>VLOOKUP($A10,'RES installed'!$A$2:$C$7,3,FALSE)*'[1]Profiles, RES, Summer'!J$3</f>
        <v>52.949203942380592</v>
      </c>
      <c r="K10" s="6">
        <f>VLOOKUP($A10,'RES installed'!$A$2:$C$7,3,FALSE)*'[1]Profiles, RES, Summer'!K$3</f>
        <v>69.632297194844583</v>
      </c>
      <c r="L10" s="6">
        <f>VLOOKUP($A10,'RES installed'!$A$2:$C$7,3,FALSE)*'[1]Profiles, RES, Summer'!L$3</f>
        <v>80.993176648976487</v>
      </c>
      <c r="M10" s="6">
        <f>VLOOKUP($A10,'RES installed'!$A$2:$C$7,3,FALSE)*'[1]Profiles, RES, Summer'!M$3</f>
        <v>85.189537528430634</v>
      </c>
      <c r="N10" s="6">
        <f>VLOOKUP($A10,'RES installed'!$A$2:$C$7,3,FALSE)*'[1]Profiles, RES, Summer'!N$3</f>
        <v>85.428354814253225</v>
      </c>
      <c r="O10" s="6">
        <f>VLOOKUP($A10,'RES installed'!$A$2:$C$7,3,FALSE)*'[1]Profiles, RES, Summer'!O$3</f>
        <v>83.620166793025021</v>
      </c>
      <c r="P10" s="6">
        <f>VLOOKUP($A10,'RES installed'!$A$2:$C$7,3,FALSE)*'[1]Profiles, RES, Summer'!P$3</f>
        <v>80.959059893858992</v>
      </c>
      <c r="Q10" s="6">
        <f>VLOOKUP($A10,'RES installed'!$A$2:$C$7,3,FALSE)*'[1]Profiles, RES, Summer'!Q$3</f>
        <v>72.225170583775579</v>
      </c>
      <c r="R10" s="6">
        <f>VLOOKUP($A10,'RES installed'!$A$2:$C$7,3,FALSE)*'[1]Profiles, RES, Summer'!R$3</f>
        <v>57.998483699772557</v>
      </c>
      <c r="S10" s="6">
        <f>VLOOKUP($A10,'RES installed'!$A$2:$C$7,3,FALSE)*'[1]Profiles, RES, Summer'!S$3</f>
        <v>36.368460955269143</v>
      </c>
      <c r="T10" s="6">
        <f>VLOOKUP($A10,'RES installed'!$A$2:$C$7,3,FALSE)*'[1]Profiles, RES, Summer'!T$3</f>
        <v>11.838514025777103</v>
      </c>
      <c r="U10" s="6">
        <f>VLOOKUP($A10,'RES installed'!$A$2:$C$7,3,FALSE)*'[1]Profiles, RES, Summer'!U$3</f>
        <v>0.78468536770280517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23.81372942593336</v>
      </c>
      <c r="C5" s="9">
        <f>VLOOKUP($A5,'RES installed'!$A$2:$C$7,3,FALSE)*'[1]Profiles, RES, Summer'!C$7</f>
        <v>21.421116017663589</v>
      </c>
      <c r="D5" s="9">
        <f>VLOOKUP($A5,'RES installed'!$A$2:$C$7,3,FALSE)*'[1]Profiles, RES, Summer'!D$7</f>
        <v>17.888398233641109</v>
      </c>
      <c r="E5" s="9">
        <f>VLOOKUP($A5,'RES installed'!$A$2:$C$7,3,FALSE)*'[1]Profiles, RES, Summer'!E$7</f>
        <v>16.908871938980329</v>
      </c>
      <c r="F5" s="9">
        <f>VLOOKUP($A5,'RES installed'!$A$2:$C$7,3,FALSE)*'[1]Profiles, RES, Summer'!F$7</f>
        <v>16.635889201124044</v>
      </c>
      <c r="G5" s="9">
        <f>VLOOKUP($A5,'RES installed'!$A$2:$C$7,3,FALSE)*'[1]Profiles, RES, Summer'!G$7</f>
        <v>18.659173022882378</v>
      </c>
      <c r="H5" s="9">
        <f>VLOOKUP($A5,'RES installed'!$A$2:$C$7,3,FALSE)*'[1]Profiles, RES, Summer'!H$7</f>
        <v>20.570052187876353</v>
      </c>
      <c r="I5" s="9">
        <f>VLOOKUP($A5,'RES installed'!$A$2:$C$7,3,FALSE)*'[1]Profiles, RES, Summer'!I$7</f>
        <v>21.276595744680851</v>
      </c>
      <c r="J5" s="9">
        <f>VLOOKUP($A5,'RES installed'!$A$2:$C$7,3,FALSE)*'[1]Profiles, RES, Summer'!J$7</f>
        <v>17.294259333600962</v>
      </c>
      <c r="K5" s="9">
        <f>VLOOKUP($A5,'RES installed'!$A$2:$C$7,3,FALSE)*'[1]Profiles, RES, Summer'!K$7</f>
        <v>13.456443195503812</v>
      </c>
      <c r="L5" s="9">
        <f>VLOOKUP($A5,'RES installed'!$A$2:$C$7,3,FALSE)*'[1]Profiles, RES, Summer'!L$7</f>
        <v>12.107587314331594</v>
      </c>
      <c r="M5" s="9">
        <f>VLOOKUP($A5,'RES installed'!$A$2:$C$7,3,FALSE)*'[1]Profiles, RES, Summer'!M$7</f>
        <v>10.806904857486952</v>
      </c>
      <c r="N5" s="9">
        <f>VLOOKUP($A5,'RES installed'!$A$2:$C$7,3,FALSE)*'[1]Profiles, RES, Summer'!N$7</f>
        <v>11.706142111601768</v>
      </c>
      <c r="O5" s="9">
        <f>VLOOKUP($A5,'RES installed'!$A$2:$C$7,3,FALSE)*'[1]Profiles, RES, Summer'!O$7</f>
        <v>15.576073865917301</v>
      </c>
      <c r="P5" s="9">
        <f>VLOOKUP($A5,'RES installed'!$A$2:$C$7,3,FALSE)*'[1]Profiles, RES, Summer'!P$7</f>
        <v>19.590525893215577</v>
      </c>
      <c r="Q5" s="9">
        <f>VLOOKUP($A5,'RES installed'!$A$2:$C$7,3,FALSE)*'[1]Profiles, RES, Summer'!Q$7</f>
        <v>20.553994379767161</v>
      </c>
      <c r="R5" s="9">
        <f>VLOOKUP($A5,'RES installed'!$A$2:$C$7,3,FALSE)*'[1]Profiles, RES, Summer'!R$7</f>
        <v>22.191890806904858</v>
      </c>
      <c r="S5" s="9">
        <f>VLOOKUP($A5,'RES installed'!$A$2:$C$7,3,FALSE)*'[1]Profiles, RES, Summer'!S$7</f>
        <v>23.091128061019674</v>
      </c>
      <c r="T5" s="9">
        <f>VLOOKUP($A5,'RES installed'!$A$2:$C$7,3,FALSE)*'[1]Profiles, RES, Summer'!T$7</f>
        <v>23.669209152950621</v>
      </c>
      <c r="U5" s="9">
        <f>VLOOKUP($A5,'RES installed'!$A$2:$C$7,3,FALSE)*'[1]Profiles, RES, Summer'!U$7</f>
        <v>27.121637896427139</v>
      </c>
      <c r="V5" s="9">
        <f>VLOOKUP($A5,'RES installed'!$A$2:$C$7,3,FALSE)*'[1]Profiles, RES, Summer'!V$7</f>
        <v>30.50983540746688</v>
      </c>
      <c r="W5" s="9">
        <f>VLOOKUP($A5,'RES installed'!$A$2:$C$7,3,FALSE)*'[1]Profiles, RES, Summer'!W$7</f>
        <v>29.466077880369326</v>
      </c>
      <c r="X5" s="9">
        <f>VLOOKUP($A5,'RES installed'!$A$2:$C$7,3,FALSE)*'[1]Profiles, RES, Summer'!X$7</f>
        <v>27.9084704937776</v>
      </c>
      <c r="Y5" s="9">
        <f>VLOOKUP($A5,'RES installed'!$A$2:$C$7,3,FALSE)*'[1]Profiles, RES, Summer'!Y$7</f>
        <v>27.410678442392612</v>
      </c>
    </row>
    <row r="6" spans="1:25" x14ac:dyDescent="0.3">
      <c r="A6" s="8">
        <v>5</v>
      </c>
      <c r="B6" s="9">
        <f>VLOOKUP($A6,'RES installed'!$A$2:$C$7,3,FALSE)*'[1]Profiles, RES, Summer'!B$7</f>
        <v>35.72059413890004</v>
      </c>
      <c r="C6" s="9">
        <f>VLOOKUP($A6,'RES installed'!$A$2:$C$7,3,FALSE)*'[1]Profiles, RES, Summer'!C$7</f>
        <v>32.131674026495382</v>
      </c>
      <c r="D6" s="9">
        <f>VLOOKUP($A6,'RES installed'!$A$2:$C$7,3,FALSE)*'[1]Profiles, RES, Summer'!D$7</f>
        <v>26.832597350461661</v>
      </c>
      <c r="E6" s="9">
        <f>VLOOKUP($A6,'RES installed'!$A$2:$C$7,3,FALSE)*'[1]Profiles, RES, Summer'!E$7</f>
        <v>25.363307908470496</v>
      </c>
      <c r="F6" s="9">
        <f>VLOOKUP($A6,'RES installed'!$A$2:$C$7,3,FALSE)*'[1]Profiles, RES, Summer'!F$7</f>
        <v>24.95383380168607</v>
      </c>
      <c r="G6" s="9">
        <f>VLOOKUP($A6,'RES installed'!$A$2:$C$7,3,FALSE)*'[1]Profiles, RES, Summer'!G$7</f>
        <v>27.988759534323563</v>
      </c>
      <c r="H6" s="9">
        <f>VLOOKUP($A6,'RES installed'!$A$2:$C$7,3,FALSE)*'[1]Profiles, RES, Summer'!H$7</f>
        <v>30.855078281814528</v>
      </c>
      <c r="I6" s="9">
        <f>VLOOKUP($A6,'RES installed'!$A$2:$C$7,3,FALSE)*'[1]Profiles, RES, Summer'!I$7</f>
        <v>31.914893617021278</v>
      </c>
      <c r="J6" s="9">
        <f>VLOOKUP($A6,'RES installed'!$A$2:$C$7,3,FALSE)*'[1]Profiles, RES, Summer'!J$7</f>
        <v>25.941389000401443</v>
      </c>
      <c r="K6" s="9">
        <f>VLOOKUP($A6,'RES installed'!$A$2:$C$7,3,FALSE)*'[1]Profiles, RES, Summer'!K$7</f>
        <v>20.18466479325572</v>
      </c>
      <c r="L6" s="9">
        <f>VLOOKUP($A6,'RES installed'!$A$2:$C$7,3,FALSE)*'[1]Profiles, RES, Summer'!L$7</f>
        <v>18.16138097149739</v>
      </c>
      <c r="M6" s="9">
        <f>VLOOKUP($A6,'RES installed'!$A$2:$C$7,3,FALSE)*'[1]Profiles, RES, Summer'!M$7</f>
        <v>16.210357286230426</v>
      </c>
      <c r="N6" s="9">
        <f>VLOOKUP($A6,'RES installed'!$A$2:$C$7,3,FALSE)*'[1]Profiles, RES, Summer'!N$7</f>
        <v>17.55921316740265</v>
      </c>
      <c r="O6" s="9">
        <f>VLOOKUP($A6,'RES installed'!$A$2:$C$7,3,FALSE)*'[1]Profiles, RES, Summer'!O$7</f>
        <v>23.364110798875952</v>
      </c>
      <c r="P6" s="9">
        <f>VLOOKUP($A6,'RES installed'!$A$2:$C$7,3,FALSE)*'[1]Profiles, RES, Summer'!P$7</f>
        <v>29.385788839823363</v>
      </c>
      <c r="Q6" s="9">
        <f>VLOOKUP($A6,'RES installed'!$A$2:$C$7,3,FALSE)*'[1]Profiles, RES, Summer'!Q$7</f>
        <v>30.830991569650742</v>
      </c>
      <c r="R6" s="9">
        <f>VLOOKUP($A6,'RES installed'!$A$2:$C$7,3,FALSE)*'[1]Profiles, RES, Summer'!R$7</f>
        <v>33.287836210357291</v>
      </c>
      <c r="S6" s="9">
        <f>VLOOKUP($A6,'RES installed'!$A$2:$C$7,3,FALSE)*'[1]Profiles, RES, Summer'!S$7</f>
        <v>34.636692091529511</v>
      </c>
      <c r="T6" s="9">
        <f>VLOOKUP($A6,'RES installed'!$A$2:$C$7,3,FALSE)*'[1]Profiles, RES, Summer'!T$7</f>
        <v>35.503813729425936</v>
      </c>
      <c r="U6" s="9">
        <f>VLOOKUP($A6,'RES installed'!$A$2:$C$7,3,FALSE)*'[1]Profiles, RES, Summer'!U$7</f>
        <v>40.682456844640704</v>
      </c>
      <c r="V6" s="9">
        <f>VLOOKUP($A6,'RES installed'!$A$2:$C$7,3,FALSE)*'[1]Profiles, RES, Summer'!V$7</f>
        <v>45.764753111200321</v>
      </c>
      <c r="W6" s="9">
        <f>VLOOKUP($A6,'RES installed'!$A$2:$C$7,3,FALSE)*'[1]Profiles, RES, Summer'!W$7</f>
        <v>44.199116820553989</v>
      </c>
      <c r="X6" s="9">
        <f>VLOOKUP($A6,'RES installed'!$A$2:$C$7,3,FALSE)*'[1]Profiles, RES, Summer'!X$7</f>
        <v>41.862705740666399</v>
      </c>
      <c r="Y6" s="9">
        <f>VLOOKUP($A6,'RES installed'!$A$2:$C$7,3,FALSE)*'[1]Profiles, RES, Summer'!Y$7</f>
        <v>41.11601766358892</v>
      </c>
    </row>
    <row r="7" spans="1:25" x14ac:dyDescent="0.3">
      <c r="A7" s="8">
        <v>6</v>
      </c>
      <c r="B7" s="9">
        <f>VLOOKUP($A7,'RES installed'!$A$2:$C$7,3,FALSE)*'[1]Profiles, RES, Summer'!B$7</f>
        <v>22.325371336812527</v>
      </c>
      <c r="C7" s="9">
        <f>VLOOKUP($A7,'RES installed'!$A$2:$C$7,3,FALSE)*'[1]Profiles, RES, Summer'!C$7</f>
        <v>20.082296266559613</v>
      </c>
      <c r="D7" s="9">
        <f>VLOOKUP($A7,'RES installed'!$A$2:$C$7,3,FALSE)*'[1]Profiles, RES, Summer'!D$7</f>
        <v>16.770373344038539</v>
      </c>
      <c r="E7" s="9">
        <f>VLOOKUP($A7,'RES installed'!$A$2:$C$7,3,FALSE)*'[1]Profiles, RES, Summer'!E$7</f>
        <v>15.852067442794059</v>
      </c>
      <c r="F7" s="9">
        <f>VLOOKUP($A7,'RES installed'!$A$2:$C$7,3,FALSE)*'[1]Profiles, RES, Summer'!F$7</f>
        <v>15.596146126053792</v>
      </c>
      <c r="G7" s="9">
        <f>VLOOKUP($A7,'RES installed'!$A$2:$C$7,3,FALSE)*'[1]Profiles, RES, Summer'!G$7</f>
        <v>17.492974708952229</v>
      </c>
      <c r="H7" s="9">
        <f>VLOOKUP($A7,'RES installed'!$A$2:$C$7,3,FALSE)*'[1]Profiles, RES, Summer'!H$7</f>
        <v>19.284423926134082</v>
      </c>
      <c r="I7" s="9">
        <f>VLOOKUP($A7,'RES installed'!$A$2:$C$7,3,FALSE)*'[1]Profiles, RES, Summer'!I$7</f>
        <v>19.946808510638299</v>
      </c>
      <c r="J7" s="9">
        <f>VLOOKUP($A7,'RES installed'!$A$2:$C$7,3,FALSE)*'[1]Profiles, RES, Summer'!J$7</f>
        <v>16.213368125250902</v>
      </c>
      <c r="K7" s="9">
        <f>VLOOKUP($A7,'RES installed'!$A$2:$C$7,3,FALSE)*'[1]Profiles, RES, Summer'!K$7</f>
        <v>12.615415495784825</v>
      </c>
      <c r="L7" s="9">
        <f>VLOOKUP($A7,'RES installed'!$A$2:$C$7,3,FALSE)*'[1]Profiles, RES, Summer'!L$7</f>
        <v>11.350863107185869</v>
      </c>
      <c r="M7" s="9">
        <f>VLOOKUP($A7,'RES installed'!$A$2:$C$7,3,FALSE)*'[1]Profiles, RES, Summer'!M$7</f>
        <v>10.131473303894017</v>
      </c>
      <c r="N7" s="9">
        <f>VLOOKUP($A7,'RES installed'!$A$2:$C$7,3,FALSE)*'[1]Profiles, RES, Summer'!N$7</f>
        <v>10.974508229626657</v>
      </c>
      <c r="O7" s="9">
        <f>VLOOKUP($A7,'RES installed'!$A$2:$C$7,3,FALSE)*'[1]Profiles, RES, Summer'!O$7</f>
        <v>14.602569249297471</v>
      </c>
      <c r="P7" s="9">
        <f>VLOOKUP($A7,'RES installed'!$A$2:$C$7,3,FALSE)*'[1]Profiles, RES, Summer'!P$7</f>
        <v>18.366118024889602</v>
      </c>
      <c r="Q7" s="9">
        <f>VLOOKUP($A7,'RES installed'!$A$2:$C$7,3,FALSE)*'[1]Profiles, RES, Summer'!Q$7</f>
        <v>19.269369731031713</v>
      </c>
      <c r="R7" s="9">
        <f>VLOOKUP($A7,'RES installed'!$A$2:$C$7,3,FALSE)*'[1]Profiles, RES, Summer'!R$7</f>
        <v>20.804897631473306</v>
      </c>
      <c r="S7" s="9">
        <f>VLOOKUP($A7,'RES installed'!$A$2:$C$7,3,FALSE)*'[1]Profiles, RES, Summer'!S$7</f>
        <v>21.647932557205944</v>
      </c>
      <c r="T7" s="9">
        <f>VLOOKUP($A7,'RES installed'!$A$2:$C$7,3,FALSE)*'[1]Profiles, RES, Summer'!T$7</f>
        <v>22.189883580891209</v>
      </c>
      <c r="U7" s="9">
        <f>VLOOKUP($A7,'RES installed'!$A$2:$C$7,3,FALSE)*'[1]Profiles, RES, Summer'!U$7</f>
        <v>25.426535527900441</v>
      </c>
      <c r="V7" s="9">
        <f>VLOOKUP($A7,'RES installed'!$A$2:$C$7,3,FALSE)*'[1]Profiles, RES, Summer'!V$7</f>
        <v>28.6029706945002</v>
      </c>
      <c r="W7" s="9">
        <f>VLOOKUP($A7,'RES installed'!$A$2:$C$7,3,FALSE)*'[1]Profiles, RES, Summer'!W$7</f>
        <v>27.624448012846244</v>
      </c>
      <c r="X7" s="9">
        <f>VLOOKUP($A7,'RES installed'!$A$2:$C$7,3,FALSE)*'[1]Profiles, RES, Summer'!X$7</f>
        <v>26.1641910879165</v>
      </c>
      <c r="Y7" s="9">
        <f>VLOOKUP($A7,'RES installed'!$A$2:$C$7,3,FALSE)*'[1]Profiles, RES, Summer'!Y$7</f>
        <v>25.697511039743073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4.7384382107657316E-2</v>
      </c>
      <c r="H8" s="6">
        <f>VLOOKUP($A8,'RES installed'!$A$2:$C$7,3,FALSE)*'[1]Profiles, RES, Summer'!H$4</f>
        <v>5.8282789992418502</v>
      </c>
      <c r="I8" s="6">
        <f>VLOOKUP($A8,'RES installed'!$A$2:$C$7,3,FALSE)*'[1]Profiles, RES, Summer'!I$4</f>
        <v>27.577710386656559</v>
      </c>
      <c r="J8" s="6">
        <f>VLOOKUP($A8,'RES installed'!$A$2:$C$7,3,FALSE)*'[1]Profiles, RES, Summer'!J$4</f>
        <v>60.036012130401822</v>
      </c>
      <c r="K8" s="6">
        <f>VLOOKUP($A8,'RES installed'!$A$2:$C$7,3,FALSE)*'[1]Profiles, RES, Summer'!K$4</f>
        <v>92.683851402577702</v>
      </c>
      <c r="L8" s="6">
        <f>VLOOKUP($A8,'RES installed'!$A$2:$C$7,3,FALSE)*'[1]Profiles, RES, Summer'!L$4</f>
        <v>113.76990144048521</v>
      </c>
      <c r="M8" s="6">
        <f>VLOOKUP($A8,'RES installed'!$A$2:$C$7,3,FALSE)*'[1]Profiles, RES, Summer'!M$4</f>
        <v>121.68309325246399</v>
      </c>
      <c r="N8" s="6">
        <f>VLOOKUP($A8,'RES installed'!$A$2:$C$7,3,FALSE)*'[1]Profiles, RES, Summer'!N$4</f>
        <v>125</v>
      </c>
      <c r="O8" s="6">
        <f>VLOOKUP($A8,'RES installed'!$A$2:$C$7,3,FALSE)*'[1]Profiles, RES, Summer'!O$4</f>
        <v>122.82031842304777</v>
      </c>
      <c r="P8" s="6">
        <f>VLOOKUP($A8,'RES installed'!$A$2:$C$7,3,FALSE)*'[1]Profiles, RES, Summer'!P$4</f>
        <v>116.61296436694465</v>
      </c>
      <c r="Q8" s="6">
        <f>VLOOKUP($A8,'RES installed'!$A$2:$C$7,3,FALSE)*'[1]Profiles, RES, Summer'!Q$4</f>
        <v>103.20318423047765</v>
      </c>
      <c r="R8" s="6">
        <f>VLOOKUP($A8,'RES installed'!$A$2:$C$7,3,FALSE)*'[1]Profiles, RES, Summer'!R$4</f>
        <v>81.074677786201676</v>
      </c>
      <c r="S8" s="6">
        <f>VLOOKUP($A8,'RES installed'!$A$2:$C$7,3,FALSE)*'[1]Profiles, RES, Summer'!S$4</f>
        <v>48.237300985595148</v>
      </c>
      <c r="T8" s="6">
        <f>VLOOKUP($A8,'RES installed'!$A$2:$C$7,3,FALSE)*'[1]Profiles, RES, Summer'!T$4</f>
        <v>14.736542835481426</v>
      </c>
      <c r="U8" s="6">
        <f>VLOOKUP($A8,'RES installed'!$A$2:$C$7,3,FALSE)*'[1]Profiles, RES, Summer'!U$4</f>
        <v>0.66338134950720251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3.0326004548900682E-2</v>
      </c>
      <c r="H9" s="6">
        <f>VLOOKUP($A9,'RES installed'!$A$2:$C$7,3,FALSE)*'[1]Profiles, RES, Summer'!H$4</f>
        <v>3.7300985595147838</v>
      </c>
      <c r="I9" s="6">
        <f>VLOOKUP($A9,'RES installed'!$A$2:$C$7,3,FALSE)*'[1]Profiles, RES, Summer'!I$4</f>
        <v>17.6497346474602</v>
      </c>
      <c r="J9" s="6">
        <f>VLOOKUP($A9,'RES installed'!$A$2:$C$7,3,FALSE)*'[1]Profiles, RES, Summer'!J$4</f>
        <v>38.423047763457163</v>
      </c>
      <c r="K9" s="6">
        <f>VLOOKUP($A9,'RES installed'!$A$2:$C$7,3,FALSE)*'[1]Profiles, RES, Summer'!K$4</f>
        <v>59.317664897649735</v>
      </c>
      <c r="L9" s="6">
        <f>VLOOKUP($A9,'RES installed'!$A$2:$C$7,3,FALSE)*'[1]Profiles, RES, Summer'!L$4</f>
        <v>72.812736921910528</v>
      </c>
      <c r="M9" s="6">
        <f>VLOOKUP($A9,'RES installed'!$A$2:$C$7,3,FALSE)*'[1]Profiles, RES, Summer'!M$4</f>
        <v>77.877179681576948</v>
      </c>
      <c r="N9" s="6">
        <f>VLOOKUP($A9,'RES installed'!$A$2:$C$7,3,FALSE)*'[1]Profiles, RES, Summer'!N$4</f>
        <v>80</v>
      </c>
      <c r="O9" s="6">
        <f>VLOOKUP($A9,'RES installed'!$A$2:$C$7,3,FALSE)*'[1]Profiles, RES, Summer'!O$4</f>
        <v>78.605003790750573</v>
      </c>
      <c r="P9" s="6">
        <f>VLOOKUP($A9,'RES installed'!$A$2:$C$7,3,FALSE)*'[1]Profiles, RES, Summer'!P$4</f>
        <v>74.632297194844583</v>
      </c>
      <c r="Q9" s="6">
        <f>VLOOKUP($A9,'RES installed'!$A$2:$C$7,3,FALSE)*'[1]Profiles, RES, Summer'!Q$4</f>
        <v>66.050037907505697</v>
      </c>
      <c r="R9" s="6">
        <f>VLOOKUP($A9,'RES installed'!$A$2:$C$7,3,FALSE)*'[1]Profiles, RES, Summer'!R$4</f>
        <v>51.887793783169073</v>
      </c>
      <c r="S9" s="6">
        <f>VLOOKUP($A9,'RES installed'!$A$2:$C$7,3,FALSE)*'[1]Profiles, RES, Summer'!S$4</f>
        <v>30.871872630780896</v>
      </c>
      <c r="T9" s="6">
        <f>VLOOKUP($A9,'RES installed'!$A$2:$C$7,3,FALSE)*'[1]Profiles, RES, Summer'!T$4</f>
        <v>9.4313874147081123</v>
      </c>
      <c r="U9" s="6">
        <f>VLOOKUP($A9,'RES installed'!$A$2:$C$7,3,FALSE)*'[1]Profiles, RES, Summer'!U$4</f>
        <v>0.42456406368460958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3.4116755117513269E-2</v>
      </c>
      <c r="H10" s="6">
        <f>VLOOKUP($A10,'RES installed'!$A$2:$C$7,3,FALSE)*'[1]Profiles, RES, Summer'!H$4</f>
        <v>4.1963608794541321</v>
      </c>
      <c r="I10" s="6">
        <f>VLOOKUP($A10,'RES installed'!$A$2:$C$7,3,FALSE)*'[1]Profiles, RES, Summer'!I$4</f>
        <v>19.855951478392722</v>
      </c>
      <c r="J10" s="6">
        <f>VLOOKUP($A10,'RES installed'!$A$2:$C$7,3,FALSE)*'[1]Profiles, RES, Summer'!J$4</f>
        <v>43.225928733889312</v>
      </c>
      <c r="K10" s="6">
        <f>VLOOKUP($A10,'RES installed'!$A$2:$C$7,3,FALSE)*'[1]Profiles, RES, Summer'!K$4</f>
        <v>66.732373009855948</v>
      </c>
      <c r="L10" s="6">
        <f>VLOOKUP($A10,'RES installed'!$A$2:$C$7,3,FALSE)*'[1]Profiles, RES, Summer'!L$4</f>
        <v>81.914329037149358</v>
      </c>
      <c r="M10" s="6">
        <f>VLOOKUP($A10,'RES installed'!$A$2:$C$7,3,FALSE)*'[1]Profiles, RES, Summer'!M$4</f>
        <v>87.611827141774071</v>
      </c>
      <c r="N10" s="6">
        <f>VLOOKUP($A10,'RES installed'!$A$2:$C$7,3,FALSE)*'[1]Profiles, RES, Summer'!N$4</f>
        <v>90</v>
      </c>
      <c r="O10" s="6">
        <f>VLOOKUP($A10,'RES installed'!$A$2:$C$7,3,FALSE)*'[1]Profiles, RES, Summer'!O$4</f>
        <v>88.430629264594387</v>
      </c>
      <c r="P10" s="6">
        <f>VLOOKUP($A10,'RES installed'!$A$2:$C$7,3,FALSE)*'[1]Profiles, RES, Summer'!P$4</f>
        <v>83.961334344200154</v>
      </c>
      <c r="Q10" s="6">
        <f>VLOOKUP($A10,'RES installed'!$A$2:$C$7,3,FALSE)*'[1]Profiles, RES, Summer'!Q$4</f>
        <v>74.306292645943898</v>
      </c>
      <c r="R10" s="6">
        <f>VLOOKUP($A10,'RES installed'!$A$2:$C$7,3,FALSE)*'[1]Profiles, RES, Summer'!R$4</f>
        <v>58.373768006065205</v>
      </c>
      <c r="S10" s="6">
        <f>VLOOKUP($A10,'RES installed'!$A$2:$C$7,3,FALSE)*'[1]Profiles, RES, Summer'!S$4</f>
        <v>34.730856709628512</v>
      </c>
      <c r="T10" s="6">
        <f>VLOOKUP($A10,'RES installed'!$A$2:$C$7,3,FALSE)*'[1]Profiles, RES, Summer'!T$4</f>
        <v>10.610310841546626</v>
      </c>
      <c r="U10" s="6">
        <f>VLOOKUP($A10,'RES installed'!$A$2:$C$7,3,FALSE)*'[1]Profiles, RES, Summer'!U$4</f>
        <v>0.4776345716451858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L21" sqref="L2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2025-01-25T10:37:27Z</dcterms:modified>
</cp:coreProperties>
</file>