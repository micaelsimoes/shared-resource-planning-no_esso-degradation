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_High Investment\case9\"/>
    </mc:Choice>
  </mc:AlternateContent>
  <xr:revisionPtr revIDLastSave="0" documentId="13_ncr:1_{9675658B-C712-4E9B-984C-BCB1A9B35ABE}" xr6:coauthVersionLast="47" xr6:coauthVersionMax="47" xr10:uidLastSave="{00000000-0000-0000-0000-000000000000}"/>
  <bookViews>
    <workbookView xWindow="30720" yWindow="-11280" windowWidth="23010" windowHeight="12210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04" r:id="rId29"/>
    <sheet name="Pg, Winter, S5" sheetId="205" r:id="rId30"/>
    <sheet name="Pg, Winter, S6" sheetId="206" r:id="rId31"/>
    <sheet name="Pg, Winter, S7" sheetId="207" r:id="rId32"/>
    <sheet name="Pg, Winter, S8" sheetId="208" r:id="rId33"/>
    <sheet name="Pg, Winter, S9" sheetId="209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55" r:id="rId45"/>
    <sheet name="Pc, Spring, S2" sheetId="256" r:id="rId46"/>
    <sheet name="Pc, Spring, S3" sheetId="257" r:id="rId47"/>
    <sheet name="Pc, Spring, S4" sheetId="258" r:id="rId48"/>
    <sheet name="Pc, Spring, S5" sheetId="259" r:id="rId49"/>
    <sheet name="Pc, Spring, S6" sheetId="260" r:id="rId50"/>
    <sheet name="Pc, Spring, S7" sheetId="261" r:id="rId51"/>
    <sheet name="Pc, Spring, S8" sheetId="262" r:id="rId52"/>
    <sheet name="Pc, Spring, S9" sheetId="263" r:id="rId53"/>
    <sheet name="Qc, Spring, S1" sheetId="264" r:id="rId54"/>
    <sheet name="Qc, Spring, S2" sheetId="265" r:id="rId55"/>
    <sheet name="Qc, Spring, S3" sheetId="266" r:id="rId56"/>
    <sheet name="Qc, Spring, S4" sheetId="267" r:id="rId57"/>
    <sheet name="Qc, Spring, S5" sheetId="268" r:id="rId58"/>
    <sheet name="Qc, Spring, S6" sheetId="269" r:id="rId59"/>
    <sheet name="Qc, Spring, S7" sheetId="270" r:id="rId60"/>
    <sheet name="Qc, Spring, S8" sheetId="271" r:id="rId61"/>
    <sheet name="Qc, Spring, S9" sheetId="272" r:id="rId62"/>
    <sheet name="UpFlex, Spring" sheetId="273" r:id="rId63"/>
    <sheet name="DownFlex, Spring" sheetId="274" r:id="rId64"/>
    <sheet name="Pg, Spring, S1" sheetId="275" r:id="rId65"/>
    <sheet name="Pg, Spring, S2" sheetId="276" r:id="rId66"/>
    <sheet name="Pg, Spring, S3" sheetId="277" r:id="rId67"/>
    <sheet name="Pg, Spring, S4" sheetId="278" r:id="rId68"/>
    <sheet name="Pg, Spring, S5" sheetId="279" r:id="rId69"/>
    <sheet name="Pg, Spring, S6" sheetId="280" r:id="rId70"/>
    <sheet name="Pg, Spring, S7" sheetId="281" r:id="rId71"/>
    <sheet name="Pg, Spring, S8" sheetId="282" r:id="rId72"/>
    <sheet name="Pg, Spring, S9" sheetId="283" r:id="rId73"/>
    <sheet name="Qg, Spring, S1" sheetId="284" r:id="rId74"/>
    <sheet name="Qg, Spring, S2" sheetId="285" r:id="rId75"/>
    <sheet name="Qg, Spring, S3" sheetId="286" r:id="rId76"/>
    <sheet name="Qg, Spring, S4" sheetId="287" r:id="rId77"/>
    <sheet name="Qg, Spring, S5" sheetId="288" r:id="rId78"/>
    <sheet name="Qg, Spring, S6" sheetId="289" r:id="rId79"/>
    <sheet name="Qg, Spring, S7" sheetId="290" r:id="rId80"/>
    <sheet name="Qg, Spring, S8" sheetId="291" r:id="rId81"/>
    <sheet name="Qg, Spring, S9" sheetId="292" r:id="rId82"/>
    <sheet name="GenStatus, Spring" sheetId="293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36" r:id="rId104"/>
    <sheet name="Pg, Summer, S2" sheetId="237" r:id="rId105"/>
    <sheet name="Pg, Summer, S3" sheetId="238" r:id="rId106"/>
    <sheet name="Pg, Summer, S4" sheetId="239" r:id="rId107"/>
    <sheet name="Pg, Summer, S5" sheetId="240" r:id="rId108"/>
    <sheet name="Pg, Summer, S6" sheetId="241" r:id="rId109"/>
    <sheet name="Pg, Summer, S7" sheetId="242" r:id="rId110"/>
    <sheet name="Pg, Summer, S8" sheetId="243" r:id="rId111"/>
    <sheet name="Pg, Summer, S9" sheetId="244" r:id="rId112"/>
    <sheet name="Qg, Summer, S1" sheetId="245" r:id="rId113"/>
    <sheet name="Qg, Summer, S2" sheetId="246" r:id="rId114"/>
    <sheet name="Qg, Summer, S3" sheetId="247" r:id="rId115"/>
    <sheet name="Qg, Summer, S4" sheetId="248" r:id="rId116"/>
    <sheet name="Qg, Summer, S5" sheetId="249" r:id="rId117"/>
    <sheet name="Qg, Summer, S6" sheetId="250" r:id="rId118"/>
    <sheet name="Qg, Summer, S7" sheetId="251" r:id="rId119"/>
    <sheet name="Qg, Summer, S8" sheetId="252" r:id="rId120"/>
    <sheet name="Qg, Summer, S9" sheetId="253" r:id="rId121"/>
    <sheet name="GenStatus, Summer" sheetId="254" r:id="rId122"/>
    <sheet name="Pc, Autumn, S1" sheetId="294" r:id="rId123"/>
    <sheet name="Pc, Autumn, S2" sheetId="295" r:id="rId124"/>
    <sheet name="Pc, Autumn, S3" sheetId="296" r:id="rId125"/>
    <sheet name="Pc, Autumn, S4" sheetId="297" r:id="rId126"/>
    <sheet name="Pc, Autumn, S5" sheetId="298" r:id="rId127"/>
    <sheet name="Pc, Autumn, S6" sheetId="299" r:id="rId128"/>
    <sheet name="Pc, Autumn, S7" sheetId="300" r:id="rId129"/>
    <sheet name="Pc, Autumn, S8" sheetId="301" r:id="rId130"/>
    <sheet name="Pc, Autumn, S9" sheetId="302" r:id="rId131"/>
    <sheet name="Qc, Autumn, S1" sheetId="303" r:id="rId132"/>
    <sheet name="Qc, Autumn, S2" sheetId="304" r:id="rId133"/>
    <sheet name="Qc, Autumn, S3" sheetId="305" r:id="rId134"/>
    <sheet name="Qc, Autumn, S4" sheetId="306" r:id="rId135"/>
    <sheet name="Qc, Autumn, S5" sheetId="307" r:id="rId136"/>
    <sheet name="Qc, Autumn, S6" sheetId="308" r:id="rId137"/>
    <sheet name="Qc, Autumn, S7" sheetId="309" r:id="rId138"/>
    <sheet name="Qc, Autumn, S8" sheetId="310" r:id="rId139"/>
    <sheet name="Qc, Autumn, S9" sheetId="311" r:id="rId140"/>
    <sheet name="UpFlex, Autumn" sheetId="312" r:id="rId141"/>
    <sheet name="DownFlex, Autumn" sheetId="313" r:id="rId142"/>
    <sheet name="Pg, Autumn, S1" sheetId="314" r:id="rId143"/>
    <sheet name="Pg, Autumn, S2" sheetId="315" r:id="rId144"/>
    <sheet name="Pg, Autumn, S3" sheetId="316" r:id="rId145"/>
    <sheet name="Pg, Autumn, S4" sheetId="317" r:id="rId146"/>
    <sheet name="Pg, Autumn, S5" sheetId="318" r:id="rId147"/>
    <sheet name="Pg, Autumn, S6" sheetId="319" r:id="rId148"/>
    <sheet name="Pg, Autumn, S7" sheetId="320" r:id="rId149"/>
    <sheet name="Pg, Autumn, S8" sheetId="321" r:id="rId150"/>
    <sheet name="Pg, Autumn, S9" sheetId="322" r:id="rId151"/>
    <sheet name="Qg, Autumn, S1" sheetId="323" r:id="rId152"/>
    <sheet name="Qg, Autumn, S2" sheetId="324" r:id="rId153"/>
    <sheet name="Qg, Autumn, S3" sheetId="325" r:id="rId154"/>
    <sheet name="Qg, Autumn, S4" sheetId="326" r:id="rId155"/>
    <sheet name="Qg, Autumn, S5" sheetId="327" r:id="rId156"/>
    <sheet name="Qg, Autumn, S6" sheetId="328" r:id="rId157"/>
    <sheet name="Qg, Autumn, S7" sheetId="329" r:id="rId158"/>
    <sheet name="Qg, Autumn, S8" sheetId="330" r:id="rId159"/>
    <sheet name="Qg, Autumn, S9" sheetId="331" r:id="rId160"/>
    <sheet name="GenStatus, Autumn" sheetId="332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" i="322" l="1"/>
  <c r="X10" i="322"/>
  <c r="W10" i="322"/>
  <c r="V10" i="322"/>
  <c r="U10" i="322"/>
  <c r="T10" i="322"/>
  <c r="S10" i="322"/>
  <c r="R10" i="322"/>
  <c r="Q10" i="322"/>
  <c r="P10" i="322"/>
  <c r="O10" i="322"/>
  <c r="N10" i="322"/>
  <c r="M10" i="322"/>
  <c r="L10" i="322"/>
  <c r="K10" i="322"/>
  <c r="J10" i="322"/>
  <c r="I10" i="322"/>
  <c r="H10" i="322"/>
  <c r="G10" i="322"/>
  <c r="F10" i="322"/>
  <c r="E10" i="322"/>
  <c r="D10" i="322"/>
  <c r="C10" i="322"/>
  <c r="B10" i="322"/>
  <c r="Y9" i="322"/>
  <c r="X9" i="322"/>
  <c r="W9" i="322"/>
  <c r="V9" i="322"/>
  <c r="U9" i="322"/>
  <c r="T9" i="322"/>
  <c r="S9" i="322"/>
  <c r="R9" i="322"/>
  <c r="Q9" i="322"/>
  <c r="P9" i="322"/>
  <c r="O9" i="322"/>
  <c r="N9" i="322"/>
  <c r="M9" i="322"/>
  <c r="L9" i="322"/>
  <c r="K9" i="322"/>
  <c r="J9" i="322"/>
  <c r="I9" i="322"/>
  <c r="H9" i="322"/>
  <c r="G9" i="322"/>
  <c r="F9" i="322"/>
  <c r="E9" i="322"/>
  <c r="D9" i="322"/>
  <c r="C9" i="322"/>
  <c r="B9" i="322"/>
  <c r="Y8" i="322"/>
  <c r="X8" i="322"/>
  <c r="W8" i="322"/>
  <c r="V8" i="322"/>
  <c r="U8" i="322"/>
  <c r="T8" i="322"/>
  <c r="S8" i="322"/>
  <c r="R8" i="322"/>
  <c r="Q8" i="322"/>
  <c r="P8" i="322"/>
  <c r="O8" i="322"/>
  <c r="N8" i="322"/>
  <c r="M8" i="322"/>
  <c r="L8" i="322"/>
  <c r="K8" i="322"/>
  <c r="J8" i="322"/>
  <c r="I8" i="322"/>
  <c r="H8" i="322"/>
  <c r="G8" i="322"/>
  <c r="F8" i="322"/>
  <c r="E8" i="322"/>
  <c r="D8" i="322"/>
  <c r="C8" i="322"/>
  <c r="B8" i="322"/>
  <c r="Y7" i="322"/>
  <c r="X7" i="322"/>
  <c r="W7" i="322"/>
  <c r="V7" i="322"/>
  <c r="U7" i="322"/>
  <c r="T7" i="322"/>
  <c r="S7" i="322"/>
  <c r="R7" i="322"/>
  <c r="Q7" i="322"/>
  <c r="P7" i="322"/>
  <c r="O7" i="322"/>
  <c r="N7" i="322"/>
  <c r="M7" i="322"/>
  <c r="L7" i="322"/>
  <c r="K7" i="322"/>
  <c r="J7" i="322"/>
  <c r="I7" i="322"/>
  <c r="H7" i="322"/>
  <c r="G7" i="322"/>
  <c r="F7" i="322"/>
  <c r="E7" i="322"/>
  <c r="D7" i="322"/>
  <c r="C7" i="322"/>
  <c r="B7" i="322"/>
  <c r="Y6" i="322"/>
  <c r="X6" i="322"/>
  <c r="W6" i="322"/>
  <c r="V6" i="322"/>
  <c r="U6" i="322"/>
  <c r="T6" i="322"/>
  <c r="S6" i="322"/>
  <c r="R6" i="322"/>
  <c r="Q6" i="322"/>
  <c r="P6" i="322"/>
  <c r="O6" i="322"/>
  <c r="N6" i="322"/>
  <c r="M6" i="322"/>
  <c r="L6" i="322"/>
  <c r="K6" i="322"/>
  <c r="J6" i="322"/>
  <c r="I6" i="322"/>
  <c r="H6" i="322"/>
  <c r="G6" i="322"/>
  <c r="F6" i="322"/>
  <c r="E6" i="322"/>
  <c r="D6" i="322"/>
  <c r="C6" i="322"/>
  <c r="B6" i="322"/>
  <c r="Y5" i="322"/>
  <c r="X5" i="322"/>
  <c r="W5" i="322"/>
  <c r="V5" i="322"/>
  <c r="U5" i="322"/>
  <c r="T5" i="322"/>
  <c r="S5" i="322"/>
  <c r="R5" i="322"/>
  <c r="Q5" i="322"/>
  <c r="P5" i="322"/>
  <c r="O5" i="322"/>
  <c r="N5" i="322"/>
  <c r="M5" i="322"/>
  <c r="L5" i="322"/>
  <c r="K5" i="322"/>
  <c r="J5" i="322"/>
  <c r="I5" i="322"/>
  <c r="H5" i="322"/>
  <c r="G5" i="322"/>
  <c r="F5" i="322"/>
  <c r="E5" i="322"/>
  <c r="D5" i="322"/>
  <c r="C5" i="322"/>
  <c r="B5" i="322"/>
  <c r="Y10" i="321"/>
  <c r="X10" i="321"/>
  <c r="W10" i="321"/>
  <c r="V10" i="321"/>
  <c r="U10" i="321"/>
  <c r="T10" i="321"/>
  <c r="S10" i="321"/>
  <c r="R10" i="321"/>
  <c r="Q10" i="321"/>
  <c r="P10" i="321"/>
  <c r="O10" i="321"/>
  <c r="N10" i="321"/>
  <c r="M10" i="321"/>
  <c r="L10" i="321"/>
  <c r="K10" i="321"/>
  <c r="J10" i="321"/>
  <c r="I10" i="321"/>
  <c r="H10" i="321"/>
  <c r="G10" i="321"/>
  <c r="F10" i="321"/>
  <c r="E10" i="321"/>
  <c r="D10" i="321"/>
  <c r="C10" i="321"/>
  <c r="B10" i="321"/>
  <c r="Y9" i="321"/>
  <c r="X9" i="321"/>
  <c r="W9" i="321"/>
  <c r="V9" i="321"/>
  <c r="U9" i="321"/>
  <c r="T9" i="321"/>
  <c r="S9" i="321"/>
  <c r="R9" i="321"/>
  <c r="Q9" i="321"/>
  <c r="P9" i="321"/>
  <c r="O9" i="321"/>
  <c r="N9" i="321"/>
  <c r="M9" i="321"/>
  <c r="L9" i="321"/>
  <c r="K9" i="321"/>
  <c r="J9" i="321"/>
  <c r="I9" i="321"/>
  <c r="H9" i="321"/>
  <c r="G9" i="321"/>
  <c r="F9" i="321"/>
  <c r="E9" i="321"/>
  <c r="D9" i="321"/>
  <c r="C9" i="321"/>
  <c r="B9" i="321"/>
  <c r="Y8" i="321"/>
  <c r="X8" i="321"/>
  <c r="W8" i="321"/>
  <c r="V8" i="321"/>
  <c r="U8" i="321"/>
  <c r="T8" i="321"/>
  <c r="S8" i="321"/>
  <c r="R8" i="321"/>
  <c r="Q8" i="321"/>
  <c r="P8" i="321"/>
  <c r="O8" i="321"/>
  <c r="N8" i="321"/>
  <c r="M8" i="321"/>
  <c r="L8" i="321"/>
  <c r="K8" i="321"/>
  <c r="J8" i="321"/>
  <c r="I8" i="321"/>
  <c r="H8" i="321"/>
  <c r="G8" i="321"/>
  <c r="F8" i="321"/>
  <c r="E8" i="321"/>
  <c r="D8" i="321"/>
  <c r="C8" i="321"/>
  <c r="B8" i="321"/>
  <c r="Y7" i="321"/>
  <c r="X7" i="321"/>
  <c r="W7" i="321"/>
  <c r="V7" i="321"/>
  <c r="U7" i="321"/>
  <c r="T7" i="321"/>
  <c r="S7" i="321"/>
  <c r="R7" i="321"/>
  <c r="Q7" i="321"/>
  <c r="P7" i="321"/>
  <c r="O7" i="321"/>
  <c r="N7" i="321"/>
  <c r="M7" i="321"/>
  <c r="L7" i="321"/>
  <c r="K7" i="321"/>
  <c r="J7" i="321"/>
  <c r="I7" i="321"/>
  <c r="H7" i="321"/>
  <c r="G7" i="321"/>
  <c r="F7" i="321"/>
  <c r="E7" i="321"/>
  <c r="D7" i="321"/>
  <c r="C7" i="321"/>
  <c r="B7" i="321"/>
  <c r="Y6" i="321"/>
  <c r="X6" i="321"/>
  <c r="W6" i="321"/>
  <c r="V6" i="321"/>
  <c r="U6" i="321"/>
  <c r="T6" i="321"/>
  <c r="S6" i="321"/>
  <c r="R6" i="321"/>
  <c r="Q6" i="321"/>
  <c r="P6" i="321"/>
  <c r="O6" i="321"/>
  <c r="N6" i="321"/>
  <c r="M6" i="321"/>
  <c r="L6" i="321"/>
  <c r="K6" i="321"/>
  <c r="J6" i="321"/>
  <c r="I6" i="321"/>
  <c r="H6" i="321"/>
  <c r="G6" i="321"/>
  <c r="F6" i="321"/>
  <c r="E6" i="321"/>
  <c r="D6" i="321"/>
  <c r="C6" i="321"/>
  <c r="B6" i="321"/>
  <c r="Y5" i="321"/>
  <c r="X5" i="321"/>
  <c r="W5" i="321"/>
  <c r="V5" i="321"/>
  <c r="U5" i="321"/>
  <c r="T5" i="321"/>
  <c r="S5" i="321"/>
  <c r="R5" i="321"/>
  <c r="Q5" i="321"/>
  <c r="P5" i="321"/>
  <c r="O5" i="321"/>
  <c r="N5" i="321"/>
  <c r="M5" i="321"/>
  <c r="L5" i="321"/>
  <c r="K5" i="321"/>
  <c r="J5" i="321"/>
  <c r="I5" i="321"/>
  <c r="H5" i="321"/>
  <c r="G5" i="321"/>
  <c r="F5" i="321"/>
  <c r="E5" i="321"/>
  <c r="D5" i="321"/>
  <c r="C5" i="321"/>
  <c r="B5" i="321"/>
  <c r="Y10" i="320"/>
  <c r="X10" i="320"/>
  <c r="W10" i="320"/>
  <c r="V10" i="320"/>
  <c r="U10" i="320"/>
  <c r="T10" i="320"/>
  <c r="S10" i="320"/>
  <c r="R10" i="320"/>
  <c r="Q10" i="320"/>
  <c r="P10" i="320"/>
  <c r="O10" i="320"/>
  <c r="N10" i="320"/>
  <c r="M10" i="320"/>
  <c r="L10" i="320"/>
  <c r="K10" i="320"/>
  <c r="J10" i="320"/>
  <c r="I10" i="320"/>
  <c r="H10" i="320"/>
  <c r="G10" i="320"/>
  <c r="F10" i="320"/>
  <c r="E10" i="320"/>
  <c r="D10" i="320"/>
  <c r="C10" i="320"/>
  <c r="B10" i="320"/>
  <c r="Y9" i="320"/>
  <c r="X9" i="320"/>
  <c r="W9" i="320"/>
  <c r="V9" i="320"/>
  <c r="U9" i="320"/>
  <c r="T9" i="320"/>
  <c r="S9" i="320"/>
  <c r="R9" i="320"/>
  <c r="Q9" i="320"/>
  <c r="P9" i="320"/>
  <c r="O9" i="320"/>
  <c r="N9" i="320"/>
  <c r="M9" i="320"/>
  <c r="L9" i="320"/>
  <c r="K9" i="320"/>
  <c r="J9" i="320"/>
  <c r="I9" i="320"/>
  <c r="H9" i="320"/>
  <c r="G9" i="320"/>
  <c r="F9" i="320"/>
  <c r="E9" i="320"/>
  <c r="D9" i="320"/>
  <c r="C9" i="320"/>
  <c r="B9" i="320"/>
  <c r="Y8" i="320"/>
  <c r="X8" i="320"/>
  <c r="W8" i="320"/>
  <c r="V8" i="320"/>
  <c r="U8" i="320"/>
  <c r="T8" i="320"/>
  <c r="S8" i="320"/>
  <c r="R8" i="320"/>
  <c r="Q8" i="320"/>
  <c r="P8" i="320"/>
  <c r="O8" i="320"/>
  <c r="N8" i="320"/>
  <c r="M8" i="320"/>
  <c r="L8" i="320"/>
  <c r="K8" i="320"/>
  <c r="J8" i="320"/>
  <c r="I8" i="320"/>
  <c r="H8" i="320"/>
  <c r="G8" i="320"/>
  <c r="F8" i="320"/>
  <c r="E8" i="320"/>
  <c r="D8" i="320"/>
  <c r="C8" i="320"/>
  <c r="B8" i="320"/>
  <c r="Y7" i="320"/>
  <c r="X7" i="320"/>
  <c r="W7" i="320"/>
  <c r="V7" i="320"/>
  <c r="U7" i="320"/>
  <c r="T7" i="320"/>
  <c r="S7" i="320"/>
  <c r="R7" i="320"/>
  <c r="Q7" i="320"/>
  <c r="P7" i="320"/>
  <c r="O7" i="320"/>
  <c r="N7" i="320"/>
  <c r="M7" i="320"/>
  <c r="L7" i="320"/>
  <c r="K7" i="320"/>
  <c r="J7" i="320"/>
  <c r="I7" i="320"/>
  <c r="H7" i="320"/>
  <c r="G7" i="320"/>
  <c r="F7" i="320"/>
  <c r="E7" i="320"/>
  <c r="D7" i="320"/>
  <c r="C7" i="320"/>
  <c r="B7" i="320"/>
  <c r="Y6" i="320"/>
  <c r="X6" i="320"/>
  <c r="W6" i="320"/>
  <c r="V6" i="320"/>
  <c r="U6" i="320"/>
  <c r="T6" i="320"/>
  <c r="S6" i="320"/>
  <c r="R6" i="320"/>
  <c r="Q6" i="320"/>
  <c r="P6" i="320"/>
  <c r="O6" i="320"/>
  <c r="N6" i="320"/>
  <c r="M6" i="320"/>
  <c r="L6" i="320"/>
  <c r="K6" i="320"/>
  <c r="J6" i="320"/>
  <c r="I6" i="320"/>
  <c r="H6" i="320"/>
  <c r="G6" i="320"/>
  <c r="F6" i="320"/>
  <c r="E6" i="320"/>
  <c r="D6" i="320"/>
  <c r="C6" i="320"/>
  <c r="B6" i="320"/>
  <c r="Y5" i="320"/>
  <c r="X5" i="320"/>
  <c r="W5" i="320"/>
  <c r="V5" i="320"/>
  <c r="U5" i="320"/>
  <c r="T5" i="320"/>
  <c r="S5" i="320"/>
  <c r="R5" i="320"/>
  <c r="Q5" i="320"/>
  <c r="P5" i="320"/>
  <c r="O5" i="320"/>
  <c r="N5" i="320"/>
  <c r="M5" i="320"/>
  <c r="L5" i="320"/>
  <c r="K5" i="320"/>
  <c r="J5" i="320"/>
  <c r="I5" i="320"/>
  <c r="H5" i="320"/>
  <c r="G5" i="320"/>
  <c r="F5" i="320"/>
  <c r="E5" i="320"/>
  <c r="D5" i="320"/>
  <c r="C5" i="320"/>
  <c r="B5" i="320"/>
  <c r="Y10" i="319"/>
  <c r="X10" i="319"/>
  <c r="W10" i="319"/>
  <c r="V10" i="319"/>
  <c r="U10" i="319"/>
  <c r="T10" i="319"/>
  <c r="S10" i="319"/>
  <c r="R10" i="319"/>
  <c r="Q10" i="319"/>
  <c r="P10" i="319"/>
  <c r="O10" i="319"/>
  <c r="N10" i="319"/>
  <c r="M10" i="319"/>
  <c r="L10" i="319"/>
  <c r="K10" i="319"/>
  <c r="J10" i="319"/>
  <c r="I10" i="319"/>
  <c r="H10" i="319"/>
  <c r="G10" i="319"/>
  <c r="F10" i="319"/>
  <c r="E10" i="319"/>
  <c r="D10" i="319"/>
  <c r="C10" i="319"/>
  <c r="B10" i="319"/>
  <c r="Y9" i="319"/>
  <c r="X9" i="319"/>
  <c r="W9" i="319"/>
  <c r="V9" i="319"/>
  <c r="U9" i="319"/>
  <c r="T9" i="319"/>
  <c r="S9" i="319"/>
  <c r="R9" i="319"/>
  <c r="Q9" i="319"/>
  <c r="P9" i="319"/>
  <c r="O9" i="319"/>
  <c r="N9" i="319"/>
  <c r="M9" i="319"/>
  <c r="L9" i="319"/>
  <c r="K9" i="319"/>
  <c r="J9" i="319"/>
  <c r="I9" i="319"/>
  <c r="H9" i="319"/>
  <c r="G9" i="319"/>
  <c r="F9" i="319"/>
  <c r="E9" i="319"/>
  <c r="D9" i="319"/>
  <c r="C9" i="319"/>
  <c r="B9" i="319"/>
  <c r="Y8" i="319"/>
  <c r="X8" i="319"/>
  <c r="W8" i="319"/>
  <c r="V8" i="319"/>
  <c r="U8" i="319"/>
  <c r="T8" i="319"/>
  <c r="S8" i="319"/>
  <c r="R8" i="319"/>
  <c r="Q8" i="319"/>
  <c r="P8" i="319"/>
  <c r="O8" i="319"/>
  <c r="N8" i="319"/>
  <c r="M8" i="319"/>
  <c r="L8" i="319"/>
  <c r="K8" i="319"/>
  <c r="J8" i="319"/>
  <c r="I8" i="319"/>
  <c r="H8" i="319"/>
  <c r="G8" i="319"/>
  <c r="F8" i="319"/>
  <c r="E8" i="319"/>
  <c r="D8" i="319"/>
  <c r="C8" i="319"/>
  <c r="B8" i="319"/>
  <c r="Y7" i="319"/>
  <c r="X7" i="319"/>
  <c r="W7" i="319"/>
  <c r="V7" i="319"/>
  <c r="U7" i="319"/>
  <c r="T7" i="319"/>
  <c r="S7" i="319"/>
  <c r="R7" i="319"/>
  <c r="Q7" i="319"/>
  <c r="P7" i="319"/>
  <c r="O7" i="319"/>
  <c r="N7" i="319"/>
  <c r="M7" i="319"/>
  <c r="L7" i="319"/>
  <c r="K7" i="319"/>
  <c r="J7" i="319"/>
  <c r="I7" i="319"/>
  <c r="H7" i="319"/>
  <c r="G7" i="319"/>
  <c r="F7" i="319"/>
  <c r="E7" i="319"/>
  <c r="D7" i="319"/>
  <c r="C7" i="319"/>
  <c r="B7" i="319"/>
  <c r="Y6" i="319"/>
  <c r="X6" i="319"/>
  <c r="W6" i="319"/>
  <c r="V6" i="319"/>
  <c r="U6" i="319"/>
  <c r="T6" i="319"/>
  <c r="S6" i="319"/>
  <c r="R6" i="319"/>
  <c r="Q6" i="319"/>
  <c r="P6" i="319"/>
  <c r="O6" i="319"/>
  <c r="N6" i="319"/>
  <c r="M6" i="319"/>
  <c r="L6" i="319"/>
  <c r="K6" i="319"/>
  <c r="J6" i="319"/>
  <c r="I6" i="319"/>
  <c r="H6" i="319"/>
  <c r="G6" i="319"/>
  <c r="F6" i="319"/>
  <c r="E6" i="319"/>
  <c r="D6" i="319"/>
  <c r="C6" i="319"/>
  <c r="B6" i="319"/>
  <c r="Y5" i="319"/>
  <c r="X5" i="319"/>
  <c r="W5" i="319"/>
  <c r="V5" i="319"/>
  <c r="U5" i="319"/>
  <c r="T5" i="319"/>
  <c r="S5" i="319"/>
  <c r="R5" i="319"/>
  <c r="Q5" i="319"/>
  <c r="P5" i="319"/>
  <c r="O5" i="319"/>
  <c r="N5" i="319"/>
  <c r="M5" i="319"/>
  <c r="L5" i="319"/>
  <c r="K5" i="319"/>
  <c r="J5" i="319"/>
  <c r="I5" i="319"/>
  <c r="H5" i="319"/>
  <c r="G5" i="319"/>
  <c r="F5" i="319"/>
  <c r="E5" i="319"/>
  <c r="D5" i="319"/>
  <c r="C5" i="319"/>
  <c r="B5" i="319"/>
  <c r="Y10" i="318"/>
  <c r="X10" i="318"/>
  <c r="W10" i="318"/>
  <c r="V10" i="318"/>
  <c r="U10" i="318"/>
  <c r="T10" i="318"/>
  <c r="S10" i="318"/>
  <c r="R10" i="318"/>
  <c r="Q10" i="318"/>
  <c r="P10" i="318"/>
  <c r="O10" i="318"/>
  <c r="N10" i="318"/>
  <c r="M10" i="318"/>
  <c r="L10" i="318"/>
  <c r="K10" i="318"/>
  <c r="J10" i="318"/>
  <c r="I10" i="318"/>
  <c r="H10" i="318"/>
  <c r="G10" i="318"/>
  <c r="F10" i="318"/>
  <c r="E10" i="318"/>
  <c r="D10" i="318"/>
  <c r="C10" i="318"/>
  <c r="B10" i="318"/>
  <c r="Y9" i="318"/>
  <c r="X9" i="318"/>
  <c r="W9" i="318"/>
  <c r="V9" i="318"/>
  <c r="U9" i="318"/>
  <c r="T9" i="318"/>
  <c r="S9" i="318"/>
  <c r="R9" i="318"/>
  <c r="Q9" i="318"/>
  <c r="P9" i="318"/>
  <c r="O9" i="318"/>
  <c r="N9" i="318"/>
  <c r="M9" i="318"/>
  <c r="L9" i="318"/>
  <c r="K9" i="318"/>
  <c r="J9" i="318"/>
  <c r="I9" i="318"/>
  <c r="H9" i="318"/>
  <c r="G9" i="318"/>
  <c r="F9" i="318"/>
  <c r="E9" i="318"/>
  <c r="D9" i="318"/>
  <c r="C9" i="318"/>
  <c r="B9" i="318"/>
  <c r="Y8" i="318"/>
  <c r="X8" i="318"/>
  <c r="W8" i="318"/>
  <c r="V8" i="318"/>
  <c r="U8" i="318"/>
  <c r="T8" i="318"/>
  <c r="S8" i="318"/>
  <c r="R8" i="318"/>
  <c r="Q8" i="318"/>
  <c r="P8" i="318"/>
  <c r="O8" i="318"/>
  <c r="N8" i="318"/>
  <c r="M8" i="318"/>
  <c r="L8" i="318"/>
  <c r="K8" i="318"/>
  <c r="J8" i="318"/>
  <c r="I8" i="318"/>
  <c r="H8" i="318"/>
  <c r="G8" i="318"/>
  <c r="F8" i="318"/>
  <c r="E8" i="318"/>
  <c r="D8" i="318"/>
  <c r="C8" i="318"/>
  <c r="B8" i="318"/>
  <c r="Y7" i="318"/>
  <c r="X7" i="318"/>
  <c r="W7" i="318"/>
  <c r="V7" i="318"/>
  <c r="U7" i="318"/>
  <c r="T7" i="318"/>
  <c r="S7" i="318"/>
  <c r="R7" i="318"/>
  <c r="Q7" i="318"/>
  <c r="P7" i="318"/>
  <c r="O7" i="318"/>
  <c r="N7" i="318"/>
  <c r="M7" i="318"/>
  <c r="L7" i="318"/>
  <c r="K7" i="318"/>
  <c r="J7" i="318"/>
  <c r="I7" i="318"/>
  <c r="H7" i="318"/>
  <c r="G7" i="318"/>
  <c r="F7" i="318"/>
  <c r="E7" i="318"/>
  <c r="D7" i="318"/>
  <c r="C7" i="318"/>
  <c r="B7" i="318"/>
  <c r="Y6" i="318"/>
  <c r="X6" i="318"/>
  <c r="W6" i="318"/>
  <c r="V6" i="318"/>
  <c r="U6" i="318"/>
  <c r="T6" i="318"/>
  <c r="S6" i="318"/>
  <c r="R6" i="318"/>
  <c r="Q6" i="318"/>
  <c r="P6" i="318"/>
  <c r="O6" i="318"/>
  <c r="N6" i="318"/>
  <c r="M6" i="318"/>
  <c r="L6" i="318"/>
  <c r="K6" i="318"/>
  <c r="J6" i="318"/>
  <c r="I6" i="318"/>
  <c r="H6" i="318"/>
  <c r="G6" i="318"/>
  <c r="F6" i="318"/>
  <c r="E6" i="318"/>
  <c r="D6" i="318"/>
  <c r="C6" i="318"/>
  <c r="B6" i="318"/>
  <c r="Y5" i="318"/>
  <c r="X5" i="318"/>
  <c r="W5" i="318"/>
  <c r="V5" i="318"/>
  <c r="U5" i="318"/>
  <c r="T5" i="318"/>
  <c r="S5" i="318"/>
  <c r="R5" i="318"/>
  <c r="Q5" i="318"/>
  <c r="P5" i="318"/>
  <c r="O5" i="318"/>
  <c r="N5" i="318"/>
  <c r="M5" i="318"/>
  <c r="L5" i="318"/>
  <c r="K5" i="318"/>
  <c r="J5" i="318"/>
  <c r="I5" i="318"/>
  <c r="H5" i="318"/>
  <c r="G5" i="318"/>
  <c r="F5" i="318"/>
  <c r="E5" i="318"/>
  <c r="D5" i="318"/>
  <c r="C5" i="318"/>
  <c r="B5" i="318"/>
  <c r="Y10" i="317"/>
  <c r="X10" i="317"/>
  <c r="W10" i="317"/>
  <c r="V10" i="317"/>
  <c r="U10" i="317"/>
  <c r="T10" i="317"/>
  <c r="S10" i="317"/>
  <c r="R10" i="317"/>
  <c r="Q10" i="317"/>
  <c r="P10" i="317"/>
  <c r="O10" i="317"/>
  <c r="N10" i="317"/>
  <c r="M10" i="317"/>
  <c r="L10" i="317"/>
  <c r="K10" i="317"/>
  <c r="J10" i="317"/>
  <c r="I10" i="317"/>
  <c r="H10" i="317"/>
  <c r="G10" i="317"/>
  <c r="F10" i="317"/>
  <c r="E10" i="317"/>
  <c r="D10" i="317"/>
  <c r="C10" i="317"/>
  <c r="B10" i="317"/>
  <c r="Y9" i="317"/>
  <c r="X9" i="317"/>
  <c r="W9" i="317"/>
  <c r="V9" i="317"/>
  <c r="U9" i="317"/>
  <c r="T9" i="317"/>
  <c r="S9" i="317"/>
  <c r="R9" i="317"/>
  <c r="Q9" i="317"/>
  <c r="P9" i="317"/>
  <c r="O9" i="317"/>
  <c r="N9" i="317"/>
  <c r="M9" i="317"/>
  <c r="L9" i="317"/>
  <c r="K9" i="317"/>
  <c r="J9" i="317"/>
  <c r="I9" i="317"/>
  <c r="H9" i="317"/>
  <c r="G9" i="317"/>
  <c r="F9" i="317"/>
  <c r="E9" i="317"/>
  <c r="D9" i="317"/>
  <c r="C9" i="317"/>
  <c r="B9" i="317"/>
  <c r="Y8" i="317"/>
  <c r="X8" i="317"/>
  <c r="W8" i="317"/>
  <c r="V8" i="317"/>
  <c r="U8" i="317"/>
  <c r="T8" i="317"/>
  <c r="S8" i="317"/>
  <c r="R8" i="317"/>
  <c r="Q8" i="317"/>
  <c r="P8" i="317"/>
  <c r="O8" i="317"/>
  <c r="N8" i="317"/>
  <c r="M8" i="317"/>
  <c r="L8" i="317"/>
  <c r="K8" i="317"/>
  <c r="J8" i="317"/>
  <c r="I8" i="317"/>
  <c r="H8" i="317"/>
  <c r="G8" i="317"/>
  <c r="F8" i="317"/>
  <c r="E8" i="317"/>
  <c r="D8" i="317"/>
  <c r="C8" i="317"/>
  <c r="B8" i="317"/>
  <c r="Y7" i="317"/>
  <c r="X7" i="317"/>
  <c r="W7" i="317"/>
  <c r="V7" i="317"/>
  <c r="U7" i="317"/>
  <c r="T7" i="317"/>
  <c r="S7" i="317"/>
  <c r="R7" i="317"/>
  <c r="Q7" i="317"/>
  <c r="P7" i="317"/>
  <c r="O7" i="317"/>
  <c r="N7" i="317"/>
  <c r="M7" i="317"/>
  <c r="L7" i="317"/>
  <c r="K7" i="317"/>
  <c r="J7" i="317"/>
  <c r="I7" i="317"/>
  <c r="H7" i="317"/>
  <c r="G7" i="317"/>
  <c r="F7" i="317"/>
  <c r="E7" i="317"/>
  <c r="D7" i="317"/>
  <c r="C7" i="317"/>
  <c r="B7" i="317"/>
  <c r="Y6" i="317"/>
  <c r="X6" i="317"/>
  <c r="W6" i="317"/>
  <c r="V6" i="317"/>
  <c r="U6" i="317"/>
  <c r="T6" i="317"/>
  <c r="S6" i="317"/>
  <c r="R6" i="317"/>
  <c r="Q6" i="317"/>
  <c r="P6" i="317"/>
  <c r="O6" i="317"/>
  <c r="N6" i="317"/>
  <c r="M6" i="317"/>
  <c r="L6" i="317"/>
  <c r="K6" i="317"/>
  <c r="J6" i="317"/>
  <c r="I6" i="317"/>
  <c r="H6" i="317"/>
  <c r="G6" i="317"/>
  <c r="F6" i="317"/>
  <c r="E6" i="317"/>
  <c r="D6" i="317"/>
  <c r="C6" i="317"/>
  <c r="B6" i="317"/>
  <c r="Y5" i="317"/>
  <c r="X5" i="317"/>
  <c r="W5" i="317"/>
  <c r="V5" i="317"/>
  <c r="U5" i="317"/>
  <c r="T5" i="317"/>
  <c r="S5" i="317"/>
  <c r="R5" i="317"/>
  <c r="Q5" i="317"/>
  <c r="P5" i="317"/>
  <c r="O5" i="317"/>
  <c r="N5" i="317"/>
  <c r="M5" i="317"/>
  <c r="L5" i="317"/>
  <c r="K5" i="317"/>
  <c r="J5" i="317"/>
  <c r="I5" i="317"/>
  <c r="H5" i="317"/>
  <c r="G5" i="317"/>
  <c r="F5" i="317"/>
  <c r="E5" i="317"/>
  <c r="D5" i="317"/>
  <c r="C5" i="317"/>
  <c r="B5" i="317"/>
  <c r="Y10" i="316"/>
  <c r="X10" i="316"/>
  <c r="W10" i="316"/>
  <c r="V10" i="316"/>
  <c r="U10" i="316"/>
  <c r="T10" i="316"/>
  <c r="S10" i="316"/>
  <c r="R10" i="316"/>
  <c r="Q10" i="316"/>
  <c r="P10" i="316"/>
  <c r="O10" i="316"/>
  <c r="N10" i="316"/>
  <c r="M10" i="316"/>
  <c r="L10" i="316"/>
  <c r="K10" i="316"/>
  <c r="J10" i="316"/>
  <c r="I10" i="316"/>
  <c r="H10" i="316"/>
  <c r="G10" i="316"/>
  <c r="F10" i="316"/>
  <c r="E10" i="316"/>
  <c r="D10" i="316"/>
  <c r="C10" i="316"/>
  <c r="B10" i="316"/>
  <c r="Y9" i="316"/>
  <c r="X9" i="316"/>
  <c r="W9" i="316"/>
  <c r="V9" i="316"/>
  <c r="U9" i="316"/>
  <c r="T9" i="316"/>
  <c r="S9" i="316"/>
  <c r="R9" i="316"/>
  <c r="Q9" i="316"/>
  <c r="P9" i="316"/>
  <c r="O9" i="316"/>
  <c r="N9" i="316"/>
  <c r="M9" i="316"/>
  <c r="L9" i="316"/>
  <c r="K9" i="316"/>
  <c r="J9" i="316"/>
  <c r="I9" i="316"/>
  <c r="H9" i="316"/>
  <c r="G9" i="316"/>
  <c r="F9" i="316"/>
  <c r="E9" i="316"/>
  <c r="D9" i="316"/>
  <c r="C9" i="316"/>
  <c r="B9" i="316"/>
  <c r="Y8" i="316"/>
  <c r="X8" i="316"/>
  <c r="W8" i="316"/>
  <c r="V8" i="316"/>
  <c r="U8" i="316"/>
  <c r="T8" i="316"/>
  <c r="S8" i="316"/>
  <c r="R8" i="316"/>
  <c r="Q8" i="316"/>
  <c r="P8" i="316"/>
  <c r="O8" i="316"/>
  <c r="N8" i="316"/>
  <c r="M8" i="316"/>
  <c r="L8" i="316"/>
  <c r="K8" i="316"/>
  <c r="J8" i="316"/>
  <c r="I8" i="316"/>
  <c r="H8" i="316"/>
  <c r="G8" i="316"/>
  <c r="F8" i="316"/>
  <c r="E8" i="316"/>
  <c r="D8" i="316"/>
  <c r="C8" i="316"/>
  <c r="B8" i="316"/>
  <c r="Y7" i="316"/>
  <c r="X7" i="316"/>
  <c r="W7" i="316"/>
  <c r="V7" i="316"/>
  <c r="U7" i="316"/>
  <c r="T7" i="316"/>
  <c r="S7" i="316"/>
  <c r="R7" i="316"/>
  <c r="Q7" i="316"/>
  <c r="P7" i="316"/>
  <c r="O7" i="316"/>
  <c r="N7" i="316"/>
  <c r="M7" i="316"/>
  <c r="L7" i="316"/>
  <c r="K7" i="316"/>
  <c r="J7" i="316"/>
  <c r="I7" i="316"/>
  <c r="H7" i="316"/>
  <c r="G7" i="316"/>
  <c r="F7" i="316"/>
  <c r="E7" i="316"/>
  <c r="D7" i="316"/>
  <c r="C7" i="316"/>
  <c r="B7" i="316"/>
  <c r="Y6" i="316"/>
  <c r="X6" i="316"/>
  <c r="W6" i="316"/>
  <c r="V6" i="316"/>
  <c r="U6" i="316"/>
  <c r="T6" i="316"/>
  <c r="S6" i="316"/>
  <c r="R6" i="316"/>
  <c r="Q6" i="316"/>
  <c r="P6" i="316"/>
  <c r="O6" i="316"/>
  <c r="N6" i="316"/>
  <c r="M6" i="316"/>
  <c r="L6" i="316"/>
  <c r="K6" i="316"/>
  <c r="J6" i="316"/>
  <c r="I6" i="316"/>
  <c r="H6" i="316"/>
  <c r="G6" i="316"/>
  <c r="F6" i="316"/>
  <c r="E6" i="316"/>
  <c r="D6" i="316"/>
  <c r="C6" i="316"/>
  <c r="B6" i="316"/>
  <c r="Y5" i="316"/>
  <c r="X5" i="316"/>
  <c r="W5" i="316"/>
  <c r="V5" i="316"/>
  <c r="U5" i="316"/>
  <c r="T5" i="316"/>
  <c r="S5" i="316"/>
  <c r="R5" i="316"/>
  <c r="Q5" i="316"/>
  <c r="P5" i="316"/>
  <c r="O5" i="316"/>
  <c r="N5" i="316"/>
  <c r="M5" i="316"/>
  <c r="L5" i="316"/>
  <c r="K5" i="316"/>
  <c r="J5" i="316"/>
  <c r="I5" i="316"/>
  <c r="H5" i="316"/>
  <c r="G5" i="316"/>
  <c r="F5" i="316"/>
  <c r="E5" i="316"/>
  <c r="D5" i="316"/>
  <c r="C5" i="316"/>
  <c r="B5" i="316"/>
  <c r="Y10" i="315"/>
  <c r="X10" i="315"/>
  <c r="W10" i="315"/>
  <c r="V10" i="315"/>
  <c r="U10" i="315"/>
  <c r="T10" i="315"/>
  <c r="S10" i="315"/>
  <c r="R10" i="315"/>
  <c r="Q10" i="315"/>
  <c r="P10" i="315"/>
  <c r="O10" i="315"/>
  <c r="N10" i="315"/>
  <c r="M10" i="315"/>
  <c r="L10" i="315"/>
  <c r="K10" i="315"/>
  <c r="J10" i="315"/>
  <c r="I10" i="315"/>
  <c r="H10" i="315"/>
  <c r="G10" i="315"/>
  <c r="F10" i="315"/>
  <c r="E10" i="315"/>
  <c r="D10" i="315"/>
  <c r="C10" i="315"/>
  <c r="B10" i="315"/>
  <c r="Y9" i="315"/>
  <c r="X9" i="315"/>
  <c r="W9" i="315"/>
  <c r="V9" i="315"/>
  <c r="U9" i="315"/>
  <c r="T9" i="315"/>
  <c r="S9" i="315"/>
  <c r="R9" i="315"/>
  <c r="Q9" i="315"/>
  <c r="P9" i="315"/>
  <c r="O9" i="315"/>
  <c r="N9" i="315"/>
  <c r="M9" i="315"/>
  <c r="L9" i="315"/>
  <c r="K9" i="315"/>
  <c r="J9" i="315"/>
  <c r="I9" i="315"/>
  <c r="H9" i="315"/>
  <c r="G9" i="315"/>
  <c r="F9" i="315"/>
  <c r="E9" i="315"/>
  <c r="D9" i="315"/>
  <c r="C9" i="315"/>
  <c r="B9" i="315"/>
  <c r="Y8" i="315"/>
  <c r="X8" i="315"/>
  <c r="W8" i="315"/>
  <c r="V8" i="315"/>
  <c r="U8" i="315"/>
  <c r="T8" i="315"/>
  <c r="S8" i="315"/>
  <c r="R8" i="315"/>
  <c r="Q8" i="315"/>
  <c r="P8" i="315"/>
  <c r="O8" i="315"/>
  <c r="N8" i="315"/>
  <c r="M8" i="315"/>
  <c r="L8" i="315"/>
  <c r="K8" i="315"/>
  <c r="J8" i="315"/>
  <c r="I8" i="315"/>
  <c r="H8" i="315"/>
  <c r="G8" i="315"/>
  <c r="F8" i="315"/>
  <c r="E8" i="315"/>
  <c r="D8" i="315"/>
  <c r="C8" i="315"/>
  <c r="B8" i="315"/>
  <c r="Y7" i="315"/>
  <c r="X7" i="315"/>
  <c r="W7" i="315"/>
  <c r="V7" i="315"/>
  <c r="U7" i="315"/>
  <c r="T7" i="315"/>
  <c r="S7" i="315"/>
  <c r="R7" i="315"/>
  <c r="Q7" i="315"/>
  <c r="P7" i="315"/>
  <c r="O7" i="315"/>
  <c r="N7" i="315"/>
  <c r="M7" i="315"/>
  <c r="L7" i="315"/>
  <c r="K7" i="315"/>
  <c r="J7" i="315"/>
  <c r="I7" i="315"/>
  <c r="H7" i="315"/>
  <c r="G7" i="315"/>
  <c r="F7" i="315"/>
  <c r="E7" i="315"/>
  <c r="D7" i="315"/>
  <c r="C7" i="315"/>
  <c r="B7" i="315"/>
  <c r="Y6" i="315"/>
  <c r="X6" i="315"/>
  <c r="W6" i="315"/>
  <c r="V6" i="315"/>
  <c r="U6" i="315"/>
  <c r="T6" i="315"/>
  <c r="S6" i="315"/>
  <c r="R6" i="315"/>
  <c r="Q6" i="315"/>
  <c r="P6" i="315"/>
  <c r="O6" i="315"/>
  <c r="N6" i="315"/>
  <c r="M6" i="315"/>
  <c r="L6" i="315"/>
  <c r="K6" i="315"/>
  <c r="J6" i="315"/>
  <c r="I6" i="315"/>
  <c r="H6" i="315"/>
  <c r="G6" i="315"/>
  <c r="F6" i="315"/>
  <c r="E6" i="315"/>
  <c r="D6" i="315"/>
  <c r="C6" i="315"/>
  <c r="B6" i="315"/>
  <c r="Y5" i="315"/>
  <c r="X5" i="315"/>
  <c r="W5" i="315"/>
  <c r="V5" i="315"/>
  <c r="U5" i="315"/>
  <c r="T5" i="315"/>
  <c r="S5" i="315"/>
  <c r="R5" i="315"/>
  <c r="Q5" i="315"/>
  <c r="P5" i="315"/>
  <c r="O5" i="315"/>
  <c r="N5" i="315"/>
  <c r="M5" i="315"/>
  <c r="L5" i="315"/>
  <c r="K5" i="315"/>
  <c r="J5" i="315"/>
  <c r="I5" i="315"/>
  <c r="H5" i="315"/>
  <c r="G5" i="315"/>
  <c r="F5" i="315"/>
  <c r="E5" i="315"/>
  <c r="D5" i="315"/>
  <c r="C5" i="315"/>
  <c r="B5" i="315"/>
  <c r="Y10" i="314"/>
  <c r="X10" i="314"/>
  <c r="W10" i="314"/>
  <c r="V10" i="314"/>
  <c r="U10" i="314"/>
  <c r="T10" i="314"/>
  <c r="S10" i="314"/>
  <c r="R10" i="314"/>
  <c r="Q10" i="314"/>
  <c r="P10" i="314"/>
  <c r="O10" i="314"/>
  <c r="N10" i="314"/>
  <c r="M10" i="314"/>
  <c r="L10" i="314"/>
  <c r="K10" i="314"/>
  <c r="J10" i="314"/>
  <c r="I10" i="314"/>
  <c r="H10" i="314"/>
  <c r="G10" i="314"/>
  <c r="F10" i="314"/>
  <c r="E10" i="314"/>
  <c r="D10" i="314"/>
  <c r="C10" i="314"/>
  <c r="B10" i="314"/>
  <c r="Y9" i="314"/>
  <c r="X9" i="314"/>
  <c r="W9" i="314"/>
  <c r="V9" i="314"/>
  <c r="U9" i="314"/>
  <c r="T9" i="314"/>
  <c r="S9" i="314"/>
  <c r="R9" i="314"/>
  <c r="Q9" i="314"/>
  <c r="P9" i="314"/>
  <c r="O9" i="314"/>
  <c r="N9" i="314"/>
  <c r="M9" i="314"/>
  <c r="L9" i="314"/>
  <c r="K9" i="314"/>
  <c r="J9" i="314"/>
  <c r="I9" i="314"/>
  <c r="H9" i="314"/>
  <c r="G9" i="314"/>
  <c r="F9" i="314"/>
  <c r="E9" i="314"/>
  <c r="D9" i="314"/>
  <c r="C9" i="314"/>
  <c r="B9" i="314"/>
  <c r="Y8" i="314"/>
  <c r="X8" i="314"/>
  <c r="W8" i="314"/>
  <c r="V8" i="314"/>
  <c r="U8" i="314"/>
  <c r="T8" i="314"/>
  <c r="S8" i="314"/>
  <c r="R8" i="314"/>
  <c r="Q8" i="314"/>
  <c r="P8" i="314"/>
  <c r="O8" i="314"/>
  <c r="N8" i="314"/>
  <c r="M8" i="314"/>
  <c r="L8" i="314"/>
  <c r="K8" i="314"/>
  <c r="J8" i="314"/>
  <c r="I8" i="314"/>
  <c r="H8" i="314"/>
  <c r="G8" i="314"/>
  <c r="F8" i="314"/>
  <c r="E8" i="314"/>
  <c r="D8" i="314"/>
  <c r="C8" i="314"/>
  <c r="B8" i="314"/>
  <c r="Y7" i="314"/>
  <c r="X7" i="314"/>
  <c r="W7" i="314"/>
  <c r="V7" i="314"/>
  <c r="U7" i="314"/>
  <c r="T7" i="314"/>
  <c r="S7" i="314"/>
  <c r="R7" i="314"/>
  <c r="Q7" i="314"/>
  <c r="P7" i="314"/>
  <c r="O7" i="314"/>
  <c r="N7" i="314"/>
  <c r="M7" i="314"/>
  <c r="L7" i="314"/>
  <c r="K7" i="314"/>
  <c r="J7" i="314"/>
  <c r="I7" i="314"/>
  <c r="H7" i="314"/>
  <c r="G7" i="314"/>
  <c r="F7" i="314"/>
  <c r="E7" i="314"/>
  <c r="D7" i="314"/>
  <c r="C7" i="314"/>
  <c r="B7" i="314"/>
  <c r="Y6" i="314"/>
  <c r="X6" i="314"/>
  <c r="W6" i="314"/>
  <c r="V6" i="314"/>
  <c r="U6" i="314"/>
  <c r="T6" i="314"/>
  <c r="S6" i="314"/>
  <c r="R6" i="314"/>
  <c r="Q6" i="314"/>
  <c r="P6" i="314"/>
  <c r="O6" i="314"/>
  <c r="N6" i="314"/>
  <c r="M6" i="314"/>
  <c r="L6" i="314"/>
  <c r="K6" i="314"/>
  <c r="J6" i="314"/>
  <c r="I6" i="314"/>
  <c r="H6" i="314"/>
  <c r="G6" i="314"/>
  <c r="F6" i="314"/>
  <c r="E6" i="314"/>
  <c r="D6" i="314"/>
  <c r="C6" i="314"/>
  <c r="B6" i="314"/>
  <c r="Y5" i="314"/>
  <c r="X5" i="314"/>
  <c r="W5" i="314"/>
  <c r="V5" i="314"/>
  <c r="U5" i="314"/>
  <c r="T5" i="314"/>
  <c r="S5" i="314"/>
  <c r="R5" i="314"/>
  <c r="Q5" i="314"/>
  <c r="P5" i="314"/>
  <c r="O5" i="314"/>
  <c r="N5" i="314"/>
  <c r="M5" i="314"/>
  <c r="L5" i="314"/>
  <c r="K5" i="314"/>
  <c r="J5" i="314"/>
  <c r="I5" i="314"/>
  <c r="H5" i="314"/>
  <c r="G5" i="314"/>
  <c r="F5" i="314"/>
  <c r="E5" i="314"/>
  <c r="D5" i="314"/>
  <c r="C5" i="314"/>
  <c r="B5" i="314"/>
  <c r="Y10" i="283"/>
  <c r="X10" i="283"/>
  <c r="W10" i="283"/>
  <c r="V10" i="283"/>
  <c r="U10" i="283"/>
  <c r="T10" i="283"/>
  <c r="S10" i="283"/>
  <c r="R10" i="283"/>
  <c r="Q10" i="283"/>
  <c r="P10" i="283"/>
  <c r="O10" i="283"/>
  <c r="N10" i="283"/>
  <c r="M10" i="283"/>
  <c r="L10" i="283"/>
  <c r="K10" i="283"/>
  <c r="J10" i="283"/>
  <c r="I10" i="283"/>
  <c r="H10" i="283"/>
  <c r="G10" i="283"/>
  <c r="F10" i="283"/>
  <c r="E10" i="283"/>
  <c r="D10" i="283"/>
  <c r="C10" i="283"/>
  <c r="B10" i="283"/>
  <c r="Y9" i="283"/>
  <c r="X9" i="283"/>
  <c r="W9" i="283"/>
  <c r="V9" i="283"/>
  <c r="U9" i="283"/>
  <c r="T9" i="283"/>
  <c r="S9" i="283"/>
  <c r="R9" i="283"/>
  <c r="Q9" i="283"/>
  <c r="P9" i="283"/>
  <c r="O9" i="283"/>
  <c r="N9" i="283"/>
  <c r="M9" i="283"/>
  <c r="L9" i="283"/>
  <c r="K9" i="283"/>
  <c r="J9" i="283"/>
  <c r="I9" i="283"/>
  <c r="H9" i="283"/>
  <c r="G9" i="283"/>
  <c r="F9" i="283"/>
  <c r="E9" i="283"/>
  <c r="D9" i="283"/>
  <c r="C9" i="283"/>
  <c r="B9" i="283"/>
  <c r="Y8" i="283"/>
  <c r="X8" i="283"/>
  <c r="W8" i="283"/>
  <c r="V8" i="283"/>
  <c r="U8" i="283"/>
  <c r="T8" i="283"/>
  <c r="S8" i="283"/>
  <c r="R8" i="283"/>
  <c r="Q8" i="283"/>
  <c r="P8" i="283"/>
  <c r="O8" i="283"/>
  <c r="N8" i="283"/>
  <c r="M8" i="283"/>
  <c r="L8" i="283"/>
  <c r="K8" i="283"/>
  <c r="J8" i="283"/>
  <c r="I8" i="283"/>
  <c r="H8" i="283"/>
  <c r="G8" i="283"/>
  <c r="F8" i="283"/>
  <c r="E8" i="283"/>
  <c r="D8" i="283"/>
  <c r="C8" i="283"/>
  <c r="B8" i="283"/>
  <c r="Y7" i="283"/>
  <c r="X7" i="283"/>
  <c r="W7" i="283"/>
  <c r="V7" i="283"/>
  <c r="U7" i="283"/>
  <c r="T7" i="283"/>
  <c r="S7" i="283"/>
  <c r="R7" i="283"/>
  <c r="Q7" i="283"/>
  <c r="P7" i="283"/>
  <c r="O7" i="283"/>
  <c r="N7" i="283"/>
  <c r="M7" i="283"/>
  <c r="L7" i="283"/>
  <c r="K7" i="283"/>
  <c r="J7" i="283"/>
  <c r="I7" i="283"/>
  <c r="H7" i="283"/>
  <c r="G7" i="283"/>
  <c r="F7" i="283"/>
  <c r="E7" i="283"/>
  <c r="D7" i="283"/>
  <c r="C7" i="283"/>
  <c r="B7" i="283"/>
  <c r="Y6" i="283"/>
  <c r="X6" i="283"/>
  <c r="W6" i="283"/>
  <c r="V6" i="283"/>
  <c r="U6" i="283"/>
  <c r="T6" i="283"/>
  <c r="S6" i="283"/>
  <c r="R6" i="283"/>
  <c r="Q6" i="283"/>
  <c r="P6" i="283"/>
  <c r="O6" i="283"/>
  <c r="N6" i="283"/>
  <c r="M6" i="283"/>
  <c r="L6" i="283"/>
  <c r="K6" i="283"/>
  <c r="J6" i="283"/>
  <c r="I6" i="283"/>
  <c r="H6" i="283"/>
  <c r="G6" i="283"/>
  <c r="F6" i="283"/>
  <c r="E6" i="283"/>
  <c r="D6" i="283"/>
  <c r="C6" i="283"/>
  <c r="B6" i="283"/>
  <c r="Y5" i="283"/>
  <c r="X5" i="283"/>
  <c r="W5" i="283"/>
  <c r="V5" i="283"/>
  <c r="U5" i="283"/>
  <c r="T5" i="283"/>
  <c r="S5" i="283"/>
  <c r="R5" i="283"/>
  <c r="Q5" i="283"/>
  <c r="P5" i="283"/>
  <c r="O5" i="283"/>
  <c r="N5" i="283"/>
  <c r="M5" i="283"/>
  <c r="L5" i="283"/>
  <c r="K5" i="283"/>
  <c r="J5" i="283"/>
  <c r="I5" i="283"/>
  <c r="H5" i="283"/>
  <c r="G5" i="283"/>
  <c r="F5" i="283"/>
  <c r="E5" i="283"/>
  <c r="D5" i="283"/>
  <c r="C5" i="283"/>
  <c r="B5" i="283"/>
  <c r="Y10" i="282"/>
  <c r="X10" i="282"/>
  <c r="W10" i="282"/>
  <c r="V10" i="282"/>
  <c r="U10" i="282"/>
  <c r="T10" i="282"/>
  <c r="S10" i="282"/>
  <c r="R10" i="282"/>
  <c r="Q10" i="282"/>
  <c r="P10" i="282"/>
  <c r="O10" i="282"/>
  <c r="N10" i="282"/>
  <c r="M10" i="282"/>
  <c r="L10" i="282"/>
  <c r="K10" i="282"/>
  <c r="J10" i="282"/>
  <c r="I10" i="282"/>
  <c r="H10" i="282"/>
  <c r="G10" i="282"/>
  <c r="F10" i="282"/>
  <c r="E10" i="282"/>
  <c r="D10" i="282"/>
  <c r="C10" i="282"/>
  <c r="B10" i="282"/>
  <c r="Y9" i="282"/>
  <c r="X9" i="282"/>
  <c r="W9" i="282"/>
  <c r="V9" i="282"/>
  <c r="U9" i="282"/>
  <c r="T9" i="282"/>
  <c r="S9" i="282"/>
  <c r="R9" i="282"/>
  <c r="Q9" i="282"/>
  <c r="P9" i="282"/>
  <c r="O9" i="282"/>
  <c r="N9" i="282"/>
  <c r="M9" i="282"/>
  <c r="L9" i="282"/>
  <c r="K9" i="282"/>
  <c r="J9" i="282"/>
  <c r="I9" i="282"/>
  <c r="H9" i="282"/>
  <c r="G9" i="282"/>
  <c r="F9" i="282"/>
  <c r="E9" i="282"/>
  <c r="D9" i="282"/>
  <c r="C9" i="282"/>
  <c r="B9" i="282"/>
  <c r="Y8" i="282"/>
  <c r="X8" i="282"/>
  <c r="W8" i="282"/>
  <c r="V8" i="282"/>
  <c r="U8" i="282"/>
  <c r="T8" i="282"/>
  <c r="S8" i="282"/>
  <c r="R8" i="282"/>
  <c r="Q8" i="282"/>
  <c r="P8" i="282"/>
  <c r="O8" i="282"/>
  <c r="N8" i="282"/>
  <c r="M8" i="282"/>
  <c r="L8" i="282"/>
  <c r="K8" i="282"/>
  <c r="J8" i="282"/>
  <c r="I8" i="282"/>
  <c r="H8" i="282"/>
  <c r="G8" i="282"/>
  <c r="F8" i="282"/>
  <c r="E8" i="282"/>
  <c r="D8" i="282"/>
  <c r="C8" i="282"/>
  <c r="B8" i="282"/>
  <c r="Y7" i="282"/>
  <c r="X7" i="282"/>
  <c r="W7" i="282"/>
  <c r="V7" i="282"/>
  <c r="U7" i="282"/>
  <c r="T7" i="282"/>
  <c r="S7" i="282"/>
  <c r="R7" i="282"/>
  <c r="Q7" i="282"/>
  <c r="P7" i="282"/>
  <c r="O7" i="282"/>
  <c r="N7" i="282"/>
  <c r="M7" i="282"/>
  <c r="L7" i="282"/>
  <c r="K7" i="282"/>
  <c r="J7" i="282"/>
  <c r="I7" i="282"/>
  <c r="H7" i="282"/>
  <c r="G7" i="282"/>
  <c r="F7" i="282"/>
  <c r="E7" i="282"/>
  <c r="D7" i="282"/>
  <c r="C7" i="282"/>
  <c r="B7" i="282"/>
  <c r="Y6" i="282"/>
  <c r="X6" i="282"/>
  <c r="W6" i="282"/>
  <c r="V6" i="282"/>
  <c r="U6" i="282"/>
  <c r="T6" i="282"/>
  <c r="S6" i="282"/>
  <c r="R6" i="282"/>
  <c r="Q6" i="282"/>
  <c r="P6" i="282"/>
  <c r="O6" i="282"/>
  <c r="N6" i="282"/>
  <c r="M6" i="282"/>
  <c r="L6" i="282"/>
  <c r="K6" i="282"/>
  <c r="J6" i="282"/>
  <c r="I6" i="282"/>
  <c r="H6" i="282"/>
  <c r="G6" i="282"/>
  <c r="F6" i="282"/>
  <c r="E6" i="282"/>
  <c r="D6" i="282"/>
  <c r="C6" i="282"/>
  <c r="B6" i="282"/>
  <c r="Y5" i="282"/>
  <c r="X5" i="282"/>
  <c r="W5" i="282"/>
  <c r="V5" i="282"/>
  <c r="U5" i="282"/>
  <c r="T5" i="282"/>
  <c r="S5" i="282"/>
  <c r="R5" i="282"/>
  <c r="Q5" i="282"/>
  <c r="P5" i="282"/>
  <c r="O5" i="282"/>
  <c r="N5" i="282"/>
  <c r="M5" i="282"/>
  <c r="L5" i="282"/>
  <c r="K5" i="282"/>
  <c r="J5" i="282"/>
  <c r="I5" i="282"/>
  <c r="H5" i="282"/>
  <c r="G5" i="282"/>
  <c r="F5" i="282"/>
  <c r="E5" i="282"/>
  <c r="D5" i="282"/>
  <c r="C5" i="282"/>
  <c r="B5" i="282"/>
  <c r="Y10" i="281"/>
  <c r="X10" i="281"/>
  <c r="W10" i="281"/>
  <c r="V10" i="281"/>
  <c r="U10" i="281"/>
  <c r="T10" i="281"/>
  <c r="S10" i="281"/>
  <c r="R10" i="281"/>
  <c r="Q10" i="281"/>
  <c r="P10" i="281"/>
  <c r="O10" i="281"/>
  <c r="N10" i="281"/>
  <c r="M10" i="281"/>
  <c r="L10" i="281"/>
  <c r="K10" i="281"/>
  <c r="J10" i="281"/>
  <c r="I10" i="281"/>
  <c r="H10" i="281"/>
  <c r="G10" i="281"/>
  <c r="F10" i="281"/>
  <c r="E10" i="281"/>
  <c r="D10" i="281"/>
  <c r="C10" i="281"/>
  <c r="B10" i="281"/>
  <c r="Y9" i="281"/>
  <c r="X9" i="281"/>
  <c r="W9" i="281"/>
  <c r="V9" i="281"/>
  <c r="U9" i="281"/>
  <c r="T9" i="281"/>
  <c r="S9" i="281"/>
  <c r="R9" i="281"/>
  <c r="Q9" i="281"/>
  <c r="P9" i="281"/>
  <c r="O9" i="281"/>
  <c r="N9" i="281"/>
  <c r="M9" i="281"/>
  <c r="L9" i="281"/>
  <c r="K9" i="281"/>
  <c r="J9" i="281"/>
  <c r="I9" i="281"/>
  <c r="H9" i="281"/>
  <c r="G9" i="281"/>
  <c r="F9" i="281"/>
  <c r="E9" i="281"/>
  <c r="D9" i="281"/>
  <c r="C9" i="281"/>
  <c r="B9" i="281"/>
  <c r="Y8" i="281"/>
  <c r="X8" i="281"/>
  <c r="W8" i="281"/>
  <c r="V8" i="281"/>
  <c r="U8" i="281"/>
  <c r="T8" i="281"/>
  <c r="S8" i="281"/>
  <c r="R8" i="281"/>
  <c r="Q8" i="281"/>
  <c r="P8" i="281"/>
  <c r="O8" i="281"/>
  <c r="N8" i="281"/>
  <c r="M8" i="281"/>
  <c r="L8" i="281"/>
  <c r="K8" i="281"/>
  <c r="J8" i="281"/>
  <c r="I8" i="281"/>
  <c r="H8" i="281"/>
  <c r="G8" i="281"/>
  <c r="F8" i="281"/>
  <c r="E8" i="281"/>
  <c r="D8" i="281"/>
  <c r="C8" i="281"/>
  <c r="B8" i="281"/>
  <c r="Y7" i="281"/>
  <c r="X7" i="281"/>
  <c r="W7" i="281"/>
  <c r="V7" i="281"/>
  <c r="U7" i="281"/>
  <c r="T7" i="281"/>
  <c r="S7" i="281"/>
  <c r="R7" i="281"/>
  <c r="Q7" i="281"/>
  <c r="P7" i="281"/>
  <c r="O7" i="281"/>
  <c r="N7" i="281"/>
  <c r="M7" i="281"/>
  <c r="L7" i="281"/>
  <c r="K7" i="281"/>
  <c r="J7" i="281"/>
  <c r="I7" i="281"/>
  <c r="H7" i="281"/>
  <c r="G7" i="281"/>
  <c r="F7" i="281"/>
  <c r="E7" i="281"/>
  <c r="D7" i="281"/>
  <c r="C7" i="281"/>
  <c r="B7" i="281"/>
  <c r="Y6" i="281"/>
  <c r="X6" i="281"/>
  <c r="W6" i="281"/>
  <c r="V6" i="281"/>
  <c r="U6" i="281"/>
  <c r="T6" i="281"/>
  <c r="S6" i="281"/>
  <c r="R6" i="281"/>
  <c r="Q6" i="281"/>
  <c r="P6" i="281"/>
  <c r="O6" i="281"/>
  <c r="N6" i="281"/>
  <c r="M6" i="281"/>
  <c r="L6" i="281"/>
  <c r="K6" i="281"/>
  <c r="J6" i="281"/>
  <c r="I6" i="281"/>
  <c r="H6" i="281"/>
  <c r="G6" i="281"/>
  <c r="F6" i="281"/>
  <c r="E6" i="281"/>
  <c r="D6" i="281"/>
  <c r="C6" i="281"/>
  <c r="B6" i="281"/>
  <c r="Y5" i="281"/>
  <c r="X5" i="281"/>
  <c r="W5" i="281"/>
  <c r="V5" i="281"/>
  <c r="U5" i="281"/>
  <c r="T5" i="281"/>
  <c r="S5" i="281"/>
  <c r="R5" i="281"/>
  <c r="Q5" i="281"/>
  <c r="P5" i="281"/>
  <c r="O5" i="281"/>
  <c r="N5" i="281"/>
  <c r="M5" i="281"/>
  <c r="L5" i="281"/>
  <c r="K5" i="281"/>
  <c r="J5" i="281"/>
  <c r="I5" i="281"/>
  <c r="H5" i="281"/>
  <c r="G5" i="281"/>
  <c r="F5" i="281"/>
  <c r="E5" i="281"/>
  <c r="D5" i="281"/>
  <c r="C5" i="281"/>
  <c r="B5" i="281"/>
  <c r="Y10" i="280"/>
  <c r="X10" i="280"/>
  <c r="W10" i="280"/>
  <c r="V10" i="280"/>
  <c r="U10" i="280"/>
  <c r="T10" i="280"/>
  <c r="S10" i="280"/>
  <c r="R10" i="280"/>
  <c r="Q10" i="280"/>
  <c r="P10" i="280"/>
  <c r="O10" i="280"/>
  <c r="N10" i="280"/>
  <c r="M10" i="280"/>
  <c r="L10" i="280"/>
  <c r="K10" i="280"/>
  <c r="J10" i="280"/>
  <c r="I10" i="280"/>
  <c r="H10" i="280"/>
  <c r="G10" i="280"/>
  <c r="F10" i="280"/>
  <c r="E10" i="280"/>
  <c r="D10" i="280"/>
  <c r="C10" i="280"/>
  <c r="B10" i="280"/>
  <c r="Y9" i="280"/>
  <c r="X9" i="280"/>
  <c r="W9" i="280"/>
  <c r="V9" i="280"/>
  <c r="U9" i="280"/>
  <c r="T9" i="280"/>
  <c r="S9" i="280"/>
  <c r="R9" i="280"/>
  <c r="Q9" i="280"/>
  <c r="P9" i="280"/>
  <c r="O9" i="280"/>
  <c r="N9" i="280"/>
  <c r="M9" i="280"/>
  <c r="L9" i="280"/>
  <c r="K9" i="280"/>
  <c r="J9" i="280"/>
  <c r="I9" i="280"/>
  <c r="H9" i="280"/>
  <c r="G9" i="280"/>
  <c r="F9" i="280"/>
  <c r="E9" i="280"/>
  <c r="D9" i="280"/>
  <c r="C9" i="280"/>
  <c r="B9" i="280"/>
  <c r="Y8" i="280"/>
  <c r="X8" i="280"/>
  <c r="W8" i="280"/>
  <c r="V8" i="280"/>
  <c r="U8" i="280"/>
  <c r="T8" i="280"/>
  <c r="S8" i="280"/>
  <c r="R8" i="280"/>
  <c r="Q8" i="280"/>
  <c r="P8" i="280"/>
  <c r="O8" i="280"/>
  <c r="N8" i="280"/>
  <c r="M8" i="280"/>
  <c r="L8" i="280"/>
  <c r="K8" i="280"/>
  <c r="J8" i="280"/>
  <c r="I8" i="280"/>
  <c r="H8" i="280"/>
  <c r="G8" i="280"/>
  <c r="F8" i="280"/>
  <c r="E8" i="280"/>
  <c r="D8" i="280"/>
  <c r="C8" i="280"/>
  <c r="B8" i="280"/>
  <c r="Y7" i="280"/>
  <c r="X7" i="280"/>
  <c r="W7" i="280"/>
  <c r="V7" i="280"/>
  <c r="U7" i="280"/>
  <c r="T7" i="280"/>
  <c r="S7" i="280"/>
  <c r="R7" i="280"/>
  <c r="Q7" i="280"/>
  <c r="P7" i="280"/>
  <c r="O7" i="280"/>
  <c r="N7" i="280"/>
  <c r="M7" i="280"/>
  <c r="L7" i="280"/>
  <c r="K7" i="280"/>
  <c r="J7" i="280"/>
  <c r="I7" i="280"/>
  <c r="H7" i="280"/>
  <c r="G7" i="280"/>
  <c r="F7" i="280"/>
  <c r="E7" i="280"/>
  <c r="D7" i="280"/>
  <c r="C7" i="280"/>
  <c r="B7" i="280"/>
  <c r="Y6" i="280"/>
  <c r="X6" i="280"/>
  <c r="W6" i="280"/>
  <c r="V6" i="280"/>
  <c r="U6" i="280"/>
  <c r="T6" i="280"/>
  <c r="S6" i="280"/>
  <c r="R6" i="280"/>
  <c r="Q6" i="280"/>
  <c r="P6" i="280"/>
  <c r="O6" i="280"/>
  <c r="N6" i="280"/>
  <c r="M6" i="280"/>
  <c r="L6" i="280"/>
  <c r="K6" i="280"/>
  <c r="J6" i="280"/>
  <c r="I6" i="280"/>
  <c r="H6" i="280"/>
  <c r="G6" i="280"/>
  <c r="F6" i="280"/>
  <c r="E6" i="280"/>
  <c r="D6" i="280"/>
  <c r="C6" i="280"/>
  <c r="B6" i="280"/>
  <c r="Y5" i="280"/>
  <c r="X5" i="280"/>
  <c r="W5" i="280"/>
  <c r="V5" i="280"/>
  <c r="U5" i="280"/>
  <c r="T5" i="280"/>
  <c r="S5" i="280"/>
  <c r="R5" i="280"/>
  <c r="Q5" i="280"/>
  <c r="P5" i="280"/>
  <c r="O5" i="280"/>
  <c r="N5" i="280"/>
  <c r="M5" i="280"/>
  <c r="L5" i="280"/>
  <c r="K5" i="280"/>
  <c r="J5" i="280"/>
  <c r="I5" i="280"/>
  <c r="H5" i="280"/>
  <c r="G5" i="280"/>
  <c r="F5" i="280"/>
  <c r="E5" i="280"/>
  <c r="D5" i="280"/>
  <c r="C5" i="280"/>
  <c r="B5" i="280"/>
  <c r="Y10" i="279"/>
  <c r="X10" i="279"/>
  <c r="W10" i="279"/>
  <c r="V10" i="279"/>
  <c r="U10" i="279"/>
  <c r="T10" i="279"/>
  <c r="S10" i="279"/>
  <c r="R10" i="279"/>
  <c r="Q10" i="279"/>
  <c r="P10" i="279"/>
  <c r="O10" i="279"/>
  <c r="N10" i="279"/>
  <c r="M10" i="279"/>
  <c r="L10" i="279"/>
  <c r="K10" i="279"/>
  <c r="J10" i="279"/>
  <c r="I10" i="279"/>
  <c r="H10" i="279"/>
  <c r="G10" i="279"/>
  <c r="F10" i="279"/>
  <c r="E10" i="279"/>
  <c r="D10" i="279"/>
  <c r="C10" i="279"/>
  <c r="B10" i="279"/>
  <c r="Y9" i="279"/>
  <c r="X9" i="279"/>
  <c r="W9" i="279"/>
  <c r="V9" i="279"/>
  <c r="U9" i="279"/>
  <c r="T9" i="279"/>
  <c r="S9" i="279"/>
  <c r="R9" i="279"/>
  <c r="Q9" i="279"/>
  <c r="P9" i="279"/>
  <c r="O9" i="279"/>
  <c r="N9" i="279"/>
  <c r="M9" i="279"/>
  <c r="L9" i="279"/>
  <c r="K9" i="279"/>
  <c r="J9" i="279"/>
  <c r="I9" i="279"/>
  <c r="H9" i="279"/>
  <c r="G9" i="279"/>
  <c r="F9" i="279"/>
  <c r="E9" i="279"/>
  <c r="D9" i="279"/>
  <c r="C9" i="279"/>
  <c r="B9" i="279"/>
  <c r="Y8" i="279"/>
  <c r="X8" i="279"/>
  <c r="W8" i="279"/>
  <c r="V8" i="279"/>
  <c r="U8" i="279"/>
  <c r="T8" i="279"/>
  <c r="S8" i="279"/>
  <c r="R8" i="279"/>
  <c r="Q8" i="279"/>
  <c r="P8" i="279"/>
  <c r="O8" i="279"/>
  <c r="N8" i="279"/>
  <c r="M8" i="279"/>
  <c r="L8" i="279"/>
  <c r="K8" i="279"/>
  <c r="J8" i="279"/>
  <c r="I8" i="279"/>
  <c r="H8" i="279"/>
  <c r="G8" i="279"/>
  <c r="F8" i="279"/>
  <c r="E8" i="279"/>
  <c r="D8" i="279"/>
  <c r="C8" i="279"/>
  <c r="B8" i="279"/>
  <c r="Y7" i="279"/>
  <c r="X7" i="279"/>
  <c r="W7" i="279"/>
  <c r="V7" i="279"/>
  <c r="U7" i="279"/>
  <c r="T7" i="279"/>
  <c r="S7" i="279"/>
  <c r="R7" i="279"/>
  <c r="Q7" i="279"/>
  <c r="P7" i="279"/>
  <c r="O7" i="279"/>
  <c r="N7" i="279"/>
  <c r="M7" i="279"/>
  <c r="L7" i="279"/>
  <c r="K7" i="279"/>
  <c r="J7" i="279"/>
  <c r="I7" i="279"/>
  <c r="H7" i="279"/>
  <c r="G7" i="279"/>
  <c r="F7" i="279"/>
  <c r="E7" i="279"/>
  <c r="D7" i="279"/>
  <c r="C7" i="279"/>
  <c r="B7" i="279"/>
  <c r="Y6" i="279"/>
  <c r="X6" i="279"/>
  <c r="W6" i="279"/>
  <c r="V6" i="279"/>
  <c r="U6" i="279"/>
  <c r="T6" i="279"/>
  <c r="S6" i="279"/>
  <c r="R6" i="279"/>
  <c r="Q6" i="279"/>
  <c r="P6" i="279"/>
  <c r="O6" i="279"/>
  <c r="N6" i="279"/>
  <c r="M6" i="279"/>
  <c r="L6" i="279"/>
  <c r="K6" i="279"/>
  <c r="J6" i="279"/>
  <c r="I6" i="279"/>
  <c r="H6" i="279"/>
  <c r="G6" i="279"/>
  <c r="F6" i="279"/>
  <c r="E6" i="279"/>
  <c r="D6" i="279"/>
  <c r="C6" i="279"/>
  <c r="B6" i="279"/>
  <c r="Y5" i="279"/>
  <c r="X5" i="279"/>
  <c r="W5" i="279"/>
  <c r="V5" i="279"/>
  <c r="U5" i="279"/>
  <c r="T5" i="279"/>
  <c r="S5" i="279"/>
  <c r="R5" i="279"/>
  <c r="Q5" i="279"/>
  <c r="P5" i="279"/>
  <c r="O5" i="279"/>
  <c r="N5" i="279"/>
  <c r="M5" i="279"/>
  <c r="L5" i="279"/>
  <c r="K5" i="279"/>
  <c r="J5" i="279"/>
  <c r="I5" i="279"/>
  <c r="H5" i="279"/>
  <c r="G5" i="279"/>
  <c r="F5" i="279"/>
  <c r="E5" i="279"/>
  <c r="D5" i="279"/>
  <c r="C5" i="279"/>
  <c r="B5" i="279"/>
  <c r="Y10" i="278"/>
  <c r="X10" i="278"/>
  <c r="W10" i="278"/>
  <c r="V10" i="278"/>
  <c r="U10" i="278"/>
  <c r="T10" i="278"/>
  <c r="S10" i="278"/>
  <c r="R10" i="278"/>
  <c r="Q10" i="278"/>
  <c r="P10" i="278"/>
  <c r="O10" i="278"/>
  <c r="N10" i="278"/>
  <c r="M10" i="278"/>
  <c r="L10" i="278"/>
  <c r="K10" i="278"/>
  <c r="J10" i="278"/>
  <c r="I10" i="278"/>
  <c r="H10" i="278"/>
  <c r="G10" i="278"/>
  <c r="F10" i="278"/>
  <c r="E10" i="278"/>
  <c r="D10" i="278"/>
  <c r="C10" i="278"/>
  <c r="B10" i="278"/>
  <c r="Y9" i="278"/>
  <c r="X9" i="278"/>
  <c r="W9" i="278"/>
  <c r="V9" i="278"/>
  <c r="U9" i="278"/>
  <c r="T9" i="278"/>
  <c r="S9" i="278"/>
  <c r="R9" i="278"/>
  <c r="Q9" i="278"/>
  <c r="P9" i="278"/>
  <c r="O9" i="278"/>
  <c r="N9" i="278"/>
  <c r="M9" i="278"/>
  <c r="L9" i="278"/>
  <c r="K9" i="278"/>
  <c r="J9" i="278"/>
  <c r="I9" i="278"/>
  <c r="H9" i="278"/>
  <c r="G9" i="278"/>
  <c r="F9" i="278"/>
  <c r="E9" i="278"/>
  <c r="D9" i="278"/>
  <c r="C9" i="278"/>
  <c r="B9" i="278"/>
  <c r="Y8" i="278"/>
  <c r="X8" i="278"/>
  <c r="W8" i="278"/>
  <c r="V8" i="278"/>
  <c r="U8" i="278"/>
  <c r="T8" i="278"/>
  <c r="S8" i="278"/>
  <c r="R8" i="278"/>
  <c r="Q8" i="278"/>
  <c r="P8" i="278"/>
  <c r="O8" i="278"/>
  <c r="N8" i="278"/>
  <c r="M8" i="278"/>
  <c r="L8" i="278"/>
  <c r="K8" i="278"/>
  <c r="J8" i="278"/>
  <c r="I8" i="278"/>
  <c r="H8" i="278"/>
  <c r="G8" i="278"/>
  <c r="F8" i="278"/>
  <c r="E8" i="278"/>
  <c r="D8" i="278"/>
  <c r="C8" i="278"/>
  <c r="B8" i="278"/>
  <c r="Y7" i="278"/>
  <c r="X7" i="278"/>
  <c r="W7" i="278"/>
  <c r="V7" i="278"/>
  <c r="U7" i="278"/>
  <c r="T7" i="278"/>
  <c r="S7" i="278"/>
  <c r="R7" i="278"/>
  <c r="Q7" i="278"/>
  <c r="P7" i="278"/>
  <c r="O7" i="278"/>
  <c r="N7" i="278"/>
  <c r="M7" i="278"/>
  <c r="L7" i="278"/>
  <c r="K7" i="278"/>
  <c r="J7" i="278"/>
  <c r="I7" i="278"/>
  <c r="H7" i="278"/>
  <c r="G7" i="278"/>
  <c r="F7" i="278"/>
  <c r="E7" i="278"/>
  <c r="D7" i="278"/>
  <c r="C7" i="278"/>
  <c r="B7" i="278"/>
  <c r="Y6" i="278"/>
  <c r="X6" i="278"/>
  <c r="W6" i="278"/>
  <c r="V6" i="278"/>
  <c r="U6" i="278"/>
  <c r="T6" i="278"/>
  <c r="S6" i="278"/>
  <c r="R6" i="278"/>
  <c r="Q6" i="278"/>
  <c r="P6" i="278"/>
  <c r="O6" i="278"/>
  <c r="N6" i="278"/>
  <c r="M6" i="278"/>
  <c r="L6" i="278"/>
  <c r="K6" i="278"/>
  <c r="J6" i="278"/>
  <c r="I6" i="278"/>
  <c r="H6" i="278"/>
  <c r="G6" i="278"/>
  <c r="F6" i="278"/>
  <c r="E6" i="278"/>
  <c r="D6" i="278"/>
  <c r="C6" i="278"/>
  <c r="B6" i="278"/>
  <c r="Y5" i="278"/>
  <c r="X5" i="278"/>
  <c r="W5" i="278"/>
  <c r="V5" i="278"/>
  <c r="U5" i="278"/>
  <c r="T5" i="278"/>
  <c r="S5" i="278"/>
  <c r="R5" i="278"/>
  <c r="Q5" i="278"/>
  <c r="P5" i="278"/>
  <c r="O5" i="278"/>
  <c r="N5" i="278"/>
  <c r="M5" i="278"/>
  <c r="L5" i="278"/>
  <c r="K5" i="278"/>
  <c r="J5" i="278"/>
  <c r="I5" i="278"/>
  <c r="H5" i="278"/>
  <c r="G5" i="278"/>
  <c r="F5" i="278"/>
  <c r="E5" i="278"/>
  <c r="D5" i="278"/>
  <c r="C5" i="278"/>
  <c r="B5" i="278"/>
  <c r="Y10" i="277"/>
  <c r="X10" i="277"/>
  <c r="W10" i="277"/>
  <c r="V10" i="277"/>
  <c r="U10" i="277"/>
  <c r="T10" i="277"/>
  <c r="S10" i="277"/>
  <c r="R10" i="277"/>
  <c r="Q10" i="277"/>
  <c r="P10" i="277"/>
  <c r="O10" i="277"/>
  <c r="N10" i="277"/>
  <c r="M10" i="277"/>
  <c r="L10" i="277"/>
  <c r="K10" i="277"/>
  <c r="J10" i="277"/>
  <c r="I10" i="277"/>
  <c r="H10" i="277"/>
  <c r="G10" i="277"/>
  <c r="F10" i="277"/>
  <c r="E10" i="277"/>
  <c r="D10" i="277"/>
  <c r="C10" i="277"/>
  <c r="B10" i="277"/>
  <c r="Y9" i="277"/>
  <c r="X9" i="277"/>
  <c r="W9" i="277"/>
  <c r="V9" i="277"/>
  <c r="U9" i="277"/>
  <c r="T9" i="277"/>
  <c r="S9" i="277"/>
  <c r="R9" i="277"/>
  <c r="Q9" i="277"/>
  <c r="P9" i="277"/>
  <c r="O9" i="277"/>
  <c r="N9" i="277"/>
  <c r="M9" i="277"/>
  <c r="L9" i="277"/>
  <c r="K9" i="277"/>
  <c r="J9" i="277"/>
  <c r="I9" i="277"/>
  <c r="H9" i="277"/>
  <c r="G9" i="277"/>
  <c r="F9" i="277"/>
  <c r="E9" i="277"/>
  <c r="D9" i="277"/>
  <c r="C9" i="277"/>
  <c r="B9" i="277"/>
  <c r="Y8" i="277"/>
  <c r="X8" i="277"/>
  <c r="W8" i="277"/>
  <c r="V8" i="277"/>
  <c r="U8" i="277"/>
  <c r="T8" i="277"/>
  <c r="S8" i="277"/>
  <c r="R8" i="277"/>
  <c r="Q8" i="277"/>
  <c r="P8" i="277"/>
  <c r="O8" i="277"/>
  <c r="N8" i="277"/>
  <c r="M8" i="277"/>
  <c r="L8" i="277"/>
  <c r="K8" i="277"/>
  <c r="J8" i="277"/>
  <c r="I8" i="277"/>
  <c r="H8" i="277"/>
  <c r="G8" i="277"/>
  <c r="F8" i="277"/>
  <c r="E8" i="277"/>
  <c r="D8" i="277"/>
  <c r="C8" i="277"/>
  <c r="B8" i="277"/>
  <c r="Y7" i="277"/>
  <c r="X7" i="277"/>
  <c r="W7" i="277"/>
  <c r="V7" i="277"/>
  <c r="U7" i="277"/>
  <c r="T7" i="277"/>
  <c r="S7" i="277"/>
  <c r="R7" i="277"/>
  <c r="Q7" i="277"/>
  <c r="P7" i="277"/>
  <c r="O7" i="277"/>
  <c r="N7" i="277"/>
  <c r="M7" i="277"/>
  <c r="L7" i="277"/>
  <c r="K7" i="277"/>
  <c r="J7" i="277"/>
  <c r="I7" i="277"/>
  <c r="H7" i="277"/>
  <c r="G7" i="277"/>
  <c r="F7" i="277"/>
  <c r="E7" i="277"/>
  <c r="D7" i="277"/>
  <c r="C7" i="277"/>
  <c r="B7" i="277"/>
  <c r="Y6" i="277"/>
  <c r="X6" i="277"/>
  <c r="W6" i="277"/>
  <c r="V6" i="277"/>
  <c r="U6" i="277"/>
  <c r="T6" i="277"/>
  <c r="S6" i="277"/>
  <c r="R6" i="277"/>
  <c r="Q6" i="277"/>
  <c r="P6" i="277"/>
  <c r="O6" i="277"/>
  <c r="N6" i="277"/>
  <c r="M6" i="277"/>
  <c r="L6" i="277"/>
  <c r="K6" i="277"/>
  <c r="J6" i="277"/>
  <c r="I6" i="277"/>
  <c r="H6" i="277"/>
  <c r="G6" i="277"/>
  <c r="F6" i="277"/>
  <c r="E6" i="277"/>
  <c r="D6" i="277"/>
  <c r="C6" i="277"/>
  <c r="B6" i="277"/>
  <c r="Y5" i="277"/>
  <c r="X5" i="277"/>
  <c r="W5" i="277"/>
  <c r="V5" i="277"/>
  <c r="U5" i="277"/>
  <c r="T5" i="277"/>
  <c r="S5" i="277"/>
  <c r="R5" i="277"/>
  <c r="Q5" i="277"/>
  <c r="P5" i="277"/>
  <c r="O5" i="277"/>
  <c r="N5" i="277"/>
  <c r="M5" i="277"/>
  <c r="L5" i="277"/>
  <c r="K5" i="277"/>
  <c r="J5" i="277"/>
  <c r="I5" i="277"/>
  <c r="H5" i="277"/>
  <c r="G5" i="277"/>
  <c r="F5" i="277"/>
  <c r="E5" i="277"/>
  <c r="D5" i="277"/>
  <c r="C5" i="277"/>
  <c r="B5" i="277"/>
  <c r="Y10" i="276"/>
  <c r="X10" i="276"/>
  <c r="W10" i="276"/>
  <c r="V10" i="276"/>
  <c r="U10" i="276"/>
  <c r="T10" i="276"/>
  <c r="S10" i="276"/>
  <c r="R10" i="276"/>
  <c r="Q10" i="276"/>
  <c r="P10" i="276"/>
  <c r="O10" i="276"/>
  <c r="N10" i="276"/>
  <c r="M10" i="276"/>
  <c r="L10" i="276"/>
  <c r="K10" i="276"/>
  <c r="J10" i="276"/>
  <c r="I10" i="276"/>
  <c r="H10" i="276"/>
  <c r="G10" i="276"/>
  <c r="F10" i="276"/>
  <c r="E10" i="276"/>
  <c r="D10" i="276"/>
  <c r="C10" i="276"/>
  <c r="B10" i="276"/>
  <c r="Y9" i="276"/>
  <c r="X9" i="276"/>
  <c r="W9" i="276"/>
  <c r="V9" i="276"/>
  <c r="U9" i="276"/>
  <c r="T9" i="276"/>
  <c r="S9" i="276"/>
  <c r="R9" i="276"/>
  <c r="Q9" i="276"/>
  <c r="P9" i="276"/>
  <c r="O9" i="276"/>
  <c r="N9" i="276"/>
  <c r="M9" i="276"/>
  <c r="L9" i="276"/>
  <c r="K9" i="276"/>
  <c r="J9" i="276"/>
  <c r="I9" i="276"/>
  <c r="H9" i="276"/>
  <c r="G9" i="276"/>
  <c r="F9" i="276"/>
  <c r="E9" i="276"/>
  <c r="D9" i="276"/>
  <c r="C9" i="276"/>
  <c r="B9" i="276"/>
  <c r="Y8" i="276"/>
  <c r="X8" i="276"/>
  <c r="W8" i="276"/>
  <c r="V8" i="276"/>
  <c r="U8" i="276"/>
  <c r="T8" i="276"/>
  <c r="S8" i="276"/>
  <c r="R8" i="276"/>
  <c r="Q8" i="276"/>
  <c r="P8" i="276"/>
  <c r="O8" i="276"/>
  <c r="N8" i="276"/>
  <c r="M8" i="276"/>
  <c r="L8" i="276"/>
  <c r="K8" i="276"/>
  <c r="J8" i="276"/>
  <c r="I8" i="276"/>
  <c r="H8" i="276"/>
  <c r="G8" i="276"/>
  <c r="F8" i="276"/>
  <c r="E8" i="276"/>
  <c r="D8" i="276"/>
  <c r="C8" i="276"/>
  <c r="B8" i="276"/>
  <c r="Y7" i="276"/>
  <c r="X7" i="276"/>
  <c r="W7" i="276"/>
  <c r="V7" i="276"/>
  <c r="U7" i="276"/>
  <c r="T7" i="276"/>
  <c r="S7" i="276"/>
  <c r="R7" i="276"/>
  <c r="Q7" i="276"/>
  <c r="P7" i="276"/>
  <c r="O7" i="276"/>
  <c r="N7" i="276"/>
  <c r="M7" i="276"/>
  <c r="L7" i="276"/>
  <c r="K7" i="276"/>
  <c r="J7" i="276"/>
  <c r="I7" i="276"/>
  <c r="H7" i="276"/>
  <c r="G7" i="276"/>
  <c r="F7" i="276"/>
  <c r="E7" i="276"/>
  <c r="D7" i="276"/>
  <c r="C7" i="276"/>
  <c r="B7" i="276"/>
  <c r="Y6" i="276"/>
  <c r="X6" i="276"/>
  <c r="W6" i="276"/>
  <c r="V6" i="276"/>
  <c r="U6" i="276"/>
  <c r="T6" i="276"/>
  <c r="S6" i="276"/>
  <c r="R6" i="276"/>
  <c r="Q6" i="276"/>
  <c r="P6" i="276"/>
  <c r="O6" i="276"/>
  <c r="N6" i="276"/>
  <c r="M6" i="276"/>
  <c r="L6" i="276"/>
  <c r="K6" i="276"/>
  <c r="J6" i="276"/>
  <c r="I6" i="276"/>
  <c r="H6" i="276"/>
  <c r="G6" i="276"/>
  <c r="F6" i="276"/>
  <c r="E6" i="276"/>
  <c r="D6" i="276"/>
  <c r="C6" i="276"/>
  <c r="B6" i="276"/>
  <c r="Y5" i="276"/>
  <c r="X5" i="276"/>
  <c r="W5" i="276"/>
  <c r="V5" i="276"/>
  <c r="U5" i="276"/>
  <c r="T5" i="276"/>
  <c r="S5" i="276"/>
  <c r="R5" i="276"/>
  <c r="Q5" i="276"/>
  <c r="P5" i="276"/>
  <c r="O5" i="276"/>
  <c r="N5" i="276"/>
  <c r="M5" i="276"/>
  <c r="L5" i="276"/>
  <c r="K5" i="276"/>
  <c r="J5" i="276"/>
  <c r="I5" i="276"/>
  <c r="H5" i="276"/>
  <c r="G5" i="276"/>
  <c r="F5" i="276"/>
  <c r="E5" i="276"/>
  <c r="D5" i="276"/>
  <c r="C5" i="276"/>
  <c r="B5" i="276"/>
  <c r="Y10" i="275"/>
  <c r="X10" i="275"/>
  <c r="W10" i="275"/>
  <c r="V10" i="275"/>
  <c r="U10" i="275"/>
  <c r="T10" i="275"/>
  <c r="S10" i="275"/>
  <c r="R10" i="275"/>
  <c r="Q10" i="275"/>
  <c r="P10" i="275"/>
  <c r="O10" i="275"/>
  <c r="N10" i="275"/>
  <c r="M10" i="275"/>
  <c r="L10" i="275"/>
  <c r="K10" i="275"/>
  <c r="J10" i="275"/>
  <c r="I10" i="275"/>
  <c r="H10" i="275"/>
  <c r="G10" i="275"/>
  <c r="F10" i="275"/>
  <c r="E10" i="275"/>
  <c r="D10" i="275"/>
  <c r="C10" i="275"/>
  <c r="B10" i="275"/>
  <c r="Y9" i="275"/>
  <c r="X9" i="275"/>
  <c r="W9" i="275"/>
  <c r="V9" i="275"/>
  <c r="U9" i="275"/>
  <c r="T9" i="275"/>
  <c r="S9" i="275"/>
  <c r="R9" i="275"/>
  <c r="Q9" i="275"/>
  <c r="P9" i="275"/>
  <c r="O9" i="275"/>
  <c r="N9" i="275"/>
  <c r="M9" i="275"/>
  <c r="L9" i="275"/>
  <c r="K9" i="275"/>
  <c r="J9" i="275"/>
  <c r="I9" i="275"/>
  <c r="H9" i="275"/>
  <c r="G9" i="275"/>
  <c r="F9" i="275"/>
  <c r="E9" i="275"/>
  <c r="D9" i="275"/>
  <c r="C9" i="275"/>
  <c r="B9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I8" i="275"/>
  <c r="H8" i="275"/>
  <c r="G8" i="275"/>
  <c r="F8" i="275"/>
  <c r="E8" i="275"/>
  <c r="D8" i="275"/>
  <c r="C8" i="275"/>
  <c r="B8" i="275"/>
  <c r="Y7" i="275"/>
  <c r="X7" i="275"/>
  <c r="W7" i="275"/>
  <c r="V7" i="275"/>
  <c r="U7" i="275"/>
  <c r="T7" i="275"/>
  <c r="S7" i="275"/>
  <c r="R7" i="275"/>
  <c r="Q7" i="275"/>
  <c r="P7" i="275"/>
  <c r="O7" i="275"/>
  <c r="N7" i="275"/>
  <c r="M7" i="275"/>
  <c r="L7" i="275"/>
  <c r="K7" i="275"/>
  <c r="J7" i="275"/>
  <c r="I7" i="275"/>
  <c r="H7" i="275"/>
  <c r="G7" i="275"/>
  <c r="F7" i="275"/>
  <c r="E7" i="275"/>
  <c r="D7" i="275"/>
  <c r="C7" i="275"/>
  <c r="B7" i="275"/>
  <c r="Y6" i="275"/>
  <c r="X6" i="275"/>
  <c r="W6" i="275"/>
  <c r="V6" i="275"/>
  <c r="U6" i="275"/>
  <c r="T6" i="275"/>
  <c r="S6" i="275"/>
  <c r="R6" i="275"/>
  <c r="Q6" i="275"/>
  <c r="P6" i="275"/>
  <c r="O6" i="275"/>
  <c r="N6" i="275"/>
  <c r="M6" i="275"/>
  <c r="L6" i="275"/>
  <c r="K6" i="275"/>
  <c r="J6" i="275"/>
  <c r="I6" i="275"/>
  <c r="H6" i="275"/>
  <c r="G6" i="275"/>
  <c r="F6" i="275"/>
  <c r="E6" i="275"/>
  <c r="D6" i="275"/>
  <c r="C6" i="275"/>
  <c r="B6" i="275"/>
  <c r="Y5" i="275"/>
  <c r="X5" i="275"/>
  <c r="W5" i="275"/>
  <c r="V5" i="275"/>
  <c r="U5" i="275"/>
  <c r="T5" i="275"/>
  <c r="S5" i="275"/>
  <c r="R5" i="275"/>
  <c r="Q5" i="275"/>
  <c r="P5" i="275"/>
  <c r="O5" i="275"/>
  <c r="N5" i="275"/>
  <c r="M5" i="275"/>
  <c r="L5" i="275"/>
  <c r="K5" i="275"/>
  <c r="J5" i="275"/>
  <c r="I5" i="275"/>
  <c r="H5" i="275"/>
  <c r="G5" i="275"/>
  <c r="F5" i="275"/>
  <c r="E5" i="275"/>
  <c r="D5" i="275"/>
  <c r="C5" i="275"/>
  <c r="B5" i="275"/>
  <c r="D1" i="1"/>
  <c r="E1" i="1"/>
  <c r="F1" i="1"/>
  <c r="G1" i="1"/>
  <c r="H1" i="1"/>
  <c r="I1" i="1"/>
  <c r="J1" i="1"/>
  <c r="K1" i="1"/>
  <c r="C1" i="1"/>
  <c r="B7" i="1" l="1"/>
  <c r="B6" i="1" l="1"/>
  <c r="B5" i="1"/>
  <c r="Y10" i="244"/>
  <c r="X10" i="244"/>
  <c r="W10" i="244"/>
  <c r="V10" i="244"/>
  <c r="U10" i="244"/>
  <c r="T10" i="244"/>
  <c r="S10" i="244"/>
  <c r="R10" i="244"/>
  <c r="Q10" i="244"/>
  <c r="P10" i="244"/>
  <c r="O10" i="244"/>
  <c r="N10" i="244"/>
  <c r="M10" i="244"/>
  <c r="L10" i="244"/>
  <c r="K10" i="244"/>
  <c r="J10" i="244"/>
  <c r="I10" i="244"/>
  <c r="H10" i="244"/>
  <c r="G10" i="244"/>
  <c r="F10" i="244"/>
  <c r="E10" i="244"/>
  <c r="D10" i="244"/>
  <c r="C10" i="244"/>
  <c r="B10" i="244"/>
  <c r="Y9" i="244"/>
  <c r="X9" i="244"/>
  <c r="W9" i="244"/>
  <c r="V9" i="244"/>
  <c r="U9" i="244"/>
  <c r="T9" i="244"/>
  <c r="S9" i="244"/>
  <c r="R9" i="244"/>
  <c r="Q9" i="244"/>
  <c r="P9" i="244"/>
  <c r="O9" i="244"/>
  <c r="N9" i="244"/>
  <c r="M9" i="244"/>
  <c r="L9" i="244"/>
  <c r="K9" i="244"/>
  <c r="J9" i="244"/>
  <c r="I9" i="244"/>
  <c r="H9" i="244"/>
  <c r="G9" i="244"/>
  <c r="F9" i="244"/>
  <c r="E9" i="244"/>
  <c r="D9" i="244"/>
  <c r="C9" i="244"/>
  <c r="B9" i="244"/>
  <c r="Y8" i="244"/>
  <c r="X8" i="244"/>
  <c r="W8" i="244"/>
  <c r="V8" i="244"/>
  <c r="U8" i="244"/>
  <c r="T8" i="244"/>
  <c r="S8" i="244"/>
  <c r="R8" i="244"/>
  <c r="Q8" i="244"/>
  <c r="P8" i="244"/>
  <c r="O8" i="244"/>
  <c r="N8" i="244"/>
  <c r="M8" i="244"/>
  <c r="L8" i="244"/>
  <c r="K8" i="244"/>
  <c r="J8" i="244"/>
  <c r="I8" i="244"/>
  <c r="H8" i="244"/>
  <c r="G8" i="244"/>
  <c r="F8" i="244"/>
  <c r="E8" i="244"/>
  <c r="D8" i="244"/>
  <c r="C8" i="244"/>
  <c r="B8" i="244"/>
  <c r="Y7" i="244"/>
  <c r="X7" i="244"/>
  <c r="W7" i="244"/>
  <c r="V7" i="244"/>
  <c r="U7" i="244"/>
  <c r="T7" i="244"/>
  <c r="S7" i="244"/>
  <c r="R7" i="244"/>
  <c r="Q7" i="244"/>
  <c r="P7" i="244"/>
  <c r="O7" i="244"/>
  <c r="N7" i="244"/>
  <c r="M7" i="244"/>
  <c r="L7" i="244"/>
  <c r="K7" i="244"/>
  <c r="J7" i="244"/>
  <c r="I7" i="244"/>
  <c r="H7" i="244"/>
  <c r="G7" i="244"/>
  <c r="F7" i="244"/>
  <c r="E7" i="244"/>
  <c r="D7" i="244"/>
  <c r="C7" i="244"/>
  <c r="B7" i="244"/>
  <c r="Y6" i="244"/>
  <c r="X6" i="244"/>
  <c r="W6" i="244"/>
  <c r="V6" i="244"/>
  <c r="U6" i="244"/>
  <c r="T6" i="244"/>
  <c r="S6" i="244"/>
  <c r="R6" i="244"/>
  <c r="Q6" i="244"/>
  <c r="P6" i="244"/>
  <c r="O6" i="244"/>
  <c r="N6" i="244"/>
  <c r="M6" i="244"/>
  <c r="L6" i="244"/>
  <c r="K6" i="244"/>
  <c r="J6" i="244"/>
  <c r="I6" i="244"/>
  <c r="H6" i="244"/>
  <c r="G6" i="244"/>
  <c r="F6" i="244"/>
  <c r="E6" i="244"/>
  <c r="D6" i="244"/>
  <c r="C6" i="244"/>
  <c r="B6" i="244"/>
  <c r="Y5" i="244"/>
  <c r="X5" i="244"/>
  <c r="W5" i="244"/>
  <c r="V5" i="244"/>
  <c r="U5" i="244"/>
  <c r="T5" i="244"/>
  <c r="S5" i="244"/>
  <c r="R5" i="244"/>
  <c r="Q5" i="244"/>
  <c r="P5" i="244"/>
  <c r="O5" i="244"/>
  <c r="N5" i="244"/>
  <c r="M5" i="244"/>
  <c r="L5" i="244"/>
  <c r="K5" i="244"/>
  <c r="J5" i="244"/>
  <c r="I5" i="244"/>
  <c r="H5" i="244"/>
  <c r="G5" i="244"/>
  <c r="F5" i="244"/>
  <c r="E5" i="244"/>
  <c r="D5" i="244"/>
  <c r="C5" i="244"/>
  <c r="B5" i="244"/>
  <c r="Y10" i="243"/>
  <c r="X10" i="243"/>
  <c r="W10" i="243"/>
  <c r="V10" i="243"/>
  <c r="U10" i="243"/>
  <c r="T10" i="243"/>
  <c r="S10" i="243"/>
  <c r="R10" i="243"/>
  <c r="Q10" i="243"/>
  <c r="P10" i="243"/>
  <c r="O10" i="243"/>
  <c r="N10" i="243"/>
  <c r="M10" i="243"/>
  <c r="L10" i="243"/>
  <c r="K10" i="243"/>
  <c r="J10" i="243"/>
  <c r="I10" i="243"/>
  <c r="H10" i="243"/>
  <c r="G10" i="243"/>
  <c r="F10" i="243"/>
  <c r="E10" i="243"/>
  <c r="D10" i="243"/>
  <c r="C10" i="243"/>
  <c r="B10" i="243"/>
  <c r="Y9" i="243"/>
  <c r="X9" i="243"/>
  <c r="W9" i="243"/>
  <c r="V9" i="243"/>
  <c r="U9" i="243"/>
  <c r="T9" i="243"/>
  <c r="S9" i="243"/>
  <c r="R9" i="243"/>
  <c r="Q9" i="243"/>
  <c r="P9" i="243"/>
  <c r="O9" i="243"/>
  <c r="N9" i="243"/>
  <c r="M9" i="243"/>
  <c r="L9" i="243"/>
  <c r="K9" i="243"/>
  <c r="J9" i="243"/>
  <c r="I9" i="243"/>
  <c r="H9" i="243"/>
  <c r="G9" i="243"/>
  <c r="F9" i="243"/>
  <c r="E9" i="243"/>
  <c r="D9" i="243"/>
  <c r="C9" i="243"/>
  <c r="B9" i="243"/>
  <c r="Y8" i="243"/>
  <c r="X8" i="243"/>
  <c r="W8" i="243"/>
  <c r="V8" i="243"/>
  <c r="U8" i="243"/>
  <c r="T8" i="243"/>
  <c r="S8" i="243"/>
  <c r="R8" i="243"/>
  <c r="Q8" i="243"/>
  <c r="P8" i="243"/>
  <c r="O8" i="243"/>
  <c r="N8" i="243"/>
  <c r="M8" i="243"/>
  <c r="L8" i="243"/>
  <c r="K8" i="243"/>
  <c r="J8" i="243"/>
  <c r="I8" i="243"/>
  <c r="H8" i="243"/>
  <c r="G8" i="243"/>
  <c r="F8" i="243"/>
  <c r="E8" i="243"/>
  <c r="D8" i="243"/>
  <c r="C8" i="243"/>
  <c r="B8" i="243"/>
  <c r="Y7" i="243"/>
  <c r="X7" i="243"/>
  <c r="W7" i="243"/>
  <c r="V7" i="243"/>
  <c r="U7" i="243"/>
  <c r="T7" i="243"/>
  <c r="S7" i="243"/>
  <c r="R7" i="243"/>
  <c r="Q7" i="243"/>
  <c r="P7" i="243"/>
  <c r="O7" i="243"/>
  <c r="N7" i="243"/>
  <c r="M7" i="243"/>
  <c r="L7" i="243"/>
  <c r="K7" i="243"/>
  <c r="J7" i="243"/>
  <c r="I7" i="243"/>
  <c r="H7" i="243"/>
  <c r="G7" i="243"/>
  <c r="F7" i="243"/>
  <c r="E7" i="243"/>
  <c r="D7" i="243"/>
  <c r="C7" i="243"/>
  <c r="B7" i="243"/>
  <c r="Y6" i="243"/>
  <c r="X6" i="243"/>
  <c r="W6" i="243"/>
  <c r="V6" i="243"/>
  <c r="U6" i="243"/>
  <c r="T6" i="243"/>
  <c r="S6" i="243"/>
  <c r="R6" i="243"/>
  <c r="Q6" i="243"/>
  <c r="P6" i="243"/>
  <c r="O6" i="243"/>
  <c r="N6" i="243"/>
  <c r="M6" i="243"/>
  <c r="L6" i="243"/>
  <c r="K6" i="243"/>
  <c r="J6" i="243"/>
  <c r="I6" i="243"/>
  <c r="H6" i="243"/>
  <c r="G6" i="243"/>
  <c r="F6" i="243"/>
  <c r="E6" i="243"/>
  <c r="D6" i="243"/>
  <c r="C6" i="243"/>
  <c r="B6" i="243"/>
  <c r="Y5" i="243"/>
  <c r="X5" i="243"/>
  <c r="W5" i="243"/>
  <c r="V5" i="243"/>
  <c r="U5" i="243"/>
  <c r="T5" i="243"/>
  <c r="S5" i="243"/>
  <c r="R5" i="243"/>
  <c r="Q5" i="243"/>
  <c r="P5" i="243"/>
  <c r="O5" i="243"/>
  <c r="N5" i="243"/>
  <c r="M5" i="243"/>
  <c r="L5" i="243"/>
  <c r="K5" i="243"/>
  <c r="J5" i="243"/>
  <c r="I5" i="243"/>
  <c r="H5" i="243"/>
  <c r="G5" i="243"/>
  <c r="F5" i="243"/>
  <c r="E5" i="243"/>
  <c r="D5" i="243"/>
  <c r="C5" i="243"/>
  <c r="B5" i="243"/>
  <c r="Y10" i="242"/>
  <c r="X10" i="242"/>
  <c r="W10" i="242"/>
  <c r="V10" i="242"/>
  <c r="U10" i="242"/>
  <c r="T10" i="242"/>
  <c r="S10" i="242"/>
  <c r="R10" i="242"/>
  <c r="Q10" i="242"/>
  <c r="P10" i="242"/>
  <c r="O10" i="242"/>
  <c r="N10" i="242"/>
  <c r="M10" i="242"/>
  <c r="L10" i="242"/>
  <c r="K10" i="242"/>
  <c r="J10" i="242"/>
  <c r="I10" i="242"/>
  <c r="H10" i="242"/>
  <c r="G10" i="242"/>
  <c r="F10" i="242"/>
  <c r="E10" i="242"/>
  <c r="D10" i="242"/>
  <c r="C10" i="242"/>
  <c r="B10" i="242"/>
  <c r="Y9" i="242"/>
  <c r="X9" i="242"/>
  <c r="W9" i="242"/>
  <c r="V9" i="242"/>
  <c r="U9" i="242"/>
  <c r="T9" i="242"/>
  <c r="S9" i="242"/>
  <c r="R9" i="242"/>
  <c r="Q9" i="242"/>
  <c r="P9" i="242"/>
  <c r="O9" i="242"/>
  <c r="N9" i="242"/>
  <c r="M9" i="242"/>
  <c r="L9" i="242"/>
  <c r="K9" i="242"/>
  <c r="J9" i="242"/>
  <c r="I9" i="242"/>
  <c r="H9" i="242"/>
  <c r="G9" i="242"/>
  <c r="F9" i="242"/>
  <c r="E9" i="242"/>
  <c r="D9" i="242"/>
  <c r="C9" i="242"/>
  <c r="B9" i="242"/>
  <c r="Y8" i="242"/>
  <c r="X8" i="242"/>
  <c r="W8" i="242"/>
  <c r="V8" i="242"/>
  <c r="U8" i="242"/>
  <c r="T8" i="242"/>
  <c r="S8" i="242"/>
  <c r="R8" i="242"/>
  <c r="Q8" i="242"/>
  <c r="P8" i="242"/>
  <c r="O8" i="242"/>
  <c r="N8" i="242"/>
  <c r="M8" i="242"/>
  <c r="L8" i="242"/>
  <c r="K8" i="242"/>
  <c r="J8" i="242"/>
  <c r="I8" i="242"/>
  <c r="H8" i="242"/>
  <c r="G8" i="242"/>
  <c r="F8" i="242"/>
  <c r="E8" i="242"/>
  <c r="D8" i="242"/>
  <c r="C8" i="242"/>
  <c r="B8" i="242"/>
  <c r="Y7" i="242"/>
  <c r="X7" i="242"/>
  <c r="W7" i="242"/>
  <c r="V7" i="242"/>
  <c r="U7" i="242"/>
  <c r="T7" i="242"/>
  <c r="S7" i="242"/>
  <c r="R7" i="242"/>
  <c r="Q7" i="242"/>
  <c r="P7" i="242"/>
  <c r="O7" i="242"/>
  <c r="N7" i="242"/>
  <c r="M7" i="242"/>
  <c r="L7" i="242"/>
  <c r="K7" i="242"/>
  <c r="J7" i="242"/>
  <c r="I7" i="242"/>
  <c r="H7" i="242"/>
  <c r="G7" i="242"/>
  <c r="F7" i="242"/>
  <c r="E7" i="242"/>
  <c r="D7" i="242"/>
  <c r="C7" i="242"/>
  <c r="B7" i="242"/>
  <c r="Y6" i="242"/>
  <c r="X6" i="242"/>
  <c r="W6" i="242"/>
  <c r="V6" i="242"/>
  <c r="U6" i="242"/>
  <c r="T6" i="242"/>
  <c r="S6" i="242"/>
  <c r="R6" i="242"/>
  <c r="Q6" i="242"/>
  <c r="P6" i="242"/>
  <c r="O6" i="242"/>
  <c r="N6" i="242"/>
  <c r="M6" i="242"/>
  <c r="L6" i="242"/>
  <c r="K6" i="242"/>
  <c r="J6" i="242"/>
  <c r="I6" i="242"/>
  <c r="H6" i="242"/>
  <c r="G6" i="242"/>
  <c r="F6" i="242"/>
  <c r="E6" i="242"/>
  <c r="D6" i="242"/>
  <c r="C6" i="242"/>
  <c r="B6" i="242"/>
  <c r="Y5" i="242"/>
  <c r="X5" i="242"/>
  <c r="W5" i="242"/>
  <c r="V5" i="242"/>
  <c r="U5" i="242"/>
  <c r="T5" i="242"/>
  <c r="S5" i="242"/>
  <c r="R5" i="242"/>
  <c r="Q5" i="242"/>
  <c r="P5" i="242"/>
  <c r="O5" i="242"/>
  <c r="N5" i="242"/>
  <c r="M5" i="242"/>
  <c r="L5" i="242"/>
  <c r="K5" i="242"/>
  <c r="J5" i="242"/>
  <c r="I5" i="242"/>
  <c r="H5" i="242"/>
  <c r="G5" i="242"/>
  <c r="F5" i="242"/>
  <c r="E5" i="242"/>
  <c r="D5" i="242"/>
  <c r="C5" i="242"/>
  <c r="B5" i="242"/>
  <c r="Y10" i="241"/>
  <c r="X10" i="241"/>
  <c r="W10" i="241"/>
  <c r="V10" i="241"/>
  <c r="U10" i="241"/>
  <c r="T10" i="241"/>
  <c r="S10" i="241"/>
  <c r="R10" i="241"/>
  <c r="Q10" i="241"/>
  <c r="P10" i="241"/>
  <c r="O10" i="241"/>
  <c r="N10" i="241"/>
  <c r="M10" i="241"/>
  <c r="L10" i="241"/>
  <c r="K10" i="241"/>
  <c r="J10" i="241"/>
  <c r="I10" i="241"/>
  <c r="H10" i="241"/>
  <c r="G10" i="241"/>
  <c r="F10" i="241"/>
  <c r="E10" i="241"/>
  <c r="D10" i="241"/>
  <c r="C10" i="241"/>
  <c r="B10" i="241"/>
  <c r="Y9" i="241"/>
  <c r="X9" i="241"/>
  <c r="W9" i="241"/>
  <c r="V9" i="241"/>
  <c r="U9" i="241"/>
  <c r="T9" i="241"/>
  <c r="S9" i="241"/>
  <c r="R9" i="241"/>
  <c r="Q9" i="241"/>
  <c r="P9" i="241"/>
  <c r="O9" i="241"/>
  <c r="N9" i="241"/>
  <c r="M9" i="241"/>
  <c r="L9" i="241"/>
  <c r="K9" i="241"/>
  <c r="J9" i="241"/>
  <c r="I9" i="241"/>
  <c r="H9" i="241"/>
  <c r="G9" i="241"/>
  <c r="F9" i="241"/>
  <c r="E9" i="241"/>
  <c r="D9" i="241"/>
  <c r="C9" i="241"/>
  <c r="B9" i="241"/>
  <c r="Y8" i="241"/>
  <c r="X8" i="241"/>
  <c r="W8" i="241"/>
  <c r="V8" i="241"/>
  <c r="U8" i="241"/>
  <c r="T8" i="241"/>
  <c r="S8" i="241"/>
  <c r="R8" i="241"/>
  <c r="Q8" i="241"/>
  <c r="P8" i="241"/>
  <c r="O8" i="241"/>
  <c r="N8" i="241"/>
  <c r="M8" i="241"/>
  <c r="L8" i="241"/>
  <c r="K8" i="241"/>
  <c r="J8" i="241"/>
  <c r="I8" i="241"/>
  <c r="H8" i="241"/>
  <c r="G8" i="241"/>
  <c r="F8" i="241"/>
  <c r="E8" i="241"/>
  <c r="D8" i="241"/>
  <c r="C8" i="241"/>
  <c r="B8" i="241"/>
  <c r="Y7" i="241"/>
  <c r="X7" i="241"/>
  <c r="W7" i="241"/>
  <c r="V7" i="241"/>
  <c r="U7" i="241"/>
  <c r="T7" i="241"/>
  <c r="S7" i="241"/>
  <c r="R7" i="241"/>
  <c r="Q7" i="241"/>
  <c r="P7" i="241"/>
  <c r="O7" i="241"/>
  <c r="N7" i="241"/>
  <c r="M7" i="241"/>
  <c r="L7" i="241"/>
  <c r="K7" i="241"/>
  <c r="J7" i="241"/>
  <c r="I7" i="241"/>
  <c r="H7" i="241"/>
  <c r="G7" i="241"/>
  <c r="F7" i="241"/>
  <c r="E7" i="241"/>
  <c r="D7" i="241"/>
  <c r="C7" i="241"/>
  <c r="B7" i="241"/>
  <c r="Y6" i="241"/>
  <c r="X6" i="241"/>
  <c r="W6" i="241"/>
  <c r="V6" i="241"/>
  <c r="U6" i="241"/>
  <c r="T6" i="241"/>
  <c r="S6" i="241"/>
  <c r="R6" i="241"/>
  <c r="Q6" i="241"/>
  <c r="P6" i="241"/>
  <c r="O6" i="241"/>
  <c r="N6" i="241"/>
  <c r="M6" i="241"/>
  <c r="L6" i="241"/>
  <c r="K6" i="241"/>
  <c r="J6" i="241"/>
  <c r="I6" i="241"/>
  <c r="H6" i="241"/>
  <c r="G6" i="241"/>
  <c r="F6" i="241"/>
  <c r="E6" i="241"/>
  <c r="D6" i="241"/>
  <c r="C6" i="241"/>
  <c r="B6" i="241"/>
  <c r="Y5" i="241"/>
  <c r="X5" i="241"/>
  <c r="W5" i="241"/>
  <c r="V5" i="241"/>
  <c r="U5" i="241"/>
  <c r="T5" i="241"/>
  <c r="S5" i="241"/>
  <c r="R5" i="241"/>
  <c r="Q5" i="241"/>
  <c r="P5" i="241"/>
  <c r="O5" i="241"/>
  <c r="N5" i="241"/>
  <c r="M5" i="241"/>
  <c r="L5" i="241"/>
  <c r="K5" i="241"/>
  <c r="J5" i="241"/>
  <c r="I5" i="241"/>
  <c r="H5" i="241"/>
  <c r="G5" i="241"/>
  <c r="F5" i="241"/>
  <c r="E5" i="241"/>
  <c r="D5" i="241"/>
  <c r="C5" i="241"/>
  <c r="B5" i="241"/>
  <c r="Y10" i="240"/>
  <c r="X10" i="240"/>
  <c r="W10" i="240"/>
  <c r="V10" i="240"/>
  <c r="U10" i="240"/>
  <c r="T10" i="240"/>
  <c r="S10" i="240"/>
  <c r="R10" i="240"/>
  <c r="Q10" i="240"/>
  <c r="P10" i="240"/>
  <c r="O10" i="240"/>
  <c r="N10" i="240"/>
  <c r="M10" i="240"/>
  <c r="L10" i="240"/>
  <c r="K10" i="240"/>
  <c r="J10" i="240"/>
  <c r="I10" i="240"/>
  <c r="H10" i="240"/>
  <c r="G10" i="240"/>
  <c r="F10" i="240"/>
  <c r="E10" i="240"/>
  <c r="D10" i="240"/>
  <c r="C10" i="240"/>
  <c r="B10" i="240"/>
  <c r="Y9" i="240"/>
  <c r="X9" i="240"/>
  <c r="W9" i="240"/>
  <c r="V9" i="240"/>
  <c r="U9" i="240"/>
  <c r="T9" i="240"/>
  <c r="S9" i="240"/>
  <c r="R9" i="240"/>
  <c r="Q9" i="240"/>
  <c r="P9" i="240"/>
  <c r="O9" i="240"/>
  <c r="N9" i="240"/>
  <c r="M9" i="240"/>
  <c r="L9" i="240"/>
  <c r="K9" i="240"/>
  <c r="J9" i="240"/>
  <c r="I9" i="240"/>
  <c r="H9" i="240"/>
  <c r="G9" i="240"/>
  <c r="F9" i="240"/>
  <c r="E9" i="240"/>
  <c r="D9" i="240"/>
  <c r="C9" i="240"/>
  <c r="B9" i="240"/>
  <c r="Y8" i="240"/>
  <c r="X8" i="240"/>
  <c r="W8" i="240"/>
  <c r="V8" i="240"/>
  <c r="U8" i="240"/>
  <c r="T8" i="240"/>
  <c r="S8" i="240"/>
  <c r="R8" i="240"/>
  <c r="Q8" i="240"/>
  <c r="P8" i="240"/>
  <c r="O8" i="240"/>
  <c r="N8" i="240"/>
  <c r="M8" i="240"/>
  <c r="L8" i="240"/>
  <c r="K8" i="240"/>
  <c r="J8" i="240"/>
  <c r="I8" i="240"/>
  <c r="H8" i="240"/>
  <c r="G8" i="240"/>
  <c r="F8" i="240"/>
  <c r="E8" i="240"/>
  <c r="D8" i="240"/>
  <c r="C8" i="240"/>
  <c r="B8" i="240"/>
  <c r="Y7" i="240"/>
  <c r="X7" i="240"/>
  <c r="W7" i="240"/>
  <c r="V7" i="240"/>
  <c r="U7" i="240"/>
  <c r="T7" i="240"/>
  <c r="S7" i="240"/>
  <c r="R7" i="240"/>
  <c r="Q7" i="240"/>
  <c r="P7" i="240"/>
  <c r="O7" i="240"/>
  <c r="N7" i="240"/>
  <c r="M7" i="240"/>
  <c r="L7" i="240"/>
  <c r="K7" i="240"/>
  <c r="J7" i="240"/>
  <c r="I7" i="240"/>
  <c r="H7" i="240"/>
  <c r="G7" i="240"/>
  <c r="F7" i="240"/>
  <c r="E7" i="240"/>
  <c r="D7" i="240"/>
  <c r="C7" i="240"/>
  <c r="B7" i="240"/>
  <c r="Y6" i="240"/>
  <c r="X6" i="240"/>
  <c r="W6" i="240"/>
  <c r="V6" i="240"/>
  <c r="U6" i="240"/>
  <c r="T6" i="240"/>
  <c r="S6" i="240"/>
  <c r="R6" i="240"/>
  <c r="Q6" i="240"/>
  <c r="P6" i="240"/>
  <c r="O6" i="240"/>
  <c r="N6" i="240"/>
  <c r="M6" i="240"/>
  <c r="L6" i="240"/>
  <c r="K6" i="240"/>
  <c r="J6" i="240"/>
  <c r="I6" i="240"/>
  <c r="H6" i="240"/>
  <c r="G6" i="240"/>
  <c r="F6" i="240"/>
  <c r="E6" i="240"/>
  <c r="D6" i="240"/>
  <c r="C6" i="240"/>
  <c r="B6" i="240"/>
  <c r="Y5" i="240"/>
  <c r="X5" i="240"/>
  <c r="W5" i="240"/>
  <c r="V5" i="240"/>
  <c r="U5" i="240"/>
  <c r="T5" i="240"/>
  <c r="S5" i="240"/>
  <c r="R5" i="240"/>
  <c r="Q5" i="240"/>
  <c r="P5" i="240"/>
  <c r="O5" i="240"/>
  <c r="N5" i="240"/>
  <c r="M5" i="240"/>
  <c r="L5" i="240"/>
  <c r="K5" i="240"/>
  <c r="J5" i="240"/>
  <c r="I5" i="240"/>
  <c r="H5" i="240"/>
  <c r="G5" i="240"/>
  <c r="F5" i="240"/>
  <c r="E5" i="240"/>
  <c r="D5" i="240"/>
  <c r="C5" i="240"/>
  <c r="B5" i="240"/>
  <c r="Y10" i="239"/>
  <c r="X10" i="239"/>
  <c r="W10" i="239"/>
  <c r="V10" i="239"/>
  <c r="U10" i="239"/>
  <c r="T10" i="239"/>
  <c r="S10" i="239"/>
  <c r="R10" i="239"/>
  <c r="Q10" i="239"/>
  <c r="P10" i="239"/>
  <c r="O10" i="239"/>
  <c r="N10" i="239"/>
  <c r="M10" i="239"/>
  <c r="L10" i="239"/>
  <c r="K10" i="239"/>
  <c r="J10" i="239"/>
  <c r="I10" i="239"/>
  <c r="H10" i="239"/>
  <c r="G10" i="239"/>
  <c r="F10" i="239"/>
  <c r="E10" i="239"/>
  <c r="D10" i="239"/>
  <c r="C10" i="239"/>
  <c r="B10" i="239"/>
  <c r="Y9" i="239"/>
  <c r="X9" i="239"/>
  <c r="W9" i="239"/>
  <c r="V9" i="239"/>
  <c r="U9" i="239"/>
  <c r="T9" i="239"/>
  <c r="S9" i="239"/>
  <c r="R9" i="239"/>
  <c r="Q9" i="239"/>
  <c r="P9" i="239"/>
  <c r="O9" i="239"/>
  <c r="N9" i="239"/>
  <c r="M9" i="239"/>
  <c r="L9" i="239"/>
  <c r="K9" i="239"/>
  <c r="J9" i="239"/>
  <c r="I9" i="239"/>
  <c r="H9" i="239"/>
  <c r="G9" i="239"/>
  <c r="F9" i="239"/>
  <c r="E9" i="239"/>
  <c r="D9" i="239"/>
  <c r="C9" i="239"/>
  <c r="B9" i="239"/>
  <c r="Y8" i="239"/>
  <c r="X8" i="239"/>
  <c r="W8" i="239"/>
  <c r="V8" i="239"/>
  <c r="U8" i="239"/>
  <c r="T8" i="239"/>
  <c r="S8" i="239"/>
  <c r="R8" i="239"/>
  <c r="Q8" i="239"/>
  <c r="P8" i="239"/>
  <c r="O8" i="239"/>
  <c r="N8" i="239"/>
  <c r="M8" i="239"/>
  <c r="L8" i="239"/>
  <c r="K8" i="239"/>
  <c r="J8" i="239"/>
  <c r="I8" i="239"/>
  <c r="H8" i="239"/>
  <c r="G8" i="239"/>
  <c r="F8" i="239"/>
  <c r="E8" i="239"/>
  <c r="D8" i="239"/>
  <c r="C8" i="239"/>
  <c r="B8" i="239"/>
  <c r="Y7" i="239"/>
  <c r="X7" i="239"/>
  <c r="W7" i="239"/>
  <c r="V7" i="239"/>
  <c r="U7" i="239"/>
  <c r="T7" i="239"/>
  <c r="S7" i="239"/>
  <c r="R7" i="239"/>
  <c r="Q7" i="239"/>
  <c r="P7" i="239"/>
  <c r="O7" i="239"/>
  <c r="N7" i="239"/>
  <c r="M7" i="239"/>
  <c r="L7" i="239"/>
  <c r="K7" i="239"/>
  <c r="J7" i="239"/>
  <c r="I7" i="239"/>
  <c r="H7" i="239"/>
  <c r="G7" i="239"/>
  <c r="F7" i="239"/>
  <c r="E7" i="239"/>
  <c r="D7" i="239"/>
  <c r="C7" i="239"/>
  <c r="B7" i="239"/>
  <c r="Y6" i="239"/>
  <c r="X6" i="239"/>
  <c r="W6" i="239"/>
  <c r="V6" i="239"/>
  <c r="U6" i="239"/>
  <c r="T6" i="239"/>
  <c r="S6" i="239"/>
  <c r="R6" i="239"/>
  <c r="Q6" i="239"/>
  <c r="P6" i="239"/>
  <c r="O6" i="239"/>
  <c r="N6" i="239"/>
  <c r="M6" i="239"/>
  <c r="L6" i="239"/>
  <c r="K6" i="239"/>
  <c r="J6" i="239"/>
  <c r="I6" i="239"/>
  <c r="H6" i="239"/>
  <c r="G6" i="239"/>
  <c r="F6" i="239"/>
  <c r="E6" i="239"/>
  <c r="D6" i="239"/>
  <c r="C6" i="239"/>
  <c r="B6" i="239"/>
  <c r="Y5" i="239"/>
  <c r="X5" i="239"/>
  <c r="W5" i="239"/>
  <c r="V5" i="239"/>
  <c r="U5" i="239"/>
  <c r="T5" i="239"/>
  <c r="S5" i="239"/>
  <c r="R5" i="239"/>
  <c r="Q5" i="239"/>
  <c r="P5" i="239"/>
  <c r="O5" i="239"/>
  <c r="N5" i="239"/>
  <c r="M5" i="239"/>
  <c r="L5" i="239"/>
  <c r="K5" i="239"/>
  <c r="J5" i="239"/>
  <c r="I5" i="239"/>
  <c r="H5" i="239"/>
  <c r="G5" i="239"/>
  <c r="F5" i="239"/>
  <c r="E5" i="239"/>
  <c r="D5" i="239"/>
  <c r="C5" i="239"/>
  <c r="B5" i="239"/>
  <c r="Y10" i="238"/>
  <c r="X10" i="238"/>
  <c r="W10" i="238"/>
  <c r="V10" i="238"/>
  <c r="U10" i="238"/>
  <c r="T10" i="238"/>
  <c r="S10" i="238"/>
  <c r="R10" i="238"/>
  <c r="Q10" i="238"/>
  <c r="P10" i="238"/>
  <c r="O10" i="238"/>
  <c r="N10" i="238"/>
  <c r="M10" i="238"/>
  <c r="L10" i="238"/>
  <c r="K10" i="238"/>
  <c r="J10" i="238"/>
  <c r="I10" i="238"/>
  <c r="H10" i="238"/>
  <c r="G10" i="238"/>
  <c r="F10" i="238"/>
  <c r="E10" i="238"/>
  <c r="D10" i="238"/>
  <c r="C10" i="238"/>
  <c r="B10" i="238"/>
  <c r="Y9" i="238"/>
  <c r="X9" i="238"/>
  <c r="W9" i="238"/>
  <c r="V9" i="238"/>
  <c r="U9" i="238"/>
  <c r="T9" i="238"/>
  <c r="S9" i="238"/>
  <c r="R9" i="238"/>
  <c r="Q9" i="238"/>
  <c r="P9" i="238"/>
  <c r="O9" i="238"/>
  <c r="N9" i="238"/>
  <c r="M9" i="238"/>
  <c r="L9" i="238"/>
  <c r="K9" i="238"/>
  <c r="J9" i="238"/>
  <c r="I9" i="238"/>
  <c r="H9" i="238"/>
  <c r="G9" i="238"/>
  <c r="F9" i="238"/>
  <c r="E9" i="238"/>
  <c r="D9" i="238"/>
  <c r="C9" i="238"/>
  <c r="B9" i="238"/>
  <c r="Y8" i="238"/>
  <c r="X8" i="238"/>
  <c r="W8" i="238"/>
  <c r="V8" i="238"/>
  <c r="U8" i="238"/>
  <c r="T8" i="238"/>
  <c r="S8" i="238"/>
  <c r="R8" i="238"/>
  <c r="Q8" i="238"/>
  <c r="P8" i="238"/>
  <c r="O8" i="238"/>
  <c r="N8" i="238"/>
  <c r="M8" i="238"/>
  <c r="L8" i="238"/>
  <c r="K8" i="238"/>
  <c r="J8" i="238"/>
  <c r="I8" i="238"/>
  <c r="H8" i="238"/>
  <c r="G8" i="238"/>
  <c r="F8" i="238"/>
  <c r="E8" i="238"/>
  <c r="D8" i="238"/>
  <c r="C8" i="238"/>
  <c r="B8" i="238"/>
  <c r="Y7" i="238"/>
  <c r="X7" i="238"/>
  <c r="W7" i="238"/>
  <c r="V7" i="238"/>
  <c r="U7" i="238"/>
  <c r="T7" i="238"/>
  <c r="S7" i="238"/>
  <c r="R7" i="238"/>
  <c r="Q7" i="238"/>
  <c r="P7" i="238"/>
  <c r="O7" i="238"/>
  <c r="N7" i="238"/>
  <c r="M7" i="238"/>
  <c r="L7" i="238"/>
  <c r="K7" i="238"/>
  <c r="J7" i="238"/>
  <c r="I7" i="238"/>
  <c r="H7" i="238"/>
  <c r="G7" i="238"/>
  <c r="F7" i="238"/>
  <c r="E7" i="238"/>
  <c r="D7" i="238"/>
  <c r="C7" i="238"/>
  <c r="B7" i="238"/>
  <c r="Y6" i="238"/>
  <c r="X6" i="238"/>
  <c r="W6" i="238"/>
  <c r="V6" i="238"/>
  <c r="U6" i="238"/>
  <c r="T6" i="238"/>
  <c r="S6" i="238"/>
  <c r="R6" i="238"/>
  <c r="Q6" i="238"/>
  <c r="P6" i="238"/>
  <c r="O6" i="238"/>
  <c r="N6" i="238"/>
  <c r="M6" i="238"/>
  <c r="L6" i="238"/>
  <c r="K6" i="238"/>
  <c r="J6" i="238"/>
  <c r="I6" i="238"/>
  <c r="H6" i="238"/>
  <c r="G6" i="238"/>
  <c r="F6" i="238"/>
  <c r="E6" i="238"/>
  <c r="D6" i="238"/>
  <c r="C6" i="238"/>
  <c r="B6" i="238"/>
  <c r="Y5" i="238"/>
  <c r="X5" i="238"/>
  <c r="W5" i="238"/>
  <c r="V5" i="238"/>
  <c r="U5" i="238"/>
  <c r="T5" i="238"/>
  <c r="S5" i="238"/>
  <c r="R5" i="238"/>
  <c r="Q5" i="238"/>
  <c r="P5" i="238"/>
  <c r="O5" i="238"/>
  <c r="N5" i="238"/>
  <c r="M5" i="238"/>
  <c r="L5" i="238"/>
  <c r="K5" i="238"/>
  <c r="J5" i="238"/>
  <c r="I5" i="238"/>
  <c r="H5" i="238"/>
  <c r="G5" i="238"/>
  <c r="F5" i="238"/>
  <c r="E5" i="238"/>
  <c r="D5" i="238"/>
  <c r="C5" i="238"/>
  <c r="B5" i="238"/>
  <c r="Y10" i="237"/>
  <c r="X10" i="237"/>
  <c r="W10" i="237"/>
  <c r="V10" i="237"/>
  <c r="U10" i="237"/>
  <c r="T10" i="237"/>
  <c r="S10" i="237"/>
  <c r="R10" i="237"/>
  <c r="Q10" i="237"/>
  <c r="P10" i="237"/>
  <c r="O10" i="237"/>
  <c r="N10" i="237"/>
  <c r="M10" i="237"/>
  <c r="L10" i="237"/>
  <c r="K10" i="237"/>
  <c r="J10" i="237"/>
  <c r="I10" i="237"/>
  <c r="H10" i="237"/>
  <c r="G10" i="237"/>
  <c r="F10" i="237"/>
  <c r="E10" i="237"/>
  <c r="D10" i="237"/>
  <c r="C10" i="237"/>
  <c r="B10" i="237"/>
  <c r="Y9" i="237"/>
  <c r="X9" i="237"/>
  <c r="W9" i="237"/>
  <c r="V9" i="237"/>
  <c r="U9" i="237"/>
  <c r="T9" i="237"/>
  <c r="S9" i="237"/>
  <c r="R9" i="237"/>
  <c r="Q9" i="237"/>
  <c r="P9" i="237"/>
  <c r="O9" i="237"/>
  <c r="N9" i="237"/>
  <c r="M9" i="237"/>
  <c r="L9" i="237"/>
  <c r="K9" i="237"/>
  <c r="J9" i="237"/>
  <c r="I9" i="237"/>
  <c r="H9" i="237"/>
  <c r="G9" i="237"/>
  <c r="F9" i="237"/>
  <c r="E9" i="237"/>
  <c r="D9" i="237"/>
  <c r="C9" i="237"/>
  <c r="B9" i="237"/>
  <c r="Y8" i="237"/>
  <c r="X8" i="237"/>
  <c r="W8" i="237"/>
  <c r="V8" i="237"/>
  <c r="U8" i="237"/>
  <c r="T8" i="237"/>
  <c r="S8" i="237"/>
  <c r="R8" i="237"/>
  <c r="Q8" i="237"/>
  <c r="P8" i="237"/>
  <c r="O8" i="237"/>
  <c r="N8" i="237"/>
  <c r="M8" i="237"/>
  <c r="L8" i="237"/>
  <c r="K8" i="237"/>
  <c r="J8" i="237"/>
  <c r="I8" i="237"/>
  <c r="H8" i="237"/>
  <c r="G8" i="237"/>
  <c r="F8" i="237"/>
  <c r="E8" i="237"/>
  <c r="D8" i="237"/>
  <c r="C8" i="237"/>
  <c r="B8" i="237"/>
  <c r="Y7" i="237"/>
  <c r="X7" i="237"/>
  <c r="W7" i="237"/>
  <c r="V7" i="237"/>
  <c r="U7" i="237"/>
  <c r="T7" i="237"/>
  <c r="S7" i="237"/>
  <c r="R7" i="237"/>
  <c r="Q7" i="237"/>
  <c r="P7" i="237"/>
  <c r="O7" i="237"/>
  <c r="N7" i="237"/>
  <c r="M7" i="237"/>
  <c r="L7" i="237"/>
  <c r="K7" i="237"/>
  <c r="J7" i="237"/>
  <c r="I7" i="237"/>
  <c r="H7" i="237"/>
  <c r="G7" i="237"/>
  <c r="F7" i="237"/>
  <c r="E7" i="237"/>
  <c r="D7" i="237"/>
  <c r="C7" i="237"/>
  <c r="B7" i="237"/>
  <c r="Y6" i="237"/>
  <c r="X6" i="237"/>
  <c r="W6" i="237"/>
  <c r="V6" i="237"/>
  <c r="U6" i="237"/>
  <c r="T6" i="237"/>
  <c r="S6" i="237"/>
  <c r="R6" i="237"/>
  <c r="Q6" i="237"/>
  <c r="P6" i="237"/>
  <c r="O6" i="237"/>
  <c r="N6" i="237"/>
  <c r="M6" i="237"/>
  <c r="L6" i="237"/>
  <c r="K6" i="237"/>
  <c r="J6" i="237"/>
  <c r="I6" i="237"/>
  <c r="H6" i="237"/>
  <c r="G6" i="237"/>
  <c r="F6" i="237"/>
  <c r="E6" i="237"/>
  <c r="D6" i="237"/>
  <c r="C6" i="237"/>
  <c r="B6" i="237"/>
  <c r="Y5" i="237"/>
  <c r="X5" i="237"/>
  <c r="W5" i="237"/>
  <c r="V5" i="237"/>
  <c r="U5" i="237"/>
  <c r="T5" i="237"/>
  <c r="S5" i="237"/>
  <c r="R5" i="237"/>
  <c r="Q5" i="237"/>
  <c r="P5" i="237"/>
  <c r="O5" i="237"/>
  <c r="N5" i="237"/>
  <c r="M5" i="237"/>
  <c r="L5" i="237"/>
  <c r="K5" i="237"/>
  <c r="J5" i="237"/>
  <c r="I5" i="237"/>
  <c r="H5" i="237"/>
  <c r="G5" i="237"/>
  <c r="F5" i="237"/>
  <c r="E5" i="237"/>
  <c r="D5" i="237"/>
  <c r="C5" i="237"/>
  <c r="B5" i="237"/>
  <c r="Y10" i="236"/>
  <c r="X10" i="236"/>
  <c r="W10" i="236"/>
  <c r="V10" i="236"/>
  <c r="U10" i="236"/>
  <c r="T10" i="236"/>
  <c r="S10" i="236"/>
  <c r="R10" i="236"/>
  <c r="Q10" i="236"/>
  <c r="P10" i="236"/>
  <c r="O10" i="236"/>
  <c r="N10" i="236"/>
  <c r="M10" i="236"/>
  <c r="L10" i="236"/>
  <c r="K10" i="236"/>
  <c r="J10" i="236"/>
  <c r="I10" i="236"/>
  <c r="H10" i="236"/>
  <c r="G10" i="236"/>
  <c r="F10" i="236"/>
  <c r="E10" i="236"/>
  <c r="D10" i="236"/>
  <c r="C10" i="236"/>
  <c r="B10" i="236"/>
  <c r="Y9" i="236"/>
  <c r="X9" i="236"/>
  <c r="W9" i="236"/>
  <c r="V9" i="236"/>
  <c r="U9" i="236"/>
  <c r="T9" i="236"/>
  <c r="S9" i="236"/>
  <c r="R9" i="236"/>
  <c r="Q9" i="236"/>
  <c r="P9" i="236"/>
  <c r="O9" i="236"/>
  <c r="N9" i="236"/>
  <c r="M9" i="236"/>
  <c r="L9" i="236"/>
  <c r="K9" i="236"/>
  <c r="J9" i="236"/>
  <c r="I9" i="236"/>
  <c r="H9" i="236"/>
  <c r="G9" i="236"/>
  <c r="F9" i="236"/>
  <c r="E9" i="236"/>
  <c r="D9" i="236"/>
  <c r="C9" i="236"/>
  <c r="B9" i="236"/>
  <c r="Y8" i="236"/>
  <c r="X8" i="236"/>
  <c r="W8" i="236"/>
  <c r="V8" i="236"/>
  <c r="U8" i="236"/>
  <c r="T8" i="236"/>
  <c r="S8" i="236"/>
  <c r="R8" i="236"/>
  <c r="Q8" i="236"/>
  <c r="P8" i="236"/>
  <c r="O8" i="236"/>
  <c r="N8" i="236"/>
  <c r="M8" i="236"/>
  <c r="L8" i="236"/>
  <c r="K8" i="236"/>
  <c r="J8" i="236"/>
  <c r="I8" i="236"/>
  <c r="H8" i="236"/>
  <c r="G8" i="236"/>
  <c r="F8" i="236"/>
  <c r="E8" i="236"/>
  <c r="D8" i="236"/>
  <c r="C8" i="236"/>
  <c r="B8" i="236"/>
  <c r="Y7" i="236"/>
  <c r="X7" i="236"/>
  <c r="W7" i="236"/>
  <c r="V7" i="236"/>
  <c r="U7" i="236"/>
  <c r="T7" i="236"/>
  <c r="S7" i="236"/>
  <c r="R7" i="236"/>
  <c r="Q7" i="236"/>
  <c r="P7" i="236"/>
  <c r="O7" i="236"/>
  <c r="N7" i="236"/>
  <c r="M7" i="236"/>
  <c r="L7" i="236"/>
  <c r="K7" i="236"/>
  <c r="J7" i="236"/>
  <c r="I7" i="236"/>
  <c r="H7" i="236"/>
  <c r="G7" i="236"/>
  <c r="F7" i="236"/>
  <c r="E7" i="236"/>
  <c r="D7" i="236"/>
  <c r="C7" i="236"/>
  <c r="B7" i="236"/>
  <c r="Y6" i="236"/>
  <c r="X6" i="236"/>
  <c r="W6" i="236"/>
  <c r="V6" i="236"/>
  <c r="U6" i="236"/>
  <c r="T6" i="236"/>
  <c r="S6" i="236"/>
  <c r="R6" i="236"/>
  <c r="Q6" i="236"/>
  <c r="P6" i="236"/>
  <c r="O6" i="236"/>
  <c r="N6" i="236"/>
  <c r="M6" i="236"/>
  <c r="L6" i="236"/>
  <c r="K6" i="236"/>
  <c r="J6" i="236"/>
  <c r="I6" i="236"/>
  <c r="H6" i="236"/>
  <c r="G6" i="236"/>
  <c r="F6" i="236"/>
  <c r="E6" i="236"/>
  <c r="D6" i="236"/>
  <c r="C6" i="236"/>
  <c r="B6" i="236"/>
  <c r="Y5" i="236"/>
  <c r="X5" i="236"/>
  <c r="W5" i="236"/>
  <c r="V5" i="236"/>
  <c r="U5" i="236"/>
  <c r="T5" i="236"/>
  <c r="S5" i="236"/>
  <c r="R5" i="236"/>
  <c r="Q5" i="236"/>
  <c r="P5" i="236"/>
  <c r="O5" i="236"/>
  <c r="N5" i="236"/>
  <c r="M5" i="236"/>
  <c r="L5" i="236"/>
  <c r="K5" i="236"/>
  <c r="J5" i="236"/>
  <c r="I5" i="236"/>
  <c r="H5" i="236"/>
  <c r="G5" i="236"/>
  <c r="F5" i="236"/>
  <c r="E5" i="236"/>
  <c r="D5" i="236"/>
  <c r="C5" i="236"/>
  <c r="B5" i="236"/>
  <c r="Y10" i="209"/>
  <c r="X10" i="209"/>
  <c r="W10" i="209"/>
  <c r="V10" i="209"/>
  <c r="U10" i="209"/>
  <c r="T10" i="209"/>
  <c r="S10" i="209"/>
  <c r="R10" i="209"/>
  <c r="Q10" i="209"/>
  <c r="P10" i="209"/>
  <c r="O10" i="209"/>
  <c r="N10" i="209"/>
  <c r="M10" i="209"/>
  <c r="L10" i="209"/>
  <c r="K10" i="209"/>
  <c r="J10" i="209"/>
  <c r="I10" i="209"/>
  <c r="H10" i="209"/>
  <c r="G10" i="209"/>
  <c r="F10" i="209"/>
  <c r="E10" i="209"/>
  <c r="D10" i="209"/>
  <c r="C10" i="209"/>
  <c r="B10" i="209"/>
  <c r="Y9" i="209"/>
  <c r="X9" i="209"/>
  <c r="W9" i="209"/>
  <c r="V9" i="209"/>
  <c r="U9" i="209"/>
  <c r="T9" i="209"/>
  <c r="S9" i="209"/>
  <c r="R9" i="209"/>
  <c r="Q9" i="209"/>
  <c r="P9" i="209"/>
  <c r="O9" i="209"/>
  <c r="N9" i="209"/>
  <c r="M9" i="209"/>
  <c r="L9" i="209"/>
  <c r="K9" i="209"/>
  <c r="J9" i="209"/>
  <c r="I9" i="209"/>
  <c r="H9" i="209"/>
  <c r="G9" i="209"/>
  <c r="F9" i="209"/>
  <c r="E9" i="209"/>
  <c r="D9" i="209"/>
  <c r="C9" i="209"/>
  <c r="B9" i="209"/>
  <c r="Y8" i="209"/>
  <c r="X8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B8" i="209"/>
  <c r="Y7" i="209"/>
  <c r="X7" i="209"/>
  <c r="W7" i="209"/>
  <c r="V7" i="209"/>
  <c r="U7" i="209"/>
  <c r="T7" i="209"/>
  <c r="S7" i="209"/>
  <c r="R7" i="209"/>
  <c r="Q7" i="209"/>
  <c r="P7" i="209"/>
  <c r="O7" i="209"/>
  <c r="N7" i="209"/>
  <c r="M7" i="209"/>
  <c r="L7" i="209"/>
  <c r="K7" i="209"/>
  <c r="J7" i="209"/>
  <c r="I7" i="209"/>
  <c r="H7" i="209"/>
  <c r="G7" i="209"/>
  <c r="F7" i="209"/>
  <c r="E7" i="209"/>
  <c r="D7" i="209"/>
  <c r="C7" i="209"/>
  <c r="B7" i="209"/>
  <c r="Y6" i="209"/>
  <c r="X6" i="209"/>
  <c r="W6" i="209"/>
  <c r="V6" i="209"/>
  <c r="U6" i="209"/>
  <c r="T6" i="209"/>
  <c r="S6" i="209"/>
  <c r="R6" i="209"/>
  <c r="Q6" i="209"/>
  <c r="P6" i="209"/>
  <c r="O6" i="209"/>
  <c r="N6" i="209"/>
  <c r="M6" i="209"/>
  <c r="L6" i="209"/>
  <c r="K6" i="209"/>
  <c r="J6" i="209"/>
  <c r="I6" i="209"/>
  <c r="H6" i="209"/>
  <c r="G6" i="209"/>
  <c r="F6" i="209"/>
  <c r="E6" i="209"/>
  <c r="D6" i="209"/>
  <c r="C6" i="209"/>
  <c r="B6" i="209"/>
  <c r="Y5" i="209"/>
  <c r="X5" i="209"/>
  <c r="W5" i="209"/>
  <c r="V5" i="209"/>
  <c r="U5" i="209"/>
  <c r="T5" i="209"/>
  <c r="S5" i="209"/>
  <c r="R5" i="209"/>
  <c r="Q5" i="209"/>
  <c r="P5" i="209"/>
  <c r="O5" i="209"/>
  <c r="N5" i="209"/>
  <c r="M5" i="209"/>
  <c r="L5" i="209"/>
  <c r="K5" i="209"/>
  <c r="J5" i="209"/>
  <c r="I5" i="209"/>
  <c r="H5" i="209"/>
  <c r="G5" i="209"/>
  <c r="F5" i="209"/>
  <c r="E5" i="209"/>
  <c r="D5" i="209"/>
  <c r="C5" i="209"/>
  <c r="B5" i="209"/>
  <c r="Y10" i="208"/>
  <c r="X10" i="208"/>
  <c r="W10" i="208"/>
  <c r="V10" i="208"/>
  <c r="U10" i="208"/>
  <c r="T10" i="208"/>
  <c r="S10" i="208"/>
  <c r="R10" i="208"/>
  <c r="Q10" i="208"/>
  <c r="P10" i="208"/>
  <c r="O10" i="208"/>
  <c r="N10" i="208"/>
  <c r="M10" i="208"/>
  <c r="L10" i="208"/>
  <c r="K10" i="208"/>
  <c r="J10" i="208"/>
  <c r="I10" i="208"/>
  <c r="H10" i="208"/>
  <c r="G10" i="208"/>
  <c r="F10" i="208"/>
  <c r="E10" i="208"/>
  <c r="D10" i="208"/>
  <c r="C10" i="208"/>
  <c r="B10" i="208"/>
  <c r="Y9" i="208"/>
  <c r="X9" i="208"/>
  <c r="W9" i="208"/>
  <c r="V9" i="208"/>
  <c r="U9" i="208"/>
  <c r="T9" i="208"/>
  <c r="S9" i="208"/>
  <c r="R9" i="208"/>
  <c r="Q9" i="208"/>
  <c r="P9" i="208"/>
  <c r="O9" i="208"/>
  <c r="N9" i="208"/>
  <c r="M9" i="208"/>
  <c r="L9" i="208"/>
  <c r="K9" i="208"/>
  <c r="J9" i="208"/>
  <c r="I9" i="208"/>
  <c r="H9" i="208"/>
  <c r="G9" i="208"/>
  <c r="F9" i="208"/>
  <c r="E9" i="208"/>
  <c r="D9" i="208"/>
  <c r="C9" i="208"/>
  <c r="B9" i="208"/>
  <c r="Y8" i="208"/>
  <c r="X8" i="208"/>
  <c r="W8" i="208"/>
  <c r="V8" i="208"/>
  <c r="U8" i="208"/>
  <c r="T8" i="208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C8" i="208"/>
  <c r="B8" i="208"/>
  <c r="Y7" i="208"/>
  <c r="X7" i="208"/>
  <c r="W7" i="208"/>
  <c r="V7" i="208"/>
  <c r="U7" i="208"/>
  <c r="T7" i="208"/>
  <c r="S7" i="208"/>
  <c r="R7" i="208"/>
  <c r="Q7" i="208"/>
  <c r="P7" i="208"/>
  <c r="O7" i="208"/>
  <c r="N7" i="208"/>
  <c r="M7" i="208"/>
  <c r="L7" i="208"/>
  <c r="K7" i="208"/>
  <c r="J7" i="208"/>
  <c r="I7" i="208"/>
  <c r="H7" i="208"/>
  <c r="G7" i="208"/>
  <c r="F7" i="208"/>
  <c r="E7" i="208"/>
  <c r="D7" i="208"/>
  <c r="C7" i="208"/>
  <c r="B7" i="208"/>
  <c r="Y6" i="208"/>
  <c r="X6" i="208"/>
  <c r="W6" i="208"/>
  <c r="V6" i="208"/>
  <c r="U6" i="208"/>
  <c r="T6" i="208"/>
  <c r="S6" i="208"/>
  <c r="R6" i="208"/>
  <c r="Q6" i="208"/>
  <c r="P6" i="208"/>
  <c r="O6" i="208"/>
  <c r="N6" i="208"/>
  <c r="M6" i="208"/>
  <c r="L6" i="208"/>
  <c r="K6" i="208"/>
  <c r="J6" i="208"/>
  <c r="I6" i="208"/>
  <c r="H6" i="208"/>
  <c r="G6" i="208"/>
  <c r="F6" i="208"/>
  <c r="E6" i="208"/>
  <c r="D6" i="208"/>
  <c r="C6" i="208"/>
  <c r="B6" i="208"/>
  <c r="Y5" i="208"/>
  <c r="X5" i="208"/>
  <c r="W5" i="208"/>
  <c r="V5" i="208"/>
  <c r="U5" i="208"/>
  <c r="T5" i="208"/>
  <c r="S5" i="208"/>
  <c r="R5" i="208"/>
  <c r="Q5" i="208"/>
  <c r="P5" i="208"/>
  <c r="O5" i="208"/>
  <c r="N5" i="208"/>
  <c r="M5" i="208"/>
  <c r="L5" i="208"/>
  <c r="K5" i="208"/>
  <c r="J5" i="208"/>
  <c r="I5" i="208"/>
  <c r="H5" i="208"/>
  <c r="G5" i="208"/>
  <c r="F5" i="208"/>
  <c r="E5" i="208"/>
  <c r="D5" i="208"/>
  <c r="C5" i="208"/>
  <c r="B5" i="208"/>
  <c r="Y10" i="207"/>
  <c r="X10" i="207"/>
  <c r="W10" i="207"/>
  <c r="V10" i="207"/>
  <c r="U10" i="207"/>
  <c r="T10" i="207"/>
  <c r="S10" i="207"/>
  <c r="R10" i="207"/>
  <c r="Q10" i="207"/>
  <c r="P10" i="207"/>
  <c r="O10" i="207"/>
  <c r="N10" i="207"/>
  <c r="M10" i="207"/>
  <c r="L10" i="207"/>
  <c r="K10" i="207"/>
  <c r="J10" i="207"/>
  <c r="I10" i="207"/>
  <c r="H10" i="207"/>
  <c r="G10" i="207"/>
  <c r="F10" i="207"/>
  <c r="E10" i="207"/>
  <c r="D10" i="207"/>
  <c r="C10" i="207"/>
  <c r="B10" i="207"/>
  <c r="Y9" i="207"/>
  <c r="X9" i="207"/>
  <c r="W9" i="207"/>
  <c r="V9" i="207"/>
  <c r="U9" i="207"/>
  <c r="T9" i="207"/>
  <c r="S9" i="207"/>
  <c r="R9" i="207"/>
  <c r="Q9" i="207"/>
  <c r="P9" i="207"/>
  <c r="O9" i="207"/>
  <c r="N9" i="207"/>
  <c r="M9" i="207"/>
  <c r="L9" i="207"/>
  <c r="K9" i="207"/>
  <c r="J9" i="207"/>
  <c r="I9" i="207"/>
  <c r="H9" i="207"/>
  <c r="G9" i="207"/>
  <c r="F9" i="207"/>
  <c r="E9" i="207"/>
  <c r="D9" i="207"/>
  <c r="C9" i="207"/>
  <c r="B9" i="207"/>
  <c r="Y8" i="207"/>
  <c r="X8" i="207"/>
  <c r="W8" i="207"/>
  <c r="V8" i="207"/>
  <c r="U8" i="207"/>
  <c r="T8" i="207"/>
  <c r="S8" i="207"/>
  <c r="R8" i="207"/>
  <c r="Q8" i="207"/>
  <c r="P8" i="207"/>
  <c r="O8" i="207"/>
  <c r="N8" i="207"/>
  <c r="M8" i="207"/>
  <c r="L8" i="207"/>
  <c r="K8" i="207"/>
  <c r="J8" i="207"/>
  <c r="I8" i="207"/>
  <c r="H8" i="207"/>
  <c r="G8" i="207"/>
  <c r="F8" i="207"/>
  <c r="E8" i="207"/>
  <c r="D8" i="207"/>
  <c r="C8" i="207"/>
  <c r="B8" i="207"/>
  <c r="Y7" i="207"/>
  <c r="X7" i="207"/>
  <c r="W7" i="207"/>
  <c r="V7" i="207"/>
  <c r="U7" i="207"/>
  <c r="T7" i="207"/>
  <c r="S7" i="207"/>
  <c r="R7" i="207"/>
  <c r="Q7" i="207"/>
  <c r="P7" i="207"/>
  <c r="O7" i="207"/>
  <c r="N7" i="207"/>
  <c r="M7" i="207"/>
  <c r="L7" i="207"/>
  <c r="K7" i="207"/>
  <c r="J7" i="207"/>
  <c r="I7" i="207"/>
  <c r="H7" i="207"/>
  <c r="G7" i="207"/>
  <c r="F7" i="207"/>
  <c r="E7" i="207"/>
  <c r="D7" i="207"/>
  <c r="C7" i="207"/>
  <c r="B7" i="207"/>
  <c r="Y6" i="207"/>
  <c r="X6" i="207"/>
  <c r="W6" i="207"/>
  <c r="V6" i="207"/>
  <c r="U6" i="207"/>
  <c r="T6" i="207"/>
  <c r="S6" i="207"/>
  <c r="R6" i="207"/>
  <c r="Q6" i="207"/>
  <c r="P6" i="207"/>
  <c r="O6" i="207"/>
  <c r="N6" i="207"/>
  <c r="M6" i="207"/>
  <c r="L6" i="207"/>
  <c r="K6" i="207"/>
  <c r="J6" i="207"/>
  <c r="I6" i="207"/>
  <c r="H6" i="207"/>
  <c r="G6" i="207"/>
  <c r="F6" i="207"/>
  <c r="E6" i="207"/>
  <c r="D6" i="207"/>
  <c r="C6" i="207"/>
  <c r="B6" i="207"/>
  <c r="Y5" i="207"/>
  <c r="X5" i="207"/>
  <c r="W5" i="207"/>
  <c r="V5" i="207"/>
  <c r="U5" i="207"/>
  <c r="T5" i="207"/>
  <c r="S5" i="207"/>
  <c r="R5" i="207"/>
  <c r="Q5" i="207"/>
  <c r="P5" i="207"/>
  <c r="O5" i="207"/>
  <c r="N5" i="207"/>
  <c r="M5" i="207"/>
  <c r="L5" i="207"/>
  <c r="K5" i="207"/>
  <c r="J5" i="207"/>
  <c r="I5" i="207"/>
  <c r="H5" i="207"/>
  <c r="G5" i="207"/>
  <c r="F5" i="207"/>
  <c r="E5" i="207"/>
  <c r="D5" i="207"/>
  <c r="C5" i="207"/>
  <c r="B5" i="207"/>
  <c r="Y10" i="206"/>
  <c r="X10" i="206"/>
  <c r="W10" i="206"/>
  <c r="V10" i="206"/>
  <c r="U10" i="206"/>
  <c r="T10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G10" i="206"/>
  <c r="F10" i="206"/>
  <c r="E10" i="206"/>
  <c r="D10" i="206"/>
  <c r="C10" i="206"/>
  <c r="B10" i="206"/>
  <c r="Y9" i="206"/>
  <c r="X9" i="206"/>
  <c r="W9" i="206"/>
  <c r="V9" i="206"/>
  <c r="U9" i="206"/>
  <c r="T9" i="206"/>
  <c r="S9" i="206"/>
  <c r="R9" i="206"/>
  <c r="Q9" i="206"/>
  <c r="P9" i="206"/>
  <c r="O9" i="206"/>
  <c r="N9" i="206"/>
  <c r="M9" i="206"/>
  <c r="L9" i="206"/>
  <c r="K9" i="206"/>
  <c r="J9" i="206"/>
  <c r="I9" i="206"/>
  <c r="H9" i="206"/>
  <c r="G9" i="206"/>
  <c r="F9" i="206"/>
  <c r="E9" i="206"/>
  <c r="D9" i="206"/>
  <c r="C9" i="206"/>
  <c r="B9" i="206"/>
  <c r="Y8" i="206"/>
  <c r="X8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B8" i="206"/>
  <c r="Y7" i="206"/>
  <c r="X7" i="206"/>
  <c r="W7" i="206"/>
  <c r="V7" i="206"/>
  <c r="U7" i="206"/>
  <c r="T7" i="206"/>
  <c r="S7" i="206"/>
  <c r="R7" i="206"/>
  <c r="Q7" i="206"/>
  <c r="P7" i="206"/>
  <c r="O7" i="206"/>
  <c r="N7" i="206"/>
  <c r="M7" i="206"/>
  <c r="L7" i="206"/>
  <c r="K7" i="206"/>
  <c r="J7" i="206"/>
  <c r="I7" i="206"/>
  <c r="H7" i="206"/>
  <c r="G7" i="206"/>
  <c r="F7" i="206"/>
  <c r="E7" i="206"/>
  <c r="D7" i="206"/>
  <c r="C7" i="206"/>
  <c r="B7" i="206"/>
  <c r="Y6" i="206"/>
  <c r="X6" i="206"/>
  <c r="W6" i="206"/>
  <c r="V6" i="206"/>
  <c r="U6" i="206"/>
  <c r="T6" i="206"/>
  <c r="S6" i="206"/>
  <c r="R6" i="206"/>
  <c r="Q6" i="206"/>
  <c r="P6" i="206"/>
  <c r="O6" i="206"/>
  <c r="N6" i="206"/>
  <c r="M6" i="206"/>
  <c r="L6" i="206"/>
  <c r="K6" i="206"/>
  <c r="J6" i="206"/>
  <c r="I6" i="206"/>
  <c r="H6" i="206"/>
  <c r="G6" i="206"/>
  <c r="F6" i="206"/>
  <c r="E6" i="206"/>
  <c r="D6" i="206"/>
  <c r="C6" i="206"/>
  <c r="B6" i="206"/>
  <c r="Y5" i="206"/>
  <c r="X5" i="206"/>
  <c r="W5" i="206"/>
  <c r="V5" i="206"/>
  <c r="U5" i="206"/>
  <c r="T5" i="206"/>
  <c r="S5" i="206"/>
  <c r="R5" i="206"/>
  <c r="Q5" i="206"/>
  <c r="P5" i="206"/>
  <c r="O5" i="206"/>
  <c r="N5" i="206"/>
  <c r="M5" i="206"/>
  <c r="L5" i="206"/>
  <c r="K5" i="206"/>
  <c r="J5" i="206"/>
  <c r="I5" i="206"/>
  <c r="H5" i="206"/>
  <c r="G5" i="206"/>
  <c r="F5" i="206"/>
  <c r="E5" i="206"/>
  <c r="D5" i="206"/>
  <c r="C5" i="206"/>
  <c r="B5" i="206"/>
  <c r="Y10" i="205"/>
  <c r="X10" i="205"/>
  <c r="W10" i="205"/>
  <c r="V10" i="205"/>
  <c r="U10" i="205"/>
  <c r="T10" i="205"/>
  <c r="S10" i="205"/>
  <c r="R10" i="205"/>
  <c r="Q10" i="205"/>
  <c r="P10" i="205"/>
  <c r="O10" i="205"/>
  <c r="N10" i="205"/>
  <c r="M10" i="205"/>
  <c r="L10" i="205"/>
  <c r="K10" i="205"/>
  <c r="J10" i="205"/>
  <c r="I10" i="205"/>
  <c r="H10" i="205"/>
  <c r="G10" i="205"/>
  <c r="F10" i="205"/>
  <c r="E10" i="205"/>
  <c r="D10" i="205"/>
  <c r="C10" i="205"/>
  <c r="B10" i="205"/>
  <c r="Y9" i="205"/>
  <c r="X9" i="205"/>
  <c r="W9" i="205"/>
  <c r="V9" i="205"/>
  <c r="U9" i="205"/>
  <c r="T9" i="205"/>
  <c r="S9" i="205"/>
  <c r="R9" i="205"/>
  <c r="Q9" i="205"/>
  <c r="P9" i="205"/>
  <c r="O9" i="205"/>
  <c r="N9" i="205"/>
  <c r="M9" i="205"/>
  <c r="L9" i="205"/>
  <c r="K9" i="205"/>
  <c r="J9" i="205"/>
  <c r="I9" i="205"/>
  <c r="H9" i="205"/>
  <c r="G9" i="205"/>
  <c r="F9" i="205"/>
  <c r="E9" i="205"/>
  <c r="D9" i="205"/>
  <c r="C9" i="205"/>
  <c r="B9" i="205"/>
  <c r="Y8" i="205"/>
  <c r="X8" i="205"/>
  <c r="W8" i="205"/>
  <c r="V8" i="205"/>
  <c r="U8" i="205"/>
  <c r="T8" i="205"/>
  <c r="S8" i="205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C8" i="205"/>
  <c r="B8" i="205"/>
  <c r="Y7" i="205"/>
  <c r="X7" i="205"/>
  <c r="W7" i="205"/>
  <c r="V7" i="205"/>
  <c r="U7" i="205"/>
  <c r="T7" i="205"/>
  <c r="S7" i="205"/>
  <c r="R7" i="205"/>
  <c r="Q7" i="205"/>
  <c r="P7" i="205"/>
  <c r="O7" i="205"/>
  <c r="N7" i="205"/>
  <c r="M7" i="205"/>
  <c r="L7" i="205"/>
  <c r="K7" i="205"/>
  <c r="J7" i="205"/>
  <c r="I7" i="205"/>
  <c r="H7" i="205"/>
  <c r="G7" i="205"/>
  <c r="F7" i="205"/>
  <c r="E7" i="205"/>
  <c r="D7" i="205"/>
  <c r="C7" i="205"/>
  <c r="B7" i="205"/>
  <c r="Y6" i="205"/>
  <c r="X6" i="205"/>
  <c r="W6" i="205"/>
  <c r="V6" i="205"/>
  <c r="U6" i="205"/>
  <c r="T6" i="205"/>
  <c r="S6" i="205"/>
  <c r="R6" i="205"/>
  <c r="Q6" i="205"/>
  <c r="P6" i="205"/>
  <c r="O6" i="205"/>
  <c r="N6" i="205"/>
  <c r="M6" i="205"/>
  <c r="L6" i="205"/>
  <c r="K6" i="205"/>
  <c r="J6" i="205"/>
  <c r="I6" i="205"/>
  <c r="H6" i="205"/>
  <c r="G6" i="205"/>
  <c r="F6" i="205"/>
  <c r="E6" i="205"/>
  <c r="D6" i="205"/>
  <c r="C6" i="205"/>
  <c r="B6" i="205"/>
  <c r="Y5" i="205"/>
  <c r="X5" i="205"/>
  <c r="W5" i="205"/>
  <c r="V5" i="205"/>
  <c r="U5" i="205"/>
  <c r="T5" i="205"/>
  <c r="S5" i="205"/>
  <c r="R5" i="205"/>
  <c r="Q5" i="205"/>
  <c r="P5" i="205"/>
  <c r="O5" i="205"/>
  <c r="N5" i="205"/>
  <c r="M5" i="205"/>
  <c r="L5" i="205"/>
  <c r="K5" i="205"/>
  <c r="J5" i="205"/>
  <c r="I5" i="205"/>
  <c r="H5" i="205"/>
  <c r="G5" i="205"/>
  <c r="F5" i="205"/>
  <c r="E5" i="205"/>
  <c r="D5" i="205"/>
  <c r="C5" i="205"/>
  <c r="B5" i="205"/>
  <c r="Y10" i="204"/>
  <c r="X10" i="204"/>
  <c r="W10" i="204"/>
  <c r="V10" i="204"/>
  <c r="U10" i="204"/>
  <c r="T10" i="204"/>
  <c r="S10" i="204"/>
  <c r="R10" i="204"/>
  <c r="Q10" i="204"/>
  <c r="P10" i="204"/>
  <c r="O10" i="204"/>
  <c r="N10" i="204"/>
  <c r="M10" i="204"/>
  <c r="L10" i="204"/>
  <c r="K10" i="204"/>
  <c r="J10" i="204"/>
  <c r="I10" i="204"/>
  <c r="H10" i="204"/>
  <c r="G10" i="204"/>
  <c r="F10" i="204"/>
  <c r="E10" i="204"/>
  <c r="D10" i="204"/>
  <c r="C10" i="204"/>
  <c r="B10" i="204"/>
  <c r="Y9" i="204"/>
  <c r="X9" i="204"/>
  <c r="W9" i="204"/>
  <c r="V9" i="204"/>
  <c r="U9" i="204"/>
  <c r="T9" i="204"/>
  <c r="S9" i="204"/>
  <c r="R9" i="204"/>
  <c r="Q9" i="204"/>
  <c r="P9" i="204"/>
  <c r="O9" i="204"/>
  <c r="N9" i="204"/>
  <c r="M9" i="204"/>
  <c r="L9" i="204"/>
  <c r="K9" i="204"/>
  <c r="J9" i="204"/>
  <c r="I9" i="204"/>
  <c r="H9" i="204"/>
  <c r="G9" i="204"/>
  <c r="F9" i="204"/>
  <c r="E9" i="204"/>
  <c r="D9" i="204"/>
  <c r="C9" i="204"/>
  <c r="B9" i="204"/>
  <c r="Y8" i="204"/>
  <c r="X8" i="204"/>
  <c r="W8" i="204"/>
  <c r="V8" i="204"/>
  <c r="U8" i="204"/>
  <c r="T8" i="204"/>
  <c r="S8" i="204"/>
  <c r="R8" i="204"/>
  <c r="Q8" i="204"/>
  <c r="P8" i="204"/>
  <c r="O8" i="204"/>
  <c r="N8" i="204"/>
  <c r="M8" i="204"/>
  <c r="L8" i="204"/>
  <c r="K8" i="204"/>
  <c r="J8" i="204"/>
  <c r="I8" i="204"/>
  <c r="H8" i="204"/>
  <c r="G8" i="204"/>
  <c r="F8" i="204"/>
  <c r="E8" i="204"/>
  <c r="D8" i="204"/>
  <c r="C8" i="204"/>
  <c r="B8" i="204"/>
  <c r="Y7" i="204"/>
  <c r="X7" i="204"/>
  <c r="W7" i="204"/>
  <c r="V7" i="204"/>
  <c r="U7" i="204"/>
  <c r="T7" i="204"/>
  <c r="S7" i="204"/>
  <c r="R7" i="204"/>
  <c r="Q7" i="204"/>
  <c r="P7" i="204"/>
  <c r="O7" i="204"/>
  <c r="N7" i="204"/>
  <c r="M7" i="204"/>
  <c r="L7" i="204"/>
  <c r="K7" i="204"/>
  <c r="J7" i="204"/>
  <c r="I7" i="204"/>
  <c r="H7" i="204"/>
  <c r="G7" i="204"/>
  <c r="F7" i="204"/>
  <c r="E7" i="204"/>
  <c r="D7" i="204"/>
  <c r="C7" i="204"/>
  <c r="B7" i="204"/>
  <c r="Y6" i="204"/>
  <c r="X6" i="204"/>
  <c r="W6" i="204"/>
  <c r="V6" i="204"/>
  <c r="U6" i="204"/>
  <c r="T6" i="204"/>
  <c r="S6" i="204"/>
  <c r="R6" i="204"/>
  <c r="Q6" i="204"/>
  <c r="P6" i="204"/>
  <c r="O6" i="204"/>
  <c r="N6" i="204"/>
  <c r="M6" i="204"/>
  <c r="L6" i="204"/>
  <c r="K6" i="204"/>
  <c r="J6" i="204"/>
  <c r="I6" i="204"/>
  <c r="H6" i="204"/>
  <c r="G6" i="204"/>
  <c r="F6" i="204"/>
  <c r="E6" i="204"/>
  <c r="D6" i="204"/>
  <c r="C6" i="204"/>
  <c r="B6" i="204"/>
  <c r="Y5" i="204"/>
  <c r="X5" i="204"/>
  <c r="W5" i="204"/>
  <c r="V5" i="204"/>
  <c r="U5" i="204"/>
  <c r="T5" i="204"/>
  <c r="S5" i="204"/>
  <c r="R5" i="204"/>
  <c r="Q5" i="204"/>
  <c r="P5" i="204"/>
  <c r="O5" i="204"/>
  <c r="N5" i="204"/>
  <c r="M5" i="204"/>
  <c r="L5" i="204"/>
  <c r="K5" i="204"/>
  <c r="J5" i="204"/>
  <c r="I5" i="204"/>
  <c r="H5" i="204"/>
  <c r="G5" i="204"/>
  <c r="F5" i="204"/>
  <c r="E5" i="204"/>
  <c r="D5" i="204"/>
  <c r="C5" i="204"/>
  <c r="B5" i="204"/>
  <c r="C5" i="189"/>
  <c r="D5" i="189"/>
  <c r="E5" i="189"/>
  <c r="F5" i="189"/>
  <c r="G5" i="189"/>
  <c r="H5" i="189"/>
  <c r="I5" i="189"/>
  <c r="J5" i="189"/>
  <c r="K5" i="189"/>
  <c r="L5" i="189"/>
  <c r="M5" i="189"/>
  <c r="N5" i="189"/>
  <c r="O5" i="189"/>
  <c r="P5" i="189"/>
  <c r="Q5" i="189"/>
  <c r="R5" i="189"/>
  <c r="S5" i="189"/>
  <c r="T5" i="189"/>
  <c r="U5" i="189"/>
  <c r="V5" i="189"/>
  <c r="W5" i="189"/>
  <c r="X5" i="189"/>
  <c r="Y5" i="189"/>
  <c r="C6" i="189"/>
  <c r="D6" i="189"/>
  <c r="E6" i="189"/>
  <c r="F6" i="189"/>
  <c r="G6" i="189"/>
  <c r="H6" i="189"/>
  <c r="I6" i="189"/>
  <c r="J6" i="189"/>
  <c r="K6" i="189"/>
  <c r="L6" i="189"/>
  <c r="M6" i="189"/>
  <c r="N6" i="189"/>
  <c r="O6" i="189"/>
  <c r="P6" i="189"/>
  <c r="Q6" i="189"/>
  <c r="R6" i="189"/>
  <c r="S6" i="189"/>
  <c r="T6" i="189"/>
  <c r="U6" i="189"/>
  <c r="V6" i="189"/>
  <c r="W6" i="189"/>
  <c r="X6" i="189"/>
  <c r="Y6" i="189"/>
  <c r="C7" i="189"/>
  <c r="D7" i="189"/>
  <c r="E7" i="189"/>
  <c r="F7" i="189"/>
  <c r="G7" i="189"/>
  <c r="H7" i="189"/>
  <c r="I7" i="189"/>
  <c r="J7" i="189"/>
  <c r="K7" i="189"/>
  <c r="L7" i="189"/>
  <c r="M7" i="189"/>
  <c r="N7" i="189"/>
  <c r="O7" i="189"/>
  <c r="P7" i="189"/>
  <c r="Q7" i="189"/>
  <c r="R7" i="189"/>
  <c r="S7" i="189"/>
  <c r="T7" i="189"/>
  <c r="U7" i="189"/>
  <c r="V7" i="189"/>
  <c r="W7" i="189"/>
  <c r="X7" i="189"/>
  <c r="Y7" i="189"/>
  <c r="C8" i="189"/>
  <c r="D8" i="189"/>
  <c r="E8" i="189"/>
  <c r="F8" i="189"/>
  <c r="G8" i="189"/>
  <c r="H8" i="189"/>
  <c r="I8" i="189"/>
  <c r="J8" i="189"/>
  <c r="K8" i="189"/>
  <c r="L8" i="189"/>
  <c r="M8" i="189"/>
  <c r="N8" i="189"/>
  <c r="O8" i="189"/>
  <c r="P8" i="189"/>
  <c r="Q8" i="189"/>
  <c r="R8" i="189"/>
  <c r="S8" i="189"/>
  <c r="T8" i="189"/>
  <c r="U8" i="189"/>
  <c r="V8" i="189"/>
  <c r="W8" i="189"/>
  <c r="X8" i="189"/>
  <c r="Y8" i="189"/>
  <c r="C9" i="189"/>
  <c r="D9" i="189"/>
  <c r="E9" i="189"/>
  <c r="F9" i="189"/>
  <c r="G9" i="189"/>
  <c r="H9" i="189"/>
  <c r="I9" i="189"/>
  <c r="J9" i="189"/>
  <c r="K9" i="189"/>
  <c r="L9" i="189"/>
  <c r="M9" i="189"/>
  <c r="N9" i="189"/>
  <c r="O9" i="189"/>
  <c r="P9" i="189"/>
  <c r="Q9" i="189"/>
  <c r="R9" i="189"/>
  <c r="S9" i="189"/>
  <c r="T9" i="189"/>
  <c r="U9" i="189"/>
  <c r="V9" i="189"/>
  <c r="W9" i="189"/>
  <c r="X9" i="189"/>
  <c r="Y9" i="189"/>
  <c r="C10" i="189"/>
  <c r="D10" i="189"/>
  <c r="E10" i="189"/>
  <c r="F10" i="189"/>
  <c r="G10" i="189"/>
  <c r="H10" i="189"/>
  <c r="I10" i="189"/>
  <c r="J10" i="189"/>
  <c r="K10" i="189"/>
  <c r="L10" i="189"/>
  <c r="M10" i="189"/>
  <c r="N10" i="189"/>
  <c r="O10" i="189"/>
  <c r="P10" i="189"/>
  <c r="Q10" i="189"/>
  <c r="R10" i="189"/>
  <c r="S10" i="189"/>
  <c r="T10" i="189"/>
  <c r="U10" i="189"/>
  <c r="V10" i="189"/>
  <c r="W10" i="189"/>
  <c r="X10" i="189"/>
  <c r="Y10" i="189"/>
  <c r="B9" i="189"/>
  <c r="B10" i="189"/>
  <c r="B8" i="189"/>
  <c r="B6" i="189"/>
  <c r="B7" i="189"/>
  <c r="B5" i="189"/>
  <c r="C5" i="188"/>
  <c r="D5" i="188"/>
  <c r="E5" i="188"/>
  <c r="F5" i="188"/>
  <c r="G5" i="188"/>
  <c r="H5" i="188"/>
  <c r="I5" i="188"/>
  <c r="J5" i="188"/>
  <c r="K5" i="188"/>
  <c r="L5" i="188"/>
  <c r="M5" i="188"/>
  <c r="N5" i="188"/>
  <c r="O5" i="188"/>
  <c r="P5" i="188"/>
  <c r="Q5" i="188"/>
  <c r="R5" i="188"/>
  <c r="S5" i="188"/>
  <c r="T5" i="188"/>
  <c r="U5" i="188"/>
  <c r="V5" i="188"/>
  <c r="W5" i="188"/>
  <c r="X5" i="188"/>
  <c r="Y5" i="188"/>
  <c r="C6" i="188"/>
  <c r="D6" i="188"/>
  <c r="E6" i="188"/>
  <c r="F6" i="188"/>
  <c r="G6" i="188"/>
  <c r="H6" i="188"/>
  <c r="I6" i="188"/>
  <c r="J6" i="188"/>
  <c r="K6" i="188"/>
  <c r="L6" i="188"/>
  <c r="M6" i="188"/>
  <c r="N6" i="188"/>
  <c r="O6" i="188"/>
  <c r="P6" i="188"/>
  <c r="Q6" i="188"/>
  <c r="R6" i="188"/>
  <c r="S6" i="188"/>
  <c r="T6" i="188"/>
  <c r="U6" i="188"/>
  <c r="V6" i="188"/>
  <c r="W6" i="188"/>
  <c r="X6" i="188"/>
  <c r="Y6" i="188"/>
  <c r="C7" i="188"/>
  <c r="D7" i="188"/>
  <c r="E7" i="188"/>
  <c r="F7" i="188"/>
  <c r="G7" i="188"/>
  <c r="H7" i="188"/>
  <c r="I7" i="188"/>
  <c r="J7" i="188"/>
  <c r="K7" i="188"/>
  <c r="L7" i="188"/>
  <c r="M7" i="188"/>
  <c r="N7" i="188"/>
  <c r="O7" i="188"/>
  <c r="P7" i="188"/>
  <c r="Q7" i="188"/>
  <c r="R7" i="188"/>
  <c r="S7" i="188"/>
  <c r="T7" i="188"/>
  <c r="U7" i="188"/>
  <c r="V7" i="188"/>
  <c r="W7" i="188"/>
  <c r="X7" i="188"/>
  <c r="Y7" i="188"/>
  <c r="C8" i="188"/>
  <c r="D8" i="188"/>
  <c r="E8" i="188"/>
  <c r="F8" i="188"/>
  <c r="G8" i="188"/>
  <c r="H8" i="188"/>
  <c r="I8" i="188"/>
  <c r="J8" i="188"/>
  <c r="K8" i="188"/>
  <c r="L8" i="188"/>
  <c r="M8" i="188"/>
  <c r="N8" i="188"/>
  <c r="O8" i="188"/>
  <c r="P8" i="188"/>
  <c r="Q8" i="188"/>
  <c r="R8" i="188"/>
  <c r="S8" i="188"/>
  <c r="T8" i="188"/>
  <c r="U8" i="188"/>
  <c r="V8" i="188"/>
  <c r="W8" i="188"/>
  <c r="X8" i="188"/>
  <c r="Y8" i="188"/>
  <c r="C9" i="188"/>
  <c r="D9" i="188"/>
  <c r="E9" i="188"/>
  <c r="F9" i="188"/>
  <c r="G9" i="188"/>
  <c r="H9" i="188"/>
  <c r="I9" i="188"/>
  <c r="J9" i="188"/>
  <c r="K9" i="188"/>
  <c r="L9" i="188"/>
  <c r="M9" i="188"/>
  <c r="N9" i="188"/>
  <c r="O9" i="188"/>
  <c r="P9" i="188"/>
  <c r="Q9" i="188"/>
  <c r="R9" i="188"/>
  <c r="S9" i="188"/>
  <c r="T9" i="188"/>
  <c r="U9" i="188"/>
  <c r="V9" i="188"/>
  <c r="W9" i="188"/>
  <c r="X9" i="188"/>
  <c r="Y9" i="188"/>
  <c r="C10" i="188"/>
  <c r="D10" i="188"/>
  <c r="E10" i="188"/>
  <c r="F10" i="188"/>
  <c r="G10" i="188"/>
  <c r="H10" i="188"/>
  <c r="I10" i="188"/>
  <c r="J10" i="188"/>
  <c r="K10" i="188"/>
  <c r="L10" i="188"/>
  <c r="M10" i="188"/>
  <c r="N10" i="188"/>
  <c r="O10" i="188"/>
  <c r="P10" i="188"/>
  <c r="Q10" i="188"/>
  <c r="R10" i="188"/>
  <c r="S10" i="188"/>
  <c r="T10" i="188"/>
  <c r="U10" i="188"/>
  <c r="V10" i="188"/>
  <c r="W10" i="188"/>
  <c r="X10" i="188"/>
  <c r="Y10" i="188"/>
  <c r="B9" i="188"/>
  <c r="B10" i="188"/>
  <c r="B8" i="188"/>
  <c r="B6" i="188"/>
  <c r="B7" i="188"/>
  <c r="B5" i="188"/>
  <c r="C8" i="71"/>
  <c r="D8" i="71"/>
  <c r="E8" i="71"/>
  <c r="F8" i="71"/>
  <c r="G8" i="71"/>
  <c r="H8" i="71"/>
  <c r="I8" i="71"/>
  <c r="J8" i="71"/>
  <c r="K8" i="71"/>
  <c r="L8" i="71"/>
  <c r="M8" i="71"/>
  <c r="N8" i="71"/>
  <c r="O8" i="71"/>
  <c r="P8" i="71"/>
  <c r="Q8" i="71"/>
  <c r="R8" i="71"/>
  <c r="S8" i="71"/>
  <c r="T8" i="71"/>
  <c r="U8" i="71"/>
  <c r="V8" i="71"/>
  <c r="W8" i="71"/>
  <c r="X8" i="71"/>
  <c r="Y8" i="71"/>
  <c r="C9" i="71"/>
  <c r="D9" i="71"/>
  <c r="E9" i="71"/>
  <c r="F9" i="71"/>
  <c r="G9" i="71"/>
  <c r="H9" i="71"/>
  <c r="I9" i="71"/>
  <c r="J9" i="71"/>
  <c r="K9" i="71"/>
  <c r="L9" i="71"/>
  <c r="M9" i="71"/>
  <c r="N9" i="71"/>
  <c r="O9" i="71"/>
  <c r="P9" i="71"/>
  <c r="Q9" i="71"/>
  <c r="R9" i="71"/>
  <c r="S9" i="71"/>
  <c r="T9" i="71"/>
  <c r="U9" i="71"/>
  <c r="V9" i="71"/>
  <c r="W9" i="71"/>
  <c r="X9" i="71"/>
  <c r="Y9" i="71"/>
  <c r="C10" i="71"/>
  <c r="D10" i="71"/>
  <c r="E10" i="71"/>
  <c r="F10" i="71"/>
  <c r="G10" i="71"/>
  <c r="H10" i="71"/>
  <c r="I10" i="71"/>
  <c r="J10" i="71"/>
  <c r="K10" i="71"/>
  <c r="L10" i="71"/>
  <c r="M10" i="71"/>
  <c r="N10" i="71"/>
  <c r="O10" i="71"/>
  <c r="P10" i="71"/>
  <c r="Q10" i="71"/>
  <c r="R10" i="71"/>
  <c r="S10" i="71"/>
  <c r="T10" i="71"/>
  <c r="U10" i="71"/>
  <c r="V10" i="71"/>
  <c r="W10" i="71"/>
  <c r="X10" i="71"/>
  <c r="Y10" i="71"/>
  <c r="B9" i="71"/>
  <c r="B10" i="71"/>
  <c r="B8" i="71"/>
  <c r="C5" i="71"/>
  <c r="D5" i="71"/>
  <c r="E5" i="71"/>
  <c r="F5" i="71"/>
  <c r="G5" i="71"/>
  <c r="H5" i="71"/>
  <c r="I5" i="71"/>
  <c r="J5" i="71"/>
  <c r="K5" i="71"/>
  <c r="L5" i="71"/>
  <c r="M5" i="71"/>
  <c r="N5" i="71"/>
  <c r="O5" i="71"/>
  <c r="P5" i="71"/>
  <c r="Q5" i="71"/>
  <c r="R5" i="71"/>
  <c r="S5" i="71"/>
  <c r="T5" i="71"/>
  <c r="U5" i="71"/>
  <c r="V5" i="71"/>
  <c r="W5" i="71"/>
  <c r="X5" i="71"/>
  <c r="Y5" i="71"/>
  <c r="C6" i="71"/>
  <c r="D6" i="71"/>
  <c r="E6" i="71"/>
  <c r="F6" i="71"/>
  <c r="G6" i="71"/>
  <c r="H6" i="71"/>
  <c r="I6" i="71"/>
  <c r="J6" i="71"/>
  <c r="K6" i="71"/>
  <c r="L6" i="71"/>
  <c r="M6" i="71"/>
  <c r="N6" i="71"/>
  <c r="O6" i="71"/>
  <c r="P6" i="71"/>
  <c r="Q6" i="71"/>
  <c r="R6" i="71"/>
  <c r="S6" i="71"/>
  <c r="T6" i="71"/>
  <c r="U6" i="71"/>
  <c r="V6" i="71"/>
  <c r="W6" i="71"/>
  <c r="X6" i="71"/>
  <c r="Y6" i="71"/>
  <c r="C7" i="71"/>
  <c r="D7" i="71"/>
  <c r="E7" i="71"/>
  <c r="F7" i="71"/>
  <c r="G7" i="71"/>
  <c r="H7" i="71"/>
  <c r="I7" i="71"/>
  <c r="J7" i="71"/>
  <c r="K7" i="71"/>
  <c r="L7" i="71"/>
  <c r="M7" i="71"/>
  <c r="N7" i="71"/>
  <c r="O7" i="71"/>
  <c r="P7" i="71"/>
  <c r="Q7" i="71"/>
  <c r="R7" i="71"/>
  <c r="S7" i="71"/>
  <c r="T7" i="71"/>
  <c r="U7" i="71"/>
  <c r="V7" i="71"/>
  <c r="W7" i="71"/>
  <c r="X7" i="71"/>
  <c r="Y7" i="71"/>
  <c r="B6" i="71"/>
  <c r="B7" i="71"/>
  <c r="B5" i="71"/>
  <c r="Y4" i="305" l="1"/>
  <c r="I4" i="305"/>
  <c r="Q3" i="305"/>
  <c r="Y2" i="305"/>
  <c r="I2" i="305"/>
  <c r="Q4" i="304"/>
  <c r="Y3" i="304"/>
  <c r="I3" i="304"/>
  <c r="Q2" i="304"/>
  <c r="Y4" i="303"/>
  <c r="I4" i="303"/>
  <c r="Q3" i="303"/>
  <c r="Y2" i="303"/>
  <c r="I2" i="303"/>
  <c r="X4" i="305"/>
  <c r="H4" i="305"/>
  <c r="P3" i="305"/>
  <c r="X2" i="305"/>
  <c r="H2" i="305"/>
  <c r="P4" i="304"/>
  <c r="X3" i="304"/>
  <c r="H3" i="304"/>
  <c r="P2" i="304"/>
  <c r="X4" i="303"/>
  <c r="H4" i="303"/>
  <c r="P3" i="303"/>
  <c r="X2" i="303"/>
  <c r="H2" i="303"/>
  <c r="W4" i="305"/>
  <c r="G4" i="305"/>
  <c r="O3" i="305"/>
  <c r="W2" i="305"/>
  <c r="G2" i="305"/>
  <c r="O4" i="304"/>
  <c r="W3" i="304"/>
  <c r="G3" i="304"/>
  <c r="O2" i="304"/>
  <c r="W4" i="303"/>
  <c r="G4" i="303"/>
  <c r="O3" i="303"/>
  <c r="W2" i="303"/>
  <c r="G2" i="303"/>
  <c r="V4" i="305"/>
  <c r="F4" i="305"/>
  <c r="N3" i="305"/>
  <c r="V2" i="305"/>
  <c r="F2" i="305"/>
  <c r="N4" i="304"/>
  <c r="V3" i="304"/>
  <c r="F3" i="304"/>
  <c r="N2" i="304"/>
  <c r="V4" i="303"/>
  <c r="F4" i="303"/>
  <c r="N3" i="303"/>
  <c r="V2" i="303"/>
  <c r="F2" i="303"/>
  <c r="U4" i="305"/>
  <c r="E4" i="305"/>
  <c r="M3" i="305"/>
  <c r="U2" i="305"/>
  <c r="E2" i="305"/>
  <c r="M4" i="304"/>
  <c r="U3" i="304"/>
  <c r="E3" i="304"/>
  <c r="M2" i="304"/>
  <c r="U4" i="303"/>
  <c r="E4" i="303"/>
  <c r="M3" i="303"/>
  <c r="U2" i="303"/>
  <c r="E2" i="303"/>
  <c r="T4" i="305"/>
  <c r="D4" i="305"/>
  <c r="L3" i="305"/>
  <c r="T2" i="305"/>
  <c r="D2" i="305"/>
  <c r="L4" i="304"/>
  <c r="T3" i="304"/>
  <c r="D3" i="304"/>
  <c r="L2" i="304"/>
  <c r="T4" i="303"/>
  <c r="D4" i="303"/>
  <c r="L3" i="303"/>
  <c r="T2" i="303"/>
  <c r="D2" i="303"/>
  <c r="S4" i="305"/>
  <c r="C4" i="305"/>
  <c r="K3" i="305"/>
  <c r="S2" i="305"/>
  <c r="C2" i="305"/>
  <c r="K4" i="304"/>
  <c r="S3" i="304"/>
  <c r="C3" i="304"/>
  <c r="K2" i="304"/>
  <c r="S4" i="303"/>
  <c r="C4" i="303"/>
  <c r="K3" i="303"/>
  <c r="S2" i="303"/>
  <c r="C2" i="303"/>
  <c r="R4" i="305"/>
  <c r="B4" i="305"/>
  <c r="J3" i="305"/>
  <c r="R2" i="305"/>
  <c r="B2" i="305"/>
  <c r="J4" i="304"/>
  <c r="R3" i="304"/>
  <c r="B3" i="304"/>
  <c r="J2" i="304"/>
  <c r="R4" i="303"/>
  <c r="B4" i="303"/>
  <c r="J3" i="303"/>
  <c r="R2" i="303"/>
  <c r="B2" i="303"/>
  <c r="Q4" i="305"/>
  <c r="Y3" i="305"/>
  <c r="I3" i="305"/>
  <c r="Q2" i="305"/>
  <c r="Y4" i="304"/>
  <c r="I4" i="304"/>
  <c r="Q3" i="304"/>
  <c r="Y2" i="304"/>
  <c r="I2" i="304"/>
  <c r="Q4" i="303"/>
  <c r="Y3" i="303"/>
  <c r="I3" i="303"/>
  <c r="Q2" i="303"/>
  <c r="X4" i="304"/>
  <c r="P3" i="304"/>
  <c r="X2" i="304"/>
  <c r="H2" i="304"/>
  <c r="P4" i="303"/>
  <c r="P4" i="305"/>
  <c r="X3" i="305"/>
  <c r="H3" i="305"/>
  <c r="P2" i="305"/>
  <c r="H4" i="304"/>
  <c r="X3" i="303"/>
  <c r="H3" i="303"/>
  <c r="P2" i="303"/>
  <c r="O4" i="305"/>
  <c r="W3" i="305"/>
  <c r="G3" i="305"/>
  <c r="O2" i="305"/>
  <c r="W4" i="304"/>
  <c r="G4" i="304"/>
  <c r="O3" i="304"/>
  <c r="W2" i="304"/>
  <c r="G2" i="304"/>
  <c r="O4" i="303"/>
  <c r="W3" i="303"/>
  <c r="G3" i="303"/>
  <c r="O2" i="303"/>
  <c r="N4" i="305"/>
  <c r="V3" i="305"/>
  <c r="F3" i="305"/>
  <c r="N2" i="305"/>
  <c r="V4" i="304"/>
  <c r="F4" i="304"/>
  <c r="N3" i="304"/>
  <c r="V2" i="304"/>
  <c r="F2" i="304"/>
  <c r="N4" i="303"/>
  <c r="V3" i="303"/>
  <c r="F3" i="303"/>
  <c r="N2" i="303"/>
  <c r="U3" i="305"/>
  <c r="E3" i="305"/>
  <c r="M2" i="305"/>
  <c r="U4" i="304"/>
  <c r="M4" i="305"/>
  <c r="E4" i="304"/>
  <c r="M3" i="304"/>
  <c r="U2" i="304"/>
  <c r="E2" i="304"/>
  <c r="M4" i="303"/>
  <c r="U3" i="303"/>
  <c r="E3" i="303"/>
  <c r="M2" i="303"/>
  <c r="L4" i="305"/>
  <c r="T3" i="305"/>
  <c r="D3" i="305"/>
  <c r="L2" i="305"/>
  <c r="T4" i="304"/>
  <c r="D4" i="304"/>
  <c r="L3" i="304"/>
  <c r="T2" i="304"/>
  <c r="D2" i="304"/>
  <c r="L4" i="303"/>
  <c r="T3" i="303"/>
  <c r="D3" i="303"/>
  <c r="L2" i="303"/>
  <c r="K4" i="305"/>
  <c r="S3" i="305"/>
  <c r="C3" i="305"/>
  <c r="K2" i="305"/>
  <c r="S4" i="304"/>
  <c r="C4" i="304"/>
  <c r="K3" i="304"/>
  <c r="S2" i="304"/>
  <c r="C2" i="304"/>
  <c r="K4" i="303"/>
  <c r="S3" i="303"/>
  <c r="C3" i="303"/>
  <c r="K2" i="303"/>
  <c r="J4" i="305"/>
  <c r="R3" i="305"/>
  <c r="B3" i="305"/>
  <c r="J2" i="305"/>
  <c r="R4" i="304"/>
  <c r="B4" i="304"/>
  <c r="J3" i="304"/>
  <c r="R2" i="304"/>
  <c r="B2" i="304"/>
  <c r="J4" i="303"/>
  <c r="R3" i="303"/>
  <c r="B3" i="303"/>
  <c r="J2" i="303"/>
  <c r="B3" i="58"/>
  <c r="B4" i="58"/>
  <c r="B2" i="58"/>
  <c r="X4" i="227" l="1"/>
  <c r="H4" i="227"/>
  <c r="P3" i="227"/>
  <c r="X2" i="227"/>
  <c r="H2" i="227"/>
  <c r="P4" i="226"/>
  <c r="X3" i="226"/>
  <c r="H3" i="226"/>
  <c r="P2" i="226"/>
  <c r="X4" i="225"/>
  <c r="H4" i="225"/>
  <c r="P3" i="225"/>
  <c r="X2" i="225"/>
  <c r="H2" i="225"/>
  <c r="X4" i="199"/>
  <c r="H4" i="199"/>
  <c r="P3" i="199"/>
  <c r="X2" i="199"/>
  <c r="H2" i="199"/>
  <c r="P4" i="198"/>
  <c r="X3" i="198"/>
  <c r="H3" i="198"/>
  <c r="P2" i="198"/>
  <c r="C3" i="8"/>
  <c r="S3" i="8"/>
  <c r="K4" i="8"/>
  <c r="D2" i="8"/>
  <c r="T2" i="8"/>
  <c r="W4" i="227"/>
  <c r="G4" i="227"/>
  <c r="O3" i="227"/>
  <c r="W2" i="227"/>
  <c r="G2" i="227"/>
  <c r="O4" i="226"/>
  <c r="W3" i="226"/>
  <c r="G3" i="226"/>
  <c r="O2" i="226"/>
  <c r="W4" i="225"/>
  <c r="G4" i="225"/>
  <c r="O3" i="225"/>
  <c r="W2" i="225"/>
  <c r="G2" i="225"/>
  <c r="W4" i="199"/>
  <c r="G4" i="199"/>
  <c r="O3" i="199"/>
  <c r="W2" i="199"/>
  <c r="G2" i="199"/>
  <c r="O4" i="198"/>
  <c r="W3" i="198"/>
  <c r="G3" i="198"/>
  <c r="O2" i="198"/>
  <c r="D3" i="8"/>
  <c r="T3" i="8"/>
  <c r="L4" i="8"/>
  <c r="E2" i="8"/>
  <c r="U2" i="8"/>
  <c r="T4" i="227"/>
  <c r="D4" i="227"/>
  <c r="L3" i="227"/>
  <c r="T2" i="227"/>
  <c r="D2" i="227"/>
  <c r="L4" i="226"/>
  <c r="T3" i="226"/>
  <c r="D3" i="226"/>
  <c r="L2" i="226"/>
  <c r="T4" i="225"/>
  <c r="D4" i="225"/>
  <c r="L3" i="225"/>
  <c r="T2" i="225"/>
  <c r="D2" i="225"/>
  <c r="T4" i="199"/>
  <c r="D4" i="199"/>
  <c r="L3" i="199"/>
  <c r="T2" i="199"/>
  <c r="D2" i="199"/>
  <c r="L4" i="198"/>
  <c r="T3" i="198"/>
  <c r="D3" i="198"/>
  <c r="L2" i="198"/>
  <c r="G3" i="8"/>
  <c r="W3" i="8"/>
  <c r="O4" i="8"/>
  <c r="H2" i="8"/>
  <c r="X2" i="8"/>
  <c r="S4" i="227"/>
  <c r="C4" i="227"/>
  <c r="K3" i="227"/>
  <c r="S2" i="227"/>
  <c r="C2" i="227"/>
  <c r="K4" i="226"/>
  <c r="S3" i="226"/>
  <c r="C3" i="226"/>
  <c r="R4" i="227"/>
  <c r="B4" i="227"/>
  <c r="J3" i="227"/>
  <c r="R2" i="227"/>
  <c r="B2" i="227"/>
  <c r="J4" i="226"/>
  <c r="R3" i="226"/>
  <c r="B3" i="226"/>
  <c r="J2" i="226"/>
  <c r="R4" i="225"/>
  <c r="B4" i="225"/>
  <c r="J3" i="225"/>
  <c r="R2" i="225"/>
  <c r="B2" i="225"/>
  <c r="R4" i="199"/>
  <c r="B4" i="199"/>
  <c r="J3" i="199"/>
  <c r="R2" i="199"/>
  <c r="B2" i="199"/>
  <c r="J4" i="198"/>
  <c r="R3" i="198"/>
  <c r="B3" i="198"/>
  <c r="J2" i="198"/>
  <c r="I3" i="8"/>
  <c r="Y3" i="8"/>
  <c r="Q4" i="8"/>
  <c r="J2" i="8"/>
  <c r="B2" i="8"/>
  <c r="O4" i="227"/>
  <c r="W3" i="227"/>
  <c r="G3" i="227"/>
  <c r="O2" i="227"/>
  <c r="W4" i="226"/>
  <c r="G4" i="226"/>
  <c r="O3" i="226"/>
  <c r="W2" i="226"/>
  <c r="G2" i="226"/>
  <c r="O4" i="225"/>
  <c r="W3" i="225"/>
  <c r="G3" i="225"/>
  <c r="O2" i="225"/>
  <c r="O4" i="199"/>
  <c r="W3" i="199"/>
  <c r="G3" i="199"/>
  <c r="O2" i="199"/>
  <c r="W4" i="198"/>
  <c r="G4" i="198"/>
  <c r="O3" i="198"/>
  <c r="W2" i="198"/>
  <c r="G2" i="198"/>
  <c r="M4" i="227"/>
  <c r="M3" i="227"/>
  <c r="K2" i="227"/>
  <c r="H4" i="226"/>
  <c r="I3" i="226"/>
  <c r="F2" i="226"/>
  <c r="I4" i="225"/>
  <c r="H3" i="225"/>
  <c r="J2" i="225"/>
  <c r="P4" i="199"/>
  <c r="R3" i="199"/>
  <c r="Q2" i="199"/>
  <c r="S4" i="198"/>
  <c r="S3" i="198"/>
  <c r="T2" i="198"/>
  <c r="P3" i="8"/>
  <c r="N4" i="8"/>
  <c r="M2" i="8"/>
  <c r="Q3" i="199"/>
  <c r="Q3" i="8"/>
  <c r="P4" i="8"/>
  <c r="N2" i="8"/>
  <c r="N2" i="198"/>
  <c r="T4" i="8"/>
  <c r="Q2" i="8"/>
  <c r="L4" i="227"/>
  <c r="I3" i="227"/>
  <c r="J2" i="227"/>
  <c r="F4" i="226"/>
  <c r="F3" i="226"/>
  <c r="E2" i="226"/>
  <c r="F4" i="225"/>
  <c r="F3" i="225"/>
  <c r="I2" i="225"/>
  <c r="N4" i="199"/>
  <c r="P2" i="199"/>
  <c r="R4" i="198"/>
  <c r="Q3" i="198"/>
  <c r="S2" i="198"/>
  <c r="K4" i="227"/>
  <c r="H3" i="227"/>
  <c r="I2" i="227"/>
  <c r="E4" i="226"/>
  <c r="E3" i="226"/>
  <c r="D2" i="226"/>
  <c r="E4" i="225"/>
  <c r="E3" i="225"/>
  <c r="F2" i="225"/>
  <c r="M4" i="199"/>
  <c r="N3" i="199"/>
  <c r="N2" i="199"/>
  <c r="Q4" i="198"/>
  <c r="P3" i="198"/>
  <c r="R2" i="198"/>
  <c r="R3" i="8"/>
  <c r="R4" i="8"/>
  <c r="O2" i="8"/>
  <c r="M3" i="199"/>
  <c r="M2" i="199"/>
  <c r="N4" i="198"/>
  <c r="S4" i="8"/>
  <c r="I4" i="227"/>
  <c r="E2" i="227"/>
  <c r="C4" i="226"/>
  <c r="X2" i="226"/>
  <c r="B2" i="226"/>
  <c r="Y3" i="225"/>
  <c r="C3" i="225"/>
  <c r="C2" i="225"/>
  <c r="K4" i="199"/>
  <c r="L2" i="199"/>
  <c r="M3" i="198"/>
  <c r="V3" i="8"/>
  <c r="J4" i="227"/>
  <c r="F3" i="227"/>
  <c r="F2" i="227"/>
  <c r="D4" i="226"/>
  <c r="Y2" i="226"/>
  <c r="C2" i="226"/>
  <c r="C4" i="225"/>
  <c r="D3" i="225"/>
  <c r="E2" i="225"/>
  <c r="L4" i="199"/>
  <c r="N3" i="198"/>
  <c r="Q2" i="198"/>
  <c r="U3" i="8"/>
  <c r="P2" i="8"/>
  <c r="E3" i="227"/>
  <c r="K3" i="199"/>
  <c r="M4" i="198"/>
  <c r="F4" i="227"/>
  <c r="D3" i="227"/>
  <c r="Y4" i="226"/>
  <c r="B4" i="226"/>
  <c r="V2" i="226"/>
  <c r="Y4" i="225"/>
  <c r="X3" i="225"/>
  <c r="B3" i="225"/>
  <c r="J4" i="199"/>
  <c r="I3" i="199"/>
  <c r="K2" i="199"/>
  <c r="K4" i="198"/>
  <c r="L3" i="198"/>
  <c r="M2" i="198"/>
  <c r="X3" i="8"/>
  <c r="U4" i="8"/>
  <c r="R2" i="8"/>
  <c r="B4" i="8"/>
  <c r="I3" i="198"/>
  <c r="S2" i="225"/>
  <c r="E4" i="227"/>
  <c r="C3" i="227"/>
  <c r="X4" i="226"/>
  <c r="Y3" i="226"/>
  <c r="U2" i="226"/>
  <c r="V4" i="225"/>
  <c r="V3" i="225"/>
  <c r="Y2" i="225"/>
  <c r="I4" i="199"/>
  <c r="H3" i="199"/>
  <c r="J2" i="199"/>
  <c r="I4" i="198"/>
  <c r="K3" i="198"/>
  <c r="K2" i="198"/>
  <c r="B3" i="8"/>
  <c r="V4" i="8"/>
  <c r="S2" i="8"/>
  <c r="F3" i="8"/>
  <c r="X4" i="8"/>
  <c r="W2" i="8"/>
  <c r="Y3" i="227"/>
  <c r="B3" i="227"/>
  <c r="V4" i="226"/>
  <c r="V3" i="226"/>
  <c r="T2" i="226"/>
  <c r="U4" i="225"/>
  <c r="U3" i="225"/>
  <c r="V2" i="225"/>
  <c r="F4" i="199"/>
  <c r="F3" i="199"/>
  <c r="I2" i="199"/>
  <c r="H4" i="198"/>
  <c r="J3" i="198"/>
  <c r="I2" i="198"/>
  <c r="E3" i="8"/>
  <c r="C4" i="8"/>
  <c r="W4" i="8"/>
  <c r="V2" i="8"/>
  <c r="E3" i="199"/>
  <c r="V3" i="227"/>
  <c r="V2" i="227"/>
  <c r="T4" i="226"/>
  <c r="S3" i="225"/>
  <c r="X3" i="227"/>
  <c r="Y2" i="227"/>
  <c r="U4" i="226"/>
  <c r="U3" i="226"/>
  <c r="S2" i="226"/>
  <c r="S4" i="225"/>
  <c r="T3" i="225"/>
  <c r="U2" i="225"/>
  <c r="E4" i="199"/>
  <c r="F2" i="199"/>
  <c r="F4" i="198"/>
  <c r="H2" i="198"/>
  <c r="D4" i="8"/>
  <c r="Q3" i="226"/>
  <c r="R2" i="226"/>
  <c r="Q4" i="225"/>
  <c r="Y4" i="227"/>
  <c r="U3" i="227"/>
  <c r="U2" i="227"/>
  <c r="S4" i="226"/>
  <c r="P3" i="226"/>
  <c r="Q2" i="226"/>
  <c r="P4" i="225"/>
  <c r="R3" i="225"/>
  <c r="Q2" i="225"/>
  <c r="Y3" i="199"/>
  <c r="C3" i="199"/>
  <c r="C2" i="199"/>
  <c r="D4" i="198"/>
  <c r="E3" i="198"/>
  <c r="E2" i="198"/>
  <c r="Q4" i="227"/>
  <c r="R3" i="227"/>
  <c r="N2" i="227"/>
  <c r="N4" i="226"/>
  <c r="L3" i="226"/>
  <c r="K2" i="226"/>
  <c r="L4" i="225"/>
  <c r="M3" i="225"/>
  <c r="M2" i="225"/>
  <c r="P4" i="227"/>
  <c r="Q3" i="227"/>
  <c r="M2" i="227"/>
  <c r="M4" i="226"/>
  <c r="K3" i="226"/>
  <c r="I2" i="226"/>
  <c r="N4" i="227"/>
  <c r="N3" i="227"/>
  <c r="L2" i="227"/>
  <c r="I4" i="226"/>
  <c r="J3" i="226"/>
  <c r="H2" i="226"/>
  <c r="J4" i="225"/>
  <c r="I3" i="225"/>
  <c r="K2" i="225"/>
  <c r="M3" i="226"/>
  <c r="V4" i="199"/>
  <c r="E2" i="199"/>
  <c r="V2" i="198"/>
  <c r="M3" i="8"/>
  <c r="L2" i="8"/>
  <c r="X4" i="198"/>
  <c r="O3" i="8"/>
  <c r="Q4" i="199"/>
  <c r="E4" i="8"/>
  <c r="F4" i="8"/>
  <c r="B3" i="199"/>
  <c r="N2" i="226"/>
  <c r="U4" i="199"/>
  <c r="Y4" i="198"/>
  <c r="U2" i="198"/>
  <c r="N3" i="8"/>
  <c r="Y2" i="8"/>
  <c r="S4" i="199"/>
  <c r="V4" i="198"/>
  <c r="Y4" i="8"/>
  <c r="R4" i="226"/>
  <c r="V2" i="199"/>
  <c r="J3" i="8"/>
  <c r="L3" i="8"/>
  <c r="M2" i="226"/>
  <c r="F2" i="198"/>
  <c r="D2" i="198"/>
  <c r="G4" i="8"/>
  <c r="L2" i="225"/>
  <c r="C3" i="198"/>
  <c r="Y4" i="199"/>
  <c r="N4" i="225"/>
  <c r="M4" i="225"/>
  <c r="C4" i="199"/>
  <c r="U4" i="198"/>
  <c r="C2" i="198"/>
  <c r="K4" i="225"/>
  <c r="X3" i="199"/>
  <c r="T4" i="198"/>
  <c r="B2" i="198"/>
  <c r="X2" i="198"/>
  <c r="Q3" i="225"/>
  <c r="V3" i="199"/>
  <c r="E4" i="198"/>
  <c r="H4" i="8"/>
  <c r="Q2" i="227"/>
  <c r="U3" i="198"/>
  <c r="K2" i="8"/>
  <c r="V4" i="227"/>
  <c r="N3" i="225"/>
  <c r="U3" i="199"/>
  <c r="C4" i="198"/>
  <c r="I4" i="8"/>
  <c r="T3" i="227"/>
  <c r="P2" i="225"/>
  <c r="S3" i="199"/>
  <c r="Y3" i="198"/>
  <c r="M4" i="8"/>
  <c r="S3" i="227"/>
  <c r="N2" i="225"/>
  <c r="D3" i="199"/>
  <c r="H3" i="8"/>
  <c r="G2" i="8"/>
  <c r="U4" i="227"/>
  <c r="K3" i="225"/>
  <c r="T3" i="199"/>
  <c r="B4" i="198"/>
  <c r="J4" i="8"/>
  <c r="V3" i="198"/>
  <c r="C2" i="8"/>
  <c r="S2" i="199"/>
  <c r="P2" i="227"/>
  <c r="Y2" i="199"/>
  <c r="F3" i="198"/>
  <c r="F2" i="8"/>
  <c r="Q4" i="226"/>
  <c r="U2" i="199"/>
  <c r="Y2" i="198"/>
  <c r="K3" i="8"/>
  <c r="I2" i="8"/>
  <c r="N3" i="226"/>
  <c r="D2" i="59"/>
  <c r="T2" i="59"/>
  <c r="M3" i="59"/>
  <c r="F4" i="59"/>
  <c r="V4" i="59"/>
  <c r="E2" i="59"/>
  <c r="U2" i="59"/>
  <c r="N3" i="59"/>
  <c r="G4" i="59"/>
  <c r="W4" i="59"/>
  <c r="H2" i="59"/>
  <c r="X2" i="59"/>
  <c r="Q3" i="59"/>
  <c r="J4" i="59"/>
  <c r="B3" i="59"/>
  <c r="J2" i="59"/>
  <c r="C3" i="59"/>
  <c r="S3" i="59"/>
  <c r="L4" i="59"/>
  <c r="B2" i="59"/>
  <c r="W2" i="59"/>
  <c r="V3" i="59"/>
  <c r="S4" i="59"/>
  <c r="Y2" i="59"/>
  <c r="W3" i="59"/>
  <c r="T4" i="59"/>
  <c r="G2" i="59"/>
  <c r="C2" i="59"/>
  <c r="D3" i="59"/>
  <c r="X3" i="59"/>
  <c r="U4" i="59"/>
  <c r="F2" i="59"/>
  <c r="Y3" i="59"/>
  <c r="X4" i="59"/>
  <c r="E3" i="59"/>
  <c r="I2" i="59"/>
  <c r="G3" i="59"/>
  <c r="D4" i="59"/>
  <c r="B4" i="59"/>
  <c r="H3" i="59"/>
  <c r="E4" i="59"/>
  <c r="K2" i="59"/>
  <c r="M2" i="59"/>
  <c r="L2" i="59"/>
  <c r="I3" i="59"/>
  <c r="H4" i="59"/>
  <c r="J3" i="59"/>
  <c r="I4" i="59"/>
  <c r="Q2" i="59"/>
  <c r="O4" i="59"/>
  <c r="S2" i="59"/>
  <c r="V2" i="59"/>
  <c r="T3" i="59"/>
  <c r="U3" i="59"/>
  <c r="R2" i="59"/>
  <c r="P4" i="59"/>
  <c r="R4" i="59"/>
  <c r="K4" i="59"/>
  <c r="P2" i="59"/>
  <c r="Q4" i="59"/>
  <c r="F3" i="59"/>
  <c r="Y4" i="59"/>
  <c r="K3" i="59"/>
  <c r="L3" i="59"/>
  <c r="R3" i="59"/>
  <c r="N2" i="59"/>
  <c r="O3" i="59"/>
  <c r="C4" i="59"/>
  <c r="N4" i="59"/>
  <c r="P3" i="59"/>
  <c r="O2" i="59"/>
  <c r="M4" i="59"/>
  <c r="B8" i="1"/>
  <c r="I3" i="312" l="1"/>
  <c r="I3" i="273"/>
  <c r="I4" i="273"/>
  <c r="I2" i="273"/>
  <c r="I4" i="312"/>
  <c r="I2" i="312"/>
  <c r="U4" i="273"/>
  <c r="U2" i="273"/>
  <c r="U3" i="312"/>
  <c r="U3" i="273"/>
  <c r="U4" i="312"/>
  <c r="U2" i="312"/>
  <c r="J3" i="313"/>
  <c r="J3" i="274"/>
  <c r="J4" i="313"/>
  <c r="J2" i="313"/>
  <c r="J4" i="274"/>
  <c r="J2" i="274"/>
  <c r="J4" i="294"/>
  <c r="J3" i="296"/>
  <c r="J3" i="294"/>
  <c r="J2" i="294"/>
  <c r="J2" i="296"/>
  <c r="J3" i="295"/>
  <c r="J4" i="295"/>
  <c r="J4" i="296"/>
  <c r="J2" i="295"/>
  <c r="Y3" i="312"/>
  <c r="Y3" i="273"/>
  <c r="Y2" i="273"/>
  <c r="Y4" i="312"/>
  <c r="Y2" i="312"/>
  <c r="Y4" i="273"/>
  <c r="H3" i="273"/>
  <c r="H3" i="312"/>
  <c r="H4" i="312"/>
  <c r="H2" i="312"/>
  <c r="H4" i="273"/>
  <c r="H2" i="273"/>
  <c r="J3" i="273"/>
  <c r="J4" i="312"/>
  <c r="J2" i="312"/>
  <c r="J4" i="273"/>
  <c r="J2" i="273"/>
  <c r="J3" i="312"/>
  <c r="M3" i="313"/>
  <c r="M3" i="274"/>
  <c r="M2" i="274"/>
  <c r="M4" i="313"/>
  <c r="M2" i="313"/>
  <c r="M4" i="274"/>
  <c r="M2" i="294"/>
  <c r="M2" i="296"/>
  <c r="M4" i="295"/>
  <c r="M4" i="294"/>
  <c r="M3" i="295"/>
  <c r="M3" i="296"/>
  <c r="M2" i="295"/>
  <c r="M3" i="294"/>
  <c r="M4" i="296"/>
  <c r="K4" i="273"/>
  <c r="K2" i="273"/>
  <c r="K4" i="312"/>
  <c r="K2" i="312"/>
  <c r="K3" i="273"/>
  <c r="K3" i="312"/>
  <c r="K3" i="274"/>
  <c r="K4" i="274"/>
  <c r="K3" i="313"/>
  <c r="K2" i="274"/>
  <c r="K4" i="313"/>
  <c r="K2" i="313"/>
  <c r="K3" i="295"/>
  <c r="K3" i="294"/>
  <c r="K4" i="295"/>
  <c r="K3" i="296"/>
  <c r="K4" i="294"/>
  <c r="K2" i="294"/>
  <c r="K4" i="296"/>
  <c r="K2" i="296"/>
  <c r="K2" i="295"/>
  <c r="T3" i="273"/>
  <c r="T3" i="312"/>
  <c r="T4" i="312"/>
  <c r="T2" i="312"/>
  <c r="T4" i="273"/>
  <c r="T2" i="273"/>
  <c r="W4" i="273"/>
  <c r="W2" i="273"/>
  <c r="W3" i="312"/>
  <c r="W3" i="273"/>
  <c r="W4" i="312"/>
  <c r="W2" i="312"/>
  <c r="R2" i="273"/>
  <c r="R3" i="312"/>
  <c r="R3" i="273"/>
  <c r="R4" i="312"/>
  <c r="R2" i="312"/>
  <c r="R4" i="273"/>
  <c r="E4" i="273"/>
  <c r="E3" i="312"/>
  <c r="E3" i="273"/>
  <c r="E2" i="273"/>
  <c r="E4" i="312"/>
  <c r="E2" i="312"/>
  <c r="G2" i="273"/>
  <c r="G3" i="312"/>
  <c r="G3" i="273"/>
  <c r="G4" i="273"/>
  <c r="G4" i="312"/>
  <c r="G2" i="312"/>
  <c r="M4" i="312"/>
  <c r="M2" i="312"/>
  <c r="M4" i="273"/>
  <c r="M2" i="273"/>
  <c r="M3" i="273"/>
  <c r="M3" i="312"/>
  <c r="Y4" i="313"/>
  <c r="Y2" i="313"/>
  <c r="Y4" i="274"/>
  <c r="Y2" i="274"/>
  <c r="Y3" i="313"/>
  <c r="Y3" i="274"/>
  <c r="Y4" i="294"/>
  <c r="Y3" i="295"/>
  <c r="Y2" i="294"/>
  <c r="Y4" i="295"/>
  <c r="Y4" i="296"/>
  <c r="Y2" i="296"/>
  <c r="Y2" i="295"/>
  <c r="Y3" i="294"/>
  <c r="Y3" i="296"/>
  <c r="R4" i="313"/>
  <c r="R2" i="313"/>
  <c r="R4" i="274"/>
  <c r="R2" i="274"/>
  <c r="R3" i="313"/>
  <c r="R3" i="274"/>
  <c r="R3" i="296"/>
  <c r="R3" i="294"/>
  <c r="R4" i="296"/>
  <c r="R2" i="296"/>
  <c r="R3" i="295"/>
  <c r="R4" i="294"/>
  <c r="R4" i="295"/>
  <c r="R2" i="294"/>
  <c r="R2" i="295"/>
  <c r="F4" i="313"/>
  <c r="F2" i="313"/>
  <c r="F4" i="274"/>
  <c r="F2" i="274"/>
  <c r="F3" i="313"/>
  <c r="F3" i="274"/>
  <c r="F4" i="294"/>
  <c r="F3" i="294"/>
  <c r="F2" i="294"/>
  <c r="F3" i="296"/>
  <c r="F2" i="295"/>
  <c r="F2" i="296"/>
  <c r="F4" i="295"/>
  <c r="F4" i="296"/>
  <c r="F3" i="295"/>
  <c r="P3" i="274"/>
  <c r="P3" i="313"/>
  <c r="P2" i="274"/>
  <c r="P2" i="313"/>
  <c r="P4" i="274"/>
  <c r="P4" i="313"/>
  <c r="P3" i="295"/>
  <c r="P2" i="294"/>
  <c r="P3" i="294"/>
  <c r="P2" i="295"/>
  <c r="P4" i="294"/>
  <c r="P4" i="296"/>
  <c r="P4" i="295"/>
  <c r="P3" i="296"/>
  <c r="P2" i="296"/>
  <c r="B4" i="273"/>
  <c r="B2" i="273"/>
  <c r="B3" i="312"/>
  <c r="B3" i="273"/>
  <c r="B4" i="312"/>
  <c r="B2" i="312"/>
  <c r="W4" i="313"/>
  <c r="W2" i="313"/>
  <c r="W4" i="274"/>
  <c r="W2" i="274"/>
  <c r="W3" i="274"/>
  <c r="W3" i="313"/>
  <c r="W3" i="294"/>
  <c r="W2" i="294"/>
  <c r="W2" i="296"/>
  <c r="W3" i="296"/>
  <c r="W4" i="296"/>
  <c r="W2" i="295"/>
  <c r="W4" i="295"/>
  <c r="W4" i="294"/>
  <c r="W3" i="295"/>
  <c r="P4" i="273"/>
  <c r="P2" i="273"/>
  <c r="P4" i="312"/>
  <c r="P2" i="312"/>
  <c r="P3" i="312"/>
  <c r="P3" i="273"/>
  <c r="S3" i="273"/>
  <c r="S4" i="273"/>
  <c r="S3" i="312"/>
  <c r="S2" i="273"/>
  <c r="S4" i="312"/>
  <c r="S2" i="312"/>
  <c r="D3" i="273"/>
  <c r="D3" i="312"/>
  <c r="D4" i="312"/>
  <c r="D2" i="312"/>
  <c r="D4" i="273"/>
  <c r="D2" i="273"/>
  <c r="E4" i="313"/>
  <c r="E2" i="313"/>
  <c r="E4" i="274"/>
  <c r="E2" i="274"/>
  <c r="E3" i="274"/>
  <c r="E3" i="313"/>
  <c r="E3" i="296"/>
  <c r="E4" i="296"/>
  <c r="E3" i="294"/>
  <c r="E3" i="295"/>
  <c r="E2" i="295"/>
  <c r="E4" i="295"/>
  <c r="E2" i="294"/>
  <c r="E4" i="294"/>
  <c r="E2" i="296"/>
  <c r="N4" i="312"/>
  <c r="N2" i="312"/>
  <c r="N4" i="273"/>
  <c r="N2" i="273"/>
  <c r="N3" i="312"/>
  <c r="N3" i="273"/>
  <c r="V3" i="312"/>
  <c r="V3" i="273"/>
  <c r="V4" i="312"/>
  <c r="V2" i="312"/>
  <c r="V4" i="273"/>
  <c r="V2" i="273"/>
  <c r="B4" i="313"/>
  <c r="B2" i="313"/>
  <c r="B4" i="274"/>
  <c r="B2" i="274"/>
  <c r="B3" i="313"/>
  <c r="B3" i="274"/>
  <c r="B3" i="294"/>
  <c r="B4" i="296"/>
  <c r="B2" i="296"/>
  <c r="B3" i="296"/>
  <c r="B3" i="295"/>
  <c r="B4" i="295"/>
  <c r="B2" i="295"/>
  <c r="B2" i="294"/>
  <c r="B4" i="294"/>
  <c r="X4" i="274"/>
  <c r="X2" i="274"/>
  <c r="X4" i="313"/>
  <c r="X2" i="313"/>
  <c r="X3" i="274"/>
  <c r="X3" i="313"/>
  <c r="X4" i="296"/>
  <c r="X4" i="294"/>
  <c r="X2" i="295"/>
  <c r="X2" i="294"/>
  <c r="X3" i="294"/>
  <c r="X3" i="295"/>
  <c r="X3" i="296"/>
  <c r="X4" i="295"/>
  <c r="X2" i="296"/>
  <c r="G4" i="313"/>
  <c r="G2" i="313"/>
  <c r="G4" i="274"/>
  <c r="G2" i="274"/>
  <c r="G3" i="274"/>
  <c r="G3" i="313"/>
  <c r="G3" i="294"/>
  <c r="G2" i="294"/>
  <c r="G2" i="296"/>
  <c r="G3" i="295"/>
  <c r="G3" i="296"/>
  <c r="G4" i="296"/>
  <c r="G4" i="295"/>
  <c r="G2" i="295"/>
  <c r="G4" i="294"/>
  <c r="O3" i="313"/>
  <c r="O3" i="274"/>
  <c r="O4" i="274"/>
  <c r="O2" i="274"/>
  <c r="O4" i="313"/>
  <c r="O2" i="313"/>
  <c r="O2" i="296"/>
  <c r="O2" i="294"/>
  <c r="O2" i="295"/>
  <c r="O4" i="296"/>
  <c r="O3" i="296"/>
  <c r="O4" i="295"/>
  <c r="O3" i="295"/>
  <c r="O4" i="294"/>
  <c r="O3" i="294"/>
  <c r="C4" i="273"/>
  <c r="C3" i="273"/>
  <c r="C2" i="273"/>
  <c r="C3" i="312"/>
  <c r="C4" i="312"/>
  <c r="C2" i="312"/>
  <c r="V4" i="313"/>
  <c r="V2" i="313"/>
  <c r="V4" i="274"/>
  <c r="V2" i="274"/>
  <c r="V3" i="313"/>
  <c r="V3" i="274"/>
  <c r="V4" i="295"/>
  <c r="V2" i="294"/>
  <c r="V2" i="295"/>
  <c r="V3" i="296"/>
  <c r="V4" i="296"/>
  <c r="V2" i="296"/>
  <c r="V3" i="294"/>
  <c r="V3" i="295"/>
  <c r="V4" i="294"/>
  <c r="I4" i="313"/>
  <c r="I2" i="313"/>
  <c r="I4" i="274"/>
  <c r="I2" i="274"/>
  <c r="I3" i="313"/>
  <c r="I3" i="274"/>
  <c r="I3" i="296"/>
  <c r="I2" i="294"/>
  <c r="I4" i="296"/>
  <c r="I4" i="294"/>
  <c r="I2" i="295"/>
  <c r="I4" i="295"/>
  <c r="I3" i="294"/>
  <c r="I3" i="295"/>
  <c r="I2" i="296"/>
  <c r="F3" i="312"/>
  <c r="F3" i="273"/>
  <c r="F4" i="312"/>
  <c r="F2" i="312"/>
  <c r="F4" i="273"/>
  <c r="F2" i="273"/>
  <c r="S2" i="274"/>
  <c r="S4" i="274"/>
  <c r="S4" i="313"/>
  <c r="S2" i="313"/>
  <c r="S3" i="274"/>
  <c r="S3" i="313"/>
  <c r="S4" i="295"/>
  <c r="S4" i="294"/>
  <c r="S2" i="294"/>
  <c r="S3" i="294"/>
  <c r="S3" i="296"/>
  <c r="S2" i="295"/>
  <c r="S4" i="296"/>
  <c r="S2" i="296"/>
  <c r="S3" i="295"/>
  <c r="L4" i="273"/>
  <c r="L2" i="273"/>
  <c r="L4" i="312"/>
  <c r="L2" i="312"/>
  <c r="L3" i="312"/>
  <c r="L3" i="273"/>
  <c r="Q4" i="312"/>
  <c r="Q2" i="312"/>
  <c r="Q4" i="273"/>
  <c r="Q2" i="273"/>
  <c r="Q3" i="273"/>
  <c r="Q3" i="312"/>
  <c r="L3" i="274"/>
  <c r="L3" i="313"/>
  <c r="L4" i="313"/>
  <c r="L2" i="313"/>
  <c r="L4" i="274"/>
  <c r="L2" i="274"/>
  <c r="L4" i="296"/>
  <c r="L4" i="295"/>
  <c r="L3" i="295"/>
  <c r="L2" i="296"/>
  <c r="L3" i="294"/>
  <c r="L4" i="294"/>
  <c r="L2" i="295"/>
  <c r="L2" i="294"/>
  <c r="L3" i="296"/>
  <c r="C3" i="274"/>
  <c r="C2" i="274"/>
  <c r="C4" i="274"/>
  <c r="C4" i="313"/>
  <c r="C2" i="313"/>
  <c r="C3" i="313"/>
  <c r="C4" i="294"/>
  <c r="C4" i="296"/>
  <c r="C4" i="295"/>
  <c r="C2" i="294"/>
  <c r="C2" i="295"/>
  <c r="C3" i="294"/>
  <c r="C3" i="295"/>
  <c r="C2" i="296"/>
  <c r="C3" i="296"/>
  <c r="H2" i="274"/>
  <c r="H4" i="313"/>
  <c r="H2" i="313"/>
  <c r="H4" i="274"/>
  <c r="H3" i="313"/>
  <c r="H3" i="274"/>
  <c r="H2" i="295"/>
  <c r="H3" i="296"/>
  <c r="H2" i="294"/>
  <c r="H2" i="296"/>
  <c r="H3" i="294"/>
  <c r="H4" i="294"/>
  <c r="H4" i="296"/>
  <c r="H3" i="295"/>
  <c r="H4" i="295"/>
  <c r="U3" i="274"/>
  <c r="U4" i="313"/>
  <c r="U2" i="313"/>
  <c r="U4" i="274"/>
  <c r="U2" i="274"/>
  <c r="U3" i="313"/>
  <c r="U4" i="296"/>
  <c r="U3" i="295"/>
  <c r="U4" i="295"/>
  <c r="U3" i="294"/>
  <c r="U2" i="295"/>
  <c r="U2" i="296"/>
  <c r="U4" i="294"/>
  <c r="U3" i="296"/>
  <c r="U2" i="294"/>
  <c r="N3" i="313"/>
  <c r="N3" i="274"/>
  <c r="N4" i="313"/>
  <c r="N2" i="313"/>
  <c r="N4" i="274"/>
  <c r="N2" i="274"/>
  <c r="N3" i="296"/>
  <c r="N3" i="294"/>
  <c r="N4" i="296"/>
  <c r="N2" i="295"/>
  <c r="N2" i="296"/>
  <c r="N4" i="294"/>
  <c r="N3" i="295"/>
  <c r="N4" i="295"/>
  <c r="N2" i="294"/>
  <c r="O4" i="312"/>
  <c r="O2" i="312"/>
  <c r="O4" i="273"/>
  <c r="O2" i="273"/>
  <c r="O3" i="273"/>
  <c r="O3" i="312"/>
  <c r="X3" i="273"/>
  <c r="X3" i="312"/>
  <c r="X4" i="273"/>
  <c r="X4" i="312"/>
  <c r="X2" i="312"/>
  <c r="X2" i="273"/>
  <c r="T4" i="274"/>
  <c r="T2" i="274"/>
  <c r="T4" i="313"/>
  <c r="T2" i="313"/>
  <c r="T3" i="313"/>
  <c r="T3" i="274"/>
  <c r="T3" i="295"/>
  <c r="T3" i="296"/>
  <c r="T2" i="295"/>
  <c r="T3" i="294"/>
  <c r="T4" i="295"/>
  <c r="T4" i="294"/>
  <c r="T2" i="294"/>
  <c r="T2" i="296"/>
  <c r="T4" i="296"/>
  <c r="Q3" i="313"/>
  <c r="Q3" i="274"/>
  <c r="Q4" i="313"/>
  <c r="Q2" i="313"/>
  <c r="Q4" i="274"/>
  <c r="Q2" i="274"/>
  <c r="Q4" i="294"/>
  <c r="Q2" i="296"/>
  <c r="Q3" i="294"/>
  <c r="Q3" i="296"/>
  <c r="Q3" i="295"/>
  <c r="Q4" i="295"/>
  <c r="Q2" i="294"/>
  <c r="Q4" i="296"/>
  <c r="Q2" i="295"/>
  <c r="D4" i="274"/>
  <c r="D2" i="274"/>
  <c r="D4" i="313"/>
  <c r="D2" i="313"/>
  <c r="D3" i="313"/>
  <c r="D3" i="274"/>
  <c r="D2" i="296"/>
  <c r="D3" i="296"/>
  <c r="D3" i="295"/>
  <c r="D4" i="295"/>
  <c r="D2" i="295"/>
  <c r="D4" i="294"/>
  <c r="D4" i="296"/>
  <c r="D2" i="294"/>
  <c r="D3" i="294"/>
  <c r="H4" i="217"/>
  <c r="M2" i="29"/>
  <c r="P4" i="192"/>
  <c r="K2" i="218"/>
  <c r="V3" i="192"/>
  <c r="I3" i="218"/>
  <c r="B2" i="192"/>
  <c r="Y3" i="218"/>
  <c r="W3" i="217"/>
  <c r="S2" i="192"/>
  <c r="O2" i="192"/>
  <c r="R3" i="216"/>
  <c r="U3" i="218"/>
  <c r="C4" i="29"/>
  <c r="G4" i="217"/>
  <c r="E2" i="29"/>
  <c r="N2" i="216"/>
  <c r="T2" i="193"/>
  <c r="Q3" i="193"/>
  <c r="D4" i="193"/>
  <c r="T4" i="69"/>
  <c r="D2" i="29"/>
  <c r="B2" i="68"/>
  <c r="N4" i="68"/>
  <c r="S3" i="68"/>
  <c r="Q2" i="218"/>
  <c r="X4" i="69"/>
  <c r="D4" i="68"/>
  <c r="O2" i="68"/>
  <c r="Y2" i="217"/>
  <c r="S3" i="192"/>
  <c r="T4" i="216"/>
  <c r="D2" i="216"/>
  <c r="D2" i="68"/>
  <c r="S2" i="216"/>
  <c r="D3" i="68"/>
  <c r="K2" i="68"/>
  <c r="T4" i="68"/>
  <c r="W4" i="68"/>
  <c r="Q3" i="217"/>
  <c r="R2" i="68"/>
  <c r="E2" i="68"/>
  <c r="W2" i="69"/>
  <c r="R2" i="216"/>
  <c r="N2" i="193"/>
  <c r="N3" i="193"/>
  <c r="N4" i="193"/>
  <c r="N2" i="217"/>
  <c r="Y3" i="216"/>
  <c r="W2" i="68"/>
  <c r="W2" i="29"/>
  <c r="N3" i="217"/>
  <c r="S3" i="29"/>
  <c r="T3" i="218"/>
  <c r="Q2" i="68"/>
  <c r="I4" i="193"/>
  <c r="E3" i="69"/>
  <c r="Y3" i="69"/>
  <c r="Y2" i="193"/>
  <c r="Y4" i="69"/>
  <c r="N3" i="68"/>
  <c r="Q2" i="69"/>
  <c r="Q4" i="217"/>
  <c r="I2" i="69"/>
  <c r="T2" i="69"/>
  <c r="T2" i="68"/>
  <c r="L2" i="69"/>
  <c r="E2" i="69"/>
  <c r="M3" i="68"/>
  <c r="S4" i="192"/>
  <c r="R3" i="29"/>
  <c r="W3" i="29"/>
  <c r="U2" i="29"/>
  <c r="S2" i="218"/>
  <c r="I4" i="216"/>
  <c r="K3" i="68"/>
  <c r="M2" i="69"/>
  <c r="Q4" i="29"/>
  <c r="D4" i="216"/>
  <c r="Q4" i="192"/>
  <c r="L4" i="68"/>
  <c r="E2" i="216"/>
  <c r="O3" i="68"/>
  <c r="T2" i="29"/>
  <c r="O4" i="68"/>
  <c r="I2" i="193"/>
  <c r="P3" i="218"/>
  <c r="V2" i="218"/>
  <c r="E2" i="217"/>
  <c r="T4" i="192"/>
  <c r="I2" i="218"/>
  <c r="W3" i="68"/>
  <c r="M3" i="69"/>
  <c r="E4" i="192"/>
  <c r="E3" i="29"/>
  <c r="N4" i="29"/>
  <c r="D3" i="217"/>
  <c r="T3" i="193"/>
  <c r="E4" i="69"/>
  <c r="N2" i="68"/>
  <c r="P2" i="68"/>
  <c r="V3" i="29"/>
  <c r="T2" i="216"/>
  <c r="U4" i="216"/>
  <c r="Q4" i="216"/>
  <c r="N2" i="29"/>
  <c r="E3" i="216"/>
  <c r="R4" i="192"/>
  <c r="P2" i="193"/>
  <c r="H3" i="217"/>
  <c r="T3" i="216"/>
  <c r="S4" i="69"/>
  <c r="I3" i="69"/>
  <c r="R3" i="69"/>
  <c r="N4" i="217"/>
  <c r="S4" i="216"/>
  <c r="V4" i="29"/>
  <c r="U2" i="192"/>
  <c r="M4" i="193"/>
  <c r="I4" i="217"/>
  <c r="D4" i="217"/>
  <c r="S2" i="69"/>
  <c r="R4" i="69"/>
  <c r="U3" i="216"/>
  <c r="B3" i="29"/>
  <c r="B2" i="216"/>
  <c r="Q3" i="192"/>
  <c r="E4" i="218"/>
  <c r="I2" i="216"/>
  <c r="E2" i="192"/>
  <c r="D3" i="218"/>
  <c r="T4" i="29"/>
  <c r="R2" i="69"/>
  <c r="O4" i="29"/>
  <c r="S3" i="193"/>
  <c r="U2" i="216"/>
  <c r="Y4" i="193"/>
  <c r="V2" i="217"/>
  <c r="V3" i="217"/>
  <c r="T2" i="192"/>
  <c r="B4" i="216"/>
  <c r="I2" i="217"/>
  <c r="D3" i="192"/>
  <c r="V3" i="193"/>
  <c r="D2" i="69"/>
  <c r="Y2" i="69"/>
  <c r="P4" i="69"/>
  <c r="E4" i="68"/>
  <c r="U2" i="217"/>
  <c r="S3" i="217"/>
  <c r="V4" i="193"/>
  <c r="D3" i="29"/>
  <c r="Q2" i="217"/>
  <c r="T2" i="218"/>
  <c r="U2" i="218"/>
  <c r="N4" i="192"/>
  <c r="V4" i="217"/>
  <c r="E3" i="218"/>
  <c r="D2" i="193"/>
  <c r="O2" i="193"/>
  <c r="B4" i="68"/>
  <c r="E2" i="193"/>
  <c r="S4" i="193"/>
  <c r="T3" i="69"/>
  <c r="B3" i="69"/>
  <c r="Q3" i="218"/>
  <c r="Q2" i="216"/>
  <c r="R4" i="68"/>
  <c r="R4" i="216"/>
  <c r="T3" i="29"/>
  <c r="D2" i="218"/>
  <c r="B2" i="29"/>
  <c r="N3" i="216"/>
  <c r="V4" i="216"/>
  <c r="B3" i="68"/>
  <c r="V4" i="69"/>
  <c r="R3" i="217"/>
  <c r="I3" i="192"/>
  <c r="N3" i="218"/>
  <c r="S3" i="218"/>
  <c r="T4" i="218"/>
  <c r="V3" i="69"/>
  <c r="N2" i="69"/>
  <c r="V2" i="69"/>
  <c r="Q3" i="69"/>
  <c r="R3" i="68"/>
  <c r="N4" i="69"/>
  <c r="D3" i="69"/>
  <c r="E4" i="29"/>
  <c r="T3" i="217"/>
  <c r="V3" i="216"/>
  <c r="N2" i="218"/>
  <c r="D4" i="192"/>
  <c r="Q2" i="192"/>
  <c r="Y4" i="216"/>
  <c r="Y4" i="218"/>
  <c r="N4" i="216"/>
  <c r="B3" i="218"/>
  <c r="R2" i="192"/>
  <c r="S2" i="29"/>
  <c r="E3" i="193"/>
  <c r="T3" i="68"/>
  <c r="V2" i="68"/>
  <c r="R4" i="218"/>
  <c r="Q4" i="69"/>
  <c r="N3" i="69"/>
  <c r="Q4" i="68"/>
  <c r="X4" i="68"/>
  <c r="I2" i="192"/>
  <c r="S4" i="217"/>
  <c r="B4" i="29"/>
  <c r="Q4" i="218"/>
  <c r="S2" i="217"/>
  <c r="I4" i="192"/>
  <c r="B3" i="217"/>
  <c r="E4" i="216"/>
  <c r="D2" i="192"/>
  <c r="I3" i="217"/>
  <c r="Q3" i="29"/>
  <c r="M3" i="218"/>
  <c r="E4" i="217"/>
  <c r="C2" i="192"/>
  <c r="G2" i="29"/>
  <c r="K4" i="217"/>
  <c r="O3" i="218"/>
  <c r="R2" i="29"/>
  <c r="B4" i="193"/>
  <c r="R2" i="217"/>
  <c r="G4" i="29"/>
  <c r="O4" i="192"/>
  <c r="G3" i="216"/>
  <c r="X3" i="218"/>
  <c r="F2" i="235"/>
  <c r="F3" i="235"/>
  <c r="F4" i="235"/>
  <c r="J3" i="235"/>
  <c r="J2" i="235"/>
  <c r="J4" i="235"/>
  <c r="F3" i="29"/>
  <c r="L4" i="69"/>
  <c r="U4" i="234"/>
  <c r="U3" i="234"/>
  <c r="U2" i="234"/>
  <c r="L3" i="192"/>
  <c r="C3" i="216"/>
  <c r="F2" i="216"/>
  <c r="K2" i="216"/>
  <c r="J4" i="29"/>
  <c r="G4" i="218"/>
  <c r="Y4" i="29"/>
  <c r="R4" i="193"/>
  <c r="J3" i="217"/>
  <c r="O3" i="29"/>
  <c r="T4" i="217"/>
  <c r="G2" i="193"/>
  <c r="W3" i="216"/>
  <c r="P4" i="218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C3" i="193"/>
  <c r="X4" i="29"/>
  <c r="C4" i="216"/>
  <c r="F3" i="216"/>
  <c r="C3" i="218"/>
  <c r="J3" i="29"/>
  <c r="J3" i="218"/>
  <c r="W2" i="192"/>
  <c r="Y2" i="29"/>
  <c r="W4" i="218"/>
  <c r="I4" i="29"/>
  <c r="B4" i="217"/>
  <c r="L2" i="218"/>
  <c r="W2" i="193"/>
  <c r="O4" i="216"/>
  <c r="I2" i="234"/>
  <c r="I4" i="234"/>
  <c r="I3" i="234"/>
  <c r="X2" i="68"/>
  <c r="M4" i="69"/>
  <c r="X4" i="216"/>
  <c r="C4" i="218"/>
  <c r="J2" i="217"/>
  <c r="M2" i="216"/>
  <c r="H4" i="218"/>
  <c r="R4" i="217"/>
  <c r="O3" i="193"/>
  <c r="G2" i="217"/>
  <c r="P2" i="192"/>
  <c r="L3" i="235"/>
  <c r="L2" i="235"/>
  <c r="L4" i="235"/>
  <c r="L3" i="216"/>
  <c r="F4" i="29"/>
  <c r="J2" i="218"/>
  <c r="G4" i="193"/>
  <c r="W2" i="217"/>
  <c r="H3" i="192"/>
  <c r="K4" i="216"/>
  <c r="F2" i="29"/>
  <c r="H3" i="29"/>
  <c r="G2" i="216"/>
  <c r="L4" i="218"/>
  <c r="W4" i="193"/>
  <c r="O3" i="217"/>
  <c r="X3" i="192"/>
  <c r="P2" i="216"/>
  <c r="C4" i="217"/>
  <c r="K4" i="29"/>
  <c r="F2" i="218"/>
  <c r="K2" i="217"/>
  <c r="H4" i="29"/>
  <c r="W2" i="216"/>
  <c r="R3" i="218"/>
  <c r="D4" i="29"/>
  <c r="H3" i="216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X2" i="29"/>
  <c r="P3" i="216"/>
  <c r="Y2" i="216"/>
  <c r="Y4" i="217"/>
  <c r="C2" i="218"/>
  <c r="F3" i="218"/>
  <c r="H2" i="29"/>
  <c r="Y2" i="192"/>
  <c r="I3" i="29"/>
  <c r="O3" i="216"/>
  <c r="J4" i="218"/>
  <c r="L2" i="192"/>
  <c r="L3" i="29"/>
  <c r="W4" i="217"/>
  <c r="H2" i="193"/>
  <c r="X3" i="216"/>
  <c r="J2" i="29"/>
  <c r="J4" i="217"/>
  <c r="O2" i="218"/>
  <c r="X2" i="193"/>
  <c r="P4" i="216"/>
  <c r="C2" i="216"/>
  <c r="M2" i="193"/>
  <c r="U3" i="235"/>
  <c r="U2" i="235"/>
  <c r="U4" i="235"/>
  <c r="J2" i="193"/>
  <c r="Y3" i="193"/>
  <c r="B3" i="193"/>
  <c r="M3" i="192"/>
  <c r="U3" i="217"/>
  <c r="V3" i="218"/>
  <c r="C2" i="217"/>
  <c r="O2" i="29"/>
  <c r="M3" i="193"/>
  <c r="B4" i="218"/>
  <c r="M4" i="29"/>
  <c r="J3" i="216"/>
  <c r="U4" i="192"/>
  <c r="H2" i="218"/>
  <c r="G2" i="192"/>
  <c r="M2" i="217"/>
  <c r="G3" i="193"/>
  <c r="W4" i="216"/>
  <c r="J2" i="192"/>
  <c r="T3" i="192"/>
  <c r="L2" i="216"/>
  <c r="G3" i="218"/>
  <c r="P3" i="193"/>
  <c r="H2" i="217"/>
  <c r="X4" i="192"/>
  <c r="X3" i="217"/>
  <c r="U4" i="68"/>
  <c r="G3" i="234"/>
  <c r="G4" i="234"/>
  <c r="G2" i="234"/>
  <c r="G4" i="216"/>
  <c r="W4" i="69"/>
  <c r="U2" i="68"/>
  <c r="I4" i="68"/>
  <c r="H4" i="69"/>
  <c r="D3" i="234"/>
  <c r="D4" i="234"/>
  <c r="D2" i="234"/>
  <c r="E3" i="235"/>
  <c r="E2" i="235"/>
  <c r="E4" i="235"/>
  <c r="E4" i="193"/>
  <c r="G4" i="192"/>
  <c r="C3" i="29"/>
  <c r="F4" i="192"/>
  <c r="U4" i="217"/>
  <c r="U4" i="218"/>
  <c r="C3" i="217"/>
  <c r="L4" i="193"/>
  <c r="X4" i="218"/>
  <c r="P3" i="29"/>
  <c r="X2" i="192"/>
  <c r="H4" i="216"/>
  <c r="S2" i="193"/>
  <c r="E3" i="192"/>
  <c r="M3" i="217"/>
  <c r="W3" i="193"/>
  <c r="O2" i="217"/>
  <c r="B3" i="192"/>
  <c r="L4" i="192"/>
  <c r="D3" i="216"/>
  <c r="W3" i="218"/>
  <c r="L2" i="29"/>
  <c r="H4" i="193"/>
  <c r="X2" i="217"/>
  <c r="F3" i="217"/>
  <c r="P4" i="193"/>
  <c r="F4" i="218"/>
  <c r="F2" i="192"/>
  <c r="C4" i="192"/>
  <c r="L4" i="217"/>
  <c r="O4" i="193"/>
  <c r="G3" i="217"/>
  <c r="R3" i="192"/>
  <c r="J2" i="216"/>
  <c r="O4" i="218"/>
  <c r="S4" i="29"/>
  <c r="X4" i="193"/>
  <c r="P3" i="217"/>
  <c r="L2" i="68"/>
  <c r="G2" i="68"/>
  <c r="P2" i="69"/>
  <c r="M4" i="68"/>
  <c r="E2" i="234"/>
  <c r="E4" i="234"/>
  <c r="E3" i="234"/>
  <c r="H3" i="193"/>
  <c r="G3" i="68"/>
  <c r="C4" i="69"/>
  <c r="C3" i="69"/>
  <c r="Y3" i="68"/>
  <c r="W3" i="69"/>
  <c r="P3" i="192"/>
  <c r="Y3" i="217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M4" i="218"/>
  <c r="U3" i="29"/>
  <c r="G3" i="29"/>
  <c r="B2" i="218"/>
  <c r="I3" i="216"/>
  <c r="Q2" i="193"/>
  <c r="F4" i="217"/>
  <c r="Q4" i="193"/>
  <c r="M3" i="216"/>
  <c r="C3" i="192"/>
  <c r="W4" i="192"/>
  <c r="J4" i="192"/>
  <c r="B3" i="216"/>
  <c r="L4" i="216"/>
  <c r="C4" i="235"/>
  <c r="C2" i="235"/>
  <c r="C3" i="235"/>
  <c r="X3" i="69"/>
  <c r="H4" i="235"/>
  <c r="H2" i="235"/>
  <c r="H3" i="235"/>
  <c r="X2" i="216"/>
  <c r="X2" i="69"/>
  <c r="K4" i="234"/>
  <c r="K2" i="234"/>
  <c r="K3" i="234"/>
  <c r="K3" i="235"/>
  <c r="K2" i="235"/>
  <c r="K4" i="235"/>
  <c r="T3" i="234"/>
  <c r="T2" i="234"/>
  <c r="T4" i="234"/>
  <c r="H4" i="192"/>
  <c r="R3" i="234"/>
  <c r="R4" i="234"/>
  <c r="R2" i="234"/>
  <c r="G4" i="69"/>
  <c r="U3" i="68"/>
  <c r="M3" i="234"/>
  <c r="M2" i="234"/>
  <c r="M4" i="234"/>
  <c r="P4" i="234"/>
  <c r="P2" i="234"/>
  <c r="P3" i="234"/>
  <c r="F3" i="193"/>
  <c r="J4" i="69"/>
  <c r="F2" i="68"/>
  <c r="L3" i="218"/>
  <c r="F4" i="193"/>
  <c r="S4" i="218"/>
  <c r="K2" i="193"/>
  <c r="P4" i="29"/>
  <c r="L2" i="193"/>
  <c r="X2" i="218"/>
  <c r="F4" i="216"/>
  <c r="U3" i="192"/>
  <c r="R3" i="193"/>
  <c r="E2" i="218"/>
  <c r="M4" i="216"/>
  <c r="I2" i="29"/>
  <c r="B4" i="192"/>
  <c r="V2" i="193"/>
  <c r="K3" i="218"/>
  <c r="O4" i="217"/>
  <c r="B2" i="193"/>
  <c r="L3" i="193"/>
  <c r="D2" i="217"/>
  <c r="K3" i="29"/>
  <c r="X4" i="217"/>
  <c r="L3" i="68"/>
  <c r="P3" i="69"/>
  <c r="Y3" i="29"/>
  <c r="Y2" i="218"/>
  <c r="M3" i="2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H2" i="192"/>
  <c r="L4" i="234"/>
  <c r="L2" i="234"/>
  <c r="L3" i="234"/>
  <c r="K2" i="192"/>
  <c r="F3" i="192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M2" i="192"/>
  <c r="N2" i="192"/>
  <c r="S3" i="216"/>
  <c r="F2" i="193"/>
  <c r="R2" i="218"/>
  <c r="U4" i="29"/>
  <c r="V2" i="216"/>
  <c r="N3" i="192"/>
  <c r="K4" i="218"/>
  <c r="N4" i="218"/>
  <c r="I3" i="193"/>
  <c r="K3" i="193"/>
  <c r="O3" i="192"/>
  <c r="F2" i="217"/>
  <c r="D4" i="218"/>
  <c r="L2" i="217"/>
  <c r="L4" i="29"/>
  <c r="V4" i="192"/>
  <c r="U3" i="193"/>
  <c r="I4" i="218"/>
  <c r="G2" i="218"/>
  <c r="R2" i="193"/>
  <c r="J4" i="216"/>
  <c r="P2" i="29"/>
  <c r="T2" i="217"/>
  <c r="G3" i="192"/>
  <c r="P2" i="218"/>
  <c r="Q2" i="234"/>
  <c r="Q4" i="234"/>
  <c r="Q3" i="234"/>
  <c r="Y4" i="235"/>
  <c r="Y3" i="235"/>
  <c r="Y2" i="235"/>
  <c r="P4" i="217"/>
  <c r="Y3" i="192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K4" i="192"/>
  <c r="J3" i="192"/>
  <c r="C2" i="29"/>
  <c r="R4" i="29"/>
  <c r="M4" i="217"/>
  <c r="H2" i="216"/>
  <c r="J2" i="69"/>
  <c r="H4" i="68"/>
  <c r="I2" i="68"/>
  <c r="B4" i="235"/>
  <c r="B2" i="235"/>
  <c r="B3" i="235"/>
  <c r="X3" i="29"/>
  <c r="M2" i="218"/>
  <c r="M4" i="192"/>
  <c r="F3" i="69"/>
  <c r="J4" i="68"/>
  <c r="H3" i="68"/>
  <c r="U4" i="69"/>
  <c r="O3" i="69"/>
  <c r="K2" i="69"/>
  <c r="S4" i="68"/>
  <c r="S4" i="235"/>
  <c r="S2" i="235"/>
  <c r="S3" i="235"/>
  <c r="C4" i="193"/>
  <c r="K3" i="192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X3" i="193"/>
  <c r="Y4" i="192"/>
  <c r="Q3" i="216"/>
  <c r="C2" i="193"/>
  <c r="Q2" i="29"/>
  <c r="P2" i="217"/>
  <c r="V2" i="29"/>
  <c r="D3" i="193"/>
  <c r="J4" i="193"/>
  <c r="K4" i="193"/>
  <c r="V4" i="218"/>
  <c r="K2" i="29"/>
  <c r="V2" i="192"/>
  <c r="E3" i="217"/>
  <c r="K3" i="216"/>
  <c r="K3" i="217"/>
  <c r="N3" i="29"/>
  <c r="U2" i="193"/>
  <c r="U4" i="193"/>
  <c r="W2" i="218"/>
  <c r="J3" i="193"/>
  <c r="B2" i="217"/>
  <c r="W4" i="29"/>
  <c r="T4" i="193"/>
  <c r="L3" i="217"/>
  <c r="W3" i="192"/>
  <c r="O2" i="216"/>
  <c r="H3" i="218"/>
  <c r="O3" i="264" l="1"/>
  <c r="O3" i="265"/>
  <c r="O3" i="266"/>
  <c r="D2" i="265"/>
  <c r="D2" i="266"/>
  <c r="D2" i="264"/>
  <c r="Q3" i="265"/>
  <c r="Q3" i="266"/>
  <c r="Q3" i="264"/>
  <c r="U2" i="266"/>
  <c r="U2" i="264"/>
  <c r="U2" i="265"/>
  <c r="L4" i="265"/>
  <c r="L4" i="266"/>
  <c r="L4" i="264"/>
  <c r="K4" i="264"/>
  <c r="K4" i="265"/>
  <c r="K4" i="266"/>
  <c r="R2" i="266"/>
  <c r="R2" i="264"/>
  <c r="R2" i="265"/>
  <c r="Y4" i="266"/>
  <c r="Y4" i="265"/>
  <c r="Y4" i="264"/>
  <c r="I4" i="266"/>
  <c r="I4" i="264"/>
  <c r="I4" i="265"/>
  <c r="Q2" i="265"/>
  <c r="Q2" i="264"/>
  <c r="Q2" i="266"/>
  <c r="X4" i="266"/>
  <c r="X4" i="264"/>
  <c r="X4" i="265"/>
  <c r="H4" i="265"/>
  <c r="H4" i="264"/>
  <c r="H4" i="266"/>
  <c r="P3" i="266"/>
  <c r="P3" i="264"/>
  <c r="P3" i="265"/>
  <c r="W4" i="265"/>
  <c r="W4" i="264"/>
  <c r="W4" i="266"/>
  <c r="O2" i="266"/>
  <c r="O2" i="264"/>
  <c r="O2" i="265"/>
  <c r="F4" i="265"/>
  <c r="F4" i="264"/>
  <c r="F4" i="266"/>
  <c r="N3" i="266"/>
  <c r="N3" i="264"/>
  <c r="N3" i="265"/>
  <c r="U4" i="264"/>
  <c r="U4" i="265"/>
  <c r="U4" i="266"/>
  <c r="E4" i="266"/>
  <c r="E4" i="265"/>
  <c r="E4" i="264"/>
  <c r="M3" i="266"/>
  <c r="M3" i="264"/>
  <c r="M3" i="265"/>
  <c r="V4" i="265"/>
  <c r="V4" i="266"/>
  <c r="V4" i="264"/>
  <c r="D4" i="264"/>
  <c r="D4" i="266"/>
  <c r="D4" i="265"/>
  <c r="G4" i="265"/>
  <c r="G4" i="266"/>
  <c r="G4" i="264"/>
  <c r="T4" i="264"/>
  <c r="T4" i="266"/>
  <c r="T4" i="265"/>
  <c r="K3" i="266"/>
  <c r="K3" i="264"/>
  <c r="K3" i="265"/>
  <c r="B2" i="256"/>
  <c r="B2" i="257"/>
  <c r="B2" i="255"/>
  <c r="B4" i="266"/>
  <c r="B4" i="265"/>
  <c r="B4" i="264"/>
  <c r="M2" i="266"/>
  <c r="M2" i="265"/>
  <c r="M2" i="264"/>
  <c r="C4" i="264"/>
  <c r="C4" i="266"/>
  <c r="C4" i="265"/>
  <c r="J2" i="266"/>
  <c r="J2" i="265"/>
  <c r="J2" i="264"/>
  <c r="Q4" i="266"/>
  <c r="Q4" i="265"/>
  <c r="Q4" i="264"/>
  <c r="Y3" i="265"/>
  <c r="Y3" i="266"/>
  <c r="Y3" i="264"/>
  <c r="I3" i="264"/>
  <c r="I3" i="266"/>
  <c r="I3" i="265"/>
  <c r="P2" i="265"/>
  <c r="P2" i="266"/>
  <c r="P2" i="264"/>
  <c r="N2" i="265"/>
  <c r="N2" i="264"/>
  <c r="N2" i="266"/>
  <c r="L2" i="264"/>
  <c r="L2" i="266"/>
  <c r="L2" i="265"/>
  <c r="R4" i="266"/>
  <c r="R4" i="264"/>
  <c r="R4" i="265"/>
  <c r="I2" i="266"/>
  <c r="I2" i="265"/>
  <c r="I2" i="264"/>
  <c r="X2" i="266"/>
  <c r="X2" i="264"/>
  <c r="X2" i="265"/>
  <c r="O4" i="264"/>
  <c r="O4" i="265"/>
  <c r="O4" i="266"/>
  <c r="W3" i="264"/>
  <c r="W3" i="265"/>
  <c r="W3" i="266"/>
  <c r="G3" i="266"/>
  <c r="G3" i="264"/>
  <c r="G3" i="265"/>
  <c r="L3" i="264"/>
  <c r="L3" i="266"/>
  <c r="L3" i="265"/>
  <c r="S4" i="265"/>
  <c r="S4" i="266"/>
  <c r="S4" i="264"/>
  <c r="K2" i="265"/>
  <c r="K2" i="264"/>
  <c r="K2" i="266"/>
  <c r="J3" i="266"/>
  <c r="J3" i="264"/>
  <c r="J3" i="265"/>
  <c r="B2" i="266"/>
  <c r="B2" i="265"/>
  <c r="B2" i="264"/>
  <c r="P4" i="264"/>
  <c r="P4" i="265"/>
  <c r="P4" i="266"/>
  <c r="H3" i="266"/>
  <c r="H3" i="264"/>
  <c r="H3" i="265"/>
  <c r="H2" i="264"/>
  <c r="H2" i="265"/>
  <c r="H2" i="266"/>
  <c r="W2" i="265"/>
  <c r="W2" i="266"/>
  <c r="W2" i="264"/>
  <c r="G2" i="266"/>
  <c r="G2" i="265"/>
  <c r="G2" i="264"/>
  <c r="N4" i="266"/>
  <c r="N4" i="264"/>
  <c r="N4" i="265"/>
  <c r="V3" i="264"/>
  <c r="V3" i="265"/>
  <c r="V3" i="266"/>
  <c r="F3" i="265"/>
  <c r="F3" i="264"/>
  <c r="F3" i="266"/>
  <c r="Y2" i="266"/>
  <c r="Y2" i="265"/>
  <c r="Y2" i="264"/>
  <c r="X3" i="264"/>
  <c r="X3" i="266"/>
  <c r="X3" i="265"/>
  <c r="V2" i="266"/>
  <c r="V2" i="265"/>
  <c r="V2" i="264"/>
  <c r="F2" i="266"/>
  <c r="F2" i="264"/>
  <c r="F2" i="265"/>
  <c r="M4" i="266"/>
  <c r="M4" i="265"/>
  <c r="M4" i="264"/>
  <c r="U3" i="266"/>
  <c r="U3" i="265"/>
  <c r="U3" i="264"/>
  <c r="E3" i="264"/>
  <c r="E3" i="265"/>
  <c r="E3" i="266"/>
  <c r="T3" i="266"/>
  <c r="T3" i="265"/>
  <c r="T3" i="264"/>
  <c r="D3" i="266"/>
  <c r="D3" i="264"/>
  <c r="D3" i="265"/>
  <c r="E2" i="265"/>
  <c r="E2" i="266"/>
  <c r="E2" i="264"/>
  <c r="T2" i="266"/>
  <c r="T2" i="264"/>
  <c r="T2" i="265"/>
  <c r="S3" i="264"/>
  <c r="S3" i="266"/>
  <c r="S3" i="265"/>
  <c r="C3" i="264"/>
  <c r="C3" i="266"/>
  <c r="C3" i="265"/>
  <c r="S2" i="266"/>
  <c r="S2" i="265"/>
  <c r="S2" i="264"/>
  <c r="C2" i="265"/>
  <c r="C2" i="264"/>
  <c r="C2" i="266"/>
  <c r="J4" i="266"/>
  <c r="J4" i="264"/>
  <c r="J4" i="265"/>
  <c r="R3" i="265"/>
  <c r="R3" i="264"/>
  <c r="R3" i="266"/>
  <c r="B3" i="264"/>
  <c r="B3" i="266"/>
  <c r="B3" i="265"/>
  <c r="L2" i="257" l="1"/>
  <c r="L2" i="255"/>
  <c r="L2" i="256"/>
  <c r="S4" i="256"/>
  <c r="S4" i="257"/>
  <c r="S4" i="255"/>
  <c r="C4" i="255"/>
  <c r="C4" i="256"/>
  <c r="C4" i="257"/>
  <c r="K3" i="257"/>
  <c r="K3" i="255"/>
  <c r="K3" i="256"/>
  <c r="R4" i="256"/>
  <c r="R4" i="257"/>
  <c r="R4" i="255"/>
  <c r="Y2" i="257"/>
  <c r="Y2" i="255"/>
  <c r="Y2" i="256"/>
  <c r="J2" i="256"/>
  <c r="J2" i="255"/>
  <c r="J2" i="257"/>
  <c r="H3" i="257"/>
  <c r="H3" i="255"/>
  <c r="H3" i="256"/>
  <c r="O4" i="257"/>
  <c r="O4" i="255"/>
  <c r="O4" i="256"/>
  <c r="W3" i="256"/>
  <c r="W3" i="257"/>
  <c r="W3" i="255"/>
  <c r="G3" i="256"/>
  <c r="G3" i="255"/>
  <c r="G3" i="257"/>
  <c r="G2" i="256"/>
  <c r="G2" i="255"/>
  <c r="G2" i="257"/>
  <c r="F3" i="257"/>
  <c r="F3" i="256"/>
  <c r="F3" i="255"/>
  <c r="E3" i="256"/>
  <c r="E3" i="255"/>
  <c r="E3" i="257"/>
  <c r="M4" i="257"/>
  <c r="M4" i="255"/>
  <c r="M4" i="256"/>
  <c r="D2" i="255"/>
  <c r="D2" i="256"/>
  <c r="D2" i="257"/>
  <c r="K4" i="255"/>
  <c r="K4" i="257"/>
  <c r="K4" i="256"/>
  <c r="S3" i="257"/>
  <c r="S3" i="256"/>
  <c r="S3" i="255"/>
  <c r="C3" i="256"/>
  <c r="C3" i="257"/>
  <c r="C3" i="255"/>
  <c r="J3" i="255"/>
  <c r="J3" i="257"/>
  <c r="J3" i="256"/>
  <c r="Y3" i="255"/>
  <c r="Y3" i="256"/>
  <c r="Y3" i="257"/>
  <c r="X3" i="256"/>
  <c r="X3" i="255"/>
  <c r="X3" i="257"/>
  <c r="U2" i="256"/>
  <c r="U2" i="255"/>
  <c r="U2" i="257"/>
  <c r="R3" i="256"/>
  <c r="R3" i="257"/>
  <c r="R3" i="255"/>
  <c r="R2" i="255"/>
  <c r="R2" i="257"/>
  <c r="R2" i="256"/>
  <c r="I4" i="255"/>
  <c r="I4" i="256"/>
  <c r="I4" i="257"/>
  <c r="Q3" i="257"/>
  <c r="Q3" i="255"/>
  <c r="Q3" i="256"/>
  <c r="F2" i="257"/>
  <c r="F2" i="255"/>
  <c r="F2" i="256"/>
  <c r="L4" i="257"/>
  <c r="L4" i="255"/>
  <c r="L4" i="256"/>
  <c r="S2" i="257"/>
  <c r="S2" i="255"/>
  <c r="S2" i="256"/>
  <c r="Y4" i="255"/>
  <c r="Y4" i="257"/>
  <c r="Y4" i="256"/>
  <c r="Q2" i="257"/>
  <c r="Q2" i="255"/>
  <c r="Q2" i="256"/>
  <c r="X4" i="257"/>
  <c r="X4" i="255"/>
  <c r="X4" i="256"/>
  <c r="H4" i="257"/>
  <c r="H4" i="256"/>
  <c r="H4" i="255"/>
  <c r="P3" i="257"/>
  <c r="P3" i="255"/>
  <c r="P3" i="256"/>
  <c r="I3" i="256"/>
  <c r="I3" i="255"/>
  <c r="I3" i="257"/>
  <c r="I2" i="255"/>
  <c r="I2" i="257"/>
  <c r="I2" i="256"/>
  <c r="V2" i="257"/>
  <c r="V2" i="255"/>
  <c r="V2" i="256"/>
  <c r="T3" i="256"/>
  <c r="T3" i="257"/>
  <c r="T3" i="255"/>
  <c r="K2" i="256"/>
  <c r="K2" i="257"/>
  <c r="K2" i="255"/>
  <c r="P4" i="255"/>
  <c r="P4" i="256"/>
  <c r="P4" i="257"/>
  <c r="H2" i="257"/>
  <c r="H2" i="256"/>
  <c r="H2" i="255"/>
  <c r="N4" i="256"/>
  <c r="N4" i="255"/>
  <c r="N4" i="257"/>
  <c r="E2" i="257"/>
  <c r="E2" i="255"/>
  <c r="E2" i="256"/>
  <c r="C2" i="255"/>
  <c r="C2" i="256"/>
  <c r="C2" i="257"/>
  <c r="G4" i="257"/>
  <c r="G4" i="255"/>
  <c r="G4" i="256"/>
  <c r="O2" i="255"/>
  <c r="O2" i="257"/>
  <c r="O2" i="256"/>
  <c r="V4" i="256"/>
  <c r="V4" i="255"/>
  <c r="V4" i="257"/>
  <c r="F4" i="256"/>
  <c r="F4" i="257"/>
  <c r="F4" i="255"/>
  <c r="N3" i="256"/>
  <c r="N3" i="257"/>
  <c r="N3" i="255"/>
  <c r="Q4" i="257"/>
  <c r="Q4" i="256"/>
  <c r="Q4" i="255"/>
  <c r="U3" i="256"/>
  <c r="U3" i="257"/>
  <c r="U3" i="255"/>
  <c r="D3" i="257"/>
  <c r="D3" i="255"/>
  <c r="D3" i="256"/>
  <c r="T2" i="255"/>
  <c r="T2" i="256"/>
  <c r="T2" i="257"/>
  <c r="J4" i="257"/>
  <c r="J4" i="256"/>
  <c r="J4" i="255"/>
  <c r="P2" i="257"/>
  <c r="P2" i="256"/>
  <c r="P2" i="255"/>
  <c r="W4" i="256"/>
  <c r="W4" i="255"/>
  <c r="W4" i="257"/>
  <c r="U4" i="257"/>
  <c r="U4" i="255"/>
  <c r="U4" i="256"/>
  <c r="M3" i="255"/>
  <c r="M3" i="256"/>
  <c r="M3" i="257"/>
  <c r="B4" i="257"/>
  <c r="B4" i="255"/>
  <c r="B4" i="256"/>
  <c r="X2" i="255"/>
  <c r="X2" i="256"/>
  <c r="X2" i="257"/>
  <c r="W2" i="256"/>
  <c r="W2" i="255"/>
  <c r="W2" i="257"/>
  <c r="V3" i="257"/>
  <c r="V3" i="255"/>
  <c r="V3" i="256"/>
  <c r="B3" i="257"/>
  <c r="B3" i="255"/>
  <c r="B3" i="256"/>
  <c r="O3" i="256"/>
  <c r="O3" i="257"/>
  <c r="O3" i="255"/>
  <c r="N2" i="256"/>
  <c r="N2" i="255"/>
  <c r="N2" i="257"/>
  <c r="E4" i="257"/>
  <c r="E4" i="256"/>
  <c r="E4" i="255"/>
  <c r="M2" i="256"/>
  <c r="M2" i="255"/>
  <c r="M2" i="257"/>
  <c r="T4" i="256"/>
  <c r="T4" i="255"/>
  <c r="T4" i="257"/>
  <c r="D4" i="255"/>
  <c r="D4" i="256"/>
  <c r="D4" i="257"/>
  <c r="L3" i="257"/>
  <c r="L3" i="255"/>
  <c r="L3" i="256"/>
  <c r="H4" i="260" l="1"/>
  <c r="H4" i="258"/>
  <c r="H4" i="259"/>
  <c r="V4" i="272"/>
  <c r="V4" i="271"/>
  <c r="V4" i="270"/>
  <c r="V3" i="263"/>
  <c r="V3" i="262"/>
  <c r="V3" i="261"/>
  <c r="X4" i="261"/>
  <c r="X4" i="262"/>
  <c r="X4" i="263"/>
  <c r="F3" i="260"/>
  <c r="F3" i="259"/>
  <c r="F3" i="258"/>
  <c r="J2" i="272"/>
  <c r="J2" i="270"/>
  <c r="J2" i="271"/>
  <c r="N2" i="272"/>
  <c r="N2" i="270"/>
  <c r="N2" i="271"/>
  <c r="B2" i="272"/>
  <c r="B2" i="271"/>
  <c r="B2" i="270"/>
  <c r="U2" i="272"/>
  <c r="U2" i="271"/>
  <c r="U2" i="270"/>
  <c r="P3" i="272"/>
  <c r="P3" i="270"/>
  <c r="P3" i="271"/>
  <c r="C4" i="268"/>
  <c r="C4" i="269"/>
  <c r="C4" i="267"/>
  <c r="V4" i="269"/>
  <c r="V4" i="267"/>
  <c r="V4" i="268"/>
  <c r="J2" i="269"/>
  <c r="J2" i="267"/>
  <c r="J2" i="268"/>
  <c r="N2" i="269"/>
  <c r="N2" i="268"/>
  <c r="N2" i="267"/>
  <c r="D3" i="260"/>
  <c r="D3" i="258"/>
  <c r="D3" i="259"/>
  <c r="P3" i="267"/>
  <c r="P3" i="269"/>
  <c r="P3" i="268"/>
  <c r="S4" i="260"/>
  <c r="S4" i="258"/>
  <c r="S4" i="259"/>
  <c r="J4" i="263"/>
  <c r="J4" i="261"/>
  <c r="J4" i="262"/>
  <c r="N4" i="263"/>
  <c r="N4" i="261"/>
  <c r="N4" i="262"/>
  <c r="B4" i="263"/>
  <c r="B4" i="262"/>
  <c r="B4" i="261"/>
  <c r="U4" i="263"/>
  <c r="U4" i="261"/>
  <c r="U4" i="262"/>
  <c r="I2" i="263"/>
  <c r="I2" i="261"/>
  <c r="I2" i="262"/>
  <c r="D2" i="260"/>
  <c r="D2" i="258"/>
  <c r="D2" i="259"/>
  <c r="W2" i="260"/>
  <c r="W2" i="258"/>
  <c r="W2" i="259"/>
  <c r="R3" i="259"/>
  <c r="R3" i="260"/>
  <c r="R3" i="258"/>
  <c r="V3" i="260"/>
  <c r="V3" i="259"/>
  <c r="V3" i="258"/>
  <c r="B3" i="272"/>
  <c r="B3" i="270"/>
  <c r="B3" i="271"/>
  <c r="F3" i="270"/>
  <c r="F3" i="271"/>
  <c r="F3" i="272"/>
  <c r="R2" i="272"/>
  <c r="R2" i="270"/>
  <c r="R2" i="271"/>
  <c r="M3" i="272"/>
  <c r="M3" i="270"/>
  <c r="M3" i="271"/>
  <c r="H4" i="272"/>
  <c r="H4" i="270"/>
  <c r="H4" i="271"/>
  <c r="S4" i="269"/>
  <c r="S4" i="267"/>
  <c r="S4" i="268"/>
  <c r="G2" i="268"/>
  <c r="G2" i="269"/>
  <c r="G2" i="267"/>
  <c r="B3" i="269"/>
  <c r="B3" i="267"/>
  <c r="B3" i="268"/>
  <c r="F3" i="269"/>
  <c r="F3" i="268"/>
  <c r="F3" i="267"/>
  <c r="R3" i="263"/>
  <c r="R3" i="261"/>
  <c r="R3" i="262"/>
  <c r="E4" i="263"/>
  <c r="E4" i="262"/>
  <c r="E4" i="261"/>
  <c r="B3" i="260"/>
  <c r="B3" i="258"/>
  <c r="B3" i="259"/>
  <c r="Y2" i="263"/>
  <c r="Y2" i="261"/>
  <c r="Y2" i="262"/>
  <c r="T2" i="260"/>
  <c r="T2" i="258"/>
  <c r="T2" i="259"/>
  <c r="J4" i="258"/>
  <c r="J4" i="259"/>
  <c r="J4" i="260"/>
  <c r="N4" i="260"/>
  <c r="N4" i="258"/>
  <c r="N4" i="259"/>
  <c r="R3" i="272"/>
  <c r="R3" i="271"/>
  <c r="R3" i="270"/>
  <c r="V3" i="272"/>
  <c r="V3" i="271"/>
  <c r="V3" i="270"/>
  <c r="J3" i="271"/>
  <c r="J3" i="270"/>
  <c r="J3" i="272"/>
  <c r="E4" i="271"/>
  <c r="E4" i="272"/>
  <c r="E4" i="270"/>
  <c r="X4" i="272"/>
  <c r="X4" i="270"/>
  <c r="X4" i="271"/>
  <c r="D2" i="269"/>
  <c r="D2" i="267"/>
  <c r="D2" i="268"/>
  <c r="W2" i="269"/>
  <c r="W2" i="267"/>
  <c r="W2" i="268"/>
  <c r="R3" i="267"/>
  <c r="R3" i="269"/>
  <c r="R3" i="268"/>
  <c r="V3" i="269"/>
  <c r="V3" i="268"/>
  <c r="V3" i="267"/>
  <c r="C3" i="263"/>
  <c r="C3" i="261"/>
  <c r="C3" i="262"/>
  <c r="G3" i="263"/>
  <c r="G3" i="261"/>
  <c r="G3" i="262"/>
  <c r="C2" i="263"/>
  <c r="C2" i="261"/>
  <c r="C2" i="262"/>
  <c r="V2" i="261"/>
  <c r="V2" i="262"/>
  <c r="V2" i="263"/>
  <c r="Q3" i="263"/>
  <c r="Q3" i="261"/>
  <c r="Q3" i="262"/>
  <c r="L3" i="260"/>
  <c r="L3" i="259"/>
  <c r="L3" i="258"/>
  <c r="G4" i="258"/>
  <c r="G4" i="260"/>
  <c r="G4" i="259"/>
  <c r="K2" i="260"/>
  <c r="K2" i="258"/>
  <c r="K2" i="259"/>
  <c r="O2" i="260"/>
  <c r="O2" i="258"/>
  <c r="O2" i="259"/>
  <c r="J4" i="272"/>
  <c r="J4" i="270"/>
  <c r="J4" i="271"/>
  <c r="N4" i="272"/>
  <c r="N4" i="271"/>
  <c r="N4" i="270"/>
  <c r="B4" i="272"/>
  <c r="B4" i="270"/>
  <c r="B4" i="271"/>
  <c r="U4" i="272"/>
  <c r="U4" i="270"/>
  <c r="U4" i="271"/>
  <c r="I2" i="271"/>
  <c r="I2" i="270"/>
  <c r="I2" i="272"/>
  <c r="T2" i="269"/>
  <c r="T2" i="267"/>
  <c r="T2" i="268"/>
  <c r="O3" i="269"/>
  <c r="O3" i="267"/>
  <c r="O3" i="268"/>
  <c r="J4" i="269"/>
  <c r="J4" i="267"/>
  <c r="J4" i="268"/>
  <c r="N4" i="267"/>
  <c r="N4" i="268"/>
  <c r="N4" i="269"/>
  <c r="W2" i="263"/>
  <c r="W2" i="261"/>
  <c r="W2" i="262"/>
  <c r="C4" i="272"/>
  <c r="C4" i="270"/>
  <c r="C4" i="271"/>
  <c r="J3" i="263"/>
  <c r="J3" i="261"/>
  <c r="J3" i="262"/>
  <c r="G2" i="260"/>
  <c r="G2" i="258"/>
  <c r="G2" i="259"/>
  <c r="K2" i="262"/>
  <c r="K2" i="263"/>
  <c r="K2" i="261"/>
  <c r="O2" i="263"/>
  <c r="O2" i="262"/>
  <c r="O2" i="261"/>
  <c r="R4" i="263"/>
  <c r="R4" i="261"/>
  <c r="R4" i="262"/>
  <c r="F2" i="263"/>
  <c r="F2" i="261"/>
  <c r="F2" i="262"/>
  <c r="O3" i="260"/>
  <c r="O3" i="258"/>
  <c r="O3" i="259"/>
  <c r="S3" i="261"/>
  <c r="S3" i="263"/>
  <c r="S3" i="262"/>
  <c r="W3" i="262"/>
  <c r="W3" i="263"/>
  <c r="W3" i="261"/>
  <c r="S2" i="263"/>
  <c r="S2" i="261"/>
  <c r="S2" i="262"/>
  <c r="N3" i="261"/>
  <c r="N3" i="263"/>
  <c r="N3" i="262"/>
  <c r="I4" i="263"/>
  <c r="I4" i="261"/>
  <c r="I4" i="262"/>
  <c r="D4" i="260"/>
  <c r="D4" i="258"/>
  <c r="D4" i="259"/>
  <c r="W4" i="260"/>
  <c r="W4" i="258"/>
  <c r="W4" i="259"/>
  <c r="C3" i="260"/>
  <c r="C3" i="258"/>
  <c r="C3" i="259"/>
  <c r="G3" i="260"/>
  <c r="G3" i="259"/>
  <c r="G3" i="258"/>
  <c r="K2" i="272"/>
  <c r="K2" i="270"/>
  <c r="K2" i="271"/>
  <c r="O2" i="272"/>
  <c r="O2" i="270"/>
  <c r="O2" i="271"/>
  <c r="R4" i="272"/>
  <c r="R4" i="270"/>
  <c r="R4" i="271"/>
  <c r="F2" i="272"/>
  <c r="F2" i="271"/>
  <c r="F2" i="270"/>
  <c r="Y2" i="270"/>
  <c r="Y2" i="271"/>
  <c r="Y2" i="272"/>
  <c r="L3" i="269"/>
  <c r="L3" i="267"/>
  <c r="L3" i="268"/>
  <c r="G4" i="267"/>
  <c r="G4" i="268"/>
  <c r="G4" i="269"/>
  <c r="K2" i="269"/>
  <c r="K2" i="267"/>
  <c r="K2" i="268"/>
  <c r="O2" i="269"/>
  <c r="O2" i="267"/>
  <c r="O2" i="268"/>
  <c r="V2" i="272"/>
  <c r="V2" i="270"/>
  <c r="V2" i="271"/>
  <c r="Q3" i="271"/>
  <c r="Q3" i="272"/>
  <c r="Q3" i="270"/>
  <c r="D4" i="269"/>
  <c r="D4" i="268"/>
  <c r="D4" i="267"/>
  <c r="W4" i="269"/>
  <c r="W4" i="267"/>
  <c r="W4" i="268"/>
  <c r="C3" i="267"/>
  <c r="C3" i="268"/>
  <c r="C3" i="269"/>
  <c r="G3" i="269"/>
  <c r="G3" i="267"/>
  <c r="G3" i="268"/>
  <c r="G3" i="272"/>
  <c r="G3" i="271"/>
  <c r="G3" i="270"/>
  <c r="L2" i="263"/>
  <c r="L2" i="261"/>
  <c r="L2" i="262"/>
  <c r="P2" i="263"/>
  <c r="P2" i="261"/>
  <c r="P2" i="262"/>
  <c r="X2" i="260"/>
  <c r="X2" i="258"/>
  <c r="X2" i="259"/>
  <c r="K4" i="260"/>
  <c r="K4" i="259"/>
  <c r="K4" i="258"/>
  <c r="W3" i="269"/>
  <c r="W3" i="268"/>
  <c r="W3" i="267"/>
  <c r="K4" i="263"/>
  <c r="K4" i="261"/>
  <c r="K4" i="262"/>
  <c r="O4" i="262"/>
  <c r="O4" i="263"/>
  <c r="O4" i="261"/>
  <c r="K3" i="263"/>
  <c r="K3" i="261"/>
  <c r="K3" i="262"/>
  <c r="F4" i="263"/>
  <c r="F4" i="261"/>
  <c r="F4" i="262"/>
  <c r="Y4" i="263"/>
  <c r="Y4" i="262"/>
  <c r="Y4" i="261"/>
  <c r="T4" i="260"/>
  <c r="T4" i="259"/>
  <c r="T4" i="258"/>
  <c r="H2" i="260"/>
  <c r="H2" i="258"/>
  <c r="H2" i="259"/>
  <c r="S3" i="260"/>
  <c r="S3" i="258"/>
  <c r="S3" i="259"/>
  <c r="W3" i="258"/>
  <c r="W3" i="259"/>
  <c r="W3" i="260"/>
  <c r="C3" i="272"/>
  <c r="C3" i="270"/>
  <c r="C3" i="271"/>
  <c r="C2" i="272"/>
  <c r="C2" i="271"/>
  <c r="C2" i="270"/>
  <c r="C4" i="263"/>
  <c r="C4" i="261"/>
  <c r="C4" i="262"/>
  <c r="V4" i="263"/>
  <c r="V4" i="261"/>
  <c r="V4" i="262"/>
  <c r="E2" i="260"/>
  <c r="E2" i="258"/>
  <c r="E2" i="259"/>
  <c r="O4" i="260"/>
  <c r="O4" i="259"/>
  <c r="O4" i="258"/>
  <c r="S3" i="270"/>
  <c r="S3" i="271"/>
  <c r="S3" i="272"/>
  <c r="W3" i="272"/>
  <c r="W3" i="270"/>
  <c r="W3" i="271"/>
  <c r="S2" i="271"/>
  <c r="S2" i="272"/>
  <c r="S2" i="270"/>
  <c r="N3" i="272"/>
  <c r="N3" i="270"/>
  <c r="N3" i="271"/>
  <c r="I4" i="272"/>
  <c r="I4" i="271"/>
  <c r="I4" i="270"/>
  <c r="T4" i="267"/>
  <c r="T4" i="268"/>
  <c r="T4" i="269"/>
  <c r="H2" i="269"/>
  <c r="H2" i="267"/>
  <c r="H2" i="268"/>
  <c r="S3" i="269"/>
  <c r="S3" i="267"/>
  <c r="S3" i="268"/>
  <c r="D3" i="263"/>
  <c r="D3" i="262"/>
  <c r="D3" i="261"/>
  <c r="H3" i="262"/>
  <c r="H3" i="263"/>
  <c r="H3" i="261"/>
  <c r="S4" i="263"/>
  <c r="S4" i="261"/>
  <c r="S4" i="262"/>
  <c r="G2" i="263"/>
  <c r="G2" i="261"/>
  <c r="G2" i="262"/>
  <c r="B2" i="260"/>
  <c r="B2" i="258"/>
  <c r="B2" i="259"/>
  <c r="U2" i="260"/>
  <c r="U2" i="258"/>
  <c r="U2" i="259"/>
  <c r="P3" i="260"/>
  <c r="P3" i="258"/>
  <c r="P3" i="259"/>
  <c r="L2" i="260"/>
  <c r="L2" i="259"/>
  <c r="L2" i="258"/>
  <c r="P2" i="258"/>
  <c r="P2" i="259"/>
  <c r="P2" i="260"/>
  <c r="K4" i="272"/>
  <c r="K4" i="271"/>
  <c r="K4" i="270"/>
  <c r="O4" i="272"/>
  <c r="O4" i="270"/>
  <c r="O4" i="271"/>
  <c r="K3" i="270"/>
  <c r="K3" i="271"/>
  <c r="K3" i="272"/>
  <c r="F4" i="270"/>
  <c r="F4" i="271"/>
  <c r="F4" i="272"/>
  <c r="Y4" i="272"/>
  <c r="Y4" i="271"/>
  <c r="Y4" i="270"/>
  <c r="E2" i="269"/>
  <c r="E2" i="267"/>
  <c r="E2" i="268"/>
  <c r="X2" i="267"/>
  <c r="X2" i="269"/>
  <c r="X2" i="268"/>
  <c r="K4" i="267"/>
  <c r="K4" i="268"/>
  <c r="K4" i="269"/>
  <c r="O4" i="268"/>
  <c r="O4" i="269"/>
  <c r="O4" i="267"/>
  <c r="O3" i="262"/>
  <c r="O3" i="261"/>
  <c r="O3" i="263"/>
  <c r="T3" i="260"/>
  <c r="T3" i="258"/>
  <c r="T3" i="259"/>
  <c r="D3" i="272"/>
  <c r="D3" i="270"/>
  <c r="D3" i="271"/>
  <c r="H3" i="270"/>
  <c r="H3" i="271"/>
  <c r="H3" i="272"/>
  <c r="S4" i="272"/>
  <c r="S4" i="270"/>
  <c r="S4" i="271"/>
  <c r="G2" i="272"/>
  <c r="G2" i="270"/>
  <c r="G2" i="271"/>
  <c r="R2" i="269"/>
  <c r="R2" i="267"/>
  <c r="R2" i="268"/>
  <c r="M3" i="268"/>
  <c r="M3" i="267"/>
  <c r="M3" i="269"/>
  <c r="H4" i="268"/>
  <c r="H4" i="269"/>
  <c r="H4" i="267"/>
  <c r="D3" i="269"/>
  <c r="D3" i="267"/>
  <c r="D3" i="268"/>
  <c r="H3" i="268"/>
  <c r="H3" i="269"/>
  <c r="H3" i="267"/>
  <c r="X3" i="263"/>
  <c r="X3" i="261"/>
  <c r="X3" i="262"/>
  <c r="P2" i="270"/>
  <c r="P2" i="271"/>
  <c r="P2" i="272"/>
  <c r="L2" i="267"/>
  <c r="L2" i="269"/>
  <c r="L2" i="268"/>
  <c r="L4" i="261"/>
  <c r="L4" i="263"/>
  <c r="L4" i="262"/>
  <c r="T2" i="263"/>
  <c r="T2" i="261"/>
  <c r="T2" i="262"/>
  <c r="J3" i="260"/>
  <c r="J3" i="258"/>
  <c r="J3" i="259"/>
  <c r="X3" i="260"/>
  <c r="X3" i="259"/>
  <c r="X3" i="258"/>
  <c r="D2" i="263"/>
  <c r="D2" i="261"/>
  <c r="D2" i="262"/>
  <c r="M3" i="260"/>
  <c r="M3" i="258"/>
  <c r="M3" i="259"/>
  <c r="L2" i="271"/>
  <c r="L2" i="272"/>
  <c r="L2" i="270"/>
  <c r="U2" i="267"/>
  <c r="U2" i="268"/>
  <c r="U2" i="269"/>
  <c r="P4" i="263"/>
  <c r="P4" i="261"/>
  <c r="P4" i="262"/>
  <c r="E4" i="260"/>
  <c r="E4" i="259"/>
  <c r="E4" i="258"/>
  <c r="L3" i="263"/>
  <c r="L3" i="261"/>
  <c r="L3" i="262"/>
  <c r="I2" i="260"/>
  <c r="I2" i="258"/>
  <c r="I2" i="259"/>
  <c r="X3" i="272"/>
  <c r="X3" i="270"/>
  <c r="X3" i="271"/>
  <c r="W2" i="271"/>
  <c r="W2" i="270"/>
  <c r="W2" i="272"/>
  <c r="E3" i="262"/>
  <c r="E3" i="263"/>
  <c r="E3" i="261"/>
  <c r="I3" i="261"/>
  <c r="I3" i="263"/>
  <c r="I3" i="262"/>
  <c r="D4" i="261"/>
  <c r="D4" i="263"/>
  <c r="D4" i="262"/>
  <c r="W4" i="263"/>
  <c r="W4" i="261"/>
  <c r="W4" i="262"/>
  <c r="R4" i="260"/>
  <c r="R4" i="258"/>
  <c r="R4" i="259"/>
  <c r="F2" i="259"/>
  <c r="F2" i="260"/>
  <c r="F2" i="258"/>
  <c r="Y2" i="258"/>
  <c r="Y2" i="260"/>
  <c r="Y2" i="259"/>
  <c r="M2" i="258"/>
  <c r="M2" i="260"/>
  <c r="M2" i="259"/>
  <c r="Q2" i="259"/>
  <c r="Q2" i="260"/>
  <c r="Q2" i="258"/>
  <c r="L4" i="272"/>
  <c r="L4" i="270"/>
  <c r="L4" i="271"/>
  <c r="P4" i="272"/>
  <c r="P4" i="270"/>
  <c r="P4" i="271"/>
  <c r="T2" i="272"/>
  <c r="T2" i="270"/>
  <c r="T2" i="271"/>
  <c r="O3" i="271"/>
  <c r="O3" i="272"/>
  <c r="O3" i="270"/>
  <c r="B4" i="269"/>
  <c r="B4" i="267"/>
  <c r="B4" i="268"/>
  <c r="U4" i="268"/>
  <c r="U4" i="269"/>
  <c r="U4" i="267"/>
  <c r="I2" i="267"/>
  <c r="I2" i="269"/>
  <c r="I2" i="268"/>
  <c r="L4" i="269"/>
  <c r="L4" i="268"/>
  <c r="L4" i="267"/>
  <c r="P4" i="267"/>
  <c r="P4" i="268"/>
  <c r="P4" i="269"/>
  <c r="X4" i="260"/>
  <c r="X4" i="258"/>
  <c r="X4" i="259"/>
  <c r="M2" i="263"/>
  <c r="M2" i="262"/>
  <c r="M2" i="261"/>
  <c r="Q2" i="263"/>
  <c r="Q2" i="262"/>
  <c r="Q2" i="261"/>
  <c r="G4" i="261"/>
  <c r="G4" i="263"/>
  <c r="G4" i="262"/>
  <c r="B4" i="258"/>
  <c r="B4" i="260"/>
  <c r="B4" i="259"/>
  <c r="L4" i="260"/>
  <c r="L4" i="258"/>
  <c r="L4" i="259"/>
  <c r="T3" i="272"/>
  <c r="T3" i="271"/>
  <c r="T3" i="270"/>
  <c r="J3" i="268"/>
  <c r="J3" i="269"/>
  <c r="J3" i="267"/>
  <c r="X4" i="269"/>
  <c r="X4" i="267"/>
  <c r="X4" i="268"/>
  <c r="T3" i="268"/>
  <c r="T3" i="269"/>
  <c r="T3" i="267"/>
  <c r="U3" i="263"/>
  <c r="U3" i="261"/>
  <c r="U3" i="262"/>
  <c r="Y3" i="261"/>
  <c r="Y3" i="263"/>
  <c r="Y3" i="262"/>
  <c r="T4" i="261"/>
  <c r="T4" i="263"/>
  <c r="T4" i="262"/>
  <c r="H2" i="263"/>
  <c r="H2" i="261"/>
  <c r="H2" i="262"/>
  <c r="C2" i="260"/>
  <c r="C2" i="259"/>
  <c r="C2" i="258"/>
  <c r="V2" i="259"/>
  <c r="V2" i="260"/>
  <c r="V2" i="258"/>
  <c r="Q3" i="258"/>
  <c r="Q3" i="260"/>
  <c r="Q3" i="259"/>
  <c r="E3" i="260"/>
  <c r="E3" i="258"/>
  <c r="E3" i="259"/>
  <c r="I3" i="258"/>
  <c r="I3" i="260"/>
  <c r="I3" i="259"/>
  <c r="M2" i="270"/>
  <c r="M2" i="271"/>
  <c r="M2" i="272"/>
  <c r="Q2" i="270"/>
  <c r="Q2" i="272"/>
  <c r="Q2" i="271"/>
  <c r="L3" i="272"/>
  <c r="L3" i="271"/>
  <c r="L3" i="270"/>
  <c r="G4" i="270"/>
  <c r="G4" i="272"/>
  <c r="G4" i="271"/>
  <c r="R4" i="267"/>
  <c r="R4" i="269"/>
  <c r="R4" i="268"/>
  <c r="F2" i="268"/>
  <c r="F2" i="269"/>
  <c r="F2" i="267"/>
  <c r="Y2" i="268"/>
  <c r="Y2" i="269"/>
  <c r="Y2" i="267"/>
  <c r="M2" i="267"/>
  <c r="M2" i="268"/>
  <c r="M2" i="269"/>
  <c r="Q2" i="267"/>
  <c r="Q2" i="269"/>
  <c r="Q2" i="268"/>
  <c r="X3" i="269"/>
  <c r="X3" i="267"/>
  <c r="X3" i="268"/>
  <c r="M4" i="261"/>
  <c r="M4" i="263"/>
  <c r="M4" i="262"/>
  <c r="Q4" i="261"/>
  <c r="Q4" i="263"/>
  <c r="Q4" i="262"/>
  <c r="E2" i="261"/>
  <c r="E2" i="263"/>
  <c r="E2" i="262"/>
  <c r="X2" i="262"/>
  <c r="X2" i="261"/>
  <c r="X2" i="263"/>
  <c r="S2" i="258"/>
  <c r="S2" i="259"/>
  <c r="S2" i="260"/>
  <c r="N3" i="259"/>
  <c r="N3" i="258"/>
  <c r="N3" i="260"/>
  <c r="I4" i="259"/>
  <c r="I4" i="260"/>
  <c r="I4" i="258"/>
  <c r="U3" i="260"/>
  <c r="U3" i="258"/>
  <c r="U3" i="259"/>
  <c r="Y3" i="259"/>
  <c r="Y3" i="258"/>
  <c r="Y3" i="260"/>
  <c r="E3" i="272"/>
  <c r="E3" i="270"/>
  <c r="E3" i="271"/>
  <c r="I3" i="272"/>
  <c r="I3" i="270"/>
  <c r="I3" i="271"/>
  <c r="D4" i="272"/>
  <c r="D4" i="271"/>
  <c r="D4" i="270"/>
  <c r="W4" i="271"/>
  <c r="W4" i="272"/>
  <c r="W4" i="270"/>
  <c r="C2" i="267"/>
  <c r="C2" i="269"/>
  <c r="C2" i="268"/>
  <c r="V2" i="268"/>
  <c r="V2" i="269"/>
  <c r="V2" i="267"/>
  <c r="Q3" i="269"/>
  <c r="Q3" i="268"/>
  <c r="Q3" i="267"/>
  <c r="E3" i="269"/>
  <c r="E3" i="267"/>
  <c r="E3" i="268"/>
  <c r="I3" i="268"/>
  <c r="I3" i="267"/>
  <c r="I3" i="269"/>
  <c r="R2" i="260"/>
  <c r="R2" i="258"/>
  <c r="R2" i="259"/>
  <c r="B2" i="267"/>
  <c r="B2" i="268"/>
  <c r="B2" i="269"/>
  <c r="U4" i="260"/>
  <c r="U4" i="258"/>
  <c r="U4" i="259"/>
  <c r="P4" i="259"/>
  <c r="P4" i="258"/>
  <c r="P4" i="260"/>
  <c r="D2" i="272"/>
  <c r="D2" i="271"/>
  <c r="D2" i="270"/>
  <c r="E4" i="269"/>
  <c r="E4" i="268"/>
  <c r="E4" i="267"/>
  <c r="Q2" i="232"/>
  <c r="Q2" i="310"/>
  <c r="Q2" i="309"/>
  <c r="Q2" i="233"/>
  <c r="Q2" i="311"/>
  <c r="Q2" i="231"/>
  <c r="J2" i="262"/>
  <c r="J2" i="263"/>
  <c r="J2" i="261"/>
  <c r="N2" i="261"/>
  <c r="N2" i="262"/>
  <c r="N2" i="263"/>
  <c r="B2" i="263"/>
  <c r="B2" i="261"/>
  <c r="B2" i="262"/>
  <c r="U2" i="261"/>
  <c r="U2" i="262"/>
  <c r="U2" i="263"/>
  <c r="P3" i="263"/>
  <c r="P3" i="262"/>
  <c r="P3" i="261"/>
  <c r="K3" i="258"/>
  <c r="K3" i="259"/>
  <c r="K3" i="260"/>
  <c r="F4" i="260"/>
  <c r="F4" i="259"/>
  <c r="F4" i="258"/>
  <c r="Y4" i="260"/>
  <c r="Y4" i="259"/>
  <c r="Y4" i="258"/>
  <c r="M4" i="258"/>
  <c r="M4" i="259"/>
  <c r="M4" i="260"/>
  <c r="Q4" i="258"/>
  <c r="Q4" i="260"/>
  <c r="Q4" i="259"/>
  <c r="U3" i="270"/>
  <c r="U3" i="272"/>
  <c r="U3" i="271"/>
  <c r="Y3" i="271"/>
  <c r="Y3" i="272"/>
  <c r="Y3" i="270"/>
  <c r="T4" i="270"/>
  <c r="T4" i="272"/>
  <c r="T4" i="271"/>
  <c r="H2" i="271"/>
  <c r="H2" i="270"/>
  <c r="H2" i="272"/>
  <c r="S2" i="269"/>
  <c r="S2" i="267"/>
  <c r="S2" i="268"/>
  <c r="N3" i="267"/>
  <c r="N3" i="268"/>
  <c r="N3" i="269"/>
  <c r="I4" i="269"/>
  <c r="I4" i="268"/>
  <c r="I4" i="267"/>
  <c r="U3" i="268"/>
  <c r="U3" i="269"/>
  <c r="U3" i="267"/>
  <c r="Y3" i="269"/>
  <c r="Y3" i="267"/>
  <c r="Y3" i="268"/>
  <c r="T3" i="263"/>
  <c r="T3" i="261"/>
  <c r="T3" i="262"/>
  <c r="H3" i="260"/>
  <c r="H3" i="258"/>
  <c r="H3" i="259"/>
  <c r="P2" i="269"/>
  <c r="P2" i="267"/>
  <c r="P2" i="268"/>
  <c r="O4" i="232"/>
  <c r="O4" i="309"/>
  <c r="O4" i="233"/>
  <c r="O4" i="311"/>
  <c r="O4" i="231"/>
  <c r="O4" i="310"/>
  <c r="B3" i="262"/>
  <c r="B3" i="263"/>
  <c r="B3" i="261"/>
  <c r="F3" i="262"/>
  <c r="F3" i="263"/>
  <c r="F3" i="261"/>
  <c r="R2" i="261"/>
  <c r="R2" i="262"/>
  <c r="R2" i="263"/>
  <c r="M3" i="262"/>
  <c r="M3" i="263"/>
  <c r="M3" i="261"/>
  <c r="H4" i="263"/>
  <c r="H4" i="262"/>
  <c r="H4" i="261"/>
  <c r="C4" i="260"/>
  <c r="C4" i="259"/>
  <c r="C4" i="258"/>
  <c r="V4" i="260"/>
  <c r="V4" i="259"/>
  <c r="V4" i="258"/>
  <c r="J2" i="259"/>
  <c r="J2" i="260"/>
  <c r="J2" i="258"/>
  <c r="N2" i="258"/>
  <c r="N2" i="259"/>
  <c r="N2" i="260"/>
  <c r="B4" i="194"/>
  <c r="B4" i="182"/>
  <c r="B4" i="195"/>
  <c r="M4" i="272"/>
  <c r="M4" i="270"/>
  <c r="M4" i="271"/>
  <c r="Q4" i="272"/>
  <c r="Q4" i="271"/>
  <c r="Q4" i="270"/>
  <c r="E2" i="270"/>
  <c r="E2" i="272"/>
  <c r="E2" i="271"/>
  <c r="X2" i="270"/>
  <c r="X2" i="271"/>
  <c r="X2" i="272"/>
  <c r="K3" i="268"/>
  <c r="K3" i="267"/>
  <c r="K3" i="269"/>
  <c r="F4" i="269"/>
  <c r="F4" i="268"/>
  <c r="F4" i="267"/>
  <c r="Y4" i="268"/>
  <c r="Y4" i="269"/>
  <c r="Y4" i="267"/>
  <c r="M4" i="268"/>
  <c r="M4" i="269"/>
  <c r="M4" i="267"/>
  <c r="Q4" i="267"/>
  <c r="Q4" i="268"/>
  <c r="Q4" i="269"/>
  <c r="F4" i="219" l="1"/>
  <c r="F4" i="220"/>
  <c r="F4" i="299"/>
  <c r="F4" i="297"/>
  <c r="F4" i="298"/>
  <c r="F4" i="221"/>
  <c r="Q4" i="184"/>
  <c r="Q4" i="201"/>
  <c r="Q4" i="200"/>
  <c r="U4" i="229"/>
  <c r="U4" i="306"/>
  <c r="U4" i="230"/>
  <c r="U4" i="308"/>
  <c r="U4" i="307"/>
  <c r="U4" i="228"/>
  <c r="I2" i="201"/>
  <c r="I2" i="200"/>
  <c r="I2" i="184"/>
  <c r="L4" i="195"/>
  <c r="L4" i="182"/>
  <c r="L4" i="194"/>
  <c r="O4" i="203"/>
  <c r="O4" i="185"/>
  <c r="O4" i="202"/>
  <c r="D2" i="195"/>
  <c r="D2" i="182"/>
  <c r="D2" i="194"/>
  <c r="X4" i="200"/>
  <c r="X4" i="184"/>
  <c r="X4" i="201"/>
  <c r="N4" i="194"/>
  <c r="N4" i="182"/>
  <c r="N4" i="195"/>
  <c r="B4" i="222"/>
  <c r="B4" i="301"/>
  <c r="B4" i="223"/>
  <c r="B4" i="224"/>
  <c r="B4" i="300"/>
  <c r="B4" i="302"/>
  <c r="P4" i="231"/>
  <c r="P4" i="233"/>
  <c r="P4" i="310"/>
  <c r="P4" i="311"/>
  <c r="P4" i="309"/>
  <c r="P4" i="232"/>
  <c r="U2" i="194"/>
  <c r="U2" i="182"/>
  <c r="U2" i="195"/>
  <c r="H3" i="196"/>
  <c r="H3" i="197"/>
  <c r="H3" i="183"/>
  <c r="D3" i="183"/>
  <c r="D3" i="196"/>
  <c r="D3" i="197"/>
  <c r="I4" i="182"/>
  <c r="I4" i="194"/>
  <c r="I4" i="195"/>
  <c r="B3" i="184"/>
  <c r="B3" i="201"/>
  <c r="B3" i="200"/>
  <c r="Q3" i="196"/>
  <c r="Q3" i="197"/>
  <c r="Q3" i="183"/>
  <c r="L2" i="202"/>
  <c r="L2" i="185"/>
  <c r="L2" i="203"/>
  <c r="V3" i="185"/>
  <c r="V3" i="203"/>
  <c r="V3" i="202"/>
  <c r="Q2" i="182"/>
  <c r="Q2" i="195"/>
  <c r="Q2" i="194"/>
  <c r="E4" i="201"/>
  <c r="E4" i="200"/>
  <c r="E4" i="184"/>
  <c r="I3" i="220"/>
  <c r="I3" i="297"/>
  <c r="I3" i="221"/>
  <c r="I3" i="219"/>
  <c r="I3" i="299"/>
  <c r="I3" i="298"/>
  <c r="J4" i="232"/>
  <c r="J4" i="233"/>
  <c r="J4" i="310"/>
  <c r="J4" i="311"/>
  <c r="J4" i="309"/>
  <c r="J4" i="231"/>
  <c r="T2" i="300"/>
  <c r="T2" i="223"/>
  <c r="T2" i="301"/>
  <c r="T2" i="224"/>
  <c r="T2" i="302"/>
  <c r="T2" i="222"/>
  <c r="R2" i="195"/>
  <c r="R2" i="182"/>
  <c r="R2" i="194"/>
  <c r="M2" i="297"/>
  <c r="M2" i="220"/>
  <c r="M2" i="221"/>
  <c r="M2" i="299"/>
  <c r="M2" i="298"/>
  <c r="M2" i="219"/>
  <c r="U3" i="222"/>
  <c r="U3" i="224"/>
  <c r="U3" i="302"/>
  <c r="U3" i="301"/>
  <c r="U3" i="300"/>
  <c r="U3" i="223"/>
  <c r="O4" i="307"/>
  <c r="O4" i="306"/>
  <c r="O4" i="308"/>
  <c r="O4" i="229"/>
  <c r="O4" i="228"/>
  <c r="O4" i="230"/>
  <c r="G2" i="182"/>
  <c r="G2" i="194"/>
  <c r="G2" i="195"/>
  <c r="G3" i="195"/>
  <c r="G3" i="182"/>
  <c r="G3" i="194"/>
  <c r="N3" i="203"/>
  <c r="N3" i="202"/>
  <c r="N3" i="185"/>
  <c r="R3" i="222"/>
  <c r="R3" i="301"/>
  <c r="R3" i="300"/>
  <c r="R3" i="302"/>
  <c r="R3" i="224"/>
  <c r="R3" i="223"/>
  <c r="E3" i="310"/>
  <c r="E3" i="233"/>
  <c r="E3" i="232"/>
  <c r="E3" i="311"/>
  <c r="E3" i="309"/>
  <c r="E3" i="231"/>
  <c r="K4" i="195"/>
  <c r="K4" i="194"/>
  <c r="K4" i="182"/>
  <c r="X3" i="197"/>
  <c r="X3" i="183"/>
  <c r="X3" i="196"/>
  <c r="Y2" i="200"/>
  <c r="Y2" i="201"/>
  <c r="Y2" i="184"/>
  <c r="B2" i="203"/>
  <c r="B2" i="185"/>
  <c r="B2" i="202"/>
  <c r="C4" i="182"/>
  <c r="C4" i="195"/>
  <c r="C4" i="194"/>
  <c r="I3" i="306"/>
  <c r="I3" i="307"/>
  <c r="I3" i="308"/>
  <c r="I3" i="228"/>
  <c r="I3" i="229"/>
  <c r="I3" i="230"/>
  <c r="R4" i="223"/>
  <c r="R4" i="222"/>
  <c r="R4" i="224"/>
  <c r="R4" i="300"/>
  <c r="R4" i="301"/>
  <c r="R4" i="302"/>
  <c r="O4" i="220"/>
  <c r="O4" i="299"/>
  <c r="O4" i="219"/>
  <c r="O4" i="221"/>
  <c r="O4" i="297"/>
  <c r="O4" i="298"/>
  <c r="J4" i="223"/>
  <c r="J4" i="222"/>
  <c r="J4" i="224"/>
  <c r="J4" i="302"/>
  <c r="J4" i="301"/>
  <c r="J4" i="300"/>
  <c r="P3" i="308"/>
  <c r="P3" i="307"/>
  <c r="P3" i="306"/>
  <c r="P3" i="230"/>
  <c r="P3" i="229"/>
  <c r="P3" i="228"/>
  <c r="B3" i="232"/>
  <c r="B3" i="309"/>
  <c r="B3" i="231"/>
  <c r="B3" i="310"/>
  <c r="B3" i="311"/>
  <c r="B3" i="233"/>
  <c r="M3" i="301"/>
  <c r="M3" i="223"/>
  <c r="M3" i="224"/>
  <c r="M3" i="222"/>
  <c r="M3" i="302"/>
  <c r="M3" i="300"/>
  <c r="W3" i="185"/>
  <c r="W3" i="202"/>
  <c r="W3" i="203"/>
  <c r="F4" i="195"/>
  <c r="F4" i="194"/>
  <c r="F4" i="182"/>
  <c r="Q4" i="185"/>
  <c r="Q4" i="203"/>
  <c r="Q4" i="202"/>
  <c r="U2" i="307"/>
  <c r="U2" i="308"/>
  <c r="U2" i="306"/>
  <c r="U2" i="229"/>
  <c r="U2" i="230"/>
  <c r="U2" i="228"/>
  <c r="U2" i="301"/>
  <c r="U2" i="224"/>
  <c r="U2" i="300"/>
  <c r="U2" i="302"/>
  <c r="U2" i="222"/>
  <c r="U2" i="223"/>
  <c r="P2" i="229"/>
  <c r="P2" i="307"/>
  <c r="P2" i="228"/>
  <c r="P2" i="308"/>
  <c r="P2" i="230"/>
  <c r="P2" i="306"/>
  <c r="K2" i="201"/>
  <c r="K2" i="200"/>
  <c r="K2" i="184"/>
  <c r="G3" i="183"/>
  <c r="G3" i="196"/>
  <c r="G3" i="197"/>
  <c r="Y2" i="203"/>
  <c r="Y2" i="185"/>
  <c r="Y2" i="202"/>
  <c r="F3" i="183"/>
  <c r="F3" i="197"/>
  <c r="F3" i="196"/>
  <c r="U3" i="195"/>
  <c r="U3" i="194"/>
  <c r="U3" i="182"/>
  <c r="R4" i="184"/>
  <c r="R4" i="200"/>
  <c r="R4" i="201"/>
  <c r="F2" i="184"/>
  <c r="F2" i="201"/>
  <c r="F2" i="200"/>
  <c r="I3" i="200"/>
  <c r="I3" i="201"/>
  <c r="I3" i="184"/>
  <c r="C4" i="202"/>
  <c r="C4" i="203"/>
  <c r="C4" i="185"/>
  <c r="M4" i="184"/>
  <c r="M4" i="201"/>
  <c r="M4" i="200"/>
  <c r="E4" i="220"/>
  <c r="E4" i="299"/>
  <c r="E4" i="297"/>
  <c r="E4" i="298"/>
  <c r="E4" i="219"/>
  <c r="E4" i="221"/>
  <c r="B4" i="219"/>
  <c r="B4" i="298"/>
  <c r="B4" i="299"/>
  <c r="B4" i="221"/>
  <c r="B4" i="220"/>
  <c r="B4" i="297"/>
  <c r="D3" i="229"/>
  <c r="D3" i="306"/>
  <c r="D3" i="228"/>
  <c r="D3" i="307"/>
  <c r="D3" i="230"/>
  <c r="D3" i="308"/>
  <c r="M2" i="229"/>
  <c r="M2" i="308"/>
  <c r="M2" i="228"/>
  <c r="M2" i="307"/>
  <c r="M2" i="230"/>
  <c r="M2" i="306"/>
  <c r="R3" i="229"/>
  <c r="R3" i="306"/>
  <c r="R3" i="230"/>
  <c r="R3" i="228"/>
  <c r="R3" i="307"/>
  <c r="R3" i="308"/>
  <c r="X3" i="224"/>
  <c r="X3" i="302"/>
  <c r="X3" i="301"/>
  <c r="X3" i="223"/>
  <c r="X3" i="222"/>
  <c r="X3" i="300"/>
  <c r="Q3" i="230"/>
  <c r="Q3" i="308"/>
  <c r="Q3" i="228"/>
  <c r="Q3" i="229"/>
  <c r="Q3" i="307"/>
  <c r="Q3" i="306"/>
  <c r="D3" i="301"/>
  <c r="D3" i="224"/>
  <c r="D3" i="302"/>
  <c r="D3" i="222"/>
  <c r="D3" i="300"/>
  <c r="D3" i="223"/>
  <c r="U4" i="310"/>
  <c r="U4" i="233"/>
  <c r="U4" i="309"/>
  <c r="U4" i="232"/>
  <c r="U4" i="231"/>
  <c r="U4" i="311"/>
  <c r="Y3" i="309"/>
  <c r="Y3" i="311"/>
  <c r="Y3" i="231"/>
  <c r="Y3" i="233"/>
  <c r="Y3" i="310"/>
  <c r="Y3" i="232"/>
  <c r="W4" i="232"/>
  <c r="W4" i="309"/>
  <c r="W4" i="311"/>
  <c r="W4" i="231"/>
  <c r="W4" i="310"/>
  <c r="W4" i="233"/>
  <c r="U3" i="220"/>
  <c r="U3" i="219"/>
  <c r="U3" i="298"/>
  <c r="U3" i="221"/>
  <c r="U3" i="297"/>
  <c r="U3" i="299"/>
  <c r="T3" i="220"/>
  <c r="T3" i="299"/>
  <c r="T3" i="297"/>
  <c r="T3" i="221"/>
  <c r="T3" i="219"/>
  <c r="T3" i="298"/>
  <c r="Y4" i="301"/>
  <c r="Y4" i="222"/>
  <c r="Y4" i="302"/>
  <c r="Y4" i="223"/>
  <c r="Y4" i="300"/>
  <c r="Y4" i="224"/>
  <c r="Y2" i="229"/>
  <c r="Y2" i="307"/>
  <c r="Y2" i="306"/>
  <c r="Y2" i="308"/>
  <c r="Y2" i="228"/>
  <c r="Y2" i="230"/>
  <c r="H2" i="197"/>
  <c r="H2" i="183"/>
  <c r="H2" i="196"/>
  <c r="F4" i="185"/>
  <c r="F4" i="203"/>
  <c r="F4" i="202"/>
  <c r="S2" i="196"/>
  <c r="S2" i="197"/>
  <c r="S2" i="183"/>
  <c r="B2" i="184"/>
  <c r="B2" i="200"/>
  <c r="B2" i="201"/>
  <c r="H2" i="194"/>
  <c r="H2" i="182"/>
  <c r="H2" i="195"/>
  <c r="N2" i="201"/>
  <c r="N2" i="184"/>
  <c r="N2" i="200"/>
  <c r="K2" i="183"/>
  <c r="K2" i="197"/>
  <c r="K2" i="196"/>
  <c r="R3" i="184"/>
  <c r="R3" i="200"/>
  <c r="R3" i="201"/>
  <c r="G2" i="203"/>
  <c r="G2" i="185"/>
  <c r="G2" i="202"/>
  <c r="G4" i="184"/>
  <c r="G4" i="200"/>
  <c r="G4" i="201"/>
  <c r="W4" i="202"/>
  <c r="W4" i="185"/>
  <c r="W4" i="203"/>
  <c r="B3" i="194"/>
  <c r="B3" i="195"/>
  <c r="B3" i="182"/>
  <c r="Y3" i="196"/>
  <c r="Y3" i="183"/>
  <c r="Y3" i="197"/>
  <c r="V2" i="184"/>
  <c r="V2" i="200"/>
  <c r="V2" i="201"/>
  <c r="C2" i="201"/>
  <c r="C2" i="200"/>
  <c r="C2" i="184"/>
  <c r="M3" i="194"/>
  <c r="M3" i="182"/>
  <c r="M3" i="195"/>
  <c r="J3" i="182"/>
  <c r="J3" i="194"/>
  <c r="J3" i="195"/>
  <c r="D4" i="183"/>
  <c r="D4" i="196"/>
  <c r="D4" i="197"/>
  <c r="P2" i="221"/>
  <c r="P2" i="297"/>
  <c r="P2" i="299"/>
  <c r="P2" i="219"/>
  <c r="P2" i="220"/>
  <c r="P2" i="298"/>
  <c r="K3" i="297"/>
  <c r="K3" i="299"/>
  <c r="K3" i="298"/>
  <c r="K3" i="221"/>
  <c r="K3" i="219"/>
  <c r="K3" i="220"/>
  <c r="T2" i="228"/>
  <c r="T2" i="230"/>
  <c r="T2" i="307"/>
  <c r="T2" i="308"/>
  <c r="T2" i="306"/>
  <c r="T2" i="229"/>
  <c r="E3" i="301"/>
  <c r="E3" i="224"/>
  <c r="E3" i="222"/>
  <c r="E3" i="223"/>
  <c r="E3" i="300"/>
  <c r="E3" i="302"/>
  <c r="F2" i="229"/>
  <c r="F2" i="228"/>
  <c r="F2" i="307"/>
  <c r="F2" i="308"/>
  <c r="F2" i="306"/>
  <c r="F2" i="230"/>
  <c r="C2" i="309"/>
  <c r="C2" i="311"/>
  <c r="C2" i="233"/>
  <c r="C2" i="310"/>
  <c r="C2" i="231"/>
  <c r="C2" i="232"/>
  <c r="E4" i="223"/>
  <c r="E4" i="224"/>
  <c r="E4" i="222"/>
  <c r="E4" i="301"/>
  <c r="E4" i="300"/>
  <c r="E4" i="302"/>
  <c r="S4" i="220"/>
  <c r="S4" i="221"/>
  <c r="S4" i="219"/>
  <c r="S4" i="299"/>
  <c r="S4" i="298"/>
  <c r="S4" i="297"/>
  <c r="N4" i="220"/>
  <c r="N4" i="298"/>
  <c r="N4" i="297"/>
  <c r="N4" i="299"/>
  <c r="N4" i="221"/>
  <c r="N4" i="219"/>
  <c r="L3" i="309"/>
  <c r="L3" i="311"/>
  <c r="L3" i="310"/>
  <c r="L3" i="231"/>
  <c r="L3" i="233"/>
  <c r="L3" i="232"/>
  <c r="K2" i="310"/>
  <c r="K2" i="311"/>
  <c r="K2" i="309"/>
  <c r="K2" i="233"/>
  <c r="K2" i="231"/>
  <c r="K2" i="232"/>
  <c r="U3" i="230"/>
  <c r="U3" i="228"/>
  <c r="U3" i="307"/>
  <c r="U3" i="308"/>
  <c r="U3" i="306"/>
  <c r="U3" i="229"/>
  <c r="Y2" i="311"/>
  <c r="Y2" i="309"/>
  <c r="Y2" i="310"/>
  <c r="Y2" i="232"/>
  <c r="Y2" i="233"/>
  <c r="Y2" i="231"/>
  <c r="S3" i="220"/>
  <c r="S3" i="221"/>
  <c r="S3" i="299"/>
  <c r="S3" i="297"/>
  <c r="S3" i="298"/>
  <c r="S3" i="219"/>
  <c r="D4" i="223"/>
  <c r="D4" i="224"/>
  <c r="D4" i="301"/>
  <c r="D4" i="300"/>
  <c r="D4" i="302"/>
  <c r="D4" i="222"/>
  <c r="N3" i="301"/>
  <c r="N3" i="302"/>
  <c r="N3" i="300"/>
  <c r="N3" i="224"/>
  <c r="N3" i="222"/>
  <c r="N3" i="223"/>
  <c r="Y4" i="220"/>
  <c r="Y4" i="221"/>
  <c r="Y4" i="299"/>
  <c r="Y4" i="297"/>
  <c r="Y4" i="298"/>
  <c r="Y4" i="219"/>
  <c r="N3" i="229"/>
  <c r="N3" i="307"/>
  <c r="N3" i="306"/>
  <c r="N3" i="308"/>
  <c r="N3" i="230"/>
  <c r="N3" i="228"/>
  <c r="K4" i="307"/>
  <c r="K4" i="306"/>
  <c r="K4" i="308"/>
  <c r="K4" i="230"/>
  <c r="K4" i="228"/>
  <c r="K4" i="229"/>
  <c r="S4" i="197"/>
  <c r="S4" i="183"/>
  <c r="S4" i="196"/>
  <c r="W2" i="184"/>
  <c r="W2" i="201"/>
  <c r="W2" i="200"/>
  <c r="F3" i="200"/>
  <c r="F3" i="184"/>
  <c r="F3" i="201"/>
  <c r="W4" i="201"/>
  <c r="W4" i="200"/>
  <c r="W4" i="184"/>
  <c r="Q2" i="222"/>
  <c r="Q2" i="301"/>
  <c r="Q2" i="223"/>
  <c r="Q2" i="302"/>
  <c r="Q2" i="300"/>
  <c r="Q2" i="224"/>
  <c r="M2" i="184"/>
  <c r="M2" i="201"/>
  <c r="M2" i="200"/>
  <c r="B3" i="183"/>
  <c r="B3" i="196"/>
  <c r="B3" i="197"/>
  <c r="G4" i="202"/>
  <c r="G4" i="203"/>
  <c r="G4" i="185"/>
  <c r="W2" i="185"/>
  <c r="W2" i="203"/>
  <c r="W2" i="202"/>
  <c r="V2" i="203"/>
  <c r="V2" i="185"/>
  <c r="V2" i="202"/>
  <c r="X2" i="196"/>
  <c r="X2" i="197"/>
  <c r="X2" i="183"/>
  <c r="Y3" i="300"/>
  <c r="Y3" i="302"/>
  <c r="Y3" i="223"/>
  <c r="Y3" i="301"/>
  <c r="Y3" i="222"/>
  <c r="Y3" i="224"/>
  <c r="W2" i="299"/>
  <c r="W2" i="297"/>
  <c r="W2" i="220"/>
  <c r="W2" i="298"/>
  <c r="W2" i="219"/>
  <c r="W2" i="221"/>
  <c r="C4" i="308"/>
  <c r="C4" i="230"/>
  <c r="C4" i="306"/>
  <c r="C4" i="307"/>
  <c r="C4" i="228"/>
  <c r="C4" i="229"/>
  <c r="F2" i="197"/>
  <c r="F2" i="183"/>
  <c r="F2" i="196"/>
  <c r="G4" i="195"/>
  <c r="G4" i="194"/>
  <c r="G4" i="182"/>
  <c r="W2" i="194"/>
  <c r="W2" i="182"/>
  <c r="W2" i="195"/>
  <c r="U4" i="222"/>
  <c r="U4" i="300"/>
  <c r="U4" i="301"/>
  <c r="U4" i="302"/>
  <c r="U4" i="223"/>
  <c r="U4" i="224"/>
  <c r="C2" i="299"/>
  <c r="C2" i="298"/>
  <c r="C2" i="297"/>
  <c r="C2" i="219"/>
  <c r="C2" i="220"/>
  <c r="C2" i="221"/>
  <c r="J3" i="219"/>
  <c r="J3" i="299"/>
  <c r="J3" i="297"/>
  <c r="J3" i="220"/>
  <c r="J3" i="298"/>
  <c r="J3" i="221"/>
  <c r="D4" i="182"/>
  <c r="D4" i="195"/>
  <c r="D4" i="194"/>
  <c r="E4" i="185"/>
  <c r="E4" i="202"/>
  <c r="E4" i="203"/>
  <c r="U4" i="196"/>
  <c r="U4" i="197"/>
  <c r="U4" i="183"/>
  <c r="O4" i="183"/>
  <c r="O4" i="197"/>
  <c r="O4" i="196"/>
  <c r="Y4" i="195"/>
  <c r="Y4" i="182"/>
  <c r="Y4" i="194"/>
  <c r="L4" i="184"/>
  <c r="L4" i="201"/>
  <c r="L4" i="200"/>
  <c r="Q4" i="182"/>
  <c r="Q4" i="194"/>
  <c r="Q4" i="195"/>
  <c r="K2" i="203"/>
  <c r="K2" i="185"/>
  <c r="K2" i="202"/>
  <c r="F3" i="203"/>
  <c r="F3" i="202"/>
  <c r="F3" i="185"/>
  <c r="Q2" i="197"/>
  <c r="Q2" i="183"/>
  <c r="Q2" i="196"/>
  <c r="V4" i="201"/>
  <c r="V4" i="184"/>
  <c r="V4" i="200"/>
  <c r="B2" i="197"/>
  <c r="B2" i="196"/>
  <c r="B2" i="183"/>
  <c r="P4" i="299"/>
  <c r="P4" i="221"/>
  <c r="P4" i="219"/>
  <c r="P4" i="220"/>
  <c r="P4" i="297"/>
  <c r="P4" i="298"/>
  <c r="X3" i="297"/>
  <c r="X3" i="221"/>
  <c r="X3" i="219"/>
  <c r="X3" i="220"/>
  <c r="X3" i="299"/>
  <c r="X3" i="298"/>
  <c r="D2" i="302"/>
  <c r="D2" i="300"/>
  <c r="D2" i="301"/>
  <c r="D2" i="223"/>
  <c r="D2" i="222"/>
  <c r="D2" i="224"/>
  <c r="B2" i="307"/>
  <c r="B2" i="308"/>
  <c r="B2" i="230"/>
  <c r="B2" i="306"/>
  <c r="B2" i="228"/>
  <c r="B2" i="229"/>
  <c r="L3" i="301"/>
  <c r="L3" i="302"/>
  <c r="L3" i="222"/>
  <c r="L3" i="223"/>
  <c r="L3" i="224"/>
  <c r="L3" i="300"/>
  <c r="X4" i="300"/>
  <c r="X4" i="301"/>
  <c r="X4" i="223"/>
  <c r="X4" i="224"/>
  <c r="X4" i="302"/>
  <c r="X4" i="222"/>
  <c r="F3" i="311"/>
  <c r="F3" i="309"/>
  <c r="F3" i="231"/>
  <c r="F3" i="232"/>
  <c r="F3" i="233"/>
  <c r="F3" i="310"/>
  <c r="I4" i="309"/>
  <c r="I4" i="310"/>
  <c r="I4" i="231"/>
  <c r="I4" i="232"/>
  <c r="I4" i="311"/>
  <c r="I4" i="233"/>
  <c r="X4" i="311"/>
  <c r="X4" i="309"/>
  <c r="X4" i="310"/>
  <c r="X4" i="233"/>
  <c r="X4" i="232"/>
  <c r="X4" i="231"/>
  <c r="I2" i="311"/>
  <c r="I2" i="309"/>
  <c r="I2" i="310"/>
  <c r="I2" i="231"/>
  <c r="I2" i="232"/>
  <c r="I2" i="233"/>
  <c r="J3" i="301"/>
  <c r="J3" i="300"/>
  <c r="J3" i="302"/>
  <c r="J3" i="222"/>
  <c r="J3" i="223"/>
  <c r="J3" i="224"/>
  <c r="H2" i="301"/>
  <c r="H2" i="224"/>
  <c r="H2" i="223"/>
  <c r="H2" i="222"/>
  <c r="H2" i="302"/>
  <c r="H2" i="300"/>
  <c r="L2" i="300"/>
  <c r="L2" i="302"/>
  <c r="L2" i="224"/>
  <c r="L2" i="222"/>
  <c r="L2" i="223"/>
  <c r="L2" i="301"/>
  <c r="I2" i="298"/>
  <c r="I2" i="219"/>
  <c r="I2" i="220"/>
  <c r="I2" i="221"/>
  <c r="I2" i="299"/>
  <c r="I2" i="297"/>
  <c r="R3" i="195"/>
  <c r="R3" i="182"/>
  <c r="R3" i="194"/>
  <c r="C2" i="203"/>
  <c r="C2" i="185"/>
  <c r="C2" i="202"/>
  <c r="W2" i="197"/>
  <c r="W2" i="196"/>
  <c r="W2" i="183"/>
  <c r="E4" i="196"/>
  <c r="E4" i="183"/>
  <c r="E4" i="197"/>
  <c r="L3" i="194"/>
  <c r="L3" i="182"/>
  <c r="L3" i="195"/>
  <c r="Y4" i="196"/>
  <c r="Y4" i="183"/>
  <c r="Y4" i="197"/>
  <c r="V3" i="194"/>
  <c r="V3" i="182"/>
  <c r="V3" i="195"/>
  <c r="S3" i="201"/>
  <c r="S3" i="200"/>
  <c r="S3" i="184"/>
  <c r="U3" i="201"/>
  <c r="U3" i="200"/>
  <c r="U3" i="184"/>
  <c r="X3" i="182"/>
  <c r="X3" i="195"/>
  <c r="X3" i="194"/>
  <c r="M4" i="202"/>
  <c r="M4" i="203"/>
  <c r="M4" i="185"/>
  <c r="B4" i="203"/>
  <c r="B4" i="202"/>
  <c r="B4" i="185"/>
  <c r="I3" i="183"/>
  <c r="I3" i="196"/>
  <c r="I3" i="197"/>
  <c r="M2" i="197"/>
  <c r="M2" i="183"/>
  <c r="M2" i="196"/>
  <c r="F4" i="196"/>
  <c r="F4" i="183"/>
  <c r="F4" i="197"/>
  <c r="E2" i="185"/>
  <c r="E2" i="203"/>
  <c r="E2" i="202"/>
  <c r="B2" i="194"/>
  <c r="B2" i="182"/>
  <c r="B2" i="195"/>
  <c r="T4" i="311"/>
  <c r="T4" i="310"/>
  <c r="T4" i="309"/>
  <c r="T4" i="232"/>
  <c r="T4" i="233"/>
  <c r="T4" i="231"/>
  <c r="J2" i="221"/>
  <c r="J2" i="219"/>
  <c r="J2" i="220"/>
  <c r="J2" i="299"/>
  <c r="J2" i="298"/>
  <c r="J2" i="297"/>
  <c r="N2" i="224"/>
  <c r="N2" i="301"/>
  <c r="N2" i="223"/>
  <c r="N2" i="302"/>
  <c r="N2" i="300"/>
  <c r="N2" i="222"/>
  <c r="M2" i="300"/>
  <c r="M2" i="224"/>
  <c r="M2" i="223"/>
  <c r="M2" i="302"/>
  <c r="M2" i="222"/>
  <c r="M2" i="301"/>
  <c r="K3" i="301"/>
  <c r="K3" i="300"/>
  <c r="K3" i="224"/>
  <c r="K3" i="223"/>
  <c r="K3" i="222"/>
  <c r="K3" i="302"/>
  <c r="S4" i="302"/>
  <c r="S4" i="301"/>
  <c r="S4" i="223"/>
  <c r="S4" i="224"/>
  <c r="S4" i="300"/>
  <c r="S4" i="222"/>
  <c r="R2" i="222"/>
  <c r="R2" i="302"/>
  <c r="R2" i="223"/>
  <c r="R2" i="301"/>
  <c r="R2" i="300"/>
  <c r="R2" i="224"/>
  <c r="C3" i="300"/>
  <c r="C3" i="301"/>
  <c r="C3" i="224"/>
  <c r="C3" i="222"/>
  <c r="C3" i="223"/>
  <c r="C3" i="302"/>
  <c r="N2" i="297"/>
  <c r="N2" i="219"/>
  <c r="N2" i="298"/>
  <c r="N2" i="299"/>
  <c r="N2" i="220"/>
  <c r="N2" i="221"/>
  <c r="X2" i="306"/>
  <c r="X2" i="307"/>
  <c r="X2" i="308"/>
  <c r="X2" i="229"/>
  <c r="X2" i="230"/>
  <c r="X2" i="228"/>
  <c r="U2" i="310"/>
  <c r="U2" i="311"/>
  <c r="U2" i="232"/>
  <c r="U2" i="233"/>
  <c r="U2" i="231"/>
  <c r="U2" i="309"/>
  <c r="Q4" i="302"/>
  <c r="Q4" i="222"/>
  <c r="Q4" i="224"/>
  <c r="Q4" i="300"/>
  <c r="Q4" i="301"/>
  <c r="Q4" i="223"/>
  <c r="R2" i="307"/>
  <c r="R2" i="228"/>
  <c r="R2" i="229"/>
  <c r="R2" i="306"/>
  <c r="R2" i="230"/>
  <c r="R2" i="308"/>
  <c r="V2" i="310"/>
  <c r="V2" i="233"/>
  <c r="V2" i="231"/>
  <c r="V2" i="311"/>
  <c r="V2" i="309"/>
  <c r="V2" i="232"/>
  <c r="B2" i="224"/>
  <c r="B2" i="301"/>
  <c r="B2" i="223"/>
  <c r="B2" i="302"/>
  <c r="B2" i="300"/>
  <c r="B2" i="222"/>
  <c r="L2" i="299"/>
  <c r="L2" i="221"/>
  <c r="L2" i="297"/>
  <c r="L2" i="298"/>
  <c r="L2" i="220"/>
  <c r="L2" i="219"/>
  <c r="Q4" i="298"/>
  <c r="Q4" i="297"/>
  <c r="Q4" i="299"/>
  <c r="Q4" i="221"/>
  <c r="Q4" i="219"/>
  <c r="Q4" i="220"/>
  <c r="K2" i="221"/>
  <c r="K2" i="299"/>
  <c r="K2" i="297"/>
  <c r="K2" i="298"/>
  <c r="K2" i="219"/>
  <c r="K2" i="220"/>
  <c r="W3" i="228"/>
  <c r="W3" i="307"/>
  <c r="W3" i="229"/>
  <c r="W3" i="308"/>
  <c r="W3" i="306"/>
  <c r="W3" i="230"/>
  <c r="F4" i="301"/>
  <c r="F4" i="300"/>
  <c r="F4" i="302"/>
  <c r="F4" i="224"/>
  <c r="F4" i="222"/>
  <c r="F4" i="223"/>
  <c r="C4" i="201"/>
  <c r="C4" i="184"/>
  <c r="C4" i="200"/>
  <c r="P2" i="203"/>
  <c r="P2" i="185"/>
  <c r="P2" i="202"/>
  <c r="W3" i="220"/>
  <c r="W3" i="299"/>
  <c r="W3" i="298"/>
  <c r="W3" i="221"/>
  <c r="W3" i="219"/>
  <c r="W3" i="297"/>
  <c r="V4" i="307"/>
  <c r="V4" i="306"/>
  <c r="V4" i="229"/>
  <c r="V4" i="308"/>
  <c r="V4" i="230"/>
  <c r="V4" i="228"/>
  <c r="J3" i="308"/>
  <c r="J3" i="230"/>
  <c r="J3" i="228"/>
  <c r="J3" i="307"/>
  <c r="J3" i="306"/>
  <c r="J3" i="229"/>
  <c r="P3" i="220"/>
  <c r="P3" i="219"/>
  <c r="P3" i="221"/>
  <c r="P3" i="297"/>
  <c r="P3" i="299"/>
  <c r="P3" i="298"/>
  <c r="R2" i="297"/>
  <c r="R2" i="221"/>
  <c r="R2" i="299"/>
  <c r="R2" i="298"/>
  <c r="R2" i="219"/>
  <c r="R2" i="220"/>
  <c r="O3" i="310"/>
  <c r="O3" i="311"/>
  <c r="O3" i="309"/>
  <c r="O3" i="233"/>
  <c r="O3" i="231"/>
  <c r="O3" i="232"/>
  <c r="N4" i="302"/>
  <c r="N4" i="300"/>
  <c r="N4" i="301"/>
  <c r="N4" i="224"/>
  <c r="N4" i="223"/>
  <c r="N4" i="222"/>
  <c r="R4" i="202"/>
  <c r="R4" i="203"/>
  <c r="R4" i="185"/>
  <c r="Q4" i="197"/>
  <c r="Q4" i="183"/>
  <c r="Q4" i="196"/>
  <c r="G3" i="309"/>
  <c r="G3" i="310"/>
  <c r="G3" i="233"/>
  <c r="G3" i="231"/>
  <c r="G3" i="232"/>
  <c r="G3" i="311"/>
  <c r="C2" i="195"/>
  <c r="C2" i="182"/>
  <c r="C2" i="194"/>
  <c r="W4" i="183"/>
  <c r="W4" i="197"/>
  <c r="W4" i="196"/>
  <c r="P3" i="185"/>
  <c r="P3" i="203"/>
  <c r="P3" i="202"/>
  <c r="E2" i="201"/>
  <c r="E2" i="184"/>
  <c r="E2" i="200"/>
  <c r="R3" i="232"/>
  <c r="R3" i="231"/>
  <c r="R3" i="233"/>
  <c r="R3" i="309"/>
  <c r="R3" i="310"/>
  <c r="R3" i="311"/>
  <c r="V2" i="302"/>
  <c r="V2" i="300"/>
  <c r="V2" i="222"/>
  <c r="V2" i="223"/>
  <c r="V2" i="301"/>
  <c r="V2" i="224"/>
  <c r="S3" i="224"/>
  <c r="S3" i="222"/>
  <c r="S3" i="302"/>
  <c r="S3" i="301"/>
  <c r="S3" i="223"/>
  <c r="S3" i="300"/>
  <c r="G3" i="220"/>
  <c r="G3" i="219"/>
  <c r="G3" i="297"/>
  <c r="G3" i="299"/>
  <c r="G3" i="298"/>
  <c r="G3" i="221"/>
  <c r="Y3" i="297"/>
  <c r="Y3" i="220"/>
  <c r="Y3" i="219"/>
  <c r="Y3" i="221"/>
  <c r="Y3" i="299"/>
  <c r="Y3" i="298"/>
  <c r="I4" i="219"/>
  <c r="I4" i="220"/>
  <c r="I4" i="298"/>
  <c r="I4" i="221"/>
  <c r="I4" i="297"/>
  <c r="I4" i="299"/>
  <c r="R2" i="310"/>
  <c r="R2" i="311"/>
  <c r="R2" i="232"/>
  <c r="R2" i="231"/>
  <c r="R2" i="233"/>
  <c r="R2" i="309"/>
  <c r="L2" i="228"/>
  <c r="L2" i="307"/>
  <c r="L2" i="306"/>
  <c r="L2" i="308"/>
  <c r="L2" i="229"/>
  <c r="L2" i="230"/>
  <c r="H2" i="311"/>
  <c r="H2" i="309"/>
  <c r="H2" i="310"/>
  <c r="H2" i="233"/>
  <c r="H2" i="232"/>
  <c r="H2" i="231"/>
  <c r="K4" i="201"/>
  <c r="K4" i="200"/>
  <c r="K4" i="184"/>
  <c r="Q3" i="203"/>
  <c r="Q3" i="185"/>
  <c r="Q3" i="202"/>
  <c r="O4" i="224"/>
  <c r="O4" i="222"/>
  <c r="O4" i="302"/>
  <c r="O4" i="301"/>
  <c r="O4" i="300"/>
  <c r="O4" i="223"/>
  <c r="N4" i="201"/>
  <c r="N4" i="184"/>
  <c r="N4" i="200"/>
  <c r="Y3" i="194"/>
  <c r="Y3" i="182"/>
  <c r="Y3" i="195"/>
  <c r="M4" i="197"/>
  <c r="M4" i="183"/>
  <c r="M4" i="196"/>
  <c r="T3" i="203"/>
  <c r="T3" i="202"/>
  <c r="T3" i="185"/>
  <c r="C3" i="309"/>
  <c r="C3" i="233"/>
  <c r="C3" i="231"/>
  <c r="C3" i="232"/>
  <c r="C3" i="310"/>
  <c r="C3" i="311"/>
  <c r="W3" i="231"/>
  <c r="W3" i="309"/>
  <c r="W3" i="311"/>
  <c r="W3" i="233"/>
  <c r="W3" i="232"/>
  <c r="W3" i="310"/>
  <c r="U4" i="221"/>
  <c r="U4" i="298"/>
  <c r="U4" i="297"/>
  <c r="U4" i="219"/>
  <c r="U4" i="220"/>
  <c r="U4" i="299"/>
  <c r="I2" i="306"/>
  <c r="I2" i="229"/>
  <c r="I2" i="228"/>
  <c r="I2" i="230"/>
  <c r="I2" i="307"/>
  <c r="I2" i="308"/>
  <c r="T4" i="220"/>
  <c r="T4" i="297"/>
  <c r="T4" i="299"/>
  <c r="T4" i="219"/>
  <c r="T4" i="221"/>
  <c r="T4" i="298"/>
  <c r="I4" i="229"/>
  <c r="I4" i="228"/>
  <c r="I4" i="308"/>
  <c r="I4" i="230"/>
  <c r="I4" i="307"/>
  <c r="I4" i="306"/>
  <c r="W2" i="311"/>
  <c r="W2" i="309"/>
  <c r="W2" i="232"/>
  <c r="W2" i="233"/>
  <c r="W2" i="310"/>
  <c r="W2" i="231"/>
  <c r="G3" i="229"/>
  <c r="G3" i="230"/>
  <c r="G3" i="308"/>
  <c r="G3" i="228"/>
  <c r="G3" i="307"/>
  <c r="G3" i="306"/>
  <c r="F3" i="228"/>
  <c r="F3" i="229"/>
  <c r="F3" i="308"/>
  <c r="F3" i="306"/>
  <c r="F3" i="230"/>
  <c r="F3" i="307"/>
  <c r="T2" i="219"/>
  <c r="T2" i="297"/>
  <c r="T2" i="298"/>
  <c r="T2" i="220"/>
  <c r="T2" i="299"/>
  <c r="T2" i="221"/>
  <c r="U2" i="185"/>
  <c r="U2" i="203"/>
  <c r="U2" i="202"/>
  <c r="N4" i="185"/>
  <c r="N4" i="203"/>
  <c r="N4" i="202"/>
  <c r="J3" i="201"/>
  <c r="J3" i="184"/>
  <c r="J3" i="200"/>
  <c r="Y2" i="194"/>
  <c r="Y2" i="182"/>
  <c r="Y2" i="195"/>
  <c r="W3" i="194"/>
  <c r="W3" i="182"/>
  <c r="W3" i="195"/>
  <c r="P2" i="195"/>
  <c r="P2" i="194"/>
  <c r="P2" i="182"/>
  <c r="H2" i="202"/>
  <c r="H2" i="203"/>
  <c r="H2" i="185"/>
  <c r="H2" i="184"/>
  <c r="H2" i="201"/>
  <c r="H2" i="200"/>
  <c r="K4" i="196"/>
  <c r="K4" i="183"/>
  <c r="K4" i="197"/>
  <c r="V4" i="183"/>
  <c r="V4" i="197"/>
  <c r="V4" i="196"/>
  <c r="X4" i="202"/>
  <c r="X4" i="185"/>
  <c r="X4" i="203"/>
  <c r="L2" i="200"/>
  <c r="L2" i="184"/>
  <c r="L2" i="201"/>
  <c r="S4" i="184"/>
  <c r="S4" i="200"/>
  <c r="S4" i="201"/>
  <c r="U2" i="201"/>
  <c r="U2" i="184"/>
  <c r="U2" i="200"/>
  <c r="S2" i="195"/>
  <c r="S2" i="182"/>
  <c r="S2" i="194"/>
  <c r="R3" i="196"/>
  <c r="R3" i="183"/>
  <c r="R3" i="197"/>
  <c r="T4" i="197"/>
  <c r="T4" i="183"/>
  <c r="T4" i="196"/>
  <c r="S2" i="184"/>
  <c r="S2" i="200"/>
  <c r="S2" i="201"/>
  <c r="T2" i="231"/>
  <c r="T2" i="311"/>
  <c r="T2" i="310"/>
  <c r="T2" i="232"/>
  <c r="T2" i="309"/>
  <c r="T2" i="233"/>
  <c r="D2" i="311"/>
  <c r="D2" i="231"/>
  <c r="D2" i="310"/>
  <c r="D2" i="309"/>
  <c r="D2" i="232"/>
  <c r="D2" i="233"/>
  <c r="H3" i="306"/>
  <c r="H3" i="307"/>
  <c r="H3" i="228"/>
  <c r="H3" i="229"/>
  <c r="H3" i="308"/>
  <c r="H3" i="230"/>
  <c r="R3" i="220"/>
  <c r="R3" i="299"/>
  <c r="R3" i="297"/>
  <c r="R3" i="221"/>
  <c r="R3" i="219"/>
  <c r="R3" i="298"/>
  <c r="M4" i="224"/>
  <c r="M4" i="301"/>
  <c r="M4" i="223"/>
  <c r="M4" i="302"/>
  <c r="M4" i="222"/>
  <c r="M4" i="300"/>
  <c r="W2" i="300"/>
  <c r="W2" i="301"/>
  <c r="W2" i="302"/>
  <c r="W2" i="223"/>
  <c r="W2" i="224"/>
  <c r="W2" i="222"/>
  <c r="H4" i="233"/>
  <c r="H4" i="232"/>
  <c r="H4" i="309"/>
  <c r="H4" i="311"/>
  <c r="H4" i="310"/>
  <c r="H4" i="231"/>
  <c r="H4" i="298"/>
  <c r="H4" i="221"/>
  <c r="H4" i="220"/>
  <c r="H4" i="219"/>
  <c r="H4" i="297"/>
  <c r="H4" i="299"/>
  <c r="M3" i="231"/>
  <c r="M3" i="311"/>
  <c r="M3" i="309"/>
  <c r="M3" i="310"/>
  <c r="M3" i="232"/>
  <c r="M3" i="233"/>
  <c r="N3" i="221"/>
  <c r="N3" i="219"/>
  <c r="N3" i="298"/>
  <c r="N3" i="220"/>
  <c r="N3" i="299"/>
  <c r="N3" i="297"/>
  <c r="P4" i="302"/>
  <c r="P4" i="301"/>
  <c r="P4" i="300"/>
  <c r="P4" i="224"/>
  <c r="P4" i="223"/>
  <c r="P4" i="222"/>
  <c r="H2" i="230"/>
  <c r="H2" i="228"/>
  <c r="H2" i="229"/>
  <c r="H2" i="308"/>
  <c r="H2" i="306"/>
  <c r="H2" i="307"/>
  <c r="I2" i="224"/>
  <c r="I2" i="301"/>
  <c r="I2" i="222"/>
  <c r="I2" i="302"/>
  <c r="I2" i="223"/>
  <c r="I2" i="300"/>
  <c r="C2" i="228"/>
  <c r="C2" i="230"/>
  <c r="C2" i="307"/>
  <c r="C2" i="306"/>
  <c r="C2" i="308"/>
  <c r="C2" i="229"/>
  <c r="G4" i="310"/>
  <c r="G4" i="233"/>
  <c r="G4" i="311"/>
  <c r="G4" i="309"/>
  <c r="G4" i="231"/>
  <c r="G4" i="232"/>
  <c r="E3" i="298"/>
  <c r="E3" i="221"/>
  <c r="E3" i="299"/>
  <c r="E3" i="220"/>
  <c r="E3" i="219"/>
  <c r="E3" i="297"/>
  <c r="X3" i="232"/>
  <c r="X3" i="231"/>
  <c r="X3" i="309"/>
  <c r="X3" i="310"/>
  <c r="X3" i="311"/>
  <c r="X3" i="233"/>
  <c r="Y3" i="308"/>
  <c r="Y3" i="306"/>
  <c r="Y3" i="307"/>
  <c r="Y3" i="228"/>
  <c r="Y3" i="229"/>
  <c r="Y3" i="230"/>
  <c r="O2" i="196"/>
  <c r="O2" i="197"/>
  <c r="O2" i="183"/>
  <c r="P2" i="184"/>
  <c r="P2" i="200"/>
  <c r="P2" i="201"/>
  <c r="U3" i="183"/>
  <c r="U3" i="196"/>
  <c r="U3" i="197"/>
  <c r="G4" i="197"/>
  <c r="G4" i="183"/>
  <c r="G4" i="196"/>
  <c r="P4" i="183"/>
  <c r="P4" i="196"/>
  <c r="P4" i="197"/>
  <c r="G2" i="197"/>
  <c r="G2" i="183"/>
  <c r="G2" i="196"/>
  <c r="S3" i="195"/>
  <c r="S3" i="182"/>
  <c r="S3" i="194"/>
  <c r="K3" i="195"/>
  <c r="K3" i="182"/>
  <c r="K3" i="194"/>
  <c r="Q3" i="220"/>
  <c r="Q3" i="299"/>
  <c r="Q3" i="297"/>
  <c r="Q3" i="298"/>
  <c r="Q3" i="219"/>
  <c r="Q3" i="221"/>
  <c r="S4" i="185"/>
  <c r="S4" i="202"/>
  <c r="S4" i="203"/>
  <c r="R4" i="182"/>
  <c r="R4" i="195"/>
  <c r="R4" i="194"/>
  <c r="V2" i="182"/>
  <c r="V2" i="194"/>
  <c r="V2" i="195"/>
  <c r="N3" i="200"/>
  <c r="N3" i="184"/>
  <c r="N3" i="201"/>
  <c r="S3" i="185"/>
  <c r="S3" i="203"/>
  <c r="S3" i="202"/>
  <c r="X4" i="182"/>
  <c r="X4" i="195"/>
  <c r="X4" i="194"/>
  <c r="W4" i="299"/>
  <c r="W4" i="221"/>
  <c r="W4" i="219"/>
  <c r="W4" i="298"/>
  <c r="W4" i="297"/>
  <c r="W4" i="220"/>
  <c r="W2" i="307"/>
  <c r="W2" i="230"/>
  <c r="W2" i="228"/>
  <c r="W2" i="229"/>
  <c r="W2" i="306"/>
  <c r="W2" i="308"/>
  <c r="O3" i="194"/>
  <c r="O3" i="195"/>
  <c r="O3" i="182"/>
  <c r="U4" i="200"/>
  <c r="U4" i="201"/>
  <c r="U4" i="184"/>
  <c r="P3" i="197"/>
  <c r="P3" i="183"/>
  <c r="P3" i="196"/>
  <c r="D4" i="233"/>
  <c r="D4" i="311"/>
  <c r="D4" i="310"/>
  <c r="D4" i="231"/>
  <c r="D4" i="232"/>
  <c r="D4" i="309"/>
  <c r="H2" i="299"/>
  <c r="H2" i="298"/>
  <c r="H2" i="297"/>
  <c r="H2" i="220"/>
  <c r="H2" i="221"/>
  <c r="H2" i="219"/>
  <c r="W3" i="223"/>
  <c r="W3" i="224"/>
  <c r="W3" i="222"/>
  <c r="W3" i="301"/>
  <c r="W3" i="302"/>
  <c r="W3" i="300"/>
  <c r="L3" i="203"/>
  <c r="L3" i="202"/>
  <c r="L3" i="185"/>
  <c r="I2" i="196"/>
  <c r="I2" i="183"/>
  <c r="I2" i="197"/>
  <c r="D3" i="219"/>
  <c r="D3" i="221"/>
  <c r="D3" i="297"/>
  <c r="D3" i="298"/>
  <c r="D3" i="299"/>
  <c r="D3" i="220"/>
  <c r="D2" i="184"/>
  <c r="D2" i="201"/>
  <c r="D2" i="200"/>
  <c r="V3" i="308"/>
  <c r="V3" i="306"/>
  <c r="V3" i="307"/>
  <c r="V3" i="230"/>
  <c r="V3" i="229"/>
  <c r="V3" i="228"/>
  <c r="J2" i="200"/>
  <c r="J2" i="184"/>
  <c r="J2" i="201"/>
  <c r="J4" i="183"/>
  <c r="J4" i="196"/>
  <c r="J4" i="197"/>
  <c r="M4" i="231"/>
  <c r="M4" i="310"/>
  <c r="M4" i="309"/>
  <c r="M4" i="311"/>
  <c r="M4" i="233"/>
  <c r="M4" i="232"/>
  <c r="H4" i="230"/>
  <c r="H4" i="307"/>
  <c r="H4" i="229"/>
  <c r="H4" i="308"/>
  <c r="H4" i="228"/>
  <c r="H4" i="306"/>
  <c r="R2" i="203"/>
  <c r="R2" i="185"/>
  <c r="R2" i="202"/>
  <c r="K2" i="182"/>
  <c r="K2" i="195"/>
  <c r="K2" i="194"/>
  <c r="V4" i="195"/>
  <c r="V4" i="182"/>
  <c r="V4" i="194"/>
  <c r="U3" i="203"/>
  <c r="U3" i="185"/>
  <c r="U3" i="202"/>
  <c r="B3" i="202"/>
  <c r="B3" i="203"/>
  <c r="B3" i="185"/>
  <c r="E4" i="195"/>
  <c r="E4" i="194"/>
  <c r="E4" i="182"/>
  <c r="M3" i="184"/>
  <c r="M3" i="200"/>
  <c r="M3" i="201"/>
  <c r="L4" i="221"/>
  <c r="L4" i="297"/>
  <c r="L4" i="220"/>
  <c r="L4" i="299"/>
  <c r="L4" i="298"/>
  <c r="L4" i="219"/>
  <c r="G4" i="223"/>
  <c r="G4" i="224"/>
  <c r="G4" i="222"/>
  <c r="G4" i="301"/>
  <c r="G4" i="302"/>
  <c r="G4" i="300"/>
  <c r="S3" i="233"/>
  <c r="S3" i="232"/>
  <c r="S3" i="309"/>
  <c r="S3" i="311"/>
  <c r="S3" i="231"/>
  <c r="S3" i="310"/>
  <c r="H4" i="194"/>
  <c r="H4" i="195"/>
  <c r="H4" i="182"/>
  <c r="E3" i="196"/>
  <c r="E3" i="183"/>
  <c r="E3" i="197"/>
  <c r="X3" i="308"/>
  <c r="X3" i="307"/>
  <c r="X3" i="230"/>
  <c r="X3" i="306"/>
  <c r="X3" i="228"/>
  <c r="X3" i="229"/>
  <c r="P2" i="300"/>
  <c r="P2" i="302"/>
  <c r="P2" i="223"/>
  <c r="P2" i="222"/>
  <c r="P2" i="224"/>
  <c r="P2" i="301"/>
  <c r="B4" i="232"/>
  <c r="B4" i="311"/>
  <c r="B4" i="309"/>
  <c r="B4" i="233"/>
  <c r="B4" i="231"/>
  <c r="B4" i="310"/>
  <c r="X4" i="299"/>
  <c r="X4" i="219"/>
  <c r="X4" i="220"/>
  <c r="X4" i="221"/>
  <c r="X4" i="298"/>
  <c r="X4" i="297"/>
  <c r="X3" i="200"/>
  <c r="X3" i="201"/>
  <c r="X3" i="184"/>
  <c r="H4" i="184"/>
  <c r="H4" i="201"/>
  <c r="H4" i="200"/>
  <c r="I4" i="183"/>
  <c r="I4" i="196"/>
  <c r="I4" i="197"/>
  <c r="L2" i="195"/>
  <c r="L2" i="182"/>
  <c r="L2" i="194"/>
  <c r="H3" i="182"/>
  <c r="H3" i="194"/>
  <c r="H3" i="195"/>
  <c r="G4" i="298"/>
  <c r="G4" i="299"/>
  <c r="G4" i="221"/>
  <c r="G4" i="219"/>
  <c r="G4" i="220"/>
  <c r="G4" i="297"/>
  <c r="X3" i="203"/>
  <c r="X3" i="185"/>
  <c r="X3" i="202"/>
  <c r="U2" i="196"/>
  <c r="U2" i="183"/>
  <c r="U2" i="197"/>
  <c r="T4" i="200"/>
  <c r="T4" i="184"/>
  <c r="T4" i="201"/>
  <c r="H4" i="203"/>
  <c r="H4" i="202"/>
  <c r="H4" i="185"/>
  <c r="Q2" i="203"/>
  <c r="Q2" i="185"/>
  <c r="Q2" i="202"/>
  <c r="E3" i="182"/>
  <c r="E3" i="194"/>
  <c r="E3" i="195"/>
  <c r="Q3" i="194"/>
  <c r="Q3" i="182"/>
  <c r="Q3" i="195"/>
  <c r="H4" i="197"/>
  <c r="H4" i="183"/>
  <c r="H4" i="196"/>
  <c r="D2" i="306"/>
  <c r="D2" i="228"/>
  <c r="D2" i="307"/>
  <c r="D2" i="230"/>
  <c r="D2" i="229"/>
  <c r="D2" i="308"/>
  <c r="L4" i="310"/>
  <c r="L4" i="309"/>
  <c r="L4" i="311"/>
  <c r="L4" i="233"/>
  <c r="L4" i="232"/>
  <c r="L4" i="231"/>
  <c r="C3" i="306"/>
  <c r="C3" i="307"/>
  <c r="C3" i="228"/>
  <c r="C3" i="230"/>
  <c r="C3" i="308"/>
  <c r="C3" i="229"/>
  <c r="M3" i="299"/>
  <c r="M3" i="219"/>
  <c r="M3" i="220"/>
  <c r="M3" i="298"/>
  <c r="M3" i="297"/>
  <c r="M3" i="221"/>
  <c r="O2" i="195"/>
  <c r="O2" i="182"/>
  <c r="O2" i="194"/>
  <c r="I3" i="202"/>
  <c r="I3" i="185"/>
  <c r="I3" i="203"/>
  <c r="U4" i="203"/>
  <c r="U4" i="202"/>
  <c r="U4" i="185"/>
  <c r="M4" i="182"/>
  <c r="M4" i="195"/>
  <c r="M4" i="194"/>
  <c r="G3" i="301"/>
  <c r="G3" i="222"/>
  <c r="G3" i="224"/>
  <c r="G3" i="300"/>
  <c r="G3" i="302"/>
  <c r="G3" i="223"/>
  <c r="L3" i="297"/>
  <c r="L3" i="221"/>
  <c r="L3" i="220"/>
  <c r="L3" i="299"/>
  <c r="L3" i="298"/>
  <c r="L3" i="219"/>
  <c r="N3" i="232"/>
  <c r="N3" i="309"/>
  <c r="N3" i="310"/>
  <c r="N3" i="233"/>
  <c r="N3" i="231"/>
  <c r="N3" i="311"/>
  <c r="L4" i="307"/>
  <c r="L4" i="230"/>
  <c r="L4" i="228"/>
  <c r="L4" i="229"/>
  <c r="L4" i="306"/>
  <c r="L4" i="308"/>
  <c r="W4" i="302"/>
  <c r="W4" i="300"/>
  <c r="W4" i="224"/>
  <c r="W4" i="301"/>
  <c r="W4" i="223"/>
  <c r="W4" i="222"/>
  <c r="J2" i="311"/>
  <c r="J2" i="232"/>
  <c r="J2" i="310"/>
  <c r="J2" i="309"/>
  <c r="J2" i="233"/>
  <c r="J2" i="231"/>
  <c r="V2" i="228"/>
  <c r="V2" i="229"/>
  <c r="V2" i="230"/>
  <c r="V2" i="308"/>
  <c r="V2" i="307"/>
  <c r="V2" i="306"/>
  <c r="S3" i="230"/>
  <c r="S3" i="229"/>
  <c r="S3" i="308"/>
  <c r="S3" i="306"/>
  <c r="S3" i="228"/>
  <c r="S3" i="307"/>
  <c r="T3" i="184"/>
  <c r="T3" i="201"/>
  <c r="T3" i="200"/>
  <c r="C3" i="182"/>
  <c r="C3" i="194"/>
  <c r="C3" i="195"/>
  <c r="P4" i="201"/>
  <c r="P4" i="184"/>
  <c r="P4" i="200"/>
  <c r="H3" i="200"/>
  <c r="H3" i="184"/>
  <c r="H3" i="201"/>
  <c r="M3" i="183"/>
  <c r="M3" i="197"/>
  <c r="M3" i="196"/>
  <c r="X2" i="203"/>
  <c r="X2" i="185"/>
  <c r="X2" i="202"/>
  <c r="G2" i="201"/>
  <c r="G2" i="200"/>
  <c r="G2" i="184"/>
  <c r="J3" i="197"/>
  <c r="J3" i="196"/>
  <c r="J3" i="183"/>
  <c r="Q3" i="184"/>
  <c r="Q3" i="201"/>
  <c r="Q3" i="200"/>
  <c r="P4" i="195"/>
  <c r="P4" i="194"/>
  <c r="P4" i="182"/>
  <c r="O3" i="197"/>
  <c r="O3" i="183"/>
  <c r="O3" i="196"/>
  <c r="V3" i="196"/>
  <c r="V3" i="197"/>
  <c r="V3" i="183"/>
  <c r="O4" i="182"/>
  <c r="O4" i="194"/>
  <c r="O4" i="195"/>
  <c r="E3" i="185"/>
  <c r="E3" i="203"/>
  <c r="E3" i="202"/>
  <c r="H3" i="185"/>
  <c r="H3" i="202"/>
  <c r="H3" i="203"/>
  <c r="E2" i="195"/>
  <c r="E2" i="182"/>
  <c r="E2" i="194"/>
  <c r="T2" i="195"/>
  <c r="T2" i="194"/>
  <c r="T2" i="182"/>
  <c r="S2" i="202"/>
  <c r="S2" i="203"/>
  <c r="S2" i="185"/>
  <c r="V3" i="224"/>
  <c r="V3" i="222"/>
  <c r="V3" i="300"/>
  <c r="V3" i="223"/>
  <c r="V3" i="301"/>
  <c r="V3" i="302"/>
  <c r="S2" i="224"/>
  <c r="S2" i="302"/>
  <c r="S2" i="222"/>
  <c r="S2" i="223"/>
  <c r="S2" i="301"/>
  <c r="S2" i="300"/>
  <c r="Y2" i="297"/>
  <c r="Y2" i="298"/>
  <c r="Y2" i="220"/>
  <c r="Y2" i="221"/>
  <c r="Y2" i="219"/>
  <c r="Y2" i="299"/>
  <c r="F3" i="297"/>
  <c r="F3" i="298"/>
  <c r="F3" i="299"/>
  <c r="F3" i="219"/>
  <c r="F3" i="221"/>
  <c r="F3" i="220"/>
  <c r="S4" i="311"/>
  <c r="S4" i="309"/>
  <c r="S4" i="310"/>
  <c r="S4" i="231"/>
  <c r="S4" i="232"/>
  <c r="S4" i="233"/>
  <c r="B2" i="299"/>
  <c r="B2" i="298"/>
  <c r="B2" i="221"/>
  <c r="B2" i="297"/>
  <c r="B2" i="220"/>
  <c r="B2" i="219"/>
  <c r="Y4" i="311"/>
  <c r="Y4" i="309"/>
  <c r="Y4" i="310"/>
  <c r="Y4" i="233"/>
  <c r="Y4" i="231"/>
  <c r="Y4" i="232"/>
  <c r="Q4" i="310"/>
  <c r="Q4" i="309"/>
  <c r="Q4" i="311"/>
  <c r="Q4" i="232"/>
  <c r="Q4" i="233"/>
  <c r="Q4" i="231"/>
  <c r="O3" i="222"/>
  <c r="O3" i="224"/>
  <c r="O3" i="223"/>
  <c r="O3" i="302"/>
  <c r="O3" i="300"/>
  <c r="O3" i="301"/>
  <c r="X2" i="309"/>
  <c r="X2" i="310"/>
  <c r="X2" i="311"/>
  <c r="X2" i="232"/>
  <c r="X2" i="233"/>
  <c r="X2" i="231"/>
  <c r="D4" i="298"/>
  <c r="D4" i="220"/>
  <c r="D4" i="221"/>
  <c r="D4" i="219"/>
  <c r="D4" i="297"/>
  <c r="D4" i="299"/>
  <c r="K2" i="308"/>
  <c r="K2" i="230"/>
  <c r="K2" i="228"/>
  <c r="K2" i="306"/>
  <c r="K2" i="307"/>
  <c r="K2" i="229"/>
  <c r="P3" i="309"/>
  <c r="P3" i="233"/>
  <c r="P3" i="310"/>
  <c r="P3" i="231"/>
  <c r="P3" i="232"/>
  <c r="P3" i="311"/>
  <c r="X2" i="300"/>
  <c r="X2" i="301"/>
  <c r="X2" i="302"/>
  <c r="X2" i="224"/>
  <c r="X2" i="223"/>
  <c r="X2" i="222"/>
  <c r="N2" i="308"/>
  <c r="N2" i="307"/>
  <c r="N2" i="306"/>
  <c r="N2" i="230"/>
  <c r="N2" i="228"/>
  <c r="N2" i="229"/>
  <c r="Y2" i="301"/>
  <c r="Y2" i="302"/>
  <c r="Y2" i="224"/>
  <c r="Y2" i="222"/>
  <c r="Y2" i="223"/>
  <c r="Y2" i="300"/>
  <c r="T3" i="307"/>
  <c r="T3" i="308"/>
  <c r="T3" i="306"/>
  <c r="T3" i="230"/>
  <c r="T3" i="229"/>
  <c r="T3" i="228"/>
  <c r="D4" i="307"/>
  <c r="D4" i="306"/>
  <c r="D4" i="308"/>
  <c r="D4" i="230"/>
  <c r="D4" i="229"/>
  <c r="D4" i="228"/>
  <c r="O3" i="221"/>
  <c r="O3" i="297"/>
  <c r="O3" i="298"/>
  <c r="O3" i="299"/>
  <c r="O3" i="220"/>
  <c r="O3" i="219"/>
  <c r="L4" i="197"/>
  <c r="L4" i="196"/>
  <c r="L4" i="183"/>
  <c r="M2" i="182"/>
  <c r="M2" i="194"/>
  <c r="M2" i="195"/>
  <c r="J4" i="299"/>
  <c r="J4" i="219"/>
  <c r="J4" i="297"/>
  <c r="J4" i="298"/>
  <c r="J4" i="220"/>
  <c r="J4" i="221"/>
  <c r="I2" i="182"/>
  <c r="I2" i="194"/>
  <c r="I2" i="195"/>
  <c r="P4" i="203"/>
  <c r="P4" i="202"/>
  <c r="P4" i="185"/>
  <c r="R4" i="183"/>
  <c r="R4" i="197"/>
  <c r="R4" i="196"/>
  <c r="T4" i="194"/>
  <c r="T4" i="195"/>
  <c r="T4" i="182"/>
  <c r="E4" i="229"/>
  <c r="E4" i="228"/>
  <c r="E4" i="230"/>
  <c r="E4" i="308"/>
  <c r="E4" i="306"/>
  <c r="E4" i="307"/>
  <c r="K4" i="223"/>
  <c r="K4" i="302"/>
  <c r="K4" i="300"/>
  <c r="K4" i="301"/>
  <c r="K4" i="224"/>
  <c r="K4" i="222"/>
  <c r="C3" i="219"/>
  <c r="C3" i="221"/>
  <c r="C3" i="297"/>
  <c r="C3" i="299"/>
  <c r="C3" i="220"/>
  <c r="C3" i="298"/>
  <c r="I3" i="195"/>
  <c r="I3" i="194"/>
  <c r="I3" i="182"/>
  <c r="N4" i="228"/>
  <c r="N4" i="307"/>
  <c r="N4" i="229"/>
  <c r="N4" i="306"/>
  <c r="N4" i="308"/>
  <c r="N4" i="230"/>
  <c r="O4" i="184"/>
  <c r="O4" i="200"/>
  <c r="O4" i="201"/>
  <c r="H4" i="224"/>
  <c r="H4" i="300"/>
  <c r="H4" i="301"/>
  <c r="H4" i="302"/>
  <c r="H4" i="222"/>
  <c r="H4" i="223"/>
  <c r="R4" i="307"/>
  <c r="R4" i="228"/>
  <c r="R4" i="230"/>
  <c r="R4" i="306"/>
  <c r="R4" i="308"/>
  <c r="R4" i="229"/>
  <c r="I3" i="231"/>
  <c r="I3" i="310"/>
  <c r="I3" i="309"/>
  <c r="I3" i="311"/>
  <c r="I3" i="232"/>
  <c r="I3" i="233"/>
  <c r="K4" i="231"/>
  <c r="K4" i="310"/>
  <c r="K4" i="311"/>
  <c r="K4" i="233"/>
  <c r="K4" i="309"/>
  <c r="K4" i="232"/>
  <c r="X4" i="306"/>
  <c r="X4" i="308"/>
  <c r="X4" i="229"/>
  <c r="X4" i="307"/>
  <c r="X4" i="228"/>
  <c r="X4" i="230"/>
  <c r="S4" i="307"/>
  <c r="S4" i="308"/>
  <c r="S4" i="230"/>
  <c r="S4" i="306"/>
  <c r="S4" i="229"/>
  <c r="S4" i="228"/>
  <c r="W3" i="196"/>
  <c r="W3" i="183"/>
  <c r="W3" i="197"/>
  <c r="D4" i="201"/>
  <c r="D4" i="184"/>
  <c r="D4" i="200"/>
  <c r="V3" i="184"/>
  <c r="V3" i="201"/>
  <c r="V3" i="200"/>
  <c r="F4" i="201"/>
  <c r="F4" i="184"/>
  <c r="F4" i="200"/>
  <c r="T2" i="184"/>
  <c r="T2" i="201"/>
  <c r="T2" i="200"/>
  <c r="D2" i="197"/>
  <c r="D2" i="183"/>
  <c r="D2" i="196"/>
  <c r="Y4" i="202"/>
  <c r="Y4" i="185"/>
  <c r="Y4" i="203"/>
  <c r="X2" i="194"/>
  <c r="X2" i="195"/>
  <c r="X2" i="182"/>
  <c r="P3" i="182"/>
  <c r="P3" i="195"/>
  <c r="P3" i="194"/>
  <c r="B3" i="228"/>
  <c r="B3" i="230"/>
  <c r="B3" i="229"/>
  <c r="B3" i="307"/>
  <c r="B3" i="308"/>
  <c r="B3" i="306"/>
  <c r="V4" i="222"/>
  <c r="V4" i="300"/>
  <c r="V4" i="224"/>
  <c r="V4" i="302"/>
  <c r="V4" i="223"/>
  <c r="V4" i="301"/>
  <c r="O2" i="309"/>
  <c r="O2" i="310"/>
  <c r="O2" i="311"/>
  <c r="O2" i="233"/>
  <c r="O2" i="232"/>
  <c r="O2" i="231"/>
  <c r="E2" i="307"/>
  <c r="E2" i="306"/>
  <c r="E2" i="230"/>
  <c r="E2" i="229"/>
  <c r="E2" i="228"/>
  <c r="E2" i="308"/>
  <c r="B4" i="200"/>
  <c r="B4" i="201"/>
  <c r="B4" i="184"/>
  <c r="F2" i="194"/>
  <c r="F2" i="182"/>
  <c r="F2" i="195"/>
  <c r="O2" i="184"/>
  <c r="O2" i="200"/>
  <c r="O2" i="201"/>
  <c r="C3" i="184"/>
  <c r="C3" i="201"/>
  <c r="C3" i="200"/>
  <c r="J4" i="194"/>
  <c r="J4" i="182"/>
  <c r="J4" i="195"/>
  <c r="J4" i="200"/>
  <c r="J4" i="184"/>
  <c r="J4" i="201"/>
  <c r="U4" i="195"/>
  <c r="U4" i="194"/>
  <c r="U4" i="182"/>
  <c r="P2" i="197"/>
  <c r="P2" i="196"/>
  <c r="P2" i="183"/>
  <c r="C3" i="183"/>
  <c r="C3" i="197"/>
  <c r="C3" i="196"/>
  <c r="I4" i="185"/>
  <c r="I4" i="203"/>
  <c r="I4" i="202"/>
  <c r="E3" i="184"/>
  <c r="E3" i="200"/>
  <c r="E3" i="201"/>
  <c r="M3" i="185"/>
  <c r="M3" i="203"/>
  <c r="M3" i="202"/>
  <c r="V4" i="185"/>
  <c r="V4" i="203"/>
  <c r="V4" i="202"/>
  <c r="J4" i="203"/>
  <c r="J4" i="185"/>
  <c r="J4" i="202"/>
  <c r="J3" i="202"/>
  <c r="J3" i="185"/>
  <c r="J3" i="203"/>
  <c r="C2" i="224"/>
  <c r="C2" i="302"/>
  <c r="C2" i="301"/>
  <c r="C2" i="300"/>
  <c r="C2" i="223"/>
  <c r="C2" i="222"/>
  <c r="C4" i="224"/>
  <c r="C4" i="223"/>
  <c r="C4" i="301"/>
  <c r="C4" i="302"/>
  <c r="C4" i="300"/>
  <c r="C4" i="222"/>
  <c r="M3" i="306"/>
  <c r="M3" i="230"/>
  <c r="M3" i="307"/>
  <c r="M3" i="228"/>
  <c r="M3" i="229"/>
  <c r="M3" i="308"/>
  <c r="J2" i="222"/>
  <c r="J2" i="302"/>
  <c r="J2" i="301"/>
  <c r="J2" i="224"/>
  <c r="J2" i="223"/>
  <c r="J2" i="300"/>
  <c r="U3" i="309"/>
  <c r="U3" i="310"/>
  <c r="U3" i="231"/>
  <c r="U3" i="232"/>
  <c r="U3" i="233"/>
  <c r="U3" i="311"/>
  <c r="Q3" i="311"/>
  <c r="Q3" i="232"/>
  <c r="Q3" i="310"/>
  <c r="Q3" i="233"/>
  <c r="Q3" i="231"/>
  <c r="Q3" i="309"/>
  <c r="D3" i="233"/>
  <c r="D3" i="231"/>
  <c r="D3" i="232"/>
  <c r="D3" i="311"/>
  <c r="D3" i="309"/>
  <c r="D3" i="310"/>
  <c r="L3" i="230"/>
  <c r="L3" i="306"/>
  <c r="L3" i="308"/>
  <c r="L3" i="228"/>
  <c r="L3" i="307"/>
  <c r="L3" i="229"/>
  <c r="V4" i="220"/>
  <c r="V4" i="297"/>
  <c r="V4" i="298"/>
  <c r="V4" i="219"/>
  <c r="V4" i="221"/>
  <c r="V4" i="299"/>
  <c r="O2" i="306"/>
  <c r="O2" i="307"/>
  <c r="O2" i="230"/>
  <c r="O2" i="228"/>
  <c r="O2" i="229"/>
  <c r="O2" i="308"/>
  <c r="S2" i="298"/>
  <c r="S2" i="299"/>
  <c r="S2" i="297"/>
  <c r="S2" i="221"/>
  <c r="S2" i="219"/>
  <c r="S2" i="220"/>
  <c r="B3" i="302"/>
  <c r="B3" i="301"/>
  <c r="B3" i="300"/>
  <c r="B3" i="224"/>
  <c r="B3" i="222"/>
  <c r="B3" i="223"/>
  <c r="T3" i="231"/>
  <c r="T3" i="232"/>
  <c r="T3" i="311"/>
  <c r="T3" i="233"/>
  <c r="T3" i="309"/>
  <c r="T3" i="310"/>
  <c r="C4" i="298"/>
  <c r="C4" i="219"/>
  <c r="C4" i="299"/>
  <c r="C4" i="297"/>
  <c r="C4" i="220"/>
  <c r="C4" i="221"/>
  <c r="J2" i="228"/>
  <c r="J2" i="229"/>
  <c r="J2" i="307"/>
  <c r="J2" i="306"/>
  <c r="J2" i="308"/>
  <c r="J2" i="230"/>
  <c r="F2" i="223"/>
  <c r="F2" i="300"/>
  <c r="F2" i="302"/>
  <c r="F2" i="222"/>
  <c r="F2" i="224"/>
  <c r="F2" i="301"/>
  <c r="B4" i="307"/>
  <c r="B4" i="306"/>
  <c r="B4" i="308"/>
  <c r="B4" i="230"/>
  <c r="B4" i="228"/>
  <c r="B4" i="229"/>
  <c r="C4" i="231"/>
  <c r="C4" i="232"/>
  <c r="C4" i="310"/>
  <c r="C4" i="311"/>
  <c r="C4" i="309"/>
  <c r="C4" i="233"/>
  <c r="N2" i="231"/>
  <c r="N2" i="310"/>
  <c r="N2" i="309"/>
  <c r="N2" i="311"/>
  <c r="N2" i="233"/>
  <c r="N2" i="232"/>
  <c r="N3" i="196"/>
  <c r="N3" i="197"/>
  <c r="N3" i="183"/>
  <c r="G2" i="222"/>
  <c r="G2" i="300"/>
  <c r="G2" i="301"/>
  <c r="G2" i="302"/>
  <c r="G2" i="223"/>
  <c r="G2" i="224"/>
  <c r="D4" i="185"/>
  <c r="D4" i="202"/>
  <c r="D4" i="203"/>
  <c r="Q2" i="229"/>
  <c r="Q2" i="230"/>
  <c r="Q2" i="308"/>
  <c r="Q2" i="306"/>
  <c r="Q2" i="307"/>
  <c r="Q2" i="228"/>
  <c r="N4" i="231"/>
  <c r="N4" i="232"/>
  <c r="N4" i="311"/>
  <c r="N4" i="310"/>
  <c r="N4" i="309"/>
  <c r="N4" i="233"/>
  <c r="Q3" i="301"/>
  <c r="Q3" i="223"/>
  <c r="Q3" i="224"/>
  <c r="Q3" i="222"/>
  <c r="Q3" i="300"/>
  <c r="Q3" i="302"/>
  <c r="E4" i="231"/>
  <c r="E4" i="310"/>
  <c r="E4" i="309"/>
  <c r="E4" i="311"/>
  <c r="E4" i="233"/>
  <c r="E4" i="232"/>
  <c r="M2" i="202"/>
  <c r="M2" i="185"/>
  <c r="M2" i="203"/>
  <c r="N4" i="183"/>
  <c r="N4" i="196"/>
  <c r="N4" i="197"/>
  <c r="O2" i="219"/>
  <c r="O2" i="298"/>
  <c r="O2" i="299"/>
  <c r="O2" i="220"/>
  <c r="O2" i="297"/>
  <c r="O2" i="221"/>
  <c r="R4" i="309"/>
  <c r="R4" i="231"/>
  <c r="R4" i="233"/>
  <c r="R4" i="232"/>
  <c r="R4" i="310"/>
  <c r="R4" i="311"/>
  <c r="D2" i="220"/>
  <c r="D2" i="298"/>
  <c r="D2" i="221"/>
  <c r="D2" i="219"/>
  <c r="D2" i="299"/>
  <c r="D2" i="297"/>
  <c r="F3" i="300"/>
  <c r="F3" i="301"/>
  <c r="F3" i="222"/>
  <c r="F3" i="224"/>
  <c r="F3" i="302"/>
  <c r="F3" i="223"/>
  <c r="N2" i="196"/>
  <c r="N2" i="183"/>
  <c r="N2" i="197"/>
  <c r="C4" i="183"/>
  <c r="C4" i="196"/>
  <c r="C4" i="197"/>
  <c r="S3" i="196"/>
  <c r="S3" i="183"/>
  <c r="S3" i="197"/>
  <c r="J2" i="183"/>
  <c r="J2" i="196"/>
  <c r="J2" i="197"/>
  <c r="B2" i="311"/>
  <c r="B2" i="232"/>
  <c r="B2" i="310"/>
  <c r="B2" i="309"/>
  <c r="B2" i="231"/>
  <c r="B2" i="233"/>
  <c r="B3" i="298"/>
  <c r="B3" i="299"/>
  <c r="B3" i="297"/>
  <c r="B3" i="221"/>
  <c r="B3" i="219"/>
  <c r="B3" i="220"/>
  <c r="K3" i="306"/>
  <c r="K3" i="308"/>
  <c r="K3" i="230"/>
  <c r="K3" i="229"/>
  <c r="K3" i="228"/>
  <c r="K3" i="307"/>
  <c r="O2" i="302"/>
  <c r="O2" i="301"/>
  <c r="O2" i="300"/>
  <c r="O2" i="223"/>
  <c r="O2" i="224"/>
  <c r="O2" i="222"/>
  <c r="Y4" i="200"/>
  <c r="Y4" i="184"/>
  <c r="Y4" i="201"/>
  <c r="C3" i="185"/>
  <c r="C3" i="203"/>
  <c r="C3" i="202"/>
  <c r="O3" i="200"/>
  <c r="O3" i="201"/>
  <c r="O3" i="184"/>
  <c r="E2" i="183"/>
  <c r="E2" i="196"/>
  <c r="E2" i="197"/>
  <c r="B4" i="183"/>
  <c r="B4" i="196"/>
  <c r="B4" i="197"/>
  <c r="H3" i="297"/>
  <c r="H3" i="220"/>
  <c r="H3" i="221"/>
  <c r="H3" i="299"/>
  <c r="H3" i="298"/>
  <c r="H3" i="219"/>
  <c r="V4" i="231"/>
  <c r="V4" i="310"/>
  <c r="V4" i="233"/>
  <c r="V4" i="232"/>
  <c r="V4" i="311"/>
  <c r="V4" i="309"/>
  <c r="I3" i="302"/>
  <c r="I3" i="301"/>
  <c r="I3" i="222"/>
  <c r="I3" i="223"/>
  <c r="I3" i="300"/>
  <c r="I3" i="224"/>
  <c r="K2" i="223"/>
  <c r="K2" i="301"/>
  <c r="K2" i="222"/>
  <c r="K2" i="302"/>
  <c r="K2" i="300"/>
  <c r="K2" i="224"/>
  <c r="F2" i="310"/>
  <c r="F2" i="232"/>
  <c r="F2" i="309"/>
  <c r="F2" i="311"/>
  <c r="F2" i="233"/>
  <c r="F2" i="231"/>
  <c r="T4" i="228"/>
  <c r="T4" i="308"/>
  <c r="T4" i="229"/>
  <c r="T4" i="307"/>
  <c r="T4" i="306"/>
  <c r="T4" i="230"/>
  <c r="Q2" i="184"/>
  <c r="Q2" i="201"/>
  <c r="Q2" i="200"/>
  <c r="V2" i="197"/>
  <c r="V2" i="196"/>
  <c r="V2" i="183"/>
  <c r="G3" i="202"/>
  <c r="G3" i="185"/>
  <c r="G3" i="203"/>
  <c r="L3" i="196"/>
  <c r="L3" i="197"/>
  <c r="L3" i="183"/>
  <c r="N2" i="195"/>
  <c r="N2" i="182"/>
  <c r="N2" i="194"/>
  <c r="I4" i="184"/>
  <c r="I4" i="201"/>
  <c r="I4" i="200"/>
  <c r="W3" i="201"/>
  <c r="W3" i="200"/>
  <c r="W3" i="184"/>
  <c r="F3" i="194"/>
  <c r="F3" i="182"/>
  <c r="F3" i="195"/>
  <c r="T2" i="203"/>
  <c r="T2" i="185"/>
  <c r="T2" i="202"/>
  <c r="X4" i="197"/>
  <c r="X4" i="183"/>
  <c r="X4" i="196"/>
  <c r="N3" i="194"/>
  <c r="N3" i="195"/>
  <c r="N3" i="182"/>
  <c r="K3" i="200"/>
  <c r="K3" i="201"/>
  <c r="K3" i="184"/>
  <c r="J2" i="194"/>
  <c r="J2" i="195"/>
  <c r="J2" i="182"/>
  <c r="L2" i="196"/>
  <c r="L2" i="197"/>
  <c r="L2" i="183"/>
  <c r="T2" i="183"/>
  <c r="T2" i="197"/>
  <c r="T2" i="196"/>
  <c r="T4" i="203"/>
  <c r="T4" i="202"/>
  <c r="T4" i="185"/>
  <c r="J2" i="203"/>
  <c r="J2" i="202"/>
  <c r="J2" i="185"/>
  <c r="F2" i="185"/>
  <c r="F2" i="202"/>
  <c r="F2" i="203"/>
  <c r="D3" i="203"/>
  <c r="D3" i="185"/>
  <c r="D3" i="202"/>
  <c r="X2" i="201"/>
  <c r="X2" i="200"/>
  <c r="X2" i="184"/>
  <c r="K4" i="203"/>
  <c r="K4" i="185"/>
  <c r="K4" i="202"/>
  <c r="E2" i="224"/>
  <c r="E2" i="300"/>
  <c r="E2" i="301"/>
  <c r="E2" i="222"/>
  <c r="E2" i="223"/>
  <c r="E2" i="302"/>
  <c r="L4" i="300"/>
  <c r="L4" i="302"/>
  <c r="L4" i="224"/>
  <c r="L4" i="301"/>
  <c r="L4" i="222"/>
  <c r="L4" i="223"/>
  <c r="J4" i="228"/>
  <c r="J4" i="229"/>
  <c r="J4" i="307"/>
  <c r="J4" i="308"/>
  <c r="J4" i="306"/>
  <c r="J4" i="230"/>
  <c r="P2" i="232"/>
  <c r="P2" i="231"/>
  <c r="P2" i="310"/>
  <c r="P2" i="309"/>
  <c r="P2" i="311"/>
  <c r="P2" i="233"/>
  <c r="L2" i="310"/>
  <c r="L2" i="233"/>
  <c r="L2" i="232"/>
  <c r="L2" i="311"/>
  <c r="L2" i="309"/>
  <c r="L2" i="231"/>
  <c r="K3" i="231"/>
  <c r="K3" i="309"/>
  <c r="K3" i="310"/>
  <c r="K3" i="311"/>
  <c r="K3" i="233"/>
  <c r="K3" i="232"/>
  <c r="G2" i="232"/>
  <c r="G2" i="311"/>
  <c r="G2" i="233"/>
  <c r="G2" i="310"/>
  <c r="G2" i="309"/>
  <c r="G2" i="231"/>
  <c r="Q4" i="306"/>
  <c r="Q4" i="230"/>
  <c r="Q4" i="229"/>
  <c r="Q4" i="307"/>
  <c r="Q4" i="308"/>
  <c r="Q4" i="228"/>
  <c r="G2" i="297"/>
  <c r="G2" i="219"/>
  <c r="G2" i="221"/>
  <c r="G2" i="298"/>
  <c r="G2" i="299"/>
  <c r="G2" i="220"/>
  <c r="S2" i="230"/>
  <c r="S2" i="229"/>
  <c r="S2" i="228"/>
  <c r="S2" i="306"/>
  <c r="S2" i="308"/>
  <c r="S2" i="307"/>
  <c r="M4" i="221"/>
  <c r="M4" i="219"/>
  <c r="M4" i="299"/>
  <c r="M4" i="297"/>
  <c r="M4" i="220"/>
  <c r="M4" i="298"/>
  <c r="X2" i="299"/>
  <c r="X2" i="219"/>
  <c r="X2" i="297"/>
  <c r="X2" i="220"/>
  <c r="X2" i="298"/>
  <c r="X2" i="221"/>
  <c r="E2" i="311"/>
  <c r="E2" i="309"/>
  <c r="E2" i="310"/>
  <c r="E2" i="233"/>
  <c r="E2" i="231"/>
  <c r="E2" i="232"/>
  <c r="R4" i="221"/>
  <c r="R4" i="298"/>
  <c r="R4" i="297"/>
  <c r="R4" i="299"/>
  <c r="R4" i="220"/>
  <c r="R4" i="219"/>
  <c r="P4" i="228"/>
  <c r="P4" i="308"/>
  <c r="P4" i="306"/>
  <c r="P4" i="230"/>
  <c r="P4" i="229"/>
  <c r="P4" i="307"/>
  <c r="U2" i="297"/>
  <c r="U2" i="221"/>
  <c r="U2" i="219"/>
  <c r="U2" i="220"/>
  <c r="U2" i="299"/>
  <c r="U2" i="298"/>
  <c r="T4" i="302"/>
  <c r="T4" i="300"/>
  <c r="T4" i="301"/>
  <c r="T4" i="223"/>
  <c r="T4" i="222"/>
  <c r="T4" i="224"/>
  <c r="O3" i="307"/>
  <c r="O3" i="229"/>
  <c r="O3" i="230"/>
  <c r="O3" i="308"/>
  <c r="O3" i="228"/>
  <c r="O3" i="306"/>
  <c r="I2" i="185"/>
  <c r="I2" i="202"/>
  <c r="I2" i="203"/>
  <c r="F2" i="299"/>
  <c r="F2" i="297"/>
  <c r="F2" i="298"/>
  <c r="F2" i="221"/>
  <c r="F2" i="220"/>
  <c r="F2" i="219"/>
  <c r="R3" i="203"/>
  <c r="R3" i="185"/>
  <c r="R3" i="202"/>
  <c r="H3" i="309"/>
  <c r="H3" i="311"/>
  <c r="H3" i="231"/>
  <c r="H3" i="310"/>
  <c r="H3" i="232"/>
  <c r="H3" i="233"/>
  <c r="O3" i="185"/>
  <c r="O3" i="202"/>
  <c r="O3" i="203"/>
  <c r="E3" i="229"/>
  <c r="E3" i="306"/>
  <c r="E3" i="308"/>
  <c r="E3" i="307"/>
  <c r="E3" i="228"/>
  <c r="E3" i="230"/>
  <c r="V3" i="311"/>
  <c r="V3" i="309"/>
  <c r="V3" i="233"/>
  <c r="V3" i="310"/>
  <c r="V3" i="231"/>
  <c r="V3" i="232"/>
  <c r="Y3" i="185"/>
  <c r="Y3" i="203"/>
  <c r="Y3" i="202"/>
  <c r="R2" i="197"/>
  <c r="R2" i="196"/>
  <c r="R2" i="183"/>
  <c r="C2" i="196"/>
  <c r="C2" i="197"/>
  <c r="C2" i="183"/>
  <c r="T3" i="194"/>
  <c r="T3" i="182"/>
  <c r="T3" i="195"/>
  <c r="F4" i="231"/>
  <c r="F4" i="232"/>
  <c r="F4" i="309"/>
  <c r="F4" i="233"/>
  <c r="F4" i="311"/>
  <c r="F4" i="310"/>
  <c r="S4" i="194"/>
  <c r="S4" i="182"/>
  <c r="S4" i="195"/>
  <c r="D3" i="184"/>
  <c r="D3" i="200"/>
  <c r="D3" i="201"/>
  <c r="P3" i="201"/>
  <c r="P3" i="200"/>
  <c r="P3" i="184"/>
  <c r="Y3" i="200"/>
  <c r="Y3" i="184"/>
  <c r="Y3" i="201"/>
  <c r="G3" i="201"/>
  <c r="G3" i="184"/>
  <c r="G3" i="200"/>
  <c r="K3" i="183"/>
  <c r="K3" i="197"/>
  <c r="K3" i="196"/>
  <c r="D2" i="202"/>
  <c r="D2" i="203"/>
  <c r="D2" i="185"/>
  <c r="K3" i="185"/>
  <c r="K3" i="203"/>
  <c r="K3" i="202"/>
  <c r="W4" i="195"/>
  <c r="W4" i="194"/>
  <c r="W4" i="182"/>
  <c r="Y2" i="196"/>
  <c r="Y2" i="183"/>
  <c r="Y2" i="197"/>
  <c r="D3" i="194"/>
  <c r="D3" i="182"/>
  <c r="D3" i="195"/>
  <c r="L4" i="202"/>
  <c r="L4" i="185"/>
  <c r="L4" i="203"/>
  <c r="L3" i="200"/>
  <c r="L3" i="201"/>
  <c r="L3" i="184"/>
  <c r="O2" i="202"/>
  <c r="O2" i="203"/>
  <c r="O2" i="185"/>
  <c r="N2" i="202"/>
  <c r="N2" i="185"/>
  <c r="N2" i="203"/>
  <c r="T3" i="197"/>
  <c r="T3" i="183"/>
  <c r="T3" i="196"/>
  <c r="R2" i="184"/>
  <c r="R2" i="200"/>
  <c r="R2" i="201"/>
  <c r="I4" i="301"/>
  <c r="I4" i="300"/>
  <c r="I4" i="223"/>
  <c r="I4" i="222"/>
  <c r="I4" i="302"/>
  <c r="I4" i="224"/>
  <c r="P3" i="300"/>
  <c r="P3" i="222"/>
  <c r="P3" i="223"/>
  <c r="P3" i="301"/>
  <c r="P3" i="302"/>
  <c r="P3" i="224"/>
  <c r="T3" i="223"/>
  <c r="T3" i="301"/>
  <c r="T3" i="224"/>
  <c r="T3" i="302"/>
  <c r="T3" i="300"/>
  <c r="T3" i="222"/>
  <c r="G4" i="230"/>
  <c r="G4" i="308"/>
  <c r="G4" i="228"/>
  <c r="G4" i="307"/>
  <c r="G4" i="229"/>
  <c r="G4" i="306"/>
  <c r="M4" i="228"/>
  <c r="M4" i="306"/>
  <c r="M4" i="307"/>
  <c r="M4" i="229"/>
  <c r="M4" i="308"/>
  <c r="M4" i="230"/>
  <c r="M2" i="309"/>
  <c r="M2" i="231"/>
  <c r="M2" i="311"/>
  <c r="M2" i="233"/>
  <c r="M2" i="232"/>
  <c r="M2" i="310"/>
  <c r="S2" i="232"/>
  <c r="S2" i="309"/>
  <c r="S2" i="233"/>
  <c r="S2" i="311"/>
  <c r="S2" i="231"/>
  <c r="S2" i="310"/>
  <c r="Y4" i="308"/>
  <c r="Y4" i="230"/>
  <c r="Y4" i="228"/>
  <c r="Y4" i="229"/>
  <c r="Y4" i="307"/>
  <c r="Y4" i="306"/>
  <c r="E2" i="297"/>
  <c r="E2" i="221"/>
  <c r="E2" i="299"/>
  <c r="E2" i="219"/>
  <c r="E2" i="220"/>
  <c r="E2" i="298"/>
  <c r="J3" i="233"/>
  <c r="J3" i="232"/>
  <c r="J3" i="310"/>
  <c r="J3" i="311"/>
  <c r="J3" i="231"/>
  <c r="J3" i="309"/>
  <c r="K4" i="221"/>
  <c r="K4" i="299"/>
  <c r="K4" i="219"/>
  <c r="K4" i="298"/>
  <c r="K4" i="220"/>
  <c r="K4" i="297"/>
  <c r="V2" i="298"/>
  <c r="V2" i="220"/>
  <c r="V2" i="297"/>
  <c r="V2" i="219"/>
  <c r="V2" i="299"/>
  <c r="V2" i="221"/>
  <c r="F4" i="228"/>
  <c r="F4" i="229"/>
  <c r="F4" i="306"/>
  <c r="F4" i="308"/>
  <c r="F4" i="307"/>
  <c r="F4" i="230"/>
  <c r="Q2" i="297"/>
  <c r="Q2" i="298"/>
  <c r="Q2" i="299"/>
  <c r="Q2" i="220"/>
  <c r="Q2" i="219"/>
  <c r="Q2" i="221"/>
  <c r="G2" i="308"/>
  <c r="G2" i="230"/>
  <c r="G2" i="229"/>
  <c r="G2" i="307"/>
  <c r="G2" i="228"/>
  <c r="G2" i="306"/>
  <c r="V3" i="219"/>
  <c r="V3" i="221"/>
  <c r="V3" i="220"/>
  <c r="V3" i="297"/>
  <c r="V3" i="298"/>
  <c r="V3" i="299"/>
  <c r="H3" i="302"/>
  <c r="H3" i="300"/>
  <c r="H3" i="223"/>
  <c r="H3" i="301"/>
  <c r="H3" i="224"/>
  <c r="H3" i="222"/>
  <c r="W4" i="306"/>
  <c r="W4" i="307"/>
  <c r="W4" i="228"/>
  <c r="W4" i="308"/>
  <c r="W4" i="230"/>
  <c r="W4" i="229"/>
</calcChain>
</file>

<file path=xl/sharedStrings.xml><?xml version="1.0" encoding="utf-8"?>
<sst xmlns="http://schemas.openxmlformats.org/spreadsheetml/2006/main" count="178" uniqueCount="19">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</sst>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_High%20Investment\case9\case9_base.xlsx" TargetMode="External"/><Relationship Id="rId1" Type="http://schemas.openxmlformats.org/officeDocument/2006/relationships/externalLinkPath" Target="case9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0.01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28.640709882946304</v>
          </cell>
          <cell r="C2">
            <v>26.714573281418307</v>
          </cell>
          <cell r="D2">
            <v>25.312879159841337</v>
          </cell>
          <cell r="E2">
            <v>25.133776452667234</v>
          </cell>
          <cell r="F2">
            <v>25.436946861179031</v>
          </cell>
          <cell r="G2">
            <v>27.960696815854309</v>
          </cell>
          <cell r="H2">
            <v>33.363925378103289</v>
          </cell>
          <cell r="I2">
            <v>40.159994232752233</v>
          </cell>
          <cell r="J2">
            <v>43.723321027778113</v>
          </cell>
          <cell r="K2">
            <v>44.268543395713934</v>
          </cell>
          <cell r="L2">
            <v>43.073883742328519</v>
          </cell>
          <cell r="M2">
            <v>43.295892296382085</v>
          </cell>
          <cell r="N2">
            <v>43.260312945175158</v>
          </cell>
          <cell r="O2">
            <v>42.553895205510344</v>
          </cell>
          <cell r="P2">
            <v>40.128767731659636</v>
          </cell>
          <cell r="Q2">
            <v>38.979063710676506</v>
          </cell>
          <cell r="R2">
            <v>40.594711565011977</v>
          </cell>
          <cell r="S2">
            <v>45</v>
          </cell>
          <cell r="T2">
            <v>44.836875711706767</v>
          </cell>
          <cell r="U2">
            <v>43.908591159821562</v>
          </cell>
          <cell r="V2">
            <v>43.153477019322303</v>
          </cell>
          <cell r="W2">
            <v>40.446415007398876</v>
          </cell>
          <cell r="X2">
            <v>35.383087776062744</v>
          </cell>
          <cell r="Y2">
            <v>32.101442185583167</v>
          </cell>
        </row>
        <row r="3">
          <cell r="B3">
            <v>28.318710831598349</v>
          </cell>
          <cell r="C3">
            <v>26.315204214245814</v>
          </cell>
          <cell r="D3">
            <v>23.814013426539436</v>
          </cell>
          <cell r="E3">
            <v>25.613338402094083</v>
          </cell>
          <cell r="F3">
            <v>25.524009277571608</v>
          </cell>
          <cell r="G3">
            <v>26.608704012448104</v>
          </cell>
          <cell r="H3">
            <v>39.599618813370633</v>
          </cell>
          <cell r="I3">
            <v>44.104324438231103</v>
          </cell>
          <cell r="J3">
            <v>48.353801657343247</v>
          </cell>
          <cell r="K3">
            <v>48.379322308964795</v>
          </cell>
          <cell r="L3">
            <v>45.699473268620906</v>
          </cell>
          <cell r="M3">
            <v>50</v>
          </cell>
          <cell r="N3">
            <v>47.154254412376474</v>
          </cell>
          <cell r="O3">
            <v>44.142609525564225</v>
          </cell>
          <cell r="P3">
            <v>42.802683636622866</v>
          </cell>
          <cell r="Q3">
            <v>39.995217650477144</v>
          </cell>
          <cell r="R3">
            <v>40.020741039637507</v>
          </cell>
          <cell r="S3">
            <v>42.368805198038565</v>
          </cell>
          <cell r="T3">
            <v>42.368805198038565</v>
          </cell>
          <cell r="U3">
            <v>43.006857051434061</v>
          </cell>
          <cell r="V3">
            <v>41.845586666813716</v>
          </cell>
          <cell r="W3">
            <v>37.813044567870669</v>
          </cell>
          <cell r="X3">
            <v>31.981180223726628</v>
          </cell>
          <cell r="Y3">
            <v>30.947518572291692</v>
          </cell>
        </row>
        <row r="4">
          <cell r="B4">
            <v>41.161923557384661</v>
          </cell>
          <cell r="C4">
            <v>36.216924903815787</v>
          </cell>
          <cell r="D4">
            <v>34.096561117866841</v>
          </cell>
          <cell r="E4">
            <v>33.691648371190951</v>
          </cell>
          <cell r="F4">
            <v>35.265166706644465</v>
          </cell>
          <cell r="G4">
            <v>38.0759327548637</v>
          </cell>
          <cell r="H4">
            <v>45.945274418750067</v>
          </cell>
          <cell r="I4">
            <v>51.363857914252421</v>
          </cell>
          <cell r="J4">
            <v>54.36397226733289</v>
          </cell>
          <cell r="K4">
            <v>56.213389721513067</v>
          </cell>
          <cell r="L4">
            <v>56.727717165012599</v>
          </cell>
          <cell r="M4">
            <v>56.13602693224356</v>
          </cell>
          <cell r="N4">
            <v>55.817499446474862</v>
          </cell>
          <cell r="O4">
            <v>54.666430938587787</v>
          </cell>
          <cell r="P4">
            <v>52.926301971725778</v>
          </cell>
          <cell r="Q4">
            <v>51.96798375759154</v>
          </cell>
          <cell r="R4">
            <v>53.823207181536652</v>
          </cell>
          <cell r="S4">
            <v>60.935494732253488</v>
          </cell>
          <cell r="T4">
            <v>62.130997688214556</v>
          </cell>
          <cell r="U4">
            <v>62.5</v>
          </cell>
          <cell r="V4">
            <v>60.64144136208904</v>
          </cell>
          <cell r="W4">
            <v>57.869420599424572</v>
          </cell>
          <cell r="X4">
            <v>52.76844322838636</v>
          </cell>
          <cell r="Y4">
            <v>46.642389516869741</v>
          </cell>
        </row>
      </sheetData>
      <sheetData sheetId="7">
        <row r="2">
          <cell r="B2">
            <v>29.786338278264157</v>
          </cell>
          <cell r="C2">
            <v>27.783156212675038</v>
          </cell>
          <cell r="D2">
            <v>26.325394326234992</v>
          </cell>
          <cell r="E2">
            <v>26.139127510773925</v>
          </cell>
          <cell r="F2">
            <v>26.454424735626194</v>
          </cell>
          <cell r="G2">
            <v>29.079124688488484</v>
          </cell>
          <cell r="H2">
            <v>34.698482393227422</v>
          </cell>
          <cell r="I2">
            <v>41.76639400206232</v>
          </cell>
          <cell r="J2">
            <v>45.472253868889233</v>
          </cell>
          <cell r="K2">
            <v>46.039285131542499</v>
          </cell>
          <cell r="L2">
            <v>44.796839092021656</v>
          </cell>
          <cell r="M2">
            <v>45.027727988237366</v>
          </cell>
          <cell r="N2">
            <v>44.990725462982169</v>
          </cell>
          <cell r="O2">
            <v>44.256051013730755</v>
          </cell>
          <cell r="P2">
            <v>41.733918440926018</v>
          </cell>
          <cell r="Q2">
            <v>40.538226259103567</v>
          </cell>
          <cell r="R2">
            <v>42.218500027612457</v>
          </cell>
          <cell r="S2">
            <v>46.800000000000004</v>
          </cell>
          <cell r="T2">
            <v>46.630350740175039</v>
          </cell>
          <cell r="U2">
            <v>45.664934806214433</v>
          </cell>
          <cell r="V2">
            <v>44.879616100095198</v>
          </cell>
          <cell r="W2">
            <v>42.064271607694835</v>
          </cell>
          <cell r="X2">
            <v>36.79841128710526</v>
          </cell>
          <cell r="Y2">
            <v>33.385499873006495</v>
          </cell>
        </row>
        <row r="3">
          <cell r="B3">
            <v>29.451459264862283</v>
          </cell>
          <cell r="C3">
            <v>27.36781238281565</v>
          </cell>
          <cell r="D3">
            <v>24.766573963601012</v>
          </cell>
          <cell r="E3">
            <v>26.637871938177849</v>
          </cell>
          <cell r="F3">
            <v>26.544969648674471</v>
          </cell>
          <cell r="G3">
            <v>27.673052172946029</v>
          </cell>
          <cell r="H3">
            <v>41.183603565905464</v>
          </cell>
          <cell r="I3">
            <v>45.868497415760345</v>
          </cell>
          <cell r="J3">
            <v>50.287953723636981</v>
          </cell>
          <cell r="K3">
            <v>50.314495201323382</v>
          </cell>
          <cell r="L3">
            <v>47.527452199365747</v>
          </cell>
          <cell r="M3">
            <v>52</v>
          </cell>
          <cell r="N3">
            <v>49.040424588871531</v>
          </cell>
          <cell r="O3">
            <v>45.908313906586798</v>
          </cell>
          <cell r="P3">
            <v>44.514790982087781</v>
          </cell>
          <cell r="Q3">
            <v>41.595026356496227</v>
          </cell>
          <cell r="R3">
            <v>41.621570681223005</v>
          </cell>
          <cell r="S3">
            <v>44.063557405960111</v>
          </cell>
          <cell r="T3">
            <v>44.063557405960111</v>
          </cell>
          <cell r="U3">
            <v>44.727131333491428</v>
          </cell>
          <cell r="V3">
            <v>43.519410133486268</v>
          </cell>
          <cell r="W3">
            <v>39.325566350585497</v>
          </cell>
          <cell r="X3">
            <v>33.260427432675691</v>
          </cell>
          <cell r="Y3">
            <v>32.18541931518336</v>
          </cell>
        </row>
        <row r="4">
          <cell r="B4">
            <v>42.808400499680047</v>
          </cell>
          <cell r="C4">
            <v>37.665601899968429</v>
          </cell>
          <cell r="D4">
            <v>35.460423562581511</v>
          </cell>
          <cell r="E4">
            <v>35.039314306038591</v>
          </cell>
          <cell r="F4">
            <v>36.675773374910243</v>
          </cell>
          <cell r="G4">
            <v>39.598970065058246</v>
          </cell>
          <cell r="H4">
            <v>47.783085395500066</v>
          </cell>
          <cell r="I4">
            <v>53.418412230822518</v>
          </cell>
          <cell r="J4">
            <v>56.538531158026203</v>
          </cell>
          <cell r="K4">
            <v>58.461925310373594</v>
          </cell>
          <cell r="L4">
            <v>58.996825851613103</v>
          </cell>
          <cell r="M4">
            <v>58.3814680095333</v>
          </cell>
          <cell r="N4">
            <v>58.050199424333861</v>
          </cell>
          <cell r="O4">
            <v>56.853088176131301</v>
          </cell>
          <cell r="P4">
            <v>55.043354050594807</v>
          </cell>
          <cell r="Q4">
            <v>54.046703107895205</v>
          </cell>
          <cell r="R4">
            <v>55.97613546879812</v>
          </cell>
          <cell r="S4">
            <v>63.372914521543628</v>
          </cell>
          <cell r="T4">
            <v>64.616237595743144</v>
          </cell>
          <cell r="U4">
            <v>65</v>
          </cell>
          <cell r="V4">
            <v>63.067099016572605</v>
          </cell>
          <cell r="W4">
            <v>60.18419742340155</v>
          </cell>
          <cell r="X4">
            <v>54.879180957521818</v>
          </cell>
          <cell r="Y4">
            <v>48.508085097544537</v>
          </cell>
        </row>
      </sheetData>
      <sheetData sheetId="8">
        <row r="2">
          <cell r="B2">
            <v>27.208674388798986</v>
          </cell>
          <cell r="C2">
            <v>25.37884461734739</v>
          </cell>
          <cell r="D2">
            <v>24.047235201849269</v>
          </cell>
          <cell r="E2">
            <v>23.877087630033873</v>
          </cell>
          <cell r="F2">
            <v>24.16509951812008</v>
          </cell>
          <cell r="G2">
            <v>26.562661975061594</v>
          </cell>
          <cell r="H2">
            <v>31.695729109198123</v>
          </cell>
          <cell r="I2">
            <v>38.151994521114624</v>
          </cell>
          <cell r="J2">
            <v>41.537154976389203</v>
          </cell>
          <cell r="K2">
            <v>42.055116225928238</v>
          </cell>
          <cell r="L2">
            <v>40.92018955521209</v>
          </cell>
          <cell r="M2">
            <v>41.131097681562984</v>
          </cell>
          <cell r="N2">
            <v>41.097297297916398</v>
          </cell>
          <cell r="O2">
            <v>40.426200445234819</v>
          </cell>
          <cell r="P2">
            <v>38.12232934507665</v>
          </cell>
          <cell r="Q2">
            <v>37.030110525142682</v>
          </cell>
          <cell r="R2">
            <v>38.564975986761375</v>
          </cell>
          <cell r="S2">
            <v>42.75</v>
          </cell>
          <cell r="T2">
            <v>42.595031926121429</v>
          </cell>
          <cell r="U2">
            <v>41.713161601830485</v>
          </cell>
          <cell r="V2">
            <v>40.995803168356183</v>
          </cell>
          <cell r="W2">
            <v>38.424094257028933</v>
          </cell>
          <cell r="X2">
            <v>33.613933387259607</v>
          </cell>
          <cell r="Y2">
            <v>30.496370076304007</v>
          </cell>
        </row>
        <row r="3">
          <cell r="B3">
            <v>26.902775290018425</v>
          </cell>
          <cell r="C3">
            <v>24.999444003533522</v>
          </cell>
          <cell r="D3">
            <v>22.623312755212464</v>
          </cell>
          <cell r="E3">
            <v>24.332671481989376</v>
          </cell>
          <cell r="F3">
            <v>24.247808813693027</v>
          </cell>
          <cell r="G3">
            <v>25.278268811825701</v>
          </cell>
          <cell r="H3">
            <v>37.6196378727021</v>
          </cell>
          <cell r="I3">
            <v>41.899108216319547</v>
          </cell>
          <cell r="J3">
            <v>45.936111574476087</v>
          </cell>
          <cell r="K3">
            <v>45.960356193516553</v>
          </cell>
          <cell r="L3">
            <v>43.41449960518986</v>
          </cell>
          <cell r="M3">
            <v>47.5</v>
          </cell>
          <cell r="N3">
            <v>44.796541691757646</v>
          </cell>
          <cell r="O3">
            <v>41.935479049286009</v>
          </cell>
          <cell r="P3">
            <v>40.662549454791723</v>
          </cell>
          <cell r="Q3">
            <v>37.995456767953286</v>
          </cell>
          <cell r="R3">
            <v>38.019703987655632</v>
          </cell>
          <cell r="S3">
            <v>40.250364938136634</v>
          </cell>
          <cell r="T3">
            <v>40.250364938136634</v>
          </cell>
          <cell r="U3">
            <v>40.856514198862357</v>
          </cell>
          <cell r="V3">
            <v>39.753307333473032</v>
          </cell>
          <cell r="W3">
            <v>35.922392339477135</v>
          </cell>
          <cell r="X3">
            <v>30.382121212540298</v>
          </cell>
          <cell r="Y3">
            <v>29.400142643677107</v>
          </cell>
        </row>
        <row r="4">
          <cell r="B4">
            <v>39.10382737951543</v>
          </cell>
          <cell r="C4">
            <v>34.406078658624999</v>
          </cell>
          <cell r="D4">
            <v>32.391733061973497</v>
          </cell>
          <cell r="E4">
            <v>32.0070659526314</v>
          </cell>
          <cell r="F4">
            <v>33.50190837131224</v>
          </cell>
          <cell r="G4">
            <v>36.172136117120516</v>
          </cell>
          <cell r="H4">
            <v>43.648010697812559</v>
          </cell>
          <cell r="I4">
            <v>48.795665018539793</v>
          </cell>
          <cell r="J4">
            <v>51.645773653966238</v>
          </cell>
          <cell r="K4">
            <v>53.402720235437414</v>
          </cell>
          <cell r="L4">
            <v>53.891331306761963</v>
          </cell>
          <cell r="M4">
            <v>53.329225585631377</v>
          </cell>
          <cell r="N4">
            <v>53.026624474151113</v>
          </cell>
          <cell r="O4">
            <v>51.933109391658391</v>
          </cell>
          <cell r="P4">
            <v>50.279986873139492</v>
          </cell>
          <cell r="Q4">
            <v>49.369584569711961</v>
          </cell>
          <cell r="R4">
            <v>51.132046822459813</v>
          </cell>
          <cell r="S4">
            <v>57.888719995640812</v>
          </cell>
          <cell r="T4">
            <v>59.024447803803824</v>
          </cell>
          <cell r="U4">
            <v>59.375</v>
          </cell>
          <cell r="V4">
            <v>57.609369293984585</v>
          </cell>
          <cell r="W4">
            <v>54.975949569453341</v>
          </cell>
          <cell r="X4">
            <v>50.130021066967039</v>
          </cell>
          <cell r="Y4">
            <v>44.31027004102625</v>
          </cell>
        </row>
      </sheetData>
      <sheetData sheetId="9">
        <row r="2">
          <cell r="B2">
            <v>-12.469785513080238</v>
          </cell>
          <cell r="C2">
            <v>-13.552944458482951</v>
          </cell>
          <cell r="D2">
            <v>-14.59839275357499</v>
          </cell>
          <cell r="E2">
            <v>-14.492120196648649</v>
          </cell>
          <cell r="F2">
            <v>-15</v>
          </cell>
          <cell r="G2">
            <v>-13.35282359736305</v>
          </cell>
          <cell r="H2">
            <v>-9.9436551462545548</v>
          </cell>
          <cell r="I2">
            <v>-4.0930063124960201</v>
          </cell>
          <cell r="J2">
            <v>-1.2053668195189318</v>
          </cell>
          <cell r="K2">
            <v>-0.18855958103093676</v>
          </cell>
          <cell r="L2">
            <v>-1.6927804232274042</v>
          </cell>
          <cell r="M2">
            <v>-1.2444992949422855</v>
          </cell>
          <cell r="N2">
            <v>-1.7225564045393726</v>
          </cell>
          <cell r="O2">
            <v>-1.7376609171962816</v>
          </cell>
          <cell r="P2">
            <v>-4.3928558767051147</v>
          </cell>
          <cell r="Q2">
            <v>-6.3264040784546287</v>
          </cell>
          <cell r="R2">
            <v>-5.6261809952244768</v>
          </cell>
          <cell r="S2">
            <v>-1.9205124586372087</v>
          </cell>
          <cell r="T2">
            <v>-2.7936569679470304</v>
          </cell>
          <cell r="U2">
            <v>-3.5117603225567375</v>
          </cell>
          <cell r="V2">
            <v>-5.5163531393218799</v>
          </cell>
          <cell r="W2">
            <v>-7.1605846200922834</v>
          </cell>
          <cell r="X2">
            <v>-9.6068981828398492</v>
          </cell>
          <cell r="Y2">
            <v>-10.813381136149594</v>
          </cell>
        </row>
        <row r="3">
          <cell r="B3">
            <v>14.127545889467058</v>
          </cell>
          <cell r="C3">
            <v>17.5</v>
          </cell>
          <cell r="D3">
            <v>17.5</v>
          </cell>
          <cell r="E3">
            <v>17.5</v>
          </cell>
          <cell r="F3">
            <v>17.5</v>
          </cell>
          <cell r="G3">
            <v>14.179431683319915</v>
          </cell>
          <cell r="H3">
            <v>6.4314389736126669</v>
          </cell>
          <cell r="I3">
            <v>0.8279811071244515</v>
          </cell>
          <cell r="J3">
            <v>-4.8446504074823817</v>
          </cell>
          <cell r="K3">
            <v>-4.8446504074823817</v>
          </cell>
          <cell r="L3">
            <v>-0.41722598524226717</v>
          </cell>
          <cell r="M3">
            <v>-5.0521935828938114</v>
          </cell>
          <cell r="N3">
            <v>-5.0521935828938114</v>
          </cell>
          <cell r="O3">
            <v>-3.9107469480985446</v>
          </cell>
          <cell r="P3">
            <v>-0.4864070437127439</v>
          </cell>
          <cell r="Q3">
            <v>2.9379217305387932</v>
          </cell>
          <cell r="R3">
            <v>4.0793646552893064</v>
          </cell>
          <cell r="S3">
            <v>4.0793646552893064</v>
          </cell>
          <cell r="T3">
            <v>4.0793646552893064</v>
          </cell>
          <cell r="U3">
            <v>4.0793646552893064</v>
          </cell>
          <cell r="V3">
            <v>4.0793646552893064</v>
          </cell>
          <cell r="W3">
            <v>8.5067890385788196</v>
          </cell>
          <cell r="X3">
            <v>13.00339451928941</v>
          </cell>
          <cell r="Y3">
            <v>13.00339451928941</v>
          </cell>
        </row>
        <row r="4">
          <cell r="B4">
            <v>9.5862253418707848</v>
          </cell>
          <cell r="C4">
            <v>7.3945508941769083</v>
          </cell>
          <cell r="D4">
            <v>6.3301139872096703</v>
          </cell>
          <cell r="E4">
            <v>6.1944372172834452</v>
          </cell>
          <cell r="F4">
            <v>7.0403543352236237</v>
          </cell>
          <cell r="G4">
            <v>8.7415700230074709</v>
          </cell>
          <cell r="H4">
            <v>13.562617537809391</v>
          </cell>
          <cell r="I4">
            <v>16.557360904182715</v>
          </cell>
          <cell r="J4">
            <v>19.129685301172859</v>
          </cell>
          <cell r="K4">
            <v>21.065303619522883</v>
          </cell>
          <cell r="L4">
            <v>21.243078629058768</v>
          </cell>
          <cell r="M4">
            <v>20.862173033119678</v>
          </cell>
          <cell r="N4">
            <v>20.95102394649771</v>
          </cell>
          <cell r="O4">
            <v>20.737230794477721</v>
          </cell>
          <cell r="P4">
            <v>18.707375853174536</v>
          </cell>
          <cell r="Q4">
            <v>17.77368689804371</v>
          </cell>
          <cell r="R4">
            <v>18.342498955643656</v>
          </cell>
          <cell r="S4">
            <v>25</v>
          </cell>
          <cell r="T4">
            <v>24.963707582812827</v>
          </cell>
          <cell r="U4">
            <v>24.201932642157256</v>
          </cell>
          <cell r="V4">
            <v>22.401441623691078</v>
          </cell>
          <cell r="W4">
            <v>19.922348287051417</v>
          </cell>
          <cell r="X4">
            <v>16.249130246379966</v>
          </cell>
          <cell r="Y4">
            <v>12.466213225438899</v>
          </cell>
        </row>
      </sheetData>
      <sheetData sheetId="10">
        <row r="2">
          <cell r="B2">
            <v>-12.968576933603448</v>
          </cell>
          <cell r="C2">
            <v>-14.095062236822269</v>
          </cell>
          <cell r="D2">
            <v>-15.18232846371799</v>
          </cell>
          <cell r="E2">
            <v>-15.071805004514596</v>
          </cell>
          <cell r="F2">
            <v>-15.600000000000001</v>
          </cell>
          <cell r="G2">
            <v>-13.886936541257574</v>
          </cell>
          <cell r="H2">
            <v>-10.341401352104736</v>
          </cell>
          <cell r="I2">
            <v>-4.2567265649958612</v>
          </cell>
          <cell r="J2">
            <v>-1.2535814922996888</v>
          </cell>
          <cell r="K2">
            <v>-0.19610196427217425</v>
          </cell>
          <cell r="L2">
            <v>-1.7604916401565005</v>
          </cell>
          <cell r="M2">
            <v>-1.294279266739977</v>
          </cell>
          <cell r="N2">
            <v>-1.7914586607209477</v>
          </cell>
          <cell r="O2">
            <v>-1.8071673538841331</v>
          </cell>
          <cell r="P2">
            <v>-4.5685701117733197</v>
          </cell>
          <cell r="Q2">
            <v>-6.5794602415928143</v>
          </cell>
          <cell r="R2">
            <v>-5.8512282350334557</v>
          </cell>
          <cell r="S2">
            <v>-1.9973329569826968</v>
          </cell>
          <cell r="T2">
            <v>-2.9054032466649118</v>
          </cell>
          <cell r="U2">
            <v>-3.6522307354590073</v>
          </cell>
          <cell r="V2">
            <v>-5.7370072648947552</v>
          </cell>
          <cell r="W2">
            <v>-7.4470080048959746</v>
          </cell>
          <cell r="X2">
            <v>-9.9911741101534428</v>
          </cell>
          <cell r="Y2">
            <v>-11.245916381595578</v>
          </cell>
        </row>
        <row r="3">
          <cell r="B3">
            <v>14.692647725045742</v>
          </cell>
          <cell r="C3">
            <v>18.2</v>
          </cell>
          <cell r="D3">
            <v>18.2</v>
          </cell>
          <cell r="E3">
            <v>18.2</v>
          </cell>
          <cell r="F3">
            <v>18.2</v>
          </cell>
          <cell r="G3">
            <v>14.746608950652714</v>
          </cell>
          <cell r="H3">
            <v>6.6886965325571746</v>
          </cell>
          <cell r="I3">
            <v>0.86110035140942953</v>
          </cell>
          <cell r="J3">
            <v>-5.0384364237816772</v>
          </cell>
          <cell r="K3">
            <v>-5.0384364237816772</v>
          </cell>
          <cell r="L3">
            <v>-0.43391502465195786</v>
          </cell>
          <cell r="M3">
            <v>-5.254281326209564</v>
          </cell>
          <cell r="N3">
            <v>-5.254281326209564</v>
          </cell>
          <cell r="O3">
            <v>-4.0671768260224868</v>
          </cell>
          <cell r="P3">
            <v>-0.50586332546125368</v>
          </cell>
          <cell r="Q3">
            <v>3.0554385997603455</v>
          </cell>
          <cell r="R3">
            <v>4.2425392415008787</v>
          </cell>
          <cell r="S3">
            <v>4.2425392415008787</v>
          </cell>
          <cell r="T3">
            <v>4.2425392415008787</v>
          </cell>
          <cell r="U3">
            <v>4.2425392415008787</v>
          </cell>
          <cell r="V3">
            <v>4.2425392415008787</v>
          </cell>
          <cell r="W3">
            <v>8.8470606001219725</v>
          </cell>
          <cell r="X3">
            <v>13.523530300060987</v>
          </cell>
          <cell r="Y3">
            <v>13.523530300060987</v>
          </cell>
        </row>
        <row r="4">
          <cell r="B4">
            <v>9.9696743555456155</v>
          </cell>
          <cell r="C4">
            <v>7.6903329299439855</v>
          </cell>
          <cell r="D4">
            <v>6.5833185466980577</v>
          </cell>
          <cell r="E4">
            <v>6.4422147059747834</v>
          </cell>
          <cell r="F4">
            <v>7.321968508632569</v>
          </cell>
          <cell r="G4">
            <v>9.0912328239277702</v>
          </cell>
          <cell r="H4">
            <v>14.105122239321766</v>
          </cell>
          <cell r="I4">
            <v>17.219655340350027</v>
          </cell>
          <cell r="J4">
            <v>19.894872713219776</v>
          </cell>
          <cell r="K4">
            <v>21.907915764303798</v>
          </cell>
          <cell r="L4">
            <v>22.092801774221119</v>
          </cell>
          <cell r="M4">
            <v>21.696659954444463</v>
          </cell>
          <cell r="N4">
            <v>21.78906490435762</v>
          </cell>
          <cell r="O4">
            <v>21.566720026256831</v>
          </cell>
          <cell r="P4">
            <v>19.455670887301522</v>
          </cell>
          <cell r="Q4">
            <v>18.484634373965463</v>
          </cell>
          <cell r="R4">
            <v>19.076198913869405</v>
          </cell>
          <cell r="S4">
            <v>26</v>
          </cell>
          <cell r="T4">
            <v>25.962255886125341</v>
          </cell>
          <cell r="U4">
            <v>25.170009947843546</v>
          </cell>
          <cell r="V4">
            <v>23.297499288638722</v>
          </cell>
          <cell r="W4">
            <v>20.719242218533473</v>
          </cell>
          <cell r="X4">
            <v>16.899095456235166</v>
          </cell>
          <cell r="Y4">
            <v>12.964861754456456</v>
          </cell>
        </row>
      </sheetData>
      <sheetData sheetId="11">
        <row r="2">
          <cell r="B2">
            <v>-11.846296237426225</v>
          </cell>
          <cell r="C2">
            <v>-12.875297235558802</v>
          </cell>
          <cell r="D2">
            <v>-13.86847311589624</v>
          </cell>
          <cell r="E2">
            <v>-13.767514186816218</v>
          </cell>
          <cell r="F2">
            <v>-14.25</v>
          </cell>
          <cell r="G2">
            <v>-12.685182417494898</v>
          </cell>
          <cell r="H2">
            <v>-9.4464723889418263</v>
          </cell>
          <cell r="I2">
            <v>-3.8883559968712182</v>
          </cell>
          <cell r="J2">
            <v>-1.1450984785429852</v>
          </cell>
          <cell r="K2">
            <v>-0.1791316019793899</v>
          </cell>
          <cell r="L2">
            <v>-1.6081414020660341</v>
          </cell>
          <cell r="M2">
            <v>-1.1822743301951713</v>
          </cell>
          <cell r="N2">
            <v>-1.636428584312404</v>
          </cell>
          <cell r="O2">
            <v>-1.6507778713364674</v>
          </cell>
          <cell r="P2">
            <v>-4.173213082869859</v>
          </cell>
          <cell r="Q2">
            <v>-6.0100838745318965</v>
          </cell>
          <cell r="R2">
            <v>-5.3448719454632529</v>
          </cell>
          <cell r="S2">
            <v>-1.8244868357053481</v>
          </cell>
          <cell r="T2">
            <v>-2.6539741195496789</v>
          </cell>
          <cell r="U2">
            <v>-3.3361723064289004</v>
          </cell>
          <cell r="V2">
            <v>-5.2405354823557859</v>
          </cell>
          <cell r="W2">
            <v>-6.8025553890876687</v>
          </cell>
          <cell r="X2">
            <v>-9.1265532736978567</v>
          </cell>
          <cell r="Y2">
            <v>-10.272712079342114</v>
          </cell>
        </row>
        <row r="3">
          <cell r="B3">
            <v>13.421168594993706</v>
          </cell>
          <cell r="C3">
            <v>16.625</v>
          </cell>
          <cell r="D3">
            <v>16.625</v>
          </cell>
          <cell r="E3">
            <v>16.625</v>
          </cell>
          <cell r="F3">
            <v>16.625</v>
          </cell>
          <cell r="G3">
            <v>13.47046009915392</v>
          </cell>
          <cell r="H3">
            <v>6.1098670249320337</v>
          </cell>
          <cell r="I3">
            <v>0.78658205176822893</v>
          </cell>
          <cell r="J3">
            <v>-4.6024178871082624</v>
          </cell>
          <cell r="K3">
            <v>-4.6024178871082624</v>
          </cell>
          <cell r="L3">
            <v>-0.39636468598015384</v>
          </cell>
          <cell r="M3">
            <v>-4.7995839037491201</v>
          </cell>
          <cell r="N3">
            <v>-4.7995839037491201</v>
          </cell>
          <cell r="O3">
            <v>-3.7152096006936168</v>
          </cell>
          <cell r="P3">
            <v>-0.46208669152710669</v>
          </cell>
          <cell r="Q3">
            <v>2.7910256440118535</v>
          </cell>
          <cell r="R3">
            <v>3.8753964225248407</v>
          </cell>
          <cell r="S3">
            <v>3.8753964225248407</v>
          </cell>
          <cell r="T3">
            <v>3.8753964225248407</v>
          </cell>
          <cell r="U3">
            <v>3.8753964225248407</v>
          </cell>
          <cell r="V3">
            <v>3.8753964225248407</v>
          </cell>
          <cell r="W3">
            <v>8.0814495866498781</v>
          </cell>
          <cell r="X3">
            <v>12.353224793324939</v>
          </cell>
          <cell r="Y3">
            <v>12.353224793324939</v>
          </cell>
        </row>
        <row r="4">
          <cell r="B4">
            <v>9.1069140747772455</v>
          </cell>
          <cell r="C4">
            <v>7.0248233494680621</v>
          </cell>
          <cell r="D4">
            <v>6.0136082878491868</v>
          </cell>
          <cell r="E4">
            <v>5.8847153564192727</v>
          </cell>
          <cell r="F4">
            <v>6.6883366184624427</v>
          </cell>
          <cell r="G4">
            <v>8.3044915218570967</v>
          </cell>
          <cell r="H4">
            <v>12.88448666091892</v>
          </cell>
          <cell r="I4">
            <v>15.729492858973579</v>
          </cell>
          <cell r="J4">
            <v>18.173201036114218</v>
          </cell>
          <cell r="K4">
            <v>20.012038438546735</v>
          </cell>
          <cell r="L4">
            <v>20.180924697605828</v>
          </cell>
          <cell r="M4">
            <v>19.81906438146369</v>
          </cell>
          <cell r="N4">
            <v>19.903472749172824</v>
          </cell>
          <cell r="O4">
            <v>19.700369254753834</v>
          </cell>
          <cell r="P4">
            <v>17.772007060515811</v>
          </cell>
          <cell r="Q4">
            <v>16.885002553141526</v>
          </cell>
          <cell r="R4">
            <v>17.425374007861475</v>
          </cell>
          <cell r="S4">
            <v>23.75</v>
          </cell>
          <cell r="T4">
            <v>23.715522203672183</v>
          </cell>
          <cell r="U4">
            <v>22.991836010049393</v>
          </cell>
          <cell r="V4">
            <v>21.281369542506525</v>
          </cell>
          <cell r="W4">
            <v>18.926230872698845</v>
          </cell>
          <cell r="X4">
            <v>15.436673734060967</v>
          </cell>
          <cell r="Y4">
            <v>11.842902564166954</v>
          </cell>
        </row>
      </sheetData>
      <sheetData sheetId="12">
        <row r="2">
          <cell r="B2">
            <v>29.424691211993615</v>
          </cell>
          <cell r="C2">
            <v>27.648557721359516</v>
          </cell>
          <cell r="D2">
            <v>26.823441692819198</v>
          </cell>
          <cell r="E2">
            <v>26.180720472396271</v>
          </cell>
          <cell r="F2">
            <v>26.147649839768366</v>
          </cell>
          <cell r="G2">
            <v>27.12265898688911</v>
          </cell>
          <cell r="H2">
            <v>31.306548636907515</v>
          </cell>
          <cell r="I2">
            <v>35.59291550693122</v>
          </cell>
          <cell r="J2">
            <v>40.224647350273635</v>
          </cell>
          <cell r="K2">
            <v>40.9802403239879</v>
          </cell>
          <cell r="L2">
            <v>39.766738829370709</v>
          </cell>
          <cell r="M2">
            <v>40.250421647326839</v>
          </cell>
          <cell r="N2">
            <v>42.033712660263056</v>
          </cell>
          <cell r="O2">
            <v>40.210555552512844</v>
          </cell>
          <cell r="P2">
            <v>40.298802344188182</v>
          </cell>
          <cell r="Q2">
            <v>39.252156479589793</v>
          </cell>
          <cell r="R2">
            <v>38.455366696851172</v>
          </cell>
          <cell r="S2">
            <v>39.340968352429485</v>
          </cell>
          <cell r="T2">
            <v>42.004603944431352</v>
          </cell>
          <cell r="U2">
            <v>40.07085789677992</v>
          </cell>
          <cell r="V2">
            <v>41.467069906160354</v>
          </cell>
          <cell r="W2">
            <v>40.01219153241756</v>
          </cell>
          <cell r="X2">
            <v>35.036912062648383</v>
          </cell>
          <cell r="Y2">
            <v>32.692075556781433</v>
          </cell>
        </row>
        <row r="3">
          <cell r="B3">
            <v>29.069328401944382</v>
          </cell>
          <cell r="C3">
            <v>28.312398656831977</v>
          </cell>
          <cell r="D3">
            <v>25.611366938771475</v>
          </cell>
          <cell r="E3">
            <v>25.546651267896998</v>
          </cell>
          <cell r="F3">
            <v>25.834821948020714</v>
          </cell>
          <cell r="G3">
            <v>27.312024183196197</v>
          </cell>
          <cell r="H3">
            <v>35.022324562261566</v>
          </cell>
          <cell r="I3">
            <v>43.067481109758695</v>
          </cell>
          <cell r="J3">
            <v>46.384398923811368</v>
          </cell>
          <cell r="K3">
            <v>45.336224773496248</v>
          </cell>
          <cell r="L3">
            <v>43.844797584955089</v>
          </cell>
          <cell r="M3">
            <v>47.9</v>
          </cell>
          <cell r="N3">
            <v>46.452765623754544</v>
          </cell>
          <cell r="O3">
            <v>45.874191619714402</v>
          </cell>
          <cell r="P3">
            <v>42.993802191986838</v>
          </cell>
          <cell r="Q3">
            <v>41.09521595146299</v>
          </cell>
          <cell r="R3">
            <v>39.74368810191519</v>
          </cell>
          <cell r="S3">
            <v>40.902474282120806</v>
          </cell>
          <cell r="T3">
            <v>39.301209821169486</v>
          </cell>
          <cell r="U3">
            <v>41.220921460233029</v>
          </cell>
          <cell r="V3">
            <v>39.523603317084984</v>
          </cell>
          <cell r="W3">
            <v>38.493384359488381</v>
          </cell>
          <cell r="X3">
            <v>35.739679904694796</v>
          </cell>
          <cell r="Y3">
            <v>32.037168170416429</v>
          </cell>
        </row>
        <row r="4">
          <cell r="B4">
            <v>42.516602647078393</v>
          </cell>
          <cell r="C4">
            <v>36.78816903274793</v>
          </cell>
          <cell r="D4">
            <v>35.686505807367773</v>
          </cell>
          <cell r="E4">
            <v>34.55302753814054</v>
          </cell>
          <cell r="F4">
            <v>34.829038736303232</v>
          </cell>
          <cell r="G4">
            <v>34.178777800970785</v>
          </cell>
          <cell r="H4">
            <v>39.760462598292428</v>
          </cell>
          <cell r="I4">
            <v>45.449362877244845</v>
          </cell>
          <cell r="J4">
            <v>51.451272685763982</v>
          </cell>
          <cell r="K4">
            <v>55.137794589488848</v>
          </cell>
          <cell r="L4">
            <v>54.383534168478114</v>
          </cell>
          <cell r="M4">
            <v>53.150489186766059</v>
          </cell>
          <cell r="N4">
            <v>54.494148103411547</v>
          </cell>
          <cell r="O4">
            <v>55.308268923618606</v>
          </cell>
          <cell r="P4">
            <v>57.285405165029601</v>
          </cell>
          <cell r="Q4">
            <v>51.393997961255558</v>
          </cell>
          <cell r="R4">
            <v>52.300847843277836</v>
          </cell>
          <cell r="S4">
            <v>54.729512685477509</v>
          </cell>
          <cell r="T4">
            <v>59.134371733467482</v>
          </cell>
          <cell r="U4">
            <v>56.501112097521336</v>
          </cell>
          <cell r="V4">
            <v>55.828113564134377</v>
          </cell>
          <cell r="W4">
            <v>56.051683492717238</v>
          </cell>
          <cell r="X4">
            <v>55.276129940569938</v>
          </cell>
          <cell r="Y4">
            <v>50.20288273879585</v>
          </cell>
        </row>
      </sheetData>
      <sheetData sheetId="13">
        <row r="2">
          <cell r="B2">
            <v>30.60167886047336</v>
          </cell>
          <cell r="C2">
            <v>28.754500030213897</v>
          </cell>
          <cell r="D2">
            <v>27.896379360531967</v>
          </cell>
          <cell r="E2">
            <v>27.22794929129212</v>
          </cell>
          <cell r="F2">
            <v>27.193555833359103</v>
          </cell>
          <cell r="G2">
            <v>28.207565346364674</v>
          </cell>
          <cell r="H2">
            <v>32.558810582383821</v>
          </cell>
          <cell r="I2">
            <v>37.016632127208467</v>
          </cell>
          <cell r="J2">
            <v>41.833633244284577</v>
          </cell>
          <cell r="K2">
            <v>42.619449936947419</v>
          </cell>
          <cell r="L2">
            <v>41.357408382545536</v>
          </cell>
          <cell r="M2">
            <v>41.860438513219911</v>
          </cell>
          <cell r="N2">
            <v>43.715061166673578</v>
          </cell>
          <cell r="O2">
            <v>41.818977774613359</v>
          </cell>
          <cell r="P2">
            <v>41.910754437955717</v>
          </cell>
          <cell r="Q2">
            <v>40.82224273877339</v>
          </cell>
          <cell r="R2">
            <v>39.993581364725223</v>
          </cell>
          <cell r="S2">
            <v>40.914607086526665</v>
          </cell>
          <cell r="T2">
            <v>43.684788102208607</v>
          </cell>
          <cell r="U2">
            <v>41.673692212651119</v>
          </cell>
          <cell r="V2">
            <v>43.125752702406771</v>
          </cell>
          <cell r="W2">
            <v>41.612679193714264</v>
          </cell>
          <cell r="X2">
            <v>36.438388545154318</v>
          </cell>
          <cell r="Y2">
            <v>33.999758579052695</v>
          </cell>
        </row>
        <row r="3">
          <cell r="B3">
            <v>30.23210153802216</v>
          </cell>
          <cell r="C3">
            <v>29.444894603105258</v>
          </cell>
          <cell r="D3">
            <v>26.635821616322335</v>
          </cell>
          <cell r="E3">
            <v>26.568517318612876</v>
          </cell>
          <cell r="F3">
            <v>26.868214825941543</v>
          </cell>
          <cell r="G3">
            <v>28.404505150524045</v>
          </cell>
          <cell r="H3">
            <v>36.423217544752028</v>
          </cell>
          <cell r="I3">
            <v>44.790180354149051</v>
          </cell>
          <cell r="J3">
            <v>48.239774880763825</v>
          </cell>
          <cell r="K3">
            <v>47.149673764436102</v>
          </cell>
          <cell r="L3">
            <v>45.598589488353291</v>
          </cell>
          <cell r="M3">
            <v>49.816000000000003</v>
          </cell>
          <cell r="N3">
            <v>48.310876248704723</v>
          </cell>
          <cell r="O3">
            <v>47.709159284502981</v>
          </cell>
          <cell r="P3">
            <v>44.713554279666319</v>
          </cell>
          <cell r="Q3">
            <v>42.739024589521513</v>
          </cell>
          <cell r="R3">
            <v>41.333435625991797</v>
          </cell>
          <cell r="S3">
            <v>42.538573253405637</v>
          </cell>
          <cell r="T3">
            <v>40.873258214016268</v>
          </cell>
          <cell r="U3">
            <v>42.869758318642354</v>
          </cell>
          <cell r="V3">
            <v>41.104547449768383</v>
          </cell>
          <cell r="W3">
            <v>40.03311973386792</v>
          </cell>
          <cell r="X3">
            <v>37.169267100882593</v>
          </cell>
          <cell r="Y3">
            <v>33.318654897233088</v>
          </cell>
        </row>
        <row r="4">
          <cell r="B4">
            <v>44.217266752961528</v>
          </cell>
          <cell r="C4">
            <v>38.259695794057848</v>
          </cell>
          <cell r="D4">
            <v>37.113966039662479</v>
          </cell>
          <cell r="E4">
            <v>35.93514863966616</v>
          </cell>
          <cell r="F4">
            <v>36.222200285755363</v>
          </cell>
          <cell r="G4">
            <v>35.545928913009618</v>
          </cell>
          <cell r="H4">
            <v>41.350881102224122</v>
          </cell>
          <cell r="I4">
            <v>47.267337392334646</v>
          </cell>
          <cell r="J4">
            <v>53.509323593194537</v>
          </cell>
          <cell r="K4">
            <v>57.343306373068408</v>
          </cell>
          <cell r="L4">
            <v>56.558875535217247</v>
          </cell>
          <cell r="M4">
            <v>55.276508754236701</v>
          </cell>
          <cell r="N4">
            <v>56.673914027548008</v>
          </cell>
          <cell r="O4">
            <v>57.520599680563357</v>
          </cell>
          <cell r="P4">
            <v>59.576821371630786</v>
          </cell>
          <cell r="Q4">
            <v>53.449757879705778</v>
          </cell>
          <cell r="R4">
            <v>54.392881757008951</v>
          </cell>
          <cell r="S4">
            <v>56.918693192896612</v>
          </cell>
          <cell r="T4">
            <v>61.499746602806184</v>
          </cell>
          <cell r="U4">
            <v>58.761156581422192</v>
          </cell>
          <cell r="V4">
            <v>58.061238106699754</v>
          </cell>
          <cell r="W4">
            <v>58.293750832425935</v>
          </cell>
          <cell r="X4">
            <v>57.48717513819274</v>
          </cell>
          <cell r="Y4">
            <v>52.210998048347683</v>
          </cell>
        </row>
      </sheetData>
      <sheetData sheetId="14">
        <row r="2">
          <cell r="B2">
            <v>27.953456651393932</v>
          </cell>
          <cell r="C2">
            <v>26.26612983529154</v>
          </cell>
          <cell r="D2">
            <v>25.482269608178239</v>
          </cell>
          <cell r="E2">
            <v>24.871684448776456</v>
          </cell>
          <cell r="F2">
            <v>24.840267347779946</v>
          </cell>
          <cell r="G2">
            <v>25.766526037544651</v>
          </cell>
          <cell r="H2">
            <v>29.741221205062139</v>
          </cell>
          <cell r="I2">
            <v>33.813269731584661</v>
          </cell>
          <cell r="J2">
            <v>38.21341498275995</v>
          </cell>
          <cell r="K2">
            <v>38.931228307788508</v>
          </cell>
          <cell r="L2">
            <v>37.77840188790217</v>
          </cell>
          <cell r="M2">
            <v>38.237900564960491</v>
          </cell>
          <cell r="N2">
            <v>39.932027027249902</v>
          </cell>
          <cell r="O2">
            <v>38.200027774887197</v>
          </cell>
          <cell r="P2">
            <v>38.283862226978776</v>
          </cell>
          <cell r="Q2">
            <v>37.289548655610304</v>
          </cell>
          <cell r="R2">
            <v>36.532598362008613</v>
          </cell>
          <cell r="S2">
            <v>37.373919934808008</v>
          </cell>
          <cell r="T2">
            <v>39.904373747209782</v>
          </cell>
          <cell r="U2">
            <v>38.067315001940926</v>
          </cell>
          <cell r="V2">
            <v>39.393716410852335</v>
          </cell>
          <cell r="W2">
            <v>38.011581955796686</v>
          </cell>
          <cell r="X2">
            <v>33.28506645951596</v>
          </cell>
          <cell r="Y2">
            <v>31.057471778942361</v>
          </cell>
        </row>
        <row r="3">
          <cell r="B3">
            <v>27.615861981847161</v>
          </cell>
          <cell r="C3">
            <v>26.896778723990376</v>
          </cell>
          <cell r="D3">
            <v>24.330798591832899</v>
          </cell>
          <cell r="E3">
            <v>24.269318704502147</v>
          </cell>
          <cell r="F3">
            <v>24.543080850619678</v>
          </cell>
          <cell r="G3">
            <v>25.946422974036388</v>
          </cell>
          <cell r="H3">
            <v>33.271208334148483</v>
          </cell>
          <cell r="I3">
            <v>40.914107054270758</v>
          </cell>
          <cell r="J3">
            <v>44.065178977620803</v>
          </cell>
          <cell r="K3">
            <v>43.069413534821436</v>
          </cell>
          <cell r="L3">
            <v>41.652557705707331</v>
          </cell>
          <cell r="M3">
            <v>45.504999999999995</v>
          </cell>
          <cell r="N3">
            <v>44.130127342566816</v>
          </cell>
          <cell r="O3">
            <v>43.580482038728682</v>
          </cell>
          <cell r="P3">
            <v>40.844112082387497</v>
          </cell>
          <cell r="Q3">
            <v>39.040455153889845</v>
          </cell>
          <cell r="R3">
            <v>37.756503696819429</v>
          </cell>
          <cell r="S3">
            <v>38.857350568014766</v>
          </cell>
          <cell r="T3">
            <v>37.336149330111013</v>
          </cell>
          <cell r="U3">
            <v>39.159875387221376</v>
          </cell>
          <cell r="V3">
            <v>37.547423151230731</v>
          </cell>
          <cell r="W3">
            <v>36.568715141513955</v>
          </cell>
          <cell r="X3">
            <v>33.952695909460054</v>
          </cell>
          <cell r="Y3">
            <v>30.435309761895606</v>
          </cell>
        </row>
        <row r="4">
          <cell r="B4">
            <v>40.390772514724468</v>
          </cell>
          <cell r="C4">
            <v>34.948760581110534</v>
          </cell>
          <cell r="D4">
            <v>33.90218051699938</v>
          </cell>
          <cell r="E4">
            <v>32.825376161233507</v>
          </cell>
          <cell r="F4">
            <v>33.087586799488065</v>
          </cell>
          <cell r="G4">
            <v>32.469838910922242</v>
          </cell>
          <cell r="H4">
            <v>37.772439468377797</v>
          </cell>
          <cell r="I4">
            <v>43.176894733382603</v>
          </cell>
          <cell r="J4">
            <v>48.878709051475781</v>
          </cell>
          <cell r="K4">
            <v>52.380904860014404</v>
          </cell>
          <cell r="L4">
            <v>51.664357460054212</v>
          </cell>
          <cell r="M4">
            <v>50.492964727427754</v>
          </cell>
          <cell r="N4">
            <v>51.76944069824097</v>
          </cell>
          <cell r="O4">
            <v>52.542855477437669</v>
          </cell>
          <cell r="P4">
            <v>54.421134906778114</v>
          </cell>
          <cell r="Q4">
            <v>48.824298063192778</v>
          </cell>
          <cell r="R4">
            <v>49.685805451113936</v>
          </cell>
          <cell r="S4">
            <v>51.993037051203629</v>
          </cell>
          <cell r="T4">
            <v>56.177653146794107</v>
          </cell>
          <cell r="U4">
            <v>53.676056492645266</v>
          </cell>
          <cell r="V4">
            <v>53.036707885927655</v>
          </cell>
          <cell r="W4">
            <v>53.249099318081377</v>
          </cell>
          <cell r="X4">
            <v>52.512323443541433</v>
          </cell>
          <cell r="Y4">
            <v>47.692738601856057</v>
          </cell>
        </row>
      </sheetData>
      <sheetData sheetId="15">
        <row r="2">
          <cell r="B2">
            <v>-10.412987061661454</v>
          </cell>
          <cell r="C2">
            <v>-12.956899477375897</v>
          </cell>
          <cell r="D2">
            <v>-13.349930908045824</v>
          </cell>
          <cell r="E2">
            <v>-13.864210009917642</v>
          </cell>
          <cell r="F2">
            <v>-14.737233347975074</v>
          </cell>
          <cell r="G2">
            <v>-13.747718144555767</v>
          </cell>
          <cell r="H2">
            <v>-10.795686034326726</v>
          </cell>
          <cell r="I2">
            <v>-2.7900634633520851</v>
          </cell>
          <cell r="J2">
            <v>3.252202323495101</v>
          </cell>
          <cell r="K2">
            <v>5.6015074556621469</v>
          </cell>
          <cell r="L2">
            <v>3.5538769532983405</v>
          </cell>
          <cell r="M2">
            <v>4.9651189415650618</v>
          </cell>
          <cell r="N2">
            <v>4.211574625248022</v>
          </cell>
          <cell r="O2">
            <v>4.4421182318098138</v>
          </cell>
          <cell r="P2">
            <v>0.9425097439635669</v>
          </cell>
          <cell r="Q2">
            <v>-1.8356220807941357</v>
          </cell>
          <cell r="R2">
            <v>-0.63257157351309201</v>
          </cell>
          <cell r="S2">
            <v>0.98444429821736446</v>
          </cell>
          <cell r="T2">
            <v>1.1438581185526098E-2</v>
          </cell>
          <cell r="U2">
            <v>-1.4620561292114167</v>
          </cell>
          <cell r="V2">
            <v>-2.7854964676396818</v>
          </cell>
          <cell r="W2">
            <v>-3.2127037185838825</v>
          </cell>
          <cell r="X2">
            <v>-6.084016967064958</v>
          </cell>
          <cell r="Y2">
            <v>-7.4670784077108845</v>
          </cell>
        </row>
        <row r="3">
          <cell r="B3">
            <v>-2.2447679193820487</v>
          </cell>
          <cell r="C3">
            <v>-0.54605902364586578</v>
          </cell>
          <cell r="D3">
            <v>-2.2760973115740271</v>
          </cell>
          <cell r="E3">
            <v>-3.3249999999999993</v>
          </cell>
          <cell r="F3">
            <v>-2.6600000000000006</v>
          </cell>
          <cell r="G3">
            <v>-4.5952514138049905</v>
          </cell>
          <cell r="H3">
            <v>-1.3916969470821314</v>
          </cell>
          <cell r="I3">
            <v>1.1130403014486832</v>
          </cell>
          <cell r="J3">
            <v>0.87405084101717212</v>
          </cell>
          <cell r="K3">
            <v>0.84863747119548982</v>
          </cell>
          <cell r="L3">
            <v>2.3580225451945811</v>
          </cell>
          <cell r="M3">
            <v>1.7238234492720028</v>
          </cell>
          <cell r="N3">
            <v>2.9219188501495021</v>
          </cell>
          <cell r="O3">
            <v>2.9053063052998276</v>
          </cell>
          <cell r="P3">
            <v>2.5074848906709293</v>
          </cell>
          <cell r="Q3">
            <v>3.2742378493636339</v>
          </cell>
          <cell r="R3">
            <v>1.2616199380147131</v>
          </cell>
          <cell r="S3">
            <v>1.2500782087010671</v>
          </cell>
          <cell r="T3">
            <v>1.2545888753718235</v>
          </cell>
          <cell r="U3">
            <v>1.1800326449089267</v>
          </cell>
          <cell r="V3">
            <v>-0.75475332865739186</v>
          </cell>
          <cell r="W3">
            <v>0.58242098617542359</v>
          </cell>
          <cell r="X3">
            <v>-3.0285811017596651</v>
          </cell>
          <cell r="Y3">
            <v>-2.915760030181624</v>
          </cell>
        </row>
        <row r="4">
          <cell r="B4">
            <v>9.7341430517642671</v>
          </cell>
          <cell r="C4">
            <v>7.3587919977123608</v>
          </cell>
          <cell r="D4">
            <v>7.0357521727521801</v>
          </cell>
          <cell r="E4">
            <v>6.3971191872708193</v>
          </cell>
          <cell r="F4">
            <v>7.0662393893291737</v>
          </cell>
          <cell r="G4">
            <v>5.4243384999145476</v>
          </cell>
          <cell r="H4">
            <v>8.7116147046850898</v>
          </cell>
          <cell r="I4">
            <v>13.906762159459296</v>
          </cell>
          <cell r="J4">
            <v>17.399946997658695</v>
          </cell>
          <cell r="K4">
            <v>20.553845767546996</v>
          </cell>
          <cell r="L4">
            <v>21.607596006432878</v>
          </cell>
          <cell r="M4">
            <v>20.666443390494965</v>
          </cell>
          <cell r="N4">
            <v>21.555224599383589</v>
          </cell>
          <cell r="O4">
            <v>23.14489231779109</v>
          </cell>
          <cell r="P4">
            <v>20.661191696240184</v>
          </cell>
          <cell r="Q4">
            <v>20.577625140215904</v>
          </cell>
          <cell r="R4">
            <v>19.575761610026415</v>
          </cell>
          <cell r="S4">
            <v>21.49399941385326</v>
          </cell>
          <cell r="T4">
            <v>20.484318711489809</v>
          </cell>
          <cell r="U4">
            <v>20.322643248847527</v>
          </cell>
          <cell r="V4">
            <v>18.93755539221144</v>
          </cell>
          <cell r="W4">
            <v>19.887183305798139</v>
          </cell>
          <cell r="X4">
            <v>16.402571249723589</v>
          </cell>
          <cell r="Y4">
            <v>13.499111641610201</v>
          </cell>
        </row>
      </sheetData>
      <sheetData sheetId="16">
        <row r="2">
          <cell r="B2">
            <v>-10.829506544127913</v>
          </cell>
          <cell r="C2">
            <v>-13.475175456470934</v>
          </cell>
          <cell r="D2">
            <v>-13.883928144367657</v>
          </cell>
          <cell r="E2">
            <v>-14.418778410314347</v>
          </cell>
          <cell r="F2">
            <v>-15.326722681894079</v>
          </cell>
          <cell r="G2">
            <v>-14.297626870337998</v>
          </cell>
          <cell r="H2">
            <v>-11.227513475699796</v>
          </cell>
          <cell r="I2">
            <v>-2.9016660018861686</v>
          </cell>
          <cell r="J2">
            <v>3.382290416434905</v>
          </cell>
          <cell r="K2">
            <v>5.8255677538886337</v>
          </cell>
          <cell r="L2">
            <v>3.6960320314302741</v>
          </cell>
          <cell r="M2">
            <v>5.1637236992276643</v>
          </cell>
          <cell r="N2">
            <v>4.3800376102579426</v>
          </cell>
          <cell r="O2">
            <v>4.6198029610822067</v>
          </cell>
          <cell r="P2">
            <v>0.98021013372210952</v>
          </cell>
          <cell r="Q2">
            <v>-1.9090469640259011</v>
          </cell>
          <cell r="R2">
            <v>-0.65787443645361565</v>
          </cell>
          <cell r="S2">
            <v>1.023822070146059</v>
          </cell>
          <cell r="T2">
            <v>1.1896124432947141E-2</v>
          </cell>
          <cell r="U2">
            <v>-1.5205383743798735</v>
          </cell>
          <cell r="V2">
            <v>-2.8969163263452691</v>
          </cell>
          <cell r="W2">
            <v>-3.341211867327238</v>
          </cell>
          <cell r="X2">
            <v>-6.327377645747557</v>
          </cell>
          <cell r="Y2">
            <v>-7.7657615440193197</v>
          </cell>
        </row>
        <row r="3">
          <cell r="B3">
            <v>-2.3345586361573307</v>
          </cell>
          <cell r="C3">
            <v>-0.56790138459170048</v>
          </cell>
          <cell r="D3">
            <v>-2.3671412040369884</v>
          </cell>
          <cell r="E3">
            <v>-3.4579999999999989</v>
          </cell>
          <cell r="F3">
            <v>-2.7664000000000004</v>
          </cell>
          <cell r="G3">
            <v>-4.7790614703571901</v>
          </cell>
          <cell r="H3">
            <v>-1.4473648249654167</v>
          </cell>
          <cell r="I3">
            <v>1.1575619135066304</v>
          </cell>
          <cell r="J3">
            <v>0.90901287465785907</v>
          </cell>
          <cell r="K3">
            <v>0.88258297004330932</v>
          </cell>
          <cell r="L3">
            <v>2.4523434470023644</v>
          </cell>
          <cell r="M3">
            <v>1.7927763872428832</v>
          </cell>
          <cell r="N3">
            <v>3.0387956041554824</v>
          </cell>
          <cell r="O3">
            <v>3.0215185575118206</v>
          </cell>
          <cell r="P3">
            <v>2.6077842862977665</v>
          </cell>
          <cell r="Q3">
            <v>3.4052073633381794</v>
          </cell>
          <cell r="R3">
            <v>1.3120847355353016</v>
          </cell>
          <cell r="S3">
            <v>1.3000813370491098</v>
          </cell>
          <cell r="T3">
            <v>1.3047724303866965</v>
          </cell>
          <cell r="U3">
            <v>1.2272339507052836</v>
          </cell>
          <cell r="V3">
            <v>-0.78494346180368757</v>
          </cell>
          <cell r="W3">
            <v>0.60571782562244059</v>
          </cell>
          <cell r="X3">
            <v>-3.1497243458300517</v>
          </cell>
          <cell r="Y3">
            <v>-3.0323904313888885</v>
          </cell>
        </row>
        <row r="4">
          <cell r="B4">
            <v>10.123508773834839</v>
          </cell>
          <cell r="C4">
            <v>7.6531436776208555</v>
          </cell>
          <cell r="D4">
            <v>7.3171822596622675</v>
          </cell>
          <cell r="E4">
            <v>6.653003954761652</v>
          </cell>
          <cell r="F4">
            <v>7.3488889649023408</v>
          </cell>
          <cell r="G4">
            <v>5.6413120399111305</v>
          </cell>
          <cell r="H4">
            <v>9.0600792928724925</v>
          </cell>
          <cell r="I4">
            <v>14.463032645837668</v>
          </cell>
          <cell r="J4">
            <v>18.095944877565042</v>
          </cell>
          <cell r="K4">
            <v>21.375999598248878</v>
          </cell>
          <cell r="L4">
            <v>22.471899846690192</v>
          </cell>
          <cell r="M4">
            <v>21.493101126114762</v>
          </cell>
          <cell r="N4">
            <v>22.417433583358935</v>
          </cell>
          <cell r="O4">
            <v>24.070688010502732</v>
          </cell>
          <cell r="P4">
            <v>21.487639364089791</v>
          </cell>
          <cell r="Q4">
            <v>21.400730145824543</v>
          </cell>
          <cell r="R4">
            <v>20.358792074427473</v>
          </cell>
          <cell r="S4">
            <v>22.35375939040739</v>
          </cell>
          <cell r="T4">
            <v>21.303691459949402</v>
          </cell>
          <cell r="U4">
            <v>21.135548978801431</v>
          </cell>
          <cell r="V4">
            <v>19.695057607899898</v>
          </cell>
          <cell r="W4">
            <v>20.682670638030064</v>
          </cell>
          <cell r="X4">
            <v>17.058674099712533</v>
          </cell>
          <cell r="Y4">
            <v>14.039076107274608</v>
          </cell>
        </row>
      </sheetData>
      <sheetData sheetId="17">
        <row r="2">
          <cell r="B2">
            <v>-9.8923377085783795</v>
          </cell>
          <cell r="C2">
            <v>-12.309054503507102</v>
          </cell>
          <cell r="D2">
            <v>-12.682434362643532</v>
          </cell>
          <cell r="E2">
            <v>-13.170999509421758</v>
          </cell>
          <cell r="F2">
            <v>-14.00037168057632</v>
          </cell>
          <cell r="G2">
            <v>-13.060332237327978</v>
          </cell>
          <cell r="H2">
            <v>-10.25590173261039</v>
          </cell>
          <cell r="I2">
            <v>-2.6505602901844805</v>
          </cell>
          <cell r="J2">
            <v>3.0895922073203455</v>
          </cell>
          <cell r="K2">
            <v>5.3214320828790393</v>
          </cell>
          <cell r="L2">
            <v>3.3761831056334235</v>
          </cell>
          <cell r="M2">
            <v>4.7168629944868083</v>
          </cell>
          <cell r="N2">
            <v>4.0009958939856203</v>
          </cell>
          <cell r="O2">
            <v>4.2200123202193227</v>
          </cell>
          <cell r="P2">
            <v>0.89538425676538858</v>
          </cell>
          <cell r="Q2">
            <v>-1.7438409767544287</v>
          </cell>
          <cell r="R2">
            <v>-0.60094299483743741</v>
          </cell>
          <cell r="S2">
            <v>0.93522208330649614</v>
          </cell>
          <cell r="T2">
            <v>1.0866652126249791E-2</v>
          </cell>
          <cell r="U2">
            <v>-1.3889533227508459</v>
          </cell>
          <cell r="V2">
            <v>-2.6462216442576976</v>
          </cell>
          <cell r="W2">
            <v>-3.0520685326546886</v>
          </cell>
          <cell r="X2">
            <v>-5.7798161187117101</v>
          </cell>
          <cell r="Y2">
            <v>-7.0937244873253391</v>
          </cell>
        </row>
        <row r="3">
          <cell r="B3">
            <v>-2.1325295234129462</v>
          </cell>
          <cell r="C3">
            <v>-0.51875607246357247</v>
          </cell>
          <cell r="D3">
            <v>-2.1622924459953259</v>
          </cell>
          <cell r="E3">
            <v>-3.1587499999999991</v>
          </cell>
          <cell r="F3">
            <v>-2.5270000000000006</v>
          </cell>
          <cell r="G3">
            <v>-4.3654888431147398</v>
          </cell>
          <cell r="H3">
            <v>-1.3221120997280249</v>
          </cell>
          <cell r="I3">
            <v>1.0573882863762489</v>
          </cell>
          <cell r="J3">
            <v>0.83034829896631346</v>
          </cell>
          <cell r="K3">
            <v>0.80620559763571531</v>
          </cell>
          <cell r="L3">
            <v>2.2401214179348523</v>
          </cell>
          <cell r="M3">
            <v>1.6376322768084028</v>
          </cell>
          <cell r="N3">
            <v>2.7758229076420267</v>
          </cell>
          <cell r="O3">
            <v>2.7600409900348359</v>
          </cell>
          <cell r="P3">
            <v>2.3821106461373827</v>
          </cell>
          <cell r="Q3">
            <v>3.1105259568954522</v>
          </cell>
          <cell r="R3">
            <v>1.1985389411139775</v>
          </cell>
          <cell r="S3">
            <v>1.1875742982660138</v>
          </cell>
          <cell r="T3">
            <v>1.1918594316032323</v>
          </cell>
          <cell r="U3">
            <v>1.1210310126634804</v>
          </cell>
          <cell r="V3">
            <v>-0.71701566222452229</v>
          </cell>
          <cell r="W3">
            <v>0.55329993686665246</v>
          </cell>
          <cell r="X3">
            <v>-2.8771520466716818</v>
          </cell>
          <cell r="Y3">
            <v>-2.7699720286725427</v>
          </cell>
        </row>
        <row r="4">
          <cell r="B4">
            <v>9.2474358991760521</v>
          </cell>
          <cell r="C4">
            <v>6.9908523978267425</v>
          </cell>
          <cell r="D4">
            <v>6.6839645641145706</v>
          </cell>
          <cell r="E4">
            <v>6.0772632279072782</v>
          </cell>
          <cell r="F4">
            <v>6.7129274198627149</v>
          </cell>
          <cell r="G4">
            <v>5.1531215749188206</v>
          </cell>
          <cell r="H4">
            <v>8.2760339694508342</v>
          </cell>
          <cell r="I4">
            <v>13.211424051486331</v>
          </cell>
          <cell r="J4">
            <v>16.529949647775759</v>
          </cell>
          <cell r="K4">
            <v>19.526153479169643</v>
          </cell>
          <cell r="L4">
            <v>20.52721620611123</v>
          </cell>
          <cell r="M4">
            <v>19.633121220970214</v>
          </cell>
          <cell r="N4">
            <v>20.477463369414412</v>
          </cell>
          <cell r="O4">
            <v>21.987647701901533</v>
          </cell>
          <cell r="P4">
            <v>19.628132111428172</v>
          </cell>
          <cell r="Q4">
            <v>19.548743883205109</v>
          </cell>
          <cell r="R4">
            <v>18.596973529525094</v>
          </cell>
          <cell r="S4">
            <v>20.419299443160597</v>
          </cell>
          <cell r="T4">
            <v>19.46010277591532</v>
          </cell>
          <cell r="U4">
            <v>19.306511086405152</v>
          </cell>
          <cell r="V4">
            <v>17.990677622600867</v>
          </cell>
          <cell r="W4">
            <v>18.892824140508232</v>
          </cell>
          <cell r="X4">
            <v>15.58244268723741</v>
          </cell>
          <cell r="Y4">
            <v>12.82415605952969</v>
          </cell>
        </row>
      </sheetData>
      <sheetData sheetId="18">
        <row r="2">
          <cell r="B2">
            <v>32.817375945180018</v>
          </cell>
          <cell r="C2">
            <v>29.816054647595806</v>
          </cell>
          <cell r="D2">
            <v>29.295245664706428</v>
          </cell>
          <cell r="E2">
            <v>29.220409083340382</v>
          </cell>
          <cell r="F2">
            <v>29.222712823617609</v>
          </cell>
          <cell r="G2">
            <v>28.964275690097171</v>
          </cell>
          <cell r="H2">
            <v>31.269521157901131</v>
          </cell>
          <cell r="I2">
            <v>37.124561006189111</v>
          </cell>
          <cell r="J2">
            <v>42.311443296985573</v>
          </cell>
          <cell r="K2">
            <v>43.611591410751721</v>
          </cell>
          <cell r="L2">
            <v>43.170253740394109</v>
          </cell>
          <cell r="M2">
            <v>44.391048414605869</v>
          </cell>
          <cell r="N2">
            <v>45</v>
          </cell>
          <cell r="O2">
            <v>44.167584304461947</v>
          </cell>
          <cell r="P2">
            <v>42.441726729097923</v>
          </cell>
          <cell r="Q2">
            <v>40.733520449221196</v>
          </cell>
          <cell r="R2">
            <v>41.444186883530428</v>
          </cell>
          <cell r="S2">
            <v>41.853645097091622</v>
          </cell>
          <cell r="T2">
            <v>42.03129827269828</v>
          </cell>
          <cell r="U2">
            <v>41.335487053836879</v>
          </cell>
          <cell r="V2">
            <v>41.459681983858381</v>
          </cell>
          <cell r="W2">
            <v>43.176857843221036</v>
          </cell>
          <cell r="X2">
            <v>40.246057516386649</v>
          </cell>
          <cell r="Y2">
            <v>36.893336517241856</v>
          </cell>
        </row>
        <row r="3">
          <cell r="B3">
            <v>33.274803251773768</v>
          </cell>
          <cell r="C3">
            <v>30.29770808896906</v>
          </cell>
          <cell r="D3">
            <v>28.814738182842035</v>
          </cell>
          <cell r="E3">
            <v>27.788929416265447</v>
          </cell>
          <cell r="F3">
            <v>27.788929416265447</v>
          </cell>
          <cell r="G3">
            <v>29.795954262951184</v>
          </cell>
          <cell r="H3">
            <v>37.333448032961321</v>
          </cell>
          <cell r="I3">
            <v>45.941338459596224</v>
          </cell>
          <cell r="J3">
            <v>47.948365710769622</v>
          </cell>
          <cell r="K3">
            <v>46.944850889217129</v>
          </cell>
          <cell r="L3">
            <v>46.922554552261445</v>
          </cell>
          <cell r="M3">
            <v>50</v>
          </cell>
          <cell r="N3">
            <v>50</v>
          </cell>
          <cell r="O3">
            <v>50</v>
          </cell>
          <cell r="P3">
            <v>47.491214142084559</v>
          </cell>
          <cell r="Q3">
            <v>44.960127160211236</v>
          </cell>
          <cell r="R3">
            <v>41.882686499474886</v>
          </cell>
          <cell r="S3">
            <v>41.882686499474886</v>
          </cell>
          <cell r="T3">
            <v>41.882686499474886</v>
          </cell>
          <cell r="U3">
            <v>41.882686499474886</v>
          </cell>
          <cell r="V3">
            <v>41.882686499474886</v>
          </cell>
          <cell r="W3">
            <v>41.882686499474886</v>
          </cell>
          <cell r="X3">
            <v>40.377425040255353</v>
          </cell>
          <cell r="Y3">
            <v>37.779446643027327</v>
          </cell>
        </row>
        <row r="4">
          <cell r="B4">
            <v>44.865864987387084</v>
          </cell>
          <cell r="C4">
            <v>39.495523010342957</v>
          </cell>
          <cell r="D4">
            <v>37.347251859751694</v>
          </cell>
          <cell r="E4">
            <v>36.162740690435101</v>
          </cell>
          <cell r="F4">
            <v>38.335890154838715</v>
          </cell>
          <cell r="G4">
            <v>35.113211958178042</v>
          </cell>
          <cell r="H4">
            <v>41.181390873337726</v>
          </cell>
          <cell r="I4">
            <v>47.798535510840388</v>
          </cell>
          <cell r="J4">
            <v>53.84827683750818</v>
          </cell>
          <cell r="K4">
            <v>57.793534551430149</v>
          </cell>
          <cell r="L4">
            <v>59.64305265787354</v>
          </cell>
          <cell r="M4">
            <v>60.586991450795175</v>
          </cell>
          <cell r="N4">
            <v>61.776626940151822</v>
          </cell>
          <cell r="O4">
            <v>62.282600162562005</v>
          </cell>
          <cell r="P4">
            <v>62.5</v>
          </cell>
          <cell r="Q4">
            <v>60.143799765726357</v>
          </cell>
          <cell r="R4">
            <v>60.173902963837676</v>
          </cell>
          <cell r="S4">
            <v>57.827884042529625</v>
          </cell>
          <cell r="T4">
            <v>58.132149240630504</v>
          </cell>
          <cell r="U4">
            <v>58.610095416705747</v>
          </cell>
          <cell r="V4">
            <v>58.128308238547049</v>
          </cell>
          <cell r="W4">
            <v>60.212093727850366</v>
          </cell>
          <cell r="X4">
            <v>58.828061556194697</v>
          </cell>
          <cell r="Y4">
            <v>52.576544886746582</v>
          </cell>
        </row>
      </sheetData>
      <sheetData sheetId="19">
        <row r="2">
          <cell r="B2">
            <v>34.130070982987213</v>
          </cell>
          <cell r="C2">
            <v>31.008696833499641</v>
          </cell>
          <cell r="D2">
            <v>30.467055491294683</v>
          </cell>
          <cell r="E2">
            <v>30.389225446673997</v>
          </cell>
          <cell r="F2">
            <v>30.391621336562313</v>
          </cell>
          <cell r="G2">
            <v>30.122846717701062</v>
          </cell>
          <cell r="H2">
            <v>32.520302004217179</v>
          </cell>
          <cell r="I2">
            <v>38.609543446436675</v>
          </cell>
          <cell r="J2">
            <v>44.003901028864995</v>
          </cell>
          <cell r="K2">
            <v>45.356055067181785</v>
          </cell>
          <cell r="L2">
            <v>44.897063890009875</v>
          </cell>
          <cell r="M2">
            <v>46.166690351190098</v>
          </cell>
          <cell r="N2">
            <v>46.800000000000004</v>
          </cell>
          <cell r="O2">
            <v>45.934287676640423</v>
          </cell>
          <cell r="P2">
            <v>44.139395798261837</v>
          </cell>
          <cell r="Q2">
            <v>42.362861267190048</v>
          </cell>
          <cell r="R2">
            <v>43.101954358871645</v>
          </cell>
          <cell r="S2">
            <v>43.52779090097529</v>
          </cell>
          <cell r="T2">
            <v>43.712550203606213</v>
          </cell>
          <cell r="U2">
            <v>42.988906535990353</v>
          </cell>
          <cell r="V2">
            <v>43.118069263212718</v>
          </cell>
          <cell r="W2">
            <v>44.903932156949885</v>
          </cell>
          <cell r="X2">
            <v>41.855899817042115</v>
          </cell>
          <cell r="Y2">
            <v>38.369069977931531</v>
          </cell>
        </row>
        <row r="3">
          <cell r="B3">
            <v>34.605795381844715</v>
          </cell>
          <cell r="C3">
            <v>31.509616412527823</v>
          </cell>
          <cell r="D3">
            <v>29.967327710155718</v>
          </cell>
          <cell r="E3">
            <v>28.900486592916064</v>
          </cell>
          <cell r="F3">
            <v>28.900486592916064</v>
          </cell>
          <cell r="G3">
            <v>30.987792433469235</v>
          </cell>
          <cell r="H3">
            <v>38.826785954279771</v>
          </cell>
          <cell r="I3">
            <v>47.778991997980071</v>
          </cell>
          <cell r="J3">
            <v>49.866300339200407</v>
          </cell>
          <cell r="K3">
            <v>48.82264492478582</v>
          </cell>
          <cell r="L3">
            <v>48.799456734351907</v>
          </cell>
          <cell r="M3">
            <v>52</v>
          </cell>
          <cell r="N3">
            <v>52</v>
          </cell>
          <cell r="O3">
            <v>52</v>
          </cell>
          <cell r="P3">
            <v>49.390862707767944</v>
          </cell>
          <cell r="Q3">
            <v>46.758532246619687</v>
          </cell>
          <cell r="R3">
            <v>43.557993959453881</v>
          </cell>
          <cell r="S3">
            <v>43.557993959453881</v>
          </cell>
          <cell r="T3">
            <v>43.557993959453881</v>
          </cell>
          <cell r="U3">
            <v>43.557993959453881</v>
          </cell>
          <cell r="V3">
            <v>43.557993959453881</v>
          </cell>
          <cell r="W3">
            <v>43.557993959453881</v>
          </cell>
          <cell r="X3">
            <v>41.99252204186557</v>
          </cell>
          <cell r="Y3">
            <v>39.290624508748415</v>
          </cell>
        </row>
        <row r="4">
          <cell r="B4">
            <v>46.660499586882572</v>
          </cell>
          <cell r="C4">
            <v>41.075343930756681</v>
          </cell>
          <cell r="D4">
            <v>38.84114193414176</v>
          </cell>
          <cell r="E4">
            <v>37.60925031805251</v>
          </cell>
          <cell r="F4">
            <v>39.869325761032272</v>
          </cell>
          <cell r="G4">
            <v>36.517740436505164</v>
          </cell>
          <cell r="H4">
            <v>42.828646508271234</v>
          </cell>
          <cell r="I4">
            <v>49.710476931274009</v>
          </cell>
          <cell r="J4">
            <v>56.002207911008512</v>
          </cell>
          <cell r="K4">
            <v>60.105275933487363</v>
          </cell>
          <cell r="L4">
            <v>62.028774764188483</v>
          </cell>
          <cell r="M4">
            <v>63.010471108826991</v>
          </cell>
          <cell r="N4">
            <v>64.247692017757885</v>
          </cell>
          <cell r="O4">
            <v>64.773904169064494</v>
          </cell>
          <cell r="P4">
            <v>65</v>
          </cell>
          <cell r="Q4">
            <v>62.54955175635542</v>
          </cell>
          <cell r="R4">
            <v>62.580859082391193</v>
          </cell>
          <cell r="S4">
            <v>60.140999404230818</v>
          </cell>
          <cell r="T4">
            <v>60.457435210255724</v>
          </cell>
          <cell r="U4">
            <v>60.95449923337398</v>
          </cell>
          <cell r="V4">
            <v>60.453440568088929</v>
          </cell>
          <cell r="W4">
            <v>62.620577476964378</v>
          </cell>
          <cell r="X4">
            <v>61.181184018442487</v>
          </cell>
          <cell r="Y4">
            <v>54.679606682216452</v>
          </cell>
        </row>
      </sheetData>
      <sheetData sheetId="20">
        <row r="2">
          <cell r="B2">
            <v>31.176507147921011</v>
          </cell>
          <cell r="C2">
            <v>28.325251915216015</v>
          </cell>
          <cell r="D2">
            <v>27.830483381471105</v>
          </cell>
          <cell r="E2">
            <v>27.759388629173362</v>
          </cell>
          <cell r="F2">
            <v>27.761577182436728</v>
          </cell>
          <cell r="G2">
            <v>27.516061905592313</v>
          </cell>
          <cell r="H2">
            <v>29.706045100006076</v>
          </cell>
          <cell r="I2">
            <v>35.268332955879657</v>
          </cell>
          <cell r="J2">
            <v>40.19587113213629</v>
          </cell>
          <cell r="K2">
            <v>41.431011840214126</v>
          </cell>
          <cell r="L2">
            <v>41.011741053374408</v>
          </cell>
          <cell r="M2">
            <v>42.171495993875574</v>
          </cell>
          <cell r="N2">
            <v>42.75</v>
          </cell>
          <cell r="O2">
            <v>41.95920508923885</v>
          </cell>
          <cell r="P2">
            <v>40.319640392643024</v>
          </cell>
          <cell r="Q2">
            <v>38.696844426760137</v>
          </cell>
          <cell r="R2">
            <v>39.3719775393539</v>
          </cell>
          <cell r="S2">
            <v>39.760962842237042</v>
          </cell>
          <cell r="T2">
            <v>39.929733359063363</v>
          </cell>
          <cell r="U2">
            <v>39.268712701145034</v>
          </cell>
          <cell r="V2">
            <v>39.386697884665459</v>
          </cell>
          <cell r="W2">
            <v>41.018014951059989</v>
          </cell>
          <cell r="X2">
            <v>38.233754640567312</v>
          </cell>
          <cell r="Y2">
            <v>35.048669691379764</v>
          </cell>
        </row>
        <row r="3">
          <cell r="B3">
            <v>31.611063089185077</v>
          </cell>
          <cell r="C3">
            <v>28.78282268452061</v>
          </cell>
          <cell r="D3">
            <v>27.374001273699932</v>
          </cell>
          <cell r="E3">
            <v>26.399482945452174</v>
          </cell>
          <cell r="F3">
            <v>26.399482945452174</v>
          </cell>
          <cell r="G3">
            <v>28.306156549803625</v>
          </cell>
          <cell r="H3">
            <v>35.466775631313254</v>
          </cell>
          <cell r="I3">
            <v>43.644271536616415</v>
          </cell>
          <cell r="J3">
            <v>45.550947425231143</v>
          </cell>
          <cell r="K3">
            <v>44.597608344756274</v>
          </cell>
          <cell r="L3">
            <v>44.576426824648372</v>
          </cell>
          <cell r="M3">
            <v>47.5</v>
          </cell>
          <cell r="N3">
            <v>47.5</v>
          </cell>
          <cell r="O3">
            <v>47.5</v>
          </cell>
          <cell r="P3">
            <v>45.116653434980329</v>
          </cell>
          <cell r="Q3">
            <v>42.712120802200673</v>
          </cell>
          <cell r="R3">
            <v>39.788552174501142</v>
          </cell>
          <cell r="S3">
            <v>39.788552174501142</v>
          </cell>
          <cell r="T3">
            <v>39.788552174501142</v>
          </cell>
          <cell r="U3">
            <v>39.788552174501142</v>
          </cell>
          <cell r="V3">
            <v>39.788552174501142</v>
          </cell>
          <cell r="W3">
            <v>39.788552174501142</v>
          </cell>
          <cell r="X3">
            <v>38.358553788242581</v>
          </cell>
          <cell r="Y3">
            <v>35.890474310875959</v>
          </cell>
        </row>
        <row r="4">
          <cell r="B4">
            <v>42.622571738017726</v>
          </cell>
          <cell r="C4">
            <v>37.520746859825806</v>
          </cell>
          <cell r="D4">
            <v>35.479889266764104</v>
          </cell>
          <cell r="E4">
            <v>34.354603655913351</v>
          </cell>
          <cell r="F4">
            <v>36.419095647096775</v>
          </cell>
          <cell r="G4">
            <v>33.357551360269142</v>
          </cell>
          <cell r="H4">
            <v>39.122321329670839</v>
          </cell>
          <cell r="I4">
            <v>45.408608735298365</v>
          </cell>
          <cell r="J4">
            <v>51.155862995632766</v>
          </cell>
          <cell r="K4">
            <v>54.903857823858644</v>
          </cell>
          <cell r="L4">
            <v>56.660900024979867</v>
          </cell>
          <cell r="M4">
            <v>57.55764187825541</v>
          </cell>
          <cell r="N4">
            <v>58.687795593144223</v>
          </cell>
          <cell r="O4">
            <v>59.168470154433905</v>
          </cell>
          <cell r="P4">
            <v>59.375</v>
          </cell>
          <cell r="Q4">
            <v>57.136609777440036</v>
          </cell>
          <cell r="R4">
            <v>57.165207815645786</v>
          </cell>
          <cell r="S4">
            <v>54.936489840403148</v>
          </cell>
          <cell r="T4">
            <v>55.225541778598974</v>
          </cell>
          <cell r="U4">
            <v>55.679590645870455</v>
          </cell>
          <cell r="V4">
            <v>55.221892826619694</v>
          </cell>
          <cell r="W4">
            <v>57.201489041457847</v>
          </cell>
          <cell r="X4">
            <v>55.886658478384959</v>
          </cell>
          <cell r="Y4">
            <v>49.947717642409252</v>
          </cell>
        </row>
      </sheetData>
      <sheetData sheetId="21">
        <row r="2">
          <cell r="B2">
            <v>-10.460555889122473</v>
          </cell>
          <cell r="C2">
            <v>-13.60000711137498</v>
          </cell>
          <cell r="D2">
            <v>-14.989832438442269</v>
          </cell>
          <cell r="E2">
            <v>-13.679007427684805</v>
          </cell>
          <cell r="F2">
            <v>-14.662055579958459</v>
          </cell>
          <cell r="G2">
            <v>-15</v>
          </cell>
          <cell r="H2">
            <v>-13.000354277337081</v>
          </cell>
          <cell r="I2">
            <v>-2.0225630497432934</v>
          </cell>
          <cell r="J2">
            <v>6.4922785620283223</v>
          </cell>
          <cell r="K2">
            <v>9.4514956358025533</v>
          </cell>
          <cell r="L2">
            <v>7.4297205539571705</v>
          </cell>
          <cell r="M2">
            <v>9.8965917745325651</v>
          </cell>
          <cell r="N2">
            <v>8.7824322348813109</v>
          </cell>
          <cell r="O2">
            <v>9.0468606034475183</v>
          </cell>
          <cell r="P2">
            <v>4.6678480617715037</v>
          </cell>
          <cell r="Q2">
            <v>1.1800884944323786</v>
          </cell>
          <cell r="R2">
            <v>2.6252266815345489</v>
          </cell>
          <cell r="S2">
            <v>3.188742745063061</v>
          </cell>
          <cell r="T2">
            <v>1.9210974177443787</v>
          </cell>
          <cell r="U2">
            <v>-0.35837393675904172</v>
          </cell>
          <cell r="V2">
            <v>-1.39903428216524</v>
          </cell>
          <cell r="W2">
            <v>-0.97334439700275344</v>
          </cell>
          <cell r="X2">
            <v>-4.6679092230400974</v>
          </cell>
          <cell r="Y2">
            <v>-6.3183951985649145</v>
          </cell>
        </row>
        <row r="3">
          <cell r="B3">
            <v>-13.238700041483979</v>
          </cell>
          <cell r="C3">
            <v>-13.238700041483979</v>
          </cell>
          <cell r="D3">
            <v>-15.369350020741987</v>
          </cell>
          <cell r="E3">
            <v>-17.5</v>
          </cell>
          <cell r="F3">
            <v>-17.5</v>
          </cell>
          <cell r="G3">
            <v>-17.5</v>
          </cell>
          <cell r="H3">
            <v>-6.9778717969972428</v>
          </cell>
          <cell r="I3">
            <v>1.4463903636619411</v>
          </cell>
          <cell r="J3">
            <v>4.5932017328260173</v>
          </cell>
          <cell r="K3">
            <v>4.5932017328260173</v>
          </cell>
          <cell r="L3">
            <v>4.1998437124476347</v>
          </cell>
          <cell r="M3">
            <v>5.9043552318562922</v>
          </cell>
          <cell r="N3">
            <v>8.0022247716433341</v>
          </cell>
          <cell r="O3">
            <v>8.248077956938614</v>
          </cell>
          <cell r="P3">
            <v>4.6259786379411887</v>
          </cell>
          <cell r="Q3">
            <v>3.6098172295789577</v>
          </cell>
          <cell r="R3">
            <v>-0.58592188690745695</v>
          </cell>
          <cell r="S3">
            <v>-0.58592188690745695</v>
          </cell>
          <cell r="T3">
            <v>-0.58592188690745695</v>
          </cell>
          <cell r="U3">
            <v>-0.58592188690745695</v>
          </cell>
          <cell r="V3">
            <v>-3.7327367719711662</v>
          </cell>
          <cell r="W3">
            <v>-4.7816750669924017</v>
          </cell>
          <cell r="X3">
            <v>-13.369807661944664</v>
          </cell>
          <cell r="Y3">
            <v>-13.369807661944664</v>
          </cell>
        </row>
        <row r="4">
          <cell r="B4">
            <v>10.686627055883104</v>
          </cell>
          <cell r="C4">
            <v>8.1880271442666093</v>
          </cell>
          <cell r="D4">
            <v>7.7593821892689059</v>
          </cell>
          <cell r="E4">
            <v>6.7768420089803687</v>
          </cell>
          <cell r="F4">
            <v>7.8014863947853508</v>
          </cell>
          <cell r="G4">
            <v>3.6207907522596137</v>
          </cell>
          <cell r="H4">
            <v>6.3174342491118045</v>
          </cell>
          <cell r="I4">
            <v>12.13969632964368</v>
          </cell>
          <cell r="J4">
            <v>17.659552313749185</v>
          </cell>
          <cell r="K4">
            <v>20.984459895034021</v>
          </cell>
          <cell r="L4">
            <v>22.908570953690287</v>
          </cell>
          <cell r="M4">
            <v>23.744937648225861</v>
          </cell>
          <cell r="N4">
            <v>24.812272019843068</v>
          </cell>
          <cell r="O4">
            <v>25</v>
          </cell>
          <cell r="P4">
            <v>24.822550505179802</v>
          </cell>
          <cell r="Q4">
            <v>23.996243323270871</v>
          </cell>
          <cell r="R4">
            <v>22.836253635655485</v>
          </cell>
          <cell r="S4">
            <v>20.264603803871577</v>
          </cell>
          <cell r="T4">
            <v>20.17084909066174</v>
          </cell>
          <cell r="U4">
            <v>19.188566278503806</v>
          </cell>
          <cell r="V4">
            <v>17.296536957439471</v>
          </cell>
          <cell r="W4">
            <v>20.735169960805727</v>
          </cell>
          <cell r="X4">
            <v>18.579467024338225</v>
          </cell>
          <cell r="Y4">
            <v>14.952007043816234</v>
          </cell>
        </row>
      </sheetData>
      <sheetData sheetId="22">
        <row r="2">
          <cell r="B2">
            <v>-10.878978124687372</v>
          </cell>
          <cell r="C2">
            <v>-14.144007395829979</v>
          </cell>
          <cell r="D2">
            <v>-15.589425735979962</v>
          </cell>
          <cell r="E2">
            <v>-14.226167724792198</v>
          </cell>
          <cell r="F2">
            <v>-15.248537803156797</v>
          </cell>
          <cell r="G2">
            <v>-15.600000000000001</v>
          </cell>
          <cell r="H2">
            <v>-13.520368448430563</v>
          </cell>
          <cell r="I2">
            <v>-2.1034655717330248</v>
          </cell>
          <cell r="J2">
            <v>6.751969704509456</v>
          </cell>
          <cell r="K2">
            <v>9.8295554612346567</v>
          </cell>
          <cell r="L2">
            <v>7.726909376115457</v>
          </cell>
          <cell r="M2">
            <v>10.292455445513866</v>
          </cell>
          <cell r="N2">
            <v>9.1337295242765624</v>
          </cell>
          <cell r="O2">
            <v>9.4087350275854202</v>
          </cell>
          <cell r="P2">
            <v>4.8545619842423635</v>
          </cell>
          <cell r="Q2">
            <v>1.2272920342096738</v>
          </cell>
          <cell r="R2">
            <v>2.730235748795931</v>
          </cell>
          <cell r="S2">
            <v>3.3162924548655837</v>
          </cell>
          <cell r="T2">
            <v>1.997941314454154</v>
          </cell>
          <cell r="U2">
            <v>-0.37270889422940345</v>
          </cell>
          <cell r="V2">
            <v>-1.4549956534518496</v>
          </cell>
          <cell r="W2">
            <v>-1.0122781728828636</v>
          </cell>
          <cell r="X2">
            <v>-4.8546255919617014</v>
          </cell>
          <cell r="Y2">
            <v>-6.5711310065075113</v>
          </cell>
        </row>
        <row r="3">
          <cell r="B3">
            <v>-13.768248043143336</v>
          </cell>
          <cell r="C3">
            <v>-13.768248043143336</v>
          </cell>
          <cell r="D3">
            <v>-15.984124021571668</v>
          </cell>
          <cell r="E3">
            <v>-18.2</v>
          </cell>
          <cell r="F3">
            <v>-18.2</v>
          </cell>
          <cell r="G3">
            <v>-18.2</v>
          </cell>
          <cell r="H3">
            <v>-7.2569866688771327</v>
          </cell>
          <cell r="I3">
            <v>1.5042459782084188</v>
          </cell>
          <cell r="J3">
            <v>4.7769298021390583</v>
          </cell>
          <cell r="K3">
            <v>4.7769298021390583</v>
          </cell>
          <cell r="L3">
            <v>4.3678374609455402</v>
          </cell>
          <cell r="M3">
            <v>6.1405294411305436</v>
          </cell>
          <cell r="N3">
            <v>8.3223137625090668</v>
          </cell>
          <cell r="O3">
            <v>8.5780010752161573</v>
          </cell>
          <cell r="P3">
            <v>4.811017783458837</v>
          </cell>
          <cell r="Q3">
            <v>3.7542099187621165</v>
          </cell>
          <cell r="R3">
            <v>-0.60935876238375519</v>
          </cell>
          <cell r="S3">
            <v>-0.60935876238375519</v>
          </cell>
          <cell r="T3">
            <v>-0.60935876238375519</v>
          </cell>
          <cell r="U3">
            <v>-0.60935876238375519</v>
          </cell>
          <cell r="V3">
            <v>-3.8820462428500133</v>
          </cell>
          <cell r="W3">
            <v>-4.972942069672099</v>
          </cell>
          <cell r="X3">
            <v>-13.904599968422453</v>
          </cell>
          <cell r="Y3">
            <v>-13.904599968422453</v>
          </cell>
        </row>
        <row r="4">
          <cell r="B4">
            <v>11.114092138118428</v>
          </cell>
          <cell r="C4">
            <v>8.5155482300372736</v>
          </cell>
          <cell r="D4">
            <v>8.069757476839662</v>
          </cell>
          <cell r="E4">
            <v>7.0479156893395842</v>
          </cell>
          <cell r="F4">
            <v>8.1135458505767666</v>
          </cell>
          <cell r="G4">
            <v>3.7656223823499988</v>
          </cell>
          <cell r="H4">
            <v>6.5701316190762764</v>
          </cell>
          <cell r="I4">
            <v>12.625284182829427</v>
          </cell>
          <cell r="J4">
            <v>18.365934406299154</v>
          </cell>
          <cell r="K4">
            <v>21.823838290835383</v>
          </cell>
          <cell r="L4">
            <v>23.824913791837901</v>
          </cell>
          <cell r="M4">
            <v>24.694735154154895</v>
          </cell>
          <cell r="N4">
            <v>25.804762900636792</v>
          </cell>
          <cell r="O4">
            <v>26</v>
          </cell>
          <cell r="P4">
            <v>25.815452525386995</v>
          </cell>
          <cell r="Q4">
            <v>24.956093056201709</v>
          </cell>
          <cell r="R4">
            <v>23.749703781081706</v>
          </cell>
          <cell r="S4">
            <v>21.075187956026443</v>
          </cell>
          <cell r="T4">
            <v>20.977683054288214</v>
          </cell>
          <cell r="U4">
            <v>19.95610892964396</v>
          </cell>
          <cell r="V4">
            <v>17.98839843573705</v>
          </cell>
          <cell r="W4">
            <v>21.564576759237958</v>
          </cell>
          <cell r="X4">
            <v>19.322645705311757</v>
          </cell>
          <cell r="Y4">
            <v>15.550087325568885</v>
          </cell>
        </row>
      </sheetData>
      <sheetData sheetId="23">
        <row r="2">
          <cell r="B2">
            <v>-9.937528094666348</v>
          </cell>
          <cell r="C2">
            <v>-12.920006755806231</v>
          </cell>
          <cell r="D2">
            <v>-14.240340816520154</v>
          </cell>
          <cell r="E2">
            <v>-12.995057056300565</v>
          </cell>
          <cell r="F2">
            <v>-13.928952800960534</v>
          </cell>
          <cell r="G2">
            <v>-14.25</v>
          </cell>
          <cell r="H2">
            <v>-12.350336563470226</v>
          </cell>
          <cell r="I2">
            <v>-1.9214348972561286</v>
          </cell>
          <cell r="J2">
            <v>6.1676646339269068</v>
          </cell>
          <cell r="K2">
            <v>8.9789208540124257</v>
          </cell>
          <cell r="L2">
            <v>7.0582345262593114</v>
          </cell>
          <cell r="M2">
            <v>9.4017621858059357</v>
          </cell>
          <cell r="N2">
            <v>8.3433106231372438</v>
          </cell>
          <cell r="O2">
            <v>8.5945175732751427</v>
          </cell>
          <cell r="P2">
            <v>4.4344556586829285</v>
          </cell>
          <cell r="Q2">
            <v>1.1210840697107596</v>
          </cell>
          <cell r="R2">
            <v>2.4939653474578209</v>
          </cell>
          <cell r="S2">
            <v>3.0293056078099081</v>
          </cell>
          <cell r="T2">
            <v>1.8250425468571598</v>
          </cell>
          <cell r="U2">
            <v>-0.34045523992108961</v>
          </cell>
          <cell r="V2">
            <v>-1.3290825680569778</v>
          </cell>
          <cell r="W2">
            <v>-0.92467717715261577</v>
          </cell>
          <cell r="X2">
            <v>-4.4345137618880921</v>
          </cell>
          <cell r="Y2">
            <v>-6.0024754386366688</v>
          </cell>
        </row>
        <row r="3">
          <cell r="B3">
            <v>-12.576765039409779</v>
          </cell>
          <cell r="C3">
            <v>-12.576765039409779</v>
          </cell>
          <cell r="D3">
            <v>-14.600882519704887</v>
          </cell>
          <cell r="E3">
            <v>-16.625</v>
          </cell>
          <cell r="F3">
            <v>-16.625</v>
          </cell>
          <cell r="G3">
            <v>-16.625</v>
          </cell>
          <cell r="H3">
            <v>-6.6289782071473811</v>
          </cell>
          <cell r="I3">
            <v>1.3740708454788439</v>
          </cell>
          <cell r="J3">
            <v>4.363541646184717</v>
          </cell>
          <cell r="K3">
            <v>4.363541646184717</v>
          </cell>
          <cell r="L3">
            <v>3.9898515268252521</v>
          </cell>
          <cell r="M3">
            <v>5.6091374702634766</v>
          </cell>
          <cell r="N3">
            <v>7.6021135330611669</v>
          </cell>
          <cell r="O3">
            <v>7.8356740590916827</v>
          </cell>
          <cell r="P3">
            <v>4.3946797060441298</v>
          </cell>
          <cell r="Q3">
            <v>3.4293263681000097</v>
          </cell>
          <cell r="R3">
            <v>-0.556625792562084</v>
          </cell>
          <cell r="S3">
            <v>-0.556625792562084</v>
          </cell>
          <cell r="T3">
            <v>-0.556625792562084</v>
          </cell>
          <cell r="U3">
            <v>-0.556625792562084</v>
          </cell>
          <cell r="V3">
            <v>-3.546099933372608</v>
          </cell>
          <cell r="W3">
            <v>-4.5425913136427818</v>
          </cell>
          <cell r="X3">
            <v>-12.70131727884743</v>
          </cell>
          <cell r="Y3">
            <v>-12.70131727884743</v>
          </cell>
        </row>
        <row r="4">
          <cell r="B4">
            <v>10.152295703088948</v>
          </cell>
          <cell r="C4">
            <v>7.7786257870532785</v>
          </cell>
          <cell r="D4">
            <v>7.3714130798054596</v>
          </cell>
          <cell r="E4">
            <v>6.4379999085313502</v>
          </cell>
          <cell r="F4">
            <v>7.4114120750460826</v>
          </cell>
          <cell r="G4">
            <v>3.4397512146466331</v>
          </cell>
          <cell r="H4">
            <v>6.0015625366562135</v>
          </cell>
          <cell r="I4">
            <v>11.532711513161496</v>
          </cell>
          <cell r="J4">
            <v>16.776574698061726</v>
          </cell>
          <cell r="K4">
            <v>19.93523690028232</v>
          </cell>
          <cell r="L4">
            <v>21.763142406005773</v>
          </cell>
          <cell r="M4">
            <v>22.557690765814566</v>
          </cell>
          <cell r="N4">
            <v>23.571658418850912</v>
          </cell>
          <cell r="O4">
            <v>23.75</v>
          </cell>
          <cell r="P4">
            <v>23.581422979920809</v>
          </cell>
          <cell r="Q4">
            <v>22.796431157107328</v>
          </cell>
          <cell r="R4">
            <v>21.694440953872711</v>
          </cell>
          <cell r="S4">
            <v>19.251373613677998</v>
          </cell>
          <cell r="T4">
            <v>19.162306636128655</v>
          </cell>
          <cell r="U4">
            <v>18.229137964578616</v>
          </cell>
          <cell r="V4">
            <v>16.431710109567497</v>
          </cell>
          <cell r="W4">
            <v>19.698411462765439</v>
          </cell>
          <cell r="X4">
            <v>17.650493673121314</v>
          </cell>
          <cell r="Y4">
            <v>14.204406691625421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1" sqref="B1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9</v>
      </c>
      <c r="C1" s="1">
        <f>1/$B$1</f>
        <v>0.1111111111111111</v>
      </c>
      <c r="D1" s="1">
        <f t="shared" ref="D1:K1" si="0">1/$B$1</f>
        <v>0.1111111111111111</v>
      </c>
      <c r="E1" s="1">
        <f t="shared" si="0"/>
        <v>0.1111111111111111</v>
      </c>
      <c r="F1" s="1">
        <f t="shared" si="0"/>
        <v>0.1111111111111111</v>
      </c>
      <c r="G1" s="1">
        <f t="shared" si="0"/>
        <v>0.1111111111111111</v>
      </c>
      <c r="H1" s="1">
        <f t="shared" si="0"/>
        <v>0.1111111111111111</v>
      </c>
      <c r="I1" s="1">
        <f t="shared" si="0"/>
        <v>0.1111111111111111</v>
      </c>
      <c r="J1" s="1">
        <f t="shared" si="0"/>
        <v>0.1111111111111111</v>
      </c>
      <c r="K1" s="1">
        <f t="shared" si="0"/>
        <v>0.1111111111111111</v>
      </c>
    </row>
    <row r="3" spans="1:11" x14ac:dyDescent="0.3">
      <c r="A3" t="s">
        <v>2</v>
      </c>
      <c r="B3" s="3">
        <v>2025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1.0510100500999999</v>
      </c>
    </row>
    <row r="6" spans="1:11" x14ac:dyDescent="0.3">
      <c r="A6" t="s">
        <v>10</v>
      </c>
      <c r="B6" s="7">
        <f>((1+[1]Main!$B$3)^($B$3-2020))*$B$4</f>
        <v>1.1314082128906247</v>
      </c>
    </row>
    <row r="7" spans="1:11" x14ac:dyDescent="0.3">
      <c r="A7" t="s">
        <v>12</v>
      </c>
      <c r="B7" s="2">
        <f>SUM('RES installed'!$C$2:$C$7)</f>
        <v>140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>
        <v>4</v>
      </c>
      <c r="B2">
        <v>4</v>
      </c>
      <c r="C2" s="4">
        <v>30</v>
      </c>
    </row>
    <row r="3" spans="1:3" x14ac:dyDescent="0.3">
      <c r="A3">
        <v>5</v>
      </c>
      <c r="B3">
        <v>6</v>
      </c>
      <c r="C3" s="4">
        <v>20</v>
      </c>
    </row>
    <row r="4" spans="1:3" x14ac:dyDescent="0.3">
      <c r="A4">
        <v>6</v>
      </c>
      <c r="B4">
        <v>8</v>
      </c>
      <c r="C4" s="4">
        <v>30</v>
      </c>
    </row>
    <row r="5" spans="1:3" x14ac:dyDescent="0.3">
      <c r="A5">
        <v>7</v>
      </c>
      <c r="B5">
        <v>4</v>
      </c>
      <c r="C5" s="4">
        <v>30</v>
      </c>
    </row>
    <row r="6" spans="1:3" x14ac:dyDescent="0.3">
      <c r="A6">
        <v>8</v>
      </c>
      <c r="B6">
        <v>6</v>
      </c>
      <c r="C6" s="4">
        <v>10</v>
      </c>
    </row>
    <row r="7" spans="1:3" x14ac:dyDescent="0.3">
      <c r="A7">
        <v>9</v>
      </c>
      <c r="B7">
        <v>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B2" sqref="B2:B4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21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f>1/COUNT($A$2:$A$21)</f>
        <v>0.33333333333333331</v>
      </c>
    </row>
    <row r="3" spans="1:2" x14ac:dyDescent="0.3">
      <c r="A3">
        <v>2</v>
      </c>
      <c r="B3" s="1">
        <f t="shared" ref="B3:B4" si="0">1/COUNT($A$2:$A$21)</f>
        <v>0.33333333333333331</v>
      </c>
    </row>
    <row r="4" spans="1:2" x14ac:dyDescent="0.3">
      <c r="A4">
        <v>3</v>
      </c>
      <c r="B4" s="1">
        <f t="shared" si="0"/>
        <v>0.33333333333333331</v>
      </c>
    </row>
    <row r="5" spans="1:2" x14ac:dyDescent="0.3">
      <c r="B5" s="1"/>
    </row>
    <row r="6" spans="1:2" x14ac:dyDescent="0.3">
      <c r="B6" s="1"/>
    </row>
    <row r="7" spans="1:2" x14ac:dyDescent="0.3">
      <c r="B7" s="1"/>
    </row>
    <row r="8" spans="1:2" x14ac:dyDescent="0.3">
      <c r="B8" s="1"/>
    </row>
    <row r="9" spans="1:2" x14ac:dyDescent="0.3">
      <c r="B9" s="1"/>
    </row>
    <row r="10" spans="1:2" x14ac:dyDescent="0.3">
      <c r="B10" s="1"/>
    </row>
    <row r="11" spans="1:2" x14ac:dyDescent="0.3">
      <c r="B11" s="1"/>
    </row>
    <row r="12" spans="1:2" x14ac:dyDescent="0.3">
      <c r="B12" s="1"/>
    </row>
    <row r="13" spans="1:2" x14ac:dyDescent="0.3">
      <c r="B13" s="1"/>
    </row>
    <row r="14" spans="1:2" x14ac:dyDescent="0.3">
      <c r="B14" s="1"/>
    </row>
    <row r="15" spans="1:2" x14ac:dyDescent="0.3">
      <c r="B15" s="1"/>
    </row>
    <row r="16" spans="1:2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:Y4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0</v>
      </c>
      <c r="C2" s="2">
        <f>'[1]EV Profiles'!C2*Main!$B$6</f>
        <v>0</v>
      </c>
      <c r="D2" s="2">
        <f>'[1]EV Profiles'!D2*Main!$B$6</f>
        <v>0</v>
      </c>
      <c r="E2" s="2">
        <f>'[1]EV Profiles'!E2*Main!$B$6</f>
        <v>0</v>
      </c>
      <c r="F2" s="2">
        <f>'[1]EV Profiles'!F2*Main!$B$6</f>
        <v>0</v>
      </c>
      <c r="G2" s="2">
        <f>'[1]EV Profiles'!G2*Main!$B$6</f>
        <v>0</v>
      </c>
      <c r="H2" s="2">
        <f>'[1]EV Profiles'!H2*Main!$B$6</f>
        <v>0</v>
      </c>
      <c r="I2" s="2">
        <f>'[1]EV Profiles'!I2*Main!$B$6</f>
        <v>0</v>
      </c>
      <c r="J2" s="2">
        <f>'[1]EV Profiles'!J2*Main!$B$6</f>
        <v>0</v>
      </c>
      <c r="K2" s="2">
        <f>'[1]EV Profiles'!K2*Main!$B$6</f>
        <v>0</v>
      </c>
      <c r="L2" s="2">
        <f>'[1]EV Profiles'!L2*Main!$B$6</f>
        <v>0</v>
      </c>
      <c r="M2" s="2">
        <f>'[1]EV Profiles'!M2*Main!$B$6</f>
        <v>0</v>
      </c>
      <c r="N2" s="2">
        <f>'[1]EV Profiles'!N2*Main!$B$6</f>
        <v>0</v>
      </c>
      <c r="O2" s="2">
        <f>'[1]EV Profiles'!O2*Main!$B$6</f>
        <v>0</v>
      </c>
      <c r="P2" s="2">
        <f>'[1]EV Profiles'!P2*Main!$B$6</f>
        <v>0</v>
      </c>
      <c r="Q2" s="2">
        <f>'[1]EV Profiles'!Q2*Main!$B$6</f>
        <v>0</v>
      </c>
      <c r="R2" s="2">
        <f>'[1]EV Profiles'!R2*Main!$B$6</f>
        <v>0</v>
      </c>
      <c r="S2" s="2">
        <f>'[1]EV Profiles'!S2*Main!$B$6</f>
        <v>0</v>
      </c>
      <c r="T2" s="2">
        <f>'[1]EV Profiles'!T2*Main!$B$6</f>
        <v>0</v>
      </c>
      <c r="U2" s="2">
        <f>'[1]EV Profiles'!U2*Main!$B$6</f>
        <v>0</v>
      </c>
      <c r="V2" s="2">
        <f>'[1]EV Profiles'!V2*Main!$B$6</f>
        <v>0</v>
      </c>
      <c r="W2" s="2">
        <f>'[1]EV Profiles'!W2*Main!$B$6</f>
        <v>0</v>
      </c>
      <c r="X2" s="2">
        <f>'[1]EV Profiles'!X2*Main!$B$6</f>
        <v>0</v>
      </c>
      <c r="Y2" s="2">
        <f>'[1]EV Profiles'!Y2*Main!$B$6</f>
        <v>0</v>
      </c>
    </row>
    <row r="3" spans="1:25" x14ac:dyDescent="0.3">
      <c r="A3" t="s">
        <v>17</v>
      </c>
      <c r="B3" s="2">
        <f>'[1]EV Profiles'!B3*Main!$B$6</f>
        <v>0</v>
      </c>
      <c r="C3" s="2">
        <f>'[1]EV Profiles'!C3*Main!$B$6</f>
        <v>0</v>
      </c>
      <c r="D3" s="2">
        <f>'[1]EV Profiles'!D3*Main!$B$6</f>
        <v>0</v>
      </c>
      <c r="E3" s="2">
        <f>'[1]EV Profiles'!E3*Main!$B$6</f>
        <v>0</v>
      </c>
      <c r="F3" s="2">
        <f>'[1]EV Profiles'!F3*Main!$B$6</f>
        <v>0</v>
      </c>
      <c r="G3" s="2">
        <f>'[1]EV Profiles'!G3*Main!$B$6</f>
        <v>0</v>
      </c>
      <c r="H3" s="2">
        <f>'[1]EV Profiles'!H3*Main!$B$6</f>
        <v>0</v>
      </c>
      <c r="I3" s="2">
        <f>'[1]EV Profiles'!I3*Main!$B$6</f>
        <v>0</v>
      </c>
      <c r="J3" s="2">
        <f>'[1]EV Profiles'!J3*Main!$B$6</f>
        <v>0</v>
      </c>
      <c r="K3" s="2">
        <f>'[1]EV Profiles'!K3*Main!$B$6</f>
        <v>0</v>
      </c>
      <c r="L3" s="2">
        <f>'[1]EV Profiles'!L3*Main!$B$6</f>
        <v>0</v>
      </c>
      <c r="M3" s="2">
        <f>'[1]EV Profiles'!M3*Main!$B$6</f>
        <v>0</v>
      </c>
      <c r="N3" s="2">
        <f>'[1]EV Profiles'!N3*Main!$B$6</f>
        <v>0</v>
      </c>
      <c r="O3" s="2">
        <f>'[1]EV Profiles'!O3*Main!$B$6</f>
        <v>0</v>
      </c>
      <c r="P3" s="2">
        <f>'[1]EV Profiles'!P3*Main!$B$6</f>
        <v>0</v>
      </c>
      <c r="Q3" s="2">
        <f>'[1]EV Profiles'!Q3*Main!$B$6</f>
        <v>0</v>
      </c>
      <c r="R3" s="2">
        <f>'[1]EV Profiles'!R3*Main!$B$6</f>
        <v>0</v>
      </c>
      <c r="S3" s="2">
        <f>'[1]EV Profiles'!S3*Main!$B$6</f>
        <v>0</v>
      </c>
      <c r="T3" s="2">
        <f>'[1]EV Profiles'!T3*Main!$B$6</f>
        <v>0</v>
      </c>
      <c r="U3" s="2">
        <f>'[1]EV Profiles'!U3*Main!$B$6</f>
        <v>0</v>
      </c>
      <c r="V3" s="2">
        <f>'[1]EV Profiles'!V3*Main!$B$6</f>
        <v>0</v>
      </c>
      <c r="W3" s="2">
        <f>'[1]EV Profiles'!W3*Main!$B$6</f>
        <v>0</v>
      </c>
      <c r="X3" s="2">
        <f>'[1]EV Profiles'!X3*Main!$B$6</f>
        <v>0</v>
      </c>
      <c r="Y3" s="2">
        <f>'[1]EV Profiles'!Y3*Main!$B$6</f>
        <v>0</v>
      </c>
    </row>
    <row r="4" spans="1:25" x14ac:dyDescent="0.3">
      <c r="A4" t="s">
        <v>18</v>
      </c>
      <c r="B4" s="2">
        <f>'[1]EV Profiles'!B4*Main!$B$6</f>
        <v>0</v>
      </c>
      <c r="C4" s="2">
        <f>'[1]EV Profiles'!C4*Main!$B$6</f>
        <v>0</v>
      </c>
      <c r="D4" s="2">
        <f>'[1]EV Profiles'!D4*Main!$B$6</f>
        <v>0</v>
      </c>
      <c r="E4" s="2">
        <f>'[1]EV Profiles'!E4*Main!$B$6</f>
        <v>0</v>
      </c>
      <c r="F4" s="2">
        <f>'[1]EV Profiles'!F4*Main!$B$6</f>
        <v>0</v>
      </c>
      <c r="G4" s="2">
        <f>'[1]EV Profiles'!G4*Main!$B$6</f>
        <v>0</v>
      </c>
      <c r="H4" s="2">
        <f>'[1]EV Profiles'!H4*Main!$B$6</f>
        <v>0</v>
      </c>
      <c r="I4" s="2">
        <f>'[1]EV Profiles'!I4*Main!$B$6</f>
        <v>0</v>
      </c>
      <c r="J4" s="2">
        <f>'[1]EV Profiles'!J4*Main!$B$6</f>
        <v>0</v>
      </c>
      <c r="K4" s="2">
        <f>'[1]EV Profiles'!K4*Main!$B$6</f>
        <v>0</v>
      </c>
      <c r="L4" s="2">
        <f>'[1]EV Profiles'!L4*Main!$B$6</f>
        <v>0</v>
      </c>
      <c r="M4" s="2">
        <f>'[1]EV Profiles'!M4*Main!$B$6</f>
        <v>0</v>
      </c>
      <c r="N4" s="2">
        <f>'[1]EV Profiles'!N4*Main!$B$6</f>
        <v>0</v>
      </c>
      <c r="O4" s="2">
        <f>'[1]EV Profiles'!O4*Main!$B$6</f>
        <v>0</v>
      </c>
      <c r="P4" s="2">
        <f>'[1]EV Profiles'!P4*Main!$B$6</f>
        <v>0</v>
      </c>
      <c r="Q4" s="2">
        <f>'[1]EV Profiles'!Q4*Main!$B$6</f>
        <v>0</v>
      </c>
      <c r="R4" s="2">
        <f>'[1]EV Profiles'!R4*Main!$B$6</f>
        <v>0</v>
      </c>
      <c r="S4" s="2">
        <f>'[1]EV Profiles'!S4*Main!$B$6</f>
        <v>0</v>
      </c>
      <c r="T4" s="2">
        <f>'[1]EV Profiles'!T4*Main!$B$6</f>
        <v>0</v>
      </c>
      <c r="U4" s="2">
        <f>'[1]EV Profiles'!U4*Main!$B$6</f>
        <v>0</v>
      </c>
      <c r="V4" s="2">
        <f>'[1]EV Profiles'!V4*Main!$B$6</f>
        <v>0</v>
      </c>
      <c r="W4" s="2">
        <f>'[1]EV Profiles'!W4*Main!$B$6</f>
        <v>0</v>
      </c>
      <c r="X4" s="2">
        <f>'[1]EV Profiles'!X4*Main!$B$6</f>
        <v>0</v>
      </c>
      <c r="Y4" s="2">
        <f>'[1]EV Profiles'!Y4*Main!$B$6</f>
        <v>0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30.101673928974957</v>
      </c>
      <c r="C2" s="2">
        <f>('[1]Pc, Winter, S1'!C2*Main!$B$5)+(_xlfn.IFNA(VLOOKUP($A2,'FL Ratio'!$A$3:$B$10,2,FALSE),0)*'FL Characterization'!C$2)</f>
        <v>28.077285002903576</v>
      </c>
      <c r="D2" s="2">
        <f>('[1]Pc, Winter, S1'!D2*Main!$B$5)+(_xlfn.IFNA(VLOOKUP($A2,'FL Ratio'!$A$3:$B$10,2,FALSE),0)*'FL Characterization'!D$2)</f>
        <v>26.604090393960089</v>
      </c>
      <c r="E2" s="2">
        <f>('[1]Pc, Winter, S1'!E2*Main!$B$5)+(_xlfn.IFNA(VLOOKUP($A2,'FL Ratio'!$A$3:$B$10,2,FALSE),0)*'FL Characterization'!E$2)</f>
        <v>26.41585164871999</v>
      </c>
      <c r="F2" s="2">
        <f>('[1]Pc, Winter, S1'!F2*Main!$B$5)+(_xlfn.IFNA(VLOOKUP($A2,'FL Ratio'!$A$3:$B$10,2,FALSE),0)*'FL Characterization'!F$2)</f>
        <v>26.734486794958809</v>
      </c>
      <c r="G2" s="2">
        <f>('[1]Pc, Winter, S1'!G2*Main!$B$5)+(_xlfn.IFNA(VLOOKUP($A2,'FL Ratio'!$A$3:$B$10,2,FALSE),0)*'FL Characterization'!G$2)</f>
        <v>29.386973361261944</v>
      </c>
      <c r="H2" s="2">
        <f>('[1]Pc, Winter, S1'!H2*Main!$B$5)+(_xlfn.IFNA(VLOOKUP($A2,'FL Ratio'!$A$3:$B$10,2,FALSE),0)*'FL Characterization'!H$2)</f>
        <v>35.065820883172997</v>
      </c>
      <c r="I2" s="2">
        <f>('[1]Pc, Winter, S1'!I2*Main!$B$5)+(_xlfn.IFNA(VLOOKUP($A2,'FL Ratio'!$A$3:$B$10,2,FALSE),0)*'FL Characterization'!I$2)</f>
        <v>42.208557550580629</v>
      </c>
      <c r="J2" s="2">
        <f>('[1]Pc, Winter, S1'!J2*Main!$B$5)+(_xlfn.IFNA(VLOOKUP($A2,'FL Ratio'!$A$3:$B$10,2,FALSE),0)*'FL Characterization'!J$2)</f>
        <v>45.953649823943458</v>
      </c>
      <c r="K2" s="2">
        <f>('[1]Pc, Winter, S1'!K2*Main!$B$5)+(_xlfn.IFNA(VLOOKUP($A2,'FL Ratio'!$A$3:$B$10,2,FALSE),0)*'FL Characterization'!K$2)</f>
        <v>46.526684012183324</v>
      </c>
      <c r="L2" s="2">
        <f>('[1]Pc, Winter, S1'!L2*Main!$B$5)+(_xlfn.IFNA(VLOOKUP($A2,'FL Ratio'!$A$3:$B$10,2,FALSE),0)*'FL Characterization'!L$2)</f>
        <v>45.271084710026273</v>
      </c>
      <c r="M2" s="2">
        <f>('[1]Pc, Winter, S1'!M2*Main!$B$5)+(_xlfn.IFNA(VLOOKUP($A2,'FL Ratio'!$A$3:$B$10,2,FALSE),0)*'FL Characterization'!M$2)</f>
        <v>45.504417931544737</v>
      </c>
      <c r="N2" s="2">
        <f>('[1]Pc, Winter, S1'!N2*Main!$B$5)+(_xlfn.IFNA(VLOOKUP($A2,'FL Ratio'!$A$3:$B$10,2,FALSE),0)*'FL Characterization'!N$2)</f>
        <v>45.467023675850221</v>
      </c>
      <c r="O2" s="2">
        <f>('[1]Pc, Winter, S1'!O2*Main!$B$5)+(_xlfn.IFNA(VLOOKUP($A2,'FL Ratio'!$A$3:$B$10,2,FALSE),0)*'FL Characterization'!O$2)</f>
        <v>44.724571531893574</v>
      </c>
      <c r="P2" s="2">
        <f>('[1]Pc, Winter, S1'!P2*Main!$B$5)+(_xlfn.IFNA(VLOOKUP($A2,'FL Ratio'!$A$3:$B$10,2,FALSE),0)*'FL Characterization'!P$2)</f>
        <v>42.175738184102855</v>
      </c>
      <c r="Q2" s="2">
        <f>('[1]Pc, Winter, S1'!Q2*Main!$B$5)+(_xlfn.IFNA(VLOOKUP($A2,'FL Ratio'!$A$3:$B$10,2,FALSE),0)*'FL Characterization'!Q$2)</f>
        <v>40.967387703409202</v>
      </c>
      <c r="R2" s="2">
        <f>('[1]Pc, Winter, S1'!R2*Main!$B$5)+(_xlfn.IFNA(VLOOKUP($A2,'FL Ratio'!$A$3:$B$10,2,FALSE),0)*'FL Characterization'!R$2)</f>
        <v>42.665449835738286</v>
      </c>
      <c r="S2" s="2">
        <f>('[1]Pc, Winter, S1'!S2*Main!$B$5)+(_xlfn.IFNA(VLOOKUP($A2,'FL Ratio'!$A$3:$B$10,2,FALSE),0)*'FL Characterization'!S$2)</f>
        <v>47.295452254499999</v>
      </c>
      <c r="T2" s="2">
        <f>('[1]Pc, Winter, S1'!T2*Main!$B$5)+(_xlfn.IFNA(VLOOKUP($A2,'FL Ratio'!$A$3:$B$10,2,FALSE),0)*'FL Characterization'!T$2)</f>
        <v>47.124006988088396</v>
      </c>
      <c r="U2" s="2">
        <f>('[1]Pc, Winter, S1'!U2*Main!$B$5)+(_xlfn.IFNA(VLOOKUP($A2,'FL Ratio'!$A$3:$B$10,2,FALSE),0)*'FL Characterization'!U$2)</f>
        <v>46.148370594704474</v>
      </c>
      <c r="V2" s="2">
        <f>('[1]Pc, Winter, S1'!V2*Main!$B$5)+(_xlfn.IFNA(VLOOKUP($A2,'FL Ratio'!$A$3:$B$10,2,FALSE),0)*'FL Characterization'!V$2)</f>
        <v>45.354738044067126</v>
      </c>
      <c r="W2" s="2">
        <f>('[1]Pc, Winter, S1'!W2*Main!$B$5)+(_xlfn.IFNA(VLOOKUP($A2,'FL Ratio'!$A$3:$B$10,2,FALSE),0)*'FL Characterization'!W$2)</f>
        <v>42.50958866329168</v>
      </c>
      <c r="X2" s="2">
        <f>('[1]Pc, Winter, S1'!X2*Main!$B$5)+(_xlfn.IFNA(VLOOKUP($A2,'FL Ratio'!$A$3:$B$10,2,FALSE),0)*'FL Characterization'!X$2)</f>
        <v>37.187980856212398</v>
      </c>
      <c r="Y2" s="2">
        <f>('[1]Pc, Winter, S1'!Y2*Main!$B$5)+(_xlfn.IFNA(VLOOKUP($A2,'FL Ratio'!$A$3:$B$10,2,FALSE),0)*'FL Characterization'!Y$2)</f>
        <v>33.738938359752012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29.76324968988559</v>
      </c>
      <c r="C3" s="2">
        <f>('[1]Pc, Winter, S1'!C3*Main!$B$5)+(_xlfn.IFNA(VLOOKUP($A3,'FL Ratio'!$A$3:$B$10,2,FALSE),0)*'FL Characterization'!C$2)</f>
        <v>27.657544099606223</v>
      </c>
      <c r="D3" s="2">
        <f>('[1]Pc, Winter, S1'!D3*Main!$B$5)+(_xlfn.IFNA(VLOOKUP($A3,'FL Ratio'!$A$3:$B$10,2,FALSE),0)*'FL Characterization'!D$2)</f>
        <v>25.028767444509285</v>
      </c>
      <c r="E3" s="2">
        <f>('[1]Pc, Winter, S1'!E3*Main!$B$5)+(_xlfn.IFNA(VLOOKUP($A3,'FL Ratio'!$A$3:$B$10,2,FALSE),0)*'FL Characterization'!E$2)</f>
        <v>26.919876077213154</v>
      </c>
      <c r="F3" s="2">
        <f>('[1]Pc, Winter, S1'!F3*Main!$B$5)+(_xlfn.IFNA(VLOOKUP($A3,'FL Ratio'!$A$3:$B$10,2,FALSE),0)*'FL Characterization'!F$2)</f>
        <v>26.825990269573399</v>
      </c>
      <c r="G3" s="2">
        <f>('[1]Pc, Winter, S1'!G3*Main!$B$5)+(_xlfn.IFNA(VLOOKUP($A3,'FL Ratio'!$A$3:$B$10,2,FALSE),0)*'FL Characterization'!G$2)</f>
        <v>27.966015337219151</v>
      </c>
      <c r="H3" s="2">
        <f>('[1]Pc, Winter, S1'!H3*Main!$B$5)+(_xlfn.IFNA(VLOOKUP($A3,'FL Ratio'!$A$3:$B$10,2,FALSE),0)*'FL Characterization'!H$2)</f>
        <v>41.619597352981572</v>
      </c>
      <c r="I3" s="2">
        <f>('[1]Pc, Winter, S1'!I3*Main!$B$5)+(_xlfn.IFNA(VLOOKUP($A3,'FL Ratio'!$A$3:$B$10,2,FALSE),0)*'FL Characterization'!I$2)</f>
        <v>46.354088237451926</v>
      </c>
      <c r="J3" s="2">
        <f>('[1]Pc, Winter, S1'!J3*Main!$B$5)+(_xlfn.IFNA(VLOOKUP($A3,'FL Ratio'!$A$3:$B$10,2,FALSE),0)*'FL Characterization'!J$2)</f>
        <v>50.820331502409786</v>
      </c>
      <c r="K3" s="2">
        <f>('[1]Pc, Winter, S1'!K3*Main!$B$5)+(_xlfn.IFNA(VLOOKUP($A3,'FL Ratio'!$A$3:$B$10,2,FALSE),0)*'FL Characterization'!K$2)</f>
        <v>50.847153963749136</v>
      </c>
      <c r="L3" s="2">
        <f>('[1]Pc, Winter, S1'!L3*Main!$B$5)+(_xlfn.IFNA(VLOOKUP($A3,'FL Ratio'!$A$3:$B$10,2,FALSE),0)*'FL Characterization'!L$2)</f>
        <v>48.030605689596868</v>
      </c>
      <c r="M3" s="2">
        <f>('[1]Pc, Winter, S1'!M3*Main!$B$5)+(_xlfn.IFNA(VLOOKUP($A3,'FL Ratio'!$A$3:$B$10,2,FALSE),0)*'FL Characterization'!M$2)</f>
        <v>52.550502504999997</v>
      </c>
      <c r="N3" s="2">
        <f>('[1]Pc, Winter, S1'!N3*Main!$B$5)+(_xlfn.IFNA(VLOOKUP($A3,'FL Ratio'!$A$3:$B$10,2,FALSE),0)*'FL Characterization'!N$2)</f>
        <v>49.559595292379939</v>
      </c>
      <c r="O3" s="2">
        <f>('[1]Pc, Winter, S1'!O3*Main!$B$5)+(_xlfn.IFNA(VLOOKUP($A3,'FL Ratio'!$A$3:$B$10,2,FALSE),0)*'FL Characterization'!O$2)</f>
        <v>46.394326249007989</v>
      </c>
      <c r="P3" s="2">
        <f>('[1]Pc, Winter, S1'!P3*Main!$B$5)+(_xlfn.IFNA(VLOOKUP($A3,'FL Ratio'!$A$3:$B$10,2,FALSE),0)*'FL Characterization'!P$2)</f>
        <v>44.986050673341445</v>
      </c>
      <c r="Q3" s="2">
        <f>('[1]Pc, Winter, S1'!Q3*Main!$B$5)+(_xlfn.IFNA(VLOOKUP($A3,'FL Ratio'!$A$3:$B$10,2,FALSE),0)*'FL Characterization'!Q$2)</f>
        <v>42.035375706588383</v>
      </c>
      <c r="R3" s="2">
        <f>('[1]Pc, Winter, S1'!R3*Main!$B$5)+(_xlfn.IFNA(VLOOKUP($A3,'FL Ratio'!$A$3:$B$10,2,FALSE),0)*'FL Characterization'!R$2)</f>
        <v>42.062201045108537</v>
      </c>
      <c r="S3" s="2">
        <f>('[1]Pc, Winter, S1'!S3*Main!$B$5)+(_xlfn.IFNA(VLOOKUP($A3,'FL Ratio'!$A$3:$B$10,2,FALSE),0)*'FL Characterization'!S$2)</f>
        <v>44.530040073867653</v>
      </c>
      <c r="T3" s="2">
        <f>('[1]Pc, Winter, S1'!T3*Main!$B$5)+(_xlfn.IFNA(VLOOKUP($A3,'FL Ratio'!$A$3:$B$10,2,FALSE),0)*'FL Characterization'!T$2)</f>
        <v>44.530040073867653</v>
      </c>
      <c r="U3" s="2">
        <f>('[1]Pc, Winter, S1'!U3*Main!$B$5)+(_xlfn.IFNA(VLOOKUP($A3,'FL Ratio'!$A$3:$B$10,2,FALSE),0)*'FL Characterization'!U$2)</f>
        <v>45.200638984271244</v>
      </c>
      <c r="V3" s="2">
        <f>('[1]Pc, Winter, S1'!V3*Main!$B$5)+(_xlfn.IFNA(VLOOKUP($A3,'FL Ratio'!$A$3:$B$10,2,FALSE),0)*'FL Characterization'!V$2)</f>
        <v>43.98013213915177</v>
      </c>
      <c r="W3" s="2">
        <f>('[1]Pc, Winter, S1'!W3*Main!$B$5)+(_xlfn.IFNA(VLOOKUP($A3,'FL Ratio'!$A$3:$B$10,2,FALSE),0)*'FL Characterization'!W$2)</f>
        <v>39.741889865711279</v>
      </c>
      <c r="X3" s="2">
        <f>('[1]Pc, Winter, S1'!X3*Main!$B$5)+(_xlfn.IFNA(VLOOKUP($A3,'FL Ratio'!$A$3:$B$10,2,FALSE),0)*'FL Characterization'!X$2)</f>
        <v>33.612541829196047</v>
      </c>
      <c r="Y3" s="2">
        <f>('[1]Pc, Winter, S1'!Y3*Main!$B$5)+(_xlfn.IFNA(VLOOKUP($A3,'FL Ratio'!$A$3:$B$10,2,FALSE),0)*'FL Characterization'!Y$2)</f>
        <v>32.526153045134969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43.26159534025922</v>
      </c>
      <c r="C4" s="2">
        <f>('[1]Pc, Winter, S1'!C4*Main!$B$5)+(_xlfn.IFNA(VLOOKUP($A4,'FL Ratio'!$A$3:$B$10,2,FALSE),0)*'FL Characterization'!C$2)</f>
        <v>38.064352057627367</v>
      </c>
      <c r="D4" s="2">
        <f>('[1]Pc, Winter, S1'!D4*Main!$B$5)+(_xlfn.IFNA(VLOOKUP($A4,'FL Ratio'!$A$3:$B$10,2,FALSE),0)*'FL Characterization'!D$2)</f>
        <v>35.83582840872694</v>
      </c>
      <c r="E4" s="2">
        <f>('[1]Pc, Winter, S1'!E4*Main!$B$5)+(_xlfn.IFNA(VLOOKUP($A4,'FL Ratio'!$A$3:$B$10,2,FALSE),0)*'FL Characterization'!E$2)</f>
        <v>35.410261042556982</v>
      </c>
      <c r="F4" s="2">
        <f>('[1]Pc, Winter, S1'!F4*Main!$B$5)+(_xlfn.IFNA(VLOOKUP($A4,'FL Ratio'!$A$3:$B$10,2,FALSE),0)*'FL Characterization'!F$2)</f>
        <v>37.064044627135246</v>
      </c>
      <c r="G4" s="2">
        <f>('[1]Pc, Winter, S1'!G4*Main!$B$5)+(_xlfn.IFNA(VLOOKUP($A4,'FL Ratio'!$A$3:$B$10,2,FALSE),0)*'FL Characterization'!G$2)</f>
        <v>40.018187992293527</v>
      </c>
      <c r="H4" s="2">
        <f>('[1]Pc, Winter, S1'!H4*Main!$B$5)+(_xlfn.IFNA(VLOOKUP($A4,'FL Ratio'!$A$3:$B$10,2,FALSE),0)*'FL Characterization'!H$2)</f>
        <v>48.28894516870875</v>
      </c>
      <c r="I4" s="2">
        <f>('[1]Pc, Winter, S1'!I4*Main!$B$5)+(_xlfn.IFNA(VLOOKUP($A4,'FL Ratio'!$A$3:$B$10,2,FALSE),0)*'FL Characterization'!I$2)</f>
        <v>53.983930879787714</v>
      </c>
      <c r="J4" s="2">
        <f>('[1]Pc, Winter, S1'!J4*Main!$B$5)+(_xlfn.IFNA(VLOOKUP($A4,'FL Ratio'!$A$3:$B$10,2,FALSE),0)*'FL Characterization'!J$2)</f>
        <v>57.137081216324546</v>
      </c>
      <c r="K4" s="2">
        <f>('[1]Pc, Winter, S1'!K4*Main!$B$5)+(_xlfn.IFNA(VLOOKUP($A4,'FL Ratio'!$A$3:$B$10,2,FALSE),0)*'FL Characterization'!K$2)</f>
        <v>59.08083754749827</v>
      </c>
      <c r="L4" s="2">
        <f>('[1]Pc, Winter, S1'!L4*Main!$B$5)+(_xlfn.IFNA(VLOOKUP($A4,'FL Ratio'!$A$3:$B$10,2,FALSE),0)*'FL Characterization'!L$2)</f>
        <v>59.621400859658515</v>
      </c>
      <c r="M4" s="2">
        <f>('[1]Pc, Winter, S1'!M4*Main!$B$5)+(_xlfn.IFNA(VLOOKUP($A4,'FL Ratio'!$A$3:$B$10,2,FALSE),0)*'FL Characterization'!M$2)</f>
        <v>58.99952847847225</v>
      </c>
      <c r="N4" s="2">
        <f>('[1]Pc, Winter, S1'!N4*Main!$B$5)+(_xlfn.IFNA(VLOOKUP($A4,'FL Ratio'!$A$3:$B$10,2,FALSE),0)*'FL Characterization'!N$2)</f>
        <v>58.66475288969626</v>
      </c>
      <c r="O4" s="2">
        <f>('[1]Pc, Winter, S1'!O4*Main!$B$5)+(_xlfn.IFNA(VLOOKUP($A4,'FL Ratio'!$A$3:$B$10,2,FALSE),0)*'FL Characterization'!O$2)</f>
        <v>57.454968319553338</v>
      </c>
      <c r="P4" s="2">
        <f>('[1]Pc, Winter, S1'!P4*Main!$B$5)+(_xlfn.IFNA(VLOOKUP($A4,'FL Ratio'!$A$3:$B$10,2,FALSE),0)*'FL Characterization'!P$2)</f>
        <v>55.626075286911231</v>
      </c>
      <c r="Q4" s="2">
        <f>('[1]Pc, Winter, S1'!Q4*Main!$B$5)+(_xlfn.IFNA(VLOOKUP($A4,'FL Ratio'!$A$3:$B$10,2,FALSE),0)*'FL Characterization'!Q$2)</f>
        <v>54.618873212662265</v>
      </c>
      <c r="R4" s="2">
        <f>('[1]Pc, Winter, S1'!R4*Main!$B$5)+(_xlfn.IFNA(VLOOKUP($A4,'FL Ratio'!$A$3:$B$10,2,FALSE),0)*'FL Characterization'!R$2)</f>
        <v>56.568731676409513</v>
      </c>
      <c r="S4" s="2">
        <f>('[1]Pc, Winter, S1'!S4*Main!$B$5)+(_xlfn.IFNA(VLOOKUP($A4,'FL Ratio'!$A$3:$B$10,2,FALSE),0)*'FL Characterization'!S$2)</f>
        <v>64.043817371414022</v>
      </c>
      <c r="T4" s="2">
        <f>('[1]Pc, Winter, S1'!T4*Main!$B$5)+(_xlfn.IFNA(VLOOKUP($A4,'FL Ratio'!$A$3:$B$10,2,FALSE),0)*'FL Characterization'!T$2)</f>
        <v>65.300302993053364</v>
      </c>
      <c r="U4" s="2">
        <f>('[1]Pc, Winter, S1'!U4*Main!$B$5)+(_xlfn.IFNA(VLOOKUP($A4,'FL Ratio'!$A$3:$B$10,2,FALSE),0)*'FL Characterization'!U$2)</f>
        <v>65.688128131249996</v>
      </c>
      <c r="V4" s="2">
        <f>('[1]Pc, Winter, S1'!V4*Main!$B$5)+(_xlfn.IFNA(VLOOKUP($A4,'FL Ratio'!$A$3:$B$10,2,FALSE),0)*'FL Characterization'!V$2)</f>
        <v>63.734764324105413</v>
      </c>
      <c r="W4" s="2">
        <f>('[1]Pc, Winter, S1'!W4*Main!$B$5)+(_xlfn.IFNA(VLOOKUP($A4,'FL Ratio'!$A$3:$B$10,2,FALSE),0)*'FL Characterization'!W$2)</f>
        <v>60.82134264345919</v>
      </c>
      <c r="X4" s="2">
        <f>('[1]Pc, Winter, S1'!X4*Main!$B$5)+(_xlfn.IFNA(VLOOKUP($A4,'FL Ratio'!$A$3:$B$10,2,FALSE),0)*'FL Characterization'!X$2)</f>
        <v>55.460164161165352</v>
      </c>
      <c r="Y4" s="2">
        <f>('[1]Pc, Winter, S1'!Y4*Main!$B$5)+(_xlfn.IFNA(VLOOKUP($A4,'FL Ratio'!$A$3:$B$10,2,FALSE),0)*'FL Characterization'!Y$2)</f>
        <v>49.021620142908979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30.101673928974957</v>
      </c>
      <c r="C2" s="2">
        <f>('[1]Pc, Winter, S1'!C2*Main!$B$5)+(_xlfn.IFNA(VLOOKUP($A2,'FL Ratio'!$A$3:$B$10,2,FALSE),0)*'FL Characterization'!C$2)</f>
        <v>28.077285002903576</v>
      </c>
      <c r="D2" s="2">
        <f>('[1]Pc, Winter, S1'!D2*Main!$B$5)+(_xlfn.IFNA(VLOOKUP($A2,'FL Ratio'!$A$3:$B$10,2,FALSE),0)*'FL Characterization'!D$2)</f>
        <v>26.604090393960089</v>
      </c>
      <c r="E2" s="2">
        <f>('[1]Pc, Winter, S1'!E2*Main!$B$5)+(_xlfn.IFNA(VLOOKUP($A2,'FL Ratio'!$A$3:$B$10,2,FALSE),0)*'FL Characterization'!E$2)</f>
        <v>26.41585164871999</v>
      </c>
      <c r="F2" s="2">
        <f>('[1]Pc, Winter, S1'!F2*Main!$B$5)+(_xlfn.IFNA(VLOOKUP($A2,'FL Ratio'!$A$3:$B$10,2,FALSE),0)*'FL Characterization'!F$2)</f>
        <v>26.734486794958809</v>
      </c>
      <c r="G2" s="2">
        <f>('[1]Pc, Winter, S1'!G2*Main!$B$5)+(_xlfn.IFNA(VLOOKUP($A2,'FL Ratio'!$A$3:$B$10,2,FALSE),0)*'FL Characterization'!G$2)</f>
        <v>29.386973361261944</v>
      </c>
      <c r="H2" s="2">
        <f>('[1]Pc, Winter, S1'!H2*Main!$B$5)+(_xlfn.IFNA(VLOOKUP($A2,'FL Ratio'!$A$3:$B$10,2,FALSE),0)*'FL Characterization'!H$2)</f>
        <v>35.065820883172997</v>
      </c>
      <c r="I2" s="2">
        <f>('[1]Pc, Winter, S1'!I2*Main!$B$5)+(_xlfn.IFNA(VLOOKUP($A2,'FL Ratio'!$A$3:$B$10,2,FALSE),0)*'FL Characterization'!I$2)</f>
        <v>42.208557550580629</v>
      </c>
      <c r="J2" s="2">
        <f>('[1]Pc, Winter, S1'!J2*Main!$B$5)+(_xlfn.IFNA(VLOOKUP($A2,'FL Ratio'!$A$3:$B$10,2,FALSE),0)*'FL Characterization'!J$2)</f>
        <v>45.953649823943458</v>
      </c>
      <c r="K2" s="2">
        <f>('[1]Pc, Winter, S1'!K2*Main!$B$5)+(_xlfn.IFNA(VLOOKUP($A2,'FL Ratio'!$A$3:$B$10,2,FALSE),0)*'FL Characterization'!K$2)</f>
        <v>46.526684012183324</v>
      </c>
      <c r="L2" s="2">
        <f>('[1]Pc, Winter, S1'!L2*Main!$B$5)+(_xlfn.IFNA(VLOOKUP($A2,'FL Ratio'!$A$3:$B$10,2,FALSE),0)*'FL Characterization'!L$2)</f>
        <v>45.271084710026273</v>
      </c>
      <c r="M2" s="2">
        <f>('[1]Pc, Winter, S1'!M2*Main!$B$5)+(_xlfn.IFNA(VLOOKUP($A2,'FL Ratio'!$A$3:$B$10,2,FALSE),0)*'FL Characterization'!M$2)</f>
        <v>45.504417931544737</v>
      </c>
      <c r="N2" s="2">
        <f>('[1]Pc, Winter, S1'!N2*Main!$B$5)+(_xlfn.IFNA(VLOOKUP($A2,'FL Ratio'!$A$3:$B$10,2,FALSE),0)*'FL Characterization'!N$2)</f>
        <v>45.467023675850221</v>
      </c>
      <c r="O2" s="2">
        <f>('[1]Pc, Winter, S1'!O2*Main!$B$5)+(_xlfn.IFNA(VLOOKUP($A2,'FL Ratio'!$A$3:$B$10,2,FALSE),0)*'FL Characterization'!O$2)</f>
        <v>44.724571531893574</v>
      </c>
      <c r="P2" s="2">
        <f>('[1]Pc, Winter, S1'!P2*Main!$B$5)+(_xlfn.IFNA(VLOOKUP($A2,'FL Ratio'!$A$3:$B$10,2,FALSE),0)*'FL Characterization'!P$2)</f>
        <v>42.175738184102855</v>
      </c>
      <c r="Q2" s="2">
        <f>('[1]Pc, Winter, S1'!Q2*Main!$B$5)+(_xlfn.IFNA(VLOOKUP($A2,'FL Ratio'!$A$3:$B$10,2,FALSE),0)*'FL Characterization'!Q$2)</f>
        <v>40.967387703409202</v>
      </c>
      <c r="R2" s="2">
        <f>('[1]Pc, Winter, S1'!R2*Main!$B$5)+(_xlfn.IFNA(VLOOKUP($A2,'FL Ratio'!$A$3:$B$10,2,FALSE),0)*'FL Characterization'!R$2)</f>
        <v>42.665449835738286</v>
      </c>
      <c r="S2" s="2">
        <f>('[1]Pc, Winter, S1'!S2*Main!$B$5)+(_xlfn.IFNA(VLOOKUP($A2,'FL Ratio'!$A$3:$B$10,2,FALSE),0)*'FL Characterization'!S$2)</f>
        <v>47.295452254499999</v>
      </c>
      <c r="T2" s="2">
        <f>('[1]Pc, Winter, S1'!T2*Main!$B$5)+(_xlfn.IFNA(VLOOKUP($A2,'FL Ratio'!$A$3:$B$10,2,FALSE),0)*'FL Characterization'!T$2)</f>
        <v>47.124006988088396</v>
      </c>
      <c r="U2" s="2">
        <f>('[1]Pc, Winter, S1'!U2*Main!$B$5)+(_xlfn.IFNA(VLOOKUP($A2,'FL Ratio'!$A$3:$B$10,2,FALSE),0)*'FL Characterization'!U$2)</f>
        <v>46.148370594704474</v>
      </c>
      <c r="V2" s="2">
        <f>('[1]Pc, Winter, S1'!V2*Main!$B$5)+(_xlfn.IFNA(VLOOKUP($A2,'FL Ratio'!$A$3:$B$10,2,FALSE),0)*'FL Characterization'!V$2)</f>
        <v>45.354738044067126</v>
      </c>
      <c r="W2" s="2">
        <f>('[1]Pc, Winter, S1'!W2*Main!$B$5)+(_xlfn.IFNA(VLOOKUP($A2,'FL Ratio'!$A$3:$B$10,2,FALSE),0)*'FL Characterization'!W$2)</f>
        <v>42.50958866329168</v>
      </c>
      <c r="X2" s="2">
        <f>('[1]Pc, Winter, S1'!X2*Main!$B$5)+(_xlfn.IFNA(VLOOKUP($A2,'FL Ratio'!$A$3:$B$10,2,FALSE),0)*'FL Characterization'!X$2)</f>
        <v>37.187980856212398</v>
      </c>
      <c r="Y2" s="2">
        <f>('[1]Pc, Winter, S1'!Y2*Main!$B$5)+(_xlfn.IFNA(VLOOKUP($A2,'FL Ratio'!$A$3:$B$10,2,FALSE),0)*'FL Characterization'!Y$2)</f>
        <v>33.738938359752012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29.76324968988559</v>
      </c>
      <c r="C3" s="2">
        <f>('[1]Pc, Winter, S1'!C3*Main!$B$5)+(_xlfn.IFNA(VLOOKUP($A3,'FL Ratio'!$A$3:$B$10,2,FALSE),0)*'FL Characterization'!C$2)</f>
        <v>27.657544099606223</v>
      </c>
      <c r="D3" s="2">
        <f>('[1]Pc, Winter, S1'!D3*Main!$B$5)+(_xlfn.IFNA(VLOOKUP($A3,'FL Ratio'!$A$3:$B$10,2,FALSE),0)*'FL Characterization'!D$2)</f>
        <v>25.028767444509285</v>
      </c>
      <c r="E3" s="2">
        <f>('[1]Pc, Winter, S1'!E3*Main!$B$5)+(_xlfn.IFNA(VLOOKUP($A3,'FL Ratio'!$A$3:$B$10,2,FALSE),0)*'FL Characterization'!E$2)</f>
        <v>26.919876077213154</v>
      </c>
      <c r="F3" s="2">
        <f>('[1]Pc, Winter, S1'!F3*Main!$B$5)+(_xlfn.IFNA(VLOOKUP($A3,'FL Ratio'!$A$3:$B$10,2,FALSE),0)*'FL Characterization'!F$2)</f>
        <v>26.825990269573399</v>
      </c>
      <c r="G3" s="2">
        <f>('[1]Pc, Winter, S1'!G3*Main!$B$5)+(_xlfn.IFNA(VLOOKUP($A3,'FL Ratio'!$A$3:$B$10,2,FALSE),0)*'FL Characterization'!G$2)</f>
        <v>27.966015337219151</v>
      </c>
      <c r="H3" s="2">
        <f>('[1]Pc, Winter, S1'!H3*Main!$B$5)+(_xlfn.IFNA(VLOOKUP($A3,'FL Ratio'!$A$3:$B$10,2,FALSE),0)*'FL Characterization'!H$2)</f>
        <v>41.619597352981572</v>
      </c>
      <c r="I3" s="2">
        <f>('[1]Pc, Winter, S1'!I3*Main!$B$5)+(_xlfn.IFNA(VLOOKUP($A3,'FL Ratio'!$A$3:$B$10,2,FALSE),0)*'FL Characterization'!I$2)</f>
        <v>46.354088237451926</v>
      </c>
      <c r="J3" s="2">
        <f>('[1]Pc, Winter, S1'!J3*Main!$B$5)+(_xlfn.IFNA(VLOOKUP($A3,'FL Ratio'!$A$3:$B$10,2,FALSE),0)*'FL Characterization'!J$2)</f>
        <v>50.820331502409786</v>
      </c>
      <c r="K3" s="2">
        <f>('[1]Pc, Winter, S1'!K3*Main!$B$5)+(_xlfn.IFNA(VLOOKUP($A3,'FL Ratio'!$A$3:$B$10,2,FALSE),0)*'FL Characterization'!K$2)</f>
        <v>50.847153963749136</v>
      </c>
      <c r="L3" s="2">
        <f>('[1]Pc, Winter, S1'!L3*Main!$B$5)+(_xlfn.IFNA(VLOOKUP($A3,'FL Ratio'!$A$3:$B$10,2,FALSE),0)*'FL Characterization'!L$2)</f>
        <v>48.030605689596868</v>
      </c>
      <c r="M3" s="2">
        <f>('[1]Pc, Winter, S1'!M3*Main!$B$5)+(_xlfn.IFNA(VLOOKUP($A3,'FL Ratio'!$A$3:$B$10,2,FALSE),0)*'FL Characterization'!M$2)</f>
        <v>52.550502504999997</v>
      </c>
      <c r="N3" s="2">
        <f>('[1]Pc, Winter, S1'!N3*Main!$B$5)+(_xlfn.IFNA(VLOOKUP($A3,'FL Ratio'!$A$3:$B$10,2,FALSE),0)*'FL Characterization'!N$2)</f>
        <v>49.559595292379939</v>
      </c>
      <c r="O3" s="2">
        <f>('[1]Pc, Winter, S1'!O3*Main!$B$5)+(_xlfn.IFNA(VLOOKUP($A3,'FL Ratio'!$A$3:$B$10,2,FALSE),0)*'FL Characterization'!O$2)</f>
        <v>46.394326249007989</v>
      </c>
      <c r="P3" s="2">
        <f>('[1]Pc, Winter, S1'!P3*Main!$B$5)+(_xlfn.IFNA(VLOOKUP($A3,'FL Ratio'!$A$3:$B$10,2,FALSE),0)*'FL Characterization'!P$2)</f>
        <v>44.986050673341445</v>
      </c>
      <c r="Q3" s="2">
        <f>('[1]Pc, Winter, S1'!Q3*Main!$B$5)+(_xlfn.IFNA(VLOOKUP($A3,'FL Ratio'!$A$3:$B$10,2,FALSE),0)*'FL Characterization'!Q$2)</f>
        <v>42.035375706588383</v>
      </c>
      <c r="R3" s="2">
        <f>('[1]Pc, Winter, S1'!R3*Main!$B$5)+(_xlfn.IFNA(VLOOKUP($A3,'FL Ratio'!$A$3:$B$10,2,FALSE),0)*'FL Characterization'!R$2)</f>
        <v>42.062201045108537</v>
      </c>
      <c r="S3" s="2">
        <f>('[1]Pc, Winter, S1'!S3*Main!$B$5)+(_xlfn.IFNA(VLOOKUP($A3,'FL Ratio'!$A$3:$B$10,2,FALSE),0)*'FL Characterization'!S$2)</f>
        <v>44.530040073867653</v>
      </c>
      <c r="T3" s="2">
        <f>('[1]Pc, Winter, S1'!T3*Main!$B$5)+(_xlfn.IFNA(VLOOKUP($A3,'FL Ratio'!$A$3:$B$10,2,FALSE),0)*'FL Characterization'!T$2)</f>
        <v>44.530040073867653</v>
      </c>
      <c r="U3" s="2">
        <f>('[1]Pc, Winter, S1'!U3*Main!$B$5)+(_xlfn.IFNA(VLOOKUP($A3,'FL Ratio'!$A$3:$B$10,2,FALSE),0)*'FL Characterization'!U$2)</f>
        <v>45.200638984271244</v>
      </c>
      <c r="V3" s="2">
        <f>('[1]Pc, Winter, S1'!V3*Main!$B$5)+(_xlfn.IFNA(VLOOKUP($A3,'FL Ratio'!$A$3:$B$10,2,FALSE),0)*'FL Characterization'!V$2)</f>
        <v>43.98013213915177</v>
      </c>
      <c r="W3" s="2">
        <f>('[1]Pc, Winter, S1'!W3*Main!$B$5)+(_xlfn.IFNA(VLOOKUP($A3,'FL Ratio'!$A$3:$B$10,2,FALSE),0)*'FL Characterization'!W$2)</f>
        <v>39.741889865711279</v>
      </c>
      <c r="X3" s="2">
        <f>('[1]Pc, Winter, S1'!X3*Main!$B$5)+(_xlfn.IFNA(VLOOKUP($A3,'FL Ratio'!$A$3:$B$10,2,FALSE),0)*'FL Characterization'!X$2)</f>
        <v>33.612541829196047</v>
      </c>
      <c r="Y3" s="2">
        <f>('[1]Pc, Winter, S1'!Y3*Main!$B$5)+(_xlfn.IFNA(VLOOKUP($A3,'FL Ratio'!$A$3:$B$10,2,FALSE),0)*'FL Characterization'!Y$2)</f>
        <v>32.526153045134969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43.26159534025922</v>
      </c>
      <c r="C4" s="2">
        <f>('[1]Pc, Winter, S1'!C4*Main!$B$5)+(_xlfn.IFNA(VLOOKUP($A4,'FL Ratio'!$A$3:$B$10,2,FALSE),0)*'FL Characterization'!C$2)</f>
        <v>38.064352057627367</v>
      </c>
      <c r="D4" s="2">
        <f>('[1]Pc, Winter, S1'!D4*Main!$B$5)+(_xlfn.IFNA(VLOOKUP($A4,'FL Ratio'!$A$3:$B$10,2,FALSE),0)*'FL Characterization'!D$2)</f>
        <v>35.83582840872694</v>
      </c>
      <c r="E4" s="2">
        <f>('[1]Pc, Winter, S1'!E4*Main!$B$5)+(_xlfn.IFNA(VLOOKUP($A4,'FL Ratio'!$A$3:$B$10,2,FALSE),0)*'FL Characterization'!E$2)</f>
        <v>35.410261042556982</v>
      </c>
      <c r="F4" s="2">
        <f>('[1]Pc, Winter, S1'!F4*Main!$B$5)+(_xlfn.IFNA(VLOOKUP($A4,'FL Ratio'!$A$3:$B$10,2,FALSE),0)*'FL Characterization'!F$2)</f>
        <v>37.064044627135246</v>
      </c>
      <c r="G4" s="2">
        <f>('[1]Pc, Winter, S1'!G4*Main!$B$5)+(_xlfn.IFNA(VLOOKUP($A4,'FL Ratio'!$A$3:$B$10,2,FALSE),0)*'FL Characterization'!G$2)</f>
        <v>40.018187992293527</v>
      </c>
      <c r="H4" s="2">
        <f>('[1]Pc, Winter, S1'!H4*Main!$B$5)+(_xlfn.IFNA(VLOOKUP($A4,'FL Ratio'!$A$3:$B$10,2,FALSE),0)*'FL Characterization'!H$2)</f>
        <v>48.28894516870875</v>
      </c>
      <c r="I4" s="2">
        <f>('[1]Pc, Winter, S1'!I4*Main!$B$5)+(_xlfn.IFNA(VLOOKUP($A4,'FL Ratio'!$A$3:$B$10,2,FALSE),0)*'FL Characterization'!I$2)</f>
        <v>53.983930879787714</v>
      </c>
      <c r="J4" s="2">
        <f>('[1]Pc, Winter, S1'!J4*Main!$B$5)+(_xlfn.IFNA(VLOOKUP($A4,'FL Ratio'!$A$3:$B$10,2,FALSE),0)*'FL Characterization'!J$2)</f>
        <v>57.137081216324546</v>
      </c>
      <c r="K4" s="2">
        <f>('[1]Pc, Winter, S1'!K4*Main!$B$5)+(_xlfn.IFNA(VLOOKUP($A4,'FL Ratio'!$A$3:$B$10,2,FALSE),0)*'FL Characterization'!K$2)</f>
        <v>59.08083754749827</v>
      </c>
      <c r="L4" s="2">
        <f>('[1]Pc, Winter, S1'!L4*Main!$B$5)+(_xlfn.IFNA(VLOOKUP($A4,'FL Ratio'!$A$3:$B$10,2,FALSE),0)*'FL Characterization'!L$2)</f>
        <v>59.621400859658515</v>
      </c>
      <c r="M4" s="2">
        <f>('[1]Pc, Winter, S1'!M4*Main!$B$5)+(_xlfn.IFNA(VLOOKUP($A4,'FL Ratio'!$A$3:$B$10,2,FALSE),0)*'FL Characterization'!M$2)</f>
        <v>58.99952847847225</v>
      </c>
      <c r="N4" s="2">
        <f>('[1]Pc, Winter, S1'!N4*Main!$B$5)+(_xlfn.IFNA(VLOOKUP($A4,'FL Ratio'!$A$3:$B$10,2,FALSE),0)*'FL Characterization'!N$2)</f>
        <v>58.66475288969626</v>
      </c>
      <c r="O4" s="2">
        <f>('[1]Pc, Winter, S1'!O4*Main!$B$5)+(_xlfn.IFNA(VLOOKUP($A4,'FL Ratio'!$A$3:$B$10,2,FALSE),0)*'FL Characterization'!O$2)</f>
        <v>57.454968319553338</v>
      </c>
      <c r="P4" s="2">
        <f>('[1]Pc, Winter, S1'!P4*Main!$B$5)+(_xlfn.IFNA(VLOOKUP($A4,'FL Ratio'!$A$3:$B$10,2,FALSE),0)*'FL Characterization'!P$2)</f>
        <v>55.626075286911231</v>
      </c>
      <c r="Q4" s="2">
        <f>('[1]Pc, Winter, S1'!Q4*Main!$B$5)+(_xlfn.IFNA(VLOOKUP($A4,'FL Ratio'!$A$3:$B$10,2,FALSE),0)*'FL Characterization'!Q$2)</f>
        <v>54.618873212662265</v>
      </c>
      <c r="R4" s="2">
        <f>('[1]Pc, Winter, S1'!R4*Main!$B$5)+(_xlfn.IFNA(VLOOKUP($A4,'FL Ratio'!$A$3:$B$10,2,FALSE),0)*'FL Characterization'!R$2)</f>
        <v>56.568731676409513</v>
      </c>
      <c r="S4" s="2">
        <f>('[1]Pc, Winter, S1'!S4*Main!$B$5)+(_xlfn.IFNA(VLOOKUP($A4,'FL Ratio'!$A$3:$B$10,2,FALSE),0)*'FL Characterization'!S$2)</f>
        <v>64.043817371414022</v>
      </c>
      <c r="T4" s="2">
        <f>('[1]Pc, Winter, S1'!T4*Main!$B$5)+(_xlfn.IFNA(VLOOKUP($A4,'FL Ratio'!$A$3:$B$10,2,FALSE),0)*'FL Characterization'!T$2)</f>
        <v>65.300302993053364</v>
      </c>
      <c r="U4" s="2">
        <f>('[1]Pc, Winter, S1'!U4*Main!$B$5)+(_xlfn.IFNA(VLOOKUP($A4,'FL Ratio'!$A$3:$B$10,2,FALSE),0)*'FL Characterization'!U$2)</f>
        <v>65.688128131249996</v>
      </c>
      <c r="V4" s="2">
        <f>('[1]Pc, Winter, S1'!V4*Main!$B$5)+(_xlfn.IFNA(VLOOKUP($A4,'FL Ratio'!$A$3:$B$10,2,FALSE),0)*'FL Characterization'!V$2)</f>
        <v>63.734764324105413</v>
      </c>
      <c r="W4" s="2">
        <f>('[1]Pc, Winter, S1'!W4*Main!$B$5)+(_xlfn.IFNA(VLOOKUP($A4,'FL Ratio'!$A$3:$B$10,2,FALSE),0)*'FL Characterization'!W$2)</f>
        <v>60.82134264345919</v>
      </c>
      <c r="X4" s="2">
        <f>('[1]Pc, Winter, S1'!X4*Main!$B$5)+(_xlfn.IFNA(VLOOKUP($A4,'FL Ratio'!$A$3:$B$10,2,FALSE),0)*'FL Characterization'!X$2)</f>
        <v>55.460164161165352</v>
      </c>
      <c r="Y4" s="2">
        <f>('[1]Pc, Winter, S1'!Y4*Main!$B$5)+(_xlfn.IFNA(VLOOKUP($A4,'FL Ratio'!$A$3:$B$10,2,FALSE),0)*'FL Characterization'!Y$2)</f>
        <v>49.021620142908979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Ratio'!$A$3:$B$10,2,FALSE),0)*'FL Characterization'!B$2)</f>
        <v>30.101673928974957</v>
      </c>
      <c r="C2" s="2">
        <f>('[1]Pc, Winter, S1'!C2*Main!$B$5)+(_xlfn.IFNA(VLOOKUP($A2,'FL Ratio'!$A$3:$B$10,2,FALSE),0)*'FL Characterization'!C$2)</f>
        <v>28.077285002903576</v>
      </c>
      <c r="D2" s="2">
        <f>('[1]Pc, Winter, S1'!D2*Main!$B$5)+(_xlfn.IFNA(VLOOKUP($A2,'FL Ratio'!$A$3:$B$10,2,FALSE),0)*'FL Characterization'!D$2)</f>
        <v>26.604090393960089</v>
      </c>
      <c r="E2" s="2">
        <f>('[1]Pc, Winter, S1'!E2*Main!$B$5)+(_xlfn.IFNA(VLOOKUP($A2,'FL Ratio'!$A$3:$B$10,2,FALSE),0)*'FL Characterization'!E$2)</f>
        <v>26.41585164871999</v>
      </c>
      <c r="F2" s="2">
        <f>('[1]Pc, Winter, S1'!F2*Main!$B$5)+(_xlfn.IFNA(VLOOKUP($A2,'FL Ratio'!$A$3:$B$10,2,FALSE),0)*'FL Characterization'!F$2)</f>
        <v>26.734486794958809</v>
      </c>
      <c r="G2" s="2">
        <f>('[1]Pc, Winter, S1'!G2*Main!$B$5)+(_xlfn.IFNA(VLOOKUP($A2,'FL Ratio'!$A$3:$B$10,2,FALSE),0)*'FL Characterization'!G$2)</f>
        <v>29.386973361261944</v>
      </c>
      <c r="H2" s="2">
        <f>('[1]Pc, Winter, S1'!H2*Main!$B$5)+(_xlfn.IFNA(VLOOKUP($A2,'FL Ratio'!$A$3:$B$10,2,FALSE),0)*'FL Characterization'!H$2)</f>
        <v>35.065820883172997</v>
      </c>
      <c r="I2" s="2">
        <f>('[1]Pc, Winter, S1'!I2*Main!$B$5)+(_xlfn.IFNA(VLOOKUP($A2,'FL Ratio'!$A$3:$B$10,2,FALSE),0)*'FL Characterization'!I$2)</f>
        <v>42.208557550580629</v>
      </c>
      <c r="J2" s="2">
        <f>('[1]Pc, Winter, S1'!J2*Main!$B$5)+(_xlfn.IFNA(VLOOKUP($A2,'FL Ratio'!$A$3:$B$10,2,FALSE),0)*'FL Characterization'!J$2)</f>
        <v>45.953649823943458</v>
      </c>
      <c r="K2" s="2">
        <f>('[1]Pc, Winter, S1'!K2*Main!$B$5)+(_xlfn.IFNA(VLOOKUP($A2,'FL Ratio'!$A$3:$B$10,2,FALSE),0)*'FL Characterization'!K$2)</f>
        <v>46.526684012183324</v>
      </c>
      <c r="L2" s="2">
        <f>('[1]Pc, Winter, S1'!L2*Main!$B$5)+(_xlfn.IFNA(VLOOKUP($A2,'FL Ratio'!$A$3:$B$10,2,FALSE),0)*'FL Characterization'!L$2)</f>
        <v>45.271084710026273</v>
      </c>
      <c r="M2" s="2">
        <f>('[1]Pc, Winter, S1'!M2*Main!$B$5)+(_xlfn.IFNA(VLOOKUP($A2,'FL Ratio'!$A$3:$B$10,2,FALSE),0)*'FL Characterization'!M$2)</f>
        <v>45.504417931544737</v>
      </c>
      <c r="N2" s="2">
        <f>('[1]Pc, Winter, S1'!N2*Main!$B$5)+(_xlfn.IFNA(VLOOKUP($A2,'FL Ratio'!$A$3:$B$10,2,FALSE),0)*'FL Characterization'!N$2)</f>
        <v>45.467023675850221</v>
      </c>
      <c r="O2" s="2">
        <f>('[1]Pc, Winter, S1'!O2*Main!$B$5)+(_xlfn.IFNA(VLOOKUP($A2,'FL Ratio'!$A$3:$B$10,2,FALSE),0)*'FL Characterization'!O$2)</f>
        <v>44.724571531893574</v>
      </c>
      <c r="P2" s="2">
        <f>('[1]Pc, Winter, S1'!P2*Main!$B$5)+(_xlfn.IFNA(VLOOKUP($A2,'FL Ratio'!$A$3:$B$10,2,FALSE),0)*'FL Characterization'!P$2)</f>
        <v>42.175738184102855</v>
      </c>
      <c r="Q2" s="2">
        <f>('[1]Pc, Winter, S1'!Q2*Main!$B$5)+(_xlfn.IFNA(VLOOKUP($A2,'FL Ratio'!$A$3:$B$10,2,FALSE),0)*'FL Characterization'!Q$2)</f>
        <v>40.967387703409202</v>
      </c>
      <c r="R2" s="2">
        <f>('[1]Pc, Winter, S1'!R2*Main!$B$5)+(_xlfn.IFNA(VLOOKUP($A2,'FL Ratio'!$A$3:$B$10,2,FALSE),0)*'FL Characterization'!R$2)</f>
        <v>42.665449835738286</v>
      </c>
      <c r="S2" s="2">
        <f>('[1]Pc, Winter, S1'!S2*Main!$B$5)+(_xlfn.IFNA(VLOOKUP($A2,'FL Ratio'!$A$3:$B$10,2,FALSE),0)*'FL Characterization'!S$2)</f>
        <v>47.295452254499999</v>
      </c>
      <c r="T2" s="2">
        <f>('[1]Pc, Winter, S1'!T2*Main!$B$5)+(_xlfn.IFNA(VLOOKUP($A2,'FL Ratio'!$A$3:$B$10,2,FALSE),0)*'FL Characterization'!T$2)</f>
        <v>47.124006988088396</v>
      </c>
      <c r="U2" s="2">
        <f>('[1]Pc, Winter, S1'!U2*Main!$B$5)+(_xlfn.IFNA(VLOOKUP($A2,'FL Ratio'!$A$3:$B$10,2,FALSE),0)*'FL Characterization'!U$2)</f>
        <v>46.148370594704474</v>
      </c>
      <c r="V2" s="2">
        <f>('[1]Pc, Winter, S1'!V2*Main!$B$5)+(_xlfn.IFNA(VLOOKUP($A2,'FL Ratio'!$A$3:$B$10,2,FALSE),0)*'FL Characterization'!V$2)</f>
        <v>45.354738044067126</v>
      </c>
      <c r="W2" s="2">
        <f>('[1]Pc, Winter, S1'!W2*Main!$B$5)+(_xlfn.IFNA(VLOOKUP($A2,'FL Ratio'!$A$3:$B$10,2,FALSE),0)*'FL Characterization'!W$2)</f>
        <v>42.50958866329168</v>
      </c>
      <c r="X2" s="2">
        <f>('[1]Pc, Winter, S1'!X2*Main!$B$5)+(_xlfn.IFNA(VLOOKUP($A2,'FL Ratio'!$A$3:$B$10,2,FALSE),0)*'FL Characterization'!X$2)</f>
        <v>37.187980856212398</v>
      </c>
      <c r="Y2" s="2">
        <f>('[1]Pc, Winter, S1'!Y2*Main!$B$5)+(_xlfn.IFNA(VLOOKUP($A2,'FL Ratio'!$A$3:$B$10,2,FALSE),0)*'FL Characterization'!Y$2)</f>
        <v>33.738938359752012</v>
      </c>
    </row>
    <row r="3" spans="1:25" x14ac:dyDescent="0.3">
      <c r="A3">
        <v>2</v>
      </c>
      <c r="B3" s="2">
        <f>('[1]Pc, Winter, S1'!B3*Main!$B$5)+(_xlfn.IFNA(VLOOKUP($A3,'FL Ratio'!$A$3:$B$10,2,FALSE),0)*'FL Characterization'!B$2)</f>
        <v>29.76324968988559</v>
      </c>
      <c r="C3" s="2">
        <f>('[1]Pc, Winter, S1'!C3*Main!$B$5)+(_xlfn.IFNA(VLOOKUP($A3,'FL Ratio'!$A$3:$B$10,2,FALSE),0)*'FL Characterization'!C$2)</f>
        <v>27.657544099606223</v>
      </c>
      <c r="D3" s="2">
        <f>('[1]Pc, Winter, S1'!D3*Main!$B$5)+(_xlfn.IFNA(VLOOKUP($A3,'FL Ratio'!$A$3:$B$10,2,FALSE),0)*'FL Characterization'!D$2)</f>
        <v>25.028767444509285</v>
      </c>
      <c r="E3" s="2">
        <f>('[1]Pc, Winter, S1'!E3*Main!$B$5)+(_xlfn.IFNA(VLOOKUP($A3,'FL Ratio'!$A$3:$B$10,2,FALSE),0)*'FL Characterization'!E$2)</f>
        <v>26.919876077213154</v>
      </c>
      <c r="F3" s="2">
        <f>('[1]Pc, Winter, S1'!F3*Main!$B$5)+(_xlfn.IFNA(VLOOKUP($A3,'FL Ratio'!$A$3:$B$10,2,FALSE),0)*'FL Characterization'!F$2)</f>
        <v>26.825990269573399</v>
      </c>
      <c r="G3" s="2">
        <f>('[1]Pc, Winter, S1'!G3*Main!$B$5)+(_xlfn.IFNA(VLOOKUP($A3,'FL Ratio'!$A$3:$B$10,2,FALSE),0)*'FL Characterization'!G$2)</f>
        <v>27.966015337219151</v>
      </c>
      <c r="H3" s="2">
        <f>('[1]Pc, Winter, S1'!H3*Main!$B$5)+(_xlfn.IFNA(VLOOKUP($A3,'FL Ratio'!$A$3:$B$10,2,FALSE),0)*'FL Characterization'!H$2)</f>
        <v>41.619597352981572</v>
      </c>
      <c r="I3" s="2">
        <f>('[1]Pc, Winter, S1'!I3*Main!$B$5)+(_xlfn.IFNA(VLOOKUP($A3,'FL Ratio'!$A$3:$B$10,2,FALSE),0)*'FL Characterization'!I$2)</f>
        <v>46.354088237451926</v>
      </c>
      <c r="J3" s="2">
        <f>('[1]Pc, Winter, S1'!J3*Main!$B$5)+(_xlfn.IFNA(VLOOKUP($A3,'FL Ratio'!$A$3:$B$10,2,FALSE),0)*'FL Characterization'!J$2)</f>
        <v>50.820331502409786</v>
      </c>
      <c r="K3" s="2">
        <f>('[1]Pc, Winter, S1'!K3*Main!$B$5)+(_xlfn.IFNA(VLOOKUP($A3,'FL Ratio'!$A$3:$B$10,2,FALSE),0)*'FL Characterization'!K$2)</f>
        <v>50.847153963749136</v>
      </c>
      <c r="L3" s="2">
        <f>('[1]Pc, Winter, S1'!L3*Main!$B$5)+(_xlfn.IFNA(VLOOKUP($A3,'FL Ratio'!$A$3:$B$10,2,FALSE),0)*'FL Characterization'!L$2)</f>
        <v>48.030605689596868</v>
      </c>
      <c r="M3" s="2">
        <f>('[1]Pc, Winter, S1'!M3*Main!$B$5)+(_xlfn.IFNA(VLOOKUP($A3,'FL Ratio'!$A$3:$B$10,2,FALSE),0)*'FL Characterization'!M$2)</f>
        <v>52.550502504999997</v>
      </c>
      <c r="N3" s="2">
        <f>('[1]Pc, Winter, S1'!N3*Main!$B$5)+(_xlfn.IFNA(VLOOKUP($A3,'FL Ratio'!$A$3:$B$10,2,FALSE),0)*'FL Characterization'!N$2)</f>
        <v>49.559595292379939</v>
      </c>
      <c r="O3" s="2">
        <f>('[1]Pc, Winter, S1'!O3*Main!$B$5)+(_xlfn.IFNA(VLOOKUP($A3,'FL Ratio'!$A$3:$B$10,2,FALSE),0)*'FL Characterization'!O$2)</f>
        <v>46.394326249007989</v>
      </c>
      <c r="P3" s="2">
        <f>('[1]Pc, Winter, S1'!P3*Main!$B$5)+(_xlfn.IFNA(VLOOKUP($A3,'FL Ratio'!$A$3:$B$10,2,FALSE),0)*'FL Characterization'!P$2)</f>
        <v>44.986050673341445</v>
      </c>
      <c r="Q3" s="2">
        <f>('[1]Pc, Winter, S1'!Q3*Main!$B$5)+(_xlfn.IFNA(VLOOKUP($A3,'FL Ratio'!$A$3:$B$10,2,FALSE),0)*'FL Characterization'!Q$2)</f>
        <v>42.035375706588383</v>
      </c>
      <c r="R3" s="2">
        <f>('[1]Pc, Winter, S1'!R3*Main!$B$5)+(_xlfn.IFNA(VLOOKUP($A3,'FL Ratio'!$A$3:$B$10,2,FALSE),0)*'FL Characterization'!R$2)</f>
        <v>42.062201045108537</v>
      </c>
      <c r="S3" s="2">
        <f>('[1]Pc, Winter, S1'!S3*Main!$B$5)+(_xlfn.IFNA(VLOOKUP($A3,'FL Ratio'!$A$3:$B$10,2,FALSE),0)*'FL Characterization'!S$2)</f>
        <v>44.530040073867653</v>
      </c>
      <c r="T3" s="2">
        <f>('[1]Pc, Winter, S1'!T3*Main!$B$5)+(_xlfn.IFNA(VLOOKUP($A3,'FL Ratio'!$A$3:$B$10,2,FALSE),0)*'FL Characterization'!T$2)</f>
        <v>44.530040073867653</v>
      </c>
      <c r="U3" s="2">
        <f>('[1]Pc, Winter, S1'!U3*Main!$B$5)+(_xlfn.IFNA(VLOOKUP($A3,'FL Ratio'!$A$3:$B$10,2,FALSE),0)*'FL Characterization'!U$2)</f>
        <v>45.200638984271244</v>
      </c>
      <c r="V3" s="2">
        <f>('[1]Pc, Winter, S1'!V3*Main!$B$5)+(_xlfn.IFNA(VLOOKUP($A3,'FL Ratio'!$A$3:$B$10,2,FALSE),0)*'FL Characterization'!V$2)</f>
        <v>43.98013213915177</v>
      </c>
      <c r="W3" s="2">
        <f>('[1]Pc, Winter, S1'!W3*Main!$B$5)+(_xlfn.IFNA(VLOOKUP($A3,'FL Ratio'!$A$3:$B$10,2,FALSE),0)*'FL Characterization'!W$2)</f>
        <v>39.741889865711279</v>
      </c>
      <c r="X3" s="2">
        <f>('[1]Pc, Winter, S1'!X3*Main!$B$5)+(_xlfn.IFNA(VLOOKUP($A3,'FL Ratio'!$A$3:$B$10,2,FALSE),0)*'FL Characterization'!X$2)</f>
        <v>33.612541829196047</v>
      </c>
      <c r="Y3" s="2">
        <f>('[1]Pc, Winter, S1'!Y3*Main!$B$5)+(_xlfn.IFNA(VLOOKUP($A3,'FL Ratio'!$A$3:$B$10,2,FALSE),0)*'FL Characterization'!Y$2)</f>
        <v>32.526153045134969</v>
      </c>
    </row>
    <row r="4" spans="1:25" x14ac:dyDescent="0.3">
      <c r="A4">
        <v>3</v>
      </c>
      <c r="B4" s="2">
        <f>('[1]Pc, Winter, S1'!B4*Main!$B$5)+(_xlfn.IFNA(VLOOKUP($A4,'FL Ratio'!$A$3:$B$10,2,FALSE),0)*'FL Characterization'!B$2)</f>
        <v>43.26159534025922</v>
      </c>
      <c r="C4" s="2">
        <f>('[1]Pc, Winter, S1'!C4*Main!$B$5)+(_xlfn.IFNA(VLOOKUP($A4,'FL Ratio'!$A$3:$B$10,2,FALSE),0)*'FL Characterization'!C$2)</f>
        <v>38.064352057627367</v>
      </c>
      <c r="D4" s="2">
        <f>('[1]Pc, Winter, S1'!D4*Main!$B$5)+(_xlfn.IFNA(VLOOKUP($A4,'FL Ratio'!$A$3:$B$10,2,FALSE),0)*'FL Characterization'!D$2)</f>
        <v>35.83582840872694</v>
      </c>
      <c r="E4" s="2">
        <f>('[1]Pc, Winter, S1'!E4*Main!$B$5)+(_xlfn.IFNA(VLOOKUP($A4,'FL Ratio'!$A$3:$B$10,2,FALSE),0)*'FL Characterization'!E$2)</f>
        <v>35.410261042556982</v>
      </c>
      <c r="F4" s="2">
        <f>('[1]Pc, Winter, S1'!F4*Main!$B$5)+(_xlfn.IFNA(VLOOKUP($A4,'FL Ratio'!$A$3:$B$10,2,FALSE),0)*'FL Characterization'!F$2)</f>
        <v>37.064044627135246</v>
      </c>
      <c r="G4" s="2">
        <f>('[1]Pc, Winter, S1'!G4*Main!$B$5)+(_xlfn.IFNA(VLOOKUP($A4,'FL Ratio'!$A$3:$B$10,2,FALSE),0)*'FL Characterization'!G$2)</f>
        <v>40.018187992293527</v>
      </c>
      <c r="H4" s="2">
        <f>('[1]Pc, Winter, S1'!H4*Main!$B$5)+(_xlfn.IFNA(VLOOKUP($A4,'FL Ratio'!$A$3:$B$10,2,FALSE),0)*'FL Characterization'!H$2)</f>
        <v>48.28894516870875</v>
      </c>
      <c r="I4" s="2">
        <f>('[1]Pc, Winter, S1'!I4*Main!$B$5)+(_xlfn.IFNA(VLOOKUP($A4,'FL Ratio'!$A$3:$B$10,2,FALSE),0)*'FL Characterization'!I$2)</f>
        <v>53.983930879787714</v>
      </c>
      <c r="J4" s="2">
        <f>('[1]Pc, Winter, S1'!J4*Main!$B$5)+(_xlfn.IFNA(VLOOKUP($A4,'FL Ratio'!$A$3:$B$10,2,FALSE),0)*'FL Characterization'!J$2)</f>
        <v>57.137081216324546</v>
      </c>
      <c r="K4" s="2">
        <f>('[1]Pc, Winter, S1'!K4*Main!$B$5)+(_xlfn.IFNA(VLOOKUP($A4,'FL Ratio'!$A$3:$B$10,2,FALSE),0)*'FL Characterization'!K$2)</f>
        <v>59.08083754749827</v>
      </c>
      <c r="L4" s="2">
        <f>('[1]Pc, Winter, S1'!L4*Main!$B$5)+(_xlfn.IFNA(VLOOKUP($A4,'FL Ratio'!$A$3:$B$10,2,FALSE),0)*'FL Characterization'!L$2)</f>
        <v>59.621400859658515</v>
      </c>
      <c r="M4" s="2">
        <f>('[1]Pc, Winter, S1'!M4*Main!$B$5)+(_xlfn.IFNA(VLOOKUP($A4,'FL Ratio'!$A$3:$B$10,2,FALSE),0)*'FL Characterization'!M$2)</f>
        <v>58.99952847847225</v>
      </c>
      <c r="N4" s="2">
        <f>('[1]Pc, Winter, S1'!N4*Main!$B$5)+(_xlfn.IFNA(VLOOKUP($A4,'FL Ratio'!$A$3:$B$10,2,FALSE),0)*'FL Characterization'!N$2)</f>
        <v>58.66475288969626</v>
      </c>
      <c r="O4" s="2">
        <f>('[1]Pc, Winter, S1'!O4*Main!$B$5)+(_xlfn.IFNA(VLOOKUP($A4,'FL Ratio'!$A$3:$B$10,2,FALSE),0)*'FL Characterization'!O$2)</f>
        <v>57.454968319553338</v>
      </c>
      <c r="P4" s="2">
        <f>('[1]Pc, Winter, S1'!P4*Main!$B$5)+(_xlfn.IFNA(VLOOKUP($A4,'FL Ratio'!$A$3:$B$10,2,FALSE),0)*'FL Characterization'!P$2)</f>
        <v>55.626075286911231</v>
      </c>
      <c r="Q4" s="2">
        <f>('[1]Pc, Winter, S1'!Q4*Main!$B$5)+(_xlfn.IFNA(VLOOKUP($A4,'FL Ratio'!$A$3:$B$10,2,FALSE),0)*'FL Characterization'!Q$2)</f>
        <v>54.618873212662265</v>
      </c>
      <c r="R4" s="2">
        <f>('[1]Pc, Winter, S1'!R4*Main!$B$5)+(_xlfn.IFNA(VLOOKUP($A4,'FL Ratio'!$A$3:$B$10,2,FALSE),0)*'FL Characterization'!R$2)</f>
        <v>56.568731676409513</v>
      </c>
      <c r="S4" s="2">
        <f>('[1]Pc, Winter, S1'!S4*Main!$B$5)+(_xlfn.IFNA(VLOOKUP($A4,'FL Ratio'!$A$3:$B$10,2,FALSE),0)*'FL Characterization'!S$2)</f>
        <v>64.043817371414022</v>
      </c>
      <c r="T4" s="2">
        <f>('[1]Pc, Winter, S1'!T4*Main!$B$5)+(_xlfn.IFNA(VLOOKUP($A4,'FL Ratio'!$A$3:$B$10,2,FALSE),0)*'FL Characterization'!T$2)</f>
        <v>65.300302993053364</v>
      </c>
      <c r="U4" s="2">
        <f>('[1]Pc, Winter, S1'!U4*Main!$B$5)+(_xlfn.IFNA(VLOOKUP($A4,'FL Ratio'!$A$3:$B$10,2,FALSE),0)*'FL Characterization'!U$2)</f>
        <v>65.688128131249996</v>
      </c>
      <c r="V4" s="2">
        <f>('[1]Pc, Winter, S1'!V4*Main!$B$5)+(_xlfn.IFNA(VLOOKUP($A4,'FL Ratio'!$A$3:$B$10,2,FALSE),0)*'FL Characterization'!V$2)</f>
        <v>63.734764324105413</v>
      </c>
      <c r="W4" s="2">
        <f>('[1]Pc, Winter, S1'!W4*Main!$B$5)+(_xlfn.IFNA(VLOOKUP($A4,'FL Ratio'!$A$3:$B$10,2,FALSE),0)*'FL Characterization'!W$2)</f>
        <v>60.82134264345919</v>
      </c>
      <c r="X4" s="2">
        <f>('[1]Pc, Winter, S1'!X4*Main!$B$5)+(_xlfn.IFNA(VLOOKUP($A4,'FL Ratio'!$A$3:$B$10,2,FALSE),0)*'FL Characterization'!X$2)</f>
        <v>55.460164161165352</v>
      </c>
      <c r="Y4" s="2">
        <f>('[1]Pc, Winter, S1'!Y4*Main!$B$5)+(_xlfn.IFNA(VLOOKUP($A4,'FL Ratio'!$A$3:$B$10,2,FALSE),0)*'FL Characterization'!Y$2)</f>
        <v>49.021620142908979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31.305740886133957</v>
      </c>
      <c r="C2" s="2">
        <f ca="1">('[1]Pc, Winter, S2'!C2*Main!$B$5)+(_xlfn.IFNA(VLOOKUP($A2,'FL Ratio'!$A$3:$B$10,2,FALSE),0)*'FL Characterization'!C$2)</f>
        <v>29.200376403019717</v>
      </c>
      <c r="D2" s="2">
        <f ca="1">('[1]Pc, Winter, S2'!D2*Main!$B$5)+(_xlfn.IFNA(VLOOKUP($A2,'FL Ratio'!$A$3:$B$10,2,FALSE),0)*'FL Characterization'!D$2)</f>
        <v>27.668254009718492</v>
      </c>
      <c r="E2" s="2">
        <f ca="1">('[1]Pc, Winter, S2'!E2*Main!$B$5)+(_xlfn.IFNA(VLOOKUP($A2,'FL Ratio'!$A$3:$B$10,2,FALSE),0)*'FL Characterization'!E$2)</f>
        <v>27.472485714668789</v>
      </c>
      <c r="F2" s="2">
        <f ca="1">('[1]Pc, Winter, S2'!F2*Main!$B$5)+(_xlfn.IFNA(VLOOKUP($A2,'FL Ratio'!$A$3:$B$10,2,FALSE),0)*'FL Characterization'!F$2)</f>
        <v>27.803866266757165</v>
      </c>
      <c r="G2" s="2">
        <f ca="1">('[1]Pc, Winter, S2'!G2*Main!$B$5)+(_xlfn.IFNA(VLOOKUP($A2,'FL Ratio'!$A$3:$B$10,2,FALSE),0)*'FL Characterization'!G$2)</f>
        <v>30.562452295712426</v>
      </c>
      <c r="H2" s="2">
        <f ca="1">('[1]Pc, Winter, S2'!H2*Main!$B$5)+(_xlfn.IFNA(VLOOKUP($A2,'FL Ratio'!$A$3:$B$10,2,FALSE),0)*'FL Characterization'!H$2)</f>
        <v>36.468453718499916</v>
      </c>
      <c r="I2" s="2">
        <f ca="1">('[1]Pc, Winter, S2'!I2*Main!$B$5)+(_xlfn.IFNA(VLOOKUP($A2,'FL Ratio'!$A$3:$B$10,2,FALSE),0)*'FL Characterization'!I$2)</f>
        <v>43.896899852603859</v>
      </c>
      <c r="J2" s="2">
        <f ca="1">('[1]Pc, Winter, S2'!J2*Main!$B$5)+(_xlfn.IFNA(VLOOKUP($A2,'FL Ratio'!$A$3:$B$10,2,FALSE),0)*'FL Characterization'!J$2)</f>
        <v>47.791795816901185</v>
      </c>
      <c r="K2" s="2">
        <f ca="1">('[1]Pc, Winter, S2'!K2*Main!$B$5)+(_xlfn.IFNA(VLOOKUP($A2,'FL Ratio'!$A$3:$B$10,2,FALSE),0)*'FL Characterization'!K$2)</f>
        <v>48.387751372670664</v>
      </c>
      <c r="L2" s="2">
        <f ca="1">('[1]Pc, Winter, S2'!L2*Main!$B$5)+(_xlfn.IFNA(VLOOKUP($A2,'FL Ratio'!$A$3:$B$10,2,FALSE),0)*'FL Characterization'!L$2)</f>
        <v>47.081928098427319</v>
      </c>
      <c r="M2" s="2">
        <f ca="1">('[1]Pc, Winter, S2'!M2*Main!$B$5)+(_xlfn.IFNA(VLOOKUP($A2,'FL Ratio'!$A$3:$B$10,2,FALSE),0)*'FL Characterization'!M$2)</f>
        <v>47.324594648806524</v>
      </c>
      <c r="N2" s="2">
        <f ca="1">('[1]Pc, Winter, S2'!N2*Main!$B$5)+(_xlfn.IFNA(VLOOKUP($A2,'FL Ratio'!$A$3:$B$10,2,FALSE),0)*'FL Characterization'!N$2)</f>
        <v>47.285704622884232</v>
      </c>
      <c r="O2" s="2">
        <f ca="1">('[1]Pc, Winter, S2'!O2*Main!$B$5)+(_xlfn.IFNA(VLOOKUP($A2,'FL Ratio'!$A$3:$B$10,2,FALSE),0)*'FL Characterization'!O$2)</f>
        <v>46.513554393169315</v>
      </c>
      <c r="P2" s="2">
        <f ca="1">('[1]Pc, Winter, S2'!P2*Main!$B$5)+(_xlfn.IFNA(VLOOKUP($A2,'FL Ratio'!$A$3:$B$10,2,FALSE),0)*'FL Characterization'!P$2)</f>
        <v>43.862767711466965</v>
      </c>
      <c r="Q2" s="2">
        <f ca="1">('[1]Pc, Winter, S2'!Q2*Main!$B$5)+(_xlfn.IFNA(VLOOKUP($A2,'FL Ratio'!$A$3:$B$10,2,FALSE),0)*'FL Characterization'!Q$2)</f>
        <v>42.606083211545574</v>
      </c>
      <c r="R2" s="2">
        <f ca="1">('[1]Pc, Winter, S2'!R2*Main!$B$5)+(_xlfn.IFNA(VLOOKUP($A2,'FL Ratio'!$A$3:$B$10,2,FALSE),0)*'FL Characterization'!R$2)</f>
        <v>44.372067829167818</v>
      </c>
      <c r="S2" s="2">
        <f ca="1">('[1]Pc, Winter, S2'!S2*Main!$B$5)+(_xlfn.IFNA(VLOOKUP($A2,'FL Ratio'!$A$3:$B$10,2,FALSE),0)*'FL Characterization'!S$2)</f>
        <v>49.187270344680002</v>
      </c>
      <c r="T2" s="2">
        <f ca="1">('[1]Pc, Winter, S2'!T2*Main!$B$5)+(_xlfn.IFNA(VLOOKUP($A2,'FL Ratio'!$A$3:$B$10,2,FALSE),0)*'FL Characterization'!T$2)</f>
        <v>49.008967267611936</v>
      </c>
      <c r="U2" s="2">
        <f ca="1">('[1]Pc, Winter, S2'!U2*Main!$B$5)+(_xlfn.IFNA(VLOOKUP($A2,'FL Ratio'!$A$3:$B$10,2,FALSE),0)*'FL Characterization'!U$2)</f>
        <v>47.994305418492658</v>
      </c>
      <c r="V2" s="2">
        <f ca="1">('[1]Pc, Winter, S2'!V2*Main!$B$5)+(_xlfn.IFNA(VLOOKUP($A2,'FL Ratio'!$A$3:$B$10,2,FALSE),0)*'FL Characterization'!V$2)</f>
        <v>47.168927565829819</v>
      </c>
      <c r="W2" s="2">
        <f ca="1">('[1]Pc, Winter, S2'!W2*Main!$B$5)+(_xlfn.IFNA(VLOOKUP($A2,'FL Ratio'!$A$3:$B$10,2,FALSE),0)*'FL Characterization'!W$2)</f>
        <v>44.209972209823356</v>
      </c>
      <c r="X2" s="2">
        <f ca="1">('[1]Pc, Winter, S2'!X2*Main!$B$5)+(_xlfn.IFNA(VLOOKUP($A2,'FL Ratio'!$A$3:$B$10,2,FALSE),0)*'FL Characterization'!X$2)</f>
        <v>38.675500090460901</v>
      </c>
      <c r="Y2" s="2">
        <f ca="1">('[1]Pc, Winter, S2'!Y2*Main!$B$5)+(_xlfn.IFNA(VLOOKUP($A2,'FL Ratio'!$A$3:$B$10,2,FALSE),0)*'FL Characterization'!Y$2)</f>
        <v>35.088495894142099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30.953779677481016</v>
      </c>
      <c r="C3" s="2">
        <f ca="1">('[1]Pc, Winter, S2'!C3*Main!$B$5)+(_xlfn.IFNA(VLOOKUP($A3,'FL Ratio'!$A$3:$B$10,2,FALSE),0)*'FL Characterization'!C$2)</f>
        <v>28.763845863590475</v>
      </c>
      <c r="D3" s="2">
        <f ca="1">('[1]Pc, Winter, S2'!D3*Main!$B$5)+(_xlfn.IFNA(VLOOKUP($A3,'FL Ratio'!$A$3:$B$10,2,FALSE),0)*'FL Characterization'!D$2)</f>
        <v>26.029918142289652</v>
      </c>
      <c r="E3" s="2">
        <f ca="1">('[1]Pc, Winter, S2'!E3*Main!$B$5)+(_xlfn.IFNA(VLOOKUP($A3,'FL Ratio'!$A$3:$B$10,2,FALSE),0)*'FL Characterization'!E$2)</f>
        <v>27.996671120301684</v>
      </c>
      <c r="F3" s="2">
        <f ca="1">('[1]Pc, Winter, S2'!F3*Main!$B$5)+(_xlfn.IFNA(VLOOKUP($A3,'FL Ratio'!$A$3:$B$10,2,FALSE),0)*'FL Characterization'!F$2)</f>
        <v>27.899029880356334</v>
      </c>
      <c r="G3" s="2">
        <f ca="1">('[1]Pc, Winter, S2'!G3*Main!$B$5)+(_xlfn.IFNA(VLOOKUP($A3,'FL Ratio'!$A$3:$B$10,2,FALSE),0)*'FL Characterization'!G$2)</f>
        <v>29.084655950707919</v>
      </c>
      <c r="H3" s="2">
        <f ca="1">('[1]Pc, Winter, S2'!H3*Main!$B$5)+(_xlfn.IFNA(VLOOKUP($A3,'FL Ratio'!$A$3:$B$10,2,FALSE),0)*'FL Characterization'!H$2)</f>
        <v>43.284381247100839</v>
      </c>
      <c r="I3" s="2">
        <f ca="1">('[1]Pc, Winter, S2'!I3*Main!$B$5)+(_xlfn.IFNA(VLOOKUP($A3,'FL Ratio'!$A$3:$B$10,2,FALSE),0)*'FL Characterization'!I$2)</f>
        <v>48.208251766949999</v>
      </c>
      <c r="J3" s="2">
        <f ca="1">('[1]Pc, Winter, S2'!J3*Main!$B$5)+(_xlfn.IFNA(VLOOKUP($A3,'FL Ratio'!$A$3:$B$10,2,FALSE),0)*'FL Characterization'!J$2)</f>
        <v>52.853144762506183</v>
      </c>
      <c r="K3" s="2">
        <f ca="1">('[1]Pc, Winter, S2'!K3*Main!$B$5)+(_xlfn.IFNA(VLOOKUP($A3,'FL Ratio'!$A$3:$B$10,2,FALSE),0)*'FL Characterization'!K$2)</f>
        <v>52.88104012229909</v>
      </c>
      <c r="L3" s="2">
        <f ca="1">('[1]Pc, Winter, S2'!L3*Main!$B$5)+(_xlfn.IFNA(VLOOKUP($A3,'FL Ratio'!$A$3:$B$10,2,FALSE),0)*'FL Characterization'!L$2)</f>
        <v>49.951829917180746</v>
      </c>
      <c r="M3" s="2">
        <f ca="1">('[1]Pc, Winter, S2'!M3*Main!$B$5)+(_xlfn.IFNA(VLOOKUP($A3,'FL Ratio'!$A$3:$B$10,2,FALSE),0)*'FL Characterization'!M$2)</f>
        <v>54.652522605199998</v>
      </c>
      <c r="N3" s="2">
        <f ca="1">('[1]Pc, Winter, S2'!N3*Main!$B$5)+(_xlfn.IFNA(VLOOKUP($A3,'FL Ratio'!$A$3:$B$10,2,FALSE),0)*'FL Characterization'!N$2)</f>
        <v>51.541979104075139</v>
      </c>
      <c r="O3" s="2">
        <f ca="1">('[1]Pc, Winter, S2'!O3*Main!$B$5)+(_xlfn.IFNA(VLOOKUP($A3,'FL Ratio'!$A$3:$B$10,2,FALSE),0)*'FL Characterization'!O$2)</f>
        <v>48.250099298968316</v>
      </c>
      <c r="P3" s="2">
        <f ca="1">('[1]Pc, Winter, S2'!P3*Main!$B$5)+(_xlfn.IFNA(VLOOKUP($A3,'FL Ratio'!$A$3:$B$10,2,FALSE),0)*'FL Characterization'!P$2)</f>
        <v>46.785492700275107</v>
      </c>
      <c r="Q3" s="2">
        <f ca="1">('[1]Pc, Winter, S2'!Q3*Main!$B$5)+(_xlfn.IFNA(VLOOKUP($A3,'FL Ratio'!$A$3:$B$10,2,FALSE),0)*'FL Characterization'!Q$2)</f>
        <v>43.716790734851919</v>
      </c>
      <c r="R3" s="2">
        <f ca="1">('[1]Pc, Winter, S2'!R3*Main!$B$5)+(_xlfn.IFNA(VLOOKUP($A3,'FL Ratio'!$A$3:$B$10,2,FALSE),0)*'FL Characterization'!R$2)</f>
        <v>43.744689086912878</v>
      </c>
      <c r="S3" s="2">
        <f ca="1">('[1]Pc, Winter, S2'!S3*Main!$B$5)+(_xlfn.IFNA(VLOOKUP($A3,'FL Ratio'!$A$3:$B$10,2,FALSE),0)*'FL Characterization'!S$2)</f>
        <v>46.311241676822362</v>
      </c>
      <c r="T3" s="2">
        <f ca="1">('[1]Pc, Winter, S2'!T3*Main!$B$5)+(_xlfn.IFNA(VLOOKUP($A3,'FL Ratio'!$A$3:$B$10,2,FALSE),0)*'FL Characterization'!T$2)</f>
        <v>46.311241676822362</v>
      </c>
      <c r="U3" s="2">
        <f ca="1">('[1]Pc, Winter, S2'!U3*Main!$B$5)+(_xlfn.IFNA(VLOOKUP($A3,'FL Ratio'!$A$3:$B$10,2,FALSE),0)*'FL Characterization'!U$2)</f>
        <v>47.008664543642105</v>
      </c>
      <c r="V3" s="2">
        <f ca="1">('[1]Pc, Winter, S2'!V3*Main!$B$5)+(_xlfn.IFNA(VLOOKUP($A3,'FL Ratio'!$A$3:$B$10,2,FALSE),0)*'FL Characterization'!V$2)</f>
        <v>45.739337424717846</v>
      </c>
      <c r="W3" s="2">
        <f ca="1">('[1]Pc, Winter, S2'!W3*Main!$B$5)+(_xlfn.IFNA(VLOOKUP($A3,'FL Ratio'!$A$3:$B$10,2,FALSE),0)*'FL Characterization'!W$2)</f>
        <v>41.331565460339732</v>
      </c>
      <c r="X3" s="2">
        <f ca="1">('[1]Pc, Winter, S2'!X3*Main!$B$5)+(_xlfn.IFNA(VLOOKUP($A3,'FL Ratio'!$A$3:$B$10,2,FALSE),0)*'FL Characterization'!X$2)</f>
        <v>34.957043502363888</v>
      </c>
      <c r="Y3" s="2">
        <f ca="1">('[1]Pc, Winter, S2'!Y3*Main!$B$5)+(_xlfn.IFNA(VLOOKUP($A3,'FL Ratio'!$A$3:$B$10,2,FALSE),0)*'FL Characterization'!Y$2)</f>
        <v>33.827199166940368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44.99205915386959</v>
      </c>
      <c r="C4" s="2">
        <f ca="1">('[1]Pc, Winter, S2'!C4*Main!$B$5)+(_xlfn.IFNA(VLOOKUP($A4,'FL Ratio'!$A$3:$B$10,2,FALSE),0)*'FL Characterization'!C$2)</f>
        <v>39.586926139932473</v>
      </c>
      <c r="D4" s="2">
        <f ca="1">('[1]Pc, Winter, S2'!D4*Main!$B$5)+(_xlfn.IFNA(VLOOKUP($A4,'FL Ratio'!$A$3:$B$10,2,FALSE),0)*'FL Characterization'!D$2)</f>
        <v>37.269261545076013</v>
      </c>
      <c r="E4" s="2">
        <f ca="1">('[1]Pc, Winter, S2'!E4*Main!$B$5)+(_xlfn.IFNA(VLOOKUP($A4,'FL Ratio'!$A$3:$B$10,2,FALSE),0)*'FL Characterization'!E$2)</f>
        <v>36.826671484259265</v>
      </c>
      <c r="F4" s="2">
        <f ca="1">('[1]Pc, Winter, S2'!F4*Main!$B$5)+(_xlfn.IFNA(VLOOKUP($A4,'FL Ratio'!$A$3:$B$10,2,FALSE),0)*'FL Characterization'!F$2)</f>
        <v>38.546606412220655</v>
      </c>
      <c r="G4" s="2">
        <f ca="1">('[1]Pc, Winter, S2'!G4*Main!$B$5)+(_xlfn.IFNA(VLOOKUP($A4,'FL Ratio'!$A$3:$B$10,2,FALSE),0)*'FL Characterization'!G$2)</f>
        <v>41.618915511985264</v>
      </c>
      <c r="H4" s="2">
        <f ca="1">('[1]Pc, Winter, S2'!H4*Main!$B$5)+(_xlfn.IFNA(VLOOKUP($A4,'FL Ratio'!$A$3:$B$10,2,FALSE),0)*'FL Characterization'!H$2)</f>
        <v>50.220502975457102</v>
      </c>
      <c r="I4" s="2">
        <f ca="1">('[1]Pc, Winter, S2'!I4*Main!$B$5)+(_xlfn.IFNA(VLOOKUP($A4,'FL Ratio'!$A$3:$B$10,2,FALSE),0)*'FL Characterization'!I$2)</f>
        <v>56.143288114979221</v>
      </c>
      <c r="J4" s="2">
        <f ca="1">('[1]Pc, Winter, S2'!J4*Main!$B$5)+(_xlfn.IFNA(VLOOKUP($A4,'FL Ratio'!$A$3:$B$10,2,FALSE),0)*'FL Characterization'!J$2)</f>
        <v>59.422564464977526</v>
      </c>
      <c r="K4" s="2">
        <f ca="1">('[1]Pc, Winter, S2'!K4*Main!$B$5)+(_xlfn.IFNA(VLOOKUP($A4,'FL Ratio'!$A$3:$B$10,2,FALSE),0)*'FL Characterization'!K$2)</f>
        <v>61.444071049398204</v>
      </c>
      <c r="L4" s="2">
        <f ca="1">('[1]Pc, Winter, S2'!L4*Main!$B$5)+(_xlfn.IFNA(VLOOKUP($A4,'FL Ratio'!$A$3:$B$10,2,FALSE),0)*'FL Characterization'!L$2)</f>
        <v>62.00625689404486</v>
      </c>
      <c r="M4" s="2">
        <f ca="1">('[1]Pc, Winter, S2'!M4*Main!$B$5)+(_xlfn.IFNA(VLOOKUP($A4,'FL Ratio'!$A$3:$B$10,2,FALSE),0)*'FL Characterization'!M$2)</f>
        <v>61.359509617611138</v>
      </c>
      <c r="N4" s="2">
        <f ca="1">('[1]Pc, Winter, S2'!N4*Main!$B$5)+(_xlfn.IFNA(VLOOKUP($A4,'FL Ratio'!$A$3:$B$10,2,FALSE),0)*'FL Characterization'!N$2)</f>
        <v>61.011343005284118</v>
      </c>
      <c r="O4" s="2">
        <f ca="1">('[1]Pc, Winter, S2'!O4*Main!$B$5)+(_xlfn.IFNA(VLOOKUP($A4,'FL Ratio'!$A$3:$B$10,2,FALSE),0)*'FL Characterization'!O$2)</f>
        <v>59.753167052335471</v>
      </c>
      <c r="P4" s="2">
        <f ca="1">('[1]Pc, Winter, S2'!P4*Main!$B$5)+(_xlfn.IFNA(VLOOKUP($A4,'FL Ratio'!$A$3:$B$10,2,FALSE),0)*'FL Characterization'!P$2)</f>
        <v>57.851118298387682</v>
      </c>
      <c r="Q4" s="2">
        <f ca="1">('[1]Pc, Winter, S2'!Q4*Main!$B$5)+(_xlfn.IFNA(VLOOKUP($A4,'FL Ratio'!$A$3:$B$10,2,FALSE),0)*'FL Characterization'!Q$2)</f>
        <v>56.803628141168758</v>
      </c>
      <c r="R4" s="2">
        <f ca="1">('[1]Pc, Winter, S2'!R4*Main!$B$5)+(_xlfn.IFNA(VLOOKUP($A4,'FL Ratio'!$A$3:$B$10,2,FALSE),0)*'FL Characterization'!R$2)</f>
        <v>58.831480943465891</v>
      </c>
      <c r="S4" s="2">
        <f ca="1">('[1]Pc, Winter, S2'!S4*Main!$B$5)+(_xlfn.IFNA(VLOOKUP($A4,'FL Ratio'!$A$3:$B$10,2,FALSE),0)*'FL Characterization'!S$2)</f>
        <v>66.605570066270587</v>
      </c>
      <c r="T4" s="2">
        <f ca="1">('[1]Pc, Winter, S2'!T4*Main!$B$5)+(_xlfn.IFNA(VLOOKUP($A4,'FL Ratio'!$A$3:$B$10,2,FALSE),0)*'FL Characterization'!T$2)</f>
        <v>67.912315112775502</v>
      </c>
      <c r="U4" s="2">
        <f ca="1">('[1]Pc, Winter, S2'!U4*Main!$B$5)+(_xlfn.IFNA(VLOOKUP($A4,'FL Ratio'!$A$3:$B$10,2,FALSE),0)*'FL Characterization'!U$2)</f>
        <v>68.315653256499999</v>
      </c>
      <c r="V4" s="2">
        <f ca="1">('[1]Pc, Winter, S2'!V4*Main!$B$5)+(_xlfn.IFNA(VLOOKUP($A4,'FL Ratio'!$A$3:$B$10,2,FALSE),0)*'FL Characterization'!V$2)</f>
        <v>66.284154897069627</v>
      </c>
      <c r="W4" s="2">
        <f ca="1">('[1]Pc, Winter, S2'!W4*Main!$B$5)+(_xlfn.IFNA(VLOOKUP($A4,'FL Ratio'!$A$3:$B$10,2,FALSE),0)*'FL Characterization'!W$2)</f>
        <v>63.254196349197549</v>
      </c>
      <c r="X4" s="2">
        <f ca="1">('[1]Pc, Winter, S2'!X4*Main!$B$5)+(_xlfn.IFNA(VLOOKUP($A4,'FL Ratio'!$A$3:$B$10,2,FALSE),0)*'FL Characterization'!X$2)</f>
        <v>57.678570727611969</v>
      </c>
      <c r="Y4" s="2">
        <f ca="1">('[1]Pc, Winter, S2'!Y4*Main!$B$5)+(_xlfn.IFNA(VLOOKUP($A4,'FL Ratio'!$A$3:$B$10,2,FALSE),0)*'FL Characterization'!Y$2)</f>
        <v>50.982484948625341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31.305740886133957</v>
      </c>
      <c r="C2" s="2">
        <f ca="1">('[1]Pc, Winter, S2'!C2*Main!$B$5)+(_xlfn.IFNA(VLOOKUP($A2,'FL Ratio'!$A$3:$B$10,2,FALSE),0)*'FL Characterization'!C$2)</f>
        <v>29.200376403019717</v>
      </c>
      <c r="D2" s="2">
        <f ca="1">('[1]Pc, Winter, S2'!D2*Main!$B$5)+(_xlfn.IFNA(VLOOKUP($A2,'FL Ratio'!$A$3:$B$10,2,FALSE),0)*'FL Characterization'!D$2)</f>
        <v>27.668254009718492</v>
      </c>
      <c r="E2" s="2">
        <f ca="1">('[1]Pc, Winter, S2'!E2*Main!$B$5)+(_xlfn.IFNA(VLOOKUP($A2,'FL Ratio'!$A$3:$B$10,2,FALSE),0)*'FL Characterization'!E$2)</f>
        <v>27.472485714668789</v>
      </c>
      <c r="F2" s="2">
        <f ca="1">('[1]Pc, Winter, S2'!F2*Main!$B$5)+(_xlfn.IFNA(VLOOKUP($A2,'FL Ratio'!$A$3:$B$10,2,FALSE),0)*'FL Characterization'!F$2)</f>
        <v>27.803866266757165</v>
      </c>
      <c r="G2" s="2">
        <f ca="1">('[1]Pc, Winter, S2'!G2*Main!$B$5)+(_xlfn.IFNA(VLOOKUP($A2,'FL Ratio'!$A$3:$B$10,2,FALSE),0)*'FL Characterization'!G$2)</f>
        <v>30.562452295712426</v>
      </c>
      <c r="H2" s="2">
        <f ca="1">('[1]Pc, Winter, S2'!H2*Main!$B$5)+(_xlfn.IFNA(VLOOKUP($A2,'FL Ratio'!$A$3:$B$10,2,FALSE),0)*'FL Characterization'!H$2)</f>
        <v>36.468453718499916</v>
      </c>
      <c r="I2" s="2">
        <f ca="1">('[1]Pc, Winter, S2'!I2*Main!$B$5)+(_xlfn.IFNA(VLOOKUP($A2,'FL Ratio'!$A$3:$B$10,2,FALSE),0)*'FL Characterization'!I$2)</f>
        <v>43.896899852603859</v>
      </c>
      <c r="J2" s="2">
        <f ca="1">('[1]Pc, Winter, S2'!J2*Main!$B$5)+(_xlfn.IFNA(VLOOKUP($A2,'FL Ratio'!$A$3:$B$10,2,FALSE),0)*'FL Characterization'!J$2)</f>
        <v>47.791795816901185</v>
      </c>
      <c r="K2" s="2">
        <f ca="1">('[1]Pc, Winter, S2'!K2*Main!$B$5)+(_xlfn.IFNA(VLOOKUP($A2,'FL Ratio'!$A$3:$B$10,2,FALSE),0)*'FL Characterization'!K$2)</f>
        <v>48.387751372670664</v>
      </c>
      <c r="L2" s="2">
        <f ca="1">('[1]Pc, Winter, S2'!L2*Main!$B$5)+(_xlfn.IFNA(VLOOKUP($A2,'FL Ratio'!$A$3:$B$10,2,FALSE),0)*'FL Characterization'!L$2)</f>
        <v>47.081928098427319</v>
      </c>
      <c r="M2" s="2">
        <f ca="1">('[1]Pc, Winter, S2'!M2*Main!$B$5)+(_xlfn.IFNA(VLOOKUP($A2,'FL Ratio'!$A$3:$B$10,2,FALSE),0)*'FL Characterization'!M$2)</f>
        <v>47.324594648806524</v>
      </c>
      <c r="N2" s="2">
        <f ca="1">('[1]Pc, Winter, S2'!N2*Main!$B$5)+(_xlfn.IFNA(VLOOKUP($A2,'FL Ratio'!$A$3:$B$10,2,FALSE),0)*'FL Characterization'!N$2)</f>
        <v>47.285704622884232</v>
      </c>
      <c r="O2" s="2">
        <f ca="1">('[1]Pc, Winter, S2'!O2*Main!$B$5)+(_xlfn.IFNA(VLOOKUP($A2,'FL Ratio'!$A$3:$B$10,2,FALSE),0)*'FL Characterization'!O$2)</f>
        <v>46.513554393169315</v>
      </c>
      <c r="P2" s="2">
        <f ca="1">('[1]Pc, Winter, S2'!P2*Main!$B$5)+(_xlfn.IFNA(VLOOKUP($A2,'FL Ratio'!$A$3:$B$10,2,FALSE),0)*'FL Characterization'!P$2)</f>
        <v>43.862767711466965</v>
      </c>
      <c r="Q2" s="2">
        <f ca="1">('[1]Pc, Winter, S2'!Q2*Main!$B$5)+(_xlfn.IFNA(VLOOKUP($A2,'FL Ratio'!$A$3:$B$10,2,FALSE),0)*'FL Characterization'!Q$2)</f>
        <v>42.606083211545574</v>
      </c>
      <c r="R2" s="2">
        <f ca="1">('[1]Pc, Winter, S2'!R2*Main!$B$5)+(_xlfn.IFNA(VLOOKUP($A2,'FL Ratio'!$A$3:$B$10,2,FALSE),0)*'FL Characterization'!R$2)</f>
        <v>44.372067829167818</v>
      </c>
      <c r="S2" s="2">
        <f ca="1">('[1]Pc, Winter, S2'!S2*Main!$B$5)+(_xlfn.IFNA(VLOOKUP($A2,'FL Ratio'!$A$3:$B$10,2,FALSE),0)*'FL Characterization'!S$2)</f>
        <v>49.187270344680002</v>
      </c>
      <c r="T2" s="2">
        <f ca="1">('[1]Pc, Winter, S2'!T2*Main!$B$5)+(_xlfn.IFNA(VLOOKUP($A2,'FL Ratio'!$A$3:$B$10,2,FALSE),0)*'FL Characterization'!T$2)</f>
        <v>49.008967267611936</v>
      </c>
      <c r="U2" s="2">
        <f ca="1">('[1]Pc, Winter, S2'!U2*Main!$B$5)+(_xlfn.IFNA(VLOOKUP($A2,'FL Ratio'!$A$3:$B$10,2,FALSE),0)*'FL Characterization'!U$2)</f>
        <v>47.994305418492658</v>
      </c>
      <c r="V2" s="2">
        <f ca="1">('[1]Pc, Winter, S2'!V2*Main!$B$5)+(_xlfn.IFNA(VLOOKUP($A2,'FL Ratio'!$A$3:$B$10,2,FALSE),0)*'FL Characterization'!V$2)</f>
        <v>47.168927565829819</v>
      </c>
      <c r="W2" s="2">
        <f ca="1">('[1]Pc, Winter, S2'!W2*Main!$B$5)+(_xlfn.IFNA(VLOOKUP($A2,'FL Ratio'!$A$3:$B$10,2,FALSE),0)*'FL Characterization'!W$2)</f>
        <v>44.209972209823356</v>
      </c>
      <c r="X2" s="2">
        <f ca="1">('[1]Pc, Winter, S2'!X2*Main!$B$5)+(_xlfn.IFNA(VLOOKUP($A2,'FL Ratio'!$A$3:$B$10,2,FALSE),0)*'FL Characterization'!X$2)</f>
        <v>38.675500090460901</v>
      </c>
      <c r="Y2" s="2">
        <f ca="1">('[1]Pc, Winter, S2'!Y2*Main!$B$5)+(_xlfn.IFNA(VLOOKUP($A2,'FL Ratio'!$A$3:$B$10,2,FALSE),0)*'FL Characterization'!Y$2)</f>
        <v>35.088495894142099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30.953779677481016</v>
      </c>
      <c r="C3" s="2">
        <f ca="1">('[1]Pc, Winter, S2'!C3*Main!$B$5)+(_xlfn.IFNA(VLOOKUP($A3,'FL Ratio'!$A$3:$B$10,2,FALSE),0)*'FL Characterization'!C$2)</f>
        <v>28.763845863590475</v>
      </c>
      <c r="D3" s="2">
        <f ca="1">('[1]Pc, Winter, S2'!D3*Main!$B$5)+(_xlfn.IFNA(VLOOKUP($A3,'FL Ratio'!$A$3:$B$10,2,FALSE),0)*'FL Characterization'!D$2)</f>
        <v>26.029918142289652</v>
      </c>
      <c r="E3" s="2">
        <f ca="1">('[1]Pc, Winter, S2'!E3*Main!$B$5)+(_xlfn.IFNA(VLOOKUP($A3,'FL Ratio'!$A$3:$B$10,2,FALSE),0)*'FL Characterization'!E$2)</f>
        <v>27.996671120301684</v>
      </c>
      <c r="F3" s="2">
        <f ca="1">('[1]Pc, Winter, S2'!F3*Main!$B$5)+(_xlfn.IFNA(VLOOKUP($A3,'FL Ratio'!$A$3:$B$10,2,FALSE),0)*'FL Characterization'!F$2)</f>
        <v>27.899029880356334</v>
      </c>
      <c r="G3" s="2">
        <f ca="1">('[1]Pc, Winter, S2'!G3*Main!$B$5)+(_xlfn.IFNA(VLOOKUP($A3,'FL Ratio'!$A$3:$B$10,2,FALSE),0)*'FL Characterization'!G$2)</f>
        <v>29.084655950707919</v>
      </c>
      <c r="H3" s="2">
        <f ca="1">('[1]Pc, Winter, S2'!H3*Main!$B$5)+(_xlfn.IFNA(VLOOKUP($A3,'FL Ratio'!$A$3:$B$10,2,FALSE),0)*'FL Characterization'!H$2)</f>
        <v>43.284381247100839</v>
      </c>
      <c r="I3" s="2">
        <f ca="1">('[1]Pc, Winter, S2'!I3*Main!$B$5)+(_xlfn.IFNA(VLOOKUP($A3,'FL Ratio'!$A$3:$B$10,2,FALSE),0)*'FL Characterization'!I$2)</f>
        <v>48.208251766949999</v>
      </c>
      <c r="J3" s="2">
        <f ca="1">('[1]Pc, Winter, S2'!J3*Main!$B$5)+(_xlfn.IFNA(VLOOKUP($A3,'FL Ratio'!$A$3:$B$10,2,FALSE),0)*'FL Characterization'!J$2)</f>
        <v>52.853144762506183</v>
      </c>
      <c r="K3" s="2">
        <f ca="1">('[1]Pc, Winter, S2'!K3*Main!$B$5)+(_xlfn.IFNA(VLOOKUP($A3,'FL Ratio'!$A$3:$B$10,2,FALSE),0)*'FL Characterization'!K$2)</f>
        <v>52.88104012229909</v>
      </c>
      <c r="L3" s="2">
        <f ca="1">('[1]Pc, Winter, S2'!L3*Main!$B$5)+(_xlfn.IFNA(VLOOKUP($A3,'FL Ratio'!$A$3:$B$10,2,FALSE),0)*'FL Characterization'!L$2)</f>
        <v>49.951829917180746</v>
      </c>
      <c r="M3" s="2">
        <f ca="1">('[1]Pc, Winter, S2'!M3*Main!$B$5)+(_xlfn.IFNA(VLOOKUP($A3,'FL Ratio'!$A$3:$B$10,2,FALSE),0)*'FL Characterization'!M$2)</f>
        <v>54.652522605199998</v>
      </c>
      <c r="N3" s="2">
        <f ca="1">('[1]Pc, Winter, S2'!N3*Main!$B$5)+(_xlfn.IFNA(VLOOKUP($A3,'FL Ratio'!$A$3:$B$10,2,FALSE),0)*'FL Characterization'!N$2)</f>
        <v>51.541979104075139</v>
      </c>
      <c r="O3" s="2">
        <f ca="1">('[1]Pc, Winter, S2'!O3*Main!$B$5)+(_xlfn.IFNA(VLOOKUP($A3,'FL Ratio'!$A$3:$B$10,2,FALSE),0)*'FL Characterization'!O$2)</f>
        <v>48.250099298968316</v>
      </c>
      <c r="P3" s="2">
        <f ca="1">('[1]Pc, Winter, S2'!P3*Main!$B$5)+(_xlfn.IFNA(VLOOKUP($A3,'FL Ratio'!$A$3:$B$10,2,FALSE),0)*'FL Characterization'!P$2)</f>
        <v>46.785492700275107</v>
      </c>
      <c r="Q3" s="2">
        <f ca="1">('[1]Pc, Winter, S2'!Q3*Main!$B$5)+(_xlfn.IFNA(VLOOKUP($A3,'FL Ratio'!$A$3:$B$10,2,FALSE),0)*'FL Characterization'!Q$2)</f>
        <v>43.716790734851919</v>
      </c>
      <c r="R3" s="2">
        <f ca="1">('[1]Pc, Winter, S2'!R3*Main!$B$5)+(_xlfn.IFNA(VLOOKUP($A3,'FL Ratio'!$A$3:$B$10,2,FALSE),0)*'FL Characterization'!R$2)</f>
        <v>43.744689086912878</v>
      </c>
      <c r="S3" s="2">
        <f ca="1">('[1]Pc, Winter, S2'!S3*Main!$B$5)+(_xlfn.IFNA(VLOOKUP($A3,'FL Ratio'!$A$3:$B$10,2,FALSE),0)*'FL Characterization'!S$2)</f>
        <v>46.311241676822362</v>
      </c>
      <c r="T3" s="2">
        <f ca="1">('[1]Pc, Winter, S2'!T3*Main!$B$5)+(_xlfn.IFNA(VLOOKUP($A3,'FL Ratio'!$A$3:$B$10,2,FALSE),0)*'FL Characterization'!T$2)</f>
        <v>46.311241676822362</v>
      </c>
      <c r="U3" s="2">
        <f ca="1">('[1]Pc, Winter, S2'!U3*Main!$B$5)+(_xlfn.IFNA(VLOOKUP($A3,'FL Ratio'!$A$3:$B$10,2,FALSE),0)*'FL Characterization'!U$2)</f>
        <v>47.008664543642105</v>
      </c>
      <c r="V3" s="2">
        <f ca="1">('[1]Pc, Winter, S2'!V3*Main!$B$5)+(_xlfn.IFNA(VLOOKUP($A3,'FL Ratio'!$A$3:$B$10,2,FALSE),0)*'FL Characterization'!V$2)</f>
        <v>45.739337424717846</v>
      </c>
      <c r="W3" s="2">
        <f ca="1">('[1]Pc, Winter, S2'!W3*Main!$B$5)+(_xlfn.IFNA(VLOOKUP($A3,'FL Ratio'!$A$3:$B$10,2,FALSE),0)*'FL Characterization'!W$2)</f>
        <v>41.331565460339732</v>
      </c>
      <c r="X3" s="2">
        <f ca="1">('[1]Pc, Winter, S2'!X3*Main!$B$5)+(_xlfn.IFNA(VLOOKUP($A3,'FL Ratio'!$A$3:$B$10,2,FALSE),0)*'FL Characterization'!X$2)</f>
        <v>34.957043502363888</v>
      </c>
      <c r="Y3" s="2">
        <f ca="1">('[1]Pc, Winter, S2'!Y3*Main!$B$5)+(_xlfn.IFNA(VLOOKUP($A3,'FL Ratio'!$A$3:$B$10,2,FALSE),0)*'FL Characterization'!Y$2)</f>
        <v>33.827199166940368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44.99205915386959</v>
      </c>
      <c r="C4" s="2">
        <f ca="1">('[1]Pc, Winter, S2'!C4*Main!$B$5)+(_xlfn.IFNA(VLOOKUP($A4,'FL Ratio'!$A$3:$B$10,2,FALSE),0)*'FL Characterization'!C$2)</f>
        <v>39.586926139932473</v>
      </c>
      <c r="D4" s="2">
        <f ca="1">('[1]Pc, Winter, S2'!D4*Main!$B$5)+(_xlfn.IFNA(VLOOKUP($A4,'FL Ratio'!$A$3:$B$10,2,FALSE),0)*'FL Characterization'!D$2)</f>
        <v>37.269261545076013</v>
      </c>
      <c r="E4" s="2">
        <f ca="1">('[1]Pc, Winter, S2'!E4*Main!$B$5)+(_xlfn.IFNA(VLOOKUP($A4,'FL Ratio'!$A$3:$B$10,2,FALSE),0)*'FL Characterization'!E$2)</f>
        <v>36.826671484259265</v>
      </c>
      <c r="F4" s="2">
        <f ca="1">('[1]Pc, Winter, S2'!F4*Main!$B$5)+(_xlfn.IFNA(VLOOKUP($A4,'FL Ratio'!$A$3:$B$10,2,FALSE),0)*'FL Characterization'!F$2)</f>
        <v>38.546606412220655</v>
      </c>
      <c r="G4" s="2">
        <f ca="1">('[1]Pc, Winter, S2'!G4*Main!$B$5)+(_xlfn.IFNA(VLOOKUP($A4,'FL Ratio'!$A$3:$B$10,2,FALSE),0)*'FL Characterization'!G$2)</f>
        <v>41.618915511985264</v>
      </c>
      <c r="H4" s="2">
        <f ca="1">('[1]Pc, Winter, S2'!H4*Main!$B$5)+(_xlfn.IFNA(VLOOKUP($A4,'FL Ratio'!$A$3:$B$10,2,FALSE),0)*'FL Characterization'!H$2)</f>
        <v>50.220502975457102</v>
      </c>
      <c r="I4" s="2">
        <f ca="1">('[1]Pc, Winter, S2'!I4*Main!$B$5)+(_xlfn.IFNA(VLOOKUP($A4,'FL Ratio'!$A$3:$B$10,2,FALSE),0)*'FL Characterization'!I$2)</f>
        <v>56.143288114979221</v>
      </c>
      <c r="J4" s="2">
        <f ca="1">('[1]Pc, Winter, S2'!J4*Main!$B$5)+(_xlfn.IFNA(VLOOKUP($A4,'FL Ratio'!$A$3:$B$10,2,FALSE),0)*'FL Characterization'!J$2)</f>
        <v>59.422564464977526</v>
      </c>
      <c r="K4" s="2">
        <f ca="1">('[1]Pc, Winter, S2'!K4*Main!$B$5)+(_xlfn.IFNA(VLOOKUP($A4,'FL Ratio'!$A$3:$B$10,2,FALSE),0)*'FL Characterization'!K$2)</f>
        <v>61.444071049398204</v>
      </c>
      <c r="L4" s="2">
        <f ca="1">('[1]Pc, Winter, S2'!L4*Main!$B$5)+(_xlfn.IFNA(VLOOKUP($A4,'FL Ratio'!$A$3:$B$10,2,FALSE),0)*'FL Characterization'!L$2)</f>
        <v>62.00625689404486</v>
      </c>
      <c r="M4" s="2">
        <f ca="1">('[1]Pc, Winter, S2'!M4*Main!$B$5)+(_xlfn.IFNA(VLOOKUP($A4,'FL Ratio'!$A$3:$B$10,2,FALSE),0)*'FL Characterization'!M$2)</f>
        <v>61.359509617611138</v>
      </c>
      <c r="N4" s="2">
        <f ca="1">('[1]Pc, Winter, S2'!N4*Main!$B$5)+(_xlfn.IFNA(VLOOKUP($A4,'FL Ratio'!$A$3:$B$10,2,FALSE),0)*'FL Characterization'!N$2)</f>
        <v>61.011343005284118</v>
      </c>
      <c r="O4" s="2">
        <f ca="1">('[1]Pc, Winter, S2'!O4*Main!$B$5)+(_xlfn.IFNA(VLOOKUP($A4,'FL Ratio'!$A$3:$B$10,2,FALSE),0)*'FL Characterization'!O$2)</f>
        <v>59.753167052335471</v>
      </c>
      <c r="P4" s="2">
        <f ca="1">('[1]Pc, Winter, S2'!P4*Main!$B$5)+(_xlfn.IFNA(VLOOKUP($A4,'FL Ratio'!$A$3:$B$10,2,FALSE),0)*'FL Characterization'!P$2)</f>
        <v>57.851118298387682</v>
      </c>
      <c r="Q4" s="2">
        <f ca="1">('[1]Pc, Winter, S2'!Q4*Main!$B$5)+(_xlfn.IFNA(VLOOKUP($A4,'FL Ratio'!$A$3:$B$10,2,FALSE),0)*'FL Characterization'!Q$2)</f>
        <v>56.803628141168758</v>
      </c>
      <c r="R4" s="2">
        <f ca="1">('[1]Pc, Winter, S2'!R4*Main!$B$5)+(_xlfn.IFNA(VLOOKUP($A4,'FL Ratio'!$A$3:$B$10,2,FALSE),0)*'FL Characterization'!R$2)</f>
        <v>58.831480943465891</v>
      </c>
      <c r="S4" s="2">
        <f ca="1">('[1]Pc, Winter, S2'!S4*Main!$B$5)+(_xlfn.IFNA(VLOOKUP($A4,'FL Ratio'!$A$3:$B$10,2,FALSE),0)*'FL Characterization'!S$2)</f>
        <v>66.605570066270587</v>
      </c>
      <c r="T4" s="2">
        <f ca="1">('[1]Pc, Winter, S2'!T4*Main!$B$5)+(_xlfn.IFNA(VLOOKUP($A4,'FL Ratio'!$A$3:$B$10,2,FALSE),0)*'FL Characterization'!T$2)</f>
        <v>67.912315112775502</v>
      </c>
      <c r="U4" s="2">
        <f ca="1">('[1]Pc, Winter, S2'!U4*Main!$B$5)+(_xlfn.IFNA(VLOOKUP($A4,'FL Ratio'!$A$3:$B$10,2,FALSE),0)*'FL Characterization'!U$2)</f>
        <v>68.315653256499999</v>
      </c>
      <c r="V4" s="2">
        <f ca="1">('[1]Pc, Winter, S2'!V4*Main!$B$5)+(_xlfn.IFNA(VLOOKUP($A4,'FL Ratio'!$A$3:$B$10,2,FALSE),0)*'FL Characterization'!V$2)</f>
        <v>66.284154897069627</v>
      </c>
      <c r="W4" s="2">
        <f ca="1">('[1]Pc, Winter, S2'!W4*Main!$B$5)+(_xlfn.IFNA(VLOOKUP($A4,'FL Ratio'!$A$3:$B$10,2,FALSE),0)*'FL Characterization'!W$2)</f>
        <v>63.254196349197549</v>
      </c>
      <c r="X4" s="2">
        <f ca="1">('[1]Pc, Winter, S2'!X4*Main!$B$5)+(_xlfn.IFNA(VLOOKUP($A4,'FL Ratio'!$A$3:$B$10,2,FALSE),0)*'FL Characterization'!X$2)</f>
        <v>57.678570727611969</v>
      </c>
      <c r="Y4" s="2">
        <f ca="1">('[1]Pc, Winter, S2'!Y4*Main!$B$5)+(_xlfn.IFNA(VLOOKUP($A4,'FL Ratio'!$A$3:$B$10,2,FALSE),0)*'FL Characterization'!Y$2)</f>
        <v>50.982484948625341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S2'!B2*Main!$B$5)+(_xlfn.IFNA(VLOOKUP($A2,'FL Ratio'!$A$3:$B$10,2,FALSE),0)*'FL Characterization'!B$2)</f>
        <v>31.305740886133957</v>
      </c>
      <c r="C2" s="2">
        <f ca="1">('[1]Pc, Winter, S2'!C2*Main!$B$5)+(_xlfn.IFNA(VLOOKUP($A2,'FL Ratio'!$A$3:$B$10,2,FALSE),0)*'FL Characterization'!C$2)</f>
        <v>29.200376403019717</v>
      </c>
      <c r="D2" s="2">
        <f ca="1">('[1]Pc, Winter, S2'!D2*Main!$B$5)+(_xlfn.IFNA(VLOOKUP($A2,'FL Ratio'!$A$3:$B$10,2,FALSE),0)*'FL Characterization'!D$2)</f>
        <v>27.668254009718492</v>
      </c>
      <c r="E2" s="2">
        <f ca="1">('[1]Pc, Winter, S2'!E2*Main!$B$5)+(_xlfn.IFNA(VLOOKUP($A2,'FL Ratio'!$A$3:$B$10,2,FALSE),0)*'FL Characterization'!E$2)</f>
        <v>27.472485714668789</v>
      </c>
      <c r="F2" s="2">
        <f ca="1">('[1]Pc, Winter, S2'!F2*Main!$B$5)+(_xlfn.IFNA(VLOOKUP($A2,'FL Ratio'!$A$3:$B$10,2,FALSE),0)*'FL Characterization'!F$2)</f>
        <v>27.803866266757165</v>
      </c>
      <c r="G2" s="2">
        <f ca="1">('[1]Pc, Winter, S2'!G2*Main!$B$5)+(_xlfn.IFNA(VLOOKUP($A2,'FL Ratio'!$A$3:$B$10,2,FALSE),0)*'FL Characterization'!G$2)</f>
        <v>30.562452295712426</v>
      </c>
      <c r="H2" s="2">
        <f ca="1">('[1]Pc, Winter, S2'!H2*Main!$B$5)+(_xlfn.IFNA(VLOOKUP($A2,'FL Ratio'!$A$3:$B$10,2,FALSE),0)*'FL Characterization'!H$2)</f>
        <v>36.468453718499916</v>
      </c>
      <c r="I2" s="2">
        <f ca="1">('[1]Pc, Winter, S2'!I2*Main!$B$5)+(_xlfn.IFNA(VLOOKUP($A2,'FL Ratio'!$A$3:$B$10,2,FALSE),0)*'FL Characterization'!I$2)</f>
        <v>43.896899852603859</v>
      </c>
      <c r="J2" s="2">
        <f ca="1">('[1]Pc, Winter, S2'!J2*Main!$B$5)+(_xlfn.IFNA(VLOOKUP($A2,'FL Ratio'!$A$3:$B$10,2,FALSE),0)*'FL Characterization'!J$2)</f>
        <v>47.791795816901185</v>
      </c>
      <c r="K2" s="2">
        <f ca="1">('[1]Pc, Winter, S2'!K2*Main!$B$5)+(_xlfn.IFNA(VLOOKUP($A2,'FL Ratio'!$A$3:$B$10,2,FALSE),0)*'FL Characterization'!K$2)</f>
        <v>48.387751372670664</v>
      </c>
      <c r="L2" s="2">
        <f ca="1">('[1]Pc, Winter, S2'!L2*Main!$B$5)+(_xlfn.IFNA(VLOOKUP($A2,'FL Ratio'!$A$3:$B$10,2,FALSE),0)*'FL Characterization'!L$2)</f>
        <v>47.081928098427319</v>
      </c>
      <c r="M2" s="2">
        <f ca="1">('[1]Pc, Winter, S2'!M2*Main!$B$5)+(_xlfn.IFNA(VLOOKUP($A2,'FL Ratio'!$A$3:$B$10,2,FALSE),0)*'FL Characterization'!M$2)</f>
        <v>47.324594648806524</v>
      </c>
      <c r="N2" s="2">
        <f ca="1">('[1]Pc, Winter, S2'!N2*Main!$B$5)+(_xlfn.IFNA(VLOOKUP($A2,'FL Ratio'!$A$3:$B$10,2,FALSE),0)*'FL Characterization'!N$2)</f>
        <v>47.285704622884232</v>
      </c>
      <c r="O2" s="2">
        <f ca="1">('[1]Pc, Winter, S2'!O2*Main!$B$5)+(_xlfn.IFNA(VLOOKUP($A2,'FL Ratio'!$A$3:$B$10,2,FALSE),0)*'FL Characterization'!O$2)</f>
        <v>46.513554393169315</v>
      </c>
      <c r="P2" s="2">
        <f ca="1">('[1]Pc, Winter, S2'!P2*Main!$B$5)+(_xlfn.IFNA(VLOOKUP($A2,'FL Ratio'!$A$3:$B$10,2,FALSE),0)*'FL Characterization'!P$2)</f>
        <v>43.862767711466965</v>
      </c>
      <c r="Q2" s="2">
        <f ca="1">('[1]Pc, Winter, S2'!Q2*Main!$B$5)+(_xlfn.IFNA(VLOOKUP($A2,'FL Ratio'!$A$3:$B$10,2,FALSE),0)*'FL Characterization'!Q$2)</f>
        <v>42.606083211545574</v>
      </c>
      <c r="R2" s="2">
        <f ca="1">('[1]Pc, Winter, S2'!R2*Main!$B$5)+(_xlfn.IFNA(VLOOKUP($A2,'FL Ratio'!$A$3:$B$10,2,FALSE),0)*'FL Characterization'!R$2)</f>
        <v>44.372067829167818</v>
      </c>
      <c r="S2" s="2">
        <f ca="1">('[1]Pc, Winter, S2'!S2*Main!$B$5)+(_xlfn.IFNA(VLOOKUP($A2,'FL Ratio'!$A$3:$B$10,2,FALSE),0)*'FL Characterization'!S$2)</f>
        <v>49.187270344680002</v>
      </c>
      <c r="T2" s="2">
        <f ca="1">('[1]Pc, Winter, S2'!T2*Main!$B$5)+(_xlfn.IFNA(VLOOKUP($A2,'FL Ratio'!$A$3:$B$10,2,FALSE),0)*'FL Characterization'!T$2)</f>
        <v>49.008967267611936</v>
      </c>
      <c r="U2" s="2">
        <f ca="1">('[1]Pc, Winter, S2'!U2*Main!$B$5)+(_xlfn.IFNA(VLOOKUP($A2,'FL Ratio'!$A$3:$B$10,2,FALSE),0)*'FL Characterization'!U$2)</f>
        <v>47.994305418492658</v>
      </c>
      <c r="V2" s="2">
        <f ca="1">('[1]Pc, Winter, S2'!V2*Main!$B$5)+(_xlfn.IFNA(VLOOKUP($A2,'FL Ratio'!$A$3:$B$10,2,FALSE),0)*'FL Characterization'!V$2)</f>
        <v>47.168927565829819</v>
      </c>
      <c r="W2" s="2">
        <f ca="1">('[1]Pc, Winter, S2'!W2*Main!$B$5)+(_xlfn.IFNA(VLOOKUP($A2,'FL Ratio'!$A$3:$B$10,2,FALSE),0)*'FL Characterization'!W$2)</f>
        <v>44.209972209823356</v>
      </c>
      <c r="X2" s="2">
        <f ca="1">('[1]Pc, Winter, S2'!X2*Main!$B$5)+(_xlfn.IFNA(VLOOKUP($A2,'FL Ratio'!$A$3:$B$10,2,FALSE),0)*'FL Characterization'!X$2)</f>
        <v>38.675500090460901</v>
      </c>
      <c r="Y2" s="2">
        <f ca="1">('[1]Pc, Winter, S2'!Y2*Main!$B$5)+(_xlfn.IFNA(VLOOKUP($A2,'FL Ratio'!$A$3:$B$10,2,FALSE),0)*'FL Characterization'!Y$2)</f>
        <v>35.088495894142099</v>
      </c>
    </row>
    <row r="3" spans="1:25" x14ac:dyDescent="0.3">
      <c r="A3">
        <v>2</v>
      </c>
      <c r="B3" s="2">
        <f ca="1">('[1]Pc, Winter, S2'!B3*Main!$B$5)+(_xlfn.IFNA(VLOOKUP($A3,'FL Ratio'!$A$3:$B$10,2,FALSE),0)*'FL Characterization'!B$2)</f>
        <v>30.953779677481016</v>
      </c>
      <c r="C3" s="2">
        <f ca="1">('[1]Pc, Winter, S2'!C3*Main!$B$5)+(_xlfn.IFNA(VLOOKUP($A3,'FL Ratio'!$A$3:$B$10,2,FALSE),0)*'FL Characterization'!C$2)</f>
        <v>28.763845863590475</v>
      </c>
      <c r="D3" s="2">
        <f ca="1">('[1]Pc, Winter, S2'!D3*Main!$B$5)+(_xlfn.IFNA(VLOOKUP($A3,'FL Ratio'!$A$3:$B$10,2,FALSE),0)*'FL Characterization'!D$2)</f>
        <v>26.029918142289652</v>
      </c>
      <c r="E3" s="2">
        <f ca="1">('[1]Pc, Winter, S2'!E3*Main!$B$5)+(_xlfn.IFNA(VLOOKUP($A3,'FL Ratio'!$A$3:$B$10,2,FALSE),0)*'FL Characterization'!E$2)</f>
        <v>27.996671120301684</v>
      </c>
      <c r="F3" s="2">
        <f ca="1">('[1]Pc, Winter, S2'!F3*Main!$B$5)+(_xlfn.IFNA(VLOOKUP($A3,'FL Ratio'!$A$3:$B$10,2,FALSE),0)*'FL Characterization'!F$2)</f>
        <v>27.899029880356334</v>
      </c>
      <c r="G3" s="2">
        <f ca="1">('[1]Pc, Winter, S2'!G3*Main!$B$5)+(_xlfn.IFNA(VLOOKUP($A3,'FL Ratio'!$A$3:$B$10,2,FALSE),0)*'FL Characterization'!G$2)</f>
        <v>29.084655950707919</v>
      </c>
      <c r="H3" s="2">
        <f ca="1">('[1]Pc, Winter, S2'!H3*Main!$B$5)+(_xlfn.IFNA(VLOOKUP($A3,'FL Ratio'!$A$3:$B$10,2,FALSE),0)*'FL Characterization'!H$2)</f>
        <v>43.284381247100839</v>
      </c>
      <c r="I3" s="2">
        <f ca="1">('[1]Pc, Winter, S2'!I3*Main!$B$5)+(_xlfn.IFNA(VLOOKUP($A3,'FL Ratio'!$A$3:$B$10,2,FALSE),0)*'FL Characterization'!I$2)</f>
        <v>48.208251766949999</v>
      </c>
      <c r="J3" s="2">
        <f ca="1">('[1]Pc, Winter, S2'!J3*Main!$B$5)+(_xlfn.IFNA(VLOOKUP($A3,'FL Ratio'!$A$3:$B$10,2,FALSE),0)*'FL Characterization'!J$2)</f>
        <v>52.853144762506183</v>
      </c>
      <c r="K3" s="2">
        <f ca="1">('[1]Pc, Winter, S2'!K3*Main!$B$5)+(_xlfn.IFNA(VLOOKUP($A3,'FL Ratio'!$A$3:$B$10,2,FALSE),0)*'FL Characterization'!K$2)</f>
        <v>52.88104012229909</v>
      </c>
      <c r="L3" s="2">
        <f ca="1">('[1]Pc, Winter, S2'!L3*Main!$B$5)+(_xlfn.IFNA(VLOOKUP($A3,'FL Ratio'!$A$3:$B$10,2,FALSE),0)*'FL Characterization'!L$2)</f>
        <v>49.951829917180746</v>
      </c>
      <c r="M3" s="2">
        <f ca="1">('[1]Pc, Winter, S2'!M3*Main!$B$5)+(_xlfn.IFNA(VLOOKUP($A3,'FL Ratio'!$A$3:$B$10,2,FALSE),0)*'FL Characterization'!M$2)</f>
        <v>54.652522605199998</v>
      </c>
      <c r="N3" s="2">
        <f ca="1">('[1]Pc, Winter, S2'!N3*Main!$B$5)+(_xlfn.IFNA(VLOOKUP($A3,'FL Ratio'!$A$3:$B$10,2,FALSE),0)*'FL Characterization'!N$2)</f>
        <v>51.541979104075139</v>
      </c>
      <c r="O3" s="2">
        <f ca="1">('[1]Pc, Winter, S2'!O3*Main!$B$5)+(_xlfn.IFNA(VLOOKUP($A3,'FL Ratio'!$A$3:$B$10,2,FALSE),0)*'FL Characterization'!O$2)</f>
        <v>48.250099298968316</v>
      </c>
      <c r="P3" s="2">
        <f ca="1">('[1]Pc, Winter, S2'!P3*Main!$B$5)+(_xlfn.IFNA(VLOOKUP($A3,'FL Ratio'!$A$3:$B$10,2,FALSE),0)*'FL Characterization'!P$2)</f>
        <v>46.785492700275107</v>
      </c>
      <c r="Q3" s="2">
        <f ca="1">('[1]Pc, Winter, S2'!Q3*Main!$B$5)+(_xlfn.IFNA(VLOOKUP($A3,'FL Ratio'!$A$3:$B$10,2,FALSE),0)*'FL Characterization'!Q$2)</f>
        <v>43.716790734851919</v>
      </c>
      <c r="R3" s="2">
        <f ca="1">('[1]Pc, Winter, S2'!R3*Main!$B$5)+(_xlfn.IFNA(VLOOKUP($A3,'FL Ratio'!$A$3:$B$10,2,FALSE),0)*'FL Characterization'!R$2)</f>
        <v>43.744689086912878</v>
      </c>
      <c r="S3" s="2">
        <f ca="1">('[1]Pc, Winter, S2'!S3*Main!$B$5)+(_xlfn.IFNA(VLOOKUP($A3,'FL Ratio'!$A$3:$B$10,2,FALSE),0)*'FL Characterization'!S$2)</f>
        <v>46.311241676822362</v>
      </c>
      <c r="T3" s="2">
        <f ca="1">('[1]Pc, Winter, S2'!T3*Main!$B$5)+(_xlfn.IFNA(VLOOKUP($A3,'FL Ratio'!$A$3:$B$10,2,FALSE),0)*'FL Characterization'!T$2)</f>
        <v>46.311241676822362</v>
      </c>
      <c r="U3" s="2">
        <f ca="1">('[1]Pc, Winter, S2'!U3*Main!$B$5)+(_xlfn.IFNA(VLOOKUP($A3,'FL Ratio'!$A$3:$B$10,2,FALSE),0)*'FL Characterization'!U$2)</f>
        <v>47.008664543642105</v>
      </c>
      <c r="V3" s="2">
        <f ca="1">('[1]Pc, Winter, S2'!V3*Main!$B$5)+(_xlfn.IFNA(VLOOKUP($A3,'FL Ratio'!$A$3:$B$10,2,FALSE),0)*'FL Characterization'!V$2)</f>
        <v>45.739337424717846</v>
      </c>
      <c r="W3" s="2">
        <f ca="1">('[1]Pc, Winter, S2'!W3*Main!$B$5)+(_xlfn.IFNA(VLOOKUP($A3,'FL Ratio'!$A$3:$B$10,2,FALSE),0)*'FL Characterization'!W$2)</f>
        <v>41.331565460339732</v>
      </c>
      <c r="X3" s="2">
        <f ca="1">('[1]Pc, Winter, S2'!X3*Main!$B$5)+(_xlfn.IFNA(VLOOKUP($A3,'FL Ratio'!$A$3:$B$10,2,FALSE),0)*'FL Characterization'!X$2)</f>
        <v>34.957043502363888</v>
      </c>
      <c r="Y3" s="2">
        <f ca="1">('[1]Pc, Winter, S2'!Y3*Main!$B$5)+(_xlfn.IFNA(VLOOKUP($A3,'FL Ratio'!$A$3:$B$10,2,FALSE),0)*'FL Characterization'!Y$2)</f>
        <v>33.827199166940368</v>
      </c>
    </row>
    <row r="4" spans="1:25" x14ac:dyDescent="0.3">
      <c r="A4">
        <v>3</v>
      </c>
      <c r="B4" s="2">
        <f ca="1">('[1]Pc, Winter, S2'!B4*Main!$B$5)+(_xlfn.IFNA(VLOOKUP($A4,'FL Ratio'!$A$3:$B$10,2,FALSE),0)*'FL Characterization'!B$2)</f>
        <v>44.99205915386959</v>
      </c>
      <c r="C4" s="2">
        <f ca="1">('[1]Pc, Winter, S2'!C4*Main!$B$5)+(_xlfn.IFNA(VLOOKUP($A4,'FL Ratio'!$A$3:$B$10,2,FALSE),0)*'FL Characterization'!C$2)</f>
        <v>39.586926139932473</v>
      </c>
      <c r="D4" s="2">
        <f ca="1">('[1]Pc, Winter, S2'!D4*Main!$B$5)+(_xlfn.IFNA(VLOOKUP($A4,'FL Ratio'!$A$3:$B$10,2,FALSE),0)*'FL Characterization'!D$2)</f>
        <v>37.269261545076013</v>
      </c>
      <c r="E4" s="2">
        <f ca="1">('[1]Pc, Winter, S2'!E4*Main!$B$5)+(_xlfn.IFNA(VLOOKUP($A4,'FL Ratio'!$A$3:$B$10,2,FALSE),0)*'FL Characterization'!E$2)</f>
        <v>36.826671484259265</v>
      </c>
      <c r="F4" s="2">
        <f ca="1">('[1]Pc, Winter, S2'!F4*Main!$B$5)+(_xlfn.IFNA(VLOOKUP($A4,'FL Ratio'!$A$3:$B$10,2,FALSE),0)*'FL Characterization'!F$2)</f>
        <v>38.546606412220655</v>
      </c>
      <c r="G4" s="2">
        <f ca="1">('[1]Pc, Winter, S2'!G4*Main!$B$5)+(_xlfn.IFNA(VLOOKUP($A4,'FL Ratio'!$A$3:$B$10,2,FALSE),0)*'FL Characterization'!G$2)</f>
        <v>41.618915511985264</v>
      </c>
      <c r="H4" s="2">
        <f ca="1">('[1]Pc, Winter, S2'!H4*Main!$B$5)+(_xlfn.IFNA(VLOOKUP($A4,'FL Ratio'!$A$3:$B$10,2,FALSE),0)*'FL Characterization'!H$2)</f>
        <v>50.220502975457102</v>
      </c>
      <c r="I4" s="2">
        <f ca="1">('[1]Pc, Winter, S2'!I4*Main!$B$5)+(_xlfn.IFNA(VLOOKUP($A4,'FL Ratio'!$A$3:$B$10,2,FALSE),0)*'FL Characterization'!I$2)</f>
        <v>56.143288114979221</v>
      </c>
      <c r="J4" s="2">
        <f ca="1">('[1]Pc, Winter, S2'!J4*Main!$B$5)+(_xlfn.IFNA(VLOOKUP($A4,'FL Ratio'!$A$3:$B$10,2,FALSE),0)*'FL Characterization'!J$2)</f>
        <v>59.422564464977526</v>
      </c>
      <c r="K4" s="2">
        <f ca="1">('[1]Pc, Winter, S2'!K4*Main!$B$5)+(_xlfn.IFNA(VLOOKUP($A4,'FL Ratio'!$A$3:$B$10,2,FALSE),0)*'FL Characterization'!K$2)</f>
        <v>61.444071049398204</v>
      </c>
      <c r="L4" s="2">
        <f ca="1">('[1]Pc, Winter, S2'!L4*Main!$B$5)+(_xlfn.IFNA(VLOOKUP($A4,'FL Ratio'!$A$3:$B$10,2,FALSE),0)*'FL Characterization'!L$2)</f>
        <v>62.00625689404486</v>
      </c>
      <c r="M4" s="2">
        <f ca="1">('[1]Pc, Winter, S2'!M4*Main!$B$5)+(_xlfn.IFNA(VLOOKUP($A4,'FL Ratio'!$A$3:$B$10,2,FALSE),0)*'FL Characterization'!M$2)</f>
        <v>61.359509617611138</v>
      </c>
      <c r="N4" s="2">
        <f ca="1">('[1]Pc, Winter, S2'!N4*Main!$B$5)+(_xlfn.IFNA(VLOOKUP($A4,'FL Ratio'!$A$3:$B$10,2,FALSE),0)*'FL Characterization'!N$2)</f>
        <v>61.011343005284118</v>
      </c>
      <c r="O4" s="2">
        <f ca="1">('[1]Pc, Winter, S2'!O4*Main!$B$5)+(_xlfn.IFNA(VLOOKUP($A4,'FL Ratio'!$A$3:$B$10,2,FALSE),0)*'FL Characterization'!O$2)</f>
        <v>59.753167052335471</v>
      </c>
      <c r="P4" s="2">
        <f ca="1">('[1]Pc, Winter, S2'!P4*Main!$B$5)+(_xlfn.IFNA(VLOOKUP($A4,'FL Ratio'!$A$3:$B$10,2,FALSE),0)*'FL Characterization'!P$2)</f>
        <v>57.851118298387682</v>
      </c>
      <c r="Q4" s="2">
        <f ca="1">('[1]Pc, Winter, S2'!Q4*Main!$B$5)+(_xlfn.IFNA(VLOOKUP($A4,'FL Ratio'!$A$3:$B$10,2,FALSE),0)*'FL Characterization'!Q$2)</f>
        <v>56.803628141168758</v>
      </c>
      <c r="R4" s="2">
        <f ca="1">('[1]Pc, Winter, S2'!R4*Main!$B$5)+(_xlfn.IFNA(VLOOKUP($A4,'FL Ratio'!$A$3:$B$10,2,FALSE),0)*'FL Characterization'!R$2)</f>
        <v>58.831480943465891</v>
      </c>
      <c r="S4" s="2">
        <f ca="1">('[1]Pc, Winter, S2'!S4*Main!$B$5)+(_xlfn.IFNA(VLOOKUP($A4,'FL Ratio'!$A$3:$B$10,2,FALSE),0)*'FL Characterization'!S$2)</f>
        <v>66.605570066270587</v>
      </c>
      <c r="T4" s="2">
        <f ca="1">('[1]Pc, Winter, S2'!T4*Main!$B$5)+(_xlfn.IFNA(VLOOKUP($A4,'FL Ratio'!$A$3:$B$10,2,FALSE),0)*'FL Characterization'!T$2)</f>
        <v>67.912315112775502</v>
      </c>
      <c r="U4" s="2">
        <f ca="1">('[1]Pc, Winter, S2'!U4*Main!$B$5)+(_xlfn.IFNA(VLOOKUP($A4,'FL Ratio'!$A$3:$B$10,2,FALSE),0)*'FL Characterization'!U$2)</f>
        <v>68.315653256499999</v>
      </c>
      <c r="V4" s="2">
        <f ca="1">('[1]Pc, Winter, S2'!V4*Main!$B$5)+(_xlfn.IFNA(VLOOKUP($A4,'FL Ratio'!$A$3:$B$10,2,FALSE),0)*'FL Characterization'!V$2)</f>
        <v>66.284154897069627</v>
      </c>
      <c r="W4" s="2">
        <f ca="1">('[1]Pc, Winter, S2'!W4*Main!$B$5)+(_xlfn.IFNA(VLOOKUP($A4,'FL Ratio'!$A$3:$B$10,2,FALSE),0)*'FL Characterization'!W$2)</f>
        <v>63.254196349197549</v>
      </c>
      <c r="X4" s="2">
        <f ca="1">('[1]Pc, Winter, S2'!X4*Main!$B$5)+(_xlfn.IFNA(VLOOKUP($A4,'FL Ratio'!$A$3:$B$10,2,FALSE),0)*'FL Characterization'!X$2)</f>
        <v>57.678570727611969</v>
      </c>
      <c r="Y4" s="2">
        <f ca="1">('[1]Pc, Winter, S2'!Y4*Main!$B$5)+(_xlfn.IFNA(VLOOKUP($A4,'FL Ratio'!$A$3:$B$10,2,FALSE),0)*'FL Characterization'!Y$2)</f>
        <v>50.982484948625341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28.596590232526207</v>
      </c>
      <c r="C2" s="2">
        <f ca="1">('[1]Pc, Winter, S3'!C2*Main!$B$5)+(_xlfn.IFNA(VLOOKUP($A2,'FL Ratio'!$A$3:$B$10,2,FALSE),0)*'FL Characterization'!C$2)</f>
        <v>26.673420752758393</v>
      </c>
      <c r="D2" s="2">
        <f ca="1">('[1]Pc, Winter, S3'!D2*Main!$B$5)+(_xlfn.IFNA(VLOOKUP($A2,'FL Ratio'!$A$3:$B$10,2,FALSE),0)*'FL Characterization'!D$2)</f>
        <v>25.273885874262081</v>
      </c>
      <c r="E2" s="2">
        <f ca="1">('[1]Pc, Winter, S3'!E2*Main!$B$5)+(_xlfn.IFNA(VLOOKUP($A2,'FL Ratio'!$A$3:$B$10,2,FALSE),0)*'FL Characterization'!E$2)</f>
        <v>25.095059066283991</v>
      </c>
      <c r="F2" s="2">
        <f ca="1">('[1]Pc, Winter, S3'!F2*Main!$B$5)+(_xlfn.IFNA(VLOOKUP($A2,'FL Ratio'!$A$3:$B$10,2,FALSE),0)*'FL Characterization'!F$2)</f>
        <v>25.39776245521087</v>
      </c>
      <c r="G2" s="2">
        <f ca="1">('[1]Pc, Winter, S3'!G2*Main!$B$5)+(_xlfn.IFNA(VLOOKUP($A2,'FL Ratio'!$A$3:$B$10,2,FALSE),0)*'FL Characterization'!G$2)</f>
        <v>27.917624693198849</v>
      </c>
      <c r="H2" s="2">
        <f ca="1">('[1]Pc, Winter, S3'!H2*Main!$B$5)+(_xlfn.IFNA(VLOOKUP($A2,'FL Ratio'!$A$3:$B$10,2,FALSE),0)*'FL Characterization'!H$2)</f>
        <v>33.312529839014346</v>
      </c>
      <c r="I2" s="2">
        <f ca="1">('[1]Pc, Winter, S3'!I2*Main!$B$5)+(_xlfn.IFNA(VLOOKUP($A2,'FL Ratio'!$A$3:$B$10,2,FALSE),0)*'FL Characterization'!I$2)</f>
        <v>40.098129673051602</v>
      </c>
      <c r="J2" s="2">
        <f ca="1">('[1]Pc, Winter, S3'!J2*Main!$B$5)+(_xlfn.IFNA(VLOOKUP($A2,'FL Ratio'!$A$3:$B$10,2,FALSE),0)*'FL Characterization'!J$2)</f>
        <v>43.655967332746279</v>
      </c>
      <c r="K2" s="2">
        <f ca="1">('[1]Pc, Winter, S3'!K2*Main!$B$5)+(_xlfn.IFNA(VLOOKUP($A2,'FL Ratio'!$A$3:$B$10,2,FALSE),0)*'FL Characterization'!K$2)</f>
        <v>44.200349811574156</v>
      </c>
      <c r="L2" s="2">
        <f ca="1">('[1]Pc, Winter, S3'!L2*Main!$B$5)+(_xlfn.IFNA(VLOOKUP($A2,'FL Ratio'!$A$3:$B$10,2,FALSE),0)*'FL Characterization'!L$2)</f>
        <v>43.007530474524955</v>
      </c>
      <c r="M2" s="2">
        <f ca="1">('[1]Pc, Winter, S3'!M2*Main!$B$5)+(_xlfn.IFNA(VLOOKUP($A2,'FL Ratio'!$A$3:$B$10,2,FALSE),0)*'FL Characterization'!M$2)</f>
        <v>43.229197034967505</v>
      </c>
      <c r="N2" s="2">
        <f ca="1">('[1]Pc, Winter, S3'!N2*Main!$B$5)+(_xlfn.IFNA(VLOOKUP($A2,'FL Ratio'!$A$3:$B$10,2,FALSE),0)*'FL Characterization'!N$2)</f>
        <v>43.193672492057708</v>
      </c>
      <c r="O2" s="2">
        <f ca="1">('[1]Pc, Winter, S3'!O2*Main!$B$5)+(_xlfn.IFNA(VLOOKUP($A2,'FL Ratio'!$A$3:$B$10,2,FALSE),0)*'FL Characterization'!O$2)</f>
        <v>42.48834295529889</v>
      </c>
      <c r="P2" s="2">
        <f ca="1">('[1]Pc, Winter, S3'!P2*Main!$B$5)+(_xlfn.IFNA(VLOOKUP($A2,'FL Ratio'!$A$3:$B$10,2,FALSE),0)*'FL Characterization'!P$2)</f>
        <v>40.066951274897711</v>
      </c>
      <c r="Q2" s="2">
        <f ca="1">('[1]Pc, Winter, S3'!Q2*Main!$B$5)+(_xlfn.IFNA(VLOOKUP($A2,'FL Ratio'!$A$3:$B$10,2,FALSE),0)*'FL Characterization'!Q$2)</f>
        <v>38.919018318238741</v>
      </c>
      <c r="R2" s="2">
        <f ca="1">('[1]Pc, Winter, S3'!R2*Main!$B$5)+(_xlfn.IFNA(VLOOKUP($A2,'FL Ratio'!$A$3:$B$10,2,FALSE),0)*'FL Characterization'!R$2)</f>
        <v>40.532177343951368</v>
      </c>
      <c r="S2" s="2">
        <f ca="1">('[1]Pc, Winter, S3'!S2*Main!$B$5)+(_xlfn.IFNA(VLOOKUP($A2,'FL Ratio'!$A$3:$B$10,2,FALSE),0)*'FL Characterization'!S$2)</f>
        <v>44.930679641774994</v>
      </c>
      <c r="T2" s="2">
        <f ca="1">('[1]Pc, Winter, S3'!T2*Main!$B$5)+(_xlfn.IFNA(VLOOKUP($A2,'FL Ratio'!$A$3:$B$10,2,FALSE),0)*'FL Characterization'!T$2)</f>
        <v>44.767806638683979</v>
      </c>
      <c r="U2" s="2">
        <f ca="1">('[1]Pc, Winter, S3'!U2*Main!$B$5)+(_xlfn.IFNA(VLOOKUP($A2,'FL Ratio'!$A$3:$B$10,2,FALSE),0)*'FL Characterization'!U$2)</f>
        <v>43.840952064969251</v>
      </c>
      <c r="V2" s="2">
        <f ca="1">('[1]Pc, Winter, S3'!V2*Main!$B$5)+(_xlfn.IFNA(VLOOKUP($A2,'FL Ratio'!$A$3:$B$10,2,FALSE),0)*'FL Characterization'!V$2)</f>
        <v>43.087001141863766</v>
      </c>
      <c r="W2" s="2">
        <f ca="1">('[1]Pc, Winter, S3'!W2*Main!$B$5)+(_xlfn.IFNA(VLOOKUP($A2,'FL Ratio'!$A$3:$B$10,2,FALSE),0)*'FL Characterization'!W$2)</f>
        <v>40.384109230127102</v>
      </c>
      <c r="X2" s="2">
        <f ca="1">('[1]Pc, Winter, S3'!X2*Main!$B$5)+(_xlfn.IFNA(VLOOKUP($A2,'FL Ratio'!$A$3:$B$10,2,FALSE),0)*'FL Characterization'!X$2)</f>
        <v>35.328581813401783</v>
      </c>
      <c r="Y2" s="2">
        <f ca="1">('[1]Pc, Winter, S3'!Y2*Main!$B$5)+(_xlfn.IFNA(VLOOKUP($A2,'FL Ratio'!$A$3:$B$10,2,FALSE),0)*'FL Characterization'!Y$2)</f>
        <v>32.051991441764415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28.275087205391305</v>
      </c>
      <c r="C3" s="2">
        <f ca="1">('[1]Pc, Winter, S3'!C3*Main!$B$5)+(_xlfn.IFNA(VLOOKUP($A3,'FL Ratio'!$A$3:$B$10,2,FALSE),0)*'FL Characterization'!C$2)</f>
        <v>26.274666894625909</v>
      </c>
      <c r="D3" s="2">
        <f ca="1">('[1]Pc, Winter, S3'!D3*Main!$B$5)+(_xlfn.IFNA(VLOOKUP($A3,'FL Ratio'!$A$3:$B$10,2,FALSE),0)*'FL Characterization'!D$2)</f>
        <v>23.77732907228382</v>
      </c>
      <c r="E3" s="2">
        <f ca="1">('[1]Pc, Winter, S3'!E3*Main!$B$5)+(_xlfn.IFNA(VLOOKUP($A3,'FL Ratio'!$A$3:$B$10,2,FALSE),0)*'FL Characterization'!E$2)</f>
        <v>25.573882273352492</v>
      </c>
      <c r="F3" s="2">
        <f ca="1">('[1]Pc, Winter, S3'!F3*Main!$B$5)+(_xlfn.IFNA(VLOOKUP($A3,'FL Ratio'!$A$3:$B$10,2,FALSE),0)*'FL Characterization'!F$2)</f>
        <v>25.484690756094729</v>
      </c>
      <c r="G3" s="2">
        <f ca="1">('[1]Pc, Winter, S3'!G3*Main!$B$5)+(_xlfn.IFNA(VLOOKUP($A3,'FL Ratio'!$A$3:$B$10,2,FALSE),0)*'FL Characterization'!G$2)</f>
        <v>26.567714570358195</v>
      </c>
      <c r="H3" s="2">
        <f ca="1">('[1]Pc, Winter, S3'!H3*Main!$B$5)+(_xlfn.IFNA(VLOOKUP($A3,'FL Ratio'!$A$3:$B$10,2,FALSE),0)*'FL Characterization'!H$2)</f>
        <v>39.538617485332487</v>
      </c>
      <c r="I3" s="2">
        <f ca="1">('[1]Pc, Winter, S3'!I3*Main!$B$5)+(_xlfn.IFNA(VLOOKUP($A3,'FL Ratio'!$A$3:$B$10,2,FALSE),0)*'FL Characterization'!I$2)</f>
        <v>44.036383825579328</v>
      </c>
      <c r="J3" s="2">
        <f ca="1">('[1]Pc, Winter, S3'!J3*Main!$B$5)+(_xlfn.IFNA(VLOOKUP($A3,'FL Ratio'!$A$3:$B$10,2,FALSE),0)*'FL Characterization'!J$2)</f>
        <v>48.279314927289299</v>
      </c>
      <c r="K3" s="2">
        <f ca="1">('[1]Pc, Winter, S3'!K3*Main!$B$5)+(_xlfn.IFNA(VLOOKUP($A3,'FL Ratio'!$A$3:$B$10,2,FALSE),0)*'FL Characterization'!K$2)</f>
        <v>48.304796265561677</v>
      </c>
      <c r="L3" s="2">
        <f ca="1">('[1]Pc, Winter, S3'!L3*Main!$B$5)+(_xlfn.IFNA(VLOOKUP($A3,'FL Ratio'!$A$3:$B$10,2,FALSE),0)*'FL Characterization'!L$2)</f>
        <v>45.629075405117021</v>
      </c>
      <c r="M3" s="2">
        <f ca="1">('[1]Pc, Winter, S3'!M3*Main!$B$5)+(_xlfn.IFNA(VLOOKUP($A3,'FL Ratio'!$A$3:$B$10,2,FALSE),0)*'FL Characterization'!M$2)</f>
        <v>49.922977379749994</v>
      </c>
      <c r="N3" s="2">
        <f ca="1">('[1]Pc, Winter, S3'!N3*Main!$B$5)+(_xlfn.IFNA(VLOOKUP($A3,'FL Ratio'!$A$3:$B$10,2,FALSE),0)*'FL Characterization'!N$2)</f>
        <v>47.081615527760938</v>
      </c>
      <c r="O3" s="2">
        <f ca="1">('[1]Pc, Winter, S3'!O3*Main!$B$5)+(_xlfn.IFNA(VLOOKUP($A3,'FL Ratio'!$A$3:$B$10,2,FALSE),0)*'FL Characterization'!O$2)</f>
        <v>44.074609936557586</v>
      </c>
      <c r="P3" s="2">
        <f ca="1">('[1]Pc, Winter, S3'!P3*Main!$B$5)+(_xlfn.IFNA(VLOOKUP($A3,'FL Ratio'!$A$3:$B$10,2,FALSE),0)*'FL Characterization'!P$2)</f>
        <v>42.736748139674376</v>
      </c>
      <c r="Q3" s="2">
        <f ca="1">('[1]Pc, Winter, S3'!Q3*Main!$B$5)+(_xlfn.IFNA(VLOOKUP($A3,'FL Ratio'!$A$3:$B$10,2,FALSE),0)*'FL Characterization'!Q$2)</f>
        <v>39.933606921258963</v>
      </c>
      <c r="R3" s="2">
        <f ca="1">('[1]Pc, Winter, S3'!R3*Main!$B$5)+(_xlfn.IFNA(VLOOKUP($A3,'FL Ratio'!$A$3:$B$10,2,FALSE),0)*'FL Characterization'!R$2)</f>
        <v>39.959090992853113</v>
      </c>
      <c r="S3" s="2">
        <f ca="1">('[1]Pc, Winter, S3'!S3*Main!$B$5)+(_xlfn.IFNA(VLOOKUP($A3,'FL Ratio'!$A$3:$B$10,2,FALSE),0)*'FL Characterization'!S$2)</f>
        <v>42.303538070174262</v>
      </c>
      <c r="T3" s="2">
        <f ca="1">('[1]Pc, Winter, S3'!T3*Main!$B$5)+(_xlfn.IFNA(VLOOKUP($A3,'FL Ratio'!$A$3:$B$10,2,FALSE),0)*'FL Characterization'!T$2)</f>
        <v>42.303538070174262</v>
      </c>
      <c r="U3" s="2">
        <f ca="1">('[1]Pc, Winter, S3'!U3*Main!$B$5)+(_xlfn.IFNA(VLOOKUP($A3,'FL Ratio'!$A$3:$B$10,2,FALSE),0)*'FL Characterization'!U$2)</f>
        <v>42.940607035057681</v>
      </c>
      <c r="V3" s="2">
        <f ca="1">('[1]Pc, Winter, S3'!V3*Main!$B$5)+(_xlfn.IFNA(VLOOKUP($A3,'FL Ratio'!$A$3:$B$10,2,FALSE),0)*'FL Characterization'!V$2)</f>
        <v>41.781125532194189</v>
      </c>
      <c r="W3" s="2">
        <f ca="1">('[1]Pc, Winter, S3'!W3*Main!$B$5)+(_xlfn.IFNA(VLOOKUP($A3,'FL Ratio'!$A$3:$B$10,2,FALSE),0)*'FL Characterization'!W$2)</f>
        <v>37.754795372425718</v>
      </c>
      <c r="X3" s="2">
        <f ca="1">('[1]Pc, Winter, S3'!X3*Main!$B$5)+(_xlfn.IFNA(VLOOKUP($A3,'FL Ratio'!$A$3:$B$10,2,FALSE),0)*'FL Characterization'!X$2)</f>
        <v>31.93191473773625</v>
      </c>
      <c r="Y3" s="2">
        <f ca="1">('[1]Pc, Winter, S3'!Y3*Main!$B$5)+(_xlfn.IFNA(VLOOKUP($A3,'FL Ratio'!$A$3:$B$10,2,FALSE),0)*'FL Characterization'!Y$2)</f>
        <v>30.89984539287822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41.09851557324626</v>
      </c>
      <c r="C4" s="2">
        <f ca="1">('[1]Pc, Winter, S3'!C4*Main!$B$5)+(_xlfn.IFNA(VLOOKUP($A4,'FL Ratio'!$A$3:$B$10,2,FALSE),0)*'FL Characterization'!C$2)</f>
        <v>36.161134454745998</v>
      </c>
      <c r="D4" s="2">
        <f ca="1">('[1]Pc, Winter, S3'!D4*Main!$B$5)+(_xlfn.IFNA(VLOOKUP($A4,'FL Ratio'!$A$3:$B$10,2,FALSE),0)*'FL Characterization'!D$2)</f>
        <v>34.044036988290586</v>
      </c>
      <c r="E4" s="2">
        <f ca="1">('[1]Pc, Winter, S3'!E4*Main!$B$5)+(_xlfn.IFNA(VLOOKUP($A4,'FL Ratio'!$A$3:$B$10,2,FALSE),0)*'FL Characterization'!E$2)</f>
        <v>33.639747990429129</v>
      </c>
      <c r="F4" s="2">
        <f ca="1">('[1]Pc, Winter, S3'!F4*Main!$B$5)+(_xlfn.IFNA(VLOOKUP($A4,'FL Ratio'!$A$3:$B$10,2,FALSE),0)*'FL Characterization'!F$2)</f>
        <v>35.210842395778485</v>
      </c>
      <c r="G4" s="2">
        <f ca="1">('[1]Pc, Winter, S3'!G4*Main!$B$5)+(_xlfn.IFNA(VLOOKUP($A4,'FL Ratio'!$A$3:$B$10,2,FALSE),0)*'FL Characterization'!G$2)</f>
        <v>38.017278592678849</v>
      </c>
      <c r="H4" s="2">
        <f ca="1">('[1]Pc, Winter, S3'!H4*Main!$B$5)+(_xlfn.IFNA(VLOOKUP($A4,'FL Ratio'!$A$3:$B$10,2,FALSE),0)*'FL Characterization'!H$2)</f>
        <v>45.874497910273313</v>
      </c>
      <c r="I4" s="2">
        <f ca="1">('[1]Pc, Winter, S3'!I4*Main!$B$5)+(_xlfn.IFNA(VLOOKUP($A4,'FL Ratio'!$A$3:$B$10,2,FALSE),0)*'FL Characterization'!I$2)</f>
        <v>51.284734335798319</v>
      </c>
      <c r="J4" s="2">
        <f ca="1">('[1]Pc, Winter, S3'!J4*Main!$B$5)+(_xlfn.IFNA(VLOOKUP($A4,'FL Ratio'!$A$3:$B$10,2,FALSE),0)*'FL Characterization'!J$2)</f>
        <v>54.280227155508314</v>
      </c>
      <c r="K4" s="2">
        <f ca="1">('[1]Pc, Winter, S3'!K4*Main!$B$5)+(_xlfn.IFNA(VLOOKUP($A4,'FL Ratio'!$A$3:$B$10,2,FALSE),0)*'FL Characterization'!K$2)</f>
        <v>56.126795670123357</v>
      </c>
      <c r="L4" s="2">
        <f ca="1">('[1]Pc, Winter, S3'!L4*Main!$B$5)+(_xlfn.IFNA(VLOOKUP($A4,'FL Ratio'!$A$3:$B$10,2,FALSE),0)*'FL Characterization'!L$2)</f>
        <v>56.640330816675586</v>
      </c>
      <c r="M4" s="2">
        <f ca="1">('[1]Pc, Winter, S3'!M4*Main!$B$5)+(_xlfn.IFNA(VLOOKUP($A4,'FL Ratio'!$A$3:$B$10,2,FALSE),0)*'FL Characterization'!M$2)</f>
        <v>56.049552054548634</v>
      </c>
      <c r="N4" s="2">
        <f ca="1">('[1]Pc, Winter, S3'!N4*Main!$B$5)+(_xlfn.IFNA(VLOOKUP($A4,'FL Ratio'!$A$3:$B$10,2,FALSE),0)*'FL Characterization'!N$2)</f>
        <v>55.73151524521144</v>
      </c>
      <c r="O4" s="2">
        <f ca="1">('[1]Pc, Winter, S3'!O4*Main!$B$5)+(_xlfn.IFNA(VLOOKUP($A4,'FL Ratio'!$A$3:$B$10,2,FALSE),0)*'FL Characterization'!O$2)</f>
        <v>54.582219903575663</v>
      </c>
      <c r="P4" s="2">
        <f ca="1">('[1]Pc, Winter, S3'!P4*Main!$B$5)+(_xlfn.IFNA(VLOOKUP($A4,'FL Ratio'!$A$3:$B$10,2,FALSE),0)*'FL Characterization'!P$2)</f>
        <v>52.844771522565679</v>
      </c>
      <c r="Q4" s="2">
        <f ca="1">('[1]Pc, Winter, S3'!Q4*Main!$B$5)+(_xlfn.IFNA(VLOOKUP($A4,'FL Ratio'!$A$3:$B$10,2,FALSE),0)*'FL Characterization'!Q$2)</f>
        <v>51.887929552029149</v>
      </c>
      <c r="R4" s="2">
        <f ca="1">('[1]Pc, Winter, S3'!R4*Main!$B$5)+(_xlfn.IFNA(VLOOKUP($A4,'FL Ratio'!$A$3:$B$10,2,FALSE),0)*'FL Characterization'!R$2)</f>
        <v>53.740295092589029</v>
      </c>
      <c r="S4" s="2">
        <f ca="1">('[1]Pc, Winter, S3'!S4*Main!$B$5)+(_xlfn.IFNA(VLOOKUP($A4,'FL Ratio'!$A$3:$B$10,2,FALSE),0)*'FL Characterization'!S$2)</f>
        <v>60.841626502843319</v>
      </c>
      <c r="T4" s="2">
        <f ca="1">('[1]Pc, Winter, S3'!T4*Main!$B$5)+(_xlfn.IFNA(VLOOKUP($A4,'FL Ratio'!$A$3:$B$10,2,FALSE),0)*'FL Characterization'!T$2)</f>
        <v>62.035287843400688</v>
      </c>
      <c r="U4" s="2">
        <f ca="1">('[1]Pc, Winter, S3'!U4*Main!$B$5)+(_xlfn.IFNA(VLOOKUP($A4,'FL Ratio'!$A$3:$B$10,2,FALSE),0)*'FL Characterization'!U$2)</f>
        <v>62.403721724687493</v>
      </c>
      <c r="V4" s="2">
        <f ca="1">('[1]Pc, Winter, S3'!V4*Main!$B$5)+(_xlfn.IFNA(VLOOKUP($A4,'FL Ratio'!$A$3:$B$10,2,FALSE),0)*'FL Characterization'!V$2)</f>
        <v>60.548026107900135</v>
      </c>
      <c r="W4" s="2">
        <f ca="1">('[1]Pc, Winter, S3'!W4*Main!$B$5)+(_xlfn.IFNA(VLOOKUP($A4,'FL Ratio'!$A$3:$B$10,2,FALSE),0)*'FL Characterization'!W$2)</f>
        <v>57.780275511286227</v>
      </c>
      <c r="X4" s="2">
        <f ca="1">('[1]Pc, Winter, S3'!X4*Main!$B$5)+(_xlfn.IFNA(VLOOKUP($A4,'FL Ratio'!$A$3:$B$10,2,FALSE),0)*'FL Characterization'!X$2)</f>
        <v>52.68715595310708</v>
      </c>
      <c r="Y4" s="2">
        <f ca="1">('[1]Pc, Winter, S3'!Y4*Main!$B$5)+(_xlfn.IFNA(VLOOKUP($A4,'FL Ratio'!$A$3:$B$10,2,FALSE),0)*'FL Characterization'!Y$2)</f>
        <v>46.570539135763525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28.596590232526207</v>
      </c>
      <c r="C2" s="2">
        <f ca="1">('[1]Pc, Winter, S3'!C2*Main!$B$5)+(_xlfn.IFNA(VLOOKUP($A2,'FL Ratio'!$A$3:$B$10,2,FALSE),0)*'FL Characterization'!C$2)</f>
        <v>26.673420752758393</v>
      </c>
      <c r="D2" s="2">
        <f ca="1">('[1]Pc, Winter, S3'!D2*Main!$B$5)+(_xlfn.IFNA(VLOOKUP($A2,'FL Ratio'!$A$3:$B$10,2,FALSE),0)*'FL Characterization'!D$2)</f>
        <v>25.273885874262081</v>
      </c>
      <c r="E2" s="2">
        <f ca="1">('[1]Pc, Winter, S3'!E2*Main!$B$5)+(_xlfn.IFNA(VLOOKUP($A2,'FL Ratio'!$A$3:$B$10,2,FALSE),0)*'FL Characterization'!E$2)</f>
        <v>25.095059066283991</v>
      </c>
      <c r="F2" s="2">
        <f ca="1">('[1]Pc, Winter, S3'!F2*Main!$B$5)+(_xlfn.IFNA(VLOOKUP($A2,'FL Ratio'!$A$3:$B$10,2,FALSE),0)*'FL Characterization'!F$2)</f>
        <v>25.39776245521087</v>
      </c>
      <c r="G2" s="2">
        <f ca="1">('[1]Pc, Winter, S3'!G2*Main!$B$5)+(_xlfn.IFNA(VLOOKUP($A2,'FL Ratio'!$A$3:$B$10,2,FALSE),0)*'FL Characterization'!G$2)</f>
        <v>27.917624693198849</v>
      </c>
      <c r="H2" s="2">
        <f ca="1">('[1]Pc, Winter, S3'!H2*Main!$B$5)+(_xlfn.IFNA(VLOOKUP($A2,'FL Ratio'!$A$3:$B$10,2,FALSE),0)*'FL Characterization'!H$2)</f>
        <v>33.312529839014346</v>
      </c>
      <c r="I2" s="2">
        <f ca="1">('[1]Pc, Winter, S3'!I2*Main!$B$5)+(_xlfn.IFNA(VLOOKUP($A2,'FL Ratio'!$A$3:$B$10,2,FALSE),0)*'FL Characterization'!I$2)</f>
        <v>40.098129673051602</v>
      </c>
      <c r="J2" s="2">
        <f ca="1">('[1]Pc, Winter, S3'!J2*Main!$B$5)+(_xlfn.IFNA(VLOOKUP($A2,'FL Ratio'!$A$3:$B$10,2,FALSE),0)*'FL Characterization'!J$2)</f>
        <v>43.655967332746279</v>
      </c>
      <c r="K2" s="2">
        <f ca="1">('[1]Pc, Winter, S3'!K2*Main!$B$5)+(_xlfn.IFNA(VLOOKUP($A2,'FL Ratio'!$A$3:$B$10,2,FALSE),0)*'FL Characterization'!K$2)</f>
        <v>44.200349811574156</v>
      </c>
      <c r="L2" s="2">
        <f ca="1">('[1]Pc, Winter, S3'!L2*Main!$B$5)+(_xlfn.IFNA(VLOOKUP($A2,'FL Ratio'!$A$3:$B$10,2,FALSE),0)*'FL Characterization'!L$2)</f>
        <v>43.007530474524955</v>
      </c>
      <c r="M2" s="2">
        <f ca="1">('[1]Pc, Winter, S3'!M2*Main!$B$5)+(_xlfn.IFNA(VLOOKUP($A2,'FL Ratio'!$A$3:$B$10,2,FALSE),0)*'FL Characterization'!M$2)</f>
        <v>43.229197034967505</v>
      </c>
      <c r="N2" s="2">
        <f ca="1">('[1]Pc, Winter, S3'!N2*Main!$B$5)+(_xlfn.IFNA(VLOOKUP($A2,'FL Ratio'!$A$3:$B$10,2,FALSE),0)*'FL Characterization'!N$2)</f>
        <v>43.193672492057708</v>
      </c>
      <c r="O2" s="2">
        <f ca="1">('[1]Pc, Winter, S3'!O2*Main!$B$5)+(_xlfn.IFNA(VLOOKUP($A2,'FL Ratio'!$A$3:$B$10,2,FALSE),0)*'FL Characterization'!O$2)</f>
        <v>42.48834295529889</v>
      </c>
      <c r="P2" s="2">
        <f ca="1">('[1]Pc, Winter, S3'!P2*Main!$B$5)+(_xlfn.IFNA(VLOOKUP($A2,'FL Ratio'!$A$3:$B$10,2,FALSE),0)*'FL Characterization'!P$2)</f>
        <v>40.066951274897711</v>
      </c>
      <c r="Q2" s="2">
        <f ca="1">('[1]Pc, Winter, S3'!Q2*Main!$B$5)+(_xlfn.IFNA(VLOOKUP($A2,'FL Ratio'!$A$3:$B$10,2,FALSE),0)*'FL Characterization'!Q$2)</f>
        <v>38.919018318238741</v>
      </c>
      <c r="R2" s="2">
        <f ca="1">('[1]Pc, Winter, S3'!R2*Main!$B$5)+(_xlfn.IFNA(VLOOKUP($A2,'FL Ratio'!$A$3:$B$10,2,FALSE),0)*'FL Characterization'!R$2)</f>
        <v>40.532177343951368</v>
      </c>
      <c r="S2" s="2">
        <f ca="1">('[1]Pc, Winter, S3'!S2*Main!$B$5)+(_xlfn.IFNA(VLOOKUP($A2,'FL Ratio'!$A$3:$B$10,2,FALSE),0)*'FL Characterization'!S$2)</f>
        <v>44.930679641774994</v>
      </c>
      <c r="T2" s="2">
        <f ca="1">('[1]Pc, Winter, S3'!T2*Main!$B$5)+(_xlfn.IFNA(VLOOKUP($A2,'FL Ratio'!$A$3:$B$10,2,FALSE),0)*'FL Characterization'!T$2)</f>
        <v>44.767806638683979</v>
      </c>
      <c r="U2" s="2">
        <f ca="1">('[1]Pc, Winter, S3'!U2*Main!$B$5)+(_xlfn.IFNA(VLOOKUP($A2,'FL Ratio'!$A$3:$B$10,2,FALSE),0)*'FL Characterization'!U$2)</f>
        <v>43.840952064969251</v>
      </c>
      <c r="V2" s="2">
        <f ca="1">('[1]Pc, Winter, S3'!V2*Main!$B$5)+(_xlfn.IFNA(VLOOKUP($A2,'FL Ratio'!$A$3:$B$10,2,FALSE),0)*'FL Characterization'!V$2)</f>
        <v>43.087001141863766</v>
      </c>
      <c r="W2" s="2">
        <f ca="1">('[1]Pc, Winter, S3'!W2*Main!$B$5)+(_xlfn.IFNA(VLOOKUP($A2,'FL Ratio'!$A$3:$B$10,2,FALSE),0)*'FL Characterization'!W$2)</f>
        <v>40.384109230127102</v>
      </c>
      <c r="X2" s="2">
        <f ca="1">('[1]Pc, Winter, S3'!X2*Main!$B$5)+(_xlfn.IFNA(VLOOKUP($A2,'FL Ratio'!$A$3:$B$10,2,FALSE),0)*'FL Characterization'!X$2)</f>
        <v>35.328581813401783</v>
      </c>
      <c r="Y2" s="2">
        <f ca="1">('[1]Pc, Winter, S3'!Y2*Main!$B$5)+(_xlfn.IFNA(VLOOKUP($A2,'FL Ratio'!$A$3:$B$10,2,FALSE),0)*'FL Characterization'!Y$2)</f>
        <v>32.051991441764415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28.275087205391305</v>
      </c>
      <c r="C3" s="2">
        <f ca="1">('[1]Pc, Winter, S3'!C3*Main!$B$5)+(_xlfn.IFNA(VLOOKUP($A3,'FL Ratio'!$A$3:$B$10,2,FALSE),0)*'FL Characterization'!C$2)</f>
        <v>26.274666894625909</v>
      </c>
      <c r="D3" s="2">
        <f ca="1">('[1]Pc, Winter, S3'!D3*Main!$B$5)+(_xlfn.IFNA(VLOOKUP($A3,'FL Ratio'!$A$3:$B$10,2,FALSE),0)*'FL Characterization'!D$2)</f>
        <v>23.77732907228382</v>
      </c>
      <c r="E3" s="2">
        <f ca="1">('[1]Pc, Winter, S3'!E3*Main!$B$5)+(_xlfn.IFNA(VLOOKUP($A3,'FL Ratio'!$A$3:$B$10,2,FALSE),0)*'FL Characterization'!E$2)</f>
        <v>25.573882273352492</v>
      </c>
      <c r="F3" s="2">
        <f ca="1">('[1]Pc, Winter, S3'!F3*Main!$B$5)+(_xlfn.IFNA(VLOOKUP($A3,'FL Ratio'!$A$3:$B$10,2,FALSE),0)*'FL Characterization'!F$2)</f>
        <v>25.484690756094729</v>
      </c>
      <c r="G3" s="2">
        <f ca="1">('[1]Pc, Winter, S3'!G3*Main!$B$5)+(_xlfn.IFNA(VLOOKUP($A3,'FL Ratio'!$A$3:$B$10,2,FALSE),0)*'FL Characterization'!G$2)</f>
        <v>26.567714570358195</v>
      </c>
      <c r="H3" s="2">
        <f ca="1">('[1]Pc, Winter, S3'!H3*Main!$B$5)+(_xlfn.IFNA(VLOOKUP($A3,'FL Ratio'!$A$3:$B$10,2,FALSE),0)*'FL Characterization'!H$2)</f>
        <v>39.538617485332487</v>
      </c>
      <c r="I3" s="2">
        <f ca="1">('[1]Pc, Winter, S3'!I3*Main!$B$5)+(_xlfn.IFNA(VLOOKUP($A3,'FL Ratio'!$A$3:$B$10,2,FALSE),0)*'FL Characterization'!I$2)</f>
        <v>44.036383825579328</v>
      </c>
      <c r="J3" s="2">
        <f ca="1">('[1]Pc, Winter, S3'!J3*Main!$B$5)+(_xlfn.IFNA(VLOOKUP($A3,'FL Ratio'!$A$3:$B$10,2,FALSE),0)*'FL Characterization'!J$2)</f>
        <v>48.279314927289299</v>
      </c>
      <c r="K3" s="2">
        <f ca="1">('[1]Pc, Winter, S3'!K3*Main!$B$5)+(_xlfn.IFNA(VLOOKUP($A3,'FL Ratio'!$A$3:$B$10,2,FALSE),0)*'FL Characterization'!K$2)</f>
        <v>48.304796265561677</v>
      </c>
      <c r="L3" s="2">
        <f ca="1">('[1]Pc, Winter, S3'!L3*Main!$B$5)+(_xlfn.IFNA(VLOOKUP($A3,'FL Ratio'!$A$3:$B$10,2,FALSE),0)*'FL Characterization'!L$2)</f>
        <v>45.629075405117021</v>
      </c>
      <c r="M3" s="2">
        <f ca="1">('[1]Pc, Winter, S3'!M3*Main!$B$5)+(_xlfn.IFNA(VLOOKUP($A3,'FL Ratio'!$A$3:$B$10,2,FALSE),0)*'FL Characterization'!M$2)</f>
        <v>49.922977379749994</v>
      </c>
      <c r="N3" s="2">
        <f ca="1">('[1]Pc, Winter, S3'!N3*Main!$B$5)+(_xlfn.IFNA(VLOOKUP($A3,'FL Ratio'!$A$3:$B$10,2,FALSE),0)*'FL Characterization'!N$2)</f>
        <v>47.081615527760938</v>
      </c>
      <c r="O3" s="2">
        <f ca="1">('[1]Pc, Winter, S3'!O3*Main!$B$5)+(_xlfn.IFNA(VLOOKUP($A3,'FL Ratio'!$A$3:$B$10,2,FALSE),0)*'FL Characterization'!O$2)</f>
        <v>44.074609936557586</v>
      </c>
      <c r="P3" s="2">
        <f ca="1">('[1]Pc, Winter, S3'!P3*Main!$B$5)+(_xlfn.IFNA(VLOOKUP($A3,'FL Ratio'!$A$3:$B$10,2,FALSE),0)*'FL Characterization'!P$2)</f>
        <v>42.736748139674376</v>
      </c>
      <c r="Q3" s="2">
        <f ca="1">('[1]Pc, Winter, S3'!Q3*Main!$B$5)+(_xlfn.IFNA(VLOOKUP($A3,'FL Ratio'!$A$3:$B$10,2,FALSE),0)*'FL Characterization'!Q$2)</f>
        <v>39.933606921258963</v>
      </c>
      <c r="R3" s="2">
        <f ca="1">('[1]Pc, Winter, S3'!R3*Main!$B$5)+(_xlfn.IFNA(VLOOKUP($A3,'FL Ratio'!$A$3:$B$10,2,FALSE),0)*'FL Characterization'!R$2)</f>
        <v>39.959090992853113</v>
      </c>
      <c r="S3" s="2">
        <f ca="1">('[1]Pc, Winter, S3'!S3*Main!$B$5)+(_xlfn.IFNA(VLOOKUP($A3,'FL Ratio'!$A$3:$B$10,2,FALSE),0)*'FL Characterization'!S$2)</f>
        <v>42.303538070174262</v>
      </c>
      <c r="T3" s="2">
        <f ca="1">('[1]Pc, Winter, S3'!T3*Main!$B$5)+(_xlfn.IFNA(VLOOKUP($A3,'FL Ratio'!$A$3:$B$10,2,FALSE),0)*'FL Characterization'!T$2)</f>
        <v>42.303538070174262</v>
      </c>
      <c r="U3" s="2">
        <f ca="1">('[1]Pc, Winter, S3'!U3*Main!$B$5)+(_xlfn.IFNA(VLOOKUP($A3,'FL Ratio'!$A$3:$B$10,2,FALSE),0)*'FL Characterization'!U$2)</f>
        <v>42.940607035057681</v>
      </c>
      <c r="V3" s="2">
        <f ca="1">('[1]Pc, Winter, S3'!V3*Main!$B$5)+(_xlfn.IFNA(VLOOKUP($A3,'FL Ratio'!$A$3:$B$10,2,FALSE),0)*'FL Characterization'!V$2)</f>
        <v>41.781125532194189</v>
      </c>
      <c r="W3" s="2">
        <f ca="1">('[1]Pc, Winter, S3'!W3*Main!$B$5)+(_xlfn.IFNA(VLOOKUP($A3,'FL Ratio'!$A$3:$B$10,2,FALSE),0)*'FL Characterization'!W$2)</f>
        <v>37.754795372425718</v>
      </c>
      <c r="X3" s="2">
        <f ca="1">('[1]Pc, Winter, S3'!X3*Main!$B$5)+(_xlfn.IFNA(VLOOKUP($A3,'FL Ratio'!$A$3:$B$10,2,FALSE),0)*'FL Characterization'!X$2)</f>
        <v>31.93191473773625</v>
      </c>
      <c r="Y3" s="2">
        <f ca="1">('[1]Pc, Winter, S3'!Y3*Main!$B$5)+(_xlfn.IFNA(VLOOKUP($A3,'FL Ratio'!$A$3:$B$10,2,FALSE),0)*'FL Characterization'!Y$2)</f>
        <v>30.89984539287822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41.09851557324626</v>
      </c>
      <c r="C4" s="2">
        <f ca="1">('[1]Pc, Winter, S3'!C4*Main!$B$5)+(_xlfn.IFNA(VLOOKUP($A4,'FL Ratio'!$A$3:$B$10,2,FALSE),0)*'FL Characterization'!C$2)</f>
        <v>36.161134454745998</v>
      </c>
      <c r="D4" s="2">
        <f ca="1">('[1]Pc, Winter, S3'!D4*Main!$B$5)+(_xlfn.IFNA(VLOOKUP($A4,'FL Ratio'!$A$3:$B$10,2,FALSE),0)*'FL Characterization'!D$2)</f>
        <v>34.044036988290586</v>
      </c>
      <c r="E4" s="2">
        <f ca="1">('[1]Pc, Winter, S3'!E4*Main!$B$5)+(_xlfn.IFNA(VLOOKUP($A4,'FL Ratio'!$A$3:$B$10,2,FALSE),0)*'FL Characterization'!E$2)</f>
        <v>33.639747990429129</v>
      </c>
      <c r="F4" s="2">
        <f ca="1">('[1]Pc, Winter, S3'!F4*Main!$B$5)+(_xlfn.IFNA(VLOOKUP($A4,'FL Ratio'!$A$3:$B$10,2,FALSE),0)*'FL Characterization'!F$2)</f>
        <v>35.210842395778485</v>
      </c>
      <c r="G4" s="2">
        <f ca="1">('[1]Pc, Winter, S3'!G4*Main!$B$5)+(_xlfn.IFNA(VLOOKUP($A4,'FL Ratio'!$A$3:$B$10,2,FALSE),0)*'FL Characterization'!G$2)</f>
        <v>38.017278592678849</v>
      </c>
      <c r="H4" s="2">
        <f ca="1">('[1]Pc, Winter, S3'!H4*Main!$B$5)+(_xlfn.IFNA(VLOOKUP($A4,'FL Ratio'!$A$3:$B$10,2,FALSE),0)*'FL Characterization'!H$2)</f>
        <v>45.874497910273313</v>
      </c>
      <c r="I4" s="2">
        <f ca="1">('[1]Pc, Winter, S3'!I4*Main!$B$5)+(_xlfn.IFNA(VLOOKUP($A4,'FL Ratio'!$A$3:$B$10,2,FALSE),0)*'FL Characterization'!I$2)</f>
        <v>51.284734335798319</v>
      </c>
      <c r="J4" s="2">
        <f ca="1">('[1]Pc, Winter, S3'!J4*Main!$B$5)+(_xlfn.IFNA(VLOOKUP($A4,'FL Ratio'!$A$3:$B$10,2,FALSE),0)*'FL Characterization'!J$2)</f>
        <v>54.280227155508314</v>
      </c>
      <c r="K4" s="2">
        <f ca="1">('[1]Pc, Winter, S3'!K4*Main!$B$5)+(_xlfn.IFNA(VLOOKUP($A4,'FL Ratio'!$A$3:$B$10,2,FALSE),0)*'FL Characterization'!K$2)</f>
        <v>56.126795670123357</v>
      </c>
      <c r="L4" s="2">
        <f ca="1">('[1]Pc, Winter, S3'!L4*Main!$B$5)+(_xlfn.IFNA(VLOOKUP($A4,'FL Ratio'!$A$3:$B$10,2,FALSE),0)*'FL Characterization'!L$2)</f>
        <v>56.640330816675586</v>
      </c>
      <c r="M4" s="2">
        <f ca="1">('[1]Pc, Winter, S3'!M4*Main!$B$5)+(_xlfn.IFNA(VLOOKUP($A4,'FL Ratio'!$A$3:$B$10,2,FALSE),0)*'FL Characterization'!M$2)</f>
        <v>56.049552054548634</v>
      </c>
      <c r="N4" s="2">
        <f ca="1">('[1]Pc, Winter, S3'!N4*Main!$B$5)+(_xlfn.IFNA(VLOOKUP($A4,'FL Ratio'!$A$3:$B$10,2,FALSE),0)*'FL Characterization'!N$2)</f>
        <v>55.73151524521144</v>
      </c>
      <c r="O4" s="2">
        <f ca="1">('[1]Pc, Winter, S3'!O4*Main!$B$5)+(_xlfn.IFNA(VLOOKUP($A4,'FL Ratio'!$A$3:$B$10,2,FALSE),0)*'FL Characterization'!O$2)</f>
        <v>54.582219903575663</v>
      </c>
      <c r="P4" s="2">
        <f ca="1">('[1]Pc, Winter, S3'!P4*Main!$B$5)+(_xlfn.IFNA(VLOOKUP($A4,'FL Ratio'!$A$3:$B$10,2,FALSE),0)*'FL Characterization'!P$2)</f>
        <v>52.844771522565679</v>
      </c>
      <c r="Q4" s="2">
        <f ca="1">('[1]Pc, Winter, S3'!Q4*Main!$B$5)+(_xlfn.IFNA(VLOOKUP($A4,'FL Ratio'!$A$3:$B$10,2,FALSE),0)*'FL Characterization'!Q$2)</f>
        <v>51.887929552029149</v>
      </c>
      <c r="R4" s="2">
        <f ca="1">('[1]Pc, Winter, S3'!R4*Main!$B$5)+(_xlfn.IFNA(VLOOKUP($A4,'FL Ratio'!$A$3:$B$10,2,FALSE),0)*'FL Characterization'!R$2)</f>
        <v>53.740295092589029</v>
      </c>
      <c r="S4" s="2">
        <f ca="1">('[1]Pc, Winter, S3'!S4*Main!$B$5)+(_xlfn.IFNA(VLOOKUP($A4,'FL Ratio'!$A$3:$B$10,2,FALSE),0)*'FL Characterization'!S$2)</f>
        <v>60.841626502843319</v>
      </c>
      <c r="T4" s="2">
        <f ca="1">('[1]Pc, Winter, S3'!T4*Main!$B$5)+(_xlfn.IFNA(VLOOKUP($A4,'FL Ratio'!$A$3:$B$10,2,FALSE),0)*'FL Characterization'!T$2)</f>
        <v>62.035287843400688</v>
      </c>
      <c r="U4" s="2">
        <f ca="1">('[1]Pc, Winter, S3'!U4*Main!$B$5)+(_xlfn.IFNA(VLOOKUP($A4,'FL Ratio'!$A$3:$B$10,2,FALSE),0)*'FL Characterization'!U$2)</f>
        <v>62.403721724687493</v>
      </c>
      <c r="V4" s="2">
        <f ca="1">('[1]Pc, Winter, S3'!V4*Main!$B$5)+(_xlfn.IFNA(VLOOKUP($A4,'FL Ratio'!$A$3:$B$10,2,FALSE),0)*'FL Characterization'!V$2)</f>
        <v>60.548026107900135</v>
      </c>
      <c r="W4" s="2">
        <f ca="1">('[1]Pc, Winter, S3'!W4*Main!$B$5)+(_xlfn.IFNA(VLOOKUP($A4,'FL Ratio'!$A$3:$B$10,2,FALSE),0)*'FL Characterization'!W$2)</f>
        <v>57.780275511286227</v>
      </c>
      <c r="X4" s="2">
        <f ca="1">('[1]Pc, Winter, S3'!X4*Main!$B$5)+(_xlfn.IFNA(VLOOKUP($A4,'FL Ratio'!$A$3:$B$10,2,FALSE),0)*'FL Characterization'!X$2)</f>
        <v>52.68715595310708</v>
      </c>
      <c r="Y4" s="2">
        <f ca="1">('[1]Pc, Winter, S3'!Y4*Main!$B$5)+(_xlfn.IFNA(VLOOKUP($A4,'FL Ratio'!$A$3:$B$10,2,FALSE),0)*'FL Characterization'!Y$2)</f>
        <v>46.570539135763525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Winter, S3'!B2*Main!$B$5)+(_xlfn.IFNA(VLOOKUP($A2,'FL Ratio'!$A$3:$B$10,2,FALSE),0)*'FL Characterization'!B$2)</f>
        <v>28.596590232526207</v>
      </c>
      <c r="C2" s="2">
        <f ca="1">('[1]Pc, Winter, S3'!C2*Main!$B$5)+(_xlfn.IFNA(VLOOKUP($A2,'FL Ratio'!$A$3:$B$10,2,FALSE),0)*'FL Characterization'!C$2)</f>
        <v>26.673420752758393</v>
      </c>
      <c r="D2" s="2">
        <f ca="1">('[1]Pc, Winter, S3'!D2*Main!$B$5)+(_xlfn.IFNA(VLOOKUP($A2,'FL Ratio'!$A$3:$B$10,2,FALSE),0)*'FL Characterization'!D$2)</f>
        <v>25.273885874262081</v>
      </c>
      <c r="E2" s="2">
        <f ca="1">('[1]Pc, Winter, S3'!E2*Main!$B$5)+(_xlfn.IFNA(VLOOKUP($A2,'FL Ratio'!$A$3:$B$10,2,FALSE),0)*'FL Characterization'!E$2)</f>
        <v>25.095059066283991</v>
      </c>
      <c r="F2" s="2">
        <f ca="1">('[1]Pc, Winter, S3'!F2*Main!$B$5)+(_xlfn.IFNA(VLOOKUP($A2,'FL Ratio'!$A$3:$B$10,2,FALSE),0)*'FL Characterization'!F$2)</f>
        <v>25.39776245521087</v>
      </c>
      <c r="G2" s="2">
        <f ca="1">('[1]Pc, Winter, S3'!G2*Main!$B$5)+(_xlfn.IFNA(VLOOKUP($A2,'FL Ratio'!$A$3:$B$10,2,FALSE),0)*'FL Characterization'!G$2)</f>
        <v>27.917624693198849</v>
      </c>
      <c r="H2" s="2">
        <f ca="1">('[1]Pc, Winter, S3'!H2*Main!$B$5)+(_xlfn.IFNA(VLOOKUP($A2,'FL Ratio'!$A$3:$B$10,2,FALSE),0)*'FL Characterization'!H$2)</f>
        <v>33.312529839014346</v>
      </c>
      <c r="I2" s="2">
        <f ca="1">('[1]Pc, Winter, S3'!I2*Main!$B$5)+(_xlfn.IFNA(VLOOKUP($A2,'FL Ratio'!$A$3:$B$10,2,FALSE),0)*'FL Characterization'!I$2)</f>
        <v>40.098129673051602</v>
      </c>
      <c r="J2" s="2">
        <f ca="1">('[1]Pc, Winter, S3'!J2*Main!$B$5)+(_xlfn.IFNA(VLOOKUP($A2,'FL Ratio'!$A$3:$B$10,2,FALSE),0)*'FL Characterization'!J$2)</f>
        <v>43.655967332746279</v>
      </c>
      <c r="K2" s="2">
        <f ca="1">('[1]Pc, Winter, S3'!K2*Main!$B$5)+(_xlfn.IFNA(VLOOKUP($A2,'FL Ratio'!$A$3:$B$10,2,FALSE),0)*'FL Characterization'!K$2)</f>
        <v>44.200349811574156</v>
      </c>
      <c r="L2" s="2">
        <f ca="1">('[1]Pc, Winter, S3'!L2*Main!$B$5)+(_xlfn.IFNA(VLOOKUP($A2,'FL Ratio'!$A$3:$B$10,2,FALSE),0)*'FL Characterization'!L$2)</f>
        <v>43.007530474524955</v>
      </c>
      <c r="M2" s="2">
        <f ca="1">('[1]Pc, Winter, S3'!M2*Main!$B$5)+(_xlfn.IFNA(VLOOKUP($A2,'FL Ratio'!$A$3:$B$10,2,FALSE),0)*'FL Characterization'!M$2)</f>
        <v>43.229197034967505</v>
      </c>
      <c r="N2" s="2">
        <f ca="1">('[1]Pc, Winter, S3'!N2*Main!$B$5)+(_xlfn.IFNA(VLOOKUP($A2,'FL Ratio'!$A$3:$B$10,2,FALSE),0)*'FL Characterization'!N$2)</f>
        <v>43.193672492057708</v>
      </c>
      <c r="O2" s="2">
        <f ca="1">('[1]Pc, Winter, S3'!O2*Main!$B$5)+(_xlfn.IFNA(VLOOKUP($A2,'FL Ratio'!$A$3:$B$10,2,FALSE),0)*'FL Characterization'!O$2)</f>
        <v>42.48834295529889</v>
      </c>
      <c r="P2" s="2">
        <f ca="1">('[1]Pc, Winter, S3'!P2*Main!$B$5)+(_xlfn.IFNA(VLOOKUP($A2,'FL Ratio'!$A$3:$B$10,2,FALSE),0)*'FL Characterization'!P$2)</f>
        <v>40.066951274897711</v>
      </c>
      <c r="Q2" s="2">
        <f ca="1">('[1]Pc, Winter, S3'!Q2*Main!$B$5)+(_xlfn.IFNA(VLOOKUP($A2,'FL Ratio'!$A$3:$B$10,2,FALSE),0)*'FL Characterization'!Q$2)</f>
        <v>38.919018318238741</v>
      </c>
      <c r="R2" s="2">
        <f ca="1">('[1]Pc, Winter, S3'!R2*Main!$B$5)+(_xlfn.IFNA(VLOOKUP($A2,'FL Ratio'!$A$3:$B$10,2,FALSE),0)*'FL Characterization'!R$2)</f>
        <v>40.532177343951368</v>
      </c>
      <c r="S2" s="2">
        <f ca="1">('[1]Pc, Winter, S3'!S2*Main!$B$5)+(_xlfn.IFNA(VLOOKUP($A2,'FL Ratio'!$A$3:$B$10,2,FALSE),0)*'FL Characterization'!S$2)</f>
        <v>44.930679641774994</v>
      </c>
      <c r="T2" s="2">
        <f ca="1">('[1]Pc, Winter, S3'!T2*Main!$B$5)+(_xlfn.IFNA(VLOOKUP($A2,'FL Ratio'!$A$3:$B$10,2,FALSE),0)*'FL Characterization'!T$2)</f>
        <v>44.767806638683979</v>
      </c>
      <c r="U2" s="2">
        <f ca="1">('[1]Pc, Winter, S3'!U2*Main!$B$5)+(_xlfn.IFNA(VLOOKUP($A2,'FL Ratio'!$A$3:$B$10,2,FALSE),0)*'FL Characterization'!U$2)</f>
        <v>43.840952064969251</v>
      </c>
      <c r="V2" s="2">
        <f ca="1">('[1]Pc, Winter, S3'!V2*Main!$B$5)+(_xlfn.IFNA(VLOOKUP($A2,'FL Ratio'!$A$3:$B$10,2,FALSE),0)*'FL Characterization'!V$2)</f>
        <v>43.087001141863766</v>
      </c>
      <c r="W2" s="2">
        <f ca="1">('[1]Pc, Winter, S3'!W2*Main!$B$5)+(_xlfn.IFNA(VLOOKUP($A2,'FL Ratio'!$A$3:$B$10,2,FALSE),0)*'FL Characterization'!W$2)</f>
        <v>40.384109230127102</v>
      </c>
      <c r="X2" s="2">
        <f ca="1">('[1]Pc, Winter, S3'!X2*Main!$B$5)+(_xlfn.IFNA(VLOOKUP($A2,'FL Ratio'!$A$3:$B$10,2,FALSE),0)*'FL Characterization'!X$2)</f>
        <v>35.328581813401783</v>
      </c>
      <c r="Y2" s="2">
        <f ca="1">('[1]Pc, Winter, S3'!Y2*Main!$B$5)+(_xlfn.IFNA(VLOOKUP($A2,'FL Ratio'!$A$3:$B$10,2,FALSE),0)*'FL Characterization'!Y$2)</f>
        <v>32.051991441764415</v>
      </c>
    </row>
    <row r="3" spans="1:25" x14ac:dyDescent="0.3">
      <c r="A3">
        <v>2</v>
      </c>
      <c r="B3" s="2">
        <f ca="1">('[1]Pc, Winter, S3'!B3*Main!$B$5)+(_xlfn.IFNA(VLOOKUP($A3,'FL Ratio'!$A$3:$B$10,2,FALSE),0)*'FL Characterization'!B$2)</f>
        <v>28.275087205391305</v>
      </c>
      <c r="C3" s="2">
        <f ca="1">('[1]Pc, Winter, S3'!C3*Main!$B$5)+(_xlfn.IFNA(VLOOKUP($A3,'FL Ratio'!$A$3:$B$10,2,FALSE),0)*'FL Characterization'!C$2)</f>
        <v>26.274666894625909</v>
      </c>
      <c r="D3" s="2">
        <f ca="1">('[1]Pc, Winter, S3'!D3*Main!$B$5)+(_xlfn.IFNA(VLOOKUP($A3,'FL Ratio'!$A$3:$B$10,2,FALSE),0)*'FL Characterization'!D$2)</f>
        <v>23.77732907228382</v>
      </c>
      <c r="E3" s="2">
        <f ca="1">('[1]Pc, Winter, S3'!E3*Main!$B$5)+(_xlfn.IFNA(VLOOKUP($A3,'FL Ratio'!$A$3:$B$10,2,FALSE),0)*'FL Characterization'!E$2)</f>
        <v>25.573882273352492</v>
      </c>
      <c r="F3" s="2">
        <f ca="1">('[1]Pc, Winter, S3'!F3*Main!$B$5)+(_xlfn.IFNA(VLOOKUP($A3,'FL Ratio'!$A$3:$B$10,2,FALSE),0)*'FL Characterization'!F$2)</f>
        <v>25.484690756094729</v>
      </c>
      <c r="G3" s="2">
        <f ca="1">('[1]Pc, Winter, S3'!G3*Main!$B$5)+(_xlfn.IFNA(VLOOKUP($A3,'FL Ratio'!$A$3:$B$10,2,FALSE),0)*'FL Characterization'!G$2)</f>
        <v>26.567714570358195</v>
      </c>
      <c r="H3" s="2">
        <f ca="1">('[1]Pc, Winter, S3'!H3*Main!$B$5)+(_xlfn.IFNA(VLOOKUP($A3,'FL Ratio'!$A$3:$B$10,2,FALSE),0)*'FL Characterization'!H$2)</f>
        <v>39.538617485332487</v>
      </c>
      <c r="I3" s="2">
        <f ca="1">('[1]Pc, Winter, S3'!I3*Main!$B$5)+(_xlfn.IFNA(VLOOKUP($A3,'FL Ratio'!$A$3:$B$10,2,FALSE),0)*'FL Characterization'!I$2)</f>
        <v>44.036383825579328</v>
      </c>
      <c r="J3" s="2">
        <f ca="1">('[1]Pc, Winter, S3'!J3*Main!$B$5)+(_xlfn.IFNA(VLOOKUP($A3,'FL Ratio'!$A$3:$B$10,2,FALSE),0)*'FL Characterization'!J$2)</f>
        <v>48.279314927289299</v>
      </c>
      <c r="K3" s="2">
        <f ca="1">('[1]Pc, Winter, S3'!K3*Main!$B$5)+(_xlfn.IFNA(VLOOKUP($A3,'FL Ratio'!$A$3:$B$10,2,FALSE),0)*'FL Characterization'!K$2)</f>
        <v>48.304796265561677</v>
      </c>
      <c r="L3" s="2">
        <f ca="1">('[1]Pc, Winter, S3'!L3*Main!$B$5)+(_xlfn.IFNA(VLOOKUP($A3,'FL Ratio'!$A$3:$B$10,2,FALSE),0)*'FL Characterization'!L$2)</f>
        <v>45.629075405117021</v>
      </c>
      <c r="M3" s="2">
        <f ca="1">('[1]Pc, Winter, S3'!M3*Main!$B$5)+(_xlfn.IFNA(VLOOKUP($A3,'FL Ratio'!$A$3:$B$10,2,FALSE),0)*'FL Characterization'!M$2)</f>
        <v>49.922977379749994</v>
      </c>
      <c r="N3" s="2">
        <f ca="1">('[1]Pc, Winter, S3'!N3*Main!$B$5)+(_xlfn.IFNA(VLOOKUP($A3,'FL Ratio'!$A$3:$B$10,2,FALSE),0)*'FL Characterization'!N$2)</f>
        <v>47.081615527760938</v>
      </c>
      <c r="O3" s="2">
        <f ca="1">('[1]Pc, Winter, S3'!O3*Main!$B$5)+(_xlfn.IFNA(VLOOKUP($A3,'FL Ratio'!$A$3:$B$10,2,FALSE),0)*'FL Characterization'!O$2)</f>
        <v>44.074609936557586</v>
      </c>
      <c r="P3" s="2">
        <f ca="1">('[1]Pc, Winter, S3'!P3*Main!$B$5)+(_xlfn.IFNA(VLOOKUP($A3,'FL Ratio'!$A$3:$B$10,2,FALSE),0)*'FL Characterization'!P$2)</f>
        <v>42.736748139674376</v>
      </c>
      <c r="Q3" s="2">
        <f ca="1">('[1]Pc, Winter, S3'!Q3*Main!$B$5)+(_xlfn.IFNA(VLOOKUP($A3,'FL Ratio'!$A$3:$B$10,2,FALSE),0)*'FL Characterization'!Q$2)</f>
        <v>39.933606921258963</v>
      </c>
      <c r="R3" s="2">
        <f ca="1">('[1]Pc, Winter, S3'!R3*Main!$B$5)+(_xlfn.IFNA(VLOOKUP($A3,'FL Ratio'!$A$3:$B$10,2,FALSE),0)*'FL Characterization'!R$2)</f>
        <v>39.959090992853113</v>
      </c>
      <c r="S3" s="2">
        <f ca="1">('[1]Pc, Winter, S3'!S3*Main!$B$5)+(_xlfn.IFNA(VLOOKUP($A3,'FL Ratio'!$A$3:$B$10,2,FALSE),0)*'FL Characterization'!S$2)</f>
        <v>42.303538070174262</v>
      </c>
      <c r="T3" s="2">
        <f ca="1">('[1]Pc, Winter, S3'!T3*Main!$B$5)+(_xlfn.IFNA(VLOOKUP($A3,'FL Ratio'!$A$3:$B$10,2,FALSE),0)*'FL Characterization'!T$2)</f>
        <v>42.303538070174262</v>
      </c>
      <c r="U3" s="2">
        <f ca="1">('[1]Pc, Winter, S3'!U3*Main!$B$5)+(_xlfn.IFNA(VLOOKUP($A3,'FL Ratio'!$A$3:$B$10,2,FALSE),0)*'FL Characterization'!U$2)</f>
        <v>42.940607035057681</v>
      </c>
      <c r="V3" s="2">
        <f ca="1">('[1]Pc, Winter, S3'!V3*Main!$B$5)+(_xlfn.IFNA(VLOOKUP($A3,'FL Ratio'!$A$3:$B$10,2,FALSE),0)*'FL Characterization'!V$2)</f>
        <v>41.781125532194189</v>
      </c>
      <c r="W3" s="2">
        <f ca="1">('[1]Pc, Winter, S3'!W3*Main!$B$5)+(_xlfn.IFNA(VLOOKUP($A3,'FL Ratio'!$A$3:$B$10,2,FALSE),0)*'FL Characterization'!W$2)</f>
        <v>37.754795372425718</v>
      </c>
      <c r="X3" s="2">
        <f ca="1">('[1]Pc, Winter, S3'!X3*Main!$B$5)+(_xlfn.IFNA(VLOOKUP($A3,'FL Ratio'!$A$3:$B$10,2,FALSE),0)*'FL Characterization'!X$2)</f>
        <v>31.93191473773625</v>
      </c>
      <c r="Y3" s="2">
        <f ca="1">('[1]Pc, Winter, S3'!Y3*Main!$B$5)+(_xlfn.IFNA(VLOOKUP($A3,'FL Ratio'!$A$3:$B$10,2,FALSE),0)*'FL Characterization'!Y$2)</f>
        <v>30.89984539287822</v>
      </c>
    </row>
    <row r="4" spans="1:25" x14ac:dyDescent="0.3">
      <c r="A4">
        <v>3</v>
      </c>
      <c r="B4" s="2">
        <f ca="1">('[1]Pc, Winter, S3'!B4*Main!$B$5)+(_xlfn.IFNA(VLOOKUP($A4,'FL Ratio'!$A$3:$B$10,2,FALSE),0)*'FL Characterization'!B$2)</f>
        <v>41.09851557324626</v>
      </c>
      <c r="C4" s="2">
        <f ca="1">('[1]Pc, Winter, S3'!C4*Main!$B$5)+(_xlfn.IFNA(VLOOKUP($A4,'FL Ratio'!$A$3:$B$10,2,FALSE),0)*'FL Characterization'!C$2)</f>
        <v>36.161134454745998</v>
      </c>
      <c r="D4" s="2">
        <f ca="1">('[1]Pc, Winter, S3'!D4*Main!$B$5)+(_xlfn.IFNA(VLOOKUP($A4,'FL Ratio'!$A$3:$B$10,2,FALSE),0)*'FL Characterization'!D$2)</f>
        <v>34.044036988290586</v>
      </c>
      <c r="E4" s="2">
        <f ca="1">('[1]Pc, Winter, S3'!E4*Main!$B$5)+(_xlfn.IFNA(VLOOKUP($A4,'FL Ratio'!$A$3:$B$10,2,FALSE),0)*'FL Characterization'!E$2)</f>
        <v>33.639747990429129</v>
      </c>
      <c r="F4" s="2">
        <f ca="1">('[1]Pc, Winter, S3'!F4*Main!$B$5)+(_xlfn.IFNA(VLOOKUP($A4,'FL Ratio'!$A$3:$B$10,2,FALSE),0)*'FL Characterization'!F$2)</f>
        <v>35.210842395778485</v>
      </c>
      <c r="G4" s="2">
        <f ca="1">('[1]Pc, Winter, S3'!G4*Main!$B$5)+(_xlfn.IFNA(VLOOKUP($A4,'FL Ratio'!$A$3:$B$10,2,FALSE),0)*'FL Characterization'!G$2)</f>
        <v>38.017278592678849</v>
      </c>
      <c r="H4" s="2">
        <f ca="1">('[1]Pc, Winter, S3'!H4*Main!$B$5)+(_xlfn.IFNA(VLOOKUP($A4,'FL Ratio'!$A$3:$B$10,2,FALSE),0)*'FL Characterization'!H$2)</f>
        <v>45.874497910273313</v>
      </c>
      <c r="I4" s="2">
        <f ca="1">('[1]Pc, Winter, S3'!I4*Main!$B$5)+(_xlfn.IFNA(VLOOKUP($A4,'FL Ratio'!$A$3:$B$10,2,FALSE),0)*'FL Characterization'!I$2)</f>
        <v>51.284734335798319</v>
      </c>
      <c r="J4" s="2">
        <f ca="1">('[1]Pc, Winter, S3'!J4*Main!$B$5)+(_xlfn.IFNA(VLOOKUP($A4,'FL Ratio'!$A$3:$B$10,2,FALSE),0)*'FL Characterization'!J$2)</f>
        <v>54.280227155508314</v>
      </c>
      <c r="K4" s="2">
        <f ca="1">('[1]Pc, Winter, S3'!K4*Main!$B$5)+(_xlfn.IFNA(VLOOKUP($A4,'FL Ratio'!$A$3:$B$10,2,FALSE),0)*'FL Characterization'!K$2)</f>
        <v>56.126795670123357</v>
      </c>
      <c r="L4" s="2">
        <f ca="1">('[1]Pc, Winter, S3'!L4*Main!$B$5)+(_xlfn.IFNA(VLOOKUP($A4,'FL Ratio'!$A$3:$B$10,2,FALSE),0)*'FL Characterization'!L$2)</f>
        <v>56.640330816675586</v>
      </c>
      <c r="M4" s="2">
        <f ca="1">('[1]Pc, Winter, S3'!M4*Main!$B$5)+(_xlfn.IFNA(VLOOKUP($A4,'FL Ratio'!$A$3:$B$10,2,FALSE),0)*'FL Characterization'!M$2)</f>
        <v>56.049552054548634</v>
      </c>
      <c r="N4" s="2">
        <f ca="1">('[1]Pc, Winter, S3'!N4*Main!$B$5)+(_xlfn.IFNA(VLOOKUP($A4,'FL Ratio'!$A$3:$B$10,2,FALSE),0)*'FL Characterization'!N$2)</f>
        <v>55.73151524521144</v>
      </c>
      <c r="O4" s="2">
        <f ca="1">('[1]Pc, Winter, S3'!O4*Main!$B$5)+(_xlfn.IFNA(VLOOKUP($A4,'FL Ratio'!$A$3:$B$10,2,FALSE),0)*'FL Characterization'!O$2)</f>
        <v>54.582219903575663</v>
      </c>
      <c r="P4" s="2">
        <f ca="1">('[1]Pc, Winter, S3'!P4*Main!$B$5)+(_xlfn.IFNA(VLOOKUP($A4,'FL Ratio'!$A$3:$B$10,2,FALSE),0)*'FL Characterization'!P$2)</f>
        <v>52.844771522565679</v>
      </c>
      <c r="Q4" s="2">
        <f ca="1">('[1]Pc, Winter, S3'!Q4*Main!$B$5)+(_xlfn.IFNA(VLOOKUP($A4,'FL Ratio'!$A$3:$B$10,2,FALSE),0)*'FL Characterization'!Q$2)</f>
        <v>51.887929552029149</v>
      </c>
      <c r="R4" s="2">
        <f ca="1">('[1]Pc, Winter, S3'!R4*Main!$B$5)+(_xlfn.IFNA(VLOOKUP($A4,'FL Ratio'!$A$3:$B$10,2,FALSE),0)*'FL Characterization'!R$2)</f>
        <v>53.740295092589029</v>
      </c>
      <c r="S4" s="2">
        <f ca="1">('[1]Pc, Winter, S3'!S4*Main!$B$5)+(_xlfn.IFNA(VLOOKUP($A4,'FL Ratio'!$A$3:$B$10,2,FALSE),0)*'FL Characterization'!S$2)</f>
        <v>60.841626502843319</v>
      </c>
      <c r="T4" s="2">
        <f ca="1">('[1]Pc, Winter, S3'!T4*Main!$B$5)+(_xlfn.IFNA(VLOOKUP($A4,'FL Ratio'!$A$3:$B$10,2,FALSE),0)*'FL Characterization'!T$2)</f>
        <v>62.035287843400688</v>
      </c>
      <c r="U4" s="2">
        <f ca="1">('[1]Pc, Winter, S3'!U4*Main!$B$5)+(_xlfn.IFNA(VLOOKUP($A4,'FL Ratio'!$A$3:$B$10,2,FALSE),0)*'FL Characterization'!U$2)</f>
        <v>62.403721724687493</v>
      </c>
      <c r="V4" s="2">
        <f ca="1">('[1]Pc, Winter, S3'!V4*Main!$B$5)+(_xlfn.IFNA(VLOOKUP($A4,'FL Ratio'!$A$3:$B$10,2,FALSE),0)*'FL Characterization'!V$2)</f>
        <v>60.548026107900135</v>
      </c>
      <c r="W4" s="2">
        <f ca="1">('[1]Pc, Winter, S3'!W4*Main!$B$5)+(_xlfn.IFNA(VLOOKUP($A4,'FL Ratio'!$A$3:$B$10,2,FALSE),0)*'FL Characterization'!W$2)</f>
        <v>57.780275511286227</v>
      </c>
      <c r="X4" s="2">
        <f ca="1">('[1]Pc, Winter, S3'!X4*Main!$B$5)+(_xlfn.IFNA(VLOOKUP($A4,'FL Ratio'!$A$3:$B$10,2,FALSE),0)*'FL Characterization'!X$2)</f>
        <v>52.68715595310708</v>
      </c>
      <c r="Y4" s="2">
        <f ca="1">('[1]Pc, Winter, S3'!Y4*Main!$B$5)+(_xlfn.IFNA(VLOOKUP($A4,'FL Ratio'!$A$3:$B$10,2,FALSE),0)*'FL Characterization'!Y$2)</f>
        <v>46.570539135763525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-13.105869896838714</v>
      </c>
      <c r="C2" s="2">
        <f>('[1]Qc, Winter, S1'!C2*Main!$B$5)</f>
        <v>-14.244280834312683</v>
      </c>
      <c r="D2" s="2">
        <f>('[1]Qc, Winter, S1'!D2*Main!$B$5)</f>
        <v>-15.343057499314325</v>
      </c>
      <c r="E2" s="2">
        <f>('[1]Qc, Winter, S1'!E2*Main!$B$5)</f>
        <v>-15.231363973934918</v>
      </c>
      <c r="F2" s="2">
        <f>('[1]Qc, Winter, S1'!F2*Main!$B$5)</f>
        <v>-15.765150751499998</v>
      </c>
      <c r="G2" s="2">
        <f>('[1]Qc, Winter, S1'!G2*Main!$B$5)</f>
        <v>-14.033951798041</v>
      </c>
      <c r="H2" s="2">
        <f>('[1]Qc, Winter, S1'!H2*Main!$B$5)</f>
        <v>-10.450881493442122</v>
      </c>
      <c r="I2" s="2">
        <f>('[1]Qc, Winter, S1'!I2*Main!$B$5)</f>
        <v>-4.3017907695560584</v>
      </c>
      <c r="J2" s="2">
        <f>('[1]Qc, Winter, S1'!J2*Main!$B$5)</f>
        <v>-1.26685264137147</v>
      </c>
      <c r="K2" s="2">
        <f>('[1]Qc, Winter, S1'!K2*Main!$B$5)</f>
        <v>-0.19817801470615984</v>
      </c>
      <c r="L2" s="2">
        <f>('[1]Qc, Winter, S1'!L2*Main!$B$5)</f>
        <v>-1.7791292374245331</v>
      </c>
      <c r="M2" s="2">
        <f>('[1]Qc, Winter, S1'!M2*Main!$B$5)</f>
        <v>-1.3079812663267061</v>
      </c>
      <c r="N2" s="2">
        <f>('[1]Qc, Winter, S1'!N2*Main!$B$5)</f>
        <v>-1.8104240930350017</v>
      </c>
      <c r="O2" s="2">
        <f>('[1]Qc, Winter, S1'!O2*Main!$B$5)</f>
        <v>-1.8262990876392757</v>
      </c>
      <c r="P2" s="2">
        <f>('[1]Qc, Winter, S1'!P2*Main!$B$5)</f>
        <v>-4.6169356750579214</v>
      </c>
      <c r="Q2" s="2">
        <f>('[1]Qc, Winter, S1'!Q2*Main!$B$5)</f>
        <v>-6.649114267449443</v>
      </c>
      <c r="R2" s="2">
        <f>('[1]Qc, Winter, S1'!R2*Main!$B$5)</f>
        <v>-5.9131727696625447</v>
      </c>
      <c r="S2" s="2">
        <f>('[1]Qc, Winter, S1'!S2*Main!$B$5)</f>
        <v>-2.0184778953699669</v>
      </c>
      <c r="T2" s="2">
        <f>('[1]Qc, Winter, S1'!T2*Main!$B$5)</f>
        <v>-2.9361615498442224</v>
      </c>
      <c r="U2" s="2">
        <f>('[1]Qc, Winter, S1'!U2*Main!$B$5)</f>
        <v>-3.6908953925495487</v>
      </c>
      <c r="V2" s="2">
        <f>('[1]Qc, Winter, S1'!V2*Main!$B$5)</f>
        <v>-5.7977425893279806</v>
      </c>
      <c r="W2" s="2">
        <f>('[1]Qc, Winter, S1'!W2*Main!$B$5)</f>
        <v>-7.5258464003084793</v>
      </c>
      <c r="X2" s="2">
        <f>('[1]Qc, Winter, S1'!X2*Main!$B$5)</f>
        <v>-10.096946540452109</v>
      </c>
      <c r="Y2" s="2">
        <f>('[1]Qc, Winter, S1'!Y2*Main!$B$5)</f>
        <v>-11.364972249654979</v>
      </c>
    </row>
    <row r="3" spans="1:25" x14ac:dyDescent="0.3">
      <c r="A3">
        <v>2</v>
      </c>
      <c r="B3" s="2">
        <f>('[1]Qc, Winter, S1'!B3*Main!$B$5)</f>
        <v>14.84819271307882</v>
      </c>
      <c r="C3" s="2">
        <f>('[1]Qc, Winter, S1'!C3*Main!$B$5)</f>
        <v>18.392675876749998</v>
      </c>
      <c r="D3" s="2">
        <f>('[1]Qc, Winter, S1'!D3*Main!$B$5)</f>
        <v>18.392675876749998</v>
      </c>
      <c r="E3" s="2">
        <f>('[1]Qc, Winter, S1'!E3*Main!$B$5)</f>
        <v>18.392675876749998</v>
      </c>
      <c r="F3" s="2">
        <f>('[1]Qc, Winter, S1'!F3*Main!$B$5)</f>
        <v>18.392675876749998</v>
      </c>
      <c r="G3" s="2">
        <f>('[1]Qc, Winter, S1'!G3*Main!$B$5)</f>
        <v>14.90272520387559</v>
      </c>
      <c r="H3" s="2">
        <f>('[1]Qc, Winter, S1'!H3*Main!$B$5)</f>
        <v>6.7595069978717408</v>
      </c>
      <c r="I3" s="2">
        <f>('[1]Qc, Winter, S1'!I3*Main!$B$5)</f>
        <v>0.87021646488072313</v>
      </c>
      <c r="J3" s="2">
        <f>('[1]Qc, Winter, S1'!J3*Main!$B$5)</f>
        <v>-5.0917762674850433</v>
      </c>
      <c r="K3" s="2">
        <f>('[1]Qc, Winter, S1'!K3*Main!$B$5)</f>
        <v>-5.0917762674850433</v>
      </c>
      <c r="L3" s="2">
        <f>('[1]Qc, Winter, S1'!L3*Main!$B$5)</f>
        <v>-0.43850870365249706</v>
      </c>
      <c r="M3" s="2">
        <f>('[1]Qc, Winter, S1'!M3*Main!$B$5)</f>
        <v>-5.309906230672123</v>
      </c>
      <c r="N3" s="2">
        <f>('[1]Qc, Winter, S1'!N3*Main!$B$5)</f>
        <v>-5.309906230672123</v>
      </c>
      <c r="O3" s="2">
        <f>('[1]Qc, Winter, S1'!O3*Main!$B$5)</f>
        <v>-4.1102343458494728</v>
      </c>
      <c r="P3" s="2">
        <f>('[1]Qc, Winter, S1'!P3*Main!$B$5)</f>
        <v>-0.51121869138152387</v>
      </c>
      <c r="Q3" s="2">
        <f>('[1]Qc, Winter, S1'!Q3*Main!$B$5)</f>
        <v>3.0877852652034554</v>
      </c>
      <c r="R3" s="2">
        <f>('[1]Qc, Winter, S1'!R3*Main!$B$5)</f>
        <v>4.2874532507317831</v>
      </c>
      <c r="S3" s="2">
        <f>('[1]Qc, Winter, S1'!S3*Main!$B$5)</f>
        <v>4.2874532507317831</v>
      </c>
      <c r="T3" s="2">
        <f>('[1]Qc, Winter, S1'!T3*Main!$B$5)</f>
        <v>4.2874532507317831</v>
      </c>
      <c r="U3" s="2">
        <f>('[1]Qc, Winter, S1'!U3*Main!$B$5)</f>
        <v>4.2874532507317831</v>
      </c>
      <c r="V3" s="2">
        <f>('[1]Qc, Winter, S1'!V3*Main!$B$5)</f>
        <v>4.2874532507317831</v>
      </c>
      <c r="W3" s="2">
        <f>('[1]Qc, Winter, S1'!W3*Main!$B$5)</f>
        <v>8.9407207736268557</v>
      </c>
      <c r="X3" s="2">
        <f>('[1]Qc, Winter, S1'!X3*Main!$B$5)</f>
        <v>13.666698325188428</v>
      </c>
      <c r="Y3" s="2">
        <f>('[1]Qc, Winter, S1'!Y3*Main!$B$5)</f>
        <v>13.666698325188428</v>
      </c>
    </row>
    <row r="4" spans="1:25" x14ac:dyDescent="0.3">
      <c r="A4">
        <v>3</v>
      </c>
      <c r="B4" s="2">
        <f>('[1]Qc, Winter, S1'!B4*Main!$B$5)</f>
        <v>10.075219176829503</v>
      </c>
      <c r="C4" s="2">
        <f>('[1]Qc, Winter, S1'!C4*Main!$B$5)</f>
        <v>7.7717473057558717</v>
      </c>
      <c r="D4" s="2">
        <f>('[1]Qc, Winter, S1'!D4*Main!$B$5)</f>
        <v>6.653013418835946</v>
      </c>
      <c r="E4" s="2">
        <f>('[1]Qc, Winter, S1'!E4*Main!$B$5)</f>
        <v>6.510415770078378</v>
      </c>
      <c r="F4" s="2">
        <f>('[1]Qc, Winter, S1'!F4*Main!$B$5)</f>
        <v>7.3994831625851321</v>
      </c>
      <c r="G4" s="2">
        <f>('[1]Qc, Winter, S1'!G4*Main!$B$5)</f>
        <v>9.1874779478337398</v>
      </c>
      <c r="H4" s="2">
        <f>('[1]Qc, Winter, S1'!H4*Main!$B$5)</f>
        <v>14.254447337900185</v>
      </c>
      <c r="I4" s="2">
        <f>('[1]Qc, Winter, S1'!I4*Main!$B$5)</f>
        <v>17.401952713428855</v>
      </c>
      <c r="J4" s="2">
        <f>('[1]Qc, Winter, S1'!J4*Main!$B$5)</f>
        <v>20.105491506782919</v>
      </c>
      <c r="K4" s="2">
        <f>('[1]Qc, Winter, S1'!K4*Main!$B$5)</f>
        <v>22.139845812526456</v>
      </c>
      <c r="L4" s="2">
        <f>('[1]Qc, Winter, S1'!L4*Main!$B$5)</f>
        <v>22.326689134205292</v>
      </c>
      <c r="M4" s="2">
        <f>('[1]Qc, Winter, S1'!M4*Main!$B$5)</f>
        <v>21.92635352473398</v>
      </c>
      <c r="N4" s="2">
        <f>('[1]Qc, Winter, S1'!N4*Main!$B$5)</f>
        <v>22.019736727654855</v>
      </c>
      <c r="O4" s="2">
        <f>('[1]Qc, Winter, S1'!O4*Main!$B$5)</f>
        <v>21.795037976239293</v>
      </c>
      <c r="P4" s="2">
        <f>('[1]Qc, Winter, S1'!P4*Main!$B$5)</f>
        <v>19.661640032684499</v>
      </c>
      <c r="Q4" s="2">
        <f>('[1]Qc, Winter, S1'!Q4*Main!$B$5)</f>
        <v>18.680323557174631</v>
      </c>
      <c r="R4" s="2">
        <f>('[1]Qc, Winter, S1'!R4*Main!$B$5)</f>
        <v>19.278150746330233</v>
      </c>
      <c r="S4" s="2">
        <f>('[1]Qc, Winter, S1'!S4*Main!$B$5)</f>
        <v>26.275251252499999</v>
      </c>
      <c r="T4" s="2">
        <f>('[1]Qc, Winter, S1'!T4*Main!$B$5)</f>
        <v>26.237107557293857</v>
      </c>
      <c r="U4" s="2">
        <f>('[1]Qc, Winter, S1'!U4*Main!$B$5)</f>
        <v>25.436474438750523</v>
      </c>
      <c r="V4" s="2">
        <f>('[1]Qc, Winter, S1'!V4*Main!$B$5)</f>
        <v>23.544140283227783</v>
      </c>
      <c r="W4" s="2">
        <f>('[1]Qc, Winter, S1'!W4*Main!$B$5)</f>
        <v>20.938588271283557</v>
      </c>
      <c r="X4" s="2">
        <f>('[1]Qc, Winter, S1'!X4*Main!$B$5)</f>
        <v>17.077999194329234</v>
      </c>
      <c r="Y4" s="2">
        <f>('[1]Qc, Winter, S1'!Y4*Main!$B$5)</f>
        <v>13.102115386625819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-13.105869896838714</v>
      </c>
      <c r="C2" s="2">
        <f>('[1]Qc, Winter, S1'!C2*Main!$B$5)</f>
        <v>-14.244280834312683</v>
      </c>
      <c r="D2" s="2">
        <f>('[1]Qc, Winter, S1'!D2*Main!$B$5)</f>
        <v>-15.343057499314325</v>
      </c>
      <c r="E2" s="2">
        <f>('[1]Qc, Winter, S1'!E2*Main!$B$5)</f>
        <v>-15.231363973934918</v>
      </c>
      <c r="F2" s="2">
        <f>('[1]Qc, Winter, S1'!F2*Main!$B$5)</f>
        <v>-15.765150751499998</v>
      </c>
      <c r="G2" s="2">
        <f>('[1]Qc, Winter, S1'!G2*Main!$B$5)</f>
        <v>-14.033951798041</v>
      </c>
      <c r="H2" s="2">
        <f>('[1]Qc, Winter, S1'!H2*Main!$B$5)</f>
        <v>-10.450881493442122</v>
      </c>
      <c r="I2" s="2">
        <f>('[1]Qc, Winter, S1'!I2*Main!$B$5)</f>
        <v>-4.3017907695560584</v>
      </c>
      <c r="J2" s="2">
        <f>('[1]Qc, Winter, S1'!J2*Main!$B$5)</f>
        <v>-1.26685264137147</v>
      </c>
      <c r="K2" s="2">
        <f>('[1]Qc, Winter, S1'!K2*Main!$B$5)</f>
        <v>-0.19817801470615984</v>
      </c>
      <c r="L2" s="2">
        <f>('[1]Qc, Winter, S1'!L2*Main!$B$5)</f>
        <v>-1.7791292374245331</v>
      </c>
      <c r="M2" s="2">
        <f>('[1]Qc, Winter, S1'!M2*Main!$B$5)</f>
        <v>-1.3079812663267061</v>
      </c>
      <c r="N2" s="2">
        <f>('[1]Qc, Winter, S1'!N2*Main!$B$5)</f>
        <v>-1.8104240930350017</v>
      </c>
      <c r="O2" s="2">
        <f>('[1]Qc, Winter, S1'!O2*Main!$B$5)</f>
        <v>-1.8262990876392757</v>
      </c>
      <c r="P2" s="2">
        <f>('[1]Qc, Winter, S1'!P2*Main!$B$5)</f>
        <v>-4.6169356750579214</v>
      </c>
      <c r="Q2" s="2">
        <f>('[1]Qc, Winter, S1'!Q2*Main!$B$5)</f>
        <v>-6.649114267449443</v>
      </c>
      <c r="R2" s="2">
        <f>('[1]Qc, Winter, S1'!R2*Main!$B$5)</f>
        <v>-5.9131727696625447</v>
      </c>
      <c r="S2" s="2">
        <f>('[1]Qc, Winter, S1'!S2*Main!$B$5)</f>
        <v>-2.0184778953699669</v>
      </c>
      <c r="T2" s="2">
        <f>('[1]Qc, Winter, S1'!T2*Main!$B$5)</f>
        <v>-2.9361615498442224</v>
      </c>
      <c r="U2" s="2">
        <f>('[1]Qc, Winter, S1'!U2*Main!$B$5)</f>
        <v>-3.6908953925495487</v>
      </c>
      <c r="V2" s="2">
        <f>('[1]Qc, Winter, S1'!V2*Main!$B$5)</f>
        <v>-5.7977425893279806</v>
      </c>
      <c r="W2" s="2">
        <f>('[1]Qc, Winter, S1'!W2*Main!$B$5)</f>
        <v>-7.5258464003084793</v>
      </c>
      <c r="X2" s="2">
        <f>('[1]Qc, Winter, S1'!X2*Main!$B$5)</f>
        <v>-10.096946540452109</v>
      </c>
      <c r="Y2" s="2">
        <f>('[1]Qc, Winter, S1'!Y2*Main!$B$5)</f>
        <v>-11.364972249654979</v>
      </c>
    </row>
    <row r="3" spans="1:25" x14ac:dyDescent="0.3">
      <c r="A3">
        <v>2</v>
      </c>
      <c r="B3" s="2">
        <f>('[1]Qc, Winter, S1'!B3*Main!$B$5)</f>
        <v>14.84819271307882</v>
      </c>
      <c r="C3" s="2">
        <f>('[1]Qc, Winter, S1'!C3*Main!$B$5)</f>
        <v>18.392675876749998</v>
      </c>
      <c r="D3" s="2">
        <f>('[1]Qc, Winter, S1'!D3*Main!$B$5)</f>
        <v>18.392675876749998</v>
      </c>
      <c r="E3" s="2">
        <f>('[1]Qc, Winter, S1'!E3*Main!$B$5)</f>
        <v>18.392675876749998</v>
      </c>
      <c r="F3" s="2">
        <f>('[1]Qc, Winter, S1'!F3*Main!$B$5)</f>
        <v>18.392675876749998</v>
      </c>
      <c r="G3" s="2">
        <f>('[1]Qc, Winter, S1'!G3*Main!$B$5)</f>
        <v>14.90272520387559</v>
      </c>
      <c r="H3" s="2">
        <f>('[1]Qc, Winter, S1'!H3*Main!$B$5)</f>
        <v>6.7595069978717408</v>
      </c>
      <c r="I3" s="2">
        <f>('[1]Qc, Winter, S1'!I3*Main!$B$5)</f>
        <v>0.87021646488072313</v>
      </c>
      <c r="J3" s="2">
        <f>('[1]Qc, Winter, S1'!J3*Main!$B$5)</f>
        <v>-5.0917762674850433</v>
      </c>
      <c r="K3" s="2">
        <f>('[1]Qc, Winter, S1'!K3*Main!$B$5)</f>
        <v>-5.0917762674850433</v>
      </c>
      <c r="L3" s="2">
        <f>('[1]Qc, Winter, S1'!L3*Main!$B$5)</f>
        <v>-0.43850870365249706</v>
      </c>
      <c r="M3" s="2">
        <f>('[1]Qc, Winter, S1'!M3*Main!$B$5)</f>
        <v>-5.309906230672123</v>
      </c>
      <c r="N3" s="2">
        <f>('[1]Qc, Winter, S1'!N3*Main!$B$5)</f>
        <v>-5.309906230672123</v>
      </c>
      <c r="O3" s="2">
        <f>('[1]Qc, Winter, S1'!O3*Main!$B$5)</f>
        <v>-4.1102343458494728</v>
      </c>
      <c r="P3" s="2">
        <f>('[1]Qc, Winter, S1'!P3*Main!$B$5)</f>
        <v>-0.51121869138152387</v>
      </c>
      <c r="Q3" s="2">
        <f>('[1]Qc, Winter, S1'!Q3*Main!$B$5)</f>
        <v>3.0877852652034554</v>
      </c>
      <c r="R3" s="2">
        <f>('[1]Qc, Winter, S1'!R3*Main!$B$5)</f>
        <v>4.2874532507317831</v>
      </c>
      <c r="S3" s="2">
        <f>('[1]Qc, Winter, S1'!S3*Main!$B$5)</f>
        <v>4.2874532507317831</v>
      </c>
      <c r="T3" s="2">
        <f>('[1]Qc, Winter, S1'!T3*Main!$B$5)</f>
        <v>4.2874532507317831</v>
      </c>
      <c r="U3" s="2">
        <f>('[1]Qc, Winter, S1'!U3*Main!$B$5)</f>
        <v>4.2874532507317831</v>
      </c>
      <c r="V3" s="2">
        <f>('[1]Qc, Winter, S1'!V3*Main!$B$5)</f>
        <v>4.2874532507317831</v>
      </c>
      <c r="W3" s="2">
        <f>('[1]Qc, Winter, S1'!W3*Main!$B$5)</f>
        <v>8.9407207736268557</v>
      </c>
      <c r="X3" s="2">
        <f>('[1]Qc, Winter, S1'!X3*Main!$B$5)</f>
        <v>13.666698325188428</v>
      </c>
      <c r="Y3" s="2">
        <f>('[1]Qc, Winter, S1'!Y3*Main!$B$5)</f>
        <v>13.666698325188428</v>
      </c>
    </row>
    <row r="4" spans="1:25" x14ac:dyDescent="0.3">
      <c r="A4">
        <v>3</v>
      </c>
      <c r="B4" s="2">
        <f>('[1]Qc, Winter, S1'!B4*Main!$B$5)</f>
        <v>10.075219176829503</v>
      </c>
      <c r="C4" s="2">
        <f>('[1]Qc, Winter, S1'!C4*Main!$B$5)</f>
        <v>7.7717473057558717</v>
      </c>
      <c r="D4" s="2">
        <f>('[1]Qc, Winter, S1'!D4*Main!$B$5)</f>
        <v>6.653013418835946</v>
      </c>
      <c r="E4" s="2">
        <f>('[1]Qc, Winter, S1'!E4*Main!$B$5)</f>
        <v>6.510415770078378</v>
      </c>
      <c r="F4" s="2">
        <f>('[1]Qc, Winter, S1'!F4*Main!$B$5)</f>
        <v>7.3994831625851321</v>
      </c>
      <c r="G4" s="2">
        <f>('[1]Qc, Winter, S1'!G4*Main!$B$5)</f>
        <v>9.1874779478337398</v>
      </c>
      <c r="H4" s="2">
        <f>('[1]Qc, Winter, S1'!H4*Main!$B$5)</f>
        <v>14.254447337900185</v>
      </c>
      <c r="I4" s="2">
        <f>('[1]Qc, Winter, S1'!I4*Main!$B$5)</f>
        <v>17.401952713428855</v>
      </c>
      <c r="J4" s="2">
        <f>('[1]Qc, Winter, S1'!J4*Main!$B$5)</f>
        <v>20.105491506782919</v>
      </c>
      <c r="K4" s="2">
        <f>('[1]Qc, Winter, S1'!K4*Main!$B$5)</f>
        <v>22.139845812526456</v>
      </c>
      <c r="L4" s="2">
        <f>('[1]Qc, Winter, S1'!L4*Main!$B$5)</f>
        <v>22.326689134205292</v>
      </c>
      <c r="M4" s="2">
        <f>('[1]Qc, Winter, S1'!M4*Main!$B$5)</f>
        <v>21.92635352473398</v>
      </c>
      <c r="N4" s="2">
        <f>('[1]Qc, Winter, S1'!N4*Main!$B$5)</f>
        <v>22.019736727654855</v>
      </c>
      <c r="O4" s="2">
        <f>('[1]Qc, Winter, S1'!O4*Main!$B$5)</f>
        <v>21.795037976239293</v>
      </c>
      <c r="P4" s="2">
        <f>('[1]Qc, Winter, S1'!P4*Main!$B$5)</f>
        <v>19.661640032684499</v>
      </c>
      <c r="Q4" s="2">
        <f>('[1]Qc, Winter, S1'!Q4*Main!$B$5)</f>
        <v>18.680323557174631</v>
      </c>
      <c r="R4" s="2">
        <f>('[1]Qc, Winter, S1'!R4*Main!$B$5)</f>
        <v>19.278150746330233</v>
      </c>
      <c r="S4" s="2">
        <f>('[1]Qc, Winter, S1'!S4*Main!$B$5)</f>
        <v>26.275251252499999</v>
      </c>
      <c r="T4" s="2">
        <f>('[1]Qc, Winter, S1'!T4*Main!$B$5)</f>
        <v>26.237107557293857</v>
      </c>
      <c r="U4" s="2">
        <f>('[1]Qc, Winter, S1'!U4*Main!$B$5)</f>
        <v>25.436474438750523</v>
      </c>
      <c r="V4" s="2">
        <f>('[1]Qc, Winter, S1'!V4*Main!$B$5)</f>
        <v>23.544140283227783</v>
      </c>
      <c r="W4" s="2">
        <f>('[1]Qc, Winter, S1'!W4*Main!$B$5)</f>
        <v>20.938588271283557</v>
      </c>
      <c r="X4" s="2">
        <f>('[1]Qc, Winter, S1'!X4*Main!$B$5)</f>
        <v>17.077999194329234</v>
      </c>
      <c r="Y4" s="2">
        <f>('[1]Qc, Winter, S1'!Y4*Main!$B$5)</f>
        <v>13.102115386625819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-13.105869896838714</v>
      </c>
      <c r="C2" s="2">
        <f>('[1]Qc, Winter, S1'!C2*Main!$B$5)</f>
        <v>-14.244280834312683</v>
      </c>
      <c r="D2" s="2">
        <f>('[1]Qc, Winter, S1'!D2*Main!$B$5)</f>
        <v>-15.343057499314325</v>
      </c>
      <c r="E2" s="2">
        <f>('[1]Qc, Winter, S1'!E2*Main!$B$5)</f>
        <v>-15.231363973934918</v>
      </c>
      <c r="F2" s="2">
        <f>('[1]Qc, Winter, S1'!F2*Main!$B$5)</f>
        <v>-15.765150751499998</v>
      </c>
      <c r="G2" s="2">
        <f>('[1]Qc, Winter, S1'!G2*Main!$B$5)</f>
        <v>-14.033951798041</v>
      </c>
      <c r="H2" s="2">
        <f>('[1]Qc, Winter, S1'!H2*Main!$B$5)</f>
        <v>-10.450881493442122</v>
      </c>
      <c r="I2" s="2">
        <f>('[1]Qc, Winter, S1'!I2*Main!$B$5)</f>
        <v>-4.3017907695560584</v>
      </c>
      <c r="J2" s="2">
        <f>('[1]Qc, Winter, S1'!J2*Main!$B$5)</f>
        <v>-1.26685264137147</v>
      </c>
      <c r="K2" s="2">
        <f>('[1]Qc, Winter, S1'!K2*Main!$B$5)</f>
        <v>-0.19817801470615984</v>
      </c>
      <c r="L2" s="2">
        <f>('[1]Qc, Winter, S1'!L2*Main!$B$5)</f>
        <v>-1.7791292374245331</v>
      </c>
      <c r="M2" s="2">
        <f>('[1]Qc, Winter, S1'!M2*Main!$B$5)</f>
        <v>-1.3079812663267061</v>
      </c>
      <c r="N2" s="2">
        <f>('[1]Qc, Winter, S1'!N2*Main!$B$5)</f>
        <v>-1.8104240930350017</v>
      </c>
      <c r="O2" s="2">
        <f>('[1]Qc, Winter, S1'!O2*Main!$B$5)</f>
        <v>-1.8262990876392757</v>
      </c>
      <c r="P2" s="2">
        <f>('[1]Qc, Winter, S1'!P2*Main!$B$5)</f>
        <v>-4.6169356750579214</v>
      </c>
      <c r="Q2" s="2">
        <f>('[1]Qc, Winter, S1'!Q2*Main!$B$5)</f>
        <v>-6.649114267449443</v>
      </c>
      <c r="R2" s="2">
        <f>('[1]Qc, Winter, S1'!R2*Main!$B$5)</f>
        <v>-5.9131727696625447</v>
      </c>
      <c r="S2" s="2">
        <f>('[1]Qc, Winter, S1'!S2*Main!$B$5)</f>
        <v>-2.0184778953699669</v>
      </c>
      <c r="T2" s="2">
        <f>('[1]Qc, Winter, S1'!T2*Main!$B$5)</f>
        <v>-2.9361615498442224</v>
      </c>
      <c r="U2" s="2">
        <f>('[1]Qc, Winter, S1'!U2*Main!$B$5)</f>
        <v>-3.6908953925495487</v>
      </c>
      <c r="V2" s="2">
        <f>('[1]Qc, Winter, S1'!V2*Main!$B$5)</f>
        <v>-5.7977425893279806</v>
      </c>
      <c r="W2" s="2">
        <f>('[1]Qc, Winter, S1'!W2*Main!$B$5)</f>
        <v>-7.5258464003084793</v>
      </c>
      <c r="X2" s="2">
        <f>('[1]Qc, Winter, S1'!X2*Main!$B$5)</f>
        <v>-10.096946540452109</v>
      </c>
      <c r="Y2" s="2">
        <f>('[1]Qc, Winter, S1'!Y2*Main!$B$5)</f>
        <v>-11.364972249654979</v>
      </c>
    </row>
    <row r="3" spans="1:25" x14ac:dyDescent="0.3">
      <c r="A3">
        <v>2</v>
      </c>
      <c r="B3" s="2">
        <f>('[1]Qc, Winter, S1'!B3*Main!$B$5)</f>
        <v>14.84819271307882</v>
      </c>
      <c r="C3" s="2">
        <f>('[1]Qc, Winter, S1'!C3*Main!$B$5)</f>
        <v>18.392675876749998</v>
      </c>
      <c r="D3" s="2">
        <f>('[1]Qc, Winter, S1'!D3*Main!$B$5)</f>
        <v>18.392675876749998</v>
      </c>
      <c r="E3" s="2">
        <f>('[1]Qc, Winter, S1'!E3*Main!$B$5)</f>
        <v>18.392675876749998</v>
      </c>
      <c r="F3" s="2">
        <f>('[1]Qc, Winter, S1'!F3*Main!$B$5)</f>
        <v>18.392675876749998</v>
      </c>
      <c r="G3" s="2">
        <f>('[1]Qc, Winter, S1'!G3*Main!$B$5)</f>
        <v>14.90272520387559</v>
      </c>
      <c r="H3" s="2">
        <f>('[1]Qc, Winter, S1'!H3*Main!$B$5)</f>
        <v>6.7595069978717408</v>
      </c>
      <c r="I3" s="2">
        <f>('[1]Qc, Winter, S1'!I3*Main!$B$5)</f>
        <v>0.87021646488072313</v>
      </c>
      <c r="J3" s="2">
        <f>('[1]Qc, Winter, S1'!J3*Main!$B$5)</f>
        <v>-5.0917762674850433</v>
      </c>
      <c r="K3" s="2">
        <f>('[1]Qc, Winter, S1'!K3*Main!$B$5)</f>
        <v>-5.0917762674850433</v>
      </c>
      <c r="L3" s="2">
        <f>('[1]Qc, Winter, S1'!L3*Main!$B$5)</f>
        <v>-0.43850870365249706</v>
      </c>
      <c r="M3" s="2">
        <f>('[1]Qc, Winter, S1'!M3*Main!$B$5)</f>
        <v>-5.309906230672123</v>
      </c>
      <c r="N3" s="2">
        <f>('[1]Qc, Winter, S1'!N3*Main!$B$5)</f>
        <v>-5.309906230672123</v>
      </c>
      <c r="O3" s="2">
        <f>('[1]Qc, Winter, S1'!O3*Main!$B$5)</f>
        <v>-4.1102343458494728</v>
      </c>
      <c r="P3" s="2">
        <f>('[1]Qc, Winter, S1'!P3*Main!$B$5)</f>
        <v>-0.51121869138152387</v>
      </c>
      <c r="Q3" s="2">
        <f>('[1]Qc, Winter, S1'!Q3*Main!$B$5)</f>
        <v>3.0877852652034554</v>
      </c>
      <c r="R3" s="2">
        <f>('[1]Qc, Winter, S1'!R3*Main!$B$5)</f>
        <v>4.2874532507317831</v>
      </c>
      <c r="S3" s="2">
        <f>('[1]Qc, Winter, S1'!S3*Main!$B$5)</f>
        <v>4.2874532507317831</v>
      </c>
      <c r="T3" s="2">
        <f>('[1]Qc, Winter, S1'!T3*Main!$B$5)</f>
        <v>4.2874532507317831</v>
      </c>
      <c r="U3" s="2">
        <f>('[1]Qc, Winter, S1'!U3*Main!$B$5)</f>
        <v>4.2874532507317831</v>
      </c>
      <c r="V3" s="2">
        <f>('[1]Qc, Winter, S1'!V3*Main!$B$5)</f>
        <v>4.2874532507317831</v>
      </c>
      <c r="W3" s="2">
        <f>('[1]Qc, Winter, S1'!W3*Main!$B$5)</f>
        <v>8.9407207736268557</v>
      </c>
      <c r="X3" s="2">
        <f>('[1]Qc, Winter, S1'!X3*Main!$B$5)</f>
        <v>13.666698325188428</v>
      </c>
      <c r="Y3" s="2">
        <f>('[1]Qc, Winter, S1'!Y3*Main!$B$5)</f>
        <v>13.666698325188428</v>
      </c>
    </row>
    <row r="4" spans="1:25" x14ac:dyDescent="0.3">
      <c r="A4">
        <v>3</v>
      </c>
      <c r="B4" s="2">
        <f>('[1]Qc, Winter, S1'!B4*Main!$B$5)</f>
        <v>10.075219176829503</v>
      </c>
      <c r="C4" s="2">
        <f>('[1]Qc, Winter, S1'!C4*Main!$B$5)</f>
        <v>7.7717473057558717</v>
      </c>
      <c r="D4" s="2">
        <f>('[1]Qc, Winter, S1'!D4*Main!$B$5)</f>
        <v>6.653013418835946</v>
      </c>
      <c r="E4" s="2">
        <f>('[1]Qc, Winter, S1'!E4*Main!$B$5)</f>
        <v>6.510415770078378</v>
      </c>
      <c r="F4" s="2">
        <f>('[1]Qc, Winter, S1'!F4*Main!$B$5)</f>
        <v>7.3994831625851321</v>
      </c>
      <c r="G4" s="2">
        <f>('[1]Qc, Winter, S1'!G4*Main!$B$5)</f>
        <v>9.1874779478337398</v>
      </c>
      <c r="H4" s="2">
        <f>('[1]Qc, Winter, S1'!H4*Main!$B$5)</f>
        <v>14.254447337900185</v>
      </c>
      <c r="I4" s="2">
        <f>('[1]Qc, Winter, S1'!I4*Main!$B$5)</f>
        <v>17.401952713428855</v>
      </c>
      <c r="J4" s="2">
        <f>('[1]Qc, Winter, S1'!J4*Main!$B$5)</f>
        <v>20.105491506782919</v>
      </c>
      <c r="K4" s="2">
        <f>('[1]Qc, Winter, S1'!K4*Main!$B$5)</f>
        <v>22.139845812526456</v>
      </c>
      <c r="L4" s="2">
        <f>('[1]Qc, Winter, S1'!L4*Main!$B$5)</f>
        <v>22.326689134205292</v>
      </c>
      <c r="M4" s="2">
        <f>('[1]Qc, Winter, S1'!M4*Main!$B$5)</f>
        <v>21.92635352473398</v>
      </c>
      <c r="N4" s="2">
        <f>('[1]Qc, Winter, S1'!N4*Main!$B$5)</f>
        <v>22.019736727654855</v>
      </c>
      <c r="O4" s="2">
        <f>('[1]Qc, Winter, S1'!O4*Main!$B$5)</f>
        <v>21.795037976239293</v>
      </c>
      <c r="P4" s="2">
        <f>('[1]Qc, Winter, S1'!P4*Main!$B$5)</f>
        <v>19.661640032684499</v>
      </c>
      <c r="Q4" s="2">
        <f>('[1]Qc, Winter, S1'!Q4*Main!$B$5)</f>
        <v>18.680323557174631</v>
      </c>
      <c r="R4" s="2">
        <f>('[1]Qc, Winter, S1'!R4*Main!$B$5)</f>
        <v>19.278150746330233</v>
      </c>
      <c r="S4" s="2">
        <f>('[1]Qc, Winter, S1'!S4*Main!$B$5)</f>
        <v>26.275251252499999</v>
      </c>
      <c r="T4" s="2">
        <f>('[1]Qc, Winter, S1'!T4*Main!$B$5)</f>
        <v>26.237107557293857</v>
      </c>
      <c r="U4" s="2">
        <f>('[1]Qc, Winter, S1'!U4*Main!$B$5)</f>
        <v>25.436474438750523</v>
      </c>
      <c r="V4" s="2">
        <f>('[1]Qc, Winter, S1'!V4*Main!$B$5)</f>
        <v>23.544140283227783</v>
      </c>
      <c r="W4" s="2">
        <f>('[1]Qc, Winter, S1'!W4*Main!$B$5)</f>
        <v>20.938588271283557</v>
      </c>
      <c r="X4" s="2">
        <f>('[1]Qc, Winter, S1'!X4*Main!$B$5)</f>
        <v>17.077999194329234</v>
      </c>
      <c r="Y4" s="2">
        <f>('[1]Qc, Winter, S1'!Y4*Main!$B$5)</f>
        <v>13.102115386625819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-13.630104692712262</v>
      </c>
      <c r="C2" s="2">
        <f ca="1">('[1]Qc, Winter, S2'!C2*Main!$B$5)</f>
        <v>-14.814052067685189</v>
      </c>
      <c r="D2" s="2">
        <f ca="1">('[1]Qc, Winter, S2'!D2*Main!$B$5)</f>
        <v>-15.956779799286901</v>
      </c>
      <c r="E2" s="2">
        <f ca="1">('[1]Qc, Winter, S2'!E2*Main!$B$5)</f>
        <v>-15.840618532892316</v>
      </c>
      <c r="F2" s="2">
        <f ca="1">('[1]Qc, Winter, S2'!F2*Main!$B$5)</f>
        <v>-16.395756781559999</v>
      </c>
      <c r="G2" s="2">
        <f ca="1">('[1]Qc, Winter, S2'!G2*Main!$B$5)</f>
        <v>-14.595309869962643</v>
      </c>
      <c r="H2" s="2">
        <f ca="1">('[1]Qc, Winter, S2'!H2*Main!$B$5)</f>
        <v>-10.868916753179805</v>
      </c>
      <c r="I2" s="2">
        <f ca="1">('[1]Qc, Winter, S2'!I2*Main!$B$5)</f>
        <v>-4.4738624003383007</v>
      </c>
      <c r="J2" s="2">
        <f ca="1">('[1]Qc, Winter, S2'!J2*Main!$B$5)</f>
        <v>-1.3175267470263285</v>
      </c>
      <c r="K2" s="2">
        <f ca="1">('[1]Qc, Winter, S2'!K2*Main!$B$5)</f>
        <v>-0.20610513529440624</v>
      </c>
      <c r="L2" s="2">
        <f ca="1">('[1]Qc, Winter, S2'!L2*Main!$B$5)</f>
        <v>-1.8502944069215146</v>
      </c>
      <c r="M2" s="2">
        <f ca="1">('[1]Qc, Winter, S2'!M2*Main!$B$5)</f>
        <v>-1.3603005169797744</v>
      </c>
      <c r="N2" s="2">
        <f ca="1">('[1]Qc, Winter, S2'!N2*Main!$B$5)</f>
        <v>-1.882841056756402</v>
      </c>
      <c r="O2" s="2">
        <f ca="1">('[1]Qc, Winter, S2'!O2*Main!$B$5)</f>
        <v>-1.899351051144847</v>
      </c>
      <c r="P2" s="2">
        <f ca="1">('[1]Qc, Winter, S2'!P2*Main!$B$5)</f>
        <v>-4.8016131020602391</v>
      </c>
      <c r="Q2" s="2">
        <f ca="1">('[1]Qc, Winter, S2'!Q2*Main!$B$5)</f>
        <v>-6.9150788381474211</v>
      </c>
      <c r="R2" s="2">
        <f ca="1">('[1]Qc, Winter, S2'!R2*Main!$B$5)</f>
        <v>-6.1496996804490465</v>
      </c>
      <c r="S2" s="2">
        <f ca="1">('[1]Qc, Winter, S2'!S2*Main!$B$5)</f>
        <v>-2.099217011184765</v>
      </c>
      <c r="T2" s="2">
        <f ca="1">('[1]Qc, Winter, S2'!T2*Main!$B$5)</f>
        <v>-3.0536080118379916</v>
      </c>
      <c r="U2" s="2">
        <f ca="1">('[1]Qc, Winter, S2'!U2*Main!$B$5)</f>
        <v>-3.8385312082515308</v>
      </c>
      <c r="V2" s="2">
        <f ca="1">('[1]Qc, Winter, S2'!V2*Main!$B$5)</f>
        <v>-6.0296522929011003</v>
      </c>
      <c r="W2" s="2">
        <f ca="1">('[1]Qc, Winter, S2'!W2*Main!$B$5)</f>
        <v>-7.8268802563208189</v>
      </c>
      <c r="X2" s="2">
        <f ca="1">('[1]Qc, Winter, S2'!X2*Main!$B$5)</f>
        <v>-10.500824402070192</v>
      </c>
      <c r="Y2" s="2">
        <f ca="1">('[1]Qc, Winter, S2'!Y2*Main!$B$5)</f>
        <v>-11.819571139641178</v>
      </c>
    </row>
    <row r="3" spans="1:25" x14ac:dyDescent="0.3">
      <c r="A3">
        <v>2</v>
      </c>
      <c r="B3" s="2">
        <f ca="1">('[1]Qc, Winter, S2'!B3*Main!$B$5)</f>
        <v>15.442120421601976</v>
      </c>
      <c r="C3" s="2">
        <f ca="1">('[1]Qc, Winter, S2'!C3*Main!$B$5)</f>
        <v>19.128382911819998</v>
      </c>
      <c r="D3" s="2">
        <f ca="1">('[1]Qc, Winter, S2'!D3*Main!$B$5)</f>
        <v>19.128382911819998</v>
      </c>
      <c r="E3" s="2">
        <f ca="1">('[1]Qc, Winter, S2'!E3*Main!$B$5)</f>
        <v>19.128382911819998</v>
      </c>
      <c r="F3" s="2">
        <f ca="1">('[1]Qc, Winter, S2'!F3*Main!$B$5)</f>
        <v>19.128382911819998</v>
      </c>
      <c r="G3" s="2">
        <f ca="1">('[1]Qc, Winter, S2'!G3*Main!$B$5)</f>
        <v>15.498834212030616</v>
      </c>
      <c r="H3" s="2">
        <f ca="1">('[1]Qc, Winter, S2'!H3*Main!$B$5)</f>
        <v>7.0298872777866119</v>
      </c>
      <c r="I3" s="2">
        <f ca="1">('[1]Qc, Winter, S2'!I3*Main!$B$5)</f>
        <v>0.9050251234759521</v>
      </c>
      <c r="J3" s="2">
        <f ca="1">('[1]Qc, Winter, S2'!J3*Main!$B$5)</f>
        <v>-5.2954473181844453</v>
      </c>
      <c r="K3" s="2">
        <f ca="1">('[1]Qc, Winter, S2'!K3*Main!$B$5)</f>
        <v>-5.2954473181844453</v>
      </c>
      <c r="L3" s="2">
        <f ca="1">('[1]Qc, Winter, S2'!L3*Main!$B$5)</f>
        <v>-0.45604905179859695</v>
      </c>
      <c r="M3" s="2">
        <f ca="1">('[1]Qc, Winter, S2'!M3*Main!$B$5)</f>
        <v>-5.5223024798990084</v>
      </c>
      <c r="N3" s="2">
        <f ca="1">('[1]Qc, Winter, S2'!N3*Main!$B$5)</f>
        <v>-5.5223024798990084</v>
      </c>
      <c r="O3" s="2">
        <f ca="1">('[1]Qc, Winter, S2'!O3*Main!$B$5)</f>
        <v>-4.2746437196834526</v>
      </c>
      <c r="P3" s="2">
        <f ca="1">('[1]Qc, Winter, S2'!P3*Main!$B$5)</f>
        <v>-0.53166743903678482</v>
      </c>
      <c r="Q3" s="2">
        <f ca="1">('[1]Qc, Winter, S2'!Q3*Main!$B$5)</f>
        <v>3.2112966758115942</v>
      </c>
      <c r="R3" s="2">
        <f ca="1">('[1]Qc, Winter, S2'!R3*Main!$B$5)</f>
        <v>4.4589513807610546</v>
      </c>
      <c r="S3" s="2">
        <f ca="1">('[1]Qc, Winter, S2'!S3*Main!$B$5)</f>
        <v>4.4589513807610546</v>
      </c>
      <c r="T3" s="2">
        <f ca="1">('[1]Qc, Winter, S2'!T3*Main!$B$5)</f>
        <v>4.4589513807610546</v>
      </c>
      <c r="U3" s="2">
        <f ca="1">('[1]Qc, Winter, S2'!U3*Main!$B$5)</f>
        <v>4.4589513807610546</v>
      </c>
      <c r="V3" s="2">
        <f ca="1">('[1]Qc, Winter, S2'!V3*Main!$B$5)</f>
        <v>4.4589513807610546</v>
      </c>
      <c r="W3" s="2">
        <f ca="1">('[1]Qc, Winter, S2'!W3*Main!$B$5)</f>
        <v>9.2983496045719303</v>
      </c>
      <c r="X3" s="2">
        <f ca="1">('[1]Qc, Winter, S2'!X3*Main!$B$5)</f>
        <v>14.213366258195965</v>
      </c>
      <c r="Y3" s="2">
        <f ca="1">('[1]Qc, Winter, S2'!Y3*Main!$B$5)</f>
        <v>14.213366258195965</v>
      </c>
    </row>
    <row r="4" spans="1:25" x14ac:dyDescent="0.3">
      <c r="A4">
        <v>3</v>
      </c>
      <c r="B4" s="2">
        <f ca="1">('[1]Qc, Winter, S2'!B4*Main!$B$5)</f>
        <v>10.478227943902683</v>
      </c>
      <c r="C4" s="2">
        <f ca="1">('[1]Qc, Winter, S2'!C4*Main!$B$5)</f>
        <v>8.0826171979861083</v>
      </c>
      <c r="D4" s="2">
        <f ca="1">('[1]Qc, Winter, S2'!D4*Main!$B$5)</f>
        <v>6.919133955589384</v>
      </c>
      <c r="E4" s="2">
        <f ca="1">('[1]Qc, Winter, S2'!E4*Main!$B$5)</f>
        <v>6.7708324008815133</v>
      </c>
      <c r="F4" s="2">
        <f ca="1">('[1]Qc, Winter, S2'!F4*Main!$B$5)</f>
        <v>7.6954624890885377</v>
      </c>
      <c r="G4" s="2">
        <f ca="1">('[1]Qc, Winter, S2'!G4*Main!$B$5)</f>
        <v>9.5549770657470887</v>
      </c>
      <c r="H4" s="2">
        <f ca="1">('[1]Qc, Winter, S2'!H4*Main!$B$5)</f>
        <v>14.824625231416192</v>
      </c>
      <c r="I4" s="2">
        <f ca="1">('[1]Qc, Winter, S2'!I4*Main!$B$5)</f>
        <v>18.098030821966013</v>
      </c>
      <c r="J4" s="2">
        <f ca="1">('[1]Qc, Winter, S2'!J4*Main!$B$5)</f>
        <v>20.909711167054237</v>
      </c>
      <c r="K4" s="2">
        <f ca="1">('[1]Qc, Winter, S2'!K4*Main!$B$5)</f>
        <v>23.025439645027515</v>
      </c>
      <c r="L4" s="2">
        <f ca="1">('[1]Qc, Winter, S2'!L4*Main!$B$5)</f>
        <v>23.219756699573505</v>
      </c>
      <c r="M4" s="2">
        <f ca="1">('[1]Qc, Winter, S2'!M4*Main!$B$5)</f>
        <v>22.803407665723338</v>
      </c>
      <c r="N4" s="2">
        <f ca="1">('[1]Qc, Winter, S2'!N4*Main!$B$5)</f>
        <v>22.900526196761053</v>
      </c>
      <c r="O4" s="2">
        <f ca="1">('[1]Qc, Winter, S2'!O4*Main!$B$5)</f>
        <v>22.666839495288865</v>
      </c>
      <c r="P4" s="2">
        <f ca="1">('[1]Qc, Winter, S2'!P4*Main!$B$5)</f>
        <v>20.448105633991883</v>
      </c>
      <c r="Q4" s="2">
        <f ca="1">('[1]Qc, Winter, S2'!Q4*Main!$B$5)</f>
        <v>19.42753649946162</v>
      </c>
      <c r="R4" s="2">
        <f ca="1">('[1]Qc, Winter, S2'!R4*Main!$B$5)</f>
        <v>20.049276776183447</v>
      </c>
      <c r="S4" s="2">
        <f ca="1">('[1]Qc, Winter, S2'!S4*Main!$B$5)</f>
        <v>27.326261302599999</v>
      </c>
      <c r="T4" s="2">
        <f ca="1">('[1]Qc, Winter, S2'!T4*Main!$B$5)</f>
        <v>27.286591859585613</v>
      </c>
      <c r="U4" s="2">
        <f ca="1">('[1]Qc, Winter, S2'!U4*Main!$B$5)</f>
        <v>26.453933416300544</v>
      </c>
      <c r="V4" s="2">
        <f ca="1">('[1]Qc, Winter, S2'!V4*Main!$B$5)</f>
        <v>24.485905894556897</v>
      </c>
      <c r="W4" s="2">
        <f ca="1">('[1]Qc, Winter, S2'!W4*Main!$B$5)</f>
        <v>21.776131802134898</v>
      </c>
      <c r="X4" s="2">
        <f ca="1">('[1]Qc, Winter, S2'!X4*Main!$B$5)</f>
        <v>17.761119162102403</v>
      </c>
      <c r="Y4" s="2">
        <f ca="1">('[1]Qc, Winter, S2'!Y4*Main!$B$5)</f>
        <v>13.626200002090853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-13.630104692712262</v>
      </c>
      <c r="C2" s="2">
        <f ca="1">('[1]Qc, Winter, S2'!C2*Main!$B$5)</f>
        <v>-14.814052067685189</v>
      </c>
      <c r="D2" s="2">
        <f ca="1">('[1]Qc, Winter, S2'!D2*Main!$B$5)</f>
        <v>-15.956779799286901</v>
      </c>
      <c r="E2" s="2">
        <f ca="1">('[1]Qc, Winter, S2'!E2*Main!$B$5)</f>
        <v>-15.840618532892316</v>
      </c>
      <c r="F2" s="2">
        <f ca="1">('[1]Qc, Winter, S2'!F2*Main!$B$5)</f>
        <v>-16.395756781559999</v>
      </c>
      <c r="G2" s="2">
        <f ca="1">('[1]Qc, Winter, S2'!G2*Main!$B$5)</f>
        <v>-14.595309869962643</v>
      </c>
      <c r="H2" s="2">
        <f ca="1">('[1]Qc, Winter, S2'!H2*Main!$B$5)</f>
        <v>-10.868916753179805</v>
      </c>
      <c r="I2" s="2">
        <f ca="1">('[1]Qc, Winter, S2'!I2*Main!$B$5)</f>
        <v>-4.4738624003383007</v>
      </c>
      <c r="J2" s="2">
        <f ca="1">('[1]Qc, Winter, S2'!J2*Main!$B$5)</f>
        <v>-1.3175267470263285</v>
      </c>
      <c r="K2" s="2">
        <f ca="1">('[1]Qc, Winter, S2'!K2*Main!$B$5)</f>
        <v>-0.20610513529440624</v>
      </c>
      <c r="L2" s="2">
        <f ca="1">('[1]Qc, Winter, S2'!L2*Main!$B$5)</f>
        <v>-1.8502944069215146</v>
      </c>
      <c r="M2" s="2">
        <f ca="1">('[1]Qc, Winter, S2'!M2*Main!$B$5)</f>
        <v>-1.3603005169797744</v>
      </c>
      <c r="N2" s="2">
        <f ca="1">('[1]Qc, Winter, S2'!N2*Main!$B$5)</f>
        <v>-1.882841056756402</v>
      </c>
      <c r="O2" s="2">
        <f ca="1">('[1]Qc, Winter, S2'!O2*Main!$B$5)</f>
        <v>-1.899351051144847</v>
      </c>
      <c r="P2" s="2">
        <f ca="1">('[1]Qc, Winter, S2'!P2*Main!$B$5)</f>
        <v>-4.8016131020602391</v>
      </c>
      <c r="Q2" s="2">
        <f ca="1">('[1]Qc, Winter, S2'!Q2*Main!$B$5)</f>
        <v>-6.9150788381474211</v>
      </c>
      <c r="R2" s="2">
        <f ca="1">('[1]Qc, Winter, S2'!R2*Main!$B$5)</f>
        <v>-6.1496996804490465</v>
      </c>
      <c r="S2" s="2">
        <f ca="1">('[1]Qc, Winter, S2'!S2*Main!$B$5)</f>
        <v>-2.099217011184765</v>
      </c>
      <c r="T2" s="2">
        <f ca="1">('[1]Qc, Winter, S2'!T2*Main!$B$5)</f>
        <v>-3.0536080118379916</v>
      </c>
      <c r="U2" s="2">
        <f ca="1">('[1]Qc, Winter, S2'!U2*Main!$B$5)</f>
        <v>-3.8385312082515308</v>
      </c>
      <c r="V2" s="2">
        <f ca="1">('[1]Qc, Winter, S2'!V2*Main!$B$5)</f>
        <v>-6.0296522929011003</v>
      </c>
      <c r="W2" s="2">
        <f ca="1">('[1]Qc, Winter, S2'!W2*Main!$B$5)</f>
        <v>-7.8268802563208189</v>
      </c>
      <c r="X2" s="2">
        <f ca="1">('[1]Qc, Winter, S2'!X2*Main!$B$5)</f>
        <v>-10.500824402070192</v>
      </c>
      <c r="Y2" s="2">
        <f ca="1">('[1]Qc, Winter, S2'!Y2*Main!$B$5)</f>
        <v>-11.819571139641178</v>
      </c>
    </row>
    <row r="3" spans="1:25" x14ac:dyDescent="0.3">
      <c r="A3">
        <v>2</v>
      </c>
      <c r="B3" s="2">
        <f ca="1">('[1]Qc, Winter, S2'!B3*Main!$B$5)</f>
        <v>15.442120421601976</v>
      </c>
      <c r="C3" s="2">
        <f ca="1">('[1]Qc, Winter, S2'!C3*Main!$B$5)</f>
        <v>19.128382911819998</v>
      </c>
      <c r="D3" s="2">
        <f ca="1">('[1]Qc, Winter, S2'!D3*Main!$B$5)</f>
        <v>19.128382911819998</v>
      </c>
      <c r="E3" s="2">
        <f ca="1">('[1]Qc, Winter, S2'!E3*Main!$B$5)</f>
        <v>19.128382911819998</v>
      </c>
      <c r="F3" s="2">
        <f ca="1">('[1]Qc, Winter, S2'!F3*Main!$B$5)</f>
        <v>19.128382911819998</v>
      </c>
      <c r="G3" s="2">
        <f ca="1">('[1]Qc, Winter, S2'!G3*Main!$B$5)</f>
        <v>15.498834212030616</v>
      </c>
      <c r="H3" s="2">
        <f ca="1">('[1]Qc, Winter, S2'!H3*Main!$B$5)</f>
        <v>7.0298872777866119</v>
      </c>
      <c r="I3" s="2">
        <f ca="1">('[1]Qc, Winter, S2'!I3*Main!$B$5)</f>
        <v>0.9050251234759521</v>
      </c>
      <c r="J3" s="2">
        <f ca="1">('[1]Qc, Winter, S2'!J3*Main!$B$5)</f>
        <v>-5.2954473181844453</v>
      </c>
      <c r="K3" s="2">
        <f ca="1">('[1]Qc, Winter, S2'!K3*Main!$B$5)</f>
        <v>-5.2954473181844453</v>
      </c>
      <c r="L3" s="2">
        <f ca="1">('[1]Qc, Winter, S2'!L3*Main!$B$5)</f>
        <v>-0.45604905179859695</v>
      </c>
      <c r="M3" s="2">
        <f ca="1">('[1]Qc, Winter, S2'!M3*Main!$B$5)</f>
        <v>-5.5223024798990084</v>
      </c>
      <c r="N3" s="2">
        <f ca="1">('[1]Qc, Winter, S2'!N3*Main!$B$5)</f>
        <v>-5.5223024798990084</v>
      </c>
      <c r="O3" s="2">
        <f ca="1">('[1]Qc, Winter, S2'!O3*Main!$B$5)</f>
        <v>-4.2746437196834526</v>
      </c>
      <c r="P3" s="2">
        <f ca="1">('[1]Qc, Winter, S2'!P3*Main!$B$5)</f>
        <v>-0.53166743903678482</v>
      </c>
      <c r="Q3" s="2">
        <f ca="1">('[1]Qc, Winter, S2'!Q3*Main!$B$5)</f>
        <v>3.2112966758115942</v>
      </c>
      <c r="R3" s="2">
        <f ca="1">('[1]Qc, Winter, S2'!R3*Main!$B$5)</f>
        <v>4.4589513807610546</v>
      </c>
      <c r="S3" s="2">
        <f ca="1">('[1]Qc, Winter, S2'!S3*Main!$B$5)</f>
        <v>4.4589513807610546</v>
      </c>
      <c r="T3" s="2">
        <f ca="1">('[1]Qc, Winter, S2'!T3*Main!$B$5)</f>
        <v>4.4589513807610546</v>
      </c>
      <c r="U3" s="2">
        <f ca="1">('[1]Qc, Winter, S2'!U3*Main!$B$5)</f>
        <v>4.4589513807610546</v>
      </c>
      <c r="V3" s="2">
        <f ca="1">('[1]Qc, Winter, S2'!V3*Main!$B$5)</f>
        <v>4.4589513807610546</v>
      </c>
      <c r="W3" s="2">
        <f ca="1">('[1]Qc, Winter, S2'!W3*Main!$B$5)</f>
        <v>9.2983496045719303</v>
      </c>
      <c r="X3" s="2">
        <f ca="1">('[1]Qc, Winter, S2'!X3*Main!$B$5)</f>
        <v>14.213366258195965</v>
      </c>
      <c r="Y3" s="2">
        <f ca="1">('[1]Qc, Winter, S2'!Y3*Main!$B$5)</f>
        <v>14.213366258195965</v>
      </c>
    </row>
    <row r="4" spans="1:25" x14ac:dyDescent="0.3">
      <c r="A4">
        <v>3</v>
      </c>
      <c r="B4" s="2">
        <f ca="1">('[1]Qc, Winter, S2'!B4*Main!$B$5)</f>
        <v>10.478227943902683</v>
      </c>
      <c r="C4" s="2">
        <f ca="1">('[1]Qc, Winter, S2'!C4*Main!$B$5)</f>
        <v>8.0826171979861083</v>
      </c>
      <c r="D4" s="2">
        <f ca="1">('[1]Qc, Winter, S2'!D4*Main!$B$5)</f>
        <v>6.919133955589384</v>
      </c>
      <c r="E4" s="2">
        <f ca="1">('[1]Qc, Winter, S2'!E4*Main!$B$5)</f>
        <v>6.7708324008815133</v>
      </c>
      <c r="F4" s="2">
        <f ca="1">('[1]Qc, Winter, S2'!F4*Main!$B$5)</f>
        <v>7.6954624890885377</v>
      </c>
      <c r="G4" s="2">
        <f ca="1">('[1]Qc, Winter, S2'!G4*Main!$B$5)</f>
        <v>9.5549770657470887</v>
      </c>
      <c r="H4" s="2">
        <f ca="1">('[1]Qc, Winter, S2'!H4*Main!$B$5)</f>
        <v>14.824625231416192</v>
      </c>
      <c r="I4" s="2">
        <f ca="1">('[1]Qc, Winter, S2'!I4*Main!$B$5)</f>
        <v>18.098030821966013</v>
      </c>
      <c r="J4" s="2">
        <f ca="1">('[1]Qc, Winter, S2'!J4*Main!$B$5)</f>
        <v>20.909711167054237</v>
      </c>
      <c r="K4" s="2">
        <f ca="1">('[1]Qc, Winter, S2'!K4*Main!$B$5)</f>
        <v>23.025439645027515</v>
      </c>
      <c r="L4" s="2">
        <f ca="1">('[1]Qc, Winter, S2'!L4*Main!$B$5)</f>
        <v>23.219756699573505</v>
      </c>
      <c r="M4" s="2">
        <f ca="1">('[1]Qc, Winter, S2'!M4*Main!$B$5)</f>
        <v>22.803407665723338</v>
      </c>
      <c r="N4" s="2">
        <f ca="1">('[1]Qc, Winter, S2'!N4*Main!$B$5)</f>
        <v>22.900526196761053</v>
      </c>
      <c r="O4" s="2">
        <f ca="1">('[1]Qc, Winter, S2'!O4*Main!$B$5)</f>
        <v>22.666839495288865</v>
      </c>
      <c r="P4" s="2">
        <f ca="1">('[1]Qc, Winter, S2'!P4*Main!$B$5)</f>
        <v>20.448105633991883</v>
      </c>
      <c r="Q4" s="2">
        <f ca="1">('[1]Qc, Winter, S2'!Q4*Main!$B$5)</f>
        <v>19.42753649946162</v>
      </c>
      <c r="R4" s="2">
        <f ca="1">('[1]Qc, Winter, S2'!R4*Main!$B$5)</f>
        <v>20.049276776183447</v>
      </c>
      <c r="S4" s="2">
        <f ca="1">('[1]Qc, Winter, S2'!S4*Main!$B$5)</f>
        <v>27.326261302599999</v>
      </c>
      <c r="T4" s="2">
        <f ca="1">('[1]Qc, Winter, S2'!T4*Main!$B$5)</f>
        <v>27.286591859585613</v>
      </c>
      <c r="U4" s="2">
        <f ca="1">('[1]Qc, Winter, S2'!U4*Main!$B$5)</f>
        <v>26.453933416300544</v>
      </c>
      <c r="V4" s="2">
        <f ca="1">('[1]Qc, Winter, S2'!V4*Main!$B$5)</f>
        <v>24.485905894556897</v>
      </c>
      <c r="W4" s="2">
        <f ca="1">('[1]Qc, Winter, S2'!W4*Main!$B$5)</f>
        <v>21.776131802134898</v>
      </c>
      <c r="X4" s="2">
        <f ca="1">('[1]Qc, Winter, S2'!X4*Main!$B$5)</f>
        <v>17.761119162102403</v>
      </c>
      <c r="Y4" s="2">
        <f ca="1">('[1]Qc, Winter, S2'!Y4*Main!$B$5)</f>
        <v>13.626200002090853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S2'!B2*Main!$B$5)</f>
        <v>-13.630104692712262</v>
      </c>
      <c r="C2" s="2">
        <f ca="1">('[1]Qc, Winter, S2'!C2*Main!$B$5)</f>
        <v>-14.814052067685189</v>
      </c>
      <c r="D2" s="2">
        <f ca="1">('[1]Qc, Winter, S2'!D2*Main!$B$5)</f>
        <v>-15.956779799286901</v>
      </c>
      <c r="E2" s="2">
        <f ca="1">('[1]Qc, Winter, S2'!E2*Main!$B$5)</f>
        <v>-15.840618532892316</v>
      </c>
      <c r="F2" s="2">
        <f ca="1">('[1]Qc, Winter, S2'!F2*Main!$B$5)</f>
        <v>-16.395756781559999</v>
      </c>
      <c r="G2" s="2">
        <f ca="1">('[1]Qc, Winter, S2'!G2*Main!$B$5)</f>
        <v>-14.595309869962643</v>
      </c>
      <c r="H2" s="2">
        <f ca="1">('[1]Qc, Winter, S2'!H2*Main!$B$5)</f>
        <v>-10.868916753179805</v>
      </c>
      <c r="I2" s="2">
        <f ca="1">('[1]Qc, Winter, S2'!I2*Main!$B$5)</f>
        <v>-4.4738624003383007</v>
      </c>
      <c r="J2" s="2">
        <f ca="1">('[1]Qc, Winter, S2'!J2*Main!$B$5)</f>
        <v>-1.3175267470263285</v>
      </c>
      <c r="K2" s="2">
        <f ca="1">('[1]Qc, Winter, S2'!K2*Main!$B$5)</f>
        <v>-0.20610513529440624</v>
      </c>
      <c r="L2" s="2">
        <f ca="1">('[1]Qc, Winter, S2'!L2*Main!$B$5)</f>
        <v>-1.8502944069215146</v>
      </c>
      <c r="M2" s="2">
        <f ca="1">('[1]Qc, Winter, S2'!M2*Main!$B$5)</f>
        <v>-1.3603005169797744</v>
      </c>
      <c r="N2" s="2">
        <f ca="1">('[1]Qc, Winter, S2'!N2*Main!$B$5)</f>
        <v>-1.882841056756402</v>
      </c>
      <c r="O2" s="2">
        <f ca="1">('[1]Qc, Winter, S2'!O2*Main!$B$5)</f>
        <v>-1.899351051144847</v>
      </c>
      <c r="P2" s="2">
        <f ca="1">('[1]Qc, Winter, S2'!P2*Main!$B$5)</f>
        <v>-4.8016131020602391</v>
      </c>
      <c r="Q2" s="2">
        <f ca="1">('[1]Qc, Winter, S2'!Q2*Main!$B$5)</f>
        <v>-6.9150788381474211</v>
      </c>
      <c r="R2" s="2">
        <f ca="1">('[1]Qc, Winter, S2'!R2*Main!$B$5)</f>
        <v>-6.1496996804490465</v>
      </c>
      <c r="S2" s="2">
        <f ca="1">('[1]Qc, Winter, S2'!S2*Main!$B$5)</f>
        <v>-2.099217011184765</v>
      </c>
      <c r="T2" s="2">
        <f ca="1">('[1]Qc, Winter, S2'!T2*Main!$B$5)</f>
        <v>-3.0536080118379916</v>
      </c>
      <c r="U2" s="2">
        <f ca="1">('[1]Qc, Winter, S2'!U2*Main!$B$5)</f>
        <v>-3.8385312082515308</v>
      </c>
      <c r="V2" s="2">
        <f ca="1">('[1]Qc, Winter, S2'!V2*Main!$B$5)</f>
        <v>-6.0296522929011003</v>
      </c>
      <c r="W2" s="2">
        <f ca="1">('[1]Qc, Winter, S2'!W2*Main!$B$5)</f>
        <v>-7.8268802563208189</v>
      </c>
      <c r="X2" s="2">
        <f ca="1">('[1]Qc, Winter, S2'!X2*Main!$B$5)</f>
        <v>-10.500824402070192</v>
      </c>
      <c r="Y2" s="2">
        <f ca="1">('[1]Qc, Winter, S2'!Y2*Main!$B$5)</f>
        <v>-11.819571139641178</v>
      </c>
    </row>
    <row r="3" spans="1:25" x14ac:dyDescent="0.3">
      <c r="A3">
        <v>2</v>
      </c>
      <c r="B3" s="2">
        <f ca="1">('[1]Qc, Winter, S2'!B3*Main!$B$5)</f>
        <v>15.442120421601976</v>
      </c>
      <c r="C3" s="2">
        <f ca="1">('[1]Qc, Winter, S2'!C3*Main!$B$5)</f>
        <v>19.128382911819998</v>
      </c>
      <c r="D3" s="2">
        <f ca="1">('[1]Qc, Winter, S2'!D3*Main!$B$5)</f>
        <v>19.128382911819998</v>
      </c>
      <c r="E3" s="2">
        <f ca="1">('[1]Qc, Winter, S2'!E3*Main!$B$5)</f>
        <v>19.128382911819998</v>
      </c>
      <c r="F3" s="2">
        <f ca="1">('[1]Qc, Winter, S2'!F3*Main!$B$5)</f>
        <v>19.128382911819998</v>
      </c>
      <c r="G3" s="2">
        <f ca="1">('[1]Qc, Winter, S2'!G3*Main!$B$5)</f>
        <v>15.498834212030616</v>
      </c>
      <c r="H3" s="2">
        <f ca="1">('[1]Qc, Winter, S2'!H3*Main!$B$5)</f>
        <v>7.0298872777866119</v>
      </c>
      <c r="I3" s="2">
        <f ca="1">('[1]Qc, Winter, S2'!I3*Main!$B$5)</f>
        <v>0.9050251234759521</v>
      </c>
      <c r="J3" s="2">
        <f ca="1">('[1]Qc, Winter, S2'!J3*Main!$B$5)</f>
        <v>-5.2954473181844453</v>
      </c>
      <c r="K3" s="2">
        <f ca="1">('[1]Qc, Winter, S2'!K3*Main!$B$5)</f>
        <v>-5.2954473181844453</v>
      </c>
      <c r="L3" s="2">
        <f ca="1">('[1]Qc, Winter, S2'!L3*Main!$B$5)</f>
        <v>-0.45604905179859695</v>
      </c>
      <c r="M3" s="2">
        <f ca="1">('[1]Qc, Winter, S2'!M3*Main!$B$5)</f>
        <v>-5.5223024798990084</v>
      </c>
      <c r="N3" s="2">
        <f ca="1">('[1]Qc, Winter, S2'!N3*Main!$B$5)</f>
        <v>-5.5223024798990084</v>
      </c>
      <c r="O3" s="2">
        <f ca="1">('[1]Qc, Winter, S2'!O3*Main!$B$5)</f>
        <v>-4.2746437196834526</v>
      </c>
      <c r="P3" s="2">
        <f ca="1">('[1]Qc, Winter, S2'!P3*Main!$B$5)</f>
        <v>-0.53166743903678482</v>
      </c>
      <c r="Q3" s="2">
        <f ca="1">('[1]Qc, Winter, S2'!Q3*Main!$B$5)</f>
        <v>3.2112966758115942</v>
      </c>
      <c r="R3" s="2">
        <f ca="1">('[1]Qc, Winter, S2'!R3*Main!$B$5)</f>
        <v>4.4589513807610546</v>
      </c>
      <c r="S3" s="2">
        <f ca="1">('[1]Qc, Winter, S2'!S3*Main!$B$5)</f>
        <v>4.4589513807610546</v>
      </c>
      <c r="T3" s="2">
        <f ca="1">('[1]Qc, Winter, S2'!T3*Main!$B$5)</f>
        <v>4.4589513807610546</v>
      </c>
      <c r="U3" s="2">
        <f ca="1">('[1]Qc, Winter, S2'!U3*Main!$B$5)</f>
        <v>4.4589513807610546</v>
      </c>
      <c r="V3" s="2">
        <f ca="1">('[1]Qc, Winter, S2'!V3*Main!$B$5)</f>
        <v>4.4589513807610546</v>
      </c>
      <c r="W3" s="2">
        <f ca="1">('[1]Qc, Winter, S2'!W3*Main!$B$5)</f>
        <v>9.2983496045719303</v>
      </c>
      <c r="X3" s="2">
        <f ca="1">('[1]Qc, Winter, S2'!X3*Main!$B$5)</f>
        <v>14.213366258195965</v>
      </c>
      <c r="Y3" s="2">
        <f ca="1">('[1]Qc, Winter, S2'!Y3*Main!$B$5)</f>
        <v>14.213366258195965</v>
      </c>
    </row>
    <row r="4" spans="1:25" x14ac:dyDescent="0.3">
      <c r="A4">
        <v>3</v>
      </c>
      <c r="B4" s="2">
        <f ca="1">('[1]Qc, Winter, S2'!B4*Main!$B$5)</f>
        <v>10.478227943902683</v>
      </c>
      <c r="C4" s="2">
        <f ca="1">('[1]Qc, Winter, S2'!C4*Main!$B$5)</f>
        <v>8.0826171979861083</v>
      </c>
      <c r="D4" s="2">
        <f ca="1">('[1]Qc, Winter, S2'!D4*Main!$B$5)</f>
        <v>6.919133955589384</v>
      </c>
      <c r="E4" s="2">
        <f ca="1">('[1]Qc, Winter, S2'!E4*Main!$B$5)</f>
        <v>6.7708324008815133</v>
      </c>
      <c r="F4" s="2">
        <f ca="1">('[1]Qc, Winter, S2'!F4*Main!$B$5)</f>
        <v>7.6954624890885377</v>
      </c>
      <c r="G4" s="2">
        <f ca="1">('[1]Qc, Winter, S2'!G4*Main!$B$5)</f>
        <v>9.5549770657470887</v>
      </c>
      <c r="H4" s="2">
        <f ca="1">('[1]Qc, Winter, S2'!H4*Main!$B$5)</f>
        <v>14.824625231416192</v>
      </c>
      <c r="I4" s="2">
        <f ca="1">('[1]Qc, Winter, S2'!I4*Main!$B$5)</f>
        <v>18.098030821966013</v>
      </c>
      <c r="J4" s="2">
        <f ca="1">('[1]Qc, Winter, S2'!J4*Main!$B$5)</f>
        <v>20.909711167054237</v>
      </c>
      <c r="K4" s="2">
        <f ca="1">('[1]Qc, Winter, S2'!K4*Main!$B$5)</f>
        <v>23.025439645027515</v>
      </c>
      <c r="L4" s="2">
        <f ca="1">('[1]Qc, Winter, S2'!L4*Main!$B$5)</f>
        <v>23.219756699573505</v>
      </c>
      <c r="M4" s="2">
        <f ca="1">('[1]Qc, Winter, S2'!M4*Main!$B$5)</f>
        <v>22.803407665723338</v>
      </c>
      <c r="N4" s="2">
        <f ca="1">('[1]Qc, Winter, S2'!N4*Main!$B$5)</f>
        <v>22.900526196761053</v>
      </c>
      <c r="O4" s="2">
        <f ca="1">('[1]Qc, Winter, S2'!O4*Main!$B$5)</f>
        <v>22.666839495288865</v>
      </c>
      <c r="P4" s="2">
        <f ca="1">('[1]Qc, Winter, S2'!P4*Main!$B$5)</f>
        <v>20.448105633991883</v>
      </c>
      <c r="Q4" s="2">
        <f ca="1">('[1]Qc, Winter, S2'!Q4*Main!$B$5)</f>
        <v>19.42753649946162</v>
      </c>
      <c r="R4" s="2">
        <f ca="1">('[1]Qc, Winter, S2'!R4*Main!$B$5)</f>
        <v>20.049276776183447</v>
      </c>
      <c r="S4" s="2">
        <f ca="1">('[1]Qc, Winter, S2'!S4*Main!$B$5)</f>
        <v>27.326261302599999</v>
      </c>
      <c r="T4" s="2">
        <f ca="1">('[1]Qc, Winter, S2'!T4*Main!$B$5)</f>
        <v>27.286591859585613</v>
      </c>
      <c r="U4" s="2">
        <f ca="1">('[1]Qc, Winter, S2'!U4*Main!$B$5)</f>
        <v>26.453933416300544</v>
      </c>
      <c r="V4" s="2">
        <f ca="1">('[1]Qc, Winter, S2'!V4*Main!$B$5)</f>
        <v>24.485905894556897</v>
      </c>
      <c r="W4" s="2">
        <f ca="1">('[1]Qc, Winter, S2'!W4*Main!$B$5)</f>
        <v>21.776131802134898</v>
      </c>
      <c r="X4" s="2">
        <f ca="1">('[1]Qc, Winter, S2'!X4*Main!$B$5)</f>
        <v>17.761119162102403</v>
      </c>
      <c r="Y4" s="2">
        <f ca="1">('[1]Qc, Winter, S2'!Y4*Main!$B$5)</f>
        <v>13.626200002090853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-12.450576401996777</v>
      </c>
      <c r="C2" s="2">
        <f ca="1">('[1]Qc, Winter, S3'!C2*Main!$B$5)</f>
        <v>-13.532066792597048</v>
      </c>
      <c r="D2" s="2">
        <f ca="1">('[1]Qc, Winter, S3'!D2*Main!$B$5)</f>
        <v>-14.57590462434861</v>
      </c>
      <c r="E2" s="2">
        <f ca="1">('[1]Qc, Winter, S3'!E2*Main!$B$5)</f>
        <v>-14.469795775238174</v>
      </c>
      <c r="F2" s="2">
        <f ca="1">('[1]Qc, Winter, S3'!F2*Main!$B$5)</f>
        <v>-14.976893213924999</v>
      </c>
      <c r="G2" s="2">
        <f ca="1">('[1]Qc, Winter, S3'!G2*Main!$B$5)</f>
        <v>-13.332254208138952</v>
      </c>
      <c r="H2" s="2">
        <f ca="1">('[1]Qc, Winter, S3'!H2*Main!$B$5)</f>
        <v>-9.9283374187700151</v>
      </c>
      <c r="I2" s="2">
        <f ca="1">('[1]Qc, Winter, S3'!I2*Main!$B$5)</f>
        <v>-4.086701231078254</v>
      </c>
      <c r="J2" s="2">
        <f ca="1">('[1]Qc, Winter, S3'!J2*Main!$B$5)</f>
        <v>-1.2035100093028965</v>
      </c>
      <c r="K2" s="2">
        <f ca="1">('[1]Qc, Winter, S3'!K2*Main!$B$5)</f>
        <v>-0.18826911397085183</v>
      </c>
      <c r="L2" s="2">
        <f ca="1">('[1]Qc, Winter, S3'!L2*Main!$B$5)</f>
        <v>-1.6901727755533067</v>
      </c>
      <c r="M2" s="2">
        <f ca="1">('[1]Qc, Winter, S3'!M2*Main!$B$5)</f>
        <v>-1.2425822030103708</v>
      </c>
      <c r="N2" s="2">
        <f ca="1">('[1]Qc, Winter, S3'!N2*Main!$B$5)</f>
        <v>-1.7199028883832517</v>
      </c>
      <c r="O2" s="2">
        <f ca="1">('[1]Qc, Winter, S3'!O2*Main!$B$5)</f>
        <v>-1.7349841332573117</v>
      </c>
      <c r="P2" s="2">
        <f ca="1">('[1]Qc, Winter, S3'!P2*Main!$B$5)</f>
        <v>-4.3860888913050253</v>
      </c>
      <c r="Q2" s="2">
        <f ca="1">('[1]Qc, Winter, S3'!Q2*Main!$B$5)</f>
        <v>-6.3166585540769704</v>
      </c>
      <c r="R2" s="2">
        <f ca="1">('[1]Qc, Winter, S3'!R2*Main!$B$5)</f>
        <v>-5.6175141311794174</v>
      </c>
      <c r="S2" s="2">
        <f ca="1">('[1]Qc, Winter, S3'!S2*Main!$B$5)</f>
        <v>-1.9175540006014682</v>
      </c>
      <c r="T2" s="2">
        <f ca="1">('[1]Qc, Winter, S3'!T2*Main!$B$5)</f>
        <v>-2.789353472352011</v>
      </c>
      <c r="U2" s="2">
        <f ca="1">('[1]Qc, Winter, S3'!U2*Main!$B$5)</f>
        <v>-3.5063506229220711</v>
      </c>
      <c r="V2" s="2">
        <f ca="1">('[1]Qc, Winter, S3'!V2*Main!$B$5)</f>
        <v>-5.5078554598615819</v>
      </c>
      <c r="W2" s="2">
        <f ca="1">('[1]Qc, Winter, S3'!W2*Main!$B$5)</f>
        <v>-7.1495540802930551</v>
      </c>
      <c r="X2" s="2">
        <f ca="1">('[1]Qc, Winter, S3'!X2*Main!$B$5)</f>
        <v>-9.5920992134295027</v>
      </c>
      <c r="Y2" s="2">
        <f ca="1">('[1]Qc, Winter, S3'!Y2*Main!$B$5)</f>
        <v>-10.79672363717223</v>
      </c>
    </row>
    <row r="3" spans="1:25" x14ac:dyDescent="0.3">
      <c r="A3">
        <v>2</v>
      </c>
      <c r="B3" s="2">
        <f ca="1">('[1]Qc, Winter, S3'!B3*Main!$B$5)</f>
        <v>14.10578307742488</v>
      </c>
      <c r="C3" s="2">
        <f ca="1">('[1]Qc, Winter, S3'!C3*Main!$B$5)</f>
        <v>17.473042082912499</v>
      </c>
      <c r="D3" s="2">
        <f ca="1">('[1]Qc, Winter, S3'!D3*Main!$B$5)</f>
        <v>17.473042082912499</v>
      </c>
      <c r="E3" s="2">
        <f ca="1">('[1]Qc, Winter, S3'!E3*Main!$B$5)</f>
        <v>17.473042082912499</v>
      </c>
      <c r="F3" s="2">
        <f ca="1">('[1]Qc, Winter, S3'!F3*Main!$B$5)</f>
        <v>17.473042082912499</v>
      </c>
      <c r="G3" s="2">
        <f ca="1">('[1]Qc, Winter, S3'!G3*Main!$B$5)</f>
        <v>14.157588943681811</v>
      </c>
      <c r="H3" s="2">
        <f ca="1">('[1]Qc, Winter, S3'!H3*Main!$B$5)</f>
        <v>6.4215316479781546</v>
      </c>
      <c r="I3" s="2">
        <f ca="1">('[1]Qc, Winter, S3'!I3*Main!$B$5)</f>
        <v>0.82670564163668703</v>
      </c>
      <c r="J3" s="2">
        <f ca="1">('[1]Qc, Winter, S3'!J3*Main!$B$5)</f>
        <v>-4.8371874541107909</v>
      </c>
      <c r="K3" s="2">
        <f ca="1">('[1]Qc, Winter, S3'!K3*Main!$B$5)</f>
        <v>-4.8371874541107909</v>
      </c>
      <c r="L3" s="2">
        <f ca="1">('[1]Qc, Winter, S3'!L3*Main!$B$5)</f>
        <v>-0.4165832684698722</v>
      </c>
      <c r="M3" s="2">
        <f ca="1">('[1]Qc, Winter, S3'!M3*Main!$B$5)</f>
        <v>-5.0444109191385156</v>
      </c>
      <c r="N3" s="2">
        <f ca="1">('[1]Qc, Winter, S3'!N3*Main!$B$5)</f>
        <v>-5.0444109191385156</v>
      </c>
      <c r="O3" s="2">
        <f ca="1">('[1]Qc, Winter, S3'!O3*Main!$B$5)</f>
        <v>-3.9047226285569989</v>
      </c>
      <c r="P3" s="2">
        <f ca="1">('[1]Qc, Winter, S3'!P3*Main!$B$5)</f>
        <v>-0.48565775681244761</v>
      </c>
      <c r="Q3" s="2">
        <f ca="1">('[1]Qc, Winter, S3'!Q3*Main!$B$5)</f>
        <v>2.9333960019432825</v>
      </c>
      <c r="R3" s="2">
        <f ca="1">('[1]Qc, Winter, S3'!R3*Main!$B$5)</f>
        <v>4.073080588195193</v>
      </c>
      <c r="S3" s="2">
        <f ca="1">('[1]Qc, Winter, S3'!S3*Main!$B$5)</f>
        <v>4.073080588195193</v>
      </c>
      <c r="T3" s="2">
        <f ca="1">('[1]Qc, Winter, S3'!T3*Main!$B$5)</f>
        <v>4.073080588195193</v>
      </c>
      <c r="U3" s="2">
        <f ca="1">('[1]Qc, Winter, S3'!U3*Main!$B$5)</f>
        <v>4.073080588195193</v>
      </c>
      <c r="V3" s="2">
        <f ca="1">('[1]Qc, Winter, S3'!V3*Main!$B$5)</f>
        <v>4.073080588195193</v>
      </c>
      <c r="W3" s="2">
        <f ca="1">('[1]Qc, Winter, S3'!W3*Main!$B$5)</f>
        <v>8.4936847349455125</v>
      </c>
      <c r="X3" s="2">
        <f ca="1">('[1]Qc, Winter, S3'!X3*Main!$B$5)</f>
        <v>12.983363408929005</v>
      </c>
      <c r="Y3" s="2">
        <f ca="1">('[1]Qc, Winter, S3'!Y3*Main!$B$5)</f>
        <v>12.983363408929005</v>
      </c>
    </row>
    <row r="4" spans="1:25" x14ac:dyDescent="0.3">
      <c r="A4">
        <v>3</v>
      </c>
      <c r="B4" s="2">
        <f ca="1">('[1]Qc, Winter, S3'!B4*Main!$B$5)</f>
        <v>9.5714582179880274</v>
      </c>
      <c r="C4" s="2">
        <f ca="1">('[1]Qc, Winter, S3'!C4*Main!$B$5)</f>
        <v>7.3831599404680777</v>
      </c>
      <c r="D4" s="2">
        <f ca="1">('[1]Qc, Winter, S3'!D4*Main!$B$5)</f>
        <v>6.3203627478941486</v>
      </c>
      <c r="E4" s="2">
        <f ca="1">('[1]Qc, Winter, S3'!E4*Main!$B$5)</f>
        <v>6.1848949815744589</v>
      </c>
      <c r="F4" s="2">
        <f ca="1">('[1]Qc, Winter, S3'!F4*Main!$B$5)</f>
        <v>7.0295090044558757</v>
      </c>
      <c r="G4" s="2">
        <f ca="1">('[1]Qc, Winter, S3'!G4*Main!$B$5)</f>
        <v>8.7281040504420524</v>
      </c>
      <c r="H4" s="2">
        <f ca="1">('[1]Qc, Winter, S3'!H4*Main!$B$5)</f>
        <v>13.541724971005175</v>
      </c>
      <c r="I4" s="2">
        <f ca="1">('[1]Qc, Winter, S3'!I4*Main!$B$5)</f>
        <v>16.531855077757413</v>
      </c>
      <c r="J4" s="2">
        <f ca="1">('[1]Qc, Winter, S3'!J4*Main!$B$5)</f>
        <v>19.100216931443775</v>
      </c>
      <c r="K4" s="2">
        <f ca="1">('[1]Qc, Winter, S3'!K4*Main!$B$5)</f>
        <v>21.03285352190013</v>
      </c>
      <c r="L4" s="2">
        <f ca="1">('[1]Qc, Winter, S3'!L4*Main!$B$5)</f>
        <v>21.210354677495026</v>
      </c>
      <c r="M4" s="2">
        <f ca="1">('[1]Qc, Winter, S3'!M4*Main!$B$5)</f>
        <v>20.830035848497278</v>
      </c>
      <c r="N4" s="2">
        <f ca="1">('[1]Qc, Winter, S3'!N4*Main!$B$5)</f>
        <v>20.918749891272114</v>
      </c>
      <c r="O4" s="2">
        <f ca="1">('[1]Qc, Winter, S3'!O4*Main!$B$5)</f>
        <v>20.705286077427324</v>
      </c>
      <c r="P4" s="2">
        <f ca="1">('[1]Qc, Winter, S3'!P4*Main!$B$5)</f>
        <v>18.678558031050276</v>
      </c>
      <c r="Q4" s="2">
        <f ca="1">('[1]Qc, Winter, S3'!Q4*Main!$B$5)</f>
        <v>17.746307379315901</v>
      </c>
      <c r="R4" s="2">
        <f ca="1">('[1]Qc, Winter, S3'!R4*Main!$B$5)</f>
        <v>18.314243209013725</v>
      </c>
      <c r="S4" s="2">
        <f ca="1">('[1]Qc, Winter, S3'!S4*Main!$B$5)</f>
        <v>24.961488689874997</v>
      </c>
      <c r="T4" s="2">
        <f ca="1">('[1]Qc, Winter, S3'!T4*Main!$B$5)</f>
        <v>24.925252179429162</v>
      </c>
      <c r="U4" s="2">
        <f ca="1">('[1]Qc, Winter, S3'!U4*Main!$B$5)</f>
        <v>24.164650716812996</v>
      </c>
      <c r="V4" s="2">
        <f ca="1">('[1]Qc, Winter, S3'!V4*Main!$B$5)</f>
        <v>22.366933269066394</v>
      </c>
      <c r="W4" s="2">
        <f ca="1">('[1]Qc, Winter, S3'!W4*Main!$B$5)</f>
        <v>19.891658857719378</v>
      </c>
      <c r="X4" s="2">
        <f ca="1">('[1]Qc, Winter, S3'!X4*Main!$B$5)</f>
        <v>16.224099234612769</v>
      </c>
      <c r="Y4" s="2">
        <f ca="1">('[1]Qc, Winter, S3'!Y4*Main!$B$5)</f>
        <v>12.447009617294528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-12.450576401996777</v>
      </c>
      <c r="C2" s="2">
        <f ca="1">('[1]Qc, Winter, S3'!C2*Main!$B$5)</f>
        <v>-13.532066792597048</v>
      </c>
      <c r="D2" s="2">
        <f ca="1">('[1]Qc, Winter, S3'!D2*Main!$B$5)</f>
        <v>-14.57590462434861</v>
      </c>
      <c r="E2" s="2">
        <f ca="1">('[1]Qc, Winter, S3'!E2*Main!$B$5)</f>
        <v>-14.469795775238174</v>
      </c>
      <c r="F2" s="2">
        <f ca="1">('[1]Qc, Winter, S3'!F2*Main!$B$5)</f>
        <v>-14.976893213924999</v>
      </c>
      <c r="G2" s="2">
        <f ca="1">('[1]Qc, Winter, S3'!G2*Main!$B$5)</f>
        <v>-13.332254208138952</v>
      </c>
      <c r="H2" s="2">
        <f ca="1">('[1]Qc, Winter, S3'!H2*Main!$B$5)</f>
        <v>-9.9283374187700151</v>
      </c>
      <c r="I2" s="2">
        <f ca="1">('[1]Qc, Winter, S3'!I2*Main!$B$5)</f>
        <v>-4.086701231078254</v>
      </c>
      <c r="J2" s="2">
        <f ca="1">('[1]Qc, Winter, S3'!J2*Main!$B$5)</f>
        <v>-1.2035100093028965</v>
      </c>
      <c r="K2" s="2">
        <f ca="1">('[1]Qc, Winter, S3'!K2*Main!$B$5)</f>
        <v>-0.18826911397085183</v>
      </c>
      <c r="L2" s="2">
        <f ca="1">('[1]Qc, Winter, S3'!L2*Main!$B$5)</f>
        <v>-1.6901727755533067</v>
      </c>
      <c r="M2" s="2">
        <f ca="1">('[1]Qc, Winter, S3'!M2*Main!$B$5)</f>
        <v>-1.2425822030103708</v>
      </c>
      <c r="N2" s="2">
        <f ca="1">('[1]Qc, Winter, S3'!N2*Main!$B$5)</f>
        <v>-1.7199028883832517</v>
      </c>
      <c r="O2" s="2">
        <f ca="1">('[1]Qc, Winter, S3'!O2*Main!$B$5)</f>
        <v>-1.7349841332573117</v>
      </c>
      <c r="P2" s="2">
        <f ca="1">('[1]Qc, Winter, S3'!P2*Main!$B$5)</f>
        <v>-4.3860888913050253</v>
      </c>
      <c r="Q2" s="2">
        <f ca="1">('[1]Qc, Winter, S3'!Q2*Main!$B$5)</f>
        <v>-6.3166585540769704</v>
      </c>
      <c r="R2" s="2">
        <f ca="1">('[1]Qc, Winter, S3'!R2*Main!$B$5)</f>
        <v>-5.6175141311794174</v>
      </c>
      <c r="S2" s="2">
        <f ca="1">('[1]Qc, Winter, S3'!S2*Main!$B$5)</f>
        <v>-1.9175540006014682</v>
      </c>
      <c r="T2" s="2">
        <f ca="1">('[1]Qc, Winter, S3'!T2*Main!$B$5)</f>
        <v>-2.789353472352011</v>
      </c>
      <c r="U2" s="2">
        <f ca="1">('[1]Qc, Winter, S3'!U2*Main!$B$5)</f>
        <v>-3.5063506229220711</v>
      </c>
      <c r="V2" s="2">
        <f ca="1">('[1]Qc, Winter, S3'!V2*Main!$B$5)</f>
        <v>-5.5078554598615819</v>
      </c>
      <c r="W2" s="2">
        <f ca="1">('[1]Qc, Winter, S3'!W2*Main!$B$5)</f>
        <v>-7.1495540802930551</v>
      </c>
      <c r="X2" s="2">
        <f ca="1">('[1]Qc, Winter, S3'!X2*Main!$B$5)</f>
        <v>-9.5920992134295027</v>
      </c>
      <c r="Y2" s="2">
        <f ca="1">('[1]Qc, Winter, S3'!Y2*Main!$B$5)</f>
        <v>-10.79672363717223</v>
      </c>
    </row>
    <row r="3" spans="1:25" x14ac:dyDescent="0.3">
      <c r="A3">
        <v>2</v>
      </c>
      <c r="B3" s="2">
        <f ca="1">('[1]Qc, Winter, S3'!B3*Main!$B$5)</f>
        <v>14.10578307742488</v>
      </c>
      <c r="C3" s="2">
        <f ca="1">('[1]Qc, Winter, S3'!C3*Main!$B$5)</f>
        <v>17.473042082912499</v>
      </c>
      <c r="D3" s="2">
        <f ca="1">('[1]Qc, Winter, S3'!D3*Main!$B$5)</f>
        <v>17.473042082912499</v>
      </c>
      <c r="E3" s="2">
        <f ca="1">('[1]Qc, Winter, S3'!E3*Main!$B$5)</f>
        <v>17.473042082912499</v>
      </c>
      <c r="F3" s="2">
        <f ca="1">('[1]Qc, Winter, S3'!F3*Main!$B$5)</f>
        <v>17.473042082912499</v>
      </c>
      <c r="G3" s="2">
        <f ca="1">('[1]Qc, Winter, S3'!G3*Main!$B$5)</f>
        <v>14.157588943681811</v>
      </c>
      <c r="H3" s="2">
        <f ca="1">('[1]Qc, Winter, S3'!H3*Main!$B$5)</f>
        <v>6.4215316479781546</v>
      </c>
      <c r="I3" s="2">
        <f ca="1">('[1]Qc, Winter, S3'!I3*Main!$B$5)</f>
        <v>0.82670564163668703</v>
      </c>
      <c r="J3" s="2">
        <f ca="1">('[1]Qc, Winter, S3'!J3*Main!$B$5)</f>
        <v>-4.8371874541107909</v>
      </c>
      <c r="K3" s="2">
        <f ca="1">('[1]Qc, Winter, S3'!K3*Main!$B$5)</f>
        <v>-4.8371874541107909</v>
      </c>
      <c r="L3" s="2">
        <f ca="1">('[1]Qc, Winter, S3'!L3*Main!$B$5)</f>
        <v>-0.4165832684698722</v>
      </c>
      <c r="M3" s="2">
        <f ca="1">('[1]Qc, Winter, S3'!M3*Main!$B$5)</f>
        <v>-5.0444109191385156</v>
      </c>
      <c r="N3" s="2">
        <f ca="1">('[1]Qc, Winter, S3'!N3*Main!$B$5)</f>
        <v>-5.0444109191385156</v>
      </c>
      <c r="O3" s="2">
        <f ca="1">('[1]Qc, Winter, S3'!O3*Main!$B$5)</f>
        <v>-3.9047226285569989</v>
      </c>
      <c r="P3" s="2">
        <f ca="1">('[1]Qc, Winter, S3'!P3*Main!$B$5)</f>
        <v>-0.48565775681244761</v>
      </c>
      <c r="Q3" s="2">
        <f ca="1">('[1]Qc, Winter, S3'!Q3*Main!$B$5)</f>
        <v>2.9333960019432825</v>
      </c>
      <c r="R3" s="2">
        <f ca="1">('[1]Qc, Winter, S3'!R3*Main!$B$5)</f>
        <v>4.073080588195193</v>
      </c>
      <c r="S3" s="2">
        <f ca="1">('[1]Qc, Winter, S3'!S3*Main!$B$5)</f>
        <v>4.073080588195193</v>
      </c>
      <c r="T3" s="2">
        <f ca="1">('[1]Qc, Winter, S3'!T3*Main!$B$5)</f>
        <v>4.073080588195193</v>
      </c>
      <c r="U3" s="2">
        <f ca="1">('[1]Qc, Winter, S3'!U3*Main!$B$5)</f>
        <v>4.073080588195193</v>
      </c>
      <c r="V3" s="2">
        <f ca="1">('[1]Qc, Winter, S3'!V3*Main!$B$5)</f>
        <v>4.073080588195193</v>
      </c>
      <c r="W3" s="2">
        <f ca="1">('[1]Qc, Winter, S3'!W3*Main!$B$5)</f>
        <v>8.4936847349455125</v>
      </c>
      <c r="X3" s="2">
        <f ca="1">('[1]Qc, Winter, S3'!X3*Main!$B$5)</f>
        <v>12.983363408929005</v>
      </c>
      <c r="Y3" s="2">
        <f ca="1">('[1]Qc, Winter, S3'!Y3*Main!$B$5)</f>
        <v>12.983363408929005</v>
      </c>
    </row>
    <row r="4" spans="1:25" x14ac:dyDescent="0.3">
      <c r="A4">
        <v>3</v>
      </c>
      <c r="B4" s="2">
        <f ca="1">('[1]Qc, Winter, S3'!B4*Main!$B$5)</f>
        <v>9.5714582179880274</v>
      </c>
      <c r="C4" s="2">
        <f ca="1">('[1]Qc, Winter, S3'!C4*Main!$B$5)</f>
        <v>7.3831599404680777</v>
      </c>
      <c r="D4" s="2">
        <f ca="1">('[1]Qc, Winter, S3'!D4*Main!$B$5)</f>
        <v>6.3203627478941486</v>
      </c>
      <c r="E4" s="2">
        <f ca="1">('[1]Qc, Winter, S3'!E4*Main!$B$5)</f>
        <v>6.1848949815744589</v>
      </c>
      <c r="F4" s="2">
        <f ca="1">('[1]Qc, Winter, S3'!F4*Main!$B$5)</f>
        <v>7.0295090044558757</v>
      </c>
      <c r="G4" s="2">
        <f ca="1">('[1]Qc, Winter, S3'!G4*Main!$B$5)</f>
        <v>8.7281040504420524</v>
      </c>
      <c r="H4" s="2">
        <f ca="1">('[1]Qc, Winter, S3'!H4*Main!$B$5)</f>
        <v>13.541724971005175</v>
      </c>
      <c r="I4" s="2">
        <f ca="1">('[1]Qc, Winter, S3'!I4*Main!$B$5)</f>
        <v>16.531855077757413</v>
      </c>
      <c r="J4" s="2">
        <f ca="1">('[1]Qc, Winter, S3'!J4*Main!$B$5)</f>
        <v>19.100216931443775</v>
      </c>
      <c r="K4" s="2">
        <f ca="1">('[1]Qc, Winter, S3'!K4*Main!$B$5)</f>
        <v>21.03285352190013</v>
      </c>
      <c r="L4" s="2">
        <f ca="1">('[1]Qc, Winter, S3'!L4*Main!$B$5)</f>
        <v>21.210354677495026</v>
      </c>
      <c r="M4" s="2">
        <f ca="1">('[1]Qc, Winter, S3'!M4*Main!$B$5)</f>
        <v>20.830035848497278</v>
      </c>
      <c r="N4" s="2">
        <f ca="1">('[1]Qc, Winter, S3'!N4*Main!$B$5)</f>
        <v>20.918749891272114</v>
      </c>
      <c r="O4" s="2">
        <f ca="1">('[1]Qc, Winter, S3'!O4*Main!$B$5)</f>
        <v>20.705286077427324</v>
      </c>
      <c r="P4" s="2">
        <f ca="1">('[1]Qc, Winter, S3'!P4*Main!$B$5)</f>
        <v>18.678558031050276</v>
      </c>
      <c r="Q4" s="2">
        <f ca="1">('[1]Qc, Winter, S3'!Q4*Main!$B$5)</f>
        <v>17.746307379315901</v>
      </c>
      <c r="R4" s="2">
        <f ca="1">('[1]Qc, Winter, S3'!R4*Main!$B$5)</f>
        <v>18.314243209013725</v>
      </c>
      <c r="S4" s="2">
        <f ca="1">('[1]Qc, Winter, S3'!S4*Main!$B$5)</f>
        <v>24.961488689874997</v>
      </c>
      <c r="T4" s="2">
        <f ca="1">('[1]Qc, Winter, S3'!T4*Main!$B$5)</f>
        <v>24.925252179429162</v>
      </c>
      <c r="U4" s="2">
        <f ca="1">('[1]Qc, Winter, S3'!U4*Main!$B$5)</f>
        <v>24.164650716812996</v>
      </c>
      <c r="V4" s="2">
        <f ca="1">('[1]Qc, Winter, S3'!V4*Main!$B$5)</f>
        <v>22.366933269066394</v>
      </c>
      <c r="W4" s="2">
        <f ca="1">('[1]Qc, Winter, S3'!W4*Main!$B$5)</f>
        <v>19.891658857719378</v>
      </c>
      <c r="X4" s="2">
        <f ca="1">('[1]Qc, Winter, S3'!X4*Main!$B$5)</f>
        <v>16.224099234612769</v>
      </c>
      <c r="Y4" s="2">
        <f ca="1">('[1]Qc, Winter, S3'!Y4*Main!$B$5)</f>
        <v>12.447009617294528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Winter, S3'!B2*Main!$B$5)</f>
        <v>-12.450576401996777</v>
      </c>
      <c r="C2" s="2">
        <f ca="1">('[1]Qc, Winter, S3'!C2*Main!$B$5)</f>
        <v>-13.532066792597048</v>
      </c>
      <c r="D2" s="2">
        <f ca="1">('[1]Qc, Winter, S3'!D2*Main!$B$5)</f>
        <v>-14.57590462434861</v>
      </c>
      <c r="E2" s="2">
        <f ca="1">('[1]Qc, Winter, S3'!E2*Main!$B$5)</f>
        <v>-14.469795775238174</v>
      </c>
      <c r="F2" s="2">
        <f ca="1">('[1]Qc, Winter, S3'!F2*Main!$B$5)</f>
        <v>-14.976893213924999</v>
      </c>
      <c r="G2" s="2">
        <f ca="1">('[1]Qc, Winter, S3'!G2*Main!$B$5)</f>
        <v>-13.332254208138952</v>
      </c>
      <c r="H2" s="2">
        <f ca="1">('[1]Qc, Winter, S3'!H2*Main!$B$5)</f>
        <v>-9.9283374187700151</v>
      </c>
      <c r="I2" s="2">
        <f ca="1">('[1]Qc, Winter, S3'!I2*Main!$B$5)</f>
        <v>-4.086701231078254</v>
      </c>
      <c r="J2" s="2">
        <f ca="1">('[1]Qc, Winter, S3'!J2*Main!$B$5)</f>
        <v>-1.2035100093028965</v>
      </c>
      <c r="K2" s="2">
        <f ca="1">('[1]Qc, Winter, S3'!K2*Main!$B$5)</f>
        <v>-0.18826911397085183</v>
      </c>
      <c r="L2" s="2">
        <f ca="1">('[1]Qc, Winter, S3'!L2*Main!$B$5)</f>
        <v>-1.6901727755533067</v>
      </c>
      <c r="M2" s="2">
        <f ca="1">('[1]Qc, Winter, S3'!M2*Main!$B$5)</f>
        <v>-1.2425822030103708</v>
      </c>
      <c r="N2" s="2">
        <f ca="1">('[1]Qc, Winter, S3'!N2*Main!$B$5)</f>
        <v>-1.7199028883832517</v>
      </c>
      <c r="O2" s="2">
        <f ca="1">('[1]Qc, Winter, S3'!O2*Main!$B$5)</f>
        <v>-1.7349841332573117</v>
      </c>
      <c r="P2" s="2">
        <f ca="1">('[1]Qc, Winter, S3'!P2*Main!$B$5)</f>
        <v>-4.3860888913050253</v>
      </c>
      <c r="Q2" s="2">
        <f ca="1">('[1]Qc, Winter, S3'!Q2*Main!$B$5)</f>
        <v>-6.3166585540769704</v>
      </c>
      <c r="R2" s="2">
        <f ca="1">('[1]Qc, Winter, S3'!R2*Main!$B$5)</f>
        <v>-5.6175141311794174</v>
      </c>
      <c r="S2" s="2">
        <f ca="1">('[1]Qc, Winter, S3'!S2*Main!$B$5)</f>
        <v>-1.9175540006014682</v>
      </c>
      <c r="T2" s="2">
        <f ca="1">('[1]Qc, Winter, S3'!T2*Main!$B$5)</f>
        <v>-2.789353472352011</v>
      </c>
      <c r="U2" s="2">
        <f ca="1">('[1]Qc, Winter, S3'!U2*Main!$B$5)</f>
        <v>-3.5063506229220711</v>
      </c>
      <c r="V2" s="2">
        <f ca="1">('[1]Qc, Winter, S3'!V2*Main!$B$5)</f>
        <v>-5.5078554598615819</v>
      </c>
      <c r="W2" s="2">
        <f ca="1">('[1]Qc, Winter, S3'!W2*Main!$B$5)</f>
        <v>-7.1495540802930551</v>
      </c>
      <c r="X2" s="2">
        <f ca="1">('[1]Qc, Winter, S3'!X2*Main!$B$5)</f>
        <v>-9.5920992134295027</v>
      </c>
      <c r="Y2" s="2">
        <f ca="1">('[1]Qc, Winter, S3'!Y2*Main!$B$5)</f>
        <v>-10.79672363717223</v>
      </c>
    </row>
    <row r="3" spans="1:25" x14ac:dyDescent="0.3">
      <c r="A3">
        <v>2</v>
      </c>
      <c r="B3" s="2">
        <f ca="1">('[1]Qc, Winter, S3'!B3*Main!$B$5)</f>
        <v>14.10578307742488</v>
      </c>
      <c r="C3" s="2">
        <f ca="1">('[1]Qc, Winter, S3'!C3*Main!$B$5)</f>
        <v>17.473042082912499</v>
      </c>
      <c r="D3" s="2">
        <f ca="1">('[1]Qc, Winter, S3'!D3*Main!$B$5)</f>
        <v>17.473042082912499</v>
      </c>
      <c r="E3" s="2">
        <f ca="1">('[1]Qc, Winter, S3'!E3*Main!$B$5)</f>
        <v>17.473042082912499</v>
      </c>
      <c r="F3" s="2">
        <f ca="1">('[1]Qc, Winter, S3'!F3*Main!$B$5)</f>
        <v>17.473042082912499</v>
      </c>
      <c r="G3" s="2">
        <f ca="1">('[1]Qc, Winter, S3'!G3*Main!$B$5)</f>
        <v>14.157588943681811</v>
      </c>
      <c r="H3" s="2">
        <f ca="1">('[1]Qc, Winter, S3'!H3*Main!$B$5)</f>
        <v>6.4215316479781546</v>
      </c>
      <c r="I3" s="2">
        <f ca="1">('[1]Qc, Winter, S3'!I3*Main!$B$5)</f>
        <v>0.82670564163668703</v>
      </c>
      <c r="J3" s="2">
        <f ca="1">('[1]Qc, Winter, S3'!J3*Main!$B$5)</f>
        <v>-4.8371874541107909</v>
      </c>
      <c r="K3" s="2">
        <f ca="1">('[1]Qc, Winter, S3'!K3*Main!$B$5)</f>
        <v>-4.8371874541107909</v>
      </c>
      <c r="L3" s="2">
        <f ca="1">('[1]Qc, Winter, S3'!L3*Main!$B$5)</f>
        <v>-0.4165832684698722</v>
      </c>
      <c r="M3" s="2">
        <f ca="1">('[1]Qc, Winter, S3'!M3*Main!$B$5)</f>
        <v>-5.0444109191385156</v>
      </c>
      <c r="N3" s="2">
        <f ca="1">('[1]Qc, Winter, S3'!N3*Main!$B$5)</f>
        <v>-5.0444109191385156</v>
      </c>
      <c r="O3" s="2">
        <f ca="1">('[1]Qc, Winter, S3'!O3*Main!$B$5)</f>
        <v>-3.9047226285569989</v>
      </c>
      <c r="P3" s="2">
        <f ca="1">('[1]Qc, Winter, S3'!P3*Main!$B$5)</f>
        <v>-0.48565775681244761</v>
      </c>
      <c r="Q3" s="2">
        <f ca="1">('[1]Qc, Winter, S3'!Q3*Main!$B$5)</f>
        <v>2.9333960019432825</v>
      </c>
      <c r="R3" s="2">
        <f ca="1">('[1]Qc, Winter, S3'!R3*Main!$B$5)</f>
        <v>4.073080588195193</v>
      </c>
      <c r="S3" s="2">
        <f ca="1">('[1]Qc, Winter, S3'!S3*Main!$B$5)</f>
        <v>4.073080588195193</v>
      </c>
      <c r="T3" s="2">
        <f ca="1">('[1]Qc, Winter, S3'!T3*Main!$B$5)</f>
        <v>4.073080588195193</v>
      </c>
      <c r="U3" s="2">
        <f ca="1">('[1]Qc, Winter, S3'!U3*Main!$B$5)</f>
        <v>4.073080588195193</v>
      </c>
      <c r="V3" s="2">
        <f ca="1">('[1]Qc, Winter, S3'!V3*Main!$B$5)</f>
        <v>4.073080588195193</v>
      </c>
      <c r="W3" s="2">
        <f ca="1">('[1]Qc, Winter, S3'!W3*Main!$B$5)</f>
        <v>8.4936847349455125</v>
      </c>
      <c r="X3" s="2">
        <f ca="1">('[1]Qc, Winter, S3'!X3*Main!$B$5)</f>
        <v>12.983363408929005</v>
      </c>
      <c r="Y3" s="2">
        <f ca="1">('[1]Qc, Winter, S3'!Y3*Main!$B$5)</f>
        <v>12.983363408929005</v>
      </c>
    </row>
    <row r="4" spans="1:25" x14ac:dyDescent="0.3">
      <c r="A4">
        <v>3</v>
      </c>
      <c r="B4" s="2">
        <f ca="1">('[1]Qc, Winter, S3'!B4*Main!$B$5)</f>
        <v>9.5714582179880274</v>
      </c>
      <c r="C4" s="2">
        <f ca="1">('[1]Qc, Winter, S3'!C4*Main!$B$5)</f>
        <v>7.3831599404680777</v>
      </c>
      <c r="D4" s="2">
        <f ca="1">('[1]Qc, Winter, S3'!D4*Main!$B$5)</f>
        <v>6.3203627478941486</v>
      </c>
      <c r="E4" s="2">
        <f ca="1">('[1]Qc, Winter, S3'!E4*Main!$B$5)</f>
        <v>6.1848949815744589</v>
      </c>
      <c r="F4" s="2">
        <f ca="1">('[1]Qc, Winter, S3'!F4*Main!$B$5)</f>
        <v>7.0295090044558757</v>
      </c>
      <c r="G4" s="2">
        <f ca="1">('[1]Qc, Winter, S3'!G4*Main!$B$5)</f>
        <v>8.7281040504420524</v>
      </c>
      <c r="H4" s="2">
        <f ca="1">('[1]Qc, Winter, S3'!H4*Main!$B$5)</f>
        <v>13.541724971005175</v>
      </c>
      <c r="I4" s="2">
        <f ca="1">('[1]Qc, Winter, S3'!I4*Main!$B$5)</f>
        <v>16.531855077757413</v>
      </c>
      <c r="J4" s="2">
        <f ca="1">('[1]Qc, Winter, S3'!J4*Main!$B$5)</f>
        <v>19.100216931443775</v>
      </c>
      <c r="K4" s="2">
        <f ca="1">('[1]Qc, Winter, S3'!K4*Main!$B$5)</f>
        <v>21.03285352190013</v>
      </c>
      <c r="L4" s="2">
        <f ca="1">('[1]Qc, Winter, S3'!L4*Main!$B$5)</f>
        <v>21.210354677495026</v>
      </c>
      <c r="M4" s="2">
        <f ca="1">('[1]Qc, Winter, S3'!M4*Main!$B$5)</f>
        <v>20.830035848497278</v>
      </c>
      <c r="N4" s="2">
        <f ca="1">('[1]Qc, Winter, S3'!N4*Main!$B$5)</f>
        <v>20.918749891272114</v>
      </c>
      <c r="O4" s="2">
        <f ca="1">('[1]Qc, Winter, S3'!O4*Main!$B$5)</f>
        <v>20.705286077427324</v>
      </c>
      <c r="P4" s="2">
        <f ca="1">('[1]Qc, Winter, S3'!P4*Main!$B$5)</f>
        <v>18.678558031050276</v>
      </c>
      <c r="Q4" s="2">
        <f ca="1">('[1]Qc, Winter, S3'!Q4*Main!$B$5)</f>
        <v>17.746307379315901</v>
      </c>
      <c r="R4" s="2">
        <f ca="1">('[1]Qc, Winter, S3'!R4*Main!$B$5)</f>
        <v>18.314243209013725</v>
      </c>
      <c r="S4" s="2">
        <f ca="1">('[1]Qc, Winter, S3'!S4*Main!$B$5)</f>
        <v>24.961488689874997</v>
      </c>
      <c r="T4" s="2">
        <f ca="1">('[1]Qc, Winter, S3'!T4*Main!$B$5)</f>
        <v>24.925252179429162</v>
      </c>
      <c r="U4" s="2">
        <f ca="1">('[1]Qc, Winter, S3'!U4*Main!$B$5)</f>
        <v>24.164650716812996</v>
      </c>
      <c r="V4" s="2">
        <f ca="1">('[1]Qc, Winter, S3'!V4*Main!$B$5)</f>
        <v>22.366933269066394</v>
      </c>
      <c r="W4" s="2">
        <f ca="1">('[1]Qc, Winter, S3'!W4*Main!$B$5)</f>
        <v>19.891658857719378</v>
      </c>
      <c r="X4" s="2">
        <f ca="1">('[1]Qc, Winter, S3'!X4*Main!$B$5)</f>
        <v>16.224099234612769</v>
      </c>
      <c r="Y4" s="2">
        <f ca="1">('[1]Qc, Winter, S3'!Y4*Main!$B$5)</f>
        <v>12.447009617294528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FD42-4C76-4AC7-A518-39977CCB74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4C0DD-63EC-452B-B727-E7633F01A28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AF3F-B272-458C-AA52-13D468BF343E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7FE1B-2682-4FFE-8108-DD927AA6BC0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Winter'!B$5</f>
        <v>16.264552388598958</v>
      </c>
      <c r="C5" s="9">
        <f>VLOOKUP($A5,'RES installed'!$A$2:$C$7,3,FALSE)*'[1]Profiles, RES, Winter'!C$5</f>
        <v>17.498996386993174</v>
      </c>
      <c r="D5" s="9">
        <f>VLOOKUP($A5,'RES installed'!$A$2:$C$7,3,FALSE)*'[1]Profiles, RES, Winter'!D$5</f>
        <v>17.408671216378966</v>
      </c>
      <c r="E5" s="9">
        <f>VLOOKUP($A5,'RES installed'!$A$2:$C$7,3,FALSE)*'[1]Profiles, RES, Winter'!E$5</f>
        <v>17.444801284624649</v>
      </c>
      <c r="F5" s="9">
        <f>VLOOKUP($A5,'RES installed'!$A$2:$C$7,3,FALSE)*'[1]Profiles, RES, Winter'!F$5</f>
        <v>18.059012444801287</v>
      </c>
      <c r="G5" s="9">
        <f>VLOOKUP($A5,'RES installed'!$A$2:$C$7,3,FALSE)*'[1]Profiles, RES, Winter'!G$5</f>
        <v>19.064632677639505</v>
      </c>
      <c r="H5" s="9">
        <f>VLOOKUP($A5,'RES installed'!$A$2:$C$7,3,FALSE)*'[1]Profiles, RES, Winter'!H$5</f>
        <v>20.311120032115614</v>
      </c>
      <c r="I5" s="9">
        <f>VLOOKUP($A5,'RES installed'!$A$2:$C$7,3,FALSE)*'[1]Profiles, RES, Winter'!I$5</f>
        <v>20.3472501003613</v>
      </c>
      <c r="J5" s="9">
        <f>VLOOKUP($A5,'RES installed'!$A$2:$C$7,3,FALSE)*'[1]Profiles, RES, Winter'!J$5</f>
        <v>20.166599759132879</v>
      </c>
      <c r="K5" s="9">
        <f>VLOOKUP($A5,'RES installed'!$A$2:$C$7,3,FALSE)*'[1]Profiles, RES, Winter'!K$5</f>
        <v>18.926134082697711</v>
      </c>
      <c r="L5" s="9">
        <f>VLOOKUP($A5,'RES installed'!$A$2:$C$7,3,FALSE)*'[1]Profiles, RES, Winter'!L$5</f>
        <v>16.505419510236852</v>
      </c>
      <c r="M5" s="9">
        <f>VLOOKUP($A5,'RES installed'!$A$2:$C$7,3,FALSE)*'[1]Profiles, RES, Winter'!M$5</f>
        <v>15.186672019269368</v>
      </c>
      <c r="N5" s="9">
        <f>VLOOKUP($A5,'RES installed'!$A$2:$C$7,3,FALSE)*'[1]Profiles, RES, Winter'!N$5</f>
        <v>14.590525893215577</v>
      </c>
      <c r="O5" s="9">
        <f>VLOOKUP($A5,'RES installed'!$A$2:$C$7,3,FALSE)*'[1]Profiles, RES, Winter'!O$5</f>
        <v>13.596949016459254</v>
      </c>
      <c r="P5" s="9">
        <f>VLOOKUP($A5,'RES installed'!$A$2:$C$7,3,FALSE)*'[1]Profiles, RES, Winter'!P$5</f>
        <v>12.428743476515455</v>
      </c>
      <c r="Q5" s="9">
        <f>VLOOKUP($A5,'RES installed'!$A$2:$C$7,3,FALSE)*'[1]Profiles, RES, Winter'!Q$5</f>
        <v>12.537133681252509</v>
      </c>
      <c r="R5" s="9">
        <f>VLOOKUP($A5,'RES installed'!$A$2:$C$7,3,FALSE)*'[1]Profiles, RES, Winter'!R$5</f>
        <v>13.006824568446408</v>
      </c>
      <c r="S5" s="9">
        <f>VLOOKUP($A5,'RES installed'!$A$2:$C$7,3,FALSE)*'[1]Profiles, RES, Winter'!S$5</f>
        <v>14.987956643918105</v>
      </c>
      <c r="T5" s="9">
        <f>VLOOKUP($A5,'RES installed'!$A$2:$C$7,3,FALSE)*'[1]Profiles, RES, Winter'!T$5</f>
        <v>16.228422320353275</v>
      </c>
      <c r="U5" s="9">
        <f>VLOOKUP($A5,'RES installed'!$A$2:$C$7,3,FALSE)*'[1]Profiles, RES, Winter'!U$5</f>
        <v>16.631874749096749</v>
      </c>
      <c r="V5" s="9">
        <f>VLOOKUP($A5,'RES installed'!$A$2:$C$7,3,FALSE)*'[1]Profiles, RES, Winter'!V$5</f>
        <v>16.083902047370533</v>
      </c>
      <c r="W5" s="9">
        <f>VLOOKUP($A5,'RES installed'!$A$2:$C$7,3,FALSE)*'[1]Profiles, RES, Winter'!W$5</f>
        <v>15.210758731433158</v>
      </c>
      <c r="X5" s="9">
        <f>VLOOKUP($A5,'RES installed'!$A$2:$C$7,3,FALSE)*'[1]Profiles, RES, Winter'!X$5</f>
        <v>15.37334403853874</v>
      </c>
      <c r="Y5" s="9">
        <f>VLOOKUP($A5,'RES installed'!$A$2:$C$7,3,FALSE)*'[1]Profiles, RES, Winter'!Y$5</f>
        <v>16.005620232838218</v>
      </c>
    </row>
    <row r="6" spans="1:25" x14ac:dyDescent="0.3">
      <c r="A6" s="8">
        <v>5</v>
      </c>
      <c r="B6" s="9">
        <f>VLOOKUP($A6,'RES installed'!$A$2:$C$7,3,FALSE)*'[1]Profiles, RES, Winter'!B$5</f>
        <v>10.843034925732638</v>
      </c>
      <c r="C6" s="9">
        <f>VLOOKUP($A6,'RES installed'!$A$2:$C$7,3,FALSE)*'[1]Profiles, RES, Winter'!C$5</f>
        <v>11.665997591328782</v>
      </c>
      <c r="D6" s="9">
        <f>VLOOKUP($A6,'RES installed'!$A$2:$C$7,3,FALSE)*'[1]Profiles, RES, Winter'!D$5</f>
        <v>11.60578081091931</v>
      </c>
      <c r="E6" s="9">
        <f>VLOOKUP($A6,'RES installed'!$A$2:$C$7,3,FALSE)*'[1]Profiles, RES, Winter'!E$5</f>
        <v>11.629867523083099</v>
      </c>
      <c r="F6" s="9">
        <f>VLOOKUP($A6,'RES installed'!$A$2:$C$7,3,FALSE)*'[1]Profiles, RES, Winter'!F$5</f>
        <v>12.039341629867524</v>
      </c>
      <c r="G6" s="9">
        <f>VLOOKUP($A6,'RES installed'!$A$2:$C$7,3,FALSE)*'[1]Profiles, RES, Winter'!G$5</f>
        <v>12.709755118426337</v>
      </c>
      <c r="H6" s="9">
        <f>VLOOKUP($A6,'RES installed'!$A$2:$C$7,3,FALSE)*'[1]Profiles, RES, Winter'!H$5</f>
        <v>13.540746688077077</v>
      </c>
      <c r="I6" s="9">
        <f>VLOOKUP($A6,'RES installed'!$A$2:$C$7,3,FALSE)*'[1]Profiles, RES, Winter'!I$5</f>
        <v>13.564833400240868</v>
      </c>
      <c r="J6" s="9">
        <f>VLOOKUP($A6,'RES installed'!$A$2:$C$7,3,FALSE)*'[1]Profiles, RES, Winter'!J$5</f>
        <v>13.444399839421919</v>
      </c>
      <c r="K6" s="9">
        <f>VLOOKUP($A6,'RES installed'!$A$2:$C$7,3,FALSE)*'[1]Profiles, RES, Winter'!K$5</f>
        <v>12.617422721798475</v>
      </c>
      <c r="L6" s="9">
        <f>VLOOKUP($A6,'RES installed'!$A$2:$C$7,3,FALSE)*'[1]Profiles, RES, Winter'!L$5</f>
        <v>11.003613006824569</v>
      </c>
      <c r="M6" s="9">
        <f>VLOOKUP($A6,'RES installed'!$A$2:$C$7,3,FALSE)*'[1]Profiles, RES, Winter'!M$5</f>
        <v>10.124448012846246</v>
      </c>
      <c r="N6" s="9">
        <f>VLOOKUP($A6,'RES installed'!$A$2:$C$7,3,FALSE)*'[1]Profiles, RES, Winter'!N$5</f>
        <v>9.7270172621437183</v>
      </c>
      <c r="O6" s="9">
        <f>VLOOKUP($A6,'RES installed'!$A$2:$C$7,3,FALSE)*'[1]Profiles, RES, Winter'!O$5</f>
        <v>9.0646326776395032</v>
      </c>
      <c r="P6" s="9">
        <f>VLOOKUP($A6,'RES installed'!$A$2:$C$7,3,FALSE)*'[1]Profiles, RES, Winter'!P$5</f>
        <v>8.2858289843436381</v>
      </c>
      <c r="Q6" s="9">
        <f>VLOOKUP($A6,'RES installed'!$A$2:$C$7,3,FALSE)*'[1]Profiles, RES, Winter'!Q$5</f>
        <v>8.3580891208350057</v>
      </c>
      <c r="R6" s="9">
        <f>VLOOKUP($A6,'RES installed'!$A$2:$C$7,3,FALSE)*'[1]Profiles, RES, Winter'!R$5</f>
        <v>8.6712163789642709</v>
      </c>
      <c r="S6" s="9">
        <f>VLOOKUP($A6,'RES installed'!$A$2:$C$7,3,FALSE)*'[1]Profiles, RES, Winter'!S$5</f>
        <v>9.991971095945404</v>
      </c>
      <c r="T6" s="9">
        <f>VLOOKUP($A6,'RES installed'!$A$2:$C$7,3,FALSE)*'[1]Profiles, RES, Winter'!T$5</f>
        <v>10.818948213568849</v>
      </c>
      <c r="U6" s="9">
        <f>VLOOKUP($A6,'RES installed'!$A$2:$C$7,3,FALSE)*'[1]Profiles, RES, Winter'!U$5</f>
        <v>11.087916499397831</v>
      </c>
      <c r="V6" s="9">
        <f>VLOOKUP($A6,'RES installed'!$A$2:$C$7,3,FALSE)*'[1]Profiles, RES, Winter'!V$5</f>
        <v>10.72260136491369</v>
      </c>
      <c r="W6" s="9">
        <f>VLOOKUP($A6,'RES installed'!$A$2:$C$7,3,FALSE)*'[1]Profiles, RES, Winter'!W$5</f>
        <v>10.14050582095544</v>
      </c>
      <c r="X6" s="9">
        <f>VLOOKUP($A6,'RES installed'!$A$2:$C$7,3,FALSE)*'[1]Profiles, RES, Winter'!X$5</f>
        <v>10.248896025692494</v>
      </c>
      <c r="Y6" s="9">
        <f>VLOOKUP($A6,'RES installed'!$A$2:$C$7,3,FALSE)*'[1]Profiles, RES, Winter'!Y$5</f>
        <v>10.670413488558811</v>
      </c>
    </row>
    <row r="7" spans="1:25" x14ac:dyDescent="0.3">
      <c r="A7" s="8">
        <v>6</v>
      </c>
      <c r="B7" s="9">
        <f>VLOOKUP($A7,'RES installed'!$A$2:$C$7,3,FALSE)*'[1]Profiles, RES, Winter'!B$5</f>
        <v>16.264552388598958</v>
      </c>
      <c r="C7" s="9">
        <f>VLOOKUP($A7,'RES installed'!$A$2:$C$7,3,FALSE)*'[1]Profiles, RES, Winter'!C$5</f>
        <v>17.498996386993174</v>
      </c>
      <c r="D7" s="9">
        <f>VLOOKUP($A7,'RES installed'!$A$2:$C$7,3,FALSE)*'[1]Profiles, RES, Winter'!D$5</f>
        <v>17.408671216378966</v>
      </c>
      <c r="E7" s="9">
        <f>VLOOKUP($A7,'RES installed'!$A$2:$C$7,3,FALSE)*'[1]Profiles, RES, Winter'!E$5</f>
        <v>17.444801284624649</v>
      </c>
      <c r="F7" s="9">
        <f>VLOOKUP($A7,'RES installed'!$A$2:$C$7,3,FALSE)*'[1]Profiles, RES, Winter'!F$5</f>
        <v>18.059012444801287</v>
      </c>
      <c r="G7" s="9">
        <f>VLOOKUP($A7,'RES installed'!$A$2:$C$7,3,FALSE)*'[1]Profiles, RES, Winter'!G$5</f>
        <v>19.064632677639505</v>
      </c>
      <c r="H7" s="9">
        <f>VLOOKUP($A7,'RES installed'!$A$2:$C$7,3,FALSE)*'[1]Profiles, RES, Winter'!H$5</f>
        <v>20.311120032115614</v>
      </c>
      <c r="I7" s="9">
        <f>VLOOKUP($A7,'RES installed'!$A$2:$C$7,3,FALSE)*'[1]Profiles, RES, Winter'!I$5</f>
        <v>20.3472501003613</v>
      </c>
      <c r="J7" s="9">
        <f>VLOOKUP($A7,'RES installed'!$A$2:$C$7,3,FALSE)*'[1]Profiles, RES, Winter'!J$5</f>
        <v>20.166599759132879</v>
      </c>
      <c r="K7" s="9">
        <f>VLOOKUP($A7,'RES installed'!$A$2:$C$7,3,FALSE)*'[1]Profiles, RES, Winter'!K$5</f>
        <v>18.926134082697711</v>
      </c>
      <c r="L7" s="9">
        <f>VLOOKUP($A7,'RES installed'!$A$2:$C$7,3,FALSE)*'[1]Profiles, RES, Winter'!L$5</f>
        <v>16.505419510236852</v>
      </c>
      <c r="M7" s="9">
        <f>VLOOKUP($A7,'RES installed'!$A$2:$C$7,3,FALSE)*'[1]Profiles, RES, Winter'!M$5</f>
        <v>15.186672019269368</v>
      </c>
      <c r="N7" s="9">
        <f>VLOOKUP($A7,'RES installed'!$A$2:$C$7,3,FALSE)*'[1]Profiles, RES, Winter'!N$5</f>
        <v>14.590525893215577</v>
      </c>
      <c r="O7" s="9">
        <f>VLOOKUP($A7,'RES installed'!$A$2:$C$7,3,FALSE)*'[1]Profiles, RES, Winter'!O$5</f>
        <v>13.596949016459254</v>
      </c>
      <c r="P7" s="9">
        <f>VLOOKUP($A7,'RES installed'!$A$2:$C$7,3,FALSE)*'[1]Profiles, RES, Winter'!P$5</f>
        <v>12.428743476515455</v>
      </c>
      <c r="Q7" s="9">
        <f>VLOOKUP($A7,'RES installed'!$A$2:$C$7,3,FALSE)*'[1]Profiles, RES, Winter'!Q$5</f>
        <v>12.537133681252509</v>
      </c>
      <c r="R7" s="9">
        <f>VLOOKUP($A7,'RES installed'!$A$2:$C$7,3,FALSE)*'[1]Profiles, RES, Winter'!R$5</f>
        <v>13.006824568446408</v>
      </c>
      <c r="S7" s="9">
        <f>VLOOKUP($A7,'RES installed'!$A$2:$C$7,3,FALSE)*'[1]Profiles, RES, Winter'!S$5</f>
        <v>14.987956643918105</v>
      </c>
      <c r="T7" s="9">
        <f>VLOOKUP($A7,'RES installed'!$A$2:$C$7,3,FALSE)*'[1]Profiles, RES, Winter'!T$5</f>
        <v>16.228422320353275</v>
      </c>
      <c r="U7" s="9">
        <f>VLOOKUP($A7,'RES installed'!$A$2:$C$7,3,FALSE)*'[1]Profiles, RES, Winter'!U$5</f>
        <v>16.631874749096749</v>
      </c>
      <c r="V7" s="9">
        <f>VLOOKUP($A7,'RES installed'!$A$2:$C$7,3,FALSE)*'[1]Profiles, RES, Winter'!V$5</f>
        <v>16.083902047370533</v>
      </c>
      <c r="W7" s="9">
        <f>VLOOKUP($A7,'RES installed'!$A$2:$C$7,3,FALSE)*'[1]Profiles, RES, Winter'!W$5</f>
        <v>15.210758731433158</v>
      </c>
      <c r="X7" s="9">
        <f>VLOOKUP($A7,'RES installed'!$A$2:$C$7,3,FALSE)*'[1]Profiles, RES, Winter'!X$5</f>
        <v>15.37334403853874</v>
      </c>
      <c r="Y7" s="9">
        <f>VLOOKUP($A7,'RES installed'!$A$2:$C$7,3,FALSE)*'[1]Profiles, RES, Winter'!Y$5</f>
        <v>16.005620232838218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1.1372251705837756E-2</v>
      </c>
      <c r="J8" s="6">
        <f>VLOOKUP($A8,'RES installed'!$A$2:$C$7,3,FALSE)*'[1]Profiles, RES, Winter'!J$2</f>
        <v>1.3305534495830176</v>
      </c>
      <c r="K8" s="6">
        <f>VLOOKUP($A8,'RES installed'!$A$2:$C$7,3,FALSE)*'[1]Profiles, RES, Winter'!K$2</f>
        <v>5.6178923426838514</v>
      </c>
      <c r="L8" s="6">
        <f>VLOOKUP($A8,'RES installed'!$A$2:$C$7,3,FALSE)*'[1]Profiles, RES, Winter'!L$2</f>
        <v>9.8824867323730103</v>
      </c>
      <c r="M8" s="6">
        <f>VLOOKUP($A8,'RES installed'!$A$2:$C$7,3,FALSE)*'[1]Profiles, RES, Winter'!M$2</f>
        <v>11.75890826383624</v>
      </c>
      <c r="N8" s="6">
        <f>VLOOKUP($A8,'RES installed'!$A$2:$C$7,3,FALSE)*'[1]Profiles, RES, Winter'!N$2</f>
        <v>11.315390447308568</v>
      </c>
      <c r="O8" s="6">
        <f>VLOOKUP($A8,'RES installed'!$A$2:$C$7,3,FALSE)*'[1]Profiles, RES, Winter'!O$2</f>
        <v>11.406368460955269</v>
      </c>
      <c r="P8" s="6">
        <f>VLOOKUP($A8,'RES installed'!$A$2:$C$7,3,FALSE)*'[1]Profiles, RES, Winter'!P$2</f>
        <v>10.769522365428356</v>
      </c>
      <c r="Q8" s="6">
        <f>VLOOKUP($A8,'RES installed'!$A$2:$C$7,3,FALSE)*'[1]Profiles, RES, Winter'!Q$2</f>
        <v>8.0629264594389696</v>
      </c>
      <c r="R8" s="6">
        <f>VLOOKUP($A8,'RES installed'!$A$2:$C$7,3,FALSE)*'[1]Profiles, RES, Winter'!R$2</f>
        <v>3.0363912054586808</v>
      </c>
      <c r="S8" s="6">
        <f>VLOOKUP($A8,'RES installed'!$A$2:$C$7,3,FALSE)*'[1]Profiles, RES, Winter'!S$2</f>
        <v>0.13646702047005307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  <row r="9" spans="1:25" x14ac:dyDescent="0.3">
      <c r="A9" s="5">
        <v>8</v>
      </c>
      <c r="B9" s="6">
        <f>VLOOKUP($A9,'RES installed'!$A$2:$C$7,3,FALSE)*'[1]Profiles, RES, Winter'!B$2</f>
        <v>0</v>
      </c>
      <c r="C9" s="6">
        <f>VLOOKUP($A9,'RES installed'!$A$2:$C$7,3,FALSE)*'[1]Profiles, RES, Winter'!C$2</f>
        <v>0</v>
      </c>
      <c r="D9" s="6">
        <f>VLOOKUP($A9,'RES installed'!$A$2:$C$7,3,FALSE)*'[1]Profiles, RES, Winter'!D$2</f>
        <v>0</v>
      </c>
      <c r="E9" s="6">
        <f>VLOOKUP($A9,'RES installed'!$A$2:$C$7,3,FALSE)*'[1]Profiles, RES, Winter'!E$2</f>
        <v>0</v>
      </c>
      <c r="F9" s="6">
        <f>VLOOKUP($A9,'RES installed'!$A$2:$C$7,3,FALSE)*'[1]Profiles, RES, Winter'!F$2</f>
        <v>0</v>
      </c>
      <c r="G9" s="6">
        <f>VLOOKUP($A9,'RES installed'!$A$2:$C$7,3,FALSE)*'[1]Profiles, RES, Winter'!G$2</f>
        <v>0</v>
      </c>
      <c r="H9" s="6">
        <f>VLOOKUP($A9,'RES installed'!$A$2:$C$7,3,FALSE)*'[1]Profiles, RES, Winter'!H$2</f>
        <v>0</v>
      </c>
      <c r="I9" s="6">
        <f>VLOOKUP($A9,'RES installed'!$A$2:$C$7,3,FALSE)*'[1]Profiles, RES, Winter'!I$2</f>
        <v>3.7907505686125853E-3</v>
      </c>
      <c r="J9" s="6">
        <f>VLOOKUP($A9,'RES installed'!$A$2:$C$7,3,FALSE)*'[1]Profiles, RES, Winter'!J$2</f>
        <v>0.44351781652767253</v>
      </c>
      <c r="K9" s="6">
        <f>VLOOKUP($A9,'RES installed'!$A$2:$C$7,3,FALSE)*'[1]Profiles, RES, Winter'!K$2</f>
        <v>1.8726307808946172</v>
      </c>
      <c r="L9" s="6">
        <f>VLOOKUP($A9,'RES installed'!$A$2:$C$7,3,FALSE)*'[1]Profiles, RES, Winter'!L$2</f>
        <v>3.2941622441243368</v>
      </c>
      <c r="M9" s="6">
        <f>VLOOKUP($A9,'RES installed'!$A$2:$C$7,3,FALSE)*'[1]Profiles, RES, Winter'!M$2</f>
        <v>3.9196360879454133</v>
      </c>
      <c r="N9" s="6">
        <f>VLOOKUP($A9,'RES installed'!$A$2:$C$7,3,FALSE)*'[1]Profiles, RES, Winter'!N$2</f>
        <v>3.7717968157695223</v>
      </c>
      <c r="O9" s="6">
        <f>VLOOKUP($A9,'RES installed'!$A$2:$C$7,3,FALSE)*'[1]Profiles, RES, Winter'!O$2</f>
        <v>3.8021228203184232</v>
      </c>
      <c r="P9" s="6">
        <f>VLOOKUP($A9,'RES installed'!$A$2:$C$7,3,FALSE)*'[1]Profiles, RES, Winter'!P$2</f>
        <v>3.5898407884761188</v>
      </c>
      <c r="Q9" s="6">
        <f>VLOOKUP($A9,'RES installed'!$A$2:$C$7,3,FALSE)*'[1]Profiles, RES, Winter'!Q$2</f>
        <v>2.687642153146323</v>
      </c>
      <c r="R9" s="6">
        <f>VLOOKUP($A9,'RES installed'!$A$2:$C$7,3,FALSE)*'[1]Profiles, RES, Winter'!R$2</f>
        <v>1.0121304018195603</v>
      </c>
      <c r="S9" s="6">
        <f>VLOOKUP($A9,'RES installed'!$A$2:$C$7,3,FALSE)*'[1]Profiles, RES, Winter'!S$2</f>
        <v>4.5489006823351025E-2</v>
      </c>
      <c r="T9" s="6">
        <f>VLOOKUP($A9,'RES installed'!$A$2:$C$7,3,FALSE)*'[1]Profiles, RES, Winter'!T$2</f>
        <v>0</v>
      </c>
      <c r="U9" s="6">
        <f>VLOOKUP($A9,'RES installed'!$A$2:$C$7,3,FALSE)*'[1]Profiles, RES, Winter'!U$2</f>
        <v>0</v>
      </c>
      <c r="V9" s="6">
        <f>VLOOKUP($A9,'RES installed'!$A$2:$C$7,3,FALSE)*'[1]Profiles, RES, Winter'!V$2</f>
        <v>0</v>
      </c>
      <c r="W9" s="6">
        <f>VLOOKUP($A9,'RES installed'!$A$2:$C$7,3,FALSE)*'[1]Profiles, RES, Winter'!W$2</f>
        <v>0</v>
      </c>
      <c r="X9" s="6">
        <f>VLOOKUP($A9,'RES installed'!$A$2:$C$7,3,FALSE)*'[1]Profiles, RES, Winter'!X$2</f>
        <v>0</v>
      </c>
      <c r="Y9" s="6">
        <f>VLOOKUP($A9,'RES installed'!$A$2:$C$7,3,FALSE)*'[1]Profiles, RES, Winter'!Y$2</f>
        <v>0</v>
      </c>
    </row>
    <row r="10" spans="1:25" x14ac:dyDescent="0.3">
      <c r="A10" s="5">
        <v>9</v>
      </c>
      <c r="B10" s="6">
        <f>VLOOKUP($A10,'RES installed'!$A$2:$C$7,3,FALSE)*'[1]Profiles, RES, Winter'!B$2</f>
        <v>0</v>
      </c>
      <c r="C10" s="6">
        <f>VLOOKUP($A10,'RES installed'!$A$2:$C$7,3,FALSE)*'[1]Profiles, RES, Winter'!C$2</f>
        <v>0</v>
      </c>
      <c r="D10" s="6">
        <f>VLOOKUP($A10,'RES installed'!$A$2:$C$7,3,FALSE)*'[1]Profiles, RES, Winter'!D$2</f>
        <v>0</v>
      </c>
      <c r="E10" s="6">
        <f>VLOOKUP($A10,'RES installed'!$A$2:$C$7,3,FALSE)*'[1]Profiles, RES, Winter'!E$2</f>
        <v>0</v>
      </c>
      <c r="F10" s="6">
        <f>VLOOKUP($A10,'RES installed'!$A$2:$C$7,3,FALSE)*'[1]Profiles, RES, Winter'!F$2</f>
        <v>0</v>
      </c>
      <c r="G10" s="6">
        <f>VLOOKUP($A10,'RES installed'!$A$2:$C$7,3,FALSE)*'[1]Profiles, RES, Winter'!G$2</f>
        <v>0</v>
      </c>
      <c r="H10" s="6">
        <f>VLOOKUP($A10,'RES installed'!$A$2:$C$7,3,FALSE)*'[1]Profiles, RES, Winter'!H$2</f>
        <v>0</v>
      </c>
      <c r="I10" s="6">
        <f>VLOOKUP($A10,'RES installed'!$A$2:$C$7,3,FALSE)*'[1]Profiles, RES, Winter'!I$2</f>
        <v>7.5815011372251705E-3</v>
      </c>
      <c r="J10" s="6">
        <f>VLOOKUP($A10,'RES installed'!$A$2:$C$7,3,FALSE)*'[1]Profiles, RES, Winter'!J$2</f>
        <v>0.88703563305534505</v>
      </c>
      <c r="K10" s="6">
        <f>VLOOKUP($A10,'RES installed'!$A$2:$C$7,3,FALSE)*'[1]Profiles, RES, Winter'!K$2</f>
        <v>3.7452615617892344</v>
      </c>
      <c r="L10" s="6">
        <f>VLOOKUP($A10,'RES installed'!$A$2:$C$7,3,FALSE)*'[1]Profiles, RES, Winter'!L$2</f>
        <v>6.5883244882486736</v>
      </c>
      <c r="M10" s="6">
        <f>VLOOKUP($A10,'RES installed'!$A$2:$C$7,3,FALSE)*'[1]Profiles, RES, Winter'!M$2</f>
        <v>7.8392721758908266</v>
      </c>
      <c r="N10" s="6">
        <f>VLOOKUP($A10,'RES installed'!$A$2:$C$7,3,FALSE)*'[1]Profiles, RES, Winter'!N$2</f>
        <v>7.5435936315390446</v>
      </c>
      <c r="O10" s="6">
        <f>VLOOKUP($A10,'RES installed'!$A$2:$C$7,3,FALSE)*'[1]Profiles, RES, Winter'!O$2</f>
        <v>7.6042456406368464</v>
      </c>
      <c r="P10" s="6">
        <f>VLOOKUP($A10,'RES installed'!$A$2:$C$7,3,FALSE)*'[1]Profiles, RES, Winter'!P$2</f>
        <v>7.1796815769522375</v>
      </c>
      <c r="Q10" s="6">
        <f>VLOOKUP($A10,'RES installed'!$A$2:$C$7,3,FALSE)*'[1]Profiles, RES, Winter'!Q$2</f>
        <v>5.3752843062926461</v>
      </c>
      <c r="R10" s="6">
        <f>VLOOKUP($A10,'RES installed'!$A$2:$C$7,3,FALSE)*'[1]Profiles, RES, Winter'!R$2</f>
        <v>2.0242608036391205</v>
      </c>
      <c r="S10" s="6">
        <f>VLOOKUP($A10,'RES installed'!$A$2:$C$7,3,FALSE)*'[1]Profiles, RES, Winter'!S$2</f>
        <v>9.0978013646702049E-2</v>
      </c>
      <c r="T10" s="6">
        <f>VLOOKUP($A10,'RES installed'!$A$2:$C$7,3,FALSE)*'[1]Profiles, RES, Winter'!T$2</f>
        <v>0</v>
      </c>
      <c r="U10" s="6">
        <f>VLOOKUP($A10,'RES installed'!$A$2:$C$7,3,FALSE)*'[1]Profiles, RES, Winter'!U$2</f>
        <v>0</v>
      </c>
      <c r="V10" s="6">
        <f>VLOOKUP($A10,'RES installed'!$A$2:$C$7,3,FALSE)*'[1]Profiles, RES, Winter'!V$2</f>
        <v>0</v>
      </c>
      <c r="W10" s="6">
        <f>VLOOKUP($A10,'RES installed'!$A$2:$C$7,3,FALSE)*'[1]Profiles, RES, Winter'!W$2</f>
        <v>0</v>
      </c>
      <c r="X10" s="6">
        <f>VLOOKUP($A10,'RES installed'!$A$2:$C$7,3,FALSE)*'[1]Profiles, RES, Winter'!X$2</f>
        <v>0</v>
      </c>
      <c r="Y10" s="6">
        <f>VLOOKUP($A10,'RES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5BE9-F0D1-4445-8605-4F4CF344826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Winter'!B$6</f>
        <v>15.740666399036531</v>
      </c>
      <c r="C5" s="9">
        <f>VLOOKUP($A5,'RES installed'!$A$2:$C$7,3,FALSE)*'[1]Profiles, RES, Winter'!C$6</f>
        <v>15.981533520674429</v>
      </c>
      <c r="D5" s="9">
        <f>VLOOKUP($A5,'RES installed'!$A$2:$C$7,3,FALSE)*'[1]Profiles, RES, Winter'!D$6</f>
        <v>16.035728623042953</v>
      </c>
      <c r="E5" s="9">
        <f>VLOOKUP($A5,'RES installed'!$A$2:$C$7,3,FALSE)*'[1]Profiles, RES, Winter'!E$6</f>
        <v>14.662786029706945</v>
      </c>
      <c r="F5" s="9">
        <f>VLOOKUP($A5,'RES installed'!$A$2:$C$7,3,FALSE)*'[1]Profiles, RES, Winter'!F$6</f>
        <v>15.132476916900844</v>
      </c>
      <c r="G5" s="9">
        <f>VLOOKUP($A5,'RES installed'!$A$2:$C$7,3,FALSE)*'[1]Profiles, RES, Winter'!G$6</f>
        <v>15.97551184263348</v>
      </c>
      <c r="H5" s="9">
        <f>VLOOKUP($A5,'RES installed'!$A$2:$C$7,3,FALSE)*'[1]Profiles, RES, Winter'!H$6</f>
        <v>16.354877559213168</v>
      </c>
      <c r="I5" s="9">
        <f>VLOOKUP($A5,'RES installed'!$A$2:$C$7,3,FALSE)*'[1]Profiles, RES, Winter'!I$6</f>
        <v>15.578081091930949</v>
      </c>
      <c r="J5" s="9">
        <f>VLOOKUP($A5,'RES installed'!$A$2:$C$7,3,FALSE)*'[1]Profiles, RES, Winter'!J$6</f>
        <v>14.825371336812525</v>
      </c>
      <c r="K5" s="9">
        <f>VLOOKUP($A5,'RES installed'!$A$2:$C$7,3,FALSE)*'[1]Profiles, RES, Winter'!K$6</f>
        <v>13.964271376957045</v>
      </c>
      <c r="L5" s="9">
        <f>VLOOKUP($A5,'RES installed'!$A$2:$C$7,3,FALSE)*'[1]Profiles, RES, Winter'!L$6</f>
        <v>13.121236451224407</v>
      </c>
      <c r="M5" s="9">
        <f>VLOOKUP($A5,'RES installed'!$A$2:$C$7,3,FALSE)*'[1]Profiles, RES, Winter'!M$6</f>
        <v>12.398635086310719</v>
      </c>
      <c r="N5" s="9">
        <f>VLOOKUP($A5,'RES installed'!$A$2:$C$7,3,FALSE)*'[1]Profiles, RES, Winter'!N$6</f>
        <v>11.429144921718187</v>
      </c>
      <c r="O5" s="9">
        <f>VLOOKUP($A5,'RES installed'!$A$2:$C$7,3,FALSE)*'[1]Profiles, RES, Winter'!O$6</f>
        <v>8.8518667201926942</v>
      </c>
      <c r="P5" s="9">
        <f>VLOOKUP($A5,'RES installed'!$A$2:$C$7,3,FALSE)*'[1]Profiles, RES, Winter'!P$6</f>
        <v>8.6591730228823778</v>
      </c>
      <c r="Q5" s="9">
        <f>VLOOKUP($A5,'RES installed'!$A$2:$C$7,3,FALSE)*'[1]Profiles, RES, Winter'!Q$6</f>
        <v>8.8097149739060612</v>
      </c>
      <c r="R5" s="9">
        <f>VLOOKUP($A5,'RES installed'!$A$2:$C$7,3,FALSE)*'[1]Profiles, RES, Winter'!R$6</f>
        <v>11.176234443998394</v>
      </c>
      <c r="S5" s="9">
        <f>VLOOKUP($A5,'RES installed'!$A$2:$C$7,3,FALSE)*'[1]Profiles, RES, Winter'!S$6</f>
        <v>13.097149739060619</v>
      </c>
      <c r="T5" s="9">
        <f>VLOOKUP($A5,'RES installed'!$A$2:$C$7,3,FALSE)*'[1]Profiles, RES, Winter'!T$6</f>
        <v>13.95222802087515</v>
      </c>
      <c r="U5" s="9">
        <f>VLOOKUP($A5,'RES installed'!$A$2:$C$7,3,FALSE)*'[1]Profiles, RES, Winter'!U$6</f>
        <v>14.572460859092734</v>
      </c>
      <c r="V5" s="9">
        <f>VLOOKUP($A5,'RES installed'!$A$2:$C$7,3,FALSE)*'[1]Profiles, RES, Winter'!V$6</f>
        <v>15.060216780409473</v>
      </c>
      <c r="W5" s="9">
        <f>VLOOKUP($A5,'RES installed'!$A$2:$C$7,3,FALSE)*'[1]Profiles, RES, Winter'!W$6</f>
        <v>15.632276194299479</v>
      </c>
      <c r="X5" s="9">
        <f>VLOOKUP($A5,'RES installed'!$A$2:$C$7,3,FALSE)*'[1]Profiles, RES, Winter'!X$6</f>
        <v>15.337213970293057</v>
      </c>
      <c r="Y5" s="9">
        <f>VLOOKUP($A5,'RES installed'!$A$2:$C$7,3,FALSE)*'[1]Profiles, RES, Winter'!Y$6</f>
        <v>14.921718185467684</v>
      </c>
    </row>
    <row r="6" spans="1:25" x14ac:dyDescent="0.3">
      <c r="A6" s="8">
        <v>5</v>
      </c>
      <c r="B6" s="9">
        <f>VLOOKUP($A6,'RES installed'!$A$2:$C$7,3,FALSE)*'[1]Profiles, RES, Winter'!B$6</f>
        <v>10.493777599357689</v>
      </c>
      <c r="C6" s="9">
        <f>VLOOKUP($A6,'RES installed'!$A$2:$C$7,3,FALSE)*'[1]Profiles, RES, Winter'!C$6</f>
        <v>10.654355680449619</v>
      </c>
      <c r="D6" s="9">
        <f>VLOOKUP($A6,'RES installed'!$A$2:$C$7,3,FALSE)*'[1]Profiles, RES, Winter'!D$6</f>
        <v>10.690485748695302</v>
      </c>
      <c r="E6" s="9">
        <f>VLOOKUP($A6,'RES installed'!$A$2:$C$7,3,FALSE)*'[1]Profiles, RES, Winter'!E$6</f>
        <v>9.7751906864712961</v>
      </c>
      <c r="F6" s="9">
        <f>VLOOKUP($A6,'RES installed'!$A$2:$C$7,3,FALSE)*'[1]Profiles, RES, Winter'!F$6</f>
        <v>10.088317944600561</v>
      </c>
      <c r="G6" s="9">
        <f>VLOOKUP($A6,'RES installed'!$A$2:$C$7,3,FALSE)*'[1]Profiles, RES, Winter'!G$6</f>
        <v>10.65034122842232</v>
      </c>
      <c r="H6" s="9">
        <f>VLOOKUP($A6,'RES installed'!$A$2:$C$7,3,FALSE)*'[1]Profiles, RES, Winter'!H$6</f>
        <v>10.903251706142111</v>
      </c>
      <c r="I6" s="9">
        <f>VLOOKUP($A6,'RES installed'!$A$2:$C$7,3,FALSE)*'[1]Profiles, RES, Winter'!I$6</f>
        <v>10.385387394620633</v>
      </c>
      <c r="J6" s="9">
        <f>VLOOKUP($A6,'RES installed'!$A$2:$C$7,3,FALSE)*'[1]Profiles, RES, Winter'!J$6</f>
        <v>9.88358089120835</v>
      </c>
      <c r="K6" s="9">
        <f>VLOOKUP($A6,'RES installed'!$A$2:$C$7,3,FALSE)*'[1]Profiles, RES, Winter'!K$6</f>
        <v>9.3095142513046962</v>
      </c>
      <c r="L6" s="9">
        <f>VLOOKUP($A6,'RES installed'!$A$2:$C$7,3,FALSE)*'[1]Profiles, RES, Winter'!L$6</f>
        <v>8.7474909674829391</v>
      </c>
      <c r="M6" s="9">
        <f>VLOOKUP($A6,'RES installed'!$A$2:$C$7,3,FALSE)*'[1]Profiles, RES, Winter'!M$6</f>
        <v>8.2657567242071455</v>
      </c>
      <c r="N6" s="9">
        <f>VLOOKUP($A6,'RES installed'!$A$2:$C$7,3,FALSE)*'[1]Profiles, RES, Winter'!N$6</f>
        <v>7.6194299478121241</v>
      </c>
      <c r="O6" s="9">
        <f>VLOOKUP($A6,'RES installed'!$A$2:$C$7,3,FALSE)*'[1]Profiles, RES, Winter'!O$6</f>
        <v>5.9012444801284625</v>
      </c>
      <c r="P6" s="9">
        <f>VLOOKUP($A6,'RES installed'!$A$2:$C$7,3,FALSE)*'[1]Profiles, RES, Winter'!P$6</f>
        <v>5.7727820152549185</v>
      </c>
      <c r="Q6" s="9">
        <f>VLOOKUP($A6,'RES installed'!$A$2:$C$7,3,FALSE)*'[1]Profiles, RES, Winter'!Q$6</f>
        <v>5.8731433159373747</v>
      </c>
      <c r="R6" s="9">
        <f>VLOOKUP($A6,'RES installed'!$A$2:$C$7,3,FALSE)*'[1]Profiles, RES, Winter'!R$6</f>
        <v>7.4508229626655966</v>
      </c>
      <c r="S6" s="9">
        <f>VLOOKUP($A6,'RES installed'!$A$2:$C$7,3,FALSE)*'[1]Profiles, RES, Winter'!S$6</f>
        <v>8.7314331593737453</v>
      </c>
      <c r="T6" s="9">
        <f>VLOOKUP($A6,'RES installed'!$A$2:$C$7,3,FALSE)*'[1]Profiles, RES, Winter'!T$6</f>
        <v>9.3014853472501002</v>
      </c>
      <c r="U6" s="9">
        <f>VLOOKUP($A6,'RES installed'!$A$2:$C$7,3,FALSE)*'[1]Profiles, RES, Winter'!U$6</f>
        <v>9.7149739060618217</v>
      </c>
      <c r="V6" s="9">
        <f>VLOOKUP($A6,'RES installed'!$A$2:$C$7,3,FALSE)*'[1]Profiles, RES, Winter'!V$6</f>
        <v>10.040144520272982</v>
      </c>
      <c r="W6" s="9">
        <f>VLOOKUP($A6,'RES installed'!$A$2:$C$7,3,FALSE)*'[1]Profiles, RES, Winter'!W$6</f>
        <v>10.421517462866319</v>
      </c>
      <c r="X6" s="9">
        <f>VLOOKUP($A6,'RES installed'!$A$2:$C$7,3,FALSE)*'[1]Profiles, RES, Winter'!X$6</f>
        <v>10.224809313528704</v>
      </c>
      <c r="Y6" s="9">
        <f>VLOOKUP($A6,'RES installed'!$A$2:$C$7,3,FALSE)*'[1]Profiles, RES, Winter'!Y$6</f>
        <v>9.9478121236451216</v>
      </c>
    </row>
    <row r="7" spans="1:25" x14ac:dyDescent="0.3">
      <c r="A7" s="8">
        <v>6</v>
      </c>
      <c r="B7" s="9">
        <f>VLOOKUP($A7,'RES installed'!$A$2:$C$7,3,FALSE)*'[1]Profiles, RES, Winter'!B$6</f>
        <v>15.740666399036531</v>
      </c>
      <c r="C7" s="9">
        <f>VLOOKUP($A7,'RES installed'!$A$2:$C$7,3,FALSE)*'[1]Profiles, RES, Winter'!C$6</f>
        <v>15.981533520674429</v>
      </c>
      <c r="D7" s="9">
        <f>VLOOKUP($A7,'RES installed'!$A$2:$C$7,3,FALSE)*'[1]Profiles, RES, Winter'!D$6</f>
        <v>16.035728623042953</v>
      </c>
      <c r="E7" s="9">
        <f>VLOOKUP($A7,'RES installed'!$A$2:$C$7,3,FALSE)*'[1]Profiles, RES, Winter'!E$6</f>
        <v>14.662786029706945</v>
      </c>
      <c r="F7" s="9">
        <f>VLOOKUP($A7,'RES installed'!$A$2:$C$7,3,FALSE)*'[1]Profiles, RES, Winter'!F$6</f>
        <v>15.132476916900844</v>
      </c>
      <c r="G7" s="9">
        <f>VLOOKUP($A7,'RES installed'!$A$2:$C$7,3,FALSE)*'[1]Profiles, RES, Winter'!G$6</f>
        <v>15.97551184263348</v>
      </c>
      <c r="H7" s="9">
        <f>VLOOKUP($A7,'RES installed'!$A$2:$C$7,3,FALSE)*'[1]Profiles, RES, Winter'!H$6</f>
        <v>16.354877559213168</v>
      </c>
      <c r="I7" s="9">
        <f>VLOOKUP($A7,'RES installed'!$A$2:$C$7,3,FALSE)*'[1]Profiles, RES, Winter'!I$6</f>
        <v>15.578081091930949</v>
      </c>
      <c r="J7" s="9">
        <f>VLOOKUP($A7,'RES installed'!$A$2:$C$7,3,FALSE)*'[1]Profiles, RES, Winter'!J$6</f>
        <v>14.825371336812525</v>
      </c>
      <c r="K7" s="9">
        <f>VLOOKUP($A7,'RES installed'!$A$2:$C$7,3,FALSE)*'[1]Profiles, RES, Winter'!K$6</f>
        <v>13.964271376957045</v>
      </c>
      <c r="L7" s="9">
        <f>VLOOKUP($A7,'RES installed'!$A$2:$C$7,3,FALSE)*'[1]Profiles, RES, Winter'!L$6</f>
        <v>13.121236451224407</v>
      </c>
      <c r="M7" s="9">
        <f>VLOOKUP($A7,'RES installed'!$A$2:$C$7,3,FALSE)*'[1]Profiles, RES, Winter'!M$6</f>
        <v>12.398635086310719</v>
      </c>
      <c r="N7" s="9">
        <f>VLOOKUP($A7,'RES installed'!$A$2:$C$7,3,FALSE)*'[1]Profiles, RES, Winter'!N$6</f>
        <v>11.429144921718187</v>
      </c>
      <c r="O7" s="9">
        <f>VLOOKUP($A7,'RES installed'!$A$2:$C$7,3,FALSE)*'[1]Profiles, RES, Winter'!O$6</f>
        <v>8.8518667201926942</v>
      </c>
      <c r="P7" s="9">
        <f>VLOOKUP($A7,'RES installed'!$A$2:$C$7,3,FALSE)*'[1]Profiles, RES, Winter'!P$6</f>
        <v>8.6591730228823778</v>
      </c>
      <c r="Q7" s="9">
        <f>VLOOKUP($A7,'RES installed'!$A$2:$C$7,3,FALSE)*'[1]Profiles, RES, Winter'!Q$6</f>
        <v>8.8097149739060612</v>
      </c>
      <c r="R7" s="9">
        <f>VLOOKUP($A7,'RES installed'!$A$2:$C$7,3,FALSE)*'[1]Profiles, RES, Winter'!R$6</f>
        <v>11.176234443998394</v>
      </c>
      <c r="S7" s="9">
        <f>VLOOKUP($A7,'RES installed'!$A$2:$C$7,3,FALSE)*'[1]Profiles, RES, Winter'!S$6</f>
        <v>13.097149739060619</v>
      </c>
      <c r="T7" s="9">
        <f>VLOOKUP($A7,'RES installed'!$A$2:$C$7,3,FALSE)*'[1]Profiles, RES, Winter'!T$6</f>
        <v>13.95222802087515</v>
      </c>
      <c r="U7" s="9">
        <f>VLOOKUP($A7,'RES installed'!$A$2:$C$7,3,FALSE)*'[1]Profiles, RES, Winter'!U$6</f>
        <v>14.572460859092734</v>
      </c>
      <c r="V7" s="9">
        <f>VLOOKUP($A7,'RES installed'!$A$2:$C$7,3,FALSE)*'[1]Profiles, RES, Winter'!V$6</f>
        <v>15.060216780409473</v>
      </c>
      <c r="W7" s="9">
        <f>VLOOKUP($A7,'RES installed'!$A$2:$C$7,3,FALSE)*'[1]Profiles, RES, Winter'!W$6</f>
        <v>15.632276194299479</v>
      </c>
      <c r="X7" s="9">
        <f>VLOOKUP($A7,'RES installed'!$A$2:$C$7,3,FALSE)*'[1]Profiles, RES, Winter'!X$6</f>
        <v>15.337213970293057</v>
      </c>
      <c r="Y7" s="9">
        <f>VLOOKUP($A7,'RES installed'!$A$2:$C$7,3,FALSE)*'[1]Profiles, RES, Winter'!Y$6</f>
        <v>14.921718185467684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2.2744503411675512E-2</v>
      </c>
      <c r="J8" s="6">
        <f>VLOOKUP($A8,'RES installed'!$A$2:$C$7,3,FALSE)*'[1]Profiles, RES, Winter'!J$3</f>
        <v>1.9446550416982564</v>
      </c>
      <c r="K8" s="6">
        <f>VLOOKUP($A8,'RES installed'!$A$2:$C$7,3,FALSE)*'[1]Profiles, RES, Winter'!K$3</f>
        <v>6.6868840030326009</v>
      </c>
      <c r="L8" s="6">
        <f>VLOOKUP($A8,'RES installed'!$A$2:$C$7,3,FALSE)*'[1]Profiles, RES, Winter'!L$3</f>
        <v>10.269143290371494</v>
      </c>
      <c r="M8" s="6">
        <f>VLOOKUP($A8,'RES installed'!$A$2:$C$7,3,FALSE)*'[1]Profiles, RES, Winter'!M$3</f>
        <v>10.18953752843063</v>
      </c>
      <c r="N8" s="6">
        <f>VLOOKUP($A8,'RES installed'!$A$2:$C$7,3,FALSE)*'[1]Profiles, RES, Winter'!N$3</f>
        <v>11.326762699014404</v>
      </c>
      <c r="O8" s="6">
        <f>VLOOKUP($A8,'RES installed'!$A$2:$C$7,3,FALSE)*'[1]Profiles, RES, Winter'!O$3</f>
        <v>11.076573161485973</v>
      </c>
      <c r="P8" s="6">
        <f>VLOOKUP($A8,'RES installed'!$A$2:$C$7,3,FALSE)*'[1]Profiles, RES, Winter'!P$3</f>
        <v>9.3707354056103096</v>
      </c>
      <c r="Q8" s="6">
        <f>VLOOKUP($A8,'RES installed'!$A$2:$C$7,3,FALSE)*'[1]Profiles, RES, Winter'!Q$3</f>
        <v>6.02729340409401</v>
      </c>
      <c r="R8" s="6">
        <f>VLOOKUP($A8,'RES installed'!$A$2:$C$7,3,FALSE)*'[1]Profiles, RES, Winter'!R$3</f>
        <v>1.9219105382865809</v>
      </c>
      <c r="S8" s="6">
        <f>VLOOKUP($A8,'RES installed'!$A$2:$C$7,3,FALSE)*'[1]Profiles, RES, Winter'!S$3</f>
        <v>0.11372251705837756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  <row r="9" spans="1:25" x14ac:dyDescent="0.3">
      <c r="A9" s="5">
        <v>8</v>
      </c>
      <c r="B9" s="6">
        <f>VLOOKUP($A9,'RES installed'!$A$2:$C$7,3,FALSE)*'[1]Profiles, RES, Winter'!B$3</f>
        <v>0</v>
      </c>
      <c r="C9" s="6">
        <f>VLOOKUP($A9,'RES installed'!$A$2:$C$7,3,FALSE)*'[1]Profiles, RES, Winter'!C$3</f>
        <v>0</v>
      </c>
      <c r="D9" s="6">
        <f>VLOOKUP($A9,'RES installed'!$A$2:$C$7,3,FALSE)*'[1]Profiles, RES, Winter'!D$3</f>
        <v>0</v>
      </c>
      <c r="E9" s="6">
        <f>VLOOKUP($A9,'RES installed'!$A$2:$C$7,3,FALSE)*'[1]Profiles, RES, Winter'!E$3</f>
        <v>0</v>
      </c>
      <c r="F9" s="6">
        <f>VLOOKUP($A9,'RES installed'!$A$2:$C$7,3,FALSE)*'[1]Profiles, RES, Winter'!F$3</f>
        <v>0</v>
      </c>
      <c r="G9" s="6">
        <f>VLOOKUP($A9,'RES installed'!$A$2:$C$7,3,FALSE)*'[1]Profiles, RES, Winter'!G$3</f>
        <v>0</v>
      </c>
      <c r="H9" s="6">
        <f>VLOOKUP($A9,'RES installed'!$A$2:$C$7,3,FALSE)*'[1]Profiles, RES, Winter'!H$3</f>
        <v>0</v>
      </c>
      <c r="I9" s="6">
        <f>VLOOKUP($A9,'RES installed'!$A$2:$C$7,3,FALSE)*'[1]Profiles, RES, Winter'!I$3</f>
        <v>7.5815011372251705E-3</v>
      </c>
      <c r="J9" s="6">
        <f>VLOOKUP($A9,'RES installed'!$A$2:$C$7,3,FALSE)*'[1]Profiles, RES, Winter'!J$3</f>
        <v>0.64821834723275207</v>
      </c>
      <c r="K9" s="6">
        <f>VLOOKUP($A9,'RES installed'!$A$2:$C$7,3,FALSE)*'[1]Profiles, RES, Winter'!K$3</f>
        <v>2.2289613343442003</v>
      </c>
      <c r="L9" s="6">
        <f>VLOOKUP($A9,'RES installed'!$A$2:$C$7,3,FALSE)*'[1]Profiles, RES, Winter'!L$3</f>
        <v>3.4230477634571645</v>
      </c>
      <c r="M9" s="6">
        <f>VLOOKUP($A9,'RES installed'!$A$2:$C$7,3,FALSE)*'[1]Profiles, RES, Winter'!M$3</f>
        <v>3.3965125094768767</v>
      </c>
      <c r="N9" s="6">
        <f>VLOOKUP($A9,'RES installed'!$A$2:$C$7,3,FALSE)*'[1]Profiles, RES, Winter'!N$3</f>
        <v>3.7755875663381349</v>
      </c>
      <c r="O9" s="6">
        <f>VLOOKUP($A9,'RES installed'!$A$2:$C$7,3,FALSE)*'[1]Profiles, RES, Winter'!O$3</f>
        <v>3.6921910538286578</v>
      </c>
      <c r="P9" s="6">
        <f>VLOOKUP($A9,'RES installed'!$A$2:$C$7,3,FALSE)*'[1]Profiles, RES, Winter'!P$3</f>
        <v>3.12357846853677</v>
      </c>
      <c r="Q9" s="6">
        <f>VLOOKUP($A9,'RES installed'!$A$2:$C$7,3,FALSE)*'[1]Profiles, RES, Winter'!Q$3</f>
        <v>2.0090978013646703</v>
      </c>
      <c r="R9" s="6">
        <f>VLOOKUP($A9,'RES installed'!$A$2:$C$7,3,FALSE)*'[1]Profiles, RES, Winter'!R$3</f>
        <v>0.64063684609552696</v>
      </c>
      <c r="S9" s="6">
        <f>VLOOKUP($A9,'RES installed'!$A$2:$C$7,3,FALSE)*'[1]Profiles, RES, Winter'!S$3</f>
        <v>3.7907505686125852E-2</v>
      </c>
      <c r="T9" s="6">
        <f>VLOOKUP($A9,'RES installed'!$A$2:$C$7,3,FALSE)*'[1]Profiles, RES, Winter'!T$3</f>
        <v>0</v>
      </c>
      <c r="U9" s="6">
        <f>VLOOKUP($A9,'RES installed'!$A$2:$C$7,3,FALSE)*'[1]Profiles, RES, Winter'!U$3</f>
        <v>0</v>
      </c>
      <c r="V9" s="6">
        <f>VLOOKUP($A9,'RES installed'!$A$2:$C$7,3,FALSE)*'[1]Profiles, RES, Winter'!V$3</f>
        <v>0</v>
      </c>
      <c r="W9" s="6">
        <f>VLOOKUP($A9,'RES installed'!$A$2:$C$7,3,FALSE)*'[1]Profiles, RES, Winter'!W$3</f>
        <v>0</v>
      </c>
      <c r="X9" s="6">
        <f>VLOOKUP($A9,'RES installed'!$A$2:$C$7,3,FALSE)*'[1]Profiles, RES, Winter'!X$3</f>
        <v>0</v>
      </c>
      <c r="Y9" s="6">
        <f>VLOOKUP($A9,'RES installed'!$A$2:$C$7,3,FALSE)*'[1]Profiles, RES, Winter'!Y$3</f>
        <v>0</v>
      </c>
    </row>
    <row r="10" spans="1:25" x14ac:dyDescent="0.3">
      <c r="A10" s="5">
        <v>9</v>
      </c>
      <c r="B10" s="6">
        <f>VLOOKUP($A10,'RES installed'!$A$2:$C$7,3,FALSE)*'[1]Profiles, RES, Winter'!B$3</f>
        <v>0</v>
      </c>
      <c r="C10" s="6">
        <f>VLOOKUP($A10,'RES installed'!$A$2:$C$7,3,FALSE)*'[1]Profiles, RES, Winter'!C$3</f>
        <v>0</v>
      </c>
      <c r="D10" s="6">
        <f>VLOOKUP($A10,'RES installed'!$A$2:$C$7,3,FALSE)*'[1]Profiles, RES, Winter'!D$3</f>
        <v>0</v>
      </c>
      <c r="E10" s="6">
        <f>VLOOKUP($A10,'RES installed'!$A$2:$C$7,3,FALSE)*'[1]Profiles, RES, Winter'!E$3</f>
        <v>0</v>
      </c>
      <c r="F10" s="6">
        <f>VLOOKUP($A10,'RES installed'!$A$2:$C$7,3,FALSE)*'[1]Profiles, RES, Winter'!F$3</f>
        <v>0</v>
      </c>
      <c r="G10" s="6">
        <f>VLOOKUP($A10,'RES installed'!$A$2:$C$7,3,FALSE)*'[1]Profiles, RES, Winter'!G$3</f>
        <v>0</v>
      </c>
      <c r="H10" s="6">
        <f>VLOOKUP($A10,'RES installed'!$A$2:$C$7,3,FALSE)*'[1]Profiles, RES, Winter'!H$3</f>
        <v>0</v>
      </c>
      <c r="I10" s="6">
        <f>VLOOKUP($A10,'RES installed'!$A$2:$C$7,3,FALSE)*'[1]Profiles, RES, Winter'!I$3</f>
        <v>1.5163002274450341E-2</v>
      </c>
      <c r="J10" s="6">
        <f>VLOOKUP($A10,'RES installed'!$A$2:$C$7,3,FALSE)*'[1]Profiles, RES, Winter'!J$3</f>
        <v>1.2964366944655041</v>
      </c>
      <c r="K10" s="6">
        <f>VLOOKUP($A10,'RES installed'!$A$2:$C$7,3,FALSE)*'[1]Profiles, RES, Winter'!K$3</f>
        <v>4.4579226686884006</v>
      </c>
      <c r="L10" s="6">
        <f>VLOOKUP($A10,'RES installed'!$A$2:$C$7,3,FALSE)*'[1]Profiles, RES, Winter'!L$3</f>
        <v>6.8460955269143291</v>
      </c>
      <c r="M10" s="6">
        <f>VLOOKUP($A10,'RES installed'!$A$2:$C$7,3,FALSE)*'[1]Profiles, RES, Winter'!M$3</f>
        <v>6.7930250189537533</v>
      </c>
      <c r="N10" s="6">
        <f>VLOOKUP($A10,'RES installed'!$A$2:$C$7,3,FALSE)*'[1]Profiles, RES, Winter'!N$3</f>
        <v>7.5511751326762697</v>
      </c>
      <c r="O10" s="6">
        <f>VLOOKUP($A10,'RES installed'!$A$2:$C$7,3,FALSE)*'[1]Profiles, RES, Winter'!O$3</f>
        <v>7.3843821076573155</v>
      </c>
      <c r="P10" s="6">
        <f>VLOOKUP($A10,'RES installed'!$A$2:$C$7,3,FALSE)*'[1]Profiles, RES, Winter'!P$3</f>
        <v>6.24715693707354</v>
      </c>
      <c r="Q10" s="6">
        <f>VLOOKUP($A10,'RES installed'!$A$2:$C$7,3,FALSE)*'[1]Profiles, RES, Winter'!Q$3</f>
        <v>4.0181956027293406</v>
      </c>
      <c r="R10" s="6">
        <f>VLOOKUP($A10,'RES installed'!$A$2:$C$7,3,FALSE)*'[1]Profiles, RES, Winter'!R$3</f>
        <v>1.2812736921910539</v>
      </c>
      <c r="S10" s="6">
        <f>VLOOKUP($A10,'RES installed'!$A$2:$C$7,3,FALSE)*'[1]Profiles, RES, Winter'!S$3</f>
        <v>7.5815011372251703E-2</v>
      </c>
      <c r="T10" s="6">
        <f>VLOOKUP($A10,'RES installed'!$A$2:$C$7,3,FALSE)*'[1]Profiles, RES, Winter'!T$3</f>
        <v>0</v>
      </c>
      <c r="U10" s="6">
        <f>VLOOKUP($A10,'RES installed'!$A$2:$C$7,3,FALSE)*'[1]Profiles, RES, Winter'!U$3</f>
        <v>0</v>
      </c>
      <c r="V10" s="6">
        <f>VLOOKUP($A10,'RES installed'!$A$2:$C$7,3,FALSE)*'[1]Profiles, RES, Winter'!V$3</f>
        <v>0</v>
      </c>
      <c r="W10" s="6">
        <f>VLOOKUP($A10,'RES installed'!$A$2:$C$7,3,FALSE)*'[1]Profiles, RES, Winter'!W$3</f>
        <v>0</v>
      </c>
      <c r="X10" s="6">
        <f>VLOOKUP($A10,'RES installed'!$A$2:$C$7,3,FALSE)*'[1]Profiles, RES, Winter'!X$3</f>
        <v>0</v>
      </c>
      <c r="Y10" s="6">
        <f>VLOOKUP($A10,'RES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2E7E-1977-4512-8AB6-AD858BA4704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Winter'!B$7</f>
        <v>15.072260136491369</v>
      </c>
      <c r="C5" s="9">
        <f>VLOOKUP($A5,'RES installed'!$A$2:$C$7,3,FALSE)*'[1]Profiles, RES, Winter'!C$7</f>
        <v>15.006021678040948</v>
      </c>
      <c r="D5" s="9">
        <f>VLOOKUP($A5,'RES installed'!$A$2:$C$7,3,FALSE)*'[1]Profiles, RES, Winter'!D$7</f>
        <v>14.62665596146126</v>
      </c>
      <c r="E5" s="9">
        <f>VLOOKUP($A5,'RES installed'!$A$2:$C$7,3,FALSE)*'[1]Profiles, RES, Winter'!E$7</f>
        <v>14.987956643918105</v>
      </c>
      <c r="F5" s="9">
        <f>VLOOKUP($A5,'RES installed'!$A$2:$C$7,3,FALSE)*'[1]Profiles, RES, Winter'!F$7</f>
        <v>14.566439181051788</v>
      </c>
      <c r="G5" s="9">
        <f>VLOOKUP($A5,'RES installed'!$A$2:$C$7,3,FALSE)*'[1]Profiles, RES, Winter'!G$7</f>
        <v>14.48815736651947</v>
      </c>
      <c r="H5" s="9">
        <f>VLOOKUP($A5,'RES installed'!$A$2:$C$7,3,FALSE)*'[1]Profiles, RES, Winter'!H$7</f>
        <v>15.012043356081893</v>
      </c>
      <c r="I5" s="9">
        <f>VLOOKUP($A5,'RES installed'!$A$2:$C$7,3,FALSE)*'[1]Profiles, RES, Winter'!I$7</f>
        <v>14.108791649939784</v>
      </c>
      <c r="J5" s="9">
        <f>VLOOKUP($A5,'RES installed'!$A$2:$C$7,3,FALSE)*'[1]Profiles, RES, Winter'!J$7</f>
        <v>12.988759534323563</v>
      </c>
      <c r="K5" s="9">
        <f>VLOOKUP($A5,'RES installed'!$A$2:$C$7,3,FALSE)*'[1]Profiles, RES, Winter'!K$7</f>
        <v>12.16378964271377</v>
      </c>
      <c r="L5" s="9">
        <f>VLOOKUP($A5,'RES installed'!$A$2:$C$7,3,FALSE)*'[1]Profiles, RES, Winter'!L$7</f>
        <v>11.00160578081092</v>
      </c>
      <c r="M5" s="9">
        <f>VLOOKUP($A5,'RES installed'!$A$2:$C$7,3,FALSE)*'[1]Profiles, RES, Winter'!M$7</f>
        <v>9.4781212364512246</v>
      </c>
      <c r="N5" s="9">
        <f>VLOOKUP($A5,'RES installed'!$A$2:$C$7,3,FALSE)*'[1]Profiles, RES, Winter'!N$7</f>
        <v>8.5447611401043755</v>
      </c>
      <c r="O5" s="9">
        <f>VLOOKUP($A5,'RES installed'!$A$2:$C$7,3,FALSE)*'[1]Profiles, RES, Winter'!O$7</f>
        <v>8.4905660377358494</v>
      </c>
      <c r="P5" s="9">
        <f>VLOOKUP($A5,'RES installed'!$A$2:$C$7,3,FALSE)*'[1]Profiles, RES, Winter'!P$7</f>
        <v>9.6346848655158563</v>
      </c>
      <c r="Q5" s="9">
        <f>VLOOKUP($A5,'RES installed'!$A$2:$C$7,3,FALSE)*'[1]Profiles, RES, Winter'!Q$7</f>
        <v>9.9718988358089113</v>
      </c>
      <c r="R5" s="9">
        <f>VLOOKUP($A5,'RES installed'!$A$2:$C$7,3,FALSE)*'[1]Profiles, RES, Winter'!R$7</f>
        <v>11.025692492974709</v>
      </c>
      <c r="S5" s="9">
        <f>VLOOKUP($A5,'RES installed'!$A$2:$C$7,3,FALSE)*'[1]Profiles, RES, Winter'!S$7</f>
        <v>12.778000802890405</v>
      </c>
      <c r="T5" s="9">
        <f>VLOOKUP($A5,'RES installed'!$A$2:$C$7,3,FALSE)*'[1]Profiles, RES, Winter'!T$7</f>
        <v>13.898032918506624</v>
      </c>
      <c r="U5" s="9">
        <f>VLOOKUP($A5,'RES installed'!$A$2:$C$7,3,FALSE)*'[1]Profiles, RES, Winter'!U$7</f>
        <v>14.729024488157366</v>
      </c>
      <c r="V5" s="9">
        <f>VLOOKUP($A5,'RES installed'!$A$2:$C$7,3,FALSE)*'[1]Profiles, RES, Winter'!V$7</f>
        <v>14.849458048976315</v>
      </c>
      <c r="W5" s="9">
        <f>VLOOKUP($A5,'RES installed'!$A$2:$C$7,3,FALSE)*'[1]Profiles, RES, Winter'!W$7</f>
        <v>13.687274187073463</v>
      </c>
      <c r="X5" s="9">
        <f>VLOOKUP($A5,'RES installed'!$A$2:$C$7,3,FALSE)*'[1]Profiles, RES, Winter'!X$7</f>
        <v>12.621437173825772</v>
      </c>
      <c r="Y5" s="9">
        <f>VLOOKUP($A5,'RES installed'!$A$2:$C$7,3,FALSE)*'[1]Profiles, RES, Winter'!Y$7</f>
        <v>12.121637896427139</v>
      </c>
    </row>
    <row r="6" spans="1:25" x14ac:dyDescent="0.3">
      <c r="A6" s="8">
        <v>5</v>
      </c>
      <c r="B6" s="9">
        <f>VLOOKUP($A6,'RES installed'!$A$2:$C$7,3,FALSE)*'[1]Profiles, RES, Winter'!B$7</f>
        <v>10.04817342432758</v>
      </c>
      <c r="C6" s="9">
        <f>VLOOKUP($A6,'RES installed'!$A$2:$C$7,3,FALSE)*'[1]Profiles, RES, Winter'!C$7</f>
        <v>10.004014452027299</v>
      </c>
      <c r="D6" s="9">
        <f>VLOOKUP($A6,'RES installed'!$A$2:$C$7,3,FALSE)*'[1]Profiles, RES, Winter'!D$7</f>
        <v>9.7511039743075063</v>
      </c>
      <c r="E6" s="9">
        <f>VLOOKUP($A6,'RES installed'!$A$2:$C$7,3,FALSE)*'[1]Profiles, RES, Winter'!E$7</f>
        <v>9.991971095945404</v>
      </c>
      <c r="F6" s="9">
        <f>VLOOKUP($A6,'RES installed'!$A$2:$C$7,3,FALSE)*'[1]Profiles, RES, Winter'!F$7</f>
        <v>9.7109594540345245</v>
      </c>
      <c r="G6" s="9">
        <f>VLOOKUP($A6,'RES installed'!$A$2:$C$7,3,FALSE)*'[1]Profiles, RES, Winter'!G$7</f>
        <v>9.6587715776796461</v>
      </c>
      <c r="H6" s="9">
        <f>VLOOKUP($A6,'RES installed'!$A$2:$C$7,3,FALSE)*'[1]Profiles, RES, Winter'!H$7</f>
        <v>10.008028904054596</v>
      </c>
      <c r="I6" s="9">
        <f>VLOOKUP($A6,'RES installed'!$A$2:$C$7,3,FALSE)*'[1]Profiles, RES, Winter'!I$7</f>
        <v>9.4058610999598553</v>
      </c>
      <c r="J6" s="9">
        <f>VLOOKUP($A6,'RES installed'!$A$2:$C$7,3,FALSE)*'[1]Profiles, RES, Winter'!J$7</f>
        <v>8.659173022882376</v>
      </c>
      <c r="K6" s="9">
        <f>VLOOKUP($A6,'RES installed'!$A$2:$C$7,3,FALSE)*'[1]Profiles, RES, Winter'!K$7</f>
        <v>8.109193095142512</v>
      </c>
      <c r="L6" s="9">
        <f>VLOOKUP($A6,'RES installed'!$A$2:$C$7,3,FALSE)*'[1]Profiles, RES, Winter'!L$7</f>
        <v>7.3344038538739467</v>
      </c>
      <c r="M6" s="9">
        <f>VLOOKUP($A6,'RES installed'!$A$2:$C$7,3,FALSE)*'[1]Profiles, RES, Winter'!M$7</f>
        <v>6.3187474909674837</v>
      </c>
      <c r="N6" s="9">
        <f>VLOOKUP($A6,'RES installed'!$A$2:$C$7,3,FALSE)*'[1]Profiles, RES, Winter'!N$7</f>
        <v>5.6965074267362503</v>
      </c>
      <c r="O6" s="9">
        <f>VLOOKUP($A6,'RES installed'!$A$2:$C$7,3,FALSE)*'[1]Profiles, RES, Winter'!O$7</f>
        <v>5.6603773584905657</v>
      </c>
      <c r="P6" s="9">
        <f>VLOOKUP($A6,'RES installed'!$A$2:$C$7,3,FALSE)*'[1]Profiles, RES, Winter'!P$7</f>
        <v>6.4231232436772379</v>
      </c>
      <c r="Q6" s="9">
        <f>VLOOKUP($A6,'RES installed'!$A$2:$C$7,3,FALSE)*'[1]Profiles, RES, Winter'!Q$7</f>
        <v>6.6479325572059409</v>
      </c>
      <c r="R6" s="9">
        <f>VLOOKUP($A6,'RES installed'!$A$2:$C$7,3,FALSE)*'[1]Profiles, RES, Winter'!R$7</f>
        <v>7.3504616619831395</v>
      </c>
      <c r="S6" s="9">
        <f>VLOOKUP($A6,'RES installed'!$A$2:$C$7,3,FALSE)*'[1]Profiles, RES, Winter'!S$7</f>
        <v>8.518667201926938</v>
      </c>
      <c r="T6" s="9">
        <f>VLOOKUP($A6,'RES installed'!$A$2:$C$7,3,FALSE)*'[1]Profiles, RES, Winter'!T$7</f>
        <v>9.2653552790044156</v>
      </c>
      <c r="U6" s="9">
        <f>VLOOKUP($A6,'RES installed'!$A$2:$C$7,3,FALSE)*'[1]Profiles, RES, Winter'!U$7</f>
        <v>9.8193496587715785</v>
      </c>
      <c r="V6" s="9">
        <f>VLOOKUP($A6,'RES installed'!$A$2:$C$7,3,FALSE)*'[1]Profiles, RES, Winter'!V$7</f>
        <v>9.8996386993175438</v>
      </c>
      <c r="W6" s="9">
        <f>VLOOKUP($A6,'RES installed'!$A$2:$C$7,3,FALSE)*'[1]Profiles, RES, Winter'!W$7</f>
        <v>9.1248494580489758</v>
      </c>
      <c r="X6" s="9">
        <f>VLOOKUP($A6,'RES installed'!$A$2:$C$7,3,FALSE)*'[1]Profiles, RES, Winter'!X$7</f>
        <v>8.4142914492171812</v>
      </c>
      <c r="Y6" s="9">
        <f>VLOOKUP($A6,'RES installed'!$A$2:$C$7,3,FALSE)*'[1]Profiles, RES, Winter'!Y$7</f>
        <v>8.0810919309514251</v>
      </c>
    </row>
    <row r="7" spans="1:25" x14ac:dyDescent="0.3">
      <c r="A7" s="8">
        <v>6</v>
      </c>
      <c r="B7" s="9">
        <f>VLOOKUP($A7,'RES installed'!$A$2:$C$7,3,FALSE)*'[1]Profiles, RES, Winter'!B$7</f>
        <v>15.072260136491369</v>
      </c>
      <c r="C7" s="9">
        <f>VLOOKUP($A7,'RES installed'!$A$2:$C$7,3,FALSE)*'[1]Profiles, RES, Winter'!C$7</f>
        <v>15.006021678040948</v>
      </c>
      <c r="D7" s="9">
        <f>VLOOKUP($A7,'RES installed'!$A$2:$C$7,3,FALSE)*'[1]Profiles, RES, Winter'!D$7</f>
        <v>14.62665596146126</v>
      </c>
      <c r="E7" s="9">
        <f>VLOOKUP($A7,'RES installed'!$A$2:$C$7,3,FALSE)*'[1]Profiles, RES, Winter'!E$7</f>
        <v>14.987956643918105</v>
      </c>
      <c r="F7" s="9">
        <f>VLOOKUP($A7,'RES installed'!$A$2:$C$7,3,FALSE)*'[1]Profiles, RES, Winter'!F$7</f>
        <v>14.566439181051788</v>
      </c>
      <c r="G7" s="9">
        <f>VLOOKUP($A7,'RES installed'!$A$2:$C$7,3,FALSE)*'[1]Profiles, RES, Winter'!G$7</f>
        <v>14.48815736651947</v>
      </c>
      <c r="H7" s="9">
        <f>VLOOKUP($A7,'RES installed'!$A$2:$C$7,3,FALSE)*'[1]Profiles, RES, Winter'!H$7</f>
        <v>15.012043356081893</v>
      </c>
      <c r="I7" s="9">
        <f>VLOOKUP($A7,'RES installed'!$A$2:$C$7,3,FALSE)*'[1]Profiles, RES, Winter'!I$7</f>
        <v>14.108791649939784</v>
      </c>
      <c r="J7" s="9">
        <f>VLOOKUP($A7,'RES installed'!$A$2:$C$7,3,FALSE)*'[1]Profiles, RES, Winter'!J$7</f>
        <v>12.988759534323563</v>
      </c>
      <c r="K7" s="9">
        <f>VLOOKUP($A7,'RES installed'!$A$2:$C$7,3,FALSE)*'[1]Profiles, RES, Winter'!K$7</f>
        <v>12.16378964271377</v>
      </c>
      <c r="L7" s="9">
        <f>VLOOKUP($A7,'RES installed'!$A$2:$C$7,3,FALSE)*'[1]Profiles, RES, Winter'!L$7</f>
        <v>11.00160578081092</v>
      </c>
      <c r="M7" s="9">
        <f>VLOOKUP($A7,'RES installed'!$A$2:$C$7,3,FALSE)*'[1]Profiles, RES, Winter'!M$7</f>
        <v>9.4781212364512246</v>
      </c>
      <c r="N7" s="9">
        <f>VLOOKUP($A7,'RES installed'!$A$2:$C$7,3,FALSE)*'[1]Profiles, RES, Winter'!N$7</f>
        <v>8.5447611401043755</v>
      </c>
      <c r="O7" s="9">
        <f>VLOOKUP($A7,'RES installed'!$A$2:$C$7,3,FALSE)*'[1]Profiles, RES, Winter'!O$7</f>
        <v>8.4905660377358494</v>
      </c>
      <c r="P7" s="9">
        <f>VLOOKUP($A7,'RES installed'!$A$2:$C$7,3,FALSE)*'[1]Profiles, RES, Winter'!P$7</f>
        <v>9.6346848655158563</v>
      </c>
      <c r="Q7" s="9">
        <f>VLOOKUP($A7,'RES installed'!$A$2:$C$7,3,FALSE)*'[1]Profiles, RES, Winter'!Q$7</f>
        <v>9.9718988358089113</v>
      </c>
      <c r="R7" s="9">
        <f>VLOOKUP($A7,'RES installed'!$A$2:$C$7,3,FALSE)*'[1]Profiles, RES, Winter'!R$7</f>
        <v>11.025692492974709</v>
      </c>
      <c r="S7" s="9">
        <f>VLOOKUP($A7,'RES installed'!$A$2:$C$7,3,FALSE)*'[1]Profiles, RES, Winter'!S$7</f>
        <v>12.778000802890405</v>
      </c>
      <c r="T7" s="9">
        <f>VLOOKUP($A7,'RES installed'!$A$2:$C$7,3,FALSE)*'[1]Profiles, RES, Winter'!T$7</f>
        <v>13.898032918506624</v>
      </c>
      <c r="U7" s="9">
        <f>VLOOKUP($A7,'RES installed'!$A$2:$C$7,3,FALSE)*'[1]Profiles, RES, Winter'!U$7</f>
        <v>14.729024488157366</v>
      </c>
      <c r="V7" s="9">
        <f>VLOOKUP($A7,'RES installed'!$A$2:$C$7,3,FALSE)*'[1]Profiles, RES, Winter'!V$7</f>
        <v>14.849458048976315</v>
      </c>
      <c r="W7" s="9">
        <f>VLOOKUP($A7,'RES installed'!$A$2:$C$7,3,FALSE)*'[1]Profiles, RES, Winter'!W$7</f>
        <v>13.687274187073463</v>
      </c>
      <c r="X7" s="9">
        <f>VLOOKUP($A7,'RES installed'!$A$2:$C$7,3,FALSE)*'[1]Profiles, RES, Winter'!X$7</f>
        <v>12.621437173825772</v>
      </c>
      <c r="Y7" s="9">
        <f>VLOOKUP($A7,'RES installed'!$A$2:$C$7,3,FALSE)*'[1]Profiles, RES, Winter'!Y$7</f>
        <v>12.121637896427139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1.1372251705837756E-2</v>
      </c>
      <c r="J8" s="6">
        <f>VLOOKUP($A8,'RES installed'!$A$2:$C$7,3,FALSE)*'[1]Profiles, RES, Winter'!J$4</f>
        <v>1.0121304018195603</v>
      </c>
      <c r="K8" s="6">
        <f>VLOOKUP($A8,'RES installed'!$A$2:$C$7,3,FALSE)*'[1]Profiles, RES, Winter'!K$4</f>
        <v>4.344200151630023</v>
      </c>
      <c r="L8" s="6">
        <f>VLOOKUP($A8,'RES installed'!$A$2:$C$7,3,FALSE)*'[1]Profiles, RES, Winter'!L$4</f>
        <v>7.1645185746777864</v>
      </c>
      <c r="M8" s="6">
        <f>VLOOKUP($A8,'RES installed'!$A$2:$C$7,3,FALSE)*'[1]Profiles, RES, Winter'!M$4</f>
        <v>8.1425322213798328</v>
      </c>
      <c r="N8" s="6">
        <f>VLOOKUP($A8,'RES installed'!$A$2:$C$7,3,FALSE)*'[1]Profiles, RES, Winter'!N$4</f>
        <v>7.7786201667930257</v>
      </c>
      <c r="O8" s="6">
        <f>VLOOKUP($A8,'RES installed'!$A$2:$C$7,3,FALSE)*'[1]Profiles, RES, Winter'!O$4</f>
        <v>7.9264594389689158</v>
      </c>
      <c r="P8" s="6">
        <f>VLOOKUP($A8,'RES installed'!$A$2:$C$7,3,FALSE)*'[1]Profiles, RES, Winter'!P$4</f>
        <v>8.5746777862016685</v>
      </c>
      <c r="Q8" s="6">
        <f>VLOOKUP($A8,'RES installed'!$A$2:$C$7,3,FALSE)*'[1]Profiles, RES, Winter'!Q$4</f>
        <v>7.8127369219105374</v>
      </c>
      <c r="R8" s="6">
        <f>VLOOKUP($A8,'RES installed'!$A$2:$C$7,3,FALSE)*'[1]Profiles, RES, Winter'!R$4</f>
        <v>3.5595147839272174</v>
      </c>
      <c r="S8" s="6">
        <f>VLOOKUP($A8,'RES installed'!$A$2:$C$7,3,FALSE)*'[1]Profiles, RES, Winter'!S$4</f>
        <v>0.1819560272934041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  <row r="9" spans="1:25" x14ac:dyDescent="0.3">
      <c r="A9" s="5">
        <v>8</v>
      </c>
      <c r="B9" s="6">
        <f>VLOOKUP($A9,'RES installed'!$A$2:$C$7,3,FALSE)*'[1]Profiles, RES, Winter'!B$4</f>
        <v>0</v>
      </c>
      <c r="C9" s="6">
        <f>VLOOKUP($A9,'RES installed'!$A$2:$C$7,3,FALSE)*'[1]Profiles, RES, Winter'!C$4</f>
        <v>0</v>
      </c>
      <c r="D9" s="6">
        <f>VLOOKUP($A9,'RES installed'!$A$2:$C$7,3,FALSE)*'[1]Profiles, RES, Winter'!D$4</f>
        <v>0</v>
      </c>
      <c r="E9" s="6">
        <f>VLOOKUP($A9,'RES installed'!$A$2:$C$7,3,FALSE)*'[1]Profiles, RES, Winter'!E$4</f>
        <v>0</v>
      </c>
      <c r="F9" s="6">
        <f>VLOOKUP($A9,'RES installed'!$A$2:$C$7,3,FALSE)*'[1]Profiles, RES, Winter'!F$4</f>
        <v>0</v>
      </c>
      <c r="G9" s="6">
        <f>VLOOKUP($A9,'RES installed'!$A$2:$C$7,3,FALSE)*'[1]Profiles, RES, Winter'!G$4</f>
        <v>0</v>
      </c>
      <c r="H9" s="6">
        <f>VLOOKUP($A9,'RES installed'!$A$2:$C$7,3,FALSE)*'[1]Profiles, RES, Winter'!H$4</f>
        <v>0</v>
      </c>
      <c r="I9" s="6">
        <f>VLOOKUP($A9,'RES installed'!$A$2:$C$7,3,FALSE)*'[1]Profiles, RES, Winter'!I$4</f>
        <v>3.7907505686125853E-3</v>
      </c>
      <c r="J9" s="6">
        <f>VLOOKUP($A9,'RES installed'!$A$2:$C$7,3,FALSE)*'[1]Profiles, RES, Winter'!J$4</f>
        <v>0.33737680060652009</v>
      </c>
      <c r="K9" s="6">
        <f>VLOOKUP($A9,'RES installed'!$A$2:$C$7,3,FALSE)*'[1]Profiles, RES, Winter'!K$4</f>
        <v>1.4480667172100077</v>
      </c>
      <c r="L9" s="6">
        <f>VLOOKUP($A9,'RES installed'!$A$2:$C$7,3,FALSE)*'[1]Profiles, RES, Winter'!L$4</f>
        <v>2.3881728582259285</v>
      </c>
      <c r="M9" s="6">
        <f>VLOOKUP($A9,'RES installed'!$A$2:$C$7,3,FALSE)*'[1]Profiles, RES, Winter'!M$4</f>
        <v>2.7141774071266109</v>
      </c>
      <c r="N9" s="6">
        <f>VLOOKUP($A9,'RES installed'!$A$2:$C$7,3,FALSE)*'[1]Profiles, RES, Winter'!N$4</f>
        <v>2.5928733889310083</v>
      </c>
      <c r="O9" s="6">
        <f>VLOOKUP($A9,'RES installed'!$A$2:$C$7,3,FALSE)*'[1]Profiles, RES, Winter'!O$4</f>
        <v>2.6421531463229719</v>
      </c>
      <c r="P9" s="6">
        <f>VLOOKUP($A9,'RES installed'!$A$2:$C$7,3,FALSE)*'[1]Profiles, RES, Winter'!P$4</f>
        <v>2.8582259287338898</v>
      </c>
      <c r="Q9" s="6">
        <f>VLOOKUP($A9,'RES installed'!$A$2:$C$7,3,FALSE)*'[1]Profiles, RES, Winter'!Q$4</f>
        <v>2.6042456406368459</v>
      </c>
      <c r="R9" s="6">
        <f>VLOOKUP($A9,'RES installed'!$A$2:$C$7,3,FALSE)*'[1]Profiles, RES, Winter'!R$4</f>
        <v>1.1865049279757391</v>
      </c>
      <c r="S9" s="6">
        <f>VLOOKUP($A9,'RES installed'!$A$2:$C$7,3,FALSE)*'[1]Profiles, RES, Winter'!S$4</f>
        <v>6.0652009097801364E-2</v>
      </c>
      <c r="T9" s="6">
        <f>VLOOKUP($A9,'RES installed'!$A$2:$C$7,3,FALSE)*'[1]Profiles, RES, Winter'!T$4</f>
        <v>0</v>
      </c>
      <c r="U9" s="6">
        <f>VLOOKUP($A9,'RES installed'!$A$2:$C$7,3,FALSE)*'[1]Profiles, RES, Winter'!U$4</f>
        <v>0</v>
      </c>
      <c r="V9" s="6">
        <f>VLOOKUP($A9,'RES installed'!$A$2:$C$7,3,FALSE)*'[1]Profiles, RES, Winter'!V$4</f>
        <v>0</v>
      </c>
      <c r="W9" s="6">
        <f>VLOOKUP($A9,'RES installed'!$A$2:$C$7,3,FALSE)*'[1]Profiles, RES, Winter'!W$4</f>
        <v>0</v>
      </c>
      <c r="X9" s="6">
        <f>VLOOKUP($A9,'RES installed'!$A$2:$C$7,3,FALSE)*'[1]Profiles, RES, Winter'!X$4</f>
        <v>0</v>
      </c>
      <c r="Y9" s="6">
        <f>VLOOKUP($A9,'RES installed'!$A$2:$C$7,3,FALSE)*'[1]Profiles, RES, Winter'!Y$4</f>
        <v>0</v>
      </c>
    </row>
    <row r="10" spans="1:25" x14ac:dyDescent="0.3">
      <c r="A10" s="5">
        <v>9</v>
      </c>
      <c r="B10" s="6">
        <f>VLOOKUP($A10,'RES installed'!$A$2:$C$7,3,FALSE)*'[1]Profiles, RES, Winter'!B$4</f>
        <v>0</v>
      </c>
      <c r="C10" s="6">
        <f>VLOOKUP($A10,'RES installed'!$A$2:$C$7,3,FALSE)*'[1]Profiles, RES, Winter'!C$4</f>
        <v>0</v>
      </c>
      <c r="D10" s="6">
        <f>VLOOKUP($A10,'RES installed'!$A$2:$C$7,3,FALSE)*'[1]Profiles, RES, Winter'!D$4</f>
        <v>0</v>
      </c>
      <c r="E10" s="6">
        <f>VLOOKUP($A10,'RES installed'!$A$2:$C$7,3,FALSE)*'[1]Profiles, RES, Winter'!E$4</f>
        <v>0</v>
      </c>
      <c r="F10" s="6">
        <f>VLOOKUP($A10,'RES installed'!$A$2:$C$7,3,FALSE)*'[1]Profiles, RES, Winter'!F$4</f>
        <v>0</v>
      </c>
      <c r="G10" s="6">
        <f>VLOOKUP($A10,'RES installed'!$A$2:$C$7,3,FALSE)*'[1]Profiles, RES, Winter'!G$4</f>
        <v>0</v>
      </c>
      <c r="H10" s="6">
        <f>VLOOKUP($A10,'RES installed'!$A$2:$C$7,3,FALSE)*'[1]Profiles, RES, Winter'!H$4</f>
        <v>0</v>
      </c>
      <c r="I10" s="6">
        <f>VLOOKUP($A10,'RES installed'!$A$2:$C$7,3,FALSE)*'[1]Profiles, RES, Winter'!I$4</f>
        <v>7.5815011372251705E-3</v>
      </c>
      <c r="J10" s="6">
        <f>VLOOKUP($A10,'RES installed'!$A$2:$C$7,3,FALSE)*'[1]Profiles, RES, Winter'!J$4</f>
        <v>0.67475360121304018</v>
      </c>
      <c r="K10" s="6">
        <f>VLOOKUP($A10,'RES installed'!$A$2:$C$7,3,FALSE)*'[1]Profiles, RES, Winter'!K$4</f>
        <v>2.8961334344200154</v>
      </c>
      <c r="L10" s="6">
        <f>VLOOKUP($A10,'RES installed'!$A$2:$C$7,3,FALSE)*'[1]Profiles, RES, Winter'!L$4</f>
        <v>4.776345716451857</v>
      </c>
      <c r="M10" s="6">
        <f>VLOOKUP($A10,'RES installed'!$A$2:$C$7,3,FALSE)*'[1]Profiles, RES, Winter'!M$4</f>
        <v>5.4283548142532219</v>
      </c>
      <c r="N10" s="6">
        <f>VLOOKUP($A10,'RES installed'!$A$2:$C$7,3,FALSE)*'[1]Profiles, RES, Winter'!N$4</f>
        <v>5.1857467778620165</v>
      </c>
      <c r="O10" s="6">
        <f>VLOOKUP($A10,'RES installed'!$A$2:$C$7,3,FALSE)*'[1]Profiles, RES, Winter'!O$4</f>
        <v>5.2843062926459439</v>
      </c>
      <c r="P10" s="6">
        <f>VLOOKUP($A10,'RES installed'!$A$2:$C$7,3,FALSE)*'[1]Profiles, RES, Winter'!P$4</f>
        <v>5.7164518574677796</v>
      </c>
      <c r="Q10" s="6">
        <f>VLOOKUP($A10,'RES installed'!$A$2:$C$7,3,FALSE)*'[1]Profiles, RES, Winter'!Q$4</f>
        <v>5.2084912812736919</v>
      </c>
      <c r="R10" s="6">
        <f>VLOOKUP($A10,'RES installed'!$A$2:$C$7,3,FALSE)*'[1]Profiles, RES, Winter'!R$4</f>
        <v>2.3730098559514783</v>
      </c>
      <c r="S10" s="6">
        <f>VLOOKUP($A10,'RES installed'!$A$2:$C$7,3,FALSE)*'[1]Profiles, RES, Winter'!S$4</f>
        <v>0.12130401819560273</v>
      </c>
      <c r="T10" s="6">
        <f>VLOOKUP($A10,'RES installed'!$A$2:$C$7,3,FALSE)*'[1]Profiles, RES, Winter'!T$4</f>
        <v>0</v>
      </c>
      <c r="U10" s="6">
        <f>VLOOKUP($A10,'RES installed'!$A$2:$C$7,3,FALSE)*'[1]Profiles, RES, Winter'!U$4</f>
        <v>0</v>
      </c>
      <c r="V10" s="6">
        <f>VLOOKUP($A10,'RES installed'!$A$2:$C$7,3,FALSE)*'[1]Profiles, RES, Winter'!V$4</f>
        <v>0</v>
      </c>
      <c r="W10" s="6">
        <f>VLOOKUP($A10,'RES installed'!$A$2:$C$7,3,FALSE)*'[1]Profiles, RES, Winter'!W$4</f>
        <v>0</v>
      </c>
      <c r="X10" s="6">
        <f>VLOOKUP($A10,'RES installed'!$A$2:$C$7,3,FALSE)*'[1]Profiles, RES, Winter'!X$4</f>
        <v>0</v>
      </c>
      <c r="Y10" s="6">
        <f>VLOOKUP($A10,'RES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82E8-6F48-4FD6-B495-96CE5FAE95CC}">
  <dimension ref="A1:Y28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30.925646184894436</v>
      </c>
      <c r="C2" s="2">
        <f ca="1">('[1]Pc, Spring, S1'!C2*Main!$B$5)+(_xlfn.IFNA(VLOOKUP($A2,'FL Ratio'!$A$3:$B$10,2,FALSE),0)*'FL Characterization'!C$2)</f>
        <v>29.058912035918805</v>
      </c>
      <c r="D2" s="2">
        <f ca="1">('[1]Pc, Spring, S1'!D2*Main!$B$5)+(_xlfn.IFNA(VLOOKUP($A2,'FL Ratio'!$A$3:$B$10,2,FALSE),0)*'FL Characterization'!D$2)</f>
        <v>28.191706797424331</v>
      </c>
      <c r="E2" s="2">
        <f ca="1">('[1]Pc, Spring, S1'!E2*Main!$B$5)+(_xlfn.IFNA(VLOOKUP($A2,'FL Ratio'!$A$3:$B$10,2,FALSE),0)*'FL Characterization'!E$2)</f>
        <v>27.5162003353473</v>
      </c>
      <c r="F2" s="2">
        <f ca="1">('[1]Pc, Spring, S1'!F2*Main!$B$5)+(_xlfn.IFNA(VLOOKUP($A2,'FL Ratio'!$A$3:$B$10,2,FALSE),0)*'FL Characterization'!F$2)</f>
        <v>27.481442768092204</v>
      </c>
      <c r="G2" s="2">
        <f ca="1">('[1]Pc, Spring, S1'!G2*Main!$B$5)+(_xlfn.IFNA(VLOOKUP($A2,'FL Ratio'!$A$3:$B$10,2,FALSE),0)*'FL Characterization'!G$2)</f>
        <v>28.506187180655537</v>
      </c>
      <c r="H2" s="2">
        <f ca="1">('[1]Pc, Spring, S1'!H2*Main!$B$5)+(_xlfn.IFNA(VLOOKUP($A2,'FL Ratio'!$A$3:$B$10,2,FALSE),0)*'FL Characterization'!H$2)</f>
        <v>32.903497251334251</v>
      </c>
      <c r="I2" s="2">
        <f ca="1">('[1]Pc, Spring, S1'!I2*Main!$B$5)+(_xlfn.IFNA(VLOOKUP($A2,'FL Ratio'!$A$3:$B$10,2,FALSE),0)*'FL Characterization'!I$2)</f>
        <v>37.408511910144846</v>
      </c>
      <c r="J2" s="2">
        <f ca="1">('[1]Pc, Spring, S1'!J2*Main!$B$5)+(_xlfn.IFNA(VLOOKUP($A2,'FL Ratio'!$A$3:$B$10,2,FALSE),0)*'FL Characterization'!J$2)</f>
        <v>42.276508626865919</v>
      </c>
      <c r="K2" s="2">
        <f ca="1">('[1]Pc, Spring, S1'!K2*Main!$B$5)+(_xlfn.IFNA(VLOOKUP($A2,'FL Ratio'!$A$3:$B$10,2,FALSE),0)*'FL Characterization'!K$2)</f>
        <v>43.070644436024558</v>
      </c>
      <c r="L2" s="2">
        <f ca="1">('[1]Pc, Spring, S1'!L2*Main!$B$5)+(_xlfn.IFNA(VLOOKUP($A2,'FL Ratio'!$A$3:$B$10,2,FALSE),0)*'FL Characterization'!L$2)</f>
        <v>41.795242169370525</v>
      </c>
      <c r="M2" s="2">
        <f ca="1">('[1]Pc, Spring, S1'!M2*Main!$B$5)+(_xlfn.IFNA(VLOOKUP($A2,'FL Ratio'!$A$3:$B$10,2,FALSE),0)*'FL Characterization'!M$2)</f>
        <v>42.303597672103102</v>
      </c>
      <c r="N2" s="2">
        <f ca="1">('[1]Pc, Spring, S1'!N2*Main!$B$5)+(_xlfn.IFNA(VLOOKUP($A2,'FL Ratio'!$A$3:$B$10,2,FALSE),0)*'FL Characterization'!N$2)</f>
        <v>44.177854448952075</v>
      </c>
      <c r="O2" s="2">
        <f ca="1">('[1]Pc, Spring, S1'!O2*Main!$B$5)+(_xlfn.IFNA(VLOOKUP($A2,'FL Ratio'!$A$3:$B$10,2,FALSE),0)*'FL Characterization'!O$2)</f>
        <v>42.261698005795353</v>
      </c>
      <c r="P2" s="2">
        <f ca="1">('[1]Pc, Spring, S1'!P2*Main!$B$5)+(_xlfn.IFNA(VLOOKUP($A2,'FL Ratio'!$A$3:$B$10,2,FALSE),0)*'FL Characterization'!P$2)</f>
        <v>42.354446270735217</v>
      </c>
      <c r="Q2" s="2">
        <f ca="1">('[1]Pc, Spring, S1'!Q2*Main!$B$5)+(_xlfn.IFNA(VLOOKUP($A2,'FL Ratio'!$A$3:$B$10,2,FALSE),0)*'FL Characterization'!Q$2)</f>
        <v>41.254410948146706</v>
      </c>
      <c r="R2" s="2">
        <f ca="1">('[1]Pc, Spring, S1'!R2*Main!$B$5)+(_xlfn.IFNA(VLOOKUP($A2,'FL Ratio'!$A$3:$B$10,2,FALSE),0)*'FL Characterization'!R$2)</f>
        <v>40.41697687867142</v>
      </c>
      <c r="S2" s="2">
        <f ca="1">('[1]Pc, Spring, S1'!S2*Main!$B$5)+(_xlfn.IFNA(VLOOKUP($A2,'FL Ratio'!$A$3:$B$10,2,FALSE),0)*'FL Characterization'!S$2)</f>
        <v>41.347753119069424</v>
      </c>
      <c r="T2" s="2">
        <f ca="1">('[1]Pc, Spring, S1'!T2*Main!$B$5)+(_xlfn.IFNA(VLOOKUP($A2,'FL Ratio'!$A$3:$B$10,2,FALSE),0)*'FL Characterization'!T$2)</f>
        <v>44.147260896067451</v>
      </c>
      <c r="U2" s="2">
        <f ca="1">('[1]Pc, Spring, S1'!U2*Main!$B$5)+(_xlfn.IFNA(VLOOKUP($A2,'FL Ratio'!$A$3:$B$10,2,FALSE),0)*'FL Characterization'!U$2)</f>
        <v>42.114874365644638</v>
      </c>
      <c r="V2" s="2">
        <f ca="1">('[1]Pc, Spring, S1'!V2*Main!$B$5)+(_xlfn.IFNA(VLOOKUP($A2,'FL Ratio'!$A$3:$B$10,2,FALSE),0)*'FL Characterization'!V$2)</f>
        <v>43.582307219573792</v>
      </c>
      <c r="W2" s="2">
        <f ca="1">('[1]Pc, Spring, S1'!W2*Main!$B$5)+(_xlfn.IFNA(VLOOKUP($A2,'FL Ratio'!$A$3:$B$10,2,FALSE),0)*'FL Characterization'!W$2)</f>
        <v>42.053215427096973</v>
      </c>
      <c r="X2" s="2">
        <f ca="1">('[1]Pc, Spring, S1'!X2*Main!$B$5)+(_xlfn.IFNA(VLOOKUP($A2,'FL Ratio'!$A$3:$B$10,2,FALSE),0)*'FL Characterization'!X$2)</f>
        <v>36.824146702313371</v>
      </c>
      <c r="Y2" s="2">
        <f ca="1">('[1]Pc, Spring, S1'!Y2*Main!$B$5)+(_xlfn.IFNA(VLOOKUP($A2,'FL Ratio'!$A$3:$B$10,2,FALSE),0)*'FL Characterization'!Y$2)</f>
        <v>34.359699968805835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30.552156300100915</v>
      </c>
      <c r="C3" s="2">
        <f ca="1">('[1]Pc, Spring, S1'!C3*Main!$B$5)+(_xlfn.IFNA(VLOOKUP($A3,'FL Ratio'!$A$3:$B$10,2,FALSE),0)*'FL Characterization'!C$2)</f>
        <v>29.756615530768148</v>
      </c>
      <c r="D3" s="2">
        <f ca="1">('[1]Pc, Spring, S1'!D3*Main!$B$5)+(_xlfn.IFNA(VLOOKUP($A3,'FL Ratio'!$A$3:$B$10,2,FALSE),0)*'FL Characterization'!D$2)</f>
        <v>26.917804049447689</v>
      </c>
      <c r="E3" s="2">
        <f ca="1">('[1]Pc, Spring, S1'!E3*Main!$B$5)+(_xlfn.IFNA(VLOOKUP($A3,'FL Ratio'!$A$3:$B$10,2,FALSE),0)*'FL Characterization'!E$2)</f>
        <v>26.849787228959649</v>
      </c>
      <c r="F3" s="2">
        <f ca="1">('[1]Pc, Spring, S1'!F3*Main!$B$5)+(_xlfn.IFNA(VLOOKUP($A3,'FL Ratio'!$A$3:$B$10,2,FALSE),0)*'FL Characterization'!F$2)</f>
        <v>27.15265750991383</v>
      </c>
      <c r="G3" s="2">
        <f ca="1">('[1]Pc, Spring, S1'!G3*Main!$B$5)+(_xlfn.IFNA(VLOOKUP($A3,'FL Ratio'!$A$3:$B$10,2,FALSE),0)*'FL Characterization'!G$2)</f>
        <v>28.705211905113444</v>
      </c>
      <c r="H3" s="2">
        <f ca="1">('[1]Pc, Spring, S1'!H3*Main!$B$5)+(_xlfn.IFNA(VLOOKUP($A3,'FL Ratio'!$A$3:$B$10,2,FALSE),0)*'FL Characterization'!H$2)</f>
        <v>36.808815092800984</v>
      </c>
      <c r="I3" s="2">
        <f ca="1">('[1]Pc, Spring, S1'!I3*Main!$B$5)+(_xlfn.IFNA(VLOOKUP($A3,'FL Ratio'!$A$3:$B$10,2,FALSE),0)*'FL Characterization'!I$2)</f>
        <v>45.264355478848287</v>
      </c>
      <c r="J3" s="2">
        <f ca="1">('[1]Pc, Spring, S1'!J3*Main!$B$5)+(_xlfn.IFNA(VLOOKUP($A3,'FL Ratio'!$A$3:$B$10,2,FALSE),0)*'FL Characterization'!J$2)</f>
        <v>48.750469436773365</v>
      </c>
      <c r="K3" s="2">
        <f ca="1">('[1]Pc, Spring, S1'!K3*Main!$B$5)+(_xlfn.IFNA(VLOOKUP($A3,'FL Ratio'!$A$3:$B$10,2,FALSE),0)*'FL Characterization'!K$2)</f>
        <v>47.648827870537147</v>
      </c>
      <c r="L3" s="2">
        <f ca="1">('[1]Pc, Spring, S1'!L3*Main!$B$5)+(_xlfn.IFNA(VLOOKUP($A3,'FL Ratio'!$A$3:$B$10,2,FALSE),0)*'FL Characterization'!L$2)</f>
        <v>46.081322906388003</v>
      </c>
      <c r="M3" s="2">
        <f ca="1">('[1]Pc, Spring, S1'!M3*Main!$B$5)+(_xlfn.IFNA(VLOOKUP($A3,'FL Ratio'!$A$3:$B$10,2,FALSE),0)*'FL Characterization'!M$2)</f>
        <v>50.343381399789997</v>
      </c>
      <c r="N3" s="2">
        <f ca="1">('[1]Pc, Spring, S1'!N3*Main!$B$5)+(_xlfn.IFNA(VLOOKUP($A3,'FL Ratio'!$A$3:$B$10,2,FALSE),0)*'FL Characterization'!N$2)</f>
        <v>48.822323525505816</v>
      </c>
      <c r="O3" s="2">
        <f ca="1">('[1]Pc, Spring, S1'!O3*Main!$B$5)+(_xlfn.IFNA(VLOOKUP($A3,'FL Ratio'!$A$3:$B$10,2,FALSE),0)*'FL Characterization'!O$2)</f>
        <v>48.214236432533028</v>
      </c>
      <c r="P3" s="2">
        <f ca="1">('[1]Pc, Spring, S1'!P3*Main!$B$5)+(_xlfn.IFNA(VLOOKUP($A3,'FL Ratio'!$A$3:$B$10,2,FALSE),0)*'FL Characterization'!P$2)</f>
        <v>45.186918195789573</v>
      </c>
      <c r="Q3" s="2">
        <f ca="1">('[1]Pc, Spring, S1'!Q3*Main!$B$5)+(_xlfn.IFNA(VLOOKUP($A3,'FL Ratio'!$A$3:$B$10,2,FALSE),0)*'FL Characterization'!Q$2)</f>
        <v>43.191484976017435</v>
      </c>
      <c r="R3" s="2">
        <f ca="1">('[1]Pc, Spring, S1'!R3*Main!$B$5)+(_xlfn.IFNA(VLOOKUP($A3,'FL Ratio'!$A$3:$B$10,2,FALSE),0)*'FL Characterization'!R$2)</f>
        <v>41.771015623152657</v>
      </c>
      <c r="S3" s="2">
        <f ca="1">('[1]Pc, Spring, S1'!S3*Main!$B$5)+(_xlfn.IFNA(VLOOKUP($A3,'FL Ratio'!$A$3:$B$10,2,FALSE),0)*'FL Characterization'!S$2)</f>
        <v>42.988911544465751</v>
      </c>
      <c r="T3" s="2">
        <f ca="1">('[1]Pc, Spring, S1'!T3*Main!$B$5)+(_xlfn.IFNA(VLOOKUP($A3,'FL Ratio'!$A$3:$B$10,2,FALSE),0)*'FL Characterization'!T$2)</f>
        <v>41.305966503137952</v>
      </c>
      <c r="U3" s="2">
        <f ca="1">('[1]Pc, Spring, S1'!U3*Main!$B$5)+(_xlfn.IFNA(VLOOKUP($A3,'FL Ratio'!$A$3:$B$10,2,FALSE),0)*'FL Characterization'!U$2)</f>
        <v>43.323602729087675</v>
      </c>
      <c r="V3" s="2">
        <f ca="1">('[1]Pc, Spring, S1'!V3*Main!$B$5)+(_xlfn.IFNA(VLOOKUP($A3,'FL Ratio'!$A$3:$B$10,2,FALSE),0)*'FL Characterization'!V$2)</f>
        <v>41.53970430242201</v>
      </c>
      <c r="W3" s="2">
        <f ca="1">('[1]Pc, Spring, S1'!W3*Main!$B$5)+(_xlfn.IFNA(VLOOKUP($A3,'FL Ratio'!$A$3:$B$10,2,FALSE),0)*'FL Characterization'!W$2)</f>
        <v>40.456933824184439</v>
      </c>
      <c r="X3" s="2">
        <f ca="1">('[1]Pc, Spring, S1'!X3*Main!$B$5)+(_xlfn.IFNA(VLOOKUP($A3,'FL Ratio'!$A$3:$B$10,2,FALSE),0)*'FL Characterization'!X$2)</f>
        <v>37.562762767191238</v>
      </c>
      <c r="Y3" s="2">
        <f ca="1">('[1]Pc, Spring, S1'!Y3*Main!$B$5)+(_xlfn.IFNA(VLOOKUP($A3,'FL Ratio'!$A$3:$B$10,2,FALSE),0)*'FL Characterization'!Y$2)</f>
        <v>33.671385723851493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44.685376678187652</v>
      </c>
      <c r="C4" s="2">
        <f ca="1">('[1]Pc, Spring, S1'!C4*Main!$B$5)+(_xlfn.IFNA(VLOOKUP($A4,'FL Ratio'!$A$3:$B$10,2,FALSE),0)*'FL Characterization'!C$2)</f>
        <v>38.664735378195665</v>
      </c>
      <c r="D4" s="2">
        <f ca="1">('[1]Pc, Spring, S1'!D4*Main!$B$5)+(_xlfn.IFNA(VLOOKUP($A4,'FL Ratio'!$A$3:$B$10,2,FALSE),0)*'FL Characterization'!D$2)</f>
        <v>37.506876256495545</v>
      </c>
      <c r="E4" s="2">
        <f ca="1">('[1]Pc, Spring, S1'!E4*Main!$B$5)+(_xlfn.IFNA(VLOOKUP($A4,'FL Ratio'!$A$3:$B$10,2,FALSE),0)*'FL Characterization'!E$2)</f>
        <v>36.315579203967765</v>
      </c>
      <c r="F4" s="2">
        <f ca="1">('[1]Pc, Spring, S1'!F4*Main!$B$5)+(_xlfn.IFNA(VLOOKUP($A4,'FL Ratio'!$A$3:$B$10,2,FALSE),0)*'FL Characterization'!F$2)</f>
        <v>36.605669747176897</v>
      </c>
      <c r="G4" s="2">
        <f ca="1">('[1]Pc, Spring, S1'!G4*Main!$B$5)+(_xlfn.IFNA(VLOOKUP($A4,'FL Ratio'!$A$3:$B$10,2,FALSE),0)*'FL Characterization'!G$2)</f>
        <v>35.922238968955071</v>
      </c>
      <c r="H4" s="2">
        <f ca="1">('[1]Pc, Spring, S1'!H4*Main!$B$5)+(_xlfn.IFNA(VLOOKUP($A4,'FL Ratio'!$A$3:$B$10,2,FALSE),0)*'FL Characterization'!H$2)</f>
        <v>41.788645787430497</v>
      </c>
      <c r="I4" s="2">
        <f ca="1">('[1]Pc, Spring, S1'!I4*Main!$B$5)+(_xlfn.IFNA(VLOOKUP($A4,'FL Ratio'!$A$3:$B$10,2,FALSE),0)*'FL Characterization'!I$2)</f>
        <v>47.767737154626182</v>
      </c>
      <c r="J4" s="2">
        <f ca="1">('[1]Pc, Spring, S1'!J4*Main!$B$5)+(_xlfn.IFNA(VLOOKUP($A4,'FL Ratio'!$A$3:$B$10,2,FALSE),0)*'FL Characterization'!J$2)</f>
        <v>54.075804683173558</v>
      </c>
      <c r="K4" s="2">
        <f ca="1">('[1]Pc, Spring, S1'!K4*Main!$B$5)+(_xlfn.IFNA(VLOOKUP($A4,'FL Ratio'!$A$3:$B$10,2,FALSE),0)*'FL Characterization'!K$2)</f>
        <v>57.950376253902178</v>
      </c>
      <c r="L4" s="2">
        <f ca="1">('[1]Pc, Spring, S1'!L4*Main!$B$5)+(_xlfn.IFNA(VLOOKUP($A4,'FL Ratio'!$A$3:$B$10,2,FALSE),0)*'FL Characterization'!L$2)</f>
        <v>57.157640971027242</v>
      </c>
      <c r="M4" s="2">
        <f ca="1">('[1]Pc, Spring, S1'!M4*Main!$B$5)+(_xlfn.IFNA(VLOOKUP($A4,'FL Ratio'!$A$3:$B$10,2,FALSE),0)*'FL Characterization'!M$2)</f>
        <v>55.8616983030225</v>
      </c>
      <c r="N4" s="2">
        <f ca="1">('[1]Pc, Spring, S1'!N4*Main!$B$5)+(_xlfn.IFNA(VLOOKUP($A4,'FL Ratio'!$A$3:$B$10,2,FALSE),0)*'FL Characterization'!N$2)</f>
        <v>57.273897328323386</v>
      </c>
      <c r="O4" s="2">
        <f ca="1">('[1]Pc, Spring, S1'!O4*Main!$B$5)+(_xlfn.IFNA(VLOOKUP($A4,'FL Ratio'!$A$3:$B$10,2,FALSE),0)*'FL Characterization'!O$2)</f>
        <v>58.12954649235666</v>
      </c>
      <c r="P4" s="2">
        <f ca="1">('[1]Pc, Spring, S1'!P4*Main!$B$5)+(_xlfn.IFNA(VLOOKUP($A4,'FL Ratio'!$A$3:$B$10,2,FALSE),0)*'FL Characterization'!P$2)</f>
        <v>60.207536552496556</v>
      </c>
      <c r="Q4" s="2">
        <f ca="1">('[1]Pc, Spring, S1'!Q4*Main!$B$5)+(_xlfn.IFNA(VLOOKUP($A4,'FL Ratio'!$A$3:$B$10,2,FALSE),0)*'FL Characterization'!Q$2)</f>
        <v>54.015608372098498</v>
      </c>
      <c r="R4" s="2">
        <f ca="1">('[1]Pc, Spring, S1'!R4*Main!$B$5)+(_xlfn.IFNA(VLOOKUP($A4,'FL Ratio'!$A$3:$B$10,2,FALSE),0)*'FL Characterization'!R$2)</f>
        <v>54.968716712035913</v>
      </c>
      <c r="S4" s="2">
        <f ca="1">('[1]Pc, Spring, S1'!S4*Main!$B$5)+(_xlfn.IFNA(VLOOKUP($A4,'FL Ratio'!$A$3:$B$10,2,FALSE),0)*'FL Characterization'!S$2)</f>
        <v>57.5212678695123</v>
      </c>
      <c r="T4" s="2">
        <f ca="1">('[1]Pc, Spring, S1'!T4*Main!$B$5)+(_xlfn.IFNA(VLOOKUP($A4,'FL Ratio'!$A$3:$B$10,2,FALSE),0)*'FL Characterization'!T$2)</f>
        <v>62.150818998223677</v>
      </c>
      <c r="U4" s="2">
        <f ca="1">('[1]Pc, Spring, S1'!U4*Main!$B$5)+(_xlfn.IFNA(VLOOKUP($A4,'FL Ratio'!$A$3:$B$10,2,FALSE),0)*'FL Characterization'!U$2)</f>
        <v>59.383236656321614</v>
      </c>
      <c r="V4" s="2">
        <f ca="1">('[1]Pc, Spring, S1'!V4*Main!$B$5)+(_xlfn.IFNA(VLOOKUP($A4,'FL Ratio'!$A$3:$B$10,2,FALSE),0)*'FL Characterization'!V$2)</f>
        <v>58.67590843402936</v>
      </c>
      <c r="W4" s="2">
        <f ca="1">('[1]Pc, Spring, S1'!W4*Main!$B$5)+(_xlfn.IFNA(VLOOKUP($A4,'FL Ratio'!$A$3:$B$10,2,FALSE),0)*'FL Characterization'!W$2)</f>
        <v>58.910882675870084</v>
      </c>
      <c r="X4" s="2">
        <f ca="1">('[1]Pc, Spring, S1'!X4*Main!$B$5)+(_xlfn.IFNA(VLOOKUP($A4,'FL Ratio'!$A$3:$B$10,2,FALSE),0)*'FL Characterization'!X$2)</f>
        <v>58.095768098172513</v>
      </c>
      <c r="Y4" s="2">
        <f ca="1">('[1]Pc, Spring, S1'!Y4*Main!$B$5)+(_xlfn.IFNA(VLOOKUP($A4,'FL Ratio'!$A$3:$B$10,2,FALSE),0)*'FL Characterization'!Y$2)</f>
        <v>52.763734302466247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A6AE-8FD8-47E3-ACEB-AC17C2C6115E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30.925646184894436</v>
      </c>
      <c r="C2" s="2">
        <f ca="1">('[1]Pc, Spring, S1'!C2*Main!$B$5)+(_xlfn.IFNA(VLOOKUP($A2,'FL Ratio'!$A$3:$B$10,2,FALSE),0)*'FL Characterization'!C$2)</f>
        <v>29.058912035918805</v>
      </c>
      <c r="D2" s="2">
        <f ca="1">('[1]Pc, Spring, S1'!D2*Main!$B$5)+(_xlfn.IFNA(VLOOKUP($A2,'FL Ratio'!$A$3:$B$10,2,FALSE),0)*'FL Characterization'!D$2)</f>
        <v>28.191706797424331</v>
      </c>
      <c r="E2" s="2">
        <f ca="1">('[1]Pc, Spring, S1'!E2*Main!$B$5)+(_xlfn.IFNA(VLOOKUP($A2,'FL Ratio'!$A$3:$B$10,2,FALSE),0)*'FL Characterization'!E$2)</f>
        <v>27.5162003353473</v>
      </c>
      <c r="F2" s="2">
        <f ca="1">('[1]Pc, Spring, S1'!F2*Main!$B$5)+(_xlfn.IFNA(VLOOKUP($A2,'FL Ratio'!$A$3:$B$10,2,FALSE),0)*'FL Characterization'!F$2)</f>
        <v>27.481442768092204</v>
      </c>
      <c r="G2" s="2">
        <f ca="1">('[1]Pc, Spring, S1'!G2*Main!$B$5)+(_xlfn.IFNA(VLOOKUP($A2,'FL Ratio'!$A$3:$B$10,2,FALSE),0)*'FL Characterization'!G$2)</f>
        <v>28.506187180655537</v>
      </c>
      <c r="H2" s="2">
        <f ca="1">('[1]Pc, Spring, S1'!H2*Main!$B$5)+(_xlfn.IFNA(VLOOKUP($A2,'FL Ratio'!$A$3:$B$10,2,FALSE),0)*'FL Characterization'!H$2)</f>
        <v>32.903497251334251</v>
      </c>
      <c r="I2" s="2">
        <f ca="1">('[1]Pc, Spring, S1'!I2*Main!$B$5)+(_xlfn.IFNA(VLOOKUP($A2,'FL Ratio'!$A$3:$B$10,2,FALSE),0)*'FL Characterization'!I$2)</f>
        <v>37.408511910144846</v>
      </c>
      <c r="J2" s="2">
        <f ca="1">('[1]Pc, Spring, S1'!J2*Main!$B$5)+(_xlfn.IFNA(VLOOKUP($A2,'FL Ratio'!$A$3:$B$10,2,FALSE),0)*'FL Characterization'!J$2)</f>
        <v>42.276508626865919</v>
      </c>
      <c r="K2" s="2">
        <f ca="1">('[1]Pc, Spring, S1'!K2*Main!$B$5)+(_xlfn.IFNA(VLOOKUP($A2,'FL Ratio'!$A$3:$B$10,2,FALSE),0)*'FL Characterization'!K$2)</f>
        <v>43.070644436024558</v>
      </c>
      <c r="L2" s="2">
        <f ca="1">('[1]Pc, Spring, S1'!L2*Main!$B$5)+(_xlfn.IFNA(VLOOKUP($A2,'FL Ratio'!$A$3:$B$10,2,FALSE),0)*'FL Characterization'!L$2)</f>
        <v>41.795242169370525</v>
      </c>
      <c r="M2" s="2">
        <f ca="1">('[1]Pc, Spring, S1'!M2*Main!$B$5)+(_xlfn.IFNA(VLOOKUP($A2,'FL Ratio'!$A$3:$B$10,2,FALSE),0)*'FL Characterization'!M$2)</f>
        <v>42.303597672103102</v>
      </c>
      <c r="N2" s="2">
        <f ca="1">('[1]Pc, Spring, S1'!N2*Main!$B$5)+(_xlfn.IFNA(VLOOKUP($A2,'FL Ratio'!$A$3:$B$10,2,FALSE),0)*'FL Characterization'!N$2)</f>
        <v>44.177854448952075</v>
      </c>
      <c r="O2" s="2">
        <f ca="1">('[1]Pc, Spring, S1'!O2*Main!$B$5)+(_xlfn.IFNA(VLOOKUP($A2,'FL Ratio'!$A$3:$B$10,2,FALSE),0)*'FL Characterization'!O$2)</f>
        <v>42.261698005795353</v>
      </c>
      <c r="P2" s="2">
        <f ca="1">('[1]Pc, Spring, S1'!P2*Main!$B$5)+(_xlfn.IFNA(VLOOKUP($A2,'FL Ratio'!$A$3:$B$10,2,FALSE),0)*'FL Characterization'!P$2)</f>
        <v>42.354446270735217</v>
      </c>
      <c r="Q2" s="2">
        <f ca="1">('[1]Pc, Spring, S1'!Q2*Main!$B$5)+(_xlfn.IFNA(VLOOKUP($A2,'FL Ratio'!$A$3:$B$10,2,FALSE),0)*'FL Characterization'!Q$2)</f>
        <v>41.254410948146706</v>
      </c>
      <c r="R2" s="2">
        <f ca="1">('[1]Pc, Spring, S1'!R2*Main!$B$5)+(_xlfn.IFNA(VLOOKUP($A2,'FL Ratio'!$A$3:$B$10,2,FALSE),0)*'FL Characterization'!R$2)</f>
        <v>40.41697687867142</v>
      </c>
      <c r="S2" s="2">
        <f ca="1">('[1]Pc, Spring, S1'!S2*Main!$B$5)+(_xlfn.IFNA(VLOOKUP($A2,'FL Ratio'!$A$3:$B$10,2,FALSE),0)*'FL Characterization'!S$2)</f>
        <v>41.347753119069424</v>
      </c>
      <c r="T2" s="2">
        <f ca="1">('[1]Pc, Spring, S1'!T2*Main!$B$5)+(_xlfn.IFNA(VLOOKUP($A2,'FL Ratio'!$A$3:$B$10,2,FALSE),0)*'FL Characterization'!T$2)</f>
        <v>44.147260896067451</v>
      </c>
      <c r="U2" s="2">
        <f ca="1">('[1]Pc, Spring, S1'!U2*Main!$B$5)+(_xlfn.IFNA(VLOOKUP($A2,'FL Ratio'!$A$3:$B$10,2,FALSE),0)*'FL Characterization'!U$2)</f>
        <v>42.114874365644638</v>
      </c>
      <c r="V2" s="2">
        <f ca="1">('[1]Pc, Spring, S1'!V2*Main!$B$5)+(_xlfn.IFNA(VLOOKUP($A2,'FL Ratio'!$A$3:$B$10,2,FALSE),0)*'FL Characterization'!V$2)</f>
        <v>43.582307219573792</v>
      </c>
      <c r="W2" s="2">
        <f ca="1">('[1]Pc, Spring, S1'!W2*Main!$B$5)+(_xlfn.IFNA(VLOOKUP($A2,'FL Ratio'!$A$3:$B$10,2,FALSE),0)*'FL Characterization'!W$2)</f>
        <v>42.053215427096973</v>
      </c>
      <c r="X2" s="2">
        <f ca="1">('[1]Pc, Spring, S1'!X2*Main!$B$5)+(_xlfn.IFNA(VLOOKUP($A2,'FL Ratio'!$A$3:$B$10,2,FALSE),0)*'FL Characterization'!X$2)</f>
        <v>36.824146702313371</v>
      </c>
      <c r="Y2" s="2">
        <f ca="1">('[1]Pc, Spring, S1'!Y2*Main!$B$5)+(_xlfn.IFNA(VLOOKUP($A2,'FL Ratio'!$A$3:$B$10,2,FALSE),0)*'FL Characterization'!Y$2)</f>
        <v>34.359699968805835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30.552156300100915</v>
      </c>
      <c r="C3" s="2">
        <f ca="1">('[1]Pc, Spring, S1'!C3*Main!$B$5)+(_xlfn.IFNA(VLOOKUP($A3,'FL Ratio'!$A$3:$B$10,2,FALSE),0)*'FL Characterization'!C$2)</f>
        <v>29.756615530768148</v>
      </c>
      <c r="D3" s="2">
        <f ca="1">('[1]Pc, Spring, S1'!D3*Main!$B$5)+(_xlfn.IFNA(VLOOKUP($A3,'FL Ratio'!$A$3:$B$10,2,FALSE),0)*'FL Characterization'!D$2)</f>
        <v>26.917804049447689</v>
      </c>
      <c r="E3" s="2">
        <f ca="1">('[1]Pc, Spring, S1'!E3*Main!$B$5)+(_xlfn.IFNA(VLOOKUP($A3,'FL Ratio'!$A$3:$B$10,2,FALSE),0)*'FL Characterization'!E$2)</f>
        <v>26.849787228959649</v>
      </c>
      <c r="F3" s="2">
        <f ca="1">('[1]Pc, Spring, S1'!F3*Main!$B$5)+(_xlfn.IFNA(VLOOKUP($A3,'FL Ratio'!$A$3:$B$10,2,FALSE),0)*'FL Characterization'!F$2)</f>
        <v>27.15265750991383</v>
      </c>
      <c r="G3" s="2">
        <f ca="1">('[1]Pc, Spring, S1'!G3*Main!$B$5)+(_xlfn.IFNA(VLOOKUP($A3,'FL Ratio'!$A$3:$B$10,2,FALSE),0)*'FL Characterization'!G$2)</f>
        <v>28.705211905113444</v>
      </c>
      <c r="H3" s="2">
        <f ca="1">('[1]Pc, Spring, S1'!H3*Main!$B$5)+(_xlfn.IFNA(VLOOKUP($A3,'FL Ratio'!$A$3:$B$10,2,FALSE),0)*'FL Characterization'!H$2)</f>
        <v>36.808815092800984</v>
      </c>
      <c r="I3" s="2">
        <f ca="1">('[1]Pc, Spring, S1'!I3*Main!$B$5)+(_xlfn.IFNA(VLOOKUP($A3,'FL Ratio'!$A$3:$B$10,2,FALSE),0)*'FL Characterization'!I$2)</f>
        <v>45.264355478848287</v>
      </c>
      <c r="J3" s="2">
        <f ca="1">('[1]Pc, Spring, S1'!J3*Main!$B$5)+(_xlfn.IFNA(VLOOKUP($A3,'FL Ratio'!$A$3:$B$10,2,FALSE),0)*'FL Characterization'!J$2)</f>
        <v>48.750469436773365</v>
      </c>
      <c r="K3" s="2">
        <f ca="1">('[1]Pc, Spring, S1'!K3*Main!$B$5)+(_xlfn.IFNA(VLOOKUP($A3,'FL Ratio'!$A$3:$B$10,2,FALSE),0)*'FL Characterization'!K$2)</f>
        <v>47.648827870537147</v>
      </c>
      <c r="L3" s="2">
        <f ca="1">('[1]Pc, Spring, S1'!L3*Main!$B$5)+(_xlfn.IFNA(VLOOKUP($A3,'FL Ratio'!$A$3:$B$10,2,FALSE),0)*'FL Characterization'!L$2)</f>
        <v>46.081322906388003</v>
      </c>
      <c r="M3" s="2">
        <f ca="1">('[1]Pc, Spring, S1'!M3*Main!$B$5)+(_xlfn.IFNA(VLOOKUP($A3,'FL Ratio'!$A$3:$B$10,2,FALSE),0)*'FL Characterization'!M$2)</f>
        <v>50.343381399789997</v>
      </c>
      <c r="N3" s="2">
        <f ca="1">('[1]Pc, Spring, S1'!N3*Main!$B$5)+(_xlfn.IFNA(VLOOKUP($A3,'FL Ratio'!$A$3:$B$10,2,FALSE),0)*'FL Characterization'!N$2)</f>
        <v>48.822323525505816</v>
      </c>
      <c r="O3" s="2">
        <f ca="1">('[1]Pc, Spring, S1'!O3*Main!$B$5)+(_xlfn.IFNA(VLOOKUP($A3,'FL Ratio'!$A$3:$B$10,2,FALSE),0)*'FL Characterization'!O$2)</f>
        <v>48.214236432533028</v>
      </c>
      <c r="P3" s="2">
        <f ca="1">('[1]Pc, Spring, S1'!P3*Main!$B$5)+(_xlfn.IFNA(VLOOKUP($A3,'FL Ratio'!$A$3:$B$10,2,FALSE),0)*'FL Characterization'!P$2)</f>
        <v>45.186918195789573</v>
      </c>
      <c r="Q3" s="2">
        <f ca="1">('[1]Pc, Spring, S1'!Q3*Main!$B$5)+(_xlfn.IFNA(VLOOKUP($A3,'FL Ratio'!$A$3:$B$10,2,FALSE),0)*'FL Characterization'!Q$2)</f>
        <v>43.191484976017435</v>
      </c>
      <c r="R3" s="2">
        <f ca="1">('[1]Pc, Spring, S1'!R3*Main!$B$5)+(_xlfn.IFNA(VLOOKUP($A3,'FL Ratio'!$A$3:$B$10,2,FALSE),0)*'FL Characterization'!R$2)</f>
        <v>41.771015623152657</v>
      </c>
      <c r="S3" s="2">
        <f ca="1">('[1]Pc, Spring, S1'!S3*Main!$B$5)+(_xlfn.IFNA(VLOOKUP($A3,'FL Ratio'!$A$3:$B$10,2,FALSE),0)*'FL Characterization'!S$2)</f>
        <v>42.988911544465751</v>
      </c>
      <c r="T3" s="2">
        <f ca="1">('[1]Pc, Spring, S1'!T3*Main!$B$5)+(_xlfn.IFNA(VLOOKUP($A3,'FL Ratio'!$A$3:$B$10,2,FALSE),0)*'FL Characterization'!T$2)</f>
        <v>41.305966503137952</v>
      </c>
      <c r="U3" s="2">
        <f ca="1">('[1]Pc, Spring, S1'!U3*Main!$B$5)+(_xlfn.IFNA(VLOOKUP($A3,'FL Ratio'!$A$3:$B$10,2,FALSE),0)*'FL Characterization'!U$2)</f>
        <v>43.323602729087675</v>
      </c>
      <c r="V3" s="2">
        <f ca="1">('[1]Pc, Spring, S1'!V3*Main!$B$5)+(_xlfn.IFNA(VLOOKUP($A3,'FL Ratio'!$A$3:$B$10,2,FALSE),0)*'FL Characterization'!V$2)</f>
        <v>41.53970430242201</v>
      </c>
      <c r="W3" s="2">
        <f ca="1">('[1]Pc, Spring, S1'!W3*Main!$B$5)+(_xlfn.IFNA(VLOOKUP($A3,'FL Ratio'!$A$3:$B$10,2,FALSE),0)*'FL Characterization'!W$2)</f>
        <v>40.456933824184439</v>
      </c>
      <c r="X3" s="2">
        <f ca="1">('[1]Pc, Spring, S1'!X3*Main!$B$5)+(_xlfn.IFNA(VLOOKUP($A3,'FL Ratio'!$A$3:$B$10,2,FALSE),0)*'FL Characterization'!X$2)</f>
        <v>37.562762767191238</v>
      </c>
      <c r="Y3" s="2">
        <f ca="1">('[1]Pc, Spring, S1'!Y3*Main!$B$5)+(_xlfn.IFNA(VLOOKUP($A3,'FL Ratio'!$A$3:$B$10,2,FALSE),0)*'FL Characterization'!Y$2)</f>
        <v>33.671385723851493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44.685376678187652</v>
      </c>
      <c r="C4" s="2">
        <f ca="1">('[1]Pc, Spring, S1'!C4*Main!$B$5)+(_xlfn.IFNA(VLOOKUP($A4,'FL Ratio'!$A$3:$B$10,2,FALSE),0)*'FL Characterization'!C$2)</f>
        <v>38.664735378195665</v>
      </c>
      <c r="D4" s="2">
        <f ca="1">('[1]Pc, Spring, S1'!D4*Main!$B$5)+(_xlfn.IFNA(VLOOKUP($A4,'FL Ratio'!$A$3:$B$10,2,FALSE),0)*'FL Characterization'!D$2)</f>
        <v>37.506876256495545</v>
      </c>
      <c r="E4" s="2">
        <f ca="1">('[1]Pc, Spring, S1'!E4*Main!$B$5)+(_xlfn.IFNA(VLOOKUP($A4,'FL Ratio'!$A$3:$B$10,2,FALSE),0)*'FL Characterization'!E$2)</f>
        <v>36.315579203967765</v>
      </c>
      <c r="F4" s="2">
        <f ca="1">('[1]Pc, Spring, S1'!F4*Main!$B$5)+(_xlfn.IFNA(VLOOKUP($A4,'FL Ratio'!$A$3:$B$10,2,FALSE),0)*'FL Characterization'!F$2)</f>
        <v>36.605669747176897</v>
      </c>
      <c r="G4" s="2">
        <f ca="1">('[1]Pc, Spring, S1'!G4*Main!$B$5)+(_xlfn.IFNA(VLOOKUP($A4,'FL Ratio'!$A$3:$B$10,2,FALSE),0)*'FL Characterization'!G$2)</f>
        <v>35.922238968955071</v>
      </c>
      <c r="H4" s="2">
        <f ca="1">('[1]Pc, Spring, S1'!H4*Main!$B$5)+(_xlfn.IFNA(VLOOKUP($A4,'FL Ratio'!$A$3:$B$10,2,FALSE),0)*'FL Characterization'!H$2)</f>
        <v>41.788645787430497</v>
      </c>
      <c r="I4" s="2">
        <f ca="1">('[1]Pc, Spring, S1'!I4*Main!$B$5)+(_xlfn.IFNA(VLOOKUP($A4,'FL Ratio'!$A$3:$B$10,2,FALSE),0)*'FL Characterization'!I$2)</f>
        <v>47.767737154626182</v>
      </c>
      <c r="J4" s="2">
        <f ca="1">('[1]Pc, Spring, S1'!J4*Main!$B$5)+(_xlfn.IFNA(VLOOKUP($A4,'FL Ratio'!$A$3:$B$10,2,FALSE),0)*'FL Characterization'!J$2)</f>
        <v>54.075804683173558</v>
      </c>
      <c r="K4" s="2">
        <f ca="1">('[1]Pc, Spring, S1'!K4*Main!$B$5)+(_xlfn.IFNA(VLOOKUP($A4,'FL Ratio'!$A$3:$B$10,2,FALSE),0)*'FL Characterization'!K$2)</f>
        <v>57.950376253902178</v>
      </c>
      <c r="L4" s="2">
        <f ca="1">('[1]Pc, Spring, S1'!L4*Main!$B$5)+(_xlfn.IFNA(VLOOKUP($A4,'FL Ratio'!$A$3:$B$10,2,FALSE),0)*'FL Characterization'!L$2)</f>
        <v>57.157640971027242</v>
      </c>
      <c r="M4" s="2">
        <f ca="1">('[1]Pc, Spring, S1'!M4*Main!$B$5)+(_xlfn.IFNA(VLOOKUP($A4,'FL Ratio'!$A$3:$B$10,2,FALSE),0)*'FL Characterization'!M$2)</f>
        <v>55.8616983030225</v>
      </c>
      <c r="N4" s="2">
        <f ca="1">('[1]Pc, Spring, S1'!N4*Main!$B$5)+(_xlfn.IFNA(VLOOKUP($A4,'FL Ratio'!$A$3:$B$10,2,FALSE),0)*'FL Characterization'!N$2)</f>
        <v>57.273897328323386</v>
      </c>
      <c r="O4" s="2">
        <f ca="1">('[1]Pc, Spring, S1'!O4*Main!$B$5)+(_xlfn.IFNA(VLOOKUP($A4,'FL Ratio'!$A$3:$B$10,2,FALSE),0)*'FL Characterization'!O$2)</f>
        <v>58.12954649235666</v>
      </c>
      <c r="P4" s="2">
        <f ca="1">('[1]Pc, Spring, S1'!P4*Main!$B$5)+(_xlfn.IFNA(VLOOKUP($A4,'FL Ratio'!$A$3:$B$10,2,FALSE),0)*'FL Characterization'!P$2)</f>
        <v>60.207536552496556</v>
      </c>
      <c r="Q4" s="2">
        <f ca="1">('[1]Pc, Spring, S1'!Q4*Main!$B$5)+(_xlfn.IFNA(VLOOKUP($A4,'FL Ratio'!$A$3:$B$10,2,FALSE),0)*'FL Characterization'!Q$2)</f>
        <v>54.015608372098498</v>
      </c>
      <c r="R4" s="2">
        <f ca="1">('[1]Pc, Spring, S1'!R4*Main!$B$5)+(_xlfn.IFNA(VLOOKUP($A4,'FL Ratio'!$A$3:$B$10,2,FALSE),0)*'FL Characterization'!R$2)</f>
        <v>54.968716712035913</v>
      </c>
      <c r="S4" s="2">
        <f ca="1">('[1]Pc, Spring, S1'!S4*Main!$B$5)+(_xlfn.IFNA(VLOOKUP($A4,'FL Ratio'!$A$3:$B$10,2,FALSE),0)*'FL Characterization'!S$2)</f>
        <v>57.5212678695123</v>
      </c>
      <c r="T4" s="2">
        <f ca="1">('[1]Pc, Spring, S1'!T4*Main!$B$5)+(_xlfn.IFNA(VLOOKUP($A4,'FL Ratio'!$A$3:$B$10,2,FALSE),0)*'FL Characterization'!T$2)</f>
        <v>62.150818998223677</v>
      </c>
      <c r="U4" s="2">
        <f ca="1">('[1]Pc, Spring, S1'!U4*Main!$B$5)+(_xlfn.IFNA(VLOOKUP($A4,'FL Ratio'!$A$3:$B$10,2,FALSE),0)*'FL Characterization'!U$2)</f>
        <v>59.383236656321614</v>
      </c>
      <c r="V4" s="2">
        <f ca="1">('[1]Pc, Spring, S1'!V4*Main!$B$5)+(_xlfn.IFNA(VLOOKUP($A4,'FL Ratio'!$A$3:$B$10,2,FALSE),0)*'FL Characterization'!V$2)</f>
        <v>58.67590843402936</v>
      </c>
      <c r="W4" s="2">
        <f ca="1">('[1]Pc, Spring, S1'!W4*Main!$B$5)+(_xlfn.IFNA(VLOOKUP($A4,'FL Ratio'!$A$3:$B$10,2,FALSE),0)*'FL Characterization'!W$2)</f>
        <v>58.910882675870084</v>
      </c>
      <c r="X4" s="2">
        <f ca="1">('[1]Pc, Spring, S1'!X4*Main!$B$5)+(_xlfn.IFNA(VLOOKUP($A4,'FL Ratio'!$A$3:$B$10,2,FALSE),0)*'FL Characterization'!X$2)</f>
        <v>58.095768098172513</v>
      </c>
      <c r="Y4" s="2">
        <f ca="1">('[1]Pc, Spring, S1'!Y4*Main!$B$5)+(_xlfn.IFNA(VLOOKUP($A4,'FL Ratio'!$A$3:$B$10,2,FALSE),0)*'FL Characterization'!Y$2)</f>
        <v>52.763734302466247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14B1F-CBF1-423B-9907-DFEE7C9E44C5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S1'!B2*Main!$B$5)+(_xlfn.IFNA(VLOOKUP($A2,'FL Ratio'!$A$3:$B$10,2,FALSE),0)*'FL Characterization'!B$2)</f>
        <v>30.925646184894436</v>
      </c>
      <c r="C2" s="2">
        <f ca="1">('[1]Pc, Spring, S1'!C2*Main!$B$5)+(_xlfn.IFNA(VLOOKUP($A2,'FL Ratio'!$A$3:$B$10,2,FALSE),0)*'FL Characterization'!C$2)</f>
        <v>29.058912035918805</v>
      </c>
      <c r="D2" s="2">
        <f ca="1">('[1]Pc, Spring, S1'!D2*Main!$B$5)+(_xlfn.IFNA(VLOOKUP($A2,'FL Ratio'!$A$3:$B$10,2,FALSE),0)*'FL Characterization'!D$2)</f>
        <v>28.191706797424331</v>
      </c>
      <c r="E2" s="2">
        <f ca="1">('[1]Pc, Spring, S1'!E2*Main!$B$5)+(_xlfn.IFNA(VLOOKUP($A2,'FL Ratio'!$A$3:$B$10,2,FALSE),0)*'FL Characterization'!E$2)</f>
        <v>27.5162003353473</v>
      </c>
      <c r="F2" s="2">
        <f ca="1">('[1]Pc, Spring, S1'!F2*Main!$B$5)+(_xlfn.IFNA(VLOOKUP($A2,'FL Ratio'!$A$3:$B$10,2,FALSE),0)*'FL Characterization'!F$2)</f>
        <v>27.481442768092204</v>
      </c>
      <c r="G2" s="2">
        <f ca="1">('[1]Pc, Spring, S1'!G2*Main!$B$5)+(_xlfn.IFNA(VLOOKUP($A2,'FL Ratio'!$A$3:$B$10,2,FALSE),0)*'FL Characterization'!G$2)</f>
        <v>28.506187180655537</v>
      </c>
      <c r="H2" s="2">
        <f ca="1">('[1]Pc, Spring, S1'!H2*Main!$B$5)+(_xlfn.IFNA(VLOOKUP($A2,'FL Ratio'!$A$3:$B$10,2,FALSE),0)*'FL Characterization'!H$2)</f>
        <v>32.903497251334251</v>
      </c>
      <c r="I2" s="2">
        <f ca="1">('[1]Pc, Spring, S1'!I2*Main!$B$5)+(_xlfn.IFNA(VLOOKUP($A2,'FL Ratio'!$A$3:$B$10,2,FALSE),0)*'FL Characterization'!I$2)</f>
        <v>37.408511910144846</v>
      </c>
      <c r="J2" s="2">
        <f ca="1">('[1]Pc, Spring, S1'!J2*Main!$B$5)+(_xlfn.IFNA(VLOOKUP($A2,'FL Ratio'!$A$3:$B$10,2,FALSE),0)*'FL Characterization'!J$2)</f>
        <v>42.276508626865919</v>
      </c>
      <c r="K2" s="2">
        <f ca="1">('[1]Pc, Spring, S1'!K2*Main!$B$5)+(_xlfn.IFNA(VLOOKUP($A2,'FL Ratio'!$A$3:$B$10,2,FALSE),0)*'FL Characterization'!K$2)</f>
        <v>43.070644436024558</v>
      </c>
      <c r="L2" s="2">
        <f ca="1">('[1]Pc, Spring, S1'!L2*Main!$B$5)+(_xlfn.IFNA(VLOOKUP($A2,'FL Ratio'!$A$3:$B$10,2,FALSE),0)*'FL Characterization'!L$2)</f>
        <v>41.795242169370525</v>
      </c>
      <c r="M2" s="2">
        <f ca="1">('[1]Pc, Spring, S1'!M2*Main!$B$5)+(_xlfn.IFNA(VLOOKUP($A2,'FL Ratio'!$A$3:$B$10,2,FALSE),0)*'FL Characterization'!M$2)</f>
        <v>42.303597672103102</v>
      </c>
      <c r="N2" s="2">
        <f ca="1">('[1]Pc, Spring, S1'!N2*Main!$B$5)+(_xlfn.IFNA(VLOOKUP($A2,'FL Ratio'!$A$3:$B$10,2,FALSE),0)*'FL Characterization'!N$2)</f>
        <v>44.177854448952075</v>
      </c>
      <c r="O2" s="2">
        <f ca="1">('[1]Pc, Spring, S1'!O2*Main!$B$5)+(_xlfn.IFNA(VLOOKUP($A2,'FL Ratio'!$A$3:$B$10,2,FALSE),0)*'FL Characterization'!O$2)</f>
        <v>42.261698005795353</v>
      </c>
      <c r="P2" s="2">
        <f ca="1">('[1]Pc, Spring, S1'!P2*Main!$B$5)+(_xlfn.IFNA(VLOOKUP($A2,'FL Ratio'!$A$3:$B$10,2,FALSE),0)*'FL Characterization'!P$2)</f>
        <v>42.354446270735217</v>
      </c>
      <c r="Q2" s="2">
        <f ca="1">('[1]Pc, Spring, S1'!Q2*Main!$B$5)+(_xlfn.IFNA(VLOOKUP($A2,'FL Ratio'!$A$3:$B$10,2,FALSE),0)*'FL Characterization'!Q$2)</f>
        <v>41.254410948146706</v>
      </c>
      <c r="R2" s="2">
        <f ca="1">('[1]Pc, Spring, S1'!R2*Main!$B$5)+(_xlfn.IFNA(VLOOKUP($A2,'FL Ratio'!$A$3:$B$10,2,FALSE),0)*'FL Characterization'!R$2)</f>
        <v>40.41697687867142</v>
      </c>
      <c r="S2" s="2">
        <f ca="1">('[1]Pc, Spring, S1'!S2*Main!$B$5)+(_xlfn.IFNA(VLOOKUP($A2,'FL Ratio'!$A$3:$B$10,2,FALSE),0)*'FL Characterization'!S$2)</f>
        <v>41.347753119069424</v>
      </c>
      <c r="T2" s="2">
        <f ca="1">('[1]Pc, Spring, S1'!T2*Main!$B$5)+(_xlfn.IFNA(VLOOKUP($A2,'FL Ratio'!$A$3:$B$10,2,FALSE),0)*'FL Characterization'!T$2)</f>
        <v>44.147260896067451</v>
      </c>
      <c r="U2" s="2">
        <f ca="1">('[1]Pc, Spring, S1'!U2*Main!$B$5)+(_xlfn.IFNA(VLOOKUP($A2,'FL Ratio'!$A$3:$B$10,2,FALSE),0)*'FL Characterization'!U$2)</f>
        <v>42.114874365644638</v>
      </c>
      <c r="V2" s="2">
        <f ca="1">('[1]Pc, Spring, S1'!V2*Main!$B$5)+(_xlfn.IFNA(VLOOKUP($A2,'FL Ratio'!$A$3:$B$10,2,FALSE),0)*'FL Characterization'!V$2)</f>
        <v>43.582307219573792</v>
      </c>
      <c r="W2" s="2">
        <f ca="1">('[1]Pc, Spring, S1'!W2*Main!$B$5)+(_xlfn.IFNA(VLOOKUP($A2,'FL Ratio'!$A$3:$B$10,2,FALSE),0)*'FL Characterization'!W$2)</f>
        <v>42.053215427096973</v>
      </c>
      <c r="X2" s="2">
        <f ca="1">('[1]Pc, Spring, S1'!X2*Main!$B$5)+(_xlfn.IFNA(VLOOKUP($A2,'FL Ratio'!$A$3:$B$10,2,FALSE),0)*'FL Characterization'!X$2)</f>
        <v>36.824146702313371</v>
      </c>
      <c r="Y2" s="2">
        <f ca="1">('[1]Pc, Spring, S1'!Y2*Main!$B$5)+(_xlfn.IFNA(VLOOKUP($A2,'FL Ratio'!$A$3:$B$10,2,FALSE),0)*'FL Characterization'!Y$2)</f>
        <v>34.359699968805835</v>
      </c>
    </row>
    <row r="3" spans="1:25" x14ac:dyDescent="0.3">
      <c r="A3">
        <v>2</v>
      </c>
      <c r="B3" s="2">
        <f ca="1">('[1]Pc, Spring, S1'!B3*Main!$B$5)+(_xlfn.IFNA(VLOOKUP($A3,'FL Ratio'!$A$3:$B$10,2,FALSE),0)*'FL Characterization'!B$2)</f>
        <v>30.552156300100915</v>
      </c>
      <c r="C3" s="2">
        <f ca="1">('[1]Pc, Spring, S1'!C3*Main!$B$5)+(_xlfn.IFNA(VLOOKUP($A3,'FL Ratio'!$A$3:$B$10,2,FALSE),0)*'FL Characterization'!C$2)</f>
        <v>29.756615530768148</v>
      </c>
      <c r="D3" s="2">
        <f ca="1">('[1]Pc, Spring, S1'!D3*Main!$B$5)+(_xlfn.IFNA(VLOOKUP($A3,'FL Ratio'!$A$3:$B$10,2,FALSE),0)*'FL Characterization'!D$2)</f>
        <v>26.917804049447689</v>
      </c>
      <c r="E3" s="2">
        <f ca="1">('[1]Pc, Spring, S1'!E3*Main!$B$5)+(_xlfn.IFNA(VLOOKUP($A3,'FL Ratio'!$A$3:$B$10,2,FALSE),0)*'FL Characterization'!E$2)</f>
        <v>26.849787228959649</v>
      </c>
      <c r="F3" s="2">
        <f ca="1">('[1]Pc, Spring, S1'!F3*Main!$B$5)+(_xlfn.IFNA(VLOOKUP($A3,'FL Ratio'!$A$3:$B$10,2,FALSE),0)*'FL Characterization'!F$2)</f>
        <v>27.15265750991383</v>
      </c>
      <c r="G3" s="2">
        <f ca="1">('[1]Pc, Spring, S1'!G3*Main!$B$5)+(_xlfn.IFNA(VLOOKUP($A3,'FL Ratio'!$A$3:$B$10,2,FALSE),0)*'FL Characterization'!G$2)</f>
        <v>28.705211905113444</v>
      </c>
      <c r="H3" s="2">
        <f ca="1">('[1]Pc, Spring, S1'!H3*Main!$B$5)+(_xlfn.IFNA(VLOOKUP($A3,'FL Ratio'!$A$3:$B$10,2,FALSE),0)*'FL Characterization'!H$2)</f>
        <v>36.808815092800984</v>
      </c>
      <c r="I3" s="2">
        <f ca="1">('[1]Pc, Spring, S1'!I3*Main!$B$5)+(_xlfn.IFNA(VLOOKUP($A3,'FL Ratio'!$A$3:$B$10,2,FALSE),0)*'FL Characterization'!I$2)</f>
        <v>45.264355478848287</v>
      </c>
      <c r="J3" s="2">
        <f ca="1">('[1]Pc, Spring, S1'!J3*Main!$B$5)+(_xlfn.IFNA(VLOOKUP($A3,'FL Ratio'!$A$3:$B$10,2,FALSE),0)*'FL Characterization'!J$2)</f>
        <v>48.750469436773365</v>
      </c>
      <c r="K3" s="2">
        <f ca="1">('[1]Pc, Spring, S1'!K3*Main!$B$5)+(_xlfn.IFNA(VLOOKUP($A3,'FL Ratio'!$A$3:$B$10,2,FALSE),0)*'FL Characterization'!K$2)</f>
        <v>47.648827870537147</v>
      </c>
      <c r="L3" s="2">
        <f ca="1">('[1]Pc, Spring, S1'!L3*Main!$B$5)+(_xlfn.IFNA(VLOOKUP($A3,'FL Ratio'!$A$3:$B$10,2,FALSE),0)*'FL Characterization'!L$2)</f>
        <v>46.081322906388003</v>
      </c>
      <c r="M3" s="2">
        <f ca="1">('[1]Pc, Spring, S1'!M3*Main!$B$5)+(_xlfn.IFNA(VLOOKUP($A3,'FL Ratio'!$A$3:$B$10,2,FALSE),0)*'FL Characterization'!M$2)</f>
        <v>50.343381399789997</v>
      </c>
      <c r="N3" s="2">
        <f ca="1">('[1]Pc, Spring, S1'!N3*Main!$B$5)+(_xlfn.IFNA(VLOOKUP($A3,'FL Ratio'!$A$3:$B$10,2,FALSE),0)*'FL Characterization'!N$2)</f>
        <v>48.822323525505816</v>
      </c>
      <c r="O3" s="2">
        <f ca="1">('[1]Pc, Spring, S1'!O3*Main!$B$5)+(_xlfn.IFNA(VLOOKUP($A3,'FL Ratio'!$A$3:$B$10,2,FALSE),0)*'FL Characterization'!O$2)</f>
        <v>48.214236432533028</v>
      </c>
      <c r="P3" s="2">
        <f ca="1">('[1]Pc, Spring, S1'!P3*Main!$B$5)+(_xlfn.IFNA(VLOOKUP($A3,'FL Ratio'!$A$3:$B$10,2,FALSE),0)*'FL Characterization'!P$2)</f>
        <v>45.186918195789573</v>
      </c>
      <c r="Q3" s="2">
        <f ca="1">('[1]Pc, Spring, S1'!Q3*Main!$B$5)+(_xlfn.IFNA(VLOOKUP($A3,'FL Ratio'!$A$3:$B$10,2,FALSE),0)*'FL Characterization'!Q$2)</f>
        <v>43.191484976017435</v>
      </c>
      <c r="R3" s="2">
        <f ca="1">('[1]Pc, Spring, S1'!R3*Main!$B$5)+(_xlfn.IFNA(VLOOKUP($A3,'FL Ratio'!$A$3:$B$10,2,FALSE),0)*'FL Characterization'!R$2)</f>
        <v>41.771015623152657</v>
      </c>
      <c r="S3" s="2">
        <f ca="1">('[1]Pc, Spring, S1'!S3*Main!$B$5)+(_xlfn.IFNA(VLOOKUP($A3,'FL Ratio'!$A$3:$B$10,2,FALSE),0)*'FL Characterization'!S$2)</f>
        <v>42.988911544465751</v>
      </c>
      <c r="T3" s="2">
        <f ca="1">('[1]Pc, Spring, S1'!T3*Main!$B$5)+(_xlfn.IFNA(VLOOKUP($A3,'FL Ratio'!$A$3:$B$10,2,FALSE),0)*'FL Characterization'!T$2)</f>
        <v>41.305966503137952</v>
      </c>
      <c r="U3" s="2">
        <f ca="1">('[1]Pc, Spring, S1'!U3*Main!$B$5)+(_xlfn.IFNA(VLOOKUP($A3,'FL Ratio'!$A$3:$B$10,2,FALSE),0)*'FL Characterization'!U$2)</f>
        <v>43.323602729087675</v>
      </c>
      <c r="V3" s="2">
        <f ca="1">('[1]Pc, Spring, S1'!V3*Main!$B$5)+(_xlfn.IFNA(VLOOKUP($A3,'FL Ratio'!$A$3:$B$10,2,FALSE),0)*'FL Characterization'!V$2)</f>
        <v>41.53970430242201</v>
      </c>
      <c r="W3" s="2">
        <f ca="1">('[1]Pc, Spring, S1'!W3*Main!$B$5)+(_xlfn.IFNA(VLOOKUP($A3,'FL Ratio'!$A$3:$B$10,2,FALSE),0)*'FL Characterization'!W$2)</f>
        <v>40.456933824184439</v>
      </c>
      <c r="X3" s="2">
        <f ca="1">('[1]Pc, Spring, S1'!X3*Main!$B$5)+(_xlfn.IFNA(VLOOKUP($A3,'FL Ratio'!$A$3:$B$10,2,FALSE),0)*'FL Characterization'!X$2)</f>
        <v>37.562762767191238</v>
      </c>
      <c r="Y3" s="2">
        <f ca="1">('[1]Pc, Spring, S1'!Y3*Main!$B$5)+(_xlfn.IFNA(VLOOKUP($A3,'FL Ratio'!$A$3:$B$10,2,FALSE),0)*'FL Characterization'!Y$2)</f>
        <v>33.671385723851493</v>
      </c>
    </row>
    <row r="4" spans="1:25" x14ac:dyDescent="0.3">
      <c r="A4">
        <v>3</v>
      </c>
      <c r="B4" s="2">
        <f ca="1">('[1]Pc, Spring, S1'!B4*Main!$B$5)+(_xlfn.IFNA(VLOOKUP($A4,'FL Ratio'!$A$3:$B$10,2,FALSE),0)*'FL Characterization'!B$2)</f>
        <v>44.685376678187652</v>
      </c>
      <c r="C4" s="2">
        <f ca="1">('[1]Pc, Spring, S1'!C4*Main!$B$5)+(_xlfn.IFNA(VLOOKUP($A4,'FL Ratio'!$A$3:$B$10,2,FALSE),0)*'FL Characterization'!C$2)</f>
        <v>38.664735378195665</v>
      </c>
      <c r="D4" s="2">
        <f ca="1">('[1]Pc, Spring, S1'!D4*Main!$B$5)+(_xlfn.IFNA(VLOOKUP($A4,'FL Ratio'!$A$3:$B$10,2,FALSE),0)*'FL Characterization'!D$2)</f>
        <v>37.506876256495545</v>
      </c>
      <c r="E4" s="2">
        <f ca="1">('[1]Pc, Spring, S1'!E4*Main!$B$5)+(_xlfn.IFNA(VLOOKUP($A4,'FL Ratio'!$A$3:$B$10,2,FALSE),0)*'FL Characterization'!E$2)</f>
        <v>36.315579203967765</v>
      </c>
      <c r="F4" s="2">
        <f ca="1">('[1]Pc, Spring, S1'!F4*Main!$B$5)+(_xlfn.IFNA(VLOOKUP($A4,'FL Ratio'!$A$3:$B$10,2,FALSE),0)*'FL Characterization'!F$2)</f>
        <v>36.605669747176897</v>
      </c>
      <c r="G4" s="2">
        <f ca="1">('[1]Pc, Spring, S1'!G4*Main!$B$5)+(_xlfn.IFNA(VLOOKUP($A4,'FL Ratio'!$A$3:$B$10,2,FALSE),0)*'FL Characterization'!G$2)</f>
        <v>35.922238968955071</v>
      </c>
      <c r="H4" s="2">
        <f ca="1">('[1]Pc, Spring, S1'!H4*Main!$B$5)+(_xlfn.IFNA(VLOOKUP($A4,'FL Ratio'!$A$3:$B$10,2,FALSE),0)*'FL Characterization'!H$2)</f>
        <v>41.788645787430497</v>
      </c>
      <c r="I4" s="2">
        <f ca="1">('[1]Pc, Spring, S1'!I4*Main!$B$5)+(_xlfn.IFNA(VLOOKUP($A4,'FL Ratio'!$A$3:$B$10,2,FALSE),0)*'FL Characterization'!I$2)</f>
        <v>47.767737154626182</v>
      </c>
      <c r="J4" s="2">
        <f ca="1">('[1]Pc, Spring, S1'!J4*Main!$B$5)+(_xlfn.IFNA(VLOOKUP($A4,'FL Ratio'!$A$3:$B$10,2,FALSE),0)*'FL Characterization'!J$2)</f>
        <v>54.075804683173558</v>
      </c>
      <c r="K4" s="2">
        <f ca="1">('[1]Pc, Spring, S1'!K4*Main!$B$5)+(_xlfn.IFNA(VLOOKUP($A4,'FL Ratio'!$A$3:$B$10,2,FALSE),0)*'FL Characterization'!K$2)</f>
        <v>57.950376253902178</v>
      </c>
      <c r="L4" s="2">
        <f ca="1">('[1]Pc, Spring, S1'!L4*Main!$B$5)+(_xlfn.IFNA(VLOOKUP($A4,'FL Ratio'!$A$3:$B$10,2,FALSE),0)*'FL Characterization'!L$2)</f>
        <v>57.157640971027242</v>
      </c>
      <c r="M4" s="2">
        <f ca="1">('[1]Pc, Spring, S1'!M4*Main!$B$5)+(_xlfn.IFNA(VLOOKUP($A4,'FL Ratio'!$A$3:$B$10,2,FALSE),0)*'FL Characterization'!M$2)</f>
        <v>55.8616983030225</v>
      </c>
      <c r="N4" s="2">
        <f ca="1">('[1]Pc, Spring, S1'!N4*Main!$B$5)+(_xlfn.IFNA(VLOOKUP($A4,'FL Ratio'!$A$3:$B$10,2,FALSE),0)*'FL Characterization'!N$2)</f>
        <v>57.273897328323386</v>
      </c>
      <c r="O4" s="2">
        <f ca="1">('[1]Pc, Spring, S1'!O4*Main!$B$5)+(_xlfn.IFNA(VLOOKUP($A4,'FL Ratio'!$A$3:$B$10,2,FALSE),0)*'FL Characterization'!O$2)</f>
        <v>58.12954649235666</v>
      </c>
      <c r="P4" s="2">
        <f ca="1">('[1]Pc, Spring, S1'!P4*Main!$B$5)+(_xlfn.IFNA(VLOOKUP($A4,'FL Ratio'!$A$3:$B$10,2,FALSE),0)*'FL Characterization'!P$2)</f>
        <v>60.207536552496556</v>
      </c>
      <c r="Q4" s="2">
        <f ca="1">('[1]Pc, Spring, S1'!Q4*Main!$B$5)+(_xlfn.IFNA(VLOOKUP($A4,'FL Ratio'!$A$3:$B$10,2,FALSE),0)*'FL Characterization'!Q$2)</f>
        <v>54.015608372098498</v>
      </c>
      <c r="R4" s="2">
        <f ca="1">('[1]Pc, Spring, S1'!R4*Main!$B$5)+(_xlfn.IFNA(VLOOKUP($A4,'FL Ratio'!$A$3:$B$10,2,FALSE),0)*'FL Characterization'!R$2)</f>
        <v>54.968716712035913</v>
      </c>
      <c r="S4" s="2">
        <f ca="1">('[1]Pc, Spring, S1'!S4*Main!$B$5)+(_xlfn.IFNA(VLOOKUP($A4,'FL Ratio'!$A$3:$B$10,2,FALSE),0)*'FL Characterization'!S$2)</f>
        <v>57.5212678695123</v>
      </c>
      <c r="T4" s="2">
        <f ca="1">('[1]Pc, Spring, S1'!T4*Main!$B$5)+(_xlfn.IFNA(VLOOKUP($A4,'FL Ratio'!$A$3:$B$10,2,FALSE),0)*'FL Characterization'!T$2)</f>
        <v>62.150818998223677</v>
      </c>
      <c r="U4" s="2">
        <f ca="1">('[1]Pc, Spring, S1'!U4*Main!$B$5)+(_xlfn.IFNA(VLOOKUP($A4,'FL Ratio'!$A$3:$B$10,2,FALSE),0)*'FL Characterization'!U$2)</f>
        <v>59.383236656321614</v>
      </c>
      <c r="V4" s="2">
        <f ca="1">('[1]Pc, Spring, S1'!V4*Main!$B$5)+(_xlfn.IFNA(VLOOKUP($A4,'FL Ratio'!$A$3:$B$10,2,FALSE),0)*'FL Characterization'!V$2)</f>
        <v>58.67590843402936</v>
      </c>
      <c r="W4" s="2">
        <f ca="1">('[1]Pc, Spring, S1'!W4*Main!$B$5)+(_xlfn.IFNA(VLOOKUP($A4,'FL Ratio'!$A$3:$B$10,2,FALSE),0)*'FL Characterization'!W$2)</f>
        <v>58.910882675870084</v>
      </c>
      <c r="X4" s="2">
        <f ca="1">('[1]Pc, Spring, S1'!X4*Main!$B$5)+(_xlfn.IFNA(VLOOKUP($A4,'FL Ratio'!$A$3:$B$10,2,FALSE),0)*'FL Characterization'!X$2)</f>
        <v>58.095768098172513</v>
      </c>
      <c r="Y4" s="2">
        <f ca="1">('[1]Pc, Spring, S1'!Y4*Main!$B$5)+(_xlfn.IFNA(VLOOKUP($A4,'FL Ratio'!$A$3:$B$10,2,FALSE),0)*'FL Characterization'!Y$2)</f>
        <v>52.763734302466247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CD5-359B-48BB-A2E5-55802D9FB142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32.162672032290217</v>
      </c>
      <c r="C2" s="2">
        <f ca="1">('[1]Pc, Spring, S2'!C2*Main!$B$5)+(_xlfn.IFNA(VLOOKUP($A2,'FL Ratio'!$A$3:$B$10,2,FALSE),0)*'FL Characterization'!C$2)</f>
        <v>30.221268517355558</v>
      </c>
      <c r="D2" s="2">
        <f ca="1">('[1]Pc, Spring, S2'!D2*Main!$B$5)+(_xlfn.IFNA(VLOOKUP($A2,'FL Ratio'!$A$3:$B$10,2,FALSE),0)*'FL Characterization'!D$2)</f>
        <v>29.319375069321307</v>
      </c>
      <c r="E2" s="2">
        <f ca="1">('[1]Pc, Spring, S2'!E2*Main!$B$5)+(_xlfn.IFNA(VLOOKUP($A2,'FL Ratio'!$A$3:$B$10,2,FALSE),0)*'FL Characterization'!E$2)</f>
        <v>28.616848348761188</v>
      </c>
      <c r="F2" s="2">
        <f ca="1">('[1]Pc, Spring, S2'!F2*Main!$B$5)+(_xlfn.IFNA(VLOOKUP($A2,'FL Ratio'!$A$3:$B$10,2,FALSE),0)*'FL Characterization'!F$2)</f>
        <v>28.580700478815896</v>
      </c>
      <c r="G2" s="2">
        <f ca="1">('[1]Pc, Spring, S2'!G2*Main!$B$5)+(_xlfn.IFNA(VLOOKUP($A2,'FL Ratio'!$A$3:$B$10,2,FALSE),0)*'FL Characterization'!G$2)</f>
        <v>29.64643466788176</v>
      </c>
      <c r="H2" s="2">
        <f ca="1">('[1]Pc, Spring, S2'!H2*Main!$B$5)+(_xlfn.IFNA(VLOOKUP($A2,'FL Ratio'!$A$3:$B$10,2,FALSE),0)*'FL Characterization'!H$2)</f>
        <v>34.219637141387629</v>
      </c>
      <c r="I2" s="2">
        <f ca="1">('[1]Pc, Spring, S2'!I2*Main!$B$5)+(_xlfn.IFNA(VLOOKUP($A2,'FL Ratio'!$A$3:$B$10,2,FALSE),0)*'FL Characterization'!I$2)</f>
        <v>38.904852386550637</v>
      </c>
      <c r="J2" s="2">
        <f ca="1">('[1]Pc, Spring, S2'!J2*Main!$B$5)+(_xlfn.IFNA(VLOOKUP($A2,'FL Ratio'!$A$3:$B$10,2,FALSE),0)*'FL Characterization'!J$2)</f>
        <v>43.967568971940558</v>
      </c>
      <c r="K2" s="2">
        <f ca="1">('[1]Pc, Spring, S2'!K2*Main!$B$5)+(_xlfn.IFNA(VLOOKUP($A2,'FL Ratio'!$A$3:$B$10,2,FALSE),0)*'FL Characterization'!K$2)</f>
        <v>44.793470213465547</v>
      </c>
      <c r="L2" s="2">
        <f ca="1">('[1]Pc, Spring, S2'!L2*Main!$B$5)+(_xlfn.IFNA(VLOOKUP($A2,'FL Ratio'!$A$3:$B$10,2,FALSE),0)*'FL Characterization'!L$2)</f>
        <v>43.467051856145339</v>
      </c>
      <c r="M2" s="2">
        <f ca="1">('[1]Pc, Spring, S2'!M2*Main!$B$5)+(_xlfn.IFNA(VLOOKUP($A2,'FL Ratio'!$A$3:$B$10,2,FALSE),0)*'FL Characterization'!M$2)</f>
        <v>43.995741578987229</v>
      </c>
      <c r="N2" s="2">
        <f ca="1">('[1]Pc, Spring, S2'!N2*Main!$B$5)+(_xlfn.IFNA(VLOOKUP($A2,'FL Ratio'!$A$3:$B$10,2,FALSE),0)*'FL Characterization'!N$2)</f>
        <v>45.94496862691016</v>
      </c>
      <c r="O2" s="2">
        <f ca="1">('[1]Pc, Spring, S2'!O2*Main!$B$5)+(_xlfn.IFNA(VLOOKUP($A2,'FL Ratio'!$A$3:$B$10,2,FALSE),0)*'FL Characterization'!O$2)</f>
        <v>43.95216592602717</v>
      </c>
      <c r="P2" s="2">
        <f ca="1">('[1]Pc, Spring, S2'!P2*Main!$B$5)+(_xlfn.IFNA(VLOOKUP($A2,'FL Ratio'!$A$3:$B$10,2,FALSE),0)*'FL Characterization'!P$2)</f>
        <v>44.048624121564629</v>
      </c>
      <c r="Q2" s="2">
        <f ca="1">('[1]Pc, Spring, S2'!Q2*Main!$B$5)+(_xlfn.IFNA(VLOOKUP($A2,'FL Ratio'!$A$3:$B$10,2,FALSE),0)*'FL Characterization'!Q$2)</f>
        <v>42.904587386072578</v>
      </c>
      <c r="R2" s="2">
        <f ca="1">('[1]Pc, Spring, S2'!R2*Main!$B$5)+(_xlfn.IFNA(VLOOKUP($A2,'FL Ratio'!$A$3:$B$10,2,FALSE),0)*'FL Characterization'!R$2)</f>
        <v>42.033655953818283</v>
      </c>
      <c r="S2" s="2">
        <f ca="1">('[1]Pc, Spring, S2'!S2*Main!$B$5)+(_xlfn.IFNA(VLOOKUP($A2,'FL Ratio'!$A$3:$B$10,2,FALSE),0)*'FL Characterization'!S$2)</f>
        <v>43.001663243832205</v>
      </c>
      <c r="T2" s="2">
        <f ca="1">('[1]Pc, Spring, S2'!T2*Main!$B$5)+(_xlfn.IFNA(VLOOKUP($A2,'FL Ratio'!$A$3:$B$10,2,FALSE),0)*'FL Characterization'!T$2)</f>
        <v>45.91315133191015</v>
      </c>
      <c r="U2" s="2">
        <f ca="1">('[1]Pc, Spring, S2'!U2*Main!$B$5)+(_xlfn.IFNA(VLOOKUP($A2,'FL Ratio'!$A$3:$B$10,2,FALSE),0)*'FL Characterization'!U$2)</f>
        <v>43.799469340270427</v>
      </c>
      <c r="V2" s="2">
        <f ca="1">('[1]Pc, Spring, S2'!V2*Main!$B$5)+(_xlfn.IFNA(VLOOKUP($A2,'FL Ratio'!$A$3:$B$10,2,FALSE),0)*'FL Characterization'!V$2)</f>
        <v>45.325599508356746</v>
      </c>
      <c r="W2" s="2">
        <f ca="1">('[1]Pc, Spring, S2'!W2*Main!$B$5)+(_xlfn.IFNA(VLOOKUP($A2,'FL Ratio'!$A$3:$B$10,2,FALSE),0)*'FL Characterization'!W$2)</f>
        <v>43.735344044180856</v>
      </c>
      <c r="X2" s="2">
        <f ca="1">('[1]Pc, Spring, S2'!X2*Main!$B$5)+(_xlfn.IFNA(VLOOKUP($A2,'FL Ratio'!$A$3:$B$10,2,FALSE),0)*'FL Characterization'!X$2)</f>
        <v>38.297112570405901</v>
      </c>
      <c r="Y2" s="2">
        <f ca="1">('[1]Pc, Spring, S2'!Y2*Main!$B$5)+(_xlfn.IFNA(VLOOKUP($A2,'FL Ratio'!$A$3:$B$10,2,FALSE),0)*'FL Characterization'!Y$2)</f>
        <v>35.734087967558075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31.774242552104955</v>
      </c>
      <c r="C3" s="2">
        <f ca="1">('[1]Pc, Spring, S2'!C3*Main!$B$5)+(_xlfn.IFNA(VLOOKUP($A3,'FL Ratio'!$A$3:$B$10,2,FALSE),0)*'FL Characterization'!C$2)</f>
        <v>30.946880151998876</v>
      </c>
      <c r="D3" s="2">
        <f ca="1">('[1]Pc, Spring, S2'!D3*Main!$B$5)+(_xlfn.IFNA(VLOOKUP($A3,'FL Ratio'!$A$3:$B$10,2,FALSE),0)*'FL Characterization'!D$2)</f>
        <v>27.994516211425598</v>
      </c>
      <c r="E3" s="2">
        <f ca="1">('[1]Pc, Spring, S2'!E3*Main!$B$5)+(_xlfn.IFNA(VLOOKUP($A3,'FL Ratio'!$A$3:$B$10,2,FALSE),0)*'FL Characterization'!E$2)</f>
        <v>27.923778718118037</v>
      </c>
      <c r="F3" s="2">
        <f ca="1">('[1]Pc, Spring, S2'!F3*Main!$B$5)+(_xlfn.IFNA(VLOOKUP($A3,'FL Ratio'!$A$3:$B$10,2,FALSE),0)*'FL Characterization'!F$2)</f>
        <v>28.238763810310381</v>
      </c>
      <c r="G3" s="2">
        <f ca="1">('[1]Pc, Spring, S2'!G3*Main!$B$5)+(_xlfn.IFNA(VLOOKUP($A3,'FL Ratio'!$A$3:$B$10,2,FALSE),0)*'FL Characterization'!G$2)</f>
        <v>29.853420381317981</v>
      </c>
      <c r="H3" s="2">
        <f ca="1">('[1]Pc, Spring, S2'!H3*Main!$B$5)+(_xlfn.IFNA(VLOOKUP($A3,'FL Ratio'!$A$3:$B$10,2,FALSE),0)*'FL Characterization'!H$2)</f>
        <v>38.281167696513023</v>
      </c>
      <c r="I3" s="2">
        <f ca="1">('[1]Pc, Spring, S2'!I3*Main!$B$5)+(_xlfn.IFNA(VLOOKUP($A3,'FL Ratio'!$A$3:$B$10,2,FALSE),0)*'FL Characterization'!I$2)</f>
        <v>47.074929698002229</v>
      </c>
      <c r="J3" s="2">
        <f ca="1">('[1]Pc, Spring, S2'!J3*Main!$B$5)+(_xlfn.IFNA(VLOOKUP($A3,'FL Ratio'!$A$3:$B$10,2,FALSE),0)*'FL Characterization'!J$2)</f>
        <v>50.700488214244302</v>
      </c>
      <c r="K3" s="2">
        <f ca="1">('[1]Pc, Spring, S2'!K3*Main!$B$5)+(_xlfn.IFNA(VLOOKUP($A3,'FL Ratio'!$A$3:$B$10,2,FALSE),0)*'FL Characterization'!K$2)</f>
        <v>49.55478098535864</v>
      </c>
      <c r="L3" s="2">
        <f ca="1">('[1]Pc, Spring, S2'!L3*Main!$B$5)+(_xlfn.IFNA(VLOOKUP($A3,'FL Ratio'!$A$3:$B$10,2,FALSE),0)*'FL Characterization'!L$2)</f>
        <v>47.924575822643519</v>
      </c>
      <c r="M3" s="2">
        <f ca="1">('[1]Pc, Spring, S2'!M3*Main!$B$5)+(_xlfn.IFNA(VLOOKUP($A3,'FL Ratio'!$A$3:$B$10,2,FALSE),0)*'FL Characterization'!M$2)</f>
        <v>52.357116655781596</v>
      </c>
      <c r="N3" s="2">
        <f ca="1">('[1]Pc, Spring, S2'!N3*Main!$B$5)+(_xlfn.IFNA(VLOOKUP($A3,'FL Ratio'!$A$3:$B$10,2,FALSE),0)*'FL Characterization'!N$2)</f>
        <v>50.775216466526047</v>
      </c>
      <c r="O3" s="2">
        <f ca="1">('[1]Pc, Spring, S2'!O3*Main!$B$5)+(_xlfn.IFNA(VLOOKUP($A3,'FL Ratio'!$A$3:$B$10,2,FALSE),0)*'FL Characterization'!O$2)</f>
        <v>50.142805889834356</v>
      </c>
      <c r="P3" s="2">
        <f ca="1">('[1]Pc, Spring, S2'!P3*Main!$B$5)+(_xlfn.IFNA(VLOOKUP($A3,'FL Ratio'!$A$3:$B$10,2,FALSE),0)*'FL Characterization'!P$2)</f>
        <v>46.994394923621165</v>
      </c>
      <c r="Q3" s="2">
        <f ca="1">('[1]Pc, Spring, S2'!Q3*Main!$B$5)+(_xlfn.IFNA(VLOOKUP($A3,'FL Ratio'!$A$3:$B$10,2,FALSE),0)*'FL Characterization'!Q$2)</f>
        <v>44.919144375058131</v>
      </c>
      <c r="R3" s="2">
        <f ca="1">('[1]Pc, Spring, S2'!R3*Main!$B$5)+(_xlfn.IFNA(VLOOKUP($A3,'FL Ratio'!$A$3:$B$10,2,FALSE),0)*'FL Characterization'!R$2)</f>
        <v>43.441856248078757</v>
      </c>
      <c r="S3" s="2">
        <f ca="1">('[1]Pc, Spring, S2'!S3*Main!$B$5)+(_xlfn.IFNA(VLOOKUP($A3,'FL Ratio'!$A$3:$B$10,2,FALSE),0)*'FL Characterization'!S$2)</f>
        <v>44.708468006244374</v>
      </c>
      <c r="T3" s="2">
        <f ca="1">('[1]Pc, Spring, S2'!T3*Main!$B$5)+(_xlfn.IFNA(VLOOKUP($A3,'FL Ratio'!$A$3:$B$10,2,FALSE),0)*'FL Characterization'!T$2)</f>
        <v>42.958205163263472</v>
      </c>
      <c r="U3" s="2">
        <f ca="1">('[1]Pc, Spring, S2'!U3*Main!$B$5)+(_xlfn.IFNA(VLOOKUP($A3,'FL Ratio'!$A$3:$B$10,2,FALSE),0)*'FL Characterization'!U$2)</f>
        <v>45.056546838251187</v>
      </c>
      <c r="V3" s="2">
        <f ca="1">('[1]Pc, Spring, S2'!V3*Main!$B$5)+(_xlfn.IFNA(VLOOKUP($A3,'FL Ratio'!$A$3:$B$10,2,FALSE),0)*'FL Characterization'!V$2)</f>
        <v>43.201292474518894</v>
      </c>
      <c r="W3" s="2">
        <f ca="1">('[1]Pc, Spring, S2'!W3*Main!$B$5)+(_xlfn.IFNA(VLOOKUP($A3,'FL Ratio'!$A$3:$B$10,2,FALSE),0)*'FL Characterization'!W$2)</f>
        <v>42.075211177151822</v>
      </c>
      <c r="X3" s="2">
        <f ca="1">('[1]Pc, Spring, S2'!X3*Main!$B$5)+(_xlfn.IFNA(VLOOKUP($A3,'FL Ratio'!$A$3:$B$10,2,FALSE),0)*'FL Characterization'!X$2)</f>
        <v>39.065273277878894</v>
      </c>
      <c r="Y3" s="2">
        <f ca="1">('[1]Pc, Spring, S2'!Y3*Main!$B$5)+(_xlfn.IFNA(VLOOKUP($A3,'FL Ratio'!$A$3:$B$10,2,FALSE),0)*'FL Characterization'!Y$2)</f>
        <v>35.018241152805558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46.472791745315156</v>
      </c>
      <c r="C4" s="2">
        <f ca="1">('[1]Pc, Spring, S2'!C4*Main!$B$5)+(_xlfn.IFNA(VLOOKUP($A4,'FL Ratio'!$A$3:$B$10,2,FALSE),0)*'FL Characterization'!C$2)</f>
        <v>40.211324793323492</v>
      </c>
      <c r="D4" s="2">
        <f ca="1">('[1]Pc, Spring, S2'!D4*Main!$B$5)+(_xlfn.IFNA(VLOOKUP($A4,'FL Ratio'!$A$3:$B$10,2,FALSE),0)*'FL Characterization'!D$2)</f>
        <v>39.007151306755361</v>
      </c>
      <c r="E4" s="2">
        <f ca="1">('[1]Pc, Spring, S2'!E4*Main!$B$5)+(_xlfn.IFNA(VLOOKUP($A4,'FL Ratio'!$A$3:$B$10,2,FALSE),0)*'FL Characterization'!E$2)</f>
        <v>37.768202372126474</v>
      </c>
      <c r="F4" s="2">
        <f ca="1">('[1]Pc, Spring, S2'!F4*Main!$B$5)+(_xlfn.IFNA(VLOOKUP($A4,'FL Ratio'!$A$3:$B$10,2,FALSE),0)*'FL Characterization'!F$2)</f>
        <v>38.069896537063975</v>
      </c>
      <c r="G4" s="2">
        <f ca="1">('[1]Pc, Spring, S2'!G4*Main!$B$5)+(_xlfn.IFNA(VLOOKUP($A4,'FL Ratio'!$A$3:$B$10,2,FALSE),0)*'FL Characterization'!G$2)</f>
        <v>37.359128527713274</v>
      </c>
      <c r="H4" s="2">
        <f ca="1">('[1]Pc, Spring, S2'!H4*Main!$B$5)+(_xlfn.IFNA(VLOOKUP($A4,'FL Ratio'!$A$3:$B$10,2,FALSE),0)*'FL Characterization'!H$2)</f>
        <v>43.460191618927716</v>
      </c>
      <c r="I4" s="2">
        <f ca="1">('[1]Pc, Spring, S2'!I4*Main!$B$5)+(_xlfn.IFNA(VLOOKUP($A4,'FL Ratio'!$A$3:$B$10,2,FALSE),0)*'FL Characterization'!I$2)</f>
        <v>49.678446640811238</v>
      </c>
      <c r="J4" s="2">
        <f ca="1">('[1]Pc, Spring, S2'!J4*Main!$B$5)+(_xlfn.IFNA(VLOOKUP($A4,'FL Ratio'!$A$3:$B$10,2,FALSE),0)*'FL Characterization'!J$2)</f>
        <v>56.238836870500499</v>
      </c>
      <c r="K4" s="2">
        <f ca="1">('[1]Pc, Spring, S2'!K4*Main!$B$5)+(_xlfn.IFNA(VLOOKUP($A4,'FL Ratio'!$A$3:$B$10,2,FALSE),0)*'FL Characterization'!K$2)</f>
        <v>60.268391304058269</v>
      </c>
      <c r="L4" s="2">
        <f ca="1">('[1]Pc, Spring, S2'!L4*Main!$B$5)+(_xlfn.IFNA(VLOOKUP($A4,'FL Ratio'!$A$3:$B$10,2,FALSE),0)*'FL Characterization'!L$2)</f>
        <v>59.443946609868341</v>
      </c>
      <c r="M4" s="2">
        <f ca="1">('[1]Pc, Spring, S2'!M4*Main!$B$5)+(_xlfn.IFNA(VLOOKUP($A4,'FL Ratio'!$A$3:$B$10,2,FALSE),0)*'FL Characterization'!M$2)</f>
        <v>58.0961662351434</v>
      </c>
      <c r="N4" s="2">
        <f ca="1">('[1]Pc, Spring, S2'!N4*Main!$B$5)+(_xlfn.IFNA(VLOOKUP($A4,'FL Ratio'!$A$3:$B$10,2,FALSE),0)*'FL Characterization'!N$2)</f>
        <v>59.564853221456318</v>
      </c>
      <c r="O4" s="2">
        <f ca="1">('[1]Pc, Spring, S2'!O4*Main!$B$5)+(_xlfn.IFNA(VLOOKUP($A4,'FL Ratio'!$A$3:$B$10,2,FALSE),0)*'FL Characterization'!O$2)</f>
        <v>60.454728352050935</v>
      </c>
      <c r="P4" s="2">
        <f ca="1">('[1]Pc, Spring, S2'!P4*Main!$B$5)+(_xlfn.IFNA(VLOOKUP($A4,'FL Ratio'!$A$3:$B$10,2,FALSE),0)*'FL Characterization'!P$2)</f>
        <v>62.61583801459642</v>
      </c>
      <c r="Q4" s="2">
        <f ca="1">('[1]Pc, Spring, S2'!Q4*Main!$B$5)+(_xlfn.IFNA(VLOOKUP($A4,'FL Ratio'!$A$3:$B$10,2,FALSE),0)*'FL Characterization'!Q$2)</f>
        <v>56.176232706982439</v>
      </c>
      <c r="R4" s="2">
        <f ca="1">('[1]Pc, Spring, S2'!R4*Main!$B$5)+(_xlfn.IFNA(VLOOKUP($A4,'FL Ratio'!$A$3:$B$10,2,FALSE),0)*'FL Characterization'!R$2)</f>
        <v>57.167465380517349</v>
      </c>
      <c r="S4" s="2">
        <f ca="1">('[1]Pc, Spring, S2'!S4*Main!$B$5)+(_xlfn.IFNA(VLOOKUP($A4,'FL Ratio'!$A$3:$B$10,2,FALSE),0)*'FL Characterization'!S$2)</f>
        <v>59.822118584292795</v>
      </c>
      <c r="T4" s="2">
        <f ca="1">('[1]Pc, Spring, S2'!T4*Main!$B$5)+(_xlfn.IFNA(VLOOKUP($A4,'FL Ratio'!$A$3:$B$10,2,FALSE),0)*'FL Characterization'!T$2)</f>
        <v>64.636851758152631</v>
      </c>
      <c r="U4" s="2">
        <f ca="1">('[1]Pc, Spring, S2'!U4*Main!$B$5)+(_xlfn.IFNA(VLOOKUP($A4,'FL Ratio'!$A$3:$B$10,2,FALSE),0)*'FL Characterization'!U$2)</f>
        <v>61.758566122574479</v>
      </c>
      <c r="V4" s="2">
        <f ca="1">('[1]Pc, Spring, S2'!V4*Main!$B$5)+(_xlfn.IFNA(VLOOKUP($A4,'FL Ratio'!$A$3:$B$10,2,FALSE),0)*'FL Characterization'!V$2)</f>
        <v>61.022944771390534</v>
      </c>
      <c r="W4" s="2">
        <f ca="1">('[1]Pc, Spring, S2'!W4*Main!$B$5)+(_xlfn.IFNA(VLOOKUP($A4,'FL Ratio'!$A$3:$B$10,2,FALSE),0)*'FL Characterization'!W$2)</f>
        <v>61.267317982904892</v>
      </c>
      <c r="X4" s="2">
        <f ca="1">('[1]Pc, Spring, S2'!X4*Main!$B$5)+(_xlfn.IFNA(VLOOKUP($A4,'FL Ratio'!$A$3:$B$10,2,FALSE),0)*'FL Characterization'!X$2)</f>
        <v>60.419598822099424</v>
      </c>
      <c r="Y4" s="2">
        <f ca="1">('[1]Pc, Spring, S2'!Y4*Main!$B$5)+(_xlfn.IFNA(VLOOKUP($A4,'FL Ratio'!$A$3:$B$10,2,FALSE),0)*'FL Characterization'!Y$2)</f>
        <v>54.8742836745649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5F3B-A6BB-4568-9E99-BFA17EFF7F46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32.162672032290217</v>
      </c>
      <c r="C2" s="2">
        <f ca="1">('[1]Pc, Spring, S2'!C2*Main!$B$5)+(_xlfn.IFNA(VLOOKUP($A2,'FL Ratio'!$A$3:$B$10,2,FALSE),0)*'FL Characterization'!C$2)</f>
        <v>30.221268517355558</v>
      </c>
      <c r="D2" s="2">
        <f ca="1">('[1]Pc, Spring, S2'!D2*Main!$B$5)+(_xlfn.IFNA(VLOOKUP($A2,'FL Ratio'!$A$3:$B$10,2,FALSE),0)*'FL Characterization'!D$2)</f>
        <v>29.319375069321307</v>
      </c>
      <c r="E2" s="2">
        <f ca="1">('[1]Pc, Spring, S2'!E2*Main!$B$5)+(_xlfn.IFNA(VLOOKUP($A2,'FL Ratio'!$A$3:$B$10,2,FALSE),0)*'FL Characterization'!E$2)</f>
        <v>28.616848348761188</v>
      </c>
      <c r="F2" s="2">
        <f ca="1">('[1]Pc, Spring, S2'!F2*Main!$B$5)+(_xlfn.IFNA(VLOOKUP($A2,'FL Ratio'!$A$3:$B$10,2,FALSE),0)*'FL Characterization'!F$2)</f>
        <v>28.580700478815896</v>
      </c>
      <c r="G2" s="2">
        <f ca="1">('[1]Pc, Spring, S2'!G2*Main!$B$5)+(_xlfn.IFNA(VLOOKUP($A2,'FL Ratio'!$A$3:$B$10,2,FALSE),0)*'FL Characterization'!G$2)</f>
        <v>29.64643466788176</v>
      </c>
      <c r="H2" s="2">
        <f ca="1">('[1]Pc, Spring, S2'!H2*Main!$B$5)+(_xlfn.IFNA(VLOOKUP($A2,'FL Ratio'!$A$3:$B$10,2,FALSE),0)*'FL Characterization'!H$2)</f>
        <v>34.219637141387629</v>
      </c>
      <c r="I2" s="2">
        <f ca="1">('[1]Pc, Spring, S2'!I2*Main!$B$5)+(_xlfn.IFNA(VLOOKUP($A2,'FL Ratio'!$A$3:$B$10,2,FALSE),0)*'FL Characterization'!I$2)</f>
        <v>38.904852386550637</v>
      </c>
      <c r="J2" s="2">
        <f ca="1">('[1]Pc, Spring, S2'!J2*Main!$B$5)+(_xlfn.IFNA(VLOOKUP($A2,'FL Ratio'!$A$3:$B$10,2,FALSE),0)*'FL Characterization'!J$2)</f>
        <v>43.967568971940558</v>
      </c>
      <c r="K2" s="2">
        <f ca="1">('[1]Pc, Spring, S2'!K2*Main!$B$5)+(_xlfn.IFNA(VLOOKUP($A2,'FL Ratio'!$A$3:$B$10,2,FALSE),0)*'FL Characterization'!K$2)</f>
        <v>44.793470213465547</v>
      </c>
      <c r="L2" s="2">
        <f ca="1">('[1]Pc, Spring, S2'!L2*Main!$B$5)+(_xlfn.IFNA(VLOOKUP($A2,'FL Ratio'!$A$3:$B$10,2,FALSE),0)*'FL Characterization'!L$2)</f>
        <v>43.467051856145339</v>
      </c>
      <c r="M2" s="2">
        <f ca="1">('[1]Pc, Spring, S2'!M2*Main!$B$5)+(_xlfn.IFNA(VLOOKUP($A2,'FL Ratio'!$A$3:$B$10,2,FALSE),0)*'FL Characterization'!M$2)</f>
        <v>43.995741578987229</v>
      </c>
      <c r="N2" s="2">
        <f ca="1">('[1]Pc, Spring, S2'!N2*Main!$B$5)+(_xlfn.IFNA(VLOOKUP($A2,'FL Ratio'!$A$3:$B$10,2,FALSE),0)*'FL Characterization'!N$2)</f>
        <v>45.94496862691016</v>
      </c>
      <c r="O2" s="2">
        <f ca="1">('[1]Pc, Spring, S2'!O2*Main!$B$5)+(_xlfn.IFNA(VLOOKUP($A2,'FL Ratio'!$A$3:$B$10,2,FALSE),0)*'FL Characterization'!O$2)</f>
        <v>43.95216592602717</v>
      </c>
      <c r="P2" s="2">
        <f ca="1">('[1]Pc, Spring, S2'!P2*Main!$B$5)+(_xlfn.IFNA(VLOOKUP($A2,'FL Ratio'!$A$3:$B$10,2,FALSE),0)*'FL Characterization'!P$2)</f>
        <v>44.048624121564629</v>
      </c>
      <c r="Q2" s="2">
        <f ca="1">('[1]Pc, Spring, S2'!Q2*Main!$B$5)+(_xlfn.IFNA(VLOOKUP($A2,'FL Ratio'!$A$3:$B$10,2,FALSE),0)*'FL Characterization'!Q$2)</f>
        <v>42.904587386072578</v>
      </c>
      <c r="R2" s="2">
        <f ca="1">('[1]Pc, Spring, S2'!R2*Main!$B$5)+(_xlfn.IFNA(VLOOKUP($A2,'FL Ratio'!$A$3:$B$10,2,FALSE),0)*'FL Characterization'!R$2)</f>
        <v>42.033655953818283</v>
      </c>
      <c r="S2" s="2">
        <f ca="1">('[1]Pc, Spring, S2'!S2*Main!$B$5)+(_xlfn.IFNA(VLOOKUP($A2,'FL Ratio'!$A$3:$B$10,2,FALSE),0)*'FL Characterization'!S$2)</f>
        <v>43.001663243832205</v>
      </c>
      <c r="T2" s="2">
        <f ca="1">('[1]Pc, Spring, S2'!T2*Main!$B$5)+(_xlfn.IFNA(VLOOKUP($A2,'FL Ratio'!$A$3:$B$10,2,FALSE),0)*'FL Characterization'!T$2)</f>
        <v>45.91315133191015</v>
      </c>
      <c r="U2" s="2">
        <f ca="1">('[1]Pc, Spring, S2'!U2*Main!$B$5)+(_xlfn.IFNA(VLOOKUP($A2,'FL Ratio'!$A$3:$B$10,2,FALSE),0)*'FL Characterization'!U$2)</f>
        <v>43.799469340270427</v>
      </c>
      <c r="V2" s="2">
        <f ca="1">('[1]Pc, Spring, S2'!V2*Main!$B$5)+(_xlfn.IFNA(VLOOKUP($A2,'FL Ratio'!$A$3:$B$10,2,FALSE),0)*'FL Characterization'!V$2)</f>
        <v>45.325599508356746</v>
      </c>
      <c r="W2" s="2">
        <f ca="1">('[1]Pc, Spring, S2'!W2*Main!$B$5)+(_xlfn.IFNA(VLOOKUP($A2,'FL Ratio'!$A$3:$B$10,2,FALSE),0)*'FL Characterization'!W$2)</f>
        <v>43.735344044180856</v>
      </c>
      <c r="X2" s="2">
        <f ca="1">('[1]Pc, Spring, S2'!X2*Main!$B$5)+(_xlfn.IFNA(VLOOKUP($A2,'FL Ratio'!$A$3:$B$10,2,FALSE),0)*'FL Characterization'!X$2)</f>
        <v>38.297112570405901</v>
      </c>
      <c r="Y2" s="2">
        <f ca="1">('[1]Pc, Spring, S2'!Y2*Main!$B$5)+(_xlfn.IFNA(VLOOKUP($A2,'FL Ratio'!$A$3:$B$10,2,FALSE),0)*'FL Characterization'!Y$2)</f>
        <v>35.734087967558075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31.774242552104955</v>
      </c>
      <c r="C3" s="2">
        <f ca="1">('[1]Pc, Spring, S2'!C3*Main!$B$5)+(_xlfn.IFNA(VLOOKUP($A3,'FL Ratio'!$A$3:$B$10,2,FALSE),0)*'FL Characterization'!C$2)</f>
        <v>30.946880151998876</v>
      </c>
      <c r="D3" s="2">
        <f ca="1">('[1]Pc, Spring, S2'!D3*Main!$B$5)+(_xlfn.IFNA(VLOOKUP($A3,'FL Ratio'!$A$3:$B$10,2,FALSE),0)*'FL Characterization'!D$2)</f>
        <v>27.994516211425598</v>
      </c>
      <c r="E3" s="2">
        <f ca="1">('[1]Pc, Spring, S2'!E3*Main!$B$5)+(_xlfn.IFNA(VLOOKUP($A3,'FL Ratio'!$A$3:$B$10,2,FALSE),0)*'FL Characterization'!E$2)</f>
        <v>27.923778718118037</v>
      </c>
      <c r="F3" s="2">
        <f ca="1">('[1]Pc, Spring, S2'!F3*Main!$B$5)+(_xlfn.IFNA(VLOOKUP($A3,'FL Ratio'!$A$3:$B$10,2,FALSE),0)*'FL Characterization'!F$2)</f>
        <v>28.238763810310381</v>
      </c>
      <c r="G3" s="2">
        <f ca="1">('[1]Pc, Spring, S2'!G3*Main!$B$5)+(_xlfn.IFNA(VLOOKUP($A3,'FL Ratio'!$A$3:$B$10,2,FALSE),0)*'FL Characterization'!G$2)</f>
        <v>29.853420381317981</v>
      </c>
      <c r="H3" s="2">
        <f ca="1">('[1]Pc, Spring, S2'!H3*Main!$B$5)+(_xlfn.IFNA(VLOOKUP($A3,'FL Ratio'!$A$3:$B$10,2,FALSE),0)*'FL Characterization'!H$2)</f>
        <v>38.281167696513023</v>
      </c>
      <c r="I3" s="2">
        <f ca="1">('[1]Pc, Spring, S2'!I3*Main!$B$5)+(_xlfn.IFNA(VLOOKUP($A3,'FL Ratio'!$A$3:$B$10,2,FALSE),0)*'FL Characterization'!I$2)</f>
        <v>47.074929698002229</v>
      </c>
      <c r="J3" s="2">
        <f ca="1">('[1]Pc, Spring, S2'!J3*Main!$B$5)+(_xlfn.IFNA(VLOOKUP($A3,'FL Ratio'!$A$3:$B$10,2,FALSE),0)*'FL Characterization'!J$2)</f>
        <v>50.700488214244302</v>
      </c>
      <c r="K3" s="2">
        <f ca="1">('[1]Pc, Spring, S2'!K3*Main!$B$5)+(_xlfn.IFNA(VLOOKUP($A3,'FL Ratio'!$A$3:$B$10,2,FALSE),0)*'FL Characterization'!K$2)</f>
        <v>49.55478098535864</v>
      </c>
      <c r="L3" s="2">
        <f ca="1">('[1]Pc, Spring, S2'!L3*Main!$B$5)+(_xlfn.IFNA(VLOOKUP($A3,'FL Ratio'!$A$3:$B$10,2,FALSE),0)*'FL Characterization'!L$2)</f>
        <v>47.924575822643519</v>
      </c>
      <c r="M3" s="2">
        <f ca="1">('[1]Pc, Spring, S2'!M3*Main!$B$5)+(_xlfn.IFNA(VLOOKUP($A3,'FL Ratio'!$A$3:$B$10,2,FALSE),0)*'FL Characterization'!M$2)</f>
        <v>52.357116655781596</v>
      </c>
      <c r="N3" s="2">
        <f ca="1">('[1]Pc, Spring, S2'!N3*Main!$B$5)+(_xlfn.IFNA(VLOOKUP($A3,'FL Ratio'!$A$3:$B$10,2,FALSE),0)*'FL Characterization'!N$2)</f>
        <v>50.775216466526047</v>
      </c>
      <c r="O3" s="2">
        <f ca="1">('[1]Pc, Spring, S2'!O3*Main!$B$5)+(_xlfn.IFNA(VLOOKUP($A3,'FL Ratio'!$A$3:$B$10,2,FALSE),0)*'FL Characterization'!O$2)</f>
        <v>50.142805889834356</v>
      </c>
      <c r="P3" s="2">
        <f ca="1">('[1]Pc, Spring, S2'!P3*Main!$B$5)+(_xlfn.IFNA(VLOOKUP($A3,'FL Ratio'!$A$3:$B$10,2,FALSE),0)*'FL Characterization'!P$2)</f>
        <v>46.994394923621165</v>
      </c>
      <c r="Q3" s="2">
        <f ca="1">('[1]Pc, Spring, S2'!Q3*Main!$B$5)+(_xlfn.IFNA(VLOOKUP($A3,'FL Ratio'!$A$3:$B$10,2,FALSE),0)*'FL Characterization'!Q$2)</f>
        <v>44.919144375058131</v>
      </c>
      <c r="R3" s="2">
        <f ca="1">('[1]Pc, Spring, S2'!R3*Main!$B$5)+(_xlfn.IFNA(VLOOKUP($A3,'FL Ratio'!$A$3:$B$10,2,FALSE),0)*'FL Characterization'!R$2)</f>
        <v>43.441856248078757</v>
      </c>
      <c r="S3" s="2">
        <f ca="1">('[1]Pc, Spring, S2'!S3*Main!$B$5)+(_xlfn.IFNA(VLOOKUP($A3,'FL Ratio'!$A$3:$B$10,2,FALSE),0)*'FL Characterization'!S$2)</f>
        <v>44.708468006244374</v>
      </c>
      <c r="T3" s="2">
        <f ca="1">('[1]Pc, Spring, S2'!T3*Main!$B$5)+(_xlfn.IFNA(VLOOKUP($A3,'FL Ratio'!$A$3:$B$10,2,FALSE),0)*'FL Characterization'!T$2)</f>
        <v>42.958205163263472</v>
      </c>
      <c r="U3" s="2">
        <f ca="1">('[1]Pc, Spring, S2'!U3*Main!$B$5)+(_xlfn.IFNA(VLOOKUP($A3,'FL Ratio'!$A$3:$B$10,2,FALSE),0)*'FL Characterization'!U$2)</f>
        <v>45.056546838251187</v>
      </c>
      <c r="V3" s="2">
        <f ca="1">('[1]Pc, Spring, S2'!V3*Main!$B$5)+(_xlfn.IFNA(VLOOKUP($A3,'FL Ratio'!$A$3:$B$10,2,FALSE),0)*'FL Characterization'!V$2)</f>
        <v>43.201292474518894</v>
      </c>
      <c r="W3" s="2">
        <f ca="1">('[1]Pc, Spring, S2'!W3*Main!$B$5)+(_xlfn.IFNA(VLOOKUP($A3,'FL Ratio'!$A$3:$B$10,2,FALSE),0)*'FL Characterization'!W$2)</f>
        <v>42.075211177151822</v>
      </c>
      <c r="X3" s="2">
        <f ca="1">('[1]Pc, Spring, S2'!X3*Main!$B$5)+(_xlfn.IFNA(VLOOKUP($A3,'FL Ratio'!$A$3:$B$10,2,FALSE),0)*'FL Characterization'!X$2)</f>
        <v>39.065273277878894</v>
      </c>
      <c r="Y3" s="2">
        <f ca="1">('[1]Pc, Spring, S2'!Y3*Main!$B$5)+(_xlfn.IFNA(VLOOKUP($A3,'FL Ratio'!$A$3:$B$10,2,FALSE),0)*'FL Characterization'!Y$2)</f>
        <v>35.018241152805558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46.472791745315156</v>
      </c>
      <c r="C4" s="2">
        <f ca="1">('[1]Pc, Spring, S2'!C4*Main!$B$5)+(_xlfn.IFNA(VLOOKUP($A4,'FL Ratio'!$A$3:$B$10,2,FALSE),0)*'FL Characterization'!C$2)</f>
        <v>40.211324793323492</v>
      </c>
      <c r="D4" s="2">
        <f ca="1">('[1]Pc, Spring, S2'!D4*Main!$B$5)+(_xlfn.IFNA(VLOOKUP($A4,'FL Ratio'!$A$3:$B$10,2,FALSE),0)*'FL Characterization'!D$2)</f>
        <v>39.007151306755361</v>
      </c>
      <c r="E4" s="2">
        <f ca="1">('[1]Pc, Spring, S2'!E4*Main!$B$5)+(_xlfn.IFNA(VLOOKUP($A4,'FL Ratio'!$A$3:$B$10,2,FALSE),0)*'FL Characterization'!E$2)</f>
        <v>37.768202372126474</v>
      </c>
      <c r="F4" s="2">
        <f ca="1">('[1]Pc, Spring, S2'!F4*Main!$B$5)+(_xlfn.IFNA(VLOOKUP($A4,'FL Ratio'!$A$3:$B$10,2,FALSE),0)*'FL Characterization'!F$2)</f>
        <v>38.069896537063975</v>
      </c>
      <c r="G4" s="2">
        <f ca="1">('[1]Pc, Spring, S2'!G4*Main!$B$5)+(_xlfn.IFNA(VLOOKUP($A4,'FL Ratio'!$A$3:$B$10,2,FALSE),0)*'FL Characterization'!G$2)</f>
        <v>37.359128527713274</v>
      </c>
      <c r="H4" s="2">
        <f ca="1">('[1]Pc, Spring, S2'!H4*Main!$B$5)+(_xlfn.IFNA(VLOOKUP($A4,'FL Ratio'!$A$3:$B$10,2,FALSE),0)*'FL Characterization'!H$2)</f>
        <v>43.460191618927716</v>
      </c>
      <c r="I4" s="2">
        <f ca="1">('[1]Pc, Spring, S2'!I4*Main!$B$5)+(_xlfn.IFNA(VLOOKUP($A4,'FL Ratio'!$A$3:$B$10,2,FALSE),0)*'FL Characterization'!I$2)</f>
        <v>49.678446640811238</v>
      </c>
      <c r="J4" s="2">
        <f ca="1">('[1]Pc, Spring, S2'!J4*Main!$B$5)+(_xlfn.IFNA(VLOOKUP($A4,'FL Ratio'!$A$3:$B$10,2,FALSE),0)*'FL Characterization'!J$2)</f>
        <v>56.238836870500499</v>
      </c>
      <c r="K4" s="2">
        <f ca="1">('[1]Pc, Spring, S2'!K4*Main!$B$5)+(_xlfn.IFNA(VLOOKUP($A4,'FL Ratio'!$A$3:$B$10,2,FALSE),0)*'FL Characterization'!K$2)</f>
        <v>60.268391304058269</v>
      </c>
      <c r="L4" s="2">
        <f ca="1">('[1]Pc, Spring, S2'!L4*Main!$B$5)+(_xlfn.IFNA(VLOOKUP($A4,'FL Ratio'!$A$3:$B$10,2,FALSE),0)*'FL Characterization'!L$2)</f>
        <v>59.443946609868341</v>
      </c>
      <c r="M4" s="2">
        <f ca="1">('[1]Pc, Spring, S2'!M4*Main!$B$5)+(_xlfn.IFNA(VLOOKUP($A4,'FL Ratio'!$A$3:$B$10,2,FALSE),0)*'FL Characterization'!M$2)</f>
        <v>58.0961662351434</v>
      </c>
      <c r="N4" s="2">
        <f ca="1">('[1]Pc, Spring, S2'!N4*Main!$B$5)+(_xlfn.IFNA(VLOOKUP($A4,'FL Ratio'!$A$3:$B$10,2,FALSE),0)*'FL Characterization'!N$2)</f>
        <v>59.564853221456318</v>
      </c>
      <c r="O4" s="2">
        <f ca="1">('[1]Pc, Spring, S2'!O4*Main!$B$5)+(_xlfn.IFNA(VLOOKUP($A4,'FL Ratio'!$A$3:$B$10,2,FALSE),0)*'FL Characterization'!O$2)</f>
        <v>60.454728352050935</v>
      </c>
      <c r="P4" s="2">
        <f ca="1">('[1]Pc, Spring, S2'!P4*Main!$B$5)+(_xlfn.IFNA(VLOOKUP($A4,'FL Ratio'!$A$3:$B$10,2,FALSE),0)*'FL Characterization'!P$2)</f>
        <v>62.61583801459642</v>
      </c>
      <c r="Q4" s="2">
        <f ca="1">('[1]Pc, Spring, S2'!Q4*Main!$B$5)+(_xlfn.IFNA(VLOOKUP($A4,'FL Ratio'!$A$3:$B$10,2,FALSE),0)*'FL Characterization'!Q$2)</f>
        <v>56.176232706982439</v>
      </c>
      <c r="R4" s="2">
        <f ca="1">('[1]Pc, Spring, S2'!R4*Main!$B$5)+(_xlfn.IFNA(VLOOKUP($A4,'FL Ratio'!$A$3:$B$10,2,FALSE),0)*'FL Characterization'!R$2)</f>
        <v>57.167465380517349</v>
      </c>
      <c r="S4" s="2">
        <f ca="1">('[1]Pc, Spring, S2'!S4*Main!$B$5)+(_xlfn.IFNA(VLOOKUP($A4,'FL Ratio'!$A$3:$B$10,2,FALSE),0)*'FL Characterization'!S$2)</f>
        <v>59.822118584292795</v>
      </c>
      <c r="T4" s="2">
        <f ca="1">('[1]Pc, Spring, S2'!T4*Main!$B$5)+(_xlfn.IFNA(VLOOKUP($A4,'FL Ratio'!$A$3:$B$10,2,FALSE),0)*'FL Characterization'!T$2)</f>
        <v>64.636851758152631</v>
      </c>
      <c r="U4" s="2">
        <f ca="1">('[1]Pc, Spring, S2'!U4*Main!$B$5)+(_xlfn.IFNA(VLOOKUP($A4,'FL Ratio'!$A$3:$B$10,2,FALSE),0)*'FL Characterization'!U$2)</f>
        <v>61.758566122574479</v>
      </c>
      <c r="V4" s="2">
        <f ca="1">('[1]Pc, Spring, S2'!V4*Main!$B$5)+(_xlfn.IFNA(VLOOKUP($A4,'FL Ratio'!$A$3:$B$10,2,FALSE),0)*'FL Characterization'!V$2)</f>
        <v>61.022944771390534</v>
      </c>
      <c r="W4" s="2">
        <f ca="1">('[1]Pc, Spring, S2'!W4*Main!$B$5)+(_xlfn.IFNA(VLOOKUP($A4,'FL Ratio'!$A$3:$B$10,2,FALSE),0)*'FL Characterization'!W$2)</f>
        <v>61.267317982904892</v>
      </c>
      <c r="X4" s="2">
        <f ca="1">('[1]Pc, Spring, S2'!X4*Main!$B$5)+(_xlfn.IFNA(VLOOKUP($A4,'FL Ratio'!$A$3:$B$10,2,FALSE),0)*'FL Characterization'!X$2)</f>
        <v>60.419598822099424</v>
      </c>
      <c r="Y4" s="2">
        <f ca="1">('[1]Pc, Spring, S2'!Y4*Main!$B$5)+(_xlfn.IFNA(VLOOKUP($A4,'FL Ratio'!$A$3:$B$10,2,FALSE),0)*'FL Characterization'!Y$2)</f>
        <v>54.8742836745649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355B-28E7-4651-81FC-2564B66FAF14}">
  <dimension ref="A1:Y28"/>
  <sheetViews>
    <sheetView workbookViewId="0">
      <selection activeCell="E17" sqref="E17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S2'!B2*Main!$B$5)+(_xlfn.IFNA(VLOOKUP($A2,'FL Ratio'!$A$3:$B$10,2,FALSE),0)*'FL Characterization'!B$2)</f>
        <v>32.162672032290217</v>
      </c>
      <c r="C2" s="2">
        <f ca="1">('[1]Pc, Spring, S2'!C2*Main!$B$5)+(_xlfn.IFNA(VLOOKUP($A2,'FL Ratio'!$A$3:$B$10,2,FALSE),0)*'FL Characterization'!C$2)</f>
        <v>30.221268517355558</v>
      </c>
      <c r="D2" s="2">
        <f ca="1">('[1]Pc, Spring, S2'!D2*Main!$B$5)+(_xlfn.IFNA(VLOOKUP($A2,'FL Ratio'!$A$3:$B$10,2,FALSE),0)*'FL Characterization'!D$2)</f>
        <v>29.319375069321307</v>
      </c>
      <c r="E2" s="2">
        <f ca="1">('[1]Pc, Spring, S2'!E2*Main!$B$5)+(_xlfn.IFNA(VLOOKUP($A2,'FL Ratio'!$A$3:$B$10,2,FALSE),0)*'FL Characterization'!E$2)</f>
        <v>28.616848348761188</v>
      </c>
      <c r="F2" s="2">
        <f ca="1">('[1]Pc, Spring, S2'!F2*Main!$B$5)+(_xlfn.IFNA(VLOOKUP($A2,'FL Ratio'!$A$3:$B$10,2,FALSE),0)*'FL Characterization'!F$2)</f>
        <v>28.580700478815896</v>
      </c>
      <c r="G2" s="2">
        <f ca="1">('[1]Pc, Spring, S2'!G2*Main!$B$5)+(_xlfn.IFNA(VLOOKUP($A2,'FL Ratio'!$A$3:$B$10,2,FALSE),0)*'FL Characterization'!G$2)</f>
        <v>29.64643466788176</v>
      </c>
      <c r="H2" s="2">
        <f ca="1">('[1]Pc, Spring, S2'!H2*Main!$B$5)+(_xlfn.IFNA(VLOOKUP($A2,'FL Ratio'!$A$3:$B$10,2,FALSE),0)*'FL Characterization'!H$2)</f>
        <v>34.219637141387629</v>
      </c>
      <c r="I2" s="2">
        <f ca="1">('[1]Pc, Spring, S2'!I2*Main!$B$5)+(_xlfn.IFNA(VLOOKUP($A2,'FL Ratio'!$A$3:$B$10,2,FALSE),0)*'FL Characterization'!I$2)</f>
        <v>38.904852386550637</v>
      </c>
      <c r="J2" s="2">
        <f ca="1">('[1]Pc, Spring, S2'!J2*Main!$B$5)+(_xlfn.IFNA(VLOOKUP($A2,'FL Ratio'!$A$3:$B$10,2,FALSE),0)*'FL Characterization'!J$2)</f>
        <v>43.967568971940558</v>
      </c>
      <c r="K2" s="2">
        <f ca="1">('[1]Pc, Spring, S2'!K2*Main!$B$5)+(_xlfn.IFNA(VLOOKUP($A2,'FL Ratio'!$A$3:$B$10,2,FALSE),0)*'FL Characterization'!K$2)</f>
        <v>44.793470213465547</v>
      </c>
      <c r="L2" s="2">
        <f ca="1">('[1]Pc, Spring, S2'!L2*Main!$B$5)+(_xlfn.IFNA(VLOOKUP($A2,'FL Ratio'!$A$3:$B$10,2,FALSE),0)*'FL Characterization'!L$2)</f>
        <v>43.467051856145339</v>
      </c>
      <c r="M2" s="2">
        <f ca="1">('[1]Pc, Spring, S2'!M2*Main!$B$5)+(_xlfn.IFNA(VLOOKUP($A2,'FL Ratio'!$A$3:$B$10,2,FALSE),0)*'FL Characterization'!M$2)</f>
        <v>43.995741578987229</v>
      </c>
      <c r="N2" s="2">
        <f ca="1">('[1]Pc, Spring, S2'!N2*Main!$B$5)+(_xlfn.IFNA(VLOOKUP($A2,'FL Ratio'!$A$3:$B$10,2,FALSE),0)*'FL Characterization'!N$2)</f>
        <v>45.94496862691016</v>
      </c>
      <c r="O2" s="2">
        <f ca="1">('[1]Pc, Spring, S2'!O2*Main!$B$5)+(_xlfn.IFNA(VLOOKUP($A2,'FL Ratio'!$A$3:$B$10,2,FALSE),0)*'FL Characterization'!O$2)</f>
        <v>43.95216592602717</v>
      </c>
      <c r="P2" s="2">
        <f ca="1">('[1]Pc, Spring, S2'!P2*Main!$B$5)+(_xlfn.IFNA(VLOOKUP($A2,'FL Ratio'!$A$3:$B$10,2,FALSE),0)*'FL Characterization'!P$2)</f>
        <v>44.048624121564629</v>
      </c>
      <c r="Q2" s="2">
        <f ca="1">('[1]Pc, Spring, S2'!Q2*Main!$B$5)+(_xlfn.IFNA(VLOOKUP($A2,'FL Ratio'!$A$3:$B$10,2,FALSE),0)*'FL Characterization'!Q$2)</f>
        <v>42.904587386072578</v>
      </c>
      <c r="R2" s="2">
        <f ca="1">('[1]Pc, Spring, S2'!R2*Main!$B$5)+(_xlfn.IFNA(VLOOKUP($A2,'FL Ratio'!$A$3:$B$10,2,FALSE),0)*'FL Characterization'!R$2)</f>
        <v>42.033655953818283</v>
      </c>
      <c r="S2" s="2">
        <f ca="1">('[1]Pc, Spring, S2'!S2*Main!$B$5)+(_xlfn.IFNA(VLOOKUP($A2,'FL Ratio'!$A$3:$B$10,2,FALSE),0)*'FL Characterization'!S$2)</f>
        <v>43.001663243832205</v>
      </c>
      <c r="T2" s="2">
        <f ca="1">('[1]Pc, Spring, S2'!T2*Main!$B$5)+(_xlfn.IFNA(VLOOKUP($A2,'FL Ratio'!$A$3:$B$10,2,FALSE),0)*'FL Characterization'!T$2)</f>
        <v>45.91315133191015</v>
      </c>
      <c r="U2" s="2">
        <f ca="1">('[1]Pc, Spring, S2'!U2*Main!$B$5)+(_xlfn.IFNA(VLOOKUP($A2,'FL Ratio'!$A$3:$B$10,2,FALSE),0)*'FL Characterization'!U$2)</f>
        <v>43.799469340270427</v>
      </c>
      <c r="V2" s="2">
        <f ca="1">('[1]Pc, Spring, S2'!V2*Main!$B$5)+(_xlfn.IFNA(VLOOKUP($A2,'FL Ratio'!$A$3:$B$10,2,FALSE),0)*'FL Characterization'!V$2)</f>
        <v>45.325599508356746</v>
      </c>
      <c r="W2" s="2">
        <f ca="1">('[1]Pc, Spring, S2'!W2*Main!$B$5)+(_xlfn.IFNA(VLOOKUP($A2,'FL Ratio'!$A$3:$B$10,2,FALSE),0)*'FL Characterization'!W$2)</f>
        <v>43.735344044180856</v>
      </c>
      <c r="X2" s="2">
        <f ca="1">('[1]Pc, Spring, S2'!X2*Main!$B$5)+(_xlfn.IFNA(VLOOKUP($A2,'FL Ratio'!$A$3:$B$10,2,FALSE),0)*'FL Characterization'!X$2)</f>
        <v>38.297112570405901</v>
      </c>
      <c r="Y2" s="2">
        <f ca="1">('[1]Pc, Spring, S2'!Y2*Main!$B$5)+(_xlfn.IFNA(VLOOKUP($A2,'FL Ratio'!$A$3:$B$10,2,FALSE),0)*'FL Characterization'!Y$2)</f>
        <v>35.734087967558075</v>
      </c>
    </row>
    <row r="3" spans="1:25" x14ac:dyDescent="0.3">
      <c r="A3">
        <v>2</v>
      </c>
      <c r="B3" s="2">
        <f ca="1">('[1]Pc, Spring, S2'!B3*Main!$B$5)+(_xlfn.IFNA(VLOOKUP($A3,'FL Ratio'!$A$3:$B$10,2,FALSE),0)*'FL Characterization'!B$2)</f>
        <v>31.774242552104955</v>
      </c>
      <c r="C3" s="2">
        <f ca="1">('[1]Pc, Spring, S2'!C3*Main!$B$5)+(_xlfn.IFNA(VLOOKUP($A3,'FL Ratio'!$A$3:$B$10,2,FALSE),0)*'FL Characterization'!C$2)</f>
        <v>30.946880151998876</v>
      </c>
      <c r="D3" s="2">
        <f ca="1">('[1]Pc, Spring, S2'!D3*Main!$B$5)+(_xlfn.IFNA(VLOOKUP($A3,'FL Ratio'!$A$3:$B$10,2,FALSE),0)*'FL Characterization'!D$2)</f>
        <v>27.994516211425598</v>
      </c>
      <c r="E3" s="2">
        <f ca="1">('[1]Pc, Spring, S2'!E3*Main!$B$5)+(_xlfn.IFNA(VLOOKUP($A3,'FL Ratio'!$A$3:$B$10,2,FALSE),0)*'FL Characterization'!E$2)</f>
        <v>27.923778718118037</v>
      </c>
      <c r="F3" s="2">
        <f ca="1">('[1]Pc, Spring, S2'!F3*Main!$B$5)+(_xlfn.IFNA(VLOOKUP($A3,'FL Ratio'!$A$3:$B$10,2,FALSE),0)*'FL Characterization'!F$2)</f>
        <v>28.238763810310381</v>
      </c>
      <c r="G3" s="2">
        <f ca="1">('[1]Pc, Spring, S2'!G3*Main!$B$5)+(_xlfn.IFNA(VLOOKUP($A3,'FL Ratio'!$A$3:$B$10,2,FALSE),0)*'FL Characterization'!G$2)</f>
        <v>29.853420381317981</v>
      </c>
      <c r="H3" s="2">
        <f ca="1">('[1]Pc, Spring, S2'!H3*Main!$B$5)+(_xlfn.IFNA(VLOOKUP($A3,'FL Ratio'!$A$3:$B$10,2,FALSE),0)*'FL Characterization'!H$2)</f>
        <v>38.281167696513023</v>
      </c>
      <c r="I3" s="2">
        <f ca="1">('[1]Pc, Spring, S2'!I3*Main!$B$5)+(_xlfn.IFNA(VLOOKUP($A3,'FL Ratio'!$A$3:$B$10,2,FALSE),0)*'FL Characterization'!I$2)</f>
        <v>47.074929698002229</v>
      </c>
      <c r="J3" s="2">
        <f ca="1">('[1]Pc, Spring, S2'!J3*Main!$B$5)+(_xlfn.IFNA(VLOOKUP($A3,'FL Ratio'!$A$3:$B$10,2,FALSE),0)*'FL Characterization'!J$2)</f>
        <v>50.700488214244302</v>
      </c>
      <c r="K3" s="2">
        <f ca="1">('[1]Pc, Spring, S2'!K3*Main!$B$5)+(_xlfn.IFNA(VLOOKUP($A3,'FL Ratio'!$A$3:$B$10,2,FALSE),0)*'FL Characterization'!K$2)</f>
        <v>49.55478098535864</v>
      </c>
      <c r="L3" s="2">
        <f ca="1">('[1]Pc, Spring, S2'!L3*Main!$B$5)+(_xlfn.IFNA(VLOOKUP($A3,'FL Ratio'!$A$3:$B$10,2,FALSE),0)*'FL Characterization'!L$2)</f>
        <v>47.924575822643519</v>
      </c>
      <c r="M3" s="2">
        <f ca="1">('[1]Pc, Spring, S2'!M3*Main!$B$5)+(_xlfn.IFNA(VLOOKUP($A3,'FL Ratio'!$A$3:$B$10,2,FALSE),0)*'FL Characterization'!M$2)</f>
        <v>52.357116655781596</v>
      </c>
      <c r="N3" s="2">
        <f ca="1">('[1]Pc, Spring, S2'!N3*Main!$B$5)+(_xlfn.IFNA(VLOOKUP($A3,'FL Ratio'!$A$3:$B$10,2,FALSE),0)*'FL Characterization'!N$2)</f>
        <v>50.775216466526047</v>
      </c>
      <c r="O3" s="2">
        <f ca="1">('[1]Pc, Spring, S2'!O3*Main!$B$5)+(_xlfn.IFNA(VLOOKUP($A3,'FL Ratio'!$A$3:$B$10,2,FALSE),0)*'FL Characterization'!O$2)</f>
        <v>50.142805889834356</v>
      </c>
      <c r="P3" s="2">
        <f ca="1">('[1]Pc, Spring, S2'!P3*Main!$B$5)+(_xlfn.IFNA(VLOOKUP($A3,'FL Ratio'!$A$3:$B$10,2,FALSE),0)*'FL Characterization'!P$2)</f>
        <v>46.994394923621165</v>
      </c>
      <c r="Q3" s="2">
        <f ca="1">('[1]Pc, Spring, S2'!Q3*Main!$B$5)+(_xlfn.IFNA(VLOOKUP($A3,'FL Ratio'!$A$3:$B$10,2,FALSE),0)*'FL Characterization'!Q$2)</f>
        <v>44.919144375058131</v>
      </c>
      <c r="R3" s="2">
        <f ca="1">('[1]Pc, Spring, S2'!R3*Main!$B$5)+(_xlfn.IFNA(VLOOKUP($A3,'FL Ratio'!$A$3:$B$10,2,FALSE),0)*'FL Characterization'!R$2)</f>
        <v>43.441856248078757</v>
      </c>
      <c r="S3" s="2">
        <f ca="1">('[1]Pc, Spring, S2'!S3*Main!$B$5)+(_xlfn.IFNA(VLOOKUP($A3,'FL Ratio'!$A$3:$B$10,2,FALSE),0)*'FL Characterization'!S$2)</f>
        <v>44.708468006244374</v>
      </c>
      <c r="T3" s="2">
        <f ca="1">('[1]Pc, Spring, S2'!T3*Main!$B$5)+(_xlfn.IFNA(VLOOKUP($A3,'FL Ratio'!$A$3:$B$10,2,FALSE),0)*'FL Characterization'!T$2)</f>
        <v>42.958205163263472</v>
      </c>
      <c r="U3" s="2">
        <f ca="1">('[1]Pc, Spring, S2'!U3*Main!$B$5)+(_xlfn.IFNA(VLOOKUP($A3,'FL Ratio'!$A$3:$B$10,2,FALSE),0)*'FL Characterization'!U$2)</f>
        <v>45.056546838251187</v>
      </c>
      <c r="V3" s="2">
        <f ca="1">('[1]Pc, Spring, S2'!V3*Main!$B$5)+(_xlfn.IFNA(VLOOKUP($A3,'FL Ratio'!$A$3:$B$10,2,FALSE),0)*'FL Characterization'!V$2)</f>
        <v>43.201292474518894</v>
      </c>
      <c r="W3" s="2">
        <f ca="1">('[1]Pc, Spring, S2'!W3*Main!$B$5)+(_xlfn.IFNA(VLOOKUP($A3,'FL Ratio'!$A$3:$B$10,2,FALSE),0)*'FL Characterization'!W$2)</f>
        <v>42.075211177151822</v>
      </c>
      <c r="X3" s="2">
        <f ca="1">('[1]Pc, Spring, S2'!X3*Main!$B$5)+(_xlfn.IFNA(VLOOKUP($A3,'FL Ratio'!$A$3:$B$10,2,FALSE),0)*'FL Characterization'!X$2)</f>
        <v>39.065273277878894</v>
      </c>
      <c r="Y3" s="2">
        <f ca="1">('[1]Pc, Spring, S2'!Y3*Main!$B$5)+(_xlfn.IFNA(VLOOKUP($A3,'FL Ratio'!$A$3:$B$10,2,FALSE),0)*'FL Characterization'!Y$2)</f>
        <v>35.018241152805558</v>
      </c>
    </row>
    <row r="4" spans="1:25" x14ac:dyDescent="0.3">
      <c r="A4">
        <v>3</v>
      </c>
      <c r="B4" s="2">
        <f ca="1">('[1]Pc, Spring, S2'!B4*Main!$B$5)+(_xlfn.IFNA(VLOOKUP($A4,'FL Ratio'!$A$3:$B$10,2,FALSE),0)*'FL Characterization'!B$2)</f>
        <v>46.472791745315156</v>
      </c>
      <c r="C4" s="2">
        <f ca="1">('[1]Pc, Spring, S2'!C4*Main!$B$5)+(_xlfn.IFNA(VLOOKUP($A4,'FL Ratio'!$A$3:$B$10,2,FALSE),0)*'FL Characterization'!C$2)</f>
        <v>40.211324793323492</v>
      </c>
      <c r="D4" s="2">
        <f ca="1">('[1]Pc, Spring, S2'!D4*Main!$B$5)+(_xlfn.IFNA(VLOOKUP($A4,'FL Ratio'!$A$3:$B$10,2,FALSE),0)*'FL Characterization'!D$2)</f>
        <v>39.007151306755361</v>
      </c>
      <c r="E4" s="2">
        <f ca="1">('[1]Pc, Spring, S2'!E4*Main!$B$5)+(_xlfn.IFNA(VLOOKUP($A4,'FL Ratio'!$A$3:$B$10,2,FALSE),0)*'FL Characterization'!E$2)</f>
        <v>37.768202372126474</v>
      </c>
      <c r="F4" s="2">
        <f ca="1">('[1]Pc, Spring, S2'!F4*Main!$B$5)+(_xlfn.IFNA(VLOOKUP($A4,'FL Ratio'!$A$3:$B$10,2,FALSE),0)*'FL Characterization'!F$2)</f>
        <v>38.069896537063975</v>
      </c>
      <c r="G4" s="2">
        <f ca="1">('[1]Pc, Spring, S2'!G4*Main!$B$5)+(_xlfn.IFNA(VLOOKUP($A4,'FL Ratio'!$A$3:$B$10,2,FALSE),0)*'FL Characterization'!G$2)</f>
        <v>37.359128527713274</v>
      </c>
      <c r="H4" s="2">
        <f ca="1">('[1]Pc, Spring, S2'!H4*Main!$B$5)+(_xlfn.IFNA(VLOOKUP($A4,'FL Ratio'!$A$3:$B$10,2,FALSE),0)*'FL Characterization'!H$2)</f>
        <v>43.460191618927716</v>
      </c>
      <c r="I4" s="2">
        <f ca="1">('[1]Pc, Spring, S2'!I4*Main!$B$5)+(_xlfn.IFNA(VLOOKUP($A4,'FL Ratio'!$A$3:$B$10,2,FALSE),0)*'FL Characterization'!I$2)</f>
        <v>49.678446640811238</v>
      </c>
      <c r="J4" s="2">
        <f ca="1">('[1]Pc, Spring, S2'!J4*Main!$B$5)+(_xlfn.IFNA(VLOOKUP($A4,'FL Ratio'!$A$3:$B$10,2,FALSE),0)*'FL Characterization'!J$2)</f>
        <v>56.238836870500499</v>
      </c>
      <c r="K4" s="2">
        <f ca="1">('[1]Pc, Spring, S2'!K4*Main!$B$5)+(_xlfn.IFNA(VLOOKUP($A4,'FL Ratio'!$A$3:$B$10,2,FALSE),0)*'FL Characterization'!K$2)</f>
        <v>60.268391304058269</v>
      </c>
      <c r="L4" s="2">
        <f ca="1">('[1]Pc, Spring, S2'!L4*Main!$B$5)+(_xlfn.IFNA(VLOOKUP($A4,'FL Ratio'!$A$3:$B$10,2,FALSE),0)*'FL Characterization'!L$2)</f>
        <v>59.443946609868341</v>
      </c>
      <c r="M4" s="2">
        <f ca="1">('[1]Pc, Spring, S2'!M4*Main!$B$5)+(_xlfn.IFNA(VLOOKUP($A4,'FL Ratio'!$A$3:$B$10,2,FALSE),0)*'FL Characterization'!M$2)</f>
        <v>58.0961662351434</v>
      </c>
      <c r="N4" s="2">
        <f ca="1">('[1]Pc, Spring, S2'!N4*Main!$B$5)+(_xlfn.IFNA(VLOOKUP($A4,'FL Ratio'!$A$3:$B$10,2,FALSE),0)*'FL Characterization'!N$2)</f>
        <v>59.564853221456318</v>
      </c>
      <c r="O4" s="2">
        <f ca="1">('[1]Pc, Spring, S2'!O4*Main!$B$5)+(_xlfn.IFNA(VLOOKUP($A4,'FL Ratio'!$A$3:$B$10,2,FALSE),0)*'FL Characterization'!O$2)</f>
        <v>60.454728352050935</v>
      </c>
      <c r="P4" s="2">
        <f ca="1">('[1]Pc, Spring, S2'!P4*Main!$B$5)+(_xlfn.IFNA(VLOOKUP($A4,'FL Ratio'!$A$3:$B$10,2,FALSE),0)*'FL Characterization'!P$2)</f>
        <v>62.61583801459642</v>
      </c>
      <c r="Q4" s="2">
        <f ca="1">('[1]Pc, Spring, S2'!Q4*Main!$B$5)+(_xlfn.IFNA(VLOOKUP($A4,'FL Ratio'!$A$3:$B$10,2,FALSE),0)*'FL Characterization'!Q$2)</f>
        <v>56.176232706982439</v>
      </c>
      <c r="R4" s="2">
        <f ca="1">('[1]Pc, Spring, S2'!R4*Main!$B$5)+(_xlfn.IFNA(VLOOKUP($A4,'FL Ratio'!$A$3:$B$10,2,FALSE),0)*'FL Characterization'!R$2)</f>
        <v>57.167465380517349</v>
      </c>
      <c r="S4" s="2">
        <f ca="1">('[1]Pc, Spring, S2'!S4*Main!$B$5)+(_xlfn.IFNA(VLOOKUP($A4,'FL Ratio'!$A$3:$B$10,2,FALSE),0)*'FL Characterization'!S$2)</f>
        <v>59.822118584292795</v>
      </c>
      <c r="T4" s="2">
        <f ca="1">('[1]Pc, Spring, S2'!T4*Main!$B$5)+(_xlfn.IFNA(VLOOKUP($A4,'FL Ratio'!$A$3:$B$10,2,FALSE),0)*'FL Characterization'!T$2)</f>
        <v>64.636851758152631</v>
      </c>
      <c r="U4" s="2">
        <f ca="1">('[1]Pc, Spring, S2'!U4*Main!$B$5)+(_xlfn.IFNA(VLOOKUP($A4,'FL Ratio'!$A$3:$B$10,2,FALSE),0)*'FL Characterization'!U$2)</f>
        <v>61.758566122574479</v>
      </c>
      <c r="V4" s="2">
        <f ca="1">('[1]Pc, Spring, S2'!V4*Main!$B$5)+(_xlfn.IFNA(VLOOKUP($A4,'FL Ratio'!$A$3:$B$10,2,FALSE),0)*'FL Characterization'!V$2)</f>
        <v>61.022944771390534</v>
      </c>
      <c r="W4" s="2">
        <f ca="1">('[1]Pc, Spring, S2'!W4*Main!$B$5)+(_xlfn.IFNA(VLOOKUP($A4,'FL Ratio'!$A$3:$B$10,2,FALSE),0)*'FL Characterization'!W$2)</f>
        <v>61.267317982904892</v>
      </c>
      <c r="X4" s="2">
        <f ca="1">('[1]Pc, Spring, S2'!X4*Main!$B$5)+(_xlfn.IFNA(VLOOKUP($A4,'FL Ratio'!$A$3:$B$10,2,FALSE),0)*'FL Characterization'!X$2)</f>
        <v>60.419598822099424</v>
      </c>
      <c r="Y4" s="2">
        <f ca="1">('[1]Pc, Spring, S2'!Y4*Main!$B$5)+(_xlfn.IFNA(VLOOKUP($A4,'FL Ratio'!$A$3:$B$10,2,FALSE),0)*'FL Characterization'!Y$2)</f>
        <v>54.8742836745649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3171-7D56-4100-BF8F-9607196E6BB9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29.379363875649712</v>
      </c>
      <c r="C2" s="2">
        <f ca="1">('[1]Pc, Spring, S3'!C2*Main!$B$5)+(_xlfn.IFNA(VLOOKUP($A2,'FL Ratio'!$A$3:$B$10,2,FALSE),0)*'FL Characterization'!C$2)</f>
        <v>27.605966434122866</v>
      </c>
      <c r="D2" s="2">
        <f ca="1">('[1]Pc, Spring, S3'!D2*Main!$B$5)+(_xlfn.IFNA(VLOOKUP($A2,'FL Ratio'!$A$3:$B$10,2,FALSE),0)*'FL Characterization'!D$2)</f>
        <v>26.782121457553117</v>
      </c>
      <c r="E2" s="2">
        <f ca="1">('[1]Pc, Spring, S3'!E2*Main!$B$5)+(_xlfn.IFNA(VLOOKUP($A2,'FL Ratio'!$A$3:$B$10,2,FALSE),0)*'FL Characterization'!E$2)</f>
        <v>26.140390318579932</v>
      </c>
      <c r="F2" s="2">
        <f ca="1">('[1]Pc, Spring, S3'!F2*Main!$B$5)+(_xlfn.IFNA(VLOOKUP($A2,'FL Ratio'!$A$3:$B$10,2,FALSE),0)*'FL Characterization'!F$2)</f>
        <v>26.107370629687594</v>
      </c>
      <c r="G2" s="2">
        <f ca="1">('[1]Pc, Spring, S3'!G2*Main!$B$5)+(_xlfn.IFNA(VLOOKUP($A2,'FL Ratio'!$A$3:$B$10,2,FALSE),0)*'FL Characterization'!G$2)</f>
        <v>27.080877821622757</v>
      </c>
      <c r="H2" s="2">
        <f ca="1">('[1]Pc, Spring, S3'!H2*Main!$B$5)+(_xlfn.IFNA(VLOOKUP($A2,'FL Ratio'!$A$3:$B$10,2,FALSE),0)*'FL Characterization'!H$2)</f>
        <v>31.258322388767539</v>
      </c>
      <c r="I2" s="2">
        <f ca="1">('[1]Pc, Spring, S3'!I2*Main!$B$5)+(_xlfn.IFNA(VLOOKUP($A2,'FL Ratio'!$A$3:$B$10,2,FALSE),0)*'FL Characterization'!I$2)</f>
        <v>35.538086314637603</v>
      </c>
      <c r="J2" s="2">
        <f ca="1">('[1]Pc, Spring, S3'!J2*Main!$B$5)+(_xlfn.IFNA(VLOOKUP($A2,'FL Ratio'!$A$3:$B$10,2,FALSE),0)*'FL Characterization'!J$2)</f>
        <v>40.162683195522625</v>
      </c>
      <c r="K2" s="2">
        <f ca="1">('[1]Pc, Spring, S3'!K2*Main!$B$5)+(_xlfn.IFNA(VLOOKUP($A2,'FL Ratio'!$A$3:$B$10,2,FALSE),0)*'FL Characterization'!K$2)</f>
        <v>40.917112214223337</v>
      </c>
      <c r="L2" s="2">
        <f ca="1">('[1]Pc, Spring, S3'!L2*Main!$B$5)+(_xlfn.IFNA(VLOOKUP($A2,'FL Ratio'!$A$3:$B$10,2,FALSE),0)*'FL Characterization'!L$2)</f>
        <v>39.705480060901991</v>
      </c>
      <c r="M2" s="2">
        <f ca="1">('[1]Pc, Spring, S3'!M2*Main!$B$5)+(_xlfn.IFNA(VLOOKUP($A2,'FL Ratio'!$A$3:$B$10,2,FALSE),0)*'FL Characterization'!M$2)</f>
        <v>40.188417788497944</v>
      </c>
      <c r="N2" s="2">
        <f ca="1">('[1]Pc, Spring, S3'!N2*Main!$B$5)+(_xlfn.IFNA(VLOOKUP($A2,'FL Ratio'!$A$3:$B$10,2,FALSE),0)*'FL Characterization'!N$2)</f>
        <v>41.968961726504467</v>
      </c>
      <c r="O2" s="2">
        <f ca="1">('[1]Pc, Spring, S3'!O2*Main!$B$5)+(_xlfn.IFNA(VLOOKUP($A2,'FL Ratio'!$A$3:$B$10,2,FALSE),0)*'FL Characterization'!O$2)</f>
        <v>40.148613105505582</v>
      </c>
      <c r="P2" s="2">
        <f ca="1">('[1]Pc, Spring, S3'!P2*Main!$B$5)+(_xlfn.IFNA(VLOOKUP($A2,'FL Ratio'!$A$3:$B$10,2,FALSE),0)*'FL Characterization'!P$2)</f>
        <v>40.236723957198457</v>
      </c>
      <c r="Q2" s="2">
        <f ca="1">('[1]Pc, Spring, S3'!Q2*Main!$B$5)+(_xlfn.IFNA(VLOOKUP($A2,'FL Ratio'!$A$3:$B$10,2,FALSE),0)*'FL Characterization'!Q$2)</f>
        <v>39.191690400739368</v>
      </c>
      <c r="R2" s="2">
        <f ca="1">('[1]Pc, Spring, S3'!R2*Main!$B$5)+(_xlfn.IFNA(VLOOKUP($A2,'FL Ratio'!$A$3:$B$10,2,FALSE),0)*'FL Characterization'!R$2)</f>
        <v>38.396128034737849</v>
      </c>
      <c r="S2" s="2">
        <f ca="1">('[1]Pc, Spring, S3'!S2*Main!$B$5)+(_xlfn.IFNA(VLOOKUP($A2,'FL Ratio'!$A$3:$B$10,2,FALSE),0)*'FL Characterization'!S$2)</f>
        <v>39.280365463115949</v>
      </c>
      <c r="T2" s="2">
        <f ca="1">('[1]Pc, Spring, S3'!T2*Main!$B$5)+(_xlfn.IFNA(VLOOKUP($A2,'FL Ratio'!$A$3:$B$10,2,FALSE),0)*'FL Characterization'!T$2)</f>
        <v>41.939897851264071</v>
      </c>
      <c r="U2" s="2">
        <f ca="1">('[1]Pc, Spring, S3'!U2*Main!$B$5)+(_xlfn.IFNA(VLOOKUP($A2,'FL Ratio'!$A$3:$B$10,2,FALSE),0)*'FL Characterization'!U$2)</f>
        <v>40.009130647362412</v>
      </c>
      <c r="V2" s="2">
        <f ca="1">('[1]Pc, Spring, S3'!V2*Main!$B$5)+(_xlfn.IFNA(VLOOKUP($A2,'FL Ratio'!$A$3:$B$10,2,FALSE),0)*'FL Characterization'!V$2)</f>
        <v>41.4031918585951</v>
      </c>
      <c r="W2" s="2">
        <f ca="1">('[1]Pc, Spring, S3'!W2*Main!$B$5)+(_xlfn.IFNA(VLOOKUP($A2,'FL Ratio'!$A$3:$B$10,2,FALSE),0)*'FL Characterization'!W$2)</f>
        <v>39.950554655742131</v>
      </c>
      <c r="X2" s="2">
        <f ca="1">('[1]Pc, Spring, S3'!X2*Main!$B$5)+(_xlfn.IFNA(VLOOKUP($A2,'FL Ratio'!$A$3:$B$10,2,FALSE),0)*'FL Characterization'!X$2)</f>
        <v>34.982939367197694</v>
      </c>
      <c r="Y2" s="2">
        <f ca="1">('[1]Pc, Spring, S3'!Y2*Main!$B$5)+(_xlfn.IFNA(VLOOKUP($A2,'FL Ratio'!$A$3:$B$10,2,FALSE),0)*'FL Characterization'!Y$2)</f>
        <v>32.641714970365541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29.024548485095867</v>
      </c>
      <c r="C3" s="2">
        <f ca="1">('[1]Pc, Spring, S3'!C3*Main!$B$5)+(_xlfn.IFNA(VLOOKUP($A3,'FL Ratio'!$A$3:$B$10,2,FALSE),0)*'FL Characterization'!C$2)</f>
        <v>28.268784754229738</v>
      </c>
      <c r="D3" s="2">
        <f ca="1">('[1]Pc, Spring, S3'!D3*Main!$B$5)+(_xlfn.IFNA(VLOOKUP($A3,'FL Ratio'!$A$3:$B$10,2,FALSE),0)*'FL Characterization'!D$2)</f>
        <v>25.571913846975303</v>
      </c>
      <c r="E3" s="2">
        <f ca="1">('[1]Pc, Spring, S3'!E3*Main!$B$5)+(_xlfn.IFNA(VLOOKUP($A3,'FL Ratio'!$A$3:$B$10,2,FALSE),0)*'FL Characterization'!E$2)</f>
        <v>25.507297867511667</v>
      </c>
      <c r="F3" s="2">
        <f ca="1">('[1]Pc, Spring, S3'!F3*Main!$B$5)+(_xlfn.IFNA(VLOOKUP($A3,'FL Ratio'!$A$3:$B$10,2,FALSE),0)*'FL Characterization'!F$2)</f>
        <v>25.795024634418137</v>
      </c>
      <c r="G3" s="2">
        <f ca="1">('[1]Pc, Spring, S3'!G3*Main!$B$5)+(_xlfn.IFNA(VLOOKUP($A3,'FL Ratio'!$A$3:$B$10,2,FALSE),0)*'FL Characterization'!G$2)</f>
        <v>27.269951309857774</v>
      </c>
      <c r="H3" s="2">
        <f ca="1">('[1]Pc, Spring, S3'!H3*Main!$B$5)+(_xlfn.IFNA(VLOOKUP($A3,'FL Ratio'!$A$3:$B$10,2,FALSE),0)*'FL Characterization'!H$2)</f>
        <v>34.968374338160935</v>
      </c>
      <c r="I3" s="2">
        <f ca="1">('[1]Pc, Spring, S3'!I3*Main!$B$5)+(_xlfn.IFNA(VLOOKUP($A3,'FL Ratio'!$A$3:$B$10,2,FALSE),0)*'FL Characterization'!I$2)</f>
        <v>43.001137704905872</v>
      </c>
      <c r="J3" s="2">
        <f ca="1">('[1]Pc, Spring, S3'!J3*Main!$B$5)+(_xlfn.IFNA(VLOOKUP($A3,'FL Ratio'!$A$3:$B$10,2,FALSE),0)*'FL Characterization'!J$2)</f>
        <v>46.312945964934706</v>
      </c>
      <c r="K3" s="2">
        <f ca="1">('[1]Pc, Spring, S3'!K3*Main!$B$5)+(_xlfn.IFNA(VLOOKUP($A3,'FL Ratio'!$A$3:$B$10,2,FALSE),0)*'FL Characterization'!K$2)</f>
        <v>45.266386477010293</v>
      </c>
      <c r="L3" s="2">
        <f ca="1">('[1]Pc, Spring, S3'!L3*Main!$B$5)+(_xlfn.IFNA(VLOOKUP($A3,'FL Ratio'!$A$3:$B$10,2,FALSE),0)*'FL Characterization'!L$2)</f>
        <v>43.7772567610686</v>
      </c>
      <c r="M3" s="2">
        <f ca="1">('[1]Pc, Spring, S3'!M3*Main!$B$5)+(_xlfn.IFNA(VLOOKUP($A3,'FL Ratio'!$A$3:$B$10,2,FALSE),0)*'FL Characterization'!M$2)</f>
        <v>47.826212329800491</v>
      </c>
      <c r="N3" s="2">
        <f ca="1">('[1]Pc, Spring, S3'!N3*Main!$B$5)+(_xlfn.IFNA(VLOOKUP($A3,'FL Ratio'!$A$3:$B$10,2,FALSE),0)*'FL Characterization'!N$2)</f>
        <v>46.381207349230529</v>
      </c>
      <c r="O3" s="2">
        <f ca="1">('[1]Pc, Spring, S3'!O3*Main!$B$5)+(_xlfn.IFNA(VLOOKUP($A3,'FL Ratio'!$A$3:$B$10,2,FALSE),0)*'FL Characterization'!O$2)</f>
        <v>45.803524610906379</v>
      </c>
      <c r="P3" s="2">
        <f ca="1">('[1]Pc, Spring, S3'!P3*Main!$B$5)+(_xlfn.IFNA(VLOOKUP($A3,'FL Ratio'!$A$3:$B$10,2,FALSE),0)*'FL Characterization'!P$2)</f>
        <v>42.927572286000093</v>
      </c>
      <c r="Q3" s="2">
        <f ca="1">('[1]Pc, Spring, S3'!Q3*Main!$B$5)+(_xlfn.IFNA(VLOOKUP($A3,'FL Ratio'!$A$3:$B$10,2,FALSE),0)*'FL Characterization'!Q$2)</f>
        <v>41.031910727216562</v>
      </c>
      <c r="R3" s="2">
        <f ca="1">('[1]Pc, Spring, S3'!R3*Main!$B$5)+(_xlfn.IFNA(VLOOKUP($A3,'FL Ratio'!$A$3:$B$10,2,FALSE),0)*'FL Characterization'!R$2)</f>
        <v>39.682464841995021</v>
      </c>
      <c r="S3" s="2">
        <f ca="1">('[1]Pc, Spring, S3'!S3*Main!$B$5)+(_xlfn.IFNA(VLOOKUP($A3,'FL Ratio'!$A$3:$B$10,2,FALSE),0)*'FL Characterization'!S$2)</f>
        <v>40.839465967242461</v>
      </c>
      <c r="T3" s="2">
        <f ca="1">('[1]Pc, Spring, S3'!T3*Main!$B$5)+(_xlfn.IFNA(VLOOKUP($A3,'FL Ratio'!$A$3:$B$10,2,FALSE),0)*'FL Characterization'!T$2)</f>
        <v>39.240668177981057</v>
      </c>
      <c r="U3" s="2">
        <f ca="1">('[1]Pc, Spring, S3'!U3*Main!$B$5)+(_xlfn.IFNA(VLOOKUP($A3,'FL Ratio'!$A$3:$B$10,2,FALSE),0)*'FL Characterization'!U$2)</f>
        <v>41.157422592633296</v>
      </c>
      <c r="V3" s="2">
        <f ca="1">('[1]Pc, Spring, S3'!V3*Main!$B$5)+(_xlfn.IFNA(VLOOKUP($A3,'FL Ratio'!$A$3:$B$10,2,FALSE),0)*'FL Characterization'!V$2)</f>
        <v>39.462719087300911</v>
      </c>
      <c r="W3" s="2">
        <f ca="1">('[1]Pc, Spring, S3'!W3*Main!$B$5)+(_xlfn.IFNA(VLOOKUP($A3,'FL Ratio'!$A$3:$B$10,2,FALSE),0)*'FL Characterization'!W$2)</f>
        <v>38.434087132975208</v>
      </c>
      <c r="X3" s="2">
        <f ca="1">('[1]Pc, Spring, S3'!X3*Main!$B$5)+(_xlfn.IFNA(VLOOKUP($A3,'FL Ratio'!$A$3:$B$10,2,FALSE),0)*'FL Characterization'!X$2)</f>
        <v>35.684624628831671</v>
      </c>
      <c r="Y3" s="2">
        <f ca="1">('[1]Pc, Spring, S3'!Y3*Main!$B$5)+(_xlfn.IFNA(VLOOKUP($A3,'FL Ratio'!$A$3:$B$10,2,FALSE),0)*'FL Characterization'!Y$2)</f>
        <v>31.987816437658918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42.451107844278262</v>
      </c>
      <c r="C4" s="2">
        <f ca="1">('[1]Pc, Spring, S3'!C4*Main!$B$5)+(_xlfn.IFNA(VLOOKUP($A4,'FL Ratio'!$A$3:$B$10,2,FALSE),0)*'FL Characterization'!C$2)</f>
        <v>36.731498609285886</v>
      </c>
      <c r="D4" s="2">
        <f ca="1">('[1]Pc, Spring, S3'!D4*Main!$B$5)+(_xlfn.IFNA(VLOOKUP($A4,'FL Ratio'!$A$3:$B$10,2,FALSE),0)*'FL Characterization'!D$2)</f>
        <v>35.631532443670757</v>
      </c>
      <c r="E4" s="2">
        <f ca="1">('[1]Pc, Spring, S3'!E4*Main!$B$5)+(_xlfn.IFNA(VLOOKUP($A4,'FL Ratio'!$A$3:$B$10,2,FALSE),0)*'FL Characterization'!E$2)</f>
        <v>34.499800243769371</v>
      </c>
      <c r="F4" s="2">
        <f ca="1">('[1]Pc, Spring, S3'!F4*Main!$B$5)+(_xlfn.IFNA(VLOOKUP($A4,'FL Ratio'!$A$3:$B$10,2,FALSE),0)*'FL Characterization'!F$2)</f>
        <v>34.775386259818049</v>
      </c>
      <c r="G4" s="2">
        <f ca="1">('[1]Pc, Spring, S3'!G4*Main!$B$5)+(_xlfn.IFNA(VLOOKUP($A4,'FL Ratio'!$A$3:$B$10,2,FALSE),0)*'FL Characterization'!G$2)</f>
        <v>34.126127020507312</v>
      </c>
      <c r="H4" s="2">
        <f ca="1">('[1]Pc, Spring, S3'!H4*Main!$B$5)+(_xlfn.IFNA(VLOOKUP($A4,'FL Ratio'!$A$3:$B$10,2,FALSE),0)*'FL Characterization'!H$2)</f>
        <v>39.699213498058967</v>
      </c>
      <c r="I4" s="2">
        <f ca="1">('[1]Pc, Spring, S3'!I4*Main!$B$5)+(_xlfn.IFNA(VLOOKUP($A4,'FL Ratio'!$A$3:$B$10,2,FALSE),0)*'FL Characterization'!I$2)</f>
        <v>45.37935029689487</v>
      </c>
      <c r="J4" s="2">
        <f ca="1">('[1]Pc, Spring, S3'!J4*Main!$B$5)+(_xlfn.IFNA(VLOOKUP($A4,'FL Ratio'!$A$3:$B$10,2,FALSE),0)*'FL Characterization'!J$2)</f>
        <v>51.372014449014877</v>
      </c>
      <c r="K4" s="2">
        <f ca="1">('[1]Pc, Spring, S3'!K4*Main!$B$5)+(_xlfn.IFNA(VLOOKUP($A4,'FL Ratio'!$A$3:$B$10,2,FALSE),0)*'FL Characterization'!K$2)</f>
        <v>55.052857441207067</v>
      </c>
      <c r="L4" s="2">
        <f ca="1">('[1]Pc, Spring, S3'!L4*Main!$B$5)+(_xlfn.IFNA(VLOOKUP($A4,'FL Ratio'!$A$3:$B$10,2,FALSE),0)*'FL Characterization'!L$2)</f>
        <v>54.299758922475881</v>
      </c>
      <c r="M4" s="2">
        <f ca="1">('[1]Pc, Spring, S3'!M4*Main!$B$5)+(_xlfn.IFNA(VLOOKUP($A4,'FL Ratio'!$A$3:$B$10,2,FALSE),0)*'FL Characterization'!M$2)</f>
        <v>53.068613387871373</v>
      </c>
      <c r="N4" s="2">
        <f ca="1">('[1]Pc, Spring, S3'!N4*Main!$B$5)+(_xlfn.IFNA(VLOOKUP($A4,'FL Ratio'!$A$3:$B$10,2,FALSE),0)*'FL Characterization'!N$2)</f>
        <v>54.410202461907218</v>
      </c>
      <c r="O4" s="2">
        <f ca="1">('[1]Pc, Spring, S3'!O4*Main!$B$5)+(_xlfn.IFNA(VLOOKUP($A4,'FL Ratio'!$A$3:$B$10,2,FALSE),0)*'FL Characterization'!O$2)</f>
        <v>55.223069167738821</v>
      </c>
      <c r="P4" s="2">
        <f ca="1">('[1]Pc, Spring, S3'!P4*Main!$B$5)+(_xlfn.IFNA(VLOOKUP($A4,'FL Ratio'!$A$3:$B$10,2,FALSE),0)*'FL Characterization'!P$2)</f>
        <v>57.197159724871717</v>
      </c>
      <c r="Q4" s="2">
        <f ca="1">('[1]Pc, Spring, S3'!Q4*Main!$B$5)+(_xlfn.IFNA(VLOOKUP($A4,'FL Ratio'!$A$3:$B$10,2,FALSE),0)*'FL Characterization'!Q$2)</f>
        <v>51.31482795349357</v>
      </c>
      <c r="R4" s="2">
        <f ca="1">('[1]Pc, Spring, S3'!R4*Main!$B$5)+(_xlfn.IFNA(VLOOKUP($A4,'FL Ratio'!$A$3:$B$10,2,FALSE),0)*'FL Characterization'!R$2)</f>
        <v>52.22028087643411</v>
      </c>
      <c r="S4" s="2">
        <f ca="1">('[1]Pc, Spring, S3'!S4*Main!$B$5)+(_xlfn.IFNA(VLOOKUP($A4,'FL Ratio'!$A$3:$B$10,2,FALSE),0)*'FL Characterization'!S$2)</f>
        <v>54.645204476036682</v>
      </c>
      <c r="T4" s="2">
        <f ca="1">('[1]Pc, Spring, S3'!T4*Main!$B$5)+(_xlfn.IFNA(VLOOKUP($A4,'FL Ratio'!$A$3:$B$10,2,FALSE),0)*'FL Characterization'!T$2)</f>
        <v>59.043278048312494</v>
      </c>
      <c r="U4" s="2">
        <f ca="1">('[1]Pc, Spring, S3'!U4*Main!$B$5)+(_xlfn.IFNA(VLOOKUP($A4,'FL Ratio'!$A$3:$B$10,2,FALSE),0)*'FL Characterization'!U$2)</f>
        <v>56.41407482350553</v>
      </c>
      <c r="V4" s="2">
        <f ca="1">('[1]Pc, Spring, S3'!V4*Main!$B$5)+(_xlfn.IFNA(VLOOKUP($A4,'FL Ratio'!$A$3:$B$10,2,FALSE),0)*'FL Characterization'!V$2)</f>
        <v>55.742113012327884</v>
      </c>
      <c r="W4" s="2">
        <f ca="1">('[1]Pc, Spring, S3'!W4*Main!$B$5)+(_xlfn.IFNA(VLOOKUP($A4,'FL Ratio'!$A$3:$B$10,2,FALSE),0)*'FL Characterization'!W$2)</f>
        <v>55.96533854207658</v>
      </c>
      <c r="X4" s="2">
        <f ca="1">('[1]Pc, Spring, S3'!X4*Main!$B$5)+(_xlfn.IFNA(VLOOKUP($A4,'FL Ratio'!$A$3:$B$10,2,FALSE),0)*'FL Characterization'!X$2)</f>
        <v>55.190979693263884</v>
      </c>
      <c r="Y4" s="2">
        <f ca="1">('[1]Pc, Spring, S3'!Y4*Main!$B$5)+(_xlfn.IFNA(VLOOKUP($A4,'FL Ratio'!$A$3:$B$10,2,FALSE),0)*'FL Characterization'!Y$2)</f>
        <v>50.125547587342936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3E46-6D7A-469F-8A04-3A5E4D10568A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29.379363875649712</v>
      </c>
      <c r="C2" s="2">
        <f ca="1">('[1]Pc, Spring, S3'!C2*Main!$B$5)+(_xlfn.IFNA(VLOOKUP($A2,'FL Ratio'!$A$3:$B$10,2,FALSE),0)*'FL Characterization'!C$2)</f>
        <v>27.605966434122866</v>
      </c>
      <c r="D2" s="2">
        <f ca="1">('[1]Pc, Spring, S3'!D2*Main!$B$5)+(_xlfn.IFNA(VLOOKUP($A2,'FL Ratio'!$A$3:$B$10,2,FALSE),0)*'FL Characterization'!D$2)</f>
        <v>26.782121457553117</v>
      </c>
      <c r="E2" s="2">
        <f ca="1">('[1]Pc, Spring, S3'!E2*Main!$B$5)+(_xlfn.IFNA(VLOOKUP($A2,'FL Ratio'!$A$3:$B$10,2,FALSE),0)*'FL Characterization'!E$2)</f>
        <v>26.140390318579932</v>
      </c>
      <c r="F2" s="2">
        <f ca="1">('[1]Pc, Spring, S3'!F2*Main!$B$5)+(_xlfn.IFNA(VLOOKUP($A2,'FL Ratio'!$A$3:$B$10,2,FALSE),0)*'FL Characterization'!F$2)</f>
        <v>26.107370629687594</v>
      </c>
      <c r="G2" s="2">
        <f ca="1">('[1]Pc, Spring, S3'!G2*Main!$B$5)+(_xlfn.IFNA(VLOOKUP($A2,'FL Ratio'!$A$3:$B$10,2,FALSE),0)*'FL Characterization'!G$2)</f>
        <v>27.080877821622757</v>
      </c>
      <c r="H2" s="2">
        <f ca="1">('[1]Pc, Spring, S3'!H2*Main!$B$5)+(_xlfn.IFNA(VLOOKUP($A2,'FL Ratio'!$A$3:$B$10,2,FALSE),0)*'FL Characterization'!H$2)</f>
        <v>31.258322388767539</v>
      </c>
      <c r="I2" s="2">
        <f ca="1">('[1]Pc, Spring, S3'!I2*Main!$B$5)+(_xlfn.IFNA(VLOOKUP($A2,'FL Ratio'!$A$3:$B$10,2,FALSE),0)*'FL Characterization'!I$2)</f>
        <v>35.538086314637603</v>
      </c>
      <c r="J2" s="2">
        <f ca="1">('[1]Pc, Spring, S3'!J2*Main!$B$5)+(_xlfn.IFNA(VLOOKUP($A2,'FL Ratio'!$A$3:$B$10,2,FALSE),0)*'FL Characterization'!J$2)</f>
        <v>40.162683195522625</v>
      </c>
      <c r="K2" s="2">
        <f ca="1">('[1]Pc, Spring, S3'!K2*Main!$B$5)+(_xlfn.IFNA(VLOOKUP($A2,'FL Ratio'!$A$3:$B$10,2,FALSE),0)*'FL Characterization'!K$2)</f>
        <v>40.917112214223337</v>
      </c>
      <c r="L2" s="2">
        <f ca="1">('[1]Pc, Spring, S3'!L2*Main!$B$5)+(_xlfn.IFNA(VLOOKUP($A2,'FL Ratio'!$A$3:$B$10,2,FALSE),0)*'FL Characterization'!L$2)</f>
        <v>39.705480060901991</v>
      </c>
      <c r="M2" s="2">
        <f ca="1">('[1]Pc, Spring, S3'!M2*Main!$B$5)+(_xlfn.IFNA(VLOOKUP($A2,'FL Ratio'!$A$3:$B$10,2,FALSE),0)*'FL Characterization'!M$2)</f>
        <v>40.188417788497944</v>
      </c>
      <c r="N2" s="2">
        <f ca="1">('[1]Pc, Spring, S3'!N2*Main!$B$5)+(_xlfn.IFNA(VLOOKUP($A2,'FL Ratio'!$A$3:$B$10,2,FALSE),0)*'FL Characterization'!N$2)</f>
        <v>41.968961726504467</v>
      </c>
      <c r="O2" s="2">
        <f ca="1">('[1]Pc, Spring, S3'!O2*Main!$B$5)+(_xlfn.IFNA(VLOOKUP($A2,'FL Ratio'!$A$3:$B$10,2,FALSE),0)*'FL Characterization'!O$2)</f>
        <v>40.148613105505582</v>
      </c>
      <c r="P2" s="2">
        <f ca="1">('[1]Pc, Spring, S3'!P2*Main!$B$5)+(_xlfn.IFNA(VLOOKUP($A2,'FL Ratio'!$A$3:$B$10,2,FALSE),0)*'FL Characterization'!P$2)</f>
        <v>40.236723957198457</v>
      </c>
      <c r="Q2" s="2">
        <f ca="1">('[1]Pc, Spring, S3'!Q2*Main!$B$5)+(_xlfn.IFNA(VLOOKUP($A2,'FL Ratio'!$A$3:$B$10,2,FALSE),0)*'FL Characterization'!Q$2)</f>
        <v>39.191690400739368</v>
      </c>
      <c r="R2" s="2">
        <f ca="1">('[1]Pc, Spring, S3'!R2*Main!$B$5)+(_xlfn.IFNA(VLOOKUP($A2,'FL Ratio'!$A$3:$B$10,2,FALSE),0)*'FL Characterization'!R$2)</f>
        <v>38.396128034737849</v>
      </c>
      <c r="S2" s="2">
        <f ca="1">('[1]Pc, Spring, S3'!S2*Main!$B$5)+(_xlfn.IFNA(VLOOKUP($A2,'FL Ratio'!$A$3:$B$10,2,FALSE),0)*'FL Characterization'!S$2)</f>
        <v>39.280365463115949</v>
      </c>
      <c r="T2" s="2">
        <f ca="1">('[1]Pc, Spring, S3'!T2*Main!$B$5)+(_xlfn.IFNA(VLOOKUP($A2,'FL Ratio'!$A$3:$B$10,2,FALSE),0)*'FL Characterization'!T$2)</f>
        <v>41.939897851264071</v>
      </c>
      <c r="U2" s="2">
        <f ca="1">('[1]Pc, Spring, S3'!U2*Main!$B$5)+(_xlfn.IFNA(VLOOKUP($A2,'FL Ratio'!$A$3:$B$10,2,FALSE),0)*'FL Characterization'!U$2)</f>
        <v>40.009130647362412</v>
      </c>
      <c r="V2" s="2">
        <f ca="1">('[1]Pc, Spring, S3'!V2*Main!$B$5)+(_xlfn.IFNA(VLOOKUP($A2,'FL Ratio'!$A$3:$B$10,2,FALSE),0)*'FL Characterization'!V$2)</f>
        <v>41.4031918585951</v>
      </c>
      <c r="W2" s="2">
        <f ca="1">('[1]Pc, Spring, S3'!W2*Main!$B$5)+(_xlfn.IFNA(VLOOKUP($A2,'FL Ratio'!$A$3:$B$10,2,FALSE),0)*'FL Characterization'!W$2)</f>
        <v>39.950554655742131</v>
      </c>
      <c r="X2" s="2">
        <f ca="1">('[1]Pc, Spring, S3'!X2*Main!$B$5)+(_xlfn.IFNA(VLOOKUP($A2,'FL Ratio'!$A$3:$B$10,2,FALSE),0)*'FL Characterization'!X$2)</f>
        <v>34.982939367197694</v>
      </c>
      <c r="Y2" s="2">
        <f ca="1">('[1]Pc, Spring, S3'!Y2*Main!$B$5)+(_xlfn.IFNA(VLOOKUP($A2,'FL Ratio'!$A$3:$B$10,2,FALSE),0)*'FL Characterization'!Y$2)</f>
        <v>32.641714970365541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29.024548485095867</v>
      </c>
      <c r="C3" s="2">
        <f ca="1">('[1]Pc, Spring, S3'!C3*Main!$B$5)+(_xlfn.IFNA(VLOOKUP($A3,'FL Ratio'!$A$3:$B$10,2,FALSE),0)*'FL Characterization'!C$2)</f>
        <v>28.268784754229738</v>
      </c>
      <c r="D3" s="2">
        <f ca="1">('[1]Pc, Spring, S3'!D3*Main!$B$5)+(_xlfn.IFNA(VLOOKUP($A3,'FL Ratio'!$A$3:$B$10,2,FALSE),0)*'FL Characterization'!D$2)</f>
        <v>25.571913846975303</v>
      </c>
      <c r="E3" s="2">
        <f ca="1">('[1]Pc, Spring, S3'!E3*Main!$B$5)+(_xlfn.IFNA(VLOOKUP($A3,'FL Ratio'!$A$3:$B$10,2,FALSE),0)*'FL Characterization'!E$2)</f>
        <v>25.507297867511667</v>
      </c>
      <c r="F3" s="2">
        <f ca="1">('[1]Pc, Spring, S3'!F3*Main!$B$5)+(_xlfn.IFNA(VLOOKUP($A3,'FL Ratio'!$A$3:$B$10,2,FALSE),0)*'FL Characterization'!F$2)</f>
        <v>25.795024634418137</v>
      </c>
      <c r="G3" s="2">
        <f ca="1">('[1]Pc, Spring, S3'!G3*Main!$B$5)+(_xlfn.IFNA(VLOOKUP($A3,'FL Ratio'!$A$3:$B$10,2,FALSE),0)*'FL Characterization'!G$2)</f>
        <v>27.269951309857774</v>
      </c>
      <c r="H3" s="2">
        <f ca="1">('[1]Pc, Spring, S3'!H3*Main!$B$5)+(_xlfn.IFNA(VLOOKUP($A3,'FL Ratio'!$A$3:$B$10,2,FALSE),0)*'FL Characterization'!H$2)</f>
        <v>34.968374338160935</v>
      </c>
      <c r="I3" s="2">
        <f ca="1">('[1]Pc, Spring, S3'!I3*Main!$B$5)+(_xlfn.IFNA(VLOOKUP($A3,'FL Ratio'!$A$3:$B$10,2,FALSE),0)*'FL Characterization'!I$2)</f>
        <v>43.001137704905872</v>
      </c>
      <c r="J3" s="2">
        <f ca="1">('[1]Pc, Spring, S3'!J3*Main!$B$5)+(_xlfn.IFNA(VLOOKUP($A3,'FL Ratio'!$A$3:$B$10,2,FALSE),0)*'FL Characterization'!J$2)</f>
        <v>46.312945964934706</v>
      </c>
      <c r="K3" s="2">
        <f ca="1">('[1]Pc, Spring, S3'!K3*Main!$B$5)+(_xlfn.IFNA(VLOOKUP($A3,'FL Ratio'!$A$3:$B$10,2,FALSE),0)*'FL Characterization'!K$2)</f>
        <v>45.266386477010293</v>
      </c>
      <c r="L3" s="2">
        <f ca="1">('[1]Pc, Spring, S3'!L3*Main!$B$5)+(_xlfn.IFNA(VLOOKUP($A3,'FL Ratio'!$A$3:$B$10,2,FALSE),0)*'FL Characterization'!L$2)</f>
        <v>43.7772567610686</v>
      </c>
      <c r="M3" s="2">
        <f ca="1">('[1]Pc, Spring, S3'!M3*Main!$B$5)+(_xlfn.IFNA(VLOOKUP($A3,'FL Ratio'!$A$3:$B$10,2,FALSE),0)*'FL Characterization'!M$2)</f>
        <v>47.826212329800491</v>
      </c>
      <c r="N3" s="2">
        <f ca="1">('[1]Pc, Spring, S3'!N3*Main!$B$5)+(_xlfn.IFNA(VLOOKUP($A3,'FL Ratio'!$A$3:$B$10,2,FALSE),0)*'FL Characterization'!N$2)</f>
        <v>46.381207349230529</v>
      </c>
      <c r="O3" s="2">
        <f ca="1">('[1]Pc, Spring, S3'!O3*Main!$B$5)+(_xlfn.IFNA(VLOOKUP($A3,'FL Ratio'!$A$3:$B$10,2,FALSE),0)*'FL Characterization'!O$2)</f>
        <v>45.803524610906379</v>
      </c>
      <c r="P3" s="2">
        <f ca="1">('[1]Pc, Spring, S3'!P3*Main!$B$5)+(_xlfn.IFNA(VLOOKUP($A3,'FL Ratio'!$A$3:$B$10,2,FALSE),0)*'FL Characterization'!P$2)</f>
        <v>42.927572286000093</v>
      </c>
      <c r="Q3" s="2">
        <f ca="1">('[1]Pc, Spring, S3'!Q3*Main!$B$5)+(_xlfn.IFNA(VLOOKUP($A3,'FL Ratio'!$A$3:$B$10,2,FALSE),0)*'FL Characterization'!Q$2)</f>
        <v>41.031910727216562</v>
      </c>
      <c r="R3" s="2">
        <f ca="1">('[1]Pc, Spring, S3'!R3*Main!$B$5)+(_xlfn.IFNA(VLOOKUP($A3,'FL Ratio'!$A$3:$B$10,2,FALSE),0)*'FL Characterization'!R$2)</f>
        <v>39.682464841995021</v>
      </c>
      <c r="S3" s="2">
        <f ca="1">('[1]Pc, Spring, S3'!S3*Main!$B$5)+(_xlfn.IFNA(VLOOKUP($A3,'FL Ratio'!$A$3:$B$10,2,FALSE),0)*'FL Characterization'!S$2)</f>
        <v>40.839465967242461</v>
      </c>
      <c r="T3" s="2">
        <f ca="1">('[1]Pc, Spring, S3'!T3*Main!$B$5)+(_xlfn.IFNA(VLOOKUP($A3,'FL Ratio'!$A$3:$B$10,2,FALSE),0)*'FL Characterization'!T$2)</f>
        <v>39.240668177981057</v>
      </c>
      <c r="U3" s="2">
        <f ca="1">('[1]Pc, Spring, S3'!U3*Main!$B$5)+(_xlfn.IFNA(VLOOKUP($A3,'FL Ratio'!$A$3:$B$10,2,FALSE),0)*'FL Characterization'!U$2)</f>
        <v>41.157422592633296</v>
      </c>
      <c r="V3" s="2">
        <f ca="1">('[1]Pc, Spring, S3'!V3*Main!$B$5)+(_xlfn.IFNA(VLOOKUP($A3,'FL Ratio'!$A$3:$B$10,2,FALSE),0)*'FL Characterization'!V$2)</f>
        <v>39.462719087300911</v>
      </c>
      <c r="W3" s="2">
        <f ca="1">('[1]Pc, Spring, S3'!W3*Main!$B$5)+(_xlfn.IFNA(VLOOKUP($A3,'FL Ratio'!$A$3:$B$10,2,FALSE),0)*'FL Characterization'!W$2)</f>
        <v>38.434087132975208</v>
      </c>
      <c r="X3" s="2">
        <f ca="1">('[1]Pc, Spring, S3'!X3*Main!$B$5)+(_xlfn.IFNA(VLOOKUP($A3,'FL Ratio'!$A$3:$B$10,2,FALSE),0)*'FL Characterization'!X$2)</f>
        <v>35.684624628831671</v>
      </c>
      <c r="Y3" s="2">
        <f ca="1">('[1]Pc, Spring, S3'!Y3*Main!$B$5)+(_xlfn.IFNA(VLOOKUP($A3,'FL Ratio'!$A$3:$B$10,2,FALSE),0)*'FL Characterization'!Y$2)</f>
        <v>31.987816437658918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42.451107844278262</v>
      </c>
      <c r="C4" s="2">
        <f ca="1">('[1]Pc, Spring, S3'!C4*Main!$B$5)+(_xlfn.IFNA(VLOOKUP($A4,'FL Ratio'!$A$3:$B$10,2,FALSE),0)*'FL Characterization'!C$2)</f>
        <v>36.731498609285886</v>
      </c>
      <c r="D4" s="2">
        <f ca="1">('[1]Pc, Spring, S3'!D4*Main!$B$5)+(_xlfn.IFNA(VLOOKUP($A4,'FL Ratio'!$A$3:$B$10,2,FALSE),0)*'FL Characterization'!D$2)</f>
        <v>35.631532443670757</v>
      </c>
      <c r="E4" s="2">
        <f ca="1">('[1]Pc, Spring, S3'!E4*Main!$B$5)+(_xlfn.IFNA(VLOOKUP($A4,'FL Ratio'!$A$3:$B$10,2,FALSE),0)*'FL Characterization'!E$2)</f>
        <v>34.499800243769371</v>
      </c>
      <c r="F4" s="2">
        <f ca="1">('[1]Pc, Spring, S3'!F4*Main!$B$5)+(_xlfn.IFNA(VLOOKUP($A4,'FL Ratio'!$A$3:$B$10,2,FALSE),0)*'FL Characterization'!F$2)</f>
        <v>34.775386259818049</v>
      </c>
      <c r="G4" s="2">
        <f ca="1">('[1]Pc, Spring, S3'!G4*Main!$B$5)+(_xlfn.IFNA(VLOOKUP($A4,'FL Ratio'!$A$3:$B$10,2,FALSE),0)*'FL Characterization'!G$2)</f>
        <v>34.126127020507312</v>
      </c>
      <c r="H4" s="2">
        <f ca="1">('[1]Pc, Spring, S3'!H4*Main!$B$5)+(_xlfn.IFNA(VLOOKUP($A4,'FL Ratio'!$A$3:$B$10,2,FALSE),0)*'FL Characterization'!H$2)</f>
        <v>39.699213498058967</v>
      </c>
      <c r="I4" s="2">
        <f ca="1">('[1]Pc, Spring, S3'!I4*Main!$B$5)+(_xlfn.IFNA(VLOOKUP($A4,'FL Ratio'!$A$3:$B$10,2,FALSE),0)*'FL Characterization'!I$2)</f>
        <v>45.37935029689487</v>
      </c>
      <c r="J4" s="2">
        <f ca="1">('[1]Pc, Spring, S3'!J4*Main!$B$5)+(_xlfn.IFNA(VLOOKUP($A4,'FL Ratio'!$A$3:$B$10,2,FALSE),0)*'FL Characterization'!J$2)</f>
        <v>51.372014449014877</v>
      </c>
      <c r="K4" s="2">
        <f ca="1">('[1]Pc, Spring, S3'!K4*Main!$B$5)+(_xlfn.IFNA(VLOOKUP($A4,'FL Ratio'!$A$3:$B$10,2,FALSE),0)*'FL Characterization'!K$2)</f>
        <v>55.052857441207067</v>
      </c>
      <c r="L4" s="2">
        <f ca="1">('[1]Pc, Spring, S3'!L4*Main!$B$5)+(_xlfn.IFNA(VLOOKUP($A4,'FL Ratio'!$A$3:$B$10,2,FALSE),0)*'FL Characterization'!L$2)</f>
        <v>54.299758922475881</v>
      </c>
      <c r="M4" s="2">
        <f ca="1">('[1]Pc, Spring, S3'!M4*Main!$B$5)+(_xlfn.IFNA(VLOOKUP($A4,'FL Ratio'!$A$3:$B$10,2,FALSE),0)*'FL Characterization'!M$2)</f>
        <v>53.068613387871373</v>
      </c>
      <c r="N4" s="2">
        <f ca="1">('[1]Pc, Spring, S3'!N4*Main!$B$5)+(_xlfn.IFNA(VLOOKUP($A4,'FL Ratio'!$A$3:$B$10,2,FALSE),0)*'FL Characterization'!N$2)</f>
        <v>54.410202461907218</v>
      </c>
      <c r="O4" s="2">
        <f ca="1">('[1]Pc, Spring, S3'!O4*Main!$B$5)+(_xlfn.IFNA(VLOOKUP($A4,'FL Ratio'!$A$3:$B$10,2,FALSE),0)*'FL Characterization'!O$2)</f>
        <v>55.223069167738821</v>
      </c>
      <c r="P4" s="2">
        <f ca="1">('[1]Pc, Spring, S3'!P4*Main!$B$5)+(_xlfn.IFNA(VLOOKUP($A4,'FL Ratio'!$A$3:$B$10,2,FALSE),0)*'FL Characterization'!P$2)</f>
        <v>57.197159724871717</v>
      </c>
      <c r="Q4" s="2">
        <f ca="1">('[1]Pc, Spring, S3'!Q4*Main!$B$5)+(_xlfn.IFNA(VLOOKUP($A4,'FL Ratio'!$A$3:$B$10,2,FALSE),0)*'FL Characterization'!Q$2)</f>
        <v>51.31482795349357</v>
      </c>
      <c r="R4" s="2">
        <f ca="1">('[1]Pc, Spring, S3'!R4*Main!$B$5)+(_xlfn.IFNA(VLOOKUP($A4,'FL Ratio'!$A$3:$B$10,2,FALSE),0)*'FL Characterization'!R$2)</f>
        <v>52.22028087643411</v>
      </c>
      <c r="S4" s="2">
        <f ca="1">('[1]Pc, Spring, S3'!S4*Main!$B$5)+(_xlfn.IFNA(VLOOKUP($A4,'FL Ratio'!$A$3:$B$10,2,FALSE),0)*'FL Characterization'!S$2)</f>
        <v>54.645204476036682</v>
      </c>
      <c r="T4" s="2">
        <f ca="1">('[1]Pc, Spring, S3'!T4*Main!$B$5)+(_xlfn.IFNA(VLOOKUP($A4,'FL Ratio'!$A$3:$B$10,2,FALSE),0)*'FL Characterization'!T$2)</f>
        <v>59.043278048312494</v>
      </c>
      <c r="U4" s="2">
        <f ca="1">('[1]Pc, Spring, S3'!U4*Main!$B$5)+(_xlfn.IFNA(VLOOKUP($A4,'FL Ratio'!$A$3:$B$10,2,FALSE),0)*'FL Characterization'!U$2)</f>
        <v>56.41407482350553</v>
      </c>
      <c r="V4" s="2">
        <f ca="1">('[1]Pc, Spring, S3'!V4*Main!$B$5)+(_xlfn.IFNA(VLOOKUP($A4,'FL Ratio'!$A$3:$B$10,2,FALSE),0)*'FL Characterization'!V$2)</f>
        <v>55.742113012327884</v>
      </c>
      <c r="W4" s="2">
        <f ca="1">('[1]Pc, Spring, S3'!W4*Main!$B$5)+(_xlfn.IFNA(VLOOKUP($A4,'FL Ratio'!$A$3:$B$10,2,FALSE),0)*'FL Characterization'!W$2)</f>
        <v>55.96533854207658</v>
      </c>
      <c r="X4" s="2">
        <f ca="1">('[1]Pc, Spring, S3'!X4*Main!$B$5)+(_xlfn.IFNA(VLOOKUP($A4,'FL Ratio'!$A$3:$B$10,2,FALSE),0)*'FL Characterization'!X$2)</f>
        <v>55.190979693263884</v>
      </c>
      <c r="Y4" s="2">
        <f ca="1">('[1]Pc, Spring, S3'!Y4*Main!$B$5)+(_xlfn.IFNA(VLOOKUP($A4,'FL Ratio'!$A$3:$B$10,2,FALSE),0)*'FL Characterization'!Y$2)</f>
        <v>50.125547587342936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15FD7-DA4E-4F62-8BFF-59F914C0DD2D}">
  <dimension ref="A1:Y28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Spring, S3'!B2*Main!$B$5)+(_xlfn.IFNA(VLOOKUP($A2,'FL Ratio'!$A$3:$B$10,2,FALSE),0)*'FL Characterization'!B$2)</f>
        <v>29.379363875649712</v>
      </c>
      <c r="C2" s="2">
        <f ca="1">('[1]Pc, Spring, S3'!C2*Main!$B$5)+(_xlfn.IFNA(VLOOKUP($A2,'FL Ratio'!$A$3:$B$10,2,FALSE),0)*'FL Characterization'!C$2)</f>
        <v>27.605966434122866</v>
      </c>
      <c r="D2" s="2">
        <f ca="1">('[1]Pc, Spring, S3'!D2*Main!$B$5)+(_xlfn.IFNA(VLOOKUP($A2,'FL Ratio'!$A$3:$B$10,2,FALSE),0)*'FL Characterization'!D$2)</f>
        <v>26.782121457553117</v>
      </c>
      <c r="E2" s="2">
        <f ca="1">('[1]Pc, Spring, S3'!E2*Main!$B$5)+(_xlfn.IFNA(VLOOKUP($A2,'FL Ratio'!$A$3:$B$10,2,FALSE),0)*'FL Characterization'!E$2)</f>
        <v>26.140390318579932</v>
      </c>
      <c r="F2" s="2">
        <f ca="1">('[1]Pc, Spring, S3'!F2*Main!$B$5)+(_xlfn.IFNA(VLOOKUP($A2,'FL Ratio'!$A$3:$B$10,2,FALSE),0)*'FL Characterization'!F$2)</f>
        <v>26.107370629687594</v>
      </c>
      <c r="G2" s="2">
        <f ca="1">('[1]Pc, Spring, S3'!G2*Main!$B$5)+(_xlfn.IFNA(VLOOKUP($A2,'FL Ratio'!$A$3:$B$10,2,FALSE),0)*'FL Characterization'!G$2)</f>
        <v>27.080877821622757</v>
      </c>
      <c r="H2" s="2">
        <f ca="1">('[1]Pc, Spring, S3'!H2*Main!$B$5)+(_xlfn.IFNA(VLOOKUP($A2,'FL Ratio'!$A$3:$B$10,2,FALSE),0)*'FL Characterization'!H$2)</f>
        <v>31.258322388767539</v>
      </c>
      <c r="I2" s="2">
        <f ca="1">('[1]Pc, Spring, S3'!I2*Main!$B$5)+(_xlfn.IFNA(VLOOKUP($A2,'FL Ratio'!$A$3:$B$10,2,FALSE),0)*'FL Characterization'!I$2)</f>
        <v>35.538086314637603</v>
      </c>
      <c r="J2" s="2">
        <f ca="1">('[1]Pc, Spring, S3'!J2*Main!$B$5)+(_xlfn.IFNA(VLOOKUP($A2,'FL Ratio'!$A$3:$B$10,2,FALSE),0)*'FL Characterization'!J$2)</f>
        <v>40.162683195522625</v>
      </c>
      <c r="K2" s="2">
        <f ca="1">('[1]Pc, Spring, S3'!K2*Main!$B$5)+(_xlfn.IFNA(VLOOKUP($A2,'FL Ratio'!$A$3:$B$10,2,FALSE),0)*'FL Characterization'!K$2)</f>
        <v>40.917112214223337</v>
      </c>
      <c r="L2" s="2">
        <f ca="1">('[1]Pc, Spring, S3'!L2*Main!$B$5)+(_xlfn.IFNA(VLOOKUP($A2,'FL Ratio'!$A$3:$B$10,2,FALSE),0)*'FL Characterization'!L$2)</f>
        <v>39.705480060901991</v>
      </c>
      <c r="M2" s="2">
        <f ca="1">('[1]Pc, Spring, S3'!M2*Main!$B$5)+(_xlfn.IFNA(VLOOKUP($A2,'FL Ratio'!$A$3:$B$10,2,FALSE),0)*'FL Characterization'!M$2)</f>
        <v>40.188417788497944</v>
      </c>
      <c r="N2" s="2">
        <f ca="1">('[1]Pc, Spring, S3'!N2*Main!$B$5)+(_xlfn.IFNA(VLOOKUP($A2,'FL Ratio'!$A$3:$B$10,2,FALSE),0)*'FL Characterization'!N$2)</f>
        <v>41.968961726504467</v>
      </c>
      <c r="O2" s="2">
        <f ca="1">('[1]Pc, Spring, S3'!O2*Main!$B$5)+(_xlfn.IFNA(VLOOKUP($A2,'FL Ratio'!$A$3:$B$10,2,FALSE),0)*'FL Characterization'!O$2)</f>
        <v>40.148613105505582</v>
      </c>
      <c r="P2" s="2">
        <f ca="1">('[1]Pc, Spring, S3'!P2*Main!$B$5)+(_xlfn.IFNA(VLOOKUP($A2,'FL Ratio'!$A$3:$B$10,2,FALSE),0)*'FL Characterization'!P$2)</f>
        <v>40.236723957198457</v>
      </c>
      <c r="Q2" s="2">
        <f ca="1">('[1]Pc, Spring, S3'!Q2*Main!$B$5)+(_xlfn.IFNA(VLOOKUP($A2,'FL Ratio'!$A$3:$B$10,2,FALSE),0)*'FL Characterization'!Q$2)</f>
        <v>39.191690400739368</v>
      </c>
      <c r="R2" s="2">
        <f ca="1">('[1]Pc, Spring, S3'!R2*Main!$B$5)+(_xlfn.IFNA(VLOOKUP($A2,'FL Ratio'!$A$3:$B$10,2,FALSE),0)*'FL Characterization'!R$2)</f>
        <v>38.396128034737849</v>
      </c>
      <c r="S2" s="2">
        <f ca="1">('[1]Pc, Spring, S3'!S2*Main!$B$5)+(_xlfn.IFNA(VLOOKUP($A2,'FL Ratio'!$A$3:$B$10,2,FALSE),0)*'FL Characterization'!S$2)</f>
        <v>39.280365463115949</v>
      </c>
      <c r="T2" s="2">
        <f ca="1">('[1]Pc, Spring, S3'!T2*Main!$B$5)+(_xlfn.IFNA(VLOOKUP($A2,'FL Ratio'!$A$3:$B$10,2,FALSE),0)*'FL Characterization'!T$2)</f>
        <v>41.939897851264071</v>
      </c>
      <c r="U2" s="2">
        <f ca="1">('[1]Pc, Spring, S3'!U2*Main!$B$5)+(_xlfn.IFNA(VLOOKUP($A2,'FL Ratio'!$A$3:$B$10,2,FALSE),0)*'FL Characterization'!U$2)</f>
        <v>40.009130647362412</v>
      </c>
      <c r="V2" s="2">
        <f ca="1">('[1]Pc, Spring, S3'!V2*Main!$B$5)+(_xlfn.IFNA(VLOOKUP($A2,'FL Ratio'!$A$3:$B$10,2,FALSE),0)*'FL Characterization'!V$2)</f>
        <v>41.4031918585951</v>
      </c>
      <c r="W2" s="2">
        <f ca="1">('[1]Pc, Spring, S3'!W2*Main!$B$5)+(_xlfn.IFNA(VLOOKUP($A2,'FL Ratio'!$A$3:$B$10,2,FALSE),0)*'FL Characterization'!W$2)</f>
        <v>39.950554655742131</v>
      </c>
      <c r="X2" s="2">
        <f ca="1">('[1]Pc, Spring, S3'!X2*Main!$B$5)+(_xlfn.IFNA(VLOOKUP($A2,'FL Ratio'!$A$3:$B$10,2,FALSE),0)*'FL Characterization'!X$2)</f>
        <v>34.982939367197694</v>
      </c>
      <c r="Y2" s="2">
        <f ca="1">('[1]Pc, Spring, S3'!Y2*Main!$B$5)+(_xlfn.IFNA(VLOOKUP($A2,'FL Ratio'!$A$3:$B$10,2,FALSE),0)*'FL Characterization'!Y$2)</f>
        <v>32.641714970365541</v>
      </c>
    </row>
    <row r="3" spans="1:25" x14ac:dyDescent="0.3">
      <c r="A3">
        <v>2</v>
      </c>
      <c r="B3" s="2">
        <f ca="1">('[1]Pc, Spring, S3'!B3*Main!$B$5)+(_xlfn.IFNA(VLOOKUP($A3,'FL Ratio'!$A$3:$B$10,2,FALSE),0)*'FL Characterization'!B$2)</f>
        <v>29.024548485095867</v>
      </c>
      <c r="C3" s="2">
        <f ca="1">('[1]Pc, Spring, S3'!C3*Main!$B$5)+(_xlfn.IFNA(VLOOKUP($A3,'FL Ratio'!$A$3:$B$10,2,FALSE),0)*'FL Characterization'!C$2)</f>
        <v>28.268784754229738</v>
      </c>
      <c r="D3" s="2">
        <f ca="1">('[1]Pc, Spring, S3'!D3*Main!$B$5)+(_xlfn.IFNA(VLOOKUP($A3,'FL Ratio'!$A$3:$B$10,2,FALSE),0)*'FL Characterization'!D$2)</f>
        <v>25.571913846975303</v>
      </c>
      <c r="E3" s="2">
        <f ca="1">('[1]Pc, Spring, S3'!E3*Main!$B$5)+(_xlfn.IFNA(VLOOKUP($A3,'FL Ratio'!$A$3:$B$10,2,FALSE),0)*'FL Characterization'!E$2)</f>
        <v>25.507297867511667</v>
      </c>
      <c r="F3" s="2">
        <f ca="1">('[1]Pc, Spring, S3'!F3*Main!$B$5)+(_xlfn.IFNA(VLOOKUP($A3,'FL Ratio'!$A$3:$B$10,2,FALSE),0)*'FL Characterization'!F$2)</f>
        <v>25.795024634418137</v>
      </c>
      <c r="G3" s="2">
        <f ca="1">('[1]Pc, Spring, S3'!G3*Main!$B$5)+(_xlfn.IFNA(VLOOKUP($A3,'FL Ratio'!$A$3:$B$10,2,FALSE),0)*'FL Characterization'!G$2)</f>
        <v>27.269951309857774</v>
      </c>
      <c r="H3" s="2">
        <f ca="1">('[1]Pc, Spring, S3'!H3*Main!$B$5)+(_xlfn.IFNA(VLOOKUP($A3,'FL Ratio'!$A$3:$B$10,2,FALSE),0)*'FL Characterization'!H$2)</f>
        <v>34.968374338160935</v>
      </c>
      <c r="I3" s="2">
        <f ca="1">('[1]Pc, Spring, S3'!I3*Main!$B$5)+(_xlfn.IFNA(VLOOKUP($A3,'FL Ratio'!$A$3:$B$10,2,FALSE),0)*'FL Characterization'!I$2)</f>
        <v>43.001137704905872</v>
      </c>
      <c r="J3" s="2">
        <f ca="1">('[1]Pc, Spring, S3'!J3*Main!$B$5)+(_xlfn.IFNA(VLOOKUP($A3,'FL Ratio'!$A$3:$B$10,2,FALSE),0)*'FL Characterization'!J$2)</f>
        <v>46.312945964934706</v>
      </c>
      <c r="K3" s="2">
        <f ca="1">('[1]Pc, Spring, S3'!K3*Main!$B$5)+(_xlfn.IFNA(VLOOKUP($A3,'FL Ratio'!$A$3:$B$10,2,FALSE),0)*'FL Characterization'!K$2)</f>
        <v>45.266386477010293</v>
      </c>
      <c r="L3" s="2">
        <f ca="1">('[1]Pc, Spring, S3'!L3*Main!$B$5)+(_xlfn.IFNA(VLOOKUP($A3,'FL Ratio'!$A$3:$B$10,2,FALSE),0)*'FL Characterization'!L$2)</f>
        <v>43.7772567610686</v>
      </c>
      <c r="M3" s="2">
        <f ca="1">('[1]Pc, Spring, S3'!M3*Main!$B$5)+(_xlfn.IFNA(VLOOKUP($A3,'FL Ratio'!$A$3:$B$10,2,FALSE),0)*'FL Characterization'!M$2)</f>
        <v>47.826212329800491</v>
      </c>
      <c r="N3" s="2">
        <f ca="1">('[1]Pc, Spring, S3'!N3*Main!$B$5)+(_xlfn.IFNA(VLOOKUP($A3,'FL Ratio'!$A$3:$B$10,2,FALSE),0)*'FL Characterization'!N$2)</f>
        <v>46.381207349230529</v>
      </c>
      <c r="O3" s="2">
        <f ca="1">('[1]Pc, Spring, S3'!O3*Main!$B$5)+(_xlfn.IFNA(VLOOKUP($A3,'FL Ratio'!$A$3:$B$10,2,FALSE),0)*'FL Characterization'!O$2)</f>
        <v>45.803524610906379</v>
      </c>
      <c r="P3" s="2">
        <f ca="1">('[1]Pc, Spring, S3'!P3*Main!$B$5)+(_xlfn.IFNA(VLOOKUP($A3,'FL Ratio'!$A$3:$B$10,2,FALSE),0)*'FL Characterization'!P$2)</f>
        <v>42.927572286000093</v>
      </c>
      <c r="Q3" s="2">
        <f ca="1">('[1]Pc, Spring, S3'!Q3*Main!$B$5)+(_xlfn.IFNA(VLOOKUP($A3,'FL Ratio'!$A$3:$B$10,2,FALSE),0)*'FL Characterization'!Q$2)</f>
        <v>41.031910727216562</v>
      </c>
      <c r="R3" s="2">
        <f ca="1">('[1]Pc, Spring, S3'!R3*Main!$B$5)+(_xlfn.IFNA(VLOOKUP($A3,'FL Ratio'!$A$3:$B$10,2,FALSE),0)*'FL Characterization'!R$2)</f>
        <v>39.682464841995021</v>
      </c>
      <c r="S3" s="2">
        <f ca="1">('[1]Pc, Spring, S3'!S3*Main!$B$5)+(_xlfn.IFNA(VLOOKUP($A3,'FL Ratio'!$A$3:$B$10,2,FALSE),0)*'FL Characterization'!S$2)</f>
        <v>40.839465967242461</v>
      </c>
      <c r="T3" s="2">
        <f ca="1">('[1]Pc, Spring, S3'!T3*Main!$B$5)+(_xlfn.IFNA(VLOOKUP($A3,'FL Ratio'!$A$3:$B$10,2,FALSE),0)*'FL Characterization'!T$2)</f>
        <v>39.240668177981057</v>
      </c>
      <c r="U3" s="2">
        <f ca="1">('[1]Pc, Spring, S3'!U3*Main!$B$5)+(_xlfn.IFNA(VLOOKUP($A3,'FL Ratio'!$A$3:$B$10,2,FALSE),0)*'FL Characterization'!U$2)</f>
        <v>41.157422592633296</v>
      </c>
      <c r="V3" s="2">
        <f ca="1">('[1]Pc, Spring, S3'!V3*Main!$B$5)+(_xlfn.IFNA(VLOOKUP($A3,'FL Ratio'!$A$3:$B$10,2,FALSE),0)*'FL Characterization'!V$2)</f>
        <v>39.462719087300911</v>
      </c>
      <c r="W3" s="2">
        <f ca="1">('[1]Pc, Spring, S3'!W3*Main!$B$5)+(_xlfn.IFNA(VLOOKUP($A3,'FL Ratio'!$A$3:$B$10,2,FALSE),0)*'FL Characterization'!W$2)</f>
        <v>38.434087132975208</v>
      </c>
      <c r="X3" s="2">
        <f ca="1">('[1]Pc, Spring, S3'!X3*Main!$B$5)+(_xlfn.IFNA(VLOOKUP($A3,'FL Ratio'!$A$3:$B$10,2,FALSE),0)*'FL Characterization'!X$2)</f>
        <v>35.684624628831671</v>
      </c>
      <c r="Y3" s="2">
        <f ca="1">('[1]Pc, Spring, S3'!Y3*Main!$B$5)+(_xlfn.IFNA(VLOOKUP($A3,'FL Ratio'!$A$3:$B$10,2,FALSE),0)*'FL Characterization'!Y$2)</f>
        <v>31.987816437658918</v>
      </c>
    </row>
    <row r="4" spans="1:25" x14ac:dyDescent="0.3">
      <c r="A4">
        <v>3</v>
      </c>
      <c r="B4" s="2">
        <f ca="1">('[1]Pc, Spring, S3'!B4*Main!$B$5)+(_xlfn.IFNA(VLOOKUP($A4,'FL Ratio'!$A$3:$B$10,2,FALSE),0)*'FL Characterization'!B$2)</f>
        <v>42.451107844278262</v>
      </c>
      <c r="C4" s="2">
        <f ca="1">('[1]Pc, Spring, S3'!C4*Main!$B$5)+(_xlfn.IFNA(VLOOKUP($A4,'FL Ratio'!$A$3:$B$10,2,FALSE),0)*'FL Characterization'!C$2)</f>
        <v>36.731498609285886</v>
      </c>
      <c r="D4" s="2">
        <f ca="1">('[1]Pc, Spring, S3'!D4*Main!$B$5)+(_xlfn.IFNA(VLOOKUP($A4,'FL Ratio'!$A$3:$B$10,2,FALSE),0)*'FL Characterization'!D$2)</f>
        <v>35.631532443670757</v>
      </c>
      <c r="E4" s="2">
        <f ca="1">('[1]Pc, Spring, S3'!E4*Main!$B$5)+(_xlfn.IFNA(VLOOKUP($A4,'FL Ratio'!$A$3:$B$10,2,FALSE),0)*'FL Characterization'!E$2)</f>
        <v>34.499800243769371</v>
      </c>
      <c r="F4" s="2">
        <f ca="1">('[1]Pc, Spring, S3'!F4*Main!$B$5)+(_xlfn.IFNA(VLOOKUP($A4,'FL Ratio'!$A$3:$B$10,2,FALSE),0)*'FL Characterization'!F$2)</f>
        <v>34.775386259818049</v>
      </c>
      <c r="G4" s="2">
        <f ca="1">('[1]Pc, Spring, S3'!G4*Main!$B$5)+(_xlfn.IFNA(VLOOKUP($A4,'FL Ratio'!$A$3:$B$10,2,FALSE),0)*'FL Characterization'!G$2)</f>
        <v>34.126127020507312</v>
      </c>
      <c r="H4" s="2">
        <f ca="1">('[1]Pc, Spring, S3'!H4*Main!$B$5)+(_xlfn.IFNA(VLOOKUP($A4,'FL Ratio'!$A$3:$B$10,2,FALSE),0)*'FL Characterization'!H$2)</f>
        <v>39.699213498058967</v>
      </c>
      <c r="I4" s="2">
        <f ca="1">('[1]Pc, Spring, S3'!I4*Main!$B$5)+(_xlfn.IFNA(VLOOKUP($A4,'FL Ratio'!$A$3:$B$10,2,FALSE),0)*'FL Characterization'!I$2)</f>
        <v>45.37935029689487</v>
      </c>
      <c r="J4" s="2">
        <f ca="1">('[1]Pc, Spring, S3'!J4*Main!$B$5)+(_xlfn.IFNA(VLOOKUP($A4,'FL Ratio'!$A$3:$B$10,2,FALSE),0)*'FL Characterization'!J$2)</f>
        <v>51.372014449014877</v>
      </c>
      <c r="K4" s="2">
        <f ca="1">('[1]Pc, Spring, S3'!K4*Main!$B$5)+(_xlfn.IFNA(VLOOKUP($A4,'FL Ratio'!$A$3:$B$10,2,FALSE),0)*'FL Characterization'!K$2)</f>
        <v>55.052857441207067</v>
      </c>
      <c r="L4" s="2">
        <f ca="1">('[1]Pc, Spring, S3'!L4*Main!$B$5)+(_xlfn.IFNA(VLOOKUP($A4,'FL Ratio'!$A$3:$B$10,2,FALSE),0)*'FL Characterization'!L$2)</f>
        <v>54.299758922475881</v>
      </c>
      <c r="M4" s="2">
        <f ca="1">('[1]Pc, Spring, S3'!M4*Main!$B$5)+(_xlfn.IFNA(VLOOKUP($A4,'FL Ratio'!$A$3:$B$10,2,FALSE),0)*'FL Characterization'!M$2)</f>
        <v>53.068613387871373</v>
      </c>
      <c r="N4" s="2">
        <f ca="1">('[1]Pc, Spring, S3'!N4*Main!$B$5)+(_xlfn.IFNA(VLOOKUP($A4,'FL Ratio'!$A$3:$B$10,2,FALSE),0)*'FL Characterization'!N$2)</f>
        <v>54.410202461907218</v>
      </c>
      <c r="O4" s="2">
        <f ca="1">('[1]Pc, Spring, S3'!O4*Main!$B$5)+(_xlfn.IFNA(VLOOKUP($A4,'FL Ratio'!$A$3:$B$10,2,FALSE),0)*'FL Characterization'!O$2)</f>
        <v>55.223069167738821</v>
      </c>
      <c r="P4" s="2">
        <f ca="1">('[1]Pc, Spring, S3'!P4*Main!$B$5)+(_xlfn.IFNA(VLOOKUP($A4,'FL Ratio'!$A$3:$B$10,2,FALSE),0)*'FL Characterization'!P$2)</f>
        <v>57.197159724871717</v>
      </c>
      <c r="Q4" s="2">
        <f ca="1">('[1]Pc, Spring, S3'!Q4*Main!$B$5)+(_xlfn.IFNA(VLOOKUP($A4,'FL Ratio'!$A$3:$B$10,2,FALSE),0)*'FL Characterization'!Q$2)</f>
        <v>51.31482795349357</v>
      </c>
      <c r="R4" s="2">
        <f ca="1">('[1]Pc, Spring, S3'!R4*Main!$B$5)+(_xlfn.IFNA(VLOOKUP($A4,'FL Ratio'!$A$3:$B$10,2,FALSE),0)*'FL Characterization'!R$2)</f>
        <v>52.22028087643411</v>
      </c>
      <c r="S4" s="2">
        <f ca="1">('[1]Pc, Spring, S3'!S4*Main!$B$5)+(_xlfn.IFNA(VLOOKUP($A4,'FL Ratio'!$A$3:$B$10,2,FALSE),0)*'FL Characterization'!S$2)</f>
        <v>54.645204476036682</v>
      </c>
      <c r="T4" s="2">
        <f ca="1">('[1]Pc, Spring, S3'!T4*Main!$B$5)+(_xlfn.IFNA(VLOOKUP($A4,'FL Ratio'!$A$3:$B$10,2,FALSE),0)*'FL Characterization'!T$2)</f>
        <v>59.043278048312494</v>
      </c>
      <c r="U4" s="2">
        <f ca="1">('[1]Pc, Spring, S3'!U4*Main!$B$5)+(_xlfn.IFNA(VLOOKUP($A4,'FL Ratio'!$A$3:$B$10,2,FALSE),0)*'FL Characterization'!U$2)</f>
        <v>56.41407482350553</v>
      </c>
      <c r="V4" s="2">
        <f ca="1">('[1]Pc, Spring, S3'!V4*Main!$B$5)+(_xlfn.IFNA(VLOOKUP($A4,'FL Ratio'!$A$3:$B$10,2,FALSE),0)*'FL Characterization'!V$2)</f>
        <v>55.742113012327884</v>
      </c>
      <c r="W4" s="2">
        <f ca="1">('[1]Pc, Spring, S3'!W4*Main!$B$5)+(_xlfn.IFNA(VLOOKUP($A4,'FL Ratio'!$A$3:$B$10,2,FALSE),0)*'FL Characterization'!W$2)</f>
        <v>55.96533854207658</v>
      </c>
      <c r="X4" s="2">
        <f ca="1">('[1]Pc, Spring, S3'!X4*Main!$B$5)+(_xlfn.IFNA(VLOOKUP($A4,'FL Ratio'!$A$3:$B$10,2,FALSE),0)*'FL Characterization'!X$2)</f>
        <v>55.190979693263884</v>
      </c>
      <c r="Y4" s="2">
        <f ca="1">('[1]Pc, Spring, S3'!Y4*Main!$B$5)+(_xlfn.IFNA(VLOOKUP($A4,'FL Ratio'!$A$3:$B$10,2,FALSE),0)*'FL Characterization'!Y$2)</f>
        <v>50.125547587342936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5064D-398A-4E65-BE27-04F7B80F51C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-10.944154053367456</v>
      </c>
      <c r="C2" s="2">
        <f ca="1">('[1]Qc, Spring, S1'!C2*Main!$B$5)</f>
        <v>-13.617831568857504</v>
      </c>
      <c r="D2" s="2">
        <f ca="1">('[1]Qc, Spring, S1'!D2*Main!$B$5)</f>
        <v>-14.030911552496779</v>
      </c>
      <c r="E2" s="2">
        <f ca="1">('[1]Qc, Spring, S1'!E2*Main!$B$5)</f>
        <v>-14.571424057120462</v>
      </c>
      <c r="F2" s="2">
        <f ca="1">('[1]Qc, Spring, S1'!F2*Main!$B$5)</f>
        <v>-15.488980359390673</v>
      </c>
      <c r="G2" s="2">
        <f ca="1">('[1]Qc, Spring, S1'!G2*Main!$B$5)</f>
        <v>-14.448989935870236</v>
      </c>
      <c r="H2" s="2">
        <f ca="1">('[1]Qc, Spring, S1'!H2*Main!$B$5)</f>
        <v>-11.346374519801602</v>
      </c>
      <c r="I2" s="2">
        <f ca="1">('[1]Qc, Spring, S1'!I2*Main!$B$5)</f>
        <v>-2.9323847403998542</v>
      </c>
      <c r="J2" s="2">
        <f ca="1">('[1]Qc, Spring, S1'!J2*Main!$B$5)</f>
        <v>3.4180973269519224</v>
      </c>
      <c r="K2" s="2">
        <f ca="1">('[1]Qc, Spring, S1'!K2*Main!$B$5)</f>
        <v>5.8872406316109958</v>
      </c>
      <c r="L2" s="2">
        <f ca="1">('[1]Qc, Spring, S1'!L2*Main!$B$5)</f>
        <v>3.735160394735324</v>
      </c>
      <c r="M2" s="2">
        <f ca="1">('[1]Qc, Spring, S1'!M2*Main!$B$5)</f>
        <v>5.2183899075267544</v>
      </c>
      <c r="N2" s="2">
        <f ca="1">('[1]Qc, Spring, S1'!N2*Main!$B$5)</f>
        <v>4.4264072578818121</v>
      </c>
      <c r="O2" s="2">
        <f ca="1">('[1]Qc, Spring, S1'!O2*Main!$B$5)</f>
        <v>4.6687109053645557</v>
      </c>
      <c r="P2" s="2">
        <f ca="1">('[1]Qc, Spring, S1'!P2*Main!$B$5)</f>
        <v>0.99058721322288656</v>
      </c>
      <c r="Q2" s="2">
        <f ca="1">('[1]Qc, Spring, S1'!Q2*Main!$B$5)</f>
        <v>-1.9292572551001106</v>
      </c>
      <c r="R2" s="2">
        <f ca="1">('[1]Qc, Spring, S1'!R2*Main!$B$5)</f>
        <v>-0.66483908116983059</v>
      </c>
      <c r="S2" s="2">
        <f ca="1">('[1]Qc, Spring, S1'!S2*Main!$B$5)</f>
        <v>1.0346608511900914</v>
      </c>
      <c r="T2" s="2">
        <f ca="1">('[1]Qc, Spring, S1'!T2*Main!$B$5)</f>
        <v>1.2022063784872701E-2</v>
      </c>
      <c r="U2" s="2">
        <f ca="1">('[1]Qc, Spring, S1'!U2*Main!$B$5)</f>
        <v>-1.5366356856115031</v>
      </c>
      <c r="V2" s="2">
        <f ca="1">('[1]Qc, Spring, S1'!V2*Main!$B$5)</f>
        <v>-2.9275847820073548</v>
      </c>
      <c r="W2" s="2">
        <f ca="1">('[1]Qc, Spring, S1'!W2*Main!$B$5)</f>
        <v>-3.3765838962253025</v>
      </c>
      <c r="X2" s="2">
        <f ca="1">('[1]Qc, Spring, S1'!X2*Main!$B$5)</f>
        <v>-6.3943629773641915</v>
      </c>
      <c r="Y2" s="2">
        <f ca="1">('[1]Qc, Spring, S1'!Y2*Main!$B$5)</f>
        <v>-7.8479744513888443</v>
      </c>
    </row>
    <row r="3" spans="1:25" x14ac:dyDescent="0.3">
      <c r="A3">
        <v>2</v>
      </c>
      <c r="B3" s="2">
        <f ca="1">('[1]Qc, Spring, S1'!B3*Main!$B$5)</f>
        <v>-2.3592736434125996</v>
      </c>
      <c r="C3" s="2">
        <f ca="1">('[1]Qc, Spring, S1'!C3*Main!$B$5)</f>
        <v>-0.57391352179959843</v>
      </c>
      <c r="D3" s="2">
        <f ca="1">('[1]Qc, Spring, S1'!D3*Main!$B$5)</f>
        <v>-2.3922011494698934</v>
      </c>
      <c r="E3" s="2">
        <f ca="1">('[1]Qc, Spring, S1'!E3*Main!$B$5)</f>
        <v>-3.4946084165824991</v>
      </c>
      <c r="F3" s="2">
        <f ca="1">('[1]Qc, Spring, S1'!F3*Main!$B$5)</f>
        <v>-2.7956867332660003</v>
      </c>
      <c r="G3" s="2">
        <f ca="1">('[1]Qc, Spring, S1'!G3*Main!$B$5)</f>
        <v>-4.8296554186452783</v>
      </c>
      <c r="H3" s="2">
        <f ca="1">('[1]Qc, Spring, S1'!H3*Main!$B$5)</f>
        <v>-1.462687478076808</v>
      </c>
      <c r="I3" s="2">
        <f ca="1">('[1]Qc, Spring, S1'!I3*Main!$B$5)</f>
        <v>1.1698165429888996</v>
      </c>
      <c r="J3" s="2">
        <f ca="1">('[1]Qc, Spring, S1'!J3*Main!$B$5)</f>
        <v>0.91863621820740515</v>
      </c>
      <c r="K3" s="2">
        <f ca="1">('[1]Qc, Spring, S1'!K3*Main!$B$5)</f>
        <v>0.89192651111790899</v>
      </c>
      <c r="L3" s="2">
        <f ca="1">('[1]Qc, Spring, S1'!L3*Main!$B$5)</f>
        <v>2.4783053933618859</v>
      </c>
      <c r="M3" s="2">
        <f ca="1">('[1]Qc, Spring, S1'!M3*Main!$B$5)</f>
        <v>1.8117557697829223</v>
      </c>
      <c r="N3" s="2">
        <f ca="1">('[1]Qc, Spring, S1'!N3*Main!$B$5)</f>
        <v>3.0709660770837623</v>
      </c>
      <c r="O3" s="2">
        <f ca="1">('[1]Qc, Spring, S1'!O3*Main!$B$5)</f>
        <v>3.0535061254890175</v>
      </c>
      <c r="P3" s="2">
        <f ca="1">('[1]Qc, Spring, S1'!P3*Main!$B$5)</f>
        <v>2.6353918205690463</v>
      </c>
      <c r="Q3" s="2">
        <f ca="1">('[1]Qc, Spring, S1'!Q3*Main!$B$5)</f>
        <v>3.4412568860989889</v>
      </c>
      <c r="R3" s="2">
        <f ca="1">('[1]Qc, Spring, S1'!R3*Main!$B$5)</f>
        <v>1.3259752342600024</v>
      </c>
      <c r="S3" s="2">
        <f ca="1">('[1]Qc, Spring, S1'!S3*Main!$B$5)</f>
        <v>1.3138447607558268</v>
      </c>
      <c r="T3" s="2">
        <f ca="1">('[1]Qc, Spring, S1'!T3*Main!$B$5)</f>
        <v>1.3185855167594427</v>
      </c>
      <c r="U3" s="2">
        <f ca="1">('[1]Qc, Spring, S1'!U3*Main!$B$5)</f>
        <v>1.2402261692453664</v>
      </c>
      <c r="V3" s="2">
        <f ca="1">('[1]Qc, Spring, S1'!V3*Main!$B$5)</f>
        <v>-0.79325333376534712</v>
      </c>
      <c r="W3" s="2">
        <f ca="1">('[1]Qc, Spring, S1'!W3*Main!$B$5)</f>
        <v>0.61213030985952332</v>
      </c>
      <c r="X3" s="2">
        <f ca="1">('[1]Qc, Spring, S1'!X3*Main!$B$5)</f>
        <v>-3.1830691754923386</v>
      </c>
      <c r="Y3" s="2">
        <f ca="1">('[1]Qc, Spring, S1'!Y3*Main!$B$5)</f>
        <v>-3.0644930954007661</v>
      </c>
    </row>
    <row r="4" spans="1:25" x14ac:dyDescent="0.3">
      <c r="A4">
        <v>3</v>
      </c>
      <c r="B4" s="2">
        <f ca="1">('[1]Qc, Spring, S1'!B4*Main!$B$5)</f>
        <v>10.230682176515328</v>
      </c>
      <c r="C4" s="2">
        <f ca="1">('[1]Qc, Spring, S1'!C4*Main!$B$5)</f>
        <v>7.7341643461911467</v>
      </c>
      <c r="D4" s="2">
        <f ca="1">('[1]Qc, Spring, S1'!D4*Main!$B$5)</f>
        <v>7.3946462435754521</v>
      </c>
      <c r="E4" s="2">
        <f ca="1">('[1]Qc, Spring, S1'!E4*Main!$B$5)</f>
        <v>6.7234365575091743</v>
      </c>
      <c r="F4" s="2">
        <f ca="1">('[1]Qc, Spring, S1'!F4*Main!$B$5)</f>
        <v>7.426688614597448</v>
      </c>
      <c r="G4" s="2">
        <f ca="1">('[1]Qc, Spring, S1'!G4*Main!$B$5)</f>
        <v>5.7010342785545474</v>
      </c>
      <c r="H4" s="2">
        <f ca="1">('[1]Qc, Spring, S1'!H4*Main!$B$5)</f>
        <v>9.1559946072229721</v>
      </c>
      <c r="I4" s="2">
        <f ca="1">('[1]Qc, Spring, S1'!I4*Main!$B$5)</f>
        <v>14.616146793942098</v>
      </c>
      <c r="J4" s="2">
        <f ca="1">('[1]Qc, Spring, S1'!J4*Main!$B$5)</f>
        <v>18.287519165746609</v>
      </c>
      <c r="K4" s="2">
        <f ca="1">('[1]Qc, Spring, S1'!K4*Main!$B$5)</f>
        <v>21.602298469897239</v>
      </c>
      <c r="L4" s="2">
        <f ca="1">('[1]Qc, Spring, S1'!L4*Main!$B$5)</f>
        <v>22.709800561261577</v>
      </c>
      <c r="M4" s="2">
        <f ca="1">('[1]Qc, Spring, S1'!M4*Main!$B$5)</f>
        <v>21.720639703232926</v>
      </c>
      <c r="N4" s="2">
        <f ca="1">('[1]Qc, Spring, S1'!N4*Main!$B$5)</f>
        <v>22.654757686114898</v>
      </c>
      <c r="O4" s="2">
        <f ca="1">('[1]Qc, Spring, S1'!O4*Main!$B$5)</f>
        <v>24.325514434480716</v>
      </c>
      <c r="P4" s="2">
        <f ca="1">('[1]Qc, Spring, S1'!P4*Main!$B$5)</f>
        <v>21.715120119791099</v>
      </c>
      <c r="Q4" s="2">
        <f ca="1">('[1]Qc, Spring, S1'!Q4*Main!$B$5)</f>
        <v>21.627290829557335</v>
      </c>
      <c r="R4" s="2">
        <f ca="1">('[1]Qc, Spring, S1'!R4*Main!$B$5)</f>
        <v>20.574322190499519</v>
      </c>
      <c r="S4" s="2">
        <f ca="1">('[1]Qc, Spring, S1'!S4*Main!$B$5)</f>
        <v>22.590409400803285</v>
      </c>
      <c r="T4" s="2">
        <f ca="1">('[1]Qc, Spring, S1'!T4*Main!$B$5)</f>
        <v>21.529224835227271</v>
      </c>
      <c r="U4" s="2">
        <f ca="1">('[1]Qc, Spring, S1'!U4*Main!$B$5)</f>
        <v>21.359302299135663</v>
      </c>
      <c r="V4" s="2">
        <f ca="1">('[1]Qc, Spring, S1'!V4*Main!$B$5)</f>
        <v>19.903561041539668</v>
      </c>
      <c r="W4" s="2">
        <f ca="1">('[1]Qc, Spring, S1'!W4*Main!$B$5)</f>
        <v>20.901629522574783</v>
      </c>
      <c r="X4" s="2">
        <f ca="1">('[1]Qc, Spring, S1'!X4*Main!$B$5)</f>
        <v>17.239267230940808</v>
      </c>
      <c r="Y4" s="2">
        <f ca="1">('[1]Qc, Spring, S1'!Y4*Main!$B$5)</f>
        <v>14.187702002754229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94AD-079E-420B-872E-C5172D7B66A6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-10.944154053367456</v>
      </c>
      <c r="C2" s="2">
        <f ca="1">('[1]Qc, Spring, S1'!C2*Main!$B$5)</f>
        <v>-13.617831568857504</v>
      </c>
      <c r="D2" s="2">
        <f ca="1">('[1]Qc, Spring, S1'!D2*Main!$B$5)</f>
        <v>-14.030911552496779</v>
      </c>
      <c r="E2" s="2">
        <f ca="1">('[1]Qc, Spring, S1'!E2*Main!$B$5)</f>
        <v>-14.571424057120462</v>
      </c>
      <c r="F2" s="2">
        <f ca="1">('[1]Qc, Spring, S1'!F2*Main!$B$5)</f>
        <v>-15.488980359390673</v>
      </c>
      <c r="G2" s="2">
        <f ca="1">('[1]Qc, Spring, S1'!G2*Main!$B$5)</f>
        <v>-14.448989935870236</v>
      </c>
      <c r="H2" s="2">
        <f ca="1">('[1]Qc, Spring, S1'!H2*Main!$B$5)</f>
        <v>-11.346374519801602</v>
      </c>
      <c r="I2" s="2">
        <f ca="1">('[1]Qc, Spring, S1'!I2*Main!$B$5)</f>
        <v>-2.9323847403998542</v>
      </c>
      <c r="J2" s="2">
        <f ca="1">('[1]Qc, Spring, S1'!J2*Main!$B$5)</f>
        <v>3.4180973269519224</v>
      </c>
      <c r="K2" s="2">
        <f ca="1">('[1]Qc, Spring, S1'!K2*Main!$B$5)</f>
        <v>5.8872406316109958</v>
      </c>
      <c r="L2" s="2">
        <f ca="1">('[1]Qc, Spring, S1'!L2*Main!$B$5)</f>
        <v>3.735160394735324</v>
      </c>
      <c r="M2" s="2">
        <f ca="1">('[1]Qc, Spring, S1'!M2*Main!$B$5)</f>
        <v>5.2183899075267544</v>
      </c>
      <c r="N2" s="2">
        <f ca="1">('[1]Qc, Spring, S1'!N2*Main!$B$5)</f>
        <v>4.4264072578818121</v>
      </c>
      <c r="O2" s="2">
        <f ca="1">('[1]Qc, Spring, S1'!O2*Main!$B$5)</f>
        <v>4.6687109053645557</v>
      </c>
      <c r="P2" s="2">
        <f ca="1">('[1]Qc, Spring, S1'!P2*Main!$B$5)</f>
        <v>0.99058721322288656</v>
      </c>
      <c r="Q2" s="2">
        <f ca="1">('[1]Qc, Spring, S1'!Q2*Main!$B$5)</f>
        <v>-1.9292572551001106</v>
      </c>
      <c r="R2" s="2">
        <f ca="1">('[1]Qc, Spring, S1'!R2*Main!$B$5)</f>
        <v>-0.66483908116983059</v>
      </c>
      <c r="S2" s="2">
        <f ca="1">('[1]Qc, Spring, S1'!S2*Main!$B$5)</f>
        <v>1.0346608511900914</v>
      </c>
      <c r="T2" s="2">
        <f ca="1">('[1]Qc, Spring, S1'!T2*Main!$B$5)</f>
        <v>1.2022063784872701E-2</v>
      </c>
      <c r="U2" s="2">
        <f ca="1">('[1]Qc, Spring, S1'!U2*Main!$B$5)</f>
        <v>-1.5366356856115031</v>
      </c>
      <c r="V2" s="2">
        <f ca="1">('[1]Qc, Spring, S1'!V2*Main!$B$5)</f>
        <v>-2.9275847820073548</v>
      </c>
      <c r="W2" s="2">
        <f ca="1">('[1]Qc, Spring, S1'!W2*Main!$B$5)</f>
        <v>-3.3765838962253025</v>
      </c>
      <c r="X2" s="2">
        <f ca="1">('[1]Qc, Spring, S1'!X2*Main!$B$5)</f>
        <v>-6.3943629773641915</v>
      </c>
      <c r="Y2" s="2">
        <f ca="1">('[1]Qc, Spring, S1'!Y2*Main!$B$5)</f>
        <v>-7.8479744513888443</v>
      </c>
    </row>
    <row r="3" spans="1:25" x14ac:dyDescent="0.3">
      <c r="A3">
        <v>2</v>
      </c>
      <c r="B3" s="2">
        <f ca="1">('[1]Qc, Spring, S1'!B3*Main!$B$5)</f>
        <v>-2.3592736434125996</v>
      </c>
      <c r="C3" s="2">
        <f ca="1">('[1]Qc, Spring, S1'!C3*Main!$B$5)</f>
        <v>-0.57391352179959843</v>
      </c>
      <c r="D3" s="2">
        <f ca="1">('[1]Qc, Spring, S1'!D3*Main!$B$5)</f>
        <v>-2.3922011494698934</v>
      </c>
      <c r="E3" s="2">
        <f ca="1">('[1]Qc, Spring, S1'!E3*Main!$B$5)</f>
        <v>-3.4946084165824991</v>
      </c>
      <c r="F3" s="2">
        <f ca="1">('[1]Qc, Spring, S1'!F3*Main!$B$5)</f>
        <v>-2.7956867332660003</v>
      </c>
      <c r="G3" s="2">
        <f ca="1">('[1]Qc, Spring, S1'!G3*Main!$B$5)</f>
        <v>-4.8296554186452783</v>
      </c>
      <c r="H3" s="2">
        <f ca="1">('[1]Qc, Spring, S1'!H3*Main!$B$5)</f>
        <v>-1.462687478076808</v>
      </c>
      <c r="I3" s="2">
        <f ca="1">('[1]Qc, Spring, S1'!I3*Main!$B$5)</f>
        <v>1.1698165429888996</v>
      </c>
      <c r="J3" s="2">
        <f ca="1">('[1]Qc, Spring, S1'!J3*Main!$B$5)</f>
        <v>0.91863621820740515</v>
      </c>
      <c r="K3" s="2">
        <f ca="1">('[1]Qc, Spring, S1'!K3*Main!$B$5)</f>
        <v>0.89192651111790899</v>
      </c>
      <c r="L3" s="2">
        <f ca="1">('[1]Qc, Spring, S1'!L3*Main!$B$5)</f>
        <v>2.4783053933618859</v>
      </c>
      <c r="M3" s="2">
        <f ca="1">('[1]Qc, Spring, S1'!M3*Main!$B$5)</f>
        <v>1.8117557697829223</v>
      </c>
      <c r="N3" s="2">
        <f ca="1">('[1]Qc, Spring, S1'!N3*Main!$B$5)</f>
        <v>3.0709660770837623</v>
      </c>
      <c r="O3" s="2">
        <f ca="1">('[1]Qc, Spring, S1'!O3*Main!$B$5)</f>
        <v>3.0535061254890175</v>
      </c>
      <c r="P3" s="2">
        <f ca="1">('[1]Qc, Spring, S1'!P3*Main!$B$5)</f>
        <v>2.6353918205690463</v>
      </c>
      <c r="Q3" s="2">
        <f ca="1">('[1]Qc, Spring, S1'!Q3*Main!$B$5)</f>
        <v>3.4412568860989889</v>
      </c>
      <c r="R3" s="2">
        <f ca="1">('[1]Qc, Spring, S1'!R3*Main!$B$5)</f>
        <v>1.3259752342600024</v>
      </c>
      <c r="S3" s="2">
        <f ca="1">('[1]Qc, Spring, S1'!S3*Main!$B$5)</f>
        <v>1.3138447607558268</v>
      </c>
      <c r="T3" s="2">
        <f ca="1">('[1]Qc, Spring, S1'!T3*Main!$B$5)</f>
        <v>1.3185855167594427</v>
      </c>
      <c r="U3" s="2">
        <f ca="1">('[1]Qc, Spring, S1'!U3*Main!$B$5)</f>
        <v>1.2402261692453664</v>
      </c>
      <c r="V3" s="2">
        <f ca="1">('[1]Qc, Spring, S1'!V3*Main!$B$5)</f>
        <v>-0.79325333376534712</v>
      </c>
      <c r="W3" s="2">
        <f ca="1">('[1]Qc, Spring, S1'!W3*Main!$B$5)</f>
        <v>0.61213030985952332</v>
      </c>
      <c r="X3" s="2">
        <f ca="1">('[1]Qc, Spring, S1'!X3*Main!$B$5)</f>
        <v>-3.1830691754923386</v>
      </c>
      <c r="Y3" s="2">
        <f ca="1">('[1]Qc, Spring, S1'!Y3*Main!$B$5)</f>
        <v>-3.0644930954007661</v>
      </c>
    </row>
    <row r="4" spans="1:25" x14ac:dyDescent="0.3">
      <c r="A4">
        <v>3</v>
      </c>
      <c r="B4" s="2">
        <f ca="1">('[1]Qc, Spring, S1'!B4*Main!$B$5)</f>
        <v>10.230682176515328</v>
      </c>
      <c r="C4" s="2">
        <f ca="1">('[1]Qc, Spring, S1'!C4*Main!$B$5)</f>
        <v>7.7341643461911467</v>
      </c>
      <c r="D4" s="2">
        <f ca="1">('[1]Qc, Spring, S1'!D4*Main!$B$5)</f>
        <v>7.3946462435754521</v>
      </c>
      <c r="E4" s="2">
        <f ca="1">('[1]Qc, Spring, S1'!E4*Main!$B$5)</f>
        <v>6.7234365575091743</v>
      </c>
      <c r="F4" s="2">
        <f ca="1">('[1]Qc, Spring, S1'!F4*Main!$B$5)</f>
        <v>7.426688614597448</v>
      </c>
      <c r="G4" s="2">
        <f ca="1">('[1]Qc, Spring, S1'!G4*Main!$B$5)</f>
        <v>5.7010342785545474</v>
      </c>
      <c r="H4" s="2">
        <f ca="1">('[1]Qc, Spring, S1'!H4*Main!$B$5)</f>
        <v>9.1559946072229721</v>
      </c>
      <c r="I4" s="2">
        <f ca="1">('[1]Qc, Spring, S1'!I4*Main!$B$5)</f>
        <v>14.616146793942098</v>
      </c>
      <c r="J4" s="2">
        <f ca="1">('[1]Qc, Spring, S1'!J4*Main!$B$5)</f>
        <v>18.287519165746609</v>
      </c>
      <c r="K4" s="2">
        <f ca="1">('[1]Qc, Spring, S1'!K4*Main!$B$5)</f>
        <v>21.602298469897239</v>
      </c>
      <c r="L4" s="2">
        <f ca="1">('[1]Qc, Spring, S1'!L4*Main!$B$5)</f>
        <v>22.709800561261577</v>
      </c>
      <c r="M4" s="2">
        <f ca="1">('[1]Qc, Spring, S1'!M4*Main!$B$5)</f>
        <v>21.720639703232926</v>
      </c>
      <c r="N4" s="2">
        <f ca="1">('[1]Qc, Spring, S1'!N4*Main!$B$5)</f>
        <v>22.654757686114898</v>
      </c>
      <c r="O4" s="2">
        <f ca="1">('[1]Qc, Spring, S1'!O4*Main!$B$5)</f>
        <v>24.325514434480716</v>
      </c>
      <c r="P4" s="2">
        <f ca="1">('[1]Qc, Spring, S1'!P4*Main!$B$5)</f>
        <v>21.715120119791099</v>
      </c>
      <c r="Q4" s="2">
        <f ca="1">('[1]Qc, Spring, S1'!Q4*Main!$B$5)</f>
        <v>21.627290829557335</v>
      </c>
      <c r="R4" s="2">
        <f ca="1">('[1]Qc, Spring, S1'!R4*Main!$B$5)</f>
        <v>20.574322190499519</v>
      </c>
      <c r="S4" s="2">
        <f ca="1">('[1]Qc, Spring, S1'!S4*Main!$B$5)</f>
        <v>22.590409400803285</v>
      </c>
      <c r="T4" s="2">
        <f ca="1">('[1]Qc, Spring, S1'!T4*Main!$B$5)</f>
        <v>21.529224835227271</v>
      </c>
      <c r="U4" s="2">
        <f ca="1">('[1]Qc, Spring, S1'!U4*Main!$B$5)</f>
        <v>21.359302299135663</v>
      </c>
      <c r="V4" s="2">
        <f ca="1">('[1]Qc, Spring, S1'!V4*Main!$B$5)</f>
        <v>19.903561041539668</v>
      </c>
      <c r="W4" s="2">
        <f ca="1">('[1]Qc, Spring, S1'!W4*Main!$B$5)</f>
        <v>20.901629522574783</v>
      </c>
      <c r="X4" s="2">
        <f ca="1">('[1]Qc, Spring, S1'!X4*Main!$B$5)</f>
        <v>17.239267230940808</v>
      </c>
      <c r="Y4" s="2">
        <f ca="1">('[1]Qc, Spring, S1'!Y4*Main!$B$5)</f>
        <v>14.187702002754229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A5EA-0B6A-47A3-A1C6-41E65EF57CD8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S1'!B2*Main!$B$5)</f>
        <v>-10.944154053367456</v>
      </c>
      <c r="C2" s="2">
        <f ca="1">('[1]Qc, Spring, S1'!C2*Main!$B$5)</f>
        <v>-13.617831568857504</v>
      </c>
      <c r="D2" s="2">
        <f ca="1">('[1]Qc, Spring, S1'!D2*Main!$B$5)</f>
        <v>-14.030911552496779</v>
      </c>
      <c r="E2" s="2">
        <f ca="1">('[1]Qc, Spring, S1'!E2*Main!$B$5)</f>
        <v>-14.571424057120462</v>
      </c>
      <c r="F2" s="2">
        <f ca="1">('[1]Qc, Spring, S1'!F2*Main!$B$5)</f>
        <v>-15.488980359390673</v>
      </c>
      <c r="G2" s="2">
        <f ca="1">('[1]Qc, Spring, S1'!G2*Main!$B$5)</f>
        <v>-14.448989935870236</v>
      </c>
      <c r="H2" s="2">
        <f ca="1">('[1]Qc, Spring, S1'!H2*Main!$B$5)</f>
        <v>-11.346374519801602</v>
      </c>
      <c r="I2" s="2">
        <f ca="1">('[1]Qc, Spring, S1'!I2*Main!$B$5)</f>
        <v>-2.9323847403998542</v>
      </c>
      <c r="J2" s="2">
        <f ca="1">('[1]Qc, Spring, S1'!J2*Main!$B$5)</f>
        <v>3.4180973269519224</v>
      </c>
      <c r="K2" s="2">
        <f ca="1">('[1]Qc, Spring, S1'!K2*Main!$B$5)</f>
        <v>5.8872406316109958</v>
      </c>
      <c r="L2" s="2">
        <f ca="1">('[1]Qc, Spring, S1'!L2*Main!$B$5)</f>
        <v>3.735160394735324</v>
      </c>
      <c r="M2" s="2">
        <f ca="1">('[1]Qc, Spring, S1'!M2*Main!$B$5)</f>
        <v>5.2183899075267544</v>
      </c>
      <c r="N2" s="2">
        <f ca="1">('[1]Qc, Spring, S1'!N2*Main!$B$5)</f>
        <v>4.4264072578818121</v>
      </c>
      <c r="O2" s="2">
        <f ca="1">('[1]Qc, Spring, S1'!O2*Main!$B$5)</f>
        <v>4.6687109053645557</v>
      </c>
      <c r="P2" s="2">
        <f ca="1">('[1]Qc, Spring, S1'!P2*Main!$B$5)</f>
        <v>0.99058721322288656</v>
      </c>
      <c r="Q2" s="2">
        <f ca="1">('[1]Qc, Spring, S1'!Q2*Main!$B$5)</f>
        <v>-1.9292572551001106</v>
      </c>
      <c r="R2" s="2">
        <f ca="1">('[1]Qc, Spring, S1'!R2*Main!$B$5)</f>
        <v>-0.66483908116983059</v>
      </c>
      <c r="S2" s="2">
        <f ca="1">('[1]Qc, Spring, S1'!S2*Main!$B$5)</f>
        <v>1.0346608511900914</v>
      </c>
      <c r="T2" s="2">
        <f ca="1">('[1]Qc, Spring, S1'!T2*Main!$B$5)</f>
        <v>1.2022063784872701E-2</v>
      </c>
      <c r="U2" s="2">
        <f ca="1">('[1]Qc, Spring, S1'!U2*Main!$B$5)</f>
        <v>-1.5366356856115031</v>
      </c>
      <c r="V2" s="2">
        <f ca="1">('[1]Qc, Spring, S1'!V2*Main!$B$5)</f>
        <v>-2.9275847820073548</v>
      </c>
      <c r="W2" s="2">
        <f ca="1">('[1]Qc, Spring, S1'!W2*Main!$B$5)</f>
        <v>-3.3765838962253025</v>
      </c>
      <c r="X2" s="2">
        <f ca="1">('[1]Qc, Spring, S1'!X2*Main!$B$5)</f>
        <v>-6.3943629773641915</v>
      </c>
      <c r="Y2" s="2">
        <f ca="1">('[1]Qc, Spring, S1'!Y2*Main!$B$5)</f>
        <v>-7.8479744513888443</v>
      </c>
    </row>
    <row r="3" spans="1:25" x14ac:dyDescent="0.3">
      <c r="A3">
        <v>2</v>
      </c>
      <c r="B3" s="2">
        <f ca="1">('[1]Qc, Spring, S1'!B3*Main!$B$5)</f>
        <v>-2.3592736434125996</v>
      </c>
      <c r="C3" s="2">
        <f ca="1">('[1]Qc, Spring, S1'!C3*Main!$B$5)</f>
        <v>-0.57391352179959843</v>
      </c>
      <c r="D3" s="2">
        <f ca="1">('[1]Qc, Spring, S1'!D3*Main!$B$5)</f>
        <v>-2.3922011494698934</v>
      </c>
      <c r="E3" s="2">
        <f ca="1">('[1]Qc, Spring, S1'!E3*Main!$B$5)</f>
        <v>-3.4946084165824991</v>
      </c>
      <c r="F3" s="2">
        <f ca="1">('[1]Qc, Spring, S1'!F3*Main!$B$5)</f>
        <v>-2.7956867332660003</v>
      </c>
      <c r="G3" s="2">
        <f ca="1">('[1]Qc, Spring, S1'!G3*Main!$B$5)</f>
        <v>-4.8296554186452783</v>
      </c>
      <c r="H3" s="2">
        <f ca="1">('[1]Qc, Spring, S1'!H3*Main!$B$5)</f>
        <v>-1.462687478076808</v>
      </c>
      <c r="I3" s="2">
        <f ca="1">('[1]Qc, Spring, S1'!I3*Main!$B$5)</f>
        <v>1.1698165429888996</v>
      </c>
      <c r="J3" s="2">
        <f ca="1">('[1]Qc, Spring, S1'!J3*Main!$B$5)</f>
        <v>0.91863621820740515</v>
      </c>
      <c r="K3" s="2">
        <f ca="1">('[1]Qc, Spring, S1'!K3*Main!$B$5)</f>
        <v>0.89192651111790899</v>
      </c>
      <c r="L3" s="2">
        <f ca="1">('[1]Qc, Spring, S1'!L3*Main!$B$5)</f>
        <v>2.4783053933618859</v>
      </c>
      <c r="M3" s="2">
        <f ca="1">('[1]Qc, Spring, S1'!M3*Main!$B$5)</f>
        <v>1.8117557697829223</v>
      </c>
      <c r="N3" s="2">
        <f ca="1">('[1]Qc, Spring, S1'!N3*Main!$B$5)</f>
        <v>3.0709660770837623</v>
      </c>
      <c r="O3" s="2">
        <f ca="1">('[1]Qc, Spring, S1'!O3*Main!$B$5)</f>
        <v>3.0535061254890175</v>
      </c>
      <c r="P3" s="2">
        <f ca="1">('[1]Qc, Spring, S1'!P3*Main!$B$5)</f>
        <v>2.6353918205690463</v>
      </c>
      <c r="Q3" s="2">
        <f ca="1">('[1]Qc, Spring, S1'!Q3*Main!$B$5)</f>
        <v>3.4412568860989889</v>
      </c>
      <c r="R3" s="2">
        <f ca="1">('[1]Qc, Spring, S1'!R3*Main!$B$5)</f>
        <v>1.3259752342600024</v>
      </c>
      <c r="S3" s="2">
        <f ca="1">('[1]Qc, Spring, S1'!S3*Main!$B$5)</f>
        <v>1.3138447607558268</v>
      </c>
      <c r="T3" s="2">
        <f ca="1">('[1]Qc, Spring, S1'!T3*Main!$B$5)</f>
        <v>1.3185855167594427</v>
      </c>
      <c r="U3" s="2">
        <f ca="1">('[1]Qc, Spring, S1'!U3*Main!$B$5)</f>
        <v>1.2402261692453664</v>
      </c>
      <c r="V3" s="2">
        <f ca="1">('[1]Qc, Spring, S1'!V3*Main!$B$5)</f>
        <v>-0.79325333376534712</v>
      </c>
      <c r="W3" s="2">
        <f ca="1">('[1]Qc, Spring, S1'!W3*Main!$B$5)</f>
        <v>0.61213030985952332</v>
      </c>
      <c r="X3" s="2">
        <f ca="1">('[1]Qc, Spring, S1'!X3*Main!$B$5)</f>
        <v>-3.1830691754923386</v>
      </c>
      <c r="Y3" s="2">
        <f ca="1">('[1]Qc, Spring, S1'!Y3*Main!$B$5)</f>
        <v>-3.0644930954007661</v>
      </c>
    </row>
    <row r="4" spans="1:25" x14ac:dyDescent="0.3">
      <c r="A4">
        <v>3</v>
      </c>
      <c r="B4" s="2">
        <f ca="1">('[1]Qc, Spring, S1'!B4*Main!$B$5)</f>
        <v>10.230682176515328</v>
      </c>
      <c r="C4" s="2">
        <f ca="1">('[1]Qc, Spring, S1'!C4*Main!$B$5)</f>
        <v>7.7341643461911467</v>
      </c>
      <c r="D4" s="2">
        <f ca="1">('[1]Qc, Spring, S1'!D4*Main!$B$5)</f>
        <v>7.3946462435754521</v>
      </c>
      <c r="E4" s="2">
        <f ca="1">('[1]Qc, Spring, S1'!E4*Main!$B$5)</f>
        <v>6.7234365575091743</v>
      </c>
      <c r="F4" s="2">
        <f ca="1">('[1]Qc, Spring, S1'!F4*Main!$B$5)</f>
        <v>7.426688614597448</v>
      </c>
      <c r="G4" s="2">
        <f ca="1">('[1]Qc, Spring, S1'!G4*Main!$B$5)</f>
        <v>5.7010342785545474</v>
      </c>
      <c r="H4" s="2">
        <f ca="1">('[1]Qc, Spring, S1'!H4*Main!$B$5)</f>
        <v>9.1559946072229721</v>
      </c>
      <c r="I4" s="2">
        <f ca="1">('[1]Qc, Spring, S1'!I4*Main!$B$5)</f>
        <v>14.616146793942098</v>
      </c>
      <c r="J4" s="2">
        <f ca="1">('[1]Qc, Spring, S1'!J4*Main!$B$5)</f>
        <v>18.287519165746609</v>
      </c>
      <c r="K4" s="2">
        <f ca="1">('[1]Qc, Spring, S1'!K4*Main!$B$5)</f>
        <v>21.602298469897239</v>
      </c>
      <c r="L4" s="2">
        <f ca="1">('[1]Qc, Spring, S1'!L4*Main!$B$5)</f>
        <v>22.709800561261577</v>
      </c>
      <c r="M4" s="2">
        <f ca="1">('[1]Qc, Spring, S1'!M4*Main!$B$5)</f>
        <v>21.720639703232926</v>
      </c>
      <c r="N4" s="2">
        <f ca="1">('[1]Qc, Spring, S1'!N4*Main!$B$5)</f>
        <v>22.654757686114898</v>
      </c>
      <c r="O4" s="2">
        <f ca="1">('[1]Qc, Spring, S1'!O4*Main!$B$5)</f>
        <v>24.325514434480716</v>
      </c>
      <c r="P4" s="2">
        <f ca="1">('[1]Qc, Spring, S1'!P4*Main!$B$5)</f>
        <v>21.715120119791099</v>
      </c>
      <c r="Q4" s="2">
        <f ca="1">('[1]Qc, Spring, S1'!Q4*Main!$B$5)</f>
        <v>21.627290829557335</v>
      </c>
      <c r="R4" s="2">
        <f ca="1">('[1]Qc, Spring, S1'!R4*Main!$B$5)</f>
        <v>20.574322190499519</v>
      </c>
      <c r="S4" s="2">
        <f ca="1">('[1]Qc, Spring, S1'!S4*Main!$B$5)</f>
        <v>22.590409400803285</v>
      </c>
      <c r="T4" s="2">
        <f ca="1">('[1]Qc, Spring, S1'!T4*Main!$B$5)</f>
        <v>21.529224835227271</v>
      </c>
      <c r="U4" s="2">
        <f ca="1">('[1]Qc, Spring, S1'!U4*Main!$B$5)</f>
        <v>21.359302299135663</v>
      </c>
      <c r="V4" s="2">
        <f ca="1">('[1]Qc, Spring, S1'!V4*Main!$B$5)</f>
        <v>19.903561041539668</v>
      </c>
      <c r="W4" s="2">
        <f ca="1">('[1]Qc, Spring, S1'!W4*Main!$B$5)</f>
        <v>20.901629522574783</v>
      </c>
      <c r="X4" s="2">
        <f ca="1">('[1]Qc, Spring, S1'!X4*Main!$B$5)</f>
        <v>17.239267230940808</v>
      </c>
      <c r="Y4" s="2">
        <f ca="1">('[1]Qc, Spring, S1'!Y4*Main!$B$5)</f>
        <v>14.187702002754229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4F07-C1AD-4D86-B5D4-DA6C81A87E64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-11.381920215502154</v>
      </c>
      <c r="C2" s="2">
        <f ca="1">('[1]Qc, Spring, S2'!C2*Main!$B$5)</f>
        <v>-14.162544831611806</v>
      </c>
      <c r="D2" s="2">
        <f ca="1">('[1]Qc, Spring, S2'!D2*Main!$B$5)</f>
        <v>-14.592148014596649</v>
      </c>
      <c r="E2" s="2">
        <f ca="1">('[1]Qc, Spring, S2'!E2*Main!$B$5)</f>
        <v>-15.15428101940528</v>
      </c>
      <c r="F2" s="2">
        <f ca="1">('[1]Qc, Spring, S2'!F2*Main!$B$5)</f>
        <v>-16.108539573766301</v>
      </c>
      <c r="G2" s="2">
        <f ca="1">('[1]Qc, Spring, S2'!G2*Main!$B$5)</f>
        <v>-15.026949533305045</v>
      </c>
      <c r="H2" s="2">
        <f ca="1">('[1]Qc, Spring, S2'!H2*Main!$B$5)</f>
        <v>-11.800229500593668</v>
      </c>
      <c r="I2" s="2">
        <f ca="1">('[1]Qc, Spring, S2'!I2*Main!$B$5)</f>
        <v>-3.0496801300158487</v>
      </c>
      <c r="J2" s="2">
        <f ca="1">('[1]Qc, Spring, S2'!J2*Main!$B$5)</f>
        <v>3.5548212200299991</v>
      </c>
      <c r="K2" s="2">
        <f ca="1">('[1]Qc, Spring, S2'!K2*Main!$B$5)</f>
        <v>6.1227302568754371</v>
      </c>
      <c r="L2" s="2">
        <f ca="1">('[1]Qc, Spring, S2'!L2*Main!$B$5)</f>
        <v>3.8845668105247371</v>
      </c>
      <c r="M2" s="2">
        <f ca="1">('[1]Qc, Spring, S2'!M2*Main!$B$5)</f>
        <v>5.4271255038278241</v>
      </c>
      <c r="N2" s="2">
        <f ca="1">('[1]Qc, Spring, S2'!N2*Main!$B$5)</f>
        <v>4.6034635481970838</v>
      </c>
      <c r="O2" s="2">
        <f ca="1">('[1]Qc, Spring, S2'!O2*Main!$B$5)</f>
        <v>4.8554593415791381</v>
      </c>
      <c r="P2" s="2">
        <f ca="1">('[1]Qc, Spring, S2'!P2*Main!$B$5)</f>
        <v>1.0302107017518018</v>
      </c>
      <c r="Q2" s="2">
        <f ca="1">('[1]Qc, Spring, S2'!Q2*Main!$B$5)</f>
        <v>-2.0064275453041152</v>
      </c>
      <c r="R2" s="2">
        <f ca="1">('[1]Qc, Spring, S2'!R2*Main!$B$5)</f>
        <v>-0.69143264441662378</v>
      </c>
      <c r="S2" s="2">
        <f ca="1">('[1]Qc, Spring, S2'!S2*Main!$B$5)</f>
        <v>1.076047285237695</v>
      </c>
      <c r="T2" s="2">
        <f ca="1">('[1]Qc, Spring, S2'!T2*Main!$B$5)</f>
        <v>1.2502946336267608E-2</v>
      </c>
      <c r="U2" s="2">
        <f ca="1">('[1]Qc, Spring, S2'!U2*Main!$B$5)</f>
        <v>-1.5981011130359632</v>
      </c>
      <c r="V2" s="2">
        <f ca="1">('[1]Qc, Spring, S2'!V2*Main!$B$5)</f>
        <v>-3.044688173287649</v>
      </c>
      <c r="W2" s="2">
        <f ca="1">('[1]Qc, Spring, S2'!W2*Main!$B$5)</f>
        <v>-3.5116472520743147</v>
      </c>
      <c r="X2" s="2">
        <f ca="1">('[1]Qc, Spring, S2'!X2*Main!$B$5)</f>
        <v>-6.6501374964587594</v>
      </c>
      <c r="Y2" s="2">
        <f ca="1">('[1]Qc, Spring, S2'!Y2*Main!$B$5)</f>
        <v>-8.1618934294443974</v>
      </c>
    </row>
    <row r="3" spans="1:25" x14ac:dyDescent="0.3">
      <c r="A3">
        <v>2</v>
      </c>
      <c r="B3" s="2">
        <f ca="1">('[1]Qc, Spring, S2'!B3*Main!$B$5)</f>
        <v>-2.4536445891491039</v>
      </c>
      <c r="C3" s="2">
        <f ca="1">('[1]Qc, Spring, S2'!C3*Main!$B$5)</f>
        <v>-0.59687006267158249</v>
      </c>
      <c r="D3" s="2">
        <f ca="1">('[1]Qc, Spring, S2'!D3*Main!$B$5)</f>
        <v>-2.4878891954486893</v>
      </c>
      <c r="E3" s="2">
        <f ca="1">('[1]Qc, Spring, S2'!E3*Main!$B$5)</f>
        <v>-3.6343927532457987</v>
      </c>
      <c r="F3" s="2">
        <f ca="1">('[1]Qc, Spring, S2'!F3*Main!$B$5)</f>
        <v>-2.9075142025966403</v>
      </c>
      <c r="G3" s="2">
        <f ca="1">('[1]Qc, Spring, S2'!G3*Main!$B$5)</f>
        <v>-5.0228416353910896</v>
      </c>
      <c r="H3" s="2">
        <f ca="1">('[1]Qc, Spring, S2'!H3*Main!$B$5)</f>
        <v>-1.5211949771998803</v>
      </c>
      <c r="I3" s="2">
        <f ca="1">('[1]Qc, Spring, S2'!I3*Main!$B$5)</f>
        <v>1.2166092047084553</v>
      </c>
      <c r="J3" s="2">
        <f ca="1">('[1]Qc, Spring, S2'!J3*Main!$B$5)</f>
        <v>0.95538166693570137</v>
      </c>
      <c r="K3" s="2">
        <f ca="1">('[1]Qc, Spring, S2'!K3*Main!$B$5)</f>
        <v>0.9276035715626253</v>
      </c>
      <c r="L3" s="2">
        <f ca="1">('[1]Qc, Spring, S2'!L3*Main!$B$5)</f>
        <v>2.5774376090963615</v>
      </c>
      <c r="M3" s="2">
        <f ca="1">('[1]Qc, Spring, S2'!M3*Main!$B$5)</f>
        <v>1.8842260005742395</v>
      </c>
      <c r="N3" s="2">
        <f ca="1">('[1]Qc, Spring, S2'!N3*Main!$B$5)</f>
        <v>3.1938047201671131</v>
      </c>
      <c r="O3" s="2">
        <f ca="1">('[1]Qc, Spring, S2'!O3*Main!$B$5)</f>
        <v>3.175646370508578</v>
      </c>
      <c r="P3" s="2">
        <f ca="1">('[1]Qc, Spring, S2'!P3*Main!$B$5)</f>
        <v>2.7408074933918081</v>
      </c>
      <c r="Q3" s="2">
        <f ca="1">('[1]Qc, Spring, S2'!Q3*Main!$B$5)</f>
        <v>3.5789071615429484</v>
      </c>
      <c r="R3" s="2">
        <f ca="1">('[1]Qc, Spring, S2'!R3*Main!$B$5)</f>
        <v>1.3790142436304025</v>
      </c>
      <c r="S3" s="2">
        <f ca="1">('[1]Qc, Spring, S2'!S3*Main!$B$5)</f>
        <v>1.3663985511860597</v>
      </c>
      <c r="T3" s="2">
        <f ca="1">('[1]Qc, Spring, S2'!T3*Main!$B$5)</f>
        <v>1.3713289374298205</v>
      </c>
      <c r="U3" s="2">
        <f ca="1">('[1]Qc, Spring, S2'!U3*Main!$B$5)</f>
        <v>1.2898352160151809</v>
      </c>
      <c r="V3" s="2">
        <f ca="1">('[1]Qc, Spring, S2'!V3*Main!$B$5)</f>
        <v>-0.82498346711596104</v>
      </c>
      <c r="W3" s="2">
        <f ca="1">('[1]Qc, Spring, S2'!W3*Main!$B$5)</f>
        <v>0.63661552225390428</v>
      </c>
      <c r="X3" s="2">
        <f ca="1">('[1]Qc, Spring, S2'!X3*Main!$B$5)</f>
        <v>-3.3103919425120321</v>
      </c>
      <c r="Y3" s="2">
        <f ca="1">('[1]Qc, Spring, S2'!Y3*Main!$B$5)</f>
        <v>-3.1870728192167963</v>
      </c>
    </row>
    <row r="4" spans="1:25" x14ac:dyDescent="0.3">
      <c r="A4">
        <v>3</v>
      </c>
      <c r="B4" s="2">
        <f ca="1">('[1]Qc, Spring, S2'!B4*Main!$B$5)</f>
        <v>10.639909463575943</v>
      </c>
      <c r="C4" s="2">
        <f ca="1">('[1]Qc, Spring, S2'!C4*Main!$B$5)</f>
        <v>8.0435309200387923</v>
      </c>
      <c r="D4" s="2">
        <f ca="1">('[1]Qc, Spring, S2'!D4*Main!$B$5)</f>
        <v>7.6904320933184707</v>
      </c>
      <c r="E4" s="2">
        <f ca="1">('[1]Qc, Spring, S2'!E4*Main!$B$5)</f>
        <v>6.9923740198095414</v>
      </c>
      <c r="F4" s="2">
        <f ca="1">('[1]Qc, Spring, S2'!F4*Main!$B$5)</f>
        <v>7.7237561591813462</v>
      </c>
      <c r="G4" s="2">
        <f ca="1">('[1]Qc, Spring, S2'!G4*Main!$B$5)</f>
        <v>5.9290756496967303</v>
      </c>
      <c r="H4" s="2">
        <f ca="1">('[1]Qc, Spring, S2'!H4*Main!$B$5)</f>
        <v>9.5222343915118905</v>
      </c>
      <c r="I4" s="2">
        <f ca="1">('[1]Qc, Spring, S2'!I4*Main!$B$5)</f>
        <v>15.200792665699781</v>
      </c>
      <c r="J4" s="2">
        <f ca="1">('[1]Qc, Spring, S2'!J4*Main!$B$5)</f>
        <v>19.019019932376473</v>
      </c>
      <c r="K4" s="2">
        <f ca="1">('[1]Qc, Spring, S2'!K4*Main!$B$5)</f>
        <v>22.466390408693133</v>
      </c>
      <c r="L4" s="2">
        <f ca="1">('[1]Qc, Spring, S2'!L4*Main!$B$5)</f>
        <v>23.618192583712041</v>
      </c>
      <c r="M4" s="2">
        <f ca="1">('[1]Qc, Spring, S2'!M4*Main!$B$5)</f>
        <v>22.589465291362242</v>
      </c>
      <c r="N4" s="2">
        <f ca="1">('[1]Qc, Spring, S2'!N4*Main!$B$5)</f>
        <v>23.560947993559495</v>
      </c>
      <c r="O4" s="2">
        <f ca="1">('[1]Qc, Spring, S2'!O4*Main!$B$5)</f>
        <v>25.298535011859943</v>
      </c>
      <c r="P4" s="2">
        <f ca="1">('[1]Qc, Spring, S2'!P4*Main!$B$5)</f>
        <v>22.583724924582743</v>
      </c>
      <c r="Q4" s="2">
        <f ca="1">('[1]Qc, Spring, S2'!Q4*Main!$B$5)</f>
        <v>22.492382462739631</v>
      </c>
      <c r="R4" s="2">
        <f ca="1">('[1]Qc, Spring, S2'!R4*Main!$B$5)</f>
        <v>21.397295078119502</v>
      </c>
      <c r="S4" s="2">
        <f ca="1">('[1]Qc, Spring, S2'!S4*Main!$B$5)</f>
        <v>23.494025776835414</v>
      </c>
      <c r="T4" s="2">
        <f ca="1">('[1]Qc, Spring, S2'!T4*Main!$B$5)</f>
        <v>22.390393828636363</v>
      </c>
      <c r="U4" s="2">
        <f ca="1">('[1]Qc, Spring, S2'!U4*Main!$B$5)</f>
        <v>22.213674391101094</v>
      </c>
      <c r="V4" s="2">
        <f ca="1">('[1]Qc, Spring, S2'!V4*Main!$B$5)</f>
        <v>20.699703483201255</v>
      </c>
      <c r="W4" s="2">
        <f ca="1">('[1]Qc, Spring, S2'!W4*Main!$B$5)</f>
        <v>21.737694703477775</v>
      </c>
      <c r="X4" s="2">
        <f ca="1">('[1]Qc, Spring, S2'!X4*Main!$B$5)</f>
        <v>17.928837920178442</v>
      </c>
      <c r="Y4" s="2">
        <f ca="1">('[1]Qc, Spring, S2'!Y4*Main!$B$5)</f>
        <v>14.755210082864398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A6530-5877-4027-8363-AD7F85A7384A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-11.381920215502154</v>
      </c>
      <c r="C2" s="2">
        <f ca="1">('[1]Qc, Spring, S2'!C2*Main!$B$5)</f>
        <v>-14.162544831611806</v>
      </c>
      <c r="D2" s="2">
        <f ca="1">('[1]Qc, Spring, S2'!D2*Main!$B$5)</f>
        <v>-14.592148014596649</v>
      </c>
      <c r="E2" s="2">
        <f ca="1">('[1]Qc, Spring, S2'!E2*Main!$B$5)</f>
        <v>-15.15428101940528</v>
      </c>
      <c r="F2" s="2">
        <f ca="1">('[1]Qc, Spring, S2'!F2*Main!$B$5)</f>
        <v>-16.108539573766301</v>
      </c>
      <c r="G2" s="2">
        <f ca="1">('[1]Qc, Spring, S2'!G2*Main!$B$5)</f>
        <v>-15.026949533305045</v>
      </c>
      <c r="H2" s="2">
        <f ca="1">('[1]Qc, Spring, S2'!H2*Main!$B$5)</f>
        <v>-11.800229500593668</v>
      </c>
      <c r="I2" s="2">
        <f ca="1">('[1]Qc, Spring, S2'!I2*Main!$B$5)</f>
        <v>-3.0496801300158487</v>
      </c>
      <c r="J2" s="2">
        <f ca="1">('[1]Qc, Spring, S2'!J2*Main!$B$5)</f>
        <v>3.5548212200299991</v>
      </c>
      <c r="K2" s="2">
        <f ca="1">('[1]Qc, Spring, S2'!K2*Main!$B$5)</f>
        <v>6.1227302568754371</v>
      </c>
      <c r="L2" s="2">
        <f ca="1">('[1]Qc, Spring, S2'!L2*Main!$B$5)</f>
        <v>3.8845668105247371</v>
      </c>
      <c r="M2" s="2">
        <f ca="1">('[1]Qc, Spring, S2'!M2*Main!$B$5)</f>
        <v>5.4271255038278241</v>
      </c>
      <c r="N2" s="2">
        <f ca="1">('[1]Qc, Spring, S2'!N2*Main!$B$5)</f>
        <v>4.6034635481970838</v>
      </c>
      <c r="O2" s="2">
        <f ca="1">('[1]Qc, Spring, S2'!O2*Main!$B$5)</f>
        <v>4.8554593415791381</v>
      </c>
      <c r="P2" s="2">
        <f ca="1">('[1]Qc, Spring, S2'!P2*Main!$B$5)</f>
        <v>1.0302107017518018</v>
      </c>
      <c r="Q2" s="2">
        <f ca="1">('[1]Qc, Spring, S2'!Q2*Main!$B$5)</f>
        <v>-2.0064275453041152</v>
      </c>
      <c r="R2" s="2">
        <f ca="1">('[1]Qc, Spring, S2'!R2*Main!$B$5)</f>
        <v>-0.69143264441662378</v>
      </c>
      <c r="S2" s="2">
        <f ca="1">('[1]Qc, Spring, S2'!S2*Main!$B$5)</f>
        <v>1.076047285237695</v>
      </c>
      <c r="T2" s="2">
        <f ca="1">('[1]Qc, Spring, S2'!T2*Main!$B$5)</f>
        <v>1.2502946336267608E-2</v>
      </c>
      <c r="U2" s="2">
        <f ca="1">('[1]Qc, Spring, S2'!U2*Main!$B$5)</f>
        <v>-1.5981011130359632</v>
      </c>
      <c r="V2" s="2">
        <f ca="1">('[1]Qc, Spring, S2'!V2*Main!$B$5)</f>
        <v>-3.044688173287649</v>
      </c>
      <c r="W2" s="2">
        <f ca="1">('[1]Qc, Spring, S2'!W2*Main!$B$5)</f>
        <v>-3.5116472520743147</v>
      </c>
      <c r="X2" s="2">
        <f ca="1">('[1]Qc, Spring, S2'!X2*Main!$B$5)</f>
        <v>-6.6501374964587594</v>
      </c>
      <c r="Y2" s="2">
        <f ca="1">('[1]Qc, Spring, S2'!Y2*Main!$B$5)</f>
        <v>-8.1618934294443974</v>
      </c>
    </row>
    <row r="3" spans="1:25" x14ac:dyDescent="0.3">
      <c r="A3">
        <v>2</v>
      </c>
      <c r="B3" s="2">
        <f ca="1">('[1]Qc, Spring, S2'!B3*Main!$B$5)</f>
        <v>-2.4536445891491039</v>
      </c>
      <c r="C3" s="2">
        <f ca="1">('[1]Qc, Spring, S2'!C3*Main!$B$5)</f>
        <v>-0.59687006267158249</v>
      </c>
      <c r="D3" s="2">
        <f ca="1">('[1]Qc, Spring, S2'!D3*Main!$B$5)</f>
        <v>-2.4878891954486893</v>
      </c>
      <c r="E3" s="2">
        <f ca="1">('[1]Qc, Spring, S2'!E3*Main!$B$5)</f>
        <v>-3.6343927532457987</v>
      </c>
      <c r="F3" s="2">
        <f ca="1">('[1]Qc, Spring, S2'!F3*Main!$B$5)</f>
        <v>-2.9075142025966403</v>
      </c>
      <c r="G3" s="2">
        <f ca="1">('[1]Qc, Spring, S2'!G3*Main!$B$5)</f>
        <v>-5.0228416353910896</v>
      </c>
      <c r="H3" s="2">
        <f ca="1">('[1]Qc, Spring, S2'!H3*Main!$B$5)</f>
        <v>-1.5211949771998803</v>
      </c>
      <c r="I3" s="2">
        <f ca="1">('[1]Qc, Spring, S2'!I3*Main!$B$5)</f>
        <v>1.2166092047084553</v>
      </c>
      <c r="J3" s="2">
        <f ca="1">('[1]Qc, Spring, S2'!J3*Main!$B$5)</f>
        <v>0.95538166693570137</v>
      </c>
      <c r="K3" s="2">
        <f ca="1">('[1]Qc, Spring, S2'!K3*Main!$B$5)</f>
        <v>0.9276035715626253</v>
      </c>
      <c r="L3" s="2">
        <f ca="1">('[1]Qc, Spring, S2'!L3*Main!$B$5)</f>
        <v>2.5774376090963615</v>
      </c>
      <c r="M3" s="2">
        <f ca="1">('[1]Qc, Spring, S2'!M3*Main!$B$5)</f>
        <v>1.8842260005742395</v>
      </c>
      <c r="N3" s="2">
        <f ca="1">('[1]Qc, Spring, S2'!N3*Main!$B$5)</f>
        <v>3.1938047201671131</v>
      </c>
      <c r="O3" s="2">
        <f ca="1">('[1]Qc, Spring, S2'!O3*Main!$B$5)</f>
        <v>3.175646370508578</v>
      </c>
      <c r="P3" s="2">
        <f ca="1">('[1]Qc, Spring, S2'!P3*Main!$B$5)</f>
        <v>2.7408074933918081</v>
      </c>
      <c r="Q3" s="2">
        <f ca="1">('[1]Qc, Spring, S2'!Q3*Main!$B$5)</f>
        <v>3.5789071615429484</v>
      </c>
      <c r="R3" s="2">
        <f ca="1">('[1]Qc, Spring, S2'!R3*Main!$B$5)</f>
        <v>1.3790142436304025</v>
      </c>
      <c r="S3" s="2">
        <f ca="1">('[1]Qc, Spring, S2'!S3*Main!$B$5)</f>
        <v>1.3663985511860597</v>
      </c>
      <c r="T3" s="2">
        <f ca="1">('[1]Qc, Spring, S2'!T3*Main!$B$5)</f>
        <v>1.3713289374298205</v>
      </c>
      <c r="U3" s="2">
        <f ca="1">('[1]Qc, Spring, S2'!U3*Main!$B$5)</f>
        <v>1.2898352160151809</v>
      </c>
      <c r="V3" s="2">
        <f ca="1">('[1]Qc, Spring, S2'!V3*Main!$B$5)</f>
        <v>-0.82498346711596104</v>
      </c>
      <c r="W3" s="2">
        <f ca="1">('[1]Qc, Spring, S2'!W3*Main!$B$5)</f>
        <v>0.63661552225390428</v>
      </c>
      <c r="X3" s="2">
        <f ca="1">('[1]Qc, Spring, S2'!X3*Main!$B$5)</f>
        <v>-3.3103919425120321</v>
      </c>
      <c r="Y3" s="2">
        <f ca="1">('[1]Qc, Spring, S2'!Y3*Main!$B$5)</f>
        <v>-3.1870728192167963</v>
      </c>
    </row>
    <row r="4" spans="1:25" x14ac:dyDescent="0.3">
      <c r="A4">
        <v>3</v>
      </c>
      <c r="B4" s="2">
        <f ca="1">('[1]Qc, Spring, S2'!B4*Main!$B$5)</f>
        <v>10.639909463575943</v>
      </c>
      <c r="C4" s="2">
        <f ca="1">('[1]Qc, Spring, S2'!C4*Main!$B$5)</f>
        <v>8.0435309200387923</v>
      </c>
      <c r="D4" s="2">
        <f ca="1">('[1]Qc, Spring, S2'!D4*Main!$B$5)</f>
        <v>7.6904320933184707</v>
      </c>
      <c r="E4" s="2">
        <f ca="1">('[1]Qc, Spring, S2'!E4*Main!$B$5)</f>
        <v>6.9923740198095414</v>
      </c>
      <c r="F4" s="2">
        <f ca="1">('[1]Qc, Spring, S2'!F4*Main!$B$5)</f>
        <v>7.7237561591813462</v>
      </c>
      <c r="G4" s="2">
        <f ca="1">('[1]Qc, Spring, S2'!G4*Main!$B$5)</f>
        <v>5.9290756496967303</v>
      </c>
      <c r="H4" s="2">
        <f ca="1">('[1]Qc, Spring, S2'!H4*Main!$B$5)</f>
        <v>9.5222343915118905</v>
      </c>
      <c r="I4" s="2">
        <f ca="1">('[1]Qc, Spring, S2'!I4*Main!$B$5)</f>
        <v>15.200792665699781</v>
      </c>
      <c r="J4" s="2">
        <f ca="1">('[1]Qc, Spring, S2'!J4*Main!$B$5)</f>
        <v>19.019019932376473</v>
      </c>
      <c r="K4" s="2">
        <f ca="1">('[1]Qc, Spring, S2'!K4*Main!$B$5)</f>
        <v>22.466390408693133</v>
      </c>
      <c r="L4" s="2">
        <f ca="1">('[1]Qc, Spring, S2'!L4*Main!$B$5)</f>
        <v>23.618192583712041</v>
      </c>
      <c r="M4" s="2">
        <f ca="1">('[1]Qc, Spring, S2'!M4*Main!$B$5)</f>
        <v>22.589465291362242</v>
      </c>
      <c r="N4" s="2">
        <f ca="1">('[1]Qc, Spring, S2'!N4*Main!$B$5)</f>
        <v>23.560947993559495</v>
      </c>
      <c r="O4" s="2">
        <f ca="1">('[1]Qc, Spring, S2'!O4*Main!$B$5)</f>
        <v>25.298535011859943</v>
      </c>
      <c r="P4" s="2">
        <f ca="1">('[1]Qc, Spring, S2'!P4*Main!$B$5)</f>
        <v>22.583724924582743</v>
      </c>
      <c r="Q4" s="2">
        <f ca="1">('[1]Qc, Spring, S2'!Q4*Main!$B$5)</f>
        <v>22.492382462739631</v>
      </c>
      <c r="R4" s="2">
        <f ca="1">('[1]Qc, Spring, S2'!R4*Main!$B$5)</f>
        <v>21.397295078119502</v>
      </c>
      <c r="S4" s="2">
        <f ca="1">('[1]Qc, Spring, S2'!S4*Main!$B$5)</f>
        <v>23.494025776835414</v>
      </c>
      <c r="T4" s="2">
        <f ca="1">('[1]Qc, Spring, S2'!T4*Main!$B$5)</f>
        <v>22.390393828636363</v>
      </c>
      <c r="U4" s="2">
        <f ca="1">('[1]Qc, Spring, S2'!U4*Main!$B$5)</f>
        <v>22.213674391101094</v>
      </c>
      <c r="V4" s="2">
        <f ca="1">('[1]Qc, Spring, S2'!V4*Main!$B$5)</f>
        <v>20.699703483201255</v>
      </c>
      <c r="W4" s="2">
        <f ca="1">('[1]Qc, Spring, S2'!W4*Main!$B$5)</f>
        <v>21.737694703477775</v>
      </c>
      <c r="X4" s="2">
        <f ca="1">('[1]Qc, Spring, S2'!X4*Main!$B$5)</f>
        <v>17.928837920178442</v>
      </c>
      <c r="Y4" s="2">
        <f ca="1">('[1]Qc, Spring, S2'!Y4*Main!$B$5)</f>
        <v>14.755210082864398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449A7-1C83-42B0-A3E1-8713694E41CD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S2'!B2*Main!$B$5)</f>
        <v>-11.381920215502154</v>
      </c>
      <c r="C2" s="2">
        <f ca="1">('[1]Qc, Spring, S2'!C2*Main!$B$5)</f>
        <v>-14.162544831611806</v>
      </c>
      <c r="D2" s="2">
        <f ca="1">('[1]Qc, Spring, S2'!D2*Main!$B$5)</f>
        <v>-14.592148014596649</v>
      </c>
      <c r="E2" s="2">
        <f ca="1">('[1]Qc, Spring, S2'!E2*Main!$B$5)</f>
        <v>-15.15428101940528</v>
      </c>
      <c r="F2" s="2">
        <f ca="1">('[1]Qc, Spring, S2'!F2*Main!$B$5)</f>
        <v>-16.108539573766301</v>
      </c>
      <c r="G2" s="2">
        <f ca="1">('[1]Qc, Spring, S2'!G2*Main!$B$5)</f>
        <v>-15.026949533305045</v>
      </c>
      <c r="H2" s="2">
        <f ca="1">('[1]Qc, Spring, S2'!H2*Main!$B$5)</f>
        <v>-11.800229500593668</v>
      </c>
      <c r="I2" s="2">
        <f ca="1">('[1]Qc, Spring, S2'!I2*Main!$B$5)</f>
        <v>-3.0496801300158487</v>
      </c>
      <c r="J2" s="2">
        <f ca="1">('[1]Qc, Spring, S2'!J2*Main!$B$5)</f>
        <v>3.5548212200299991</v>
      </c>
      <c r="K2" s="2">
        <f ca="1">('[1]Qc, Spring, S2'!K2*Main!$B$5)</f>
        <v>6.1227302568754371</v>
      </c>
      <c r="L2" s="2">
        <f ca="1">('[1]Qc, Spring, S2'!L2*Main!$B$5)</f>
        <v>3.8845668105247371</v>
      </c>
      <c r="M2" s="2">
        <f ca="1">('[1]Qc, Spring, S2'!M2*Main!$B$5)</f>
        <v>5.4271255038278241</v>
      </c>
      <c r="N2" s="2">
        <f ca="1">('[1]Qc, Spring, S2'!N2*Main!$B$5)</f>
        <v>4.6034635481970838</v>
      </c>
      <c r="O2" s="2">
        <f ca="1">('[1]Qc, Spring, S2'!O2*Main!$B$5)</f>
        <v>4.8554593415791381</v>
      </c>
      <c r="P2" s="2">
        <f ca="1">('[1]Qc, Spring, S2'!P2*Main!$B$5)</f>
        <v>1.0302107017518018</v>
      </c>
      <c r="Q2" s="2">
        <f ca="1">('[1]Qc, Spring, S2'!Q2*Main!$B$5)</f>
        <v>-2.0064275453041152</v>
      </c>
      <c r="R2" s="2">
        <f ca="1">('[1]Qc, Spring, S2'!R2*Main!$B$5)</f>
        <v>-0.69143264441662378</v>
      </c>
      <c r="S2" s="2">
        <f ca="1">('[1]Qc, Spring, S2'!S2*Main!$B$5)</f>
        <v>1.076047285237695</v>
      </c>
      <c r="T2" s="2">
        <f ca="1">('[1]Qc, Spring, S2'!T2*Main!$B$5)</f>
        <v>1.2502946336267608E-2</v>
      </c>
      <c r="U2" s="2">
        <f ca="1">('[1]Qc, Spring, S2'!U2*Main!$B$5)</f>
        <v>-1.5981011130359632</v>
      </c>
      <c r="V2" s="2">
        <f ca="1">('[1]Qc, Spring, S2'!V2*Main!$B$5)</f>
        <v>-3.044688173287649</v>
      </c>
      <c r="W2" s="2">
        <f ca="1">('[1]Qc, Spring, S2'!W2*Main!$B$5)</f>
        <v>-3.5116472520743147</v>
      </c>
      <c r="X2" s="2">
        <f ca="1">('[1]Qc, Spring, S2'!X2*Main!$B$5)</f>
        <v>-6.6501374964587594</v>
      </c>
      <c r="Y2" s="2">
        <f ca="1">('[1]Qc, Spring, S2'!Y2*Main!$B$5)</f>
        <v>-8.1618934294443974</v>
      </c>
    </row>
    <row r="3" spans="1:25" x14ac:dyDescent="0.3">
      <c r="A3">
        <v>2</v>
      </c>
      <c r="B3" s="2">
        <f ca="1">('[1]Qc, Spring, S2'!B3*Main!$B$5)</f>
        <v>-2.4536445891491039</v>
      </c>
      <c r="C3" s="2">
        <f ca="1">('[1]Qc, Spring, S2'!C3*Main!$B$5)</f>
        <v>-0.59687006267158249</v>
      </c>
      <c r="D3" s="2">
        <f ca="1">('[1]Qc, Spring, S2'!D3*Main!$B$5)</f>
        <v>-2.4878891954486893</v>
      </c>
      <c r="E3" s="2">
        <f ca="1">('[1]Qc, Spring, S2'!E3*Main!$B$5)</f>
        <v>-3.6343927532457987</v>
      </c>
      <c r="F3" s="2">
        <f ca="1">('[1]Qc, Spring, S2'!F3*Main!$B$5)</f>
        <v>-2.9075142025966403</v>
      </c>
      <c r="G3" s="2">
        <f ca="1">('[1]Qc, Spring, S2'!G3*Main!$B$5)</f>
        <v>-5.0228416353910896</v>
      </c>
      <c r="H3" s="2">
        <f ca="1">('[1]Qc, Spring, S2'!H3*Main!$B$5)</f>
        <v>-1.5211949771998803</v>
      </c>
      <c r="I3" s="2">
        <f ca="1">('[1]Qc, Spring, S2'!I3*Main!$B$5)</f>
        <v>1.2166092047084553</v>
      </c>
      <c r="J3" s="2">
        <f ca="1">('[1]Qc, Spring, S2'!J3*Main!$B$5)</f>
        <v>0.95538166693570137</v>
      </c>
      <c r="K3" s="2">
        <f ca="1">('[1]Qc, Spring, S2'!K3*Main!$B$5)</f>
        <v>0.9276035715626253</v>
      </c>
      <c r="L3" s="2">
        <f ca="1">('[1]Qc, Spring, S2'!L3*Main!$B$5)</f>
        <v>2.5774376090963615</v>
      </c>
      <c r="M3" s="2">
        <f ca="1">('[1]Qc, Spring, S2'!M3*Main!$B$5)</f>
        <v>1.8842260005742395</v>
      </c>
      <c r="N3" s="2">
        <f ca="1">('[1]Qc, Spring, S2'!N3*Main!$B$5)</f>
        <v>3.1938047201671131</v>
      </c>
      <c r="O3" s="2">
        <f ca="1">('[1]Qc, Spring, S2'!O3*Main!$B$5)</f>
        <v>3.175646370508578</v>
      </c>
      <c r="P3" s="2">
        <f ca="1">('[1]Qc, Spring, S2'!P3*Main!$B$5)</f>
        <v>2.7408074933918081</v>
      </c>
      <c r="Q3" s="2">
        <f ca="1">('[1]Qc, Spring, S2'!Q3*Main!$B$5)</f>
        <v>3.5789071615429484</v>
      </c>
      <c r="R3" s="2">
        <f ca="1">('[1]Qc, Spring, S2'!R3*Main!$B$5)</f>
        <v>1.3790142436304025</v>
      </c>
      <c r="S3" s="2">
        <f ca="1">('[1]Qc, Spring, S2'!S3*Main!$B$5)</f>
        <v>1.3663985511860597</v>
      </c>
      <c r="T3" s="2">
        <f ca="1">('[1]Qc, Spring, S2'!T3*Main!$B$5)</f>
        <v>1.3713289374298205</v>
      </c>
      <c r="U3" s="2">
        <f ca="1">('[1]Qc, Spring, S2'!U3*Main!$B$5)</f>
        <v>1.2898352160151809</v>
      </c>
      <c r="V3" s="2">
        <f ca="1">('[1]Qc, Spring, S2'!V3*Main!$B$5)</f>
        <v>-0.82498346711596104</v>
      </c>
      <c r="W3" s="2">
        <f ca="1">('[1]Qc, Spring, S2'!W3*Main!$B$5)</f>
        <v>0.63661552225390428</v>
      </c>
      <c r="X3" s="2">
        <f ca="1">('[1]Qc, Spring, S2'!X3*Main!$B$5)</f>
        <v>-3.3103919425120321</v>
      </c>
      <c r="Y3" s="2">
        <f ca="1">('[1]Qc, Spring, S2'!Y3*Main!$B$5)</f>
        <v>-3.1870728192167963</v>
      </c>
    </row>
    <row r="4" spans="1:25" x14ac:dyDescent="0.3">
      <c r="A4">
        <v>3</v>
      </c>
      <c r="B4" s="2">
        <f ca="1">('[1]Qc, Spring, S2'!B4*Main!$B$5)</f>
        <v>10.639909463575943</v>
      </c>
      <c r="C4" s="2">
        <f ca="1">('[1]Qc, Spring, S2'!C4*Main!$B$5)</f>
        <v>8.0435309200387923</v>
      </c>
      <c r="D4" s="2">
        <f ca="1">('[1]Qc, Spring, S2'!D4*Main!$B$5)</f>
        <v>7.6904320933184707</v>
      </c>
      <c r="E4" s="2">
        <f ca="1">('[1]Qc, Spring, S2'!E4*Main!$B$5)</f>
        <v>6.9923740198095414</v>
      </c>
      <c r="F4" s="2">
        <f ca="1">('[1]Qc, Spring, S2'!F4*Main!$B$5)</f>
        <v>7.7237561591813462</v>
      </c>
      <c r="G4" s="2">
        <f ca="1">('[1]Qc, Spring, S2'!G4*Main!$B$5)</f>
        <v>5.9290756496967303</v>
      </c>
      <c r="H4" s="2">
        <f ca="1">('[1]Qc, Spring, S2'!H4*Main!$B$5)</f>
        <v>9.5222343915118905</v>
      </c>
      <c r="I4" s="2">
        <f ca="1">('[1]Qc, Spring, S2'!I4*Main!$B$5)</f>
        <v>15.200792665699781</v>
      </c>
      <c r="J4" s="2">
        <f ca="1">('[1]Qc, Spring, S2'!J4*Main!$B$5)</f>
        <v>19.019019932376473</v>
      </c>
      <c r="K4" s="2">
        <f ca="1">('[1]Qc, Spring, S2'!K4*Main!$B$5)</f>
        <v>22.466390408693133</v>
      </c>
      <c r="L4" s="2">
        <f ca="1">('[1]Qc, Spring, S2'!L4*Main!$B$5)</f>
        <v>23.618192583712041</v>
      </c>
      <c r="M4" s="2">
        <f ca="1">('[1]Qc, Spring, S2'!M4*Main!$B$5)</f>
        <v>22.589465291362242</v>
      </c>
      <c r="N4" s="2">
        <f ca="1">('[1]Qc, Spring, S2'!N4*Main!$B$5)</f>
        <v>23.560947993559495</v>
      </c>
      <c r="O4" s="2">
        <f ca="1">('[1]Qc, Spring, S2'!O4*Main!$B$5)</f>
        <v>25.298535011859943</v>
      </c>
      <c r="P4" s="2">
        <f ca="1">('[1]Qc, Spring, S2'!P4*Main!$B$5)</f>
        <v>22.583724924582743</v>
      </c>
      <c r="Q4" s="2">
        <f ca="1">('[1]Qc, Spring, S2'!Q4*Main!$B$5)</f>
        <v>22.492382462739631</v>
      </c>
      <c r="R4" s="2">
        <f ca="1">('[1]Qc, Spring, S2'!R4*Main!$B$5)</f>
        <v>21.397295078119502</v>
      </c>
      <c r="S4" s="2">
        <f ca="1">('[1]Qc, Spring, S2'!S4*Main!$B$5)</f>
        <v>23.494025776835414</v>
      </c>
      <c r="T4" s="2">
        <f ca="1">('[1]Qc, Spring, S2'!T4*Main!$B$5)</f>
        <v>22.390393828636363</v>
      </c>
      <c r="U4" s="2">
        <f ca="1">('[1]Qc, Spring, S2'!U4*Main!$B$5)</f>
        <v>22.213674391101094</v>
      </c>
      <c r="V4" s="2">
        <f ca="1">('[1]Qc, Spring, S2'!V4*Main!$B$5)</f>
        <v>20.699703483201255</v>
      </c>
      <c r="W4" s="2">
        <f ca="1">('[1]Qc, Spring, S2'!W4*Main!$B$5)</f>
        <v>21.737694703477775</v>
      </c>
      <c r="X4" s="2">
        <f ca="1">('[1]Qc, Spring, S2'!X4*Main!$B$5)</f>
        <v>17.928837920178442</v>
      </c>
      <c r="Y4" s="2">
        <f ca="1">('[1]Qc, Spring, S2'!Y4*Main!$B$5)</f>
        <v>14.755210082864398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270E4-9B43-4938-B307-FF5A33680FEB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-10.39694635069908</v>
      </c>
      <c r="C2" s="2">
        <f ca="1">('[1]Qc, Spring, S3'!C2*Main!$B$5)</f>
        <v>-12.936939990414629</v>
      </c>
      <c r="D2" s="2">
        <f ca="1">('[1]Qc, Spring, S3'!D2*Main!$B$5)</f>
        <v>-13.329365974871939</v>
      </c>
      <c r="E2" s="2">
        <f ca="1">('[1]Qc, Spring, S3'!E2*Main!$B$5)</f>
        <v>-13.842852854264436</v>
      </c>
      <c r="F2" s="2">
        <f ca="1">('[1]Qc, Spring, S3'!F2*Main!$B$5)</f>
        <v>-14.714531341421138</v>
      </c>
      <c r="G2" s="2">
        <f ca="1">('[1]Qc, Spring, S3'!G2*Main!$B$5)</f>
        <v>-13.726540439076723</v>
      </c>
      <c r="H2" s="2">
        <f ca="1">('[1]Qc, Spring, S3'!H2*Main!$B$5)</f>
        <v>-10.779055793811521</v>
      </c>
      <c r="I2" s="2">
        <f ca="1">('[1]Qc, Spring, S3'!I2*Main!$B$5)</f>
        <v>-2.785765503379861</v>
      </c>
      <c r="J2" s="2">
        <f ca="1">('[1]Qc, Spring, S3'!J2*Main!$B$5)</f>
        <v>3.2471924606043254</v>
      </c>
      <c r="K2" s="2">
        <f ca="1">('[1]Qc, Spring, S3'!K2*Main!$B$5)</f>
        <v>5.5928786000304465</v>
      </c>
      <c r="L2" s="2">
        <f ca="1">('[1]Qc, Spring, S3'!L2*Main!$B$5)</f>
        <v>3.5484023749985578</v>
      </c>
      <c r="M2" s="2">
        <f ca="1">('[1]Qc, Spring, S3'!M2*Main!$B$5)</f>
        <v>4.9574704121504158</v>
      </c>
      <c r="N2" s="2">
        <f ca="1">('[1]Qc, Spring, S3'!N2*Main!$B$5)</f>
        <v>4.2050868949877209</v>
      </c>
      <c r="O2" s="2">
        <f ca="1">('[1]Qc, Spring, S3'!O2*Main!$B$5)</f>
        <v>4.4352753600963277</v>
      </c>
      <c r="P2" s="2">
        <f ca="1">('[1]Qc, Spring, S3'!P2*Main!$B$5)</f>
        <v>0.94105785256174224</v>
      </c>
      <c r="Q2" s="2">
        <f ca="1">('[1]Qc, Spring, S3'!Q2*Main!$B$5)</f>
        <v>-1.8327943923451049</v>
      </c>
      <c r="R2" s="2">
        <f ca="1">('[1]Qc, Spring, S3'!R2*Main!$B$5)</f>
        <v>-0.63159712711133909</v>
      </c>
      <c r="S2" s="2">
        <f ca="1">('[1]Qc, Spring, S3'!S2*Main!$B$5)</f>
        <v>0.98292780863058682</v>
      </c>
      <c r="T2" s="2">
        <f ca="1">('[1]Qc, Spring, S3'!T2*Main!$B$5)</f>
        <v>1.1420960595629064E-2</v>
      </c>
      <c r="U2" s="2">
        <f ca="1">('[1]Qc, Spring, S3'!U2*Main!$B$5)</f>
        <v>-1.4598039013309279</v>
      </c>
      <c r="V2" s="2">
        <f ca="1">('[1]Qc, Spring, S3'!V2*Main!$B$5)</f>
        <v>-2.7812055429069868</v>
      </c>
      <c r="W2" s="2">
        <f ca="1">('[1]Qc, Spring, S3'!W2*Main!$B$5)</f>
        <v>-3.2077547014140375</v>
      </c>
      <c r="X2" s="2">
        <f ca="1">('[1]Qc, Spring, S3'!X2*Main!$B$5)</f>
        <v>-6.0746448284959813</v>
      </c>
      <c r="Y2" s="2">
        <f ca="1">('[1]Qc, Spring, S3'!Y2*Main!$B$5)</f>
        <v>-7.4555757288194009</v>
      </c>
    </row>
    <row r="3" spans="1:25" x14ac:dyDescent="0.3">
      <c r="A3">
        <v>2</v>
      </c>
      <c r="B3" s="2">
        <f ca="1">('[1]Qc, Spring, S3'!B3*Main!$B$5)</f>
        <v>-2.2413099612419694</v>
      </c>
      <c r="C3" s="2">
        <f ca="1">('[1]Qc, Spring, S3'!C3*Main!$B$5)</f>
        <v>-0.54521784570961851</v>
      </c>
      <c r="D3" s="2">
        <f ca="1">('[1]Qc, Spring, S3'!D3*Main!$B$5)</f>
        <v>-2.2725910919963987</v>
      </c>
      <c r="E3" s="2">
        <f ca="1">('[1]Qc, Spring, S3'!E3*Main!$B$5)</f>
        <v>-3.3198779957533739</v>
      </c>
      <c r="F3" s="2">
        <f ca="1">('[1]Qc, Spring, S3'!F3*Main!$B$5)</f>
        <v>-2.6559023966027002</v>
      </c>
      <c r="G3" s="2">
        <f ca="1">('[1]Qc, Spring, S3'!G3*Main!$B$5)</f>
        <v>-4.5881726477130131</v>
      </c>
      <c r="H3" s="2">
        <f ca="1">('[1]Qc, Spring, S3'!H3*Main!$B$5)</f>
        <v>-1.3895531041729676</v>
      </c>
      <c r="I3" s="2">
        <f ca="1">('[1]Qc, Spring, S3'!I3*Main!$B$5)</f>
        <v>1.1113257158394545</v>
      </c>
      <c r="J3" s="2">
        <f ca="1">('[1]Qc, Spring, S3'!J3*Main!$B$5)</f>
        <v>0.8727044072970348</v>
      </c>
      <c r="K3" s="2">
        <f ca="1">('[1]Qc, Spring, S3'!K3*Main!$B$5)</f>
        <v>0.84733018556201356</v>
      </c>
      <c r="L3" s="2">
        <f ca="1">('[1]Qc, Spring, S3'!L3*Main!$B$5)</f>
        <v>2.3543901236937921</v>
      </c>
      <c r="M3" s="2">
        <f ca="1">('[1]Qc, Spring, S3'!M3*Main!$B$5)</f>
        <v>1.7211679812937764</v>
      </c>
      <c r="N3" s="2">
        <f ca="1">('[1]Qc, Spring, S3'!N3*Main!$B$5)</f>
        <v>2.9174177732295741</v>
      </c>
      <c r="O3" s="2">
        <f ca="1">('[1]Qc, Spring, S3'!O3*Main!$B$5)</f>
        <v>2.9008308192145664</v>
      </c>
      <c r="P3" s="2">
        <f ca="1">('[1]Qc, Spring, S3'!P3*Main!$B$5)</f>
        <v>2.5036222295405937</v>
      </c>
      <c r="Q3" s="2">
        <f ca="1">('[1]Qc, Spring, S3'!Q3*Main!$B$5)</f>
        <v>3.2691940417940395</v>
      </c>
      <c r="R3" s="2">
        <f ca="1">('[1]Qc, Spring, S3'!R3*Main!$B$5)</f>
        <v>1.2596764725470024</v>
      </c>
      <c r="S3" s="2">
        <f ca="1">('[1]Qc, Spring, S3'!S3*Main!$B$5)</f>
        <v>1.2481525227180355</v>
      </c>
      <c r="T3" s="2">
        <f ca="1">('[1]Qc, Spring, S3'!T3*Main!$B$5)</f>
        <v>1.2526562409214705</v>
      </c>
      <c r="U3" s="2">
        <f ca="1">('[1]Qc, Spring, S3'!U3*Main!$B$5)</f>
        <v>1.1782148607830982</v>
      </c>
      <c r="V3" s="2">
        <f ca="1">('[1]Qc, Spring, S3'!V3*Main!$B$5)</f>
        <v>-0.75359066707707978</v>
      </c>
      <c r="W3" s="2">
        <f ca="1">('[1]Qc, Spring, S3'!W3*Main!$B$5)</f>
        <v>0.58152379436654722</v>
      </c>
      <c r="X3" s="2">
        <f ca="1">('[1]Qc, Spring, S3'!X3*Main!$B$5)</f>
        <v>-3.0239157167177217</v>
      </c>
      <c r="Y3" s="2">
        <f ca="1">('[1]Qc, Spring, S3'!Y3*Main!$B$5)</f>
        <v>-2.9112684406307276</v>
      </c>
    </row>
    <row r="4" spans="1:25" x14ac:dyDescent="0.3">
      <c r="A4">
        <v>3</v>
      </c>
      <c r="B4" s="2">
        <f ca="1">('[1]Qc, Spring, S3'!B4*Main!$B$5)</f>
        <v>9.7191480676895612</v>
      </c>
      <c r="C4" s="2">
        <f ca="1">('[1]Qc, Spring, S3'!C4*Main!$B$5)</f>
        <v>7.3474561288815892</v>
      </c>
      <c r="D4" s="2">
        <f ca="1">('[1]Qc, Spring, S3'!D4*Main!$B$5)</f>
        <v>7.0249139313966786</v>
      </c>
      <c r="E4" s="2">
        <f ca="1">('[1]Qc, Spring, S3'!E4*Main!$B$5)</f>
        <v>6.3872647296337162</v>
      </c>
      <c r="F4" s="2">
        <f ca="1">('[1]Qc, Spring, S3'!F4*Main!$B$5)</f>
        <v>7.0553541838675748</v>
      </c>
      <c r="G4" s="2">
        <f ca="1">('[1]Qc, Spring, S3'!G4*Main!$B$5)</f>
        <v>5.4159825646268205</v>
      </c>
      <c r="H4" s="2">
        <f ca="1">('[1]Qc, Spring, S3'!H4*Main!$B$5)</f>
        <v>8.6981948768618231</v>
      </c>
      <c r="I4" s="2">
        <f ca="1">('[1]Qc, Spring, S3'!I4*Main!$B$5)</f>
        <v>13.885339454244992</v>
      </c>
      <c r="J4" s="2">
        <f ca="1">('[1]Qc, Spring, S3'!J4*Main!$B$5)</f>
        <v>17.373143207459275</v>
      </c>
      <c r="K4" s="2">
        <f ca="1">('[1]Qc, Spring, S3'!K4*Main!$B$5)</f>
        <v>20.522183546402374</v>
      </c>
      <c r="L4" s="2">
        <f ca="1">('[1]Qc, Spring, S3'!L4*Main!$B$5)</f>
        <v>21.574310533198496</v>
      </c>
      <c r="M4" s="2">
        <f ca="1">('[1]Qc, Spring, S3'!M4*Main!$B$5)</f>
        <v>20.634607718071276</v>
      </c>
      <c r="N4" s="2">
        <f ca="1">('[1]Qc, Spring, S3'!N4*Main!$B$5)</f>
        <v>21.522019801809154</v>
      </c>
      <c r="O4" s="2">
        <f ca="1">('[1]Qc, Spring, S3'!O4*Main!$B$5)</f>
        <v>23.109238712756678</v>
      </c>
      <c r="P4" s="2">
        <f ca="1">('[1]Qc, Spring, S3'!P4*Main!$B$5)</f>
        <v>20.62936411380154</v>
      </c>
      <c r="Q4" s="2">
        <f ca="1">('[1]Qc, Spring, S3'!Q4*Main!$B$5)</f>
        <v>20.545926288079468</v>
      </c>
      <c r="R4" s="2">
        <f ca="1">('[1]Qc, Spring, S3'!R4*Main!$B$5)</f>
        <v>19.54560608097454</v>
      </c>
      <c r="S4" s="2">
        <f ca="1">('[1]Qc, Spring, S3'!S4*Main!$B$5)</f>
        <v>21.460888930763119</v>
      </c>
      <c r="T4" s="2">
        <f ca="1">('[1]Qc, Spring, S3'!T4*Main!$B$5)</f>
        <v>20.45276359346591</v>
      </c>
      <c r="U4" s="2">
        <f ca="1">('[1]Qc, Spring, S3'!U4*Main!$B$5)</f>
        <v>20.291337184178882</v>
      </c>
      <c r="V4" s="2">
        <f ca="1">('[1]Qc, Spring, S3'!V4*Main!$B$5)</f>
        <v>18.908382989462684</v>
      </c>
      <c r="W4" s="2">
        <f ca="1">('[1]Qc, Spring, S3'!W4*Main!$B$5)</f>
        <v>19.856548046446044</v>
      </c>
      <c r="X4" s="2">
        <f ca="1">('[1]Qc, Spring, S3'!X4*Main!$B$5)</f>
        <v>16.377303869393767</v>
      </c>
      <c r="Y4" s="2">
        <f ca="1">('[1]Qc, Spring, S3'!Y4*Main!$B$5)</f>
        <v>13.478316902616518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855EC-B3D7-4687-8F9B-F40946549B6E}">
  <dimension ref="A1:Y10"/>
  <sheetViews>
    <sheetView workbookViewId="0">
      <selection activeCell="E16" sqref="E16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-10.39694635069908</v>
      </c>
      <c r="C2" s="2">
        <f ca="1">('[1]Qc, Spring, S3'!C2*Main!$B$5)</f>
        <v>-12.936939990414629</v>
      </c>
      <c r="D2" s="2">
        <f ca="1">('[1]Qc, Spring, S3'!D2*Main!$B$5)</f>
        <v>-13.329365974871939</v>
      </c>
      <c r="E2" s="2">
        <f ca="1">('[1]Qc, Spring, S3'!E2*Main!$B$5)</f>
        <v>-13.842852854264436</v>
      </c>
      <c r="F2" s="2">
        <f ca="1">('[1]Qc, Spring, S3'!F2*Main!$B$5)</f>
        <v>-14.714531341421138</v>
      </c>
      <c r="G2" s="2">
        <f ca="1">('[1]Qc, Spring, S3'!G2*Main!$B$5)</f>
        <v>-13.726540439076723</v>
      </c>
      <c r="H2" s="2">
        <f ca="1">('[1]Qc, Spring, S3'!H2*Main!$B$5)</f>
        <v>-10.779055793811521</v>
      </c>
      <c r="I2" s="2">
        <f ca="1">('[1]Qc, Spring, S3'!I2*Main!$B$5)</f>
        <v>-2.785765503379861</v>
      </c>
      <c r="J2" s="2">
        <f ca="1">('[1]Qc, Spring, S3'!J2*Main!$B$5)</f>
        <v>3.2471924606043254</v>
      </c>
      <c r="K2" s="2">
        <f ca="1">('[1]Qc, Spring, S3'!K2*Main!$B$5)</f>
        <v>5.5928786000304465</v>
      </c>
      <c r="L2" s="2">
        <f ca="1">('[1]Qc, Spring, S3'!L2*Main!$B$5)</f>
        <v>3.5484023749985578</v>
      </c>
      <c r="M2" s="2">
        <f ca="1">('[1]Qc, Spring, S3'!M2*Main!$B$5)</f>
        <v>4.9574704121504158</v>
      </c>
      <c r="N2" s="2">
        <f ca="1">('[1]Qc, Spring, S3'!N2*Main!$B$5)</f>
        <v>4.2050868949877209</v>
      </c>
      <c r="O2" s="2">
        <f ca="1">('[1]Qc, Spring, S3'!O2*Main!$B$5)</f>
        <v>4.4352753600963277</v>
      </c>
      <c r="P2" s="2">
        <f ca="1">('[1]Qc, Spring, S3'!P2*Main!$B$5)</f>
        <v>0.94105785256174224</v>
      </c>
      <c r="Q2" s="2">
        <f ca="1">('[1]Qc, Spring, S3'!Q2*Main!$B$5)</f>
        <v>-1.8327943923451049</v>
      </c>
      <c r="R2" s="2">
        <f ca="1">('[1]Qc, Spring, S3'!R2*Main!$B$5)</f>
        <v>-0.63159712711133909</v>
      </c>
      <c r="S2" s="2">
        <f ca="1">('[1]Qc, Spring, S3'!S2*Main!$B$5)</f>
        <v>0.98292780863058682</v>
      </c>
      <c r="T2" s="2">
        <f ca="1">('[1]Qc, Spring, S3'!T2*Main!$B$5)</f>
        <v>1.1420960595629064E-2</v>
      </c>
      <c r="U2" s="2">
        <f ca="1">('[1]Qc, Spring, S3'!U2*Main!$B$5)</f>
        <v>-1.4598039013309279</v>
      </c>
      <c r="V2" s="2">
        <f ca="1">('[1]Qc, Spring, S3'!V2*Main!$B$5)</f>
        <v>-2.7812055429069868</v>
      </c>
      <c r="W2" s="2">
        <f ca="1">('[1]Qc, Spring, S3'!W2*Main!$B$5)</f>
        <v>-3.2077547014140375</v>
      </c>
      <c r="X2" s="2">
        <f ca="1">('[1]Qc, Spring, S3'!X2*Main!$B$5)</f>
        <v>-6.0746448284959813</v>
      </c>
      <c r="Y2" s="2">
        <f ca="1">('[1]Qc, Spring, S3'!Y2*Main!$B$5)</f>
        <v>-7.4555757288194009</v>
      </c>
    </row>
    <row r="3" spans="1:25" x14ac:dyDescent="0.3">
      <c r="A3">
        <v>2</v>
      </c>
      <c r="B3" s="2">
        <f ca="1">('[1]Qc, Spring, S3'!B3*Main!$B$5)</f>
        <v>-2.2413099612419694</v>
      </c>
      <c r="C3" s="2">
        <f ca="1">('[1]Qc, Spring, S3'!C3*Main!$B$5)</f>
        <v>-0.54521784570961851</v>
      </c>
      <c r="D3" s="2">
        <f ca="1">('[1]Qc, Spring, S3'!D3*Main!$B$5)</f>
        <v>-2.2725910919963987</v>
      </c>
      <c r="E3" s="2">
        <f ca="1">('[1]Qc, Spring, S3'!E3*Main!$B$5)</f>
        <v>-3.3198779957533739</v>
      </c>
      <c r="F3" s="2">
        <f ca="1">('[1]Qc, Spring, S3'!F3*Main!$B$5)</f>
        <v>-2.6559023966027002</v>
      </c>
      <c r="G3" s="2">
        <f ca="1">('[1]Qc, Spring, S3'!G3*Main!$B$5)</f>
        <v>-4.5881726477130131</v>
      </c>
      <c r="H3" s="2">
        <f ca="1">('[1]Qc, Spring, S3'!H3*Main!$B$5)</f>
        <v>-1.3895531041729676</v>
      </c>
      <c r="I3" s="2">
        <f ca="1">('[1]Qc, Spring, S3'!I3*Main!$B$5)</f>
        <v>1.1113257158394545</v>
      </c>
      <c r="J3" s="2">
        <f ca="1">('[1]Qc, Spring, S3'!J3*Main!$B$5)</f>
        <v>0.8727044072970348</v>
      </c>
      <c r="K3" s="2">
        <f ca="1">('[1]Qc, Spring, S3'!K3*Main!$B$5)</f>
        <v>0.84733018556201356</v>
      </c>
      <c r="L3" s="2">
        <f ca="1">('[1]Qc, Spring, S3'!L3*Main!$B$5)</f>
        <v>2.3543901236937921</v>
      </c>
      <c r="M3" s="2">
        <f ca="1">('[1]Qc, Spring, S3'!M3*Main!$B$5)</f>
        <v>1.7211679812937764</v>
      </c>
      <c r="N3" s="2">
        <f ca="1">('[1]Qc, Spring, S3'!N3*Main!$B$5)</f>
        <v>2.9174177732295741</v>
      </c>
      <c r="O3" s="2">
        <f ca="1">('[1]Qc, Spring, S3'!O3*Main!$B$5)</f>
        <v>2.9008308192145664</v>
      </c>
      <c r="P3" s="2">
        <f ca="1">('[1]Qc, Spring, S3'!P3*Main!$B$5)</f>
        <v>2.5036222295405937</v>
      </c>
      <c r="Q3" s="2">
        <f ca="1">('[1]Qc, Spring, S3'!Q3*Main!$B$5)</f>
        <v>3.2691940417940395</v>
      </c>
      <c r="R3" s="2">
        <f ca="1">('[1]Qc, Spring, S3'!R3*Main!$B$5)</f>
        <v>1.2596764725470024</v>
      </c>
      <c r="S3" s="2">
        <f ca="1">('[1]Qc, Spring, S3'!S3*Main!$B$5)</f>
        <v>1.2481525227180355</v>
      </c>
      <c r="T3" s="2">
        <f ca="1">('[1]Qc, Spring, S3'!T3*Main!$B$5)</f>
        <v>1.2526562409214705</v>
      </c>
      <c r="U3" s="2">
        <f ca="1">('[1]Qc, Spring, S3'!U3*Main!$B$5)</f>
        <v>1.1782148607830982</v>
      </c>
      <c r="V3" s="2">
        <f ca="1">('[1]Qc, Spring, S3'!V3*Main!$B$5)</f>
        <v>-0.75359066707707978</v>
      </c>
      <c r="W3" s="2">
        <f ca="1">('[1]Qc, Spring, S3'!W3*Main!$B$5)</f>
        <v>0.58152379436654722</v>
      </c>
      <c r="X3" s="2">
        <f ca="1">('[1]Qc, Spring, S3'!X3*Main!$B$5)</f>
        <v>-3.0239157167177217</v>
      </c>
      <c r="Y3" s="2">
        <f ca="1">('[1]Qc, Spring, S3'!Y3*Main!$B$5)</f>
        <v>-2.9112684406307276</v>
      </c>
    </row>
    <row r="4" spans="1:25" x14ac:dyDescent="0.3">
      <c r="A4">
        <v>3</v>
      </c>
      <c r="B4" s="2">
        <f ca="1">('[1]Qc, Spring, S3'!B4*Main!$B$5)</f>
        <v>9.7191480676895612</v>
      </c>
      <c r="C4" s="2">
        <f ca="1">('[1]Qc, Spring, S3'!C4*Main!$B$5)</f>
        <v>7.3474561288815892</v>
      </c>
      <c r="D4" s="2">
        <f ca="1">('[1]Qc, Spring, S3'!D4*Main!$B$5)</f>
        <v>7.0249139313966786</v>
      </c>
      <c r="E4" s="2">
        <f ca="1">('[1]Qc, Spring, S3'!E4*Main!$B$5)</f>
        <v>6.3872647296337162</v>
      </c>
      <c r="F4" s="2">
        <f ca="1">('[1]Qc, Spring, S3'!F4*Main!$B$5)</f>
        <v>7.0553541838675748</v>
      </c>
      <c r="G4" s="2">
        <f ca="1">('[1]Qc, Spring, S3'!G4*Main!$B$5)</f>
        <v>5.4159825646268205</v>
      </c>
      <c r="H4" s="2">
        <f ca="1">('[1]Qc, Spring, S3'!H4*Main!$B$5)</f>
        <v>8.6981948768618231</v>
      </c>
      <c r="I4" s="2">
        <f ca="1">('[1]Qc, Spring, S3'!I4*Main!$B$5)</f>
        <v>13.885339454244992</v>
      </c>
      <c r="J4" s="2">
        <f ca="1">('[1]Qc, Spring, S3'!J4*Main!$B$5)</f>
        <v>17.373143207459275</v>
      </c>
      <c r="K4" s="2">
        <f ca="1">('[1]Qc, Spring, S3'!K4*Main!$B$5)</f>
        <v>20.522183546402374</v>
      </c>
      <c r="L4" s="2">
        <f ca="1">('[1]Qc, Spring, S3'!L4*Main!$B$5)</f>
        <v>21.574310533198496</v>
      </c>
      <c r="M4" s="2">
        <f ca="1">('[1]Qc, Spring, S3'!M4*Main!$B$5)</f>
        <v>20.634607718071276</v>
      </c>
      <c r="N4" s="2">
        <f ca="1">('[1]Qc, Spring, S3'!N4*Main!$B$5)</f>
        <v>21.522019801809154</v>
      </c>
      <c r="O4" s="2">
        <f ca="1">('[1]Qc, Spring, S3'!O4*Main!$B$5)</f>
        <v>23.109238712756678</v>
      </c>
      <c r="P4" s="2">
        <f ca="1">('[1]Qc, Spring, S3'!P4*Main!$B$5)</f>
        <v>20.62936411380154</v>
      </c>
      <c r="Q4" s="2">
        <f ca="1">('[1]Qc, Spring, S3'!Q4*Main!$B$5)</f>
        <v>20.545926288079468</v>
      </c>
      <c r="R4" s="2">
        <f ca="1">('[1]Qc, Spring, S3'!R4*Main!$B$5)</f>
        <v>19.54560608097454</v>
      </c>
      <c r="S4" s="2">
        <f ca="1">('[1]Qc, Spring, S3'!S4*Main!$B$5)</f>
        <v>21.460888930763119</v>
      </c>
      <c r="T4" s="2">
        <f ca="1">('[1]Qc, Spring, S3'!T4*Main!$B$5)</f>
        <v>20.45276359346591</v>
      </c>
      <c r="U4" s="2">
        <f ca="1">('[1]Qc, Spring, S3'!U4*Main!$B$5)</f>
        <v>20.291337184178882</v>
      </c>
      <c r="V4" s="2">
        <f ca="1">('[1]Qc, Spring, S3'!V4*Main!$B$5)</f>
        <v>18.908382989462684</v>
      </c>
      <c r="W4" s="2">
        <f ca="1">('[1]Qc, Spring, S3'!W4*Main!$B$5)</f>
        <v>19.856548046446044</v>
      </c>
      <c r="X4" s="2">
        <f ca="1">('[1]Qc, Spring, S3'!X4*Main!$B$5)</f>
        <v>16.377303869393767</v>
      </c>
      <c r="Y4" s="2">
        <f ca="1">('[1]Qc, Spring, S3'!Y4*Main!$B$5)</f>
        <v>13.478316902616518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014-69BC-498C-8ED1-58EA159F995E}">
  <dimension ref="A1:Y10"/>
  <sheetViews>
    <sheetView workbookViewId="0">
      <selection activeCell="T53" sqref="T5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Spring, S3'!B2*Main!$B$5)</f>
        <v>-10.39694635069908</v>
      </c>
      <c r="C2" s="2">
        <f ca="1">('[1]Qc, Spring, S3'!C2*Main!$B$5)</f>
        <v>-12.936939990414629</v>
      </c>
      <c r="D2" s="2">
        <f ca="1">('[1]Qc, Spring, S3'!D2*Main!$B$5)</f>
        <v>-13.329365974871939</v>
      </c>
      <c r="E2" s="2">
        <f ca="1">('[1]Qc, Spring, S3'!E2*Main!$B$5)</f>
        <v>-13.842852854264436</v>
      </c>
      <c r="F2" s="2">
        <f ca="1">('[1]Qc, Spring, S3'!F2*Main!$B$5)</f>
        <v>-14.714531341421138</v>
      </c>
      <c r="G2" s="2">
        <f ca="1">('[1]Qc, Spring, S3'!G2*Main!$B$5)</f>
        <v>-13.726540439076723</v>
      </c>
      <c r="H2" s="2">
        <f ca="1">('[1]Qc, Spring, S3'!H2*Main!$B$5)</f>
        <v>-10.779055793811521</v>
      </c>
      <c r="I2" s="2">
        <f ca="1">('[1]Qc, Spring, S3'!I2*Main!$B$5)</f>
        <v>-2.785765503379861</v>
      </c>
      <c r="J2" s="2">
        <f ca="1">('[1]Qc, Spring, S3'!J2*Main!$B$5)</f>
        <v>3.2471924606043254</v>
      </c>
      <c r="K2" s="2">
        <f ca="1">('[1]Qc, Spring, S3'!K2*Main!$B$5)</f>
        <v>5.5928786000304465</v>
      </c>
      <c r="L2" s="2">
        <f ca="1">('[1]Qc, Spring, S3'!L2*Main!$B$5)</f>
        <v>3.5484023749985578</v>
      </c>
      <c r="M2" s="2">
        <f ca="1">('[1]Qc, Spring, S3'!M2*Main!$B$5)</f>
        <v>4.9574704121504158</v>
      </c>
      <c r="N2" s="2">
        <f ca="1">('[1]Qc, Spring, S3'!N2*Main!$B$5)</f>
        <v>4.2050868949877209</v>
      </c>
      <c r="O2" s="2">
        <f ca="1">('[1]Qc, Spring, S3'!O2*Main!$B$5)</f>
        <v>4.4352753600963277</v>
      </c>
      <c r="P2" s="2">
        <f ca="1">('[1]Qc, Spring, S3'!P2*Main!$B$5)</f>
        <v>0.94105785256174224</v>
      </c>
      <c r="Q2" s="2">
        <f ca="1">('[1]Qc, Spring, S3'!Q2*Main!$B$5)</f>
        <v>-1.8327943923451049</v>
      </c>
      <c r="R2" s="2">
        <f ca="1">('[1]Qc, Spring, S3'!R2*Main!$B$5)</f>
        <v>-0.63159712711133909</v>
      </c>
      <c r="S2" s="2">
        <f ca="1">('[1]Qc, Spring, S3'!S2*Main!$B$5)</f>
        <v>0.98292780863058682</v>
      </c>
      <c r="T2" s="2">
        <f ca="1">('[1]Qc, Spring, S3'!T2*Main!$B$5)</f>
        <v>1.1420960595629064E-2</v>
      </c>
      <c r="U2" s="2">
        <f ca="1">('[1]Qc, Spring, S3'!U2*Main!$B$5)</f>
        <v>-1.4598039013309279</v>
      </c>
      <c r="V2" s="2">
        <f ca="1">('[1]Qc, Spring, S3'!V2*Main!$B$5)</f>
        <v>-2.7812055429069868</v>
      </c>
      <c r="W2" s="2">
        <f ca="1">('[1]Qc, Spring, S3'!W2*Main!$B$5)</f>
        <v>-3.2077547014140375</v>
      </c>
      <c r="X2" s="2">
        <f ca="1">('[1]Qc, Spring, S3'!X2*Main!$B$5)</f>
        <v>-6.0746448284959813</v>
      </c>
      <c r="Y2" s="2">
        <f ca="1">('[1]Qc, Spring, S3'!Y2*Main!$B$5)</f>
        <v>-7.4555757288194009</v>
      </c>
    </row>
    <row r="3" spans="1:25" x14ac:dyDescent="0.3">
      <c r="A3">
        <v>2</v>
      </c>
      <c r="B3" s="2">
        <f ca="1">('[1]Qc, Spring, S3'!B3*Main!$B$5)</f>
        <v>-2.2413099612419694</v>
      </c>
      <c r="C3" s="2">
        <f ca="1">('[1]Qc, Spring, S3'!C3*Main!$B$5)</f>
        <v>-0.54521784570961851</v>
      </c>
      <c r="D3" s="2">
        <f ca="1">('[1]Qc, Spring, S3'!D3*Main!$B$5)</f>
        <v>-2.2725910919963987</v>
      </c>
      <c r="E3" s="2">
        <f ca="1">('[1]Qc, Spring, S3'!E3*Main!$B$5)</f>
        <v>-3.3198779957533739</v>
      </c>
      <c r="F3" s="2">
        <f ca="1">('[1]Qc, Spring, S3'!F3*Main!$B$5)</f>
        <v>-2.6559023966027002</v>
      </c>
      <c r="G3" s="2">
        <f ca="1">('[1]Qc, Spring, S3'!G3*Main!$B$5)</f>
        <v>-4.5881726477130131</v>
      </c>
      <c r="H3" s="2">
        <f ca="1">('[1]Qc, Spring, S3'!H3*Main!$B$5)</f>
        <v>-1.3895531041729676</v>
      </c>
      <c r="I3" s="2">
        <f ca="1">('[1]Qc, Spring, S3'!I3*Main!$B$5)</f>
        <v>1.1113257158394545</v>
      </c>
      <c r="J3" s="2">
        <f ca="1">('[1]Qc, Spring, S3'!J3*Main!$B$5)</f>
        <v>0.8727044072970348</v>
      </c>
      <c r="K3" s="2">
        <f ca="1">('[1]Qc, Spring, S3'!K3*Main!$B$5)</f>
        <v>0.84733018556201356</v>
      </c>
      <c r="L3" s="2">
        <f ca="1">('[1]Qc, Spring, S3'!L3*Main!$B$5)</f>
        <v>2.3543901236937921</v>
      </c>
      <c r="M3" s="2">
        <f ca="1">('[1]Qc, Spring, S3'!M3*Main!$B$5)</f>
        <v>1.7211679812937764</v>
      </c>
      <c r="N3" s="2">
        <f ca="1">('[1]Qc, Spring, S3'!N3*Main!$B$5)</f>
        <v>2.9174177732295741</v>
      </c>
      <c r="O3" s="2">
        <f ca="1">('[1]Qc, Spring, S3'!O3*Main!$B$5)</f>
        <v>2.9008308192145664</v>
      </c>
      <c r="P3" s="2">
        <f ca="1">('[1]Qc, Spring, S3'!P3*Main!$B$5)</f>
        <v>2.5036222295405937</v>
      </c>
      <c r="Q3" s="2">
        <f ca="1">('[1]Qc, Spring, S3'!Q3*Main!$B$5)</f>
        <v>3.2691940417940395</v>
      </c>
      <c r="R3" s="2">
        <f ca="1">('[1]Qc, Spring, S3'!R3*Main!$B$5)</f>
        <v>1.2596764725470024</v>
      </c>
      <c r="S3" s="2">
        <f ca="1">('[1]Qc, Spring, S3'!S3*Main!$B$5)</f>
        <v>1.2481525227180355</v>
      </c>
      <c r="T3" s="2">
        <f ca="1">('[1]Qc, Spring, S3'!T3*Main!$B$5)</f>
        <v>1.2526562409214705</v>
      </c>
      <c r="U3" s="2">
        <f ca="1">('[1]Qc, Spring, S3'!U3*Main!$B$5)</f>
        <v>1.1782148607830982</v>
      </c>
      <c r="V3" s="2">
        <f ca="1">('[1]Qc, Spring, S3'!V3*Main!$B$5)</f>
        <v>-0.75359066707707978</v>
      </c>
      <c r="W3" s="2">
        <f ca="1">('[1]Qc, Spring, S3'!W3*Main!$B$5)</f>
        <v>0.58152379436654722</v>
      </c>
      <c r="X3" s="2">
        <f ca="1">('[1]Qc, Spring, S3'!X3*Main!$B$5)</f>
        <v>-3.0239157167177217</v>
      </c>
      <c r="Y3" s="2">
        <f ca="1">('[1]Qc, Spring, S3'!Y3*Main!$B$5)</f>
        <v>-2.9112684406307276</v>
      </c>
    </row>
    <row r="4" spans="1:25" x14ac:dyDescent="0.3">
      <c r="A4">
        <v>3</v>
      </c>
      <c r="B4" s="2">
        <f ca="1">('[1]Qc, Spring, S3'!B4*Main!$B$5)</f>
        <v>9.7191480676895612</v>
      </c>
      <c r="C4" s="2">
        <f ca="1">('[1]Qc, Spring, S3'!C4*Main!$B$5)</f>
        <v>7.3474561288815892</v>
      </c>
      <c r="D4" s="2">
        <f ca="1">('[1]Qc, Spring, S3'!D4*Main!$B$5)</f>
        <v>7.0249139313966786</v>
      </c>
      <c r="E4" s="2">
        <f ca="1">('[1]Qc, Spring, S3'!E4*Main!$B$5)</f>
        <v>6.3872647296337162</v>
      </c>
      <c r="F4" s="2">
        <f ca="1">('[1]Qc, Spring, S3'!F4*Main!$B$5)</f>
        <v>7.0553541838675748</v>
      </c>
      <c r="G4" s="2">
        <f ca="1">('[1]Qc, Spring, S3'!G4*Main!$B$5)</f>
        <v>5.4159825646268205</v>
      </c>
      <c r="H4" s="2">
        <f ca="1">('[1]Qc, Spring, S3'!H4*Main!$B$5)</f>
        <v>8.6981948768618231</v>
      </c>
      <c r="I4" s="2">
        <f ca="1">('[1]Qc, Spring, S3'!I4*Main!$B$5)</f>
        <v>13.885339454244992</v>
      </c>
      <c r="J4" s="2">
        <f ca="1">('[1]Qc, Spring, S3'!J4*Main!$B$5)</f>
        <v>17.373143207459275</v>
      </c>
      <c r="K4" s="2">
        <f ca="1">('[1]Qc, Spring, S3'!K4*Main!$B$5)</f>
        <v>20.522183546402374</v>
      </c>
      <c r="L4" s="2">
        <f ca="1">('[1]Qc, Spring, S3'!L4*Main!$B$5)</f>
        <v>21.574310533198496</v>
      </c>
      <c r="M4" s="2">
        <f ca="1">('[1]Qc, Spring, S3'!M4*Main!$B$5)</f>
        <v>20.634607718071276</v>
      </c>
      <c r="N4" s="2">
        <f ca="1">('[1]Qc, Spring, S3'!N4*Main!$B$5)</f>
        <v>21.522019801809154</v>
      </c>
      <c r="O4" s="2">
        <f ca="1">('[1]Qc, Spring, S3'!O4*Main!$B$5)</f>
        <v>23.109238712756678</v>
      </c>
      <c r="P4" s="2">
        <f ca="1">('[1]Qc, Spring, S3'!P4*Main!$B$5)</f>
        <v>20.62936411380154</v>
      </c>
      <c r="Q4" s="2">
        <f ca="1">('[1]Qc, Spring, S3'!Q4*Main!$B$5)</f>
        <v>20.545926288079468</v>
      </c>
      <c r="R4" s="2">
        <f ca="1">('[1]Qc, Spring, S3'!R4*Main!$B$5)</f>
        <v>19.54560608097454</v>
      </c>
      <c r="S4" s="2">
        <f ca="1">('[1]Qc, Spring, S3'!S4*Main!$B$5)</f>
        <v>21.460888930763119</v>
      </c>
      <c r="T4" s="2">
        <f ca="1">('[1]Qc, Spring, S3'!T4*Main!$B$5)</f>
        <v>20.45276359346591</v>
      </c>
      <c r="U4" s="2">
        <f ca="1">('[1]Qc, Spring, S3'!U4*Main!$B$5)</f>
        <v>20.291337184178882</v>
      </c>
      <c r="V4" s="2">
        <f ca="1">('[1]Qc, Spring, S3'!V4*Main!$B$5)</f>
        <v>18.908382989462684</v>
      </c>
      <c r="W4" s="2">
        <f ca="1">('[1]Qc, Spring, S3'!W4*Main!$B$5)</f>
        <v>19.856548046446044</v>
      </c>
      <c r="X4" s="2">
        <f ca="1">('[1]Qc, Spring, S3'!X4*Main!$B$5)</f>
        <v>16.377303869393767</v>
      </c>
      <c r="Y4" s="2">
        <f ca="1">('[1]Qc, Spring, S3'!Y4*Main!$B$5)</f>
        <v>13.478316902616518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3252-224E-42D0-AEF3-875AB7F1DC39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FC90F-E5D8-4B0C-962A-1D3E48794422}">
  <dimension ref="A1:Y4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BEDA-3CED-4A36-B8B5-3C997C5803E9}">
  <dimension ref="A1:Y10"/>
  <sheetViews>
    <sheetView workbookViewId="0">
      <selection activeCell="B5" sqref="B5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8DCCF-8843-49E7-A2BE-F57333158CF0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E612B-8B1B-4085-8089-2EC67F7C85E9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BAD-52D5-4B74-B4F0-0AD05103540C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B76AB-CAAD-4D01-A6E3-BD56703B3D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7D921-D097-4973-885E-7DCB80C972A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5C99-6CFD-4194-9CB5-EC46C97B209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Spring'!B$5</f>
        <v>7.743877960658371</v>
      </c>
      <c r="C5" s="9">
        <f>VLOOKUP($A5,'RES installed'!$A$2:$C$7,3,FALSE)*'[1]Profiles, RES, Spring'!C$5</f>
        <v>7.189883580891208</v>
      </c>
      <c r="D5" s="9">
        <f>VLOOKUP($A5,'RES installed'!$A$2:$C$7,3,FALSE)*'[1]Profiles, RES, Spring'!D$5</f>
        <v>7.2260136491368927</v>
      </c>
      <c r="E5" s="9">
        <f>VLOOKUP($A5,'RES installed'!$A$2:$C$7,3,FALSE)*'[1]Profiles, RES, Spring'!E$5</f>
        <v>6.9369731031714172</v>
      </c>
      <c r="F5" s="9">
        <f>VLOOKUP($A5,'RES installed'!$A$2:$C$7,3,FALSE)*'[1]Profiles, RES, Spring'!F$5</f>
        <v>6.8707346447209954</v>
      </c>
      <c r="G5" s="9">
        <f>VLOOKUP($A5,'RES installed'!$A$2:$C$7,3,FALSE)*'[1]Profiles, RES, Spring'!G$5</f>
        <v>6.9911682055399433</v>
      </c>
      <c r="H5" s="9">
        <f>VLOOKUP($A5,'RES installed'!$A$2:$C$7,3,FALSE)*'[1]Profiles, RES, Spring'!H$5</f>
        <v>6.2745885186672021</v>
      </c>
      <c r="I5" s="9">
        <f>VLOOKUP($A5,'RES installed'!$A$2:$C$7,3,FALSE)*'[1]Profiles, RES, Spring'!I$5</f>
        <v>5.0341228422320352</v>
      </c>
      <c r="J5" s="9">
        <f>VLOOKUP($A5,'RES installed'!$A$2:$C$7,3,FALSE)*'[1]Profiles, RES, Spring'!J$5</f>
        <v>3.9682858289843437</v>
      </c>
      <c r="K5" s="9">
        <f>VLOOKUP($A5,'RES installed'!$A$2:$C$7,3,FALSE)*'[1]Profiles, RES, Spring'!K$5</f>
        <v>2.9987956643918108</v>
      </c>
      <c r="L5" s="9">
        <f>VLOOKUP($A5,'RES installed'!$A$2:$C$7,3,FALSE)*'[1]Profiles, RES, Spring'!L$5</f>
        <v>2.8482537133681252</v>
      </c>
      <c r="M5" s="9">
        <f>VLOOKUP($A5,'RES installed'!$A$2:$C$7,3,FALSE)*'[1]Profiles, RES, Spring'!M$5</f>
        <v>3.4684865515857086</v>
      </c>
      <c r="N5" s="9">
        <f>VLOOKUP($A5,'RES installed'!$A$2:$C$7,3,FALSE)*'[1]Profiles, RES, Spring'!N$5</f>
        <v>4.5824969891609797</v>
      </c>
      <c r="O5" s="9">
        <f>VLOOKUP($A5,'RES installed'!$A$2:$C$7,3,FALSE)*'[1]Profiles, RES, Spring'!O$5</f>
        <v>6.3348052990766766</v>
      </c>
      <c r="P5" s="9">
        <f>VLOOKUP($A5,'RES installed'!$A$2:$C$7,3,FALSE)*'[1]Profiles, RES, Spring'!P$5</f>
        <v>8.2677639502207949</v>
      </c>
      <c r="Q5" s="9">
        <f>VLOOKUP($A5,'RES installed'!$A$2:$C$7,3,FALSE)*'[1]Profiles, RES, Spring'!Q$5</f>
        <v>10.315134484142915</v>
      </c>
      <c r="R5" s="9">
        <f>VLOOKUP($A5,'RES installed'!$A$2:$C$7,3,FALSE)*'[1]Profiles, RES, Spring'!R$5</f>
        <v>12.844239261340828</v>
      </c>
      <c r="S5" s="9">
        <f>VLOOKUP($A5,'RES installed'!$A$2:$C$7,3,FALSE)*'[1]Profiles, RES, Spring'!S$5</f>
        <v>14.259333600963469</v>
      </c>
      <c r="T5" s="9">
        <f>VLOOKUP($A5,'RES installed'!$A$2:$C$7,3,FALSE)*'[1]Profiles, RES, Spring'!T$5</f>
        <v>14.307507025291049</v>
      </c>
      <c r="U5" s="9">
        <f>VLOOKUP($A5,'RES installed'!$A$2:$C$7,3,FALSE)*'[1]Profiles, RES, Spring'!U$5</f>
        <v>13.934162986752309</v>
      </c>
      <c r="V5" s="9">
        <f>VLOOKUP($A5,'RES installed'!$A$2:$C$7,3,FALSE)*'[1]Profiles, RES, Spring'!V$5</f>
        <v>12.633480529907667</v>
      </c>
      <c r="W5" s="9">
        <f>VLOOKUP($A5,'RES installed'!$A$2:$C$7,3,FALSE)*'[1]Profiles, RES, Spring'!W$5</f>
        <v>11.67603372139703</v>
      </c>
      <c r="X5" s="9">
        <f>VLOOKUP($A5,'RES installed'!$A$2:$C$7,3,FALSE)*'[1]Profiles, RES, Spring'!X$5</f>
        <v>11.657968687274188</v>
      </c>
      <c r="Y5" s="9">
        <f>VLOOKUP($A5,'RES installed'!$A$2:$C$7,3,FALSE)*'[1]Profiles, RES, Spring'!Y$5</f>
        <v>11.055800883179446</v>
      </c>
    </row>
    <row r="6" spans="1:25" x14ac:dyDescent="0.3">
      <c r="A6" s="8">
        <v>5</v>
      </c>
      <c r="B6" s="9">
        <f>VLOOKUP($A6,'RES installed'!$A$2:$C$7,3,FALSE)*'[1]Profiles, RES, Spring'!B$5</f>
        <v>5.1625853071055801</v>
      </c>
      <c r="C6" s="9">
        <f>VLOOKUP($A6,'RES installed'!$A$2:$C$7,3,FALSE)*'[1]Profiles, RES, Spring'!C$5</f>
        <v>4.7932557205941393</v>
      </c>
      <c r="D6" s="9">
        <f>VLOOKUP($A6,'RES installed'!$A$2:$C$7,3,FALSE)*'[1]Profiles, RES, Spring'!D$5</f>
        <v>4.8173424327579282</v>
      </c>
      <c r="E6" s="9">
        <f>VLOOKUP($A6,'RES installed'!$A$2:$C$7,3,FALSE)*'[1]Profiles, RES, Spring'!E$5</f>
        <v>4.6246487354476109</v>
      </c>
      <c r="F6" s="9">
        <f>VLOOKUP($A6,'RES installed'!$A$2:$C$7,3,FALSE)*'[1]Profiles, RES, Spring'!F$5</f>
        <v>4.5804897631473303</v>
      </c>
      <c r="G6" s="9">
        <f>VLOOKUP($A6,'RES installed'!$A$2:$C$7,3,FALSE)*'[1]Profiles, RES, Spring'!G$5</f>
        <v>4.6607788036932956</v>
      </c>
      <c r="H6" s="9">
        <f>VLOOKUP($A6,'RES installed'!$A$2:$C$7,3,FALSE)*'[1]Profiles, RES, Spring'!H$5</f>
        <v>4.1830590124448017</v>
      </c>
      <c r="I6" s="9">
        <f>VLOOKUP($A6,'RES installed'!$A$2:$C$7,3,FALSE)*'[1]Profiles, RES, Spring'!I$5</f>
        <v>3.3560818948213567</v>
      </c>
      <c r="J6" s="9">
        <f>VLOOKUP($A6,'RES installed'!$A$2:$C$7,3,FALSE)*'[1]Profiles, RES, Spring'!J$5</f>
        <v>2.6455238859895625</v>
      </c>
      <c r="K6" s="9">
        <f>VLOOKUP($A6,'RES installed'!$A$2:$C$7,3,FALSE)*'[1]Profiles, RES, Spring'!K$5</f>
        <v>1.9991971095945404</v>
      </c>
      <c r="L6" s="9">
        <f>VLOOKUP($A6,'RES installed'!$A$2:$C$7,3,FALSE)*'[1]Profiles, RES, Spring'!L$5</f>
        <v>1.8988358089120836</v>
      </c>
      <c r="M6" s="9">
        <f>VLOOKUP($A6,'RES installed'!$A$2:$C$7,3,FALSE)*'[1]Profiles, RES, Spring'!M$5</f>
        <v>2.3123243677238055</v>
      </c>
      <c r="N6" s="9">
        <f>VLOOKUP($A6,'RES installed'!$A$2:$C$7,3,FALSE)*'[1]Profiles, RES, Spring'!N$5</f>
        <v>3.0549979927739863</v>
      </c>
      <c r="O6" s="9">
        <f>VLOOKUP($A6,'RES installed'!$A$2:$C$7,3,FALSE)*'[1]Profiles, RES, Spring'!O$5</f>
        <v>4.2232035327177844</v>
      </c>
      <c r="P6" s="9">
        <f>VLOOKUP($A6,'RES installed'!$A$2:$C$7,3,FALSE)*'[1]Profiles, RES, Spring'!P$5</f>
        <v>5.5118426334805299</v>
      </c>
      <c r="Q6" s="9">
        <f>VLOOKUP($A6,'RES installed'!$A$2:$C$7,3,FALSE)*'[1]Profiles, RES, Spring'!Q$5</f>
        <v>6.8767563227619437</v>
      </c>
      <c r="R6" s="9">
        <f>VLOOKUP($A6,'RES installed'!$A$2:$C$7,3,FALSE)*'[1]Profiles, RES, Spring'!R$5</f>
        <v>8.5628261742272187</v>
      </c>
      <c r="S6" s="9">
        <f>VLOOKUP($A6,'RES installed'!$A$2:$C$7,3,FALSE)*'[1]Profiles, RES, Spring'!S$5</f>
        <v>9.5062224006423115</v>
      </c>
      <c r="T6" s="9">
        <f>VLOOKUP($A6,'RES installed'!$A$2:$C$7,3,FALSE)*'[1]Profiles, RES, Spring'!T$5</f>
        <v>9.538338016860699</v>
      </c>
      <c r="U6" s="9">
        <f>VLOOKUP($A6,'RES installed'!$A$2:$C$7,3,FALSE)*'[1]Profiles, RES, Spring'!U$5</f>
        <v>9.2894419911682053</v>
      </c>
      <c r="V6" s="9">
        <f>VLOOKUP($A6,'RES installed'!$A$2:$C$7,3,FALSE)*'[1]Profiles, RES, Spring'!V$5</f>
        <v>8.422320353271779</v>
      </c>
      <c r="W6" s="9">
        <f>VLOOKUP($A6,'RES installed'!$A$2:$C$7,3,FALSE)*'[1]Profiles, RES, Spring'!W$5</f>
        <v>7.7840224809313527</v>
      </c>
      <c r="X6" s="9">
        <f>VLOOKUP($A6,'RES installed'!$A$2:$C$7,3,FALSE)*'[1]Profiles, RES, Spring'!X$5</f>
        <v>7.7719791248494587</v>
      </c>
      <c r="Y6" s="9">
        <f>VLOOKUP($A6,'RES installed'!$A$2:$C$7,3,FALSE)*'[1]Profiles, RES, Spring'!Y$5</f>
        <v>7.3705339221196304</v>
      </c>
    </row>
    <row r="7" spans="1:25" x14ac:dyDescent="0.3">
      <c r="A7" s="8">
        <v>6</v>
      </c>
      <c r="B7" s="9">
        <f>VLOOKUP($A7,'RES installed'!$A$2:$C$7,3,FALSE)*'[1]Profiles, RES, Spring'!B$5</f>
        <v>7.743877960658371</v>
      </c>
      <c r="C7" s="9">
        <f>VLOOKUP($A7,'RES installed'!$A$2:$C$7,3,FALSE)*'[1]Profiles, RES, Spring'!C$5</f>
        <v>7.189883580891208</v>
      </c>
      <c r="D7" s="9">
        <f>VLOOKUP($A7,'RES installed'!$A$2:$C$7,3,FALSE)*'[1]Profiles, RES, Spring'!D$5</f>
        <v>7.2260136491368927</v>
      </c>
      <c r="E7" s="9">
        <f>VLOOKUP($A7,'RES installed'!$A$2:$C$7,3,FALSE)*'[1]Profiles, RES, Spring'!E$5</f>
        <v>6.9369731031714172</v>
      </c>
      <c r="F7" s="9">
        <f>VLOOKUP($A7,'RES installed'!$A$2:$C$7,3,FALSE)*'[1]Profiles, RES, Spring'!F$5</f>
        <v>6.8707346447209954</v>
      </c>
      <c r="G7" s="9">
        <f>VLOOKUP($A7,'RES installed'!$A$2:$C$7,3,FALSE)*'[1]Profiles, RES, Spring'!G$5</f>
        <v>6.9911682055399433</v>
      </c>
      <c r="H7" s="9">
        <f>VLOOKUP($A7,'RES installed'!$A$2:$C$7,3,FALSE)*'[1]Profiles, RES, Spring'!H$5</f>
        <v>6.2745885186672021</v>
      </c>
      <c r="I7" s="9">
        <f>VLOOKUP($A7,'RES installed'!$A$2:$C$7,3,FALSE)*'[1]Profiles, RES, Spring'!I$5</f>
        <v>5.0341228422320352</v>
      </c>
      <c r="J7" s="9">
        <f>VLOOKUP($A7,'RES installed'!$A$2:$C$7,3,FALSE)*'[1]Profiles, RES, Spring'!J$5</f>
        <v>3.9682858289843437</v>
      </c>
      <c r="K7" s="9">
        <f>VLOOKUP($A7,'RES installed'!$A$2:$C$7,3,FALSE)*'[1]Profiles, RES, Spring'!K$5</f>
        <v>2.9987956643918108</v>
      </c>
      <c r="L7" s="9">
        <f>VLOOKUP($A7,'RES installed'!$A$2:$C$7,3,FALSE)*'[1]Profiles, RES, Spring'!L$5</f>
        <v>2.8482537133681252</v>
      </c>
      <c r="M7" s="9">
        <f>VLOOKUP($A7,'RES installed'!$A$2:$C$7,3,FALSE)*'[1]Profiles, RES, Spring'!M$5</f>
        <v>3.4684865515857086</v>
      </c>
      <c r="N7" s="9">
        <f>VLOOKUP($A7,'RES installed'!$A$2:$C$7,3,FALSE)*'[1]Profiles, RES, Spring'!N$5</f>
        <v>4.5824969891609797</v>
      </c>
      <c r="O7" s="9">
        <f>VLOOKUP($A7,'RES installed'!$A$2:$C$7,3,FALSE)*'[1]Profiles, RES, Spring'!O$5</f>
        <v>6.3348052990766766</v>
      </c>
      <c r="P7" s="9">
        <f>VLOOKUP($A7,'RES installed'!$A$2:$C$7,3,FALSE)*'[1]Profiles, RES, Spring'!P$5</f>
        <v>8.2677639502207949</v>
      </c>
      <c r="Q7" s="9">
        <f>VLOOKUP($A7,'RES installed'!$A$2:$C$7,3,FALSE)*'[1]Profiles, RES, Spring'!Q$5</f>
        <v>10.315134484142915</v>
      </c>
      <c r="R7" s="9">
        <f>VLOOKUP($A7,'RES installed'!$A$2:$C$7,3,FALSE)*'[1]Profiles, RES, Spring'!R$5</f>
        <v>12.844239261340828</v>
      </c>
      <c r="S7" s="9">
        <f>VLOOKUP($A7,'RES installed'!$A$2:$C$7,3,FALSE)*'[1]Profiles, RES, Spring'!S$5</f>
        <v>14.259333600963469</v>
      </c>
      <c r="T7" s="9">
        <f>VLOOKUP($A7,'RES installed'!$A$2:$C$7,3,FALSE)*'[1]Profiles, RES, Spring'!T$5</f>
        <v>14.307507025291049</v>
      </c>
      <c r="U7" s="9">
        <f>VLOOKUP($A7,'RES installed'!$A$2:$C$7,3,FALSE)*'[1]Profiles, RES, Spring'!U$5</f>
        <v>13.934162986752309</v>
      </c>
      <c r="V7" s="9">
        <f>VLOOKUP($A7,'RES installed'!$A$2:$C$7,3,FALSE)*'[1]Profiles, RES, Spring'!V$5</f>
        <v>12.633480529907667</v>
      </c>
      <c r="W7" s="9">
        <f>VLOOKUP($A7,'RES installed'!$A$2:$C$7,3,FALSE)*'[1]Profiles, RES, Spring'!W$5</f>
        <v>11.67603372139703</v>
      </c>
      <c r="X7" s="9">
        <f>VLOOKUP($A7,'RES installed'!$A$2:$C$7,3,FALSE)*'[1]Profiles, RES, Spring'!X$5</f>
        <v>11.657968687274188</v>
      </c>
      <c r="Y7" s="9">
        <f>VLOOKUP($A7,'RES installed'!$A$2:$C$7,3,FALSE)*'[1]Profiles, RES, Spring'!Y$5</f>
        <v>11.055800883179446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0.28430629264594387</v>
      </c>
      <c r="H8" s="6">
        <f>VLOOKUP($A8,'RES installed'!$A$2:$C$7,3,FALSE)*'[1]Profiles, RES, Spring'!H$2</f>
        <v>2.8544351781652768</v>
      </c>
      <c r="I8" s="6">
        <f>VLOOKUP($A8,'RES installed'!$A$2:$C$7,3,FALSE)*'[1]Profiles, RES, Spring'!I$2</f>
        <v>7.9719484457922665</v>
      </c>
      <c r="J8" s="6">
        <f>VLOOKUP($A8,'RES installed'!$A$2:$C$7,3,FALSE)*'[1]Profiles, RES, Spring'!J$2</f>
        <v>12.31614859742229</v>
      </c>
      <c r="K8" s="6">
        <f>VLOOKUP($A8,'RES installed'!$A$2:$C$7,3,FALSE)*'[1]Profiles, RES, Spring'!K$2</f>
        <v>14.408642911296438</v>
      </c>
      <c r="L8" s="6">
        <f>VLOOKUP($A8,'RES installed'!$A$2:$C$7,3,FALSE)*'[1]Profiles, RES, Spring'!L$2</f>
        <v>16.467020470053072</v>
      </c>
      <c r="M8" s="6">
        <f>VLOOKUP($A8,'RES installed'!$A$2:$C$7,3,FALSE)*'[1]Profiles, RES, Spring'!M$2</f>
        <v>17.354056103108416</v>
      </c>
      <c r="N8" s="6">
        <f>VLOOKUP($A8,'RES installed'!$A$2:$C$7,3,FALSE)*'[1]Profiles, RES, Spring'!N$2</f>
        <v>18.718726307808947</v>
      </c>
      <c r="O8" s="6">
        <f>VLOOKUP($A8,'RES installed'!$A$2:$C$7,3,FALSE)*'[1]Profiles, RES, Spring'!O$2</f>
        <v>18.821076573161488</v>
      </c>
      <c r="P8" s="6">
        <f>VLOOKUP($A8,'RES installed'!$A$2:$C$7,3,FALSE)*'[1]Profiles, RES, Spring'!P$2</f>
        <v>18.923426838514025</v>
      </c>
      <c r="Q8" s="6">
        <f>VLOOKUP($A8,'RES installed'!$A$2:$C$7,3,FALSE)*'[1]Profiles, RES, Spring'!Q$2</f>
        <v>17.308567096285064</v>
      </c>
      <c r="R8" s="6">
        <f>VLOOKUP($A8,'RES installed'!$A$2:$C$7,3,FALSE)*'[1]Profiles, RES, Spring'!R$2</f>
        <v>13.771796815769523</v>
      </c>
      <c r="S8" s="6">
        <f>VLOOKUP($A8,'RES installed'!$A$2:$C$7,3,FALSE)*'[1]Profiles, RES, Spring'!S$2</f>
        <v>9.0750568612585294</v>
      </c>
      <c r="T8" s="6">
        <f>VLOOKUP($A8,'RES installed'!$A$2:$C$7,3,FALSE)*'[1]Profiles, RES, Spring'!T$2</f>
        <v>3.3434420015163004</v>
      </c>
      <c r="U8" s="6">
        <f>VLOOKUP($A8,'RES installed'!$A$2:$C$7,3,FALSE)*'[1]Profiles, RES, Spring'!U$2</f>
        <v>0.29567854435178165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  <row r="9" spans="1:25" x14ac:dyDescent="0.3">
      <c r="A9" s="5">
        <v>8</v>
      </c>
      <c r="B9" s="6">
        <f>VLOOKUP($A9,'RES installed'!$A$2:$C$7,3,FALSE)*'[1]Profiles, RES, Spring'!B$2</f>
        <v>0</v>
      </c>
      <c r="C9" s="6">
        <f>VLOOKUP($A9,'RES installed'!$A$2:$C$7,3,FALSE)*'[1]Profiles, RES, Spring'!C$2</f>
        <v>0</v>
      </c>
      <c r="D9" s="6">
        <f>VLOOKUP($A9,'RES installed'!$A$2:$C$7,3,FALSE)*'[1]Profiles, RES, Spring'!D$2</f>
        <v>0</v>
      </c>
      <c r="E9" s="6">
        <f>VLOOKUP($A9,'RES installed'!$A$2:$C$7,3,FALSE)*'[1]Profiles, RES, Spring'!E$2</f>
        <v>0</v>
      </c>
      <c r="F9" s="6">
        <f>VLOOKUP($A9,'RES installed'!$A$2:$C$7,3,FALSE)*'[1]Profiles, RES, Spring'!F$2</f>
        <v>0</v>
      </c>
      <c r="G9" s="6">
        <f>VLOOKUP($A9,'RES installed'!$A$2:$C$7,3,FALSE)*'[1]Profiles, RES, Spring'!G$2</f>
        <v>9.4768764215314633E-2</v>
      </c>
      <c r="H9" s="6">
        <f>VLOOKUP($A9,'RES installed'!$A$2:$C$7,3,FALSE)*'[1]Profiles, RES, Spring'!H$2</f>
        <v>0.95147839272175894</v>
      </c>
      <c r="I9" s="6">
        <f>VLOOKUP($A9,'RES installed'!$A$2:$C$7,3,FALSE)*'[1]Profiles, RES, Spring'!I$2</f>
        <v>2.6573161485974222</v>
      </c>
      <c r="J9" s="6">
        <f>VLOOKUP($A9,'RES installed'!$A$2:$C$7,3,FALSE)*'[1]Profiles, RES, Spring'!J$2</f>
        <v>4.1053828658074298</v>
      </c>
      <c r="K9" s="6">
        <f>VLOOKUP($A9,'RES installed'!$A$2:$C$7,3,FALSE)*'[1]Profiles, RES, Spring'!K$2</f>
        <v>4.8028809704321453</v>
      </c>
      <c r="L9" s="6">
        <f>VLOOKUP($A9,'RES installed'!$A$2:$C$7,3,FALSE)*'[1]Profiles, RES, Spring'!L$2</f>
        <v>5.4890068233510236</v>
      </c>
      <c r="M9" s="6">
        <f>VLOOKUP($A9,'RES installed'!$A$2:$C$7,3,FALSE)*'[1]Profiles, RES, Spring'!M$2</f>
        <v>5.7846853677028056</v>
      </c>
      <c r="N9" s="6">
        <f>VLOOKUP($A9,'RES installed'!$A$2:$C$7,3,FALSE)*'[1]Profiles, RES, Spring'!N$2</f>
        <v>6.2395754359363149</v>
      </c>
      <c r="O9" s="6">
        <f>VLOOKUP($A9,'RES installed'!$A$2:$C$7,3,FALSE)*'[1]Profiles, RES, Spring'!O$2</f>
        <v>6.2736921910538292</v>
      </c>
      <c r="P9" s="6">
        <f>VLOOKUP($A9,'RES installed'!$A$2:$C$7,3,FALSE)*'[1]Profiles, RES, Spring'!P$2</f>
        <v>6.3078089461713418</v>
      </c>
      <c r="Q9" s="6">
        <f>VLOOKUP($A9,'RES installed'!$A$2:$C$7,3,FALSE)*'[1]Profiles, RES, Spring'!Q$2</f>
        <v>5.7695223654283545</v>
      </c>
      <c r="R9" s="6">
        <f>VLOOKUP($A9,'RES installed'!$A$2:$C$7,3,FALSE)*'[1]Profiles, RES, Spring'!R$2</f>
        <v>4.5905989385898414</v>
      </c>
      <c r="S9" s="6">
        <f>VLOOKUP($A9,'RES installed'!$A$2:$C$7,3,FALSE)*'[1]Profiles, RES, Spring'!S$2</f>
        <v>3.0250189537528431</v>
      </c>
      <c r="T9" s="6">
        <f>VLOOKUP($A9,'RES installed'!$A$2:$C$7,3,FALSE)*'[1]Profiles, RES, Spring'!T$2</f>
        <v>1.1144806671721001</v>
      </c>
      <c r="U9" s="6">
        <f>VLOOKUP($A9,'RES installed'!$A$2:$C$7,3,FALSE)*'[1]Profiles, RES, Spring'!U$2</f>
        <v>9.8559514783927216E-2</v>
      </c>
      <c r="V9" s="6">
        <f>VLOOKUP($A9,'RES installed'!$A$2:$C$7,3,FALSE)*'[1]Profiles, RES, Spring'!V$2</f>
        <v>0</v>
      </c>
      <c r="W9" s="6">
        <f>VLOOKUP($A9,'RES installed'!$A$2:$C$7,3,FALSE)*'[1]Profiles, RES, Spring'!W$2</f>
        <v>0</v>
      </c>
      <c r="X9" s="6">
        <f>VLOOKUP($A9,'RES installed'!$A$2:$C$7,3,FALSE)*'[1]Profiles, RES, Spring'!X$2</f>
        <v>0</v>
      </c>
      <c r="Y9" s="6">
        <f>VLOOKUP($A9,'RES installed'!$A$2:$C$7,3,FALSE)*'[1]Profiles, RES, Spring'!Y$2</f>
        <v>0</v>
      </c>
    </row>
    <row r="10" spans="1:25" x14ac:dyDescent="0.3">
      <c r="A10" s="5">
        <v>9</v>
      </c>
      <c r="B10" s="6">
        <f>VLOOKUP($A10,'RES installed'!$A$2:$C$7,3,FALSE)*'[1]Profiles, RES, Spring'!B$2</f>
        <v>0</v>
      </c>
      <c r="C10" s="6">
        <f>VLOOKUP($A10,'RES installed'!$A$2:$C$7,3,FALSE)*'[1]Profiles, RES, Spring'!C$2</f>
        <v>0</v>
      </c>
      <c r="D10" s="6">
        <f>VLOOKUP($A10,'RES installed'!$A$2:$C$7,3,FALSE)*'[1]Profiles, RES, Spring'!D$2</f>
        <v>0</v>
      </c>
      <c r="E10" s="6">
        <f>VLOOKUP($A10,'RES installed'!$A$2:$C$7,3,FALSE)*'[1]Profiles, RES, Spring'!E$2</f>
        <v>0</v>
      </c>
      <c r="F10" s="6">
        <f>VLOOKUP($A10,'RES installed'!$A$2:$C$7,3,FALSE)*'[1]Profiles, RES, Spring'!F$2</f>
        <v>0</v>
      </c>
      <c r="G10" s="6">
        <f>VLOOKUP($A10,'RES installed'!$A$2:$C$7,3,FALSE)*'[1]Profiles, RES, Spring'!G$2</f>
        <v>0.18953752843062927</v>
      </c>
      <c r="H10" s="6">
        <f>VLOOKUP($A10,'RES installed'!$A$2:$C$7,3,FALSE)*'[1]Profiles, RES, Spring'!H$2</f>
        <v>1.9029567854435179</v>
      </c>
      <c r="I10" s="6">
        <f>VLOOKUP($A10,'RES installed'!$A$2:$C$7,3,FALSE)*'[1]Profiles, RES, Spring'!I$2</f>
        <v>5.3146322971948443</v>
      </c>
      <c r="J10" s="6">
        <f>VLOOKUP($A10,'RES installed'!$A$2:$C$7,3,FALSE)*'[1]Profiles, RES, Spring'!J$2</f>
        <v>8.2107657316148597</v>
      </c>
      <c r="K10" s="6">
        <f>VLOOKUP($A10,'RES installed'!$A$2:$C$7,3,FALSE)*'[1]Profiles, RES, Spring'!K$2</f>
        <v>9.6057619408642907</v>
      </c>
      <c r="L10" s="6">
        <f>VLOOKUP($A10,'RES installed'!$A$2:$C$7,3,FALSE)*'[1]Profiles, RES, Spring'!L$2</f>
        <v>10.978013646702047</v>
      </c>
      <c r="M10" s="6">
        <f>VLOOKUP($A10,'RES installed'!$A$2:$C$7,3,FALSE)*'[1]Profiles, RES, Spring'!M$2</f>
        <v>11.569370735405611</v>
      </c>
      <c r="N10" s="6">
        <f>VLOOKUP($A10,'RES installed'!$A$2:$C$7,3,FALSE)*'[1]Profiles, RES, Spring'!N$2</f>
        <v>12.47915087187263</v>
      </c>
      <c r="O10" s="6">
        <f>VLOOKUP($A10,'RES installed'!$A$2:$C$7,3,FALSE)*'[1]Profiles, RES, Spring'!O$2</f>
        <v>12.547384382107658</v>
      </c>
      <c r="P10" s="6">
        <f>VLOOKUP($A10,'RES installed'!$A$2:$C$7,3,FALSE)*'[1]Profiles, RES, Spring'!P$2</f>
        <v>12.615617892342684</v>
      </c>
      <c r="Q10" s="6">
        <f>VLOOKUP($A10,'RES installed'!$A$2:$C$7,3,FALSE)*'[1]Profiles, RES, Spring'!Q$2</f>
        <v>11.539044730856709</v>
      </c>
      <c r="R10" s="6">
        <f>VLOOKUP($A10,'RES installed'!$A$2:$C$7,3,FALSE)*'[1]Profiles, RES, Spring'!R$2</f>
        <v>9.1811978771796827</v>
      </c>
      <c r="S10" s="6">
        <f>VLOOKUP($A10,'RES installed'!$A$2:$C$7,3,FALSE)*'[1]Profiles, RES, Spring'!S$2</f>
        <v>6.0500379075056863</v>
      </c>
      <c r="T10" s="6">
        <f>VLOOKUP($A10,'RES installed'!$A$2:$C$7,3,FALSE)*'[1]Profiles, RES, Spring'!T$2</f>
        <v>2.2289613343442003</v>
      </c>
      <c r="U10" s="6">
        <f>VLOOKUP($A10,'RES installed'!$A$2:$C$7,3,FALSE)*'[1]Profiles, RES, Spring'!U$2</f>
        <v>0.19711902956785443</v>
      </c>
      <c r="V10" s="6">
        <f>VLOOKUP($A10,'RES installed'!$A$2:$C$7,3,FALSE)*'[1]Profiles, RES, Spring'!V$2</f>
        <v>0</v>
      </c>
      <c r="W10" s="6">
        <f>VLOOKUP($A10,'RES installed'!$A$2:$C$7,3,FALSE)*'[1]Profiles, RES, Spring'!W$2</f>
        <v>0</v>
      </c>
      <c r="X10" s="6">
        <f>VLOOKUP($A10,'RES installed'!$A$2:$C$7,3,FALSE)*'[1]Profiles, RES, Spring'!X$2</f>
        <v>0</v>
      </c>
      <c r="Y10" s="6">
        <f>VLOOKUP($A10,'RES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42AE-FA04-479C-87E0-280EEE6608D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Spring'!B$6</f>
        <v>10.152549177037335</v>
      </c>
      <c r="C5" s="9">
        <f>VLOOKUP($A5,'RES installed'!$A$2:$C$7,3,FALSE)*'[1]Profiles, RES, Spring'!C$6</f>
        <v>9.2131674026495389</v>
      </c>
      <c r="D5" s="9">
        <f>VLOOKUP($A5,'RES installed'!$A$2:$C$7,3,FALSE)*'[1]Profiles, RES, Spring'!D$6</f>
        <v>8.0389401846647939</v>
      </c>
      <c r="E5" s="9">
        <f>VLOOKUP($A5,'RES installed'!$A$2:$C$7,3,FALSE)*'[1]Profiles, RES, Spring'!E$6</f>
        <v>7.2380570052187876</v>
      </c>
      <c r="F5" s="9">
        <f>VLOOKUP($A5,'RES installed'!$A$2:$C$7,3,FALSE)*'[1]Profiles, RES, Spring'!F$6</f>
        <v>7.0754716981132075</v>
      </c>
      <c r="G5" s="9">
        <f>VLOOKUP($A5,'RES installed'!$A$2:$C$7,3,FALSE)*'[1]Profiles, RES, Spring'!G$6</f>
        <v>7.1537535126455243</v>
      </c>
      <c r="H5" s="9">
        <f>VLOOKUP($A5,'RES installed'!$A$2:$C$7,3,FALSE)*'[1]Profiles, RES, Spring'!H$6</f>
        <v>6.1059815335206746</v>
      </c>
      <c r="I5" s="9">
        <f>VLOOKUP($A5,'RES installed'!$A$2:$C$7,3,FALSE)*'[1]Profiles, RES, Spring'!I$6</f>
        <v>4.5945403452428746</v>
      </c>
      <c r="J5" s="9">
        <f>VLOOKUP($A5,'RES installed'!$A$2:$C$7,3,FALSE)*'[1]Profiles, RES, Spring'!J$6</f>
        <v>4.1850662384584503</v>
      </c>
      <c r="K5" s="9">
        <f>VLOOKUP($A5,'RES installed'!$A$2:$C$7,3,FALSE)*'[1]Profiles, RES, Spring'!K$6</f>
        <v>4.3596949016459252</v>
      </c>
      <c r="L5" s="9">
        <f>VLOOKUP($A5,'RES installed'!$A$2:$C$7,3,FALSE)*'[1]Profiles, RES, Spring'!L$6</f>
        <v>4.88358089120835</v>
      </c>
      <c r="M5" s="9">
        <f>VLOOKUP($A5,'RES installed'!$A$2:$C$7,3,FALSE)*'[1]Profiles, RES, Spring'!M$6</f>
        <v>5.6001605780810921</v>
      </c>
      <c r="N5" s="9">
        <f>VLOOKUP($A5,'RES installed'!$A$2:$C$7,3,FALSE)*'[1]Profiles, RES, Spring'!N$6</f>
        <v>7.2802087515054197</v>
      </c>
      <c r="O5" s="9">
        <f>VLOOKUP($A5,'RES installed'!$A$2:$C$7,3,FALSE)*'[1]Profiles, RES, Spring'!O$6</f>
        <v>9.038538739462064</v>
      </c>
      <c r="P5" s="9">
        <f>VLOOKUP($A5,'RES installed'!$A$2:$C$7,3,FALSE)*'[1]Profiles, RES, Spring'!P$6</f>
        <v>10.266961059815335</v>
      </c>
      <c r="Q5" s="9">
        <f>VLOOKUP($A5,'RES installed'!$A$2:$C$7,3,FALSE)*'[1]Profiles, RES, Spring'!Q$6</f>
        <v>11.296668004817343</v>
      </c>
      <c r="R5" s="9">
        <f>VLOOKUP($A5,'RES installed'!$A$2:$C$7,3,FALSE)*'[1]Profiles, RES, Spring'!R$6</f>
        <v>12.380570052187876</v>
      </c>
      <c r="S5" s="9">
        <f>VLOOKUP($A5,'RES installed'!$A$2:$C$7,3,FALSE)*'[1]Profiles, RES, Spring'!S$6</f>
        <v>11.844640706543556</v>
      </c>
      <c r="T5" s="9">
        <f>VLOOKUP($A5,'RES installed'!$A$2:$C$7,3,FALSE)*'[1]Profiles, RES, Spring'!T$6</f>
        <v>10.477719791248495</v>
      </c>
      <c r="U5" s="9">
        <f>VLOOKUP($A5,'RES installed'!$A$2:$C$7,3,FALSE)*'[1]Profiles, RES, Spring'!U$6</f>
        <v>10.080289040545965</v>
      </c>
      <c r="V5" s="9">
        <f>VLOOKUP($A5,'RES installed'!$A$2:$C$7,3,FALSE)*'[1]Profiles, RES, Spring'!V$6</f>
        <v>9.375752709755119</v>
      </c>
      <c r="W5" s="9">
        <f>VLOOKUP($A5,'RES installed'!$A$2:$C$7,3,FALSE)*'[1]Profiles, RES, Spring'!W$6</f>
        <v>8.8940184664793254</v>
      </c>
      <c r="X5" s="9">
        <f>VLOOKUP($A5,'RES installed'!$A$2:$C$7,3,FALSE)*'[1]Profiles, RES, Spring'!X$6</f>
        <v>8.0630268968285819</v>
      </c>
      <c r="Y5" s="9">
        <f>VLOOKUP($A5,'RES installed'!$A$2:$C$7,3,FALSE)*'[1]Profiles, RES, Spring'!Y$6</f>
        <v>7.189883580891208</v>
      </c>
    </row>
    <row r="6" spans="1:25" x14ac:dyDescent="0.3">
      <c r="A6" s="8">
        <v>5</v>
      </c>
      <c r="B6" s="9">
        <f>VLOOKUP($A6,'RES installed'!$A$2:$C$7,3,FALSE)*'[1]Profiles, RES, Spring'!B$6</f>
        <v>6.7683661180248897</v>
      </c>
      <c r="C6" s="9">
        <f>VLOOKUP($A6,'RES installed'!$A$2:$C$7,3,FALSE)*'[1]Profiles, RES, Spring'!C$6</f>
        <v>6.1421116017663593</v>
      </c>
      <c r="D6" s="9">
        <f>VLOOKUP($A6,'RES installed'!$A$2:$C$7,3,FALSE)*'[1]Profiles, RES, Spring'!D$6</f>
        <v>5.3592934564431962</v>
      </c>
      <c r="E6" s="9">
        <f>VLOOKUP($A6,'RES installed'!$A$2:$C$7,3,FALSE)*'[1]Profiles, RES, Spring'!E$6</f>
        <v>4.8253713368125251</v>
      </c>
      <c r="F6" s="9">
        <f>VLOOKUP($A6,'RES installed'!$A$2:$C$7,3,FALSE)*'[1]Profiles, RES, Spring'!F$6</f>
        <v>4.716981132075472</v>
      </c>
      <c r="G6" s="9">
        <f>VLOOKUP($A6,'RES installed'!$A$2:$C$7,3,FALSE)*'[1]Profiles, RES, Spring'!G$6</f>
        <v>4.7691690084303495</v>
      </c>
      <c r="H6" s="9">
        <f>VLOOKUP($A6,'RES installed'!$A$2:$C$7,3,FALSE)*'[1]Profiles, RES, Spring'!H$6</f>
        <v>4.0706543556804498</v>
      </c>
      <c r="I6" s="9">
        <f>VLOOKUP($A6,'RES installed'!$A$2:$C$7,3,FALSE)*'[1]Profiles, RES, Spring'!I$6</f>
        <v>3.0630268968285828</v>
      </c>
      <c r="J6" s="9">
        <f>VLOOKUP($A6,'RES installed'!$A$2:$C$7,3,FALSE)*'[1]Profiles, RES, Spring'!J$6</f>
        <v>2.7900441589723002</v>
      </c>
      <c r="K6" s="9">
        <f>VLOOKUP($A6,'RES installed'!$A$2:$C$7,3,FALSE)*'[1]Profiles, RES, Spring'!K$6</f>
        <v>2.9064632677639501</v>
      </c>
      <c r="L6" s="9">
        <f>VLOOKUP($A6,'RES installed'!$A$2:$C$7,3,FALSE)*'[1]Profiles, RES, Spring'!L$6</f>
        <v>3.2557205941389</v>
      </c>
      <c r="M6" s="9">
        <f>VLOOKUP($A6,'RES installed'!$A$2:$C$7,3,FALSE)*'[1]Profiles, RES, Spring'!M$6</f>
        <v>3.7334403853873948</v>
      </c>
      <c r="N6" s="9">
        <f>VLOOKUP($A6,'RES installed'!$A$2:$C$7,3,FALSE)*'[1]Profiles, RES, Spring'!N$6</f>
        <v>4.8534725010036128</v>
      </c>
      <c r="O6" s="9">
        <f>VLOOKUP($A6,'RES installed'!$A$2:$C$7,3,FALSE)*'[1]Profiles, RES, Spring'!O$6</f>
        <v>6.0256924929747093</v>
      </c>
      <c r="P6" s="9">
        <f>VLOOKUP($A6,'RES installed'!$A$2:$C$7,3,FALSE)*'[1]Profiles, RES, Spring'!P$6</f>
        <v>6.8446407065435562</v>
      </c>
      <c r="Q6" s="9">
        <f>VLOOKUP($A6,'RES installed'!$A$2:$C$7,3,FALSE)*'[1]Profiles, RES, Spring'!Q$6</f>
        <v>7.5311120032115619</v>
      </c>
      <c r="R6" s="9">
        <f>VLOOKUP($A6,'RES installed'!$A$2:$C$7,3,FALSE)*'[1]Profiles, RES, Spring'!R$6</f>
        <v>8.2537133681252506</v>
      </c>
      <c r="S6" s="9">
        <f>VLOOKUP($A6,'RES installed'!$A$2:$C$7,3,FALSE)*'[1]Profiles, RES, Spring'!S$6</f>
        <v>7.8964271376957038</v>
      </c>
      <c r="T6" s="9">
        <f>VLOOKUP($A6,'RES installed'!$A$2:$C$7,3,FALSE)*'[1]Profiles, RES, Spring'!T$6</f>
        <v>6.9851465274989968</v>
      </c>
      <c r="U6" s="9">
        <f>VLOOKUP($A6,'RES installed'!$A$2:$C$7,3,FALSE)*'[1]Profiles, RES, Spring'!U$6</f>
        <v>6.7201926936973102</v>
      </c>
      <c r="V6" s="9">
        <f>VLOOKUP($A6,'RES installed'!$A$2:$C$7,3,FALSE)*'[1]Profiles, RES, Spring'!V$6</f>
        <v>6.2505018065034124</v>
      </c>
      <c r="W6" s="9">
        <f>VLOOKUP($A6,'RES installed'!$A$2:$C$7,3,FALSE)*'[1]Profiles, RES, Spring'!W$6</f>
        <v>5.9293456443195502</v>
      </c>
      <c r="X6" s="9">
        <f>VLOOKUP($A6,'RES installed'!$A$2:$C$7,3,FALSE)*'[1]Profiles, RES, Spring'!X$6</f>
        <v>5.3753512645523882</v>
      </c>
      <c r="Y6" s="9">
        <f>VLOOKUP($A6,'RES installed'!$A$2:$C$7,3,FALSE)*'[1]Profiles, RES, Spring'!Y$6</f>
        <v>4.7932557205941393</v>
      </c>
    </row>
    <row r="7" spans="1:25" x14ac:dyDescent="0.3">
      <c r="A7" s="8">
        <v>6</v>
      </c>
      <c r="B7" s="9">
        <f>VLOOKUP($A7,'RES installed'!$A$2:$C$7,3,FALSE)*'[1]Profiles, RES, Spring'!B$6</f>
        <v>10.152549177037335</v>
      </c>
      <c r="C7" s="9">
        <f>VLOOKUP($A7,'RES installed'!$A$2:$C$7,3,FALSE)*'[1]Profiles, RES, Spring'!C$6</f>
        <v>9.2131674026495389</v>
      </c>
      <c r="D7" s="9">
        <f>VLOOKUP($A7,'RES installed'!$A$2:$C$7,3,FALSE)*'[1]Profiles, RES, Spring'!D$6</f>
        <v>8.0389401846647939</v>
      </c>
      <c r="E7" s="9">
        <f>VLOOKUP($A7,'RES installed'!$A$2:$C$7,3,FALSE)*'[1]Profiles, RES, Spring'!E$6</f>
        <v>7.2380570052187876</v>
      </c>
      <c r="F7" s="9">
        <f>VLOOKUP($A7,'RES installed'!$A$2:$C$7,3,FALSE)*'[1]Profiles, RES, Spring'!F$6</f>
        <v>7.0754716981132075</v>
      </c>
      <c r="G7" s="9">
        <f>VLOOKUP($A7,'RES installed'!$A$2:$C$7,3,FALSE)*'[1]Profiles, RES, Spring'!G$6</f>
        <v>7.1537535126455243</v>
      </c>
      <c r="H7" s="9">
        <f>VLOOKUP($A7,'RES installed'!$A$2:$C$7,3,FALSE)*'[1]Profiles, RES, Spring'!H$6</f>
        <v>6.1059815335206746</v>
      </c>
      <c r="I7" s="9">
        <f>VLOOKUP($A7,'RES installed'!$A$2:$C$7,3,FALSE)*'[1]Profiles, RES, Spring'!I$6</f>
        <v>4.5945403452428746</v>
      </c>
      <c r="J7" s="9">
        <f>VLOOKUP($A7,'RES installed'!$A$2:$C$7,3,FALSE)*'[1]Profiles, RES, Spring'!J$6</f>
        <v>4.1850662384584503</v>
      </c>
      <c r="K7" s="9">
        <f>VLOOKUP($A7,'RES installed'!$A$2:$C$7,3,FALSE)*'[1]Profiles, RES, Spring'!K$6</f>
        <v>4.3596949016459252</v>
      </c>
      <c r="L7" s="9">
        <f>VLOOKUP($A7,'RES installed'!$A$2:$C$7,3,FALSE)*'[1]Profiles, RES, Spring'!L$6</f>
        <v>4.88358089120835</v>
      </c>
      <c r="M7" s="9">
        <f>VLOOKUP($A7,'RES installed'!$A$2:$C$7,3,FALSE)*'[1]Profiles, RES, Spring'!M$6</f>
        <v>5.6001605780810921</v>
      </c>
      <c r="N7" s="9">
        <f>VLOOKUP($A7,'RES installed'!$A$2:$C$7,3,FALSE)*'[1]Profiles, RES, Spring'!N$6</f>
        <v>7.2802087515054197</v>
      </c>
      <c r="O7" s="9">
        <f>VLOOKUP($A7,'RES installed'!$A$2:$C$7,3,FALSE)*'[1]Profiles, RES, Spring'!O$6</f>
        <v>9.038538739462064</v>
      </c>
      <c r="P7" s="9">
        <f>VLOOKUP($A7,'RES installed'!$A$2:$C$7,3,FALSE)*'[1]Profiles, RES, Spring'!P$6</f>
        <v>10.266961059815335</v>
      </c>
      <c r="Q7" s="9">
        <f>VLOOKUP($A7,'RES installed'!$A$2:$C$7,3,FALSE)*'[1]Profiles, RES, Spring'!Q$6</f>
        <v>11.296668004817343</v>
      </c>
      <c r="R7" s="9">
        <f>VLOOKUP($A7,'RES installed'!$A$2:$C$7,3,FALSE)*'[1]Profiles, RES, Spring'!R$6</f>
        <v>12.380570052187876</v>
      </c>
      <c r="S7" s="9">
        <f>VLOOKUP($A7,'RES installed'!$A$2:$C$7,3,FALSE)*'[1]Profiles, RES, Spring'!S$6</f>
        <v>11.844640706543556</v>
      </c>
      <c r="T7" s="9">
        <f>VLOOKUP($A7,'RES installed'!$A$2:$C$7,3,FALSE)*'[1]Profiles, RES, Spring'!T$6</f>
        <v>10.477719791248495</v>
      </c>
      <c r="U7" s="9">
        <f>VLOOKUP($A7,'RES installed'!$A$2:$C$7,3,FALSE)*'[1]Profiles, RES, Spring'!U$6</f>
        <v>10.080289040545965</v>
      </c>
      <c r="V7" s="9">
        <f>VLOOKUP($A7,'RES installed'!$A$2:$C$7,3,FALSE)*'[1]Profiles, RES, Spring'!V$6</f>
        <v>9.375752709755119</v>
      </c>
      <c r="W7" s="9">
        <f>VLOOKUP($A7,'RES installed'!$A$2:$C$7,3,FALSE)*'[1]Profiles, RES, Spring'!W$6</f>
        <v>8.8940184664793254</v>
      </c>
      <c r="X7" s="9">
        <f>VLOOKUP($A7,'RES installed'!$A$2:$C$7,3,FALSE)*'[1]Profiles, RES, Spring'!X$6</f>
        <v>8.0630268968285819</v>
      </c>
      <c r="Y7" s="9">
        <f>VLOOKUP($A7,'RES installed'!$A$2:$C$7,3,FALSE)*'[1]Profiles, RES, Spring'!Y$6</f>
        <v>7.189883580891208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0.3411675511751327</v>
      </c>
      <c r="H8" s="6">
        <f>VLOOKUP($A8,'RES installed'!$A$2:$C$7,3,FALSE)*'[1]Profiles, RES, Spring'!H$3</f>
        <v>2.9909021986353297</v>
      </c>
      <c r="I8" s="6">
        <f>VLOOKUP($A8,'RES installed'!$A$2:$C$7,3,FALSE)*'[1]Profiles, RES, Spring'!I$3</f>
        <v>7.1986353297952999</v>
      </c>
      <c r="J8" s="6">
        <f>VLOOKUP($A8,'RES installed'!$A$2:$C$7,3,FALSE)*'[1]Profiles, RES, Spring'!J$3</f>
        <v>10.860500379075058</v>
      </c>
      <c r="K8" s="6">
        <f>VLOOKUP($A8,'RES installed'!$A$2:$C$7,3,FALSE)*'[1]Profiles, RES, Spring'!K$3</f>
        <v>15.125094768764216</v>
      </c>
      <c r="L8" s="6">
        <f>VLOOKUP($A8,'RES installed'!$A$2:$C$7,3,FALSE)*'[1]Profiles, RES, Spring'!L$3</f>
        <v>17.899924184988627</v>
      </c>
      <c r="M8" s="6">
        <f>VLOOKUP($A8,'RES installed'!$A$2:$C$7,3,FALSE)*'[1]Profiles, RES, Spring'!M$3</f>
        <v>18.320697498104625</v>
      </c>
      <c r="N8" s="6">
        <f>VLOOKUP($A8,'RES installed'!$A$2:$C$7,3,FALSE)*'[1]Profiles, RES, Spring'!N$3</f>
        <v>18.752843062926459</v>
      </c>
      <c r="O8" s="6">
        <f>VLOOKUP($A8,'RES installed'!$A$2:$C$7,3,FALSE)*'[1]Profiles, RES, Spring'!O$3</f>
        <v>18.09325246398787</v>
      </c>
      <c r="P8" s="6">
        <f>VLOOKUP($A8,'RES installed'!$A$2:$C$7,3,FALSE)*'[1]Profiles, RES, Spring'!P$3</f>
        <v>19.230477634571645</v>
      </c>
      <c r="Q8" s="6">
        <f>VLOOKUP($A8,'RES installed'!$A$2:$C$7,3,FALSE)*'[1]Profiles, RES, Spring'!Q$3</f>
        <v>17.069749810462472</v>
      </c>
      <c r="R8" s="6">
        <f>VLOOKUP($A8,'RES installed'!$A$2:$C$7,3,FALSE)*'[1]Profiles, RES, Spring'!R$3</f>
        <v>14.317664897649735</v>
      </c>
      <c r="S8" s="6">
        <f>VLOOKUP($A8,'RES installed'!$A$2:$C$7,3,FALSE)*'[1]Profiles, RES, Spring'!S$3</f>
        <v>9.3593631539044733</v>
      </c>
      <c r="T8" s="6">
        <f>VLOOKUP($A8,'RES installed'!$A$2:$C$7,3,FALSE)*'[1]Profiles, RES, Spring'!T$3</f>
        <v>3.4116755117513269</v>
      </c>
      <c r="U8" s="6">
        <f>VLOOKUP($A8,'RES installed'!$A$2:$C$7,3,FALSE)*'[1]Profiles, RES, Spring'!U$3</f>
        <v>0.30705079605761937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  <row r="9" spans="1:25" x14ac:dyDescent="0.3">
      <c r="A9" s="5">
        <v>8</v>
      </c>
      <c r="B9" s="6">
        <f>VLOOKUP($A9,'RES installed'!$A$2:$C$7,3,FALSE)*'[1]Profiles, RES, Spring'!B$3</f>
        <v>0</v>
      </c>
      <c r="C9" s="6">
        <f>VLOOKUP($A9,'RES installed'!$A$2:$C$7,3,FALSE)*'[1]Profiles, RES, Spring'!C$3</f>
        <v>0</v>
      </c>
      <c r="D9" s="6">
        <f>VLOOKUP($A9,'RES installed'!$A$2:$C$7,3,FALSE)*'[1]Profiles, RES, Spring'!D$3</f>
        <v>0</v>
      </c>
      <c r="E9" s="6">
        <f>VLOOKUP($A9,'RES installed'!$A$2:$C$7,3,FALSE)*'[1]Profiles, RES, Spring'!E$3</f>
        <v>0</v>
      </c>
      <c r="F9" s="6">
        <f>VLOOKUP($A9,'RES installed'!$A$2:$C$7,3,FALSE)*'[1]Profiles, RES, Spring'!F$3</f>
        <v>0</v>
      </c>
      <c r="G9" s="6">
        <f>VLOOKUP($A9,'RES installed'!$A$2:$C$7,3,FALSE)*'[1]Profiles, RES, Spring'!G$3</f>
        <v>0.11372251705837756</v>
      </c>
      <c r="H9" s="6">
        <f>VLOOKUP($A9,'RES installed'!$A$2:$C$7,3,FALSE)*'[1]Profiles, RES, Spring'!H$3</f>
        <v>0.99696739954510993</v>
      </c>
      <c r="I9" s="6">
        <f>VLOOKUP($A9,'RES installed'!$A$2:$C$7,3,FALSE)*'[1]Profiles, RES, Spring'!I$3</f>
        <v>2.3995451099317666</v>
      </c>
      <c r="J9" s="6">
        <f>VLOOKUP($A9,'RES installed'!$A$2:$C$7,3,FALSE)*'[1]Profiles, RES, Spring'!J$3</f>
        <v>3.6201667930250192</v>
      </c>
      <c r="K9" s="6">
        <f>VLOOKUP($A9,'RES installed'!$A$2:$C$7,3,FALSE)*'[1]Profiles, RES, Spring'!K$3</f>
        <v>5.0416982562547386</v>
      </c>
      <c r="L9" s="6">
        <f>VLOOKUP($A9,'RES installed'!$A$2:$C$7,3,FALSE)*'[1]Profiles, RES, Spring'!L$3</f>
        <v>5.9666413949962092</v>
      </c>
      <c r="M9" s="6">
        <f>VLOOKUP($A9,'RES installed'!$A$2:$C$7,3,FALSE)*'[1]Profiles, RES, Spring'!M$3</f>
        <v>6.106899166034875</v>
      </c>
      <c r="N9" s="6">
        <f>VLOOKUP($A9,'RES installed'!$A$2:$C$7,3,FALSE)*'[1]Profiles, RES, Spring'!N$3</f>
        <v>6.250947687642153</v>
      </c>
      <c r="O9" s="6">
        <f>VLOOKUP($A9,'RES installed'!$A$2:$C$7,3,FALSE)*'[1]Profiles, RES, Spring'!O$3</f>
        <v>6.0310841546626239</v>
      </c>
      <c r="P9" s="6">
        <f>VLOOKUP($A9,'RES installed'!$A$2:$C$7,3,FALSE)*'[1]Profiles, RES, Spring'!P$3</f>
        <v>6.4101592115238812</v>
      </c>
      <c r="Q9" s="6">
        <f>VLOOKUP($A9,'RES installed'!$A$2:$C$7,3,FALSE)*'[1]Profiles, RES, Spring'!Q$3</f>
        <v>5.6899166034874904</v>
      </c>
      <c r="R9" s="6">
        <f>VLOOKUP($A9,'RES installed'!$A$2:$C$7,3,FALSE)*'[1]Profiles, RES, Spring'!R$3</f>
        <v>4.7725549658832449</v>
      </c>
      <c r="S9" s="6">
        <f>VLOOKUP($A9,'RES installed'!$A$2:$C$7,3,FALSE)*'[1]Profiles, RES, Spring'!S$3</f>
        <v>3.1197877179681575</v>
      </c>
      <c r="T9" s="6">
        <f>VLOOKUP($A9,'RES installed'!$A$2:$C$7,3,FALSE)*'[1]Profiles, RES, Spring'!T$3</f>
        <v>1.1372251705837757</v>
      </c>
      <c r="U9" s="6">
        <f>VLOOKUP($A9,'RES installed'!$A$2:$C$7,3,FALSE)*'[1]Profiles, RES, Spring'!U$3</f>
        <v>0.1023502653525398</v>
      </c>
      <c r="V9" s="6">
        <f>VLOOKUP($A9,'RES installed'!$A$2:$C$7,3,FALSE)*'[1]Profiles, RES, Spring'!V$3</f>
        <v>0</v>
      </c>
      <c r="W9" s="6">
        <f>VLOOKUP($A9,'RES installed'!$A$2:$C$7,3,FALSE)*'[1]Profiles, RES, Spring'!W$3</f>
        <v>0</v>
      </c>
      <c r="X9" s="6">
        <f>VLOOKUP($A9,'RES installed'!$A$2:$C$7,3,FALSE)*'[1]Profiles, RES, Spring'!X$3</f>
        <v>0</v>
      </c>
      <c r="Y9" s="6">
        <f>VLOOKUP($A9,'RES installed'!$A$2:$C$7,3,FALSE)*'[1]Profiles, RES, Spring'!Y$3</f>
        <v>0</v>
      </c>
    </row>
    <row r="10" spans="1:25" x14ac:dyDescent="0.3">
      <c r="A10" s="5">
        <v>9</v>
      </c>
      <c r="B10" s="6">
        <f>VLOOKUP($A10,'RES installed'!$A$2:$C$7,3,FALSE)*'[1]Profiles, RES, Spring'!B$3</f>
        <v>0</v>
      </c>
      <c r="C10" s="6">
        <f>VLOOKUP($A10,'RES installed'!$A$2:$C$7,3,FALSE)*'[1]Profiles, RES, Spring'!C$3</f>
        <v>0</v>
      </c>
      <c r="D10" s="6">
        <f>VLOOKUP($A10,'RES installed'!$A$2:$C$7,3,FALSE)*'[1]Profiles, RES, Spring'!D$3</f>
        <v>0</v>
      </c>
      <c r="E10" s="6">
        <f>VLOOKUP($A10,'RES installed'!$A$2:$C$7,3,FALSE)*'[1]Profiles, RES, Spring'!E$3</f>
        <v>0</v>
      </c>
      <c r="F10" s="6">
        <f>VLOOKUP($A10,'RES installed'!$A$2:$C$7,3,FALSE)*'[1]Profiles, RES, Spring'!F$3</f>
        <v>0</v>
      </c>
      <c r="G10" s="6">
        <f>VLOOKUP($A10,'RES installed'!$A$2:$C$7,3,FALSE)*'[1]Profiles, RES, Spring'!G$3</f>
        <v>0.22744503411675512</v>
      </c>
      <c r="H10" s="6">
        <f>VLOOKUP($A10,'RES installed'!$A$2:$C$7,3,FALSE)*'[1]Profiles, RES, Spring'!H$3</f>
        <v>1.9939347990902199</v>
      </c>
      <c r="I10" s="6">
        <f>VLOOKUP($A10,'RES installed'!$A$2:$C$7,3,FALSE)*'[1]Profiles, RES, Spring'!I$3</f>
        <v>4.7990902198635332</v>
      </c>
      <c r="J10" s="6">
        <f>VLOOKUP($A10,'RES installed'!$A$2:$C$7,3,FALSE)*'[1]Profiles, RES, Spring'!J$3</f>
        <v>7.2403335860500384</v>
      </c>
      <c r="K10" s="6">
        <f>VLOOKUP($A10,'RES installed'!$A$2:$C$7,3,FALSE)*'[1]Profiles, RES, Spring'!K$3</f>
        <v>10.083396512509477</v>
      </c>
      <c r="L10" s="6">
        <f>VLOOKUP($A10,'RES installed'!$A$2:$C$7,3,FALSE)*'[1]Profiles, RES, Spring'!L$3</f>
        <v>11.933282789992418</v>
      </c>
      <c r="M10" s="6">
        <f>VLOOKUP($A10,'RES installed'!$A$2:$C$7,3,FALSE)*'[1]Profiles, RES, Spring'!M$3</f>
        <v>12.21379833206975</v>
      </c>
      <c r="N10" s="6">
        <f>VLOOKUP($A10,'RES installed'!$A$2:$C$7,3,FALSE)*'[1]Profiles, RES, Spring'!N$3</f>
        <v>12.501895375284306</v>
      </c>
      <c r="O10" s="6">
        <f>VLOOKUP($A10,'RES installed'!$A$2:$C$7,3,FALSE)*'[1]Profiles, RES, Spring'!O$3</f>
        <v>12.062168309325248</v>
      </c>
      <c r="P10" s="6">
        <f>VLOOKUP($A10,'RES installed'!$A$2:$C$7,3,FALSE)*'[1]Profiles, RES, Spring'!P$3</f>
        <v>12.820318423047762</v>
      </c>
      <c r="Q10" s="6">
        <f>VLOOKUP($A10,'RES installed'!$A$2:$C$7,3,FALSE)*'[1]Profiles, RES, Spring'!Q$3</f>
        <v>11.379833206974981</v>
      </c>
      <c r="R10" s="6">
        <f>VLOOKUP($A10,'RES installed'!$A$2:$C$7,3,FALSE)*'[1]Profiles, RES, Spring'!R$3</f>
        <v>9.5451099317664898</v>
      </c>
      <c r="S10" s="6">
        <f>VLOOKUP($A10,'RES installed'!$A$2:$C$7,3,FALSE)*'[1]Profiles, RES, Spring'!S$3</f>
        <v>6.2395754359363149</v>
      </c>
      <c r="T10" s="6">
        <f>VLOOKUP($A10,'RES installed'!$A$2:$C$7,3,FALSE)*'[1]Profiles, RES, Spring'!T$3</f>
        <v>2.2744503411675514</v>
      </c>
      <c r="U10" s="6">
        <f>VLOOKUP($A10,'RES installed'!$A$2:$C$7,3,FALSE)*'[1]Profiles, RES, Spring'!U$3</f>
        <v>0.2047005307050796</v>
      </c>
      <c r="V10" s="6">
        <f>VLOOKUP($A10,'RES installed'!$A$2:$C$7,3,FALSE)*'[1]Profiles, RES, Spring'!V$3</f>
        <v>0</v>
      </c>
      <c r="W10" s="6">
        <f>VLOOKUP($A10,'RES installed'!$A$2:$C$7,3,FALSE)*'[1]Profiles, RES, Spring'!W$3</f>
        <v>0</v>
      </c>
      <c r="X10" s="6">
        <f>VLOOKUP($A10,'RES installed'!$A$2:$C$7,3,FALSE)*'[1]Profiles, RES, Spring'!X$3</f>
        <v>0</v>
      </c>
      <c r="Y10" s="6">
        <f>VLOOKUP($A10,'RES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4C291-8F02-4CFD-8967-9A87F45EB76F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Spring'!B$7</f>
        <v>7.4307507025291049</v>
      </c>
      <c r="C5" s="9">
        <f>VLOOKUP($A5,'RES installed'!$A$2:$C$7,3,FALSE)*'[1]Profiles, RES, Spring'!C$7</f>
        <v>7.0453633079084703</v>
      </c>
      <c r="D5" s="9">
        <f>VLOOKUP($A5,'RES installed'!$A$2:$C$7,3,FALSE)*'[1]Profiles, RES, Spring'!D$7</f>
        <v>6.8526696105981539</v>
      </c>
      <c r="E5" s="9">
        <f>VLOOKUP($A5,'RES installed'!$A$2:$C$7,3,FALSE)*'[1]Profiles, RES, Spring'!E$7</f>
        <v>7.2139702930549978</v>
      </c>
      <c r="F5" s="9">
        <f>VLOOKUP($A5,'RES installed'!$A$2:$C$7,3,FALSE)*'[1]Profiles, RES, Spring'!F$7</f>
        <v>7.2320353271778401</v>
      </c>
      <c r="G5" s="9">
        <f>VLOOKUP($A5,'RES installed'!$A$2:$C$7,3,FALSE)*'[1]Profiles, RES, Spring'!G$7</f>
        <v>6.4311521477318347</v>
      </c>
      <c r="H5" s="9">
        <f>VLOOKUP($A5,'RES installed'!$A$2:$C$7,3,FALSE)*'[1]Profiles, RES, Spring'!H$7</f>
        <v>5.4737053392211967</v>
      </c>
      <c r="I5" s="9">
        <f>VLOOKUP($A5,'RES installed'!$A$2:$C$7,3,FALSE)*'[1]Profiles, RES, Spring'!I$7</f>
        <v>4.1248494580489758</v>
      </c>
      <c r="J5" s="9">
        <f>VLOOKUP($A5,'RES installed'!$A$2:$C$7,3,FALSE)*'[1]Profiles, RES, Spring'!J$7</f>
        <v>3.4745082296266561</v>
      </c>
      <c r="K5" s="9">
        <f>VLOOKUP($A5,'RES installed'!$A$2:$C$7,3,FALSE)*'[1]Profiles, RES, Spring'!K$7</f>
        <v>3.7755921316740264</v>
      </c>
      <c r="L5" s="9">
        <f>VLOOKUP($A5,'RES installed'!$A$2:$C$7,3,FALSE)*'[1]Profiles, RES, Spring'!L$7</f>
        <v>4.4620634283420308</v>
      </c>
      <c r="M5" s="9">
        <f>VLOOKUP($A5,'RES installed'!$A$2:$C$7,3,FALSE)*'[1]Profiles, RES, Spring'!M$7</f>
        <v>4.4138900040144522</v>
      </c>
      <c r="N5" s="9">
        <f>VLOOKUP($A5,'RES installed'!$A$2:$C$7,3,FALSE)*'[1]Profiles, RES, Spring'!N$7</f>
        <v>5.0702529104777199</v>
      </c>
      <c r="O5" s="9">
        <f>VLOOKUP($A5,'RES installed'!$A$2:$C$7,3,FALSE)*'[1]Profiles, RES, Spring'!O$7</f>
        <v>6.4672822159775185</v>
      </c>
      <c r="P5" s="9">
        <f>VLOOKUP($A5,'RES installed'!$A$2:$C$7,3,FALSE)*'[1]Profiles, RES, Spring'!P$7</f>
        <v>7.5511842633480528</v>
      </c>
      <c r="Q5" s="9">
        <f>VLOOKUP($A5,'RES installed'!$A$2:$C$7,3,FALSE)*'[1]Profiles, RES, Spring'!Q$7</f>
        <v>8.5086310718586908</v>
      </c>
      <c r="R5" s="9">
        <f>VLOOKUP($A5,'RES installed'!$A$2:$C$7,3,FALSE)*'[1]Profiles, RES, Spring'!R$7</f>
        <v>9.5624247290244888</v>
      </c>
      <c r="S5" s="9">
        <f>VLOOKUP($A5,'RES installed'!$A$2:$C$7,3,FALSE)*'[1]Profiles, RES, Spring'!S$7</f>
        <v>9.9538338016860699</v>
      </c>
      <c r="T5" s="9">
        <f>VLOOKUP($A5,'RES installed'!$A$2:$C$7,3,FALSE)*'[1]Profiles, RES, Spring'!T$7</f>
        <v>9.9598554797270165</v>
      </c>
      <c r="U5" s="9">
        <f>VLOOKUP($A5,'RES installed'!$A$2:$C$7,3,FALSE)*'[1]Profiles, RES, Spring'!U$7</f>
        <v>8.9060618225612203</v>
      </c>
      <c r="V5" s="9">
        <f>VLOOKUP($A5,'RES installed'!$A$2:$C$7,3,FALSE)*'[1]Profiles, RES, Spring'!V$7</f>
        <v>8.5026093938177443</v>
      </c>
      <c r="W5" s="9">
        <f>VLOOKUP($A5,'RES installed'!$A$2:$C$7,3,FALSE)*'[1]Profiles, RES, Spring'!W$7</f>
        <v>8.454435969490163</v>
      </c>
      <c r="X5" s="9">
        <f>VLOOKUP($A5,'RES installed'!$A$2:$C$7,3,FALSE)*'[1]Profiles, RES, Spring'!X$7</f>
        <v>8.592934564431955</v>
      </c>
      <c r="Y5" s="9">
        <f>VLOOKUP($A5,'RES installed'!$A$2:$C$7,3,FALSE)*'[1]Profiles, RES, Spring'!Y$7</f>
        <v>9.2794058610999599</v>
      </c>
    </row>
    <row r="6" spans="1:25" x14ac:dyDescent="0.3">
      <c r="A6" s="8">
        <v>5</v>
      </c>
      <c r="B6" s="9">
        <f>VLOOKUP($A6,'RES installed'!$A$2:$C$7,3,FALSE)*'[1]Profiles, RES, Spring'!B$7</f>
        <v>4.9538338016860699</v>
      </c>
      <c r="C6" s="9">
        <f>VLOOKUP($A6,'RES installed'!$A$2:$C$7,3,FALSE)*'[1]Profiles, RES, Spring'!C$7</f>
        <v>4.6969088719389802</v>
      </c>
      <c r="D6" s="9">
        <f>VLOOKUP($A6,'RES installed'!$A$2:$C$7,3,FALSE)*'[1]Profiles, RES, Spring'!D$7</f>
        <v>4.5684464070654354</v>
      </c>
      <c r="E6" s="9">
        <f>VLOOKUP($A6,'RES installed'!$A$2:$C$7,3,FALSE)*'[1]Profiles, RES, Spring'!E$7</f>
        <v>4.8093135287033313</v>
      </c>
      <c r="F6" s="9">
        <f>VLOOKUP($A6,'RES installed'!$A$2:$C$7,3,FALSE)*'[1]Profiles, RES, Spring'!F$7</f>
        <v>4.8213568847852271</v>
      </c>
      <c r="G6" s="9">
        <f>VLOOKUP($A6,'RES installed'!$A$2:$C$7,3,FALSE)*'[1]Profiles, RES, Spring'!G$7</f>
        <v>4.2874347651545559</v>
      </c>
      <c r="H6" s="9">
        <f>VLOOKUP($A6,'RES installed'!$A$2:$C$7,3,FALSE)*'[1]Profiles, RES, Spring'!H$7</f>
        <v>3.649136892814131</v>
      </c>
      <c r="I6" s="9">
        <f>VLOOKUP($A6,'RES installed'!$A$2:$C$7,3,FALSE)*'[1]Profiles, RES, Spring'!I$7</f>
        <v>2.7498996386993175</v>
      </c>
      <c r="J6" s="9">
        <f>VLOOKUP($A6,'RES installed'!$A$2:$C$7,3,FALSE)*'[1]Profiles, RES, Spring'!J$7</f>
        <v>2.3163388197511039</v>
      </c>
      <c r="K6" s="9">
        <f>VLOOKUP($A6,'RES installed'!$A$2:$C$7,3,FALSE)*'[1]Profiles, RES, Spring'!K$7</f>
        <v>2.5170614211160176</v>
      </c>
      <c r="L6" s="9">
        <f>VLOOKUP($A6,'RES installed'!$A$2:$C$7,3,FALSE)*'[1]Profiles, RES, Spring'!L$7</f>
        <v>2.9747089522280206</v>
      </c>
      <c r="M6" s="9">
        <f>VLOOKUP($A6,'RES installed'!$A$2:$C$7,3,FALSE)*'[1]Profiles, RES, Spring'!M$7</f>
        <v>2.9425933360096348</v>
      </c>
      <c r="N6" s="9">
        <f>VLOOKUP($A6,'RES installed'!$A$2:$C$7,3,FALSE)*'[1]Profiles, RES, Spring'!N$7</f>
        <v>3.3801686069851469</v>
      </c>
      <c r="O6" s="9">
        <f>VLOOKUP($A6,'RES installed'!$A$2:$C$7,3,FALSE)*'[1]Profiles, RES, Spring'!O$7</f>
        <v>4.3115214773183457</v>
      </c>
      <c r="P6" s="9">
        <f>VLOOKUP($A6,'RES installed'!$A$2:$C$7,3,FALSE)*'[1]Profiles, RES, Spring'!P$7</f>
        <v>5.0341228422320352</v>
      </c>
      <c r="Q6" s="9">
        <f>VLOOKUP($A6,'RES installed'!$A$2:$C$7,3,FALSE)*'[1]Profiles, RES, Spring'!Q$7</f>
        <v>5.6724207145724606</v>
      </c>
      <c r="R6" s="9">
        <f>VLOOKUP($A6,'RES installed'!$A$2:$C$7,3,FALSE)*'[1]Profiles, RES, Spring'!R$7</f>
        <v>6.3749498193496592</v>
      </c>
      <c r="S6" s="9">
        <f>VLOOKUP($A6,'RES installed'!$A$2:$C$7,3,FALSE)*'[1]Profiles, RES, Spring'!S$7</f>
        <v>6.6358892011240469</v>
      </c>
      <c r="T6" s="9">
        <f>VLOOKUP($A6,'RES installed'!$A$2:$C$7,3,FALSE)*'[1]Profiles, RES, Spring'!T$7</f>
        <v>6.6399036531513449</v>
      </c>
      <c r="U6" s="9">
        <f>VLOOKUP($A6,'RES installed'!$A$2:$C$7,3,FALSE)*'[1]Profiles, RES, Spring'!U$7</f>
        <v>5.9373745483741471</v>
      </c>
      <c r="V6" s="9">
        <f>VLOOKUP($A6,'RES installed'!$A$2:$C$7,3,FALSE)*'[1]Profiles, RES, Spring'!V$7</f>
        <v>5.6684062625451626</v>
      </c>
      <c r="W6" s="9">
        <f>VLOOKUP($A6,'RES installed'!$A$2:$C$7,3,FALSE)*'[1]Profiles, RES, Spring'!W$7</f>
        <v>5.6362906463267759</v>
      </c>
      <c r="X6" s="9">
        <f>VLOOKUP($A6,'RES installed'!$A$2:$C$7,3,FALSE)*'[1]Profiles, RES, Spring'!X$7</f>
        <v>5.728623042954637</v>
      </c>
      <c r="Y6" s="9">
        <f>VLOOKUP($A6,'RES installed'!$A$2:$C$7,3,FALSE)*'[1]Profiles, RES, Spring'!Y$7</f>
        <v>6.1862705740666399</v>
      </c>
    </row>
    <row r="7" spans="1:25" x14ac:dyDescent="0.3">
      <c r="A7" s="8">
        <v>6</v>
      </c>
      <c r="B7" s="9">
        <f>VLOOKUP($A7,'RES installed'!$A$2:$C$7,3,FALSE)*'[1]Profiles, RES, Spring'!B$7</f>
        <v>7.4307507025291049</v>
      </c>
      <c r="C7" s="9">
        <f>VLOOKUP($A7,'RES installed'!$A$2:$C$7,3,FALSE)*'[1]Profiles, RES, Spring'!C$7</f>
        <v>7.0453633079084703</v>
      </c>
      <c r="D7" s="9">
        <f>VLOOKUP($A7,'RES installed'!$A$2:$C$7,3,FALSE)*'[1]Profiles, RES, Spring'!D$7</f>
        <v>6.8526696105981539</v>
      </c>
      <c r="E7" s="9">
        <f>VLOOKUP($A7,'RES installed'!$A$2:$C$7,3,FALSE)*'[1]Profiles, RES, Spring'!E$7</f>
        <v>7.2139702930549978</v>
      </c>
      <c r="F7" s="9">
        <f>VLOOKUP($A7,'RES installed'!$A$2:$C$7,3,FALSE)*'[1]Profiles, RES, Spring'!F$7</f>
        <v>7.2320353271778401</v>
      </c>
      <c r="G7" s="9">
        <f>VLOOKUP($A7,'RES installed'!$A$2:$C$7,3,FALSE)*'[1]Profiles, RES, Spring'!G$7</f>
        <v>6.4311521477318347</v>
      </c>
      <c r="H7" s="9">
        <f>VLOOKUP($A7,'RES installed'!$A$2:$C$7,3,FALSE)*'[1]Profiles, RES, Spring'!H$7</f>
        <v>5.4737053392211967</v>
      </c>
      <c r="I7" s="9">
        <f>VLOOKUP($A7,'RES installed'!$A$2:$C$7,3,FALSE)*'[1]Profiles, RES, Spring'!I$7</f>
        <v>4.1248494580489758</v>
      </c>
      <c r="J7" s="9">
        <f>VLOOKUP($A7,'RES installed'!$A$2:$C$7,3,FALSE)*'[1]Profiles, RES, Spring'!J$7</f>
        <v>3.4745082296266561</v>
      </c>
      <c r="K7" s="9">
        <f>VLOOKUP($A7,'RES installed'!$A$2:$C$7,3,FALSE)*'[1]Profiles, RES, Spring'!K$7</f>
        <v>3.7755921316740264</v>
      </c>
      <c r="L7" s="9">
        <f>VLOOKUP($A7,'RES installed'!$A$2:$C$7,3,FALSE)*'[1]Profiles, RES, Spring'!L$7</f>
        <v>4.4620634283420308</v>
      </c>
      <c r="M7" s="9">
        <f>VLOOKUP($A7,'RES installed'!$A$2:$C$7,3,FALSE)*'[1]Profiles, RES, Spring'!M$7</f>
        <v>4.4138900040144522</v>
      </c>
      <c r="N7" s="9">
        <f>VLOOKUP($A7,'RES installed'!$A$2:$C$7,3,FALSE)*'[1]Profiles, RES, Spring'!N$7</f>
        <v>5.0702529104777199</v>
      </c>
      <c r="O7" s="9">
        <f>VLOOKUP($A7,'RES installed'!$A$2:$C$7,3,FALSE)*'[1]Profiles, RES, Spring'!O$7</f>
        <v>6.4672822159775185</v>
      </c>
      <c r="P7" s="9">
        <f>VLOOKUP($A7,'RES installed'!$A$2:$C$7,3,FALSE)*'[1]Profiles, RES, Spring'!P$7</f>
        <v>7.5511842633480528</v>
      </c>
      <c r="Q7" s="9">
        <f>VLOOKUP($A7,'RES installed'!$A$2:$C$7,3,FALSE)*'[1]Profiles, RES, Spring'!Q$7</f>
        <v>8.5086310718586908</v>
      </c>
      <c r="R7" s="9">
        <f>VLOOKUP($A7,'RES installed'!$A$2:$C$7,3,FALSE)*'[1]Profiles, RES, Spring'!R$7</f>
        <v>9.5624247290244888</v>
      </c>
      <c r="S7" s="9">
        <f>VLOOKUP($A7,'RES installed'!$A$2:$C$7,3,FALSE)*'[1]Profiles, RES, Spring'!S$7</f>
        <v>9.9538338016860699</v>
      </c>
      <c r="T7" s="9">
        <f>VLOOKUP($A7,'RES installed'!$A$2:$C$7,3,FALSE)*'[1]Profiles, RES, Spring'!T$7</f>
        <v>9.9598554797270165</v>
      </c>
      <c r="U7" s="9">
        <f>VLOOKUP($A7,'RES installed'!$A$2:$C$7,3,FALSE)*'[1]Profiles, RES, Spring'!U$7</f>
        <v>8.9060618225612203</v>
      </c>
      <c r="V7" s="9">
        <f>VLOOKUP($A7,'RES installed'!$A$2:$C$7,3,FALSE)*'[1]Profiles, RES, Spring'!V$7</f>
        <v>8.5026093938177443</v>
      </c>
      <c r="W7" s="9">
        <f>VLOOKUP($A7,'RES installed'!$A$2:$C$7,3,FALSE)*'[1]Profiles, RES, Spring'!W$7</f>
        <v>8.454435969490163</v>
      </c>
      <c r="X7" s="9">
        <f>VLOOKUP($A7,'RES installed'!$A$2:$C$7,3,FALSE)*'[1]Profiles, RES, Spring'!X$7</f>
        <v>8.592934564431955</v>
      </c>
      <c r="Y7" s="9">
        <f>VLOOKUP($A7,'RES installed'!$A$2:$C$7,3,FALSE)*'[1]Profiles, RES, Spring'!Y$7</f>
        <v>9.2794058610999599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0.32979529946929492</v>
      </c>
      <c r="H8" s="6">
        <f>VLOOKUP($A8,'RES installed'!$A$2:$C$7,3,FALSE)*'[1]Profiles, RES, Spring'!H$4</f>
        <v>3.161485974222896</v>
      </c>
      <c r="I8" s="6">
        <f>VLOOKUP($A8,'RES installed'!$A$2:$C$7,3,FALSE)*'[1]Profiles, RES, Spring'!I$4</f>
        <v>8.7793783169067474</v>
      </c>
      <c r="J8" s="6">
        <f>VLOOKUP($A8,'RES installed'!$A$2:$C$7,3,FALSE)*'[1]Profiles, RES, Spring'!J$4</f>
        <v>14.09021986353298</v>
      </c>
      <c r="K8" s="6">
        <f>VLOOKUP($A8,'RES installed'!$A$2:$C$7,3,FALSE)*'[1]Profiles, RES, Spring'!K$4</f>
        <v>16.705837755875663</v>
      </c>
      <c r="L8" s="6">
        <f>VLOOKUP($A8,'RES installed'!$A$2:$C$7,3,FALSE)*'[1]Profiles, RES, Spring'!L$4</f>
        <v>18.468536770280515</v>
      </c>
      <c r="M8" s="6">
        <f>VLOOKUP($A8,'RES installed'!$A$2:$C$7,3,FALSE)*'[1]Profiles, RES, Spring'!M$4</f>
        <v>20.538286580742987</v>
      </c>
      <c r="N8" s="6">
        <f>VLOOKUP($A8,'RES installed'!$A$2:$C$7,3,FALSE)*'[1]Profiles, RES, Spring'!N$4</f>
        <v>20.049279757391961</v>
      </c>
      <c r="O8" s="6">
        <f>VLOOKUP($A8,'RES installed'!$A$2:$C$7,3,FALSE)*'[1]Profiles, RES, Spring'!O$4</f>
        <v>19.946929492039423</v>
      </c>
      <c r="P8" s="6">
        <f>VLOOKUP($A8,'RES installed'!$A$2:$C$7,3,FALSE)*'[1]Profiles, RES, Spring'!P$4</f>
        <v>20.083396512509477</v>
      </c>
      <c r="Q8" s="6">
        <f>VLOOKUP($A8,'RES installed'!$A$2:$C$7,3,FALSE)*'[1]Profiles, RES, Spring'!Q$4</f>
        <v>18.559514783927217</v>
      </c>
      <c r="R8" s="6">
        <f>VLOOKUP($A8,'RES installed'!$A$2:$C$7,3,FALSE)*'[1]Profiles, RES, Spring'!R$4</f>
        <v>15.090978013646701</v>
      </c>
      <c r="S8" s="6">
        <f>VLOOKUP($A8,'RES installed'!$A$2:$C$7,3,FALSE)*'[1]Profiles, RES, Spring'!S$4</f>
        <v>9.8938589840788485</v>
      </c>
      <c r="T8" s="6">
        <f>VLOOKUP($A8,'RES installed'!$A$2:$C$7,3,FALSE)*'[1]Profiles, RES, Spring'!T$4</f>
        <v>3.5140257771038668</v>
      </c>
      <c r="U8" s="6">
        <f>VLOOKUP($A8,'RES installed'!$A$2:$C$7,3,FALSE)*'[1]Profiles, RES, Spring'!U$4</f>
        <v>0.3639120545868082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  <row r="9" spans="1:25" x14ac:dyDescent="0.3">
      <c r="A9" s="5">
        <v>8</v>
      </c>
      <c r="B9" s="6">
        <f>VLOOKUP($A9,'RES installed'!$A$2:$C$7,3,FALSE)*'[1]Profiles, RES, Spring'!B$4</f>
        <v>0</v>
      </c>
      <c r="C9" s="6">
        <f>VLOOKUP($A9,'RES installed'!$A$2:$C$7,3,FALSE)*'[1]Profiles, RES, Spring'!C$4</f>
        <v>0</v>
      </c>
      <c r="D9" s="6">
        <f>VLOOKUP($A9,'RES installed'!$A$2:$C$7,3,FALSE)*'[1]Profiles, RES, Spring'!D$4</f>
        <v>0</v>
      </c>
      <c r="E9" s="6">
        <f>VLOOKUP($A9,'RES installed'!$A$2:$C$7,3,FALSE)*'[1]Profiles, RES, Spring'!E$4</f>
        <v>0</v>
      </c>
      <c r="F9" s="6">
        <f>VLOOKUP($A9,'RES installed'!$A$2:$C$7,3,FALSE)*'[1]Profiles, RES, Spring'!F$4</f>
        <v>0</v>
      </c>
      <c r="G9" s="6">
        <f>VLOOKUP($A9,'RES installed'!$A$2:$C$7,3,FALSE)*'[1]Profiles, RES, Spring'!G$4</f>
        <v>0.10993176648976498</v>
      </c>
      <c r="H9" s="6">
        <f>VLOOKUP($A9,'RES installed'!$A$2:$C$7,3,FALSE)*'[1]Profiles, RES, Spring'!H$4</f>
        <v>1.0538286580742986</v>
      </c>
      <c r="I9" s="6">
        <f>VLOOKUP($A9,'RES installed'!$A$2:$C$7,3,FALSE)*'[1]Profiles, RES, Spring'!I$4</f>
        <v>2.9264594389689158</v>
      </c>
      <c r="J9" s="6">
        <f>VLOOKUP($A9,'RES installed'!$A$2:$C$7,3,FALSE)*'[1]Profiles, RES, Spring'!J$4</f>
        <v>4.6967399545109938</v>
      </c>
      <c r="K9" s="6">
        <f>VLOOKUP($A9,'RES installed'!$A$2:$C$7,3,FALSE)*'[1]Profiles, RES, Spring'!K$4</f>
        <v>5.5686125852918877</v>
      </c>
      <c r="L9" s="6">
        <f>VLOOKUP($A9,'RES installed'!$A$2:$C$7,3,FALSE)*'[1]Profiles, RES, Spring'!L$4</f>
        <v>6.1561789234268378</v>
      </c>
      <c r="M9" s="6">
        <f>VLOOKUP($A9,'RES installed'!$A$2:$C$7,3,FALSE)*'[1]Profiles, RES, Spring'!M$4</f>
        <v>6.8460955269143291</v>
      </c>
      <c r="N9" s="6">
        <f>VLOOKUP($A9,'RES installed'!$A$2:$C$7,3,FALSE)*'[1]Profiles, RES, Spring'!N$4</f>
        <v>6.683093252463987</v>
      </c>
      <c r="O9" s="6">
        <f>VLOOKUP($A9,'RES installed'!$A$2:$C$7,3,FALSE)*'[1]Profiles, RES, Spring'!O$4</f>
        <v>6.6489764973464744</v>
      </c>
      <c r="P9" s="6">
        <f>VLOOKUP($A9,'RES installed'!$A$2:$C$7,3,FALSE)*'[1]Profiles, RES, Spring'!P$4</f>
        <v>6.6944655041698251</v>
      </c>
      <c r="Q9" s="6">
        <f>VLOOKUP($A9,'RES installed'!$A$2:$C$7,3,FALSE)*'[1]Profiles, RES, Spring'!Q$4</f>
        <v>6.1865049279757391</v>
      </c>
      <c r="R9" s="6">
        <f>VLOOKUP($A9,'RES installed'!$A$2:$C$7,3,FALSE)*'[1]Profiles, RES, Spring'!R$4</f>
        <v>5.0303260045489004</v>
      </c>
      <c r="S9" s="6">
        <f>VLOOKUP($A9,'RES installed'!$A$2:$C$7,3,FALSE)*'[1]Profiles, RES, Spring'!S$4</f>
        <v>3.2979529946929493</v>
      </c>
      <c r="T9" s="6">
        <f>VLOOKUP($A9,'RES installed'!$A$2:$C$7,3,FALSE)*'[1]Profiles, RES, Spring'!T$4</f>
        <v>1.1713419257012889</v>
      </c>
      <c r="U9" s="6">
        <f>VLOOKUP($A9,'RES installed'!$A$2:$C$7,3,FALSE)*'[1]Profiles, RES, Spring'!U$4</f>
        <v>0.12130401819560273</v>
      </c>
      <c r="V9" s="6">
        <f>VLOOKUP($A9,'RES installed'!$A$2:$C$7,3,FALSE)*'[1]Profiles, RES, Spring'!V$4</f>
        <v>0</v>
      </c>
      <c r="W9" s="6">
        <f>VLOOKUP($A9,'RES installed'!$A$2:$C$7,3,FALSE)*'[1]Profiles, RES, Spring'!W$4</f>
        <v>0</v>
      </c>
      <c r="X9" s="6">
        <f>VLOOKUP($A9,'RES installed'!$A$2:$C$7,3,FALSE)*'[1]Profiles, RES, Spring'!X$4</f>
        <v>0</v>
      </c>
      <c r="Y9" s="6">
        <f>VLOOKUP($A9,'RES installed'!$A$2:$C$7,3,FALSE)*'[1]Profiles, RES, Spring'!Y$4</f>
        <v>0</v>
      </c>
    </row>
    <row r="10" spans="1:25" x14ac:dyDescent="0.3">
      <c r="A10" s="5">
        <v>9</v>
      </c>
      <c r="B10" s="6">
        <f>VLOOKUP($A10,'RES installed'!$A$2:$C$7,3,FALSE)*'[1]Profiles, RES, Spring'!B$4</f>
        <v>0</v>
      </c>
      <c r="C10" s="6">
        <f>VLOOKUP($A10,'RES installed'!$A$2:$C$7,3,FALSE)*'[1]Profiles, RES, Spring'!C$4</f>
        <v>0</v>
      </c>
      <c r="D10" s="6">
        <f>VLOOKUP($A10,'RES installed'!$A$2:$C$7,3,FALSE)*'[1]Profiles, RES, Spring'!D$4</f>
        <v>0</v>
      </c>
      <c r="E10" s="6">
        <f>VLOOKUP($A10,'RES installed'!$A$2:$C$7,3,FALSE)*'[1]Profiles, RES, Spring'!E$4</f>
        <v>0</v>
      </c>
      <c r="F10" s="6">
        <f>VLOOKUP($A10,'RES installed'!$A$2:$C$7,3,FALSE)*'[1]Profiles, RES, Spring'!F$4</f>
        <v>0</v>
      </c>
      <c r="G10" s="6">
        <f>VLOOKUP($A10,'RES installed'!$A$2:$C$7,3,FALSE)*'[1]Profiles, RES, Spring'!G$4</f>
        <v>0.21986353297952996</v>
      </c>
      <c r="H10" s="6">
        <f>VLOOKUP($A10,'RES installed'!$A$2:$C$7,3,FALSE)*'[1]Profiles, RES, Spring'!H$4</f>
        <v>2.1076573161485972</v>
      </c>
      <c r="I10" s="6">
        <f>VLOOKUP($A10,'RES installed'!$A$2:$C$7,3,FALSE)*'[1]Profiles, RES, Spring'!I$4</f>
        <v>5.8529188779378316</v>
      </c>
      <c r="J10" s="6">
        <f>VLOOKUP($A10,'RES installed'!$A$2:$C$7,3,FALSE)*'[1]Profiles, RES, Spring'!J$4</f>
        <v>9.3934799090219876</v>
      </c>
      <c r="K10" s="6">
        <f>VLOOKUP($A10,'RES installed'!$A$2:$C$7,3,FALSE)*'[1]Profiles, RES, Spring'!K$4</f>
        <v>11.137225170583775</v>
      </c>
      <c r="L10" s="6">
        <f>VLOOKUP($A10,'RES installed'!$A$2:$C$7,3,FALSE)*'[1]Profiles, RES, Spring'!L$4</f>
        <v>12.312357846853676</v>
      </c>
      <c r="M10" s="6">
        <f>VLOOKUP($A10,'RES installed'!$A$2:$C$7,3,FALSE)*'[1]Profiles, RES, Spring'!M$4</f>
        <v>13.692191053828658</v>
      </c>
      <c r="N10" s="6">
        <f>VLOOKUP($A10,'RES installed'!$A$2:$C$7,3,FALSE)*'[1]Profiles, RES, Spring'!N$4</f>
        <v>13.366186504927974</v>
      </c>
      <c r="O10" s="6">
        <f>VLOOKUP($A10,'RES installed'!$A$2:$C$7,3,FALSE)*'[1]Profiles, RES, Spring'!O$4</f>
        <v>13.297952994692949</v>
      </c>
      <c r="P10" s="6">
        <f>VLOOKUP($A10,'RES installed'!$A$2:$C$7,3,FALSE)*'[1]Profiles, RES, Spring'!P$4</f>
        <v>13.38893100833965</v>
      </c>
      <c r="Q10" s="6">
        <f>VLOOKUP($A10,'RES installed'!$A$2:$C$7,3,FALSE)*'[1]Profiles, RES, Spring'!Q$4</f>
        <v>12.373009855951478</v>
      </c>
      <c r="R10" s="6">
        <f>VLOOKUP($A10,'RES installed'!$A$2:$C$7,3,FALSE)*'[1]Profiles, RES, Spring'!R$4</f>
        <v>10.060652009097801</v>
      </c>
      <c r="S10" s="6">
        <f>VLOOKUP($A10,'RES installed'!$A$2:$C$7,3,FALSE)*'[1]Profiles, RES, Spring'!S$4</f>
        <v>6.5959059893858987</v>
      </c>
      <c r="T10" s="6">
        <f>VLOOKUP($A10,'RES installed'!$A$2:$C$7,3,FALSE)*'[1]Profiles, RES, Spring'!T$4</f>
        <v>2.3426838514025778</v>
      </c>
      <c r="U10" s="6">
        <f>VLOOKUP($A10,'RES installed'!$A$2:$C$7,3,FALSE)*'[1]Profiles, RES, Spring'!U$4</f>
        <v>0.24260803639120546</v>
      </c>
      <c r="V10" s="6">
        <f>VLOOKUP($A10,'RES installed'!$A$2:$C$7,3,FALSE)*'[1]Profiles, RES, Spring'!V$4</f>
        <v>0</v>
      </c>
      <c r="W10" s="6">
        <f>VLOOKUP($A10,'RES installed'!$A$2:$C$7,3,FALSE)*'[1]Profiles, RES, Spring'!W$4</f>
        <v>0</v>
      </c>
      <c r="X10" s="6">
        <f>VLOOKUP($A10,'RES installed'!$A$2:$C$7,3,FALSE)*'[1]Profiles, RES, Spring'!X$4</f>
        <v>0</v>
      </c>
      <c r="Y10" s="6">
        <f>VLOOKUP($A10,'RES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504A-A722-4235-A916-8500BF5DCFD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B266-9AF9-4D1C-8001-16512D48BE2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6446D-A4B7-4C21-9AB7-EEB0420E813A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F037-2461-4625-B59F-B0FEB5F9D263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B5D3-9FFF-47C8-A462-6DD6471A1662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0660-12AF-4198-BF2A-456BAD655B28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CBB4-4605-4586-A136-29D57872046D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87C91-FD0F-41E9-AAF2-509FDA627147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D011-67AD-4857-A72E-FFBE2D347BCB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B815-0429-42A9-92EF-4B1286E2BDE5}">
  <dimension ref="A1:Y10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34.972152632714391</v>
      </c>
      <c r="C3" s="2">
        <f>('[1]Pc, Summer, S1'!C3*Main!$B$5)+(_xlfn.IFNA(VLOOKUP($A3,'FL Ratio'!$A$3:$B$10,2,FALSE),0)*'FL Characterization'!C$2)</f>
        <v>31.843195696502544</v>
      </c>
      <c r="D3" s="2">
        <f>('[1]Pc, Summer, S1'!D3*Main!$B$5)+(_xlfn.IFNA(VLOOKUP($A3,'FL Ratio'!$A$3:$B$10,2,FALSE),0)*'FL Characterization'!D$2)</f>
        <v>30.284579421167187</v>
      </c>
      <c r="E3" s="2">
        <f>('[1]Pc, Summer, S1'!E3*Main!$B$5)+(_xlfn.IFNA(VLOOKUP($A3,'FL Ratio'!$A$3:$B$10,2,FALSE),0)*'FL Characterization'!E$2)</f>
        <v>29.206444098014508</v>
      </c>
      <c r="F3" s="2">
        <f>('[1]Pc, Summer, S1'!F3*Main!$B$5)+(_xlfn.IFNA(VLOOKUP($A3,'FL Ratio'!$A$3:$B$10,2,FALSE),0)*'FL Characterization'!F$2)</f>
        <v>29.206444098014508</v>
      </c>
      <c r="G3" s="2">
        <f>('[1]Pc, Summer, S1'!G3*Main!$B$5)+(_xlfn.IFNA(VLOOKUP($A3,'FL Ratio'!$A$3:$B$10,2,FALSE),0)*'FL Characterization'!G$2)</f>
        <v>31.315847382681632</v>
      </c>
      <c r="H3" s="2">
        <f>('[1]Pc, Summer, S1'!H3*Main!$B$5)+(_xlfn.IFNA(VLOOKUP($A3,'FL Ratio'!$A$3:$B$10,2,FALSE),0)*'FL Characterization'!H$2)</f>
        <v>39.237829087528425</v>
      </c>
      <c r="I3" s="2">
        <f>('[1]Pc, Summer, S1'!I3*Main!$B$5)+(_xlfn.IFNA(VLOOKUP($A3,'FL Ratio'!$A$3:$B$10,2,FALSE),0)*'FL Characterization'!I$2)</f>
        <v>48.284808436081278</v>
      </c>
      <c r="J3" s="2">
        <f>('[1]Pc, Summer, S1'!J3*Main!$B$5)+(_xlfn.IFNA(VLOOKUP($A3,'FL Ratio'!$A$3:$B$10,2,FALSE),0)*'FL Characterization'!J$2)</f>
        <v>50.394214247889096</v>
      </c>
      <c r="K3" s="2">
        <f>('[1]Pc, Summer, S1'!K3*Main!$B$5)+(_xlfn.IFNA(VLOOKUP($A3,'FL Ratio'!$A$3:$B$10,2,FALSE),0)*'FL Characterization'!K$2)</f>
        <v>49.339510085013124</v>
      </c>
      <c r="L3" s="2">
        <f>('[1]Pc, Summer, S1'!L3*Main!$B$5)+(_xlfn.IFNA(VLOOKUP($A3,'FL Ratio'!$A$3:$B$10,2,FALSE),0)*'FL Characterization'!L$2)</f>
        <v>49.316076410792284</v>
      </c>
      <c r="M3" s="2">
        <f>('[1]Pc, Summer, S1'!M3*Main!$B$5)+(_xlfn.IFNA(VLOOKUP($A3,'FL Ratio'!$A$3:$B$10,2,FALSE),0)*'FL Characterization'!M$2)</f>
        <v>52.550502504999997</v>
      </c>
      <c r="N3" s="2">
        <f>('[1]Pc, Summer, S1'!N3*Main!$B$5)+(_xlfn.IFNA(VLOOKUP($A3,'FL Ratio'!$A$3:$B$10,2,FALSE),0)*'FL Characterization'!N$2)</f>
        <v>52.550502504999997</v>
      </c>
      <c r="O3" s="2">
        <f>('[1]Pc, Summer, S1'!O3*Main!$B$5)+(_xlfn.IFNA(VLOOKUP($A3,'FL Ratio'!$A$3:$B$10,2,FALSE),0)*'FL Characterization'!O$2)</f>
        <v>52.550502504999997</v>
      </c>
      <c r="P3" s="2">
        <f>('[1]Pc, Summer, S1'!P3*Main!$B$5)+(_xlfn.IFNA(VLOOKUP($A3,'FL Ratio'!$A$3:$B$10,2,FALSE),0)*'FL Characterization'!P$2)</f>
        <v>49.91374335478212</v>
      </c>
      <c r="Q3" s="2">
        <f>('[1]Pc, Summer, S1'!Q3*Main!$B$5)+(_xlfn.IFNA(VLOOKUP($A3,'FL Ratio'!$A$3:$B$10,2,FALSE),0)*'FL Characterization'!Q$2)</f>
        <v>47.253545499155976</v>
      </c>
      <c r="R3" s="2">
        <f>('[1]Pc, Summer, S1'!R3*Main!$B$5)+(_xlfn.IFNA(VLOOKUP($A3,'FL Ratio'!$A$3:$B$10,2,FALSE),0)*'FL Characterization'!R$2)</f>
        <v>44.019124436135691</v>
      </c>
      <c r="S3" s="2">
        <f>('[1]Pc, Summer, S1'!S3*Main!$B$5)+(_xlfn.IFNA(VLOOKUP($A3,'FL Ratio'!$A$3:$B$10,2,FALSE),0)*'FL Characterization'!S$2)</f>
        <v>44.019124436135691</v>
      </c>
      <c r="T3" s="2">
        <f>('[1]Pc, Summer, S1'!T3*Main!$B$5)+(_xlfn.IFNA(VLOOKUP($A3,'FL Ratio'!$A$3:$B$10,2,FALSE),0)*'FL Characterization'!T$2)</f>
        <v>44.019124436135691</v>
      </c>
      <c r="U3" s="2">
        <f>('[1]Pc, Summer, S1'!U3*Main!$B$5)+(_xlfn.IFNA(VLOOKUP($A3,'FL Ratio'!$A$3:$B$10,2,FALSE),0)*'FL Characterization'!U$2)</f>
        <v>44.019124436135691</v>
      </c>
      <c r="V3" s="2">
        <f>('[1]Pc, Summer, S1'!V3*Main!$B$5)+(_xlfn.IFNA(VLOOKUP($A3,'FL Ratio'!$A$3:$B$10,2,FALSE),0)*'FL Characterization'!V$2)</f>
        <v>44.019124436135691</v>
      </c>
      <c r="W3" s="2">
        <f>('[1]Pc, Summer, S1'!W3*Main!$B$5)+(_xlfn.IFNA(VLOOKUP($A3,'FL Ratio'!$A$3:$B$10,2,FALSE),0)*'FL Characterization'!W$2)</f>
        <v>44.019124436135691</v>
      </c>
      <c r="X3" s="2">
        <f>('[1]Pc, Summer, S1'!X3*Main!$B$5)+(_xlfn.IFNA(VLOOKUP($A3,'FL Ratio'!$A$3:$B$10,2,FALSE),0)*'FL Characterization'!X$2)</f>
        <v>42.437079514467769</v>
      </c>
      <c r="Y3" s="2">
        <f>('[1]Pc, Summer, S1'!Y3*Main!$B$5)+(_xlfn.IFNA(VLOOKUP($A3,'FL Ratio'!$A$3:$B$10,2,FALSE),0)*'FL Characterization'!Y$2)</f>
        <v>39.706578109038425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47.154475008173534</v>
      </c>
      <c r="C4" s="2">
        <f>('[1]Pc, Summer, S1'!C4*Main!$B$5)+(_xlfn.IFNA(VLOOKUP($A4,'FL Ratio'!$A$3:$B$10,2,FALSE),0)*'FL Characterization'!C$2)</f>
        <v>41.510191617826251</v>
      </c>
      <c r="D4" s="2">
        <f>('[1]Pc, Summer, S1'!D4*Main!$B$5)+(_xlfn.IFNA(VLOOKUP($A4,'FL Ratio'!$A$3:$B$10,2,FALSE),0)*'FL Characterization'!D$2)</f>
        <v>39.25233704821494</v>
      </c>
      <c r="E4" s="2">
        <f>('[1]Pc, Summer, S1'!E4*Main!$B$5)+(_xlfn.IFNA(VLOOKUP($A4,'FL Ratio'!$A$3:$B$10,2,FALSE),0)*'FL Characterization'!E$2)</f>
        <v>38.007403904807504</v>
      </c>
      <c r="F4" s="2">
        <f>('[1]Pc, Summer, S1'!F4*Main!$B$5)+(_xlfn.IFNA(VLOOKUP($A4,'FL Ratio'!$A$3:$B$10,2,FALSE),0)*'FL Characterization'!F$2)</f>
        <v>40.291405832265134</v>
      </c>
      <c r="G4" s="2">
        <f>('[1]Pc, Summer, S1'!G4*Main!$B$5)+(_xlfn.IFNA(VLOOKUP($A4,'FL Ratio'!$A$3:$B$10,2,FALSE),0)*'FL Characterization'!G$2)</f>
        <v>36.904338659336617</v>
      </c>
      <c r="H4" s="2">
        <f>('[1]Pc, Summer, S1'!H4*Main!$B$5)+(_xlfn.IFNA(VLOOKUP($A4,'FL Ratio'!$A$3:$B$10,2,FALSE),0)*'FL Characterization'!H$2)</f>
        <v>43.282055684974367</v>
      </c>
      <c r="I4" s="2">
        <f>('[1]Pc, Summer, S1'!I4*Main!$B$5)+(_xlfn.IFNA(VLOOKUP($A4,'FL Ratio'!$A$3:$B$10,2,FALSE),0)*'FL Characterization'!I$2)</f>
        <v>50.236741201954985</v>
      </c>
      <c r="J4" s="2">
        <f>('[1]Pc, Summer, S1'!J4*Main!$B$5)+(_xlfn.IFNA(VLOOKUP($A4,'FL Ratio'!$A$3:$B$10,2,FALSE),0)*'FL Characterization'!J$2)</f>
        <v>56.595080136788141</v>
      </c>
      <c r="K4" s="2">
        <f>('[1]Pc, Summer, S1'!K4*Main!$B$5)+(_xlfn.IFNA(VLOOKUP($A4,'FL Ratio'!$A$3:$B$10,2,FALSE),0)*'FL Characterization'!K$2)</f>
        <v>60.741585644354679</v>
      </c>
      <c r="L4" s="2">
        <f>('[1]Pc, Summer, S1'!L4*Main!$B$5)+(_xlfn.IFNA(VLOOKUP($A4,'FL Ratio'!$A$3:$B$10,2,FALSE),0)*'FL Characterization'!L$2)</f>
        <v>62.685447762068605</v>
      </c>
      <c r="M4" s="2">
        <f>('[1]Pc, Summer, S1'!M4*Main!$B$5)+(_xlfn.IFNA(VLOOKUP($A4,'FL Ratio'!$A$3:$B$10,2,FALSE),0)*'FL Characterization'!M$2)</f>
        <v>63.677536920108501</v>
      </c>
      <c r="N4" s="2">
        <f>('[1]Pc, Summer, S1'!N4*Main!$B$5)+(_xlfn.IFNA(VLOOKUP($A4,'FL Ratio'!$A$3:$B$10,2,FALSE),0)*'FL Characterization'!N$2)</f>
        <v>64.927855775377978</v>
      </c>
      <c r="O4" s="2">
        <f>('[1]Pc, Summer, S1'!O4*Main!$B$5)+(_xlfn.IFNA(VLOOKUP($A4,'FL Ratio'!$A$3:$B$10,2,FALSE),0)*'FL Characterization'!O$2)</f>
        <v>65.459638717212556</v>
      </c>
      <c r="P4" s="2">
        <f>('[1]Pc, Summer, S1'!P4*Main!$B$5)+(_xlfn.IFNA(VLOOKUP($A4,'FL Ratio'!$A$3:$B$10,2,FALSE),0)*'FL Characterization'!P$2)</f>
        <v>65.688128131249996</v>
      </c>
      <c r="Q4" s="2">
        <f>('[1]Pc, Summer, S1'!Q4*Main!$B$5)+(_xlfn.IFNA(VLOOKUP($A4,'FL Ratio'!$A$3:$B$10,2,FALSE),0)*'FL Characterization'!Q$2)</f>
        <v>63.211738004980418</v>
      </c>
      <c r="R4" s="2">
        <f>('[1]Pc, Summer, S1'!R4*Main!$B$5)+(_xlfn.IFNA(VLOOKUP($A4,'FL Ratio'!$A$3:$B$10,2,FALSE),0)*'FL Characterization'!R$2)</f>
        <v>63.243376768735573</v>
      </c>
      <c r="S4" s="2">
        <f>('[1]Pc, Summer, S1'!S4*Main!$B$5)+(_xlfn.IFNA(VLOOKUP($A4,'FL Ratio'!$A$3:$B$10,2,FALSE),0)*'FL Characterization'!S$2)</f>
        <v>60.777687304716046</v>
      </c>
      <c r="T4" s="2">
        <f>('[1]Pc, Summer, S1'!T4*Main!$B$5)+(_xlfn.IFNA(VLOOKUP($A4,'FL Ratio'!$A$3:$B$10,2,FALSE),0)*'FL Characterization'!T$2)</f>
        <v>61.097473085815736</v>
      </c>
      <c r="U4" s="2">
        <f>('[1]Pc, Summer, S1'!U4*Main!$B$5)+(_xlfn.IFNA(VLOOKUP($A4,'FL Ratio'!$A$3:$B$10,2,FALSE),0)*'FL Characterization'!U$2)</f>
        <v>61.599799320277683</v>
      </c>
      <c r="V4" s="2">
        <f>('[1]Pc, Summer, S1'!V4*Main!$B$5)+(_xlfn.IFNA(VLOOKUP($A4,'FL Ratio'!$A$3:$B$10,2,FALSE),0)*'FL Characterization'!V$2)</f>
        <v>61.093436154023571</v>
      </c>
      <c r="W4" s="2">
        <f>('[1]Pc, Summer, S1'!W4*Main!$B$5)+(_xlfn.IFNA(VLOOKUP($A4,'FL Ratio'!$A$3:$B$10,2,FALSE),0)*'FL Characterization'!W$2)</f>
        <v>63.283515645533903</v>
      </c>
      <c r="X4" s="2">
        <f>('[1]Pc, Summer, S1'!X4*Main!$B$5)+(_xlfn.IFNA(VLOOKUP($A4,'FL Ratio'!$A$3:$B$10,2,FALSE),0)*'FL Characterization'!X$2)</f>
        <v>61.828883923462065</v>
      </c>
      <c r="Y4" s="2">
        <f>('[1]Pc, Summer, S1'!Y4*Main!$B$5)+(_xlfn.IFNA(VLOOKUP($A4,'FL Ratio'!$A$3:$B$10,2,FALSE),0)*'FL Characterization'!Y$2)</f>
        <v>55.258477075504423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34.972152632714391</v>
      </c>
      <c r="C3" s="2">
        <f>('[1]Pc, Summer, S1'!C3*Main!$B$5)+(_xlfn.IFNA(VLOOKUP($A3,'FL Ratio'!$A$3:$B$10,2,FALSE),0)*'FL Characterization'!C$2)</f>
        <v>31.843195696502544</v>
      </c>
      <c r="D3" s="2">
        <f>('[1]Pc, Summer, S1'!D3*Main!$B$5)+(_xlfn.IFNA(VLOOKUP($A3,'FL Ratio'!$A$3:$B$10,2,FALSE),0)*'FL Characterization'!D$2)</f>
        <v>30.284579421167187</v>
      </c>
      <c r="E3" s="2">
        <f>('[1]Pc, Summer, S1'!E3*Main!$B$5)+(_xlfn.IFNA(VLOOKUP($A3,'FL Ratio'!$A$3:$B$10,2,FALSE),0)*'FL Characterization'!E$2)</f>
        <v>29.206444098014508</v>
      </c>
      <c r="F3" s="2">
        <f>('[1]Pc, Summer, S1'!F3*Main!$B$5)+(_xlfn.IFNA(VLOOKUP($A3,'FL Ratio'!$A$3:$B$10,2,FALSE),0)*'FL Characterization'!F$2)</f>
        <v>29.206444098014508</v>
      </c>
      <c r="G3" s="2">
        <f>('[1]Pc, Summer, S1'!G3*Main!$B$5)+(_xlfn.IFNA(VLOOKUP($A3,'FL Ratio'!$A$3:$B$10,2,FALSE),0)*'FL Characterization'!G$2)</f>
        <v>31.315847382681632</v>
      </c>
      <c r="H3" s="2">
        <f>('[1]Pc, Summer, S1'!H3*Main!$B$5)+(_xlfn.IFNA(VLOOKUP($A3,'FL Ratio'!$A$3:$B$10,2,FALSE),0)*'FL Characterization'!H$2)</f>
        <v>39.237829087528425</v>
      </c>
      <c r="I3" s="2">
        <f>('[1]Pc, Summer, S1'!I3*Main!$B$5)+(_xlfn.IFNA(VLOOKUP($A3,'FL Ratio'!$A$3:$B$10,2,FALSE),0)*'FL Characterization'!I$2)</f>
        <v>48.284808436081278</v>
      </c>
      <c r="J3" s="2">
        <f>('[1]Pc, Summer, S1'!J3*Main!$B$5)+(_xlfn.IFNA(VLOOKUP($A3,'FL Ratio'!$A$3:$B$10,2,FALSE),0)*'FL Characterization'!J$2)</f>
        <v>50.394214247889096</v>
      </c>
      <c r="K3" s="2">
        <f>('[1]Pc, Summer, S1'!K3*Main!$B$5)+(_xlfn.IFNA(VLOOKUP($A3,'FL Ratio'!$A$3:$B$10,2,FALSE),0)*'FL Characterization'!K$2)</f>
        <v>49.339510085013124</v>
      </c>
      <c r="L3" s="2">
        <f>('[1]Pc, Summer, S1'!L3*Main!$B$5)+(_xlfn.IFNA(VLOOKUP($A3,'FL Ratio'!$A$3:$B$10,2,FALSE),0)*'FL Characterization'!L$2)</f>
        <v>49.316076410792284</v>
      </c>
      <c r="M3" s="2">
        <f>('[1]Pc, Summer, S1'!M3*Main!$B$5)+(_xlfn.IFNA(VLOOKUP($A3,'FL Ratio'!$A$3:$B$10,2,FALSE),0)*'FL Characterization'!M$2)</f>
        <v>52.550502504999997</v>
      </c>
      <c r="N3" s="2">
        <f>('[1]Pc, Summer, S1'!N3*Main!$B$5)+(_xlfn.IFNA(VLOOKUP($A3,'FL Ratio'!$A$3:$B$10,2,FALSE),0)*'FL Characterization'!N$2)</f>
        <v>52.550502504999997</v>
      </c>
      <c r="O3" s="2">
        <f>('[1]Pc, Summer, S1'!O3*Main!$B$5)+(_xlfn.IFNA(VLOOKUP($A3,'FL Ratio'!$A$3:$B$10,2,FALSE),0)*'FL Characterization'!O$2)</f>
        <v>52.550502504999997</v>
      </c>
      <c r="P3" s="2">
        <f>('[1]Pc, Summer, S1'!P3*Main!$B$5)+(_xlfn.IFNA(VLOOKUP($A3,'FL Ratio'!$A$3:$B$10,2,FALSE),0)*'FL Characterization'!P$2)</f>
        <v>49.91374335478212</v>
      </c>
      <c r="Q3" s="2">
        <f>('[1]Pc, Summer, S1'!Q3*Main!$B$5)+(_xlfn.IFNA(VLOOKUP($A3,'FL Ratio'!$A$3:$B$10,2,FALSE),0)*'FL Characterization'!Q$2)</f>
        <v>47.253545499155976</v>
      </c>
      <c r="R3" s="2">
        <f>('[1]Pc, Summer, S1'!R3*Main!$B$5)+(_xlfn.IFNA(VLOOKUP($A3,'FL Ratio'!$A$3:$B$10,2,FALSE),0)*'FL Characterization'!R$2)</f>
        <v>44.019124436135691</v>
      </c>
      <c r="S3" s="2">
        <f>('[1]Pc, Summer, S1'!S3*Main!$B$5)+(_xlfn.IFNA(VLOOKUP($A3,'FL Ratio'!$A$3:$B$10,2,FALSE),0)*'FL Characterization'!S$2)</f>
        <v>44.019124436135691</v>
      </c>
      <c r="T3" s="2">
        <f>('[1]Pc, Summer, S1'!T3*Main!$B$5)+(_xlfn.IFNA(VLOOKUP($A3,'FL Ratio'!$A$3:$B$10,2,FALSE),0)*'FL Characterization'!T$2)</f>
        <v>44.019124436135691</v>
      </c>
      <c r="U3" s="2">
        <f>('[1]Pc, Summer, S1'!U3*Main!$B$5)+(_xlfn.IFNA(VLOOKUP($A3,'FL Ratio'!$A$3:$B$10,2,FALSE),0)*'FL Characterization'!U$2)</f>
        <v>44.019124436135691</v>
      </c>
      <c r="V3" s="2">
        <f>('[1]Pc, Summer, S1'!V3*Main!$B$5)+(_xlfn.IFNA(VLOOKUP($A3,'FL Ratio'!$A$3:$B$10,2,FALSE),0)*'FL Characterization'!V$2)</f>
        <v>44.019124436135691</v>
      </c>
      <c r="W3" s="2">
        <f>('[1]Pc, Summer, S1'!W3*Main!$B$5)+(_xlfn.IFNA(VLOOKUP($A3,'FL Ratio'!$A$3:$B$10,2,FALSE),0)*'FL Characterization'!W$2)</f>
        <v>44.019124436135691</v>
      </c>
      <c r="X3" s="2">
        <f>('[1]Pc, Summer, S1'!X3*Main!$B$5)+(_xlfn.IFNA(VLOOKUP($A3,'FL Ratio'!$A$3:$B$10,2,FALSE),0)*'FL Characterization'!X$2)</f>
        <v>42.437079514467769</v>
      </c>
      <c r="Y3" s="2">
        <f>('[1]Pc, Summer, S1'!Y3*Main!$B$5)+(_xlfn.IFNA(VLOOKUP($A3,'FL Ratio'!$A$3:$B$10,2,FALSE),0)*'FL Characterization'!Y$2)</f>
        <v>39.706578109038425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47.154475008173534</v>
      </c>
      <c r="C4" s="2">
        <f>('[1]Pc, Summer, S1'!C4*Main!$B$5)+(_xlfn.IFNA(VLOOKUP($A4,'FL Ratio'!$A$3:$B$10,2,FALSE),0)*'FL Characterization'!C$2)</f>
        <v>41.510191617826251</v>
      </c>
      <c r="D4" s="2">
        <f>('[1]Pc, Summer, S1'!D4*Main!$B$5)+(_xlfn.IFNA(VLOOKUP($A4,'FL Ratio'!$A$3:$B$10,2,FALSE),0)*'FL Characterization'!D$2)</f>
        <v>39.25233704821494</v>
      </c>
      <c r="E4" s="2">
        <f>('[1]Pc, Summer, S1'!E4*Main!$B$5)+(_xlfn.IFNA(VLOOKUP($A4,'FL Ratio'!$A$3:$B$10,2,FALSE),0)*'FL Characterization'!E$2)</f>
        <v>38.007403904807504</v>
      </c>
      <c r="F4" s="2">
        <f>('[1]Pc, Summer, S1'!F4*Main!$B$5)+(_xlfn.IFNA(VLOOKUP($A4,'FL Ratio'!$A$3:$B$10,2,FALSE),0)*'FL Characterization'!F$2)</f>
        <v>40.291405832265134</v>
      </c>
      <c r="G4" s="2">
        <f>('[1]Pc, Summer, S1'!G4*Main!$B$5)+(_xlfn.IFNA(VLOOKUP($A4,'FL Ratio'!$A$3:$B$10,2,FALSE),0)*'FL Characterization'!G$2)</f>
        <v>36.904338659336617</v>
      </c>
      <c r="H4" s="2">
        <f>('[1]Pc, Summer, S1'!H4*Main!$B$5)+(_xlfn.IFNA(VLOOKUP($A4,'FL Ratio'!$A$3:$B$10,2,FALSE),0)*'FL Characterization'!H$2)</f>
        <v>43.282055684974367</v>
      </c>
      <c r="I4" s="2">
        <f>('[1]Pc, Summer, S1'!I4*Main!$B$5)+(_xlfn.IFNA(VLOOKUP($A4,'FL Ratio'!$A$3:$B$10,2,FALSE),0)*'FL Characterization'!I$2)</f>
        <v>50.236741201954985</v>
      </c>
      <c r="J4" s="2">
        <f>('[1]Pc, Summer, S1'!J4*Main!$B$5)+(_xlfn.IFNA(VLOOKUP($A4,'FL Ratio'!$A$3:$B$10,2,FALSE),0)*'FL Characterization'!J$2)</f>
        <v>56.595080136788141</v>
      </c>
      <c r="K4" s="2">
        <f>('[1]Pc, Summer, S1'!K4*Main!$B$5)+(_xlfn.IFNA(VLOOKUP($A4,'FL Ratio'!$A$3:$B$10,2,FALSE),0)*'FL Characterization'!K$2)</f>
        <v>60.741585644354679</v>
      </c>
      <c r="L4" s="2">
        <f>('[1]Pc, Summer, S1'!L4*Main!$B$5)+(_xlfn.IFNA(VLOOKUP($A4,'FL Ratio'!$A$3:$B$10,2,FALSE),0)*'FL Characterization'!L$2)</f>
        <v>62.685447762068605</v>
      </c>
      <c r="M4" s="2">
        <f>('[1]Pc, Summer, S1'!M4*Main!$B$5)+(_xlfn.IFNA(VLOOKUP($A4,'FL Ratio'!$A$3:$B$10,2,FALSE),0)*'FL Characterization'!M$2)</f>
        <v>63.677536920108501</v>
      </c>
      <c r="N4" s="2">
        <f>('[1]Pc, Summer, S1'!N4*Main!$B$5)+(_xlfn.IFNA(VLOOKUP($A4,'FL Ratio'!$A$3:$B$10,2,FALSE),0)*'FL Characterization'!N$2)</f>
        <v>64.927855775377978</v>
      </c>
      <c r="O4" s="2">
        <f>('[1]Pc, Summer, S1'!O4*Main!$B$5)+(_xlfn.IFNA(VLOOKUP($A4,'FL Ratio'!$A$3:$B$10,2,FALSE),0)*'FL Characterization'!O$2)</f>
        <v>65.459638717212556</v>
      </c>
      <c r="P4" s="2">
        <f>('[1]Pc, Summer, S1'!P4*Main!$B$5)+(_xlfn.IFNA(VLOOKUP($A4,'FL Ratio'!$A$3:$B$10,2,FALSE),0)*'FL Characterization'!P$2)</f>
        <v>65.688128131249996</v>
      </c>
      <c r="Q4" s="2">
        <f>('[1]Pc, Summer, S1'!Q4*Main!$B$5)+(_xlfn.IFNA(VLOOKUP($A4,'FL Ratio'!$A$3:$B$10,2,FALSE),0)*'FL Characterization'!Q$2)</f>
        <v>63.211738004980418</v>
      </c>
      <c r="R4" s="2">
        <f>('[1]Pc, Summer, S1'!R4*Main!$B$5)+(_xlfn.IFNA(VLOOKUP($A4,'FL Ratio'!$A$3:$B$10,2,FALSE),0)*'FL Characterization'!R$2)</f>
        <v>63.243376768735573</v>
      </c>
      <c r="S4" s="2">
        <f>('[1]Pc, Summer, S1'!S4*Main!$B$5)+(_xlfn.IFNA(VLOOKUP($A4,'FL Ratio'!$A$3:$B$10,2,FALSE),0)*'FL Characterization'!S$2)</f>
        <v>60.777687304716046</v>
      </c>
      <c r="T4" s="2">
        <f>('[1]Pc, Summer, S1'!T4*Main!$B$5)+(_xlfn.IFNA(VLOOKUP($A4,'FL Ratio'!$A$3:$B$10,2,FALSE),0)*'FL Characterization'!T$2)</f>
        <v>61.097473085815736</v>
      </c>
      <c r="U4" s="2">
        <f>('[1]Pc, Summer, S1'!U4*Main!$B$5)+(_xlfn.IFNA(VLOOKUP($A4,'FL Ratio'!$A$3:$B$10,2,FALSE),0)*'FL Characterization'!U$2)</f>
        <v>61.599799320277683</v>
      </c>
      <c r="V4" s="2">
        <f>('[1]Pc, Summer, S1'!V4*Main!$B$5)+(_xlfn.IFNA(VLOOKUP($A4,'FL Ratio'!$A$3:$B$10,2,FALSE),0)*'FL Characterization'!V$2)</f>
        <v>61.093436154023571</v>
      </c>
      <c r="W4" s="2">
        <f>('[1]Pc, Summer, S1'!W4*Main!$B$5)+(_xlfn.IFNA(VLOOKUP($A4,'FL Ratio'!$A$3:$B$10,2,FALSE),0)*'FL Characterization'!W$2)</f>
        <v>63.283515645533903</v>
      </c>
      <c r="X4" s="2">
        <f>('[1]Pc, Summer, S1'!X4*Main!$B$5)+(_xlfn.IFNA(VLOOKUP($A4,'FL Ratio'!$A$3:$B$10,2,FALSE),0)*'FL Characterization'!X$2)</f>
        <v>61.828883923462065</v>
      </c>
      <c r="Y4" s="2">
        <f>('[1]Pc, Summer, S1'!Y4*Main!$B$5)+(_xlfn.IFNA(VLOOKUP($A4,'FL Ratio'!$A$3:$B$10,2,FALSE),0)*'FL Characterization'!Y$2)</f>
        <v>55.258477075504423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34.972152632714391</v>
      </c>
      <c r="C3" s="2">
        <f>('[1]Pc, Summer, S1'!C3*Main!$B$5)+(_xlfn.IFNA(VLOOKUP($A3,'FL Ratio'!$A$3:$B$10,2,FALSE),0)*'FL Characterization'!C$2)</f>
        <v>31.843195696502544</v>
      </c>
      <c r="D3" s="2">
        <f>('[1]Pc, Summer, S1'!D3*Main!$B$5)+(_xlfn.IFNA(VLOOKUP($A3,'FL Ratio'!$A$3:$B$10,2,FALSE),0)*'FL Characterization'!D$2)</f>
        <v>30.284579421167187</v>
      </c>
      <c r="E3" s="2">
        <f>('[1]Pc, Summer, S1'!E3*Main!$B$5)+(_xlfn.IFNA(VLOOKUP($A3,'FL Ratio'!$A$3:$B$10,2,FALSE),0)*'FL Characterization'!E$2)</f>
        <v>29.206444098014508</v>
      </c>
      <c r="F3" s="2">
        <f>('[1]Pc, Summer, S1'!F3*Main!$B$5)+(_xlfn.IFNA(VLOOKUP($A3,'FL Ratio'!$A$3:$B$10,2,FALSE),0)*'FL Characterization'!F$2)</f>
        <v>29.206444098014508</v>
      </c>
      <c r="G3" s="2">
        <f>('[1]Pc, Summer, S1'!G3*Main!$B$5)+(_xlfn.IFNA(VLOOKUP($A3,'FL Ratio'!$A$3:$B$10,2,FALSE),0)*'FL Characterization'!G$2)</f>
        <v>31.315847382681632</v>
      </c>
      <c r="H3" s="2">
        <f>('[1]Pc, Summer, S1'!H3*Main!$B$5)+(_xlfn.IFNA(VLOOKUP($A3,'FL Ratio'!$A$3:$B$10,2,FALSE),0)*'FL Characterization'!H$2)</f>
        <v>39.237829087528425</v>
      </c>
      <c r="I3" s="2">
        <f>('[1]Pc, Summer, S1'!I3*Main!$B$5)+(_xlfn.IFNA(VLOOKUP($A3,'FL Ratio'!$A$3:$B$10,2,FALSE),0)*'FL Characterization'!I$2)</f>
        <v>48.284808436081278</v>
      </c>
      <c r="J3" s="2">
        <f>('[1]Pc, Summer, S1'!J3*Main!$B$5)+(_xlfn.IFNA(VLOOKUP($A3,'FL Ratio'!$A$3:$B$10,2,FALSE),0)*'FL Characterization'!J$2)</f>
        <v>50.394214247889096</v>
      </c>
      <c r="K3" s="2">
        <f>('[1]Pc, Summer, S1'!K3*Main!$B$5)+(_xlfn.IFNA(VLOOKUP($A3,'FL Ratio'!$A$3:$B$10,2,FALSE),0)*'FL Characterization'!K$2)</f>
        <v>49.339510085013124</v>
      </c>
      <c r="L3" s="2">
        <f>('[1]Pc, Summer, S1'!L3*Main!$B$5)+(_xlfn.IFNA(VLOOKUP($A3,'FL Ratio'!$A$3:$B$10,2,FALSE),0)*'FL Characterization'!L$2)</f>
        <v>49.316076410792284</v>
      </c>
      <c r="M3" s="2">
        <f>('[1]Pc, Summer, S1'!M3*Main!$B$5)+(_xlfn.IFNA(VLOOKUP($A3,'FL Ratio'!$A$3:$B$10,2,FALSE),0)*'FL Characterization'!M$2)</f>
        <v>52.550502504999997</v>
      </c>
      <c r="N3" s="2">
        <f>('[1]Pc, Summer, S1'!N3*Main!$B$5)+(_xlfn.IFNA(VLOOKUP($A3,'FL Ratio'!$A$3:$B$10,2,FALSE),0)*'FL Characterization'!N$2)</f>
        <v>52.550502504999997</v>
      </c>
      <c r="O3" s="2">
        <f>('[1]Pc, Summer, S1'!O3*Main!$B$5)+(_xlfn.IFNA(VLOOKUP($A3,'FL Ratio'!$A$3:$B$10,2,FALSE),0)*'FL Characterization'!O$2)</f>
        <v>52.550502504999997</v>
      </c>
      <c r="P3" s="2">
        <f>('[1]Pc, Summer, S1'!P3*Main!$B$5)+(_xlfn.IFNA(VLOOKUP($A3,'FL Ratio'!$A$3:$B$10,2,FALSE),0)*'FL Characterization'!P$2)</f>
        <v>49.91374335478212</v>
      </c>
      <c r="Q3" s="2">
        <f>('[1]Pc, Summer, S1'!Q3*Main!$B$5)+(_xlfn.IFNA(VLOOKUP($A3,'FL Ratio'!$A$3:$B$10,2,FALSE),0)*'FL Characterization'!Q$2)</f>
        <v>47.253545499155976</v>
      </c>
      <c r="R3" s="2">
        <f>('[1]Pc, Summer, S1'!R3*Main!$B$5)+(_xlfn.IFNA(VLOOKUP($A3,'FL Ratio'!$A$3:$B$10,2,FALSE),0)*'FL Characterization'!R$2)</f>
        <v>44.019124436135691</v>
      </c>
      <c r="S3" s="2">
        <f>('[1]Pc, Summer, S1'!S3*Main!$B$5)+(_xlfn.IFNA(VLOOKUP($A3,'FL Ratio'!$A$3:$B$10,2,FALSE),0)*'FL Characterization'!S$2)</f>
        <v>44.019124436135691</v>
      </c>
      <c r="T3" s="2">
        <f>('[1]Pc, Summer, S1'!T3*Main!$B$5)+(_xlfn.IFNA(VLOOKUP($A3,'FL Ratio'!$A$3:$B$10,2,FALSE),0)*'FL Characterization'!T$2)</f>
        <v>44.019124436135691</v>
      </c>
      <c r="U3" s="2">
        <f>('[1]Pc, Summer, S1'!U3*Main!$B$5)+(_xlfn.IFNA(VLOOKUP($A3,'FL Ratio'!$A$3:$B$10,2,FALSE),0)*'FL Characterization'!U$2)</f>
        <v>44.019124436135691</v>
      </c>
      <c r="V3" s="2">
        <f>('[1]Pc, Summer, S1'!V3*Main!$B$5)+(_xlfn.IFNA(VLOOKUP($A3,'FL Ratio'!$A$3:$B$10,2,FALSE),0)*'FL Characterization'!V$2)</f>
        <v>44.019124436135691</v>
      </c>
      <c r="W3" s="2">
        <f>('[1]Pc, Summer, S1'!W3*Main!$B$5)+(_xlfn.IFNA(VLOOKUP($A3,'FL Ratio'!$A$3:$B$10,2,FALSE),0)*'FL Characterization'!W$2)</f>
        <v>44.019124436135691</v>
      </c>
      <c r="X3" s="2">
        <f>('[1]Pc, Summer, S1'!X3*Main!$B$5)+(_xlfn.IFNA(VLOOKUP($A3,'FL Ratio'!$A$3:$B$10,2,FALSE),0)*'FL Characterization'!X$2)</f>
        <v>42.437079514467769</v>
      </c>
      <c r="Y3" s="2">
        <f>('[1]Pc, Summer, S1'!Y3*Main!$B$5)+(_xlfn.IFNA(VLOOKUP($A3,'FL Ratio'!$A$3:$B$10,2,FALSE),0)*'FL Characterization'!Y$2)</f>
        <v>39.706578109038425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47.154475008173534</v>
      </c>
      <c r="C4" s="2">
        <f>('[1]Pc, Summer, S1'!C4*Main!$B$5)+(_xlfn.IFNA(VLOOKUP($A4,'FL Ratio'!$A$3:$B$10,2,FALSE),0)*'FL Characterization'!C$2)</f>
        <v>41.510191617826251</v>
      </c>
      <c r="D4" s="2">
        <f>('[1]Pc, Summer, S1'!D4*Main!$B$5)+(_xlfn.IFNA(VLOOKUP($A4,'FL Ratio'!$A$3:$B$10,2,FALSE),0)*'FL Characterization'!D$2)</f>
        <v>39.25233704821494</v>
      </c>
      <c r="E4" s="2">
        <f>('[1]Pc, Summer, S1'!E4*Main!$B$5)+(_xlfn.IFNA(VLOOKUP($A4,'FL Ratio'!$A$3:$B$10,2,FALSE),0)*'FL Characterization'!E$2)</f>
        <v>38.007403904807504</v>
      </c>
      <c r="F4" s="2">
        <f>('[1]Pc, Summer, S1'!F4*Main!$B$5)+(_xlfn.IFNA(VLOOKUP($A4,'FL Ratio'!$A$3:$B$10,2,FALSE),0)*'FL Characterization'!F$2)</f>
        <v>40.291405832265134</v>
      </c>
      <c r="G4" s="2">
        <f>('[1]Pc, Summer, S1'!G4*Main!$B$5)+(_xlfn.IFNA(VLOOKUP($A4,'FL Ratio'!$A$3:$B$10,2,FALSE),0)*'FL Characterization'!G$2)</f>
        <v>36.904338659336617</v>
      </c>
      <c r="H4" s="2">
        <f>('[1]Pc, Summer, S1'!H4*Main!$B$5)+(_xlfn.IFNA(VLOOKUP($A4,'FL Ratio'!$A$3:$B$10,2,FALSE),0)*'FL Characterization'!H$2)</f>
        <v>43.282055684974367</v>
      </c>
      <c r="I4" s="2">
        <f>('[1]Pc, Summer, S1'!I4*Main!$B$5)+(_xlfn.IFNA(VLOOKUP($A4,'FL Ratio'!$A$3:$B$10,2,FALSE),0)*'FL Characterization'!I$2)</f>
        <v>50.236741201954985</v>
      </c>
      <c r="J4" s="2">
        <f>('[1]Pc, Summer, S1'!J4*Main!$B$5)+(_xlfn.IFNA(VLOOKUP($A4,'FL Ratio'!$A$3:$B$10,2,FALSE),0)*'FL Characterization'!J$2)</f>
        <v>56.595080136788141</v>
      </c>
      <c r="K4" s="2">
        <f>('[1]Pc, Summer, S1'!K4*Main!$B$5)+(_xlfn.IFNA(VLOOKUP($A4,'FL Ratio'!$A$3:$B$10,2,FALSE),0)*'FL Characterization'!K$2)</f>
        <v>60.741585644354679</v>
      </c>
      <c r="L4" s="2">
        <f>('[1]Pc, Summer, S1'!L4*Main!$B$5)+(_xlfn.IFNA(VLOOKUP($A4,'FL Ratio'!$A$3:$B$10,2,FALSE),0)*'FL Characterization'!L$2)</f>
        <v>62.685447762068605</v>
      </c>
      <c r="M4" s="2">
        <f>('[1]Pc, Summer, S1'!M4*Main!$B$5)+(_xlfn.IFNA(VLOOKUP($A4,'FL Ratio'!$A$3:$B$10,2,FALSE),0)*'FL Characterization'!M$2)</f>
        <v>63.677536920108501</v>
      </c>
      <c r="N4" s="2">
        <f>('[1]Pc, Summer, S1'!N4*Main!$B$5)+(_xlfn.IFNA(VLOOKUP($A4,'FL Ratio'!$A$3:$B$10,2,FALSE),0)*'FL Characterization'!N$2)</f>
        <v>64.927855775377978</v>
      </c>
      <c r="O4" s="2">
        <f>('[1]Pc, Summer, S1'!O4*Main!$B$5)+(_xlfn.IFNA(VLOOKUP($A4,'FL Ratio'!$A$3:$B$10,2,FALSE),0)*'FL Characterization'!O$2)</f>
        <v>65.459638717212556</v>
      </c>
      <c r="P4" s="2">
        <f>('[1]Pc, Summer, S1'!P4*Main!$B$5)+(_xlfn.IFNA(VLOOKUP($A4,'FL Ratio'!$A$3:$B$10,2,FALSE),0)*'FL Characterization'!P$2)</f>
        <v>65.688128131249996</v>
      </c>
      <c r="Q4" s="2">
        <f>('[1]Pc, Summer, S1'!Q4*Main!$B$5)+(_xlfn.IFNA(VLOOKUP($A4,'FL Ratio'!$A$3:$B$10,2,FALSE),0)*'FL Characterization'!Q$2)</f>
        <v>63.211738004980418</v>
      </c>
      <c r="R4" s="2">
        <f>('[1]Pc, Summer, S1'!R4*Main!$B$5)+(_xlfn.IFNA(VLOOKUP($A4,'FL Ratio'!$A$3:$B$10,2,FALSE),0)*'FL Characterization'!R$2)</f>
        <v>63.243376768735573</v>
      </c>
      <c r="S4" s="2">
        <f>('[1]Pc, Summer, S1'!S4*Main!$B$5)+(_xlfn.IFNA(VLOOKUP($A4,'FL Ratio'!$A$3:$B$10,2,FALSE),0)*'FL Characterization'!S$2)</f>
        <v>60.777687304716046</v>
      </c>
      <c r="T4" s="2">
        <f>('[1]Pc, Summer, S1'!T4*Main!$B$5)+(_xlfn.IFNA(VLOOKUP($A4,'FL Ratio'!$A$3:$B$10,2,FALSE),0)*'FL Characterization'!T$2)</f>
        <v>61.097473085815736</v>
      </c>
      <c r="U4" s="2">
        <f>('[1]Pc, Summer, S1'!U4*Main!$B$5)+(_xlfn.IFNA(VLOOKUP($A4,'FL Ratio'!$A$3:$B$10,2,FALSE),0)*'FL Characterization'!U$2)</f>
        <v>61.599799320277683</v>
      </c>
      <c r="V4" s="2">
        <f>('[1]Pc, Summer, S1'!V4*Main!$B$5)+(_xlfn.IFNA(VLOOKUP($A4,'FL Ratio'!$A$3:$B$10,2,FALSE),0)*'FL Characterization'!V$2)</f>
        <v>61.093436154023571</v>
      </c>
      <c r="W4" s="2">
        <f>('[1]Pc, Summer, S1'!W4*Main!$B$5)+(_xlfn.IFNA(VLOOKUP($A4,'FL Ratio'!$A$3:$B$10,2,FALSE),0)*'FL Characterization'!W$2)</f>
        <v>63.283515645533903</v>
      </c>
      <c r="X4" s="2">
        <f>('[1]Pc, Summer, S1'!X4*Main!$B$5)+(_xlfn.IFNA(VLOOKUP($A4,'FL Ratio'!$A$3:$B$10,2,FALSE),0)*'FL Characterization'!X$2)</f>
        <v>61.828883923462065</v>
      </c>
      <c r="Y4" s="2">
        <f>('[1]Pc, Summer, S1'!Y4*Main!$B$5)+(_xlfn.IFNA(VLOOKUP($A4,'FL Ratio'!$A$3:$B$10,2,FALSE),0)*'FL Characterization'!Y$2)</f>
        <v>55.258477075504423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35.871047613745944</v>
      </c>
      <c r="C2" s="2">
        <f ca="1">('[1]Pc, Summer, S2'!C2*Main!$B$5)+(_xlfn.IFNA(VLOOKUP($A2,'FL Ratio'!$A$3:$B$10,2,FALSE),0)*'FL Characterization'!C$2)</f>
        <v>32.590452012512166</v>
      </c>
      <c r="D2" s="2">
        <f ca="1">('[1]Pc, Summer, S2'!D2*Main!$B$5)+(_xlfn.IFNA(VLOOKUP($A2,'FL Ratio'!$A$3:$B$10,2,FALSE),0)*'FL Characterization'!D$2)</f>
        <v>32.021181518305106</v>
      </c>
      <c r="E2" s="2">
        <f ca="1">('[1]Pc, Summer, S2'!E2*Main!$B$5)+(_xlfn.IFNA(VLOOKUP($A2,'FL Ratio'!$A$3:$B$10,2,FALSE),0)*'FL Characterization'!E$2)</f>
        <v>31.93938135920903</v>
      </c>
      <c r="F2" s="2">
        <f ca="1">('[1]Pc, Summer, S2'!F2*Main!$B$5)+(_xlfn.IFNA(VLOOKUP($A2,'FL Ratio'!$A$3:$B$10,2,FALSE),0)*'FL Characterization'!F$2)</f>
        <v>31.941899463560585</v>
      </c>
      <c r="G2" s="2">
        <f ca="1">('[1]Pc, Summer, S2'!G2*Main!$B$5)+(_xlfn.IFNA(VLOOKUP($A2,'FL Ratio'!$A$3:$B$10,2,FALSE),0)*'FL Characterization'!G$2)</f>
        <v>31.659414637925611</v>
      </c>
      <c r="H2" s="2">
        <f ca="1">('[1]Pc, Summer, S2'!H2*Main!$B$5)+(_xlfn.IFNA(VLOOKUP($A2,'FL Ratio'!$A$3:$B$10,2,FALSE),0)*'FL Characterization'!H$2)</f>
        <v>34.179164238719423</v>
      </c>
      <c r="I2" s="2">
        <f ca="1">('[1]Pc, Summer, S2'!I2*Main!$B$5)+(_xlfn.IFNA(VLOOKUP($A2,'FL Ratio'!$A$3:$B$10,2,FALSE),0)*'FL Characterization'!I$2)</f>
        <v>40.579018191977532</v>
      </c>
      <c r="J2" s="2">
        <f ca="1">('[1]Pc, Summer, S2'!J2*Main!$B$5)+(_xlfn.IFNA(VLOOKUP($A2,'FL Ratio'!$A$3:$B$10,2,FALSE),0)*'FL Characterization'!J$2)</f>
        <v>46.248542224942838</v>
      </c>
      <c r="K2" s="2">
        <f ca="1">('[1]Pc, Summer, S2'!K2*Main!$B$5)+(_xlfn.IFNA(VLOOKUP($A2,'FL Ratio'!$A$3:$B$10,2,FALSE),0)*'FL Characterization'!K$2)</f>
        <v>47.669669708497082</v>
      </c>
      <c r="L2" s="2">
        <f ca="1">('[1]Pc, Summer, S2'!L2*Main!$B$5)+(_xlfn.IFNA(VLOOKUP($A2,'FL Ratio'!$A$3:$B$10,2,FALSE),0)*'FL Characterization'!L$2)</f>
        <v>47.187265368382178</v>
      </c>
      <c r="M2" s="2">
        <f ca="1">('[1]Pc, Summer, S2'!M2*Main!$B$5)+(_xlfn.IFNA(VLOOKUP($A2,'FL Ratio'!$A$3:$B$10,2,FALSE),0)*'FL Characterization'!M$2)</f>
        <v>48.521655538955486</v>
      </c>
      <c r="N2" s="2">
        <f ca="1">('[1]Pc, Summer, S2'!N2*Main!$B$5)+(_xlfn.IFNA(VLOOKUP($A2,'FL Ratio'!$A$3:$B$10,2,FALSE),0)*'FL Characterization'!N$2)</f>
        <v>49.187270344680002</v>
      </c>
      <c r="O2" s="2">
        <f ca="1">('[1]Pc, Summer, S2'!O2*Main!$B$5)+(_xlfn.IFNA(VLOOKUP($A2,'FL Ratio'!$A$3:$B$10,2,FALSE),0)*'FL Characterization'!O$2)</f>
        <v>48.277397992333661</v>
      </c>
      <c r="P2" s="2">
        <f ca="1">('[1]Pc, Summer, S2'!P2*Main!$B$5)+(_xlfn.IFNA(VLOOKUP($A2,'FL Ratio'!$A$3:$B$10,2,FALSE),0)*'FL Characterization'!P$2)</f>
        <v>46.390948589314903</v>
      </c>
      <c r="Q2" s="2">
        <f ca="1">('[1]Pc, Summer, S2'!Q2*Main!$B$5)+(_xlfn.IFNA(VLOOKUP($A2,'FL Ratio'!$A$3:$B$10,2,FALSE),0)*'FL Characterization'!Q$2)</f>
        <v>44.523792942808761</v>
      </c>
      <c r="R2" s="2">
        <f ca="1">('[1]Pc, Summer, S2'!R2*Main!$B$5)+(_xlfn.IFNA(VLOOKUP($A2,'FL Ratio'!$A$3:$B$10,2,FALSE),0)*'FL Characterization'!R$2)</f>
        <v>45.300587210125599</v>
      </c>
      <c r="S2" s="2">
        <f ca="1">('[1]Pc, Summer, S2'!S2*Main!$B$5)+(_xlfn.IFNA(VLOOKUP($A2,'FL Ratio'!$A$3:$B$10,2,FALSE),0)*'FL Characterization'!S$2)</f>
        <v>45.748145695576362</v>
      </c>
      <c r="T2" s="2">
        <f ca="1">('[1]Pc, Summer, S2'!T2*Main!$B$5)+(_xlfn.IFNA(VLOOKUP($A2,'FL Ratio'!$A$3:$B$10,2,FALSE),0)*'FL Characterization'!T$2)</f>
        <v>45.942329579490931</v>
      </c>
      <c r="U2" s="2">
        <f ca="1">('[1]Pc, Summer, S2'!U2*Main!$B$5)+(_xlfn.IFNA(VLOOKUP($A2,'FL Ratio'!$A$3:$B$10,2,FALSE),0)*'FL Characterization'!U$2)</f>
        <v>45.181772812135435</v>
      </c>
      <c r="V2" s="2">
        <f ca="1">('[1]Pc, Summer, S2'!V2*Main!$B$5)+(_xlfn.IFNA(VLOOKUP($A2,'FL Ratio'!$A$3:$B$10,2,FALSE),0)*'FL Characterization'!V$2)</f>
        <v>45.317524136544463</v>
      </c>
      <c r="W2" s="2">
        <f ca="1">('[1]Pc, Summer, S2'!W2*Main!$B$5)+(_xlfn.IFNA(VLOOKUP($A2,'FL Ratio'!$A$3:$B$10,2,FALSE),0)*'FL Characterization'!W$2)</f>
        <v>47.194483985962897</v>
      </c>
      <c r="X2" s="2">
        <f ca="1">('[1]Pc, Summer, S2'!X2*Main!$B$5)+(_xlfn.IFNA(VLOOKUP($A2,'FL Ratio'!$A$3:$B$10,2,FALSE),0)*'FL Characterization'!X$2)</f>
        <v>43.990971363690008</v>
      </c>
      <c r="Y2" s="2">
        <f ca="1">('[1]Pc, Summer, S2'!Y2*Main!$B$5)+(_xlfn.IFNA(VLOOKUP($A2,'FL Ratio'!$A$3:$B$10,2,FALSE),0)*'FL Characterization'!Y$2)</f>
        <v>40.326278159796225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36.371038738022961</v>
      </c>
      <c r="C3" s="2">
        <f ca="1">('[1]Pc, Summer, S2'!C3*Main!$B$5)+(_xlfn.IFNA(VLOOKUP($A3,'FL Ratio'!$A$3:$B$10,2,FALSE),0)*'FL Characterization'!C$2)</f>
        <v>33.116923524362647</v>
      </c>
      <c r="D3" s="2">
        <f ca="1">('[1]Pc, Summer, S2'!D3*Main!$B$5)+(_xlfn.IFNA(VLOOKUP($A3,'FL Ratio'!$A$3:$B$10,2,FALSE),0)*'FL Characterization'!D$2)</f>
        <v>31.495962598013879</v>
      </c>
      <c r="E3" s="2">
        <f ca="1">('[1]Pc, Summer, S2'!E3*Main!$B$5)+(_xlfn.IFNA(VLOOKUP($A3,'FL Ratio'!$A$3:$B$10,2,FALSE),0)*'FL Characterization'!E$2)</f>
        <v>30.374701861935087</v>
      </c>
      <c r="F3" s="2">
        <f ca="1">('[1]Pc, Summer, S2'!F3*Main!$B$5)+(_xlfn.IFNA(VLOOKUP($A3,'FL Ratio'!$A$3:$B$10,2,FALSE),0)*'FL Characterization'!F$2)</f>
        <v>30.374701861935087</v>
      </c>
      <c r="G3" s="2">
        <f ca="1">('[1]Pc, Summer, S2'!G3*Main!$B$5)+(_xlfn.IFNA(VLOOKUP($A3,'FL Ratio'!$A$3:$B$10,2,FALSE),0)*'FL Characterization'!G$2)</f>
        <v>32.568481277988901</v>
      </c>
      <c r="H3" s="2">
        <f ca="1">('[1]Pc, Summer, S2'!H3*Main!$B$5)+(_xlfn.IFNA(VLOOKUP($A3,'FL Ratio'!$A$3:$B$10,2,FALSE),0)*'FL Characterization'!H$2)</f>
        <v>40.807342251029553</v>
      </c>
      <c r="I3" s="2">
        <f ca="1">('[1]Pc, Summer, S2'!I3*Main!$B$5)+(_xlfn.IFNA(VLOOKUP($A3,'FL Ratio'!$A$3:$B$10,2,FALSE),0)*'FL Characterization'!I$2)</f>
        <v>50.216200773524534</v>
      </c>
      <c r="J3" s="2">
        <f ca="1">('[1]Pc, Summer, S2'!J3*Main!$B$5)+(_xlfn.IFNA(VLOOKUP($A3,'FL Ratio'!$A$3:$B$10,2,FALSE),0)*'FL Characterization'!J$2)</f>
        <v>52.409982817804661</v>
      </c>
      <c r="K3" s="2">
        <f ca="1">('[1]Pc, Summer, S2'!K3*Main!$B$5)+(_xlfn.IFNA(VLOOKUP($A3,'FL Ratio'!$A$3:$B$10,2,FALSE),0)*'FL Characterization'!K$2)</f>
        <v>51.31309048841365</v>
      </c>
      <c r="L3" s="2">
        <f ca="1">('[1]Pc, Summer, S2'!L3*Main!$B$5)+(_xlfn.IFNA(VLOOKUP($A3,'FL Ratio'!$A$3:$B$10,2,FALSE),0)*'FL Characterization'!L$2)</f>
        <v>51.288719467223977</v>
      </c>
      <c r="M3" s="2">
        <f ca="1">('[1]Pc, Summer, S2'!M3*Main!$B$5)+(_xlfn.IFNA(VLOOKUP($A3,'FL Ratio'!$A$3:$B$10,2,FALSE),0)*'FL Characterization'!M$2)</f>
        <v>54.652522605199998</v>
      </c>
      <c r="N3" s="2">
        <f ca="1">('[1]Pc, Summer, S2'!N3*Main!$B$5)+(_xlfn.IFNA(VLOOKUP($A3,'FL Ratio'!$A$3:$B$10,2,FALSE),0)*'FL Characterization'!N$2)</f>
        <v>54.652522605199998</v>
      </c>
      <c r="O3" s="2">
        <f ca="1">('[1]Pc, Summer, S2'!O3*Main!$B$5)+(_xlfn.IFNA(VLOOKUP($A3,'FL Ratio'!$A$3:$B$10,2,FALSE),0)*'FL Characterization'!O$2)</f>
        <v>54.652522605199998</v>
      </c>
      <c r="P3" s="2">
        <f ca="1">('[1]Pc, Summer, S2'!P3*Main!$B$5)+(_xlfn.IFNA(VLOOKUP($A3,'FL Ratio'!$A$3:$B$10,2,FALSE),0)*'FL Characterization'!P$2)</f>
        <v>51.910293088973404</v>
      </c>
      <c r="Q3" s="2">
        <f ca="1">('[1]Pc, Summer, S2'!Q3*Main!$B$5)+(_xlfn.IFNA(VLOOKUP($A3,'FL Ratio'!$A$3:$B$10,2,FALSE),0)*'FL Characterization'!Q$2)</f>
        <v>49.143687319122222</v>
      </c>
      <c r="R3" s="2">
        <f ca="1">('[1]Pc, Summer, S2'!R3*Main!$B$5)+(_xlfn.IFNA(VLOOKUP($A3,'FL Ratio'!$A$3:$B$10,2,FALSE),0)*'FL Characterization'!R$2)</f>
        <v>45.779889413581117</v>
      </c>
      <c r="S3" s="2">
        <f ca="1">('[1]Pc, Summer, S2'!S3*Main!$B$5)+(_xlfn.IFNA(VLOOKUP($A3,'FL Ratio'!$A$3:$B$10,2,FALSE),0)*'FL Characterization'!S$2)</f>
        <v>45.779889413581117</v>
      </c>
      <c r="T3" s="2">
        <f ca="1">('[1]Pc, Summer, S2'!T3*Main!$B$5)+(_xlfn.IFNA(VLOOKUP($A3,'FL Ratio'!$A$3:$B$10,2,FALSE),0)*'FL Characterization'!T$2)</f>
        <v>45.779889413581117</v>
      </c>
      <c r="U3" s="2">
        <f ca="1">('[1]Pc, Summer, S2'!U3*Main!$B$5)+(_xlfn.IFNA(VLOOKUP($A3,'FL Ratio'!$A$3:$B$10,2,FALSE),0)*'FL Characterization'!U$2)</f>
        <v>45.779889413581117</v>
      </c>
      <c r="V3" s="2">
        <f ca="1">('[1]Pc, Summer, S2'!V3*Main!$B$5)+(_xlfn.IFNA(VLOOKUP($A3,'FL Ratio'!$A$3:$B$10,2,FALSE),0)*'FL Characterization'!V$2)</f>
        <v>45.779889413581117</v>
      </c>
      <c r="W3" s="2">
        <f ca="1">('[1]Pc, Summer, S2'!W3*Main!$B$5)+(_xlfn.IFNA(VLOOKUP($A3,'FL Ratio'!$A$3:$B$10,2,FALSE),0)*'FL Characterization'!W$2)</f>
        <v>45.779889413581117</v>
      </c>
      <c r="X3" s="2">
        <f ca="1">('[1]Pc, Summer, S2'!X3*Main!$B$5)+(_xlfn.IFNA(VLOOKUP($A3,'FL Ratio'!$A$3:$B$10,2,FALSE),0)*'FL Characterization'!X$2)</f>
        <v>44.134562695046483</v>
      </c>
      <c r="Y3" s="2">
        <f ca="1">('[1]Pc, Summer, S2'!Y3*Main!$B$5)+(_xlfn.IFNA(VLOOKUP($A3,'FL Ratio'!$A$3:$B$10,2,FALSE),0)*'FL Characterization'!Y$2)</f>
        <v>41.294841233399957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49.040654008500475</v>
      </c>
      <c r="C4" s="2">
        <f ca="1">('[1]Pc, Summer, S2'!C4*Main!$B$5)+(_xlfn.IFNA(VLOOKUP($A4,'FL Ratio'!$A$3:$B$10,2,FALSE),0)*'FL Characterization'!C$2)</f>
        <v>43.170599282539307</v>
      </c>
      <c r="D4" s="2">
        <f ca="1">('[1]Pc, Summer, S2'!D4*Main!$B$5)+(_xlfn.IFNA(VLOOKUP($A4,'FL Ratio'!$A$3:$B$10,2,FALSE),0)*'FL Characterization'!D$2)</f>
        <v>40.822430530143542</v>
      </c>
      <c r="E4" s="2">
        <f ca="1">('[1]Pc, Summer, S2'!E4*Main!$B$5)+(_xlfn.IFNA(VLOOKUP($A4,'FL Ratio'!$A$3:$B$10,2,FALSE),0)*'FL Characterization'!E$2)</f>
        <v>39.527700060999805</v>
      </c>
      <c r="F4" s="2">
        <f ca="1">('[1]Pc, Summer, S2'!F4*Main!$B$5)+(_xlfn.IFNA(VLOOKUP($A4,'FL Ratio'!$A$3:$B$10,2,FALSE),0)*'FL Characterization'!F$2)</f>
        <v>41.903062065555744</v>
      </c>
      <c r="G4" s="2">
        <f ca="1">('[1]Pc, Summer, S2'!G4*Main!$B$5)+(_xlfn.IFNA(VLOOKUP($A4,'FL Ratio'!$A$3:$B$10,2,FALSE),0)*'FL Characterization'!G$2)</f>
        <v>38.380512205710083</v>
      </c>
      <c r="H4" s="2">
        <f ca="1">('[1]Pc, Summer, S2'!H4*Main!$B$5)+(_xlfn.IFNA(VLOOKUP($A4,'FL Ratio'!$A$3:$B$10,2,FALSE),0)*'FL Characterization'!H$2)</f>
        <v>45.013337912373338</v>
      </c>
      <c r="I4" s="2">
        <f ca="1">('[1]Pc, Summer, S2'!I4*Main!$B$5)+(_xlfn.IFNA(VLOOKUP($A4,'FL Ratio'!$A$3:$B$10,2,FALSE),0)*'FL Characterization'!I$2)</f>
        <v>52.246210850033187</v>
      </c>
      <c r="J4" s="2">
        <f ca="1">('[1]Pc, Summer, S2'!J4*Main!$B$5)+(_xlfn.IFNA(VLOOKUP($A4,'FL Ratio'!$A$3:$B$10,2,FALSE),0)*'FL Characterization'!J$2)</f>
        <v>58.858883342259666</v>
      </c>
      <c r="K4" s="2">
        <f ca="1">('[1]Pc, Summer, S2'!K4*Main!$B$5)+(_xlfn.IFNA(VLOOKUP($A4,'FL Ratio'!$A$3:$B$10,2,FALSE),0)*'FL Characterization'!K$2)</f>
        <v>63.171249070128873</v>
      </c>
      <c r="L4" s="2">
        <f ca="1">('[1]Pc, Summer, S2'!L4*Main!$B$5)+(_xlfn.IFNA(VLOOKUP($A4,'FL Ratio'!$A$3:$B$10,2,FALSE),0)*'FL Characterization'!L$2)</f>
        <v>65.192865672551349</v>
      </c>
      <c r="M4" s="2">
        <f ca="1">('[1]Pc, Summer, S2'!M4*Main!$B$5)+(_xlfn.IFNA(VLOOKUP($A4,'FL Ratio'!$A$3:$B$10,2,FALSE),0)*'FL Characterization'!M$2)</f>
        <v>66.224638396912852</v>
      </c>
      <c r="N4" s="2">
        <f ca="1">('[1]Pc, Summer, S2'!N4*Main!$B$5)+(_xlfn.IFNA(VLOOKUP($A4,'FL Ratio'!$A$3:$B$10,2,FALSE),0)*'FL Characterization'!N$2)</f>
        <v>67.524970006393076</v>
      </c>
      <c r="O4" s="2">
        <f ca="1">('[1]Pc, Summer, S2'!O4*Main!$B$5)+(_xlfn.IFNA(VLOOKUP($A4,'FL Ratio'!$A$3:$B$10,2,FALSE),0)*'FL Characterization'!O$2)</f>
        <v>68.078024265901064</v>
      </c>
      <c r="P4" s="2">
        <f ca="1">('[1]Pc, Summer, S2'!P4*Main!$B$5)+(_xlfn.IFNA(VLOOKUP($A4,'FL Ratio'!$A$3:$B$10,2,FALSE),0)*'FL Characterization'!P$2)</f>
        <v>68.315653256499999</v>
      </c>
      <c r="Q4" s="2">
        <f ca="1">('[1]Pc, Summer, S2'!Q4*Main!$B$5)+(_xlfn.IFNA(VLOOKUP($A4,'FL Ratio'!$A$3:$B$10,2,FALSE),0)*'FL Characterization'!Q$2)</f>
        <v>65.740207525179642</v>
      </c>
      <c r="R4" s="2">
        <f ca="1">('[1]Pc, Summer, S2'!R4*Main!$B$5)+(_xlfn.IFNA(VLOOKUP($A4,'FL Ratio'!$A$3:$B$10,2,FALSE),0)*'FL Characterization'!R$2)</f>
        <v>65.773111839484997</v>
      </c>
      <c r="S4" s="2">
        <f ca="1">('[1]Pc, Summer, S2'!S4*Main!$B$5)+(_xlfn.IFNA(VLOOKUP($A4,'FL Ratio'!$A$3:$B$10,2,FALSE),0)*'FL Characterization'!S$2)</f>
        <v>63.208794796904698</v>
      </c>
      <c r="T4" s="2">
        <f ca="1">('[1]Pc, Summer, S2'!T4*Main!$B$5)+(_xlfn.IFNA(VLOOKUP($A4,'FL Ratio'!$A$3:$B$10,2,FALSE),0)*'FL Characterization'!T$2)</f>
        <v>63.54137200924837</v>
      </c>
      <c r="U4" s="2">
        <f ca="1">('[1]Pc, Summer, S2'!U4*Main!$B$5)+(_xlfn.IFNA(VLOOKUP($A4,'FL Ratio'!$A$3:$B$10,2,FALSE),0)*'FL Characterization'!U$2)</f>
        <v>64.063791293088798</v>
      </c>
      <c r="V4" s="2">
        <f ca="1">('[1]Pc, Summer, S2'!V4*Main!$B$5)+(_xlfn.IFNA(VLOOKUP($A4,'FL Ratio'!$A$3:$B$10,2,FALSE),0)*'FL Characterization'!V$2)</f>
        <v>63.537173600184516</v>
      </c>
      <c r="W4" s="2">
        <f ca="1">('[1]Pc, Summer, S2'!W4*Main!$B$5)+(_xlfn.IFNA(VLOOKUP($A4,'FL Ratio'!$A$3:$B$10,2,FALSE),0)*'FL Characterization'!W$2)</f>
        <v>65.814856271355254</v>
      </c>
      <c r="X4" s="2">
        <f ca="1">('[1]Pc, Summer, S2'!X4*Main!$B$5)+(_xlfn.IFNA(VLOOKUP($A4,'FL Ratio'!$A$3:$B$10,2,FALSE),0)*'FL Characterization'!X$2)</f>
        <v>64.30203928040055</v>
      </c>
      <c r="Y4" s="2">
        <f ca="1">('[1]Pc, Summer, S2'!Y4*Main!$B$5)+(_xlfn.IFNA(VLOOKUP($A4,'FL Ratio'!$A$3:$B$10,2,FALSE),0)*'FL Characterization'!Y$2)</f>
        <v>57.468816158524604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35.871047613745944</v>
      </c>
      <c r="C2" s="2">
        <f ca="1">('[1]Pc, Summer, S2'!C2*Main!$B$5)+(_xlfn.IFNA(VLOOKUP($A2,'FL Ratio'!$A$3:$B$10,2,FALSE),0)*'FL Characterization'!C$2)</f>
        <v>32.590452012512166</v>
      </c>
      <c r="D2" s="2">
        <f ca="1">('[1]Pc, Summer, S2'!D2*Main!$B$5)+(_xlfn.IFNA(VLOOKUP($A2,'FL Ratio'!$A$3:$B$10,2,FALSE),0)*'FL Characterization'!D$2)</f>
        <v>32.021181518305106</v>
      </c>
      <c r="E2" s="2">
        <f ca="1">('[1]Pc, Summer, S2'!E2*Main!$B$5)+(_xlfn.IFNA(VLOOKUP($A2,'FL Ratio'!$A$3:$B$10,2,FALSE),0)*'FL Characterization'!E$2)</f>
        <v>31.93938135920903</v>
      </c>
      <c r="F2" s="2">
        <f ca="1">('[1]Pc, Summer, S2'!F2*Main!$B$5)+(_xlfn.IFNA(VLOOKUP($A2,'FL Ratio'!$A$3:$B$10,2,FALSE),0)*'FL Characterization'!F$2)</f>
        <v>31.941899463560585</v>
      </c>
      <c r="G2" s="2">
        <f ca="1">('[1]Pc, Summer, S2'!G2*Main!$B$5)+(_xlfn.IFNA(VLOOKUP($A2,'FL Ratio'!$A$3:$B$10,2,FALSE),0)*'FL Characterization'!G$2)</f>
        <v>31.659414637925611</v>
      </c>
      <c r="H2" s="2">
        <f ca="1">('[1]Pc, Summer, S2'!H2*Main!$B$5)+(_xlfn.IFNA(VLOOKUP($A2,'FL Ratio'!$A$3:$B$10,2,FALSE),0)*'FL Characterization'!H$2)</f>
        <v>34.179164238719423</v>
      </c>
      <c r="I2" s="2">
        <f ca="1">('[1]Pc, Summer, S2'!I2*Main!$B$5)+(_xlfn.IFNA(VLOOKUP($A2,'FL Ratio'!$A$3:$B$10,2,FALSE),0)*'FL Characterization'!I$2)</f>
        <v>40.579018191977532</v>
      </c>
      <c r="J2" s="2">
        <f ca="1">('[1]Pc, Summer, S2'!J2*Main!$B$5)+(_xlfn.IFNA(VLOOKUP($A2,'FL Ratio'!$A$3:$B$10,2,FALSE),0)*'FL Characterization'!J$2)</f>
        <v>46.248542224942838</v>
      </c>
      <c r="K2" s="2">
        <f ca="1">('[1]Pc, Summer, S2'!K2*Main!$B$5)+(_xlfn.IFNA(VLOOKUP($A2,'FL Ratio'!$A$3:$B$10,2,FALSE),0)*'FL Characterization'!K$2)</f>
        <v>47.669669708497082</v>
      </c>
      <c r="L2" s="2">
        <f ca="1">('[1]Pc, Summer, S2'!L2*Main!$B$5)+(_xlfn.IFNA(VLOOKUP($A2,'FL Ratio'!$A$3:$B$10,2,FALSE),0)*'FL Characterization'!L$2)</f>
        <v>47.187265368382178</v>
      </c>
      <c r="M2" s="2">
        <f ca="1">('[1]Pc, Summer, S2'!M2*Main!$B$5)+(_xlfn.IFNA(VLOOKUP($A2,'FL Ratio'!$A$3:$B$10,2,FALSE),0)*'FL Characterization'!M$2)</f>
        <v>48.521655538955486</v>
      </c>
      <c r="N2" s="2">
        <f ca="1">('[1]Pc, Summer, S2'!N2*Main!$B$5)+(_xlfn.IFNA(VLOOKUP($A2,'FL Ratio'!$A$3:$B$10,2,FALSE),0)*'FL Characterization'!N$2)</f>
        <v>49.187270344680002</v>
      </c>
      <c r="O2" s="2">
        <f ca="1">('[1]Pc, Summer, S2'!O2*Main!$B$5)+(_xlfn.IFNA(VLOOKUP($A2,'FL Ratio'!$A$3:$B$10,2,FALSE),0)*'FL Characterization'!O$2)</f>
        <v>48.277397992333661</v>
      </c>
      <c r="P2" s="2">
        <f ca="1">('[1]Pc, Summer, S2'!P2*Main!$B$5)+(_xlfn.IFNA(VLOOKUP($A2,'FL Ratio'!$A$3:$B$10,2,FALSE),0)*'FL Characterization'!P$2)</f>
        <v>46.390948589314903</v>
      </c>
      <c r="Q2" s="2">
        <f ca="1">('[1]Pc, Summer, S2'!Q2*Main!$B$5)+(_xlfn.IFNA(VLOOKUP($A2,'FL Ratio'!$A$3:$B$10,2,FALSE),0)*'FL Characterization'!Q$2)</f>
        <v>44.523792942808761</v>
      </c>
      <c r="R2" s="2">
        <f ca="1">('[1]Pc, Summer, S2'!R2*Main!$B$5)+(_xlfn.IFNA(VLOOKUP($A2,'FL Ratio'!$A$3:$B$10,2,FALSE),0)*'FL Characterization'!R$2)</f>
        <v>45.300587210125599</v>
      </c>
      <c r="S2" s="2">
        <f ca="1">('[1]Pc, Summer, S2'!S2*Main!$B$5)+(_xlfn.IFNA(VLOOKUP($A2,'FL Ratio'!$A$3:$B$10,2,FALSE),0)*'FL Characterization'!S$2)</f>
        <v>45.748145695576362</v>
      </c>
      <c r="T2" s="2">
        <f ca="1">('[1]Pc, Summer, S2'!T2*Main!$B$5)+(_xlfn.IFNA(VLOOKUP($A2,'FL Ratio'!$A$3:$B$10,2,FALSE),0)*'FL Characterization'!T$2)</f>
        <v>45.942329579490931</v>
      </c>
      <c r="U2" s="2">
        <f ca="1">('[1]Pc, Summer, S2'!U2*Main!$B$5)+(_xlfn.IFNA(VLOOKUP($A2,'FL Ratio'!$A$3:$B$10,2,FALSE),0)*'FL Characterization'!U$2)</f>
        <v>45.181772812135435</v>
      </c>
      <c r="V2" s="2">
        <f ca="1">('[1]Pc, Summer, S2'!V2*Main!$B$5)+(_xlfn.IFNA(VLOOKUP($A2,'FL Ratio'!$A$3:$B$10,2,FALSE),0)*'FL Characterization'!V$2)</f>
        <v>45.317524136544463</v>
      </c>
      <c r="W2" s="2">
        <f ca="1">('[1]Pc, Summer, S2'!W2*Main!$B$5)+(_xlfn.IFNA(VLOOKUP($A2,'FL Ratio'!$A$3:$B$10,2,FALSE),0)*'FL Characterization'!W$2)</f>
        <v>47.194483985962897</v>
      </c>
      <c r="X2" s="2">
        <f ca="1">('[1]Pc, Summer, S2'!X2*Main!$B$5)+(_xlfn.IFNA(VLOOKUP($A2,'FL Ratio'!$A$3:$B$10,2,FALSE),0)*'FL Characterization'!X$2)</f>
        <v>43.990971363690008</v>
      </c>
      <c r="Y2" s="2">
        <f ca="1">('[1]Pc, Summer, S2'!Y2*Main!$B$5)+(_xlfn.IFNA(VLOOKUP($A2,'FL Ratio'!$A$3:$B$10,2,FALSE),0)*'FL Characterization'!Y$2)</f>
        <v>40.326278159796225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36.371038738022961</v>
      </c>
      <c r="C3" s="2">
        <f ca="1">('[1]Pc, Summer, S2'!C3*Main!$B$5)+(_xlfn.IFNA(VLOOKUP($A3,'FL Ratio'!$A$3:$B$10,2,FALSE),0)*'FL Characterization'!C$2)</f>
        <v>33.116923524362647</v>
      </c>
      <c r="D3" s="2">
        <f ca="1">('[1]Pc, Summer, S2'!D3*Main!$B$5)+(_xlfn.IFNA(VLOOKUP($A3,'FL Ratio'!$A$3:$B$10,2,FALSE),0)*'FL Characterization'!D$2)</f>
        <v>31.495962598013879</v>
      </c>
      <c r="E3" s="2">
        <f ca="1">('[1]Pc, Summer, S2'!E3*Main!$B$5)+(_xlfn.IFNA(VLOOKUP($A3,'FL Ratio'!$A$3:$B$10,2,FALSE),0)*'FL Characterization'!E$2)</f>
        <v>30.374701861935087</v>
      </c>
      <c r="F3" s="2">
        <f ca="1">('[1]Pc, Summer, S2'!F3*Main!$B$5)+(_xlfn.IFNA(VLOOKUP($A3,'FL Ratio'!$A$3:$B$10,2,FALSE),0)*'FL Characterization'!F$2)</f>
        <v>30.374701861935087</v>
      </c>
      <c r="G3" s="2">
        <f ca="1">('[1]Pc, Summer, S2'!G3*Main!$B$5)+(_xlfn.IFNA(VLOOKUP($A3,'FL Ratio'!$A$3:$B$10,2,FALSE),0)*'FL Characterization'!G$2)</f>
        <v>32.568481277988901</v>
      </c>
      <c r="H3" s="2">
        <f ca="1">('[1]Pc, Summer, S2'!H3*Main!$B$5)+(_xlfn.IFNA(VLOOKUP($A3,'FL Ratio'!$A$3:$B$10,2,FALSE),0)*'FL Characterization'!H$2)</f>
        <v>40.807342251029553</v>
      </c>
      <c r="I3" s="2">
        <f ca="1">('[1]Pc, Summer, S2'!I3*Main!$B$5)+(_xlfn.IFNA(VLOOKUP($A3,'FL Ratio'!$A$3:$B$10,2,FALSE),0)*'FL Characterization'!I$2)</f>
        <v>50.216200773524534</v>
      </c>
      <c r="J3" s="2">
        <f ca="1">('[1]Pc, Summer, S2'!J3*Main!$B$5)+(_xlfn.IFNA(VLOOKUP($A3,'FL Ratio'!$A$3:$B$10,2,FALSE),0)*'FL Characterization'!J$2)</f>
        <v>52.409982817804661</v>
      </c>
      <c r="K3" s="2">
        <f ca="1">('[1]Pc, Summer, S2'!K3*Main!$B$5)+(_xlfn.IFNA(VLOOKUP($A3,'FL Ratio'!$A$3:$B$10,2,FALSE),0)*'FL Characterization'!K$2)</f>
        <v>51.31309048841365</v>
      </c>
      <c r="L3" s="2">
        <f ca="1">('[1]Pc, Summer, S2'!L3*Main!$B$5)+(_xlfn.IFNA(VLOOKUP($A3,'FL Ratio'!$A$3:$B$10,2,FALSE),0)*'FL Characterization'!L$2)</f>
        <v>51.288719467223977</v>
      </c>
      <c r="M3" s="2">
        <f ca="1">('[1]Pc, Summer, S2'!M3*Main!$B$5)+(_xlfn.IFNA(VLOOKUP($A3,'FL Ratio'!$A$3:$B$10,2,FALSE),0)*'FL Characterization'!M$2)</f>
        <v>54.652522605199998</v>
      </c>
      <c r="N3" s="2">
        <f ca="1">('[1]Pc, Summer, S2'!N3*Main!$B$5)+(_xlfn.IFNA(VLOOKUP($A3,'FL Ratio'!$A$3:$B$10,2,FALSE),0)*'FL Characterization'!N$2)</f>
        <v>54.652522605199998</v>
      </c>
      <c r="O3" s="2">
        <f ca="1">('[1]Pc, Summer, S2'!O3*Main!$B$5)+(_xlfn.IFNA(VLOOKUP($A3,'FL Ratio'!$A$3:$B$10,2,FALSE),0)*'FL Characterization'!O$2)</f>
        <v>54.652522605199998</v>
      </c>
      <c r="P3" s="2">
        <f ca="1">('[1]Pc, Summer, S2'!P3*Main!$B$5)+(_xlfn.IFNA(VLOOKUP($A3,'FL Ratio'!$A$3:$B$10,2,FALSE),0)*'FL Characterization'!P$2)</f>
        <v>51.910293088973404</v>
      </c>
      <c r="Q3" s="2">
        <f ca="1">('[1]Pc, Summer, S2'!Q3*Main!$B$5)+(_xlfn.IFNA(VLOOKUP($A3,'FL Ratio'!$A$3:$B$10,2,FALSE),0)*'FL Characterization'!Q$2)</f>
        <v>49.143687319122222</v>
      </c>
      <c r="R3" s="2">
        <f ca="1">('[1]Pc, Summer, S2'!R3*Main!$B$5)+(_xlfn.IFNA(VLOOKUP($A3,'FL Ratio'!$A$3:$B$10,2,FALSE),0)*'FL Characterization'!R$2)</f>
        <v>45.779889413581117</v>
      </c>
      <c r="S3" s="2">
        <f ca="1">('[1]Pc, Summer, S2'!S3*Main!$B$5)+(_xlfn.IFNA(VLOOKUP($A3,'FL Ratio'!$A$3:$B$10,2,FALSE),0)*'FL Characterization'!S$2)</f>
        <v>45.779889413581117</v>
      </c>
      <c r="T3" s="2">
        <f ca="1">('[1]Pc, Summer, S2'!T3*Main!$B$5)+(_xlfn.IFNA(VLOOKUP($A3,'FL Ratio'!$A$3:$B$10,2,FALSE),0)*'FL Characterization'!T$2)</f>
        <v>45.779889413581117</v>
      </c>
      <c r="U3" s="2">
        <f ca="1">('[1]Pc, Summer, S2'!U3*Main!$B$5)+(_xlfn.IFNA(VLOOKUP($A3,'FL Ratio'!$A$3:$B$10,2,FALSE),0)*'FL Characterization'!U$2)</f>
        <v>45.779889413581117</v>
      </c>
      <c r="V3" s="2">
        <f ca="1">('[1]Pc, Summer, S2'!V3*Main!$B$5)+(_xlfn.IFNA(VLOOKUP($A3,'FL Ratio'!$A$3:$B$10,2,FALSE),0)*'FL Characterization'!V$2)</f>
        <v>45.779889413581117</v>
      </c>
      <c r="W3" s="2">
        <f ca="1">('[1]Pc, Summer, S2'!W3*Main!$B$5)+(_xlfn.IFNA(VLOOKUP($A3,'FL Ratio'!$A$3:$B$10,2,FALSE),0)*'FL Characterization'!W$2)</f>
        <v>45.779889413581117</v>
      </c>
      <c r="X3" s="2">
        <f ca="1">('[1]Pc, Summer, S2'!X3*Main!$B$5)+(_xlfn.IFNA(VLOOKUP($A3,'FL Ratio'!$A$3:$B$10,2,FALSE),0)*'FL Characterization'!X$2)</f>
        <v>44.134562695046483</v>
      </c>
      <c r="Y3" s="2">
        <f ca="1">('[1]Pc, Summer, S2'!Y3*Main!$B$5)+(_xlfn.IFNA(VLOOKUP($A3,'FL Ratio'!$A$3:$B$10,2,FALSE),0)*'FL Characterization'!Y$2)</f>
        <v>41.294841233399957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49.040654008500475</v>
      </c>
      <c r="C4" s="2">
        <f ca="1">('[1]Pc, Summer, S2'!C4*Main!$B$5)+(_xlfn.IFNA(VLOOKUP($A4,'FL Ratio'!$A$3:$B$10,2,FALSE),0)*'FL Characterization'!C$2)</f>
        <v>43.170599282539307</v>
      </c>
      <c r="D4" s="2">
        <f ca="1">('[1]Pc, Summer, S2'!D4*Main!$B$5)+(_xlfn.IFNA(VLOOKUP($A4,'FL Ratio'!$A$3:$B$10,2,FALSE),0)*'FL Characterization'!D$2)</f>
        <v>40.822430530143542</v>
      </c>
      <c r="E4" s="2">
        <f ca="1">('[1]Pc, Summer, S2'!E4*Main!$B$5)+(_xlfn.IFNA(VLOOKUP($A4,'FL Ratio'!$A$3:$B$10,2,FALSE),0)*'FL Characterization'!E$2)</f>
        <v>39.527700060999805</v>
      </c>
      <c r="F4" s="2">
        <f ca="1">('[1]Pc, Summer, S2'!F4*Main!$B$5)+(_xlfn.IFNA(VLOOKUP($A4,'FL Ratio'!$A$3:$B$10,2,FALSE),0)*'FL Characterization'!F$2)</f>
        <v>41.903062065555744</v>
      </c>
      <c r="G4" s="2">
        <f ca="1">('[1]Pc, Summer, S2'!G4*Main!$B$5)+(_xlfn.IFNA(VLOOKUP($A4,'FL Ratio'!$A$3:$B$10,2,FALSE),0)*'FL Characterization'!G$2)</f>
        <v>38.380512205710083</v>
      </c>
      <c r="H4" s="2">
        <f ca="1">('[1]Pc, Summer, S2'!H4*Main!$B$5)+(_xlfn.IFNA(VLOOKUP($A4,'FL Ratio'!$A$3:$B$10,2,FALSE),0)*'FL Characterization'!H$2)</f>
        <v>45.013337912373338</v>
      </c>
      <c r="I4" s="2">
        <f ca="1">('[1]Pc, Summer, S2'!I4*Main!$B$5)+(_xlfn.IFNA(VLOOKUP($A4,'FL Ratio'!$A$3:$B$10,2,FALSE),0)*'FL Characterization'!I$2)</f>
        <v>52.246210850033187</v>
      </c>
      <c r="J4" s="2">
        <f ca="1">('[1]Pc, Summer, S2'!J4*Main!$B$5)+(_xlfn.IFNA(VLOOKUP($A4,'FL Ratio'!$A$3:$B$10,2,FALSE),0)*'FL Characterization'!J$2)</f>
        <v>58.858883342259666</v>
      </c>
      <c r="K4" s="2">
        <f ca="1">('[1]Pc, Summer, S2'!K4*Main!$B$5)+(_xlfn.IFNA(VLOOKUP($A4,'FL Ratio'!$A$3:$B$10,2,FALSE),0)*'FL Characterization'!K$2)</f>
        <v>63.171249070128873</v>
      </c>
      <c r="L4" s="2">
        <f ca="1">('[1]Pc, Summer, S2'!L4*Main!$B$5)+(_xlfn.IFNA(VLOOKUP($A4,'FL Ratio'!$A$3:$B$10,2,FALSE),0)*'FL Characterization'!L$2)</f>
        <v>65.192865672551349</v>
      </c>
      <c r="M4" s="2">
        <f ca="1">('[1]Pc, Summer, S2'!M4*Main!$B$5)+(_xlfn.IFNA(VLOOKUP($A4,'FL Ratio'!$A$3:$B$10,2,FALSE),0)*'FL Characterization'!M$2)</f>
        <v>66.224638396912852</v>
      </c>
      <c r="N4" s="2">
        <f ca="1">('[1]Pc, Summer, S2'!N4*Main!$B$5)+(_xlfn.IFNA(VLOOKUP($A4,'FL Ratio'!$A$3:$B$10,2,FALSE),0)*'FL Characterization'!N$2)</f>
        <v>67.524970006393076</v>
      </c>
      <c r="O4" s="2">
        <f ca="1">('[1]Pc, Summer, S2'!O4*Main!$B$5)+(_xlfn.IFNA(VLOOKUP($A4,'FL Ratio'!$A$3:$B$10,2,FALSE),0)*'FL Characterization'!O$2)</f>
        <v>68.078024265901064</v>
      </c>
      <c r="P4" s="2">
        <f ca="1">('[1]Pc, Summer, S2'!P4*Main!$B$5)+(_xlfn.IFNA(VLOOKUP($A4,'FL Ratio'!$A$3:$B$10,2,FALSE),0)*'FL Characterization'!P$2)</f>
        <v>68.315653256499999</v>
      </c>
      <c r="Q4" s="2">
        <f ca="1">('[1]Pc, Summer, S2'!Q4*Main!$B$5)+(_xlfn.IFNA(VLOOKUP($A4,'FL Ratio'!$A$3:$B$10,2,FALSE),0)*'FL Characterization'!Q$2)</f>
        <v>65.740207525179642</v>
      </c>
      <c r="R4" s="2">
        <f ca="1">('[1]Pc, Summer, S2'!R4*Main!$B$5)+(_xlfn.IFNA(VLOOKUP($A4,'FL Ratio'!$A$3:$B$10,2,FALSE),0)*'FL Characterization'!R$2)</f>
        <v>65.773111839484997</v>
      </c>
      <c r="S4" s="2">
        <f ca="1">('[1]Pc, Summer, S2'!S4*Main!$B$5)+(_xlfn.IFNA(VLOOKUP($A4,'FL Ratio'!$A$3:$B$10,2,FALSE),0)*'FL Characterization'!S$2)</f>
        <v>63.208794796904698</v>
      </c>
      <c r="T4" s="2">
        <f ca="1">('[1]Pc, Summer, S2'!T4*Main!$B$5)+(_xlfn.IFNA(VLOOKUP($A4,'FL Ratio'!$A$3:$B$10,2,FALSE),0)*'FL Characterization'!T$2)</f>
        <v>63.54137200924837</v>
      </c>
      <c r="U4" s="2">
        <f ca="1">('[1]Pc, Summer, S2'!U4*Main!$B$5)+(_xlfn.IFNA(VLOOKUP($A4,'FL Ratio'!$A$3:$B$10,2,FALSE),0)*'FL Characterization'!U$2)</f>
        <v>64.063791293088798</v>
      </c>
      <c r="V4" s="2">
        <f ca="1">('[1]Pc, Summer, S2'!V4*Main!$B$5)+(_xlfn.IFNA(VLOOKUP($A4,'FL Ratio'!$A$3:$B$10,2,FALSE),0)*'FL Characterization'!V$2)</f>
        <v>63.537173600184516</v>
      </c>
      <c r="W4" s="2">
        <f ca="1">('[1]Pc, Summer, S2'!W4*Main!$B$5)+(_xlfn.IFNA(VLOOKUP($A4,'FL Ratio'!$A$3:$B$10,2,FALSE),0)*'FL Characterization'!W$2)</f>
        <v>65.814856271355254</v>
      </c>
      <c r="X4" s="2">
        <f ca="1">('[1]Pc, Summer, S2'!X4*Main!$B$5)+(_xlfn.IFNA(VLOOKUP($A4,'FL Ratio'!$A$3:$B$10,2,FALSE),0)*'FL Characterization'!X$2)</f>
        <v>64.30203928040055</v>
      </c>
      <c r="Y4" s="2">
        <f ca="1">('[1]Pc, Summer, S2'!Y4*Main!$B$5)+(_xlfn.IFNA(VLOOKUP($A4,'FL Ratio'!$A$3:$B$10,2,FALSE),0)*'FL Characterization'!Y$2)</f>
        <v>57.468816158524604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35.871047613745944</v>
      </c>
      <c r="C2" s="2">
        <f ca="1">('[1]Pc, Summer, S2'!C2*Main!$B$5)+(_xlfn.IFNA(VLOOKUP($A2,'FL Ratio'!$A$3:$B$10,2,FALSE),0)*'FL Characterization'!C$2)</f>
        <v>32.590452012512166</v>
      </c>
      <c r="D2" s="2">
        <f ca="1">('[1]Pc, Summer, S2'!D2*Main!$B$5)+(_xlfn.IFNA(VLOOKUP($A2,'FL Ratio'!$A$3:$B$10,2,FALSE),0)*'FL Characterization'!D$2)</f>
        <v>32.021181518305106</v>
      </c>
      <c r="E2" s="2">
        <f ca="1">('[1]Pc, Summer, S2'!E2*Main!$B$5)+(_xlfn.IFNA(VLOOKUP($A2,'FL Ratio'!$A$3:$B$10,2,FALSE),0)*'FL Characterization'!E$2)</f>
        <v>31.93938135920903</v>
      </c>
      <c r="F2" s="2">
        <f ca="1">('[1]Pc, Summer, S2'!F2*Main!$B$5)+(_xlfn.IFNA(VLOOKUP($A2,'FL Ratio'!$A$3:$B$10,2,FALSE),0)*'FL Characterization'!F$2)</f>
        <v>31.941899463560585</v>
      </c>
      <c r="G2" s="2">
        <f ca="1">('[1]Pc, Summer, S2'!G2*Main!$B$5)+(_xlfn.IFNA(VLOOKUP($A2,'FL Ratio'!$A$3:$B$10,2,FALSE),0)*'FL Characterization'!G$2)</f>
        <v>31.659414637925611</v>
      </c>
      <c r="H2" s="2">
        <f ca="1">('[1]Pc, Summer, S2'!H2*Main!$B$5)+(_xlfn.IFNA(VLOOKUP($A2,'FL Ratio'!$A$3:$B$10,2,FALSE),0)*'FL Characterization'!H$2)</f>
        <v>34.179164238719423</v>
      </c>
      <c r="I2" s="2">
        <f ca="1">('[1]Pc, Summer, S2'!I2*Main!$B$5)+(_xlfn.IFNA(VLOOKUP($A2,'FL Ratio'!$A$3:$B$10,2,FALSE),0)*'FL Characterization'!I$2)</f>
        <v>40.579018191977532</v>
      </c>
      <c r="J2" s="2">
        <f ca="1">('[1]Pc, Summer, S2'!J2*Main!$B$5)+(_xlfn.IFNA(VLOOKUP($A2,'FL Ratio'!$A$3:$B$10,2,FALSE),0)*'FL Characterization'!J$2)</f>
        <v>46.248542224942838</v>
      </c>
      <c r="K2" s="2">
        <f ca="1">('[1]Pc, Summer, S2'!K2*Main!$B$5)+(_xlfn.IFNA(VLOOKUP($A2,'FL Ratio'!$A$3:$B$10,2,FALSE),0)*'FL Characterization'!K$2)</f>
        <v>47.669669708497082</v>
      </c>
      <c r="L2" s="2">
        <f ca="1">('[1]Pc, Summer, S2'!L2*Main!$B$5)+(_xlfn.IFNA(VLOOKUP($A2,'FL Ratio'!$A$3:$B$10,2,FALSE),0)*'FL Characterization'!L$2)</f>
        <v>47.187265368382178</v>
      </c>
      <c r="M2" s="2">
        <f ca="1">('[1]Pc, Summer, S2'!M2*Main!$B$5)+(_xlfn.IFNA(VLOOKUP($A2,'FL Ratio'!$A$3:$B$10,2,FALSE),0)*'FL Characterization'!M$2)</f>
        <v>48.521655538955486</v>
      </c>
      <c r="N2" s="2">
        <f ca="1">('[1]Pc, Summer, S2'!N2*Main!$B$5)+(_xlfn.IFNA(VLOOKUP($A2,'FL Ratio'!$A$3:$B$10,2,FALSE),0)*'FL Characterization'!N$2)</f>
        <v>49.187270344680002</v>
      </c>
      <c r="O2" s="2">
        <f ca="1">('[1]Pc, Summer, S2'!O2*Main!$B$5)+(_xlfn.IFNA(VLOOKUP($A2,'FL Ratio'!$A$3:$B$10,2,FALSE),0)*'FL Characterization'!O$2)</f>
        <v>48.277397992333661</v>
      </c>
      <c r="P2" s="2">
        <f ca="1">('[1]Pc, Summer, S2'!P2*Main!$B$5)+(_xlfn.IFNA(VLOOKUP($A2,'FL Ratio'!$A$3:$B$10,2,FALSE),0)*'FL Characterization'!P$2)</f>
        <v>46.390948589314903</v>
      </c>
      <c r="Q2" s="2">
        <f ca="1">('[1]Pc, Summer, S2'!Q2*Main!$B$5)+(_xlfn.IFNA(VLOOKUP($A2,'FL Ratio'!$A$3:$B$10,2,FALSE),0)*'FL Characterization'!Q$2)</f>
        <v>44.523792942808761</v>
      </c>
      <c r="R2" s="2">
        <f ca="1">('[1]Pc, Summer, S2'!R2*Main!$B$5)+(_xlfn.IFNA(VLOOKUP($A2,'FL Ratio'!$A$3:$B$10,2,FALSE),0)*'FL Characterization'!R$2)</f>
        <v>45.300587210125599</v>
      </c>
      <c r="S2" s="2">
        <f ca="1">('[1]Pc, Summer, S2'!S2*Main!$B$5)+(_xlfn.IFNA(VLOOKUP($A2,'FL Ratio'!$A$3:$B$10,2,FALSE),0)*'FL Characterization'!S$2)</f>
        <v>45.748145695576362</v>
      </c>
      <c r="T2" s="2">
        <f ca="1">('[1]Pc, Summer, S2'!T2*Main!$B$5)+(_xlfn.IFNA(VLOOKUP($A2,'FL Ratio'!$A$3:$B$10,2,FALSE),0)*'FL Characterization'!T$2)</f>
        <v>45.942329579490931</v>
      </c>
      <c r="U2" s="2">
        <f ca="1">('[1]Pc, Summer, S2'!U2*Main!$B$5)+(_xlfn.IFNA(VLOOKUP($A2,'FL Ratio'!$A$3:$B$10,2,FALSE),0)*'FL Characterization'!U$2)</f>
        <v>45.181772812135435</v>
      </c>
      <c r="V2" s="2">
        <f ca="1">('[1]Pc, Summer, S2'!V2*Main!$B$5)+(_xlfn.IFNA(VLOOKUP($A2,'FL Ratio'!$A$3:$B$10,2,FALSE),0)*'FL Characterization'!V$2)</f>
        <v>45.317524136544463</v>
      </c>
      <c r="W2" s="2">
        <f ca="1">('[1]Pc, Summer, S2'!W2*Main!$B$5)+(_xlfn.IFNA(VLOOKUP($A2,'FL Ratio'!$A$3:$B$10,2,FALSE),0)*'FL Characterization'!W$2)</f>
        <v>47.194483985962897</v>
      </c>
      <c r="X2" s="2">
        <f ca="1">('[1]Pc, Summer, S2'!X2*Main!$B$5)+(_xlfn.IFNA(VLOOKUP($A2,'FL Ratio'!$A$3:$B$10,2,FALSE),0)*'FL Characterization'!X$2)</f>
        <v>43.990971363690008</v>
      </c>
      <c r="Y2" s="2">
        <f ca="1">('[1]Pc, Summer, S2'!Y2*Main!$B$5)+(_xlfn.IFNA(VLOOKUP($A2,'FL Ratio'!$A$3:$B$10,2,FALSE),0)*'FL Characterization'!Y$2)</f>
        <v>40.326278159796225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36.371038738022961</v>
      </c>
      <c r="C3" s="2">
        <f ca="1">('[1]Pc, Summer, S2'!C3*Main!$B$5)+(_xlfn.IFNA(VLOOKUP($A3,'FL Ratio'!$A$3:$B$10,2,FALSE),0)*'FL Characterization'!C$2)</f>
        <v>33.116923524362647</v>
      </c>
      <c r="D3" s="2">
        <f ca="1">('[1]Pc, Summer, S2'!D3*Main!$B$5)+(_xlfn.IFNA(VLOOKUP($A3,'FL Ratio'!$A$3:$B$10,2,FALSE),0)*'FL Characterization'!D$2)</f>
        <v>31.495962598013879</v>
      </c>
      <c r="E3" s="2">
        <f ca="1">('[1]Pc, Summer, S2'!E3*Main!$B$5)+(_xlfn.IFNA(VLOOKUP($A3,'FL Ratio'!$A$3:$B$10,2,FALSE),0)*'FL Characterization'!E$2)</f>
        <v>30.374701861935087</v>
      </c>
      <c r="F3" s="2">
        <f ca="1">('[1]Pc, Summer, S2'!F3*Main!$B$5)+(_xlfn.IFNA(VLOOKUP($A3,'FL Ratio'!$A$3:$B$10,2,FALSE),0)*'FL Characterization'!F$2)</f>
        <v>30.374701861935087</v>
      </c>
      <c r="G3" s="2">
        <f ca="1">('[1]Pc, Summer, S2'!G3*Main!$B$5)+(_xlfn.IFNA(VLOOKUP($A3,'FL Ratio'!$A$3:$B$10,2,FALSE),0)*'FL Characterization'!G$2)</f>
        <v>32.568481277988901</v>
      </c>
      <c r="H3" s="2">
        <f ca="1">('[1]Pc, Summer, S2'!H3*Main!$B$5)+(_xlfn.IFNA(VLOOKUP($A3,'FL Ratio'!$A$3:$B$10,2,FALSE),0)*'FL Characterization'!H$2)</f>
        <v>40.807342251029553</v>
      </c>
      <c r="I3" s="2">
        <f ca="1">('[1]Pc, Summer, S2'!I3*Main!$B$5)+(_xlfn.IFNA(VLOOKUP($A3,'FL Ratio'!$A$3:$B$10,2,FALSE),0)*'FL Characterization'!I$2)</f>
        <v>50.216200773524534</v>
      </c>
      <c r="J3" s="2">
        <f ca="1">('[1]Pc, Summer, S2'!J3*Main!$B$5)+(_xlfn.IFNA(VLOOKUP($A3,'FL Ratio'!$A$3:$B$10,2,FALSE),0)*'FL Characterization'!J$2)</f>
        <v>52.409982817804661</v>
      </c>
      <c r="K3" s="2">
        <f ca="1">('[1]Pc, Summer, S2'!K3*Main!$B$5)+(_xlfn.IFNA(VLOOKUP($A3,'FL Ratio'!$A$3:$B$10,2,FALSE),0)*'FL Characterization'!K$2)</f>
        <v>51.31309048841365</v>
      </c>
      <c r="L3" s="2">
        <f ca="1">('[1]Pc, Summer, S2'!L3*Main!$B$5)+(_xlfn.IFNA(VLOOKUP($A3,'FL Ratio'!$A$3:$B$10,2,FALSE),0)*'FL Characterization'!L$2)</f>
        <v>51.288719467223977</v>
      </c>
      <c r="M3" s="2">
        <f ca="1">('[1]Pc, Summer, S2'!M3*Main!$B$5)+(_xlfn.IFNA(VLOOKUP($A3,'FL Ratio'!$A$3:$B$10,2,FALSE),0)*'FL Characterization'!M$2)</f>
        <v>54.652522605199998</v>
      </c>
      <c r="N3" s="2">
        <f ca="1">('[1]Pc, Summer, S2'!N3*Main!$B$5)+(_xlfn.IFNA(VLOOKUP($A3,'FL Ratio'!$A$3:$B$10,2,FALSE),0)*'FL Characterization'!N$2)</f>
        <v>54.652522605199998</v>
      </c>
      <c r="O3" s="2">
        <f ca="1">('[1]Pc, Summer, S2'!O3*Main!$B$5)+(_xlfn.IFNA(VLOOKUP($A3,'FL Ratio'!$A$3:$B$10,2,FALSE),0)*'FL Characterization'!O$2)</f>
        <v>54.652522605199998</v>
      </c>
      <c r="P3" s="2">
        <f ca="1">('[1]Pc, Summer, S2'!P3*Main!$B$5)+(_xlfn.IFNA(VLOOKUP($A3,'FL Ratio'!$A$3:$B$10,2,FALSE),0)*'FL Characterization'!P$2)</f>
        <v>51.910293088973404</v>
      </c>
      <c r="Q3" s="2">
        <f ca="1">('[1]Pc, Summer, S2'!Q3*Main!$B$5)+(_xlfn.IFNA(VLOOKUP($A3,'FL Ratio'!$A$3:$B$10,2,FALSE),0)*'FL Characterization'!Q$2)</f>
        <v>49.143687319122222</v>
      </c>
      <c r="R3" s="2">
        <f ca="1">('[1]Pc, Summer, S2'!R3*Main!$B$5)+(_xlfn.IFNA(VLOOKUP($A3,'FL Ratio'!$A$3:$B$10,2,FALSE),0)*'FL Characterization'!R$2)</f>
        <v>45.779889413581117</v>
      </c>
      <c r="S3" s="2">
        <f ca="1">('[1]Pc, Summer, S2'!S3*Main!$B$5)+(_xlfn.IFNA(VLOOKUP($A3,'FL Ratio'!$A$3:$B$10,2,FALSE),0)*'FL Characterization'!S$2)</f>
        <v>45.779889413581117</v>
      </c>
      <c r="T3" s="2">
        <f ca="1">('[1]Pc, Summer, S2'!T3*Main!$B$5)+(_xlfn.IFNA(VLOOKUP($A3,'FL Ratio'!$A$3:$B$10,2,FALSE),0)*'FL Characterization'!T$2)</f>
        <v>45.779889413581117</v>
      </c>
      <c r="U3" s="2">
        <f ca="1">('[1]Pc, Summer, S2'!U3*Main!$B$5)+(_xlfn.IFNA(VLOOKUP($A3,'FL Ratio'!$A$3:$B$10,2,FALSE),0)*'FL Characterization'!U$2)</f>
        <v>45.779889413581117</v>
      </c>
      <c r="V3" s="2">
        <f ca="1">('[1]Pc, Summer, S2'!V3*Main!$B$5)+(_xlfn.IFNA(VLOOKUP($A3,'FL Ratio'!$A$3:$B$10,2,FALSE),0)*'FL Characterization'!V$2)</f>
        <v>45.779889413581117</v>
      </c>
      <c r="W3" s="2">
        <f ca="1">('[1]Pc, Summer, S2'!W3*Main!$B$5)+(_xlfn.IFNA(VLOOKUP($A3,'FL Ratio'!$A$3:$B$10,2,FALSE),0)*'FL Characterization'!W$2)</f>
        <v>45.779889413581117</v>
      </c>
      <c r="X3" s="2">
        <f ca="1">('[1]Pc, Summer, S2'!X3*Main!$B$5)+(_xlfn.IFNA(VLOOKUP($A3,'FL Ratio'!$A$3:$B$10,2,FALSE),0)*'FL Characterization'!X$2)</f>
        <v>44.134562695046483</v>
      </c>
      <c r="Y3" s="2">
        <f ca="1">('[1]Pc, Summer, S2'!Y3*Main!$B$5)+(_xlfn.IFNA(VLOOKUP($A3,'FL Ratio'!$A$3:$B$10,2,FALSE),0)*'FL Characterization'!Y$2)</f>
        <v>41.294841233399957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49.040654008500475</v>
      </c>
      <c r="C4" s="2">
        <f ca="1">('[1]Pc, Summer, S2'!C4*Main!$B$5)+(_xlfn.IFNA(VLOOKUP($A4,'FL Ratio'!$A$3:$B$10,2,FALSE),0)*'FL Characterization'!C$2)</f>
        <v>43.170599282539307</v>
      </c>
      <c r="D4" s="2">
        <f ca="1">('[1]Pc, Summer, S2'!D4*Main!$B$5)+(_xlfn.IFNA(VLOOKUP($A4,'FL Ratio'!$A$3:$B$10,2,FALSE),0)*'FL Characterization'!D$2)</f>
        <v>40.822430530143542</v>
      </c>
      <c r="E4" s="2">
        <f ca="1">('[1]Pc, Summer, S2'!E4*Main!$B$5)+(_xlfn.IFNA(VLOOKUP($A4,'FL Ratio'!$A$3:$B$10,2,FALSE),0)*'FL Characterization'!E$2)</f>
        <v>39.527700060999805</v>
      </c>
      <c r="F4" s="2">
        <f ca="1">('[1]Pc, Summer, S2'!F4*Main!$B$5)+(_xlfn.IFNA(VLOOKUP($A4,'FL Ratio'!$A$3:$B$10,2,FALSE),0)*'FL Characterization'!F$2)</f>
        <v>41.903062065555744</v>
      </c>
      <c r="G4" s="2">
        <f ca="1">('[1]Pc, Summer, S2'!G4*Main!$B$5)+(_xlfn.IFNA(VLOOKUP($A4,'FL Ratio'!$A$3:$B$10,2,FALSE),0)*'FL Characterization'!G$2)</f>
        <v>38.380512205710083</v>
      </c>
      <c r="H4" s="2">
        <f ca="1">('[1]Pc, Summer, S2'!H4*Main!$B$5)+(_xlfn.IFNA(VLOOKUP($A4,'FL Ratio'!$A$3:$B$10,2,FALSE),0)*'FL Characterization'!H$2)</f>
        <v>45.013337912373338</v>
      </c>
      <c r="I4" s="2">
        <f ca="1">('[1]Pc, Summer, S2'!I4*Main!$B$5)+(_xlfn.IFNA(VLOOKUP($A4,'FL Ratio'!$A$3:$B$10,2,FALSE),0)*'FL Characterization'!I$2)</f>
        <v>52.246210850033187</v>
      </c>
      <c r="J4" s="2">
        <f ca="1">('[1]Pc, Summer, S2'!J4*Main!$B$5)+(_xlfn.IFNA(VLOOKUP($A4,'FL Ratio'!$A$3:$B$10,2,FALSE),0)*'FL Characterization'!J$2)</f>
        <v>58.858883342259666</v>
      </c>
      <c r="K4" s="2">
        <f ca="1">('[1]Pc, Summer, S2'!K4*Main!$B$5)+(_xlfn.IFNA(VLOOKUP($A4,'FL Ratio'!$A$3:$B$10,2,FALSE),0)*'FL Characterization'!K$2)</f>
        <v>63.171249070128873</v>
      </c>
      <c r="L4" s="2">
        <f ca="1">('[1]Pc, Summer, S2'!L4*Main!$B$5)+(_xlfn.IFNA(VLOOKUP($A4,'FL Ratio'!$A$3:$B$10,2,FALSE),0)*'FL Characterization'!L$2)</f>
        <v>65.192865672551349</v>
      </c>
      <c r="M4" s="2">
        <f ca="1">('[1]Pc, Summer, S2'!M4*Main!$B$5)+(_xlfn.IFNA(VLOOKUP($A4,'FL Ratio'!$A$3:$B$10,2,FALSE),0)*'FL Characterization'!M$2)</f>
        <v>66.224638396912852</v>
      </c>
      <c r="N4" s="2">
        <f ca="1">('[1]Pc, Summer, S2'!N4*Main!$B$5)+(_xlfn.IFNA(VLOOKUP($A4,'FL Ratio'!$A$3:$B$10,2,FALSE),0)*'FL Characterization'!N$2)</f>
        <v>67.524970006393076</v>
      </c>
      <c r="O4" s="2">
        <f ca="1">('[1]Pc, Summer, S2'!O4*Main!$B$5)+(_xlfn.IFNA(VLOOKUP($A4,'FL Ratio'!$A$3:$B$10,2,FALSE),0)*'FL Characterization'!O$2)</f>
        <v>68.078024265901064</v>
      </c>
      <c r="P4" s="2">
        <f ca="1">('[1]Pc, Summer, S2'!P4*Main!$B$5)+(_xlfn.IFNA(VLOOKUP($A4,'FL Ratio'!$A$3:$B$10,2,FALSE),0)*'FL Characterization'!P$2)</f>
        <v>68.315653256499999</v>
      </c>
      <c r="Q4" s="2">
        <f ca="1">('[1]Pc, Summer, S2'!Q4*Main!$B$5)+(_xlfn.IFNA(VLOOKUP($A4,'FL Ratio'!$A$3:$B$10,2,FALSE),0)*'FL Characterization'!Q$2)</f>
        <v>65.740207525179642</v>
      </c>
      <c r="R4" s="2">
        <f ca="1">('[1]Pc, Summer, S2'!R4*Main!$B$5)+(_xlfn.IFNA(VLOOKUP($A4,'FL Ratio'!$A$3:$B$10,2,FALSE),0)*'FL Characterization'!R$2)</f>
        <v>65.773111839484997</v>
      </c>
      <c r="S4" s="2">
        <f ca="1">('[1]Pc, Summer, S2'!S4*Main!$B$5)+(_xlfn.IFNA(VLOOKUP($A4,'FL Ratio'!$A$3:$B$10,2,FALSE),0)*'FL Characterization'!S$2)</f>
        <v>63.208794796904698</v>
      </c>
      <c r="T4" s="2">
        <f ca="1">('[1]Pc, Summer, S2'!T4*Main!$B$5)+(_xlfn.IFNA(VLOOKUP($A4,'FL Ratio'!$A$3:$B$10,2,FALSE),0)*'FL Characterization'!T$2)</f>
        <v>63.54137200924837</v>
      </c>
      <c r="U4" s="2">
        <f ca="1">('[1]Pc, Summer, S2'!U4*Main!$B$5)+(_xlfn.IFNA(VLOOKUP($A4,'FL Ratio'!$A$3:$B$10,2,FALSE),0)*'FL Characterization'!U$2)</f>
        <v>64.063791293088798</v>
      </c>
      <c r="V4" s="2">
        <f ca="1">('[1]Pc, Summer, S2'!V4*Main!$B$5)+(_xlfn.IFNA(VLOOKUP($A4,'FL Ratio'!$A$3:$B$10,2,FALSE),0)*'FL Characterization'!V$2)</f>
        <v>63.537173600184516</v>
      </c>
      <c r="W4" s="2">
        <f ca="1">('[1]Pc, Summer, S2'!W4*Main!$B$5)+(_xlfn.IFNA(VLOOKUP($A4,'FL Ratio'!$A$3:$B$10,2,FALSE),0)*'FL Characterization'!W$2)</f>
        <v>65.814856271355254</v>
      </c>
      <c r="X4" s="2">
        <f ca="1">('[1]Pc, Summer, S2'!X4*Main!$B$5)+(_xlfn.IFNA(VLOOKUP($A4,'FL Ratio'!$A$3:$B$10,2,FALSE),0)*'FL Characterization'!X$2)</f>
        <v>64.30203928040055</v>
      </c>
      <c r="Y4" s="2">
        <f ca="1">('[1]Pc, Summer, S2'!Y4*Main!$B$5)+(_xlfn.IFNA(VLOOKUP($A4,'FL Ratio'!$A$3:$B$10,2,FALSE),0)*'FL Characterization'!Y$2)</f>
        <v>57.468816158524604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32.766822339479468</v>
      </c>
      <c r="C2" s="2">
        <f ca="1">('[1]Pc, Summer, S3'!C2*Main!$B$5)+(_xlfn.IFNA(VLOOKUP($A2,'FL Ratio'!$A$3:$B$10,2,FALSE),0)*'FL Characterization'!C$2)</f>
        <v>29.770124434506304</v>
      </c>
      <c r="D2" s="2">
        <f ca="1">('[1]Pc, Summer, S3'!D2*Main!$B$5)+(_xlfn.IFNA(VLOOKUP($A2,'FL Ratio'!$A$3:$B$10,2,FALSE),0)*'FL Characterization'!D$2)</f>
        <v>29.25011773306716</v>
      </c>
      <c r="E2" s="2">
        <f ca="1">('[1]Pc, Summer, S3'!E2*Main!$B$5)+(_xlfn.IFNA(VLOOKUP($A2,'FL Ratio'!$A$3:$B$10,2,FALSE),0)*'FL Characterization'!E$2)</f>
        <v>29.175396433892864</v>
      </c>
      <c r="F2" s="2">
        <f ca="1">('[1]Pc, Summer, S3'!F2*Main!$B$5)+(_xlfn.IFNA(VLOOKUP($A2,'FL Ratio'!$A$3:$B$10,2,FALSE),0)*'FL Characterization'!F$2)</f>
        <v>29.17769662536784</v>
      </c>
      <c r="G2" s="2">
        <f ca="1">('[1]Pc, Summer, S3'!G2*Main!$B$5)+(_xlfn.IFNA(VLOOKUP($A2,'FL Ratio'!$A$3:$B$10,2,FALSE),0)*'FL Characterization'!G$2)</f>
        <v>28.919657601951275</v>
      </c>
      <c r="H2" s="2">
        <f ca="1">('[1]Pc, Summer, S3'!H2*Main!$B$5)+(_xlfn.IFNA(VLOOKUP($A2,'FL Ratio'!$A$3:$B$10,2,FALSE),0)*'FL Characterization'!H$2)</f>
        <v>31.221351948830243</v>
      </c>
      <c r="I2" s="2">
        <f ca="1">('[1]Pc, Summer, S3'!I2*Main!$B$5)+(_xlfn.IFNA(VLOOKUP($A2,'FL Ratio'!$A$3:$B$10,2,FALSE),0)*'FL Characterization'!I$2)</f>
        <v>37.067372386902555</v>
      </c>
      <c r="J2" s="2">
        <f ca="1">('[1]Pc, Summer, S3'!J2*Main!$B$5)+(_xlfn.IFNA(VLOOKUP($A2,'FL Ratio'!$A$3:$B$10,2,FALSE),0)*'FL Characterization'!J$2)</f>
        <v>42.246264532399699</v>
      </c>
      <c r="K2" s="2">
        <f ca="1">('[1]Pc, Summer, S3'!K2*Main!$B$5)+(_xlfn.IFNA(VLOOKUP($A2,'FL Ratio'!$A$3:$B$10,2,FALSE),0)*'FL Characterization'!K$2)</f>
        <v>43.544409829877139</v>
      </c>
      <c r="L2" s="2">
        <f ca="1">('[1]Pc, Summer, S3'!L2*Main!$B$5)+(_xlfn.IFNA(VLOOKUP($A2,'FL Ratio'!$A$3:$B$10,2,FALSE),0)*'FL Characterization'!L$2)</f>
        <v>43.103752019195262</v>
      </c>
      <c r="M2" s="2">
        <f ca="1">('[1]Pc, Summer, S3'!M2*Main!$B$5)+(_xlfn.IFNA(VLOOKUP($A2,'FL Ratio'!$A$3:$B$10,2,FALSE),0)*'FL Characterization'!M$2)</f>
        <v>44.322666117315116</v>
      </c>
      <c r="N2" s="2">
        <f ca="1">('[1]Pc, Summer, S3'!N2*Main!$B$5)+(_xlfn.IFNA(VLOOKUP($A2,'FL Ratio'!$A$3:$B$10,2,FALSE),0)*'FL Characterization'!N$2)</f>
        <v>44.930679641774994</v>
      </c>
      <c r="O2" s="2">
        <f ca="1">('[1]Pc, Summer, S3'!O2*Main!$B$5)+(_xlfn.IFNA(VLOOKUP($A2,'FL Ratio'!$A$3:$B$10,2,FALSE),0)*'FL Characterization'!O$2)</f>
        <v>44.099546242997093</v>
      </c>
      <c r="P2" s="2">
        <f ca="1">('[1]Pc, Summer, S3'!P2*Main!$B$5)+(_xlfn.IFNA(VLOOKUP($A2,'FL Ratio'!$A$3:$B$10,2,FALSE),0)*'FL Characterization'!P$2)</f>
        <v>42.376347269085727</v>
      </c>
      <c r="Q2" s="2">
        <f ca="1">('[1]Pc, Summer, S3'!Q2*Main!$B$5)+(_xlfn.IFNA(VLOOKUP($A2,'FL Ratio'!$A$3:$B$10,2,FALSE),0)*'FL Characterization'!Q$2)</f>
        <v>40.670772399681077</v>
      </c>
      <c r="R2" s="2">
        <f ca="1">('[1]Pc, Summer, S3'!R2*Main!$B$5)+(_xlfn.IFNA(VLOOKUP($A2,'FL Ratio'!$A$3:$B$10,2,FALSE),0)*'FL Characterization'!R$2)</f>
        <v>41.380344086172414</v>
      </c>
      <c r="S2" s="2">
        <f ca="1">('[1]Pc, Summer, S3'!S2*Main!$B$5)+(_xlfn.IFNA(VLOOKUP($A2,'FL Ratio'!$A$3:$B$10,2,FALSE),0)*'FL Characterization'!S$2)</f>
        <v>41.78917154884379</v>
      </c>
      <c r="T2" s="2">
        <f ca="1">('[1]Pc, Summer, S3'!T2*Main!$B$5)+(_xlfn.IFNA(VLOOKUP($A2,'FL Ratio'!$A$3:$B$10,2,FALSE),0)*'FL Characterization'!T$2)</f>
        <v>41.96655105818882</v>
      </c>
      <c r="U2" s="2">
        <f ca="1">('[1]Pc, Summer, S3'!U2*Main!$B$5)+(_xlfn.IFNA(VLOOKUP($A2,'FL Ratio'!$A$3:$B$10,2,FALSE),0)*'FL Characterization'!U$2)</f>
        <v>41.271811703392949</v>
      </c>
      <c r="V2" s="2">
        <f ca="1">('[1]Pc, Summer, S3'!V2*Main!$B$5)+(_xlfn.IFNA(VLOOKUP($A2,'FL Ratio'!$A$3:$B$10,2,FALSE),0)*'FL Characterization'!V$2)</f>
        <v>41.395815317035805</v>
      </c>
      <c r="W2" s="2">
        <f ca="1">('[1]Pc, Summer, S3'!W2*Main!$B$5)+(_xlfn.IFNA(VLOOKUP($A2,'FL Ratio'!$A$3:$B$10,2,FALSE),0)*'FL Characterization'!W$2)</f>
        <v>43.110345948716102</v>
      </c>
      <c r="X2" s="2">
        <f ca="1">('[1]Pc, Summer, S3'!X2*Main!$B$5)+(_xlfn.IFNA(VLOOKUP($A2,'FL Ratio'!$A$3:$B$10,2,FALSE),0)*'FL Characterization'!X$2)</f>
        <v>40.184060380293758</v>
      </c>
      <c r="Y2" s="2">
        <f ca="1">('[1]Pc, Summer, S3'!Y2*Main!$B$5)+(_xlfn.IFNA(VLOOKUP($A2,'FL Ratio'!$A$3:$B$10,2,FALSE),0)*'FL Characterization'!Y$2)</f>
        <v>36.836504088275397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33.223545001078669</v>
      </c>
      <c r="C3" s="2">
        <f ca="1">('[1]Pc, Summer, S3'!C3*Main!$B$5)+(_xlfn.IFNA(VLOOKUP($A3,'FL Ratio'!$A$3:$B$10,2,FALSE),0)*'FL Characterization'!C$2)</f>
        <v>30.25103591167742</v>
      </c>
      <c r="D3" s="2">
        <f ca="1">('[1]Pc, Summer, S3'!D3*Main!$B$5)+(_xlfn.IFNA(VLOOKUP($A3,'FL Ratio'!$A$3:$B$10,2,FALSE),0)*'FL Characterization'!D$2)</f>
        <v>28.770350450108825</v>
      </c>
      <c r="E3" s="2">
        <f ca="1">('[1]Pc, Summer, S3'!E3*Main!$B$5)+(_xlfn.IFNA(VLOOKUP($A3,'FL Ratio'!$A$3:$B$10,2,FALSE),0)*'FL Characterization'!E$2)</f>
        <v>27.746121893113784</v>
      </c>
      <c r="F3" s="2">
        <f ca="1">('[1]Pc, Summer, S3'!F3*Main!$B$5)+(_xlfn.IFNA(VLOOKUP($A3,'FL Ratio'!$A$3:$B$10,2,FALSE),0)*'FL Characterization'!F$2)</f>
        <v>27.746121893113784</v>
      </c>
      <c r="G3" s="2">
        <f ca="1">('[1]Pc, Summer, S3'!G3*Main!$B$5)+(_xlfn.IFNA(VLOOKUP($A3,'FL Ratio'!$A$3:$B$10,2,FALSE),0)*'FL Characterization'!G$2)</f>
        <v>29.750055013547549</v>
      </c>
      <c r="H3" s="2">
        <f ca="1">('[1]Pc, Summer, S3'!H3*Main!$B$5)+(_xlfn.IFNA(VLOOKUP($A3,'FL Ratio'!$A$3:$B$10,2,FALSE),0)*'FL Characterization'!H$2)</f>
        <v>37.275937633151997</v>
      </c>
      <c r="I3" s="2">
        <f ca="1">('[1]Pc, Summer, S3'!I3*Main!$B$5)+(_xlfn.IFNA(VLOOKUP($A3,'FL Ratio'!$A$3:$B$10,2,FALSE),0)*'FL Characterization'!I$2)</f>
        <v>45.870568014277218</v>
      </c>
      <c r="J3" s="2">
        <f ca="1">('[1]Pc, Summer, S3'!J3*Main!$B$5)+(_xlfn.IFNA(VLOOKUP($A3,'FL Ratio'!$A$3:$B$10,2,FALSE),0)*'FL Characterization'!J$2)</f>
        <v>47.874503535494647</v>
      </c>
      <c r="K3" s="2">
        <f ca="1">('[1]Pc, Summer, S3'!K3*Main!$B$5)+(_xlfn.IFNA(VLOOKUP($A3,'FL Ratio'!$A$3:$B$10,2,FALSE),0)*'FL Characterization'!K$2)</f>
        <v>46.872534580762469</v>
      </c>
      <c r="L3" s="2">
        <f ca="1">('[1]Pc, Summer, S3'!L3*Main!$B$5)+(_xlfn.IFNA(VLOOKUP($A3,'FL Ratio'!$A$3:$B$10,2,FALSE),0)*'FL Characterization'!L$2)</f>
        <v>46.850272590252665</v>
      </c>
      <c r="M3" s="2">
        <f ca="1">('[1]Pc, Summer, S3'!M3*Main!$B$5)+(_xlfn.IFNA(VLOOKUP($A3,'FL Ratio'!$A$3:$B$10,2,FALSE),0)*'FL Characterization'!M$2)</f>
        <v>49.922977379749994</v>
      </c>
      <c r="N3" s="2">
        <f ca="1">('[1]Pc, Summer, S3'!N3*Main!$B$5)+(_xlfn.IFNA(VLOOKUP($A3,'FL Ratio'!$A$3:$B$10,2,FALSE),0)*'FL Characterization'!N$2)</f>
        <v>49.922977379749994</v>
      </c>
      <c r="O3" s="2">
        <f ca="1">('[1]Pc, Summer, S3'!O3*Main!$B$5)+(_xlfn.IFNA(VLOOKUP($A3,'FL Ratio'!$A$3:$B$10,2,FALSE),0)*'FL Characterization'!O$2)</f>
        <v>49.922977379749994</v>
      </c>
      <c r="P3" s="2">
        <f ca="1">('[1]Pc, Summer, S3'!P3*Main!$B$5)+(_xlfn.IFNA(VLOOKUP($A3,'FL Ratio'!$A$3:$B$10,2,FALSE),0)*'FL Characterization'!P$2)</f>
        <v>47.418056187043007</v>
      </c>
      <c r="Q3" s="2">
        <f ca="1">('[1]Pc, Summer, S3'!Q3*Main!$B$5)+(_xlfn.IFNA(VLOOKUP($A3,'FL Ratio'!$A$3:$B$10,2,FALSE),0)*'FL Characterization'!Q$2)</f>
        <v>44.890868224198179</v>
      </c>
      <c r="R3" s="2">
        <f ca="1">('[1]Pc, Summer, S3'!R3*Main!$B$5)+(_xlfn.IFNA(VLOOKUP($A3,'FL Ratio'!$A$3:$B$10,2,FALSE),0)*'FL Characterization'!R$2)</f>
        <v>41.818168214328907</v>
      </c>
      <c r="S3" s="2">
        <f ca="1">('[1]Pc, Summer, S3'!S3*Main!$B$5)+(_xlfn.IFNA(VLOOKUP($A3,'FL Ratio'!$A$3:$B$10,2,FALSE),0)*'FL Characterization'!S$2)</f>
        <v>41.818168214328907</v>
      </c>
      <c r="T3" s="2">
        <f ca="1">('[1]Pc, Summer, S3'!T3*Main!$B$5)+(_xlfn.IFNA(VLOOKUP($A3,'FL Ratio'!$A$3:$B$10,2,FALSE),0)*'FL Characterization'!T$2)</f>
        <v>41.818168214328907</v>
      </c>
      <c r="U3" s="2">
        <f ca="1">('[1]Pc, Summer, S3'!U3*Main!$B$5)+(_xlfn.IFNA(VLOOKUP($A3,'FL Ratio'!$A$3:$B$10,2,FALSE),0)*'FL Characterization'!U$2)</f>
        <v>41.818168214328907</v>
      </c>
      <c r="V3" s="2">
        <f ca="1">('[1]Pc, Summer, S3'!V3*Main!$B$5)+(_xlfn.IFNA(VLOOKUP($A3,'FL Ratio'!$A$3:$B$10,2,FALSE),0)*'FL Characterization'!V$2)</f>
        <v>41.818168214328907</v>
      </c>
      <c r="W3" s="2">
        <f ca="1">('[1]Pc, Summer, S3'!W3*Main!$B$5)+(_xlfn.IFNA(VLOOKUP($A3,'FL Ratio'!$A$3:$B$10,2,FALSE),0)*'FL Characterization'!W$2)</f>
        <v>41.818168214328907</v>
      </c>
      <c r="X3" s="2">
        <f ca="1">('[1]Pc, Summer, S3'!X3*Main!$B$5)+(_xlfn.IFNA(VLOOKUP($A3,'FL Ratio'!$A$3:$B$10,2,FALSE),0)*'FL Characterization'!X$2)</f>
        <v>40.315225538744379</v>
      </c>
      <c r="Y3" s="2">
        <f ca="1">('[1]Pc, Summer, S3'!Y3*Main!$B$5)+(_xlfn.IFNA(VLOOKUP($A3,'FL Ratio'!$A$3:$B$10,2,FALSE),0)*'FL Characterization'!Y$2)</f>
        <v>37.721249203586503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44.796751257764853</v>
      </c>
      <c r="C4" s="2">
        <f ca="1">('[1]Pc, Summer, S3'!C4*Main!$B$5)+(_xlfn.IFNA(VLOOKUP($A4,'FL Ratio'!$A$3:$B$10,2,FALSE),0)*'FL Characterization'!C$2)</f>
        <v>39.434682036934937</v>
      </c>
      <c r="D4" s="2">
        <f ca="1">('[1]Pc, Summer, S3'!D4*Main!$B$5)+(_xlfn.IFNA(VLOOKUP($A4,'FL Ratio'!$A$3:$B$10,2,FALSE),0)*'FL Characterization'!D$2)</f>
        <v>37.289720195804193</v>
      </c>
      <c r="E4" s="2">
        <f ca="1">('[1]Pc, Summer, S3'!E4*Main!$B$5)+(_xlfn.IFNA(VLOOKUP($A4,'FL Ratio'!$A$3:$B$10,2,FALSE),0)*'FL Characterization'!E$2)</f>
        <v>36.107033709567133</v>
      </c>
      <c r="F4" s="2">
        <f ca="1">('[1]Pc, Summer, S3'!F4*Main!$B$5)+(_xlfn.IFNA(VLOOKUP($A4,'FL Ratio'!$A$3:$B$10,2,FALSE),0)*'FL Characterization'!F$2)</f>
        <v>38.276835540651874</v>
      </c>
      <c r="G4" s="2">
        <f ca="1">('[1]Pc, Summer, S3'!G4*Main!$B$5)+(_xlfn.IFNA(VLOOKUP($A4,'FL Ratio'!$A$3:$B$10,2,FALSE),0)*'FL Characterization'!G$2)</f>
        <v>35.059121726369789</v>
      </c>
      <c r="H4" s="2">
        <f ca="1">('[1]Pc, Summer, S3'!H4*Main!$B$5)+(_xlfn.IFNA(VLOOKUP($A4,'FL Ratio'!$A$3:$B$10,2,FALSE),0)*'FL Characterization'!H$2)</f>
        <v>41.117952900725648</v>
      </c>
      <c r="I4" s="2">
        <f ca="1">('[1]Pc, Summer, S3'!I4*Main!$B$5)+(_xlfn.IFNA(VLOOKUP($A4,'FL Ratio'!$A$3:$B$10,2,FALSE),0)*'FL Characterization'!I$2)</f>
        <v>47.72490414185723</v>
      </c>
      <c r="J4" s="2">
        <f ca="1">('[1]Pc, Summer, S3'!J4*Main!$B$5)+(_xlfn.IFNA(VLOOKUP($A4,'FL Ratio'!$A$3:$B$10,2,FALSE),0)*'FL Characterization'!J$2)</f>
        <v>53.765326129948726</v>
      </c>
      <c r="K4" s="2">
        <f ca="1">('[1]Pc, Summer, S3'!K4*Main!$B$5)+(_xlfn.IFNA(VLOOKUP($A4,'FL Ratio'!$A$3:$B$10,2,FALSE),0)*'FL Characterization'!K$2)</f>
        <v>57.704506362136947</v>
      </c>
      <c r="L4" s="2">
        <f ca="1">('[1]Pc, Summer, S3'!L4*Main!$B$5)+(_xlfn.IFNA(VLOOKUP($A4,'FL Ratio'!$A$3:$B$10,2,FALSE),0)*'FL Characterization'!L$2)</f>
        <v>59.551175373965179</v>
      </c>
      <c r="M4" s="2">
        <f ca="1">('[1]Pc, Summer, S3'!M4*Main!$B$5)+(_xlfn.IFNA(VLOOKUP($A4,'FL Ratio'!$A$3:$B$10,2,FALSE),0)*'FL Characterization'!M$2)</f>
        <v>60.493660074103069</v>
      </c>
      <c r="N4" s="2">
        <f ca="1">('[1]Pc, Summer, S3'!N4*Main!$B$5)+(_xlfn.IFNA(VLOOKUP($A4,'FL Ratio'!$A$3:$B$10,2,FALSE),0)*'FL Characterization'!N$2)</f>
        <v>61.681462986609063</v>
      </c>
      <c r="O4" s="2">
        <f ca="1">('[1]Pc, Summer, S3'!O4*Main!$B$5)+(_xlfn.IFNA(VLOOKUP($A4,'FL Ratio'!$A$3:$B$10,2,FALSE),0)*'FL Characterization'!O$2)</f>
        <v>62.186656781351928</v>
      </c>
      <c r="P4" s="2">
        <f ca="1">('[1]Pc, Summer, S3'!P4*Main!$B$5)+(_xlfn.IFNA(VLOOKUP($A4,'FL Ratio'!$A$3:$B$10,2,FALSE),0)*'FL Characterization'!P$2)</f>
        <v>62.403721724687493</v>
      </c>
      <c r="Q4" s="2">
        <f ca="1">('[1]Pc, Summer, S3'!Q4*Main!$B$5)+(_xlfn.IFNA(VLOOKUP($A4,'FL Ratio'!$A$3:$B$10,2,FALSE),0)*'FL Characterization'!Q$2)</f>
        <v>60.051151104731396</v>
      </c>
      <c r="R4" s="2">
        <f ca="1">('[1]Pc, Summer, S3'!R4*Main!$B$5)+(_xlfn.IFNA(VLOOKUP($A4,'FL Ratio'!$A$3:$B$10,2,FALSE),0)*'FL Characterization'!R$2)</f>
        <v>60.081207930298788</v>
      </c>
      <c r="S4" s="2">
        <f ca="1">('[1]Pc, Summer, S3'!S4*Main!$B$5)+(_xlfn.IFNA(VLOOKUP($A4,'FL Ratio'!$A$3:$B$10,2,FALSE),0)*'FL Characterization'!S$2)</f>
        <v>57.738802939480252</v>
      </c>
      <c r="T4" s="2">
        <f ca="1">('[1]Pc, Summer, S3'!T4*Main!$B$5)+(_xlfn.IFNA(VLOOKUP($A4,'FL Ratio'!$A$3:$B$10,2,FALSE),0)*'FL Characterization'!T$2)</f>
        <v>58.042599431524948</v>
      </c>
      <c r="U4" s="2">
        <f ca="1">('[1]Pc, Summer, S3'!U4*Main!$B$5)+(_xlfn.IFNA(VLOOKUP($A4,'FL Ratio'!$A$3:$B$10,2,FALSE),0)*'FL Characterization'!U$2)</f>
        <v>58.519809354263792</v>
      </c>
      <c r="V4" s="2">
        <f ca="1">('[1]Pc, Summer, S3'!V4*Main!$B$5)+(_xlfn.IFNA(VLOOKUP($A4,'FL Ratio'!$A$3:$B$10,2,FALSE),0)*'FL Characterization'!V$2)</f>
        <v>58.038764346322388</v>
      </c>
      <c r="W4" s="2">
        <f ca="1">('[1]Pc, Summer, S3'!W4*Main!$B$5)+(_xlfn.IFNA(VLOOKUP($A4,'FL Ratio'!$A$3:$B$10,2,FALSE),0)*'FL Characterization'!W$2)</f>
        <v>60.11933986325721</v>
      </c>
      <c r="X4" s="2">
        <f ca="1">('[1]Pc, Summer, S3'!X4*Main!$B$5)+(_xlfn.IFNA(VLOOKUP($A4,'FL Ratio'!$A$3:$B$10,2,FALSE),0)*'FL Characterization'!X$2)</f>
        <v>58.737439727288958</v>
      </c>
      <c r="Y4" s="2">
        <f ca="1">('[1]Pc, Summer, S3'!Y4*Main!$B$5)+(_xlfn.IFNA(VLOOKUP($A4,'FL Ratio'!$A$3:$B$10,2,FALSE),0)*'FL Characterization'!Y$2)</f>
        <v>52.495553221729196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32.766822339479468</v>
      </c>
      <c r="C2" s="2">
        <f ca="1">('[1]Pc, Summer, S3'!C2*Main!$B$5)+(_xlfn.IFNA(VLOOKUP($A2,'FL Ratio'!$A$3:$B$10,2,FALSE),0)*'FL Characterization'!C$2)</f>
        <v>29.770124434506304</v>
      </c>
      <c r="D2" s="2">
        <f ca="1">('[1]Pc, Summer, S3'!D2*Main!$B$5)+(_xlfn.IFNA(VLOOKUP($A2,'FL Ratio'!$A$3:$B$10,2,FALSE),0)*'FL Characterization'!D$2)</f>
        <v>29.25011773306716</v>
      </c>
      <c r="E2" s="2">
        <f ca="1">('[1]Pc, Summer, S3'!E2*Main!$B$5)+(_xlfn.IFNA(VLOOKUP($A2,'FL Ratio'!$A$3:$B$10,2,FALSE),0)*'FL Characterization'!E$2)</f>
        <v>29.175396433892864</v>
      </c>
      <c r="F2" s="2">
        <f ca="1">('[1]Pc, Summer, S3'!F2*Main!$B$5)+(_xlfn.IFNA(VLOOKUP($A2,'FL Ratio'!$A$3:$B$10,2,FALSE),0)*'FL Characterization'!F$2)</f>
        <v>29.17769662536784</v>
      </c>
      <c r="G2" s="2">
        <f ca="1">('[1]Pc, Summer, S3'!G2*Main!$B$5)+(_xlfn.IFNA(VLOOKUP($A2,'FL Ratio'!$A$3:$B$10,2,FALSE),0)*'FL Characterization'!G$2)</f>
        <v>28.919657601951275</v>
      </c>
      <c r="H2" s="2">
        <f ca="1">('[1]Pc, Summer, S3'!H2*Main!$B$5)+(_xlfn.IFNA(VLOOKUP($A2,'FL Ratio'!$A$3:$B$10,2,FALSE),0)*'FL Characterization'!H$2)</f>
        <v>31.221351948830243</v>
      </c>
      <c r="I2" s="2">
        <f ca="1">('[1]Pc, Summer, S3'!I2*Main!$B$5)+(_xlfn.IFNA(VLOOKUP($A2,'FL Ratio'!$A$3:$B$10,2,FALSE),0)*'FL Characterization'!I$2)</f>
        <v>37.067372386902555</v>
      </c>
      <c r="J2" s="2">
        <f ca="1">('[1]Pc, Summer, S3'!J2*Main!$B$5)+(_xlfn.IFNA(VLOOKUP($A2,'FL Ratio'!$A$3:$B$10,2,FALSE),0)*'FL Characterization'!J$2)</f>
        <v>42.246264532399699</v>
      </c>
      <c r="K2" s="2">
        <f ca="1">('[1]Pc, Summer, S3'!K2*Main!$B$5)+(_xlfn.IFNA(VLOOKUP($A2,'FL Ratio'!$A$3:$B$10,2,FALSE),0)*'FL Characterization'!K$2)</f>
        <v>43.544409829877139</v>
      </c>
      <c r="L2" s="2">
        <f ca="1">('[1]Pc, Summer, S3'!L2*Main!$B$5)+(_xlfn.IFNA(VLOOKUP($A2,'FL Ratio'!$A$3:$B$10,2,FALSE),0)*'FL Characterization'!L$2)</f>
        <v>43.103752019195262</v>
      </c>
      <c r="M2" s="2">
        <f ca="1">('[1]Pc, Summer, S3'!M2*Main!$B$5)+(_xlfn.IFNA(VLOOKUP($A2,'FL Ratio'!$A$3:$B$10,2,FALSE),0)*'FL Characterization'!M$2)</f>
        <v>44.322666117315116</v>
      </c>
      <c r="N2" s="2">
        <f ca="1">('[1]Pc, Summer, S3'!N2*Main!$B$5)+(_xlfn.IFNA(VLOOKUP($A2,'FL Ratio'!$A$3:$B$10,2,FALSE),0)*'FL Characterization'!N$2)</f>
        <v>44.930679641774994</v>
      </c>
      <c r="O2" s="2">
        <f ca="1">('[1]Pc, Summer, S3'!O2*Main!$B$5)+(_xlfn.IFNA(VLOOKUP($A2,'FL Ratio'!$A$3:$B$10,2,FALSE),0)*'FL Characterization'!O$2)</f>
        <v>44.099546242997093</v>
      </c>
      <c r="P2" s="2">
        <f ca="1">('[1]Pc, Summer, S3'!P2*Main!$B$5)+(_xlfn.IFNA(VLOOKUP($A2,'FL Ratio'!$A$3:$B$10,2,FALSE),0)*'FL Characterization'!P$2)</f>
        <v>42.376347269085727</v>
      </c>
      <c r="Q2" s="2">
        <f ca="1">('[1]Pc, Summer, S3'!Q2*Main!$B$5)+(_xlfn.IFNA(VLOOKUP($A2,'FL Ratio'!$A$3:$B$10,2,FALSE),0)*'FL Characterization'!Q$2)</f>
        <v>40.670772399681077</v>
      </c>
      <c r="R2" s="2">
        <f ca="1">('[1]Pc, Summer, S3'!R2*Main!$B$5)+(_xlfn.IFNA(VLOOKUP($A2,'FL Ratio'!$A$3:$B$10,2,FALSE),0)*'FL Characterization'!R$2)</f>
        <v>41.380344086172414</v>
      </c>
      <c r="S2" s="2">
        <f ca="1">('[1]Pc, Summer, S3'!S2*Main!$B$5)+(_xlfn.IFNA(VLOOKUP($A2,'FL Ratio'!$A$3:$B$10,2,FALSE),0)*'FL Characterization'!S$2)</f>
        <v>41.78917154884379</v>
      </c>
      <c r="T2" s="2">
        <f ca="1">('[1]Pc, Summer, S3'!T2*Main!$B$5)+(_xlfn.IFNA(VLOOKUP($A2,'FL Ratio'!$A$3:$B$10,2,FALSE),0)*'FL Characterization'!T$2)</f>
        <v>41.96655105818882</v>
      </c>
      <c r="U2" s="2">
        <f ca="1">('[1]Pc, Summer, S3'!U2*Main!$B$5)+(_xlfn.IFNA(VLOOKUP($A2,'FL Ratio'!$A$3:$B$10,2,FALSE),0)*'FL Characterization'!U$2)</f>
        <v>41.271811703392949</v>
      </c>
      <c r="V2" s="2">
        <f ca="1">('[1]Pc, Summer, S3'!V2*Main!$B$5)+(_xlfn.IFNA(VLOOKUP($A2,'FL Ratio'!$A$3:$B$10,2,FALSE),0)*'FL Characterization'!V$2)</f>
        <v>41.395815317035805</v>
      </c>
      <c r="W2" s="2">
        <f ca="1">('[1]Pc, Summer, S3'!W2*Main!$B$5)+(_xlfn.IFNA(VLOOKUP($A2,'FL Ratio'!$A$3:$B$10,2,FALSE),0)*'FL Characterization'!W$2)</f>
        <v>43.110345948716102</v>
      </c>
      <c r="X2" s="2">
        <f ca="1">('[1]Pc, Summer, S3'!X2*Main!$B$5)+(_xlfn.IFNA(VLOOKUP($A2,'FL Ratio'!$A$3:$B$10,2,FALSE),0)*'FL Characterization'!X$2)</f>
        <v>40.184060380293758</v>
      </c>
      <c r="Y2" s="2">
        <f ca="1">('[1]Pc, Summer, S3'!Y2*Main!$B$5)+(_xlfn.IFNA(VLOOKUP($A2,'FL Ratio'!$A$3:$B$10,2,FALSE),0)*'FL Characterization'!Y$2)</f>
        <v>36.836504088275397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33.223545001078669</v>
      </c>
      <c r="C3" s="2">
        <f ca="1">('[1]Pc, Summer, S3'!C3*Main!$B$5)+(_xlfn.IFNA(VLOOKUP($A3,'FL Ratio'!$A$3:$B$10,2,FALSE),0)*'FL Characterization'!C$2)</f>
        <v>30.25103591167742</v>
      </c>
      <c r="D3" s="2">
        <f ca="1">('[1]Pc, Summer, S3'!D3*Main!$B$5)+(_xlfn.IFNA(VLOOKUP($A3,'FL Ratio'!$A$3:$B$10,2,FALSE),0)*'FL Characterization'!D$2)</f>
        <v>28.770350450108825</v>
      </c>
      <c r="E3" s="2">
        <f ca="1">('[1]Pc, Summer, S3'!E3*Main!$B$5)+(_xlfn.IFNA(VLOOKUP($A3,'FL Ratio'!$A$3:$B$10,2,FALSE),0)*'FL Characterization'!E$2)</f>
        <v>27.746121893113784</v>
      </c>
      <c r="F3" s="2">
        <f ca="1">('[1]Pc, Summer, S3'!F3*Main!$B$5)+(_xlfn.IFNA(VLOOKUP($A3,'FL Ratio'!$A$3:$B$10,2,FALSE),0)*'FL Characterization'!F$2)</f>
        <v>27.746121893113784</v>
      </c>
      <c r="G3" s="2">
        <f ca="1">('[1]Pc, Summer, S3'!G3*Main!$B$5)+(_xlfn.IFNA(VLOOKUP($A3,'FL Ratio'!$A$3:$B$10,2,FALSE),0)*'FL Characterization'!G$2)</f>
        <v>29.750055013547549</v>
      </c>
      <c r="H3" s="2">
        <f ca="1">('[1]Pc, Summer, S3'!H3*Main!$B$5)+(_xlfn.IFNA(VLOOKUP($A3,'FL Ratio'!$A$3:$B$10,2,FALSE),0)*'FL Characterization'!H$2)</f>
        <v>37.275937633151997</v>
      </c>
      <c r="I3" s="2">
        <f ca="1">('[1]Pc, Summer, S3'!I3*Main!$B$5)+(_xlfn.IFNA(VLOOKUP($A3,'FL Ratio'!$A$3:$B$10,2,FALSE),0)*'FL Characterization'!I$2)</f>
        <v>45.870568014277218</v>
      </c>
      <c r="J3" s="2">
        <f ca="1">('[1]Pc, Summer, S3'!J3*Main!$B$5)+(_xlfn.IFNA(VLOOKUP($A3,'FL Ratio'!$A$3:$B$10,2,FALSE),0)*'FL Characterization'!J$2)</f>
        <v>47.874503535494647</v>
      </c>
      <c r="K3" s="2">
        <f ca="1">('[1]Pc, Summer, S3'!K3*Main!$B$5)+(_xlfn.IFNA(VLOOKUP($A3,'FL Ratio'!$A$3:$B$10,2,FALSE),0)*'FL Characterization'!K$2)</f>
        <v>46.872534580762469</v>
      </c>
      <c r="L3" s="2">
        <f ca="1">('[1]Pc, Summer, S3'!L3*Main!$B$5)+(_xlfn.IFNA(VLOOKUP($A3,'FL Ratio'!$A$3:$B$10,2,FALSE),0)*'FL Characterization'!L$2)</f>
        <v>46.850272590252665</v>
      </c>
      <c r="M3" s="2">
        <f ca="1">('[1]Pc, Summer, S3'!M3*Main!$B$5)+(_xlfn.IFNA(VLOOKUP($A3,'FL Ratio'!$A$3:$B$10,2,FALSE),0)*'FL Characterization'!M$2)</f>
        <v>49.922977379749994</v>
      </c>
      <c r="N3" s="2">
        <f ca="1">('[1]Pc, Summer, S3'!N3*Main!$B$5)+(_xlfn.IFNA(VLOOKUP($A3,'FL Ratio'!$A$3:$B$10,2,FALSE),0)*'FL Characterization'!N$2)</f>
        <v>49.922977379749994</v>
      </c>
      <c r="O3" s="2">
        <f ca="1">('[1]Pc, Summer, S3'!O3*Main!$B$5)+(_xlfn.IFNA(VLOOKUP($A3,'FL Ratio'!$A$3:$B$10,2,FALSE),0)*'FL Characterization'!O$2)</f>
        <v>49.922977379749994</v>
      </c>
      <c r="P3" s="2">
        <f ca="1">('[1]Pc, Summer, S3'!P3*Main!$B$5)+(_xlfn.IFNA(VLOOKUP($A3,'FL Ratio'!$A$3:$B$10,2,FALSE),0)*'FL Characterization'!P$2)</f>
        <v>47.418056187043007</v>
      </c>
      <c r="Q3" s="2">
        <f ca="1">('[1]Pc, Summer, S3'!Q3*Main!$B$5)+(_xlfn.IFNA(VLOOKUP($A3,'FL Ratio'!$A$3:$B$10,2,FALSE),0)*'FL Characterization'!Q$2)</f>
        <v>44.890868224198179</v>
      </c>
      <c r="R3" s="2">
        <f ca="1">('[1]Pc, Summer, S3'!R3*Main!$B$5)+(_xlfn.IFNA(VLOOKUP($A3,'FL Ratio'!$A$3:$B$10,2,FALSE),0)*'FL Characterization'!R$2)</f>
        <v>41.818168214328907</v>
      </c>
      <c r="S3" s="2">
        <f ca="1">('[1]Pc, Summer, S3'!S3*Main!$B$5)+(_xlfn.IFNA(VLOOKUP($A3,'FL Ratio'!$A$3:$B$10,2,FALSE),0)*'FL Characterization'!S$2)</f>
        <v>41.818168214328907</v>
      </c>
      <c r="T3" s="2">
        <f ca="1">('[1]Pc, Summer, S3'!T3*Main!$B$5)+(_xlfn.IFNA(VLOOKUP($A3,'FL Ratio'!$A$3:$B$10,2,FALSE),0)*'FL Characterization'!T$2)</f>
        <v>41.818168214328907</v>
      </c>
      <c r="U3" s="2">
        <f ca="1">('[1]Pc, Summer, S3'!U3*Main!$B$5)+(_xlfn.IFNA(VLOOKUP($A3,'FL Ratio'!$A$3:$B$10,2,FALSE),0)*'FL Characterization'!U$2)</f>
        <v>41.818168214328907</v>
      </c>
      <c r="V3" s="2">
        <f ca="1">('[1]Pc, Summer, S3'!V3*Main!$B$5)+(_xlfn.IFNA(VLOOKUP($A3,'FL Ratio'!$A$3:$B$10,2,FALSE),0)*'FL Characterization'!V$2)</f>
        <v>41.818168214328907</v>
      </c>
      <c r="W3" s="2">
        <f ca="1">('[1]Pc, Summer, S3'!W3*Main!$B$5)+(_xlfn.IFNA(VLOOKUP($A3,'FL Ratio'!$A$3:$B$10,2,FALSE),0)*'FL Characterization'!W$2)</f>
        <v>41.818168214328907</v>
      </c>
      <c r="X3" s="2">
        <f ca="1">('[1]Pc, Summer, S3'!X3*Main!$B$5)+(_xlfn.IFNA(VLOOKUP($A3,'FL Ratio'!$A$3:$B$10,2,FALSE),0)*'FL Characterization'!X$2)</f>
        <v>40.315225538744379</v>
      </c>
      <c r="Y3" s="2">
        <f ca="1">('[1]Pc, Summer, S3'!Y3*Main!$B$5)+(_xlfn.IFNA(VLOOKUP($A3,'FL Ratio'!$A$3:$B$10,2,FALSE),0)*'FL Characterization'!Y$2)</f>
        <v>37.721249203586503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44.796751257764853</v>
      </c>
      <c r="C4" s="2">
        <f ca="1">('[1]Pc, Summer, S3'!C4*Main!$B$5)+(_xlfn.IFNA(VLOOKUP($A4,'FL Ratio'!$A$3:$B$10,2,FALSE),0)*'FL Characterization'!C$2)</f>
        <v>39.434682036934937</v>
      </c>
      <c r="D4" s="2">
        <f ca="1">('[1]Pc, Summer, S3'!D4*Main!$B$5)+(_xlfn.IFNA(VLOOKUP($A4,'FL Ratio'!$A$3:$B$10,2,FALSE),0)*'FL Characterization'!D$2)</f>
        <v>37.289720195804193</v>
      </c>
      <c r="E4" s="2">
        <f ca="1">('[1]Pc, Summer, S3'!E4*Main!$B$5)+(_xlfn.IFNA(VLOOKUP($A4,'FL Ratio'!$A$3:$B$10,2,FALSE),0)*'FL Characterization'!E$2)</f>
        <v>36.107033709567133</v>
      </c>
      <c r="F4" s="2">
        <f ca="1">('[1]Pc, Summer, S3'!F4*Main!$B$5)+(_xlfn.IFNA(VLOOKUP($A4,'FL Ratio'!$A$3:$B$10,2,FALSE),0)*'FL Characterization'!F$2)</f>
        <v>38.276835540651874</v>
      </c>
      <c r="G4" s="2">
        <f ca="1">('[1]Pc, Summer, S3'!G4*Main!$B$5)+(_xlfn.IFNA(VLOOKUP($A4,'FL Ratio'!$A$3:$B$10,2,FALSE),0)*'FL Characterization'!G$2)</f>
        <v>35.059121726369789</v>
      </c>
      <c r="H4" s="2">
        <f ca="1">('[1]Pc, Summer, S3'!H4*Main!$B$5)+(_xlfn.IFNA(VLOOKUP($A4,'FL Ratio'!$A$3:$B$10,2,FALSE),0)*'FL Characterization'!H$2)</f>
        <v>41.117952900725648</v>
      </c>
      <c r="I4" s="2">
        <f ca="1">('[1]Pc, Summer, S3'!I4*Main!$B$5)+(_xlfn.IFNA(VLOOKUP($A4,'FL Ratio'!$A$3:$B$10,2,FALSE),0)*'FL Characterization'!I$2)</f>
        <v>47.72490414185723</v>
      </c>
      <c r="J4" s="2">
        <f ca="1">('[1]Pc, Summer, S3'!J4*Main!$B$5)+(_xlfn.IFNA(VLOOKUP($A4,'FL Ratio'!$A$3:$B$10,2,FALSE),0)*'FL Characterization'!J$2)</f>
        <v>53.765326129948726</v>
      </c>
      <c r="K4" s="2">
        <f ca="1">('[1]Pc, Summer, S3'!K4*Main!$B$5)+(_xlfn.IFNA(VLOOKUP($A4,'FL Ratio'!$A$3:$B$10,2,FALSE),0)*'FL Characterization'!K$2)</f>
        <v>57.704506362136947</v>
      </c>
      <c r="L4" s="2">
        <f ca="1">('[1]Pc, Summer, S3'!L4*Main!$B$5)+(_xlfn.IFNA(VLOOKUP($A4,'FL Ratio'!$A$3:$B$10,2,FALSE),0)*'FL Characterization'!L$2)</f>
        <v>59.551175373965179</v>
      </c>
      <c r="M4" s="2">
        <f ca="1">('[1]Pc, Summer, S3'!M4*Main!$B$5)+(_xlfn.IFNA(VLOOKUP($A4,'FL Ratio'!$A$3:$B$10,2,FALSE),0)*'FL Characterization'!M$2)</f>
        <v>60.493660074103069</v>
      </c>
      <c r="N4" s="2">
        <f ca="1">('[1]Pc, Summer, S3'!N4*Main!$B$5)+(_xlfn.IFNA(VLOOKUP($A4,'FL Ratio'!$A$3:$B$10,2,FALSE),0)*'FL Characterization'!N$2)</f>
        <v>61.681462986609063</v>
      </c>
      <c r="O4" s="2">
        <f ca="1">('[1]Pc, Summer, S3'!O4*Main!$B$5)+(_xlfn.IFNA(VLOOKUP($A4,'FL Ratio'!$A$3:$B$10,2,FALSE),0)*'FL Characterization'!O$2)</f>
        <v>62.186656781351928</v>
      </c>
      <c r="P4" s="2">
        <f ca="1">('[1]Pc, Summer, S3'!P4*Main!$B$5)+(_xlfn.IFNA(VLOOKUP($A4,'FL Ratio'!$A$3:$B$10,2,FALSE),0)*'FL Characterization'!P$2)</f>
        <v>62.403721724687493</v>
      </c>
      <c r="Q4" s="2">
        <f ca="1">('[1]Pc, Summer, S3'!Q4*Main!$B$5)+(_xlfn.IFNA(VLOOKUP($A4,'FL Ratio'!$A$3:$B$10,2,FALSE),0)*'FL Characterization'!Q$2)</f>
        <v>60.051151104731396</v>
      </c>
      <c r="R4" s="2">
        <f ca="1">('[1]Pc, Summer, S3'!R4*Main!$B$5)+(_xlfn.IFNA(VLOOKUP($A4,'FL Ratio'!$A$3:$B$10,2,FALSE),0)*'FL Characterization'!R$2)</f>
        <v>60.081207930298788</v>
      </c>
      <c r="S4" s="2">
        <f ca="1">('[1]Pc, Summer, S3'!S4*Main!$B$5)+(_xlfn.IFNA(VLOOKUP($A4,'FL Ratio'!$A$3:$B$10,2,FALSE),0)*'FL Characterization'!S$2)</f>
        <v>57.738802939480252</v>
      </c>
      <c r="T4" s="2">
        <f ca="1">('[1]Pc, Summer, S3'!T4*Main!$B$5)+(_xlfn.IFNA(VLOOKUP($A4,'FL Ratio'!$A$3:$B$10,2,FALSE),0)*'FL Characterization'!T$2)</f>
        <v>58.042599431524948</v>
      </c>
      <c r="U4" s="2">
        <f ca="1">('[1]Pc, Summer, S3'!U4*Main!$B$5)+(_xlfn.IFNA(VLOOKUP($A4,'FL Ratio'!$A$3:$B$10,2,FALSE),0)*'FL Characterization'!U$2)</f>
        <v>58.519809354263792</v>
      </c>
      <c r="V4" s="2">
        <f ca="1">('[1]Pc, Summer, S3'!V4*Main!$B$5)+(_xlfn.IFNA(VLOOKUP($A4,'FL Ratio'!$A$3:$B$10,2,FALSE),0)*'FL Characterization'!V$2)</f>
        <v>58.038764346322388</v>
      </c>
      <c r="W4" s="2">
        <f ca="1">('[1]Pc, Summer, S3'!W4*Main!$B$5)+(_xlfn.IFNA(VLOOKUP($A4,'FL Ratio'!$A$3:$B$10,2,FALSE),0)*'FL Characterization'!W$2)</f>
        <v>60.11933986325721</v>
      </c>
      <c r="X4" s="2">
        <f ca="1">('[1]Pc, Summer, S3'!X4*Main!$B$5)+(_xlfn.IFNA(VLOOKUP($A4,'FL Ratio'!$A$3:$B$10,2,FALSE),0)*'FL Characterization'!X$2)</f>
        <v>58.737439727288958</v>
      </c>
      <c r="Y4" s="2">
        <f ca="1">('[1]Pc, Summer, S3'!Y4*Main!$B$5)+(_xlfn.IFNA(VLOOKUP($A4,'FL Ratio'!$A$3:$B$10,2,FALSE),0)*'FL Characterization'!Y$2)</f>
        <v>52.495553221729196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32.766822339479468</v>
      </c>
      <c r="C2" s="2">
        <f ca="1">('[1]Pc, Summer, S3'!C2*Main!$B$5)+(_xlfn.IFNA(VLOOKUP($A2,'FL Ratio'!$A$3:$B$10,2,FALSE),0)*'FL Characterization'!C$2)</f>
        <v>29.770124434506304</v>
      </c>
      <c r="D2" s="2">
        <f ca="1">('[1]Pc, Summer, S3'!D2*Main!$B$5)+(_xlfn.IFNA(VLOOKUP($A2,'FL Ratio'!$A$3:$B$10,2,FALSE),0)*'FL Characterization'!D$2)</f>
        <v>29.25011773306716</v>
      </c>
      <c r="E2" s="2">
        <f ca="1">('[1]Pc, Summer, S3'!E2*Main!$B$5)+(_xlfn.IFNA(VLOOKUP($A2,'FL Ratio'!$A$3:$B$10,2,FALSE),0)*'FL Characterization'!E$2)</f>
        <v>29.175396433892864</v>
      </c>
      <c r="F2" s="2">
        <f ca="1">('[1]Pc, Summer, S3'!F2*Main!$B$5)+(_xlfn.IFNA(VLOOKUP($A2,'FL Ratio'!$A$3:$B$10,2,FALSE),0)*'FL Characterization'!F$2)</f>
        <v>29.17769662536784</v>
      </c>
      <c r="G2" s="2">
        <f ca="1">('[1]Pc, Summer, S3'!G2*Main!$B$5)+(_xlfn.IFNA(VLOOKUP($A2,'FL Ratio'!$A$3:$B$10,2,FALSE),0)*'FL Characterization'!G$2)</f>
        <v>28.919657601951275</v>
      </c>
      <c r="H2" s="2">
        <f ca="1">('[1]Pc, Summer, S3'!H2*Main!$B$5)+(_xlfn.IFNA(VLOOKUP($A2,'FL Ratio'!$A$3:$B$10,2,FALSE),0)*'FL Characterization'!H$2)</f>
        <v>31.221351948830243</v>
      </c>
      <c r="I2" s="2">
        <f ca="1">('[1]Pc, Summer, S3'!I2*Main!$B$5)+(_xlfn.IFNA(VLOOKUP($A2,'FL Ratio'!$A$3:$B$10,2,FALSE),0)*'FL Characterization'!I$2)</f>
        <v>37.067372386902555</v>
      </c>
      <c r="J2" s="2">
        <f ca="1">('[1]Pc, Summer, S3'!J2*Main!$B$5)+(_xlfn.IFNA(VLOOKUP($A2,'FL Ratio'!$A$3:$B$10,2,FALSE),0)*'FL Characterization'!J$2)</f>
        <v>42.246264532399699</v>
      </c>
      <c r="K2" s="2">
        <f ca="1">('[1]Pc, Summer, S3'!K2*Main!$B$5)+(_xlfn.IFNA(VLOOKUP($A2,'FL Ratio'!$A$3:$B$10,2,FALSE),0)*'FL Characterization'!K$2)</f>
        <v>43.544409829877139</v>
      </c>
      <c r="L2" s="2">
        <f ca="1">('[1]Pc, Summer, S3'!L2*Main!$B$5)+(_xlfn.IFNA(VLOOKUP($A2,'FL Ratio'!$A$3:$B$10,2,FALSE),0)*'FL Characterization'!L$2)</f>
        <v>43.103752019195262</v>
      </c>
      <c r="M2" s="2">
        <f ca="1">('[1]Pc, Summer, S3'!M2*Main!$B$5)+(_xlfn.IFNA(VLOOKUP($A2,'FL Ratio'!$A$3:$B$10,2,FALSE),0)*'FL Characterization'!M$2)</f>
        <v>44.322666117315116</v>
      </c>
      <c r="N2" s="2">
        <f ca="1">('[1]Pc, Summer, S3'!N2*Main!$B$5)+(_xlfn.IFNA(VLOOKUP($A2,'FL Ratio'!$A$3:$B$10,2,FALSE),0)*'FL Characterization'!N$2)</f>
        <v>44.930679641774994</v>
      </c>
      <c r="O2" s="2">
        <f ca="1">('[1]Pc, Summer, S3'!O2*Main!$B$5)+(_xlfn.IFNA(VLOOKUP($A2,'FL Ratio'!$A$3:$B$10,2,FALSE),0)*'FL Characterization'!O$2)</f>
        <v>44.099546242997093</v>
      </c>
      <c r="P2" s="2">
        <f ca="1">('[1]Pc, Summer, S3'!P2*Main!$B$5)+(_xlfn.IFNA(VLOOKUP($A2,'FL Ratio'!$A$3:$B$10,2,FALSE),0)*'FL Characterization'!P$2)</f>
        <v>42.376347269085727</v>
      </c>
      <c r="Q2" s="2">
        <f ca="1">('[1]Pc, Summer, S3'!Q2*Main!$B$5)+(_xlfn.IFNA(VLOOKUP($A2,'FL Ratio'!$A$3:$B$10,2,FALSE),0)*'FL Characterization'!Q$2)</f>
        <v>40.670772399681077</v>
      </c>
      <c r="R2" s="2">
        <f ca="1">('[1]Pc, Summer, S3'!R2*Main!$B$5)+(_xlfn.IFNA(VLOOKUP($A2,'FL Ratio'!$A$3:$B$10,2,FALSE),0)*'FL Characterization'!R$2)</f>
        <v>41.380344086172414</v>
      </c>
      <c r="S2" s="2">
        <f ca="1">('[1]Pc, Summer, S3'!S2*Main!$B$5)+(_xlfn.IFNA(VLOOKUP($A2,'FL Ratio'!$A$3:$B$10,2,FALSE),0)*'FL Characterization'!S$2)</f>
        <v>41.78917154884379</v>
      </c>
      <c r="T2" s="2">
        <f ca="1">('[1]Pc, Summer, S3'!T2*Main!$B$5)+(_xlfn.IFNA(VLOOKUP($A2,'FL Ratio'!$A$3:$B$10,2,FALSE),0)*'FL Characterization'!T$2)</f>
        <v>41.96655105818882</v>
      </c>
      <c r="U2" s="2">
        <f ca="1">('[1]Pc, Summer, S3'!U2*Main!$B$5)+(_xlfn.IFNA(VLOOKUP($A2,'FL Ratio'!$A$3:$B$10,2,FALSE),0)*'FL Characterization'!U$2)</f>
        <v>41.271811703392949</v>
      </c>
      <c r="V2" s="2">
        <f ca="1">('[1]Pc, Summer, S3'!V2*Main!$B$5)+(_xlfn.IFNA(VLOOKUP($A2,'FL Ratio'!$A$3:$B$10,2,FALSE),0)*'FL Characterization'!V$2)</f>
        <v>41.395815317035805</v>
      </c>
      <c r="W2" s="2">
        <f ca="1">('[1]Pc, Summer, S3'!W2*Main!$B$5)+(_xlfn.IFNA(VLOOKUP($A2,'FL Ratio'!$A$3:$B$10,2,FALSE),0)*'FL Characterization'!W$2)</f>
        <v>43.110345948716102</v>
      </c>
      <c r="X2" s="2">
        <f ca="1">('[1]Pc, Summer, S3'!X2*Main!$B$5)+(_xlfn.IFNA(VLOOKUP($A2,'FL Ratio'!$A$3:$B$10,2,FALSE),0)*'FL Characterization'!X$2)</f>
        <v>40.184060380293758</v>
      </c>
      <c r="Y2" s="2">
        <f ca="1">('[1]Pc, Summer, S3'!Y2*Main!$B$5)+(_xlfn.IFNA(VLOOKUP($A2,'FL Ratio'!$A$3:$B$10,2,FALSE),0)*'FL Characterization'!Y$2)</f>
        <v>36.836504088275397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33.223545001078669</v>
      </c>
      <c r="C3" s="2">
        <f ca="1">('[1]Pc, Summer, S3'!C3*Main!$B$5)+(_xlfn.IFNA(VLOOKUP($A3,'FL Ratio'!$A$3:$B$10,2,FALSE),0)*'FL Characterization'!C$2)</f>
        <v>30.25103591167742</v>
      </c>
      <c r="D3" s="2">
        <f ca="1">('[1]Pc, Summer, S3'!D3*Main!$B$5)+(_xlfn.IFNA(VLOOKUP($A3,'FL Ratio'!$A$3:$B$10,2,FALSE),0)*'FL Characterization'!D$2)</f>
        <v>28.770350450108825</v>
      </c>
      <c r="E3" s="2">
        <f ca="1">('[1]Pc, Summer, S3'!E3*Main!$B$5)+(_xlfn.IFNA(VLOOKUP($A3,'FL Ratio'!$A$3:$B$10,2,FALSE),0)*'FL Characterization'!E$2)</f>
        <v>27.746121893113784</v>
      </c>
      <c r="F3" s="2">
        <f ca="1">('[1]Pc, Summer, S3'!F3*Main!$B$5)+(_xlfn.IFNA(VLOOKUP($A3,'FL Ratio'!$A$3:$B$10,2,FALSE),0)*'FL Characterization'!F$2)</f>
        <v>27.746121893113784</v>
      </c>
      <c r="G3" s="2">
        <f ca="1">('[1]Pc, Summer, S3'!G3*Main!$B$5)+(_xlfn.IFNA(VLOOKUP($A3,'FL Ratio'!$A$3:$B$10,2,FALSE),0)*'FL Characterization'!G$2)</f>
        <v>29.750055013547549</v>
      </c>
      <c r="H3" s="2">
        <f ca="1">('[1]Pc, Summer, S3'!H3*Main!$B$5)+(_xlfn.IFNA(VLOOKUP($A3,'FL Ratio'!$A$3:$B$10,2,FALSE),0)*'FL Characterization'!H$2)</f>
        <v>37.275937633151997</v>
      </c>
      <c r="I3" s="2">
        <f ca="1">('[1]Pc, Summer, S3'!I3*Main!$B$5)+(_xlfn.IFNA(VLOOKUP($A3,'FL Ratio'!$A$3:$B$10,2,FALSE),0)*'FL Characterization'!I$2)</f>
        <v>45.870568014277218</v>
      </c>
      <c r="J3" s="2">
        <f ca="1">('[1]Pc, Summer, S3'!J3*Main!$B$5)+(_xlfn.IFNA(VLOOKUP($A3,'FL Ratio'!$A$3:$B$10,2,FALSE),0)*'FL Characterization'!J$2)</f>
        <v>47.874503535494647</v>
      </c>
      <c r="K3" s="2">
        <f ca="1">('[1]Pc, Summer, S3'!K3*Main!$B$5)+(_xlfn.IFNA(VLOOKUP($A3,'FL Ratio'!$A$3:$B$10,2,FALSE),0)*'FL Characterization'!K$2)</f>
        <v>46.872534580762469</v>
      </c>
      <c r="L3" s="2">
        <f ca="1">('[1]Pc, Summer, S3'!L3*Main!$B$5)+(_xlfn.IFNA(VLOOKUP($A3,'FL Ratio'!$A$3:$B$10,2,FALSE),0)*'FL Characterization'!L$2)</f>
        <v>46.850272590252665</v>
      </c>
      <c r="M3" s="2">
        <f ca="1">('[1]Pc, Summer, S3'!M3*Main!$B$5)+(_xlfn.IFNA(VLOOKUP($A3,'FL Ratio'!$A$3:$B$10,2,FALSE),0)*'FL Characterization'!M$2)</f>
        <v>49.922977379749994</v>
      </c>
      <c r="N3" s="2">
        <f ca="1">('[1]Pc, Summer, S3'!N3*Main!$B$5)+(_xlfn.IFNA(VLOOKUP($A3,'FL Ratio'!$A$3:$B$10,2,FALSE),0)*'FL Characterization'!N$2)</f>
        <v>49.922977379749994</v>
      </c>
      <c r="O3" s="2">
        <f ca="1">('[1]Pc, Summer, S3'!O3*Main!$B$5)+(_xlfn.IFNA(VLOOKUP($A3,'FL Ratio'!$A$3:$B$10,2,FALSE),0)*'FL Characterization'!O$2)</f>
        <v>49.922977379749994</v>
      </c>
      <c r="P3" s="2">
        <f ca="1">('[1]Pc, Summer, S3'!P3*Main!$B$5)+(_xlfn.IFNA(VLOOKUP($A3,'FL Ratio'!$A$3:$B$10,2,FALSE),0)*'FL Characterization'!P$2)</f>
        <v>47.418056187043007</v>
      </c>
      <c r="Q3" s="2">
        <f ca="1">('[1]Pc, Summer, S3'!Q3*Main!$B$5)+(_xlfn.IFNA(VLOOKUP($A3,'FL Ratio'!$A$3:$B$10,2,FALSE),0)*'FL Characterization'!Q$2)</f>
        <v>44.890868224198179</v>
      </c>
      <c r="R3" s="2">
        <f ca="1">('[1]Pc, Summer, S3'!R3*Main!$B$5)+(_xlfn.IFNA(VLOOKUP($A3,'FL Ratio'!$A$3:$B$10,2,FALSE),0)*'FL Characterization'!R$2)</f>
        <v>41.818168214328907</v>
      </c>
      <c r="S3" s="2">
        <f ca="1">('[1]Pc, Summer, S3'!S3*Main!$B$5)+(_xlfn.IFNA(VLOOKUP($A3,'FL Ratio'!$A$3:$B$10,2,FALSE),0)*'FL Characterization'!S$2)</f>
        <v>41.818168214328907</v>
      </c>
      <c r="T3" s="2">
        <f ca="1">('[1]Pc, Summer, S3'!T3*Main!$B$5)+(_xlfn.IFNA(VLOOKUP($A3,'FL Ratio'!$A$3:$B$10,2,FALSE),0)*'FL Characterization'!T$2)</f>
        <v>41.818168214328907</v>
      </c>
      <c r="U3" s="2">
        <f ca="1">('[1]Pc, Summer, S3'!U3*Main!$B$5)+(_xlfn.IFNA(VLOOKUP($A3,'FL Ratio'!$A$3:$B$10,2,FALSE),0)*'FL Characterization'!U$2)</f>
        <v>41.818168214328907</v>
      </c>
      <c r="V3" s="2">
        <f ca="1">('[1]Pc, Summer, S3'!V3*Main!$B$5)+(_xlfn.IFNA(VLOOKUP($A3,'FL Ratio'!$A$3:$B$10,2,FALSE),0)*'FL Characterization'!V$2)</f>
        <v>41.818168214328907</v>
      </c>
      <c r="W3" s="2">
        <f ca="1">('[1]Pc, Summer, S3'!W3*Main!$B$5)+(_xlfn.IFNA(VLOOKUP($A3,'FL Ratio'!$A$3:$B$10,2,FALSE),0)*'FL Characterization'!W$2)</f>
        <v>41.818168214328907</v>
      </c>
      <c r="X3" s="2">
        <f ca="1">('[1]Pc, Summer, S3'!X3*Main!$B$5)+(_xlfn.IFNA(VLOOKUP($A3,'FL Ratio'!$A$3:$B$10,2,FALSE),0)*'FL Characterization'!X$2)</f>
        <v>40.315225538744379</v>
      </c>
      <c r="Y3" s="2">
        <f ca="1">('[1]Pc, Summer, S3'!Y3*Main!$B$5)+(_xlfn.IFNA(VLOOKUP($A3,'FL Ratio'!$A$3:$B$10,2,FALSE),0)*'FL Characterization'!Y$2)</f>
        <v>37.721249203586503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44.796751257764853</v>
      </c>
      <c r="C4" s="2">
        <f ca="1">('[1]Pc, Summer, S3'!C4*Main!$B$5)+(_xlfn.IFNA(VLOOKUP($A4,'FL Ratio'!$A$3:$B$10,2,FALSE),0)*'FL Characterization'!C$2)</f>
        <v>39.434682036934937</v>
      </c>
      <c r="D4" s="2">
        <f ca="1">('[1]Pc, Summer, S3'!D4*Main!$B$5)+(_xlfn.IFNA(VLOOKUP($A4,'FL Ratio'!$A$3:$B$10,2,FALSE),0)*'FL Characterization'!D$2)</f>
        <v>37.289720195804193</v>
      </c>
      <c r="E4" s="2">
        <f ca="1">('[1]Pc, Summer, S3'!E4*Main!$B$5)+(_xlfn.IFNA(VLOOKUP($A4,'FL Ratio'!$A$3:$B$10,2,FALSE),0)*'FL Characterization'!E$2)</f>
        <v>36.107033709567133</v>
      </c>
      <c r="F4" s="2">
        <f ca="1">('[1]Pc, Summer, S3'!F4*Main!$B$5)+(_xlfn.IFNA(VLOOKUP($A4,'FL Ratio'!$A$3:$B$10,2,FALSE),0)*'FL Characterization'!F$2)</f>
        <v>38.276835540651874</v>
      </c>
      <c r="G4" s="2">
        <f ca="1">('[1]Pc, Summer, S3'!G4*Main!$B$5)+(_xlfn.IFNA(VLOOKUP($A4,'FL Ratio'!$A$3:$B$10,2,FALSE),0)*'FL Characterization'!G$2)</f>
        <v>35.059121726369789</v>
      </c>
      <c r="H4" s="2">
        <f ca="1">('[1]Pc, Summer, S3'!H4*Main!$B$5)+(_xlfn.IFNA(VLOOKUP($A4,'FL Ratio'!$A$3:$B$10,2,FALSE),0)*'FL Characterization'!H$2)</f>
        <v>41.117952900725648</v>
      </c>
      <c r="I4" s="2">
        <f ca="1">('[1]Pc, Summer, S3'!I4*Main!$B$5)+(_xlfn.IFNA(VLOOKUP($A4,'FL Ratio'!$A$3:$B$10,2,FALSE),0)*'FL Characterization'!I$2)</f>
        <v>47.72490414185723</v>
      </c>
      <c r="J4" s="2">
        <f ca="1">('[1]Pc, Summer, S3'!J4*Main!$B$5)+(_xlfn.IFNA(VLOOKUP($A4,'FL Ratio'!$A$3:$B$10,2,FALSE),0)*'FL Characterization'!J$2)</f>
        <v>53.765326129948726</v>
      </c>
      <c r="K4" s="2">
        <f ca="1">('[1]Pc, Summer, S3'!K4*Main!$B$5)+(_xlfn.IFNA(VLOOKUP($A4,'FL Ratio'!$A$3:$B$10,2,FALSE),0)*'FL Characterization'!K$2)</f>
        <v>57.704506362136947</v>
      </c>
      <c r="L4" s="2">
        <f ca="1">('[1]Pc, Summer, S3'!L4*Main!$B$5)+(_xlfn.IFNA(VLOOKUP($A4,'FL Ratio'!$A$3:$B$10,2,FALSE),0)*'FL Characterization'!L$2)</f>
        <v>59.551175373965179</v>
      </c>
      <c r="M4" s="2">
        <f ca="1">('[1]Pc, Summer, S3'!M4*Main!$B$5)+(_xlfn.IFNA(VLOOKUP($A4,'FL Ratio'!$A$3:$B$10,2,FALSE),0)*'FL Characterization'!M$2)</f>
        <v>60.493660074103069</v>
      </c>
      <c r="N4" s="2">
        <f ca="1">('[1]Pc, Summer, S3'!N4*Main!$B$5)+(_xlfn.IFNA(VLOOKUP($A4,'FL Ratio'!$A$3:$B$10,2,FALSE),0)*'FL Characterization'!N$2)</f>
        <v>61.681462986609063</v>
      </c>
      <c r="O4" s="2">
        <f ca="1">('[1]Pc, Summer, S3'!O4*Main!$B$5)+(_xlfn.IFNA(VLOOKUP($A4,'FL Ratio'!$A$3:$B$10,2,FALSE),0)*'FL Characterization'!O$2)</f>
        <v>62.186656781351928</v>
      </c>
      <c r="P4" s="2">
        <f ca="1">('[1]Pc, Summer, S3'!P4*Main!$B$5)+(_xlfn.IFNA(VLOOKUP($A4,'FL Ratio'!$A$3:$B$10,2,FALSE),0)*'FL Characterization'!P$2)</f>
        <v>62.403721724687493</v>
      </c>
      <c r="Q4" s="2">
        <f ca="1">('[1]Pc, Summer, S3'!Q4*Main!$B$5)+(_xlfn.IFNA(VLOOKUP($A4,'FL Ratio'!$A$3:$B$10,2,FALSE),0)*'FL Characterization'!Q$2)</f>
        <v>60.051151104731396</v>
      </c>
      <c r="R4" s="2">
        <f ca="1">('[1]Pc, Summer, S3'!R4*Main!$B$5)+(_xlfn.IFNA(VLOOKUP($A4,'FL Ratio'!$A$3:$B$10,2,FALSE),0)*'FL Characterization'!R$2)</f>
        <v>60.081207930298788</v>
      </c>
      <c r="S4" s="2">
        <f ca="1">('[1]Pc, Summer, S3'!S4*Main!$B$5)+(_xlfn.IFNA(VLOOKUP($A4,'FL Ratio'!$A$3:$B$10,2,FALSE),0)*'FL Characterization'!S$2)</f>
        <v>57.738802939480252</v>
      </c>
      <c r="T4" s="2">
        <f ca="1">('[1]Pc, Summer, S3'!T4*Main!$B$5)+(_xlfn.IFNA(VLOOKUP($A4,'FL Ratio'!$A$3:$B$10,2,FALSE),0)*'FL Characterization'!T$2)</f>
        <v>58.042599431524948</v>
      </c>
      <c r="U4" s="2">
        <f ca="1">('[1]Pc, Summer, S3'!U4*Main!$B$5)+(_xlfn.IFNA(VLOOKUP($A4,'FL Ratio'!$A$3:$B$10,2,FALSE),0)*'FL Characterization'!U$2)</f>
        <v>58.519809354263792</v>
      </c>
      <c r="V4" s="2">
        <f ca="1">('[1]Pc, Summer, S3'!V4*Main!$B$5)+(_xlfn.IFNA(VLOOKUP($A4,'FL Ratio'!$A$3:$B$10,2,FALSE),0)*'FL Characterization'!V$2)</f>
        <v>58.038764346322388</v>
      </c>
      <c r="W4" s="2">
        <f ca="1">('[1]Pc, Summer, S3'!W4*Main!$B$5)+(_xlfn.IFNA(VLOOKUP($A4,'FL Ratio'!$A$3:$B$10,2,FALSE),0)*'FL Characterization'!W$2)</f>
        <v>60.11933986325721</v>
      </c>
      <c r="X4" s="2">
        <f ca="1">('[1]Pc, Summer, S3'!X4*Main!$B$5)+(_xlfn.IFNA(VLOOKUP($A4,'FL Ratio'!$A$3:$B$10,2,FALSE),0)*'FL Characterization'!X$2)</f>
        <v>58.737439727288958</v>
      </c>
      <c r="Y4" s="2">
        <f ca="1">('[1]Pc, Summer, S3'!Y4*Main!$B$5)+(_xlfn.IFNA(VLOOKUP($A4,'FL Ratio'!$A$3:$B$10,2,FALSE),0)*'FL Characterization'!Y$2)</f>
        <v>52.495553221729196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-11.433915343864477</v>
      </c>
      <c r="C2" s="2">
        <f ca="1">('[1]Qc, Summer, S2'!C2*Main!$B$5)</f>
        <v>-14.865493921706035</v>
      </c>
      <c r="D2" s="2">
        <f ca="1">('[1]Qc, Summer, S2'!D2*Main!$B$5)</f>
        <v>-16.384643123802526</v>
      </c>
      <c r="E2" s="2">
        <f ca="1">('[1]Qc, Summer, S2'!E2*Main!$B$5)</f>
        <v>-14.95184525316485</v>
      </c>
      <c r="F2" s="2">
        <f ca="1">('[1]Qc, Summer, S2'!F2*Main!$B$5)</f>
        <v>-16.026366480447567</v>
      </c>
      <c r="G2" s="2">
        <f ca="1">('[1]Qc, Summer, S2'!G2*Main!$B$5)</f>
        <v>-16.395756781559999</v>
      </c>
      <c r="H2" s="2">
        <f ca="1">('[1]Qc, Summer, S2'!H2*Main!$B$5)</f>
        <v>-14.210043120355465</v>
      </c>
      <c r="I2" s="2">
        <f ca="1">('[1]Qc, Summer, S2'!I2*Main!$B$5)</f>
        <v>-2.2107634559307514</v>
      </c>
      <c r="J2" s="2">
        <f ca="1">('[1]Qc, Summer, S2'!J2*Main!$B$5)</f>
        <v>7.096388017410165</v>
      </c>
      <c r="K2" s="2">
        <f ca="1">('[1]Qc, Summer, S2'!K2*Main!$B$5)</f>
        <v>10.330961577772964</v>
      </c>
      <c r="L2" s="2">
        <f ca="1">('[1]Qc, Summer, S2'!L2*Main!$B$5)</f>
        <v>8.1210594105092664</v>
      </c>
      <c r="M2" s="2">
        <f ca="1">('[1]Qc, Summer, S2'!M2*Main!$B$5)</f>
        <v>10.817474113441545</v>
      </c>
      <c r="N2" s="2">
        <f ca="1">('[1]Qc, Summer, S2'!N2*Main!$B$5)</f>
        <v>9.5996415249097584</v>
      </c>
      <c r="O2" s="2">
        <f ca="1">('[1]Qc, Summer, S2'!O2*Main!$B$5)</f>
        <v>9.8886750727201775</v>
      </c>
      <c r="P2" s="2">
        <f ca="1">('[1]Qc, Summer, S2'!P2*Main!$B$5)</f>
        <v>5.1021934342721211</v>
      </c>
      <c r="Q2" s="2">
        <f ca="1">('[1]Qc, Summer, S2'!Q2*Main!$B$5)</f>
        <v>1.28989626236204</v>
      </c>
      <c r="R2" s="2">
        <f ca="1">('[1]Qc, Summer, S2'!R2*Main!$B$5)</f>
        <v>2.8695052111268224</v>
      </c>
      <c r="S2" s="2">
        <f ca="1">('[1]Qc, Summer, S2'!S2*Main!$B$5)</f>
        <v>3.485456699134529</v>
      </c>
      <c r="T2" s="2">
        <f ca="1">('[1]Qc, Summer, S2'!T2*Main!$B$5)</f>
        <v>2.0998564010013201</v>
      </c>
      <c r="U2" s="2">
        <f ca="1">('[1]Qc, Summer, S2'!U2*Main!$B$5)</f>
        <v>-0.39172079359676087</v>
      </c>
      <c r="V2" s="2">
        <f ca="1">('[1]Qc, Summer, S2'!V2*Main!$B$5)</f>
        <v>-1.5292150546297105</v>
      </c>
      <c r="W2" s="2">
        <f ca="1">('[1]Qc, Summer, S2'!W2*Main!$B$5)</f>
        <v>-1.0639145331967548</v>
      </c>
      <c r="X2" s="2">
        <f ca="1">('[1]Qc, Summer, S2'!X2*Main!$B$5)</f>
        <v>-5.1022602866244098</v>
      </c>
      <c r="Y2" s="2">
        <f ca="1">('[1]Qc, Summer, S2'!Y2*Main!$B$5)</f>
        <v>-6.9063247283631224</v>
      </c>
    </row>
    <row r="3" spans="1:25" x14ac:dyDescent="0.3">
      <c r="A3">
        <v>2</v>
      </c>
      <c r="B3" s="2">
        <f ca="1">('[1]Qc, Summer, S2'!B3*Main!$B$5)</f>
        <v>-14.470567065613304</v>
      </c>
      <c r="C3" s="2">
        <f ca="1">('[1]Qc, Summer, S2'!C3*Main!$B$5)</f>
        <v>-14.470567065613304</v>
      </c>
      <c r="D3" s="2">
        <f ca="1">('[1]Qc, Summer, S2'!D3*Main!$B$5)</f>
        <v>-16.79947498871665</v>
      </c>
      <c r="E3" s="2">
        <f ca="1">('[1]Qc, Summer, S2'!E3*Main!$B$5)</f>
        <v>-19.128382911819998</v>
      </c>
      <c r="F3" s="2">
        <f ca="1">('[1]Qc, Summer, S2'!F3*Main!$B$5)</f>
        <v>-19.128382911819998</v>
      </c>
      <c r="G3" s="2">
        <f ca="1">('[1]Qc, Summer, S2'!G3*Main!$B$5)</f>
        <v>-19.128382911819998</v>
      </c>
      <c r="H3" s="2">
        <f ca="1">('[1]Qc, Summer, S2'!H3*Main!$B$5)</f>
        <v>-7.6271659224315869</v>
      </c>
      <c r="I3" s="2">
        <f ca="1">('[1]Qc, Summer, S2'!I3*Main!$B$5)</f>
        <v>1.5809776409195535</v>
      </c>
      <c r="J3" s="2">
        <f ca="1">('[1]Qc, Summer, S2'!J3*Main!$B$5)</f>
        <v>5.020601230670354</v>
      </c>
      <c r="K3" s="2">
        <f ca="1">('[1]Qc, Summer, S2'!K3*Main!$B$5)</f>
        <v>5.020601230670354</v>
      </c>
      <c r="L3" s="2">
        <f ca="1">('[1]Qc, Summer, S2'!L3*Main!$B$5)</f>
        <v>4.5906410686570283</v>
      </c>
      <c r="M3" s="2">
        <f ca="1">('[1]Qc, Summer, S2'!M3*Main!$B$5)</f>
        <v>6.4537581555631371</v>
      </c>
      <c r="N3" s="2">
        <f ca="1">('[1]Qc, Summer, S2'!N3*Main!$B$5)</f>
        <v>8.7468354044825727</v>
      </c>
      <c r="O3" s="2">
        <f ca="1">('[1]Qc, Summer, S2'!O3*Main!$B$5)</f>
        <v>9.0155653398207871</v>
      </c>
      <c r="P3" s="2">
        <f ca="1">('[1]Qc, Summer, S2'!P3*Main!$B$5)</f>
        <v>5.0564280416250629</v>
      </c>
      <c r="Q3" s="2">
        <f ca="1">('[1]Qc, Summer, S2'!Q3*Main!$B$5)</f>
        <v>3.9457123548040887</v>
      </c>
      <c r="R3" s="2">
        <f ca="1">('[1]Qc, Summer, S2'!R3*Main!$B$5)</f>
        <v>-0.64044218338182446</v>
      </c>
      <c r="S3" s="2">
        <f ca="1">('[1]Qc, Summer, S2'!S3*Main!$B$5)</f>
        <v>-0.64044218338182446</v>
      </c>
      <c r="T3" s="2">
        <f ca="1">('[1]Qc, Summer, S2'!T3*Main!$B$5)</f>
        <v>-0.64044218338182446</v>
      </c>
      <c r="U3" s="2">
        <f ca="1">('[1]Qc, Summer, S2'!U3*Main!$B$5)</f>
        <v>-0.64044218338182446</v>
      </c>
      <c r="V3" s="2">
        <f ca="1">('[1]Qc, Summer, S2'!V3*Main!$B$5)</f>
        <v>-4.0800696161883092</v>
      </c>
      <c r="W3" s="2">
        <f ca="1">('[1]Qc, Summer, S2'!W3*Main!$B$5)</f>
        <v>-5.2266120937904699</v>
      </c>
      <c r="X3" s="2">
        <f ca="1">('[1]Qc, Summer, S2'!X3*Main!$B$5)</f>
        <v>-14.613874309432139</v>
      </c>
      <c r="Y3" s="2">
        <f ca="1">('[1]Qc, Summer, S2'!Y3*Main!$B$5)</f>
        <v>-14.613874309432139</v>
      </c>
    </row>
    <row r="4" spans="1:25" x14ac:dyDescent="0.3">
      <c r="A4">
        <v>3</v>
      </c>
      <c r="B4" s="2">
        <f ca="1">('[1]Qc, Summer, S2'!B4*Main!$B$5)</f>
        <v>11.681022534899865</v>
      </c>
      <c r="C4" s="2">
        <f ca="1">('[1]Qc, Summer, S2'!C4*Main!$B$5)</f>
        <v>8.9499267718804401</v>
      </c>
      <c r="D4" s="2">
        <f ca="1">('[1]Qc, Summer, S2'!D4*Main!$B$5)</f>
        <v>8.4813962100281017</v>
      </c>
      <c r="E4" s="2">
        <f ca="1">('[1]Qc, Summer, S2'!E4*Main!$B$5)</f>
        <v>7.4074302217533718</v>
      </c>
      <c r="F4" s="2">
        <f ca="1">('[1]Qc, Summer, S2'!F4*Main!$B$5)</f>
        <v>8.5274182309033346</v>
      </c>
      <c r="G4" s="2">
        <f ca="1">('[1]Qc, Summer, S2'!G4*Main!$B$5)</f>
        <v>3.9577069687313533</v>
      </c>
      <c r="H4" s="2">
        <f ca="1">('[1]Qc, Summer, S2'!H4*Main!$B$5)</f>
        <v>6.9052743621289512</v>
      </c>
      <c r="I4" s="2">
        <f ca="1">('[1]Qc, Summer, S2'!I4*Main!$B$5)</f>
        <v>13.269300561522293</v>
      </c>
      <c r="J4" s="2">
        <f ca="1">('[1]Qc, Summer, S2'!J4*Main!$B$5)</f>
        <v>19.302781640497784</v>
      </c>
      <c r="K4" s="2">
        <f ca="1">('[1]Qc, Summer, S2'!K4*Main!$B$5)</f>
        <v>22.937073375425193</v>
      </c>
      <c r="L4" s="2">
        <f ca="1">('[1]Qc, Summer, S2'!L4*Main!$B$5)</f>
        <v>25.040223837987732</v>
      </c>
      <c r="M4" s="2">
        <f ca="1">('[1]Qc, Summer, S2'!M4*Main!$B$5)</f>
        <v>25.954414831574564</v>
      </c>
      <c r="N4" s="2">
        <f ca="1">('[1]Qc, Summer, S2'!N4*Main!$B$5)</f>
        <v>27.121065149016893</v>
      </c>
      <c r="O4" s="2">
        <f ca="1">('[1]Qc, Summer, S2'!O4*Main!$B$5)</f>
        <v>27.326261302599999</v>
      </c>
      <c r="P4" s="2">
        <f ca="1">('[1]Qc, Summer, S2'!P4*Main!$B$5)</f>
        <v>27.132300052061154</v>
      </c>
      <c r="Q4" s="2">
        <f ca="1">('[1]Qc, Summer, S2'!Q4*Main!$B$5)</f>
        <v>26.229104613298819</v>
      </c>
      <c r="R4" s="2">
        <f ca="1">('[1]Qc, Summer, S2'!R4*Main!$B$5)</f>
        <v>24.96117736081484</v>
      </c>
      <c r="S4" s="2">
        <f ca="1">('[1]Qc, Summer, S2'!S4*Main!$B$5)</f>
        <v>22.150234349530269</v>
      </c>
      <c r="T4" s="2">
        <f ca="1">('[1]Qc, Summer, S2'!T4*Main!$B$5)</f>
        <v>22.047755717869375</v>
      </c>
      <c r="U4" s="2">
        <f ca="1">('[1]Qc, Summer, S2'!U4*Main!$B$5)</f>
        <v>20.974071045946154</v>
      </c>
      <c r="V4" s="2">
        <f ca="1">('[1]Qc, Summer, S2'!V4*Main!$B$5)</f>
        <v>18.905987541162759</v>
      </c>
      <c r="W4" s="2">
        <f ca="1">('[1]Qc, Summer, S2'!W4*Main!$B$5)</f>
        <v>22.664586900111981</v>
      </c>
      <c r="X4" s="2">
        <f ca="1">('[1]Qc, Summer, S2'!X4*Main!$B$5)</f>
        <v>20.308294830804257</v>
      </c>
      <c r="Y4" s="2">
        <f ca="1">('[1]Qc, Summer, S2'!Y4*Main!$B$5)</f>
        <v>16.343298059105528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-11.433915343864477</v>
      </c>
      <c r="C2" s="2">
        <f ca="1">('[1]Qc, Summer, S2'!C2*Main!$B$5)</f>
        <v>-14.865493921706035</v>
      </c>
      <c r="D2" s="2">
        <f ca="1">('[1]Qc, Summer, S2'!D2*Main!$B$5)</f>
        <v>-16.384643123802526</v>
      </c>
      <c r="E2" s="2">
        <f ca="1">('[1]Qc, Summer, S2'!E2*Main!$B$5)</f>
        <v>-14.95184525316485</v>
      </c>
      <c r="F2" s="2">
        <f ca="1">('[1]Qc, Summer, S2'!F2*Main!$B$5)</f>
        <v>-16.026366480447567</v>
      </c>
      <c r="G2" s="2">
        <f ca="1">('[1]Qc, Summer, S2'!G2*Main!$B$5)</f>
        <v>-16.395756781559999</v>
      </c>
      <c r="H2" s="2">
        <f ca="1">('[1]Qc, Summer, S2'!H2*Main!$B$5)</f>
        <v>-14.210043120355465</v>
      </c>
      <c r="I2" s="2">
        <f ca="1">('[1]Qc, Summer, S2'!I2*Main!$B$5)</f>
        <v>-2.2107634559307514</v>
      </c>
      <c r="J2" s="2">
        <f ca="1">('[1]Qc, Summer, S2'!J2*Main!$B$5)</f>
        <v>7.096388017410165</v>
      </c>
      <c r="K2" s="2">
        <f ca="1">('[1]Qc, Summer, S2'!K2*Main!$B$5)</f>
        <v>10.330961577772964</v>
      </c>
      <c r="L2" s="2">
        <f ca="1">('[1]Qc, Summer, S2'!L2*Main!$B$5)</f>
        <v>8.1210594105092664</v>
      </c>
      <c r="M2" s="2">
        <f ca="1">('[1]Qc, Summer, S2'!M2*Main!$B$5)</f>
        <v>10.817474113441545</v>
      </c>
      <c r="N2" s="2">
        <f ca="1">('[1]Qc, Summer, S2'!N2*Main!$B$5)</f>
        <v>9.5996415249097584</v>
      </c>
      <c r="O2" s="2">
        <f ca="1">('[1]Qc, Summer, S2'!O2*Main!$B$5)</f>
        <v>9.8886750727201775</v>
      </c>
      <c r="P2" s="2">
        <f ca="1">('[1]Qc, Summer, S2'!P2*Main!$B$5)</f>
        <v>5.1021934342721211</v>
      </c>
      <c r="Q2" s="2">
        <f ca="1">('[1]Qc, Summer, S2'!Q2*Main!$B$5)</f>
        <v>1.28989626236204</v>
      </c>
      <c r="R2" s="2">
        <f ca="1">('[1]Qc, Summer, S2'!R2*Main!$B$5)</f>
        <v>2.8695052111268224</v>
      </c>
      <c r="S2" s="2">
        <f ca="1">('[1]Qc, Summer, S2'!S2*Main!$B$5)</f>
        <v>3.485456699134529</v>
      </c>
      <c r="T2" s="2">
        <f ca="1">('[1]Qc, Summer, S2'!T2*Main!$B$5)</f>
        <v>2.0998564010013201</v>
      </c>
      <c r="U2" s="2">
        <f ca="1">('[1]Qc, Summer, S2'!U2*Main!$B$5)</f>
        <v>-0.39172079359676087</v>
      </c>
      <c r="V2" s="2">
        <f ca="1">('[1]Qc, Summer, S2'!V2*Main!$B$5)</f>
        <v>-1.5292150546297105</v>
      </c>
      <c r="W2" s="2">
        <f ca="1">('[1]Qc, Summer, S2'!W2*Main!$B$5)</f>
        <v>-1.0639145331967548</v>
      </c>
      <c r="X2" s="2">
        <f ca="1">('[1]Qc, Summer, S2'!X2*Main!$B$5)</f>
        <v>-5.1022602866244098</v>
      </c>
      <c r="Y2" s="2">
        <f ca="1">('[1]Qc, Summer, S2'!Y2*Main!$B$5)</f>
        <v>-6.9063247283631224</v>
      </c>
    </row>
    <row r="3" spans="1:25" x14ac:dyDescent="0.3">
      <c r="A3">
        <v>2</v>
      </c>
      <c r="B3" s="2">
        <f ca="1">('[1]Qc, Summer, S2'!B3*Main!$B$5)</f>
        <v>-14.470567065613304</v>
      </c>
      <c r="C3" s="2">
        <f ca="1">('[1]Qc, Summer, S2'!C3*Main!$B$5)</f>
        <v>-14.470567065613304</v>
      </c>
      <c r="D3" s="2">
        <f ca="1">('[1]Qc, Summer, S2'!D3*Main!$B$5)</f>
        <v>-16.79947498871665</v>
      </c>
      <c r="E3" s="2">
        <f ca="1">('[1]Qc, Summer, S2'!E3*Main!$B$5)</f>
        <v>-19.128382911819998</v>
      </c>
      <c r="F3" s="2">
        <f ca="1">('[1]Qc, Summer, S2'!F3*Main!$B$5)</f>
        <v>-19.128382911819998</v>
      </c>
      <c r="G3" s="2">
        <f ca="1">('[1]Qc, Summer, S2'!G3*Main!$B$5)</f>
        <v>-19.128382911819998</v>
      </c>
      <c r="H3" s="2">
        <f ca="1">('[1]Qc, Summer, S2'!H3*Main!$B$5)</f>
        <v>-7.6271659224315869</v>
      </c>
      <c r="I3" s="2">
        <f ca="1">('[1]Qc, Summer, S2'!I3*Main!$B$5)</f>
        <v>1.5809776409195535</v>
      </c>
      <c r="J3" s="2">
        <f ca="1">('[1]Qc, Summer, S2'!J3*Main!$B$5)</f>
        <v>5.020601230670354</v>
      </c>
      <c r="K3" s="2">
        <f ca="1">('[1]Qc, Summer, S2'!K3*Main!$B$5)</f>
        <v>5.020601230670354</v>
      </c>
      <c r="L3" s="2">
        <f ca="1">('[1]Qc, Summer, S2'!L3*Main!$B$5)</f>
        <v>4.5906410686570283</v>
      </c>
      <c r="M3" s="2">
        <f ca="1">('[1]Qc, Summer, S2'!M3*Main!$B$5)</f>
        <v>6.4537581555631371</v>
      </c>
      <c r="N3" s="2">
        <f ca="1">('[1]Qc, Summer, S2'!N3*Main!$B$5)</f>
        <v>8.7468354044825727</v>
      </c>
      <c r="O3" s="2">
        <f ca="1">('[1]Qc, Summer, S2'!O3*Main!$B$5)</f>
        <v>9.0155653398207871</v>
      </c>
      <c r="P3" s="2">
        <f ca="1">('[1]Qc, Summer, S2'!P3*Main!$B$5)</f>
        <v>5.0564280416250629</v>
      </c>
      <c r="Q3" s="2">
        <f ca="1">('[1]Qc, Summer, S2'!Q3*Main!$B$5)</f>
        <v>3.9457123548040887</v>
      </c>
      <c r="R3" s="2">
        <f ca="1">('[1]Qc, Summer, S2'!R3*Main!$B$5)</f>
        <v>-0.64044218338182446</v>
      </c>
      <c r="S3" s="2">
        <f ca="1">('[1]Qc, Summer, S2'!S3*Main!$B$5)</f>
        <v>-0.64044218338182446</v>
      </c>
      <c r="T3" s="2">
        <f ca="1">('[1]Qc, Summer, S2'!T3*Main!$B$5)</f>
        <v>-0.64044218338182446</v>
      </c>
      <c r="U3" s="2">
        <f ca="1">('[1]Qc, Summer, S2'!U3*Main!$B$5)</f>
        <v>-0.64044218338182446</v>
      </c>
      <c r="V3" s="2">
        <f ca="1">('[1]Qc, Summer, S2'!V3*Main!$B$5)</f>
        <v>-4.0800696161883092</v>
      </c>
      <c r="W3" s="2">
        <f ca="1">('[1]Qc, Summer, S2'!W3*Main!$B$5)</f>
        <v>-5.2266120937904699</v>
      </c>
      <c r="X3" s="2">
        <f ca="1">('[1]Qc, Summer, S2'!X3*Main!$B$5)</f>
        <v>-14.613874309432139</v>
      </c>
      <c r="Y3" s="2">
        <f ca="1">('[1]Qc, Summer, S2'!Y3*Main!$B$5)</f>
        <v>-14.613874309432139</v>
      </c>
    </row>
    <row r="4" spans="1:25" x14ac:dyDescent="0.3">
      <c r="A4">
        <v>3</v>
      </c>
      <c r="B4" s="2">
        <f ca="1">('[1]Qc, Summer, S2'!B4*Main!$B$5)</f>
        <v>11.681022534899865</v>
      </c>
      <c r="C4" s="2">
        <f ca="1">('[1]Qc, Summer, S2'!C4*Main!$B$5)</f>
        <v>8.9499267718804401</v>
      </c>
      <c r="D4" s="2">
        <f ca="1">('[1]Qc, Summer, S2'!D4*Main!$B$5)</f>
        <v>8.4813962100281017</v>
      </c>
      <c r="E4" s="2">
        <f ca="1">('[1]Qc, Summer, S2'!E4*Main!$B$5)</f>
        <v>7.4074302217533718</v>
      </c>
      <c r="F4" s="2">
        <f ca="1">('[1]Qc, Summer, S2'!F4*Main!$B$5)</f>
        <v>8.5274182309033346</v>
      </c>
      <c r="G4" s="2">
        <f ca="1">('[1]Qc, Summer, S2'!G4*Main!$B$5)</f>
        <v>3.9577069687313533</v>
      </c>
      <c r="H4" s="2">
        <f ca="1">('[1]Qc, Summer, S2'!H4*Main!$B$5)</f>
        <v>6.9052743621289512</v>
      </c>
      <c r="I4" s="2">
        <f ca="1">('[1]Qc, Summer, S2'!I4*Main!$B$5)</f>
        <v>13.269300561522293</v>
      </c>
      <c r="J4" s="2">
        <f ca="1">('[1]Qc, Summer, S2'!J4*Main!$B$5)</f>
        <v>19.302781640497784</v>
      </c>
      <c r="K4" s="2">
        <f ca="1">('[1]Qc, Summer, S2'!K4*Main!$B$5)</f>
        <v>22.937073375425193</v>
      </c>
      <c r="L4" s="2">
        <f ca="1">('[1]Qc, Summer, S2'!L4*Main!$B$5)</f>
        <v>25.040223837987732</v>
      </c>
      <c r="M4" s="2">
        <f ca="1">('[1]Qc, Summer, S2'!M4*Main!$B$5)</f>
        <v>25.954414831574564</v>
      </c>
      <c r="N4" s="2">
        <f ca="1">('[1]Qc, Summer, S2'!N4*Main!$B$5)</f>
        <v>27.121065149016893</v>
      </c>
      <c r="O4" s="2">
        <f ca="1">('[1]Qc, Summer, S2'!O4*Main!$B$5)</f>
        <v>27.326261302599999</v>
      </c>
      <c r="P4" s="2">
        <f ca="1">('[1]Qc, Summer, S2'!P4*Main!$B$5)</f>
        <v>27.132300052061154</v>
      </c>
      <c r="Q4" s="2">
        <f ca="1">('[1]Qc, Summer, S2'!Q4*Main!$B$5)</f>
        <v>26.229104613298819</v>
      </c>
      <c r="R4" s="2">
        <f ca="1">('[1]Qc, Summer, S2'!R4*Main!$B$5)</f>
        <v>24.96117736081484</v>
      </c>
      <c r="S4" s="2">
        <f ca="1">('[1]Qc, Summer, S2'!S4*Main!$B$5)</f>
        <v>22.150234349530269</v>
      </c>
      <c r="T4" s="2">
        <f ca="1">('[1]Qc, Summer, S2'!T4*Main!$B$5)</f>
        <v>22.047755717869375</v>
      </c>
      <c r="U4" s="2">
        <f ca="1">('[1]Qc, Summer, S2'!U4*Main!$B$5)</f>
        <v>20.974071045946154</v>
      </c>
      <c r="V4" s="2">
        <f ca="1">('[1]Qc, Summer, S2'!V4*Main!$B$5)</f>
        <v>18.905987541162759</v>
      </c>
      <c r="W4" s="2">
        <f ca="1">('[1]Qc, Summer, S2'!W4*Main!$B$5)</f>
        <v>22.664586900111981</v>
      </c>
      <c r="X4" s="2">
        <f ca="1">('[1]Qc, Summer, S2'!X4*Main!$B$5)</f>
        <v>20.308294830804257</v>
      </c>
      <c r="Y4" s="2">
        <f ca="1">('[1]Qc, Summer, S2'!Y4*Main!$B$5)</f>
        <v>16.343298059105528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-11.433915343864477</v>
      </c>
      <c r="C2" s="2">
        <f ca="1">('[1]Qc, Summer, S2'!C2*Main!$B$5)</f>
        <v>-14.865493921706035</v>
      </c>
      <c r="D2" s="2">
        <f ca="1">('[1]Qc, Summer, S2'!D2*Main!$B$5)</f>
        <v>-16.384643123802526</v>
      </c>
      <c r="E2" s="2">
        <f ca="1">('[1]Qc, Summer, S2'!E2*Main!$B$5)</f>
        <v>-14.95184525316485</v>
      </c>
      <c r="F2" s="2">
        <f ca="1">('[1]Qc, Summer, S2'!F2*Main!$B$5)</f>
        <v>-16.026366480447567</v>
      </c>
      <c r="G2" s="2">
        <f ca="1">('[1]Qc, Summer, S2'!G2*Main!$B$5)</f>
        <v>-16.395756781559999</v>
      </c>
      <c r="H2" s="2">
        <f ca="1">('[1]Qc, Summer, S2'!H2*Main!$B$5)</f>
        <v>-14.210043120355465</v>
      </c>
      <c r="I2" s="2">
        <f ca="1">('[1]Qc, Summer, S2'!I2*Main!$B$5)</f>
        <v>-2.2107634559307514</v>
      </c>
      <c r="J2" s="2">
        <f ca="1">('[1]Qc, Summer, S2'!J2*Main!$B$5)</f>
        <v>7.096388017410165</v>
      </c>
      <c r="K2" s="2">
        <f ca="1">('[1]Qc, Summer, S2'!K2*Main!$B$5)</f>
        <v>10.330961577772964</v>
      </c>
      <c r="L2" s="2">
        <f ca="1">('[1]Qc, Summer, S2'!L2*Main!$B$5)</f>
        <v>8.1210594105092664</v>
      </c>
      <c r="M2" s="2">
        <f ca="1">('[1]Qc, Summer, S2'!M2*Main!$B$5)</f>
        <v>10.817474113441545</v>
      </c>
      <c r="N2" s="2">
        <f ca="1">('[1]Qc, Summer, S2'!N2*Main!$B$5)</f>
        <v>9.5996415249097584</v>
      </c>
      <c r="O2" s="2">
        <f ca="1">('[1]Qc, Summer, S2'!O2*Main!$B$5)</f>
        <v>9.8886750727201775</v>
      </c>
      <c r="P2" s="2">
        <f ca="1">('[1]Qc, Summer, S2'!P2*Main!$B$5)</f>
        <v>5.1021934342721211</v>
      </c>
      <c r="Q2" s="2">
        <f ca="1">('[1]Qc, Summer, S2'!Q2*Main!$B$5)</f>
        <v>1.28989626236204</v>
      </c>
      <c r="R2" s="2">
        <f ca="1">('[1]Qc, Summer, S2'!R2*Main!$B$5)</f>
        <v>2.8695052111268224</v>
      </c>
      <c r="S2" s="2">
        <f ca="1">('[1]Qc, Summer, S2'!S2*Main!$B$5)</f>
        <v>3.485456699134529</v>
      </c>
      <c r="T2" s="2">
        <f ca="1">('[1]Qc, Summer, S2'!T2*Main!$B$5)</f>
        <v>2.0998564010013201</v>
      </c>
      <c r="U2" s="2">
        <f ca="1">('[1]Qc, Summer, S2'!U2*Main!$B$5)</f>
        <v>-0.39172079359676087</v>
      </c>
      <c r="V2" s="2">
        <f ca="1">('[1]Qc, Summer, S2'!V2*Main!$B$5)</f>
        <v>-1.5292150546297105</v>
      </c>
      <c r="W2" s="2">
        <f ca="1">('[1]Qc, Summer, S2'!W2*Main!$B$5)</f>
        <v>-1.0639145331967548</v>
      </c>
      <c r="X2" s="2">
        <f ca="1">('[1]Qc, Summer, S2'!X2*Main!$B$5)</f>
        <v>-5.1022602866244098</v>
      </c>
      <c r="Y2" s="2">
        <f ca="1">('[1]Qc, Summer, S2'!Y2*Main!$B$5)</f>
        <v>-6.9063247283631224</v>
      </c>
    </row>
    <row r="3" spans="1:25" x14ac:dyDescent="0.3">
      <c r="A3">
        <v>2</v>
      </c>
      <c r="B3" s="2">
        <f ca="1">('[1]Qc, Summer, S2'!B3*Main!$B$5)</f>
        <v>-14.470567065613304</v>
      </c>
      <c r="C3" s="2">
        <f ca="1">('[1]Qc, Summer, S2'!C3*Main!$B$5)</f>
        <v>-14.470567065613304</v>
      </c>
      <c r="D3" s="2">
        <f ca="1">('[1]Qc, Summer, S2'!D3*Main!$B$5)</f>
        <v>-16.79947498871665</v>
      </c>
      <c r="E3" s="2">
        <f ca="1">('[1]Qc, Summer, S2'!E3*Main!$B$5)</f>
        <v>-19.128382911819998</v>
      </c>
      <c r="F3" s="2">
        <f ca="1">('[1]Qc, Summer, S2'!F3*Main!$B$5)</f>
        <v>-19.128382911819998</v>
      </c>
      <c r="G3" s="2">
        <f ca="1">('[1]Qc, Summer, S2'!G3*Main!$B$5)</f>
        <v>-19.128382911819998</v>
      </c>
      <c r="H3" s="2">
        <f ca="1">('[1]Qc, Summer, S2'!H3*Main!$B$5)</f>
        <v>-7.6271659224315869</v>
      </c>
      <c r="I3" s="2">
        <f ca="1">('[1]Qc, Summer, S2'!I3*Main!$B$5)</f>
        <v>1.5809776409195535</v>
      </c>
      <c r="J3" s="2">
        <f ca="1">('[1]Qc, Summer, S2'!J3*Main!$B$5)</f>
        <v>5.020601230670354</v>
      </c>
      <c r="K3" s="2">
        <f ca="1">('[1]Qc, Summer, S2'!K3*Main!$B$5)</f>
        <v>5.020601230670354</v>
      </c>
      <c r="L3" s="2">
        <f ca="1">('[1]Qc, Summer, S2'!L3*Main!$B$5)</f>
        <v>4.5906410686570283</v>
      </c>
      <c r="M3" s="2">
        <f ca="1">('[1]Qc, Summer, S2'!M3*Main!$B$5)</f>
        <v>6.4537581555631371</v>
      </c>
      <c r="N3" s="2">
        <f ca="1">('[1]Qc, Summer, S2'!N3*Main!$B$5)</f>
        <v>8.7468354044825727</v>
      </c>
      <c r="O3" s="2">
        <f ca="1">('[1]Qc, Summer, S2'!O3*Main!$B$5)</f>
        <v>9.0155653398207871</v>
      </c>
      <c r="P3" s="2">
        <f ca="1">('[1]Qc, Summer, S2'!P3*Main!$B$5)</f>
        <v>5.0564280416250629</v>
      </c>
      <c r="Q3" s="2">
        <f ca="1">('[1]Qc, Summer, S2'!Q3*Main!$B$5)</f>
        <v>3.9457123548040887</v>
      </c>
      <c r="R3" s="2">
        <f ca="1">('[1]Qc, Summer, S2'!R3*Main!$B$5)</f>
        <v>-0.64044218338182446</v>
      </c>
      <c r="S3" s="2">
        <f ca="1">('[1]Qc, Summer, S2'!S3*Main!$B$5)</f>
        <v>-0.64044218338182446</v>
      </c>
      <c r="T3" s="2">
        <f ca="1">('[1]Qc, Summer, S2'!T3*Main!$B$5)</f>
        <v>-0.64044218338182446</v>
      </c>
      <c r="U3" s="2">
        <f ca="1">('[1]Qc, Summer, S2'!U3*Main!$B$5)</f>
        <v>-0.64044218338182446</v>
      </c>
      <c r="V3" s="2">
        <f ca="1">('[1]Qc, Summer, S2'!V3*Main!$B$5)</f>
        <v>-4.0800696161883092</v>
      </c>
      <c r="W3" s="2">
        <f ca="1">('[1]Qc, Summer, S2'!W3*Main!$B$5)</f>
        <v>-5.2266120937904699</v>
      </c>
      <c r="X3" s="2">
        <f ca="1">('[1]Qc, Summer, S2'!X3*Main!$B$5)</f>
        <v>-14.613874309432139</v>
      </c>
      <c r="Y3" s="2">
        <f ca="1">('[1]Qc, Summer, S2'!Y3*Main!$B$5)</f>
        <v>-14.613874309432139</v>
      </c>
    </row>
    <row r="4" spans="1:25" x14ac:dyDescent="0.3">
      <c r="A4">
        <v>3</v>
      </c>
      <c r="B4" s="2">
        <f ca="1">('[1]Qc, Summer, S2'!B4*Main!$B$5)</f>
        <v>11.681022534899865</v>
      </c>
      <c r="C4" s="2">
        <f ca="1">('[1]Qc, Summer, S2'!C4*Main!$B$5)</f>
        <v>8.9499267718804401</v>
      </c>
      <c r="D4" s="2">
        <f ca="1">('[1]Qc, Summer, S2'!D4*Main!$B$5)</f>
        <v>8.4813962100281017</v>
      </c>
      <c r="E4" s="2">
        <f ca="1">('[1]Qc, Summer, S2'!E4*Main!$B$5)</f>
        <v>7.4074302217533718</v>
      </c>
      <c r="F4" s="2">
        <f ca="1">('[1]Qc, Summer, S2'!F4*Main!$B$5)</f>
        <v>8.5274182309033346</v>
      </c>
      <c r="G4" s="2">
        <f ca="1">('[1]Qc, Summer, S2'!G4*Main!$B$5)</f>
        <v>3.9577069687313533</v>
      </c>
      <c r="H4" s="2">
        <f ca="1">('[1]Qc, Summer, S2'!H4*Main!$B$5)</f>
        <v>6.9052743621289512</v>
      </c>
      <c r="I4" s="2">
        <f ca="1">('[1]Qc, Summer, S2'!I4*Main!$B$5)</f>
        <v>13.269300561522293</v>
      </c>
      <c r="J4" s="2">
        <f ca="1">('[1]Qc, Summer, S2'!J4*Main!$B$5)</f>
        <v>19.302781640497784</v>
      </c>
      <c r="K4" s="2">
        <f ca="1">('[1]Qc, Summer, S2'!K4*Main!$B$5)</f>
        <v>22.937073375425193</v>
      </c>
      <c r="L4" s="2">
        <f ca="1">('[1]Qc, Summer, S2'!L4*Main!$B$5)</f>
        <v>25.040223837987732</v>
      </c>
      <c r="M4" s="2">
        <f ca="1">('[1]Qc, Summer, S2'!M4*Main!$B$5)</f>
        <v>25.954414831574564</v>
      </c>
      <c r="N4" s="2">
        <f ca="1">('[1]Qc, Summer, S2'!N4*Main!$B$5)</f>
        <v>27.121065149016893</v>
      </c>
      <c r="O4" s="2">
        <f ca="1">('[1]Qc, Summer, S2'!O4*Main!$B$5)</f>
        <v>27.326261302599999</v>
      </c>
      <c r="P4" s="2">
        <f ca="1">('[1]Qc, Summer, S2'!P4*Main!$B$5)</f>
        <v>27.132300052061154</v>
      </c>
      <c r="Q4" s="2">
        <f ca="1">('[1]Qc, Summer, S2'!Q4*Main!$B$5)</f>
        <v>26.229104613298819</v>
      </c>
      <c r="R4" s="2">
        <f ca="1">('[1]Qc, Summer, S2'!R4*Main!$B$5)</f>
        <v>24.96117736081484</v>
      </c>
      <c r="S4" s="2">
        <f ca="1">('[1]Qc, Summer, S2'!S4*Main!$B$5)</f>
        <v>22.150234349530269</v>
      </c>
      <c r="T4" s="2">
        <f ca="1">('[1]Qc, Summer, S2'!T4*Main!$B$5)</f>
        <v>22.047755717869375</v>
      </c>
      <c r="U4" s="2">
        <f ca="1">('[1]Qc, Summer, S2'!U4*Main!$B$5)</f>
        <v>20.974071045946154</v>
      </c>
      <c r="V4" s="2">
        <f ca="1">('[1]Qc, Summer, S2'!V4*Main!$B$5)</f>
        <v>18.905987541162759</v>
      </c>
      <c r="W4" s="2">
        <f ca="1">('[1]Qc, Summer, S2'!W4*Main!$B$5)</f>
        <v>22.664586900111981</v>
      </c>
      <c r="X4" s="2">
        <f ca="1">('[1]Qc, Summer, S2'!X4*Main!$B$5)</f>
        <v>20.308294830804257</v>
      </c>
      <c r="Y4" s="2">
        <f ca="1">('[1]Qc, Summer, S2'!Y4*Main!$B$5)</f>
        <v>16.343298059105528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-10.444441900645435</v>
      </c>
      <c r="C2" s="2">
        <f ca="1">('[1]Qc, Summer, S3'!C2*Main!$B$5)</f>
        <v>-13.579056947712244</v>
      </c>
      <c r="D2" s="2">
        <f ca="1">('[1]Qc, Summer, S3'!D2*Main!$B$5)</f>
        <v>-14.966741315011921</v>
      </c>
      <c r="E2" s="2">
        <f ca="1">('[1]Qc, Summer, S3'!E2*Main!$B$5)</f>
        <v>-13.657935567794814</v>
      </c>
      <c r="F2" s="2">
        <f ca="1">('[1]Qc, Summer, S3'!F2*Main!$B$5)</f>
        <v>-14.639469381178065</v>
      </c>
      <c r="G2" s="2">
        <f ca="1">('[1]Qc, Summer, S3'!G2*Main!$B$5)</f>
        <v>-14.976893213924999</v>
      </c>
      <c r="H2" s="2">
        <f ca="1">('[1]Qc, Summer, S3'!H2*Main!$B$5)</f>
        <v>-12.980327850324702</v>
      </c>
      <c r="I2" s="2">
        <f ca="1">('[1]Qc, Summer, S3'!I2*Main!$B$5)</f>
        <v>-2.019447387629052</v>
      </c>
      <c r="J2" s="2">
        <f ca="1">('[1]Qc, Summer, S3'!J2*Main!$B$5)</f>
        <v>6.4822775159035162</v>
      </c>
      <c r="K2" s="2">
        <f ca="1">('[1]Qc, Summer, S3'!K2*Main!$B$5)</f>
        <v>9.4369360566195333</v>
      </c>
      <c r="L2" s="2">
        <f ca="1">('[1]Qc, Summer, S3'!L2*Main!$B$5)</f>
        <v>7.4182754230613481</v>
      </c>
      <c r="M2" s="2">
        <f ca="1">('[1]Qc, Summer, S3'!M2*Main!$B$5)</f>
        <v>9.8813465459321819</v>
      </c>
      <c r="N2" s="2">
        <f ca="1">('[1]Qc, Summer, S3'!N2*Main!$B$5)</f>
        <v>8.7689033160233354</v>
      </c>
      <c r="O2" s="2">
        <f ca="1">('[1]Qc, Summer, S3'!O2*Main!$B$5)</f>
        <v>9.0329243452732371</v>
      </c>
      <c r="P2" s="2">
        <f ca="1">('[1]Qc, Summer, S3'!P2*Main!$B$5)</f>
        <v>4.6606574639985725</v>
      </c>
      <c r="Q2" s="2">
        <f ca="1">('[1]Qc, Summer, S3'!Q2*Main!$B$5)</f>
        <v>1.1782706242730172</v>
      </c>
      <c r="R2" s="2">
        <f ca="1">('[1]Qc, Summer, S3'!R2*Main!$B$5)</f>
        <v>2.6211826447793083</v>
      </c>
      <c r="S2" s="2">
        <f ca="1">('[1]Qc, Summer, S3'!S2*Main!$B$5)</f>
        <v>3.1838306386325024</v>
      </c>
      <c r="T2" s="2">
        <f ca="1">('[1]Qc, Summer, S3'!T2*Main!$B$5)</f>
        <v>1.9181380586069749</v>
      </c>
      <c r="U2" s="2">
        <f ca="1">('[1]Qc, Summer, S3'!U2*Main!$B$5)</f>
        <v>-0.35782187876627192</v>
      </c>
      <c r="V2" s="2">
        <f ca="1">('[1]Qc, Summer, S3'!V2*Main!$B$5)</f>
        <v>-1.3968791364406008</v>
      </c>
      <c r="W2" s="2">
        <f ca="1">('[1]Qc, Summer, S3'!W2*Main!$B$5)</f>
        <v>-0.97184500628549719</v>
      </c>
      <c r="X2" s="2">
        <f ca="1">('[1]Qc, Summer, S3'!X2*Main!$B$5)</f>
        <v>-4.6607185310511428</v>
      </c>
      <c r="Y2" s="2">
        <f ca="1">('[1]Qc, Summer, S3'!Y2*Main!$B$5)</f>
        <v>-6.3086620114855441</v>
      </c>
    </row>
    <row r="3" spans="1:25" x14ac:dyDescent="0.3">
      <c r="A3">
        <v>2</v>
      </c>
      <c r="B3" s="2">
        <f ca="1">('[1]Qc, Summer, S3'!B3*Main!$B$5)</f>
        <v>-13.218306454165999</v>
      </c>
      <c r="C3" s="2">
        <f ca="1">('[1]Qc, Summer, S3'!C3*Main!$B$5)</f>
        <v>-13.218306454165999</v>
      </c>
      <c r="D3" s="2">
        <f ca="1">('[1]Qc, Summer, S3'!D3*Main!$B$5)</f>
        <v>-15.345674268539247</v>
      </c>
      <c r="E3" s="2">
        <f ca="1">('[1]Qc, Summer, S3'!E3*Main!$B$5)</f>
        <v>-17.473042082912499</v>
      </c>
      <c r="F3" s="2">
        <f ca="1">('[1]Qc, Summer, S3'!F3*Main!$B$5)</f>
        <v>-17.473042082912499</v>
      </c>
      <c r="G3" s="2">
        <f ca="1">('[1]Qc, Summer, S3'!G3*Main!$B$5)</f>
        <v>-17.473042082912499</v>
      </c>
      <c r="H3" s="2">
        <f ca="1">('[1]Qc, Summer, S3'!H3*Main!$B$5)</f>
        <v>-6.9671227176057764</v>
      </c>
      <c r="I3" s="2">
        <f ca="1">('[1]Qc, Summer, S3'!I3*Main!$B$5)</f>
        <v>1.4441622681476691</v>
      </c>
      <c r="J3" s="2">
        <f ca="1">('[1]Qc, Summer, S3'!J3*Main!$B$5)</f>
        <v>4.5861261241700353</v>
      </c>
      <c r="K3" s="2">
        <f ca="1">('[1]Qc, Summer, S3'!K3*Main!$B$5)</f>
        <v>4.5861261241700353</v>
      </c>
      <c r="L3" s="2">
        <f ca="1">('[1]Qc, Summer, S3'!L3*Main!$B$5)</f>
        <v>4.1933740531001691</v>
      </c>
      <c r="M3" s="2">
        <f ca="1">('[1]Qc, Summer, S3'!M3*Main!$B$5)</f>
        <v>5.8952598536394039</v>
      </c>
      <c r="N3" s="2">
        <f ca="1">('[1]Qc, Summer, S3'!N3*Main!$B$5)</f>
        <v>7.9898977252485048</v>
      </c>
      <c r="O3" s="2">
        <f ca="1">('[1]Qc, Summer, S3'!O3*Main!$B$5)</f>
        <v>8.2353721854132189</v>
      </c>
      <c r="P3" s="2">
        <f ca="1">('[1]Qc, Summer, S3'!P3*Main!$B$5)</f>
        <v>4.6188525380228942</v>
      </c>
      <c r="Q3" s="2">
        <f ca="1">('[1]Qc, Summer, S3'!Q3*Main!$B$5)</f>
        <v>3.6042564779460418</v>
      </c>
      <c r="R3" s="2">
        <f ca="1">('[1]Qc, Summer, S3'!R3*Main!$B$5)</f>
        <v>-0.58501930212762809</v>
      </c>
      <c r="S3" s="2">
        <f ca="1">('[1]Qc, Summer, S3'!S3*Main!$B$5)</f>
        <v>-0.58501930212762809</v>
      </c>
      <c r="T3" s="2">
        <f ca="1">('[1]Qc, Summer, S3'!T3*Main!$B$5)</f>
        <v>-0.58501930212762809</v>
      </c>
      <c r="U3" s="2">
        <f ca="1">('[1]Qc, Summer, S3'!U3*Main!$B$5)</f>
        <v>-0.58501930212762809</v>
      </c>
      <c r="V3" s="2">
        <f ca="1">('[1]Qc, Summer, S3'!V3*Main!$B$5)</f>
        <v>-3.7269866686335513</v>
      </c>
      <c r="W3" s="2">
        <f ca="1">('[1]Qc, Summer, S3'!W3*Main!$B$5)</f>
        <v>-4.7743091241355247</v>
      </c>
      <c r="X3" s="2">
        <f ca="1">('[1]Qc, Summer, S3'!X3*Main!$B$5)</f>
        <v>-13.349212109577433</v>
      </c>
      <c r="Y3" s="2">
        <f ca="1">('[1]Qc, Summer, S3'!Y3*Main!$B$5)</f>
        <v>-13.349212109577433</v>
      </c>
    </row>
    <row r="4" spans="1:25" x14ac:dyDescent="0.3">
      <c r="A4">
        <v>3</v>
      </c>
      <c r="B4" s="2">
        <f ca="1">('[1]Qc, Summer, S3'!B4*Main!$B$5)</f>
        <v>10.670164815533528</v>
      </c>
      <c r="C4" s="2">
        <f ca="1">('[1]Qc, Summer, S3'!C4*Main!$B$5)</f>
        <v>8.1754138781600183</v>
      </c>
      <c r="D4" s="2">
        <f ca="1">('[1]Qc, Summer, S3'!D4*Main!$B$5)</f>
        <v>7.7474292303141308</v>
      </c>
      <c r="E4" s="2">
        <f ca="1">('[1]Qc, Summer, S3'!E4*Main!$B$5)</f>
        <v>6.7664026064093292</v>
      </c>
      <c r="F4" s="2">
        <f ca="1">('[1]Qc, Summer, S3'!F4*Main!$B$5)</f>
        <v>7.7894685763059277</v>
      </c>
      <c r="G4" s="2">
        <f ca="1">('[1]Qc, Summer, S3'!G4*Main!$B$5)</f>
        <v>3.6152130964372935</v>
      </c>
      <c r="H4" s="2">
        <f ca="1">('[1]Qc, Summer, S3'!H4*Main!$B$5)</f>
        <v>6.3077025423293298</v>
      </c>
      <c r="I4" s="2">
        <f ca="1">('[1]Qc, Summer, S3'!I4*Main!$B$5)</f>
        <v>12.120995705236711</v>
      </c>
      <c r="J4" s="2">
        <f ca="1">('[1]Qc, Summer, S3'!J4*Main!$B$5)</f>
        <v>17.632348613916246</v>
      </c>
      <c r="K4" s="2">
        <f ca="1">('[1]Qc, Summer, S3'!K4*Main!$B$5)</f>
        <v>20.952134333321087</v>
      </c>
      <c r="L4" s="2">
        <f ca="1">('[1]Qc, Summer, S3'!L4*Main!$B$5)</f>
        <v>22.873281390469561</v>
      </c>
      <c r="M4" s="2">
        <f ca="1">('[1]Qc, Summer, S3'!M4*Main!$B$5)</f>
        <v>23.708359701919072</v>
      </c>
      <c r="N4" s="2">
        <f ca="1">('[1]Qc, Summer, S3'!N4*Main!$B$5)</f>
        <v>24.774049895736582</v>
      </c>
      <c r="O4" s="2">
        <f ca="1">('[1]Qc, Summer, S3'!O4*Main!$B$5)</f>
        <v>24.961488689874997</v>
      </c>
      <c r="P4" s="2">
        <f ca="1">('[1]Qc, Summer, S3'!P4*Main!$B$5)</f>
        <v>24.78431254755586</v>
      </c>
      <c r="Q4" s="2">
        <f ca="1">('[1]Qc, Summer, S3'!Q4*Main!$B$5)</f>
        <v>23.959278252532574</v>
      </c>
      <c r="R4" s="2">
        <f ca="1">('[1]Qc, Summer, S3'!R4*Main!$B$5)</f>
        <v>22.801075473821246</v>
      </c>
      <c r="S4" s="2">
        <f ca="1">('[1]Qc, Summer, S3'!S4*Main!$B$5)</f>
        <v>20.23338714620553</v>
      </c>
      <c r="T4" s="2">
        <f ca="1">('[1]Qc, Summer, S3'!T4*Main!$B$5)</f>
        <v>20.139776857669137</v>
      </c>
      <c r="U4" s="2">
        <f ca="1">('[1]Qc, Summer, S3'!U4*Main!$B$5)</f>
        <v>19.159007205431582</v>
      </c>
      <c r="V4" s="2">
        <f ca="1">('[1]Qc, Summer, S3'!V4*Main!$B$5)</f>
        <v>17.26989246548521</v>
      </c>
      <c r="W4" s="2">
        <f ca="1">('[1]Qc, Summer, S3'!W4*Main!$B$5)</f>
        <v>20.703228418371516</v>
      </c>
      <c r="X4" s="2">
        <f ca="1">('[1]Qc, Summer, S3'!X4*Main!$B$5)</f>
        <v>18.550846239676964</v>
      </c>
      <c r="Y4" s="2">
        <f ca="1">('[1]Qc, Summer, S3'!Y4*Main!$B$5)</f>
        <v>14.928974188606007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-10.444441900645435</v>
      </c>
      <c r="C2" s="2">
        <f ca="1">('[1]Qc, Summer, S3'!C2*Main!$B$5)</f>
        <v>-13.579056947712244</v>
      </c>
      <c r="D2" s="2">
        <f ca="1">('[1]Qc, Summer, S3'!D2*Main!$B$5)</f>
        <v>-14.966741315011921</v>
      </c>
      <c r="E2" s="2">
        <f ca="1">('[1]Qc, Summer, S3'!E2*Main!$B$5)</f>
        <v>-13.657935567794814</v>
      </c>
      <c r="F2" s="2">
        <f ca="1">('[1]Qc, Summer, S3'!F2*Main!$B$5)</f>
        <v>-14.639469381178065</v>
      </c>
      <c r="G2" s="2">
        <f ca="1">('[1]Qc, Summer, S3'!G2*Main!$B$5)</f>
        <v>-14.976893213924999</v>
      </c>
      <c r="H2" s="2">
        <f ca="1">('[1]Qc, Summer, S3'!H2*Main!$B$5)</f>
        <v>-12.980327850324702</v>
      </c>
      <c r="I2" s="2">
        <f ca="1">('[1]Qc, Summer, S3'!I2*Main!$B$5)</f>
        <v>-2.019447387629052</v>
      </c>
      <c r="J2" s="2">
        <f ca="1">('[1]Qc, Summer, S3'!J2*Main!$B$5)</f>
        <v>6.4822775159035162</v>
      </c>
      <c r="K2" s="2">
        <f ca="1">('[1]Qc, Summer, S3'!K2*Main!$B$5)</f>
        <v>9.4369360566195333</v>
      </c>
      <c r="L2" s="2">
        <f ca="1">('[1]Qc, Summer, S3'!L2*Main!$B$5)</f>
        <v>7.4182754230613481</v>
      </c>
      <c r="M2" s="2">
        <f ca="1">('[1]Qc, Summer, S3'!M2*Main!$B$5)</f>
        <v>9.8813465459321819</v>
      </c>
      <c r="N2" s="2">
        <f ca="1">('[1]Qc, Summer, S3'!N2*Main!$B$5)</f>
        <v>8.7689033160233354</v>
      </c>
      <c r="O2" s="2">
        <f ca="1">('[1]Qc, Summer, S3'!O2*Main!$B$5)</f>
        <v>9.0329243452732371</v>
      </c>
      <c r="P2" s="2">
        <f ca="1">('[1]Qc, Summer, S3'!P2*Main!$B$5)</f>
        <v>4.6606574639985725</v>
      </c>
      <c r="Q2" s="2">
        <f ca="1">('[1]Qc, Summer, S3'!Q2*Main!$B$5)</f>
        <v>1.1782706242730172</v>
      </c>
      <c r="R2" s="2">
        <f ca="1">('[1]Qc, Summer, S3'!R2*Main!$B$5)</f>
        <v>2.6211826447793083</v>
      </c>
      <c r="S2" s="2">
        <f ca="1">('[1]Qc, Summer, S3'!S2*Main!$B$5)</f>
        <v>3.1838306386325024</v>
      </c>
      <c r="T2" s="2">
        <f ca="1">('[1]Qc, Summer, S3'!T2*Main!$B$5)</f>
        <v>1.9181380586069749</v>
      </c>
      <c r="U2" s="2">
        <f ca="1">('[1]Qc, Summer, S3'!U2*Main!$B$5)</f>
        <v>-0.35782187876627192</v>
      </c>
      <c r="V2" s="2">
        <f ca="1">('[1]Qc, Summer, S3'!V2*Main!$B$5)</f>
        <v>-1.3968791364406008</v>
      </c>
      <c r="W2" s="2">
        <f ca="1">('[1]Qc, Summer, S3'!W2*Main!$B$5)</f>
        <v>-0.97184500628549719</v>
      </c>
      <c r="X2" s="2">
        <f ca="1">('[1]Qc, Summer, S3'!X2*Main!$B$5)</f>
        <v>-4.6607185310511428</v>
      </c>
      <c r="Y2" s="2">
        <f ca="1">('[1]Qc, Summer, S3'!Y2*Main!$B$5)</f>
        <v>-6.3086620114855441</v>
      </c>
    </row>
    <row r="3" spans="1:25" x14ac:dyDescent="0.3">
      <c r="A3">
        <v>2</v>
      </c>
      <c r="B3" s="2">
        <f ca="1">('[1]Qc, Summer, S3'!B3*Main!$B$5)</f>
        <v>-13.218306454165999</v>
      </c>
      <c r="C3" s="2">
        <f ca="1">('[1]Qc, Summer, S3'!C3*Main!$B$5)</f>
        <v>-13.218306454165999</v>
      </c>
      <c r="D3" s="2">
        <f ca="1">('[1]Qc, Summer, S3'!D3*Main!$B$5)</f>
        <v>-15.345674268539247</v>
      </c>
      <c r="E3" s="2">
        <f ca="1">('[1]Qc, Summer, S3'!E3*Main!$B$5)</f>
        <v>-17.473042082912499</v>
      </c>
      <c r="F3" s="2">
        <f ca="1">('[1]Qc, Summer, S3'!F3*Main!$B$5)</f>
        <v>-17.473042082912499</v>
      </c>
      <c r="G3" s="2">
        <f ca="1">('[1]Qc, Summer, S3'!G3*Main!$B$5)</f>
        <v>-17.473042082912499</v>
      </c>
      <c r="H3" s="2">
        <f ca="1">('[1]Qc, Summer, S3'!H3*Main!$B$5)</f>
        <v>-6.9671227176057764</v>
      </c>
      <c r="I3" s="2">
        <f ca="1">('[1]Qc, Summer, S3'!I3*Main!$B$5)</f>
        <v>1.4441622681476691</v>
      </c>
      <c r="J3" s="2">
        <f ca="1">('[1]Qc, Summer, S3'!J3*Main!$B$5)</f>
        <v>4.5861261241700353</v>
      </c>
      <c r="K3" s="2">
        <f ca="1">('[1]Qc, Summer, S3'!K3*Main!$B$5)</f>
        <v>4.5861261241700353</v>
      </c>
      <c r="L3" s="2">
        <f ca="1">('[1]Qc, Summer, S3'!L3*Main!$B$5)</f>
        <v>4.1933740531001691</v>
      </c>
      <c r="M3" s="2">
        <f ca="1">('[1]Qc, Summer, S3'!M3*Main!$B$5)</f>
        <v>5.8952598536394039</v>
      </c>
      <c r="N3" s="2">
        <f ca="1">('[1]Qc, Summer, S3'!N3*Main!$B$5)</f>
        <v>7.9898977252485048</v>
      </c>
      <c r="O3" s="2">
        <f ca="1">('[1]Qc, Summer, S3'!O3*Main!$B$5)</f>
        <v>8.2353721854132189</v>
      </c>
      <c r="P3" s="2">
        <f ca="1">('[1]Qc, Summer, S3'!P3*Main!$B$5)</f>
        <v>4.6188525380228942</v>
      </c>
      <c r="Q3" s="2">
        <f ca="1">('[1]Qc, Summer, S3'!Q3*Main!$B$5)</f>
        <v>3.6042564779460418</v>
      </c>
      <c r="R3" s="2">
        <f ca="1">('[1]Qc, Summer, S3'!R3*Main!$B$5)</f>
        <v>-0.58501930212762809</v>
      </c>
      <c r="S3" s="2">
        <f ca="1">('[1]Qc, Summer, S3'!S3*Main!$B$5)</f>
        <v>-0.58501930212762809</v>
      </c>
      <c r="T3" s="2">
        <f ca="1">('[1]Qc, Summer, S3'!T3*Main!$B$5)</f>
        <v>-0.58501930212762809</v>
      </c>
      <c r="U3" s="2">
        <f ca="1">('[1]Qc, Summer, S3'!U3*Main!$B$5)</f>
        <v>-0.58501930212762809</v>
      </c>
      <c r="V3" s="2">
        <f ca="1">('[1]Qc, Summer, S3'!V3*Main!$B$5)</f>
        <v>-3.7269866686335513</v>
      </c>
      <c r="W3" s="2">
        <f ca="1">('[1]Qc, Summer, S3'!W3*Main!$B$5)</f>
        <v>-4.7743091241355247</v>
      </c>
      <c r="X3" s="2">
        <f ca="1">('[1]Qc, Summer, S3'!X3*Main!$B$5)</f>
        <v>-13.349212109577433</v>
      </c>
      <c r="Y3" s="2">
        <f ca="1">('[1]Qc, Summer, S3'!Y3*Main!$B$5)</f>
        <v>-13.349212109577433</v>
      </c>
    </row>
    <row r="4" spans="1:25" x14ac:dyDescent="0.3">
      <c r="A4">
        <v>3</v>
      </c>
      <c r="B4" s="2">
        <f ca="1">('[1]Qc, Summer, S3'!B4*Main!$B$5)</f>
        <v>10.670164815533528</v>
      </c>
      <c r="C4" s="2">
        <f ca="1">('[1]Qc, Summer, S3'!C4*Main!$B$5)</f>
        <v>8.1754138781600183</v>
      </c>
      <c r="D4" s="2">
        <f ca="1">('[1]Qc, Summer, S3'!D4*Main!$B$5)</f>
        <v>7.7474292303141308</v>
      </c>
      <c r="E4" s="2">
        <f ca="1">('[1]Qc, Summer, S3'!E4*Main!$B$5)</f>
        <v>6.7664026064093292</v>
      </c>
      <c r="F4" s="2">
        <f ca="1">('[1]Qc, Summer, S3'!F4*Main!$B$5)</f>
        <v>7.7894685763059277</v>
      </c>
      <c r="G4" s="2">
        <f ca="1">('[1]Qc, Summer, S3'!G4*Main!$B$5)</f>
        <v>3.6152130964372935</v>
      </c>
      <c r="H4" s="2">
        <f ca="1">('[1]Qc, Summer, S3'!H4*Main!$B$5)</f>
        <v>6.3077025423293298</v>
      </c>
      <c r="I4" s="2">
        <f ca="1">('[1]Qc, Summer, S3'!I4*Main!$B$5)</f>
        <v>12.120995705236711</v>
      </c>
      <c r="J4" s="2">
        <f ca="1">('[1]Qc, Summer, S3'!J4*Main!$B$5)</f>
        <v>17.632348613916246</v>
      </c>
      <c r="K4" s="2">
        <f ca="1">('[1]Qc, Summer, S3'!K4*Main!$B$5)</f>
        <v>20.952134333321087</v>
      </c>
      <c r="L4" s="2">
        <f ca="1">('[1]Qc, Summer, S3'!L4*Main!$B$5)</f>
        <v>22.873281390469561</v>
      </c>
      <c r="M4" s="2">
        <f ca="1">('[1]Qc, Summer, S3'!M4*Main!$B$5)</f>
        <v>23.708359701919072</v>
      </c>
      <c r="N4" s="2">
        <f ca="1">('[1]Qc, Summer, S3'!N4*Main!$B$5)</f>
        <v>24.774049895736582</v>
      </c>
      <c r="O4" s="2">
        <f ca="1">('[1]Qc, Summer, S3'!O4*Main!$B$5)</f>
        <v>24.961488689874997</v>
      </c>
      <c r="P4" s="2">
        <f ca="1">('[1]Qc, Summer, S3'!P4*Main!$B$5)</f>
        <v>24.78431254755586</v>
      </c>
      <c r="Q4" s="2">
        <f ca="1">('[1]Qc, Summer, S3'!Q4*Main!$B$5)</f>
        <v>23.959278252532574</v>
      </c>
      <c r="R4" s="2">
        <f ca="1">('[1]Qc, Summer, S3'!R4*Main!$B$5)</f>
        <v>22.801075473821246</v>
      </c>
      <c r="S4" s="2">
        <f ca="1">('[1]Qc, Summer, S3'!S4*Main!$B$5)</f>
        <v>20.23338714620553</v>
      </c>
      <c r="T4" s="2">
        <f ca="1">('[1]Qc, Summer, S3'!T4*Main!$B$5)</f>
        <v>20.139776857669137</v>
      </c>
      <c r="U4" s="2">
        <f ca="1">('[1]Qc, Summer, S3'!U4*Main!$B$5)</f>
        <v>19.159007205431582</v>
      </c>
      <c r="V4" s="2">
        <f ca="1">('[1]Qc, Summer, S3'!V4*Main!$B$5)</f>
        <v>17.26989246548521</v>
      </c>
      <c r="W4" s="2">
        <f ca="1">('[1]Qc, Summer, S3'!W4*Main!$B$5)</f>
        <v>20.703228418371516</v>
      </c>
      <c r="X4" s="2">
        <f ca="1">('[1]Qc, Summer, S3'!X4*Main!$B$5)</f>
        <v>18.550846239676964</v>
      </c>
      <c r="Y4" s="2">
        <f ca="1">('[1]Qc, Summer, S3'!Y4*Main!$B$5)</f>
        <v>14.928974188606007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-10.444441900645435</v>
      </c>
      <c r="C2" s="2">
        <f ca="1">('[1]Qc, Summer, S3'!C2*Main!$B$5)</f>
        <v>-13.579056947712244</v>
      </c>
      <c r="D2" s="2">
        <f ca="1">('[1]Qc, Summer, S3'!D2*Main!$B$5)</f>
        <v>-14.966741315011921</v>
      </c>
      <c r="E2" s="2">
        <f ca="1">('[1]Qc, Summer, S3'!E2*Main!$B$5)</f>
        <v>-13.657935567794814</v>
      </c>
      <c r="F2" s="2">
        <f ca="1">('[1]Qc, Summer, S3'!F2*Main!$B$5)</f>
        <v>-14.639469381178065</v>
      </c>
      <c r="G2" s="2">
        <f ca="1">('[1]Qc, Summer, S3'!G2*Main!$B$5)</f>
        <v>-14.976893213924999</v>
      </c>
      <c r="H2" s="2">
        <f ca="1">('[1]Qc, Summer, S3'!H2*Main!$B$5)</f>
        <v>-12.980327850324702</v>
      </c>
      <c r="I2" s="2">
        <f ca="1">('[1]Qc, Summer, S3'!I2*Main!$B$5)</f>
        <v>-2.019447387629052</v>
      </c>
      <c r="J2" s="2">
        <f ca="1">('[1]Qc, Summer, S3'!J2*Main!$B$5)</f>
        <v>6.4822775159035162</v>
      </c>
      <c r="K2" s="2">
        <f ca="1">('[1]Qc, Summer, S3'!K2*Main!$B$5)</f>
        <v>9.4369360566195333</v>
      </c>
      <c r="L2" s="2">
        <f ca="1">('[1]Qc, Summer, S3'!L2*Main!$B$5)</f>
        <v>7.4182754230613481</v>
      </c>
      <c r="M2" s="2">
        <f ca="1">('[1]Qc, Summer, S3'!M2*Main!$B$5)</f>
        <v>9.8813465459321819</v>
      </c>
      <c r="N2" s="2">
        <f ca="1">('[1]Qc, Summer, S3'!N2*Main!$B$5)</f>
        <v>8.7689033160233354</v>
      </c>
      <c r="O2" s="2">
        <f ca="1">('[1]Qc, Summer, S3'!O2*Main!$B$5)</f>
        <v>9.0329243452732371</v>
      </c>
      <c r="P2" s="2">
        <f ca="1">('[1]Qc, Summer, S3'!P2*Main!$B$5)</f>
        <v>4.6606574639985725</v>
      </c>
      <c r="Q2" s="2">
        <f ca="1">('[1]Qc, Summer, S3'!Q2*Main!$B$5)</f>
        <v>1.1782706242730172</v>
      </c>
      <c r="R2" s="2">
        <f ca="1">('[1]Qc, Summer, S3'!R2*Main!$B$5)</f>
        <v>2.6211826447793083</v>
      </c>
      <c r="S2" s="2">
        <f ca="1">('[1]Qc, Summer, S3'!S2*Main!$B$5)</f>
        <v>3.1838306386325024</v>
      </c>
      <c r="T2" s="2">
        <f ca="1">('[1]Qc, Summer, S3'!T2*Main!$B$5)</f>
        <v>1.9181380586069749</v>
      </c>
      <c r="U2" s="2">
        <f ca="1">('[1]Qc, Summer, S3'!U2*Main!$B$5)</f>
        <v>-0.35782187876627192</v>
      </c>
      <c r="V2" s="2">
        <f ca="1">('[1]Qc, Summer, S3'!V2*Main!$B$5)</f>
        <v>-1.3968791364406008</v>
      </c>
      <c r="W2" s="2">
        <f ca="1">('[1]Qc, Summer, S3'!W2*Main!$B$5)</f>
        <v>-0.97184500628549719</v>
      </c>
      <c r="X2" s="2">
        <f ca="1">('[1]Qc, Summer, S3'!X2*Main!$B$5)</f>
        <v>-4.6607185310511428</v>
      </c>
      <c r="Y2" s="2">
        <f ca="1">('[1]Qc, Summer, S3'!Y2*Main!$B$5)</f>
        <v>-6.3086620114855441</v>
      </c>
    </row>
    <row r="3" spans="1:25" x14ac:dyDescent="0.3">
      <c r="A3">
        <v>2</v>
      </c>
      <c r="B3" s="2">
        <f ca="1">('[1]Qc, Summer, S3'!B3*Main!$B$5)</f>
        <v>-13.218306454165999</v>
      </c>
      <c r="C3" s="2">
        <f ca="1">('[1]Qc, Summer, S3'!C3*Main!$B$5)</f>
        <v>-13.218306454165999</v>
      </c>
      <c r="D3" s="2">
        <f ca="1">('[1]Qc, Summer, S3'!D3*Main!$B$5)</f>
        <v>-15.345674268539247</v>
      </c>
      <c r="E3" s="2">
        <f ca="1">('[1]Qc, Summer, S3'!E3*Main!$B$5)</f>
        <v>-17.473042082912499</v>
      </c>
      <c r="F3" s="2">
        <f ca="1">('[1]Qc, Summer, S3'!F3*Main!$B$5)</f>
        <v>-17.473042082912499</v>
      </c>
      <c r="G3" s="2">
        <f ca="1">('[1]Qc, Summer, S3'!G3*Main!$B$5)</f>
        <v>-17.473042082912499</v>
      </c>
      <c r="H3" s="2">
        <f ca="1">('[1]Qc, Summer, S3'!H3*Main!$B$5)</f>
        <v>-6.9671227176057764</v>
      </c>
      <c r="I3" s="2">
        <f ca="1">('[1]Qc, Summer, S3'!I3*Main!$B$5)</f>
        <v>1.4441622681476691</v>
      </c>
      <c r="J3" s="2">
        <f ca="1">('[1]Qc, Summer, S3'!J3*Main!$B$5)</f>
        <v>4.5861261241700353</v>
      </c>
      <c r="K3" s="2">
        <f ca="1">('[1]Qc, Summer, S3'!K3*Main!$B$5)</f>
        <v>4.5861261241700353</v>
      </c>
      <c r="L3" s="2">
        <f ca="1">('[1]Qc, Summer, S3'!L3*Main!$B$5)</f>
        <v>4.1933740531001691</v>
      </c>
      <c r="M3" s="2">
        <f ca="1">('[1]Qc, Summer, S3'!M3*Main!$B$5)</f>
        <v>5.8952598536394039</v>
      </c>
      <c r="N3" s="2">
        <f ca="1">('[1]Qc, Summer, S3'!N3*Main!$B$5)</f>
        <v>7.9898977252485048</v>
      </c>
      <c r="O3" s="2">
        <f ca="1">('[1]Qc, Summer, S3'!O3*Main!$B$5)</f>
        <v>8.2353721854132189</v>
      </c>
      <c r="P3" s="2">
        <f ca="1">('[1]Qc, Summer, S3'!P3*Main!$B$5)</f>
        <v>4.6188525380228942</v>
      </c>
      <c r="Q3" s="2">
        <f ca="1">('[1]Qc, Summer, S3'!Q3*Main!$B$5)</f>
        <v>3.6042564779460418</v>
      </c>
      <c r="R3" s="2">
        <f ca="1">('[1]Qc, Summer, S3'!R3*Main!$B$5)</f>
        <v>-0.58501930212762809</v>
      </c>
      <c r="S3" s="2">
        <f ca="1">('[1]Qc, Summer, S3'!S3*Main!$B$5)</f>
        <v>-0.58501930212762809</v>
      </c>
      <c r="T3" s="2">
        <f ca="1">('[1]Qc, Summer, S3'!T3*Main!$B$5)</f>
        <v>-0.58501930212762809</v>
      </c>
      <c r="U3" s="2">
        <f ca="1">('[1]Qc, Summer, S3'!U3*Main!$B$5)</f>
        <v>-0.58501930212762809</v>
      </c>
      <c r="V3" s="2">
        <f ca="1">('[1]Qc, Summer, S3'!V3*Main!$B$5)</f>
        <v>-3.7269866686335513</v>
      </c>
      <c r="W3" s="2">
        <f ca="1">('[1]Qc, Summer, S3'!W3*Main!$B$5)</f>
        <v>-4.7743091241355247</v>
      </c>
      <c r="X3" s="2">
        <f ca="1">('[1]Qc, Summer, S3'!X3*Main!$B$5)</f>
        <v>-13.349212109577433</v>
      </c>
      <c r="Y3" s="2">
        <f ca="1">('[1]Qc, Summer, S3'!Y3*Main!$B$5)</f>
        <v>-13.349212109577433</v>
      </c>
    </row>
    <row r="4" spans="1:25" x14ac:dyDescent="0.3">
      <c r="A4">
        <v>3</v>
      </c>
      <c r="B4" s="2">
        <f ca="1">('[1]Qc, Summer, S3'!B4*Main!$B$5)</f>
        <v>10.670164815533528</v>
      </c>
      <c r="C4" s="2">
        <f ca="1">('[1]Qc, Summer, S3'!C4*Main!$B$5)</f>
        <v>8.1754138781600183</v>
      </c>
      <c r="D4" s="2">
        <f ca="1">('[1]Qc, Summer, S3'!D4*Main!$B$5)</f>
        <v>7.7474292303141308</v>
      </c>
      <c r="E4" s="2">
        <f ca="1">('[1]Qc, Summer, S3'!E4*Main!$B$5)</f>
        <v>6.7664026064093292</v>
      </c>
      <c r="F4" s="2">
        <f ca="1">('[1]Qc, Summer, S3'!F4*Main!$B$5)</f>
        <v>7.7894685763059277</v>
      </c>
      <c r="G4" s="2">
        <f ca="1">('[1]Qc, Summer, S3'!G4*Main!$B$5)</f>
        <v>3.6152130964372935</v>
      </c>
      <c r="H4" s="2">
        <f ca="1">('[1]Qc, Summer, S3'!H4*Main!$B$5)</f>
        <v>6.3077025423293298</v>
      </c>
      <c r="I4" s="2">
        <f ca="1">('[1]Qc, Summer, S3'!I4*Main!$B$5)</f>
        <v>12.120995705236711</v>
      </c>
      <c r="J4" s="2">
        <f ca="1">('[1]Qc, Summer, S3'!J4*Main!$B$5)</f>
        <v>17.632348613916246</v>
      </c>
      <c r="K4" s="2">
        <f ca="1">('[1]Qc, Summer, S3'!K4*Main!$B$5)</f>
        <v>20.952134333321087</v>
      </c>
      <c r="L4" s="2">
        <f ca="1">('[1]Qc, Summer, S3'!L4*Main!$B$5)</f>
        <v>22.873281390469561</v>
      </c>
      <c r="M4" s="2">
        <f ca="1">('[1]Qc, Summer, S3'!M4*Main!$B$5)</f>
        <v>23.708359701919072</v>
      </c>
      <c r="N4" s="2">
        <f ca="1">('[1]Qc, Summer, S3'!N4*Main!$B$5)</f>
        <v>24.774049895736582</v>
      </c>
      <c r="O4" s="2">
        <f ca="1">('[1]Qc, Summer, S3'!O4*Main!$B$5)</f>
        <v>24.961488689874997</v>
      </c>
      <c r="P4" s="2">
        <f ca="1">('[1]Qc, Summer, S3'!P4*Main!$B$5)</f>
        <v>24.78431254755586</v>
      </c>
      <c r="Q4" s="2">
        <f ca="1">('[1]Qc, Summer, S3'!Q4*Main!$B$5)</f>
        <v>23.959278252532574</v>
      </c>
      <c r="R4" s="2">
        <f ca="1">('[1]Qc, Summer, S3'!R4*Main!$B$5)</f>
        <v>22.801075473821246</v>
      </c>
      <c r="S4" s="2">
        <f ca="1">('[1]Qc, Summer, S3'!S4*Main!$B$5)</f>
        <v>20.23338714620553</v>
      </c>
      <c r="T4" s="2">
        <f ca="1">('[1]Qc, Summer, S3'!T4*Main!$B$5)</f>
        <v>20.139776857669137</v>
      </c>
      <c r="U4" s="2">
        <f ca="1">('[1]Qc, Summer, S3'!U4*Main!$B$5)</f>
        <v>19.159007205431582</v>
      </c>
      <c r="V4" s="2">
        <f ca="1">('[1]Qc, Summer, S3'!V4*Main!$B$5)</f>
        <v>17.26989246548521</v>
      </c>
      <c r="W4" s="2">
        <f ca="1">('[1]Qc, Summer, S3'!W4*Main!$B$5)</f>
        <v>20.703228418371516</v>
      </c>
      <c r="X4" s="2">
        <f ca="1">('[1]Qc, Summer, S3'!X4*Main!$B$5)</f>
        <v>18.550846239676964</v>
      </c>
      <c r="Y4" s="2">
        <f ca="1">('[1]Qc, Summer, S3'!Y4*Main!$B$5)</f>
        <v>14.928974188606007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D65C-DBC9-40DA-ABEE-816149CE725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88BB-74A3-477E-9B6F-19351CC6CB9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5497-56F8-42F6-A945-D4621CE2E97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6CB5B-1DB1-4676-8A26-9AF5B04E0EB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C413D-0BEB-471A-B6EA-DAA8F892829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476F-F11C-4FAD-8739-487008AFFD0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489A-F098-4871-AA5A-66ECC461660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039B-D4D9-47D8-9308-A8064C02CC8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FA8B6-75B5-460C-B501-FE7E84FD18F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412E-03FF-4CAB-85E1-C58A8E86AF6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4C76-9EDF-4252-BA3B-EDA21B947A8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EE3FA-BE46-4CB7-AE43-AF4A1A10FF9F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588C4-FEB5-4FAF-AB77-B6253D8060E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660-9D0F-4249-B1FF-B682310B935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111CC-BA89-4319-A364-266BB9C3D1D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71DE-90DC-45C2-9AB6-C7985623333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334F-2329-484F-A3BB-F1C62E3D76A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EBA2-B0AD-4F22-9BB6-F0186F579EA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10"/>
  <sheetViews>
    <sheetView workbookViewId="0">
      <selection activeCell="P2" sqref="P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6DA5-92A0-4EFF-BFF4-80CC021F38B7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34.972152632714391</v>
      </c>
      <c r="C3" s="2">
        <f>('[1]Pc, Summer, S1'!C3*Main!$B$5)+(_xlfn.IFNA(VLOOKUP($A3,'FL Ratio'!$A$3:$B$10,2,FALSE),0)*'FL Characterization'!C$2)</f>
        <v>31.843195696502544</v>
      </c>
      <c r="D3" s="2">
        <f>('[1]Pc, Summer, S1'!D3*Main!$B$5)+(_xlfn.IFNA(VLOOKUP($A3,'FL Ratio'!$A$3:$B$10,2,FALSE),0)*'FL Characterization'!D$2)</f>
        <v>30.284579421167187</v>
      </c>
      <c r="E3" s="2">
        <f>('[1]Pc, Summer, S1'!E3*Main!$B$5)+(_xlfn.IFNA(VLOOKUP($A3,'FL Ratio'!$A$3:$B$10,2,FALSE),0)*'FL Characterization'!E$2)</f>
        <v>29.206444098014508</v>
      </c>
      <c r="F3" s="2">
        <f>('[1]Pc, Summer, S1'!F3*Main!$B$5)+(_xlfn.IFNA(VLOOKUP($A3,'FL Ratio'!$A$3:$B$10,2,FALSE),0)*'FL Characterization'!F$2)</f>
        <v>29.206444098014508</v>
      </c>
      <c r="G3" s="2">
        <f>('[1]Pc, Summer, S1'!G3*Main!$B$5)+(_xlfn.IFNA(VLOOKUP($A3,'FL Ratio'!$A$3:$B$10,2,FALSE),0)*'FL Characterization'!G$2)</f>
        <v>31.315847382681632</v>
      </c>
      <c r="H3" s="2">
        <f>('[1]Pc, Summer, S1'!H3*Main!$B$5)+(_xlfn.IFNA(VLOOKUP($A3,'FL Ratio'!$A$3:$B$10,2,FALSE),0)*'FL Characterization'!H$2)</f>
        <v>39.237829087528425</v>
      </c>
      <c r="I3" s="2">
        <f>('[1]Pc, Summer, S1'!I3*Main!$B$5)+(_xlfn.IFNA(VLOOKUP($A3,'FL Ratio'!$A$3:$B$10,2,FALSE),0)*'FL Characterization'!I$2)</f>
        <v>48.284808436081278</v>
      </c>
      <c r="J3" s="2">
        <f>('[1]Pc, Summer, S1'!J3*Main!$B$5)+(_xlfn.IFNA(VLOOKUP($A3,'FL Ratio'!$A$3:$B$10,2,FALSE),0)*'FL Characterization'!J$2)</f>
        <v>50.394214247889096</v>
      </c>
      <c r="K3" s="2">
        <f>('[1]Pc, Summer, S1'!K3*Main!$B$5)+(_xlfn.IFNA(VLOOKUP($A3,'FL Ratio'!$A$3:$B$10,2,FALSE),0)*'FL Characterization'!K$2)</f>
        <v>49.339510085013124</v>
      </c>
      <c r="L3" s="2">
        <f>('[1]Pc, Summer, S1'!L3*Main!$B$5)+(_xlfn.IFNA(VLOOKUP($A3,'FL Ratio'!$A$3:$B$10,2,FALSE),0)*'FL Characterization'!L$2)</f>
        <v>49.316076410792284</v>
      </c>
      <c r="M3" s="2">
        <f>('[1]Pc, Summer, S1'!M3*Main!$B$5)+(_xlfn.IFNA(VLOOKUP($A3,'FL Ratio'!$A$3:$B$10,2,FALSE),0)*'FL Characterization'!M$2)</f>
        <v>52.550502504999997</v>
      </c>
      <c r="N3" s="2">
        <f>('[1]Pc, Summer, S1'!N3*Main!$B$5)+(_xlfn.IFNA(VLOOKUP($A3,'FL Ratio'!$A$3:$B$10,2,FALSE),0)*'FL Characterization'!N$2)</f>
        <v>52.550502504999997</v>
      </c>
      <c r="O3" s="2">
        <f>('[1]Pc, Summer, S1'!O3*Main!$B$5)+(_xlfn.IFNA(VLOOKUP($A3,'FL Ratio'!$A$3:$B$10,2,FALSE),0)*'FL Characterization'!O$2)</f>
        <v>52.550502504999997</v>
      </c>
      <c r="P3" s="2">
        <f>('[1]Pc, Summer, S1'!P3*Main!$B$5)+(_xlfn.IFNA(VLOOKUP($A3,'FL Ratio'!$A$3:$B$10,2,FALSE),0)*'FL Characterization'!P$2)</f>
        <v>49.91374335478212</v>
      </c>
      <c r="Q3" s="2">
        <f>('[1]Pc, Summer, S1'!Q3*Main!$B$5)+(_xlfn.IFNA(VLOOKUP($A3,'FL Ratio'!$A$3:$B$10,2,FALSE),0)*'FL Characterization'!Q$2)</f>
        <v>47.253545499155976</v>
      </c>
      <c r="R3" s="2">
        <f>('[1]Pc, Summer, S1'!R3*Main!$B$5)+(_xlfn.IFNA(VLOOKUP($A3,'FL Ratio'!$A$3:$B$10,2,FALSE),0)*'FL Characterization'!R$2)</f>
        <v>44.019124436135691</v>
      </c>
      <c r="S3" s="2">
        <f>('[1]Pc, Summer, S1'!S3*Main!$B$5)+(_xlfn.IFNA(VLOOKUP($A3,'FL Ratio'!$A$3:$B$10,2,FALSE),0)*'FL Characterization'!S$2)</f>
        <v>44.019124436135691</v>
      </c>
      <c r="T3" s="2">
        <f>('[1]Pc, Summer, S1'!T3*Main!$B$5)+(_xlfn.IFNA(VLOOKUP($A3,'FL Ratio'!$A$3:$B$10,2,FALSE),0)*'FL Characterization'!T$2)</f>
        <v>44.019124436135691</v>
      </c>
      <c r="U3" s="2">
        <f>('[1]Pc, Summer, S1'!U3*Main!$B$5)+(_xlfn.IFNA(VLOOKUP($A3,'FL Ratio'!$A$3:$B$10,2,FALSE),0)*'FL Characterization'!U$2)</f>
        <v>44.019124436135691</v>
      </c>
      <c r="V3" s="2">
        <f>('[1]Pc, Summer, S1'!V3*Main!$B$5)+(_xlfn.IFNA(VLOOKUP($A3,'FL Ratio'!$A$3:$B$10,2,FALSE),0)*'FL Characterization'!V$2)</f>
        <v>44.019124436135691</v>
      </c>
      <c r="W3" s="2">
        <f>('[1]Pc, Summer, S1'!W3*Main!$B$5)+(_xlfn.IFNA(VLOOKUP($A3,'FL Ratio'!$A$3:$B$10,2,FALSE),0)*'FL Characterization'!W$2)</f>
        <v>44.019124436135691</v>
      </c>
      <c r="X3" s="2">
        <f>('[1]Pc, Summer, S1'!X3*Main!$B$5)+(_xlfn.IFNA(VLOOKUP($A3,'FL Ratio'!$A$3:$B$10,2,FALSE),0)*'FL Characterization'!X$2)</f>
        <v>42.437079514467769</v>
      </c>
      <c r="Y3" s="2">
        <f>('[1]Pc, Summer, S1'!Y3*Main!$B$5)+(_xlfn.IFNA(VLOOKUP($A3,'FL Ratio'!$A$3:$B$10,2,FALSE),0)*'FL Characterization'!Y$2)</f>
        <v>39.706578109038425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47.154475008173534</v>
      </c>
      <c r="C4" s="2">
        <f>('[1]Pc, Summer, S1'!C4*Main!$B$5)+(_xlfn.IFNA(VLOOKUP($A4,'FL Ratio'!$A$3:$B$10,2,FALSE),0)*'FL Characterization'!C$2)</f>
        <v>41.510191617826251</v>
      </c>
      <c r="D4" s="2">
        <f>('[1]Pc, Summer, S1'!D4*Main!$B$5)+(_xlfn.IFNA(VLOOKUP($A4,'FL Ratio'!$A$3:$B$10,2,FALSE),0)*'FL Characterization'!D$2)</f>
        <v>39.25233704821494</v>
      </c>
      <c r="E4" s="2">
        <f>('[1]Pc, Summer, S1'!E4*Main!$B$5)+(_xlfn.IFNA(VLOOKUP($A4,'FL Ratio'!$A$3:$B$10,2,FALSE),0)*'FL Characterization'!E$2)</f>
        <v>38.007403904807504</v>
      </c>
      <c r="F4" s="2">
        <f>('[1]Pc, Summer, S1'!F4*Main!$B$5)+(_xlfn.IFNA(VLOOKUP($A4,'FL Ratio'!$A$3:$B$10,2,FALSE),0)*'FL Characterization'!F$2)</f>
        <v>40.291405832265134</v>
      </c>
      <c r="G4" s="2">
        <f>('[1]Pc, Summer, S1'!G4*Main!$B$5)+(_xlfn.IFNA(VLOOKUP($A4,'FL Ratio'!$A$3:$B$10,2,FALSE),0)*'FL Characterization'!G$2)</f>
        <v>36.904338659336617</v>
      </c>
      <c r="H4" s="2">
        <f>('[1]Pc, Summer, S1'!H4*Main!$B$5)+(_xlfn.IFNA(VLOOKUP($A4,'FL Ratio'!$A$3:$B$10,2,FALSE),0)*'FL Characterization'!H$2)</f>
        <v>43.282055684974367</v>
      </c>
      <c r="I4" s="2">
        <f>('[1]Pc, Summer, S1'!I4*Main!$B$5)+(_xlfn.IFNA(VLOOKUP($A4,'FL Ratio'!$A$3:$B$10,2,FALSE),0)*'FL Characterization'!I$2)</f>
        <v>50.236741201954985</v>
      </c>
      <c r="J4" s="2">
        <f>('[1]Pc, Summer, S1'!J4*Main!$B$5)+(_xlfn.IFNA(VLOOKUP($A4,'FL Ratio'!$A$3:$B$10,2,FALSE),0)*'FL Characterization'!J$2)</f>
        <v>56.595080136788141</v>
      </c>
      <c r="K4" s="2">
        <f>('[1]Pc, Summer, S1'!K4*Main!$B$5)+(_xlfn.IFNA(VLOOKUP($A4,'FL Ratio'!$A$3:$B$10,2,FALSE),0)*'FL Characterization'!K$2)</f>
        <v>60.741585644354679</v>
      </c>
      <c r="L4" s="2">
        <f>('[1]Pc, Summer, S1'!L4*Main!$B$5)+(_xlfn.IFNA(VLOOKUP($A4,'FL Ratio'!$A$3:$B$10,2,FALSE),0)*'FL Characterization'!L$2)</f>
        <v>62.685447762068605</v>
      </c>
      <c r="M4" s="2">
        <f>('[1]Pc, Summer, S1'!M4*Main!$B$5)+(_xlfn.IFNA(VLOOKUP($A4,'FL Ratio'!$A$3:$B$10,2,FALSE),0)*'FL Characterization'!M$2)</f>
        <v>63.677536920108501</v>
      </c>
      <c r="N4" s="2">
        <f>('[1]Pc, Summer, S1'!N4*Main!$B$5)+(_xlfn.IFNA(VLOOKUP($A4,'FL Ratio'!$A$3:$B$10,2,FALSE),0)*'FL Characterization'!N$2)</f>
        <v>64.927855775377978</v>
      </c>
      <c r="O4" s="2">
        <f>('[1]Pc, Summer, S1'!O4*Main!$B$5)+(_xlfn.IFNA(VLOOKUP($A4,'FL Ratio'!$A$3:$B$10,2,FALSE),0)*'FL Characterization'!O$2)</f>
        <v>65.459638717212556</v>
      </c>
      <c r="P4" s="2">
        <f>('[1]Pc, Summer, S1'!P4*Main!$B$5)+(_xlfn.IFNA(VLOOKUP($A4,'FL Ratio'!$A$3:$B$10,2,FALSE),0)*'FL Characterization'!P$2)</f>
        <v>65.688128131249996</v>
      </c>
      <c r="Q4" s="2">
        <f>('[1]Pc, Summer, S1'!Q4*Main!$B$5)+(_xlfn.IFNA(VLOOKUP($A4,'FL Ratio'!$A$3:$B$10,2,FALSE),0)*'FL Characterization'!Q$2)</f>
        <v>63.211738004980418</v>
      </c>
      <c r="R4" s="2">
        <f>('[1]Pc, Summer, S1'!R4*Main!$B$5)+(_xlfn.IFNA(VLOOKUP($A4,'FL Ratio'!$A$3:$B$10,2,FALSE),0)*'FL Characterization'!R$2)</f>
        <v>63.243376768735573</v>
      </c>
      <c r="S4" s="2">
        <f>('[1]Pc, Summer, S1'!S4*Main!$B$5)+(_xlfn.IFNA(VLOOKUP($A4,'FL Ratio'!$A$3:$B$10,2,FALSE),0)*'FL Characterization'!S$2)</f>
        <v>60.777687304716046</v>
      </c>
      <c r="T4" s="2">
        <f>('[1]Pc, Summer, S1'!T4*Main!$B$5)+(_xlfn.IFNA(VLOOKUP($A4,'FL Ratio'!$A$3:$B$10,2,FALSE),0)*'FL Characterization'!T$2)</f>
        <v>61.097473085815736</v>
      </c>
      <c r="U4" s="2">
        <f>('[1]Pc, Summer, S1'!U4*Main!$B$5)+(_xlfn.IFNA(VLOOKUP($A4,'FL Ratio'!$A$3:$B$10,2,FALSE),0)*'FL Characterization'!U$2)</f>
        <v>61.599799320277683</v>
      </c>
      <c r="V4" s="2">
        <f>('[1]Pc, Summer, S1'!V4*Main!$B$5)+(_xlfn.IFNA(VLOOKUP($A4,'FL Ratio'!$A$3:$B$10,2,FALSE),0)*'FL Characterization'!V$2)</f>
        <v>61.093436154023571</v>
      </c>
      <c r="W4" s="2">
        <f>('[1]Pc, Summer, S1'!W4*Main!$B$5)+(_xlfn.IFNA(VLOOKUP($A4,'FL Ratio'!$A$3:$B$10,2,FALSE),0)*'FL Characterization'!W$2)</f>
        <v>63.283515645533903</v>
      </c>
      <c r="X4" s="2">
        <f>('[1]Pc, Summer, S1'!X4*Main!$B$5)+(_xlfn.IFNA(VLOOKUP($A4,'FL Ratio'!$A$3:$B$10,2,FALSE),0)*'FL Characterization'!X$2)</f>
        <v>61.828883923462065</v>
      </c>
      <c r="Y4" s="2">
        <f>('[1]Pc, Summer, S1'!Y4*Main!$B$5)+(_xlfn.IFNA(VLOOKUP($A4,'FL Ratio'!$A$3:$B$10,2,FALSE),0)*'FL Characterization'!Y$2)</f>
        <v>55.258477075504423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3274-B199-4149-B2FD-E279CA9FB15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34.972152632714391</v>
      </c>
      <c r="C3" s="2">
        <f>('[1]Pc, Summer, S1'!C3*Main!$B$5)+(_xlfn.IFNA(VLOOKUP($A3,'FL Ratio'!$A$3:$B$10,2,FALSE),0)*'FL Characterization'!C$2)</f>
        <v>31.843195696502544</v>
      </c>
      <c r="D3" s="2">
        <f>('[1]Pc, Summer, S1'!D3*Main!$B$5)+(_xlfn.IFNA(VLOOKUP($A3,'FL Ratio'!$A$3:$B$10,2,FALSE),0)*'FL Characterization'!D$2)</f>
        <v>30.284579421167187</v>
      </c>
      <c r="E3" s="2">
        <f>('[1]Pc, Summer, S1'!E3*Main!$B$5)+(_xlfn.IFNA(VLOOKUP($A3,'FL Ratio'!$A$3:$B$10,2,FALSE),0)*'FL Characterization'!E$2)</f>
        <v>29.206444098014508</v>
      </c>
      <c r="F3" s="2">
        <f>('[1]Pc, Summer, S1'!F3*Main!$B$5)+(_xlfn.IFNA(VLOOKUP($A3,'FL Ratio'!$A$3:$B$10,2,FALSE),0)*'FL Characterization'!F$2)</f>
        <v>29.206444098014508</v>
      </c>
      <c r="G3" s="2">
        <f>('[1]Pc, Summer, S1'!G3*Main!$B$5)+(_xlfn.IFNA(VLOOKUP($A3,'FL Ratio'!$A$3:$B$10,2,FALSE),0)*'FL Characterization'!G$2)</f>
        <v>31.315847382681632</v>
      </c>
      <c r="H3" s="2">
        <f>('[1]Pc, Summer, S1'!H3*Main!$B$5)+(_xlfn.IFNA(VLOOKUP($A3,'FL Ratio'!$A$3:$B$10,2,FALSE),0)*'FL Characterization'!H$2)</f>
        <v>39.237829087528425</v>
      </c>
      <c r="I3" s="2">
        <f>('[1]Pc, Summer, S1'!I3*Main!$B$5)+(_xlfn.IFNA(VLOOKUP($A3,'FL Ratio'!$A$3:$B$10,2,FALSE),0)*'FL Characterization'!I$2)</f>
        <v>48.284808436081278</v>
      </c>
      <c r="J3" s="2">
        <f>('[1]Pc, Summer, S1'!J3*Main!$B$5)+(_xlfn.IFNA(VLOOKUP($A3,'FL Ratio'!$A$3:$B$10,2,FALSE),0)*'FL Characterization'!J$2)</f>
        <v>50.394214247889096</v>
      </c>
      <c r="K3" s="2">
        <f>('[1]Pc, Summer, S1'!K3*Main!$B$5)+(_xlfn.IFNA(VLOOKUP($A3,'FL Ratio'!$A$3:$B$10,2,FALSE),0)*'FL Characterization'!K$2)</f>
        <v>49.339510085013124</v>
      </c>
      <c r="L3" s="2">
        <f>('[1]Pc, Summer, S1'!L3*Main!$B$5)+(_xlfn.IFNA(VLOOKUP($A3,'FL Ratio'!$A$3:$B$10,2,FALSE),0)*'FL Characterization'!L$2)</f>
        <v>49.316076410792284</v>
      </c>
      <c r="M3" s="2">
        <f>('[1]Pc, Summer, S1'!M3*Main!$B$5)+(_xlfn.IFNA(VLOOKUP($A3,'FL Ratio'!$A$3:$B$10,2,FALSE),0)*'FL Characterization'!M$2)</f>
        <v>52.550502504999997</v>
      </c>
      <c r="N3" s="2">
        <f>('[1]Pc, Summer, S1'!N3*Main!$B$5)+(_xlfn.IFNA(VLOOKUP($A3,'FL Ratio'!$A$3:$B$10,2,FALSE),0)*'FL Characterization'!N$2)</f>
        <v>52.550502504999997</v>
      </c>
      <c r="O3" s="2">
        <f>('[1]Pc, Summer, S1'!O3*Main!$B$5)+(_xlfn.IFNA(VLOOKUP($A3,'FL Ratio'!$A$3:$B$10,2,FALSE),0)*'FL Characterization'!O$2)</f>
        <v>52.550502504999997</v>
      </c>
      <c r="P3" s="2">
        <f>('[1]Pc, Summer, S1'!P3*Main!$B$5)+(_xlfn.IFNA(VLOOKUP($A3,'FL Ratio'!$A$3:$B$10,2,FALSE),0)*'FL Characterization'!P$2)</f>
        <v>49.91374335478212</v>
      </c>
      <c r="Q3" s="2">
        <f>('[1]Pc, Summer, S1'!Q3*Main!$B$5)+(_xlfn.IFNA(VLOOKUP($A3,'FL Ratio'!$A$3:$B$10,2,FALSE),0)*'FL Characterization'!Q$2)</f>
        <v>47.253545499155976</v>
      </c>
      <c r="R3" s="2">
        <f>('[1]Pc, Summer, S1'!R3*Main!$B$5)+(_xlfn.IFNA(VLOOKUP($A3,'FL Ratio'!$A$3:$B$10,2,FALSE),0)*'FL Characterization'!R$2)</f>
        <v>44.019124436135691</v>
      </c>
      <c r="S3" s="2">
        <f>('[1]Pc, Summer, S1'!S3*Main!$B$5)+(_xlfn.IFNA(VLOOKUP($A3,'FL Ratio'!$A$3:$B$10,2,FALSE),0)*'FL Characterization'!S$2)</f>
        <v>44.019124436135691</v>
      </c>
      <c r="T3" s="2">
        <f>('[1]Pc, Summer, S1'!T3*Main!$B$5)+(_xlfn.IFNA(VLOOKUP($A3,'FL Ratio'!$A$3:$B$10,2,FALSE),0)*'FL Characterization'!T$2)</f>
        <v>44.019124436135691</v>
      </c>
      <c r="U3" s="2">
        <f>('[1]Pc, Summer, S1'!U3*Main!$B$5)+(_xlfn.IFNA(VLOOKUP($A3,'FL Ratio'!$A$3:$B$10,2,FALSE),0)*'FL Characterization'!U$2)</f>
        <v>44.019124436135691</v>
      </c>
      <c r="V3" s="2">
        <f>('[1]Pc, Summer, S1'!V3*Main!$B$5)+(_xlfn.IFNA(VLOOKUP($A3,'FL Ratio'!$A$3:$B$10,2,FALSE),0)*'FL Characterization'!V$2)</f>
        <v>44.019124436135691</v>
      </c>
      <c r="W3" s="2">
        <f>('[1]Pc, Summer, S1'!W3*Main!$B$5)+(_xlfn.IFNA(VLOOKUP($A3,'FL Ratio'!$A$3:$B$10,2,FALSE),0)*'FL Characterization'!W$2)</f>
        <v>44.019124436135691</v>
      </c>
      <c r="X3" s="2">
        <f>('[1]Pc, Summer, S1'!X3*Main!$B$5)+(_xlfn.IFNA(VLOOKUP($A3,'FL Ratio'!$A$3:$B$10,2,FALSE),0)*'FL Characterization'!X$2)</f>
        <v>42.437079514467769</v>
      </c>
      <c r="Y3" s="2">
        <f>('[1]Pc, Summer, S1'!Y3*Main!$B$5)+(_xlfn.IFNA(VLOOKUP($A3,'FL Ratio'!$A$3:$B$10,2,FALSE),0)*'FL Characterization'!Y$2)</f>
        <v>39.706578109038425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47.154475008173534</v>
      </c>
      <c r="C4" s="2">
        <f>('[1]Pc, Summer, S1'!C4*Main!$B$5)+(_xlfn.IFNA(VLOOKUP($A4,'FL Ratio'!$A$3:$B$10,2,FALSE),0)*'FL Characterization'!C$2)</f>
        <v>41.510191617826251</v>
      </c>
      <c r="D4" s="2">
        <f>('[1]Pc, Summer, S1'!D4*Main!$B$5)+(_xlfn.IFNA(VLOOKUP($A4,'FL Ratio'!$A$3:$B$10,2,FALSE),0)*'FL Characterization'!D$2)</f>
        <v>39.25233704821494</v>
      </c>
      <c r="E4" s="2">
        <f>('[1]Pc, Summer, S1'!E4*Main!$B$5)+(_xlfn.IFNA(VLOOKUP($A4,'FL Ratio'!$A$3:$B$10,2,FALSE),0)*'FL Characterization'!E$2)</f>
        <v>38.007403904807504</v>
      </c>
      <c r="F4" s="2">
        <f>('[1]Pc, Summer, S1'!F4*Main!$B$5)+(_xlfn.IFNA(VLOOKUP($A4,'FL Ratio'!$A$3:$B$10,2,FALSE),0)*'FL Characterization'!F$2)</f>
        <v>40.291405832265134</v>
      </c>
      <c r="G4" s="2">
        <f>('[1]Pc, Summer, S1'!G4*Main!$B$5)+(_xlfn.IFNA(VLOOKUP($A4,'FL Ratio'!$A$3:$B$10,2,FALSE),0)*'FL Characterization'!G$2)</f>
        <v>36.904338659336617</v>
      </c>
      <c r="H4" s="2">
        <f>('[1]Pc, Summer, S1'!H4*Main!$B$5)+(_xlfn.IFNA(VLOOKUP($A4,'FL Ratio'!$A$3:$B$10,2,FALSE),0)*'FL Characterization'!H$2)</f>
        <v>43.282055684974367</v>
      </c>
      <c r="I4" s="2">
        <f>('[1]Pc, Summer, S1'!I4*Main!$B$5)+(_xlfn.IFNA(VLOOKUP($A4,'FL Ratio'!$A$3:$B$10,2,FALSE),0)*'FL Characterization'!I$2)</f>
        <v>50.236741201954985</v>
      </c>
      <c r="J4" s="2">
        <f>('[1]Pc, Summer, S1'!J4*Main!$B$5)+(_xlfn.IFNA(VLOOKUP($A4,'FL Ratio'!$A$3:$B$10,2,FALSE),0)*'FL Characterization'!J$2)</f>
        <v>56.595080136788141</v>
      </c>
      <c r="K4" s="2">
        <f>('[1]Pc, Summer, S1'!K4*Main!$B$5)+(_xlfn.IFNA(VLOOKUP($A4,'FL Ratio'!$A$3:$B$10,2,FALSE),0)*'FL Characterization'!K$2)</f>
        <v>60.741585644354679</v>
      </c>
      <c r="L4" s="2">
        <f>('[1]Pc, Summer, S1'!L4*Main!$B$5)+(_xlfn.IFNA(VLOOKUP($A4,'FL Ratio'!$A$3:$B$10,2,FALSE),0)*'FL Characterization'!L$2)</f>
        <v>62.685447762068605</v>
      </c>
      <c r="M4" s="2">
        <f>('[1]Pc, Summer, S1'!M4*Main!$B$5)+(_xlfn.IFNA(VLOOKUP($A4,'FL Ratio'!$A$3:$B$10,2,FALSE),0)*'FL Characterization'!M$2)</f>
        <v>63.677536920108501</v>
      </c>
      <c r="N4" s="2">
        <f>('[1]Pc, Summer, S1'!N4*Main!$B$5)+(_xlfn.IFNA(VLOOKUP($A4,'FL Ratio'!$A$3:$B$10,2,FALSE),0)*'FL Characterization'!N$2)</f>
        <v>64.927855775377978</v>
      </c>
      <c r="O4" s="2">
        <f>('[1]Pc, Summer, S1'!O4*Main!$B$5)+(_xlfn.IFNA(VLOOKUP($A4,'FL Ratio'!$A$3:$B$10,2,FALSE),0)*'FL Characterization'!O$2)</f>
        <v>65.459638717212556</v>
      </c>
      <c r="P4" s="2">
        <f>('[1]Pc, Summer, S1'!P4*Main!$B$5)+(_xlfn.IFNA(VLOOKUP($A4,'FL Ratio'!$A$3:$B$10,2,FALSE),0)*'FL Characterization'!P$2)</f>
        <v>65.688128131249996</v>
      </c>
      <c r="Q4" s="2">
        <f>('[1]Pc, Summer, S1'!Q4*Main!$B$5)+(_xlfn.IFNA(VLOOKUP($A4,'FL Ratio'!$A$3:$B$10,2,FALSE),0)*'FL Characterization'!Q$2)</f>
        <v>63.211738004980418</v>
      </c>
      <c r="R4" s="2">
        <f>('[1]Pc, Summer, S1'!R4*Main!$B$5)+(_xlfn.IFNA(VLOOKUP($A4,'FL Ratio'!$A$3:$B$10,2,FALSE),0)*'FL Characterization'!R$2)</f>
        <v>63.243376768735573</v>
      </c>
      <c r="S4" s="2">
        <f>('[1]Pc, Summer, S1'!S4*Main!$B$5)+(_xlfn.IFNA(VLOOKUP($A4,'FL Ratio'!$A$3:$B$10,2,FALSE),0)*'FL Characterization'!S$2)</f>
        <v>60.777687304716046</v>
      </c>
      <c r="T4" s="2">
        <f>('[1]Pc, Summer, S1'!T4*Main!$B$5)+(_xlfn.IFNA(VLOOKUP($A4,'FL Ratio'!$A$3:$B$10,2,FALSE),0)*'FL Characterization'!T$2)</f>
        <v>61.097473085815736</v>
      </c>
      <c r="U4" s="2">
        <f>('[1]Pc, Summer, S1'!U4*Main!$B$5)+(_xlfn.IFNA(VLOOKUP($A4,'FL Ratio'!$A$3:$B$10,2,FALSE),0)*'FL Characterization'!U$2)</f>
        <v>61.599799320277683</v>
      </c>
      <c r="V4" s="2">
        <f>('[1]Pc, Summer, S1'!V4*Main!$B$5)+(_xlfn.IFNA(VLOOKUP($A4,'FL Ratio'!$A$3:$B$10,2,FALSE),0)*'FL Characterization'!V$2)</f>
        <v>61.093436154023571</v>
      </c>
      <c r="W4" s="2">
        <f>('[1]Pc, Summer, S1'!W4*Main!$B$5)+(_xlfn.IFNA(VLOOKUP($A4,'FL Ratio'!$A$3:$B$10,2,FALSE),0)*'FL Characterization'!W$2)</f>
        <v>63.283515645533903</v>
      </c>
      <c r="X4" s="2">
        <f>('[1]Pc, Summer, S1'!X4*Main!$B$5)+(_xlfn.IFNA(VLOOKUP($A4,'FL Ratio'!$A$3:$B$10,2,FALSE),0)*'FL Characterization'!X$2)</f>
        <v>61.828883923462065</v>
      </c>
      <c r="Y4" s="2">
        <f>('[1]Pc, Summer, S1'!Y4*Main!$B$5)+(_xlfn.IFNA(VLOOKUP($A4,'FL Ratio'!$A$3:$B$10,2,FALSE),0)*'FL Characterization'!Y$2)</f>
        <v>55.258477075504423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2FDA-4D04-49F8-9B9F-34E983344C9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Ratio'!$A$3:$B$10,2,FALSE),0)*'FL Characterization'!B$2)</f>
        <v>34.491391936294185</v>
      </c>
      <c r="C2" s="2">
        <f>('[1]Pc, Summer, S1'!C2*Main!$B$5)+(_xlfn.IFNA(VLOOKUP($A2,'FL Ratio'!$A$3:$B$10,2,FALSE),0)*'FL Characterization'!C$2)</f>
        <v>31.336973088954004</v>
      </c>
      <c r="D2" s="2">
        <f>('[1]Pc, Summer, S1'!D2*Main!$B$5)+(_xlfn.IFNA(VLOOKUP($A2,'FL Ratio'!$A$3:$B$10,2,FALSE),0)*'FL Characterization'!D$2)</f>
        <v>30.789597613754907</v>
      </c>
      <c r="E2" s="2">
        <f>('[1]Pc, Summer, S1'!E2*Main!$B$5)+(_xlfn.IFNA(VLOOKUP($A2,'FL Ratio'!$A$3:$B$10,2,FALSE),0)*'FL Characterization'!E$2)</f>
        <v>30.710943614624068</v>
      </c>
      <c r="F2" s="2">
        <f>('[1]Pc, Summer, S1'!F2*Main!$B$5)+(_xlfn.IFNA(VLOOKUP($A2,'FL Ratio'!$A$3:$B$10,2,FALSE),0)*'FL Characterization'!F$2)</f>
        <v>30.713364868808252</v>
      </c>
      <c r="G2" s="2">
        <f>('[1]Pc, Summer, S1'!G2*Main!$B$5)+(_xlfn.IFNA(VLOOKUP($A2,'FL Ratio'!$A$3:$B$10,2,FALSE),0)*'FL Characterization'!G$2)</f>
        <v>30.441744844159238</v>
      </c>
      <c r="H2" s="2">
        <f>('[1]Pc, Summer, S1'!H2*Main!$B$5)+(_xlfn.IFNA(VLOOKUP($A2,'FL Ratio'!$A$3:$B$10,2,FALSE),0)*'FL Characterization'!H$2)</f>
        <v>32.864580998768673</v>
      </c>
      <c r="I2" s="2">
        <f>('[1]Pc, Summer, S1'!I2*Main!$B$5)+(_xlfn.IFNA(VLOOKUP($A2,'FL Ratio'!$A$3:$B$10,2,FALSE),0)*'FL Characterization'!I$2)</f>
        <v>39.018286723055319</v>
      </c>
      <c r="J2" s="2">
        <f>('[1]Pc, Summer, S1'!J2*Main!$B$5)+(_xlfn.IFNA(VLOOKUP($A2,'FL Ratio'!$A$3:$B$10,2,FALSE),0)*'FL Characterization'!J$2)</f>
        <v>44.469752139368111</v>
      </c>
      <c r="K2" s="2">
        <f>('[1]Pc, Summer, S1'!K2*Main!$B$5)+(_xlfn.IFNA(VLOOKUP($A2,'FL Ratio'!$A$3:$B$10,2,FALSE),0)*'FL Characterization'!K$2)</f>
        <v>45.836220873554893</v>
      </c>
      <c r="L2" s="2">
        <f>('[1]Pc, Summer, S1'!L2*Main!$B$5)+(_xlfn.IFNA(VLOOKUP($A2,'FL Ratio'!$A$3:$B$10,2,FALSE),0)*'FL Characterization'!L$2)</f>
        <v>45.372370546521324</v>
      </c>
      <c r="M2" s="2">
        <f>('[1]Pc, Summer, S1'!M2*Main!$B$5)+(_xlfn.IFNA(VLOOKUP($A2,'FL Ratio'!$A$3:$B$10,2,FALSE),0)*'FL Characterization'!M$2)</f>
        <v>46.655438018226434</v>
      </c>
      <c r="N2" s="2">
        <f>('[1]Pc, Summer, S1'!N2*Main!$B$5)+(_xlfn.IFNA(VLOOKUP($A2,'FL Ratio'!$A$3:$B$10,2,FALSE),0)*'FL Characterization'!N$2)</f>
        <v>47.295452254499999</v>
      </c>
      <c r="O2" s="2">
        <f>('[1]Pc, Summer, S1'!O2*Main!$B$5)+(_xlfn.IFNA(VLOOKUP($A2,'FL Ratio'!$A$3:$B$10,2,FALSE),0)*'FL Characterization'!O$2)</f>
        <v>46.420574992628524</v>
      </c>
      <c r="P2" s="2">
        <f>('[1]Pc, Summer, S1'!P2*Main!$B$5)+(_xlfn.IFNA(VLOOKUP($A2,'FL Ratio'!$A$3:$B$10,2,FALSE),0)*'FL Characterization'!P$2)</f>
        <v>44.606681335879713</v>
      </c>
      <c r="Q2" s="2">
        <f>('[1]Pc, Summer, S1'!Q2*Main!$B$5)+(_xlfn.IFNA(VLOOKUP($A2,'FL Ratio'!$A$3:$B$10,2,FALSE),0)*'FL Characterization'!Q$2)</f>
        <v>42.811339368085342</v>
      </c>
      <c r="R2" s="2">
        <f>('[1]Pc, Summer, S1'!R2*Main!$B$5)+(_xlfn.IFNA(VLOOKUP($A2,'FL Ratio'!$A$3:$B$10,2,FALSE),0)*'FL Characterization'!R$2)</f>
        <v>43.558256932813073</v>
      </c>
      <c r="S2" s="2">
        <f>('[1]Pc, Summer, S1'!S2*Main!$B$5)+(_xlfn.IFNA(VLOOKUP($A2,'FL Ratio'!$A$3:$B$10,2,FALSE),0)*'FL Characterization'!S$2)</f>
        <v>43.988601630361885</v>
      </c>
      <c r="T2" s="2">
        <f>('[1]Pc, Summer, S1'!T2*Main!$B$5)+(_xlfn.IFNA(VLOOKUP($A2,'FL Ratio'!$A$3:$B$10,2,FALSE),0)*'FL Characterization'!T$2)</f>
        <v>44.175316903356659</v>
      </c>
      <c r="U2" s="2">
        <f>('[1]Pc, Summer, S1'!U2*Main!$B$5)+(_xlfn.IFNA(VLOOKUP($A2,'FL Ratio'!$A$3:$B$10,2,FALSE),0)*'FL Characterization'!U$2)</f>
        <v>43.444012319360994</v>
      </c>
      <c r="V2" s="2">
        <f>('[1]Pc, Summer, S1'!V2*Main!$B$5)+(_xlfn.IFNA(VLOOKUP($A2,'FL Ratio'!$A$3:$B$10,2,FALSE),0)*'FL Characterization'!V$2)</f>
        <v>43.574542438985063</v>
      </c>
      <c r="W2" s="2">
        <f>('[1]Pc, Summer, S1'!W2*Main!$B$5)+(_xlfn.IFNA(VLOOKUP($A2,'FL Ratio'!$A$3:$B$10,2,FALSE),0)*'FL Characterization'!W$2)</f>
        <v>45.379311524964315</v>
      </c>
      <c r="X2" s="2">
        <f>('[1]Pc, Summer, S1'!X2*Main!$B$5)+(_xlfn.IFNA(VLOOKUP($A2,'FL Ratio'!$A$3:$B$10,2,FALSE),0)*'FL Characterization'!X$2)</f>
        <v>42.299010926625009</v>
      </c>
      <c r="Y2" s="2">
        <f>('[1]Pc, Summer, S1'!Y2*Main!$B$5)+(_xlfn.IFNA(VLOOKUP($A2,'FL Ratio'!$A$3:$B$10,2,FALSE),0)*'FL Characterization'!Y$2)</f>
        <v>38.775267461342523</v>
      </c>
    </row>
    <row r="3" spans="1:25" x14ac:dyDescent="0.3">
      <c r="A3">
        <v>2</v>
      </c>
      <c r="B3" s="2">
        <f>('[1]Pc, Summer, S1'!B3*Main!$B$5)+(_xlfn.IFNA(VLOOKUP($A3,'FL Ratio'!$A$3:$B$10,2,FALSE),0)*'FL Characterization'!B$2)</f>
        <v>34.972152632714391</v>
      </c>
      <c r="C3" s="2">
        <f>('[1]Pc, Summer, S1'!C3*Main!$B$5)+(_xlfn.IFNA(VLOOKUP($A3,'FL Ratio'!$A$3:$B$10,2,FALSE),0)*'FL Characterization'!C$2)</f>
        <v>31.843195696502544</v>
      </c>
      <c r="D3" s="2">
        <f>('[1]Pc, Summer, S1'!D3*Main!$B$5)+(_xlfn.IFNA(VLOOKUP($A3,'FL Ratio'!$A$3:$B$10,2,FALSE),0)*'FL Characterization'!D$2)</f>
        <v>30.284579421167187</v>
      </c>
      <c r="E3" s="2">
        <f>('[1]Pc, Summer, S1'!E3*Main!$B$5)+(_xlfn.IFNA(VLOOKUP($A3,'FL Ratio'!$A$3:$B$10,2,FALSE),0)*'FL Characterization'!E$2)</f>
        <v>29.206444098014508</v>
      </c>
      <c r="F3" s="2">
        <f>('[1]Pc, Summer, S1'!F3*Main!$B$5)+(_xlfn.IFNA(VLOOKUP($A3,'FL Ratio'!$A$3:$B$10,2,FALSE),0)*'FL Characterization'!F$2)</f>
        <v>29.206444098014508</v>
      </c>
      <c r="G3" s="2">
        <f>('[1]Pc, Summer, S1'!G3*Main!$B$5)+(_xlfn.IFNA(VLOOKUP($A3,'FL Ratio'!$A$3:$B$10,2,FALSE),0)*'FL Characterization'!G$2)</f>
        <v>31.315847382681632</v>
      </c>
      <c r="H3" s="2">
        <f>('[1]Pc, Summer, S1'!H3*Main!$B$5)+(_xlfn.IFNA(VLOOKUP($A3,'FL Ratio'!$A$3:$B$10,2,FALSE),0)*'FL Characterization'!H$2)</f>
        <v>39.237829087528425</v>
      </c>
      <c r="I3" s="2">
        <f>('[1]Pc, Summer, S1'!I3*Main!$B$5)+(_xlfn.IFNA(VLOOKUP($A3,'FL Ratio'!$A$3:$B$10,2,FALSE),0)*'FL Characterization'!I$2)</f>
        <v>48.284808436081278</v>
      </c>
      <c r="J3" s="2">
        <f>('[1]Pc, Summer, S1'!J3*Main!$B$5)+(_xlfn.IFNA(VLOOKUP($A3,'FL Ratio'!$A$3:$B$10,2,FALSE),0)*'FL Characterization'!J$2)</f>
        <v>50.394214247889096</v>
      </c>
      <c r="K3" s="2">
        <f>('[1]Pc, Summer, S1'!K3*Main!$B$5)+(_xlfn.IFNA(VLOOKUP($A3,'FL Ratio'!$A$3:$B$10,2,FALSE),0)*'FL Characterization'!K$2)</f>
        <v>49.339510085013124</v>
      </c>
      <c r="L3" s="2">
        <f>('[1]Pc, Summer, S1'!L3*Main!$B$5)+(_xlfn.IFNA(VLOOKUP($A3,'FL Ratio'!$A$3:$B$10,2,FALSE),0)*'FL Characterization'!L$2)</f>
        <v>49.316076410792284</v>
      </c>
      <c r="M3" s="2">
        <f>('[1]Pc, Summer, S1'!M3*Main!$B$5)+(_xlfn.IFNA(VLOOKUP($A3,'FL Ratio'!$A$3:$B$10,2,FALSE),0)*'FL Characterization'!M$2)</f>
        <v>52.550502504999997</v>
      </c>
      <c r="N3" s="2">
        <f>('[1]Pc, Summer, S1'!N3*Main!$B$5)+(_xlfn.IFNA(VLOOKUP($A3,'FL Ratio'!$A$3:$B$10,2,FALSE),0)*'FL Characterization'!N$2)</f>
        <v>52.550502504999997</v>
      </c>
      <c r="O3" s="2">
        <f>('[1]Pc, Summer, S1'!O3*Main!$B$5)+(_xlfn.IFNA(VLOOKUP($A3,'FL Ratio'!$A$3:$B$10,2,FALSE),0)*'FL Characterization'!O$2)</f>
        <v>52.550502504999997</v>
      </c>
      <c r="P3" s="2">
        <f>('[1]Pc, Summer, S1'!P3*Main!$B$5)+(_xlfn.IFNA(VLOOKUP($A3,'FL Ratio'!$A$3:$B$10,2,FALSE),0)*'FL Characterization'!P$2)</f>
        <v>49.91374335478212</v>
      </c>
      <c r="Q3" s="2">
        <f>('[1]Pc, Summer, S1'!Q3*Main!$B$5)+(_xlfn.IFNA(VLOOKUP($A3,'FL Ratio'!$A$3:$B$10,2,FALSE),0)*'FL Characterization'!Q$2)</f>
        <v>47.253545499155976</v>
      </c>
      <c r="R3" s="2">
        <f>('[1]Pc, Summer, S1'!R3*Main!$B$5)+(_xlfn.IFNA(VLOOKUP($A3,'FL Ratio'!$A$3:$B$10,2,FALSE),0)*'FL Characterization'!R$2)</f>
        <v>44.019124436135691</v>
      </c>
      <c r="S3" s="2">
        <f>('[1]Pc, Summer, S1'!S3*Main!$B$5)+(_xlfn.IFNA(VLOOKUP($A3,'FL Ratio'!$A$3:$B$10,2,FALSE),0)*'FL Characterization'!S$2)</f>
        <v>44.019124436135691</v>
      </c>
      <c r="T3" s="2">
        <f>('[1]Pc, Summer, S1'!T3*Main!$B$5)+(_xlfn.IFNA(VLOOKUP($A3,'FL Ratio'!$A$3:$B$10,2,FALSE),0)*'FL Characterization'!T$2)</f>
        <v>44.019124436135691</v>
      </c>
      <c r="U3" s="2">
        <f>('[1]Pc, Summer, S1'!U3*Main!$B$5)+(_xlfn.IFNA(VLOOKUP($A3,'FL Ratio'!$A$3:$B$10,2,FALSE),0)*'FL Characterization'!U$2)</f>
        <v>44.019124436135691</v>
      </c>
      <c r="V3" s="2">
        <f>('[1]Pc, Summer, S1'!V3*Main!$B$5)+(_xlfn.IFNA(VLOOKUP($A3,'FL Ratio'!$A$3:$B$10,2,FALSE),0)*'FL Characterization'!V$2)</f>
        <v>44.019124436135691</v>
      </c>
      <c r="W3" s="2">
        <f>('[1]Pc, Summer, S1'!W3*Main!$B$5)+(_xlfn.IFNA(VLOOKUP($A3,'FL Ratio'!$A$3:$B$10,2,FALSE),0)*'FL Characterization'!W$2)</f>
        <v>44.019124436135691</v>
      </c>
      <c r="X3" s="2">
        <f>('[1]Pc, Summer, S1'!X3*Main!$B$5)+(_xlfn.IFNA(VLOOKUP($A3,'FL Ratio'!$A$3:$B$10,2,FALSE),0)*'FL Characterization'!X$2)</f>
        <v>42.437079514467769</v>
      </c>
      <c r="Y3" s="2">
        <f>('[1]Pc, Summer, S1'!Y3*Main!$B$5)+(_xlfn.IFNA(VLOOKUP($A3,'FL Ratio'!$A$3:$B$10,2,FALSE),0)*'FL Characterization'!Y$2)</f>
        <v>39.706578109038425</v>
      </c>
    </row>
    <row r="4" spans="1:25" x14ac:dyDescent="0.3">
      <c r="A4">
        <v>3</v>
      </c>
      <c r="B4" s="2">
        <f>('[1]Pc, Summer, S1'!B4*Main!$B$5)+(_xlfn.IFNA(VLOOKUP($A4,'FL Ratio'!$A$3:$B$10,2,FALSE),0)*'FL Characterization'!B$2)</f>
        <v>47.154475008173534</v>
      </c>
      <c r="C4" s="2">
        <f>('[1]Pc, Summer, S1'!C4*Main!$B$5)+(_xlfn.IFNA(VLOOKUP($A4,'FL Ratio'!$A$3:$B$10,2,FALSE),0)*'FL Characterization'!C$2)</f>
        <v>41.510191617826251</v>
      </c>
      <c r="D4" s="2">
        <f>('[1]Pc, Summer, S1'!D4*Main!$B$5)+(_xlfn.IFNA(VLOOKUP($A4,'FL Ratio'!$A$3:$B$10,2,FALSE),0)*'FL Characterization'!D$2)</f>
        <v>39.25233704821494</v>
      </c>
      <c r="E4" s="2">
        <f>('[1]Pc, Summer, S1'!E4*Main!$B$5)+(_xlfn.IFNA(VLOOKUP($A4,'FL Ratio'!$A$3:$B$10,2,FALSE),0)*'FL Characterization'!E$2)</f>
        <v>38.007403904807504</v>
      </c>
      <c r="F4" s="2">
        <f>('[1]Pc, Summer, S1'!F4*Main!$B$5)+(_xlfn.IFNA(VLOOKUP($A4,'FL Ratio'!$A$3:$B$10,2,FALSE),0)*'FL Characterization'!F$2)</f>
        <v>40.291405832265134</v>
      </c>
      <c r="G4" s="2">
        <f>('[1]Pc, Summer, S1'!G4*Main!$B$5)+(_xlfn.IFNA(VLOOKUP($A4,'FL Ratio'!$A$3:$B$10,2,FALSE),0)*'FL Characterization'!G$2)</f>
        <v>36.904338659336617</v>
      </c>
      <c r="H4" s="2">
        <f>('[1]Pc, Summer, S1'!H4*Main!$B$5)+(_xlfn.IFNA(VLOOKUP($A4,'FL Ratio'!$A$3:$B$10,2,FALSE),0)*'FL Characterization'!H$2)</f>
        <v>43.282055684974367</v>
      </c>
      <c r="I4" s="2">
        <f>('[1]Pc, Summer, S1'!I4*Main!$B$5)+(_xlfn.IFNA(VLOOKUP($A4,'FL Ratio'!$A$3:$B$10,2,FALSE),0)*'FL Characterization'!I$2)</f>
        <v>50.236741201954985</v>
      </c>
      <c r="J4" s="2">
        <f>('[1]Pc, Summer, S1'!J4*Main!$B$5)+(_xlfn.IFNA(VLOOKUP($A4,'FL Ratio'!$A$3:$B$10,2,FALSE),0)*'FL Characterization'!J$2)</f>
        <v>56.595080136788141</v>
      </c>
      <c r="K4" s="2">
        <f>('[1]Pc, Summer, S1'!K4*Main!$B$5)+(_xlfn.IFNA(VLOOKUP($A4,'FL Ratio'!$A$3:$B$10,2,FALSE),0)*'FL Characterization'!K$2)</f>
        <v>60.741585644354679</v>
      </c>
      <c r="L4" s="2">
        <f>('[1]Pc, Summer, S1'!L4*Main!$B$5)+(_xlfn.IFNA(VLOOKUP($A4,'FL Ratio'!$A$3:$B$10,2,FALSE),0)*'FL Characterization'!L$2)</f>
        <v>62.685447762068605</v>
      </c>
      <c r="M4" s="2">
        <f>('[1]Pc, Summer, S1'!M4*Main!$B$5)+(_xlfn.IFNA(VLOOKUP($A4,'FL Ratio'!$A$3:$B$10,2,FALSE),0)*'FL Characterization'!M$2)</f>
        <v>63.677536920108501</v>
      </c>
      <c r="N4" s="2">
        <f>('[1]Pc, Summer, S1'!N4*Main!$B$5)+(_xlfn.IFNA(VLOOKUP($A4,'FL Ratio'!$A$3:$B$10,2,FALSE),0)*'FL Characterization'!N$2)</f>
        <v>64.927855775377978</v>
      </c>
      <c r="O4" s="2">
        <f>('[1]Pc, Summer, S1'!O4*Main!$B$5)+(_xlfn.IFNA(VLOOKUP($A4,'FL Ratio'!$A$3:$B$10,2,FALSE),0)*'FL Characterization'!O$2)</f>
        <v>65.459638717212556</v>
      </c>
      <c r="P4" s="2">
        <f>('[1]Pc, Summer, S1'!P4*Main!$B$5)+(_xlfn.IFNA(VLOOKUP($A4,'FL Ratio'!$A$3:$B$10,2,FALSE),0)*'FL Characterization'!P$2)</f>
        <v>65.688128131249996</v>
      </c>
      <c r="Q4" s="2">
        <f>('[1]Pc, Summer, S1'!Q4*Main!$B$5)+(_xlfn.IFNA(VLOOKUP($A4,'FL Ratio'!$A$3:$B$10,2,FALSE),0)*'FL Characterization'!Q$2)</f>
        <v>63.211738004980418</v>
      </c>
      <c r="R4" s="2">
        <f>('[1]Pc, Summer, S1'!R4*Main!$B$5)+(_xlfn.IFNA(VLOOKUP($A4,'FL Ratio'!$A$3:$B$10,2,FALSE),0)*'FL Characterization'!R$2)</f>
        <v>63.243376768735573</v>
      </c>
      <c r="S4" s="2">
        <f>('[1]Pc, Summer, S1'!S4*Main!$B$5)+(_xlfn.IFNA(VLOOKUP($A4,'FL Ratio'!$A$3:$B$10,2,FALSE),0)*'FL Characterization'!S$2)</f>
        <v>60.777687304716046</v>
      </c>
      <c r="T4" s="2">
        <f>('[1]Pc, Summer, S1'!T4*Main!$B$5)+(_xlfn.IFNA(VLOOKUP($A4,'FL Ratio'!$A$3:$B$10,2,FALSE),0)*'FL Characterization'!T$2)</f>
        <v>61.097473085815736</v>
      </c>
      <c r="U4" s="2">
        <f>('[1]Pc, Summer, S1'!U4*Main!$B$5)+(_xlfn.IFNA(VLOOKUP($A4,'FL Ratio'!$A$3:$B$10,2,FALSE),0)*'FL Characterization'!U$2)</f>
        <v>61.599799320277683</v>
      </c>
      <c r="V4" s="2">
        <f>('[1]Pc, Summer, S1'!V4*Main!$B$5)+(_xlfn.IFNA(VLOOKUP($A4,'FL Ratio'!$A$3:$B$10,2,FALSE),0)*'FL Characterization'!V$2)</f>
        <v>61.093436154023571</v>
      </c>
      <c r="W4" s="2">
        <f>('[1]Pc, Summer, S1'!W4*Main!$B$5)+(_xlfn.IFNA(VLOOKUP($A4,'FL Ratio'!$A$3:$B$10,2,FALSE),0)*'FL Characterization'!W$2)</f>
        <v>63.283515645533903</v>
      </c>
      <c r="X4" s="2">
        <f>('[1]Pc, Summer, S1'!X4*Main!$B$5)+(_xlfn.IFNA(VLOOKUP($A4,'FL Ratio'!$A$3:$B$10,2,FALSE),0)*'FL Characterization'!X$2)</f>
        <v>61.828883923462065</v>
      </c>
      <c r="Y4" s="2">
        <f>('[1]Pc, Summer, S1'!Y4*Main!$B$5)+(_xlfn.IFNA(VLOOKUP($A4,'FL Ratio'!$A$3:$B$10,2,FALSE),0)*'FL Characterization'!Y$2)</f>
        <v>55.258477075504423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96BB-E9F6-4441-8479-A4E462FEE7A4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35.871047613745944</v>
      </c>
      <c r="C2" s="2">
        <f ca="1">('[1]Pc, Summer, S2'!C2*Main!$B$5)+(_xlfn.IFNA(VLOOKUP($A2,'FL Ratio'!$A$3:$B$10,2,FALSE),0)*'FL Characterization'!C$2)</f>
        <v>32.590452012512166</v>
      </c>
      <c r="D2" s="2">
        <f ca="1">('[1]Pc, Summer, S2'!D2*Main!$B$5)+(_xlfn.IFNA(VLOOKUP($A2,'FL Ratio'!$A$3:$B$10,2,FALSE),0)*'FL Characterization'!D$2)</f>
        <v>32.021181518305106</v>
      </c>
      <c r="E2" s="2">
        <f ca="1">('[1]Pc, Summer, S2'!E2*Main!$B$5)+(_xlfn.IFNA(VLOOKUP($A2,'FL Ratio'!$A$3:$B$10,2,FALSE),0)*'FL Characterization'!E$2)</f>
        <v>31.93938135920903</v>
      </c>
      <c r="F2" s="2">
        <f ca="1">('[1]Pc, Summer, S2'!F2*Main!$B$5)+(_xlfn.IFNA(VLOOKUP($A2,'FL Ratio'!$A$3:$B$10,2,FALSE),0)*'FL Characterization'!F$2)</f>
        <v>31.941899463560585</v>
      </c>
      <c r="G2" s="2">
        <f ca="1">('[1]Pc, Summer, S2'!G2*Main!$B$5)+(_xlfn.IFNA(VLOOKUP($A2,'FL Ratio'!$A$3:$B$10,2,FALSE),0)*'FL Characterization'!G$2)</f>
        <v>31.659414637925611</v>
      </c>
      <c r="H2" s="2">
        <f ca="1">('[1]Pc, Summer, S2'!H2*Main!$B$5)+(_xlfn.IFNA(VLOOKUP($A2,'FL Ratio'!$A$3:$B$10,2,FALSE),0)*'FL Characterization'!H$2)</f>
        <v>34.179164238719423</v>
      </c>
      <c r="I2" s="2">
        <f ca="1">('[1]Pc, Summer, S2'!I2*Main!$B$5)+(_xlfn.IFNA(VLOOKUP($A2,'FL Ratio'!$A$3:$B$10,2,FALSE),0)*'FL Characterization'!I$2)</f>
        <v>40.579018191977532</v>
      </c>
      <c r="J2" s="2">
        <f ca="1">('[1]Pc, Summer, S2'!J2*Main!$B$5)+(_xlfn.IFNA(VLOOKUP($A2,'FL Ratio'!$A$3:$B$10,2,FALSE),0)*'FL Characterization'!J$2)</f>
        <v>46.248542224942838</v>
      </c>
      <c r="K2" s="2">
        <f ca="1">('[1]Pc, Summer, S2'!K2*Main!$B$5)+(_xlfn.IFNA(VLOOKUP($A2,'FL Ratio'!$A$3:$B$10,2,FALSE),0)*'FL Characterization'!K$2)</f>
        <v>47.669669708497082</v>
      </c>
      <c r="L2" s="2">
        <f ca="1">('[1]Pc, Summer, S2'!L2*Main!$B$5)+(_xlfn.IFNA(VLOOKUP($A2,'FL Ratio'!$A$3:$B$10,2,FALSE),0)*'FL Characterization'!L$2)</f>
        <v>47.187265368382178</v>
      </c>
      <c r="M2" s="2">
        <f ca="1">('[1]Pc, Summer, S2'!M2*Main!$B$5)+(_xlfn.IFNA(VLOOKUP($A2,'FL Ratio'!$A$3:$B$10,2,FALSE),0)*'FL Characterization'!M$2)</f>
        <v>48.521655538955486</v>
      </c>
      <c r="N2" s="2">
        <f ca="1">('[1]Pc, Summer, S2'!N2*Main!$B$5)+(_xlfn.IFNA(VLOOKUP($A2,'FL Ratio'!$A$3:$B$10,2,FALSE),0)*'FL Characterization'!N$2)</f>
        <v>49.187270344680002</v>
      </c>
      <c r="O2" s="2">
        <f ca="1">('[1]Pc, Summer, S2'!O2*Main!$B$5)+(_xlfn.IFNA(VLOOKUP($A2,'FL Ratio'!$A$3:$B$10,2,FALSE),0)*'FL Characterization'!O$2)</f>
        <v>48.277397992333661</v>
      </c>
      <c r="P2" s="2">
        <f ca="1">('[1]Pc, Summer, S2'!P2*Main!$B$5)+(_xlfn.IFNA(VLOOKUP($A2,'FL Ratio'!$A$3:$B$10,2,FALSE),0)*'FL Characterization'!P$2)</f>
        <v>46.390948589314903</v>
      </c>
      <c r="Q2" s="2">
        <f ca="1">('[1]Pc, Summer, S2'!Q2*Main!$B$5)+(_xlfn.IFNA(VLOOKUP($A2,'FL Ratio'!$A$3:$B$10,2,FALSE),0)*'FL Characterization'!Q$2)</f>
        <v>44.523792942808761</v>
      </c>
      <c r="R2" s="2">
        <f ca="1">('[1]Pc, Summer, S2'!R2*Main!$B$5)+(_xlfn.IFNA(VLOOKUP($A2,'FL Ratio'!$A$3:$B$10,2,FALSE),0)*'FL Characterization'!R$2)</f>
        <v>45.300587210125599</v>
      </c>
      <c r="S2" s="2">
        <f ca="1">('[1]Pc, Summer, S2'!S2*Main!$B$5)+(_xlfn.IFNA(VLOOKUP($A2,'FL Ratio'!$A$3:$B$10,2,FALSE),0)*'FL Characterization'!S$2)</f>
        <v>45.748145695576362</v>
      </c>
      <c r="T2" s="2">
        <f ca="1">('[1]Pc, Summer, S2'!T2*Main!$B$5)+(_xlfn.IFNA(VLOOKUP($A2,'FL Ratio'!$A$3:$B$10,2,FALSE),0)*'FL Characterization'!T$2)</f>
        <v>45.942329579490931</v>
      </c>
      <c r="U2" s="2">
        <f ca="1">('[1]Pc, Summer, S2'!U2*Main!$B$5)+(_xlfn.IFNA(VLOOKUP($A2,'FL Ratio'!$A$3:$B$10,2,FALSE),0)*'FL Characterization'!U$2)</f>
        <v>45.181772812135435</v>
      </c>
      <c r="V2" s="2">
        <f ca="1">('[1]Pc, Summer, S2'!V2*Main!$B$5)+(_xlfn.IFNA(VLOOKUP($A2,'FL Ratio'!$A$3:$B$10,2,FALSE),0)*'FL Characterization'!V$2)</f>
        <v>45.317524136544463</v>
      </c>
      <c r="W2" s="2">
        <f ca="1">('[1]Pc, Summer, S2'!W2*Main!$B$5)+(_xlfn.IFNA(VLOOKUP($A2,'FL Ratio'!$A$3:$B$10,2,FALSE),0)*'FL Characterization'!W$2)</f>
        <v>47.194483985962897</v>
      </c>
      <c r="X2" s="2">
        <f ca="1">('[1]Pc, Summer, S2'!X2*Main!$B$5)+(_xlfn.IFNA(VLOOKUP($A2,'FL Ratio'!$A$3:$B$10,2,FALSE),0)*'FL Characterization'!X$2)</f>
        <v>43.990971363690008</v>
      </c>
      <c r="Y2" s="2">
        <f ca="1">('[1]Pc, Summer, S2'!Y2*Main!$B$5)+(_xlfn.IFNA(VLOOKUP($A2,'FL Ratio'!$A$3:$B$10,2,FALSE),0)*'FL Characterization'!Y$2)</f>
        <v>40.326278159796225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36.371038738022961</v>
      </c>
      <c r="C3" s="2">
        <f ca="1">('[1]Pc, Summer, S2'!C3*Main!$B$5)+(_xlfn.IFNA(VLOOKUP($A3,'FL Ratio'!$A$3:$B$10,2,FALSE),0)*'FL Characterization'!C$2)</f>
        <v>33.116923524362647</v>
      </c>
      <c r="D3" s="2">
        <f ca="1">('[1]Pc, Summer, S2'!D3*Main!$B$5)+(_xlfn.IFNA(VLOOKUP($A3,'FL Ratio'!$A$3:$B$10,2,FALSE),0)*'FL Characterization'!D$2)</f>
        <v>31.495962598013879</v>
      </c>
      <c r="E3" s="2">
        <f ca="1">('[1]Pc, Summer, S2'!E3*Main!$B$5)+(_xlfn.IFNA(VLOOKUP($A3,'FL Ratio'!$A$3:$B$10,2,FALSE),0)*'FL Characterization'!E$2)</f>
        <v>30.374701861935087</v>
      </c>
      <c r="F3" s="2">
        <f ca="1">('[1]Pc, Summer, S2'!F3*Main!$B$5)+(_xlfn.IFNA(VLOOKUP($A3,'FL Ratio'!$A$3:$B$10,2,FALSE),0)*'FL Characterization'!F$2)</f>
        <v>30.374701861935087</v>
      </c>
      <c r="G3" s="2">
        <f ca="1">('[1]Pc, Summer, S2'!G3*Main!$B$5)+(_xlfn.IFNA(VLOOKUP($A3,'FL Ratio'!$A$3:$B$10,2,FALSE),0)*'FL Characterization'!G$2)</f>
        <v>32.568481277988901</v>
      </c>
      <c r="H3" s="2">
        <f ca="1">('[1]Pc, Summer, S2'!H3*Main!$B$5)+(_xlfn.IFNA(VLOOKUP($A3,'FL Ratio'!$A$3:$B$10,2,FALSE),0)*'FL Characterization'!H$2)</f>
        <v>40.807342251029553</v>
      </c>
      <c r="I3" s="2">
        <f ca="1">('[1]Pc, Summer, S2'!I3*Main!$B$5)+(_xlfn.IFNA(VLOOKUP($A3,'FL Ratio'!$A$3:$B$10,2,FALSE),0)*'FL Characterization'!I$2)</f>
        <v>50.216200773524534</v>
      </c>
      <c r="J3" s="2">
        <f ca="1">('[1]Pc, Summer, S2'!J3*Main!$B$5)+(_xlfn.IFNA(VLOOKUP($A3,'FL Ratio'!$A$3:$B$10,2,FALSE),0)*'FL Characterization'!J$2)</f>
        <v>52.409982817804661</v>
      </c>
      <c r="K3" s="2">
        <f ca="1">('[1]Pc, Summer, S2'!K3*Main!$B$5)+(_xlfn.IFNA(VLOOKUP($A3,'FL Ratio'!$A$3:$B$10,2,FALSE),0)*'FL Characterization'!K$2)</f>
        <v>51.31309048841365</v>
      </c>
      <c r="L3" s="2">
        <f ca="1">('[1]Pc, Summer, S2'!L3*Main!$B$5)+(_xlfn.IFNA(VLOOKUP($A3,'FL Ratio'!$A$3:$B$10,2,FALSE),0)*'FL Characterization'!L$2)</f>
        <v>51.288719467223977</v>
      </c>
      <c r="M3" s="2">
        <f ca="1">('[1]Pc, Summer, S2'!M3*Main!$B$5)+(_xlfn.IFNA(VLOOKUP($A3,'FL Ratio'!$A$3:$B$10,2,FALSE),0)*'FL Characterization'!M$2)</f>
        <v>54.652522605199998</v>
      </c>
      <c r="N3" s="2">
        <f ca="1">('[1]Pc, Summer, S2'!N3*Main!$B$5)+(_xlfn.IFNA(VLOOKUP($A3,'FL Ratio'!$A$3:$B$10,2,FALSE),0)*'FL Characterization'!N$2)</f>
        <v>54.652522605199998</v>
      </c>
      <c r="O3" s="2">
        <f ca="1">('[1]Pc, Summer, S2'!O3*Main!$B$5)+(_xlfn.IFNA(VLOOKUP($A3,'FL Ratio'!$A$3:$B$10,2,FALSE),0)*'FL Characterization'!O$2)</f>
        <v>54.652522605199998</v>
      </c>
      <c r="P3" s="2">
        <f ca="1">('[1]Pc, Summer, S2'!P3*Main!$B$5)+(_xlfn.IFNA(VLOOKUP($A3,'FL Ratio'!$A$3:$B$10,2,FALSE),0)*'FL Characterization'!P$2)</f>
        <v>51.910293088973404</v>
      </c>
      <c r="Q3" s="2">
        <f ca="1">('[1]Pc, Summer, S2'!Q3*Main!$B$5)+(_xlfn.IFNA(VLOOKUP($A3,'FL Ratio'!$A$3:$B$10,2,FALSE),0)*'FL Characterization'!Q$2)</f>
        <v>49.143687319122222</v>
      </c>
      <c r="R3" s="2">
        <f ca="1">('[1]Pc, Summer, S2'!R3*Main!$B$5)+(_xlfn.IFNA(VLOOKUP($A3,'FL Ratio'!$A$3:$B$10,2,FALSE),0)*'FL Characterization'!R$2)</f>
        <v>45.779889413581117</v>
      </c>
      <c r="S3" s="2">
        <f ca="1">('[1]Pc, Summer, S2'!S3*Main!$B$5)+(_xlfn.IFNA(VLOOKUP($A3,'FL Ratio'!$A$3:$B$10,2,FALSE),0)*'FL Characterization'!S$2)</f>
        <v>45.779889413581117</v>
      </c>
      <c r="T3" s="2">
        <f ca="1">('[1]Pc, Summer, S2'!T3*Main!$B$5)+(_xlfn.IFNA(VLOOKUP($A3,'FL Ratio'!$A$3:$B$10,2,FALSE),0)*'FL Characterization'!T$2)</f>
        <v>45.779889413581117</v>
      </c>
      <c r="U3" s="2">
        <f ca="1">('[1]Pc, Summer, S2'!U3*Main!$B$5)+(_xlfn.IFNA(VLOOKUP($A3,'FL Ratio'!$A$3:$B$10,2,FALSE),0)*'FL Characterization'!U$2)</f>
        <v>45.779889413581117</v>
      </c>
      <c r="V3" s="2">
        <f ca="1">('[1]Pc, Summer, S2'!V3*Main!$B$5)+(_xlfn.IFNA(VLOOKUP($A3,'FL Ratio'!$A$3:$B$10,2,FALSE),0)*'FL Characterization'!V$2)</f>
        <v>45.779889413581117</v>
      </c>
      <c r="W3" s="2">
        <f ca="1">('[1]Pc, Summer, S2'!W3*Main!$B$5)+(_xlfn.IFNA(VLOOKUP($A3,'FL Ratio'!$A$3:$B$10,2,FALSE),0)*'FL Characterization'!W$2)</f>
        <v>45.779889413581117</v>
      </c>
      <c r="X3" s="2">
        <f ca="1">('[1]Pc, Summer, S2'!X3*Main!$B$5)+(_xlfn.IFNA(VLOOKUP($A3,'FL Ratio'!$A$3:$B$10,2,FALSE),0)*'FL Characterization'!X$2)</f>
        <v>44.134562695046483</v>
      </c>
      <c r="Y3" s="2">
        <f ca="1">('[1]Pc, Summer, S2'!Y3*Main!$B$5)+(_xlfn.IFNA(VLOOKUP($A3,'FL Ratio'!$A$3:$B$10,2,FALSE),0)*'FL Characterization'!Y$2)</f>
        <v>41.294841233399957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49.040654008500475</v>
      </c>
      <c r="C4" s="2">
        <f ca="1">('[1]Pc, Summer, S2'!C4*Main!$B$5)+(_xlfn.IFNA(VLOOKUP($A4,'FL Ratio'!$A$3:$B$10,2,FALSE),0)*'FL Characterization'!C$2)</f>
        <v>43.170599282539307</v>
      </c>
      <c r="D4" s="2">
        <f ca="1">('[1]Pc, Summer, S2'!D4*Main!$B$5)+(_xlfn.IFNA(VLOOKUP($A4,'FL Ratio'!$A$3:$B$10,2,FALSE),0)*'FL Characterization'!D$2)</f>
        <v>40.822430530143542</v>
      </c>
      <c r="E4" s="2">
        <f ca="1">('[1]Pc, Summer, S2'!E4*Main!$B$5)+(_xlfn.IFNA(VLOOKUP($A4,'FL Ratio'!$A$3:$B$10,2,FALSE),0)*'FL Characterization'!E$2)</f>
        <v>39.527700060999805</v>
      </c>
      <c r="F4" s="2">
        <f ca="1">('[1]Pc, Summer, S2'!F4*Main!$B$5)+(_xlfn.IFNA(VLOOKUP($A4,'FL Ratio'!$A$3:$B$10,2,FALSE),0)*'FL Characterization'!F$2)</f>
        <v>41.903062065555744</v>
      </c>
      <c r="G4" s="2">
        <f ca="1">('[1]Pc, Summer, S2'!G4*Main!$B$5)+(_xlfn.IFNA(VLOOKUP($A4,'FL Ratio'!$A$3:$B$10,2,FALSE),0)*'FL Characterization'!G$2)</f>
        <v>38.380512205710083</v>
      </c>
      <c r="H4" s="2">
        <f ca="1">('[1]Pc, Summer, S2'!H4*Main!$B$5)+(_xlfn.IFNA(VLOOKUP($A4,'FL Ratio'!$A$3:$B$10,2,FALSE),0)*'FL Characterization'!H$2)</f>
        <v>45.013337912373338</v>
      </c>
      <c r="I4" s="2">
        <f ca="1">('[1]Pc, Summer, S2'!I4*Main!$B$5)+(_xlfn.IFNA(VLOOKUP($A4,'FL Ratio'!$A$3:$B$10,2,FALSE),0)*'FL Characterization'!I$2)</f>
        <v>52.246210850033187</v>
      </c>
      <c r="J4" s="2">
        <f ca="1">('[1]Pc, Summer, S2'!J4*Main!$B$5)+(_xlfn.IFNA(VLOOKUP($A4,'FL Ratio'!$A$3:$B$10,2,FALSE),0)*'FL Characterization'!J$2)</f>
        <v>58.858883342259666</v>
      </c>
      <c r="K4" s="2">
        <f ca="1">('[1]Pc, Summer, S2'!K4*Main!$B$5)+(_xlfn.IFNA(VLOOKUP($A4,'FL Ratio'!$A$3:$B$10,2,FALSE),0)*'FL Characterization'!K$2)</f>
        <v>63.171249070128873</v>
      </c>
      <c r="L4" s="2">
        <f ca="1">('[1]Pc, Summer, S2'!L4*Main!$B$5)+(_xlfn.IFNA(VLOOKUP($A4,'FL Ratio'!$A$3:$B$10,2,FALSE),0)*'FL Characterization'!L$2)</f>
        <v>65.192865672551349</v>
      </c>
      <c r="M4" s="2">
        <f ca="1">('[1]Pc, Summer, S2'!M4*Main!$B$5)+(_xlfn.IFNA(VLOOKUP($A4,'FL Ratio'!$A$3:$B$10,2,FALSE),0)*'FL Characterization'!M$2)</f>
        <v>66.224638396912852</v>
      </c>
      <c r="N4" s="2">
        <f ca="1">('[1]Pc, Summer, S2'!N4*Main!$B$5)+(_xlfn.IFNA(VLOOKUP($A4,'FL Ratio'!$A$3:$B$10,2,FALSE),0)*'FL Characterization'!N$2)</f>
        <v>67.524970006393076</v>
      </c>
      <c r="O4" s="2">
        <f ca="1">('[1]Pc, Summer, S2'!O4*Main!$B$5)+(_xlfn.IFNA(VLOOKUP($A4,'FL Ratio'!$A$3:$B$10,2,FALSE),0)*'FL Characterization'!O$2)</f>
        <v>68.078024265901064</v>
      </c>
      <c r="P4" s="2">
        <f ca="1">('[1]Pc, Summer, S2'!P4*Main!$B$5)+(_xlfn.IFNA(VLOOKUP($A4,'FL Ratio'!$A$3:$B$10,2,FALSE),0)*'FL Characterization'!P$2)</f>
        <v>68.315653256499999</v>
      </c>
      <c r="Q4" s="2">
        <f ca="1">('[1]Pc, Summer, S2'!Q4*Main!$B$5)+(_xlfn.IFNA(VLOOKUP($A4,'FL Ratio'!$A$3:$B$10,2,FALSE),0)*'FL Characterization'!Q$2)</f>
        <v>65.740207525179642</v>
      </c>
      <c r="R4" s="2">
        <f ca="1">('[1]Pc, Summer, S2'!R4*Main!$B$5)+(_xlfn.IFNA(VLOOKUP($A4,'FL Ratio'!$A$3:$B$10,2,FALSE),0)*'FL Characterization'!R$2)</f>
        <v>65.773111839484997</v>
      </c>
      <c r="S4" s="2">
        <f ca="1">('[1]Pc, Summer, S2'!S4*Main!$B$5)+(_xlfn.IFNA(VLOOKUP($A4,'FL Ratio'!$A$3:$B$10,2,FALSE),0)*'FL Characterization'!S$2)</f>
        <v>63.208794796904698</v>
      </c>
      <c r="T4" s="2">
        <f ca="1">('[1]Pc, Summer, S2'!T4*Main!$B$5)+(_xlfn.IFNA(VLOOKUP($A4,'FL Ratio'!$A$3:$B$10,2,FALSE),0)*'FL Characterization'!T$2)</f>
        <v>63.54137200924837</v>
      </c>
      <c r="U4" s="2">
        <f ca="1">('[1]Pc, Summer, S2'!U4*Main!$B$5)+(_xlfn.IFNA(VLOOKUP($A4,'FL Ratio'!$A$3:$B$10,2,FALSE),0)*'FL Characterization'!U$2)</f>
        <v>64.063791293088798</v>
      </c>
      <c r="V4" s="2">
        <f ca="1">('[1]Pc, Summer, S2'!V4*Main!$B$5)+(_xlfn.IFNA(VLOOKUP($A4,'FL Ratio'!$A$3:$B$10,2,FALSE),0)*'FL Characterization'!V$2)</f>
        <v>63.537173600184516</v>
      </c>
      <c r="W4" s="2">
        <f ca="1">('[1]Pc, Summer, S2'!W4*Main!$B$5)+(_xlfn.IFNA(VLOOKUP($A4,'FL Ratio'!$A$3:$B$10,2,FALSE),0)*'FL Characterization'!W$2)</f>
        <v>65.814856271355254</v>
      </c>
      <c r="X4" s="2">
        <f ca="1">('[1]Pc, Summer, S2'!X4*Main!$B$5)+(_xlfn.IFNA(VLOOKUP($A4,'FL Ratio'!$A$3:$B$10,2,FALSE),0)*'FL Characterization'!X$2)</f>
        <v>64.30203928040055</v>
      </c>
      <c r="Y4" s="2">
        <f ca="1">('[1]Pc, Summer, S2'!Y4*Main!$B$5)+(_xlfn.IFNA(VLOOKUP($A4,'FL Ratio'!$A$3:$B$10,2,FALSE),0)*'FL Characterization'!Y$2)</f>
        <v>57.468816158524604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0CD1-D625-4A92-9BA0-2060A94ABB5B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35.871047613745944</v>
      </c>
      <c r="C2" s="2">
        <f ca="1">('[1]Pc, Summer, S2'!C2*Main!$B$5)+(_xlfn.IFNA(VLOOKUP($A2,'FL Ratio'!$A$3:$B$10,2,FALSE),0)*'FL Characterization'!C$2)</f>
        <v>32.590452012512166</v>
      </c>
      <c r="D2" s="2">
        <f ca="1">('[1]Pc, Summer, S2'!D2*Main!$B$5)+(_xlfn.IFNA(VLOOKUP($A2,'FL Ratio'!$A$3:$B$10,2,FALSE),0)*'FL Characterization'!D$2)</f>
        <v>32.021181518305106</v>
      </c>
      <c r="E2" s="2">
        <f ca="1">('[1]Pc, Summer, S2'!E2*Main!$B$5)+(_xlfn.IFNA(VLOOKUP($A2,'FL Ratio'!$A$3:$B$10,2,FALSE),0)*'FL Characterization'!E$2)</f>
        <v>31.93938135920903</v>
      </c>
      <c r="F2" s="2">
        <f ca="1">('[1]Pc, Summer, S2'!F2*Main!$B$5)+(_xlfn.IFNA(VLOOKUP($A2,'FL Ratio'!$A$3:$B$10,2,FALSE),0)*'FL Characterization'!F$2)</f>
        <v>31.941899463560585</v>
      </c>
      <c r="G2" s="2">
        <f ca="1">('[1]Pc, Summer, S2'!G2*Main!$B$5)+(_xlfn.IFNA(VLOOKUP($A2,'FL Ratio'!$A$3:$B$10,2,FALSE),0)*'FL Characterization'!G$2)</f>
        <v>31.659414637925611</v>
      </c>
      <c r="H2" s="2">
        <f ca="1">('[1]Pc, Summer, S2'!H2*Main!$B$5)+(_xlfn.IFNA(VLOOKUP($A2,'FL Ratio'!$A$3:$B$10,2,FALSE),0)*'FL Characterization'!H$2)</f>
        <v>34.179164238719423</v>
      </c>
      <c r="I2" s="2">
        <f ca="1">('[1]Pc, Summer, S2'!I2*Main!$B$5)+(_xlfn.IFNA(VLOOKUP($A2,'FL Ratio'!$A$3:$B$10,2,FALSE),0)*'FL Characterization'!I$2)</f>
        <v>40.579018191977532</v>
      </c>
      <c r="J2" s="2">
        <f ca="1">('[1]Pc, Summer, S2'!J2*Main!$B$5)+(_xlfn.IFNA(VLOOKUP($A2,'FL Ratio'!$A$3:$B$10,2,FALSE),0)*'FL Characterization'!J$2)</f>
        <v>46.248542224942838</v>
      </c>
      <c r="K2" s="2">
        <f ca="1">('[1]Pc, Summer, S2'!K2*Main!$B$5)+(_xlfn.IFNA(VLOOKUP($A2,'FL Ratio'!$A$3:$B$10,2,FALSE),0)*'FL Characterization'!K$2)</f>
        <v>47.669669708497082</v>
      </c>
      <c r="L2" s="2">
        <f ca="1">('[1]Pc, Summer, S2'!L2*Main!$B$5)+(_xlfn.IFNA(VLOOKUP($A2,'FL Ratio'!$A$3:$B$10,2,FALSE),0)*'FL Characterization'!L$2)</f>
        <v>47.187265368382178</v>
      </c>
      <c r="M2" s="2">
        <f ca="1">('[1]Pc, Summer, S2'!M2*Main!$B$5)+(_xlfn.IFNA(VLOOKUP($A2,'FL Ratio'!$A$3:$B$10,2,FALSE),0)*'FL Characterization'!M$2)</f>
        <v>48.521655538955486</v>
      </c>
      <c r="N2" s="2">
        <f ca="1">('[1]Pc, Summer, S2'!N2*Main!$B$5)+(_xlfn.IFNA(VLOOKUP($A2,'FL Ratio'!$A$3:$B$10,2,FALSE),0)*'FL Characterization'!N$2)</f>
        <v>49.187270344680002</v>
      </c>
      <c r="O2" s="2">
        <f ca="1">('[1]Pc, Summer, S2'!O2*Main!$B$5)+(_xlfn.IFNA(VLOOKUP($A2,'FL Ratio'!$A$3:$B$10,2,FALSE),0)*'FL Characterization'!O$2)</f>
        <v>48.277397992333661</v>
      </c>
      <c r="P2" s="2">
        <f ca="1">('[1]Pc, Summer, S2'!P2*Main!$B$5)+(_xlfn.IFNA(VLOOKUP($A2,'FL Ratio'!$A$3:$B$10,2,FALSE),0)*'FL Characterization'!P$2)</f>
        <v>46.390948589314903</v>
      </c>
      <c r="Q2" s="2">
        <f ca="1">('[1]Pc, Summer, S2'!Q2*Main!$B$5)+(_xlfn.IFNA(VLOOKUP($A2,'FL Ratio'!$A$3:$B$10,2,FALSE),0)*'FL Characterization'!Q$2)</f>
        <v>44.523792942808761</v>
      </c>
      <c r="R2" s="2">
        <f ca="1">('[1]Pc, Summer, S2'!R2*Main!$B$5)+(_xlfn.IFNA(VLOOKUP($A2,'FL Ratio'!$A$3:$B$10,2,FALSE),0)*'FL Characterization'!R$2)</f>
        <v>45.300587210125599</v>
      </c>
      <c r="S2" s="2">
        <f ca="1">('[1]Pc, Summer, S2'!S2*Main!$B$5)+(_xlfn.IFNA(VLOOKUP($A2,'FL Ratio'!$A$3:$B$10,2,FALSE),0)*'FL Characterization'!S$2)</f>
        <v>45.748145695576362</v>
      </c>
      <c r="T2" s="2">
        <f ca="1">('[1]Pc, Summer, S2'!T2*Main!$B$5)+(_xlfn.IFNA(VLOOKUP($A2,'FL Ratio'!$A$3:$B$10,2,FALSE),0)*'FL Characterization'!T$2)</f>
        <v>45.942329579490931</v>
      </c>
      <c r="U2" s="2">
        <f ca="1">('[1]Pc, Summer, S2'!U2*Main!$B$5)+(_xlfn.IFNA(VLOOKUP($A2,'FL Ratio'!$A$3:$B$10,2,FALSE),0)*'FL Characterization'!U$2)</f>
        <v>45.181772812135435</v>
      </c>
      <c r="V2" s="2">
        <f ca="1">('[1]Pc, Summer, S2'!V2*Main!$B$5)+(_xlfn.IFNA(VLOOKUP($A2,'FL Ratio'!$A$3:$B$10,2,FALSE),0)*'FL Characterization'!V$2)</f>
        <v>45.317524136544463</v>
      </c>
      <c r="W2" s="2">
        <f ca="1">('[1]Pc, Summer, S2'!W2*Main!$B$5)+(_xlfn.IFNA(VLOOKUP($A2,'FL Ratio'!$A$3:$B$10,2,FALSE),0)*'FL Characterization'!W$2)</f>
        <v>47.194483985962897</v>
      </c>
      <c r="X2" s="2">
        <f ca="1">('[1]Pc, Summer, S2'!X2*Main!$B$5)+(_xlfn.IFNA(VLOOKUP($A2,'FL Ratio'!$A$3:$B$10,2,FALSE),0)*'FL Characterization'!X$2)</f>
        <v>43.990971363690008</v>
      </c>
      <c r="Y2" s="2">
        <f ca="1">('[1]Pc, Summer, S2'!Y2*Main!$B$5)+(_xlfn.IFNA(VLOOKUP($A2,'FL Ratio'!$A$3:$B$10,2,FALSE),0)*'FL Characterization'!Y$2)</f>
        <v>40.326278159796225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36.371038738022961</v>
      </c>
      <c r="C3" s="2">
        <f ca="1">('[1]Pc, Summer, S2'!C3*Main!$B$5)+(_xlfn.IFNA(VLOOKUP($A3,'FL Ratio'!$A$3:$B$10,2,FALSE),0)*'FL Characterization'!C$2)</f>
        <v>33.116923524362647</v>
      </c>
      <c r="D3" s="2">
        <f ca="1">('[1]Pc, Summer, S2'!D3*Main!$B$5)+(_xlfn.IFNA(VLOOKUP($A3,'FL Ratio'!$A$3:$B$10,2,FALSE),0)*'FL Characterization'!D$2)</f>
        <v>31.495962598013879</v>
      </c>
      <c r="E3" s="2">
        <f ca="1">('[1]Pc, Summer, S2'!E3*Main!$B$5)+(_xlfn.IFNA(VLOOKUP($A3,'FL Ratio'!$A$3:$B$10,2,FALSE),0)*'FL Characterization'!E$2)</f>
        <v>30.374701861935087</v>
      </c>
      <c r="F3" s="2">
        <f ca="1">('[1]Pc, Summer, S2'!F3*Main!$B$5)+(_xlfn.IFNA(VLOOKUP($A3,'FL Ratio'!$A$3:$B$10,2,FALSE),0)*'FL Characterization'!F$2)</f>
        <v>30.374701861935087</v>
      </c>
      <c r="G3" s="2">
        <f ca="1">('[1]Pc, Summer, S2'!G3*Main!$B$5)+(_xlfn.IFNA(VLOOKUP($A3,'FL Ratio'!$A$3:$B$10,2,FALSE),0)*'FL Characterization'!G$2)</f>
        <v>32.568481277988901</v>
      </c>
      <c r="H3" s="2">
        <f ca="1">('[1]Pc, Summer, S2'!H3*Main!$B$5)+(_xlfn.IFNA(VLOOKUP($A3,'FL Ratio'!$A$3:$B$10,2,FALSE),0)*'FL Characterization'!H$2)</f>
        <v>40.807342251029553</v>
      </c>
      <c r="I3" s="2">
        <f ca="1">('[1]Pc, Summer, S2'!I3*Main!$B$5)+(_xlfn.IFNA(VLOOKUP($A3,'FL Ratio'!$A$3:$B$10,2,FALSE),0)*'FL Characterization'!I$2)</f>
        <v>50.216200773524534</v>
      </c>
      <c r="J3" s="2">
        <f ca="1">('[1]Pc, Summer, S2'!J3*Main!$B$5)+(_xlfn.IFNA(VLOOKUP($A3,'FL Ratio'!$A$3:$B$10,2,FALSE),0)*'FL Characterization'!J$2)</f>
        <v>52.409982817804661</v>
      </c>
      <c r="K3" s="2">
        <f ca="1">('[1]Pc, Summer, S2'!K3*Main!$B$5)+(_xlfn.IFNA(VLOOKUP($A3,'FL Ratio'!$A$3:$B$10,2,FALSE),0)*'FL Characterization'!K$2)</f>
        <v>51.31309048841365</v>
      </c>
      <c r="L3" s="2">
        <f ca="1">('[1]Pc, Summer, S2'!L3*Main!$B$5)+(_xlfn.IFNA(VLOOKUP($A3,'FL Ratio'!$A$3:$B$10,2,FALSE),0)*'FL Characterization'!L$2)</f>
        <v>51.288719467223977</v>
      </c>
      <c r="M3" s="2">
        <f ca="1">('[1]Pc, Summer, S2'!M3*Main!$B$5)+(_xlfn.IFNA(VLOOKUP($A3,'FL Ratio'!$A$3:$B$10,2,FALSE),0)*'FL Characterization'!M$2)</f>
        <v>54.652522605199998</v>
      </c>
      <c r="N3" s="2">
        <f ca="1">('[1]Pc, Summer, S2'!N3*Main!$B$5)+(_xlfn.IFNA(VLOOKUP($A3,'FL Ratio'!$A$3:$B$10,2,FALSE),0)*'FL Characterization'!N$2)</f>
        <v>54.652522605199998</v>
      </c>
      <c r="O3" s="2">
        <f ca="1">('[1]Pc, Summer, S2'!O3*Main!$B$5)+(_xlfn.IFNA(VLOOKUP($A3,'FL Ratio'!$A$3:$B$10,2,FALSE),0)*'FL Characterization'!O$2)</f>
        <v>54.652522605199998</v>
      </c>
      <c r="P3" s="2">
        <f ca="1">('[1]Pc, Summer, S2'!P3*Main!$B$5)+(_xlfn.IFNA(VLOOKUP($A3,'FL Ratio'!$A$3:$B$10,2,FALSE),0)*'FL Characterization'!P$2)</f>
        <v>51.910293088973404</v>
      </c>
      <c r="Q3" s="2">
        <f ca="1">('[1]Pc, Summer, S2'!Q3*Main!$B$5)+(_xlfn.IFNA(VLOOKUP($A3,'FL Ratio'!$A$3:$B$10,2,FALSE),0)*'FL Characterization'!Q$2)</f>
        <v>49.143687319122222</v>
      </c>
      <c r="R3" s="2">
        <f ca="1">('[1]Pc, Summer, S2'!R3*Main!$B$5)+(_xlfn.IFNA(VLOOKUP($A3,'FL Ratio'!$A$3:$B$10,2,FALSE),0)*'FL Characterization'!R$2)</f>
        <v>45.779889413581117</v>
      </c>
      <c r="S3" s="2">
        <f ca="1">('[1]Pc, Summer, S2'!S3*Main!$B$5)+(_xlfn.IFNA(VLOOKUP($A3,'FL Ratio'!$A$3:$B$10,2,FALSE),0)*'FL Characterization'!S$2)</f>
        <v>45.779889413581117</v>
      </c>
      <c r="T3" s="2">
        <f ca="1">('[1]Pc, Summer, S2'!T3*Main!$B$5)+(_xlfn.IFNA(VLOOKUP($A3,'FL Ratio'!$A$3:$B$10,2,FALSE),0)*'FL Characterization'!T$2)</f>
        <v>45.779889413581117</v>
      </c>
      <c r="U3" s="2">
        <f ca="1">('[1]Pc, Summer, S2'!U3*Main!$B$5)+(_xlfn.IFNA(VLOOKUP($A3,'FL Ratio'!$A$3:$B$10,2,FALSE),0)*'FL Characterization'!U$2)</f>
        <v>45.779889413581117</v>
      </c>
      <c r="V3" s="2">
        <f ca="1">('[1]Pc, Summer, S2'!V3*Main!$B$5)+(_xlfn.IFNA(VLOOKUP($A3,'FL Ratio'!$A$3:$B$10,2,FALSE),0)*'FL Characterization'!V$2)</f>
        <v>45.779889413581117</v>
      </c>
      <c r="W3" s="2">
        <f ca="1">('[1]Pc, Summer, S2'!W3*Main!$B$5)+(_xlfn.IFNA(VLOOKUP($A3,'FL Ratio'!$A$3:$B$10,2,FALSE),0)*'FL Characterization'!W$2)</f>
        <v>45.779889413581117</v>
      </c>
      <c r="X3" s="2">
        <f ca="1">('[1]Pc, Summer, S2'!X3*Main!$B$5)+(_xlfn.IFNA(VLOOKUP($A3,'FL Ratio'!$A$3:$B$10,2,FALSE),0)*'FL Characterization'!X$2)</f>
        <v>44.134562695046483</v>
      </c>
      <c r="Y3" s="2">
        <f ca="1">('[1]Pc, Summer, S2'!Y3*Main!$B$5)+(_xlfn.IFNA(VLOOKUP($A3,'FL Ratio'!$A$3:$B$10,2,FALSE),0)*'FL Characterization'!Y$2)</f>
        <v>41.294841233399957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49.040654008500475</v>
      </c>
      <c r="C4" s="2">
        <f ca="1">('[1]Pc, Summer, S2'!C4*Main!$B$5)+(_xlfn.IFNA(VLOOKUP($A4,'FL Ratio'!$A$3:$B$10,2,FALSE),0)*'FL Characterization'!C$2)</f>
        <v>43.170599282539307</v>
      </c>
      <c r="D4" s="2">
        <f ca="1">('[1]Pc, Summer, S2'!D4*Main!$B$5)+(_xlfn.IFNA(VLOOKUP($A4,'FL Ratio'!$A$3:$B$10,2,FALSE),0)*'FL Characterization'!D$2)</f>
        <v>40.822430530143542</v>
      </c>
      <c r="E4" s="2">
        <f ca="1">('[1]Pc, Summer, S2'!E4*Main!$B$5)+(_xlfn.IFNA(VLOOKUP($A4,'FL Ratio'!$A$3:$B$10,2,FALSE),0)*'FL Characterization'!E$2)</f>
        <v>39.527700060999805</v>
      </c>
      <c r="F4" s="2">
        <f ca="1">('[1]Pc, Summer, S2'!F4*Main!$B$5)+(_xlfn.IFNA(VLOOKUP($A4,'FL Ratio'!$A$3:$B$10,2,FALSE),0)*'FL Characterization'!F$2)</f>
        <v>41.903062065555744</v>
      </c>
      <c r="G4" s="2">
        <f ca="1">('[1]Pc, Summer, S2'!G4*Main!$B$5)+(_xlfn.IFNA(VLOOKUP($A4,'FL Ratio'!$A$3:$B$10,2,FALSE),0)*'FL Characterization'!G$2)</f>
        <v>38.380512205710083</v>
      </c>
      <c r="H4" s="2">
        <f ca="1">('[1]Pc, Summer, S2'!H4*Main!$B$5)+(_xlfn.IFNA(VLOOKUP($A4,'FL Ratio'!$A$3:$B$10,2,FALSE),0)*'FL Characterization'!H$2)</f>
        <v>45.013337912373338</v>
      </c>
      <c r="I4" s="2">
        <f ca="1">('[1]Pc, Summer, S2'!I4*Main!$B$5)+(_xlfn.IFNA(VLOOKUP($A4,'FL Ratio'!$A$3:$B$10,2,FALSE),0)*'FL Characterization'!I$2)</f>
        <v>52.246210850033187</v>
      </c>
      <c r="J4" s="2">
        <f ca="1">('[1]Pc, Summer, S2'!J4*Main!$B$5)+(_xlfn.IFNA(VLOOKUP($A4,'FL Ratio'!$A$3:$B$10,2,FALSE),0)*'FL Characterization'!J$2)</f>
        <v>58.858883342259666</v>
      </c>
      <c r="K4" s="2">
        <f ca="1">('[1]Pc, Summer, S2'!K4*Main!$B$5)+(_xlfn.IFNA(VLOOKUP($A4,'FL Ratio'!$A$3:$B$10,2,FALSE),0)*'FL Characterization'!K$2)</f>
        <v>63.171249070128873</v>
      </c>
      <c r="L4" s="2">
        <f ca="1">('[1]Pc, Summer, S2'!L4*Main!$B$5)+(_xlfn.IFNA(VLOOKUP($A4,'FL Ratio'!$A$3:$B$10,2,FALSE),0)*'FL Characterization'!L$2)</f>
        <v>65.192865672551349</v>
      </c>
      <c r="M4" s="2">
        <f ca="1">('[1]Pc, Summer, S2'!M4*Main!$B$5)+(_xlfn.IFNA(VLOOKUP($A4,'FL Ratio'!$A$3:$B$10,2,FALSE),0)*'FL Characterization'!M$2)</f>
        <v>66.224638396912852</v>
      </c>
      <c r="N4" s="2">
        <f ca="1">('[1]Pc, Summer, S2'!N4*Main!$B$5)+(_xlfn.IFNA(VLOOKUP($A4,'FL Ratio'!$A$3:$B$10,2,FALSE),0)*'FL Characterization'!N$2)</f>
        <v>67.524970006393076</v>
      </c>
      <c r="O4" s="2">
        <f ca="1">('[1]Pc, Summer, S2'!O4*Main!$B$5)+(_xlfn.IFNA(VLOOKUP($A4,'FL Ratio'!$A$3:$B$10,2,FALSE),0)*'FL Characterization'!O$2)</f>
        <v>68.078024265901064</v>
      </c>
      <c r="P4" s="2">
        <f ca="1">('[1]Pc, Summer, S2'!P4*Main!$B$5)+(_xlfn.IFNA(VLOOKUP($A4,'FL Ratio'!$A$3:$B$10,2,FALSE),0)*'FL Characterization'!P$2)</f>
        <v>68.315653256499999</v>
      </c>
      <c r="Q4" s="2">
        <f ca="1">('[1]Pc, Summer, S2'!Q4*Main!$B$5)+(_xlfn.IFNA(VLOOKUP($A4,'FL Ratio'!$A$3:$B$10,2,FALSE),0)*'FL Characterization'!Q$2)</f>
        <v>65.740207525179642</v>
      </c>
      <c r="R4" s="2">
        <f ca="1">('[1]Pc, Summer, S2'!R4*Main!$B$5)+(_xlfn.IFNA(VLOOKUP($A4,'FL Ratio'!$A$3:$B$10,2,FALSE),0)*'FL Characterization'!R$2)</f>
        <v>65.773111839484997</v>
      </c>
      <c r="S4" s="2">
        <f ca="1">('[1]Pc, Summer, S2'!S4*Main!$B$5)+(_xlfn.IFNA(VLOOKUP($A4,'FL Ratio'!$A$3:$B$10,2,FALSE),0)*'FL Characterization'!S$2)</f>
        <v>63.208794796904698</v>
      </c>
      <c r="T4" s="2">
        <f ca="1">('[1]Pc, Summer, S2'!T4*Main!$B$5)+(_xlfn.IFNA(VLOOKUP($A4,'FL Ratio'!$A$3:$B$10,2,FALSE),0)*'FL Characterization'!T$2)</f>
        <v>63.54137200924837</v>
      </c>
      <c r="U4" s="2">
        <f ca="1">('[1]Pc, Summer, S2'!U4*Main!$B$5)+(_xlfn.IFNA(VLOOKUP($A4,'FL Ratio'!$A$3:$B$10,2,FALSE),0)*'FL Characterization'!U$2)</f>
        <v>64.063791293088798</v>
      </c>
      <c r="V4" s="2">
        <f ca="1">('[1]Pc, Summer, S2'!V4*Main!$B$5)+(_xlfn.IFNA(VLOOKUP($A4,'FL Ratio'!$A$3:$B$10,2,FALSE),0)*'FL Characterization'!V$2)</f>
        <v>63.537173600184516</v>
      </c>
      <c r="W4" s="2">
        <f ca="1">('[1]Pc, Summer, S2'!W4*Main!$B$5)+(_xlfn.IFNA(VLOOKUP($A4,'FL Ratio'!$A$3:$B$10,2,FALSE),0)*'FL Characterization'!W$2)</f>
        <v>65.814856271355254</v>
      </c>
      <c r="X4" s="2">
        <f ca="1">('[1]Pc, Summer, S2'!X4*Main!$B$5)+(_xlfn.IFNA(VLOOKUP($A4,'FL Ratio'!$A$3:$B$10,2,FALSE),0)*'FL Characterization'!X$2)</f>
        <v>64.30203928040055</v>
      </c>
      <c r="Y4" s="2">
        <f ca="1">('[1]Pc, Summer, S2'!Y4*Main!$B$5)+(_xlfn.IFNA(VLOOKUP($A4,'FL Ratio'!$A$3:$B$10,2,FALSE),0)*'FL Characterization'!Y$2)</f>
        <v>57.468816158524604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092C-A374-4AA2-A2BC-FB6911C52662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S2'!B2*Main!$B$5)+(_xlfn.IFNA(VLOOKUP($A2,'FL Ratio'!$A$3:$B$10,2,FALSE),0)*'FL Characterization'!B$2)</f>
        <v>35.871047613745944</v>
      </c>
      <c r="C2" s="2">
        <f ca="1">('[1]Pc, Summer, S2'!C2*Main!$B$5)+(_xlfn.IFNA(VLOOKUP($A2,'FL Ratio'!$A$3:$B$10,2,FALSE),0)*'FL Characterization'!C$2)</f>
        <v>32.590452012512166</v>
      </c>
      <c r="D2" s="2">
        <f ca="1">('[1]Pc, Summer, S2'!D2*Main!$B$5)+(_xlfn.IFNA(VLOOKUP($A2,'FL Ratio'!$A$3:$B$10,2,FALSE),0)*'FL Characterization'!D$2)</f>
        <v>32.021181518305106</v>
      </c>
      <c r="E2" s="2">
        <f ca="1">('[1]Pc, Summer, S2'!E2*Main!$B$5)+(_xlfn.IFNA(VLOOKUP($A2,'FL Ratio'!$A$3:$B$10,2,FALSE),0)*'FL Characterization'!E$2)</f>
        <v>31.93938135920903</v>
      </c>
      <c r="F2" s="2">
        <f ca="1">('[1]Pc, Summer, S2'!F2*Main!$B$5)+(_xlfn.IFNA(VLOOKUP($A2,'FL Ratio'!$A$3:$B$10,2,FALSE),0)*'FL Characterization'!F$2)</f>
        <v>31.941899463560585</v>
      </c>
      <c r="G2" s="2">
        <f ca="1">('[1]Pc, Summer, S2'!G2*Main!$B$5)+(_xlfn.IFNA(VLOOKUP($A2,'FL Ratio'!$A$3:$B$10,2,FALSE),0)*'FL Characterization'!G$2)</f>
        <v>31.659414637925611</v>
      </c>
      <c r="H2" s="2">
        <f ca="1">('[1]Pc, Summer, S2'!H2*Main!$B$5)+(_xlfn.IFNA(VLOOKUP($A2,'FL Ratio'!$A$3:$B$10,2,FALSE),0)*'FL Characterization'!H$2)</f>
        <v>34.179164238719423</v>
      </c>
      <c r="I2" s="2">
        <f ca="1">('[1]Pc, Summer, S2'!I2*Main!$B$5)+(_xlfn.IFNA(VLOOKUP($A2,'FL Ratio'!$A$3:$B$10,2,FALSE),0)*'FL Characterization'!I$2)</f>
        <v>40.579018191977532</v>
      </c>
      <c r="J2" s="2">
        <f ca="1">('[1]Pc, Summer, S2'!J2*Main!$B$5)+(_xlfn.IFNA(VLOOKUP($A2,'FL Ratio'!$A$3:$B$10,2,FALSE),0)*'FL Characterization'!J$2)</f>
        <v>46.248542224942838</v>
      </c>
      <c r="K2" s="2">
        <f ca="1">('[1]Pc, Summer, S2'!K2*Main!$B$5)+(_xlfn.IFNA(VLOOKUP($A2,'FL Ratio'!$A$3:$B$10,2,FALSE),0)*'FL Characterization'!K$2)</f>
        <v>47.669669708497082</v>
      </c>
      <c r="L2" s="2">
        <f ca="1">('[1]Pc, Summer, S2'!L2*Main!$B$5)+(_xlfn.IFNA(VLOOKUP($A2,'FL Ratio'!$A$3:$B$10,2,FALSE),0)*'FL Characterization'!L$2)</f>
        <v>47.187265368382178</v>
      </c>
      <c r="M2" s="2">
        <f ca="1">('[1]Pc, Summer, S2'!M2*Main!$B$5)+(_xlfn.IFNA(VLOOKUP($A2,'FL Ratio'!$A$3:$B$10,2,FALSE),0)*'FL Characterization'!M$2)</f>
        <v>48.521655538955486</v>
      </c>
      <c r="N2" s="2">
        <f ca="1">('[1]Pc, Summer, S2'!N2*Main!$B$5)+(_xlfn.IFNA(VLOOKUP($A2,'FL Ratio'!$A$3:$B$10,2,FALSE),0)*'FL Characterization'!N$2)</f>
        <v>49.187270344680002</v>
      </c>
      <c r="O2" s="2">
        <f ca="1">('[1]Pc, Summer, S2'!O2*Main!$B$5)+(_xlfn.IFNA(VLOOKUP($A2,'FL Ratio'!$A$3:$B$10,2,FALSE),0)*'FL Characterization'!O$2)</f>
        <v>48.277397992333661</v>
      </c>
      <c r="P2" s="2">
        <f ca="1">('[1]Pc, Summer, S2'!P2*Main!$B$5)+(_xlfn.IFNA(VLOOKUP($A2,'FL Ratio'!$A$3:$B$10,2,FALSE),0)*'FL Characterization'!P$2)</f>
        <v>46.390948589314903</v>
      </c>
      <c r="Q2" s="2">
        <f ca="1">('[1]Pc, Summer, S2'!Q2*Main!$B$5)+(_xlfn.IFNA(VLOOKUP($A2,'FL Ratio'!$A$3:$B$10,2,FALSE),0)*'FL Characterization'!Q$2)</f>
        <v>44.523792942808761</v>
      </c>
      <c r="R2" s="2">
        <f ca="1">('[1]Pc, Summer, S2'!R2*Main!$B$5)+(_xlfn.IFNA(VLOOKUP($A2,'FL Ratio'!$A$3:$B$10,2,FALSE),0)*'FL Characterization'!R$2)</f>
        <v>45.300587210125599</v>
      </c>
      <c r="S2" s="2">
        <f ca="1">('[1]Pc, Summer, S2'!S2*Main!$B$5)+(_xlfn.IFNA(VLOOKUP($A2,'FL Ratio'!$A$3:$B$10,2,FALSE),0)*'FL Characterization'!S$2)</f>
        <v>45.748145695576362</v>
      </c>
      <c r="T2" s="2">
        <f ca="1">('[1]Pc, Summer, S2'!T2*Main!$B$5)+(_xlfn.IFNA(VLOOKUP($A2,'FL Ratio'!$A$3:$B$10,2,FALSE),0)*'FL Characterization'!T$2)</f>
        <v>45.942329579490931</v>
      </c>
      <c r="U2" s="2">
        <f ca="1">('[1]Pc, Summer, S2'!U2*Main!$B$5)+(_xlfn.IFNA(VLOOKUP($A2,'FL Ratio'!$A$3:$B$10,2,FALSE),0)*'FL Characterization'!U$2)</f>
        <v>45.181772812135435</v>
      </c>
      <c r="V2" s="2">
        <f ca="1">('[1]Pc, Summer, S2'!V2*Main!$B$5)+(_xlfn.IFNA(VLOOKUP($A2,'FL Ratio'!$A$3:$B$10,2,FALSE),0)*'FL Characterization'!V$2)</f>
        <v>45.317524136544463</v>
      </c>
      <c r="W2" s="2">
        <f ca="1">('[1]Pc, Summer, S2'!W2*Main!$B$5)+(_xlfn.IFNA(VLOOKUP($A2,'FL Ratio'!$A$3:$B$10,2,FALSE),0)*'FL Characterization'!W$2)</f>
        <v>47.194483985962897</v>
      </c>
      <c r="X2" s="2">
        <f ca="1">('[1]Pc, Summer, S2'!X2*Main!$B$5)+(_xlfn.IFNA(VLOOKUP($A2,'FL Ratio'!$A$3:$B$10,2,FALSE),0)*'FL Characterization'!X$2)</f>
        <v>43.990971363690008</v>
      </c>
      <c r="Y2" s="2">
        <f ca="1">('[1]Pc, Summer, S2'!Y2*Main!$B$5)+(_xlfn.IFNA(VLOOKUP($A2,'FL Ratio'!$A$3:$B$10,2,FALSE),0)*'FL Characterization'!Y$2)</f>
        <v>40.326278159796225</v>
      </c>
    </row>
    <row r="3" spans="1:25" x14ac:dyDescent="0.3">
      <c r="A3">
        <v>2</v>
      </c>
      <c r="B3" s="2">
        <f ca="1">('[1]Pc, Summer, S2'!B3*Main!$B$5)+(_xlfn.IFNA(VLOOKUP($A3,'FL Ratio'!$A$3:$B$10,2,FALSE),0)*'FL Characterization'!B$2)</f>
        <v>36.371038738022961</v>
      </c>
      <c r="C3" s="2">
        <f ca="1">('[1]Pc, Summer, S2'!C3*Main!$B$5)+(_xlfn.IFNA(VLOOKUP($A3,'FL Ratio'!$A$3:$B$10,2,FALSE),0)*'FL Characterization'!C$2)</f>
        <v>33.116923524362647</v>
      </c>
      <c r="D3" s="2">
        <f ca="1">('[1]Pc, Summer, S2'!D3*Main!$B$5)+(_xlfn.IFNA(VLOOKUP($A3,'FL Ratio'!$A$3:$B$10,2,FALSE),0)*'FL Characterization'!D$2)</f>
        <v>31.495962598013879</v>
      </c>
      <c r="E3" s="2">
        <f ca="1">('[1]Pc, Summer, S2'!E3*Main!$B$5)+(_xlfn.IFNA(VLOOKUP($A3,'FL Ratio'!$A$3:$B$10,2,FALSE),0)*'FL Characterization'!E$2)</f>
        <v>30.374701861935087</v>
      </c>
      <c r="F3" s="2">
        <f ca="1">('[1]Pc, Summer, S2'!F3*Main!$B$5)+(_xlfn.IFNA(VLOOKUP($A3,'FL Ratio'!$A$3:$B$10,2,FALSE),0)*'FL Characterization'!F$2)</f>
        <v>30.374701861935087</v>
      </c>
      <c r="G3" s="2">
        <f ca="1">('[1]Pc, Summer, S2'!G3*Main!$B$5)+(_xlfn.IFNA(VLOOKUP($A3,'FL Ratio'!$A$3:$B$10,2,FALSE),0)*'FL Characterization'!G$2)</f>
        <v>32.568481277988901</v>
      </c>
      <c r="H3" s="2">
        <f ca="1">('[1]Pc, Summer, S2'!H3*Main!$B$5)+(_xlfn.IFNA(VLOOKUP($A3,'FL Ratio'!$A$3:$B$10,2,FALSE),0)*'FL Characterization'!H$2)</f>
        <v>40.807342251029553</v>
      </c>
      <c r="I3" s="2">
        <f ca="1">('[1]Pc, Summer, S2'!I3*Main!$B$5)+(_xlfn.IFNA(VLOOKUP($A3,'FL Ratio'!$A$3:$B$10,2,FALSE),0)*'FL Characterization'!I$2)</f>
        <v>50.216200773524534</v>
      </c>
      <c r="J3" s="2">
        <f ca="1">('[1]Pc, Summer, S2'!J3*Main!$B$5)+(_xlfn.IFNA(VLOOKUP($A3,'FL Ratio'!$A$3:$B$10,2,FALSE),0)*'FL Characterization'!J$2)</f>
        <v>52.409982817804661</v>
      </c>
      <c r="K3" s="2">
        <f ca="1">('[1]Pc, Summer, S2'!K3*Main!$B$5)+(_xlfn.IFNA(VLOOKUP($A3,'FL Ratio'!$A$3:$B$10,2,FALSE),0)*'FL Characterization'!K$2)</f>
        <v>51.31309048841365</v>
      </c>
      <c r="L3" s="2">
        <f ca="1">('[1]Pc, Summer, S2'!L3*Main!$B$5)+(_xlfn.IFNA(VLOOKUP($A3,'FL Ratio'!$A$3:$B$10,2,FALSE),0)*'FL Characterization'!L$2)</f>
        <v>51.288719467223977</v>
      </c>
      <c r="M3" s="2">
        <f ca="1">('[1]Pc, Summer, S2'!M3*Main!$B$5)+(_xlfn.IFNA(VLOOKUP($A3,'FL Ratio'!$A$3:$B$10,2,FALSE),0)*'FL Characterization'!M$2)</f>
        <v>54.652522605199998</v>
      </c>
      <c r="N3" s="2">
        <f ca="1">('[1]Pc, Summer, S2'!N3*Main!$B$5)+(_xlfn.IFNA(VLOOKUP($A3,'FL Ratio'!$A$3:$B$10,2,FALSE),0)*'FL Characterization'!N$2)</f>
        <v>54.652522605199998</v>
      </c>
      <c r="O3" s="2">
        <f ca="1">('[1]Pc, Summer, S2'!O3*Main!$B$5)+(_xlfn.IFNA(VLOOKUP($A3,'FL Ratio'!$A$3:$B$10,2,FALSE),0)*'FL Characterization'!O$2)</f>
        <v>54.652522605199998</v>
      </c>
      <c r="P3" s="2">
        <f ca="1">('[1]Pc, Summer, S2'!P3*Main!$B$5)+(_xlfn.IFNA(VLOOKUP($A3,'FL Ratio'!$A$3:$B$10,2,FALSE),0)*'FL Characterization'!P$2)</f>
        <v>51.910293088973404</v>
      </c>
      <c r="Q3" s="2">
        <f ca="1">('[1]Pc, Summer, S2'!Q3*Main!$B$5)+(_xlfn.IFNA(VLOOKUP($A3,'FL Ratio'!$A$3:$B$10,2,FALSE),0)*'FL Characterization'!Q$2)</f>
        <v>49.143687319122222</v>
      </c>
      <c r="R3" s="2">
        <f ca="1">('[1]Pc, Summer, S2'!R3*Main!$B$5)+(_xlfn.IFNA(VLOOKUP($A3,'FL Ratio'!$A$3:$B$10,2,FALSE),0)*'FL Characterization'!R$2)</f>
        <v>45.779889413581117</v>
      </c>
      <c r="S3" s="2">
        <f ca="1">('[1]Pc, Summer, S2'!S3*Main!$B$5)+(_xlfn.IFNA(VLOOKUP($A3,'FL Ratio'!$A$3:$B$10,2,FALSE),0)*'FL Characterization'!S$2)</f>
        <v>45.779889413581117</v>
      </c>
      <c r="T3" s="2">
        <f ca="1">('[1]Pc, Summer, S2'!T3*Main!$B$5)+(_xlfn.IFNA(VLOOKUP($A3,'FL Ratio'!$A$3:$B$10,2,FALSE),0)*'FL Characterization'!T$2)</f>
        <v>45.779889413581117</v>
      </c>
      <c r="U3" s="2">
        <f ca="1">('[1]Pc, Summer, S2'!U3*Main!$B$5)+(_xlfn.IFNA(VLOOKUP($A3,'FL Ratio'!$A$3:$B$10,2,FALSE),0)*'FL Characterization'!U$2)</f>
        <v>45.779889413581117</v>
      </c>
      <c r="V3" s="2">
        <f ca="1">('[1]Pc, Summer, S2'!V3*Main!$B$5)+(_xlfn.IFNA(VLOOKUP($A3,'FL Ratio'!$A$3:$B$10,2,FALSE),0)*'FL Characterization'!V$2)</f>
        <v>45.779889413581117</v>
      </c>
      <c r="W3" s="2">
        <f ca="1">('[1]Pc, Summer, S2'!W3*Main!$B$5)+(_xlfn.IFNA(VLOOKUP($A3,'FL Ratio'!$A$3:$B$10,2,FALSE),0)*'FL Characterization'!W$2)</f>
        <v>45.779889413581117</v>
      </c>
      <c r="X3" s="2">
        <f ca="1">('[1]Pc, Summer, S2'!X3*Main!$B$5)+(_xlfn.IFNA(VLOOKUP($A3,'FL Ratio'!$A$3:$B$10,2,FALSE),0)*'FL Characterization'!X$2)</f>
        <v>44.134562695046483</v>
      </c>
      <c r="Y3" s="2">
        <f ca="1">('[1]Pc, Summer, S2'!Y3*Main!$B$5)+(_xlfn.IFNA(VLOOKUP($A3,'FL Ratio'!$A$3:$B$10,2,FALSE),0)*'FL Characterization'!Y$2)</f>
        <v>41.294841233399957</v>
      </c>
    </row>
    <row r="4" spans="1:25" x14ac:dyDescent="0.3">
      <c r="A4">
        <v>3</v>
      </c>
      <c r="B4" s="2">
        <f ca="1">('[1]Pc, Summer, S2'!B4*Main!$B$5)+(_xlfn.IFNA(VLOOKUP($A4,'FL Ratio'!$A$3:$B$10,2,FALSE),0)*'FL Characterization'!B$2)</f>
        <v>49.040654008500475</v>
      </c>
      <c r="C4" s="2">
        <f ca="1">('[1]Pc, Summer, S2'!C4*Main!$B$5)+(_xlfn.IFNA(VLOOKUP($A4,'FL Ratio'!$A$3:$B$10,2,FALSE),0)*'FL Characterization'!C$2)</f>
        <v>43.170599282539307</v>
      </c>
      <c r="D4" s="2">
        <f ca="1">('[1]Pc, Summer, S2'!D4*Main!$B$5)+(_xlfn.IFNA(VLOOKUP($A4,'FL Ratio'!$A$3:$B$10,2,FALSE),0)*'FL Characterization'!D$2)</f>
        <v>40.822430530143542</v>
      </c>
      <c r="E4" s="2">
        <f ca="1">('[1]Pc, Summer, S2'!E4*Main!$B$5)+(_xlfn.IFNA(VLOOKUP($A4,'FL Ratio'!$A$3:$B$10,2,FALSE),0)*'FL Characterization'!E$2)</f>
        <v>39.527700060999805</v>
      </c>
      <c r="F4" s="2">
        <f ca="1">('[1]Pc, Summer, S2'!F4*Main!$B$5)+(_xlfn.IFNA(VLOOKUP($A4,'FL Ratio'!$A$3:$B$10,2,FALSE),0)*'FL Characterization'!F$2)</f>
        <v>41.903062065555744</v>
      </c>
      <c r="G4" s="2">
        <f ca="1">('[1]Pc, Summer, S2'!G4*Main!$B$5)+(_xlfn.IFNA(VLOOKUP($A4,'FL Ratio'!$A$3:$B$10,2,FALSE),0)*'FL Characterization'!G$2)</f>
        <v>38.380512205710083</v>
      </c>
      <c r="H4" s="2">
        <f ca="1">('[1]Pc, Summer, S2'!H4*Main!$B$5)+(_xlfn.IFNA(VLOOKUP($A4,'FL Ratio'!$A$3:$B$10,2,FALSE),0)*'FL Characterization'!H$2)</f>
        <v>45.013337912373338</v>
      </c>
      <c r="I4" s="2">
        <f ca="1">('[1]Pc, Summer, S2'!I4*Main!$B$5)+(_xlfn.IFNA(VLOOKUP($A4,'FL Ratio'!$A$3:$B$10,2,FALSE),0)*'FL Characterization'!I$2)</f>
        <v>52.246210850033187</v>
      </c>
      <c r="J4" s="2">
        <f ca="1">('[1]Pc, Summer, S2'!J4*Main!$B$5)+(_xlfn.IFNA(VLOOKUP($A4,'FL Ratio'!$A$3:$B$10,2,FALSE),0)*'FL Characterization'!J$2)</f>
        <v>58.858883342259666</v>
      </c>
      <c r="K4" s="2">
        <f ca="1">('[1]Pc, Summer, S2'!K4*Main!$B$5)+(_xlfn.IFNA(VLOOKUP($A4,'FL Ratio'!$A$3:$B$10,2,FALSE),0)*'FL Characterization'!K$2)</f>
        <v>63.171249070128873</v>
      </c>
      <c r="L4" s="2">
        <f ca="1">('[1]Pc, Summer, S2'!L4*Main!$B$5)+(_xlfn.IFNA(VLOOKUP($A4,'FL Ratio'!$A$3:$B$10,2,FALSE),0)*'FL Characterization'!L$2)</f>
        <v>65.192865672551349</v>
      </c>
      <c r="M4" s="2">
        <f ca="1">('[1]Pc, Summer, S2'!M4*Main!$B$5)+(_xlfn.IFNA(VLOOKUP($A4,'FL Ratio'!$A$3:$B$10,2,FALSE),0)*'FL Characterization'!M$2)</f>
        <v>66.224638396912852</v>
      </c>
      <c r="N4" s="2">
        <f ca="1">('[1]Pc, Summer, S2'!N4*Main!$B$5)+(_xlfn.IFNA(VLOOKUP($A4,'FL Ratio'!$A$3:$B$10,2,FALSE),0)*'FL Characterization'!N$2)</f>
        <v>67.524970006393076</v>
      </c>
      <c r="O4" s="2">
        <f ca="1">('[1]Pc, Summer, S2'!O4*Main!$B$5)+(_xlfn.IFNA(VLOOKUP($A4,'FL Ratio'!$A$3:$B$10,2,FALSE),0)*'FL Characterization'!O$2)</f>
        <v>68.078024265901064</v>
      </c>
      <c r="P4" s="2">
        <f ca="1">('[1]Pc, Summer, S2'!P4*Main!$B$5)+(_xlfn.IFNA(VLOOKUP($A4,'FL Ratio'!$A$3:$B$10,2,FALSE),0)*'FL Characterization'!P$2)</f>
        <v>68.315653256499999</v>
      </c>
      <c r="Q4" s="2">
        <f ca="1">('[1]Pc, Summer, S2'!Q4*Main!$B$5)+(_xlfn.IFNA(VLOOKUP($A4,'FL Ratio'!$A$3:$B$10,2,FALSE),0)*'FL Characterization'!Q$2)</f>
        <v>65.740207525179642</v>
      </c>
      <c r="R4" s="2">
        <f ca="1">('[1]Pc, Summer, S2'!R4*Main!$B$5)+(_xlfn.IFNA(VLOOKUP($A4,'FL Ratio'!$A$3:$B$10,2,FALSE),0)*'FL Characterization'!R$2)</f>
        <v>65.773111839484997</v>
      </c>
      <c r="S4" s="2">
        <f ca="1">('[1]Pc, Summer, S2'!S4*Main!$B$5)+(_xlfn.IFNA(VLOOKUP($A4,'FL Ratio'!$A$3:$B$10,2,FALSE),0)*'FL Characterization'!S$2)</f>
        <v>63.208794796904698</v>
      </c>
      <c r="T4" s="2">
        <f ca="1">('[1]Pc, Summer, S2'!T4*Main!$B$5)+(_xlfn.IFNA(VLOOKUP($A4,'FL Ratio'!$A$3:$B$10,2,FALSE),0)*'FL Characterization'!T$2)</f>
        <v>63.54137200924837</v>
      </c>
      <c r="U4" s="2">
        <f ca="1">('[1]Pc, Summer, S2'!U4*Main!$B$5)+(_xlfn.IFNA(VLOOKUP($A4,'FL Ratio'!$A$3:$B$10,2,FALSE),0)*'FL Characterization'!U$2)</f>
        <v>64.063791293088798</v>
      </c>
      <c r="V4" s="2">
        <f ca="1">('[1]Pc, Summer, S2'!V4*Main!$B$5)+(_xlfn.IFNA(VLOOKUP($A4,'FL Ratio'!$A$3:$B$10,2,FALSE),0)*'FL Characterization'!V$2)</f>
        <v>63.537173600184516</v>
      </c>
      <c r="W4" s="2">
        <f ca="1">('[1]Pc, Summer, S2'!W4*Main!$B$5)+(_xlfn.IFNA(VLOOKUP($A4,'FL Ratio'!$A$3:$B$10,2,FALSE),0)*'FL Characterization'!W$2)</f>
        <v>65.814856271355254</v>
      </c>
      <c r="X4" s="2">
        <f ca="1">('[1]Pc, Summer, S2'!X4*Main!$B$5)+(_xlfn.IFNA(VLOOKUP($A4,'FL Ratio'!$A$3:$B$10,2,FALSE),0)*'FL Characterization'!X$2)</f>
        <v>64.30203928040055</v>
      </c>
      <c r="Y4" s="2">
        <f ca="1">('[1]Pc, Summer, S2'!Y4*Main!$B$5)+(_xlfn.IFNA(VLOOKUP($A4,'FL Ratio'!$A$3:$B$10,2,FALSE),0)*'FL Characterization'!Y$2)</f>
        <v>57.468816158524604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9CD-CB3D-425C-A8DE-D4D872192F88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32.766822339479468</v>
      </c>
      <c r="C2" s="2">
        <f ca="1">('[1]Pc, Summer, S3'!C2*Main!$B$5)+(_xlfn.IFNA(VLOOKUP($A2,'FL Ratio'!$A$3:$B$10,2,FALSE),0)*'FL Characterization'!C$2)</f>
        <v>29.770124434506304</v>
      </c>
      <c r="D2" s="2">
        <f ca="1">('[1]Pc, Summer, S3'!D2*Main!$B$5)+(_xlfn.IFNA(VLOOKUP($A2,'FL Ratio'!$A$3:$B$10,2,FALSE),0)*'FL Characterization'!D$2)</f>
        <v>29.25011773306716</v>
      </c>
      <c r="E2" s="2">
        <f ca="1">('[1]Pc, Summer, S3'!E2*Main!$B$5)+(_xlfn.IFNA(VLOOKUP($A2,'FL Ratio'!$A$3:$B$10,2,FALSE),0)*'FL Characterization'!E$2)</f>
        <v>29.175396433892864</v>
      </c>
      <c r="F2" s="2">
        <f ca="1">('[1]Pc, Summer, S3'!F2*Main!$B$5)+(_xlfn.IFNA(VLOOKUP($A2,'FL Ratio'!$A$3:$B$10,2,FALSE),0)*'FL Characterization'!F$2)</f>
        <v>29.17769662536784</v>
      </c>
      <c r="G2" s="2">
        <f ca="1">('[1]Pc, Summer, S3'!G2*Main!$B$5)+(_xlfn.IFNA(VLOOKUP($A2,'FL Ratio'!$A$3:$B$10,2,FALSE),0)*'FL Characterization'!G$2)</f>
        <v>28.919657601951275</v>
      </c>
      <c r="H2" s="2">
        <f ca="1">('[1]Pc, Summer, S3'!H2*Main!$B$5)+(_xlfn.IFNA(VLOOKUP($A2,'FL Ratio'!$A$3:$B$10,2,FALSE),0)*'FL Characterization'!H$2)</f>
        <v>31.221351948830243</v>
      </c>
      <c r="I2" s="2">
        <f ca="1">('[1]Pc, Summer, S3'!I2*Main!$B$5)+(_xlfn.IFNA(VLOOKUP($A2,'FL Ratio'!$A$3:$B$10,2,FALSE),0)*'FL Characterization'!I$2)</f>
        <v>37.067372386902555</v>
      </c>
      <c r="J2" s="2">
        <f ca="1">('[1]Pc, Summer, S3'!J2*Main!$B$5)+(_xlfn.IFNA(VLOOKUP($A2,'FL Ratio'!$A$3:$B$10,2,FALSE),0)*'FL Characterization'!J$2)</f>
        <v>42.246264532399699</v>
      </c>
      <c r="K2" s="2">
        <f ca="1">('[1]Pc, Summer, S3'!K2*Main!$B$5)+(_xlfn.IFNA(VLOOKUP($A2,'FL Ratio'!$A$3:$B$10,2,FALSE),0)*'FL Characterization'!K$2)</f>
        <v>43.544409829877139</v>
      </c>
      <c r="L2" s="2">
        <f ca="1">('[1]Pc, Summer, S3'!L2*Main!$B$5)+(_xlfn.IFNA(VLOOKUP($A2,'FL Ratio'!$A$3:$B$10,2,FALSE),0)*'FL Characterization'!L$2)</f>
        <v>43.103752019195262</v>
      </c>
      <c r="M2" s="2">
        <f ca="1">('[1]Pc, Summer, S3'!M2*Main!$B$5)+(_xlfn.IFNA(VLOOKUP($A2,'FL Ratio'!$A$3:$B$10,2,FALSE),0)*'FL Characterization'!M$2)</f>
        <v>44.322666117315116</v>
      </c>
      <c r="N2" s="2">
        <f ca="1">('[1]Pc, Summer, S3'!N2*Main!$B$5)+(_xlfn.IFNA(VLOOKUP($A2,'FL Ratio'!$A$3:$B$10,2,FALSE),0)*'FL Characterization'!N$2)</f>
        <v>44.930679641774994</v>
      </c>
      <c r="O2" s="2">
        <f ca="1">('[1]Pc, Summer, S3'!O2*Main!$B$5)+(_xlfn.IFNA(VLOOKUP($A2,'FL Ratio'!$A$3:$B$10,2,FALSE),0)*'FL Characterization'!O$2)</f>
        <v>44.099546242997093</v>
      </c>
      <c r="P2" s="2">
        <f ca="1">('[1]Pc, Summer, S3'!P2*Main!$B$5)+(_xlfn.IFNA(VLOOKUP($A2,'FL Ratio'!$A$3:$B$10,2,FALSE),0)*'FL Characterization'!P$2)</f>
        <v>42.376347269085727</v>
      </c>
      <c r="Q2" s="2">
        <f ca="1">('[1]Pc, Summer, S3'!Q2*Main!$B$5)+(_xlfn.IFNA(VLOOKUP($A2,'FL Ratio'!$A$3:$B$10,2,FALSE),0)*'FL Characterization'!Q$2)</f>
        <v>40.670772399681077</v>
      </c>
      <c r="R2" s="2">
        <f ca="1">('[1]Pc, Summer, S3'!R2*Main!$B$5)+(_xlfn.IFNA(VLOOKUP($A2,'FL Ratio'!$A$3:$B$10,2,FALSE),0)*'FL Characterization'!R$2)</f>
        <v>41.380344086172414</v>
      </c>
      <c r="S2" s="2">
        <f ca="1">('[1]Pc, Summer, S3'!S2*Main!$B$5)+(_xlfn.IFNA(VLOOKUP($A2,'FL Ratio'!$A$3:$B$10,2,FALSE),0)*'FL Characterization'!S$2)</f>
        <v>41.78917154884379</v>
      </c>
      <c r="T2" s="2">
        <f ca="1">('[1]Pc, Summer, S3'!T2*Main!$B$5)+(_xlfn.IFNA(VLOOKUP($A2,'FL Ratio'!$A$3:$B$10,2,FALSE),0)*'FL Characterization'!T$2)</f>
        <v>41.96655105818882</v>
      </c>
      <c r="U2" s="2">
        <f ca="1">('[1]Pc, Summer, S3'!U2*Main!$B$5)+(_xlfn.IFNA(VLOOKUP($A2,'FL Ratio'!$A$3:$B$10,2,FALSE),0)*'FL Characterization'!U$2)</f>
        <v>41.271811703392949</v>
      </c>
      <c r="V2" s="2">
        <f ca="1">('[1]Pc, Summer, S3'!V2*Main!$B$5)+(_xlfn.IFNA(VLOOKUP($A2,'FL Ratio'!$A$3:$B$10,2,FALSE),0)*'FL Characterization'!V$2)</f>
        <v>41.395815317035805</v>
      </c>
      <c r="W2" s="2">
        <f ca="1">('[1]Pc, Summer, S3'!W2*Main!$B$5)+(_xlfn.IFNA(VLOOKUP($A2,'FL Ratio'!$A$3:$B$10,2,FALSE),0)*'FL Characterization'!W$2)</f>
        <v>43.110345948716102</v>
      </c>
      <c r="X2" s="2">
        <f ca="1">('[1]Pc, Summer, S3'!X2*Main!$B$5)+(_xlfn.IFNA(VLOOKUP($A2,'FL Ratio'!$A$3:$B$10,2,FALSE),0)*'FL Characterization'!X$2)</f>
        <v>40.184060380293758</v>
      </c>
      <c r="Y2" s="2">
        <f ca="1">('[1]Pc, Summer, S3'!Y2*Main!$B$5)+(_xlfn.IFNA(VLOOKUP($A2,'FL Ratio'!$A$3:$B$10,2,FALSE),0)*'FL Characterization'!Y$2)</f>
        <v>36.836504088275397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33.223545001078669</v>
      </c>
      <c r="C3" s="2">
        <f ca="1">('[1]Pc, Summer, S3'!C3*Main!$B$5)+(_xlfn.IFNA(VLOOKUP($A3,'FL Ratio'!$A$3:$B$10,2,FALSE),0)*'FL Characterization'!C$2)</f>
        <v>30.25103591167742</v>
      </c>
      <c r="D3" s="2">
        <f ca="1">('[1]Pc, Summer, S3'!D3*Main!$B$5)+(_xlfn.IFNA(VLOOKUP($A3,'FL Ratio'!$A$3:$B$10,2,FALSE),0)*'FL Characterization'!D$2)</f>
        <v>28.770350450108825</v>
      </c>
      <c r="E3" s="2">
        <f ca="1">('[1]Pc, Summer, S3'!E3*Main!$B$5)+(_xlfn.IFNA(VLOOKUP($A3,'FL Ratio'!$A$3:$B$10,2,FALSE),0)*'FL Characterization'!E$2)</f>
        <v>27.746121893113784</v>
      </c>
      <c r="F3" s="2">
        <f ca="1">('[1]Pc, Summer, S3'!F3*Main!$B$5)+(_xlfn.IFNA(VLOOKUP($A3,'FL Ratio'!$A$3:$B$10,2,FALSE),0)*'FL Characterization'!F$2)</f>
        <v>27.746121893113784</v>
      </c>
      <c r="G3" s="2">
        <f ca="1">('[1]Pc, Summer, S3'!G3*Main!$B$5)+(_xlfn.IFNA(VLOOKUP($A3,'FL Ratio'!$A$3:$B$10,2,FALSE),0)*'FL Characterization'!G$2)</f>
        <v>29.750055013547549</v>
      </c>
      <c r="H3" s="2">
        <f ca="1">('[1]Pc, Summer, S3'!H3*Main!$B$5)+(_xlfn.IFNA(VLOOKUP($A3,'FL Ratio'!$A$3:$B$10,2,FALSE),0)*'FL Characterization'!H$2)</f>
        <v>37.275937633151997</v>
      </c>
      <c r="I3" s="2">
        <f ca="1">('[1]Pc, Summer, S3'!I3*Main!$B$5)+(_xlfn.IFNA(VLOOKUP($A3,'FL Ratio'!$A$3:$B$10,2,FALSE),0)*'FL Characterization'!I$2)</f>
        <v>45.870568014277218</v>
      </c>
      <c r="J3" s="2">
        <f ca="1">('[1]Pc, Summer, S3'!J3*Main!$B$5)+(_xlfn.IFNA(VLOOKUP($A3,'FL Ratio'!$A$3:$B$10,2,FALSE),0)*'FL Characterization'!J$2)</f>
        <v>47.874503535494647</v>
      </c>
      <c r="K3" s="2">
        <f ca="1">('[1]Pc, Summer, S3'!K3*Main!$B$5)+(_xlfn.IFNA(VLOOKUP($A3,'FL Ratio'!$A$3:$B$10,2,FALSE),0)*'FL Characterization'!K$2)</f>
        <v>46.872534580762469</v>
      </c>
      <c r="L3" s="2">
        <f ca="1">('[1]Pc, Summer, S3'!L3*Main!$B$5)+(_xlfn.IFNA(VLOOKUP($A3,'FL Ratio'!$A$3:$B$10,2,FALSE),0)*'FL Characterization'!L$2)</f>
        <v>46.850272590252665</v>
      </c>
      <c r="M3" s="2">
        <f ca="1">('[1]Pc, Summer, S3'!M3*Main!$B$5)+(_xlfn.IFNA(VLOOKUP($A3,'FL Ratio'!$A$3:$B$10,2,FALSE),0)*'FL Characterization'!M$2)</f>
        <v>49.922977379749994</v>
      </c>
      <c r="N3" s="2">
        <f ca="1">('[1]Pc, Summer, S3'!N3*Main!$B$5)+(_xlfn.IFNA(VLOOKUP($A3,'FL Ratio'!$A$3:$B$10,2,FALSE),0)*'FL Characterization'!N$2)</f>
        <v>49.922977379749994</v>
      </c>
      <c r="O3" s="2">
        <f ca="1">('[1]Pc, Summer, S3'!O3*Main!$B$5)+(_xlfn.IFNA(VLOOKUP($A3,'FL Ratio'!$A$3:$B$10,2,FALSE),0)*'FL Characterization'!O$2)</f>
        <v>49.922977379749994</v>
      </c>
      <c r="P3" s="2">
        <f ca="1">('[1]Pc, Summer, S3'!P3*Main!$B$5)+(_xlfn.IFNA(VLOOKUP($A3,'FL Ratio'!$A$3:$B$10,2,FALSE),0)*'FL Characterization'!P$2)</f>
        <v>47.418056187043007</v>
      </c>
      <c r="Q3" s="2">
        <f ca="1">('[1]Pc, Summer, S3'!Q3*Main!$B$5)+(_xlfn.IFNA(VLOOKUP($A3,'FL Ratio'!$A$3:$B$10,2,FALSE),0)*'FL Characterization'!Q$2)</f>
        <v>44.890868224198179</v>
      </c>
      <c r="R3" s="2">
        <f ca="1">('[1]Pc, Summer, S3'!R3*Main!$B$5)+(_xlfn.IFNA(VLOOKUP($A3,'FL Ratio'!$A$3:$B$10,2,FALSE),0)*'FL Characterization'!R$2)</f>
        <v>41.818168214328907</v>
      </c>
      <c r="S3" s="2">
        <f ca="1">('[1]Pc, Summer, S3'!S3*Main!$B$5)+(_xlfn.IFNA(VLOOKUP($A3,'FL Ratio'!$A$3:$B$10,2,FALSE),0)*'FL Characterization'!S$2)</f>
        <v>41.818168214328907</v>
      </c>
      <c r="T3" s="2">
        <f ca="1">('[1]Pc, Summer, S3'!T3*Main!$B$5)+(_xlfn.IFNA(VLOOKUP($A3,'FL Ratio'!$A$3:$B$10,2,FALSE),0)*'FL Characterization'!T$2)</f>
        <v>41.818168214328907</v>
      </c>
      <c r="U3" s="2">
        <f ca="1">('[1]Pc, Summer, S3'!U3*Main!$B$5)+(_xlfn.IFNA(VLOOKUP($A3,'FL Ratio'!$A$3:$B$10,2,FALSE),0)*'FL Characterization'!U$2)</f>
        <v>41.818168214328907</v>
      </c>
      <c r="V3" s="2">
        <f ca="1">('[1]Pc, Summer, S3'!V3*Main!$B$5)+(_xlfn.IFNA(VLOOKUP($A3,'FL Ratio'!$A$3:$B$10,2,FALSE),0)*'FL Characterization'!V$2)</f>
        <v>41.818168214328907</v>
      </c>
      <c r="W3" s="2">
        <f ca="1">('[1]Pc, Summer, S3'!W3*Main!$B$5)+(_xlfn.IFNA(VLOOKUP($A3,'FL Ratio'!$A$3:$B$10,2,FALSE),0)*'FL Characterization'!W$2)</f>
        <v>41.818168214328907</v>
      </c>
      <c r="X3" s="2">
        <f ca="1">('[1]Pc, Summer, S3'!X3*Main!$B$5)+(_xlfn.IFNA(VLOOKUP($A3,'FL Ratio'!$A$3:$B$10,2,FALSE),0)*'FL Characterization'!X$2)</f>
        <v>40.315225538744379</v>
      </c>
      <c r="Y3" s="2">
        <f ca="1">('[1]Pc, Summer, S3'!Y3*Main!$B$5)+(_xlfn.IFNA(VLOOKUP($A3,'FL Ratio'!$A$3:$B$10,2,FALSE),0)*'FL Characterization'!Y$2)</f>
        <v>37.721249203586503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44.796751257764853</v>
      </c>
      <c r="C4" s="2">
        <f ca="1">('[1]Pc, Summer, S3'!C4*Main!$B$5)+(_xlfn.IFNA(VLOOKUP($A4,'FL Ratio'!$A$3:$B$10,2,FALSE),0)*'FL Characterization'!C$2)</f>
        <v>39.434682036934937</v>
      </c>
      <c r="D4" s="2">
        <f ca="1">('[1]Pc, Summer, S3'!D4*Main!$B$5)+(_xlfn.IFNA(VLOOKUP($A4,'FL Ratio'!$A$3:$B$10,2,FALSE),0)*'FL Characterization'!D$2)</f>
        <v>37.289720195804193</v>
      </c>
      <c r="E4" s="2">
        <f ca="1">('[1]Pc, Summer, S3'!E4*Main!$B$5)+(_xlfn.IFNA(VLOOKUP($A4,'FL Ratio'!$A$3:$B$10,2,FALSE),0)*'FL Characterization'!E$2)</f>
        <v>36.107033709567133</v>
      </c>
      <c r="F4" s="2">
        <f ca="1">('[1]Pc, Summer, S3'!F4*Main!$B$5)+(_xlfn.IFNA(VLOOKUP($A4,'FL Ratio'!$A$3:$B$10,2,FALSE),0)*'FL Characterization'!F$2)</f>
        <v>38.276835540651874</v>
      </c>
      <c r="G4" s="2">
        <f ca="1">('[1]Pc, Summer, S3'!G4*Main!$B$5)+(_xlfn.IFNA(VLOOKUP($A4,'FL Ratio'!$A$3:$B$10,2,FALSE),0)*'FL Characterization'!G$2)</f>
        <v>35.059121726369789</v>
      </c>
      <c r="H4" s="2">
        <f ca="1">('[1]Pc, Summer, S3'!H4*Main!$B$5)+(_xlfn.IFNA(VLOOKUP($A4,'FL Ratio'!$A$3:$B$10,2,FALSE),0)*'FL Characterization'!H$2)</f>
        <v>41.117952900725648</v>
      </c>
      <c r="I4" s="2">
        <f ca="1">('[1]Pc, Summer, S3'!I4*Main!$B$5)+(_xlfn.IFNA(VLOOKUP($A4,'FL Ratio'!$A$3:$B$10,2,FALSE),0)*'FL Characterization'!I$2)</f>
        <v>47.72490414185723</v>
      </c>
      <c r="J4" s="2">
        <f ca="1">('[1]Pc, Summer, S3'!J4*Main!$B$5)+(_xlfn.IFNA(VLOOKUP($A4,'FL Ratio'!$A$3:$B$10,2,FALSE),0)*'FL Characterization'!J$2)</f>
        <v>53.765326129948726</v>
      </c>
      <c r="K4" s="2">
        <f ca="1">('[1]Pc, Summer, S3'!K4*Main!$B$5)+(_xlfn.IFNA(VLOOKUP($A4,'FL Ratio'!$A$3:$B$10,2,FALSE),0)*'FL Characterization'!K$2)</f>
        <v>57.704506362136947</v>
      </c>
      <c r="L4" s="2">
        <f ca="1">('[1]Pc, Summer, S3'!L4*Main!$B$5)+(_xlfn.IFNA(VLOOKUP($A4,'FL Ratio'!$A$3:$B$10,2,FALSE),0)*'FL Characterization'!L$2)</f>
        <v>59.551175373965179</v>
      </c>
      <c r="M4" s="2">
        <f ca="1">('[1]Pc, Summer, S3'!M4*Main!$B$5)+(_xlfn.IFNA(VLOOKUP($A4,'FL Ratio'!$A$3:$B$10,2,FALSE),0)*'FL Characterization'!M$2)</f>
        <v>60.493660074103069</v>
      </c>
      <c r="N4" s="2">
        <f ca="1">('[1]Pc, Summer, S3'!N4*Main!$B$5)+(_xlfn.IFNA(VLOOKUP($A4,'FL Ratio'!$A$3:$B$10,2,FALSE),0)*'FL Characterization'!N$2)</f>
        <v>61.681462986609063</v>
      </c>
      <c r="O4" s="2">
        <f ca="1">('[1]Pc, Summer, S3'!O4*Main!$B$5)+(_xlfn.IFNA(VLOOKUP($A4,'FL Ratio'!$A$3:$B$10,2,FALSE),0)*'FL Characterization'!O$2)</f>
        <v>62.186656781351928</v>
      </c>
      <c r="P4" s="2">
        <f ca="1">('[1]Pc, Summer, S3'!P4*Main!$B$5)+(_xlfn.IFNA(VLOOKUP($A4,'FL Ratio'!$A$3:$B$10,2,FALSE),0)*'FL Characterization'!P$2)</f>
        <v>62.403721724687493</v>
      </c>
      <c r="Q4" s="2">
        <f ca="1">('[1]Pc, Summer, S3'!Q4*Main!$B$5)+(_xlfn.IFNA(VLOOKUP($A4,'FL Ratio'!$A$3:$B$10,2,FALSE),0)*'FL Characterization'!Q$2)</f>
        <v>60.051151104731396</v>
      </c>
      <c r="R4" s="2">
        <f ca="1">('[1]Pc, Summer, S3'!R4*Main!$B$5)+(_xlfn.IFNA(VLOOKUP($A4,'FL Ratio'!$A$3:$B$10,2,FALSE),0)*'FL Characterization'!R$2)</f>
        <v>60.081207930298788</v>
      </c>
      <c r="S4" s="2">
        <f ca="1">('[1]Pc, Summer, S3'!S4*Main!$B$5)+(_xlfn.IFNA(VLOOKUP($A4,'FL Ratio'!$A$3:$B$10,2,FALSE),0)*'FL Characterization'!S$2)</f>
        <v>57.738802939480252</v>
      </c>
      <c r="T4" s="2">
        <f ca="1">('[1]Pc, Summer, S3'!T4*Main!$B$5)+(_xlfn.IFNA(VLOOKUP($A4,'FL Ratio'!$A$3:$B$10,2,FALSE),0)*'FL Characterization'!T$2)</f>
        <v>58.042599431524948</v>
      </c>
      <c r="U4" s="2">
        <f ca="1">('[1]Pc, Summer, S3'!U4*Main!$B$5)+(_xlfn.IFNA(VLOOKUP($A4,'FL Ratio'!$A$3:$B$10,2,FALSE),0)*'FL Characterization'!U$2)</f>
        <v>58.519809354263792</v>
      </c>
      <c r="V4" s="2">
        <f ca="1">('[1]Pc, Summer, S3'!V4*Main!$B$5)+(_xlfn.IFNA(VLOOKUP($A4,'FL Ratio'!$A$3:$B$10,2,FALSE),0)*'FL Characterization'!V$2)</f>
        <v>58.038764346322388</v>
      </c>
      <c r="W4" s="2">
        <f ca="1">('[1]Pc, Summer, S3'!W4*Main!$B$5)+(_xlfn.IFNA(VLOOKUP($A4,'FL Ratio'!$A$3:$B$10,2,FALSE),0)*'FL Characterization'!W$2)</f>
        <v>60.11933986325721</v>
      </c>
      <c r="X4" s="2">
        <f ca="1">('[1]Pc, Summer, S3'!X4*Main!$B$5)+(_xlfn.IFNA(VLOOKUP($A4,'FL Ratio'!$A$3:$B$10,2,FALSE),0)*'FL Characterization'!X$2)</f>
        <v>58.737439727288958</v>
      </c>
      <c r="Y4" s="2">
        <f ca="1">('[1]Pc, Summer, S3'!Y4*Main!$B$5)+(_xlfn.IFNA(VLOOKUP($A4,'FL Ratio'!$A$3:$B$10,2,FALSE),0)*'FL Characterization'!Y$2)</f>
        <v>52.495553221729196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093A-A009-45C7-8400-95923DE29AB6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32.766822339479468</v>
      </c>
      <c r="C2" s="2">
        <f ca="1">('[1]Pc, Summer, S3'!C2*Main!$B$5)+(_xlfn.IFNA(VLOOKUP($A2,'FL Ratio'!$A$3:$B$10,2,FALSE),0)*'FL Characterization'!C$2)</f>
        <v>29.770124434506304</v>
      </c>
      <c r="D2" s="2">
        <f ca="1">('[1]Pc, Summer, S3'!D2*Main!$B$5)+(_xlfn.IFNA(VLOOKUP($A2,'FL Ratio'!$A$3:$B$10,2,FALSE),0)*'FL Characterization'!D$2)</f>
        <v>29.25011773306716</v>
      </c>
      <c r="E2" s="2">
        <f ca="1">('[1]Pc, Summer, S3'!E2*Main!$B$5)+(_xlfn.IFNA(VLOOKUP($A2,'FL Ratio'!$A$3:$B$10,2,FALSE),0)*'FL Characterization'!E$2)</f>
        <v>29.175396433892864</v>
      </c>
      <c r="F2" s="2">
        <f ca="1">('[1]Pc, Summer, S3'!F2*Main!$B$5)+(_xlfn.IFNA(VLOOKUP($A2,'FL Ratio'!$A$3:$B$10,2,FALSE),0)*'FL Characterization'!F$2)</f>
        <v>29.17769662536784</v>
      </c>
      <c r="G2" s="2">
        <f ca="1">('[1]Pc, Summer, S3'!G2*Main!$B$5)+(_xlfn.IFNA(VLOOKUP($A2,'FL Ratio'!$A$3:$B$10,2,FALSE),0)*'FL Characterization'!G$2)</f>
        <v>28.919657601951275</v>
      </c>
      <c r="H2" s="2">
        <f ca="1">('[1]Pc, Summer, S3'!H2*Main!$B$5)+(_xlfn.IFNA(VLOOKUP($A2,'FL Ratio'!$A$3:$B$10,2,FALSE),0)*'FL Characterization'!H$2)</f>
        <v>31.221351948830243</v>
      </c>
      <c r="I2" s="2">
        <f ca="1">('[1]Pc, Summer, S3'!I2*Main!$B$5)+(_xlfn.IFNA(VLOOKUP($A2,'FL Ratio'!$A$3:$B$10,2,FALSE),0)*'FL Characterization'!I$2)</f>
        <v>37.067372386902555</v>
      </c>
      <c r="J2" s="2">
        <f ca="1">('[1]Pc, Summer, S3'!J2*Main!$B$5)+(_xlfn.IFNA(VLOOKUP($A2,'FL Ratio'!$A$3:$B$10,2,FALSE),0)*'FL Characterization'!J$2)</f>
        <v>42.246264532399699</v>
      </c>
      <c r="K2" s="2">
        <f ca="1">('[1]Pc, Summer, S3'!K2*Main!$B$5)+(_xlfn.IFNA(VLOOKUP($A2,'FL Ratio'!$A$3:$B$10,2,FALSE),0)*'FL Characterization'!K$2)</f>
        <v>43.544409829877139</v>
      </c>
      <c r="L2" s="2">
        <f ca="1">('[1]Pc, Summer, S3'!L2*Main!$B$5)+(_xlfn.IFNA(VLOOKUP($A2,'FL Ratio'!$A$3:$B$10,2,FALSE),0)*'FL Characterization'!L$2)</f>
        <v>43.103752019195262</v>
      </c>
      <c r="M2" s="2">
        <f ca="1">('[1]Pc, Summer, S3'!M2*Main!$B$5)+(_xlfn.IFNA(VLOOKUP($A2,'FL Ratio'!$A$3:$B$10,2,FALSE),0)*'FL Characterization'!M$2)</f>
        <v>44.322666117315116</v>
      </c>
      <c r="N2" s="2">
        <f ca="1">('[1]Pc, Summer, S3'!N2*Main!$B$5)+(_xlfn.IFNA(VLOOKUP($A2,'FL Ratio'!$A$3:$B$10,2,FALSE),0)*'FL Characterization'!N$2)</f>
        <v>44.930679641774994</v>
      </c>
      <c r="O2" s="2">
        <f ca="1">('[1]Pc, Summer, S3'!O2*Main!$B$5)+(_xlfn.IFNA(VLOOKUP($A2,'FL Ratio'!$A$3:$B$10,2,FALSE),0)*'FL Characterization'!O$2)</f>
        <v>44.099546242997093</v>
      </c>
      <c r="P2" s="2">
        <f ca="1">('[1]Pc, Summer, S3'!P2*Main!$B$5)+(_xlfn.IFNA(VLOOKUP($A2,'FL Ratio'!$A$3:$B$10,2,FALSE),0)*'FL Characterization'!P$2)</f>
        <v>42.376347269085727</v>
      </c>
      <c r="Q2" s="2">
        <f ca="1">('[1]Pc, Summer, S3'!Q2*Main!$B$5)+(_xlfn.IFNA(VLOOKUP($A2,'FL Ratio'!$A$3:$B$10,2,FALSE),0)*'FL Characterization'!Q$2)</f>
        <v>40.670772399681077</v>
      </c>
      <c r="R2" s="2">
        <f ca="1">('[1]Pc, Summer, S3'!R2*Main!$B$5)+(_xlfn.IFNA(VLOOKUP($A2,'FL Ratio'!$A$3:$B$10,2,FALSE),0)*'FL Characterization'!R$2)</f>
        <v>41.380344086172414</v>
      </c>
      <c r="S2" s="2">
        <f ca="1">('[1]Pc, Summer, S3'!S2*Main!$B$5)+(_xlfn.IFNA(VLOOKUP($A2,'FL Ratio'!$A$3:$B$10,2,FALSE),0)*'FL Characterization'!S$2)</f>
        <v>41.78917154884379</v>
      </c>
      <c r="T2" s="2">
        <f ca="1">('[1]Pc, Summer, S3'!T2*Main!$B$5)+(_xlfn.IFNA(VLOOKUP($A2,'FL Ratio'!$A$3:$B$10,2,FALSE),0)*'FL Characterization'!T$2)</f>
        <v>41.96655105818882</v>
      </c>
      <c r="U2" s="2">
        <f ca="1">('[1]Pc, Summer, S3'!U2*Main!$B$5)+(_xlfn.IFNA(VLOOKUP($A2,'FL Ratio'!$A$3:$B$10,2,FALSE),0)*'FL Characterization'!U$2)</f>
        <v>41.271811703392949</v>
      </c>
      <c r="V2" s="2">
        <f ca="1">('[1]Pc, Summer, S3'!V2*Main!$B$5)+(_xlfn.IFNA(VLOOKUP($A2,'FL Ratio'!$A$3:$B$10,2,FALSE),0)*'FL Characterization'!V$2)</f>
        <v>41.395815317035805</v>
      </c>
      <c r="W2" s="2">
        <f ca="1">('[1]Pc, Summer, S3'!W2*Main!$B$5)+(_xlfn.IFNA(VLOOKUP($A2,'FL Ratio'!$A$3:$B$10,2,FALSE),0)*'FL Characterization'!W$2)</f>
        <v>43.110345948716102</v>
      </c>
      <c r="X2" s="2">
        <f ca="1">('[1]Pc, Summer, S3'!X2*Main!$B$5)+(_xlfn.IFNA(VLOOKUP($A2,'FL Ratio'!$A$3:$B$10,2,FALSE),0)*'FL Characterization'!X$2)</f>
        <v>40.184060380293758</v>
      </c>
      <c r="Y2" s="2">
        <f ca="1">('[1]Pc, Summer, S3'!Y2*Main!$B$5)+(_xlfn.IFNA(VLOOKUP($A2,'FL Ratio'!$A$3:$B$10,2,FALSE),0)*'FL Characterization'!Y$2)</f>
        <v>36.836504088275397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33.223545001078669</v>
      </c>
      <c r="C3" s="2">
        <f ca="1">('[1]Pc, Summer, S3'!C3*Main!$B$5)+(_xlfn.IFNA(VLOOKUP($A3,'FL Ratio'!$A$3:$B$10,2,FALSE),0)*'FL Characterization'!C$2)</f>
        <v>30.25103591167742</v>
      </c>
      <c r="D3" s="2">
        <f ca="1">('[1]Pc, Summer, S3'!D3*Main!$B$5)+(_xlfn.IFNA(VLOOKUP($A3,'FL Ratio'!$A$3:$B$10,2,FALSE),0)*'FL Characterization'!D$2)</f>
        <v>28.770350450108825</v>
      </c>
      <c r="E3" s="2">
        <f ca="1">('[1]Pc, Summer, S3'!E3*Main!$B$5)+(_xlfn.IFNA(VLOOKUP($A3,'FL Ratio'!$A$3:$B$10,2,FALSE),0)*'FL Characterization'!E$2)</f>
        <v>27.746121893113784</v>
      </c>
      <c r="F3" s="2">
        <f ca="1">('[1]Pc, Summer, S3'!F3*Main!$B$5)+(_xlfn.IFNA(VLOOKUP($A3,'FL Ratio'!$A$3:$B$10,2,FALSE),0)*'FL Characterization'!F$2)</f>
        <v>27.746121893113784</v>
      </c>
      <c r="G3" s="2">
        <f ca="1">('[1]Pc, Summer, S3'!G3*Main!$B$5)+(_xlfn.IFNA(VLOOKUP($A3,'FL Ratio'!$A$3:$B$10,2,FALSE),0)*'FL Characterization'!G$2)</f>
        <v>29.750055013547549</v>
      </c>
      <c r="H3" s="2">
        <f ca="1">('[1]Pc, Summer, S3'!H3*Main!$B$5)+(_xlfn.IFNA(VLOOKUP($A3,'FL Ratio'!$A$3:$B$10,2,FALSE),0)*'FL Characterization'!H$2)</f>
        <v>37.275937633151997</v>
      </c>
      <c r="I3" s="2">
        <f ca="1">('[1]Pc, Summer, S3'!I3*Main!$B$5)+(_xlfn.IFNA(VLOOKUP($A3,'FL Ratio'!$A$3:$B$10,2,FALSE),0)*'FL Characterization'!I$2)</f>
        <v>45.870568014277218</v>
      </c>
      <c r="J3" s="2">
        <f ca="1">('[1]Pc, Summer, S3'!J3*Main!$B$5)+(_xlfn.IFNA(VLOOKUP($A3,'FL Ratio'!$A$3:$B$10,2,FALSE),0)*'FL Characterization'!J$2)</f>
        <v>47.874503535494647</v>
      </c>
      <c r="K3" s="2">
        <f ca="1">('[1]Pc, Summer, S3'!K3*Main!$B$5)+(_xlfn.IFNA(VLOOKUP($A3,'FL Ratio'!$A$3:$B$10,2,FALSE),0)*'FL Characterization'!K$2)</f>
        <v>46.872534580762469</v>
      </c>
      <c r="L3" s="2">
        <f ca="1">('[1]Pc, Summer, S3'!L3*Main!$B$5)+(_xlfn.IFNA(VLOOKUP($A3,'FL Ratio'!$A$3:$B$10,2,FALSE),0)*'FL Characterization'!L$2)</f>
        <v>46.850272590252665</v>
      </c>
      <c r="M3" s="2">
        <f ca="1">('[1]Pc, Summer, S3'!M3*Main!$B$5)+(_xlfn.IFNA(VLOOKUP($A3,'FL Ratio'!$A$3:$B$10,2,FALSE),0)*'FL Characterization'!M$2)</f>
        <v>49.922977379749994</v>
      </c>
      <c r="N3" s="2">
        <f ca="1">('[1]Pc, Summer, S3'!N3*Main!$B$5)+(_xlfn.IFNA(VLOOKUP($A3,'FL Ratio'!$A$3:$B$10,2,FALSE),0)*'FL Characterization'!N$2)</f>
        <v>49.922977379749994</v>
      </c>
      <c r="O3" s="2">
        <f ca="1">('[1]Pc, Summer, S3'!O3*Main!$B$5)+(_xlfn.IFNA(VLOOKUP($A3,'FL Ratio'!$A$3:$B$10,2,FALSE),0)*'FL Characterization'!O$2)</f>
        <v>49.922977379749994</v>
      </c>
      <c r="P3" s="2">
        <f ca="1">('[1]Pc, Summer, S3'!P3*Main!$B$5)+(_xlfn.IFNA(VLOOKUP($A3,'FL Ratio'!$A$3:$B$10,2,FALSE),0)*'FL Characterization'!P$2)</f>
        <v>47.418056187043007</v>
      </c>
      <c r="Q3" s="2">
        <f ca="1">('[1]Pc, Summer, S3'!Q3*Main!$B$5)+(_xlfn.IFNA(VLOOKUP($A3,'FL Ratio'!$A$3:$B$10,2,FALSE),0)*'FL Characterization'!Q$2)</f>
        <v>44.890868224198179</v>
      </c>
      <c r="R3" s="2">
        <f ca="1">('[1]Pc, Summer, S3'!R3*Main!$B$5)+(_xlfn.IFNA(VLOOKUP($A3,'FL Ratio'!$A$3:$B$10,2,FALSE),0)*'FL Characterization'!R$2)</f>
        <v>41.818168214328907</v>
      </c>
      <c r="S3" s="2">
        <f ca="1">('[1]Pc, Summer, S3'!S3*Main!$B$5)+(_xlfn.IFNA(VLOOKUP($A3,'FL Ratio'!$A$3:$B$10,2,FALSE),0)*'FL Characterization'!S$2)</f>
        <v>41.818168214328907</v>
      </c>
      <c r="T3" s="2">
        <f ca="1">('[1]Pc, Summer, S3'!T3*Main!$B$5)+(_xlfn.IFNA(VLOOKUP($A3,'FL Ratio'!$A$3:$B$10,2,FALSE),0)*'FL Characterization'!T$2)</f>
        <v>41.818168214328907</v>
      </c>
      <c r="U3" s="2">
        <f ca="1">('[1]Pc, Summer, S3'!U3*Main!$B$5)+(_xlfn.IFNA(VLOOKUP($A3,'FL Ratio'!$A$3:$B$10,2,FALSE),0)*'FL Characterization'!U$2)</f>
        <v>41.818168214328907</v>
      </c>
      <c r="V3" s="2">
        <f ca="1">('[1]Pc, Summer, S3'!V3*Main!$B$5)+(_xlfn.IFNA(VLOOKUP($A3,'FL Ratio'!$A$3:$B$10,2,FALSE),0)*'FL Characterization'!V$2)</f>
        <v>41.818168214328907</v>
      </c>
      <c r="W3" s="2">
        <f ca="1">('[1]Pc, Summer, S3'!W3*Main!$B$5)+(_xlfn.IFNA(VLOOKUP($A3,'FL Ratio'!$A$3:$B$10,2,FALSE),0)*'FL Characterization'!W$2)</f>
        <v>41.818168214328907</v>
      </c>
      <c r="X3" s="2">
        <f ca="1">('[1]Pc, Summer, S3'!X3*Main!$B$5)+(_xlfn.IFNA(VLOOKUP($A3,'FL Ratio'!$A$3:$B$10,2,FALSE),0)*'FL Characterization'!X$2)</f>
        <v>40.315225538744379</v>
      </c>
      <c r="Y3" s="2">
        <f ca="1">('[1]Pc, Summer, S3'!Y3*Main!$B$5)+(_xlfn.IFNA(VLOOKUP($A3,'FL Ratio'!$A$3:$B$10,2,FALSE),0)*'FL Characterization'!Y$2)</f>
        <v>37.721249203586503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44.796751257764853</v>
      </c>
      <c r="C4" s="2">
        <f ca="1">('[1]Pc, Summer, S3'!C4*Main!$B$5)+(_xlfn.IFNA(VLOOKUP($A4,'FL Ratio'!$A$3:$B$10,2,FALSE),0)*'FL Characterization'!C$2)</f>
        <v>39.434682036934937</v>
      </c>
      <c r="D4" s="2">
        <f ca="1">('[1]Pc, Summer, S3'!D4*Main!$B$5)+(_xlfn.IFNA(VLOOKUP($A4,'FL Ratio'!$A$3:$B$10,2,FALSE),0)*'FL Characterization'!D$2)</f>
        <v>37.289720195804193</v>
      </c>
      <c r="E4" s="2">
        <f ca="1">('[1]Pc, Summer, S3'!E4*Main!$B$5)+(_xlfn.IFNA(VLOOKUP($A4,'FL Ratio'!$A$3:$B$10,2,FALSE),0)*'FL Characterization'!E$2)</f>
        <v>36.107033709567133</v>
      </c>
      <c r="F4" s="2">
        <f ca="1">('[1]Pc, Summer, S3'!F4*Main!$B$5)+(_xlfn.IFNA(VLOOKUP($A4,'FL Ratio'!$A$3:$B$10,2,FALSE),0)*'FL Characterization'!F$2)</f>
        <v>38.276835540651874</v>
      </c>
      <c r="G4" s="2">
        <f ca="1">('[1]Pc, Summer, S3'!G4*Main!$B$5)+(_xlfn.IFNA(VLOOKUP($A4,'FL Ratio'!$A$3:$B$10,2,FALSE),0)*'FL Characterization'!G$2)</f>
        <v>35.059121726369789</v>
      </c>
      <c r="H4" s="2">
        <f ca="1">('[1]Pc, Summer, S3'!H4*Main!$B$5)+(_xlfn.IFNA(VLOOKUP($A4,'FL Ratio'!$A$3:$B$10,2,FALSE),0)*'FL Characterization'!H$2)</f>
        <v>41.117952900725648</v>
      </c>
      <c r="I4" s="2">
        <f ca="1">('[1]Pc, Summer, S3'!I4*Main!$B$5)+(_xlfn.IFNA(VLOOKUP($A4,'FL Ratio'!$A$3:$B$10,2,FALSE),0)*'FL Characterization'!I$2)</f>
        <v>47.72490414185723</v>
      </c>
      <c r="J4" s="2">
        <f ca="1">('[1]Pc, Summer, S3'!J4*Main!$B$5)+(_xlfn.IFNA(VLOOKUP($A4,'FL Ratio'!$A$3:$B$10,2,FALSE),0)*'FL Characterization'!J$2)</f>
        <v>53.765326129948726</v>
      </c>
      <c r="K4" s="2">
        <f ca="1">('[1]Pc, Summer, S3'!K4*Main!$B$5)+(_xlfn.IFNA(VLOOKUP($A4,'FL Ratio'!$A$3:$B$10,2,FALSE),0)*'FL Characterization'!K$2)</f>
        <v>57.704506362136947</v>
      </c>
      <c r="L4" s="2">
        <f ca="1">('[1]Pc, Summer, S3'!L4*Main!$B$5)+(_xlfn.IFNA(VLOOKUP($A4,'FL Ratio'!$A$3:$B$10,2,FALSE),0)*'FL Characterization'!L$2)</f>
        <v>59.551175373965179</v>
      </c>
      <c r="M4" s="2">
        <f ca="1">('[1]Pc, Summer, S3'!M4*Main!$B$5)+(_xlfn.IFNA(VLOOKUP($A4,'FL Ratio'!$A$3:$B$10,2,FALSE),0)*'FL Characterization'!M$2)</f>
        <v>60.493660074103069</v>
      </c>
      <c r="N4" s="2">
        <f ca="1">('[1]Pc, Summer, S3'!N4*Main!$B$5)+(_xlfn.IFNA(VLOOKUP($A4,'FL Ratio'!$A$3:$B$10,2,FALSE),0)*'FL Characterization'!N$2)</f>
        <v>61.681462986609063</v>
      </c>
      <c r="O4" s="2">
        <f ca="1">('[1]Pc, Summer, S3'!O4*Main!$B$5)+(_xlfn.IFNA(VLOOKUP($A4,'FL Ratio'!$A$3:$B$10,2,FALSE),0)*'FL Characterization'!O$2)</f>
        <v>62.186656781351928</v>
      </c>
      <c r="P4" s="2">
        <f ca="1">('[1]Pc, Summer, S3'!P4*Main!$B$5)+(_xlfn.IFNA(VLOOKUP($A4,'FL Ratio'!$A$3:$B$10,2,FALSE),0)*'FL Characterization'!P$2)</f>
        <v>62.403721724687493</v>
      </c>
      <c r="Q4" s="2">
        <f ca="1">('[1]Pc, Summer, S3'!Q4*Main!$B$5)+(_xlfn.IFNA(VLOOKUP($A4,'FL Ratio'!$A$3:$B$10,2,FALSE),0)*'FL Characterization'!Q$2)</f>
        <v>60.051151104731396</v>
      </c>
      <c r="R4" s="2">
        <f ca="1">('[1]Pc, Summer, S3'!R4*Main!$B$5)+(_xlfn.IFNA(VLOOKUP($A4,'FL Ratio'!$A$3:$B$10,2,FALSE),0)*'FL Characterization'!R$2)</f>
        <v>60.081207930298788</v>
      </c>
      <c r="S4" s="2">
        <f ca="1">('[1]Pc, Summer, S3'!S4*Main!$B$5)+(_xlfn.IFNA(VLOOKUP($A4,'FL Ratio'!$A$3:$B$10,2,FALSE),0)*'FL Characterization'!S$2)</f>
        <v>57.738802939480252</v>
      </c>
      <c r="T4" s="2">
        <f ca="1">('[1]Pc, Summer, S3'!T4*Main!$B$5)+(_xlfn.IFNA(VLOOKUP($A4,'FL Ratio'!$A$3:$B$10,2,FALSE),0)*'FL Characterization'!T$2)</f>
        <v>58.042599431524948</v>
      </c>
      <c r="U4" s="2">
        <f ca="1">('[1]Pc, Summer, S3'!U4*Main!$B$5)+(_xlfn.IFNA(VLOOKUP($A4,'FL Ratio'!$A$3:$B$10,2,FALSE),0)*'FL Characterization'!U$2)</f>
        <v>58.519809354263792</v>
      </c>
      <c r="V4" s="2">
        <f ca="1">('[1]Pc, Summer, S3'!V4*Main!$B$5)+(_xlfn.IFNA(VLOOKUP($A4,'FL Ratio'!$A$3:$B$10,2,FALSE),0)*'FL Characterization'!V$2)</f>
        <v>58.038764346322388</v>
      </c>
      <c r="W4" s="2">
        <f ca="1">('[1]Pc, Summer, S3'!W4*Main!$B$5)+(_xlfn.IFNA(VLOOKUP($A4,'FL Ratio'!$A$3:$B$10,2,FALSE),0)*'FL Characterization'!W$2)</f>
        <v>60.11933986325721</v>
      </c>
      <c r="X4" s="2">
        <f ca="1">('[1]Pc, Summer, S3'!X4*Main!$B$5)+(_xlfn.IFNA(VLOOKUP($A4,'FL Ratio'!$A$3:$B$10,2,FALSE),0)*'FL Characterization'!X$2)</f>
        <v>58.737439727288958</v>
      </c>
      <c r="Y4" s="2">
        <f ca="1">('[1]Pc, Summer, S3'!Y4*Main!$B$5)+(_xlfn.IFNA(VLOOKUP($A4,'FL Ratio'!$A$3:$B$10,2,FALSE),0)*'FL Characterization'!Y$2)</f>
        <v>52.495553221729196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7E3D7-C1B6-4623-A296-E98A362F351A}">
  <dimension ref="A1:Y28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('[1]Pc, Summer, S3'!B2*Main!$B$5)+(_xlfn.IFNA(VLOOKUP($A2,'FL Ratio'!$A$3:$B$10,2,FALSE),0)*'FL Characterization'!B$2)</f>
        <v>32.766822339479468</v>
      </c>
      <c r="C2" s="2">
        <f ca="1">('[1]Pc, Summer, S3'!C2*Main!$B$5)+(_xlfn.IFNA(VLOOKUP($A2,'FL Ratio'!$A$3:$B$10,2,FALSE),0)*'FL Characterization'!C$2)</f>
        <v>29.770124434506304</v>
      </c>
      <c r="D2" s="2">
        <f ca="1">('[1]Pc, Summer, S3'!D2*Main!$B$5)+(_xlfn.IFNA(VLOOKUP($A2,'FL Ratio'!$A$3:$B$10,2,FALSE),0)*'FL Characterization'!D$2)</f>
        <v>29.25011773306716</v>
      </c>
      <c r="E2" s="2">
        <f ca="1">('[1]Pc, Summer, S3'!E2*Main!$B$5)+(_xlfn.IFNA(VLOOKUP($A2,'FL Ratio'!$A$3:$B$10,2,FALSE),0)*'FL Characterization'!E$2)</f>
        <v>29.175396433892864</v>
      </c>
      <c r="F2" s="2">
        <f ca="1">('[1]Pc, Summer, S3'!F2*Main!$B$5)+(_xlfn.IFNA(VLOOKUP($A2,'FL Ratio'!$A$3:$B$10,2,FALSE),0)*'FL Characterization'!F$2)</f>
        <v>29.17769662536784</v>
      </c>
      <c r="G2" s="2">
        <f ca="1">('[1]Pc, Summer, S3'!G2*Main!$B$5)+(_xlfn.IFNA(VLOOKUP($A2,'FL Ratio'!$A$3:$B$10,2,FALSE),0)*'FL Characterization'!G$2)</f>
        <v>28.919657601951275</v>
      </c>
      <c r="H2" s="2">
        <f ca="1">('[1]Pc, Summer, S3'!H2*Main!$B$5)+(_xlfn.IFNA(VLOOKUP($A2,'FL Ratio'!$A$3:$B$10,2,FALSE),0)*'FL Characterization'!H$2)</f>
        <v>31.221351948830243</v>
      </c>
      <c r="I2" s="2">
        <f ca="1">('[1]Pc, Summer, S3'!I2*Main!$B$5)+(_xlfn.IFNA(VLOOKUP($A2,'FL Ratio'!$A$3:$B$10,2,FALSE),0)*'FL Characterization'!I$2)</f>
        <v>37.067372386902555</v>
      </c>
      <c r="J2" s="2">
        <f ca="1">('[1]Pc, Summer, S3'!J2*Main!$B$5)+(_xlfn.IFNA(VLOOKUP($A2,'FL Ratio'!$A$3:$B$10,2,FALSE),0)*'FL Characterization'!J$2)</f>
        <v>42.246264532399699</v>
      </c>
      <c r="K2" s="2">
        <f ca="1">('[1]Pc, Summer, S3'!K2*Main!$B$5)+(_xlfn.IFNA(VLOOKUP($A2,'FL Ratio'!$A$3:$B$10,2,FALSE),0)*'FL Characterization'!K$2)</f>
        <v>43.544409829877139</v>
      </c>
      <c r="L2" s="2">
        <f ca="1">('[1]Pc, Summer, S3'!L2*Main!$B$5)+(_xlfn.IFNA(VLOOKUP($A2,'FL Ratio'!$A$3:$B$10,2,FALSE),0)*'FL Characterization'!L$2)</f>
        <v>43.103752019195262</v>
      </c>
      <c r="M2" s="2">
        <f ca="1">('[1]Pc, Summer, S3'!M2*Main!$B$5)+(_xlfn.IFNA(VLOOKUP($A2,'FL Ratio'!$A$3:$B$10,2,FALSE),0)*'FL Characterization'!M$2)</f>
        <v>44.322666117315116</v>
      </c>
      <c r="N2" s="2">
        <f ca="1">('[1]Pc, Summer, S3'!N2*Main!$B$5)+(_xlfn.IFNA(VLOOKUP($A2,'FL Ratio'!$A$3:$B$10,2,FALSE),0)*'FL Characterization'!N$2)</f>
        <v>44.930679641774994</v>
      </c>
      <c r="O2" s="2">
        <f ca="1">('[1]Pc, Summer, S3'!O2*Main!$B$5)+(_xlfn.IFNA(VLOOKUP($A2,'FL Ratio'!$A$3:$B$10,2,FALSE),0)*'FL Characterization'!O$2)</f>
        <v>44.099546242997093</v>
      </c>
      <c r="P2" s="2">
        <f ca="1">('[1]Pc, Summer, S3'!P2*Main!$B$5)+(_xlfn.IFNA(VLOOKUP($A2,'FL Ratio'!$A$3:$B$10,2,FALSE),0)*'FL Characterization'!P$2)</f>
        <v>42.376347269085727</v>
      </c>
      <c r="Q2" s="2">
        <f ca="1">('[1]Pc, Summer, S3'!Q2*Main!$B$5)+(_xlfn.IFNA(VLOOKUP($A2,'FL Ratio'!$A$3:$B$10,2,FALSE),0)*'FL Characterization'!Q$2)</f>
        <v>40.670772399681077</v>
      </c>
      <c r="R2" s="2">
        <f ca="1">('[1]Pc, Summer, S3'!R2*Main!$B$5)+(_xlfn.IFNA(VLOOKUP($A2,'FL Ratio'!$A$3:$B$10,2,FALSE),0)*'FL Characterization'!R$2)</f>
        <v>41.380344086172414</v>
      </c>
      <c r="S2" s="2">
        <f ca="1">('[1]Pc, Summer, S3'!S2*Main!$B$5)+(_xlfn.IFNA(VLOOKUP($A2,'FL Ratio'!$A$3:$B$10,2,FALSE),0)*'FL Characterization'!S$2)</f>
        <v>41.78917154884379</v>
      </c>
      <c r="T2" s="2">
        <f ca="1">('[1]Pc, Summer, S3'!T2*Main!$B$5)+(_xlfn.IFNA(VLOOKUP($A2,'FL Ratio'!$A$3:$B$10,2,FALSE),0)*'FL Characterization'!T$2)</f>
        <v>41.96655105818882</v>
      </c>
      <c r="U2" s="2">
        <f ca="1">('[1]Pc, Summer, S3'!U2*Main!$B$5)+(_xlfn.IFNA(VLOOKUP($A2,'FL Ratio'!$A$3:$B$10,2,FALSE),0)*'FL Characterization'!U$2)</f>
        <v>41.271811703392949</v>
      </c>
      <c r="V2" s="2">
        <f ca="1">('[1]Pc, Summer, S3'!V2*Main!$B$5)+(_xlfn.IFNA(VLOOKUP($A2,'FL Ratio'!$A$3:$B$10,2,FALSE),0)*'FL Characterization'!V$2)</f>
        <v>41.395815317035805</v>
      </c>
      <c r="W2" s="2">
        <f ca="1">('[1]Pc, Summer, S3'!W2*Main!$B$5)+(_xlfn.IFNA(VLOOKUP($A2,'FL Ratio'!$A$3:$B$10,2,FALSE),0)*'FL Characterization'!W$2)</f>
        <v>43.110345948716102</v>
      </c>
      <c r="X2" s="2">
        <f ca="1">('[1]Pc, Summer, S3'!X2*Main!$B$5)+(_xlfn.IFNA(VLOOKUP($A2,'FL Ratio'!$A$3:$B$10,2,FALSE),0)*'FL Characterization'!X$2)</f>
        <v>40.184060380293758</v>
      </c>
      <c r="Y2" s="2">
        <f ca="1">('[1]Pc, Summer, S3'!Y2*Main!$B$5)+(_xlfn.IFNA(VLOOKUP($A2,'FL Ratio'!$A$3:$B$10,2,FALSE),0)*'FL Characterization'!Y$2)</f>
        <v>36.836504088275397</v>
      </c>
    </row>
    <row r="3" spans="1:25" x14ac:dyDescent="0.3">
      <c r="A3">
        <v>2</v>
      </c>
      <c r="B3" s="2">
        <f ca="1">('[1]Pc, Summer, S3'!B3*Main!$B$5)+(_xlfn.IFNA(VLOOKUP($A3,'FL Ratio'!$A$3:$B$10,2,FALSE),0)*'FL Characterization'!B$2)</f>
        <v>33.223545001078669</v>
      </c>
      <c r="C3" s="2">
        <f ca="1">('[1]Pc, Summer, S3'!C3*Main!$B$5)+(_xlfn.IFNA(VLOOKUP($A3,'FL Ratio'!$A$3:$B$10,2,FALSE),0)*'FL Characterization'!C$2)</f>
        <v>30.25103591167742</v>
      </c>
      <c r="D3" s="2">
        <f ca="1">('[1]Pc, Summer, S3'!D3*Main!$B$5)+(_xlfn.IFNA(VLOOKUP($A3,'FL Ratio'!$A$3:$B$10,2,FALSE),0)*'FL Characterization'!D$2)</f>
        <v>28.770350450108825</v>
      </c>
      <c r="E3" s="2">
        <f ca="1">('[1]Pc, Summer, S3'!E3*Main!$B$5)+(_xlfn.IFNA(VLOOKUP($A3,'FL Ratio'!$A$3:$B$10,2,FALSE),0)*'FL Characterization'!E$2)</f>
        <v>27.746121893113784</v>
      </c>
      <c r="F3" s="2">
        <f ca="1">('[1]Pc, Summer, S3'!F3*Main!$B$5)+(_xlfn.IFNA(VLOOKUP($A3,'FL Ratio'!$A$3:$B$10,2,FALSE),0)*'FL Characterization'!F$2)</f>
        <v>27.746121893113784</v>
      </c>
      <c r="G3" s="2">
        <f ca="1">('[1]Pc, Summer, S3'!G3*Main!$B$5)+(_xlfn.IFNA(VLOOKUP($A3,'FL Ratio'!$A$3:$B$10,2,FALSE),0)*'FL Characterization'!G$2)</f>
        <v>29.750055013547549</v>
      </c>
      <c r="H3" s="2">
        <f ca="1">('[1]Pc, Summer, S3'!H3*Main!$B$5)+(_xlfn.IFNA(VLOOKUP($A3,'FL Ratio'!$A$3:$B$10,2,FALSE),0)*'FL Characterization'!H$2)</f>
        <v>37.275937633151997</v>
      </c>
      <c r="I3" s="2">
        <f ca="1">('[1]Pc, Summer, S3'!I3*Main!$B$5)+(_xlfn.IFNA(VLOOKUP($A3,'FL Ratio'!$A$3:$B$10,2,FALSE),0)*'FL Characterization'!I$2)</f>
        <v>45.870568014277218</v>
      </c>
      <c r="J3" s="2">
        <f ca="1">('[1]Pc, Summer, S3'!J3*Main!$B$5)+(_xlfn.IFNA(VLOOKUP($A3,'FL Ratio'!$A$3:$B$10,2,FALSE),0)*'FL Characterization'!J$2)</f>
        <v>47.874503535494647</v>
      </c>
      <c r="K3" s="2">
        <f ca="1">('[1]Pc, Summer, S3'!K3*Main!$B$5)+(_xlfn.IFNA(VLOOKUP($A3,'FL Ratio'!$A$3:$B$10,2,FALSE),0)*'FL Characterization'!K$2)</f>
        <v>46.872534580762469</v>
      </c>
      <c r="L3" s="2">
        <f ca="1">('[1]Pc, Summer, S3'!L3*Main!$B$5)+(_xlfn.IFNA(VLOOKUP($A3,'FL Ratio'!$A$3:$B$10,2,FALSE),0)*'FL Characterization'!L$2)</f>
        <v>46.850272590252665</v>
      </c>
      <c r="M3" s="2">
        <f ca="1">('[1]Pc, Summer, S3'!M3*Main!$B$5)+(_xlfn.IFNA(VLOOKUP($A3,'FL Ratio'!$A$3:$B$10,2,FALSE),0)*'FL Characterization'!M$2)</f>
        <v>49.922977379749994</v>
      </c>
      <c r="N3" s="2">
        <f ca="1">('[1]Pc, Summer, S3'!N3*Main!$B$5)+(_xlfn.IFNA(VLOOKUP($A3,'FL Ratio'!$A$3:$B$10,2,FALSE),0)*'FL Characterization'!N$2)</f>
        <v>49.922977379749994</v>
      </c>
      <c r="O3" s="2">
        <f ca="1">('[1]Pc, Summer, S3'!O3*Main!$B$5)+(_xlfn.IFNA(VLOOKUP($A3,'FL Ratio'!$A$3:$B$10,2,FALSE),0)*'FL Characterization'!O$2)</f>
        <v>49.922977379749994</v>
      </c>
      <c r="P3" s="2">
        <f ca="1">('[1]Pc, Summer, S3'!P3*Main!$B$5)+(_xlfn.IFNA(VLOOKUP($A3,'FL Ratio'!$A$3:$B$10,2,FALSE),0)*'FL Characterization'!P$2)</f>
        <v>47.418056187043007</v>
      </c>
      <c r="Q3" s="2">
        <f ca="1">('[1]Pc, Summer, S3'!Q3*Main!$B$5)+(_xlfn.IFNA(VLOOKUP($A3,'FL Ratio'!$A$3:$B$10,2,FALSE),0)*'FL Characterization'!Q$2)</f>
        <v>44.890868224198179</v>
      </c>
      <c r="R3" s="2">
        <f ca="1">('[1]Pc, Summer, S3'!R3*Main!$B$5)+(_xlfn.IFNA(VLOOKUP($A3,'FL Ratio'!$A$3:$B$10,2,FALSE),0)*'FL Characterization'!R$2)</f>
        <v>41.818168214328907</v>
      </c>
      <c r="S3" s="2">
        <f ca="1">('[1]Pc, Summer, S3'!S3*Main!$B$5)+(_xlfn.IFNA(VLOOKUP($A3,'FL Ratio'!$A$3:$B$10,2,FALSE),0)*'FL Characterization'!S$2)</f>
        <v>41.818168214328907</v>
      </c>
      <c r="T3" s="2">
        <f ca="1">('[1]Pc, Summer, S3'!T3*Main!$B$5)+(_xlfn.IFNA(VLOOKUP($A3,'FL Ratio'!$A$3:$B$10,2,FALSE),0)*'FL Characterization'!T$2)</f>
        <v>41.818168214328907</v>
      </c>
      <c r="U3" s="2">
        <f ca="1">('[1]Pc, Summer, S3'!U3*Main!$B$5)+(_xlfn.IFNA(VLOOKUP($A3,'FL Ratio'!$A$3:$B$10,2,FALSE),0)*'FL Characterization'!U$2)</f>
        <v>41.818168214328907</v>
      </c>
      <c r="V3" s="2">
        <f ca="1">('[1]Pc, Summer, S3'!V3*Main!$B$5)+(_xlfn.IFNA(VLOOKUP($A3,'FL Ratio'!$A$3:$B$10,2,FALSE),0)*'FL Characterization'!V$2)</f>
        <v>41.818168214328907</v>
      </c>
      <c r="W3" s="2">
        <f ca="1">('[1]Pc, Summer, S3'!W3*Main!$B$5)+(_xlfn.IFNA(VLOOKUP($A3,'FL Ratio'!$A$3:$B$10,2,FALSE),0)*'FL Characterization'!W$2)</f>
        <v>41.818168214328907</v>
      </c>
      <c r="X3" s="2">
        <f ca="1">('[1]Pc, Summer, S3'!X3*Main!$B$5)+(_xlfn.IFNA(VLOOKUP($A3,'FL Ratio'!$A$3:$B$10,2,FALSE),0)*'FL Characterization'!X$2)</f>
        <v>40.315225538744379</v>
      </c>
      <c r="Y3" s="2">
        <f ca="1">('[1]Pc, Summer, S3'!Y3*Main!$B$5)+(_xlfn.IFNA(VLOOKUP($A3,'FL Ratio'!$A$3:$B$10,2,FALSE),0)*'FL Characterization'!Y$2)</f>
        <v>37.721249203586503</v>
      </c>
    </row>
    <row r="4" spans="1:25" x14ac:dyDescent="0.3">
      <c r="A4">
        <v>3</v>
      </c>
      <c r="B4" s="2">
        <f ca="1">('[1]Pc, Summer, S3'!B4*Main!$B$5)+(_xlfn.IFNA(VLOOKUP($A4,'FL Ratio'!$A$3:$B$10,2,FALSE),0)*'FL Characterization'!B$2)</f>
        <v>44.796751257764853</v>
      </c>
      <c r="C4" s="2">
        <f ca="1">('[1]Pc, Summer, S3'!C4*Main!$B$5)+(_xlfn.IFNA(VLOOKUP($A4,'FL Ratio'!$A$3:$B$10,2,FALSE),0)*'FL Characterization'!C$2)</f>
        <v>39.434682036934937</v>
      </c>
      <c r="D4" s="2">
        <f ca="1">('[1]Pc, Summer, S3'!D4*Main!$B$5)+(_xlfn.IFNA(VLOOKUP($A4,'FL Ratio'!$A$3:$B$10,2,FALSE),0)*'FL Characterization'!D$2)</f>
        <v>37.289720195804193</v>
      </c>
      <c r="E4" s="2">
        <f ca="1">('[1]Pc, Summer, S3'!E4*Main!$B$5)+(_xlfn.IFNA(VLOOKUP($A4,'FL Ratio'!$A$3:$B$10,2,FALSE),0)*'FL Characterization'!E$2)</f>
        <v>36.107033709567133</v>
      </c>
      <c r="F4" s="2">
        <f ca="1">('[1]Pc, Summer, S3'!F4*Main!$B$5)+(_xlfn.IFNA(VLOOKUP($A4,'FL Ratio'!$A$3:$B$10,2,FALSE),0)*'FL Characterization'!F$2)</f>
        <v>38.276835540651874</v>
      </c>
      <c r="G4" s="2">
        <f ca="1">('[1]Pc, Summer, S3'!G4*Main!$B$5)+(_xlfn.IFNA(VLOOKUP($A4,'FL Ratio'!$A$3:$B$10,2,FALSE),0)*'FL Characterization'!G$2)</f>
        <v>35.059121726369789</v>
      </c>
      <c r="H4" s="2">
        <f ca="1">('[1]Pc, Summer, S3'!H4*Main!$B$5)+(_xlfn.IFNA(VLOOKUP($A4,'FL Ratio'!$A$3:$B$10,2,FALSE),0)*'FL Characterization'!H$2)</f>
        <v>41.117952900725648</v>
      </c>
      <c r="I4" s="2">
        <f ca="1">('[1]Pc, Summer, S3'!I4*Main!$B$5)+(_xlfn.IFNA(VLOOKUP($A4,'FL Ratio'!$A$3:$B$10,2,FALSE),0)*'FL Characterization'!I$2)</f>
        <v>47.72490414185723</v>
      </c>
      <c r="J4" s="2">
        <f ca="1">('[1]Pc, Summer, S3'!J4*Main!$B$5)+(_xlfn.IFNA(VLOOKUP($A4,'FL Ratio'!$A$3:$B$10,2,FALSE),0)*'FL Characterization'!J$2)</f>
        <v>53.765326129948726</v>
      </c>
      <c r="K4" s="2">
        <f ca="1">('[1]Pc, Summer, S3'!K4*Main!$B$5)+(_xlfn.IFNA(VLOOKUP($A4,'FL Ratio'!$A$3:$B$10,2,FALSE),0)*'FL Characterization'!K$2)</f>
        <v>57.704506362136947</v>
      </c>
      <c r="L4" s="2">
        <f ca="1">('[1]Pc, Summer, S3'!L4*Main!$B$5)+(_xlfn.IFNA(VLOOKUP($A4,'FL Ratio'!$A$3:$B$10,2,FALSE),0)*'FL Characterization'!L$2)</f>
        <v>59.551175373965179</v>
      </c>
      <c r="M4" s="2">
        <f ca="1">('[1]Pc, Summer, S3'!M4*Main!$B$5)+(_xlfn.IFNA(VLOOKUP($A4,'FL Ratio'!$A$3:$B$10,2,FALSE),0)*'FL Characterization'!M$2)</f>
        <v>60.493660074103069</v>
      </c>
      <c r="N4" s="2">
        <f ca="1">('[1]Pc, Summer, S3'!N4*Main!$B$5)+(_xlfn.IFNA(VLOOKUP($A4,'FL Ratio'!$A$3:$B$10,2,FALSE),0)*'FL Characterization'!N$2)</f>
        <v>61.681462986609063</v>
      </c>
      <c r="O4" s="2">
        <f ca="1">('[1]Pc, Summer, S3'!O4*Main!$B$5)+(_xlfn.IFNA(VLOOKUP($A4,'FL Ratio'!$A$3:$B$10,2,FALSE),0)*'FL Characterization'!O$2)</f>
        <v>62.186656781351928</v>
      </c>
      <c r="P4" s="2">
        <f ca="1">('[1]Pc, Summer, S3'!P4*Main!$B$5)+(_xlfn.IFNA(VLOOKUP($A4,'FL Ratio'!$A$3:$B$10,2,FALSE),0)*'FL Characterization'!P$2)</f>
        <v>62.403721724687493</v>
      </c>
      <c r="Q4" s="2">
        <f ca="1">('[1]Pc, Summer, S3'!Q4*Main!$B$5)+(_xlfn.IFNA(VLOOKUP($A4,'FL Ratio'!$A$3:$B$10,2,FALSE),0)*'FL Characterization'!Q$2)</f>
        <v>60.051151104731396</v>
      </c>
      <c r="R4" s="2">
        <f ca="1">('[1]Pc, Summer, S3'!R4*Main!$B$5)+(_xlfn.IFNA(VLOOKUP($A4,'FL Ratio'!$A$3:$B$10,2,FALSE),0)*'FL Characterization'!R$2)</f>
        <v>60.081207930298788</v>
      </c>
      <c r="S4" s="2">
        <f ca="1">('[1]Pc, Summer, S3'!S4*Main!$B$5)+(_xlfn.IFNA(VLOOKUP($A4,'FL Ratio'!$A$3:$B$10,2,FALSE),0)*'FL Characterization'!S$2)</f>
        <v>57.738802939480252</v>
      </c>
      <c r="T4" s="2">
        <f ca="1">('[1]Pc, Summer, S3'!T4*Main!$B$5)+(_xlfn.IFNA(VLOOKUP($A4,'FL Ratio'!$A$3:$B$10,2,FALSE),0)*'FL Characterization'!T$2)</f>
        <v>58.042599431524948</v>
      </c>
      <c r="U4" s="2">
        <f ca="1">('[1]Pc, Summer, S3'!U4*Main!$B$5)+(_xlfn.IFNA(VLOOKUP($A4,'FL Ratio'!$A$3:$B$10,2,FALSE),0)*'FL Characterization'!U$2)</f>
        <v>58.519809354263792</v>
      </c>
      <c r="V4" s="2">
        <f ca="1">('[1]Pc, Summer, S3'!V4*Main!$B$5)+(_xlfn.IFNA(VLOOKUP($A4,'FL Ratio'!$A$3:$B$10,2,FALSE),0)*'FL Characterization'!V$2)</f>
        <v>58.038764346322388</v>
      </c>
      <c r="W4" s="2">
        <f ca="1">('[1]Pc, Summer, S3'!W4*Main!$B$5)+(_xlfn.IFNA(VLOOKUP($A4,'FL Ratio'!$A$3:$B$10,2,FALSE),0)*'FL Characterization'!W$2)</f>
        <v>60.11933986325721</v>
      </c>
      <c r="X4" s="2">
        <f ca="1">('[1]Pc, Summer, S3'!X4*Main!$B$5)+(_xlfn.IFNA(VLOOKUP($A4,'FL Ratio'!$A$3:$B$10,2,FALSE),0)*'FL Characterization'!X$2)</f>
        <v>58.737439727288958</v>
      </c>
      <c r="Y4" s="2">
        <f ca="1">('[1]Pc, Summer, S3'!Y4*Main!$B$5)+(_xlfn.IFNA(VLOOKUP($A4,'FL Ratio'!$A$3:$B$10,2,FALSE),0)*'FL Characterization'!Y$2)</f>
        <v>52.495553221729196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2:25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2:25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2:25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2:25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2:25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2:25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3056-E6B3-4F0E-8018-F15414CCE61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50F2B-C4B7-4CA6-9F6F-9625BF8A2D24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A2B2-F3C9-45A7-B421-2FBE8BE2B44A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-10.994149369100459</v>
      </c>
      <c r="C2" s="2">
        <f>('[1]Qc, Summer, S1'!C2*Main!$B$5)</f>
        <v>-14.293744155486573</v>
      </c>
      <c r="D2" s="2">
        <f>('[1]Qc, Summer, S1'!D2*Main!$B$5)</f>
        <v>-15.754464542117812</v>
      </c>
      <c r="E2" s="2">
        <f>('[1]Qc, Summer, S1'!E2*Main!$B$5)</f>
        <v>-14.376774281889277</v>
      </c>
      <c r="F2" s="2">
        <f>('[1]Qc, Summer, S1'!F2*Main!$B$5)</f>
        <v>-15.409967769661122</v>
      </c>
      <c r="G2" s="2">
        <f>('[1]Qc, Summer, S1'!G2*Main!$B$5)</f>
        <v>-15.765150751499998</v>
      </c>
      <c r="H2" s="2">
        <f>('[1]Qc, Summer, S1'!H2*Main!$B$5)</f>
        <v>-13.663503000341795</v>
      </c>
      <c r="I2" s="2">
        <f>('[1]Qc, Summer, S1'!I2*Main!$B$5)</f>
        <v>-2.1257340922411072</v>
      </c>
      <c r="J2" s="2">
        <f>('[1]Qc, Summer, S1'!J2*Main!$B$5)</f>
        <v>6.8234500167405425</v>
      </c>
      <c r="K2" s="2">
        <f>('[1]Qc, Summer, S1'!K2*Main!$B$5)</f>
        <v>9.933616901704772</v>
      </c>
      <c r="L2" s="2">
        <f>('[1]Qc, Summer, S1'!L2*Main!$B$5)</f>
        <v>7.8087109716435252</v>
      </c>
      <c r="M2" s="2">
        <f>('[1]Qc, Summer, S1'!M2*Main!$B$5)</f>
        <v>10.401417416770718</v>
      </c>
      <c r="N2" s="2">
        <f>('[1]Qc, Summer, S1'!N2*Main!$B$5)</f>
        <v>9.2304245431824601</v>
      </c>
      <c r="O2" s="2">
        <f>('[1]Qc, Summer, S1'!O2*Main!$B$5)</f>
        <v>9.5083414160770925</v>
      </c>
      <c r="P2" s="2">
        <f>('[1]Qc, Summer, S1'!P2*Main!$B$5)</f>
        <v>4.9059552252616561</v>
      </c>
      <c r="Q2" s="2">
        <f>('[1]Qc, Summer, S1'!Q2*Main!$B$5)</f>
        <v>1.2402848676558078</v>
      </c>
      <c r="R2" s="2">
        <f>('[1]Qc, Summer, S1'!R2*Main!$B$5)</f>
        <v>2.7591396260834826</v>
      </c>
      <c r="S2" s="2">
        <f>('[1]Qc, Summer, S1'!S2*Main!$B$5)</f>
        <v>3.3514006722447389</v>
      </c>
      <c r="T2" s="2">
        <f>('[1]Qc, Summer, S1'!T2*Main!$B$5)</f>
        <v>2.0190926932704998</v>
      </c>
      <c r="U2" s="2">
        <f>('[1]Qc, Summer, S1'!U2*Main!$B$5)</f>
        <v>-0.37665460922765465</v>
      </c>
      <c r="V2" s="2">
        <f>('[1]Qc, Summer, S1'!V2*Main!$B$5)</f>
        <v>-1.4703990909901063</v>
      </c>
      <c r="W2" s="2">
        <f>('[1]Qc, Summer, S1'!W2*Main!$B$5)</f>
        <v>-1.0229947434584181</v>
      </c>
      <c r="X2" s="2">
        <f>('[1]Qc, Summer, S1'!X2*Main!$B$5)</f>
        <v>-4.9060195063696241</v>
      </c>
      <c r="Y2" s="2">
        <f>('[1]Qc, Summer, S1'!Y2*Main!$B$5)</f>
        <v>-6.6406968541953102</v>
      </c>
    </row>
    <row r="3" spans="1:25" x14ac:dyDescent="0.3">
      <c r="A3">
        <v>2</v>
      </c>
      <c r="B3" s="2">
        <f>('[1]Qc, Summer, S1'!B3*Main!$B$5)</f>
        <v>-13.914006793858947</v>
      </c>
      <c r="C3" s="2">
        <f>('[1]Qc, Summer, S1'!C3*Main!$B$5)</f>
        <v>-13.914006793858947</v>
      </c>
      <c r="D3" s="2">
        <f>('[1]Qc, Summer, S1'!D3*Main!$B$5)</f>
        <v>-16.153341335304471</v>
      </c>
      <c r="E3" s="2">
        <f>('[1]Qc, Summer, S1'!E3*Main!$B$5)</f>
        <v>-18.392675876749998</v>
      </c>
      <c r="F3" s="2">
        <f>('[1]Qc, Summer, S1'!F3*Main!$B$5)</f>
        <v>-18.392675876749998</v>
      </c>
      <c r="G3" s="2">
        <f>('[1]Qc, Summer, S1'!G3*Main!$B$5)</f>
        <v>-18.392675876749998</v>
      </c>
      <c r="H3" s="2">
        <f>('[1]Qc, Summer, S1'!H3*Main!$B$5)</f>
        <v>-7.333813386953449</v>
      </c>
      <c r="I3" s="2">
        <f>('[1]Qc, Summer, S1'!I3*Main!$B$5)</f>
        <v>1.5201708085764938</v>
      </c>
      <c r="J3" s="2">
        <f>('[1]Qc, Summer, S1'!J3*Main!$B$5)</f>
        <v>4.8275011833368788</v>
      </c>
      <c r="K3" s="2">
        <f>('[1]Qc, Summer, S1'!K3*Main!$B$5)</f>
        <v>4.8275011833368788</v>
      </c>
      <c r="L3" s="2">
        <f>('[1]Qc, Summer, S1'!L3*Main!$B$5)</f>
        <v>4.414077950631758</v>
      </c>
      <c r="M3" s="2">
        <f>('[1]Qc, Summer, S1'!M3*Main!$B$5)</f>
        <v>6.2055366880414784</v>
      </c>
      <c r="N3" s="2">
        <f>('[1]Qc, Summer, S1'!N3*Main!$B$5)</f>
        <v>8.4104186581563205</v>
      </c>
      <c r="O3" s="2">
        <f>('[1]Qc, Summer, S1'!O3*Main!$B$5)</f>
        <v>8.6688128267507576</v>
      </c>
      <c r="P3" s="2">
        <f>('[1]Qc, Summer, S1'!P3*Main!$B$5)</f>
        <v>4.861950040024098</v>
      </c>
      <c r="Q3" s="2">
        <f>('[1]Qc, Summer, S1'!Q3*Main!$B$5)</f>
        <v>3.7939541873116234</v>
      </c>
      <c r="R3" s="2">
        <f>('[1]Qc, Summer, S1'!R3*Main!$B$5)</f>
        <v>-0.61580979171329286</v>
      </c>
      <c r="S3" s="2">
        <f>('[1]Qc, Summer, S1'!S3*Main!$B$5)</f>
        <v>-0.61580979171329286</v>
      </c>
      <c r="T3" s="2">
        <f>('[1]Qc, Summer, S1'!T3*Main!$B$5)</f>
        <v>-0.61580979171329286</v>
      </c>
      <c r="U3" s="2">
        <f>('[1]Qc, Summer, S1'!U3*Main!$B$5)</f>
        <v>-0.61580979171329286</v>
      </c>
      <c r="V3" s="2">
        <f>('[1]Qc, Summer, S1'!V3*Main!$B$5)</f>
        <v>-3.9231438617195273</v>
      </c>
      <c r="W3" s="2">
        <f>('[1]Qc, Summer, S1'!W3*Main!$B$5)</f>
        <v>-5.0255885517216043</v>
      </c>
      <c r="X3" s="2">
        <f>('[1]Qc, Summer, S1'!X3*Main!$B$5)</f>
        <v>-14.051802220607824</v>
      </c>
      <c r="Y3" s="2">
        <f>('[1]Qc, Summer, S1'!Y3*Main!$B$5)</f>
        <v>-14.051802220607824</v>
      </c>
    </row>
    <row r="4" spans="1:25" x14ac:dyDescent="0.3">
      <c r="A4">
        <v>3</v>
      </c>
      <c r="B4" s="2">
        <f>('[1]Qc, Summer, S1'!B4*Main!$B$5)</f>
        <v>11.231752437403715</v>
      </c>
      <c r="C4" s="2">
        <f>('[1]Qc, Summer, S1'!C4*Main!$B$5)</f>
        <v>8.6056988191158084</v>
      </c>
      <c r="D4" s="2">
        <f>('[1]Qc, Summer, S1'!D4*Main!$B$5)</f>
        <v>8.1551886634885591</v>
      </c>
      <c r="E4" s="2">
        <f>('[1]Qc, Summer, S1'!E4*Main!$B$5)</f>
        <v>7.1225290593782411</v>
      </c>
      <c r="F4" s="2">
        <f>('[1]Qc, Summer, S1'!F4*Main!$B$5)</f>
        <v>8.19944060663782</v>
      </c>
      <c r="G4" s="2">
        <f>('[1]Qc, Summer, S1'!G4*Main!$B$5)</f>
        <v>3.8054874699339929</v>
      </c>
      <c r="H4" s="2">
        <f>('[1]Qc, Summer, S1'!H4*Main!$B$5)</f>
        <v>6.639686886662453</v>
      </c>
      <c r="I4" s="2">
        <f>('[1]Qc, Summer, S1'!I4*Main!$B$5)</f>
        <v>12.75894284761759</v>
      </c>
      <c r="J4" s="2">
        <f>('[1]Qc, Summer, S1'!J4*Main!$B$5)</f>
        <v>18.560366962017099</v>
      </c>
      <c r="K4" s="2">
        <f>('[1]Qc, Summer, S1'!K4*Main!$B$5)</f>
        <v>22.054878245601145</v>
      </c>
      <c r="L4" s="2">
        <f>('[1]Qc, Summer, S1'!L4*Main!$B$5)</f>
        <v>24.07713830575743</v>
      </c>
      <c r="M4" s="2">
        <f>('[1]Qc, Summer, S1'!M4*Main!$B$5)</f>
        <v>24.956168107283236</v>
      </c>
      <c r="N4" s="2">
        <f>('[1]Qc, Summer, S1'!N4*Main!$B$5)</f>
        <v>26.07794725867009</v>
      </c>
      <c r="O4" s="2">
        <f>('[1]Qc, Summer, S1'!O4*Main!$B$5)</f>
        <v>26.275251252499999</v>
      </c>
      <c r="P4" s="2">
        <f>('[1]Qc, Summer, S1'!P4*Main!$B$5)</f>
        <v>26.088750050058803</v>
      </c>
      <c r="Q4" s="2">
        <f>('[1]Qc, Summer, S1'!Q4*Main!$B$5)</f>
        <v>25.220292897402707</v>
      </c>
      <c r="R4" s="2">
        <f>('[1]Qc, Summer, S1'!R4*Main!$B$5)</f>
        <v>24.001132077706576</v>
      </c>
      <c r="S4" s="2">
        <f>('[1]Qc, Summer, S1'!S4*Main!$B$5)</f>
        <v>21.298302259163716</v>
      </c>
      <c r="T4" s="2">
        <f>('[1]Qc, Summer, S1'!T4*Main!$B$5)</f>
        <v>21.199765113335932</v>
      </c>
      <c r="U4" s="2">
        <f>('[1]Qc, Summer, S1'!U4*Main!$B$5)</f>
        <v>20.167376005717454</v>
      </c>
      <c r="V4" s="2">
        <f>('[1]Qc, Summer, S1'!V4*Main!$B$5)</f>
        <v>18.178834174194961</v>
      </c>
      <c r="W4" s="2">
        <f>('[1]Qc, Summer, S1'!W4*Main!$B$5)</f>
        <v>21.792872019338439</v>
      </c>
      <c r="X4" s="2">
        <f>('[1]Qc, Summer, S1'!X4*Main!$B$5)</f>
        <v>19.527206568081013</v>
      </c>
      <c r="Y4" s="2">
        <f>('[1]Qc, Summer, S1'!Y4*Main!$B$5)</f>
        <v>15.714709672216852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436F-3476-4DB3-805A-C57EDD458B32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-11.433915343864477</v>
      </c>
      <c r="C2" s="2">
        <f ca="1">('[1]Qc, Summer, S2'!C2*Main!$B$5)</f>
        <v>-14.865493921706035</v>
      </c>
      <c r="D2" s="2">
        <f ca="1">('[1]Qc, Summer, S2'!D2*Main!$B$5)</f>
        <v>-16.384643123802526</v>
      </c>
      <c r="E2" s="2">
        <f ca="1">('[1]Qc, Summer, S2'!E2*Main!$B$5)</f>
        <v>-14.95184525316485</v>
      </c>
      <c r="F2" s="2">
        <f ca="1">('[1]Qc, Summer, S2'!F2*Main!$B$5)</f>
        <v>-16.026366480447567</v>
      </c>
      <c r="G2" s="2">
        <f ca="1">('[1]Qc, Summer, S2'!G2*Main!$B$5)</f>
        <v>-16.395756781559999</v>
      </c>
      <c r="H2" s="2">
        <f ca="1">('[1]Qc, Summer, S2'!H2*Main!$B$5)</f>
        <v>-14.210043120355465</v>
      </c>
      <c r="I2" s="2">
        <f ca="1">('[1]Qc, Summer, S2'!I2*Main!$B$5)</f>
        <v>-2.2107634559307514</v>
      </c>
      <c r="J2" s="2">
        <f ca="1">('[1]Qc, Summer, S2'!J2*Main!$B$5)</f>
        <v>7.096388017410165</v>
      </c>
      <c r="K2" s="2">
        <f ca="1">('[1]Qc, Summer, S2'!K2*Main!$B$5)</f>
        <v>10.330961577772964</v>
      </c>
      <c r="L2" s="2">
        <f ca="1">('[1]Qc, Summer, S2'!L2*Main!$B$5)</f>
        <v>8.1210594105092664</v>
      </c>
      <c r="M2" s="2">
        <f ca="1">('[1]Qc, Summer, S2'!M2*Main!$B$5)</f>
        <v>10.817474113441545</v>
      </c>
      <c r="N2" s="2">
        <f ca="1">('[1]Qc, Summer, S2'!N2*Main!$B$5)</f>
        <v>9.5996415249097584</v>
      </c>
      <c r="O2" s="2">
        <f ca="1">('[1]Qc, Summer, S2'!O2*Main!$B$5)</f>
        <v>9.8886750727201775</v>
      </c>
      <c r="P2" s="2">
        <f ca="1">('[1]Qc, Summer, S2'!P2*Main!$B$5)</f>
        <v>5.1021934342721211</v>
      </c>
      <c r="Q2" s="2">
        <f ca="1">('[1]Qc, Summer, S2'!Q2*Main!$B$5)</f>
        <v>1.28989626236204</v>
      </c>
      <c r="R2" s="2">
        <f ca="1">('[1]Qc, Summer, S2'!R2*Main!$B$5)</f>
        <v>2.8695052111268224</v>
      </c>
      <c r="S2" s="2">
        <f ca="1">('[1]Qc, Summer, S2'!S2*Main!$B$5)</f>
        <v>3.485456699134529</v>
      </c>
      <c r="T2" s="2">
        <f ca="1">('[1]Qc, Summer, S2'!T2*Main!$B$5)</f>
        <v>2.0998564010013201</v>
      </c>
      <c r="U2" s="2">
        <f ca="1">('[1]Qc, Summer, S2'!U2*Main!$B$5)</f>
        <v>-0.39172079359676087</v>
      </c>
      <c r="V2" s="2">
        <f ca="1">('[1]Qc, Summer, S2'!V2*Main!$B$5)</f>
        <v>-1.5292150546297105</v>
      </c>
      <c r="W2" s="2">
        <f ca="1">('[1]Qc, Summer, S2'!W2*Main!$B$5)</f>
        <v>-1.0639145331967548</v>
      </c>
      <c r="X2" s="2">
        <f ca="1">('[1]Qc, Summer, S2'!X2*Main!$B$5)</f>
        <v>-5.1022602866244098</v>
      </c>
      <c r="Y2" s="2">
        <f ca="1">('[1]Qc, Summer, S2'!Y2*Main!$B$5)</f>
        <v>-6.9063247283631224</v>
      </c>
    </row>
    <row r="3" spans="1:25" x14ac:dyDescent="0.3">
      <c r="A3">
        <v>2</v>
      </c>
      <c r="B3" s="2">
        <f ca="1">('[1]Qc, Summer, S2'!B3*Main!$B$5)</f>
        <v>-14.470567065613304</v>
      </c>
      <c r="C3" s="2">
        <f ca="1">('[1]Qc, Summer, S2'!C3*Main!$B$5)</f>
        <v>-14.470567065613304</v>
      </c>
      <c r="D3" s="2">
        <f ca="1">('[1]Qc, Summer, S2'!D3*Main!$B$5)</f>
        <v>-16.79947498871665</v>
      </c>
      <c r="E3" s="2">
        <f ca="1">('[1]Qc, Summer, S2'!E3*Main!$B$5)</f>
        <v>-19.128382911819998</v>
      </c>
      <c r="F3" s="2">
        <f ca="1">('[1]Qc, Summer, S2'!F3*Main!$B$5)</f>
        <v>-19.128382911819998</v>
      </c>
      <c r="G3" s="2">
        <f ca="1">('[1]Qc, Summer, S2'!G3*Main!$B$5)</f>
        <v>-19.128382911819998</v>
      </c>
      <c r="H3" s="2">
        <f ca="1">('[1]Qc, Summer, S2'!H3*Main!$B$5)</f>
        <v>-7.6271659224315869</v>
      </c>
      <c r="I3" s="2">
        <f ca="1">('[1]Qc, Summer, S2'!I3*Main!$B$5)</f>
        <v>1.5809776409195535</v>
      </c>
      <c r="J3" s="2">
        <f ca="1">('[1]Qc, Summer, S2'!J3*Main!$B$5)</f>
        <v>5.020601230670354</v>
      </c>
      <c r="K3" s="2">
        <f ca="1">('[1]Qc, Summer, S2'!K3*Main!$B$5)</f>
        <v>5.020601230670354</v>
      </c>
      <c r="L3" s="2">
        <f ca="1">('[1]Qc, Summer, S2'!L3*Main!$B$5)</f>
        <v>4.5906410686570283</v>
      </c>
      <c r="M3" s="2">
        <f ca="1">('[1]Qc, Summer, S2'!M3*Main!$B$5)</f>
        <v>6.4537581555631371</v>
      </c>
      <c r="N3" s="2">
        <f ca="1">('[1]Qc, Summer, S2'!N3*Main!$B$5)</f>
        <v>8.7468354044825727</v>
      </c>
      <c r="O3" s="2">
        <f ca="1">('[1]Qc, Summer, S2'!O3*Main!$B$5)</f>
        <v>9.0155653398207871</v>
      </c>
      <c r="P3" s="2">
        <f ca="1">('[1]Qc, Summer, S2'!P3*Main!$B$5)</f>
        <v>5.0564280416250629</v>
      </c>
      <c r="Q3" s="2">
        <f ca="1">('[1]Qc, Summer, S2'!Q3*Main!$B$5)</f>
        <v>3.9457123548040887</v>
      </c>
      <c r="R3" s="2">
        <f ca="1">('[1]Qc, Summer, S2'!R3*Main!$B$5)</f>
        <v>-0.64044218338182446</v>
      </c>
      <c r="S3" s="2">
        <f ca="1">('[1]Qc, Summer, S2'!S3*Main!$B$5)</f>
        <v>-0.64044218338182446</v>
      </c>
      <c r="T3" s="2">
        <f ca="1">('[1]Qc, Summer, S2'!T3*Main!$B$5)</f>
        <v>-0.64044218338182446</v>
      </c>
      <c r="U3" s="2">
        <f ca="1">('[1]Qc, Summer, S2'!U3*Main!$B$5)</f>
        <v>-0.64044218338182446</v>
      </c>
      <c r="V3" s="2">
        <f ca="1">('[1]Qc, Summer, S2'!V3*Main!$B$5)</f>
        <v>-4.0800696161883092</v>
      </c>
      <c r="W3" s="2">
        <f ca="1">('[1]Qc, Summer, S2'!W3*Main!$B$5)</f>
        <v>-5.2266120937904699</v>
      </c>
      <c r="X3" s="2">
        <f ca="1">('[1]Qc, Summer, S2'!X3*Main!$B$5)</f>
        <v>-14.613874309432139</v>
      </c>
      <c r="Y3" s="2">
        <f ca="1">('[1]Qc, Summer, S2'!Y3*Main!$B$5)</f>
        <v>-14.613874309432139</v>
      </c>
    </row>
    <row r="4" spans="1:25" x14ac:dyDescent="0.3">
      <c r="A4">
        <v>3</v>
      </c>
      <c r="B4" s="2">
        <f ca="1">('[1]Qc, Summer, S2'!B4*Main!$B$5)</f>
        <v>11.681022534899865</v>
      </c>
      <c r="C4" s="2">
        <f ca="1">('[1]Qc, Summer, S2'!C4*Main!$B$5)</f>
        <v>8.9499267718804401</v>
      </c>
      <c r="D4" s="2">
        <f ca="1">('[1]Qc, Summer, S2'!D4*Main!$B$5)</f>
        <v>8.4813962100281017</v>
      </c>
      <c r="E4" s="2">
        <f ca="1">('[1]Qc, Summer, S2'!E4*Main!$B$5)</f>
        <v>7.4074302217533718</v>
      </c>
      <c r="F4" s="2">
        <f ca="1">('[1]Qc, Summer, S2'!F4*Main!$B$5)</f>
        <v>8.5274182309033346</v>
      </c>
      <c r="G4" s="2">
        <f ca="1">('[1]Qc, Summer, S2'!G4*Main!$B$5)</f>
        <v>3.9577069687313533</v>
      </c>
      <c r="H4" s="2">
        <f ca="1">('[1]Qc, Summer, S2'!H4*Main!$B$5)</f>
        <v>6.9052743621289512</v>
      </c>
      <c r="I4" s="2">
        <f ca="1">('[1]Qc, Summer, S2'!I4*Main!$B$5)</f>
        <v>13.269300561522293</v>
      </c>
      <c r="J4" s="2">
        <f ca="1">('[1]Qc, Summer, S2'!J4*Main!$B$5)</f>
        <v>19.302781640497784</v>
      </c>
      <c r="K4" s="2">
        <f ca="1">('[1]Qc, Summer, S2'!K4*Main!$B$5)</f>
        <v>22.937073375425193</v>
      </c>
      <c r="L4" s="2">
        <f ca="1">('[1]Qc, Summer, S2'!L4*Main!$B$5)</f>
        <v>25.040223837987732</v>
      </c>
      <c r="M4" s="2">
        <f ca="1">('[1]Qc, Summer, S2'!M4*Main!$B$5)</f>
        <v>25.954414831574564</v>
      </c>
      <c r="N4" s="2">
        <f ca="1">('[1]Qc, Summer, S2'!N4*Main!$B$5)</f>
        <v>27.121065149016893</v>
      </c>
      <c r="O4" s="2">
        <f ca="1">('[1]Qc, Summer, S2'!O4*Main!$B$5)</f>
        <v>27.326261302599999</v>
      </c>
      <c r="P4" s="2">
        <f ca="1">('[1]Qc, Summer, S2'!P4*Main!$B$5)</f>
        <v>27.132300052061154</v>
      </c>
      <c r="Q4" s="2">
        <f ca="1">('[1]Qc, Summer, S2'!Q4*Main!$B$5)</f>
        <v>26.229104613298819</v>
      </c>
      <c r="R4" s="2">
        <f ca="1">('[1]Qc, Summer, S2'!R4*Main!$B$5)</f>
        <v>24.96117736081484</v>
      </c>
      <c r="S4" s="2">
        <f ca="1">('[1]Qc, Summer, S2'!S4*Main!$B$5)</f>
        <v>22.150234349530269</v>
      </c>
      <c r="T4" s="2">
        <f ca="1">('[1]Qc, Summer, S2'!T4*Main!$B$5)</f>
        <v>22.047755717869375</v>
      </c>
      <c r="U4" s="2">
        <f ca="1">('[1]Qc, Summer, S2'!U4*Main!$B$5)</f>
        <v>20.974071045946154</v>
      </c>
      <c r="V4" s="2">
        <f ca="1">('[1]Qc, Summer, S2'!V4*Main!$B$5)</f>
        <v>18.905987541162759</v>
      </c>
      <c r="W4" s="2">
        <f ca="1">('[1]Qc, Summer, S2'!W4*Main!$B$5)</f>
        <v>22.664586900111981</v>
      </c>
      <c r="X4" s="2">
        <f ca="1">('[1]Qc, Summer, S2'!X4*Main!$B$5)</f>
        <v>20.308294830804257</v>
      </c>
      <c r="Y4" s="2">
        <f ca="1">('[1]Qc, Summer, S2'!Y4*Main!$B$5)</f>
        <v>16.343298059105528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166DC-49E9-4005-859A-30B80B18882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-11.433915343864477</v>
      </c>
      <c r="C2" s="2">
        <f ca="1">('[1]Qc, Summer, S2'!C2*Main!$B$5)</f>
        <v>-14.865493921706035</v>
      </c>
      <c r="D2" s="2">
        <f ca="1">('[1]Qc, Summer, S2'!D2*Main!$B$5)</f>
        <v>-16.384643123802526</v>
      </c>
      <c r="E2" s="2">
        <f ca="1">('[1]Qc, Summer, S2'!E2*Main!$B$5)</f>
        <v>-14.95184525316485</v>
      </c>
      <c r="F2" s="2">
        <f ca="1">('[1]Qc, Summer, S2'!F2*Main!$B$5)</f>
        <v>-16.026366480447567</v>
      </c>
      <c r="G2" s="2">
        <f ca="1">('[1]Qc, Summer, S2'!G2*Main!$B$5)</f>
        <v>-16.395756781559999</v>
      </c>
      <c r="H2" s="2">
        <f ca="1">('[1]Qc, Summer, S2'!H2*Main!$B$5)</f>
        <v>-14.210043120355465</v>
      </c>
      <c r="I2" s="2">
        <f ca="1">('[1]Qc, Summer, S2'!I2*Main!$B$5)</f>
        <v>-2.2107634559307514</v>
      </c>
      <c r="J2" s="2">
        <f ca="1">('[1]Qc, Summer, S2'!J2*Main!$B$5)</f>
        <v>7.096388017410165</v>
      </c>
      <c r="K2" s="2">
        <f ca="1">('[1]Qc, Summer, S2'!K2*Main!$B$5)</f>
        <v>10.330961577772964</v>
      </c>
      <c r="L2" s="2">
        <f ca="1">('[1]Qc, Summer, S2'!L2*Main!$B$5)</f>
        <v>8.1210594105092664</v>
      </c>
      <c r="M2" s="2">
        <f ca="1">('[1]Qc, Summer, S2'!M2*Main!$B$5)</f>
        <v>10.817474113441545</v>
      </c>
      <c r="N2" s="2">
        <f ca="1">('[1]Qc, Summer, S2'!N2*Main!$B$5)</f>
        <v>9.5996415249097584</v>
      </c>
      <c r="O2" s="2">
        <f ca="1">('[1]Qc, Summer, S2'!O2*Main!$B$5)</f>
        <v>9.8886750727201775</v>
      </c>
      <c r="P2" s="2">
        <f ca="1">('[1]Qc, Summer, S2'!P2*Main!$B$5)</f>
        <v>5.1021934342721211</v>
      </c>
      <c r="Q2" s="2">
        <f ca="1">('[1]Qc, Summer, S2'!Q2*Main!$B$5)</f>
        <v>1.28989626236204</v>
      </c>
      <c r="R2" s="2">
        <f ca="1">('[1]Qc, Summer, S2'!R2*Main!$B$5)</f>
        <v>2.8695052111268224</v>
      </c>
      <c r="S2" s="2">
        <f ca="1">('[1]Qc, Summer, S2'!S2*Main!$B$5)</f>
        <v>3.485456699134529</v>
      </c>
      <c r="T2" s="2">
        <f ca="1">('[1]Qc, Summer, S2'!T2*Main!$B$5)</f>
        <v>2.0998564010013201</v>
      </c>
      <c r="U2" s="2">
        <f ca="1">('[1]Qc, Summer, S2'!U2*Main!$B$5)</f>
        <v>-0.39172079359676087</v>
      </c>
      <c r="V2" s="2">
        <f ca="1">('[1]Qc, Summer, S2'!V2*Main!$B$5)</f>
        <v>-1.5292150546297105</v>
      </c>
      <c r="W2" s="2">
        <f ca="1">('[1]Qc, Summer, S2'!W2*Main!$B$5)</f>
        <v>-1.0639145331967548</v>
      </c>
      <c r="X2" s="2">
        <f ca="1">('[1]Qc, Summer, S2'!X2*Main!$B$5)</f>
        <v>-5.1022602866244098</v>
      </c>
      <c r="Y2" s="2">
        <f ca="1">('[1]Qc, Summer, S2'!Y2*Main!$B$5)</f>
        <v>-6.9063247283631224</v>
      </c>
    </row>
    <row r="3" spans="1:25" x14ac:dyDescent="0.3">
      <c r="A3">
        <v>2</v>
      </c>
      <c r="B3" s="2">
        <f ca="1">('[1]Qc, Summer, S2'!B3*Main!$B$5)</f>
        <v>-14.470567065613304</v>
      </c>
      <c r="C3" s="2">
        <f ca="1">('[1]Qc, Summer, S2'!C3*Main!$B$5)</f>
        <v>-14.470567065613304</v>
      </c>
      <c r="D3" s="2">
        <f ca="1">('[1]Qc, Summer, S2'!D3*Main!$B$5)</f>
        <v>-16.79947498871665</v>
      </c>
      <c r="E3" s="2">
        <f ca="1">('[1]Qc, Summer, S2'!E3*Main!$B$5)</f>
        <v>-19.128382911819998</v>
      </c>
      <c r="F3" s="2">
        <f ca="1">('[1]Qc, Summer, S2'!F3*Main!$B$5)</f>
        <v>-19.128382911819998</v>
      </c>
      <c r="G3" s="2">
        <f ca="1">('[1]Qc, Summer, S2'!G3*Main!$B$5)</f>
        <v>-19.128382911819998</v>
      </c>
      <c r="H3" s="2">
        <f ca="1">('[1]Qc, Summer, S2'!H3*Main!$B$5)</f>
        <v>-7.6271659224315869</v>
      </c>
      <c r="I3" s="2">
        <f ca="1">('[1]Qc, Summer, S2'!I3*Main!$B$5)</f>
        <v>1.5809776409195535</v>
      </c>
      <c r="J3" s="2">
        <f ca="1">('[1]Qc, Summer, S2'!J3*Main!$B$5)</f>
        <v>5.020601230670354</v>
      </c>
      <c r="K3" s="2">
        <f ca="1">('[1]Qc, Summer, S2'!K3*Main!$B$5)</f>
        <v>5.020601230670354</v>
      </c>
      <c r="L3" s="2">
        <f ca="1">('[1]Qc, Summer, S2'!L3*Main!$B$5)</f>
        <v>4.5906410686570283</v>
      </c>
      <c r="M3" s="2">
        <f ca="1">('[1]Qc, Summer, S2'!M3*Main!$B$5)</f>
        <v>6.4537581555631371</v>
      </c>
      <c r="N3" s="2">
        <f ca="1">('[1]Qc, Summer, S2'!N3*Main!$B$5)</f>
        <v>8.7468354044825727</v>
      </c>
      <c r="O3" s="2">
        <f ca="1">('[1]Qc, Summer, S2'!O3*Main!$B$5)</f>
        <v>9.0155653398207871</v>
      </c>
      <c r="P3" s="2">
        <f ca="1">('[1]Qc, Summer, S2'!P3*Main!$B$5)</f>
        <v>5.0564280416250629</v>
      </c>
      <c r="Q3" s="2">
        <f ca="1">('[1]Qc, Summer, S2'!Q3*Main!$B$5)</f>
        <v>3.9457123548040887</v>
      </c>
      <c r="R3" s="2">
        <f ca="1">('[1]Qc, Summer, S2'!R3*Main!$B$5)</f>
        <v>-0.64044218338182446</v>
      </c>
      <c r="S3" s="2">
        <f ca="1">('[1]Qc, Summer, S2'!S3*Main!$B$5)</f>
        <v>-0.64044218338182446</v>
      </c>
      <c r="T3" s="2">
        <f ca="1">('[1]Qc, Summer, S2'!T3*Main!$B$5)</f>
        <v>-0.64044218338182446</v>
      </c>
      <c r="U3" s="2">
        <f ca="1">('[1]Qc, Summer, S2'!U3*Main!$B$5)</f>
        <v>-0.64044218338182446</v>
      </c>
      <c r="V3" s="2">
        <f ca="1">('[1]Qc, Summer, S2'!V3*Main!$B$5)</f>
        <v>-4.0800696161883092</v>
      </c>
      <c r="W3" s="2">
        <f ca="1">('[1]Qc, Summer, S2'!W3*Main!$B$5)</f>
        <v>-5.2266120937904699</v>
      </c>
      <c r="X3" s="2">
        <f ca="1">('[1]Qc, Summer, S2'!X3*Main!$B$5)</f>
        <v>-14.613874309432139</v>
      </c>
      <c r="Y3" s="2">
        <f ca="1">('[1]Qc, Summer, S2'!Y3*Main!$B$5)</f>
        <v>-14.613874309432139</v>
      </c>
    </row>
    <row r="4" spans="1:25" x14ac:dyDescent="0.3">
      <c r="A4">
        <v>3</v>
      </c>
      <c r="B4" s="2">
        <f ca="1">('[1]Qc, Summer, S2'!B4*Main!$B$5)</f>
        <v>11.681022534899865</v>
      </c>
      <c r="C4" s="2">
        <f ca="1">('[1]Qc, Summer, S2'!C4*Main!$B$5)</f>
        <v>8.9499267718804401</v>
      </c>
      <c r="D4" s="2">
        <f ca="1">('[1]Qc, Summer, S2'!D4*Main!$B$5)</f>
        <v>8.4813962100281017</v>
      </c>
      <c r="E4" s="2">
        <f ca="1">('[1]Qc, Summer, S2'!E4*Main!$B$5)</f>
        <v>7.4074302217533718</v>
      </c>
      <c r="F4" s="2">
        <f ca="1">('[1]Qc, Summer, S2'!F4*Main!$B$5)</f>
        <v>8.5274182309033346</v>
      </c>
      <c r="G4" s="2">
        <f ca="1">('[1]Qc, Summer, S2'!G4*Main!$B$5)</f>
        <v>3.9577069687313533</v>
      </c>
      <c r="H4" s="2">
        <f ca="1">('[1]Qc, Summer, S2'!H4*Main!$B$5)</f>
        <v>6.9052743621289512</v>
      </c>
      <c r="I4" s="2">
        <f ca="1">('[1]Qc, Summer, S2'!I4*Main!$B$5)</f>
        <v>13.269300561522293</v>
      </c>
      <c r="J4" s="2">
        <f ca="1">('[1]Qc, Summer, S2'!J4*Main!$B$5)</f>
        <v>19.302781640497784</v>
      </c>
      <c r="K4" s="2">
        <f ca="1">('[1]Qc, Summer, S2'!K4*Main!$B$5)</f>
        <v>22.937073375425193</v>
      </c>
      <c r="L4" s="2">
        <f ca="1">('[1]Qc, Summer, S2'!L4*Main!$B$5)</f>
        <v>25.040223837987732</v>
      </c>
      <c r="M4" s="2">
        <f ca="1">('[1]Qc, Summer, S2'!M4*Main!$B$5)</f>
        <v>25.954414831574564</v>
      </c>
      <c r="N4" s="2">
        <f ca="1">('[1]Qc, Summer, S2'!N4*Main!$B$5)</f>
        <v>27.121065149016893</v>
      </c>
      <c r="O4" s="2">
        <f ca="1">('[1]Qc, Summer, S2'!O4*Main!$B$5)</f>
        <v>27.326261302599999</v>
      </c>
      <c r="P4" s="2">
        <f ca="1">('[1]Qc, Summer, S2'!P4*Main!$B$5)</f>
        <v>27.132300052061154</v>
      </c>
      <c r="Q4" s="2">
        <f ca="1">('[1]Qc, Summer, S2'!Q4*Main!$B$5)</f>
        <v>26.229104613298819</v>
      </c>
      <c r="R4" s="2">
        <f ca="1">('[1]Qc, Summer, S2'!R4*Main!$B$5)</f>
        <v>24.96117736081484</v>
      </c>
      <c r="S4" s="2">
        <f ca="1">('[1]Qc, Summer, S2'!S4*Main!$B$5)</f>
        <v>22.150234349530269</v>
      </c>
      <c r="T4" s="2">
        <f ca="1">('[1]Qc, Summer, S2'!T4*Main!$B$5)</f>
        <v>22.047755717869375</v>
      </c>
      <c r="U4" s="2">
        <f ca="1">('[1]Qc, Summer, S2'!U4*Main!$B$5)</f>
        <v>20.974071045946154</v>
      </c>
      <c r="V4" s="2">
        <f ca="1">('[1]Qc, Summer, S2'!V4*Main!$B$5)</f>
        <v>18.905987541162759</v>
      </c>
      <c r="W4" s="2">
        <f ca="1">('[1]Qc, Summer, S2'!W4*Main!$B$5)</f>
        <v>22.664586900111981</v>
      </c>
      <c r="X4" s="2">
        <f ca="1">('[1]Qc, Summer, S2'!X4*Main!$B$5)</f>
        <v>20.308294830804257</v>
      </c>
      <c r="Y4" s="2">
        <f ca="1">('[1]Qc, Summer, S2'!Y4*Main!$B$5)</f>
        <v>16.343298059105528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A79A-A7A5-4753-BFC0-753B09052AA3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S2'!B2*Main!$B$5)</f>
        <v>-11.433915343864477</v>
      </c>
      <c r="C2" s="2">
        <f ca="1">('[1]Qc, Summer, S2'!C2*Main!$B$5)</f>
        <v>-14.865493921706035</v>
      </c>
      <c r="D2" s="2">
        <f ca="1">('[1]Qc, Summer, S2'!D2*Main!$B$5)</f>
        <v>-16.384643123802526</v>
      </c>
      <c r="E2" s="2">
        <f ca="1">('[1]Qc, Summer, S2'!E2*Main!$B$5)</f>
        <v>-14.95184525316485</v>
      </c>
      <c r="F2" s="2">
        <f ca="1">('[1]Qc, Summer, S2'!F2*Main!$B$5)</f>
        <v>-16.026366480447567</v>
      </c>
      <c r="G2" s="2">
        <f ca="1">('[1]Qc, Summer, S2'!G2*Main!$B$5)</f>
        <v>-16.395756781559999</v>
      </c>
      <c r="H2" s="2">
        <f ca="1">('[1]Qc, Summer, S2'!H2*Main!$B$5)</f>
        <v>-14.210043120355465</v>
      </c>
      <c r="I2" s="2">
        <f ca="1">('[1]Qc, Summer, S2'!I2*Main!$B$5)</f>
        <v>-2.2107634559307514</v>
      </c>
      <c r="J2" s="2">
        <f ca="1">('[1]Qc, Summer, S2'!J2*Main!$B$5)</f>
        <v>7.096388017410165</v>
      </c>
      <c r="K2" s="2">
        <f ca="1">('[1]Qc, Summer, S2'!K2*Main!$B$5)</f>
        <v>10.330961577772964</v>
      </c>
      <c r="L2" s="2">
        <f ca="1">('[1]Qc, Summer, S2'!L2*Main!$B$5)</f>
        <v>8.1210594105092664</v>
      </c>
      <c r="M2" s="2">
        <f ca="1">('[1]Qc, Summer, S2'!M2*Main!$B$5)</f>
        <v>10.817474113441545</v>
      </c>
      <c r="N2" s="2">
        <f ca="1">('[1]Qc, Summer, S2'!N2*Main!$B$5)</f>
        <v>9.5996415249097584</v>
      </c>
      <c r="O2" s="2">
        <f ca="1">('[1]Qc, Summer, S2'!O2*Main!$B$5)</f>
        <v>9.8886750727201775</v>
      </c>
      <c r="P2" s="2">
        <f ca="1">('[1]Qc, Summer, S2'!P2*Main!$B$5)</f>
        <v>5.1021934342721211</v>
      </c>
      <c r="Q2" s="2">
        <f ca="1">('[1]Qc, Summer, S2'!Q2*Main!$B$5)</f>
        <v>1.28989626236204</v>
      </c>
      <c r="R2" s="2">
        <f ca="1">('[1]Qc, Summer, S2'!R2*Main!$B$5)</f>
        <v>2.8695052111268224</v>
      </c>
      <c r="S2" s="2">
        <f ca="1">('[1]Qc, Summer, S2'!S2*Main!$B$5)</f>
        <v>3.485456699134529</v>
      </c>
      <c r="T2" s="2">
        <f ca="1">('[1]Qc, Summer, S2'!T2*Main!$B$5)</f>
        <v>2.0998564010013201</v>
      </c>
      <c r="U2" s="2">
        <f ca="1">('[1]Qc, Summer, S2'!U2*Main!$B$5)</f>
        <v>-0.39172079359676087</v>
      </c>
      <c r="V2" s="2">
        <f ca="1">('[1]Qc, Summer, S2'!V2*Main!$B$5)</f>
        <v>-1.5292150546297105</v>
      </c>
      <c r="W2" s="2">
        <f ca="1">('[1]Qc, Summer, S2'!W2*Main!$B$5)</f>
        <v>-1.0639145331967548</v>
      </c>
      <c r="X2" s="2">
        <f ca="1">('[1]Qc, Summer, S2'!X2*Main!$B$5)</f>
        <v>-5.1022602866244098</v>
      </c>
      <c r="Y2" s="2">
        <f ca="1">('[1]Qc, Summer, S2'!Y2*Main!$B$5)</f>
        <v>-6.9063247283631224</v>
      </c>
    </row>
    <row r="3" spans="1:25" x14ac:dyDescent="0.3">
      <c r="A3">
        <v>2</v>
      </c>
      <c r="B3" s="2">
        <f ca="1">('[1]Qc, Summer, S2'!B3*Main!$B$5)</f>
        <v>-14.470567065613304</v>
      </c>
      <c r="C3" s="2">
        <f ca="1">('[1]Qc, Summer, S2'!C3*Main!$B$5)</f>
        <v>-14.470567065613304</v>
      </c>
      <c r="D3" s="2">
        <f ca="1">('[1]Qc, Summer, S2'!D3*Main!$B$5)</f>
        <v>-16.79947498871665</v>
      </c>
      <c r="E3" s="2">
        <f ca="1">('[1]Qc, Summer, S2'!E3*Main!$B$5)</f>
        <v>-19.128382911819998</v>
      </c>
      <c r="F3" s="2">
        <f ca="1">('[1]Qc, Summer, S2'!F3*Main!$B$5)</f>
        <v>-19.128382911819998</v>
      </c>
      <c r="G3" s="2">
        <f ca="1">('[1]Qc, Summer, S2'!G3*Main!$B$5)</f>
        <v>-19.128382911819998</v>
      </c>
      <c r="H3" s="2">
        <f ca="1">('[1]Qc, Summer, S2'!H3*Main!$B$5)</f>
        <v>-7.6271659224315869</v>
      </c>
      <c r="I3" s="2">
        <f ca="1">('[1]Qc, Summer, S2'!I3*Main!$B$5)</f>
        <v>1.5809776409195535</v>
      </c>
      <c r="J3" s="2">
        <f ca="1">('[1]Qc, Summer, S2'!J3*Main!$B$5)</f>
        <v>5.020601230670354</v>
      </c>
      <c r="K3" s="2">
        <f ca="1">('[1]Qc, Summer, S2'!K3*Main!$B$5)</f>
        <v>5.020601230670354</v>
      </c>
      <c r="L3" s="2">
        <f ca="1">('[1]Qc, Summer, S2'!L3*Main!$B$5)</f>
        <v>4.5906410686570283</v>
      </c>
      <c r="M3" s="2">
        <f ca="1">('[1]Qc, Summer, S2'!M3*Main!$B$5)</f>
        <v>6.4537581555631371</v>
      </c>
      <c r="N3" s="2">
        <f ca="1">('[1]Qc, Summer, S2'!N3*Main!$B$5)</f>
        <v>8.7468354044825727</v>
      </c>
      <c r="O3" s="2">
        <f ca="1">('[1]Qc, Summer, S2'!O3*Main!$B$5)</f>
        <v>9.0155653398207871</v>
      </c>
      <c r="P3" s="2">
        <f ca="1">('[1]Qc, Summer, S2'!P3*Main!$B$5)</f>
        <v>5.0564280416250629</v>
      </c>
      <c r="Q3" s="2">
        <f ca="1">('[1]Qc, Summer, S2'!Q3*Main!$B$5)</f>
        <v>3.9457123548040887</v>
      </c>
      <c r="R3" s="2">
        <f ca="1">('[1]Qc, Summer, S2'!R3*Main!$B$5)</f>
        <v>-0.64044218338182446</v>
      </c>
      <c r="S3" s="2">
        <f ca="1">('[1]Qc, Summer, S2'!S3*Main!$B$5)</f>
        <v>-0.64044218338182446</v>
      </c>
      <c r="T3" s="2">
        <f ca="1">('[1]Qc, Summer, S2'!T3*Main!$B$5)</f>
        <v>-0.64044218338182446</v>
      </c>
      <c r="U3" s="2">
        <f ca="1">('[1]Qc, Summer, S2'!U3*Main!$B$5)</f>
        <v>-0.64044218338182446</v>
      </c>
      <c r="V3" s="2">
        <f ca="1">('[1]Qc, Summer, S2'!V3*Main!$B$5)</f>
        <v>-4.0800696161883092</v>
      </c>
      <c r="W3" s="2">
        <f ca="1">('[1]Qc, Summer, S2'!W3*Main!$B$5)</f>
        <v>-5.2266120937904699</v>
      </c>
      <c r="X3" s="2">
        <f ca="1">('[1]Qc, Summer, S2'!X3*Main!$B$5)</f>
        <v>-14.613874309432139</v>
      </c>
      <c r="Y3" s="2">
        <f ca="1">('[1]Qc, Summer, S2'!Y3*Main!$B$5)</f>
        <v>-14.613874309432139</v>
      </c>
    </row>
    <row r="4" spans="1:25" x14ac:dyDescent="0.3">
      <c r="A4">
        <v>3</v>
      </c>
      <c r="B4" s="2">
        <f ca="1">('[1]Qc, Summer, S2'!B4*Main!$B$5)</f>
        <v>11.681022534899865</v>
      </c>
      <c r="C4" s="2">
        <f ca="1">('[1]Qc, Summer, S2'!C4*Main!$B$5)</f>
        <v>8.9499267718804401</v>
      </c>
      <c r="D4" s="2">
        <f ca="1">('[1]Qc, Summer, S2'!D4*Main!$B$5)</f>
        <v>8.4813962100281017</v>
      </c>
      <c r="E4" s="2">
        <f ca="1">('[1]Qc, Summer, S2'!E4*Main!$B$5)</f>
        <v>7.4074302217533718</v>
      </c>
      <c r="F4" s="2">
        <f ca="1">('[1]Qc, Summer, S2'!F4*Main!$B$5)</f>
        <v>8.5274182309033346</v>
      </c>
      <c r="G4" s="2">
        <f ca="1">('[1]Qc, Summer, S2'!G4*Main!$B$5)</f>
        <v>3.9577069687313533</v>
      </c>
      <c r="H4" s="2">
        <f ca="1">('[1]Qc, Summer, S2'!H4*Main!$B$5)</f>
        <v>6.9052743621289512</v>
      </c>
      <c r="I4" s="2">
        <f ca="1">('[1]Qc, Summer, S2'!I4*Main!$B$5)</f>
        <v>13.269300561522293</v>
      </c>
      <c r="J4" s="2">
        <f ca="1">('[1]Qc, Summer, S2'!J4*Main!$B$5)</f>
        <v>19.302781640497784</v>
      </c>
      <c r="K4" s="2">
        <f ca="1">('[1]Qc, Summer, S2'!K4*Main!$B$5)</f>
        <v>22.937073375425193</v>
      </c>
      <c r="L4" s="2">
        <f ca="1">('[1]Qc, Summer, S2'!L4*Main!$B$5)</f>
        <v>25.040223837987732</v>
      </c>
      <c r="M4" s="2">
        <f ca="1">('[1]Qc, Summer, S2'!M4*Main!$B$5)</f>
        <v>25.954414831574564</v>
      </c>
      <c r="N4" s="2">
        <f ca="1">('[1]Qc, Summer, S2'!N4*Main!$B$5)</f>
        <v>27.121065149016893</v>
      </c>
      <c r="O4" s="2">
        <f ca="1">('[1]Qc, Summer, S2'!O4*Main!$B$5)</f>
        <v>27.326261302599999</v>
      </c>
      <c r="P4" s="2">
        <f ca="1">('[1]Qc, Summer, S2'!P4*Main!$B$5)</f>
        <v>27.132300052061154</v>
      </c>
      <c r="Q4" s="2">
        <f ca="1">('[1]Qc, Summer, S2'!Q4*Main!$B$5)</f>
        <v>26.229104613298819</v>
      </c>
      <c r="R4" s="2">
        <f ca="1">('[1]Qc, Summer, S2'!R4*Main!$B$5)</f>
        <v>24.96117736081484</v>
      </c>
      <c r="S4" s="2">
        <f ca="1">('[1]Qc, Summer, S2'!S4*Main!$B$5)</f>
        <v>22.150234349530269</v>
      </c>
      <c r="T4" s="2">
        <f ca="1">('[1]Qc, Summer, S2'!T4*Main!$B$5)</f>
        <v>22.047755717869375</v>
      </c>
      <c r="U4" s="2">
        <f ca="1">('[1]Qc, Summer, S2'!U4*Main!$B$5)</f>
        <v>20.974071045946154</v>
      </c>
      <c r="V4" s="2">
        <f ca="1">('[1]Qc, Summer, S2'!V4*Main!$B$5)</f>
        <v>18.905987541162759</v>
      </c>
      <c r="W4" s="2">
        <f ca="1">('[1]Qc, Summer, S2'!W4*Main!$B$5)</f>
        <v>22.664586900111981</v>
      </c>
      <c r="X4" s="2">
        <f ca="1">('[1]Qc, Summer, S2'!X4*Main!$B$5)</f>
        <v>20.308294830804257</v>
      </c>
      <c r="Y4" s="2">
        <f ca="1">('[1]Qc, Summer, S2'!Y4*Main!$B$5)</f>
        <v>16.343298059105528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B74-1EDC-42F0-8237-BA1DB1708AAE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-10.444441900645435</v>
      </c>
      <c r="C2" s="2">
        <f ca="1">('[1]Qc, Summer, S3'!C2*Main!$B$5)</f>
        <v>-13.579056947712244</v>
      </c>
      <c r="D2" s="2">
        <f ca="1">('[1]Qc, Summer, S3'!D2*Main!$B$5)</f>
        <v>-14.966741315011921</v>
      </c>
      <c r="E2" s="2">
        <f ca="1">('[1]Qc, Summer, S3'!E2*Main!$B$5)</f>
        <v>-13.657935567794814</v>
      </c>
      <c r="F2" s="2">
        <f ca="1">('[1]Qc, Summer, S3'!F2*Main!$B$5)</f>
        <v>-14.639469381178065</v>
      </c>
      <c r="G2" s="2">
        <f ca="1">('[1]Qc, Summer, S3'!G2*Main!$B$5)</f>
        <v>-14.976893213924999</v>
      </c>
      <c r="H2" s="2">
        <f ca="1">('[1]Qc, Summer, S3'!H2*Main!$B$5)</f>
        <v>-12.980327850324702</v>
      </c>
      <c r="I2" s="2">
        <f ca="1">('[1]Qc, Summer, S3'!I2*Main!$B$5)</f>
        <v>-2.019447387629052</v>
      </c>
      <c r="J2" s="2">
        <f ca="1">('[1]Qc, Summer, S3'!J2*Main!$B$5)</f>
        <v>6.4822775159035162</v>
      </c>
      <c r="K2" s="2">
        <f ca="1">('[1]Qc, Summer, S3'!K2*Main!$B$5)</f>
        <v>9.4369360566195333</v>
      </c>
      <c r="L2" s="2">
        <f ca="1">('[1]Qc, Summer, S3'!L2*Main!$B$5)</f>
        <v>7.4182754230613481</v>
      </c>
      <c r="M2" s="2">
        <f ca="1">('[1]Qc, Summer, S3'!M2*Main!$B$5)</f>
        <v>9.8813465459321819</v>
      </c>
      <c r="N2" s="2">
        <f ca="1">('[1]Qc, Summer, S3'!N2*Main!$B$5)</f>
        <v>8.7689033160233354</v>
      </c>
      <c r="O2" s="2">
        <f ca="1">('[1]Qc, Summer, S3'!O2*Main!$B$5)</f>
        <v>9.0329243452732371</v>
      </c>
      <c r="P2" s="2">
        <f ca="1">('[1]Qc, Summer, S3'!P2*Main!$B$5)</f>
        <v>4.6606574639985725</v>
      </c>
      <c r="Q2" s="2">
        <f ca="1">('[1]Qc, Summer, S3'!Q2*Main!$B$5)</f>
        <v>1.1782706242730172</v>
      </c>
      <c r="R2" s="2">
        <f ca="1">('[1]Qc, Summer, S3'!R2*Main!$B$5)</f>
        <v>2.6211826447793083</v>
      </c>
      <c r="S2" s="2">
        <f ca="1">('[1]Qc, Summer, S3'!S2*Main!$B$5)</f>
        <v>3.1838306386325024</v>
      </c>
      <c r="T2" s="2">
        <f ca="1">('[1]Qc, Summer, S3'!T2*Main!$B$5)</f>
        <v>1.9181380586069749</v>
      </c>
      <c r="U2" s="2">
        <f ca="1">('[1]Qc, Summer, S3'!U2*Main!$B$5)</f>
        <v>-0.35782187876627192</v>
      </c>
      <c r="V2" s="2">
        <f ca="1">('[1]Qc, Summer, S3'!V2*Main!$B$5)</f>
        <v>-1.3968791364406008</v>
      </c>
      <c r="W2" s="2">
        <f ca="1">('[1]Qc, Summer, S3'!W2*Main!$B$5)</f>
        <v>-0.97184500628549719</v>
      </c>
      <c r="X2" s="2">
        <f ca="1">('[1]Qc, Summer, S3'!X2*Main!$B$5)</f>
        <v>-4.6607185310511428</v>
      </c>
      <c r="Y2" s="2">
        <f ca="1">('[1]Qc, Summer, S3'!Y2*Main!$B$5)</f>
        <v>-6.3086620114855441</v>
      </c>
    </row>
    <row r="3" spans="1:25" x14ac:dyDescent="0.3">
      <c r="A3">
        <v>2</v>
      </c>
      <c r="B3" s="2">
        <f ca="1">('[1]Qc, Summer, S3'!B3*Main!$B$5)</f>
        <v>-13.218306454165999</v>
      </c>
      <c r="C3" s="2">
        <f ca="1">('[1]Qc, Summer, S3'!C3*Main!$B$5)</f>
        <v>-13.218306454165999</v>
      </c>
      <c r="D3" s="2">
        <f ca="1">('[1]Qc, Summer, S3'!D3*Main!$B$5)</f>
        <v>-15.345674268539247</v>
      </c>
      <c r="E3" s="2">
        <f ca="1">('[1]Qc, Summer, S3'!E3*Main!$B$5)</f>
        <v>-17.473042082912499</v>
      </c>
      <c r="F3" s="2">
        <f ca="1">('[1]Qc, Summer, S3'!F3*Main!$B$5)</f>
        <v>-17.473042082912499</v>
      </c>
      <c r="G3" s="2">
        <f ca="1">('[1]Qc, Summer, S3'!G3*Main!$B$5)</f>
        <v>-17.473042082912499</v>
      </c>
      <c r="H3" s="2">
        <f ca="1">('[1]Qc, Summer, S3'!H3*Main!$B$5)</f>
        <v>-6.9671227176057764</v>
      </c>
      <c r="I3" s="2">
        <f ca="1">('[1]Qc, Summer, S3'!I3*Main!$B$5)</f>
        <v>1.4441622681476691</v>
      </c>
      <c r="J3" s="2">
        <f ca="1">('[1]Qc, Summer, S3'!J3*Main!$B$5)</f>
        <v>4.5861261241700353</v>
      </c>
      <c r="K3" s="2">
        <f ca="1">('[1]Qc, Summer, S3'!K3*Main!$B$5)</f>
        <v>4.5861261241700353</v>
      </c>
      <c r="L3" s="2">
        <f ca="1">('[1]Qc, Summer, S3'!L3*Main!$B$5)</f>
        <v>4.1933740531001691</v>
      </c>
      <c r="M3" s="2">
        <f ca="1">('[1]Qc, Summer, S3'!M3*Main!$B$5)</f>
        <v>5.8952598536394039</v>
      </c>
      <c r="N3" s="2">
        <f ca="1">('[1]Qc, Summer, S3'!N3*Main!$B$5)</f>
        <v>7.9898977252485048</v>
      </c>
      <c r="O3" s="2">
        <f ca="1">('[1]Qc, Summer, S3'!O3*Main!$B$5)</f>
        <v>8.2353721854132189</v>
      </c>
      <c r="P3" s="2">
        <f ca="1">('[1]Qc, Summer, S3'!P3*Main!$B$5)</f>
        <v>4.6188525380228942</v>
      </c>
      <c r="Q3" s="2">
        <f ca="1">('[1]Qc, Summer, S3'!Q3*Main!$B$5)</f>
        <v>3.6042564779460418</v>
      </c>
      <c r="R3" s="2">
        <f ca="1">('[1]Qc, Summer, S3'!R3*Main!$B$5)</f>
        <v>-0.58501930212762809</v>
      </c>
      <c r="S3" s="2">
        <f ca="1">('[1]Qc, Summer, S3'!S3*Main!$B$5)</f>
        <v>-0.58501930212762809</v>
      </c>
      <c r="T3" s="2">
        <f ca="1">('[1]Qc, Summer, S3'!T3*Main!$B$5)</f>
        <v>-0.58501930212762809</v>
      </c>
      <c r="U3" s="2">
        <f ca="1">('[1]Qc, Summer, S3'!U3*Main!$B$5)</f>
        <v>-0.58501930212762809</v>
      </c>
      <c r="V3" s="2">
        <f ca="1">('[1]Qc, Summer, S3'!V3*Main!$B$5)</f>
        <v>-3.7269866686335513</v>
      </c>
      <c r="W3" s="2">
        <f ca="1">('[1]Qc, Summer, S3'!W3*Main!$B$5)</f>
        <v>-4.7743091241355247</v>
      </c>
      <c r="X3" s="2">
        <f ca="1">('[1]Qc, Summer, S3'!X3*Main!$B$5)</f>
        <v>-13.349212109577433</v>
      </c>
      <c r="Y3" s="2">
        <f ca="1">('[1]Qc, Summer, S3'!Y3*Main!$B$5)</f>
        <v>-13.349212109577433</v>
      </c>
    </row>
    <row r="4" spans="1:25" x14ac:dyDescent="0.3">
      <c r="A4">
        <v>3</v>
      </c>
      <c r="B4" s="2">
        <f ca="1">('[1]Qc, Summer, S3'!B4*Main!$B$5)</f>
        <v>10.670164815533528</v>
      </c>
      <c r="C4" s="2">
        <f ca="1">('[1]Qc, Summer, S3'!C4*Main!$B$5)</f>
        <v>8.1754138781600183</v>
      </c>
      <c r="D4" s="2">
        <f ca="1">('[1]Qc, Summer, S3'!D4*Main!$B$5)</f>
        <v>7.7474292303141308</v>
      </c>
      <c r="E4" s="2">
        <f ca="1">('[1]Qc, Summer, S3'!E4*Main!$B$5)</f>
        <v>6.7664026064093292</v>
      </c>
      <c r="F4" s="2">
        <f ca="1">('[1]Qc, Summer, S3'!F4*Main!$B$5)</f>
        <v>7.7894685763059277</v>
      </c>
      <c r="G4" s="2">
        <f ca="1">('[1]Qc, Summer, S3'!G4*Main!$B$5)</f>
        <v>3.6152130964372935</v>
      </c>
      <c r="H4" s="2">
        <f ca="1">('[1]Qc, Summer, S3'!H4*Main!$B$5)</f>
        <v>6.3077025423293298</v>
      </c>
      <c r="I4" s="2">
        <f ca="1">('[1]Qc, Summer, S3'!I4*Main!$B$5)</f>
        <v>12.120995705236711</v>
      </c>
      <c r="J4" s="2">
        <f ca="1">('[1]Qc, Summer, S3'!J4*Main!$B$5)</f>
        <v>17.632348613916246</v>
      </c>
      <c r="K4" s="2">
        <f ca="1">('[1]Qc, Summer, S3'!K4*Main!$B$5)</f>
        <v>20.952134333321087</v>
      </c>
      <c r="L4" s="2">
        <f ca="1">('[1]Qc, Summer, S3'!L4*Main!$B$5)</f>
        <v>22.873281390469561</v>
      </c>
      <c r="M4" s="2">
        <f ca="1">('[1]Qc, Summer, S3'!M4*Main!$B$5)</f>
        <v>23.708359701919072</v>
      </c>
      <c r="N4" s="2">
        <f ca="1">('[1]Qc, Summer, S3'!N4*Main!$B$5)</f>
        <v>24.774049895736582</v>
      </c>
      <c r="O4" s="2">
        <f ca="1">('[1]Qc, Summer, S3'!O4*Main!$B$5)</f>
        <v>24.961488689874997</v>
      </c>
      <c r="P4" s="2">
        <f ca="1">('[1]Qc, Summer, S3'!P4*Main!$B$5)</f>
        <v>24.78431254755586</v>
      </c>
      <c r="Q4" s="2">
        <f ca="1">('[1]Qc, Summer, S3'!Q4*Main!$B$5)</f>
        <v>23.959278252532574</v>
      </c>
      <c r="R4" s="2">
        <f ca="1">('[1]Qc, Summer, S3'!R4*Main!$B$5)</f>
        <v>22.801075473821246</v>
      </c>
      <c r="S4" s="2">
        <f ca="1">('[1]Qc, Summer, S3'!S4*Main!$B$5)</f>
        <v>20.23338714620553</v>
      </c>
      <c r="T4" s="2">
        <f ca="1">('[1]Qc, Summer, S3'!T4*Main!$B$5)</f>
        <v>20.139776857669137</v>
      </c>
      <c r="U4" s="2">
        <f ca="1">('[1]Qc, Summer, S3'!U4*Main!$B$5)</f>
        <v>19.159007205431582</v>
      </c>
      <c r="V4" s="2">
        <f ca="1">('[1]Qc, Summer, S3'!V4*Main!$B$5)</f>
        <v>17.26989246548521</v>
      </c>
      <c r="W4" s="2">
        <f ca="1">('[1]Qc, Summer, S3'!W4*Main!$B$5)</f>
        <v>20.703228418371516</v>
      </c>
      <c r="X4" s="2">
        <f ca="1">('[1]Qc, Summer, S3'!X4*Main!$B$5)</f>
        <v>18.550846239676964</v>
      </c>
      <c r="Y4" s="2">
        <f ca="1">('[1]Qc, Summer, S3'!Y4*Main!$B$5)</f>
        <v>14.928974188606007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2D06-6809-4291-8C45-542A8D818016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-10.444441900645435</v>
      </c>
      <c r="C2" s="2">
        <f ca="1">('[1]Qc, Summer, S3'!C2*Main!$B$5)</f>
        <v>-13.579056947712244</v>
      </c>
      <c r="D2" s="2">
        <f ca="1">('[1]Qc, Summer, S3'!D2*Main!$B$5)</f>
        <v>-14.966741315011921</v>
      </c>
      <c r="E2" s="2">
        <f ca="1">('[1]Qc, Summer, S3'!E2*Main!$B$5)</f>
        <v>-13.657935567794814</v>
      </c>
      <c r="F2" s="2">
        <f ca="1">('[1]Qc, Summer, S3'!F2*Main!$B$5)</f>
        <v>-14.639469381178065</v>
      </c>
      <c r="G2" s="2">
        <f ca="1">('[1]Qc, Summer, S3'!G2*Main!$B$5)</f>
        <v>-14.976893213924999</v>
      </c>
      <c r="H2" s="2">
        <f ca="1">('[1]Qc, Summer, S3'!H2*Main!$B$5)</f>
        <v>-12.980327850324702</v>
      </c>
      <c r="I2" s="2">
        <f ca="1">('[1]Qc, Summer, S3'!I2*Main!$B$5)</f>
        <v>-2.019447387629052</v>
      </c>
      <c r="J2" s="2">
        <f ca="1">('[1]Qc, Summer, S3'!J2*Main!$B$5)</f>
        <v>6.4822775159035162</v>
      </c>
      <c r="K2" s="2">
        <f ca="1">('[1]Qc, Summer, S3'!K2*Main!$B$5)</f>
        <v>9.4369360566195333</v>
      </c>
      <c r="L2" s="2">
        <f ca="1">('[1]Qc, Summer, S3'!L2*Main!$B$5)</f>
        <v>7.4182754230613481</v>
      </c>
      <c r="M2" s="2">
        <f ca="1">('[1]Qc, Summer, S3'!M2*Main!$B$5)</f>
        <v>9.8813465459321819</v>
      </c>
      <c r="N2" s="2">
        <f ca="1">('[1]Qc, Summer, S3'!N2*Main!$B$5)</f>
        <v>8.7689033160233354</v>
      </c>
      <c r="O2" s="2">
        <f ca="1">('[1]Qc, Summer, S3'!O2*Main!$B$5)</f>
        <v>9.0329243452732371</v>
      </c>
      <c r="P2" s="2">
        <f ca="1">('[1]Qc, Summer, S3'!P2*Main!$B$5)</f>
        <v>4.6606574639985725</v>
      </c>
      <c r="Q2" s="2">
        <f ca="1">('[1]Qc, Summer, S3'!Q2*Main!$B$5)</f>
        <v>1.1782706242730172</v>
      </c>
      <c r="R2" s="2">
        <f ca="1">('[1]Qc, Summer, S3'!R2*Main!$B$5)</f>
        <v>2.6211826447793083</v>
      </c>
      <c r="S2" s="2">
        <f ca="1">('[1]Qc, Summer, S3'!S2*Main!$B$5)</f>
        <v>3.1838306386325024</v>
      </c>
      <c r="T2" s="2">
        <f ca="1">('[1]Qc, Summer, S3'!T2*Main!$B$5)</f>
        <v>1.9181380586069749</v>
      </c>
      <c r="U2" s="2">
        <f ca="1">('[1]Qc, Summer, S3'!U2*Main!$B$5)</f>
        <v>-0.35782187876627192</v>
      </c>
      <c r="V2" s="2">
        <f ca="1">('[1]Qc, Summer, S3'!V2*Main!$B$5)</f>
        <v>-1.3968791364406008</v>
      </c>
      <c r="W2" s="2">
        <f ca="1">('[1]Qc, Summer, S3'!W2*Main!$B$5)</f>
        <v>-0.97184500628549719</v>
      </c>
      <c r="X2" s="2">
        <f ca="1">('[1]Qc, Summer, S3'!X2*Main!$B$5)</f>
        <v>-4.6607185310511428</v>
      </c>
      <c r="Y2" s="2">
        <f ca="1">('[1]Qc, Summer, S3'!Y2*Main!$B$5)</f>
        <v>-6.3086620114855441</v>
      </c>
    </row>
    <row r="3" spans="1:25" x14ac:dyDescent="0.3">
      <c r="A3">
        <v>2</v>
      </c>
      <c r="B3" s="2">
        <f ca="1">('[1]Qc, Summer, S3'!B3*Main!$B$5)</f>
        <v>-13.218306454165999</v>
      </c>
      <c r="C3" s="2">
        <f ca="1">('[1]Qc, Summer, S3'!C3*Main!$B$5)</f>
        <v>-13.218306454165999</v>
      </c>
      <c r="D3" s="2">
        <f ca="1">('[1]Qc, Summer, S3'!D3*Main!$B$5)</f>
        <v>-15.345674268539247</v>
      </c>
      <c r="E3" s="2">
        <f ca="1">('[1]Qc, Summer, S3'!E3*Main!$B$5)</f>
        <v>-17.473042082912499</v>
      </c>
      <c r="F3" s="2">
        <f ca="1">('[1]Qc, Summer, S3'!F3*Main!$B$5)</f>
        <v>-17.473042082912499</v>
      </c>
      <c r="G3" s="2">
        <f ca="1">('[1]Qc, Summer, S3'!G3*Main!$B$5)</f>
        <v>-17.473042082912499</v>
      </c>
      <c r="H3" s="2">
        <f ca="1">('[1]Qc, Summer, S3'!H3*Main!$B$5)</f>
        <v>-6.9671227176057764</v>
      </c>
      <c r="I3" s="2">
        <f ca="1">('[1]Qc, Summer, S3'!I3*Main!$B$5)</f>
        <v>1.4441622681476691</v>
      </c>
      <c r="J3" s="2">
        <f ca="1">('[1]Qc, Summer, S3'!J3*Main!$B$5)</f>
        <v>4.5861261241700353</v>
      </c>
      <c r="K3" s="2">
        <f ca="1">('[1]Qc, Summer, S3'!K3*Main!$B$5)</f>
        <v>4.5861261241700353</v>
      </c>
      <c r="L3" s="2">
        <f ca="1">('[1]Qc, Summer, S3'!L3*Main!$B$5)</f>
        <v>4.1933740531001691</v>
      </c>
      <c r="M3" s="2">
        <f ca="1">('[1]Qc, Summer, S3'!M3*Main!$B$5)</f>
        <v>5.8952598536394039</v>
      </c>
      <c r="N3" s="2">
        <f ca="1">('[1]Qc, Summer, S3'!N3*Main!$B$5)</f>
        <v>7.9898977252485048</v>
      </c>
      <c r="O3" s="2">
        <f ca="1">('[1]Qc, Summer, S3'!O3*Main!$B$5)</f>
        <v>8.2353721854132189</v>
      </c>
      <c r="P3" s="2">
        <f ca="1">('[1]Qc, Summer, S3'!P3*Main!$B$5)</f>
        <v>4.6188525380228942</v>
      </c>
      <c r="Q3" s="2">
        <f ca="1">('[1]Qc, Summer, S3'!Q3*Main!$B$5)</f>
        <v>3.6042564779460418</v>
      </c>
      <c r="R3" s="2">
        <f ca="1">('[1]Qc, Summer, S3'!R3*Main!$B$5)</f>
        <v>-0.58501930212762809</v>
      </c>
      <c r="S3" s="2">
        <f ca="1">('[1]Qc, Summer, S3'!S3*Main!$B$5)</f>
        <v>-0.58501930212762809</v>
      </c>
      <c r="T3" s="2">
        <f ca="1">('[1]Qc, Summer, S3'!T3*Main!$B$5)</f>
        <v>-0.58501930212762809</v>
      </c>
      <c r="U3" s="2">
        <f ca="1">('[1]Qc, Summer, S3'!U3*Main!$B$5)</f>
        <v>-0.58501930212762809</v>
      </c>
      <c r="V3" s="2">
        <f ca="1">('[1]Qc, Summer, S3'!V3*Main!$B$5)</f>
        <v>-3.7269866686335513</v>
      </c>
      <c r="W3" s="2">
        <f ca="1">('[1]Qc, Summer, S3'!W3*Main!$B$5)</f>
        <v>-4.7743091241355247</v>
      </c>
      <c r="X3" s="2">
        <f ca="1">('[1]Qc, Summer, S3'!X3*Main!$B$5)</f>
        <v>-13.349212109577433</v>
      </c>
      <c r="Y3" s="2">
        <f ca="1">('[1]Qc, Summer, S3'!Y3*Main!$B$5)</f>
        <v>-13.349212109577433</v>
      </c>
    </row>
    <row r="4" spans="1:25" x14ac:dyDescent="0.3">
      <c r="A4">
        <v>3</v>
      </c>
      <c r="B4" s="2">
        <f ca="1">('[1]Qc, Summer, S3'!B4*Main!$B$5)</f>
        <v>10.670164815533528</v>
      </c>
      <c r="C4" s="2">
        <f ca="1">('[1]Qc, Summer, S3'!C4*Main!$B$5)</f>
        <v>8.1754138781600183</v>
      </c>
      <c r="D4" s="2">
        <f ca="1">('[1]Qc, Summer, S3'!D4*Main!$B$5)</f>
        <v>7.7474292303141308</v>
      </c>
      <c r="E4" s="2">
        <f ca="1">('[1]Qc, Summer, S3'!E4*Main!$B$5)</f>
        <v>6.7664026064093292</v>
      </c>
      <c r="F4" s="2">
        <f ca="1">('[1]Qc, Summer, S3'!F4*Main!$B$5)</f>
        <v>7.7894685763059277</v>
      </c>
      <c r="G4" s="2">
        <f ca="1">('[1]Qc, Summer, S3'!G4*Main!$B$5)</f>
        <v>3.6152130964372935</v>
      </c>
      <c r="H4" s="2">
        <f ca="1">('[1]Qc, Summer, S3'!H4*Main!$B$5)</f>
        <v>6.3077025423293298</v>
      </c>
      <c r="I4" s="2">
        <f ca="1">('[1]Qc, Summer, S3'!I4*Main!$B$5)</f>
        <v>12.120995705236711</v>
      </c>
      <c r="J4" s="2">
        <f ca="1">('[1]Qc, Summer, S3'!J4*Main!$B$5)</f>
        <v>17.632348613916246</v>
      </c>
      <c r="K4" s="2">
        <f ca="1">('[1]Qc, Summer, S3'!K4*Main!$B$5)</f>
        <v>20.952134333321087</v>
      </c>
      <c r="L4" s="2">
        <f ca="1">('[1]Qc, Summer, S3'!L4*Main!$B$5)</f>
        <v>22.873281390469561</v>
      </c>
      <c r="M4" s="2">
        <f ca="1">('[1]Qc, Summer, S3'!M4*Main!$B$5)</f>
        <v>23.708359701919072</v>
      </c>
      <c r="N4" s="2">
        <f ca="1">('[1]Qc, Summer, S3'!N4*Main!$B$5)</f>
        <v>24.774049895736582</v>
      </c>
      <c r="O4" s="2">
        <f ca="1">('[1]Qc, Summer, S3'!O4*Main!$B$5)</f>
        <v>24.961488689874997</v>
      </c>
      <c r="P4" s="2">
        <f ca="1">('[1]Qc, Summer, S3'!P4*Main!$B$5)</f>
        <v>24.78431254755586</v>
      </c>
      <c r="Q4" s="2">
        <f ca="1">('[1]Qc, Summer, S3'!Q4*Main!$B$5)</f>
        <v>23.959278252532574</v>
      </c>
      <c r="R4" s="2">
        <f ca="1">('[1]Qc, Summer, S3'!R4*Main!$B$5)</f>
        <v>22.801075473821246</v>
      </c>
      <c r="S4" s="2">
        <f ca="1">('[1]Qc, Summer, S3'!S4*Main!$B$5)</f>
        <v>20.23338714620553</v>
      </c>
      <c r="T4" s="2">
        <f ca="1">('[1]Qc, Summer, S3'!T4*Main!$B$5)</f>
        <v>20.139776857669137</v>
      </c>
      <c r="U4" s="2">
        <f ca="1">('[1]Qc, Summer, S3'!U4*Main!$B$5)</f>
        <v>19.159007205431582</v>
      </c>
      <c r="V4" s="2">
        <f ca="1">('[1]Qc, Summer, S3'!V4*Main!$B$5)</f>
        <v>17.26989246548521</v>
      </c>
      <c r="W4" s="2">
        <f ca="1">('[1]Qc, Summer, S3'!W4*Main!$B$5)</f>
        <v>20.703228418371516</v>
      </c>
      <c r="X4" s="2">
        <f ca="1">('[1]Qc, Summer, S3'!X4*Main!$B$5)</f>
        <v>18.550846239676964</v>
      </c>
      <c r="Y4" s="2">
        <f ca="1">('[1]Qc, Summer, S3'!Y4*Main!$B$5)</f>
        <v>14.928974188606007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8CBD-8163-4197-999D-14E463C9318C}">
  <dimension ref="A1:Y10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 ca="1">('[1]Qc, Summer, S3'!B2*Main!$B$5)</f>
        <v>-10.444441900645435</v>
      </c>
      <c r="C2" s="2">
        <f ca="1">('[1]Qc, Summer, S3'!C2*Main!$B$5)</f>
        <v>-13.579056947712244</v>
      </c>
      <c r="D2" s="2">
        <f ca="1">('[1]Qc, Summer, S3'!D2*Main!$B$5)</f>
        <v>-14.966741315011921</v>
      </c>
      <c r="E2" s="2">
        <f ca="1">('[1]Qc, Summer, S3'!E2*Main!$B$5)</f>
        <v>-13.657935567794814</v>
      </c>
      <c r="F2" s="2">
        <f ca="1">('[1]Qc, Summer, S3'!F2*Main!$B$5)</f>
        <v>-14.639469381178065</v>
      </c>
      <c r="G2" s="2">
        <f ca="1">('[1]Qc, Summer, S3'!G2*Main!$B$5)</f>
        <v>-14.976893213924999</v>
      </c>
      <c r="H2" s="2">
        <f ca="1">('[1]Qc, Summer, S3'!H2*Main!$B$5)</f>
        <v>-12.980327850324702</v>
      </c>
      <c r="I2" s="2">
        <f ca="1">('[1]Qc, Summer, S3'!I2*Main!$B$5)</f>
        <v>-2.019447387629052</v>
      </c>
      <c r="J2" s="2">
        <f ca="1">('[1]Qc, Summer, S3'!J2*Main!$B$5)</f>
        <v>6.4822775159035162</v>
      </c>
      <c r="K2" s="2">
        <f ca="1">('[1]Qc, Summer, S3'!K2*Main!$B$5)</f>
        <v>9.4369360566195333</v>
      </c>
      <c r="L2" s="2">
        <f ca="1">('[1]Qc, Summer, S3'!L2*Main!$B$5)</f>
        <v>7.4182754230613481</v>
      </c>
      <c r="M2" s="2">
        <f ca="1">('[1]Qc, Summer, S3'!M2*Main!$B$5)</f>
        <v>9.8813465459321819</v>
      </c>
      <c r="N2" s="2">
        <f ca="1">('[1]Qc, Summer, S3'!N2*Main!$B$5)</f>
        <v>8.7689033160233354</v>
      </c>
      <c r="O2" s="2">
        <f ca="1">('[1]Qc, Summer, S3'!O2*Main!$B$5)</f>
        <v>9.0329243452732371</v>
      </c>
      <c r="P2" s="2">
        <f ca="1">('[1]Qc, Summer, S3'!P2*Main!$B$5)</f>
        <v>4.6606574639985725</v>
      </c>
      <c r="Q2" s="2">
        <f ca="1">('[1]Qc, Summer, S3'!Q2*Main!$B$5)</f>
        <v>1.1782706242730172</v>
      </c>
      <c r="R2" s="2">
        <f ca="1">('[1]Qc, Summer, S3'!R2*Main!$B$5)</f>
        <v>2.6211826447793083</v>
      </c>
      <c r="S2" s="2">
        <f ca="1">('[1]Qc, Summer, S3'!S2*Main!$B$5)</f>
        <v>3.1838306386325024</v>
      </c>
      <c r="T2" s="2">
        <f ca="1">('[1]Qc, Summer, S3'!T2*Main!$B$5)</f>
        <v>1.9181380586069749</v>
      </c>
      <c r="U2" s="2">
        <f ca="1">('[1]Qc, Summer, S3'!U2*Main!$B$5)</f>
        <v>-0.35782187876627192</v>
      </c>
      <c r="V2" s="2">
        <f ca="1">('[1]Qc, Summer, S3'!V2*Main!$B$5)</f>
        <v>-1.3968791364406008</v>
      </c>
      <c r="W2" s="2">
        <f ca="1">('[1]Qc, Summer, S3'!W2*Main!$B$5)</f>
        <v>-0.97184500628549719</v>
      </c>
      <c r="X2" s="2">
        <f ca="1">('[1]Qc, Summer, S3'!X2*Main!$B$5)</f>
        <v>-4.6607185310511428</v>
      </c>
      <c r="Y2" s="2">
        <f ca="1">('[1]Qc, Summer, S3'!Y2*Main!$B$5)</f>
        <v>-6.3086620114855441</v>
      </c>
    </row>
    <row r="3" spans="1:25" x14ac:dyDescent="0.3">
      <c r="A3">
        <v>2</v>
      </c>
      <c r="B3" s="2">
        <f ca="1">('[1]Qc, Summer, S3'!B3*Main!$B$5)</f>
        <v>-13.218306454165999</v>
      </c>
      <c r="C3" s="2">
        <f ca="1">('[1]Qc, Summer, S3'!C3*Main!$B$5)</f>
        <v>-13.218306454165999</v>
      </c>
      <c r="D3" s="2">
        <f ca="1">('[1]Qc, Summer, S3'!D3*Main!$B$5)</f>
        <v>-15.345674268539247</v>
      </c>
      <c r="E3" s="2">
        <f ca="1">('[1]Qc, Summer, S3'!E3*Main!$B$5)</f>
        <v>-17.473042082912499</v>
      </c>
      <c r="F3" s="2">
        <f ca="1">('[1]Qc, Summer, S3'!F3*Main!$B$5)</f>
        <v>-17.473042082912499</v>
      </c>
      <c r="G3" s="2">
        <f ca="1">('[1]Qc, Summer, S3'!G3*Main!$B$5)</f>
        <v>-17.473042082912499</v>
      </c>
      <c r="H3" s="2">
        <f ca="1">('[1]Qc, Summer, S3'!H3*Main!$B$5)</f>
        <v>-6.9671227176057764</v>
      </c>
      <c r="I3" s="2">
        <f ca="1">('[1]Qc, Summer, S3'!I3*Main!$B$5)</f>
        <v>1.4441622681476691</v>
      </c>
      <c r="J3" s="2">
        <f ca="1">('[1]Qc, Summer, S3'!J3*Main!$B$5)</f>
        <v>4.5861261241700353</v>
      </c>
      <c r="K3" s="2">
        <f ca="1">('[1]Qc, Summer, S3'!K3*Main!$B$5)</f>
        <v>4.5861261241700353</v>
      </c>
      <c r="L3" s="2">
        <f ca="1">('[1]Qc, Summer, S3'!L3*Main!$B$5)</f>
        <v>4.1933740531001691</v>
      </c>
      <c r="M3" s="2">
        <f ca="1">('[1]Qc, Summer, S3'!M3*Main!$B$5)</f>
        <v>5.8952598536394039</v>
      </c>
      <c r="N3" s="2">
        <f ca="1">('[1]Qc, Summer, S3'!N3*Main!$B$5)</f>
        <v>7.9898977252485048</v>
      </c>
      <c r="O3" s="2">
        <f ca="1">('[1]Qc, Summer, S3'!O3*Main!$B$5)</f>
        <v>8.2353721854132189</v>
      </c>
      <c r="P3" s="2">
        <f ca="1">('[1]Qc, Summer, S3'!P3*Main!$B$5)</f>
        <v>4.6188525380228942</v>
      </c>
      <c r="Q3" s="2">
        <f ca="1">('[1]Qc, Summer, S3'!Q3*Main!$B$5)</f>
        <v>3.6042564779460418</v>
      </c>
      <c r="R3" s="2">
        <f ca="1">('[1]Qc, Summer, S3'!R3*Main!$B$5)</f>
        <v>-0.58501930212762809</v>
      </c>
      <c r="S3" s="2">
        <f ca="1">('[1]Qc, Summer, S3'!S3*Main!$B$5)</f>
        <v>-0.58501930212762809</v>
      </c>
      <c r="T3" s="2">
        <f ca="1">('[1]Qc, Summer, S3'!T3*Main!$B$5)</f>
        <v>-0.58501930212762809</v>
      </c>
      <c r="U3" s="2">
        <f ca="1">('[1]Qc, Summer, S3'!U3*Main!$B$5)</f>
        <v>-0.58501930212762809</v>
      </c>
      <c r="V3" s="2">
        <f ca="1">('[1]Qc, Summer, S3'!V3*Main!$B$5)</f>
        <v>-3.7269866686335513</v>
      </c>
      <c r="W3" s="2">
        <f ca="1">('[1]Qc, Summer, S3'!W3*Main!$B$5)</f>
        <v>-4.7743091241355247</v>
      </c>
      <c r="X3" s="2">
        <f ca="1">('[1]Qc, Summer, S3'!X3*Main!$B$5)</f>
        <v>-13.349212109577433</v>
      </c>
      <c r="Y3" s="2">
        <f ca="1">('[1]Qc, Summer, S3'!Y3*Main!$B$5)</f>
        <v>-13.349212109577433</v>
      </c>
    </row>
    <row r="4" spans="1:25" x14ac:dyDescent="0.3">
      <c r="A4">
        <v>3</v>
      </c>
      <c r="B4" s="2">
        <f ca="1">('[1]Qc, Summer, S3'!B4*Main!$B$5)</f>
        <v>10.670164815533528</v>
      </c>
      <c r="C4" s="2">
        <f ca="1">('[1]Qc, Summer, S3'!C4*Main!$B$5)</f>
        <v>8.1754138781600183</v>
      </c>
      <c r="D4" s="2">
        <f ca="1">('[1]Qc, Summer, S3'!D4*Main!$B$5)</f>
        <v>7.7474292303141308</v>
      </c>
      <c r="E4" s="2">
        <f ca="1">('[1]Qc, Summer, S3'!E4*Main!$B$5)</f>
        <v>6.7664026064093292</v>
      </c>
      <c r="F4" s="2">
        <f ca="1">('[1]Qc, Summer, S3'!F4*Main!$B$5)</f>
        <v>7.7894685763059277</v>
      </c>
      <c r="G4" s="2">
        <f ca="1">('[1]Qc, Summer, S3'!G4*Main!$B$5)</f>
        <v>3.6152130964372935</v>
      </c>
      <c r="H4" s="2">
        <f ca="1">('[1]Qc, Summer, S3'!H4*Main!$B$5)</f>
        <v>6.3077025423293298</v>
      </c>
      <c r="I4" s="2">
        <f ca="1">('[1]Qc, Summer, S3'!I4*Main!$B$5)</f>
        <v>12.120995705236711</v>
      </c>
      <c r="J4" s="2">
        <f ca="1">('[1]Qc, Summer, S3'!J4*Main!$B$5)</f>
        <v>17.632348613916246</v>
      </c>
      <c r="K4" s="2">
        <f ca="1">('[1]Qc, Summer, S3'!K4*Main!$B$5)</f>
        <v>20.952134333321087</v>
      </c>
      <c r="L4" s="2">
        <f ca="1">('[1]Qc, Summer, S3'!L4*Main!$B$5)</f>
        <v>22.873281390469561</v>
      </c>
      <c r="M4" s="2">
        <f ca="1">('[1]Qc, Summer, S3'!M4*Main!$B$5)</f>
        <v>23.708359701919072</v>
      </c>
      <c r="N4" s="2">
        <f ca="1">('[1]Qc, Summer, S3'!N4*Main!$B$5)</f>
        <v>24.774049895736582</v>
      </c>
      <c r="O4" s="2">
        <f ca="1">('[1]Qc, Summer, S3'!O4*Main!$B$5)</f>
        <v>24.961488689874997</v>
      </c>
      <c r="P4" s="2">
        <f ca="1">('[1]Qc, Summer, S3'!P4*Main!$B$5)</f>
        <v>24.78431254755586</v>
      </c>
      <c r="Q4" s="2">
        <f ca="1">('[1]Qc, Summer, S3'!Q4*Main!$B$5)</f>
        <v>23.959278252532574</v>
      </c>
      <c r="R4" s="2">
        <f ca="1">('[1]Qc, Summer, S3'!R4*Main!$B$5)</f>
        <v>22.801075473821246</v>
      </c>
      <c r="S4" s="2">
        <f ca="1">('[1]Qc, Summer, S3'!S4*Main!$B$5)</f>
        <v>20.23338714620553</v>
      </c>
      <c r="T4" s="2">
        <f ca="1">('[1]Qc, Summer, S3'!T4*Main!$B$5)</f>
        <v>20.139776857669137</v>
      </c>
      <c r="U4" s="2">
        <f ca="1">('[1]Qc, Summer, S3'!U4*Main!$B$5)</f>
        <v>19.159007205431582</v>
      </c>
      <c r="V4" s="2">
        <f ca="1">('[1]Qc, Summer, S3'!V4*Main!$B$5)</f>
        <v>17.26989246548521</v>
      </c>
      <c r="W4" s="2">
        <f ca="1">('[1]Qc, Summer, S3'!W4*Main!$B$5)</f>
        <v>20.703228418371516</v>
      </c>
      <c r="X4" s="2">
        <f ca="1">('[1]Qc, Summer, S3'!X4*Main!$B$5)</f>
        <v>18.550846239676964</v>
      </c>
      <c r="Y4" s="2">
        <f ca="1">('[1]Qc, Summer, S3'!Y4*Main!$B$5)</f>
        <v>14.928974188606007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F70F-3329-4929-BF5C-6E86340FED71}">
  <dimension ref="A1:Y4"/>
  <sheetViews>
    <sheetView workbookViewId="0">
      <selection activeCell="B2" sqref="B2: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Ratio'!$A$2:$B$21,2,FALSE)</f>
        <v>0</v>
      </c>
      <c r="C2" s="2">
        <f>('FL Characterization'!C$4-'FL Characterization'!C$2)*VLOOKUP($A2,'FL Ratio'!$A$2:$B$21,2,FALSE)</f>
        <v>0</v>
      </c>
      <c r="D2" s="2">
        <f>('FL Characterization'!D$4-'FL Characterization'!D$2)*VLOOKUP($A2,'FL Ratio'!$A$2:$B$21,2,FALSE)</f>
        <v>0</v>
      </c>
      <c r="E2" s="2">
        <f>('FL Characterization'!E$4-'FL Characterization'!E$2)*VLOOKUP($A2,'FL Ratio'!$A$2:$B$21,2,FALSE)</f>
        <v>0</v>
      </c>
      <c r="F2" s="2">
        <f>('FL Characterization'!F$4-'FL Characterization'!F$2)*VLOOKUP($A2,'FL Ratio'!$A$2:$B$21,2,FALSE)</f>
        <v>0</v>
      </c>
      <c r="G2" s="2">
        <f>('FL Characterization'!G$4-'FL Characterization'!G$2)*VLOOKUP($A2,'FL Ratio'!$A$2:$B$21,2,FALSE)</f>
        <v>0</v>
      </c>
      <c r="H2" s="2">
        <f>('FL Characterization'!H$4-'FL Characterization'!H$2)*VLOOKUP($A2,'FL Ratio'!$A$2:$B$21,2,FALSE)</f>
        <v>0</v>
      </c>
      <c r="I2" s="2">
        <f>('FL Characterization'!I$4-'FL Characterization'!I$2)*VLOOKUP($A2,'FL Ratio'!$A$2:$B$21,2,FALSE)</f>
        <v>0</v>
      </c>
      <c r="J2" s="2">
        <f>('FL Characterization'!J$4-'FL Characterization'!J$2)*VLOOKUP($A2,'FL Ratio'!$A$2:$B$21,2,FALSE)</f>
        <v>0</v>
      </c>
      <c r="K2" s="2">
        <f>('FL Characterization'!K$4-'FL Characterization'!K$2)*VLOOKUP($A2,'FL Ratio'!$A$2:$B$21,2,FALSE)</f>
        <v>0</v>
      </c>
      <c r="L2" s="2">
        <f>('FL Characterization'!L$4-'FL Characterization'!L$2)*VLOOKUP($A2,'FL Ratio'!$A$2:$B$21,2,FALSE)</f>
        <v>0</v>
      </c>
      <c r="M2" s="2">
        <f>('FL Characterization'!M$4-'FL Characterization'!M$2)*VLOOKUP($A2,'FL Ratio'!$A$2:$B$21,2,FALSE)</f>
        <v>0</v>
      </c>
      <c r="N2" s="2">
        <f>('FL Characterization'!N$4-'FL Characterization'!N$2)*VLOOKUP($A2,'FL Ratio'!$A$2:$B$21,2,FALSE)</f>
        <v>0</v>
      </c>
      <c r="O2" s="2">
        <f>('FL Characterization'!O$4-'FL Characterization'!O$2)*VLOOKUP($A2,'FL Ratio'!$A$2:$B$21,2,FALSE)</f>
        <v>0</v>
      </c>
      <c r="P2" s="2">
        <f>('FL Characterization'!P$4-'FL Characterization'!P$2)*VLOOKUP($A2,'FL Ratio'!$A$2:$B$21,2,FALSE)</f>
        <v>0</v>
      </c>
      <c r="Q2" s="2">
        <f>('FL Characterization'!Q$4-'FL Characterization'!Q$2)*VLOOKUP($A2,'FL Ratio'!$A$2:$B$21,2,FALSE)</f>
        <v>0</v>
      </c>
      <c r="R2" s="2">
        <f>('FL Characterization'!R$4-'FL Characterization'!R$2)*VLOOKUP($A2,'FL Ratio'!$A$2:$B$21,2,FALSE)</f>
        <v>0</v>
      </c>
      <c r="S2" s="2">
        <f>('FL Characterization'!S$4-'FL Characterization'!S$2)*VLOOKUP($A2,'FL Ratio'!$A$2:$B$21,2,FALSE)</f>
        <v>0</v>
      </c>
      <c r="T2" s="2">
        <f>('FL Characterization'!T$4-'FL Characterization'!T$2)*VLOOKUP($A2,'FL Ratio'!$A$2:$B$21,2,FALSE)</f>
        <v>0</v>
      </c>
      <c r="U2" s="2">
        <f>('FL Characterization'!U$4-'FL Characterization'!U$2)*VLOOKUP($A2,'FL Ratio'!$A$2:$B$21,2,FALSE)</f>
        <v>0</v>
      </c>
      <c r="V2" s="2">
        <f>('FL Characterization'!V$4-'FL Characterization'!V$2)*VLOOKUP($A2,'FL Ratio'!$A$2:$B$21,2,FALSE)</f>
        <v>0</v>
      </c>
      <c r="W2" s="2">
        <f>('FL Characterization'!W$4-'FL Characterization'!W$2)*VLOOKUP($A2,'FL Ratio'!$A$2:$B$21,2,FALSE)</f>
        <v>0</v>
      </c>
      <c r="X2" s="2">
        <f>('FL Characterization'!X$4-'FL Characterization'!X$2)*VLOOKUP($A2,'FL Ratio'!$A$2:$B$21,2,FALSE)</f>
        <v>0</v>
      </c>
      <c r="Y2" s="2">
        <f>('FL Characterization'!Y$4-'FL Characterization'!Y$2)*VLOOKUP($A2,'FL Ratio'!$A$2:$B$21,2,FALSE)</f>
        <v>0</v>
      </c>
    </row>
    <row r="3" spans="1:25" x14ac:dyDescent="0.3">
      <c r="A3">
        <v>2</v>
      </c>
      <c r="B3" s="2">
        <f>('FL Characterization'!B$4-'FL Characterization'!B$2)*VLOOKUP($A3,'FL Ratio'!$A$2:$B$21,2,FALSE)</f>
        <v>0</v>
      </c>
      <c r="C3" s="2">
        <f>('FL Characterization'!C$4-'FL Characterization'!C$2)*VLOOKUP($A3,'FL Ratio'!$A$2:$B$21,2,FALSE)</f>
        <v>0</v>
      </c>
      <c r="D3" s="2">
        <f>('FL Characterization'!D$4-'FL Characterization'!D$2)*VLOOKUP($A3,'FL Ratio'!$A$2:$B$21,2,FALSE)</f>
        <v>0</v>
      </c>
      <c r="E3" s="2">
        <f>('FL Characterization'!E$4-'FL Characterization'!E$2)*VLOOKUP($A3,'FL Ratio'!$A$2:$B$21,2,FALSE)</f>
        <v>0</v>
      </c>
      <c r="F3" s="2">
        <f>('FL Characterization'!F$4-'FL Characterization'!F$2)*VLOOKUP($A3,'FL Ratio'!$A$2:$B$21,2,FALSE)</f>
        <v>0</v>
      </c>
      <c r="G3" s="2">
        <f>('FL Characterization'!G$4-'FL Characterization'!G$2)*VLOOKUP($A3,'FL Ratio'!$A$2:$B$21,2,FALSE)</f>
        <v>0</v>
      </c>
      <c r="H3" s="2">
        <f>('FL Characterization'!H$4-'FL Characterization'!H$2)*VLOOKUP($A3,'FL Ratio'!$A$2:$B$21,2,FALSE)</f>
        <v>0</v>
      </c>
      <c r="I3" s="2">
        <f>('FL Characterization'!I$4-'FL Characterization'!I$2)*VLOOKUP($A3,'FL Ratio'!$A$2:$B$21,2,FALSE)</f>
        <v>0</v>
      </c>
      <c r="J3" s="2">
        <f>('FL Characterization'!J$4-'FL Characterization'!J$2)*VLOOKUP($A3,'FL Ratio'!$A$2:$B$21,2,FALSE)</f>
        <v>0</v>
      </c>
      <c r="K3" s="2">
        <f>('FL Characterization'!K$4-'FL Characterization'!K$2)*VLOOKUP($A3,'FL Ratio'!$A$2:$B$21,2,FALSE)</f>
        <v>0</v>
      </c>
      <c r="L3" s="2">
        <f>('FL Characterization'!L$4-'FL Characterization'!L$2)*VLOOKUP($A3,'FL Ratio'!$A$2:$B$21,2,FALSE)</f>
        <v>0</v>
      </c>
      <c r="M3" s="2">
        <f>('FL Characterization'!M$4-'FL Characterization'!M$2)*VLOOKUP($A3,'FL Ratio'!$A$2:$B$21,2,FALSE)</f>
        <v>0</v>
      </c>
      <c r="N3" s="2">
        <f>('FL Characterization'!N$4-'FL Characterization'!N$2)*VLOOKUP($A3,'FL Ratio'!$A$2:$B$21,2,FALSE)</f>
        <v>0</v>
      </c>
      <c r="O3" s="2">
        <f>('FL Characterization'!O$4-'FL Characterization'!O$2)*VLOOKUP($A3,'FL Ratio'!$A$2:$B$21,2,FALSE)</f>
        <v>0</v>
      </c>
      <c r="P3" s="2">
        <f>('FL Characterization'!P$4-'FL Characterization'!P$2)*VLOOKUP($A3,'FL Ratio'!$A$2:$B$21,2,FALSE)</f>
        <v>0</v>
      </c>
      <c r="Q3" s="2">
        <f>('FL Characterization'!Q$4-'FL Characterization'!Q$2)*VLOOKUP($A3,'FL Ratio'!$A$2:$B$21,2,FALSE)</f>
        <v>0</v>
      </c>
      <c r="R3" s="2">
        <f>('FL Characterization'!R$4-'FL Characterization'!R$2)*VLOOKUP($A3,'FL Ratio'!$A$2:$B$21,2,FALSE)</f>
        <v>0</v>
      </c>
      <c r="S3" s="2">
        <f>('FL Characterization'!S$4-'FL Characterization'!S$2)*VLOOKUP($A3,'FL Ratio'!$A$2:$B$21,2,FALSE)</f>
        <v>0</v>
      </c>
      <c r="T3" s="2">
        <f>('FL Characterization'!T$4-'FL Characterization'!T$2)*VLOOKUP($A3,'FL Ratio'!$A$2:$B$21,2,FALSE)</f>
        <v>0</v>
      </c>
      <c r="U3" s="2">
        <f>('FL Characterization'!U$4-'FL Characterization'!U$2)*VLOOKUP($A3,'FL Ratio'!$A$2:$B$21,2,FALSE)</f>
        <v>0</v>
      </c>
      <c r="V3" s="2">
        <f>('FL Characterization'!V$4-'FL Characterization'!V$2)*VLOOKUP($A3,'FL Ratio'!$A$2:$B$21,2,FALSE)</f>
        <v>0</v>
      </c>
      <c r="W3" s="2">
        <f>('FL Characterization'!W$4-'FL Characterization'!W$2)*VLOOKUP($A3,'FL Ratio'!$A$2:$B$21,2,FALSE)</f>
        <v>0</v>
      </c>
      <c r="X3" s="2">
        <f>('FL Characterization'!X$4-'FL Characterization'!X$2)*VLOOKUP($A3,'FL Ratio'!$A$2:$B$21,2,FALSE)</f>
        <v>0</v>
      </c>
      <c r="Y3" s="2">
        <f>('FL Characterization'!Y$4-'FL Characterization'!Y$2)*VLOOKUP($A3,'FL Ratio'!$A$2:$B$21,2,FALSE)</f>
        <v>0</v>
      </c>
    </row>
    <row r="4" spans="1:25" x14ac:dyDescent="0.3">
      <c r="A4">
        <v>3</v>
      </c>
      <c r="B4" s="2">
        <f>('FL Characterization'!B$4-'FL Characterization'!B$2)*VLOOKUP($A4,'FL Ratio'!$A$2:$B$21,2,FALSE)</f>
        <v>0</v>
      </c>
      <c r="C4" s="2">
        <f>('FL Characterization'!C$4-'FL Characterization'!C$2)*VLOOKUP($A4,'FL Ratio'!$A$2:$B$21,2,FALSE)</f>
        <v>0</v>
      </c>
      <c r="D4" s="2">
        <f>('FL Characterization'!D$4-'FL Characterization'!D$2)*VLOOKUP($A4,'FL Ratio'!$A$2:$B$21,2,FALSE)</f>
        <v>0</v>
      </c>
      <c r="E4" s="2">
        <f>('FL Characterization'!E$4-'FL Characterization'!E$2)*VLOOKUP($A4,'FL Ratio'!$A$2:$B$21,2,FALSE)</f>
        <v>0</v>
      </c>
      <c r="F4" s="2">
        <f>('FL Characterization'!F$4-'FL Characterization'!F$2)*VLOOKUP($A4,'FL Ratio'!$A$2:$B$21,2,FALSE)</f>
        <v>0</v>
      </c>
      <c r="G4" s="2">
        <f>('FL Characterization'!G$4-'FL Characterization'!G$2)*VLOOKUP($A4,'FL Ratio'!$A$2:$B$21,2,FALSE)</f>
        <v>0</v>
      </c>
      <c r="H4" s="2">
        <f>('FL Characterization'!H$4-'FL Characterization'!H$2)*VLOOKUP($A4,'FL Ratio'!$A$2:$B$21,2,FALSE)</f>
        <v>0</v>
      </c>
      <c r="I4" s="2">
        <f>('FL Characterization'!I$4-'FL Characterization'!I$2)*VLOOKUP($A4,'FL Ratio'!$A$2:$B$21,2,FALSE)</f>
        <v>0</v>
      </c>
      <c r="J4" s="2">
        <f>('FL Characterization'!J$4-'FL Characterization'!J$2)*VLOOKUP($A4,'FL Ratio'!$A$2:$B$21,2,FALSE)</f>
        <v>0</v>
      </c>
      <c r="K4" s="2">
        <f>('FL Characterization'!K$4-'FL Characterization'!K$2)*VLOOKUP($A4,'FL Ratio'!$A$2:$B$21,2,FALSE)</f>
        <v>0</v>
      </c>
      <c r="L4" s="2">
        <f>('FL Characterization'!L$4-'FL Characterization'!L$2)*VLOOKUP($A4,'FL Ratio'!$A$2:$B$21,2,FALSE)</f>
        <v>0</v>
      </c>
      <c r="M4" s="2">
        <f>('FL Characterization'!M$4-'FL Characterization'!M$2)*VLOOKUP($A4,'FL Ratio'!$A$2:$B$21,2,FALSE)</f>
        <v>0</v>
      </c>
      <c r="N4" s="2">
        <f>('FL Characterization'!N$4-'FL Characterization'!N$2)*VLOOKUP($A4,'FL Ratio'!$A$2:$B$21,2,FALSE)</f>
        <v>0</v>
      </c>
      <c r="O4" s="2">
        <f>('FL Characterization'!O$4-'FL Characterization'!O$2)*VLOOKUP($A4,'FL Ratio'!$A$2:$B$21,2,FALSE)</f>
        <v>0</v>
      </c>
      <c r="P4" s="2">
        <f>('FL Characterization'!P$4-'FL Characterization'!P$2)*VLOOKUP($A4,'FL Ratio'!$A$2:$B$21,2,FALSE)</f>
        <v>0</v>
      </c>
      <c r="Q4" s="2">
        <f>('FL Characterization'!Q$4-'FL Characterization'!Q$2)*VLOOKUP($A4,'FL Ratio'!$A$2:$B$21,2,FALSE)</f>
        <v>0</v>
      </c>
      <c r="R4" s="2">
        <f>('FL Characterization'!R$4-'FL Characterization'!R$2)*VLOOKUP($A4,'FL Ratio'!$A$2:$B$21,2,FALSE)</f>
        <v>0</v>
      </c>
      <c r="S4" s="2">
        <f>('FL Characterization'!S$4-'FL Characterization'!S$2)*VLOOKUP($A4,'FL Ratio'!$A$2:$B$21,2,FALSE)</f>
        <v>0</v>
      </c>
      <c r="T4" s="2">
        <f>('FL Characterization'!T$4-'FL Characterization'!T$2)*VLOOKUP($A4,'FL Ratio'!$A$2:$B$21,2,FALSE)</f>
        <v>0</v>
      </c>
      <c r="U4" s="2">
        <f>('FL Characterization'!U$4-'FL Characterization'!U$2)*VLOOKUP($A4,'FL Ratio'!$A$2:$B$21,2,FALSE)</f>
        <v>0</v>
      </c>
      <c r="V4" s="2">
        <f>('FL Characterization'!V$4-'FL Characterization'!V$2)*VLOOKUP($A4,'FL Ratio'!$A$2:$B$21,2,FALSE)</f>
        <v>0</v>
      </c>
      <c r="W4" s="2">
        <f>('FL Characterization'!W$4-'FL Characterization'!W$2)*VLOOKUP($A4,'FL Ratio'!$A$2:$B$21,2,FALSE)</f>
        <v>0</v>
      </c>
      <c r="X4" s="2">
        <f>('FL Characterization'!X$4-'FL Characterization'!X$2)*VLOOKUP($A4,'FL Ratio'!$A$2:$B$21,2,FALSE)</f>
        <v>0</v>
      </c>
      <c r="Y4" s="2">
        <f>('FL Characterization'!Y$4-'FL Characterization'!Y$2)*VLOOKUP($A4,'FL Ratio'!$A$2:$B$21,2,FALSE)</f>
        <v>0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6F068-EA6B-4E04-A0B4-69DFD4212DC7}">
  <dimension ref="A1:Y4"/>
  <sheetViews>
    <sheetView workbookViewId="0">
      <selection activeCell="Y4" sqref="Y4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Ratio'!$A$2:$B$21,2,FALSE)</f>
        <v>0</v>
      </c>
      <c r="C2" s="2">
        <f>('FL Characterization'!C$2-'FL Characterization'!C$3)*VLOOKUP($A2,'FL Ratio'!$A$2:$B$21,2,FALSE)</f>
        <v>0</v>
      </c>
      <c r="D2" s="2">
        <f>('FL Characterization'!D$2-'FL Characterization'!D$3)*VLOOKUP($A2,'FL Ratio'!$A$2:$B$21,2,FALSE)</f>
        <v>0</v>
      </c>
      <c r="E2" s="2">
        <f>('FL Characterization'!E$2-'FL Characterization'!E$3)*VLOOKUP($A2,'FL Ratio'!$A$2:$B$21,2,FALSE)</f>
        <v>0</v>
      </c>
      <c r="F2" s="2">
        <f>('FL Characterization'!F$2-'FL Characterization'!F$3)*VLOOKUP($A2,'FL Ratio'!$A$2:$B$21,2,FALSE)</f>
        <v>0</v>
      </c>
      <c r="G2" s="2">
        <f>('FL Characterization'!G$2-'FL Characterization'!G$3)*VLOOKUP($A2,'FL Ratio'!$A$2:$B$21,2,FALSE)</f>
        <v>0</v>
      </c>
      <c r="H2" s="2">
        <f>('FL Characterization'!H$2-'FL Characterization'!H$3)*VLOOKUP($A2,'FL Ratio'!$A$2:$B$21,2,FALSE)</f>
        <v>0</v>
      </c>
      <c r="I2" s="2">
        <f>('FL Characterization'!I$2-'FL Characterization'!I$3)*VLOOKUP($A2,'FL Ratio'!$A$2:$B$21,2,FALSE)</f>
        <v>0</v>
      </c>
      <c r="J2" s="2">
        <f>('FL Characterization'!J$2-'FL Characterization'!J$3)*VLOOKUP($A2,'FL Ratio'!$A$2:$B$21,2,FALSE)</f>
        <v>0</v>
      </c>
      <c r="K2" s="2">
        <f>('FL Characterization'!K$2-'FL Characterization'!K$3)*VLOOKUP($A2,'FL Ratio'!$A$2:$B$21,2,FALSE)</f>
        <v>0</v>
      </c>
      <c r="L2" s="2">
        <f>('FL Characterization'!L$2-'FL Characterization'!L$3)*VLOOKUP($A2,'FL Ratio'!$A$2:$B$21,2,FALSE)</f>
        <v>0</v>
      </c>
      <c r="M2" s="2">
        <f>('FL Characterization'!M$2-'FL Characterization'!M$3)*VLOOKUP($A2,'FL Ratio'!$A$2:$B$21,2,FALSE)</f>
        <v>0</v>
      </c>
      <c r="N2" s="2">
        <f>('FL Characterization'!N$2-'FL Characterization'!N$3)*VLOOKUP($A2,'FL Ratio'!$A$2:$B$21,2,FALSE)</f>
        <v>0</v>
      </c>
      <c r="O2" s="2">
        <f>('FL Characterization'!O$2-'FL Characterization'!O$3)*VLOOKUP($A2,'FL Ratio'!$A$2:$B$21,2,FALSE)</f>
        <v>0</v>
      </c>
      <c r="P2" s="2">
        <f>('FL Characterization'!P$2-'FL Characterization'!P$3)*VLOOKUP($A2,'FL Ratio'!$A$2:$B$21,2,FALSE)</f>
        <v>0</v>
      </c>
      <c r="Q2" s="2">
        <f>('FL Characterization'!Q$2-'FL Characterization'!Q$3)*VLOOKUP($A2,'FL Ratio'!$A$2:$B$21,2,FALSE)</f>
        <v>0</v>
      </c>
      <c r="R2" s="2">
        <f>('FL Characterization'!R$2-'FL Characterization'!R$3)*VLOOKUP($A2,'FL Ratio'!$A$2:$B$21,2,FALSE)</f>
        <v>0</v>
      </c>
      <c r="S2" s="2">
        <f>('FL Characterization'!S$2-'FL Characterization'!S$3)*VLOOKUP($A2,'FL Ratio'!$A$2:$B$21,2,FALSE)</f>
        <v>0</v>
      </c>
      <c r="T2" s="2">
        <f>('FL Characterization'!T$2-'FL Characterization'!T$3)*VLOOKUP($A2,'FL Ratio'!$A$2:$B$21,2,FALSE)</f>
        <v>0</v>
      </c>
      <c r="U2" s="2">
        <f>('FL Characterization'!U$2-'FL Characterization'!U$3)*VLOOKUP($A2,'FL Ratio'!$A$2:$B$21,2,FALSE)</f>
        <v>0</v>
      </c>
      <c r="V2" s="2">
        <f>('FL Characterization'!V$2-'FL Characterization'!V$3)*VLOOKUP($A2,'FL Ratio'!$A$2:$B$21,2,FALSE)</f>
        <v>0</v>
      </c>
      <c r="W2" s="2">
        <f>('FL Characterization'!W$2-'FL Characterization'!W$3)*VLOOKUP($A2,'FL Ratio'!$A$2:$B$21,2,FALSE)</f>
        <v>0</v>
      </c>
      <c r="X2" s="2">
        <f>('FL Characterization'!X$2-'FL Characterization'!X$3)*VLOOKUP($A2,'FL Ratio'!$A$2:$B$21,2,FALSE)</f>
        <v>0</v>
      </c>
      <c r="Y2" s="2">
        <f>('FL Characterization'!Y$2-'FL Characterization'!Y$3)*VLOOKUP($A2,'FL Ratio'!$A$2:$B$21,2,FALSE)</f>
        <v>0</v>
      </c>
    </row>
    <row r="3" spans="1:25" x14ac:dyDescent="0.3">
      <c r="A3">
        <v>2</v>
      </c>
      <c r="B3" s="2">
        <f>('FL Characterization'!B$2-'FL Characterization'!B$3)*VLOOKUP($A3,'FL Ratio'!$A$2:$B$21,2,FALSE)</f>
        <v>0</v>
      </c>
      <c r="C3" s="2">
        <f>('FL Characterization'!C$2-'FL Characterization'!C$3)*VLOOKUP($A3,'FL Ratio'!$A$2:$B$21,2,FALSE)</f>
        <v>0</v>
      </c>
      <c r="D3" s="2">
        <f>('FL Characterization'!D$2-'FL Characterization'!D$3)*VLOOKUP($A3,'FL Ratio'!$A$2:$B$21,2,FALSE)</f>
        <v>0</v>
      </c>
      <c r="E3" s="2">
        <f>('FL Characterization'!E$2-'FL Characterization'!E$3)*VLOOKUP($A3,'FL Ratio'!$A$2:$B$21,2,FALSE)</f>
        <v>0</v>
      </c>
      <c r="F3" s="2">
        <f>('FL Characterization'!F$2-'FL Characterization'!F$3)*VLOOKUP($A3,'FL Ratio'!$A$2:$B$21,2,FALSE)</f>
        <v>0</v>
      </c>
      <c r="G3" s="2">
        <f>('FL Characterization'!G$2-'FL Characterization'!G$3)*VLOOKUP($A3,'FL Ratio'!$A$2:$B$21,2,FALSE)</f>
        <v>0</v>
      </c>
      <c r="H3" s="2">
        <f>('FL Characterization'!H$2-'FL Characterization'!H$3)*VLOOKUP($A3,'FL Ratio'!$A$2:$B$21,2,FALSE)</f>
        <v>0</v>
      </c>
      <c r="I3" s="2">
        <f>('FL Characterization'!I$2-'FL Characterization'!I$3)*VLOOKUP($A3,'FL Ratio'!$A$2:$B$21,2,FALSE)</f>
        <v>0</v>
      </c>
      <c r="J3" s="2">
        <f>('FL Characterization'!J$2-'FL Characterization'!J$3)*VLOOKUP($A3,'FL Ratio'!$A$2:$B$21,2,FALSE)</f>
        <v>0</v>
      </c>
      <c r="K3" s="2">
        <f>('FL Characterization'!K$2-'FL Characterization'!K$3)*VLOOKUP($A3,'FL Ratio'!$A$2:$B$21,2,FALSE)</f>
        <v>0</v>
      </c>
      <c r="L3" s="2">
        <f>('FL Characterization'!L$2-'FL Characterization'!L$3)*VLOOKUP($A3,'FL Ratio'!$A$2:$B$21,2,FALSE)</f>
        <v>0</v>
      </c>
      <c r="M3" s="2">
        <f>('FL Characterization'!M$2-'FL Characterization'!M$3)*VLOOKUP($A3,'FL Ratio'!$A$2:$B$21,2,FALSE)</f>
        <v>0</v>
      </c>
      <c r="N3" s="2">
        <f>('FL Characterization'!N$2-'FL Characterization'!N$3)*VLOOKUP($A3,'FL Ratio'!$A$2:$B$21,2,FALSE)</f>
        <v>0</v>
      </c>
      <c r="O3" s="2">
        <f>('FL Characterization'!O$2-'FL Characterization'!O$3)*VLOOKUP($A3,'FL Ratio'!$A$2:$B$21,2,FALSE)</f>
        <v>0</v>
      </c>
      <c r="P3" s="2">
        <f>('FL Characterization'!P$2-'FL Characterization'!P$3)*VLOOKUP($A3,'FL Ratio'!$A$2:$B$21,2,FALSE)</f>
        <v>0</v>
      </c>
      <c r="Q3" s="2">
        <f>('FL Characterization'!Q$2-'FL Characterization'!Q$3)*VLOOKUP($A3,'FL Ratio'!$A$2:$B$21,2,FALSE)</f>
        <v>0</v>
      </c>
      <c r="R3" s="2">
        <f>('FL Characterization'!R$2-'FL Characterization'!R$3)*VLOOKUP($A3,'FL Ratio'!$A$2:$B$21,2,FALSE)</f>
        <v>0</v>
      </c>
      <c r="S3" s="2">
        <f>('FL Characterization'!S$2-'FL Characterization'!S$3)*VLOOKUP($A3,'FL Ratio'!$A$2:$B$21,2,FALSE)</f>
        <v>0</v>
      </c>
      <c r="T3" s="2">
        <f>('FL Characterization'!T$2-'FL Characterization'!T$3)*VLOOKUP($A3,'FL Ratio'!$A$2:$B$21,2,FALSE)</f>
        <v>0</v>
      </c>
      <c r="U3" s="2">
        <f>('FL Characterization'!U$2-'FL Characterization'!U$3)*VLOOKUP($A3,'FL Ratio'!$A$2:$B$21,2,FALSE)</f>
        <v>0</v>
      </c>
      <c r="V3" s="2">
        <f>('FL Characterization'!V$2-'FL Characterization'!V$3)*VLOOKUP($A3,'FL Ratio'!$A$2:$B$21,2,FALSE)</f>
        <v>0</v>
      </c>
      <c r="W3" s="2">
        <f>('FL Characterization'!W$2-'FL Characterization'!W$3)*VLOOKUP($A3,'FL Ratio'!$A$2:$B$21,2,FALSE)</f>
        <v>0</v>
      </c>
      <c r="X3" s="2">
        <f>('FL Characterization'!X$2-'FL Characterization'!X$3)*VLOOKUP($A3,'FL Ratio'!$A$2:$B$21,2,FALSE)</f>
        <v>0</v>
      </c>
      <c r="Y3" s="2">
        <f>('FL Characterization'!Y$2-'FL Characterization'!Y$3)*VLOOKUP($A3,'FL Ratio'!$A$2:$B$21,2,FALSE)</f>
        <v>0</v>
      </c>
    </row>
    <row r="4" spans="1:25" x14ac:dyDescent="0.3">
      <c r="A4">
        <v>3</v>
      </c>
      <c r="B4" s="2">
        <f>('FL Characterization'!B$2-'FL Characterization'!B$3)*VLOOKUP($A4,'FL Ratio'!$A$2:$B$21,2,FALSE)</f>
        <v>0</v>
      </c>
      <c r="C4" s="2">
        <f>('FL Characterization'!C$2-'FL Characterization'!C$3)*VLOOKUP($A4,'FL Ratio'!$A$2:$B$21,2,FALSE)</f>
        <v>0</v>
      </c>
      <c r="D4" s="2">
        <f>('FL Characterization'!D$2-'FL Characterization'!D$3)*VLOOKUP($A4,'FL Ratio'!$A$2:$B$21,2,FALSE)</f>
        <v>0</v>
      </c>
      <c r="E4" s="2">
        <f>('FL Characterization'!E$2-'FL Characterization'!E$3)*VLOOKUP($A4,'FL Ratio'!$A$2:$B$21,2,FALSE)</f>
        <v>0</v>
      </c>
      <c r="F4" s="2">
        <f>('FL Characterization'!F$2-'FL Characterization'!F$3)*VLOOKUP($A4,'FL Ratio'!$A$2:$B$21,2,FALSE)</f>
        <v>0</v>
      </c>
      <c r="G4" s="2">
        <f>('FL Characterization'!G$2-'FL Characterization'!G$3)*VLOOKUP($A4,'FL Ratio'!$A$2:$B$21,2,FALSE)</f>
        <v>0</v>
      </c>
      <c r="H4" s="2">
        <f>('FL Characterization'!H$2-'FL Characterization'!H$3)*VLOOKUP($A4,'FL Ratio'!$A$2:$B$21,2,FALSE)</f>
        <v>0</v>
      </c>
      <c r="I4" s="2">
        <f>('FL Characterization'!I$2-'FL Characterization'!I$3)*VLOOKUP($A4,'FL Ratio'!$A$2:$B$21,2,FALSE)</f>
        <v>0</v>
      </c>
      <c r="J4" s="2">
        <f>('FL Characterization'!J$2-'FL Characterization'!J$3)*VLOOKUP($A4,'FL Ratio'!$A$2:$B$21,2,FALSE)</f>
        <v>0</v>
      </c>
      <c r="K4" s="2">
        <f>('FL Characterization'!K$2-'FL Characterization'!K$3)*VLOOKUP($A4,'FL Ratio'!$A$2:$B$21,2,FALSE)</f>
        <v>0</v>
      </c>
      <c r="L4" s="2">
        <f>('FL Characterization'!L$2-'FL Characterization'!L$3)*VLOOKUP($A4,'FL Ratio'!$A$2:$B$21,2,FALSE)</f>
        <v>0</v>
      </c>
      <c r="M4" s="2">
        <f>('FL Characterization'!M$2-'FL Characterization'!M$3)*VLOOKUP($A4,'FL Ratio'!$A$2:$B$21,2,FALSE)</f>
        <v>0</v>
      </c>
      <c r="N4" s="2">
        <f>('FL Characterization'!N$2-'FL Characterization'!N$3)*VLOOKUP($A4,'FL Ratio'!$A$2:$B$21,2,FALSE)</f>
        <v>0</v>
      </c>
      <c r="O4" s="2">
        <f>('FL Characterization'!O$2-'FL Characterization'!O$3)*VLOOKUP($A4,'FL Ratio'!$A$2:$B$21,2,FALSE)</f>
        <v>0</v>
      </c>
      <c r="P4" s="2">
        <f>('FL Characterization'!P$2-'FL Characterization'!P$3)*VLOOKUP($A4,'FL Ratio'!$A$2:$B$21,2,FALSE)</f>
        <v>0</v>
      </c>
      <c r="Q4" s="2">
        <f>('FL Characterization'!Q$2-'FL Characterization'!Q$3)*VLOOKUP($A4,'FL Ratio'!$A$2:$B$21,2,FALSE)</f>
        <v>0</v>
      </c>
      <c r="R4" s="2">
        <f>('FL Characterization'!R$2-'FL Characterization'!R$3)*VLOOKUP($A4,'FL Ratio'!$A$2:$B$21,2,FALSE)</f>
        <v>0</v>
      </c>
      <c r="S4" s="2">
        <f>('FL Characterization'!S$2-'FL Characterization'!S$3)*VLOOKUP($A4,'FL Ratio'!$A$2:$B$21,2,FALSE)</f>
        <v>0</v>
      </c>
      <c r="T4" s="2">
        <f>('FL Characterization'!T$2-'FL Characterization'!T$3)*VLOOKUP($A4,'FL Ratio'!$A$2:$B$21,2,FALSE)</f>
        <v>0</v>
      </c>
      <c r="U4" s="2">
        <f>('FL Characterization'!U$2-'FL Characterization'!U$3)*VLOOKUP($A4,'FL Ratio'!$A$2:$B$21,2,FALSE)</f>
        <v>0</v>
      </c>
      <c r="V4" s="2">
        <f>('FL Characterization'!V$2-'FL Characterization'!V$3)*VLOOKUP($A4,'FL Ratio'!$A$2:$B$21,2,FALSE)</f>
        <v>0</v>
      </c>
      <c r="W4" s="2">
        <f>('FL Characterization'!W$2-'FL Characterization'!W$3)*VLOOKUP($A4,'FL Ratio'!$A$2:$B$21,2,FALSE)</f>
        <v>0</v>
      </c>
      <c r="X4" s="2">
        <f>('FL Characterization'!X$2-'FL Characterization'!X$3)*VLOOKUP($A4,'FL Ratio'!$A$2:$B$21,2,FALSE)</f>
        <v>0</v>
      </c>
      <c r="Y4" s="2">
        <f>('FL Characterization'!Y$2-'FL Characterization'!Y$3)*VLOOKUP($A4,'FL Ratio'!$A$2:$B$21,2,FALSE)</f>
        <v>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49E0F-6E82-40ED-BD4B-A154F29D17F6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0B206-735C-4169-9573-F70381DB2C7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ED32-E37A-4C7F-9A3A-6C171EDA3DE5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AA333-26E9-417B-A58C-EE7213771561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0B82-25CF-4E12-83AD-E927C94A30D0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843-2128-4444-8EC6-765145130A0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44F0-7F15-48D3-B0E1-41FD5A2D6DC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Summer'!B$5</f>
        <v>8.1051786431152131</v>
      </c>
      <c r="C5" s="9">
        <f>VLOOKUP($A5,'RES installed'!$A$2:$C$7,3,FALSE)*'[1]Profiles, RES, Summer'!C$5</f>
        <v>7.4126856684062625</v>
      </c>
      <c r="D5" s="9">
        <f>VLOOKUP($A5,'RES installed'!$A$2:$C$7,3,FALSE)*'[1]Profiles, RES, Summer'!D$5</f>
        <v>6.4853472501003608</v>
      </c>
      <c r="E5" s="9">
        <f>VLOOKUP($A5,'RES installed'!$A$2:$C$7,3,FALSE)*'[1]Profiles, RES, Summer'!E$5</f>
        <v>6.461260537936572</v>
      </c>
      <c r="F5" s="9">
        <f>VLOOKUP($A5,'RES installed'!$A$2:$C$7,3,FALSE)*'[1]Profiles, RES, Summer'!F$5</f>
        <v>6.1180248896025695</v>
      </c>
      <c r="G5" s="9">
        <f>VLOOKUP($A5,'RES installed'!$A$2:$C$7,3,FALSE)*'[1]Profiles, RES, Summer'!G$5</f>
        <v>5.6362906463267768</v>
      </c>
      <c r="H5" s="9">
        <f>VLOOKUP($A5,'RES installed'!$A$2:$C$7,3,FALSE)*'[1]Profiles, RES, Summer'!H$5</f>
        <v>4.9558410276997193</v>
      </c>
      <c r="I5" s="9">
        <f>VLOOKUP($A5,'RES installed'!$A$2:$C$7,3,FALSE)*'[1]Profiles, RES, Summer'!I$5</f>
        <v>3.8960256924929744</v>
      </c>
      <c r="J5" s="9">
        <f>VLOOKUP($A5,'RES installed'!$A$2:$C$7,3,FALSE)*'[1]Profiles, RES, Summer'!J$5</f>
        <v>3.2396627860297067</v>
      </c>
      <c r="K5" s="9">
        <f>VLOOKUP($A5,'RES installed'!$A$2:$C$7,3,FALSE)*'[1]Profiles, RES, Summer'!K$5</f>
        <v>3.0289040545965475</v>
      </c>
      <c r="L5" s="9">
        <f>VLOOKUP($A5,'RES installed'!$A$2:$C$7,3,FALSE)*'[1]Profiles, RES, Summer'!L$5</f>
        <v>2.7880369329586512</v>
      </c>
      <c r="M5" s="9">
        <f>VLOOKUP($A5,'RES installed'!$A$2:$C$7,3,FALSE)*'[1]Profiles, RES, Summer'!M$5</f>
        <v>3.1372942593336011</v>
      </c>
      <c r="N5" s="9">
        <f>VLOOKUP($A5,'RES installed'!$A$2:$C$7,3,FALSE)*'[1]Profiles, RES, Summer'!N$5</f>
        <v>3.9441991168205535</v>
      </c>
      <c r="O5" s="9">
        <f>VLOOKUP($A5,'RES installed'!$A$2:$C$7,3,FALSE)*'[1]Profiles, RES, Summer'!O$5</f>
        <v>4.8956242472902449</v>
      </c>
      <c r="P5" s="9">
        <f>VLOOKUP($A5,'RES installed'!$A$2:$C$7,3,FALSE)*'[1]Profiles, RES, Summer'!P$5</f>
        <v>6.5335206744279404</v>
      </c>
      <c r="Q5" s="9">
        <f>VLOOKUP($A5,'RES installed'!$A$2:$C$7,3,FALSE)*'[1]Profiles, RES, Summer'!Q$5</f>
        <v>8.3400240867121642</v>
      </c>
      <c r="R5" s="9">
        <f>VLOOKUP($A5,'RES installed'!$A$2:$C$7,3,FALSE)*'[1]Profiles, RES, Summer'!R$5</f>
        <v>9.8574869530309108</v>
      </c>
      <c r="S5" s="9">
        <f>VLOOKUP($A5,'RES installed'!$A$2:$C$7,3,FALSE)*'[1]Profiles, RES, Summer'!S$5</f>
        <v>10.519871537535126</v>
      </c>
      <c r="T5" s="9">
        <f>VLOOKUP($A5,'RES installed'!$A$2:$C$7,3,FALSE)*'[1]Profiles, RES, Summer'!T$5</f>
        <v>11.320754716981133</v>
      </c>
      <c r="U5" s="9">
        <f>VLOOKUP($A5,'RES installed'!$A$2:$C$7,3,FALSE)*'[1]Profiles, RES, Summer'!U$5</f>
        <v>12.609393817743877</v>
      </c>
      <c r="V5" s="9">
        <f>VLOOKUP($A5,'RES installed'!$A$2:$C$7,3,FALSE)*'[1]Profiles, RES, Summer'!V$5</f>
        <v>13.904054596547573</v>
      </c>
      <c r="W5" s="9">
        <f>VLOOKUP($A5,'RES installed'!$A$2:$C$7,3,FALSE)*'[1]Profiles, RES, Summer'!W$5</f>
        <v>14.482135688478524</v>
      </c>
      <c r="X5" s="9">
        <f>VLOOKUP($A5,'RES installed'!$A$2:$C$7,3,FALSE)*'[1]Profiles, RES, Summer'!X$5</f>
        <v>14.548374146928943</v>
      </c>
      <c r="Y5" s="9">
        <f>VLOOKUP($A5,'RES installed'!$A$2:$C$7,3,FALSE)*'[1]Profiles, RES, Summer'!Y$5</f>
        <v>14.030509835407466</v>
      </c>
    </row>
    <row r="6" spans="1:25" x14ac:dyDescent="0.3">
      <c r="A6" s="8">
        <v>5</v>
      </c>
      <c r="B6" s="9">
        <f>VLOOKUP($A6,'RES installed'!$A$2:$C$7,3,FALSE)*'[1]Profiles, RES, Summer'!B$5</f>
        <v>5.403452428743476</v>
      </c>
      <c r="C6" s="9">
        <f>VLOOKUP($A6,'RES installed'!$A$2:$C$7,3,FALSE)*'[1]Profiles, RES, Summer'!C$5</f>
        <v>4.941790445604175</v>
      </c>
      <c r="D6" s="9">
        <f>VLOOKUP($A6,'RES installed'!$A$2:$C$7,3,FALSE)*'[1]Profiles, RES, Summer'!D$5</f>
        <v>4.3235648334002406</v>
      </c>
      <c r="E6" s="9">
        <f>VLOOKUP($A6,'RES installed'!$A$2:$C$7,3,FALSE)*'[1]Profiles, RES, Summer'!E$5</f>
        <v>4.3075070252910477</v>
      </c>
      <c r="F6" s="9">
        <f>VLOOKUP($A6,'RES installed'!$A$2:$C$7,3,FALSE)*'[1]Profiles, RES, Summer'!F$5</f>
        <v>4.0786832597350466</v>
      </c>
      <c r="G6" s="9">
        <f>VLOOKUP($A6,'RES installed'!$A$2:$C$7,3,FALSE)*'[1]Profiles, RES, Summer'!G$5</f>
        <v>3.7575270975511845</v>
      </c>
      <c r="H6" s="9">
        <f>VLOOKUP($A6,'RES installed'!$A$2:$C$7,3,FALSE)*'[1]Profiles, RES, Summer'!H$5</f>
        <v>3.3038940184664796</v>
      </c>
      <c r="I6" s="9">
        <f>VLOOKUP($A6,'RES installed'!$A$2:$C$7,3,FALSE)*'[1]Profiles, RES, Summer'!I$5</f>
        <v>2.5973504616619829</v>
      </c>
      <c r="J6" s="9">
        <f>VLOOKUP($A6,'RES installed'!$A$2:$C$7,3,FALSE)*'[1]Profiles, RES, Summer'!J$5</f>
        <v>2.1597751906864713</v>
      </c>
      <c r="K6" s="9">
        <f>VLOOKUP($A6,'RES installed'!$A$2:$C$7,3,FALSE)*'[1]Profiles, RES, Summer'!K$5</f>
        <v>2.019269369731032</v>
      </c>
      <c r="L6" s="9">
        <f>VLOOKUP($A6,'RES installed'!$A$2:$C$7,3,FALSE)*'[1]Profiles, RES, Summer'!L$5</f>
        <v>1.8586912886391007</v>
      </c>
      <c r="M6" s="9">
        <f>VLOOKUP($A6,'RES installed'!$A$2:$C$7,3,FALSE)*'[1]Profiles, RES, Summer'!M$5</f>
        <v>2.0915295062224009</v>
      </c>
      <c r="N6" s="9">
        <f>VLOOKUP($A6,'RES installed'!$A$2:$C$7,3,FALSE)*'[1]Profiles, RES, Summer'!N$5</f>
        <v>2.6294660778803691</v>
      </c>
      <c r="O6" s="9">
        <f>VLOOKUP($A6,'RES installed'!$A$2:$C$7,3,FALSE)*'[1]Profiles, RES, Summer'!O$5</f>
        <v>3.2637494981934969</v>
      </c>
      <c r="P6" s="9">
        <f>VLOOKUP($A6,'RES installed'!$A$2:$C$7,3,FALSE)*'[1]Profiles, RES, Summer'!P$5</f>
        <v>4.3556804496186272</v>
      </c>
      <c r="Q6" s="9">
        <f>VLOOKUP($A6,'RES installed'!$A$2:$C$7,3,FALSE)*'[1]Profiles, RES, Summer'!Q$5</f>
        <v>5.5600160578081095</v>
      </c>
      <c r="R6" s="9">
        <f>VLOOKUP($A6,'RES installed'!$A$2:$C$7,3,FALSE)*'[1]Profiles, RES, Summer'!R$5</f>
        <v>6.5716579686872745</v>
      </c>
      <c r="S6" s="9">
        <f>VLOOKUP($A6,'RES installed'!$A$2:$C$7,3,FALSE)*'[1]Profiles, RES, Summer'!S$5</f>
        <v>7.0132476916900846</v>
      </c>
      <c r="T6" s="9">
        <f>VLOOKUP($A6,'RES installed'!$A$2:$C$7,3,FALSE)*'[1]Profiles, RES, Summer'!T$5</f>
        <v>7.5471698113207548</v>
      </c>
      <c r="U6" s="9">
        <f>VLOOKUP($A6,'RES installed'!$A$2:$C$7,3,FALSE)*'[1]Profiles, RES, Summer'!U$5</f>
        <v>8.4062625451625852</v>
      </c>
      <c r="V6" s="9">
        <f>VLOOKUP($A6,'RES installed'!$A$2:$C$7,3,FALSE)*'[1]Profiles, RES, Summer'!V$5</f>
        <v>9.2693697310317145</v>
      </c>
      <c r="W6" s="9">
        <f>VLOOKUP($A6,'RES installed'!$A$2:$C$7,3,FALSE)*'[1]Profiles, RES, Summer'!W$5</f>
        <v>9.654757125652349</v>
      </c>
      <c r="X6" s="9">
        <f>VLOOKUP($A6,'RES installed'!$A$2:$C$7,3,FALSE)*'[1]Profiles, RES, Summer'!X$5</f>
        <v>9.6989160979526297</v>
      </c>
      <c r="Y6" s="9">
        <f>VLOOKUP($A6,'RES installed'!$A$2:$C$7,3,FALSE)*'[1]Profiles, RES, Summer'!Y$5</f>
        <v>9.3536732236049787</v>
      </c>
    </row>
    <row r="7" spans="1:25" x14ac:dyDescent="0.3">
      <c r="A7" s="8">
        <v>6</v>
      </c>
      <c r="B7" s="9">
        <f>VLOOKUP($A7,'RES installed'!$A$2:$C$7,3,FALSE)*'[1]Profiles, RES, Summer'!B$5</f>
        <v>8.1051786431152131</v>
      </c>
      <c r="C7" s="9">
        <f>VLOOKUP($A7,'RES installed'!$A$2:$C$7,3,FALSE)*'[1]Profiles, RES, Summer'!C$5</f>
        <v>7.4126856684062625</v>
      </c>
      <c r="D7" s="9">
        <f>VLOOKUP($A7,'RES installed'!$A$2:$C$7,3,FALSE)*'[1]Profiles, RES, Summer'!D$5</f>
        <v>6.4853472501003608</v>
      </c>
      <c r="E7" s="9">
        <f>VLOOKUP($A7,'RES installed'!$A$2:$C$7,3,FALSE)*'[1]Profiles, RES, Summer'!E$5</f>
        <v>6.461260537936572</v>
      </c>
      <c r="F7" s="9">
        <f>VLOOKUP($A7,'RES installed'!$A$2:$C$7,3,FALSE)*'[1]Profiles, RES, Summer'!F$5</f>
        <v>6.1180248896025695</v>
      </c>
      <c r="G7" s="9">
        <f>VLOOKUP($A7,'RES installed'!$A$2:$C$7,3,FALSE)*'[1]Profiles, RES, Summer'!G$5</f>
        <v>5.6362906463267768</v>
      </c>
      <c r="H7" s="9">
        <f>VLOOKUP($A7,'RES installed'!$A$2:$C$7,3,FALSE)*'[1]Profiles, RES, Summer'!H$5</f>
        <v>4.9558410276997193</v>
      </c>
      <c r="I7" s="9">
        <f>VLOOKUP($A7,'RES installed'!$A$2:$C$7,3,FALSE)*'[1]Profiles, RES, Summer'!I$5</f>
        <v>3.8960256924929744</v>
      </c>
      <c r="J7" s="9">
        <f>VLOOKUP($A7,'RES installed'!$A$2:$C$7,3,FALSE)*'[1]Profiles, RES, Summer'!J$5</f>
        <v>3.2396627860297067</v>
      </c>
      <c r="K7" s="9">
        <f>VLOOKUP($A7,'RES installed'!$A$2:$C$7,3,FALSE)*'[1]Profiles, RES, Summer'!K$5</f>
        <v>3.0289040545965475</v>
      </c>
      <c r="L7" s="9">
        <f>VLOOKUP($A7,'RES installed'!$A$2:$C$7,3,FALSE)*'[1]Profiles, RES, Summer'!L$5</f>
        <v>2.7880369329586512</v>
      </c>
      <c r="M7" s="9">
        <f>VLOOKUP($A7,'RES installed'!$A$2:$C$7,3,FALSE)*'[1]Profiles, RES, Summer'!M$5</f>
        <v>3.1372942593336011</v>
      </c>
      <c r="N7" s="9">
        <f>VLOOKUP($A7,'RES installed'!$A$2:$C$7,3,FALSE)*'[1]Profiles, RES, Summer'!N$5</f>
        <v>3.9441991168205535</v>
      </c>
      <c r="O7" s="9">
        <f>VLOOKUP($A7,'RES installed'!$A$2:$C$7,3,FALSE)*'[1]Profiles, RES, Summer'!O$5</f>
        <v>4.8956242472902449</v>
      </c>
      <c r="P7" s="9">
        <f>VLOOKUP($A7,'RES installed'!$A$2:$C$7,3,FALSE)*'[1]Profiles, RES, Summer'!P$5</f>
        <v>6.5335206744279404</v>
      </c>
      <c r="Q7" s="9">
        <f>VLOOKUP($A7,'RES installed'!$A$2:$C$7,3,FALSE)*'[1]Profiles, RES, Summer'!Q$5</f>
        <v>8.3400240867121642</v>
      </c>
      <c r="R7" s="9">
        <f>VLOOKUP($A7,'RES installed'!$A$2:$C$7,3,FALSE)*'[1]Profiles, RES, Summer'!R$5</f>
        <v>9.8574869530309108</v>
      </c>
      <c r="S7" s="9">
        <f>VLOOKUP($A7,'RES installed'!$A$2:$C$7,3,FALSE)*'[1]Profiles, RES, Summer'!S$5</f>
        <v>10.519871537535126</v>
      </c>
      <c r="T7" s="9">
        <f>VLOOKUP($A7,'RES installed'!$A$2:$C$7,3,FALSE)*'[1]Profiles, RES, Summer'!T$5</f>
        <v>11.320754716981133</v>
      </c>
      <c r="U7" s="9">
        <f>VLOOKUP($A7,'RES installed'!$A$2:$C$7,3,FALSE)*'[1]Profiles, RES, Summer'!U$5</f>
        <v>12.609393817743877</v>
      </c>
      <c r="V7" s="9">
        <f>VLOOKUP($A7,'RES installed'!$A$2:$C$7,3,FALSE)*'[1]Profiles, RES, Summer'!V$5</f>
        <v>13.904054596547573</v>
      </c>
      <c r="W7" s="9">
        <f>VLOOKUP($A7,'RES installed'!$A$2:$C$7,3,FALSE)*'[1]Profiles, RES, Summer'!W$5</f>
        <v>14.482135688478524</v>
      </c>
      <c r="X7" s="9">
        <f>VLOOKUP($A7,'RES installed'!$A$2:$C$7,3,FALSE)*'[1]Profiles, RES, Summer'!X$5</f>
        <v>14.548374146928943</v>
      </c>
      <c r="Y7" s="9">
        <f>VLOOKUP($A7,'RES installed'!$A$2:$C$7,3,FALSE)*'[1]Profiles, RES, Summer'!Y$5</f>
        <v>14.030509835407466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6.8233510235026537E-2</v>
      </c>
      <c r="H8" s="6">
        <f>VLOOKUP($A8,'RES installed'!$A$2:$C$7,3,FALSE)*'[1]Profiles, RES, Summer'!H$2</f>
        <v>2.0015163002274452</v>
      </c>
      <c r="I8" s="6">
        <f>VLOOKUP($A8,'RES installed'!$A$2:$C$7,3,FALSE)*'[1]Profiles, RES, Summer'!I$2</f>
        <v>8.3244882486732372</v>
      </c>
      <c r="J8" s="6">
        <f>VLOOKUP($A8,'RES installed'!$A$2:$C$7,3,FALSE)*'[1]Profiles, RES, Summer'!J$2</f>
        <v>17.240333586050038</v>
      </c>
      <c r="K8" s="6">
        <f>VLOOKUP($A8,'RES installed'!$A$2:$C$7,3,FALSE)*'[1]Profiles, RES, Summer'!K$2</f>
        <v>22.687642153146324</v>
      </c>
      <c r="L8" s="6">
        <f>VLOOKUP($A8,'RES installed'!$A$2:$C$7,3,FALSE)*'[1]Profiles, RES, Summer'!L$2</f>
        <v>26.065200909780135</v>
      </c>
      <c r="M8" s="6">
        <f>VLOOKUP($A8,'RES installed'!$A$2:$C$7,3,FALSE)*'[1]Profiles, RES, Summer'!M$2</f>
        <v>27.589082638362395</v>
      </c>
      <c r="N8" s="6">
        <f>VLOOKUP($A8,'RES installed'!$A$2:$C$7,3,FALSE)*'[1]Profiles, RES, Summer'!N$2</f>
        <v>28.203184230477635</v>
      </c>
      <c r="O8" s="6">
        <f>VLOOKUP($A8,'RES installed'!$A$2:$C$7,3,FALSE)*'[1]Profiles, RES, Summer'!O$2</f>
        <v>28.214556482183475</v>
      </c>
      <c r="P8" s="6">
        <f>VLOOKUP($A8,'RES installed'!$A$2:$C$7,3,FALSE)*'[1]Profiles, RES, Summer'!P$2</f>
        <v>27.247915087187263</v>
      </c>
      <c r="Q8" s="6">
        <f>VLOOKUP($A8,'RES installed'!$A$2:$C$7,3,FALSE)*'[1]Profiles, RES, Summer'!Q$2</f>
        <v>24.234268385140258</v>
      </c>
      <c r="R8" s="6">
        <f>VLOOKUP($A8,'RES installed'!$A$2:$C$7,3,FALSE)*'[1]Profiles, RES, Summer'!R$2</f>
        <v>19.423805913570888</v>
      </c>
      <c r="S8" s="6">
        <f>VLOOKUP($A8,'RES installed'!$A$2:$C$7,3,FALSE)*'[1]Profiles, RES, Summer'!S$2</f>
        <v>12.566338134950721</v>
      </c>
      <c r="T8" s="6">
        <f>VLOOKUP($A8,'RES installed'!$A$2:$C$7,3,FALSE)*'[1]Profiles, RES, Summer'!T$2</f>
        <v>4.3783169067475365</v>
      </c>
      <c r="U8" s="6">
        <f>VLOOKUP($A8,'RES installed'!$A$2:$C$7,3,FALSE)*'[1]Profiles, RES, Summer'!U$2</f>
        <v>0.3639120545868082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  <row r="9" spans="1:25" x14ac:dyDescent="0.3">
      <c r="A9" s="5">
        <v>8</v>
      </c>
      <c r="B9" s="6">
        <f>VLOOKUP($A9,'RES installed'!$A$2:$C$7,3,FALSE)*'[1]Profiles, RES, Summer'!B$2</f>
        <v>0</v>
      </c>
      <c r="C9" s="6">
        <f>VLOOKUP($A9,'RES installed'!$A$2:$C$7,3,FALSE)*'[1]Profiles, RES, Summer'!C$2</f>
        <v>0</v>
      </c>
      <c r="D9" s="6">
        <f>VLOOKUP($A9,'RES installed'!$A$2:$C$7,3,FALSE)*'[1]Profiles, RES, Summer'!D$2</f>
        <v>0</v>
      </c>
      <c r="E9" s="6">
        <f>VLOOKUP($A9,'RES installed'!$A$2:$C$7,3,FALSE)*'[1]Profiles, RES, Summer'!E$2</f>
        <v>0</v>
      </c>
      <c r="F9" s="6">
        <f>VLOOKUP($A9,'RES installed'!$A$2:$C$7,3,FALSE)*'[1]Profiles, RES, Summer'!F$2</f>
        <v>0</v>
      </c>
      <c r="G9" s="6">
        <f>VLOOKUP($A9,'RES installed'!$A$2:$C$7,3,FALSE)*'[1]Profiles, RES, Summer'!G$2</f>
        <v>2.2744503411675512E-2</v>
      </c>
      <c r="H9" s="6">
        <f>VLOOKUP($A9,'RES installed'!$A$2:$C$7,3,FALSE)*'[1]Profiles, RES, Summer'!H$2</f>
        <v>0.66717210007581507</v>
      </c>
      <c r="I9" s="6">
        <f>VLOOKUP($A9,'RES installed'!$A$2:$C$7,3,FALSE)*'[1]Profiles, RES, Summer'!I$2</f>
        <v>2.7748294162244127</v>
      </c>
      <c r="J9" s="6">
        <f>VLOOKUP($A9,'RES installed'!$A$2:$C$7,3,FALSE)*'[1]Profiles, RES, Summer'!J$2</f>
        <v>5.7467778620166801</v>
      </c>
      <c r="K9" s="6">
        <f>VLOOKUP($A9,'RES installed'!$A$2:$C$7,3,FALSE)*'[1]Profiles, RES, Summer'!K$2</f>
        <v>7.5625473843821078</v>
      </c>
      <c r="L9" s="6">
        <f>VLOOKUP($A9,'RES installed'!$A$2:$C$7,3,FALSE)*'[1]Profiles, RES, Summer'!L$2</f>
        <v>8.6884003032600461</v>
      </c>
      <c r="M9" s="6">
        <f>VLOOKUP($A9,'RES installed'!$A$2:$C$7,3,FALSE)*'[1]Profiles, RES, Summer'!M$2</f>
        <v>9.1963608794541312</v>
      </c>
      <c r="N9" s="6">
        <f>VLOOKUP($A9,'RES installed'!$A$2:$C$7,3,FALSE)*'[1]Profiles, RES, Summer'!N$2</f>
        <v>9.4010614101592118</v>
      </c>
      <c r="O9" s="6">
        <f>VLOOKUP($A9,'RES installed'!$A$2:$C$7,3,FALSE)*'[1]Profiles, RES, Summer'!O$2</f>
        <v>9.4048521607278239</v>
      </c>
      <c r="P9" s="6">
        <f>VLOOKUP($A9,'RES installed'!$A$2:$C$7,3,FALSE)*'[1]Profiles, RES, Summer'!P$2</f>
        <v>9.0826383623957536</v>
      </c>
      <c r="Q9" s="6">
        <f>VLOOKUP($A9,'RES installed'!$A$2:$C$7,3,FALSE)*'[1]Profiles, RES, Summer'!Q$2</f>
        <v>8.0780894617134198</v>
      </c>
      <c r="R9" s="6">
        <f>VLOOKUP($A9,'RES installed'!$A$2:$C$7,3,FALSE)*'[1]Profiles, RES, Summer'!R$2</f>
        <v>6.474601971190296</v>
      </c>
      <c r="S9" s="6">
        <f>VLOOKUP($A9,'RES installed'!$A$2:$C$7,3,FALSE)*'[1]Profiles, RES, Summer'!S$2</f>
        <v>4.1887793783169069</v>
      </c>
      <c r="T9" s="6">
        <f>VLOOKUP($A9,'RES installed'!$A$2:$C$7,3,FALSE)*'[1]Profiles, RES, Summer'!T$2</f>
        <v>1.4594389689158453</v>
      </c>
      <c r="U9" s="6">
        <f>VLOOKUP($A9,'RES installed'!$A$2:$C$7,3,FALSE)*'[1]Profiles, RES, Summer'!U$2</f>
        <v>0.12130401819560273</v>
      </c>
      <c r="V9" s="6">
        <f>VLOOKUP($A9,'RES installed'!$A$2:$C$7,3,FALSE)*'[1]Profiles, RES, Summer'!V$2</f>
        <v>0</v>
      </c>
      <c r="W9" s="6">
        <f>VLOOKUP($A9,'RES installed'!$A$2:$C$7,3,FALSE)*'[1]Profiles, RES, Summer'!W$2</f>
        <v>0</v>
      </c>
      <c r="X9" s="6">
        <f>VLOOKUP($A9,'RES installed'!$A$2:$C$7,3,FALSE)*'[1]Profiles, RES, Summer'!X$2</f>
        <v>0</v>
      </c>
      <c r="Y9" s="6">
        <f>VLOOKUP($A9,'RES installed'!$A$2:$C$7,3,FALSE)*'[1]Profiles, RES, Summer'!Y$2</f>
        <v>0</v>
      </c>
    </row>
    <row r="10" spans="1:25" x14ac:dyDescent="0.3">
      <c r="A10" s="5">
        <v>9</v>
      </c>
      <c r="B10" s="6">
        <f>VLOOKUP($A10,'RES installed'!$A$2:$C$7,3,FALSE)*'[1]Profiles, RES, Summer'!B$2</f>
        <v>0</v>
      </c>
      <c r="C10" s="6">
        <f>VLOOKUP($A10,'RES installed'!$A$2:$C$7,3,FALSE)*'[1]Profiles, RES, Summer'!C$2</f>
        <v>0</v>
      </c>
      <c r="D10" s="6">
        <f>VLOOKUP($A10,'RES installed'!$A$2:$C$7,3,FALSE)*'[1]Profiles, RES, Summer'!D$2</f>
        <v>0</v>
      </c>
      <c r="E10" s="6">
        <f>VLOOKUP($A10,'RES installed'!$A$2:$C$7,3,FALSE)*'[1]Profiles, RES, Summer'!E$2</f>
        <v>0</v>
      </c>
      <c r="F10" s="6">
        <f>VLOOKUP($A10,'RES installed'!$A$2:$C$7,3,FALSE)*'[1]Profiles, RES, Summer'!F$2</f>
        <v>0</v>
      </c>
      <c r="G10" s="6">
        <f>VLOOKUP($A10,'RES installed'!$A$2:$C$7,3,FALSE)*'[1]Profiles, RES, Summer'!G$2</f>
        <v>4.5489006823351025E-2</v>
      </c>
      <c r="H10" s="6">
        <f>VLOOKUP($A10,'RES installed'!$A$2:$C$7,3,FALSE)*'[1]Profiles, RES, Summer'!H$2</f>
        <v>1.3343442001516301</v>
      </c>
      <c r="I10" s="6">
        <f>VLOOKUP($A10,'RES installed'!$A$2:$C$7,3,FALSE)*'[1]Profiles, RES, Summer'!I$2</f>
        <v>5.5496588324488254</v>
      </c>
      <c r="J10" s="6">
        <f>VLOOKUP($A10,'RES installed'!$A$2:$C$7,3,FALSE)*'[1]Profiles, RES, Summer'!J$2</f>
        <v>11.49355572403336</v>
      </c>
      <c r="K10" s="6">
        <f>VLOOKUP($A10,'RES installed'!$A$2:$C$7,3,FALSE)*'[1]Profiles, RES, Summer'!K$2</f>
        <v>15.125094768764216</v>
      </c>
      <c r="L10" s="6">
        <f>VLOOKUP($A10,'RES installed'!$A$2:$C$7,3,FALSE)*'[1]Profiles, RES, Summer'!L$2</f>
        <v>17.376800606520092</v>
      </c>
      <c r="M10" s="6">
        <f>VLOOKUP($A10,'RES installed'!$A$2:$C$7,3,FALSE)*'[1]Profiles, RES, Summer'!M$2</f>
        <v>18.392721758908262</v>
      </c>
      <c r="N10" s="6">
        <f>VLOOKUP($A10,'RES installed'!$A$2:$C$7,3,FALSE)*'[1]Profiles, RES, Summer'!N$2</f>
        <v>18.802122820318424</v>
      </c>
      <c r="O10" s="6">
        <f>VLOOKUP($A10,'RES installed'!$A$2:$C$7,3,FALSE)*'[1]Profiles, RES, Summer'!O$2</f>
        <v>18.809704321455648</v>
      </c>
      <c r="P10" s="6">
        <f>VLOOKUP($A10,'RES installed'!$A$2:$C$7,3,FALSE)*'[1]Profiles, RES, Summer'!P$2</f>
        <v>18.165276724791507</v>
      </c>
      <c r="Q10" s="6">
        <f>VLOOKUP($A10,'RES installed'!$A$2:$C$7,3,FALSE)*'[1]Profiles, RES, Summer'!Q$2</f>
        <v>16.15617892342684</v>
      </c>
      <c r="R10" s="6">
        <f>VLOOKUP($A10,'RES installed'!$A$2:$C$7,3,FALSE)*'[1]Profiles, RES, Summer'!R$2</f>
        <v>12.949203942380592</v>
      </c>
      <c r="S10" s="6">
        <f>VLOOKUP($A10,'RES installed'!$A$2:$C$7,3,FALSE)*'[1]Profiles, RES, Summer'!S$2</f>
        <v>8.3775587566338139</v>
      </c>
      <c r="T10" s="6">
        <f>VLOOKUP($A10,'RES installed'!$A$2:$C$7,3,FALSE)*'[1]Profiles, RES, Summer'!T$2</f>
        <v>2.9188779378316907</v>
      </c>
      <c r="U10" s="6">
        <f>VLOOKUP($A10,'RES installed'!$A$2:$C$7,3,FALSE)*'[1]Profiles, RES, Summer'!U$2</f>
        <v>0.24260803639120546</v>
      </c>
      <c r="V10" s="6">
        <f>VLOOKUP($A10,'RES installed'!$A$2:$C$7,3,FALSE)*'[1]Profiles, RES, Summer'!V$2</f>
        <v>0</v>
      </c>
      <c r="W10" s="6">
        <f>VLOOKUP($A10,'RES installed'!$A$2:$C$7,3,FALSE)*'[1]Profiles, RES, Summer'!W$2</f>
        <v>0</v>
      </c>
      <c r="X10" s="6">
        <f>VLOOKUP($A10,'RES installed'!$A$2:$C$7,3,FALSE)*'[1]Profiles, RES, Summer'!X$2</f>
        <v>0</v>
      </c>
      <c r="Y10" s="6">
        <f>VLOOKUP($A10,'RES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ABC2-C2BD-4099-8F87-452525C0E91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Summer'!B$6</f>
        <v>8.5507828181453238</v>
      </c>
      <c r="C5" s="9">
        <f>VLOOKUP($A5,'RES installed'!$A$2:$C$7,3,FALSE)*'[1]Profiles, RES, Summer'!C$6</f>
        <v>7.9425933360096339</v>
      </c>
      <c r="D5" s="9">
        <f>VLOOKUP($A5,'RES installed'!$A$2:$C$7,3,FALSE)*'[1]Profiles, RES, Summer'!D$6</f>
        <v>8.0750702529104768</v>
      </c>
      <c r="E5" s="9">
        <f>VLOOKUP($A5,'RES installed'!$A$2:$C$7,3,FALSE)*'[1]Profiles, RES, Summer'!E$6</f>
        <v>7.298273785628262</v>
      </c>
      <c r="F5" s="9">
        <f>VLOOKUP($A5,'RES installed'!$A$2:$C$7,3,FALSE)*'[1]Profiles, RES, Summer'!F$6</f>
        <v>6.8285828984343633</v>
      </c>
      <c r="G5" s="9">
        <f>VLOOKUP($A5,'RES installed'!$A$2:$C$7,3,FALSE)*'[1]Profiles, RES, Summer'!G$6</f>
        <v>7.2501003613006825</v>
      </c>
      <c r="H5" s="9">
        <f>VLOOKUP($A5,'RES installed'!$A$2:$C$7,3,FALSE)*'[1]Profiles, RES, Summer'!H$6</f>
        <v>7.1718185467683657</v>
      </c>
      <c r="I5" s="9">
        <f>VLOOKUP($A5,'RES installed'!$A$2:$C$7,3,FALSE)*'[1]Profiles, RES, Summer'!I$6</f>
        <v>5.2870333199518269</v>
      </c>
      <c r="J5" s="9">
        <f>VLOOKUP($A5,'RES installed'!$A$2:$C$7,3,FALSE)*'[1]Profiles, RES, Summer'!J$6</f>
        <v>3.3841830590124449</v>
      </c>
      <c r="K5" s="9">
        <f>VLOOKUP($A5,'RES installed'!$A$2:$C$7,3,FALSE)*'[1]Profiles, RES, Summer'!K$6</f>
        <v>2.4628663187474906</v>
      </c>
      <c r="L5" s="9">
        <f>VLOOKUP($A5,'RES installed'!$A$2:$C$7,3,FALSE)*'[1]Profiles, RES, Summer'!L$6</f>
        <v>1.8606985146527497</v>
      </c>
      <c r="M5" s="9">
        <f>VLOOKUP($A5,'RES installed'!$A$2:$C$7,3,FALSE)*'[1]Profiles, RES, Summer'!M$6</f>
        <v>1.746286631874749</v>
      </c>
      <c r="N5" s="9">
        <f>VLOOKUP($A5,'RES installed'!$A$2:$C$7,3,FALSE)*'[1]Profiles, RES, Summer'!N$6</f>
        <v>2.18586912886391</v>
      </c>
      <c r="O5" s="9">
        <f>VLOOKUP($A5,'RES installed'!$A$2:$C$7,3,FALSE)*'[1]Profiles, RES, Summer'!O$6</f>
        <v>2.8362103572862303</v>
      </c>
      <c r="P5" s="9">
        <f>VLOOKUP($A5,'RES installed'!$A$2:$C$7,3,FALSE)*'[1]Profiles, RES, Summer'!P$6</f>
        <v>4.0405459654757125</v>
      </c>
      <c r="Q5" s="9">
        <f>VLOOKUP($A5,'RES installed'!$A$2:$C$7,3,FALSE)*'[1]Profiles, RES, Summer'!Q$6</f>
        <v>5.1003613006824562</v>
      </c>
      <c r="R5" s="9">
        <f>VLOOKUP($A5,'RES installed'!$A$2:$C$7,3,FALSE)*'[1]Profiles, RES, Summer'!R$6</f>
        <v>6.1059815335206746</v>
      </c>
      <c r="S5" s="9">
        <f>VLOOKUP($A5,'RES installed'!$A$2:$C$7,3,FALSE)*'[1]Profiles, RES, Summer'!S$6</f>
        <v>6.5214773183460464</v>
      </c>
      <c r="T5" s="9">
        <f>VLOOKUP($A5,'RES installed'!$A$2:$C$7,3,FALSE)*'[1]Profiles, RES, Summer'!T$6</f>
        <v>6.2023283821758328</v>
      </c>
      <c r="U5" s="9">
        <f>VLOOKUP($A5,'RES installed'!$A$2:$C$7,3,FALSE)*'[1]Profiles, RES, Summer'!U$6</f>
        <v>6.015656362906463</v>
      </c>
      <c r="V5" s="9">
        <f>VLOOKUP($A5,'RES installed'!$A$2:$C$7,3,FALSE)*'[1]Profiles, RES, Summer'!V$6</f>
        <v>6.0337213970293053</v>
      </c>
      <c r="W5" s="9">
        <f>VLOOKUP($A5,'RES installed'!$A$2:$C$7,3,FALSE)*'[1]Profiles, RES, Summer'!W$6</f>
        <v>5.5459654757125652</v>
      </c>
      <c r="X5" s="9">
        <f>VLOOKUP($A5,'RES installed'!$A$2:$C$7,3,FALSE)*'[1]Profiles, RES, Summer'!X$6</f>
        <v>5.1425130469690892</v>
      </c>
      <c r="Y5" s="9">
        <f>VLOOKUP($A5,'RES installed'!$A$2:$C$7,3,FALSE)*'[1]Profiles, RES, Summer'!Y$6</f>
        <v>5.2328382175832999</v>
      </c>
    </row>
    <row r="6" spans="1:25" x14ac:dyDescent="0.3">
      <c r="A6" s="8">
        <v>5</v>
      </c>
      <c r="B6" s="9">
        <f>VLOOKUP($A6,'RES installed'!$A$2:$C$7,3,FALSE)*'[1]Profiles, RES, Summer'!B$6</f>
        <v>5.7005218787635492</v>
      </c>
      <c r="C6" s="9">
        <f>VLOOKUP($A6,'RES installed'!$A$2:$C$7,3,FALSE)*'[1]Profiles, RES, Summer'!C$6</f>
        <v>5.2950622240064229</v>
      </c>
      <c r="D6" s="9">
        <f>VLOOKUP($A6,'RES installed'!$A$2:$C$7,3,FALSE)*'[1]Profiles, RES, Summer'!D$6</f>
        <v>5.3833801686069851</v>
      </c>
      <c r="E6" s="9">
        <f>VLOOKUP($A6,'RES installed'!$A$2:$C$7,3,FALSE)*'[1]Profiles, RES, Summer'!E$6</f>
        <v>4.8655158570855077</v>
      </c>
      <c r="F6" s="9">
        <f>VLOOKUP($A6,'RES installed'!$A$2:$C$7,3,FALSE)*'[1]Profiles, RES, Summer'!F$6</f>
        <v>4.5523885989562425</v>
      </c>
      <c r="G6" s="9">
        <f>VLOOKUP($A6,'RES installed'!$A$2:$C$7,3,FALSE)*'[1]Profiles, RES, Summer'!G$6</f>
        <v>4.8334002408671219</v>
      </c>
      <c r="H6" s="9">
        <f>VLOOKUP($A6,'RES installed'!$A$2:$C$7,3,FALSE)*'[1]Profiles, RES, Summer'!H$6</f>
        <v>4.7812123645122444</v>
      </c>
      <c r="I6" s="9">
        <f>VLOOKUP($A6,'RES installed'!$A$2:$C$7,3,FALSE)*'[1]Profiles, RES, Summer'!I$6</f>
        <v>3.5246888799678846</v>
      </c>
      <c r="J6" s="9">
        <f>VLOOKUP($A6,'RES installed'!$A$2:$C$7,3,FALSE)*'[1]Profiles, RES, Summer'!J$6</f>
        <v>2.2561220393416299</v>
      </c>
      <c r="K6" s="9">
        <f>VLOOKUP($A6,'RES installed'!$A$2:$C$7,3,FALSE)*'[1]Profiles, RES, Summer'!K$6</f>
        <v>1.6419108791649939</v>
      </c>
      <c r="L6" s="9">
        <f>VLOOKUP($A6,'RES installed'!$A$2:$C$7,3,FALSE)*'[1]Profiles, RES, Summer'!L$6</f>
        <v>1.2404656764351665</v>
      </c>
      <c r="M6" s="9">
        <f>VLOOKUP($A6,'RES installed'!$A$2:$C$7,3,FALSE)*'[1]Profiles, RES, Summer'!M$6</f>
        <v>1.1641910879164994</v>
      </c>
      <c r="N6" s="9">
        <f>VLOOKUP($A6,'RES installed'!$A$2:$C$7,3,FALSE)*'[1]Profiles, RES, Summer'!N$6</f>
        <v>1.4572460859092735</v>
      </c>
      <c r="O6" s="9">
        <f>VLOOKUP($A6,'RES installed'!$A$2:$C$7,3,FALSE)*'[1]Profiles, RES, Summer'!O$6</f>
        <v>1.8908069048574869</v>
      </c>
      <c r="P6" s="9">
        <f>VLOOKUP($A6,'RES installed'!$A$2:$C$7,3,FALSE)*'[1]Profiles, RES, Summer'!P$6</f>
        <v>2.693697310317142</v>
      </c>
      <c r="Q6" s="9">
        <f>VLOOKUP($A6,'RES installed'!$A$2:$C$7,3,FALSE)*'[1]Profiles, RES, Summer'!Q$6</f>
        <v>3.4002408671216378</v>
      </c>
      <c r="R6" s="9">
        <f>VLOOKUP($A6,'RES installed'!$A$2:$C$7,3,FALSE)*'[1]Profiles, RES, Summer'!R$6</f>
        <v>4.0706543556804498</v>
      </c>
      <c r="S6" s="9">
        <f>VLOOKUP($A6,'RES installed'!$A$2:$C$7,3,FALSE)*'[1]Profiles, RES, Summer'!S$6</f>
        <v>4.3476515455640303</v>
      </c>
      <c r="T6" s="9">
        <f>VLOOKUP($A6,'RES installed'!$A$2:$C$7,3,FALSE)*'[1]Profiles, RES, Summer'!T$6</f>
        <v>4.1348855881172222</v>
      </c>
      <c r="U6" s="9">
        <f>VLOOKUP($A6,'RES installed'!$A$2:$C$7,3,FALSE)*'[1]Profiles, RES, Summer'!U$6</f>
        <v>4.0104375752709753</v>
      </c>
      <c r="V6" s="9">
        <f>VLOOKUP($A6,'RES installed'!$A$2:$C$7,3,FALSE)*'[1]Profiles, RES, Summer'!V$6</f>
        <v>4.0224809313528702</v>
      </c>
      <c r="W6" s="9">
        <f>VLOOKUP($A6,'RES installed'!$A$2:$C$7,3,FALSE)*'[1]Profiles, RES, Summer'!W$6</f>
        <v>3.6973103171417101</v>
      </c>
      <c r="X6" s="9">
        <f>VLOOKUP($A6,'RES installed'!$A$2:$C$7,3,FALSE)*'[1]Profiles, RES, Summer'!X$6</f>
        <v>3.428342031312726</v>
      </c>
      <c r="Y6" s="9">
        <f>VLOOKUP($A6,'RES installed'!$A$2:$C$7,3,FALSE)*'[1]Profiles, RES, Summer'!Y$6</f>
        <v>3.4885588117221999</v>
      </c>
    </row>
    <row r="7" spans="1:25" x14ac:dyDescent="0.3">
      <c r="A7" s="8">
        <v>6</v>
      </c>
      <c r="B7" s="9">
        <f>VLOOKUP($A7,'RES installed'!$A$2:$C$7,3,FALSE)*'[1]Profiles, RES, Summer'!B$6</f>
        <v>8.5507828181453238</v>
      </c>
      <c r="C7" s="9">
        <f>VLOOKUP($A7,'RES installed'!$A$2:$C$7,3,FALSE)*'[1]Profiles, RES, Summer'!C$6</f>
        <v>7.9425933360096339</v>
      </c>
      <c r="D7" s="9">
        <f>VLOOKUP($A7,'RES installed'!$A$2:$C$7,3,FALSE)*'[1]Profiles, RES, Summer'!D$6</f>
        <v>8.0750702529104768</v>
      </c>
      <c r="E7" s="9">
        <f>VLOOKUP($A7,'RES installed'!$A$2:$C$7,3,FALSE)*'[1]Profiles, RES, Summer'!E$6</f>
        <v>7.298273785628262</v>
      </c>
      <c r="F7" s="9">
        <f>VLOOKUP($A7,'RES installed'!$A$2:$C$7,3,FALSE)*'[1]Profiles, RES, Summer'!F$6</f>
        <v>6.8285828984343633</v>
      </c>
      <c r="G7" s="9">
        <f>VLOOKUP($A7,'RES installed'!$A$2:$C$7,3,FALSE)*'[1]Profiles, RES, Summer'!G$6</f>
        <v>7.2501003613006825</v>
      </c>
      <c r="H7" s="9">
        <f>VLOOKUP($A7,'RES installed'!$A$2:$C$7,3,FALSE)*'[1]Profiles, RES, Summer'!H$6</f>
        <v>7.1718185467683657</v>
      </c>
      <c r="I7" s="9">
        <f>VLOOKUP($A7,'RES installed'!$A$2:$C$7,3,FALSE)*'[1]Profiles, RES, Summer'!I$6</f>
        <v>5.2870333199518269</v>
      </c>
      <c r="J7" s="9">
        <f>VLOOKUP($A7,'RES installed'!$A$2:$C$7,3,FALSE)*'[1]Profiles, RES, Summer'!J$6</f>
        <v>3.3841830590124449</v>
      </c>
      <c r="K7" s="9">
        <f>VLOOKUP($A7,'RES installed'!$A$2:$C$7,3,FALSE)*'[1]Profiles, RES, Summer'!K$6</f>
        <v>2.4628663187474906</v>
      </c>
      <c r="L7" s="9">
        <f>VLOOKUP($A7,'RES installed'!$A$2:$C$7,3,FALSE)*'[1]Profiles, RES, Summer'!L$6</f>
        <v>1.8606985146527497</v>
      </c>
      <c r="M7" s="9">
        <f>VLOOKUP($A7,'RES installed'!$A$2:$C$7,3,FALSE)*'[1]Profiles, RES, Summer'!M$6</f>
        <v>1.746286631874749</v>
      </c>
      <c r="N7" s="9">
        <f>VLOOKUP($A7,'RES installed'!$A$2:$C$7,3,FALSE)*'[1]Profiles, RES, Summer'!N$6</f>
        <v>2.18586912886391</v>
      </c>
      <c r="O7" s="9">
        <f>VLOOKUP($A7,'RES installed'!$A$2:$C$7,3,FALSE)*'[1]Profiles, RES, Summer'!O$6</f>
        <v>2.8362103572862303</v>
      </c>
      <c r="P7" s="9">
        <f>VLOOKUP($A7,'RES installed'!$A$2:$C$7,3,FALSE)*'[1]Profiles, RES, Summer'!P$6</f>
        <v>4.0405459654757125</v>
      </c>
      <c r="Q7" s="9">
        <f>VLOOKUP($A7,'RES installed'!$A$2:$C$7,3,FALSE)*'[1]Profiles, RES, Summer'!Q$6</f>
        <v>5.1003613006824562</v>
      </c>
      <c r="R7" s="9">
        <f>VLOOKUP($A7,'RES installed'!$A$2:$C$7,3,FALSE)*'[1]Profiles, RES, Summer'!R$6</f>
        <v>6.1059815335206746</v>
      </c>
      <c r="S7" s="9">
        <f>VLOOKUP($A7,'RES installed'!$A$2:$C$7,3,FALSE)*'[1]Profiles, RES, Summer'!S$6</f>
        <v>6.5214773183460464</v>
      </c>
      <c r="T7" s="9">
        <f>VLOOKUP($A7,'RES installed'!$A$2:$C$7,3,FALSE)*'[1]Profiles, RES, Summer'!T$6</f>
        <v>6.2023283821758328</v>
      </c>
      <c r="U7" s="9">
        <f>VLOOKUP($A7,'RES installed'!$A$2:$C$7,3,FALSE)*'[1]Profiles, RES, Summer'!U$6</f>
        <v>6.015656362906463</v>
      </c>
      <c r="V7" s="9">
        <f>VLOOKUP($A7,'RES installed'!$A$2:$C$7,3,FALSE)*'[1]Profiles, RES, Summer'!V$6</f>
        <v>6.0337213970293053</v>
      </c>
      <c r="W7" s="9">
        <f>VLOOKUP($A7,'RES installed'!$A$2:$C$7,3,FALSE)*'[1]Profiles, RES, Summer'!W$6</f>
        <v>5.5459654757125652</v>
      </c>
      <c r="X7" s="9">
        <f>VLOOKUP($A7,'RES installed'!$A$2:$C$7,3,FALSE)*'[1]Profiles, RES, Summer'!X$6</f>
        <v>5.1425130469690892</v>
      </c>
      <c r="Y7" s="9">
        <f>VLOOKUP($A7,'RES installed'!$A$2:$C$7,3,FALSE)*'[1]Profiles, RES, Summer'!Y$6</f>
        <v>5.2328382175832999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5.6861258529188781E-2</v>
      </c>
      <c r="H8" s="6">
        <f>VLOOKUP($A8,'RES installed'!$A$2:$C$7,3,FALSE)*'[1]Profiles, RES, Summer'!H$3</f>
        <v>2.3995451099317662</v>
      </c>
      <c r="I8" s="6">
        <f>VLOOKUP($A8,'RES installed'!$A$2:$C$7,3,FALSE)*'[1]Profiles, RES, Summer'!I$3</f>
        <v>9.6550416982562552</v>
      </c>
      <c r="J8" s="6">
        <f>VLOOKUP($A8,'RES installed'!$A$2:$C$7,3,FALSE)*'[1]Profiles, RES, Summer'!J$3</f>
        <v>17.649734647460196</v>
      </c>
      <c r="K8" s="6">
        <f>VLOOKUP($A8,'RES installed'!$A$2:$C$7,3,FALSE)*'[1]Profiles, RES, Summer'!K$3</f>
        <v>23.21076573161486</v>
      </c>
      <c r="L8" s="6">
        <f>VLOOKUP($A8,'RES installed'!$A$2:$C$7,3,FALSE)*'[1]Profiles, RES, Summer'!L$3</f>
        <v>26.997725549658831</v>
      </c>
      <c r="M8" s="6">
        <f>VLOOKUP($A8,'RES installed'!$A$2:$C$7,3,FALSE)*'[1]Profiles, RES, Summer'!M$3</f>
        <v>28.396512509476878</v>
      </c>
      <c r="N8" s="6">
        <f>VLOOKUP($A8,'RES installed'!$A$2:$C$7,3,FALSE)*'[1]Profiles, RES, Summer'!N$3</f>
        <v>28.476118271417739</v>
      </c>
      <c r="O8" s="6">
        <f>VLOOKUP($A8,'RES installed'!$A$2:$C$7,3,FALSE)*'[1]Profiles, RES, Summer'!O$3</f>
        <v>27.873388931008339</v>
      </c>
      <c r="P8" s="6">
        <f>VLOOKUP($A8,'RES installed'!$A$2:$C$7,3,FALSE)*'[1]Profiles, RES, Summer'!P$3</f>
        <v>26.986353297952995</v>
      </c>
      <c r="Q8" s="6">
        <f>VLOOKUP($A8,'RES installed'!$A$2:$C$7,3,FALSE)*'[1]Profiles, RES, Summer'!Q$3</f>
        <v>24.075056861258528</v>
      </c>
      <c r="R8" s="6">
        <f>VLOOKUP($A8,'RES installed'!$A$2:$C$7,3,FALSE)*'[1]Profiles, RES, Summer'!R$3</f>
        <v>19.332827899924187</v>
      </c>
      <c r="S8" s="6">
        <f>VLOOKUP($A8,'RES installed'!$A$2:$C$7,3,FALSE)*'[1]Profiles, RES, Summer'!S$3</f>
        <v>12.122820318423049</v>
      </c>
      <c r="T8" s="6">
        <f>VLOOKUP($A8,'RES installed'!$A$2:$C$7,3,FALSE)*'[1]Profiles, RES, Summer'!T$3</f>
        <v>3.9461713419257012</v>
      </c>
      <c r="U8" s="6">
        <f>VLOOKUP($A8,'RES installed'!$A$2:$C$7,3,FALSE)*'[1]Profiles, RES, Summer'!U$3</f>
        <v>0.26156178923426837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  <row r="9" spans="1:25" x14ac:dyDescent="0.3">
      <c r="A9" s="5">
        <v>8</v>
      </c>
      <c r="B9" s="6">
        <f>VLOOKUP($A9,'RES installed'!$A$2:$C$7,3,FALSE)*'[1]Profiles, RES, Summer'!B$3</f>
        <v>0</v>
      </c>
      <c r="C9" s="6">
        <f>VLOOKUP($A9,'RES installed'!$A$2:$C$7,3,FALSE)*'[1]Profiles, RES, Summer'!C$3</f>
        <v>0</v>
      </c>
      <c r="D9" s="6">
        <f>VLOOKUP($A9,'RES installed'!$A$2:$C$7,3,FALSE)*'[1]Profiles, RES, Summer'!D$3</f>
        <v>0</v>
      </c>
      <c r="E9" s="6">
        <f>VLOOKUP($A9,'RES installed'!$A$2:$C$7,3,FALSE)*'[1]Profiles, RES, Summer'!E$3</f>
        <v>0</v>
      </c>
      <c r="F9" s="6">
        <f>VLOOKUP($A9,'RES installed'!$A$2:$C$7,3,FALSE)*'[1]Profiles, RES, Summer'!F$3</f>
        <v>0</v>
      </c>
      <c r="G9" s="6">
        <f>VLOOKUP($A9,'RES installed'!$A$2:$C$7,3,FALSE)*'[1]Profiles, RES, Summer'!G$3</f>
        <v>1.8953752843062926E-2</v>
      </c>
      <c r="H9" s="6">
        <f>VLOOKUP($A9,'RES installed'!$A$2:$C$7,3,FALSE)*'[1]Profiles, RES, Summer'!H$3</f>
        <v>0.79984836997725539</v>
      </c>
      <c r="I9" s="6">
        <f>VLOOKUP($A9,'RES installed'!$A$2:$C$7,3,FALSE)*'[1]Profiles, RES, Summer'!I$3</f>
        <v>3.2183472327520852</v>
      </c>
      <c r="J9" s="6">
        <f>VLOOKUP($A9,'RES installed'!$A$2:$C$7,3,FALSE)*'[1]Profiles, RES, Summer'!J$3</f>
        <v>5.8832448824867321</v>
      </c>
      <c r="K9" s="6">
        <f>VLOOKUP($A9,'RES installed'!$A$2:$C$7,3,FALSE)*'[1]Profiles, RES, Summer'!K$3</f>
        <v>7.7369219105382872</v>
      </c>
      <c r="L9" s="6">
        <f>VLOOKUP($A9,'RES installed'!$A$2:$C$7,3,FALSE)*'[1]Profiles, RES, Summer'!L$3</f>
        <v>8.9992418498862765</v>
      </c>
      <c r="M9" s="6">
        <f>VLOOKUP($A9,'RES installed'!$A$2:$C$7,3,FALSE)*'[1]Profiles, RES, Summer'!M$3</f>
        <v>9.4655041698256266</v>
      </c>
      <c r="N9" s="6">
        <f>VLOOKUP($A9,'RES installed'!$A$2:$C$7,3,FALSE)*'[1]Profiles, RES, Summer'!N$3</f>
        <v>9.4920394238059131</v>
      </c>
      <c r="O9" s="6">
        <f>VLOOKUP($A9,'RES installed'!$A$2:$C$7,3,FALSE)*'[1]Profiles, RES, Summer'!O$3</f>
        <v>9.2911296436694464</v>
      </c>
      <c r="P9" s="6">
        <f>VLOOKUP($A9,'RES installed'!$A$2:$C$7,3,FALSE)*'[1]Profiles, RES, Summer'!P$3</f>
        <v>8.9954510993176644</v>
      </c>
      <c r="Q9" s="6">
        <f>VLOOKUP($A9,'RES installed'!$A$2:$C$7,3,FALSE)*'[1]Profiles, RES, Summer'!Q$3</f>
        <v>8.0250189537528431</v>
      </c>
      <c r="R9" s="6">
        <f>VLOOKUP($A9,'RES installed'!$A$2:$C$7,3,FALSE)*'[1]Profiles, RES, Summer'!R$3</f>
        <v>6.4442759666413956</v>
      </c>
      <c r="S9" s="6">
        <f>VLOOKUP($A9,'RES installed'!$A$2:$C$7,3,FALSE)*'[1]Profiles, RES, Summer'!S$3</f>
        <v>4.040940106141016</v>
      </c>
      <c r="T9" s="6">
        <f>VLOOKUP($A9,'RES installed'!$A$2:$C$7,3,FALSE)*'[1]Profiles, RES, Summer'!T$3</f>
        <v>1.3153904473085669</v>
      </c>
      <c r="U9" s="6">
        <f>VLOOKUP($A9,'RES installed'!$A$2:$C$7,3,FALSE)*'[1]Profiles, RES, Summer'!U$3</f>
        <v>8.7187263078089466E-2</v>
      </c>
      <c r="V9" s="6">
        <f>VLOOKUP($A9,'RES installed'!$A$2:$C$7,3,FALSE)*'[1]Profiles, RES, Summer'!V$3</f>
        <v>0</v>
      </c>
      <c r="W9" s="6">
        <f>VLOOKUP($A9,'RES installed'!$A$2:$C$7,3,FALSE)*'[1]Profiles, RES, Summer'!W$3</f>
        <v>0</v>
      </c>
      <c r="X9" s="6">
        <f>VLOOKUP($A9,'RES installed'!$A$2:$C$7,3,FALSE)*'[1]Profiles, RES, Summer'!X$3</f>
        <v>0</v>
      </c>
      <c r="Y9" s="6">
        <f>VLOOKUP($A9,'RES installed'!$A$2:$C$7,3,FALSE)*'[1]Profiles, RES, Summer'!Y$3</f>
        <v>0</v>
      </c>
    </row>
    <row r="10" spans="1:25" x14ac:dyDescent="0.3">
      <c r="A10" s="5">
        <v>9</v>
      </c>
      <c r="B10" s="6">
        <f>VLOOKUP($A10,'RES installed'!$A$2:$C$7,3,FALSE)*'[1]Profiles, RES, Summer'!B$3</f>
        <v>0</v>
      </c>
      <c r="C10" s="6">
        <f>VLOOKUP($A10,'RES installed'!$A$2:$C$7,3,FALSE)*'[1]Profiles, RES, Summer'!C$3</f>
        <v>0</v>
      </c>
      <c r="D10" s="6">
        <f>VLOOKUP($A10,'RES installed'!$A$2:$C$7,3,FALSE)*'[1]Profiles, RES, Summer'!D$3</f>
        <v>0</v>
      </c>
      <c r="E10" s="6">
        <f>VLOOKUP($A10,'RES installed'!$A$2:$C$7,3,FALSE)*'[1]Profiles, RES, Summer'!E$3</f>
        <v>0</v>
      </c>
      <c r="F10" s="6">
        <f>VLOOKUP($A10,'RES installed'!$A$2:$C$7,3,FALSE)*'[1]Profiles, RES, Summer'!F$3</f>
        <v>0</v>
      </c>
      <c r="G10" s="6">
        <f>VLOOKUP($A10,'RES installed'!$A$2:$C$7,3,FALSE)*'[1]Profiles, RES, Summer'!G$3</f>
        <v>3.7907505686125852E-2</v>
      </c>
      <c r="H10" s="6">
        <f>VLOOKUP($A10,'RES installed'!$A$2:$C$7,3,FALSE)*'[1]Profiles, RES, Summer'!H$3</f>
        <v>1.5996967399545108</v>
      </c>
      <c r="I10" s="6">
        <f>VLOOKUP($A10,'RES installed'!$A$2:$C$7,3,FALSE)*'[1]Profiles, RES, Summer'!I$3</f>
        <v>6.4366944655041705</v>
      </c>
      <c r="J10" s="6">
        <f>VLOOKUP($A10,'RES installed'!$A$2:$C$7,3,FALSE)*'[1]Profiles, RES, Summer'!J$3</f>
        <v>11.766489764973464</v>
      </c>
      <c r="K10" s="6">
        <f>VLOOKUP($A10,'RES installed'!$A$2:$C$7,3,FALSE)*'[1]Profiles, RES, Summer'!K$3</f>
        <v>15.473843821076574</v>
      </c>
      <c r="L10" s="6">
        <f>VLOOKUP($A10,'RES installed'!$A$2:$C$7,3,FALSE)*'[1]Profiles, RES, Summer'!L$3</f>
        <v>17.998483699772553</v>
      </c>
      <c r="M10" s="6">
        <f>VLOOKUP($A10,'RES installed'!$A$2:$C$7,3,FALSE)*'[1]Profiles, RES, Summer'!M$3</f>
        <v>18.931008339651253</v>
      </c>
      <c r="N10" s="6">
        <f>VLOOKUP($A10,'RES installed'!$A$2:$C$7,3,FALSE)*'[1]Profiles, RES, Summer'!N$3</f>
        <v>18.984078847611826</v>
      </c>
      <c r="O10" s="6">
        <f>VLOOKUP($A10,'RES installed'!$A$2:$C$7,3,FALSE)*'[1]Profiles, RES, Summer'!O$3</f>
        <v>18.582259287338893</v>
      </c>
      <c r="P10" s="6">
        <f>VLOOKUP($A10,'RES installed'!$A$2:$C$7,3,FALSE)*'[1]Profiles, RES, Summer'!P$3</f>
        <v>17.990902198635329</v>
      </c>
      <c r="Q10" s="6">
        <f>VLOOKUP($A10,'RES installed'!$A$2:$C$7,3,FALSE)*'[1]Profiles, RES, Summer'!Q$3</f>
        <v>16.050037907505686</v>
      </c>
      <c r="R10" s="6">
        <f>VLOOKUP($A10,'RES installed'!$A$2:$C$7,3,FALSE)*'[1]Profiles, RES, Summer'!R$3</f>
        <v>12.888551933282791</v>
      </c>
      <c r="S10" s="6">
        <f>VLOOKUP($A10,'RES installed'!$A$2:$C$7,3,FALSE)*'[1]Profiles, RES, Summer'!S$3</f>
        <v>8.0818802122820319</v>
      </c>
      <c r="T10" s="6">
        <f>VLOOKUP($A10,'RES installed'!$A$2:$C$7,3,FALSE)*'[1]Profiles, RES, Summer'!T$3</f>
        <v>2.6307808946171338</v>
      </c>
      <c r="U10" s="6">
        <f>VLOOKUP($A10,'RES installed'!$A$2:$C$7,3,FALSE)*'[1]Profiles, RES, Summer'!U$3</f>
        <v>0.17437452615617893</v>
      </c>
      <c r="V10" s="6">
        <f>VLOOKUP($A10,'RES installed'!$A$2:$C$7,3,FALSE)*'[1]Profiles, RES, Summer'!V$3</f>
        <v>0</v>
      </c>
      <c r="W10" s="6">
        <f>VLOOKUP($A10,'RES installed'!$A$2:$C$7,3,FALSE)*'[1]Profiles, RES, Summer'!W$3</f>
        <v>0</v>
      </c>
      <c r="X10" s="6">
        <f>VLOOKUP($A10,'RES installed'!$A$2:$C$7,3,FALSE)*'[1]Profiles, RES, Summer'!X$3</f>
        <v>0</v>
      </c>
      <c r="Y10" s="6">
        <f>VLOOKUP($A10,'RES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240F-3F68-4E99-9835-98D43081D49C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f>VLOOKUP($A5,'RES installed'!$A$2:$C$7,3,FALSE)*'[1]Profiles, RES, Summer'!B$7</f>
        <v>8.93014853472501</v>
      </c>
      <c r="C5" s="9">
        <f>VLOOKUP($A5,'RES installed'!$A$2:$C$7,3,FALSE)*'[1]Profiles, RES, Summer'!C$7</f>
        <v>8.0329185066238455</v>
      </c>
      <c r="D5" s="9">
        <f>VLOOKUP($A5,'RES installed'!$A$2:$C$7,3,FALSE)*'[1]Profiles, RES, Summer'!D$7</f>
        <v>6.7081493376154153</v>
      </c>
      <c r="E5" s="9">
        <f>VLOOKUP($A5,'RES installed'!$A$2:$C$7,3,FALSE)*'[1]Profiles, RES, Summer'!E$7</f>
        <v>6.340826977117624</v>
      </c>
      <c r="F5" s="9">
        <f>VLOOKUP($A5,'RES installed'!$A$2:$C$7,3,FALSE)*'[1]Profiles, RES, Summer'!F$7</f>
        <v>6.2384584504215175</v>
      </c>
      <c r="G5" s="9">
        <f>VLOOKUP($A5,'RES installed'!$A$2:$C$7,3,FALSE)*'[1]Profiles, RES, Summer'!G$7</f>
        <v>6.9971898835808908</v>
      </c>
      <c r="H5" s="9">
        <f>VLOOKUP($A5,'RES installed'!$A$2:$C$7,3,FALSE)*'[1]Profiles, RES, Summer'!H$7</f>
        <v>7.713769570453632</v>
      </c>
      <c r="I5" s="9">
        <f>VLOOKUP($A5,'RES installed'!$A$2:$C$7,3,FALSE)*'[1]Profiles, RES, Summer'!I$7</f>
        <v>7.9787234042553195</v>
      </c>
      <c r="J5" s="9">
        <f>VLOOKUP($A5,'RES installed'!$A$2:$C$7,3,FALSE)*'[1]Profiles, RES, Summer'!J$7</f>
        <v>6.4853472501003608</v>
      </c>
      <c r="K5" s="9">
        <f>VLOOKUP($A5,'RES installed'!$A$2:$C$7,3,FALSE)*'[1]Profiles, RES, Summer'!K$7</f>
        <v>5.0461661983139301</v>
      </c>
      <c r="L5" s="9">
        <f>VLOOKUP($A5,'RES installed'!$A$2:$C$7,3,FALSE)*'[1]Profiles, RES, Summer'!L$7</f>
        <v>4.5403452428743476</v>
      </c>
      <c r="M5" s="9">
        <f>VLOOKUP($A5,'RES installed'!$A$2:$C$7,3,FALSE)*'[1]Profiles, RES, Summer'!M$7</f>
        <v>4.0525893215576065</v>
      </c>
      <c r="N5" s="9">
        <f>VLOOKUP($A5,'RES installed'!$A$2:$C$7,3,FALSE)*'[1]Profiles, RES, Summer'!N$7</f>
        <v>4.3898032918506624</v>
      </c>
      <c r="O5" s="9">
        <f>VLOOKUP($A5,'RES installed'!$A$2:$C$7,3,FALSE)*'[1]Profiles, RES, Summer'!O$7</f>
        <v>5.8410276997189881</v>
      </c>
      <c r="P5" s="9">
        <f>VLOOKUP($A5,'RES installed'!$A$2:$C$7,3,FALSE)*'[1]Profiles, RES, Summer'!P$7</f>
        <v>7.3464472099558407</v>
      </c>
      <c r="Q5" s="9">
        <f>VLOOKUP($A5,'RES installed'!$A$2:$C$7,3,FALSE)*'[1]Profiles, RES, Summer'!Q$7</f>
        <v>7.7077478924126854</v>
      </c>
      <c r="R5" s="9">
        <f>VLOOKUP($A5,'RES installed'!$A$2:$C$7,3,FALSE)*'[1]Profiles, RES, Summer'!R$7</f>
        <v>8.3219590525893228</v>
      </c>
      <c r="S5" s="9">
        <f>VLOOKUP($A5,'RES installed'!$A$2:$C$7,3,FALSE)*'[1]Profiles, RES, Summer'!S$7</f>
        <v>8.6591730228823778</v>
      </c>
      <c r="T5" s="9">
        <f>VLOOKUP($A5,'RES installed'!$A$2:$C$7,3,FALSE)*'[1]Profiles, RES, Summer'!T$7</f>
        <v>8.8759534323564839</v>
      </c>
      <c r="U5" s="9">
        <f>VLOOKUP($A5,'RES installed'!$A$2:$C$7,3,FALSE)*'[1]Profiles, RES, Summer'!U$7</f>
        <v>10.170614211160176</v>
      </c>
      <c r="V5" s="9">
        <f>VLOOKUP($A5,'RES installed'!$A$2:$C$7,3,FALSE)*'[1]Profiles, RES, Summer'!V$7</f>
        <v>11.44118827780008</v>
      </c>
      <c r="W5" s="9">
        <f>VLOOKUP($A5,'RES installed'!$A$2:$C$7,3,FALSE)*'[1]Profiles, RES, Summer'!W$7</f>
        <v>11.049779205138497</v>
      </c>
      <c r="X5" s="9">
        <f>VLOOKUP($A5,'RES installed'!$A$2:$C$7,3,FALSE)*'[1]Profiles, RES, Summer'!X$7</f>
        <v>10.4656764351666</v>
      </c>
      <c r="Y5" s="9">
        <f>VLOOKUP($A5,'RES installed'!$A$2:$C$7,3,FALSE)*'[1]Profiles, RES, Summer'!Y$7</f>
        <v>10.27900441589723</v>
      </c>
    </row>
    <row r="6" spans="1:25" x14ac:dyDescent="0.3">
      <c r="A6" s="8">
        <v>5</v>
      </c>
      <c r="B6" s="9">
        <f>VLOOKUP($A6,'RES installed'!$A$2:$C$7,3,FALSE)*'[1]Profiles, RES, Summer'!B$7</f>
        <v>5.95343235648334</v>
      </c>
      <c r="C6" s="9">
        <f>VLOOKUP($A6,'RES installed'!$A$2:$C$7,3,FALSE)*'[1]Profiles, RES, Summer'!C$7</f>
        <v>5.3552790044158973</v>
      </c>
      <c r="D6" s="9">
        <f>VLOOKUP($A6,'RES installed'!$A$2:$C$7,3,FALSE)*'[1]Profiles, RES, Summer'!D$7</f>
        <v>4.4720995584102772</v>
      </c>
      <c r="E6" s="9">
        <f>VLOOKUP($A6,'RES installed'!$A$2:$C$7,3,FALSE)*'[1]Profiles, RES, Summer'!E$7</f>
        <v>4.2272179847450824</v>
      </c>
      <c r="F6" s="9">
        <f>VLOOKUP($A6,'RES installed'!$A$2:$C$7,3,FALSE)*'[1]Profiles, RES, Summer'!F$7</f>
        <v>4.1589723002810111</v>
      </c>
      <c r="G6" s="9">
        <f>VLOOKUP($A6,'RES installed'!$A$2:$C$7,3,FALSE)*'[1]Profiles, RES, Summer'!G$7</f>
        <v>4.6647932557205944</v>
      </c>
      <c r="H6" s="9">
        <f>VLOOKUP($A6,'RES installed'!$A$2:$C$7,3,FALSE)*'[1]Profiles, RES, Summer'!H$7</f>
        <v>5.1425130469690883</v>
      </c>
      <c r="I6" s="9">
        <f>VLOOKUP($A6,'RES installed'!$A$2:$C$7,3,FALSE)*'[1]Profiles, RES, Summer'!I$7</f>
        <v>5.3191489361702127</v>
      </c>
      <c r="J6" s="9">
        <f>VLOOKUP($A6,'RES installed'!$A$2:$C$7,3,FALSE)*'[1]Profiles, RES, Summer'!J$7</f>
        <v>4.3235648334002406</v>
      </c>
      <c r="K6" s="9">
        <f>VLOOKUP($A6,'RES installed'!$A$2:$C$7,3,FALSE)*'[1]Profiles, RES, Summer'!K$7</f>
        <v>3.3641107988759531</v>
      </c>
      <c r="L6" s="9">
        <f>VLOOKUP($A6,'RES installed'!$A$2:$C$7,3,FALSE)*'[1]Profiles, RES, Summer'!L$7</f>
        <v>3.0268968285828985</v>
      </c>
      <c r="M6" s="9">
        <f>VLOOKUP($A6,'RES installed'!$A$2:$C$7,3,FALSE)*'[1]Profiles, RES, Summer'!M$7</f>
        <v>2.701726214371738</v>
      </c>
      <c r="N6" s="9">
        <f>VLOOKUP($A6,'RES installed'!$A$2:$C$7,3,FALSE)*'[1]Profiles, RES, Summer'!N$7</f>
        <v>2.9265355279004419</v>
      </c>
      <c r="O6" s="9">
        <f>VLOOKUP($A6,'RES installed'!$A$2:$C$7,3,FALSE)*'[1]Profiles, RES, Summer'!O$7</f>
        <v>3.8940184664793254</v>
      </c>
      <c r="P6" s="9">
        <f>VLOOKUP($A6,'RES installed'!$A$2:$C$7,3,FALSE)*'[1]Profiles, RES, Summer'!P$7</f>
        <v>4.8976314733038944</v>
      </c>
      <c r="Q6" s="9">
        <f>VLOOKUP($A6,'RES installed'!$A$2:$C$7,3,FALSE)*'[1]Profiles, RES, Summer'!Q$7</f>
        <v>5.1384985949417903</v>
      </c>
      <c r="R6" s="9">
        <f>VLOOKUP($A6,'RES installed'!$A$2:$C$7,3,FALSE)*'[1]Profiles, RES, Summer'!R$7</f>
        <v>5.5479727017262146</v>
      </c>
      <c r="S6" s="9">
        <f>VLOOKUP($A6,'RES installed'!$A$2:$C$7,3,FALSE)*'[1]Profiles, RES, Summer'!S$7</f>
        <v>5.7727820152549185</v>
      </c>
      <c r="T6" s="9">
        <f>VLOOKUP($A6,'RES installed'!$A$2:$C$7,3,FALSE)*'[1]Profiles, RES, Summer'!T$7</f>
        <v>5.9173022882376554</v>
      </c>
      <c r="U6" s="9">
        <f>VLOOKUP($A6,'RES installed'!$A$2:$C$7,3,FALSE)*'[1]Profiles, RES, Summer'!U$7</f>
        <v>6.7804094741067846</v>
      </c>
      <c r="V6" s="9">
        <f>VLOOKUP($A6,'RES installed'!$A$2:$C$7,3,FALSE)*'[1]Profiles, RES, Summer'!V$7</f>
        <v>7.6274588518667201</v>
      </c>
      <c r="W6" s="9">
        <f>VLOOKUP($A6,'RES installed'!$A$2:$C$7,3,FALSE)*'[1]Profiles, RES, Summer'!W$7</f>
        <v>7.3665194700923315</v>
      </c>
      <c r="X6" s="9">
        <f>VLOOKUP($A6,'RES installed'!$A$2:$C$7,3,FALSE)*'[1]Profiles, RES, Summer'!X$7</f>
        <v>6.9771176234443999</v>
      </c>
      <c r="Y6" s="9">
        <f>VLOOKUP($A6,'RES installed'!$A$2:$C$7,3,FALSE)*'[1]Profiles, RES, Summer'!Y$7</f>
        <v>6.852669610598153</v>
      </c>
    </row>
    <row r="7" spans="1:25" x14ac:dyDescent="0.3">
      <c r="A7" s="8">
        <v>6</v>
      </c>
      <c r="B7" s="9">
        <f>VLOOKUP($A7,'RES installed'!$A$2:$C$7,3,FALSE)*'[1]Profiles, RES, Summer'!B$7</f>
        <v>8.93014853472501</v>
      </c>
      <c r="C7" s="9">
        <f>VLOOKUP($A7,'RES installed'!$A$2:$C$7,3,FALSE)*'[1]Profiles, RES, Summer'!C$7</f>
        <v>8.0329185066238455</v>
      </c>
      <c r="D7" s="9">
        <f>VLOOKUP($A7,'RES installed'!$A$2:$C$7,3,FALSE)*'[1]Profiles, RES, Summer'!D$7</f>
        <v>6.7081493376154153</v>
      </c>
      <c r="E7" s="9">
        <f>VLOOKUP($A7,'RES installed'!$A$2:$C$7,3,FALSE)*'[1]Profiles, RES, Summer'!E$7</f>
        <v>6.340826977117624</v>
      </c>
      <c r="F7" s="9">
        <f>VLOOKUP($A7,'RES installed'!$A$2:$C$7,3,FALSE)*'[1]Profiles, RES, Summer'!F$7</f>
        <v>6.2384584504215175</v>
      </c>
      <c r="G7" s="9">
        <f>VLOOKUP($A7,'RES installed'!$A$2:$C$7,3,FALSE)*'[1]Profiles, RES, Summer'!G$7</f>
        <v>6.9971898835808908</v>
      </c>
      <c r="H7" s="9">
        <f>VLOOKUP($A7,'RES installed'!$A$2:$C$7,3,FALSE)*'[1]Profiles, RES, Summer'!H$7</f>
        <v>7.713769570453632</v>
      </c>
      <c r="I7" s="9">
        <f>VLOOKUP($A7,'RES installed'!$A$2:$C$7,3,FALSE)*'[1]Profiles, RES, Summer'!I$7</f>
        <v>7.9787234042553195</v>
      </c>
      <c r="J7" s="9">
        <f>VLOOKUP($A7,'RES installed'!$A$2:$C$7,3,FALSE)*'[1]Profiles, RES, Summer'!J$7</f>
        <v>6.4853472501003608</v>
      </c>
      <c r="K7" s="9">
        <f>VLOOKUP($A7,'RES installed'!$A$2:$C$7,3,FALSE)*'[1]Profiles, RES, Summer'!K$7</f>
        <v>5.0461661983139301</v>
      </c>
      <c r="L7" s="9">
        <f>VLOOKUP($A7,'RES installed'!$A$2:$C$7,3,FALSE)*'[1]Profiles, RES, Summer'!L$7</f>
        <v>4.5403452428743476</v>
      </c>
      <c r="M7" s="9">
        <f>VLOOKUP($A7,'RES installed'!$A$2:$C$7,3,FALSE)*'[1]Profiles, RES, Summer'!M$7</f>
        <v>4.0525893215576065</v>
      </c>
      <c r="N7" s="9">
        <f>VLOOKUP($A7,'RES installed'!$A$2:$C$7,3,FALSE)*'[1]Profiles, RES, Summer'!N$7</f>
        <v>4.3898032918506624</v>
      </c>
      <c r="O7" s="9">
        <f>VLOOKUP($A7,'RES installed'!$A$2:$C$7,3,FALSE)*'[1]Profiles, RES, Summer'!O$7</f>
        <v>5.8410276997189881</v>
      </c>
      <c r="P7" s="9">
        <f>VLOOKUP($A7,'RES installed'!$A$2:$C$7,3,FALSE)*'[1]Profiles, RES, Summer'!P$7</f>
        <v>7.3464472099558407</v>
      </c>
      <c r="Q7" s="9">
        <f>VLOOKUP($A7,'RES installed'!$A$2:$C$7,3,FALSE)*'[1]Profiles, RES, Summer'!Q$7</f>
        <v>7.7077478924126854</v>
      </c>
      <c r="R7" s="9">
        <f>VLOOKUP($A7,'RES installed'!$A$2:$C$7,3,FALSE)*'[1]Profiles, RES, Summer'!R$7</f>
        <v>8.3219590525893228</v>
      </c>
      <c r="S7" s="9">
        <f>VLOOKUP($A7,'RES installed'!$A$2:$C$7,3,FALSE)*'[1]Profiles, RES, Summer'!S$7</f>
        <v>8.6591730228823778</v>
      </c>
      <c r="T7" s="9">
        <f>VLOOKUP($A7,'RES installed'!$A$2:$C$7,3,FALSE)*'[1]Profiles, RES, Summer'!T$7</f>
        <v>8.8759534323564839</v>
      </c>
      <c r="U7" s="9">
        <f>VLOOKUP($A7,'RES installed'!$A$2:$C$7,3,FALSE)*'[1]Profiles, RES, Summer'!U$7</f>
        <v>10.170614211160176</v>
      </c>
      <c r="V7" s="9">
        <f>VLOOKUP($A7,'RES installed'!$A$2:$C$7,3,FALSE)*'[1]Profiles, RES, Summer'!V$7</f>
        <v>11.44118827780008</v>
      </c>
      <c r="W7" s="9">
        <f>VLOOKUP($A7,'RES installed'!$A$2:$C$7,3,FALSE)*'[1]Profiles, RES, Summer'!W$7</f>
        <v>11.049779205138497</v>
      </c>
      <c r="X7" s="9">
        <f>VLOOKUP($A7,'RES installed'!$A$2:$C$7,3,FALSE)*'[1]Profiles, RES, Summer'!X$7</f>
        <v>10.4656764351666</v>
      </c>
      <c r="Y7" s="9">
        <f>VLOOKUP($A7,'RES installed'!$A$2:$C$7,3,FALSE)*'[1]Profiles, RES, Summer'!Y$7</f>
        <v>10.27900441589723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1.1372251705837756E-2</v>
      </c>
      <c r="H8" s="6">
        <f>VLOOKUP($A8,'RES installed'!$A$2:$C$7,3,FALSE)*'[1]Profiles, RES, Summer'!H$4</f>
        <v>1.398786959818044</v>
      </c>
      <c r="I8" s="6">
        <f>VLOOKUP($A8,'RES installed'!$A$2:$C$7,3,FALSE)*'[1]Profiles, RES, Summer'!I$4</f>
        <v>6.618650492797574</v>
      </c>
      <c r="J8" s="6">
        <f>VLOOKUP($A8,'RES installed'!$A$2:$C$7,3,FALSE)*'[1]Profiles, RES, Summer'!J$4</f>
        <v>14.408642911296438</v>
      </c>
      <c r="K8" s="6">
        <f>VLOOKUP($A8,'RES installed'!$A$2:$C$7,3,FALSE)*'[1]Profiles, RES, Summer'!K$4</f>
        <v>22.244124336618651</v>
      </c>
      <c r="L8" s="6">
        <f>VLOOKUP($A8,'RES installed'!$A$2:$C$7,3,FALSE)*'[1]Profiles, RES, Summer'!L$4</f>
        <v>27.304776345716451</v>
      </c>
      <c r="M8" s="6">
        <f>VLOOKUP($A8,'RES installed'!$A$2:$C$7,3,FALSE)*'[1]Profiles, RES, Summer'!M$4</f>
        <v>29.203942380591357</v>
      </c>
      <c r="N8" s="6">
        <f>VLOOKUP($A8,'RES installed'!$A$2:$C$7,3,FALSE)*'[1]Profiles, RES, Summer'!N$4</f>
        <v>30</v>
      </c>
      <c r="O8" s="6">
        <f>VLOOKUP($A8,'RES installed'!$A$2:$C$7,3,FALSE)*'[1]Profiles, RES, Summer'!O$4</f>
        <v>29.476876421531461</v>
      </c>
      <c r="P8" s="6">
        <f>VLOOKUP($A8,'RES installed'!$A$2:$C$7,3,FALSE)*'[1]Profiles, RES, Summer'!P$4</f>
        <v>27.987111448066717</v>
      </c>
      <c r="Q8" s="6">
        <f>VLOOKUP($A8,'RES installed'!$A$2:$C$7,3,FALSE)*'[1]Profiles, RES, Summer'!Q$4</f>
        <v>24.768764215314633</v>
      </c>
      <c r="R8" s="6">
        <f>VLOOKUP($A8,'RES installed'!$A$2:$C$7,3,FALSE)*'[1]Profiles, RES, Summer'!R$4</f>
        <v>19.457922668688401</v>
      </c>
      <c r="S8" s="6">
        <f>VLOOKUP($A8,'RES installed'!$A$2:$C$7,3,FALSE)*'[1]Profiles, RES, Summer'!S$4</f>
        <v>11.576952236542835</v>
      </c>
      <c r="T8" s="6">
        <f>VLOOKUP($A8,'RES installed'!$A$2:$C$7,3,FALSE)*'[1]Profiles, RES, Summer'!T$4</f>
        <v>3.5367702805155421</v>
      </c>
      <c r="U8" s="6">
        <f>VLOOKUP($A8,'RES installed'!$A$2:$C$7,3,FALSE)*'[1]Profiles, RES, Summer'!U$4</f>
        <v>0.1592115238817286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  <row r="9" spans="1:25" x14ac:dyDescent="0.3">
      <c r="A9" s="5">
        <v>8</v>
      </c>
      <c r="B9" s="6">
        <f>VLOOKUP($A9,'RES installed'!$A$2:$C$7,3,FALSE)*'[1]Profiles, RES, Summer'!B$4</f>
        <v>0</v>
      </c>
      <c r="C9" s="6">
        <f>VLOOKUP($A9,'RES installed'!$A$2:$C$7,3,FALSE)*'[1]Profiles, RES, Summer'!C$4</f>
        <v>0</v>
      </c>
      <c r="D9" s="6">
        <f>VLOOKUP($A9,'RES installed'!$A$2:$C$7,3,FALSE)*'[1]Profiles, RES, Summer'!D$4</f>
        <v>0</v>
      </c>
      <c r="E9" s="6">
        <f>VLOOKUP($A9,'RES installed'!$A$2:$C$7,3,FALSE)*'[1]Profiles, RES, Summer'!E$4</f>
        <v>0</v>
      </c>
      <c r="F9" s="6">
        <f>VLOOKUP($A9,'RES installed'!$A$2:$C$7,3,FALSE)*'[1]Profiles, RES, Summer'!F$4</f>
        <v>0</v>
      </c>
      <c r="G9" s="6">
        <f>VLOOKUP($A9,'RES installed'!$A$2:$C$7,3,FALSE)*'[1]Profiles, RES, Summer'!G$4</f>
        <v>3.7907505686125853E-3</v>
      </c>
      <c r="H9" s="6">
        <f>VLOOKUP($A9,'RES installed'!$A$2:$C$7,3,FALSE)*'[1]Profiles, RES, Summer'!H$4</f>
        <v>0.46626231993934797</v>
      </c>
      <c r="I9" s="6">
        <f>VLOOKUP($A9,'RES installed'!$A$2:$C$7,3,FALSE)*'[1]Profiles, RES, Summer'!I$4</f>
        <v>2.206216830932525</v>
      </c>
      <c r="J9" s="6">
        <f>VLOOKUP($A9,'RES installed'!$A$2:$C$7,3,FALSE)*'[1]Profiles, RES, Summer'!J$4</f>
        <v>4.8028809704321453</v>
      </c>
      <c r="K9" s="6">
        <f>VLOOKUP($A9,'RES installed'!$A$2:$C$7,3,FALSE)*'[1]Profiles, RES, Summer'!K$4</f>
        <v>7.4147081122062168</v>
      </c>
      <c r="L9" s="6">
        <f>VLOOKUP($A9,'RES installed'!$A$2:$C$7,3,FALSE)*'[1]Profiles, RES, Summer'!L$4</f>
        <v>9.1015921152388159</v>
      </c>
      <c r="M9" s="6">
        <f>VLOOKUP($A9,'RES installed'!$A$2:$C$7,3,FALSE)*'[1]Profiles, RES, Summer'!M$4</f>
        <v>9.7346474601971185</v>
      </c>
      <c r="N9" s="6">
        <f>VLOOKUP($A9,'RES installed'!$A$2:$C$7,3,FALSE)*'[1]Profiles, RES, Summer'!N$4</f>
        <v>10</v>
      </c>
      <c r="O9" s="6">
        <f>VLOOKUP($A9,'RES installed'!$A$2:$C$7,3,FALSE)*'[1]Profiles, RES, Summer'!O$4</f>
        <v>9.8256254738438216</v>
      </c>
      <c r="P9" s="6">
        <f>VLOOKUP($A9,'RES installed'!$A$2:$C$7,3,FALSE)*'[1]Profiles, RES, Summer'!P$4</f>
        <v>9.3290371493555728</v>
      </c>
      <c r="Q9" s="6">
        <f>VLOOKUP($A9,'RES installed'!$A$2:$C$7,3,FALSE)*'[1]Profiles, RES, Summer'!Q$4</f>
        <v>8.2562547384382121</v>
      </c>
      <c r="R9" s="6">
        <f>VLOOKUP($A9,'RES installed'!$A$2:$C$7,3,FALSE)*'[1]Profiles, RES, Summer'!R$4</f>
        <v>6.4859742228961341</v>
      </c>
      <c r="S9" s="6">
        <f>VLOOKUP($A9,'RES installed'!$A$2:$C$7,3,FALSE)*'[1]Profiles, RES, Summer'!S$4</f>
        <v>3.858984078847612</v>
      </c>
      <c r="T9" s="6">
        <f>VLOOKUP($A9,'RES installed'!$A$2:$C$7,3,FALSE)*'[1]Profiles, RES, Summer'!T$4</f>
        <v>1.178923426838514</v>
      </c>
      <c r="U9" s="6">
        <f>VLOOKUP($A9,'RES installed'!$A$2:$C$7,3,FALSE)*'[1]Profiles, RES, Summer'!U$4</f>
        <v>5.3070507960576198E-2</v>
      </c>
      <c r="V9" s="6">
        <f>VLOOKUP($A9,'RES installed'!$A$2:$C$7,3,FALSE)*'[1]Profiles, RES, Summer'!V$4</f>
        <v>0</v>
      </c>
      <c r="W9" s="6">
        <f>VLOOKUP($A9,'RES installed'!$A$2:$C$7,3,FALSE)*'[1]Profiles, RES, Summer'!W$4</f>
        <v>0</v>
      </c>
      <c r="X9" s="6">
        <f>VLOOKUP($A9,'RES installed'!$A$2:$C$7,3,FALSE)*'[1]Profiles, RES, Summer'!X$4</f>
        <v>0</v>
      </c>
      <c r="Y9" s="6">
        <f>VLOOKUP($A9,'RES installed'!$A$2:$C$7,3,FALSE)*'[1]Profiles, RES, Summer'!Y$4</f>
        <v>0</v>
      </c>
    </row>
    <row r="10" spans="1:25" x14ac:dyDescent="0.3">
      <c r="A10" s="5">
        <v>9</v>
      </c>
      <c r="B10" s="6">
        <f>VLOOKUP($A10,'RES installed'!$A$2:$C$7,3,FALSE)*'[1]Profiles, RES, Summer'!B$4</f>
        <v>0</v>
      </c>
      <c r="C10" s="6">
        <f>VLOOKUP($A10,'RES installed'!$A$2:$C$7,3,FALSE)*'[1]Profiles, RES, Summer'!C$4</f>
        <v>0</v>
      </c>
      <c r="D10" s="6">
        <f>VLOOKUP($A10,'RES installed'!$A$2:$C$7,3,FALSE)*'[1]Profiles, RES, Summer'!D$4</f>
        <v>0</v>
      </c>
      <c r="E10" s="6">
        <f>VLOOKUP($A10,'RES installed'!$A$2:$C$7,3,FALSE)*'[1]Profiles, RES, Summer'!E$4</f>
        <v>0</v>
      </c>
      <c r="F10" s="6">
        <f>VLOOKUP($A10,'RES installed'!$A$2:$C$7,3,FALSE)*'[1]Profiles, RES, Summer'!F$4</f>
        <v>0</v>
      </c>
      <c r="G10" s="6">
        <f>VLOOKUP($A10,'RES installed'!$A$2:$C$7,3,FALSE)*'[1]Profiles, RES, Summer'!G$4</f>
        <v>7.5815011372251705E-3</v>
      </c>
      <c r="H10" s="6">
        <f>VLOOKUP($A10,'RES installed'!$A$2:$C$7,3,FALSE)*'[1]Profiles, RES, Summer'!H$4</f>
        <v>0.93252463987869594</v>
      </c>
      <c r="I10" s="6">
        <f>VLOOKUP($A10,'RES installed'!$A$2:$C$7,3,FALSE)*'[1]Profiles, RES, Summer'!I$4</f>
        <v>4.4124336618650499</v>
      </c>
      <c r="J10" s="6">
        <f>VLOOKUP($A10,'RES installed'!$A$2:$C$7,3,FALSE)*'[1]Profiles, RES, Summer'!J$4</f>
        <v>9.6057619408642907</v>
      </c>
      <c r="K10" s="6">
        <f>VLOOKUP($A10,'RES installed'!$A$2:$C$7,3,FALSE)*'[1]Profiles, RES, Summer'!K$4</f>
        <v>14.829416224412434</v>
      </c>
      <c r="L10" s="6">
        <f>VLOOKUP($A10,'RES installed'!$A$2:$C$7,3,FALSE)*'[1]Profiles, RES, Summer'!L$4</f>
        <v>18.203184230477632</v>
      </c>
      <c r="M10" s="6">
        <f>VLOOKUP($A10,'RES installed'!$A$2:$C$7,3,FALSE)*'[1]Profiles, RES, Summer'!M$4</f>
        <v>19.469294920394237</v>
      </c>
      <c r="N10" s="6">
        <f>VLOOKUP($A10,'RES installed'!$A$2:$C$7,3,FALSE)*'[1]Profiles, RES, Summer'!N$4</f>
        <v>20</v>
      </c>
      <c r="O10" s="6">
        <f>VLOOKUP($A10,'RES installed'!$A$2:$C$7,3,FALSE)*'[1]Profiles, RES, Summer'!O$4</f>
        <v>19.651250947687643</v>
      </c>
      <c r="P10" s="6">
        <f>VLOOKUP($A10,'RES installed'!$A$2:$C$7,3,FALSE)*'[1]Profiles, RES, Summer'!P$4</f>
        <v>18.658074298711146</v>
      </c>
      <c r="Q10" s="6">
        <f>VLOOKUP($A10,'RES installed'!$A$2:$C$7,3,FALSE)*'[1]Profiles, RES, Summer'!Q$4</f>
        <v>16.512509476876424</v>
      </c>
      <c r="R10" s="6">
        <f>VLOOKUP($A10,'RES installed'!$A$2:$C$7,3,FALSE)*'[1]Profiles, RES, Summer'!R$4</f>
        <v>12.971948445792268</v>
      </c>
      <c r="S10" s="6">
        <f>VLOOKUP($A10,'RES installed'!$A$2:$C$7,3,FALSE)*'[1]Profiles, RES, Summer'!S$4</f>
        <v>7.7179681576952239</v>
      </c>
      <c r="T10" s="6">
        <f>VLOOKUP($A10,'RES installed'!$A$2:$C$7,3,FALSE)*'[1]Profiles, RES, Summer'!T$4</f>
        <v>2.3578468536770281</v>
      </c>
      <c r="U10" s="6">
        <f>VLOOKUP($A10,'RES installed'!$A$2:$C$7,3,FALSE)*'[1]Profiles, RES, Summer'!U$4</f>
        <v>0.1061410159211524</v>
      </c>
      <c r="V10" s="6">
        <f>VLOOKUP($A10,'RES installed'!$A$2:$C$7,3,FALSE)*'[1]Profiles, RES, Summer'!V$4</f>
        <v>0</v>
      </c>
      <c r="W10" s="6">
        <f>VLOOKUP($A10,'RES installed'!$A$2:$C$7,3,FALSE)*'[1]Profiles, RES, Summer'!W$4</f>
        <v>0</v>
      </c>
      <c r="X10" s="6">
        <f>VLOOKUP($A10,'RES installed'!$A$2:$C$7,3,FALSE)*'[1]Profiles, RES, Summer'!X$4</f>
        <v>0</v>
      </c>
      <c r="Y10" s="6">
        <f>VLOOKUP($A10,'RES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310E-3DB0-4C43-A82E-ED41E0D1FB34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BBA2-3995-4A96-B4C3-5711AF5AF9B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21A2-A9FA-46E1-AE16-7A197096CC8D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A15AD-4FA9-4630-A4FA-A501FABA5628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06378-35BA-4FD0-A744-E752A6BC7C87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C14FD-8154-4080-9D07-055678893CAB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7BD6-E866-483A-B517-30B00C56E19A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4B83-BAC8-4413-8A3C-4A5C2F786B33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8F3CB-EC41-4B40-BF24-79BC6C576CF2}">
  <dimension ref="A1:Y10"/>
  <sheetViews>
    <sheetView workbookViewId="0">
      <selection activeCell="B2" sqref="B2:Y10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</row>
    <row r="4" spans="1:25" x14ac:dyDescent="0.3">
      <c r="A4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8">
        <v>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">
      <c r="A7" s="8">
        <v>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spans="1:25" x14ac:dyDescent="0.3">
      <c r="A9" s="5">
        <v>8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</row>
    <row r="10" spans="1:25" x14ac:dyDescent="0.3">
      <c r="A10" s="5">
        <v>9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A48FA-B634-45EF-B224-4D781DFA4529}">
  <dimension ref="A1:Y10"/>
  <sheetViews>
    <sheetView workbookViewId="0">
      <selection activeCell="P27" sqref="P2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</row>
    <row r="4" spans="1:25" x14ac:dyDescent="0.3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8">
        <v>5</v>
      </c>
      <c r="B6" s="8">
        <v>1</v>
      </c>
      <c r="C6" s="8">
        <v>1</v>
      </c>
      <c r="D6" s="8">
        <v>1</v>
      </c>
      <c r="E6" s="8">
        <v>1</v>
      </c>
      <c r="F6" s="8">
        <v>1</v>
      </c>
      <c r="G6" s="8">
        <v>1</v>
      </c>
      <c r="H6" s="8">
        <v>1</v>
      </c>
      <c r="I6" s="8">
        <v>1</v>
      </c>
      <c r="J6" s="8">
        <v>1</v>
      </c>
      <c r="K6" s="8">
        <v>1</v>
      </c>
      <c r="L6" s="8">
        <v>1</v>
      </c>
      <c r="M6" s="8">
        <v>1</v>
      </c>
      <c r="N6" s="8">
        <v>1</v>
      </c>
      <c r="O6" s="8">
        <v>1</v>
      </c>
      <c r="P6" s="8">
        <v>1</v>
      </c>
      <c r="Q6" s="8">
        <v>1</v>
      </c>
      <c r="R6" s="8">
        <v>1</v>
      </c>
      <c r="S6" s="8">
        <v>1</v>
      </c>
      <c r="T6" s="8">
        <v>1</v>
      </c>
      <c r="U6" s="8">
        <v>1</v>
      </c>
      <c r="V6" s="8">
        <v>1</v>
      </c>
      <c r="W6" s="8">
        <v>1</v>
      </c>
      <c r="X6" s="8">
        <v>1</v>
      </c>
      <c r="Y6" s="8">
        <v>1</v>
      </c>
    </row>
    <row r="7" spans="1:25" x14ac:dyDescent="0.3">
      <c r="A7" s="8">
        <v>6</v>
      </c>
      <c r="B7" s="8">
        <v>1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1</v>
      </c>
      <c r="J7" s="8">
        <v>1</v>
      </c>
      <c r="K7" s="8">
        <v>1</v>
      </c>
      <c r="L7" s="8">
        <v>1</v>
      </c>
      <c r="M7" s="8">
        <v>1</v>
      </c>
      <c r="N7" s="8">
        <v>1</v>
      </c>
      <c r="O7" s="8">
        <v>1</v>
      </c>
      <c r="P7" s="8">
        <v>1</v>
      </c>
      <c r="Q7" s="8">
        <v>1</v>
      </c>
      <c r="R7" s="8">
        <v>1</v>
      </c>
      <c r="S7" s="8">
        <v>1</v>
      </c>
      <c r="T7" s="8">
        <v>1</v>
      </c>
      <c r="U7" s="8">
        <v>1</v>
      </c>
      <c r="V7" s="8">
        <v>1</v>
      </c>
      <c r="W7" s="8">
        <v>1</v>
      </c>
      <c r="X7" s="8">
        <v>1</v>
      </c>
      <c r="Y7" s="8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  <row r="9" spans="1:25" x14ac:dyDescent="0.3">
      <c r="A9" s="5">
        <v>8</v>
      </c>
      <c r="B9" s="5">
        <v>1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>
        <v>1</v>
      </c>
    </row>
    <row r="10" spans="1:25" x14ac:dyDescent="0.3">
      <c r="A10" s="5">
        <v>9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2025-01-25T10:37:27Z</dcterms:modified>
</cp:coreProperties>
</file>