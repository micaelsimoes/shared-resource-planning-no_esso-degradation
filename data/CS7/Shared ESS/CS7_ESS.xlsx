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Shared ESS\"/>
    </mc:Choice>
  </mc:AlternateContent>
  <xr:revisionPtr revIDLastSave="0" documentId="13_ncr:1_{4B6212F0-EFA8-48DA-83DE-61C2B31B91B2}" xr6:coauthVersionLast="47" xr6:coauthVersionMax="47" xr10:uidLastSave="{00000000-0000-0000-0000-000000000000}"/>
  <bookViews>
    <workbookView xWindow="67080" yWindow="-15210" windowWidth="38640" windowHeight="21120" activeTab="5" xr2:uid="{00000000-000D-0000-FFFF-FFFF00000000}"/>
  </bookViews>
  <sheets>
    <sheet name="Scenarios" sheetId="81" r:id="rId1"/>
    <sheet name="Conversion rate" sheetId="83" r:id="rId2"/>
    <sheet name="Cost breakdown NREL" sheetId="82" r:id="rId3"/>
    <sheet name="Investment Cost NREL, USD" sheetId="4" r:id="rId4"/>
    <sheet name="Investment Cost NREL, EUR" sheetId="84" r:id="rId5"/>
    <sheet name="Investment Cost, Power" sheetId="5" r:id="rId6"/>
    <sheet name="Investment Cost, Energy" sheetId="8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83" l="1"/>
  <c r="H3" i="84"/>
  <c r="D2" i="84"/>
  <c r="I3" i="84"/>
  <c r="T3" i="84"/>
  <c r="U3" i="84"/>
  <c r="AF3" i="84"/>
  <c r="Q4" i="84"/>
  <c r="AA4" i="84"/>
  <c r="AB4" i="84"/>
  <c r="AC4" i="84"/>
  <c r="P4" i="84" l="1"/>
  <c r="O4" i="84"/>
  <c r="E4" i="84"/>
  <c r="D4" i="84"/>
  <c r="D4" i="85" s="1"/>
  <c r="V3" i="84"/>
  <c r="V3" i="85" s="1"/>
  <c r="J3" i="84"/>
  <c r="U3" i="85"/>
  <c r="U3" i="5"/>
  <c r="J3" i="5"/>
  <c r="J3" i="85"/>
  <c r="H3" i="85"/>
  <c r="H3" i="5"/>
  <c r="AB4" i="5"/>
  <c r="AB4" i="85"/>
  <c r="Q4" i="5"/>
  <c r="Q4" i="85"/>
  <c r="P4" i="85"/>
  <c r="P4" i="5"/>
  <c r="E4" i="5"/>
  <c r="E4" i="85"/>
  <c r="AF3" i="5"/>
  <c r="AF3" i="85"/>
  <c r="T3" i="5"/>
  <c r="T3" i="85"/>
  <c r="I3" i="85"/>
  <c r="I3" i="5"/>
  <c r="AC4" i="5"/>
  <c r="AC4" i="85"/>
  <c r="AA4" i="85"/>
  <c r="AA4" i="5"/>
  <c r="O4" i="5"/>
  <c r="O4" i="85"/>
  <c r="D4" i="5"/>
  <c r="D2" i="85"/>
  <c r="D2" i="5"/>
  <c r="AA2" i="84"/>
  <c r="Z2" i="84"/>
  <c r="O2" i="84"/>
  <c r="N2" i="84"/>
  <c r="M2" i="84"/>
  <c r="B2" i="84"/>
  <c r="Z4" i="84"/>
  <c r="N4" i="84"/>
  <c r="AE3" i="84"/>
  <c r="S3" i="84"/>
  <c r="G3" i="84"/>
  <c r="X2" i="84"/>
  <c r="L2" i="84"/>
  <c r="K2" i="84"/>
  <c r="B3" i="84"/>
  <c r="X4" i="84"/>
  <c r="L4" i="84"/>
  <c r="AC3" i="84"/>
  <c r="Q3" i="84"/>
  <c r="E3" i="84"/>
  <c r="V2" i="84"/>
  <c r="J2" i="84"/>
  <c r="W2" i="84"/>
  <c r="C4" i="84"/>
  <c r="W4" i="84"/>
  <c r="K4" i="84"/>
  <c r="AB3" i="84"/>
  <c r="P3" i="84"/>
  <c r="D3" i="84"/>
  <c r="U2" i="84"/>
  <c r="I2" i="84"/>
  <c r="F3" i="84"/>
  <c r="C3" i="84"/>
  <c r="V4" i="84"/>
  <c r="J4" i="84"/>
  <c r="AA3" i="84"/>
  <c r="O3" i="84"/>
  <c r="AF2" i="84"/>
  <c r="T2" i="84"/>
  <c r="H2" i="84"/>
  <c r="R3" i="84"/>
  <c r="C2" i="84"/>
  <c r="U4" i="84"/>
  <c r="I4" i="84"/>
  <c r="Z3" i="84"/>
  <c r="N3" i="84"/>
  <c r="AE2" i="84"/>
  <c r="S2" i="84"/>
  <c r="G2" i="84"/>
  <c r="B4" i="84"/>
  <c r="M4" i="84"/>
  <c r="AF4" i="84"/>
  <c r="T4" i="84"/>
  <c r="H4" i="84"/>
  <c r="Y3" i="84"/>
  <c r="M3" i="84"/>
  <c r="AD2" i="84"/>
  <c r="R2" i="84"/>
  <c r="F2" i="84"/>
  <c r="Y2" i="84"/>
  <c r="AD3" i="84"/>
  <c r="AE4" i="84"/>
  <c r="S4" i="84"/>
  <c r="G4" i="84"/>
  <c r="X3" i="84"/>
  <c r="L3" i="84"/>
  <c r="AC2" i="84"/>
  <c r="Q2" i="84"/>
  <c r="E2" i="84"/>
  <c r="Y4" i="84"/>
  <c r="AD4" i="84"/>
  <c r="R4" i="84"/>
  <c r="F4" i="84"/>
  <c r="W3" i="84"/>
  <c r="K3" i="84"/>
  <c r="AB2" i="84"/>
  <c r="P2" i="84"/>
  <c r="V3" i="5" l="1"/>
  <c r="P2" i="5"/>
  <c r="P2" i="85"/>
  <c r="AD3" i="85"/>
  <c r="AD3" i="5"/>
  <c r="Z3" i="5"/>
  <c r="Z3" i="85"/>
  <c r="L2" i="5"/>
  <c r="L2" i="85"/>
  <c r="Y2" i="5"/>
  <c r="Y2" i="85"/>
  <c r="P3" i="5"/>
  <c r="P3" i="85"/>
  <c r="R2" i="85"/>
  <c r="R2" i="5"/>
  <c r="C2" i="85"/>
  <c r="C2" i="5"/>
  <c r="S3" i="5"/>
  <c r="S3" i="85"/>
  <c r="F4" i="85"/>
  <c r="F4" i="5"/>
  <c r="W4" i="5"/>
  <c r="W4" i="85"/>
  <c r="Y3" i="85"/>
  <c r="Y3" i="5"/>
  <c r="T2" i="85"/>
  <c r="T2" i="5"/>
  <c r="Z4" i="85"/>
  <c r="Z4" i="5"/>
  <c r="Y4" i="85"/>
  <c r="Y4" i="5"/>
  <c r="H4" i="85"/>
  <c r="H4" i="5"/>
  <c r="AF2" i="5"/>
  <c r="AF2" i="85"/>
  <c r="J2" i="5"/>
  <c r="J2" i="85"/>
  <c r="B2" i="5"/>
  <c r="B2" i="85"/>
  <c r="T4" i="5"/>
  <c r="T4" i="85"/>
  <c r="M2" i="5"/>
  <c r="M2" i="85"/>
  <c r="J4" i="85"/>
  <c r="J4" i="5"/>
  <c r="C3" i="5"/>
  <c r="C3" i="85"/>
  <c r="G4" i="85"/>
  <c r="G4" i="5"/>
  <c r="S2" i="5"/>
  <c r="S2" i="85"/>
  <c r="F3" i="5"/>
  <c r="F3" i="85"/>
  <c r="X4" i="5"/>
  <c r="X4" i="85"/>
  <c r="AB2" i="85"/>
  <c r="AB2" i="5"/>
  <c r="I4" i="85"/>
  <c r="I4" i="5"/>
  <c r="X2" i="5"/>
  <c r="X2" i="85"/>
  <c r="F2" i="85"/>
  <c r="F2" i="5"/>
  <c r="AD2" i="5"/>
  <c r="AD2" i="85"/>
  <c r="R3" i="5"/>
  <c r="R3" i="85"/>
  <c r="AE3" i="85"/>
  <c r="AE3" i="5"/>
  <c r="M3" i="5"/>
  <c r="M3" i="85"/>
  <c r="AF4" i="5"/>
  <c r="AF4" i="85"/>
  <c r="AA3" i="5"/>
  <c r="AA3" i="85"/>
  <c r="E3" i="85"/>
  <c r="E3" i="5"/>
  <c r="N2" i="5"/>
  <c r="N2" i="85"/>
  <c r="AC2" i="5"/>
  <c r="AC2" i="85"/>
  <c r="M4" i="5"/>
  <c r="M4" i="85"/>
  <c r="Q3" i="5"/>
  <c r="Q3" i="85"/>
  <c r="O2" i="5"/>
  <c r="O2" i="85"/>
  <c r="V4" i="85"/>
  <c r="V4" i="5"/>
  <c r="X3" i="85"/>
  <c r="X3" i="5"/>
  <c r="D3" i="85"/>
  <c r="D3" i="5"/>
  <c r="K3" i="5"/>
  <c r="K3" i="85"/>
  <c r="U4" i="5"/>
  <c r="U4" i="85"/>
  <c r="AB3" i="5"/>
  <c r="AB3" i="85"/>
  <c r="G3" i="85"/>
  <c r="G3" i="5"/>
  <c r="W3" i="85"/>
  <c r="W3" i="5"/>
  <c r="K4" i="85"/>
  <c r="K4" i="5"/>
  <c r="R4" i="5"/>
  <c r="R4" i="85"/>
  <c r="H2" i="5"/>
  <c r="H2" i="85"/>
  <c r="C4" i="5"/>
  <c r="C4" i="85"/>
  <c r="N4" i="5"/>
  <c r="N4" i="85"/>
  <c r="AD4" i="5"/>
  <c r="AD4" i="85"/>
  <c r="W2" i="5"/>
  <c r="W2" i="85"/>
  <c r="E2" i="85"/>
  <c r="E2" i="5"/>
  <c r="O3" i="85"/>
  <c r="O3" i="5"/>
  <c r="V2" i="85"/>
  <c r="V2" i="5"/>
  <c r="Q2" i="5"/>
  <c r="Q2" i="85"/>
  <c r="L3" i="5"/>
  <c r="L3" i="85"/>
  <c r="B4" i="85"/>
  <c r="B4" i="5"/>
  <c r="AC3" i="85"/>
  <c r="AC3" i="5"/>
  <c r="Z2" i="5"/>
  <c r="Z2" i="85"/>
  <c r="G2" i="85"/>
  <c r="G2" i="5"/>
  <c r="L4" i="5"/>
  <c r="L4" i="85"/>
  <c r="AA2" i="5"/>
  <c r="AA2" i="85"/>
  <c r="S4" i="5"/>
  <c r="S4" i="85"/>
  <c r="AE2" i="5"/>
  <c r="AE2" i="85"/>
  <c r="I2" i="5"/>
  <c r="I2" i="85"/>
  <c r="B3" i="5"/>
  <c r="B3" i="85"/>
  <c r="AE4" i="5"/>
  <c r="AE4" i="85"/>
  <c r="N3" i="5"/>
  <c r="N3" i="85"/>
  <c r="U2" i="85"/>
  <c r="U2" i="5"/>
  <c r="K2" i="5"/>
  <c r="K2" i="8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tc={CC977544-0E5C-4BBA-910C-B6EF7CE44BA6}</author>
  </authors>
  <commentList>
    <comment ref="B1" authorId="0" shapeId="0" xr:uid="{CC977544-0E5C-4BBA-910C-B6EF7CE44BA6}">
      <text>
        <t>[Threaded comment]
Your version of Excel allows you to read this threaded comment; however, any edits to it will get removed if the file is opened in a newer version of Excel. Learn more: https://go.microsoft.com/fwlink/?linkid=870924
Comment:
    60 MW, 140 MWh</t>
      </text>
    </comment>
  </commentList>
</comments>
</file>

<file path=xl/sharedStrings.xml><?xml version="1.0" encoding="utf-8"?>
<sst xmlns="http://schemas.openxmlformats.org/spreadsheetml/2006/main" count="29" uniqueCount="23">
  <si>
    <t>numScenarios</t>
  </si>
  <si>
    <t>Total Cost (4-h System), [$/KWh]</t>
  </si>
  <si>
    <t>Low Scenario</t>
  </si>
  <si>
    <t>Mid Scenario</t>
  </si>
  <si>
    <t>High Scenario</t>
  </si>
  <si>
    <t>Li-Ion Battery cabinet</t>
  </si>
  <si>
    <t>Component</t>
  </si>
  <si>
    <t>Cost, [$/kWh]</t>
  </si>
  <si>
    <t>Interconnection fee</t>
  </si>
  <si>
    <t>EPC/developer net profit</t>
  </si>
  <si>
    <t>EPC overhead</t>
  </si>
  <si>
    <t>Electrical BoS</t>
  </si>
  <si>
    <t>Developer overhead</t>
  </si>
  <si>
    <t>Contingency</t>
  </si>
  <si>
    <t>Battery central inverter</t>
  </si>
  <si>
    <t>Conversion rate</t>
  </si>
  <si>
    <t>Value, [$/€]</t>
  </si>
  <si>
    <t>S, [€/MVA]</t>
  </si>
  <si>
    <t>E, [€, MWh]</t>
  </si>
  <si>
    <t>Total Cost (4-h System), [€/KWh]</t>
  </si>
  <si>
    <t>Scenario 1</t>
  </si>
  <si>
    <t>Scenario 2</t>
  </si>
  <si>
    <t>Scenario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</si>
</sst>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2" fontId="0" fillId="0" borderId="0" xfId="0" applyNumberFormat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cael Filipe Simões" id="{1A8581CF-1C90-4290-87AA-AEC87108BD69}" userId="S::micael.f.simoes@office365.inesctec.pt::eda79a68-0a53-466c-b461-4273bef5ac4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06-19T10:39:49.33" personId="{1A8581CF-1C90-4290-87AA-AEC87108BD69}" id="{CC977544-0E5C-4BBA-910C-B6EF7CE44BA6}">
    <text>60 MW, 140 MWh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A88E-2477-46FD-BE5E-2BB647C1CD4A}">
  <dimension ref="A1:E1"/>
  <sheetViews>
    <sheetView workbookViewId="0">
      <selection activeCell="E15" sqref="E15"/>
    </sheetView>
  </sheetViews>
  <sheetFormatPr defaultRowHeight="14.4" x14ac:dyDescent="0.3"/>
  <sheetData>
    <row r="1" spans="1:5" x14ac:dyDescent="0.3">
      <c r="A1" t="s">
        <v>0</v>
      </c>
      <c r="B1">
        <v>3</v>
      </c>
      <c r="C1" s="1">
        <v>0.35</v>
      </c>
      <c r="D1" s="1">
        <v>0.55000000000000004</v>
      </c>
      <c r="E1" s="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B8E9-E001-4C19-AEEE-8FBC4B48A529}">
  <dimension ref="A1:C2"/>
  <sheetViews>
    <sheetView workbookViewId="0">
      <selection activeCell="B3" sqref="B3"/>
    </sheetView>
  </sheetViews>
  <sheetFormatPr defaultRowHeight="14.4" x14ac:dyDescent="0.3"/>
  <cols>
    <col min="1" max="1" width="14.6640625" bestFit="1" customWidth="1"/>
  </cols>
  <sheetData>
    <row r="1" spans="1:3" x14ac:dyDescent="0.3">
      <c r="B1" t="s">
        <v>16</v>
      </c>
    </row>
    <row r="2" spans="1:3" x14ac:dyDescent="0.3">
      <c r="A2" t="s">
        <v>15</v>
      </c>
      <c r="B2" s="4">
        <f>C2*10</f>
        <v>10.819000000000001</v>
      </c>
      <c r="C2">
        <v>1.0819000000000001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E267-467C-483D-8CCD-C38B5B3B7274}">
  <dimension ref="A1:B9"/>
  <sheetViews>
    <sheetView workbookViewId="0">
      <selection activeCell="C2" sqref="C2"/>
    </sheetView>
  </sheetViews>
  <sheetFormatPr defaultRowHeight="14.4" x14ac:dyDescent="0.3"/>
  <cols>
    <col min="1" max="1" width="23.5546875" bestFit="1" customWidth="1"/>
    <col min="2" max="2" width="13.33203125" bestFit="1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5</v>
      </c>
      <c r="B2">
        <v>270.22000000000003</v>
      </c>
    </row>
    <row r="3" spans="1:2" x14ac:dyDescent="0.3">
      <c r="A3" t="s">
        <v>8</v>
      </c>
      <c r="B3">
        <v>5.69</v>
      </c>
    </row>
    <row r="4" spans="1:2" x14ac:dyDescent="0.3">
      <c r="A4" t="s">
        <v>9</v>
      </c>
      <c r="B4">
        <v>20.94</v>
      </c>
    </row>
    <row r="5" spans="1:2" x14ac:dyDescent="0.3">
      <c r="A5" t="s">
        <v>10</v>
      </c>
      <c r="B5">
        <v>11.73</v>
      </c>
    </row>
    <row r="6" spans="1:2" x14ac:dyDescent="0.3">
      <c r="A6" t="s">
        <v>11</v>
      </c>
      <c r="B6">
        <v>44.84</v>
      </c>
    </row>
    <row r="7" spans="1:2" x14ac:dyDescent="0.3">
      <c r="A7" t="s">
        <v>12</v>
      </c>
      <c r="B7">
        <v>23.09</v>
      </c>
    </row>
    <row r="8" spans="1:2" x14ac:dyDescent="0.3">
      <c r="A8" t="s">
        <v>13</v>
      </c>
      <c r="B8">
        <v>10.95</v>
      </c>
    </row>
    <row r="9" spans="1:2" x14ac:dyDescent="0.3">
      <c r="A9" t="s">
        <v>14</v>
      </c>
      <c r="B9">
        <v>24.38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F002-C479-4585-BB53-0E4A987995C6}">
  <dimension ref="A1:AF4"/>
  <sheetViews>
    <sheetView workbookViewId="0">
      <selection activeCell="C4" sqref="C4"/>
    </sheetView>
  </sheetViews>
  <sheetFormatPr defaultRowHeight="14.4" x14ac:dyDescent="0.3"/>
  <cols>
    <col min="1" max="1" width="30.44140625" bestFit="1" customWidth="1"/>
  </cols>
  <sheetData>
    <row r="1" spans="1:32" x14ac:dyDescent="0.3">
      <c r="A1" t="s">
        <v>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">
      <c r="A2" t="s">
        <v>2</v>
      </c>
      <c r="B2" s="3">
        <v>1587.252</v>
      </c>
      <c r="C2" s="2">
        <v>1587.252</v>
      </c>
      <c r="D2" s="2">
        <v>1784</v>
      </c>
      <c r="E2" s="2">
        <v>1283.4090000000001</v>
      </c>
      <c r="F2" s="2">
        <v>1211.3689999999999</v>
      </c>
      <c r="G2" s="2">
        <v>1149.7380000000001</v>
      </c>
      <c r="H2" s="2">
        <v>1100.9359999999999</v>
      </c>
      <c r="I2" s="2">
        <v>1052.134</v>
      </c>
      <c r="J2" s="2">
        <v>1003.332</v>
      </c>
      <c r="K2" s="2">
        <v>954.52800000000002</v>
      </c>
      <c r="L2" s="2">
        <v>905.74199999999996</v>
      </c>
      <c r="M2" s="2">
        <v>889.86099999999999</v>
      </c>
      <c r="N2" s="2">
        <v>873.98</v>
      </c>
      <c r="O2" s="2">
        <v>858.08399999999995</v>
      </c>
      <c r="P2" s="2">
        <v>842.20399999999995</v>
      </c>
      <c r="Q2" s="2">
        <v>826.34</v>
      </c>
      <c r="R2" s="2">
        <v>810.44299999999998</v>
      </c>
      <c r="S2" s="2">
        <v>794.56299999999999</v>
      </c>
      <c r="T2" s="2">
        <v>778.68200000000002</v>
      </c>
      <c r="U2" s="2">
        <v>762.80200000000002</v>
      </c>
      <c r="V2" s="2">
        <v>746.90499999999997</v>
      </c>
      <c r="W2" s="2">
        <v>731.02499999999998</v>
      </c>
      <c r="X2" s="2">
        <v>715.16099999999994</v>
      </c>
      <c r="Y2" s="2">
        <v>699.28099999999995</v>
      </c>
      <c r="Z2" s="2">
        <v>683.38400000000001</v>
      </c>
      <c r="AA2" s="2">
        <v>667.50300000000004</v>
      </c>
      <c r="AB2" s="2">
        <v>651.62300000000005</v>
      </c>
      <c r="AC2" s="2">
        <v>635.74199999999996</v>
      </c>
      <c r="AD2" s="2">
        <v>619.84500000000003</v>
      </c>
      <c r="AE2" s="2">
        <v>603.96500000000003</v>
      </c>
      <c r="AF2" s="2">
        <v>588.10199999999998</v>
      </c>
    </row>
    <row r="3" spans="1:32" x14ac:dyDescent="0.3">
      <c r="A3" t="s">
        <v>3</v>
      </c>
      <c r="B3" s="3">
        <v>1587.252</v>
      </c>
      <c r="C3" s="2">
        <v>1587.252</v>
      </c>
      <c r="D3" s="2">
        <v>1784</v>
      </c>
      <c r="E3" s="2">
        <v>1715.502</v>
      </c>
      <c r="F3" s="2">
        <v>1638.7750000000001</v>
      </c>
      <c r="G3" s="2">
        <v>1436.1769999999999</v>
      </c>
      <c r="H3" s="2">
        <v>1389.7180000000001</v>
      </c>
      <c r="I3" s="2">
        <v>1343.2560000000001</v>
      </c>
      <c r="J3" s="2">
        <v>1296.79</v>
      </c>
      <c r="K3" s="2">
        <v>1250.32</v>
      </c>
      <c r="L3" s="2">
        <v>1203.845</v>
      </c>
      <c r="M3" s="2">
        <v>1185.278</v>
      </c>
      <c r="N3" s="2">
        <v>1166.712</v>
      </c>
      <c r="O3" s="2">
        <v>1148.146</v>
      </c>
      <c r="P3" s="2">
        <v>1129.58</v>
      </c>
      <c r="Q3" s="2">
        <v>1111.0160000000001</v>
      </c>
      <c r="R3" s="2">
        <v>1092.452</v>
      </c>
      <c r="S3" s="2">
        <v>1073.8879999999999</v>
      </c>
      <c r="T3" s="2">
        <v>1055.326</v>
      </c>
      <c r="U3" s="2">
        <v>1036.7639999999999</v>
      </c>
      <c r="V3" s="2">
        <v>1018.203</v>
      </c>
      <c r="W3" s="2">
        <v>999.64300000000003</v>
      </c>
      <c r="X3" s="2">
        <v>981.08399999999995</v>
      </c>
      <c r="Y3" s="2">
        <v>962.52599999999995</v>
      </c>
      <c r="Z3" s="2">
        <v>943.96799999999996</v>
      </c>
      <c r="AA3" s="2">
        <v>925.41200000000003</v>
      </c>
      <c r="AB3" s="2">
        <v>906.85599999999999</v>
      </c>
      <c r="AC3" s="2">
        <v>888.30200000000002</v>
      </c>
      <c r="AD3" s="2">
        <v>869.74900000000002</v>
      </c>
      <c r="AE3" s="2">
        <v>851.197</v>
      </c>
      <c r="AF3" s="2">
        <v>832.64599999999996</v>
      </c>
    </row>
    <row r="4" spans="1:32" x14ac:dyDescent="0.3">
      <c r="A4" t="s">
        <v>4</v>
      </c>
      <c r="B4" s="3">
        <v>1587.252</v>
      </c>
      <c r="C4" s="2">
        <v>1587.252</v>
      </c>
      <c r="D4" s="2">
        <v>1784</v>
      </c>
      <c r="E4" s="2">
        <v>1850.08</v>
      </c>
      <c r="F4" s="2">
        <v>1863.288</v>
      </c>
      <c r="G4" s="2">
        <v>1836.8510000000001</v>
      </c>
      <c r="H4" s="2">
        <v>1768.0609999999999</v>
      </c>
      <c r="I4" s="2">
        <v>1699.2719999999999</v>
      </c>
      <c r="J4" s="2">
        <v>1630.4839999999999</v>
      </c>
      <c r="K4" s="2">
        <v>1561.6969999999999</v>
      </c>
      <c r="L4" s="2">
        <v>1492.9110000000001</v>
      </c>
      <c r="M4" s="2">
        <v>1482.69</v>
      </c>
      <c r="N4" s="2">
        <v>1472.4680000000001</v>
      </c>
      <c r="O4" s="2">
        <v>1462.2460000000001</v>
      </c>
      <c r="P4" s="2">
        <v>1452.0250000000001</v>
      </c>
      <c r="Q4" s="2">
        <v>1441.8030000000001</v>
      </c>
      <c r="R4" s="2">
        <v>1431.5809999999999</v>
      </c>
      <c r="S4" s="2">
        <v>1421.36</v>
      </c>
      <c r="T4" s="2">
        <v>1411.1379999999999</v>
      </c>
      <c r="U4" s="2">
        <v>1400.9169999999999</v>
      </c>
      <c r="V4" s="2">
        <v>1390.6949999999999</v>
      </c>
      <c r="W4" s="2">
        <v>1380.473</v>
      </c>
      <c r="X4" s="2">
        <v>1370.252</v>
      </c>
      <c r="Y4" s="2">
        <v>1360.03</v>
      </c>
      <c r="Z4" s="2">
        <v>1349.808</v>
      </c>
      <c r="AA4" s="2">
        <v>1339.587</v>
      </c>
      <c r="AB4" s="2">
        <v>1329.365</v>
      </c>
      <c r="AC4" s="2">
        <v>1319.143</v>
      </c>
      <c r="AD4" s="2">
        <v>1308.922</v>
      </c>
      <c r="AE4" s="2">
        <v>1298.7</v>
      </c>
      <c r="AF4" s="2">
        <v>1288.4780000000001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E7FA-B63A-489C-AACF-5835B538C347}">
  <dimension ref="A1:AF4"/>
  <sheetViews>
    <sheetView workbookViewId="0">
      <selection activeCell="B2" sqref="B2"/>
    </sheetView>
  </sheetViews>
  <sheetFormatPr defaultRowHeight="14.4" x14ac:dyDescent="0.3"/>
  <cols>
    <col min="1" max="1" width="30.44140625" bestFit="1" customWidth="1"/>
  </cols>
  <sheetData>
    <row r="1" spans="1:32" x14ac:dyDescent="0.3">
      <c r="A1" t="s">
        <v>19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">
      <c r="A2" t="s">
        <v>2</v>
      </c>
      <c r="B2" s="3">
        <f>'Investment Cost NREL, USD'!B2/'Conversion rate'!$B$2</f>
        <v>146.70967741935482</v>
      </c>
      <c r="C2" s="2">
        <f>'Investment Cost NREL, USD'!C2/'Conversion rate'!$B$2</f>
        <v>146.70967741935482</v>
      </c>
      <c r="D2" s="2">
        <f>'Investment Cost NREL, USD'!D2/'Conversion rate'!$B$2</f>
        <v>164.89509196783436</v>
      </c>
      <c r="E2" s="2">
        <f>'Investment Cost NREL, USD'!E2/'Conversion rate'!$B$2</f>
        <v>118.62547370366947</v>
      </c>
      <c r="F2" s="2">
        <f>'Investment Cost NREL, USD'!F2/'Conversion rate'!$B$2</f>
        <v>111.96681763564098</v>
      </c>
      <c r="G2" s="2">
        <f>'Investment Cost NREL, USD'!G2/'Conversion rate'!$B$2</f>
        <v>106.27026527405491</v>
      </c>
      <c r="H2" s="2">
        <f>'Investment Cost NREL, USD'!H2/'Conversion rate'!$B$2</f>
        <v>101.75949718088546</v>
      </c>
      <c r="I2" s="2">
        <f>'Investment Cost NREL, USD'!I2/'Conversion rate'!$B$2</f>
        <v>97.248729087716043</v>
      </c>
      <c r="J2" s="2">
        <f>'Investment Cost NREL, USD'!J2/'Conversion rate'!$B$2</f>
        <v>92.737960994546626</v>
      </c>
      <c r="K2" s="2">
        <f>'Investment Cost NREL, USD'!K2/'Conversion rate'!$B$2</f>
        <v>88.227008041408624</v>
      </c>
      <c r="L2" s="2">
        <f>'Investment Cost NREL, USD'!L2/'Conversion rate'!$B$2</f>
        <v>83.717718827987795</v>
      </c>
      <c r="M2" s="2">
        <f>'Investment Cost NREL, USD'!M2/'Conversion rate'!$B$2</f>
        <v>82.249838247527492</v>
      </c>
      <c r="N2" s="2">
        <f>'Investment Cost NREL, USD'!N2/'Conversion rate'!$B$2</f>
        <v>80.781957667067189</v>
      </c>
      <c r="O2" s="2">
        <f>'Investment Cost NREL, USD'!O2/'Conversion rate'!$B$2</f>
        <v>79.312690636842575</v>
      </c>
      <c r="P2" s="2">
        <f>'Investment Cost NREL, USD'!P2/'Conversion rate'!$B$2</f>
        <v>77.844902486366564</v>
      </c>
      <c r="Q2" s="2">
        <f>'Investment Cost NREL, USD'!Q2/'Conversion rate'!$B$2</f>
        <v>76.378593215639157</v>
      </c>
      <c r="R2" s="2">
        <f>'Investment Cost NREL, USD'!R2/'Conversion rate'!$B$2</f>
        <v>74.90923375543025</v>
      </c>
      <c r="S2" s="2">
        <f>'Investment Cost NREL, USD'!S2/'Conversion rate'!$B$2</f>
        <v>73.441445604954239</v>
      </c>
      <c r="T2" s="2">
        <f>'Investment Cost NREL, USD'!T2/'Conversion rate'!$B$2</f>
        <v>71.973565024493936</v>
      </c>
      <c r="U2" s="2">
        <f>'Investment Cost NREL, USD'!U2/'Conversion rate'!$B$2</f>
        <v>70.505776874017926</v>
      </c>
      <c r="V2" s="2">
        <f>'Investment Cost NREL, USD'!V2/'Conversion rate'!$B$2</f>
        <v>69.036417413809033</v>
      </c>
      <c r="W2" s="2">
        <f>'Investment Cost NREL, USD'!W2/'Conversion rate'!$B$2</f>
        <v>67.568629263333023</v>
      </c>
      <c r="X2" s="2">
        <f>'Investment Cost NREL, USD'!X2/'Conversion rate'!$B$2</f>
        <v>66.102319992605587</v>
      </c>
      <c r="Y2" s="2">
        <f>'Investment Cost NREL, USD'!Y2/'Conversion rate'!$B$2</f>
        <v>64.634531842129576</v>
      </c>
      <c r="Z2" s="2">
        <f>'Investment Cost NREL, USD'!Z2/'Conversion rate'!$B$2</f>
        <v>63.165172381920691</v>
      </c>
      <c r="AA2" s="2">
        <f>'Investment Cost NREL, USD'!AA2/'Conversion rate'!$B$2</f>
        <v>61.697291801460395</v>
      </c>
      <c r="AB2" s="2">
        <f>'Investment Cost NREL, USD'!AB2/'Conversion rate'!$B$2</f>
        <v>60.229503650984377</v>
      </c>
      <c r="AC2" s="2">
        <f>'Investment Cost NREL, USD'!AC2/'Conversion rate'!$B$2</f>
        <v>58.761623070524067</v>
      </c>
      <c r="AD2" s="2">
        <f>'Investment Cost NREL, USD'!AD2/'Conversion rate'!$B$2</f>
        <v>57.292263610315182</v>
      </c>
      <c r="AE2" s="2">
        <f>'Investment Cost NREL, USD'!AE2/'Conversion rate'!$B$2</f>
        <v>55.824475459839171</v>
      </c>
      <c r="AF2" s="2">
        <f>'Investment Cost NREL, USD'!AF2/'Conversion rate'!$B$2</f>
        <v>54.358258619096027</v>
      </c>
    </row>
    <row r="3" spans="1:32" x14ac:dyDescent="0.3">
      <c r="A3" t="s">
        <v>3</v>
      </c>
      <c r="B3" s="3">
        <f>'Investment Cost NREL, USD'!B3/'Conversion rate'!$B$2</f>
        <v>146.70967741935482</v>
      </c>
      <c r="C3" s="2">
        <f>'Investment Cost NREL, USD'!C3/'Conversion rate'!$B$2</f>
        <v>146.70967741935482</v>
      </c>
      <c r="D3" s="2">
        <f>'Investment Cost NREL, USD'!D3/'Conversion rate'!$B$2</f>
        <v>164.89509196783436</v>
      </c>
      <c r="E3" s="2">
        <f>'Investment Cost NREL, USD'!E3/'Conversion rate'!$B$2</f>
        <v>158.5638229041501</v>
      </c>
      <c r="F3" s="2">
        <f>'Investment Cost NREL, USD'!F3/'Conversion rate'!$B$2</f>
        <v>151.47194749976893</v>
      </c>
      <c r="G3" s="2">
        <f>'Investment Cost NREL, USD'!G3/'Conversion rate'!$B$2</f>
        <v>132.74581754321099</v>
      </c>
      <c r="H3" s="2">
        <f>'Investment Cost NREL, USD'!H3/'Conversion rate'!$B$2</f>
        <v>128.45161290322579</v>
      </c>
      <c r="I3" s="2">
        <f>'Investment Cost NREL, USD'!I3/'Conversion rate'!$B$2</f>
        <v>124.15713097328774</v>
      </c>
      <c r="J3" s="2">
        <f>'Investment Cost NREL, USD'!J3/'Conversion rate'!$B$2</f>
        <v>119.86227932341251</v>
      </c>
      <c r="K3" s="2">
        <f>'Investment Cost NREL, USD'!K3/'Conversion rate'!$B$2</f>
        <v>115.56705795360013</v>
      </c>
      <c r="L3" s="2">
        <f>'Investment Cost NREL, USD'!L3/'Conversion rate'!$B$2</f>
        <v>111.27137443386634</v>
      </c>
      <c r="M3" s="2">
        <f>'Investment Cost NREL, USD'!M3/'Conversion rate'!$B$2</f>
        <v>109.55522691561141</v>
      </c>
      <c r="N3" s="2">
        <f>'Investment Cost NREL, USD'!N3/'Conversion rate'!$B$2</f>
        <v>107.83917182734078</v>
      </c>
      <c r="O3" s="2">
        <f>'Investment Cost NREL, USD'!O3/'Conversion rate'!$B$2</f>
        <v>106.12311673907014</v>
      </c>
      <c r="P3" s="2">
        <f>'Investment Cost NREL, USD'!P3/'Conversion rate'!$B$2</f>
        <v>104.40706165079951</v>
      </c>
      <c r="Q3" s="2">
        <f>'Investment Cost NREL, USD'!Q3/'Conversion rate'!$B$2</f>
        <v>102.69119142249745</v>
      </c>
      <c r="R3" s="2">
        <f>'Investment Cost NREL, USD'!R3/'Conversion rate'!$B$2</f>
        <v>100.97532119419539</v>
      </c>
      <c r="S3" s="2">
        <f>'Investment Cost NREL, USD'!S3/'Conversion rate'!$B$2</f>
        <v>99.259450965893322</v>
      </c>
      <c r="T3" s="2">
        <f>'Investment Cost NREL, USD'!T3/'Conversion rate'!$B$2</f>
        <v>97.54376559755984</v>
      </c>
      <c r="U3" s="2">
        <f>'Investment Cost NREL, USD'!U3/'Conversion rate'!$B$2</f>
        <v>95.828080229226344</v>
      </c>
      <c r="V3" s="2">
        <f>'Investment Cost NREL, USD'!V3/'Conversion rate'!$B$2</f>
        <v>94.112487290877155</v>
      </c>
      <c r="W3" s="2">
        <f>'Investment Cost NREL, USD'!W3/'Conversion rate'!$B$2</f>
        <v>92.396986782512244</v>
      </c>
      <c r="X3" s="2">
        <f>'Investment Cost NREL, USD'!X3/'Conversion rate'!$B$2</f>
        <v>90.68157870413161</v>
      </c>
      <c r="Y3" s="2">
        <f>'Investment Cost NREL, USD'!Y3/'Conversion rate'!$B$2</f>
        <v>88.966263055735268</v>
      </c>
      <c r="Z3" s="2">
        <f>'Investment Cost NREL, USD'!Z3/'Conversion rate'!$B$2</f>
        <v>87.250947407338927</v>
      </c>
      <c r="AA3" s="2">
        <f>'Investment Cost NREL, USD'!AA3/'Conversion rate'!$B$2</f>
        <v>85.53581661891117</v>
      </c>
      <c r="AB3" s="2">
        <f>'Investment Cost NREL, USD'!AB3/'Conversion rate'!$B$2</f>
        <v>83.820685830483399</v>
      </c>
      <c r="AC3" s="2">
        <f>'Investment Cost NREL, USD'!AC3/'Conversion rate'!$B$2</f>
        <v>82.105739902024212</v>
      </c>
      <c r="AD3" s="2">
        <f>'Investment Cost NREL, USD'!AD3/'Conversion rate'!$B$2</f>
        <v>80.390886403549302</v>
      </c>
      <c r="AE3" s="2">
        <f>'Investment Cost NREL, USD'!AE3/'Conversion rate'!$B$2</f>
        <v>78.676125335058686</v>
      </c>
      <c r="AF3" s="2">
        <f>'Investment Cost NREL, USD'!AF3/'Conversion rate'!$B$2</f>
        <v>76.961456696552347</v>
      </c>
    </row>
    <row r="4" spans="1:32" x14ac:dyDescent="0.3">
      <c r="A4" t="s">
        <v>4</v>
      </c>
      <c r="B4" s="3">
        <f>'Investment Cost NREL, USD'!B4/'Conversion rate'!$B$2</f>
        <v>146.70967741935482</v>
      </c>
      <c r="C4" s="2">
        <f>'Investment Cost NREL, USD'!C4/'Conversion rate'!$B$2</f>
        <v>146.70967741935482</v>
      </c>
      <c r="D4" s="2">
        <f>'Investment Cost NREL, USD'!D4/'Conversion rate'!$B$2</f>
        <v>164.89509196783436</v>
      </c>
      <c r="E4" s="2">
        <f>'Investment Cost NREL, USD'!E4/'Conversion rate'!$B$2</f>
        <v>171.00286532951287</v>
      </c>
      <c r="F4" s="2">
        <f>'Investment Cost NREL, USD'!F4/'Conversion rate'!$B$2</f>
        <v>172.22368056197431</v>
      </c>
      <c r="G4" s="2">
        <f>'Investment Cost NREL, USD'!G4/'Conversion rate'!$B$2</f>
        <v>169.78010906738146</v>
      </c>
      <c r="H4" s="2">
        <f>'Investment Cost NREL, USD'!H4/'Conversion rate'!$B$2</f>
        <v>163.4218504482854</v>
      </c>
      <c r="I4" s="2">
        <f>'Investment Cost NREL, USD'!I4/'Conversion rate'!$B$2</f>
        <v>157.06368425917367</v>
      </c>
      <c r="J4" s="2">
        <f>'Investment Cost NREL, USD'!J4/'Conversion rate'!$B$2</f>
        <v>150.70561050004619</v>
      </c>
      <c r="K4" s="2">
        <f>'Investment Cost NREL, USD'!K4/'Conversion rate'!$B$2</f>
        <v>144.34762917090302</v>
      </c>
      <c r="L4" s="2">
        <f>'Investment Cost NREL, USD'!L4/'Conversion rate'!$B$2</f>
        <v>137.98974027174415</v>
      </c>
      <c r="M4" s="2">
        <f>'Investment Cost NREL, USD'!M4/'Conversion rate'!$B$2</f>
        <v>137.04501340234771</v>
      </c>
      <c r="N4" s="2">
        <f>'Investment Cost NREL, USD'!N4/'Conversion rate'!$B$2</f>
        <v>136.10019410296701</v>
      </c>
      <c r="O4" s="2">
        <f>'Investment Cost NREL, USD'!O4/'Conversion rate'!$B$2</f>
        <v>135.15537480358628</v>
      </c>
      <c r="P4" s="2">
        <f>'Investment Cost NREL, USD'!P4/'Conversion rate'!$B$2</f>
        <v>134.21064793418984</v>
      </c>
      <c r="Q4" s="2">
        <f>'Investment Cost NREL, USD'!Q4/'Conversion rate'!$B$2</f>
        <v>133.26582863480914</v>
      </c>
      <c r="R4" s="2">
        <f>'Investment Cost NREL, USD'!R4/'Conversion rate'!$B$2</f>
        <v>132.32100933542839</v>
      </c>
      <c r="S4" s="2">
        <f>'Investment Cost NREL, USD'!S4/'Conversion rate'!$B$2</f>
        <v>131.37628246603197</v>
      </c>
      <c r="T4" s="2">
        <f>'Investment Cost NREL, USD'!T4/'Conversion rate'!$B$2</f>
        <v>130.43146316665124</v>
      </c>
      <c r="U4" s="2">
        <f>'Investment Cost NREL, USD'!U4/'Conversion rate'!$B$2</f>
        <v>129.48673629725482</v>
      </c>
      <c r="V4" s="2">
        <f>'Investment Cost NREL, USD'!V4/'Conversion rate'!$B$2</f>
        <v>128.5419169978741</v>
      </c>
      <c r="W4" s="2">
        <f>'Investment Cost NREL, USD'!W4/'Conversion rate'!$B$2</f>
        <v>127.59709769849337</v>
      </c>
      <c r="X4" s="2">
        <f>'Investment Cost NREL, USD'!X4/'Conversion rate'!$B$2</f>
        <v>126.65237082909694</v>
      </c>
      <c r="Y4" s="2">
        <f>'Investment Cost NREL, USD'!Y4/'Conversion rate'!$B$2</f>
        <v>125.70755152971623</v>
      </c>
      <c r="Z4" s="2">
        <f>'Investment Cost NREL, USD'!Z4/'Conversion rate'!$B$2</f>
        <v>124.76273223033552</v>
      </c>
      <c r="AA4" s="2">
        <f>'Investment Cost NREL, USD'!AA4/'Conversion rate'!$B$2</f>
        <v>123.81800536093908</v>
      </c>
      <c r="AB4" s="2">
        <f>'Investment Cost NREL, USD'!AB4/'Conversion rate'!$B$2</f>
        <v>122.87318606155836</v>
      </c>
      <c r="AC4" s="2">
        <f>'Investment Cost NREL, USD'!AC4/'Conversion rate'!$B$2</f>
        <v>121.92836676217765</v>
      </c>
      <c r="AD4" s="2">
        <f>'Investment Cost NREL, USD'!AD4/'Conversion rate'!$B$2</f>
        <v>120.98363989278121</v>
      </c>
      <c r="AE4" s="2">
        <f>'Investment Cost NREL, USD'!AE4/'Conversion rate'!$B$2</f>
        <v>120.03882059340049</v>
      </c>
      <c r="AF4" s="2">
        <f>'Investment Cost NREL, USD'!AF4/'Conversion rate'!$B$2</f>
        <v>119.09400129401978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AF14-4748-4019-BD7D-F91F970D3C5E}">
  <dimension ref="A1:AJ5"/>
  <sheetViews>
    <sheetView tabSelected="1" workbookViewId="0">
      <selection activeCell="E10" sqref="E10"/>
    </sheetView>
  </sheetViews>
  <sheetFormatPr defaultRowHeight="14.4" x14ac:dyDescent="0.3"/>
  <cols>
    <col min="1" max="1" width="11.109375" bestFit="1" customWidth="1"/>
    <col min="2" max="2" width="10.5546875" bestFit="1" customWidth="1"/>
    <col min="3" max="6" width="10.5546875" customWidth="1"/>
    <col min="7" max="7" width="10.5546875" bestFit="1" customWidth="1"/>
    <col min="8" max="11" width="10.5546875" customWidth="1"/>
    <col min="12" max="12" width="9.5546875" bestFit="1" customWidth="1"/>
    <col min="13" max="16" width="9.5546875" customWidth="1"/>
    <col min="17" max="17" width="9.5546875" bestFit="1" customWidth="1"/>
    <col min="18" max="21" width="9.5546875" customWidth="1"/>
    <col min="22" max="22" width="9.5546875" bestFit="1" customWidth="1"/>
    <col min="23" max="26" width="9.5546875" customWidth="1"/>
    <col min="27" max="27" width="9.5546875" bestFit="1" customWidth="1"/>
    <col min="28" max="31" width="9.5546875" customWidth="1"/>
    <col min="32" max="36" width="9.5546875" bestFit="1" customWidth="1"/>
  </cols>
  <sheetData>
    <row r="1" spans="1:36" x14ac:dyDescent="0.3">
      <c r="A1" t="s">
        <v>17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</row>
    <row r="2" spans="1:36" x14ac:dyDescent="0.3">
      <c r="A2" t="s">
        <v>20</v>
      </c>
      <c r="B2" s="2">
        <f>HLOOKUP(B$1,'Investment Cost NREL, EUR'!$B$1:$AF$4,2,FALSE)*1000*('Cost breakdown NREL'!$B$9+SUM('Cost breakdown NREL'!$B$3:$B$8)/2)/SUM('Cost breakdown NREL'!$B$2:$B$9)</f>
        <v>29567.072712233996</v>
      </c>
      <c r="C2" s="2">
        <f>HLOOKUP(C$1,'Investment Cost NREL, EUR'!$B$1:$AF$4,2,FALSE)*1000*('Cost breakdown NREL'!$B$9+SUM('Cost breakdown NREL'!$B$3:$B$8)/2)/SUM('Cost breakdown NREL'!$B$2:$B$9)</f>
        <v>29567.072712233996</v>
      </c>
      <c r="D2" s="2">
        <f>HLOOKUP(D$1,'Investment Cost NREL, EUR'!$B$1:$AF$4,2,FALSE)*1000*('Cost breakdown NREL'!$B$9+SUM('Cost breakdown NREL'!$B$3:$B$8)/2)/SUM('Cost breakdown NREL'!$B$2:$B$9)</f>
        <v>33232.062532367549</v>
      </c>
      <c r="E2" s="2">
        <f>HLOOKUP(E$1,'Investment Cost NREL, EUR'!$B$1:$AF$4,2,FALSE)*1000*('Cost breakdown NREL'!$B$9+SUM('Cost breakdown NREL'!$B$3:$B$8)/2)/SUM('Cost breakdown NREL'!$B$2:$B$9)</f>
        <v>23907.134609082568</v>
      </c>
      <c r="F2" s="2">
        <f>HLOOKUP(F$1,'Investment Cost NREL, EUR'!$B$1:$AF$4,2,FALSE)*1000*('Cost breakdown NREL'!$B$9+SUM('Cost breakdown NREL'!$B$3:$B$8)/2)/SUM('Cost breakdown NREL'!$B$2:$B$9)</f>
        <v>22565.185178123058</v>
      </c>
      <c r="G2" s="2">
        <f>HLOOKUP(G$1,'Investment Cost NREL, EUR'!$B$1:$AF$4,2,FALSE)*1000*('Cost breakdown NREL'!$B$9+SUM('Cost breakdown NREL'!$B$3:$B$8)/2)/SUM('Cost breakdown NREL'!$B$2:$B$9)</f>
        <v>21417.132910223765</v>
      </c>
      <c r="H2" s="2">
        <f>HLOOKUP(H$1,'Investment Cost NREL, EUR'!$B$1:$AF$4,2,FALSE)*1000*('Cost breakdown NREL'!$B$9+SUM('Cost breakdown NREL'!$B$3:$B$8)/2)/SUM('Cost breakdown NREL'!$B$2:$B$9)</f>
        <v>20508.057172721186</v>
      </c>
      <c r="I2" s="2">
        <f>HLOOKUP(I$1,'Investment Cost NREL, EUR'!$B$1:$AF$4,2,FALSE)*1000*('Cost breakdown NREL'!$B$9+SUM('Cost breakdown NREL'!$B$3:$B$8)/2)/SUM('Cost breakdown NREL'!$B$2:$B$9)</f>
        <v>19598.981435218604</v>
      </c>
      <c r="J2" s="2">
        <f>HLOOKUP(J$1,'Investment Cost NREL, EUR'!$B$1:$AF$4,2,FALSE)*1000*('Cost breakdown NREL'!$B$9+SUM('Cost breakdown NREL'!$B$3:$B$8)/2)/SUM('Cost breakdown NREL'!$B$2:$B$9)</f>
        <v>18689.905697716029</v>
      </c>
      <c r="K2" s="2">
        <f>HLOOKUP(K$1,'Investment Cost NREL, EUR'!$B$1:$AF$4,2,FALSE)*1000*('Cost breakdown NREL'!$B$9+SUM('Cost breakdown NREL'!$B$3:$B$8)/2)/SUM('Cost breakdown NREL'!$B$2:$B$9)</f>
        <v>17780.792704537966</v>
      </c>
      <c r="L2" s="2">
        <f>HLOOKUP(L$1,'Investment Cost NREL, EUR'!$B$1:$AF$4,2,FALSE)*1000*('Cost breakdown NREL'!$B$9+SUM('Cost breakdown NREL'!$B$3:$B$8)/2)/SUM('Cost breakdown NREL'!$B$2:$B$9)</f>
        <v>16872.01501243926</v>
      </c>
      <c r="M2" s="2">
        <f>HLOOKUP(M$1,'Investment Cost NREL, EUR'!$B$1:$AF$4,2,FALSE)*1000*('Cost breakdown NREL'!$B$9+SUM('Cost breakdown NREL'!$B$3:$B$8)/2)/SUM('Cost breakdown NREL'!$B$2:$B$9)</f>
        <v>16576.18632125287</v>
      </c>
      <c r="N2" s="2">
        <f>HLOOKUP(N$1,'Investment Cost NREL, EUR'!$B$1:$AF$4,2,FALSE)*1000*('Cost breakdown NREL'!$B$9+SUM('Cost breakdown NREL'!$B$3:$B$8)/2)/SUM('Cost breakdown NREL'!$B$2:$B$9)</f>
        <v>16280.357630066475</v>
      </c>
      <c r="O2" s="2">
        <f>HLOOKUP(O$1,'Investment Cost NREL, EUR'!$B$1:$AF$4,2,FALSE)*1000*('Cost breakdown NREL'!$B$9+SUM('Cost breakdown NREL'!$B$3:$B$8)/2)/SUM('Cost breakdown NREL'!$B$2:$B$9)</f>
        <v>15984.249521313939</v>
      </c>
      <c r="P2" s="2">
        <f>HLOOKUP(P$1,'Investment Cost NREL, EUR'!$B$1:$AF$4,2,FALSE)*1000*('Cost breakdown NREL'!$B$9+SUM('Cost breakdown NREL'!$B$3:$B$8)/2)/SUM('Cost breakdown NREL'!$B$2:$B$9)</f>
        <v>15688.439457965289</v>
      </c>
      <c r="Q2" s="2">
        <f>HLOOKUP(Q$1,'Investment Cost NREL, EUR'!$B$1:$AF$4,2,FALSE)*1000*('Cost breakdown NREL'!$B$9+SUM('Cost breakdown NREL'!$B$3:$B$8)/2)/SUM('Cost breakdown NREL'!$B$2:$B$9)</f>
        <v>15392.927440020516</v>
      </c>
      <c r="R2" s="2">
        <f>HLOOKUP(R$1,'Investment Cost NREL, EUR'!$B$1:$AF$4,2,FALSE)*1000*('Cost breakdown NREL'!$B$9+SUM('Cost breakdown NREL'!$B$3:$B$8)/2)/SUM('Cost breakdown NREL'!$B$2:$B$9)</f>
        <v>15096.800703430241</v>
      </c>
      <c r="S2" s="2">
        <f>HLOOKUP(S$1,'Investment Cost NREL, EUR'!$B$1:$AF$4,2,FALSE)*1000*('Cost breakdown NREL'!$B$9+SUM('Cost breakdown NREL'!$B$3:$B$8)/2)/SUM('Cost breakdown NREL'!$B$2:$B$9)</f>
        <v>14800.990640081589</v>
      </c>
      <c r="T2" s="2">
        <f>HLOOKUP(T$1,'Investment Cost NREL, EUR'!$B$1:$AF$4,2,FALSE)*1000*('Cost breakdown NREL'!$B$9+SUM('Cost breakdown NREL'!$B$3:$B$8)/2)/SUM('Cost breakdown NREL'!$B$2:$B$9)</f>
        <v>14505.161948895193</v>
      </c>
      <c r="U2" s="2">
        <f>HLOOKUP(U$1,'Investment Cost NREL, EUR'!$B$1:$AF$4,2,FALSE)*1000*('Cost breakdown NREL'!$B$9+SUM('Cost breakdown NREL'!$B$3:$B$8)/2)/SUM('Cost breakdown NREL'!$B$2:$B$9)</f>
        <v>14209.351885546543</v>
      </c>
      <c r="V2" s="2">
        <f>HLOOKUP(V$1,'Investment Cost NREL, EUR'!$B$1:$AF$4,2,FALSE)*1000*('Cost breakdown NREL'!$B$9+SUM('Cost breakdown NREL'!$B$3:$B$8)/2)/SUM('Cost breakdown NREL'!$B$2:$B$9)</f>
        <v>13913.225148956268</v>
      </c>
      <c r="W2" s="2">
        <f>HLOOKUP(W$1,'Investment Cost NREL, EUR'!$B$1:$AF$4,2,FALSE)*1000*('Cost breakdown NREL'!$B$9+SUM('Cost breakdown NREL'!$B$3:$B$8)/2)/SUM('Cost breakdown NREL'!$B$2:$B$9)</f>
        <v>13617.415085607614</v>
      </c>
      <c r="X2" s="2">
        <f>HLOOKUP(X$1,'Investment Cost NREL, EUR'!$B$1:$AF$4,2,FALSE)*1000*('Cost breakdown NREL'!$B$9+SUM('Cost breakdown NREL'!$B$3:$B$8)/2)/SUM('Cost breakdown NREL'!$B$2:$B$9)</f>
        <v>13321.903067662837</v>
      </c>
      <c r="Y2" s="2">
        <f>HLOOKUP(Y$1,'Investment Cost NREL, EUR'!$B$1:$AF$4,2,FALSE)*1000*('Cost breakdown NREL'!$B$9+SUM('Cost breakdown NREL'!$B$3:$B$8)/2)/SUM('Cost breakdown NREL'!$B$2:$B$9)</f>
        <v>13026.093004314185</v>
      </c>
      <c r="Z2" s="2">
        <f>HLOOKUP(Z$1,'Investment Cost NREL, EUR'!$B$1:$AF$4,2,FALSE)*1000*('Cost breakdown NREL'!$B$9+SUM('Cost breakdown NREL'!$B$3:$B$8)/2)/SUM('Cost breakdown NREL'!$B$2:$B$9)</f>
        <v>12729.966267723914</v>
      </c>
      <c r="AA2" s="2">
        <f>HLOOKUP(AA$1,'Investment Cost NREL, EUR'!$B$1:$AF$4,2,FALSE)*1000*('Cost breakdown NREL'!$B$9+SUM('Cost breakdown NREL'!$B$3:$B$8)/2)/SUM('Cost breakdown NREL'!$B$2:$B$9)</f>
        <v>12434.13757653752</v>
      </c>
      <c r="AB2" s="2">
        <f>HLOOKUP(AB$1,'Investment Cost NREL, EUR'!$B$1:$AF$4,2,FALSE)*1000*('Cost breakdown NREL'!$B$9+SUM('Cost breakdown NREL'!$B$3:$B$8)/2)/SUM('Cost breakdown NREL'!$B$2:$B$9)</f>
        <v>12138.327513188868</v>
      </c>
      <c r="AC2" s="2">
        <f>HLOOKUP(AC$1,'Investment Cost NREL, EUR'!$B$1:$AF$4,2,FALSE)*1000*('Cost breakdown NREL'!$B$9+SUM('Cost breakdown NREL'!$B$3:$B$8)/2)/SUM('Cost breakdown NREL'!$B$2:$B$9)</f>
        <v>11842.49882200247</v>
      </c>
      <c r="AD2" s="2">
        <f>HLOOKUP(AD$1,'Investment Cost NREL, EUR'!$B$1:$AF$4,2,FALSE)*1000*('Cost breakdown NREL'!$B$9+SUM('Cost breakdown NREL'!$B$3:$B$8)/2)/SUM('Cost breakdown NREL'!$B$2:$B$9)</f>
        <v>11546.372085412198</v>
      </c>
      <c r="AE2" s="2">
        <f>HLOOKUP(AE$1,'Investment Cost NREL, EUR'!$B$1:$AF$4,2,FALSE)*1000*('Cost breakdown NREL'!$B$9+SUM('Cost breakdown NREL'!$B$3:$B$8)/2)/SUM('Cost breakdown NREL'!$B$2:$B$9)</f>
        <v>11250.562022063546</v>
      </c>
      <c r="AF2" s="2">
        <f>HLOOKUP(AF$1,'Investment Cost NREL, EUR'!$B$1:$AF$4,2,FALSE)*1000*('Cost breakdown NREL'!$B$9+SUM('Cost breakdown NREL'!$B$3:$B$8)/2)/SUM('Cost breakdown NREL'!$B$2:$B$9)</f>
        <v>10955.068631956512</v>
      </c>
      <c r="AG2" s="5">
        <v>109550.68631956511</v>
      </c>
      <c r="AH2" s="5">
        <v>109550.68631956511</v>
      </c>
      <c r="AI2" s="5">
        <v>109550.68631956511</v>
      </c>
      <c r="AJ2" s="5">
        <v>109550.68631956511</v>
      </c>
    </row>
    <row r="3" spans="1:36" x14ac:dyDescent="0.3">
      <c r="A3" t="s">
        <v>21</v>
      </c>
      <c r="B3" s="2">
        <f>HLOOKUP(B$1,'Investment Cost NREL, EUR'!$B$1:$AF$4,3,FALSE)*1000*('Cost breakdown NREL'!$B$9+SUM('Cost breakdown NREL'!$B$3:$B$8)/2)/SUM('Cost breakdown NREL'!$B$2:$B$9)</f>
        <v>29567.072712233996</v>
      </c>
      <c r="C3" s="2">
        <f>HLOOKUP(C$1,'Investment Cost NREL, EUR'!$B$1:$AF$4,3,FALSE)*1000*('Cost breakdown NREL'!$B$9+SUM('Cost breakdown NREL'!$B$3:$B$8)/2)/SUM('Cost breakdown NREL'!$B$2:$B$9)</f>
        <v>29567.072712233996</v>
      </c>
      <c r="D3" s="2">
        <f>HLOOKUP(D$1,'Investment Cost NREL, EUR'!$B$1:$AF$4,3,FALSE)*1000*('Cost breakdown NREL'!$B$9+SUM('Cost breakdown NREL'!$B$3:$B$8)/2)/SUM('Cost breakdown NREL'!$B$2:$B$9)</f>
        <v>33232.062532367549</v>
      </c>
      <c r="E3" s="2">
        <f>HLOOKUP(E$1,'Investment Cost NREL, EUR'!$B$1:$AF$4,3,FALSE)*1000*('Cost breakdown NREL'!$B$9+SUM('Cost breakdown NREL'!$B$3:$B$8)/2)/SUM('Cost breakdown NREL'!$B$2:$B$9)</f>
        <v>31956.092902691471</v>
      </c>
      <c r="F3" s="2">
        <f>HLOOKUP(F$1,'Investment Cost NREL, EUR'!$B$1:$AF$4,3,FALSE)*1000*('Cost breakdown NREL'!$B$9+SUM('Cost breakdown NREL'!$B$3:$B$8)/2)/SUM('Cost breakdown NREL'!$B$2:$B$9)</f>
        <v>30526.834796233536</v>
      </c>
      <c r="G3" s="2">
        <f>HLOOKUP(G$1,'Investment Cost NREL, EUR'!$B$1:$AF$4,3,FALSE)*1000*('Cost breakdown NREL'!$B$9+SUM('Cost breakdown NREL'!$B$3:$B$8)/2)/SUM('Cost breakdown NREL'!$B$2:$B$9)</f>
        <v>26752.872125307182</v>
      </c>
      <c r="H3" s="2">
        <f>HLOOKUP(H$1,'Investment Cost NREL, EUR'!$B$1:$AF$4,3,FALSE)*1000*('Cost breakdown NREL'!$B$9+SUM('Cost breakdown NREL'!$B$3:$B$8)/2)/SUM('Cost breakdown NREL'!$B$2:$B$9)</f>
        <v>25887.441411634954</v>
      </c>
      <c r="I3" s="2">
        <f>HLOOKUP(I$1,'Investment Cost NREL, EUR'!$B$1:$AF$4,3,FALSE)*1000*('Cost breakdown NREL'!$B$9+SUM('Cost breakdown NREL'!$B$3:$B$8)/2)/SUM('Cost breakdown NREL'!$B$2:$B$9)</f>
        <v>25021.954814449498</v>
      </c>
      <c r="J3" s="2">
        <f>HLOOKUP(J$1,'Investment Cost NREL, EUR'!$B$1:$AF$4,3,FALSE)*1000*('Cost breakdown NREL'!$B$9+SUM('Cost breakdown NREL'!$B$3:$B$8)/2)/SUM('Cost breakdown NREL'!$B$2:$B$9)</f>
        <v>24156.393705913066</v>
      </c>
      <c r="K3" s="2">
        <f>HLOOKUP(K$1,'Investment Cost NREL, EUR'!$B$1:$AF$4,3,FALSE)*1000*('Cost breakdown NREL'!$B$9+SUM('Cost breakdown NREL'!$B$3:$B$8)/2)/SUM('Cost breakdown NREL'!$B$2:$B$9)</f>
        <v>23290.758086025668</v>
      </c>
      <c r="L3" s="2">
        <f>HLOOKUP(L$1,'Investment Cost NREL, EUR'!$B$1:$AF$4,3,FALSE)*1000*('Cost breakdown NREL'!$B$9+SUM('Cost breakdown NREL'!$B$3:$B$8)/2)/SUM('Cost breakdown NREL'!$B$2:$B$9)</f>
        <v>22425.029326949556</v>
      </c>
      <c r="M3" s="2">
        <f>HLOOKUP(M$1,'Investment Cost NREL, EUR'!$B$1:$AF$4,3,FALSE)*1000*('Cost breakdown NREL'!$B$9+SUM('Cost breakdown NREL'!$B$3:$B$8)/2)/SUM('Cost breakdown NREL'!$B$2:$B$9)</f>
        <v>22079.166263587187</v>
      </c>
      <c r="N3" s="2">
        <f>HLOOKUP(N$1,'Investment Cost NREL, EUR'!$B$1:$AF$4,3,FALSE)*1000*('Cost breakdown NREL'!$B$9+SUM('Cost breakdown NREL'!$B$3:$B$8)/2)/SUM('Cost breakdown NREL'!$B$2:$B$9)</f>
        <v>21733.321828062555</v>
      </c>
      <c r="O3" s="2">
        <f>HLOOKUP(O$1,'Investment Cost NREL, EUR'!$B$1:$AF$4,3,FALSE)*1000*('Cost breakdown NREL'!$B$9+SUM('Cost breakdown NREL'!$B$3:$B$8)/2)/SUM('Cost breakdown NREL'!$B$2:$B$9)</f>
        <v>21387.477392537934</v>
      </c>
      <c r="P3" s="2">
        <f>HLOOKUP(P$1,'Investment Cost NREL, EUR'!$B$1:$AF$4,3,FALSE)*1000*('Cost breakdown NREL'!$B$9+SUM('Cost breakdown NREL'!$B$3:$B$8)/2)/SUM('Cost breakdown NREL'!$B$2:$B$9)</f>
        <v>21041.632957013302</v>
      </c>
      <c r="Q3" s="2">
        <f>HLOOKUP(Q$1,'Investment Cost NREL, EUR'!$B$1:$AF$4,3,FALSE)*1000*('Cost breakdown NREL'!$B$9+SUM('Cost breakdown NREL'!$B$3:$B$8)/2)/SUM('Cost breakdown NREL'!$B$2:$B$9)</f>
        <v>20695.825777164158</v>
      </c>
      <c r="R3" s="2">
        <f>HLOOKUP(R$1,'Investment Cost NREL, EUR'!$B$1:$AF$4,3,FALSE)*1000*('Cost breakdown NREL'!$B$9+SUM('Cost breakdown NREL'!$B$3:$B$8)/2)/SUM('Cost breakdown NREL'!$B$2:$B$9)</f>
        <v>20350.018597315018</v>
      </c>
      <c r="S3" s="2">
        <f>HLOOKUP(S$1,'Investment Cost NREL, EUR'!$B$1:$AF$4,3,FALSE)*1000*('Cost breakdown NREL'!$B$9+SUM('Cost breakdown NREL'!$B$3:$B$8)/2)/SUM('Cost breakdown NREL'!$B$2:$B$9)</f>
        <v>20004.211417465871</v>
      </c>
      <c r="T3" s="2">
        <f>HLOOKUP(T$1,'Investment Cost NREL, EUR'!$B$1:$AF$4,3,FALSE)*1000*('Cost breakdown NREL'!$B$9+SUM('Cost breakdown NREL'!$B$3:$B$8)/2)/SUM('Cost breakdown NREL'!$B$2:$B$9)</f>
        <v>19658.441493292219</v>
      </c>
      <c r="U3" s="2">
        <f>HLOOKUP(U$1,'Investment Cost NREL, EUR'!$B$1:$AF$4,3,FALSE)*1000*('Cost breakdown NREL'!$B$9+SUM('Cost breakdown NREL'!$B$3:$B$8)/2)/SUM('Cost breakdown NREL'!$B$2:$B$9)</f>
        <v>19312.671569118556</v>
      </c>
      <c r="V3" s="2">
        <f>HLOOKUP(V$1,'Investment Cost NREL, EUR'!$B$1:$AF$4,3,FALSE)*1000*('Cost breakdown NREL'!$B$9+SUM('Cost breakdown NREL'!$B$3:$B$8)/2)/SUM('Cost breakdown NREL'!$B$2:$B$9)</f>
        <v>18966.920272782641</v>
      </c>
      <c r="W3" s="2">
        <f>HLOOKUP(W$1,'Investment Cost NREL, EUR'!$B$1:$AF$4,3,FALSE)*1000*('Cost breakdown NREL'!$B$9+SUM('Cost breakdown NREL'!$B$3:$B$8)/2)/SUM('Cost breakdown NREL'!$B$2:$B$9)</f>
        <v>18621.187604284471</v>
      </c>
      <c r="X3" s="2">
        <f>HLOOKUP(X$1,'Investment Cost NREL, EUR'!$B$1:$AF$4,3,FALSE)*1000*('Cost breakdown NREL'!$B$9+SUM('Cost breakdown NREL'!$B$3:$B$8)/2)/SUM('Cost breakdown NREL'!$B$2:$B$9)</f>
        <v>18275.473563624037</v>
      </c>
      <c r="Y3" s="2">
        <f>HLOOKUP(Y$1,'Investment Cost NREL, EUR'!$B$1:$AF$4,3,FALSE)*1000*('Cost breakdown NREL'!$B$9+SUM('Cost breakdown NREL'!$B$3:$B$8)/2)/SUM('Cost breakdown NREL'!$B$2:$B$9)</f>
        <v>17929.778150801347</v>
      </c>
      <c r="Z3" s="2">
        <f>HLOOKUP(Z$1,'Investment Cost NREL, EUR'!$B$1:$AF$4,3,FALSE)*1000*('Cost breakdown NREL'!$B$9+SUM('Cost breakdown NREL'!$B$3:$B$8)/2)/SUM('Cost breakdown NREL'!$B$2:$B$9)</f>
        <v>17584.082737978657</v>
      </c>
      <c r="AA3" s="2">
        <f>HLOOKUP(AA$1,'Investment Cost NREL, EUR'!$B$1:$AF$4,3,FALSE)*1000*('Cost breakdown NREL'!$B$9+SUM('Cost breakdown NREL'!$B$3:$B$8)/2)/SUM('Cost breakdown NREL'!$B$2:$B$9)</f>
        <v>17238.424580831455</v>
      </c>
      <c r="AB3" s="2">
        <f>HLOOKUP(AB$1,'Investment Cost NREL, EUR'!$B$1:$AF$4,3,FALSE)*1000*('Cost breakdown NREL'!$B$9+SUM('Cost breakdown NREL'!$B$3:$B$8)/2)/SUM('Cost breakdown NREL'!$B$2:$B$9)</f>
        <v>16892.76642368425</v>
      </c>
      <c r="AC3" s="2">
        <f>HLOOKUP(AC$1,'Investment Cost NREL, EUR'!$B$1:$AF$4,3,FALSE)*1000*('Cost breakdown NREL'!$B$9+SUM('Cost breakdown NREL'!$B$3:$B$8)/2)/SUM('Cost breakdown NREL'!$B$2:$B$9)</f>
        <v>16547.145522212533</v>
      </c>
      <c r="AD3" s="2">
        <f>HLOOKUP(AD$1,'Investment Cost NREL, EUR'!$B$1:$AF$4,3,FALSE)*1000*('Cost breakdown NREL'!$B$9+SUM('Cost breakdown NREL'!$B$3:$B$8)/2)/SUM('Cost breakdown NREL'!$B$2:$B$9)</f>
        <v>16201.543248578555</v>
      </c>
      <c r="AE3" s="2">
        <f>HLOOKUP(AE$1,'Investment Cost NREL, EUR'!$B$1:$AF$4,3,FALSE)*1000*('Cost breakdown NREL'!$B$9+SUM('Cost breakdown NREL'!$B$3:$B$8)/2)/SUM('Cost breakdown NREL'!$B$2:$B$9)</f>
        <v>15855.959602782321</v>
      </c>
      <c r="AF3" s="2">
        <f>HLOOKUP(AF$1,'Investment Cost NREL, EUR'!$B$1:$AF$4,3,FALSE)*1000*('Cost breakdown NREL'!$B$9+SUM('Cost breakdown NREL'!$B$3:$B$8)/2)/SUM('Cost breakdown NREL'!$B$2:$B$9)</f>
        <v>15510.394584823824</v>
      </c>
      <c r="AG3" s="5">
        <v>155103.94584823828</v>
      </c>
      <c r="AH3" s="5">
        <v>155103.94584823828</v>
      </c>
      <c r="AI3" s="5">
        <v>155103.94584823828</v>
      </c>
      <c r="AJ3" s="5">
        <v>155103.94584823828</v>
      </c>
    </row>
    <row r="4" spans="1:36" x14ac:dyDescent="0.3">
      <c r="A4" t="s">
        <v>22</v>
      </c>
      <c r="B4" s="2">
        <f>HLOOKUP(B$1,'Investment Cost NREL, EUR'!$B$1:$AF$4,4,FALSE)*1000*('Cost breakdown NREL'!$B$9+SUM('Cost breakdown NREL'!$B$3:$B$8)/2)/SUM('Cost breakdown NREL'!$B$2:$B$9)</f>
        <v>29567.072712233996</v>
      </c>
      <c r="C4" s="2">
        <f>HLOOKUP(C$1,'Investment Cost NREL, EUR'!$B$1:$AF$4,4,FALSE)*1000*('Cost breakdown NREL'!$B$9+SUM('Cost breakdown NREL'!$B$3:$B$8)/2)/SUM('Cost breakdown NREL'!$B$2:$B$9)</f>
        <v>29567.072712233996</v>
      </c>
      <c r="D4" s="2">
        <f>HLOOKUP(D$1,'Investment Cost NREL, EUR'!$B$1:$AF$4,4,FALSE)*1000*('Cost breakdown NREL'!$B$9+SUM('Cost breakdown NREL'!$B$3:$B$8)/2)/SUM('Cost breakdown NREL'!$B$2:$B$9)</f>
        <v>33232.062532367549</v>
      </c>
      <c r="E4" s="2">
        <f>HLOOKUP(E$1,'Investment Cost NREL, EUR'!$B$1:$AF$4,4,FALSE)*1000*('Cost breakdown NREL'!$B$9+SUM('Cost breakdown NREL'!$B$3:$B$8)/2)/SUM('Cost breakdown NREL'!$B$2:$B$9)</f>
        <v>34462.990050382592</v>
      </c>
      <c r="F4" s="2">
        <f>HLOOKUP(F$1,'Investment Cost NREL, EUR'!$B$1:$AF$4,4,FALSE)*1000*('Cost breakdown NREL'!$B$9+SUM('Cost breakdown NREL'!$B$3:$B$8)/2)/SUM('Cost breakdown NREL'!$B$2:$B$9)</f>
        <v>34709.026531283664</v>
      </c>
      <c r="G4" s="2">
        <f>HLOOKUP(G$1,'Investment Cost NREL, EUR'!$B$1:$AF$4,4,FALSE)*1000*('Cost breakdown NREL'!$B$9+SUM('Cost breakdown NREL'!$B$3:$B$8)/2)/SUM('Cost breakdown NREL'!$B$2:$B$9)</f>
        <v>34216.56238488893</v>
      </c>
      <c r="H4" s="2">
        <f>HLOOKUP(H$1,'Investment Cost NREL, EUR'!$B$1:$AF$4,4,FALSE)*1000*('Cost breakdown NREL'!$B$9+SUM('Cost breakdown NREL'!$B$3:$B$8)/2)/SUM('Cost breakdown NREL'!$B$2:$B$9)</f>
        <v>32935.153426592093</v>
      </c>
      <c r="I4" s="2">
        <f>HLOOKUP(I$1,'Investment Cost NREL, EUR'!$B$1:$AF$4,4,FALSE)*1000*('Cost breakdown NREL'!$B$9+SUM('Cost breakdown NREL'!$B$3:$B$8)/2)/SUM('Cost breakdown NREL'!$B$2:$B$9)</f>
        <v>31653.763096133</v>
      </c>
      <c r="J4" s="2">
        <f>HLOOKUP(J$1,'Investment Cost NREL, EUR'!$B$1:$AF$4,4,FALSE)*1000*('Cost breakdown NREL'!$B$9+SUM('Cost breakdown NREL'!$B$3:$B$8)/2)/SUM('Cost breakdown NREL'!$B$2:$B$9)</f>
        <v>30372.39139351164</v>
      </c>
      <c r="K4" s="2">
        <f>HLOOKUP(K$1,'Investment Cost NREL, EUR'!$B$1:$AF$4,4,FALSE)*1000*('Cost breakdown NREL'!$B$9+SUM('Cost breakdown NREL'!$B$3:$B$8)/2)/SUM('Cost breakdown NREL'!$B$2:$B$9)</f>
        <v>29091.038318728024</v>
      </c>
      <c r="L4" s="2">
        <f>HLOOKUP(L$1,'Investment Cost NREL, EUR'!$B$1:$AF$4,4,FALSE)*1000*('Cost breakdown NREL'!$B$9+SUM('Cost breakdown NREL'!$B$3:$B$8)/2)/SUM('Cost breakdown NREL'!$B$2:$B$9)</f>
        <v>27809.703871782156</v>
      </c>
      <c r="M4" s="2">
        <f>HLOOKUP(M$1,'Investment Cost NREL, EUR'!$B$1:$AF$4,4,FALSE)*1000*('Cost breakdown NREL'!$B$9+SUM('Cost breakdown NREL'!$B$3:$B$8)/2)/SUM('Cost breakdown NREL'!$B$2:$B$9)</f>
        <v>27619.308742217509</v>
      </c>
      <c r="N4" s="2">
        <f>HLOOKUP(N$1,'Investment Cost NREL, EUR'!$B$1:$AF$4,4,FALSE)*1000*('Cost breakdown NREL'!$B$9+SUM('Cost breakdown NREL'!$B$3:$B$8)/2)/SUM('Cost breakdown NREL'!$B$2:$B$9)</f>
        <v>27428.894984815128</v>
      </c>
      <c r="O4" s="2">
        <f>HLOOKUP(O$1,'Investment Cost NREL, EUR'!$B$1:$AF$4,4,FALSE)*1000*('Cost breakdown NREL'!$B$9+SUM('Cost breakdown NREL'!$B$3:$B$8)/2)/SUM('Cost breakdown NREL'!$B$2:$B$9)</f>
        <v>27238.481227412736</v>
      </c>
      <c r="P4" s="2">
        <f>HLOOKUP(P$1,'Investment Cost NREL, EUR'!$B$1:$AF$4,4,FALSE)*1000*('Cost breakdown NREL'!$B$9+SUM('Cost breakdown NREL'!$B$3:$B$8)/2)/SUM('Cost breakdown NREL'!$B$2:$B$9)</f>
        <v>27048.086097848085</v>
      </c>
      <c r="Q4" s="2">
        <f>HLOOKUP(Q$1,'Investment Cost NREL, EUR'!$B$1:$AF$4,4,FALSE)*1000*('Cost breakdown NREL'!$B$9+SUM('Cost breakdown NREL'!$B$3:$B$8)/2)/SUM('Cost breakdown NREL'!$B$2:$B$9)</f>
        <v>26857.672340445701</v>
      </c>
      <c r="R4" s="2">
        <f>HLOOKUP(R$1,'Investment Cost NREL, EUR'!$B$1:$AF$4,4,FALSE)*1000*('Cost breakdown NREL'!$B$9+SUM('Cost breakdown NREL'!$B$3:$B$8)/2)/SUM('Cost breakdown NREL'!$B$2:$B$9)</f>
        <v>26667.258583043305</v>
      </c>
      <c r="S4" s="2">
        <f>HLOOKUP(S$1,'Investment Cost NREL, EUR'!$B$1:$AF$4,4,FALSE)*1000*('Cost breakdown NREL'!$B$9+SUM('Cost breakdown NREL'!$B$3:$B$8)/2)/SUM('Cost breakdown NREL'!$B$2:$B$9)</f>
        <v>26476.863453478662</v>
      </c>
      <c r="T4" s="2">
        <f>HLOOKUP(T$1,'Investment Cost NREL, EUR'!$B$1:$AF$4,4,FALSE)*1000*('Cost breakdown NREL'!$B$9+SUM('Cost breakdown NREL'!$B$3:$B$8)/2)/SUM('Cost breakdown NREL'!$B$2:$B$9)</f>
        <v>26286.449696076274</v>
      </c>
      <c r="U4" s="2">
        <f>HLOOKUP(U$1,'Investment Cost NREL, EUR'!$B$1:$AF$4,4,FALSE)*1000*('Cost breakdown NREL'!$B$9+SUM('Cost breakdown NREL'!$B$3:$B$8)/2)/SUM('Cost breakdown NREL'!$B$2:$B$9)</f>
        <v>26096.05456651163</v>
      </c>
      <c r="V4" s="2">
        <f>HLOOKUP(V$1,'Investment Cost NREL, EUR'!$B$1:$AF$4,4,FALSE)*1000*('Cost breakdown NREL'!$B$9+SUM('Cost breakdown NREL'!$B$3:$B$8)/2)/SUM('Cost breakdown NREL'!$B$2:$B$9)</f>
        <v>25905.640809109238</v>
      </c>
      <c r="W4" s="2">
        <f>HLOOKUP(W$1,'Investment Cost NREL, EUR'!$B$1:$AF$4,4,FALSE)*1000*('Cost breakdown NREL'!$B$9+SUM('Cost breakdown NREL'!$B$3:$B$8)/2)/SUM('Cost breakdown NREL'!$B$2:$B$9)</f>
        <v>25715.227051706846</v>
      </c>
      <c r="X4" s="2">
        <f>HLOOKUP(X$1,'Investment Cost NREL, EUR'!$B$1:$AF$4,4,FALSE)*1000*('Cost breakdown NREL'!$B$9+SUM('Cost breakdown NREL'!$B$3:$B$8)/2)/SUM('Cost breakdown NREL'!$B$2:$B$9)</f>
        <v>25524.831922142203</v>
      </c>
      <c r="Y4" s="2">
        <f>HLOOKUP(Y$1,'Investment Cost NREL, EUR'!$B$1:$AF$4,4,FALSE)*1000*('Cost breakdown NREL'!$B$9+SUM('Cost breakdown NREL'!$B$3:$B$8)/2)/SUM('Cost breakdown NREL'!$B$2:$B$9)</f>
        <v>25334.418164739818</v>
      </c>
      <c r="Z4" s="2">
        <f>HLOOKUP(Z$1,'Investment Cost NREL, EUR'!$B$1:$AF$4,4,FALSE)*1000*('Cost breakdown NREL'!$B$9+SUM('Cost breakdown NREL'!$B$3:$B$8)/2)/SUM('Cost breakdown NREL'!$B$2:$B$9)</f>
        <v>25144.00440733743</v>
      </c>
      <c r="AA4" s="2">
        <f>HLOOKUP(AA$1,'Investment Cost NREL, EUR'!$B$1:$AF$4,4,FALSE)*1000*('Cost breakdown NREL'!$B$9+SUM('Cost breakdown NREL'!$B$3:$B$8)/2)/SUM('Cost breakdown NREL'!$B$2:$B$9)</f>
        <v>24953.609277772783</v>
      </c>
      <c r="AB4" s="2">
        <f>HLOOKUP(AB$1,'Investment Cost NREL, EUR'!$B$1:$AF$4,4,FALSE)*1000*('Cost breakdown NREL'!$B$9+SUM('Cost breakdown NREL'!$B$3:$B$8)/2)/SUM('Cost breakdown NREL'!$B$2:$B$9)</f>
        <v>24763.195520370391</v>
      </c>
      <c r="AC4" s="2">
        <f>HLOOKUP(AC$1,'Investment Cost NREL, EUR'!$B$1:$AF$4,4,FALSE)*1000*('Cost breakdown NREL'!$B$9+SUM('Cost breakdown NREL'!$B$3:$B$8)/2)/SUM('Cost breakdown NREL'!$B$2:$B$9)</f>
        <v>24572.781762968003</v>
      </c>
      <c r="AD4" s="2">
        <f>HLOOKUP(AD$1,'Investment Cost NREL, EUR'!$B$1:$AF$4,4,FALSE)*1000*('Cost breakdown NREL'!$B$9+SUM('Cost breakdown NREL'!$B$3:$B$8)/2)/SUM('Cost breakdown NREL'!$B$2:$B$9)</f>
        <v>24382.386633403363</v>
      </c>
      <c r="AE4" s="2">
        <f>HLOOKUP(AE$1,'Investment Cost NREL, EUR'!$B$1:$AF$4,4,FALSE)*1000*('Cost breakdown NREL'!$B$9+SUM('Cost breakdown NREL'!$B$3:$B$8)/2)/SUM('Cost breakdown NREL'!$B$2:$B$9)</f>
        <v>24191.972876000971</v>
      </c>
      <c r="AF4" s="2">
        <f>HLOOKUP(AF$1,'Investment Cost NREL, EUR'!$B$1:$AF$4,4,FALSE)*1000*('Cost breakdown NREL'!$B$9+SUM('Cost breakdown NREL'!$B$3:$B$8)/2)/SUM('Cost breakdown NREL'!$B$2:$B$9)</f>
        <v>24001.559118598583</v>
      </c>
      <c r="AG4" s="5">
        <v>240015.5911859858</v>
      </c>
      <c r="AH4" s="5">
        <v>240015.5911859858</v>
      </c>
      <c r="AI4" s="5">
        <v>240015.5911859858</v>
      </c>
      <c r="AJ4" s="5">
        <v>240015.5911859858</v>
      </c>
    </row>
    <row r="5" spans="1:36" x14ac:dyDescent="0.3">
      <c r="B5" s="2"/>
      <c r="C5" s="2"/>
      <c r="F5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3386-D65F-4F42-82AA-9369535BE7EB}">
  <dimension ref="A1:AJ4"/>
  <sheetViews>
    <sheetView workbookViewId="0">
      <selection activeCell="N14" sqref="N14"/>
    </sheetView>
  </sheetViews>
  <sheetFormatPr defaultRowHeight="14.4" x14ac:dyDescent="0.3"/>
  <cols>
    <col min="1" max="1" width="11.109375" bestFit="1" customWidth="1"/>
    <col min="2" max="2" width="10.5546875" bestFit="1" customWidth="1"/>
    <col min="3" max="6" width="10.5546875" customWidth="1"/>
    <col min="7" max="7" width="10.5546875" bestFit="1" customWidth="1"/>
    <col min="8" max="11" width="10.5546875" customWidth="1"/>
    <col min="12" max="12" width="9.5546875" bestFit="1" customWidth="1"/>
    <col min="13" max="16" width="9.5546875" customWidth="1"/>
    <col min="17" max="17" width="9.5546875" bestFit="1" customWidth="1"/>
    <col min="18" max="21" width="9.5546875" customWidth="1"/>
    <col min="22" max="22" width="9.5546875" bestFit="1" customWidth="1"/>
    <col min="23" max="26" width="9.5546875" customWidth="1"/>
    <col min="27" max="27" width="9.5546875" bestFit="1" customWidth="1"/>
    <col min="28" max="31" width="9.5546875" customWidth="1"/>
    <col min="32" max="36" width="9.5546875" bestFit="1" customWidth="1"/>
  </cols>
  <sheetData>
    <row r="1" spans="1:36" x14ac:dyDescent="0.3">
      <c r="A1" t="s">
        <v>18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 s="4">
        <v>2051</v>
      </c>
      <c r="AH1" s="4">
        <v>2052</v>
      </c>
      <c r="AI1" s="4">
        <v>2053</v>
      </c>
      <c r="AJ1" s="4">
        <v>2054</v>
      </c>
    </row>
    <row r="2" spans="1:36" x14ac:dyDescent="0.3">
      <c r="A2" t="s">
        <v>20</v>
      </c>
      <c r="B2" s="2">
        <f>HLOOKUP(B$1,'Investment Cost NREL, EUR'!$B$1:$AF$4,2,FALSE)/5*1000*('Cost breakdown NREL'!$B$2+SUM('Cost breakdown NREL'!$B$3:$B$8)/2)/SUM('Cost breakdown NREL'!$B$2:$B$9)</f>
        <v>23428.520941424165</v>
      </c>
      <c r="C2" s="2">
        <f>HLOOKUP(C$1,'Investment Cost NREL, EUR'!$B$1:$AF$4,2,FALSE)/5*1000*('Cost breakdown NREL'!$B$2+SUM('Cost breakdown NREL'!$B$3:$B$8)/2)/SUM('Cost breakdown NREL'!$B$2:$B$9)</f>
        <v>23428.520941424165</v>
      </c>
      <c r="D2" s="2">
        <f>HLOOKUP(D$1,'Investment Cost NREL, EUR'!$B$1:$AF$4,2,FALSE)/5*1000*('Cost breakdown NREL'!$B$2+SUM('Cost breakdown NREL'!$B$3:$B$8)/2)/SUM('Cost breakdown NREL'!$B$2:$B$9)</f>
        <v>26332.605887093363</v>
      </c>
      <c r="E2" s="2">
        <f>HLOOKUP(E$1,'Investment Cost NREL, EUR'!$B$1:$AF$4,2,FALSE)/5*1000*('Cost breakdown NREL'!$B$2+SUM('Cost breakdown NREL'!$B$3:$B$8)/2)/SUM('Cost breakdown NREL'!$B$2:$B$9)</f>
        <v>18943.66781891738</v>
      </c>
      <c r="F2" s="2">
        <f>HLOOKUP(F$1,'Investment Cost NREL, EUR'!$B$1:$AF$4,2,FALSE)/5*1000*('Cost breakdown NREL'!$B$2+SUM('Cost breakdown NREL'!$B$3:$B$8)/2)/SUM('Cost breakdown NREL'!$B$2:$B$9)</f>
        <v>17880.326491503583</v>
      </c>
      <c r="G2" s="2">
        <f>HLOOKUP(G$1,'Investment Cost NREL, EUR'!$B$1:$AF$4,2,FALSE)/5*1000*('Cost breakdown NREL'!$B$2+SUM('Cost breakdown NREL'!$B$3:$B$8)/2)/SUM('Cost breakdown NREL'!$B$2:$B$9)</f>
        <v>16970.626472766227</v>
      </c>
      <c r="H2" s="2">
        <f>HLOOKUP(H$1,'Investment Cost NREL, EUR'!$B$1:$AF$4,2,FALSE)/5*1000*('Cost breakdown NREL'!$B$2+SUM('Cost breakdown NREL'!$B$3:$B$8)/2)/SUM('Cost breakdown NREL'!$B$2:$B$9)</f>
        <v>16250.288001632856</v>
      </c>
      <c r="I2" s="2">
        <f>HLOOKUP(I$1,'Investment Cost NREL, EUR'!$B$1:$AF$4,2,FALSE)/5*1000*('Cost breakdown NREL'!$B$2+SUM('Cost breakdown NREL'!$B$3:$B$8)/2)/SUM('Cost breakdown NREL'!$B$2:$B$9)</f>
        <v>15529.949530499489</v>
      </c>
      <c r="J2" s="2">
        <f>HLOOKUP(J$1,'Investment Cost NREL, EUR'!$B$1:$AF$4,2,FALSE)/5*1000*('Cost breakdown NREL'!$B$2+SUM('Cost breakdown NREL'!$B$3:$B$8)/2)/SUM('Cost breakdown NREL'!$B$2:$B$9)</f>
        <v>14809.61105936612</v>
      </c>
      <c r="K2" s="2">
        <f>HLOOKUP(K$1,'Investment Cost NREL, EUR'!$B$1:$AF$4,2,FALSE)/5*1000*('Cost breakdown NREL'!$B$2+SUM('Cost breakdown NREL'!$B$3:$B$8)/2)/SUM('Cost breakdown NREL'!$B$2:$B$9)</f>
        <v>14089.243067374131</v>
      </c>
      <c r="L2" s="2">
        <f>HLOOKUP(L$1,'Investment Cost NREL, EUR'!$B$1:$AF$4,2,FALSE)/5*1000*('Cost breakdown NREL'!$B$2+SUM('Cost breakdown NREL'!$B$3:$B$8)/2)/SUM('Cost breakdown NREL'!$B$2:$B$9)</f>
        <v>13369.140763109704</v>
      </c>
      <c r="M2" s="2">
        <f>HLOOKUP(M$1,'Investment Cost NREL, EUR'!$B$1:$AF$4,2,FALSE)/5*1000*('Cost breakdown NREL'!$B$2+SUM('Cost breakdown NREL'!$B$3:$B$8)/2)/SUM('Cost breakdown NREL'!$B$2:$B$9)</f>
        <v>13134.730385254925</v>
      </c>
      <c r="N2" s="2">
        <f>HLOOKUP(N$1,'Investment Cost NREL, EUR'!$B$1:$AF$4,2,FALSE)/5*1000*('Cost breakdown NREL'!$B$2+SUM('Cost breakdown NREL'!$B$3:$B$8)/2)/SUM('Cost breakdown NREL'!$B$2:$B$9)</f>
        <v>12900.320007400143</v>
      </c>
      <c r="O2" s="2">
        <f>HLOOKUP(O$1,'Investment Cost NREL, EUR'!$B$1:$AF$4,2,FALSE)/5*1000*('Cost breakdown NREL'!$B$2+SUM('Cost breakdown NREL'!$B$3:$B$8)/2)/SUM('Cost breakdown NREL'!$B$2:$B$9)</f>
        <v>12665.688223105728</v>
      </c>
      <c r="P2" s="2">
        <f>HLOOKUP(P$1,'Investment Cost NREL, EUR'!$B$1:$AF$4,2,FALSE)/5*1000*('Cost breakdown NREL'!$B$2+SUM('Cost breakdown NREL'!$B$3:$B$8)/2)/SUM('Cost breakdown NREL'!$B$2:$B$9)</f>
        <v>12431.292605680255</v>
      </c>
      <c r="Q2" s="2">
        <f>HLOOKUP(Q$1,'Investment Cost NREL, EUR'!$B$1:$AF$4,2,FALSE)/5*1000*('Cost breakdown NREL'!$B$2+SUM('Cost breakdown NREL'!$B$3:$B$8)/2)/SUM('Cost breakdown NREL'!$B$2:$B$9)</f>
        <v>12197.133155123729</v>
      </c>
      <c r="R2" s="2">
        <f>HLOOKUP(R$1,'Investment Cost NREL, EUR'!$B$1:$AF$4,2,FALSE)/5*1000*('Cost breakdown NREL'!$B$2+SUM('Cost breakdown NREL'!$B$3:$B$8)/2)/SUM('Cost breakdown NREL'!$B$2:$B$9)</f>
        <v>11962.486610400001</v>
      </c>
      <c r="S2" s="2">
        <f>HLOOKUP(S$1,'Investment Cost NREL, EUR'!$B$1:$AF$4,2,FALSE)/5*1000*('Cost breakdown NREL'!$B$2+SUM('Cost breakdown NREL'!$B$3:$B$8)/2)/SUM('Cost breakdown NREL'!$B$2:$B$9)</f>
        <v>11728.090992974532</v>
      </c>
      <c r="T2" s="2">
        <f>HLOOKUP(T$1,'Investment Cost NREL, EUR'!$B$1:$AF$4,2,FALSE)/5*1000*('Cost breakdown NREL'!$B$2+SUM('Cost breakdown NREL'!$B$3:$B$8)/2)/SUM('Cost breakdown NREL'!$B$2:$B$9)</f>
        <v>11493.680615119749</v>
      </c>
      <c r="U2" s="2">
        <f>HLOOKUP(U$1,'Investment Cost NREL, EUR'!$B$1:$AF$4,2,FALSE)/5*1000*('Cost breakdown NREL'!$B$2+SUM('Cost breakdown NREL'!$B$3:$B$8)/2)/SUM('Cost breakdown NREL'!$B$2:$B$9)</f>
        <v>11259.284997694278</v>
      </c>
      <c r="V2" s="2">
        <f>HLOOKUP(V$1,'Investment Cost NREL, EUR'!$B$1:$AF$4,2,FALSE)/5*1000*('Cost breakdown NREL'!$B$2+SUM('Cost breakdown NREL'!$B$3:$B$8)/2)/SUM('Cost breakdown NREL'!$B$2:$B$9)</f>
        <v>11024.638452970554</v>
      </c>
      <c r="W2" s="2">
        <f>HLOOKUP(W$1,'Investment Cost NREL, EUR'!$B$1:$AF$4,2,FALSE)/5*1000*('Cost breakdown NREL'!$B$2+SUM('Cost breakdown NREL'!$B$3:$B$8)/2)/SUM('Cost breakdown NREL'!$B$2:$B$9)</f>
        <v>10790.242835545081</v>
      </c>
      <c r="X2" s="2">
        <f>HLOOKUP(X$1,'Investment Cost NREL, EUR'!$B$1:$AF$4,2,FALSE)/5*1000*('Cost breakdown NREL'!$B$2+SUM('Cost breakdown NREL'!$B$3:$B$8)/2)/SUM('Cost breakdown NREL'!$B$2:$B$9)</f>
        <v>10556.083384988548</v>
      </c>
      <c r="Y2" s="2">
        <f>HLOOKUP(Y$1,'Investment Cost NREL, EUR'!$B$1:$AF$4,2,FALSE)/5*1000*('Cost breakdown NREL'!$B$2+SUM('Cost breakdown NREL'!$B$3:$B$8)/2)/SUM('Cost breakdown NREL'!$B$2:$B$9)</f>
        <v>10321.687767563079</v>
      </c>
      <c r="Z2" s="2">
        <f>HLOOKUP(Z$1,'Investment Cost NREL, EUR'!$B$1:$AF$4,2,FALSE)/5*1000*('Cost breakdown NREL'!$B$2+SUM('Cost breakdown NREL'!$B$3:$B$8)/2)/SUM('Cost breakdown NREL'!$B$2:$B$9)</f>
        <v>10087.041222839356</v>
      </c>
      <c r="AA2" s="2">
        <f>HLOOKUP(AA$1,'Investment Cost NREL, EUR'!$B$1:$AF$4,2,FALSE)/5*1000*('Cost breakdown NREL'!$B$2+SUM('Cost breakdown NREL'!$B$3:$B$8)/2)/SUM('Cost breakdown NREL'!$B$2:$B$9)</f>
        <v>9852.6308449845747</v>
      </c>
      <c r="AB2" s="2">
        <f>HLOOKUP(AB$1,'Investment Cost NREL, EUR'!$B$1:$AF$4,2,FALSE)/5*1000*('Cost breakdown NREL'!$B$2+SUM('Cost breakdown NREL'!$B$3:$B$8)/2)/SUM('Cost breakdown NREL'!$B$2:$B$9)</f>
        <v>9618.235227559102</v>
      </c>
      <c r="AC2" s="2">
        <f>HLOOKUP(AC$1,'Investment Cost NREL, EUR'!$B$1:$AF$4,2,FALSE)/5*1000*('Cost breakdown NREL'!$B$2+SUM('Cost breakdown NREL'!$B$3:$B$8)/2)/SUM('Cost breakdown NREL'!$B$2:$B$9)</f>
        <v>9383.8248497043187</v>
      </c>
      <c r="AD2" s="2">
        <f>HLOOKUP(AD$1,'Investment Cost NREL, EUR'!$B$1:$AF$4,2,FALSE)/5*1000*('Cost breakdown NREL'!$B$2+SUM('Cost breakdown NREL'!$B$3:$B$8)/2)/SUM('Cost breakdown NREL'!$B$2:$B$9)</f>
        <v>9149.1783049805981</v>
      </c>
      <c r="AE2" s="2">
        <f>HLOOKUP(AE$1,'Investment Cost NREL, EUR'!$B$1:$AF$4,2,FALSE)/5*1000*('Cost breakdown NREL'!$B$2+SUM('Cost breakdown NREL'!$B$3:$B$8)/2)/SUM('Cost breakdown NREL'!$B$2:$B$9)</f>
        <v>8914.7826875551254</v>
      </c>
      <c r="AF2" s="2">
        <f>HLOOKUP(AF$1,'Investment Cost NREL, EUR'!$B$1:$AF$4,2,FALSE)/5*1000*('Cost breakdown NREL'!$B$2+SUM('Cost breakdown NREL'!$B$3:$B$8)/2)/SUM('Cost breakdown NREL'!$B$2:$B$9)</f>
        <v>8680.6379974279025</v>
      </c>
      <c r="AG2" s="5">
        <v>86806.379974279029</v>
      </c>
      <c r="AH2" s="5">
        <v>86806.379974279029</v>
      </c>
      <c r="AI2" s="5">
        <v>86806.379974279029</v>
      </c>
      <c r="AJ2" s="5">
        <v>86806.379974279029</v>
      </c>
    </row>
    <row r="3" spans="1:36" x14ac:dyDescent="0.3">
      <c r="A3" t="s">
        <v>21</v>
      </c>
      <c r="B3" s="2">
        <f>HLOOKUP(B$1,'Investment Cost NREL, EUR'!$B$1:$AF$4,3,FALSE)/5*1000*('Cost breakdown NREL'!$B$2+SUM('Cost breakdown NREL'!$B$3:$B$8)/2)/SUM('Cost breakdown NREL'!$B$2:$B$9)</f>
        <v>23428.520941424165</v>
      </c>
      <c r="C3" s="2">
        <f>HLOOKUP(C$1,'Investment Cost NREL, EUR'!$B$1:$AF$4,3,FALSE)/5*1000*('Cost breakdown NREL'!$B$2+SUM('Cost breakdown NREL'!$B$3:$B$8)/2)/SUM('Cost breakdown NREL'!$B$2:$B$9)</f>
        <v>23428.520941424165</v>
      </c>
      <c r="D3" s="2">
        <f>HLOOKUP(D$1,'Investment Cost NREL, EUR'!$B$1:$AF$4,3,FALSE)/5*1000*('Cost breakdown NREL'!$B$2+SUM('Cost breakdown NREL'!$B$3:$B$8)/2)/SUM('Cost breakdown NREL'!$B$2:$B$9)</f>
        <v>26332.605887093363</v>
      </c>
      <c r="E3" s="2">
        <f>HLOOKUP(E$1,'Investment Cost NREL, EUR'!$B$1:$AF$4,3,FALSE)/5*1000*('Cost breakdown NREL'!$B$2+SUM('Cost breakdown NREL'!$B$3:$B$8)/2)/SUM('Cost breakdown NREL'!$B$2:$B$9)</f>
        <v>25321.546000291724</v>
      </c>
      <c r="F3" s="2">
        <f>HLOOKUP(F$1,'Investment Cost NREL, EUR'!$B$1:$AF$4,3,FALSE)/5*1000*('Cost breakdown NREL'!$B$2+SUM('Cost breakdown NREL'!$B$3:$B$8)/2)/SUM('Cost breakdown NREL'!$B$2:$B$9)</f>
        <v>24189.022540707079</v>
      </c>
      <c r="G3" s="2">
        <f>HLOOKUP(G$1,'Investment Cost NREL, EUR'!$B$1:$AF$4,3,FALSE)/5*1000*('Cost breakdown NREL'!$B$2+SUM('Cost breakdown NREL'!$B$3:$B$8)/2)/SUM('Cost breakdown NREL'!$B$2:$B$9)</f>
        <v>21198.589083580762</v>
      </c>
      <c r="H3" s="2">
        <f>HLOOKUP(H$1,'Investment Cost NREL, EUR'!$B$1:$AF$4,3,FALSE)/5*1000*('Cost breakdown NREL'!$B$2+SUM('Cost breakdown NREL'!$B$3:$B$8)/2)/SUM('Cost breakdown NREL'!$B$2:$B$9)</f>
        <v>20512.834298318168</v>
      </c>
      <c r="I3" s="2">
        <f>HLOOKUP(I$1,'Investment Cost NREL, EUR'!$B$1:$AF$4,3,FALSE)/5*1000*('Cost breakdown NREL'!$B$2+SUM('Cost breakdown NREL'!$B$3:$B$8)/2)/SUM('Cost breakdown NREL'!$B$2:$B$9)</f>
        <v>19827.035231767648</v>
      </c>
      <c r="J3" s="2">
        <f>HLOOKUP(J$1,'Investment Cost NREL, EUR'!$B$1:$AF$4,3,FALSE)/5*1000*('Cost breakdown NREL'!$B$2+SUM('Cost breakdown NREL'!$B$3:$B$8)/2)/SUM('Cost breakdown NREL'!$B$2:$B$9)</f>
        <v>19141.177123499889</v>
      </c>
      <c r="K3" s="2">
        <f>HLOOKUP(K$1,'Investment Cost NREL, EUR'!$B$1:$AF$4,3,FALSE)/5*1000*('Cost breakdown NREL'!$B$2+SUM('Cost breakdown NREL'!$B$3:$B$8)/2)/SUM('Cost breakdown NREL'!$B$2:$B$9)</f>
        <v>18455.259973514894</v>
      </c>
      <c r="L3" s="2">
        <f>HLOOKUP(L$1,'Investment Cost NREL, EUR'!$B$1:$AF$4,3,FALSE)/5*1000*('Cost breakdown NREL'!$B$2+SUM('Cost breakdown NREL'!$B$3:$B$8)/2)/SUM('Cost breakdown NREL'!$B$2:$B$9)</f>
        <v>17769.269021383356</v>
      </c>
      <c r="M3" s="2">
        <f>HLOOKUP(M$1,'Investment Cost NREL, EUR'!$B$1:$AF$4,3,FALSE)/5*1000*('Cost breakdown NREL'!$B$2+SUM('Cost breakdown NREL'!$B$3:$B$8)/2)/SUM('Cost breakdown NREL'!$B$2:$B$9)</f>
        <v>17495.212130404845</v>
      </c>
      <c r="N3" s="2">
        <f>HLOOKUP(N$1,'Investment Cost NREL, EUR'!$B$1:$AF$4,3,FALSE)/5*1000*('Cost breakdown NREL'!$B$2+SUM('Cost breakdown NREL'!$B$3:$B$8)/2)/SUM('Cost breakdown NREL'!$B$2:$B$9)</f>
        <v>17221.169999855643</v>
      </c>
      <c r="O3" s="2">
        <f>HLOOKUP(O$1,'Investment Cost NREL, EUR'!$B$1:$AF$4,3,FALSE)/5*1000*('Cost breakdown NREL'!$B$2+SUM('Cost breakdown NREL'!$B$3:$B$8)/2)/SUM('Cost breakdown NREL'!$B$2:$B$9)</f>
        <v>16947.127869306441</v>
      </c>
      <c r="P3" s="2">
        <f>HLOOKUP(P$1,'Investment Cost NREL, EUR'!$B$1:$AF$4,3,FALSE)/5*1000*('Cost breakdown NREL'!$B$2+SUM('Cost breakdown NREL'!$B$3:$B$8)/2)/SUM('Cost breakdown NREL'!$B$2:$B$9)</f>
        <v>16673.08573875724</v>
      </c>
      <c r="Q3" s="2">
        <f>HLOOKUP(Q$1,'Investment Cost NREL, EUR'!$B$1:$AF$4,3,FALSE)/5*1000*('Cost breakdown NREL'!$B$2+SUM('Cost breakdown NREL'!$B$3:$B$8)/2)/SUM('Cost breakdown NREL'!$B$2:$B$9)</f>
        <v>16399.073129066659</v>
      </c>
      <c r="R3" s="2">
        <f>HLOOKUP(R$1,'Investment Cost NREL, EUR'!$B$1:$AF$4,3,FALSE)/5*1000*('Cost breakdown NREL'!$B$2+SUM('Cost breakdown NREL'!$B$3:$B$8)/2)/SUM('Cost breakdown NREL'!$B$2:$B$9)</f>
        <v>16125.060519376073</v>
      </c>
      <c r="S3" s="2">
        <f>HLOOKUP(S$1,'Investment Cost NREL, EUR'!$B$1:$AF$4,3,FALSE)/5*1000*('Cost breakdown NREL'!$B$2+SUM('Cost breakdown NREL'!$B$3:$B$8)/2)/SUM('Cost breakdown NREL'!$B$2:$B$9)</f>
        <v>15851.047909685489</v>
      </c>
      <c r="T3" s="2">
        <f>HLOOKUP(T$1,'Investment Cost NREL, EUR'!$B$1:$AF$4,3,FALSE)/5*1000*('Cost breakdown NREL'!$B$2+SUM('Cost breakdown NREL'!$B$3:$B$8)/2)/SUM('Cost breakdown NREL'!$B$2:$B$9)</f>
        <v>15577.064820853526</v>
      </c>
      <c r="U3" s="2">
        <f>HLOOKUP(U$1,'Investment Cost NREL, EUR'!$B$1:$AF$4,3,FALSE)/5*1000*('Cost breakdown NREL'!$B$2+SUM('Cost breakdown NREL'!$B$3:$B$8)/2)/SUM('Cost breakdown NREL'!$B$2:$B$9)</f>
        <v>15303.081732021557</v>
      </c>
      <c r="V3" s="2">
        <f>HLOOKUP(V$1,'Investment Cost NREL, EUR'!$B$1:$AF$4,3,FALSE)/5*1000*('Cost breakdown NREL'!$B$2+SUM('Cost breakdown NREL'!$B$3:$B$8)/2)/SUM('Cost breakdown NREL'!$B$2:$B$9)</f>
        <v>15029.113403618901</v>
      </c>
      <c r="W3" s="2">
        <f>HLOOKUP(W$1,'Investment Cost NREL, EUR'!$B$1:$AF$4,3,FALSE)/5*1000*('Cost breakdown NREL'!$B$2+SUM('Cost breakdown NREL'!$B$3:$B$8)/2)/SUM('Cost breakdown NREL'!$B$2:$B$9)</f>
        <v>14755.159835645554</v>
      </c>
      <c r="X3" s="2">
        <f>HLOOKUP(X$1,'Investment Cost NREL, EUR'!$B$1:$AF$4,3,FALSE)/5*1000*('Cost breakdown NREL'!$B$2+SUM('Cost breakdown NREL'!$B$3:$B$8)/2)/SUM('Cost breakdown NREL'!$B$2:$B$9)</f>
        <v>14481.221028101514</v>
      </c>
      <c r="Y3" s="2">
        <f>HLOOKUP(Y$1,'Investment Cost NREL, EUR'!$B$1:$AF$4,3,FALSE)/5*1000*('Cost breakdown NREL'!$B$2+SUM('Cost breakdown NREL'!$B$3:$B$8)/2)/SUM('Cost breakdown NREL'!$B$2:$B$9)</f>
        <v>14207.296980986785</v>
      </c>
      <c r="Z3" s="2">
        <f>HLOOKUP(Z$1,'Investment Cost NREL, EUR'!$B$1:$AF$4,3,FALSE)/5*1000*('Cost breakdown NREL'!$B$2+SUM('Cost breakdown NREL'!$B$3:$B$8)/2)/SUM('Cost breakdown NREL'!$B$2:$B$9)</f>
        <v>13933.372933872051</v>
      </c>
      <c r="AA3" s="2">
        <f>HLOOKUP(AA$1,'Investment Cost NREL, EUR'!$B$1:$AF$4,3,FALSE)/5*1000*('Cost breakdown NREL'!$B$2+SUM('Cost breakdown NREL'!$B$3:$B$8)/2)/SUM('Cost breakdown NREL'!$B$2:$B$9)</f>
        <v>13659.478407615945</v>
      </c>
      <c r="AB3" s="2">
        <f>HLOOKUP(AB$1,'Investment Cost NREL, EUR'!$B$1:$AF$4,3,FALSE)/5*1000*('Cost breakdown NREL'!$B$2+SUM('Cost breakdown NREL'!$B$3:$B$8)/2)/SUM('Cost breakdown NREL'!$B$2:$B$9)</f>
        <v>13385.583881359829</v>
      </c>
      <c r="AC3" s="2">
        <f>HLOOKUP(AC$1,'Investment Cost NREL, EUR'!$B$1:$AF$4,3,FALSE)/5*1000*('Cost breakdown NREL'!$B$2+SUM('Cost breakdown NREL'!$B$3:$B$8)/2)/SUM('Cost breakdown NREL'!$B$2:$B$9)</f>
        <v>13111.718875962337</v>
      </c>
      <c r="AD3" s="2">
        <f>HLOOKUP(AD$1,'Investment Cost NREL, EUR'!$B$1:$AF$4,3,FALSE)/5*1000*('Cost breakdown NREL'!$B$2+SUM('Cost breakdown NREL'!$B$3:$B$8)/2)/SUM('Cost breakdown NREL'!$B$2:$B$9)</f>
        <v>12837.868630994148</v>
      </c>
      <c r="AE3" s="2">
        <f>HLOOKUP(AE$1,'Investment Cost NREL, EUR'!$B$1:$AF$4,3,FALSE)/5*1000*('Cost breakdown NREL'!$B$2+SUM('Cost breakdown NREL'!$B$3:$B$8)/2)/SUM('Cost breakdown NREL'!$B$2:$B$9)</f>
        <v>12564.033146455271</v>
      </c>
      <c r="AF3" s="2">
        <f>HLOOKUP(AF$1,'Investment Cost NREL, EUR'!$B$1:$AF$4,3,FALSE)/5*1000*('Cost breakdown NREL'!$B$2+SUM('Cost breakdown NREL'!$B$3:$B$8)/2)/SUM('Cost breakdown NREL'!$B$2:$B$9)</f>
        <v>12290.212422345705</v>
      </c>
      <c r="AG3" s="5">
        <v>122902.12422345704</v>
      </c>
      <c r="AH3" s="5">
        <v>122902.12422345704</v>
      </c>
      <c r="AI3" s="5">
        <v>122902.12422345704</v>
      </c>
      <c r="AJ3" s="5">
        <v>122902.12422345704</v>
      </c>
    </row>
    <row r="4" spans="1:36" x14ac:dyDescent="0.3">
      <c r="A4" t="s">
        <v>22</v>
      </c>
      <c r="B4" s="2">
        <f>HLOOKUP(B$1,'Investment Cost NREL, EUR'!$B$1:$AF$4,4,FALSE)/5*1000*('Cost breakdown NREL'!$B$2+SUM('Cost breakdown NREL'!$B$3:$B$8)/2)/SUM('Cost breakdown NREL'!$B$2:$B$9)</f>
        <v>23428.520941424165</v>
      </c>
      <c r="C4" s="2">
        <f>HLOOKUP(C$1,'Investment Cost NREL, EUR'!$B$1:$AF$4,4,FALSE)/5*1000*('Cost breakdown NREL'!$B$2+SUM('Cost breakdown NREL'!$B$3:$B$8)/2)/SUM('Cost breakdown NREL'!$B$2:$B$9)</f>
        <v>23428.520941424165</v>
      </c>
      <c r="D4" s="2">
        <f>HLOOKUP(D$1,'Investment Cost NREL, EUR'!$B$1:$AF$4,4,FALSE)/5*1000*('Cost breakdown NREL'!$B$2+SUM('Cost breakdown NREL'!$B$3:$B$8)/2)/SUM('Cost breakdown NREL'!$B$2:$B$9)</f>
        <v>26332.605887093363</v>
      </c>
      <c r="E4" s="2">
        <f>HLOOKUP(E$1,'Investment Cost NREL, EUR'!$B$1:$AF$4,4,FALSE)/5*1000*('Cost breakdown NREL'!$B$2+SUM('Cost breakdown NREL'!$B$3:$B$8)/2)/SUM('Cost breakdown NREL'!$B$2:$B$9)</f>
        <v>27307.975055826053</v>
      </c>
      <c r="F4" s="2">
        <f>HLOOKUP(F$1,'Investment Cost NREL, EUR'!$B$1:$AF$4,4,FALSE)/5*1000*('Cost breakdown NREL'!$B$2+SUM('Cost breakdown NREL'!$B$3:$B$8)/2)/SUM('Cost breakdown NREL'!$B$2:$B$9)</f>
        <v>27502.930806138131</v>
      </c>
      <c r="G4" s="2">
        <f>HLOOKUP(G$1,'Investment Cost NREL, EUR'!$B$1:$AF$4,4,FALSE)/5*1000*('Cost breakdown NREL'!$B$2+SUM('Cost breakdown NREL'!$B$3:$B$8)/2)/SUM('Cost breakdown NREL'!$B$2:$B$9)</f>
        <v>27112.709336498501</v>
      </c>
      <c r="H4" s="2">
        <f>HLOOKUP(H$1,'Investment Cost NREL, EUR'!$B$1:$AF$4,4,FALSE)/5*1000*('Cost breakdown NREL'!$B$2+SUM('Cost breakdown NREL'!$B$3:$B$8)/2)/SUM('Cost breakdown NREL'!$B$2:$B$9)</f>
        <v>26097.339404338662</v>
      </c>
      <c r="I4" s="2">
        <f>HLOOKUP(I$1,'Investment Cost NREL, EUR'!$B$1:$AF$4,4,FALSE)/5*1000*('Cost breakdown NREL'!$B$2+SUM('Cost breakdown NREL'!$B$3:$B$8)/2)/SUM('Cost breakdown NREL'!$B$2:$B$9)</f>
        <v>25081.984232608131</v>
      </c>
      <c r="J4" s="2">
        <f>HLOOKUP(J$1,'Investment Cost NREL, EUR'!$B$1:$AF$4,4,FALSE)/5*1000*('Cost breakdown NREL'!$B$2+SUM('Cost breakdown NREL'!$B$3:$B$8)/2)/SUM('Cost breakdown NREL'!$B$2:$B$9)</f>
        <v>24066.643821306909</v>
      </c>
      <c r="K4" s="2">
        <f>HLOOKUP(K$1,'Investment Cost NREL, EUR'!$B$1:$AF$4,4,FALSE)/5*1000*('Cost breakdown NREL'!$B$2+SUM('Cost breakdown NREL'!$B$3:$B$8)/2)/SUM('Cost breakdown NREL'!$B$2:$B$9)</f>
        <v>23051.318170434999</v>
      </c>
      <c r="L4" s="2">
        <f>HLOOKUP(L$1,'Investment Cost NREL, EUR'!$B$1:$AF$4,4,FALSE)/5*1000*('Cost breakdown NREL'!$B$2+SUM('Cost breakdown NREL'!$B$3:$B$8)/2)/SUM('Cost breakdown NREL'!$B$2:$B$9)</f>
        <v>22036.007279992398</v>
      </c>
      <c r="M4" s="2">
        <f>HLOOKUP(M$1,'Investment Cost NREL, EUR'!$B$1:$AF$4,4,FALSE)/5*1000*('Cost breakdown NREL'!$B$2+SUM('Cost breakdown NREL'!$B$3:$B$8)/2)/SUM('Cost breakdown NREL'!$B$2:$B$9)</f>
        <v>21885.140932026039</v>
      </c>
      <c r="N4" s="2">
        <f>HLOOKUP(N$1,'Investment Cost NREL, EUR'!$B$1:$AF$4,4,FALSE)/5*1000*('Cost breakdown NREL'!$B$2+SUM('Cost breakdown NREL'!$B$3:$B$8)/2)/SUM('Cost breakdown NREL'!$B$2:$B$9)</f>
        <v>21734.259823630378</v>
      </c>
      <c r="O4" s="2">
        <f>HLOOKUP(O$1,'Investment Cost NREL, EUR'!$B$1:$AF$4,4,FALSE)/5*1000*('Cost breakdown NREL'!$B$2+SUM('Cost breakdown NREL'!$B$3:$B$8)/2)/SUM('Cost breakdown NREL'!$B$2:$B$9)</f>
        <v>21583.37871523471</v>
      </c>
      <c r="P4" s="2">
        <f>HLOOKUP(P$1,'Investment Cost NREL, EUR'!$B$1:$AF$4,4,FALSE)/5*1000*('Cost breakdown NREL'!$B$2+SUM('Cost breakdown NREL'!$B$3:$B$8)/2)/SUM('Cost breakdown NREL'!$B$2:$B$9)</f>
        <v>21432.512367268351</v>
      </c>
      <c r="Q4" s="2">
        <f>HLOOKUP(Q$1,'Investment Cost NREL, EUR'!$B$1:$AF$4,4,FALSE)/5*1000*('Cost breakdown NREL'!$B$2+SUM('Cost breakdown NREL'!$B$3:$B$8)/2)/SUM('Cost breakdown NREL'!$B$2:$B$9)</f>
        <v>21281.631258872687</v>
      </c>
      <c r="R4" s="2">
        <f>HLOOKUP(R$1,'Investment Cost NREL, EUR'!$B$1:$AF$4,4,FALSE)/5*1000*('Cost breakdown NREL'!$B$2+SUM('Cost breakdown NREL'!$B$3:$B$8)/2)/SUM('Cost breakdown NREL'!$B$2:$B$9)</f>
        <v>21130.750150477015</v>
      </c>
      <c r="S4" s="2">
        <f>HLOOKUP(S$1,'Investment Cost NREL, EUR'!$B$1:$AF$4,4,FALSE)/5*1000*('Cost breakdown NREL'!$B$2+SUM('Cost breakdown NREL'!$B$3:$B$8)/2)/SUM('Cost breakdown NREL'!$B$2:$B$9)</f>
        <v>20979.883802510656</v>
      </c>
      <c r="T4" s="2">
        <f>HLOOKUP(T$1,'Investment Cost NREL, EUR'!$B$1:$AF$4,4,FALSE)/5*1000*('Cost breakdown NREL'!$B$2+SUM('Cost breakdown NREL'!$B$3:$B$8)/2)/SUM('Cost breakdown NREL'!$B$2:$B$9)</f>
        <v>20829.002694114992</v>
      </c>
      <c r="U4" s="2">
        <f>HLOOKUP(U$1,'Investment Cost NREL, EUR'!$B$1:$AF$4,4,FALSE)/5*1000*('Cost breakdown NREL'!$B$2+SUM('Cost breakdown NREL'!$B$3:$B$8)/2)/SUM('Cost breakdown NREL'!$B$2:$B$9)</f>
        <v>20678.136346148636</v>
      </c>
      <c r="V4" s="2">
        <f>HLOOKUP(V$1,'Investment Cost NREL, EUR'!$B$1:$AF$4,4,FALSE)/5*1000*('Cost breakdown NREL'!$B$2+SUM('Cost breakdown NREL'!$B$3:$B$8)/2)/SUM('Cost breakdown NREL'!$B$2:$B$9)</f>
        <v>20527.255237752972</v>
      </c>
      <c r="W4" s="2">
        <f>HLOOKUP(W$1,'Investment Cost NREL, EUR'!$B$1:$AF$4,4,FALSE)/5*1000*('Cost breakdown NREL'!$B$2+SUM('Cost breakdown NREL'!$B$3:$B$8)/2)/SUM('Cost breakdown NREL'!$B$2:$B$9)</f>
        <v>20376.374129357308</v>
      </c>
      <c r="X4" s="2">
        <f>HLOOKUP(X$1,'Investment Cost NREL, EUR'!$B$1:$AF$4,4,FALSE)/5*1000*('Cost breakdown NREL'!$B$2+SUM('Cost breakdown NREL'!$B$3:$B$8)/2)/SUM('Cost breakdown NREL'!$B$2:$B$9)</f>
        <v>20225.507781390948</v>
      </c>
      <c r="Y4" s="2">
        <f>HLOOKUP(Y$1,'Investment Cost NREL, EUR'!$B$1:$AF$4,4,FALSE)/5*1000*('Cost breakdown NREL'!$B$2+SUM('Cost breakdown NREL'!$B$3:$B$8)/2)/SUM('Cost breakdown NREL'!$B$2:$B$9)</f>
        <v>20074.626672995284</v>
      </c>
      <c r="Z4" s="2">
        <f>HLOOKUP(Z$1,'Investment Cost NREL, EUR'!$B$1:$AF$4,4,FALSE)/5*1000*('Cost breakdown NREL'!$B$2+SUM('Cost breakdown NREL'!$B$3:$B$8)/2)/SUM('Cost breakdown NREL'!$B$2:$B$9)</f>
        <v>19923.745564599616</v>
      </c>
      <c r="AA4" s="2">
        <f>HLOOKUP(AA$1,'Investment Cost NREL, EUR'!$B$1:$AF$4,4,FALSE)/5*1000*('Cost breakdown NREL'!$B$2+SUM('Cost breakdown NREL'!$B$3:$B$8)/2)/SUM('Cost breakdown NREL'!$B$2:$B$9)</f>
        <v>19772.879216633264</v>
      </c>
      <c r="AB4" s="2">
        <f>HLOOKUP(AB$1,'Investment Cost NREL, EUR'!$B$1:$AF$4,4,FALSE)/5*1000*('Cost breakdown NREL'!$B$2+SUM('Cost breakdown NREL'!$B$3:$B$8)/2)/SUM('Cost breakdown NREL'!$B$2:$B$9)</f>
        <v>19621.998108237593</v>
      </c>
      <c r="AC4" s="2">
        <f>HLOOKUP(AC$1,'Investment Cost NREL, EUR'!$B$1:$AF$4,4,FALSE)/5*1000*('Cost breakdown NREL'!$B$2+SUM('Cost breakdown NREL'!$B$3:$B$8)/2)/SUM('Cost breakdown NREL'!$B$2:$B$9)</f>
        <v>19471.116999841928</v>
      </c>
      <c r="AD4" s="2">
        <f>HLOOKUP(AD$1,'Investment Cost NREL, EUR'!$B$1:$AF$4,4,FALSE)/5*1000*('Cost breakdown NREL'!$B$2+SUM('Cost breakdown NREL'!$B$3:$B$8)/2)/SUM('Cost breakdown NREL'!$B$2:$B$9)</f>
        <v>19320.250651875569</v>
      </c>
      <c r="AE4" s="2">
        <f>HLOOKUP(AE$1,'Investment Cost NREL, EUR'!$B$1:$AF$4,4,FALSE)/5*1000*('Cost breakdown NREL'!$B$2+SUM('Cost breakdown NREL'!$B$3:$B$8)/2)/SUM('Cost breakdown NREL'!$B$2:$B$9)</f>
        <v>19169.369543479905</v>
      </c>
      <c r="AF4" s="2">
        <f>HLOOKUP(AF$1,'Investment Cost NREL, EUR'!$B$1:$AF$4,4,FALSE)/5*1000*('Cost breakdown NREL'!$B$2+SUM('Cost breakdown NREL'!$B$3:$B$8)/2)/SUM('Cost breakdown NREL'!$B$2:$B$9)</f>
        <v>19018.488435084237</v>
      </c>
      <c r="AG4" s="5">
        <v>190184.88435084239</v>
      </c>
      <c r="AH4" s="5">
        <v>190184.88435084239</v>
      </c>
      <c r="AI4" s="5">
        <v>190184.88435084239</v>
      </c>
      <c r="AJ4" s="5">
        <v>190184.88435084239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Scenarios</vt:lpstr>
      <vt:lpstr>Conversion rate</vt:lpstr>
      <vt:lpstr>Cost breakdown NREL</vt:lpstr>
      <vt:lpstr>Investment Cost NREL, USD</vt:lpstr>
      <vt:lpstr>Investment Cost NREL, EUR</vt:lpstr>
      <vt:lpstr>Investment Cost, Power</vt:lpstr>
      <vt:lpstr>Investment Cost, 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2025-06-12T14:23:46Z</dcterms:modified>
</cp:coreProperties>
</file>