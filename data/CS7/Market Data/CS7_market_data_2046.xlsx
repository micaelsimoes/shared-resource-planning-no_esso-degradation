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Projects\thesis-shared-resources-planning-no_esso-degradation\data\CS7\Market Data\"/>
    </mc:Choice>
  </mc:AlternateContent>
  <xr:revisionPtr revIDLastSave="0" documentId="13_ncr:1_{C9CB7232-4758-410B-AD4E-D28DA8E2BCFE}" xr6:coauthVersionLast="47" xr6:coauthVersionMax="47" xr10:uidLastSave="{00000000-0000-0000-0000-000000000000}"/>
  <bookViews>
    <workbookView xWindow="33225" yWindow="-9960" windowWidth="28800" windowHeight="15285" xr2:uid="{00000000-000D-0000-FFFF-FFFF00000000}"/>
  </bookViews>
  <sheets>
    <sheet name="Scenarios" sheetId="1" r:id="rId1"/>
    <sheet name="Cp, Winter" sheetId="2" r:id="rId2"/>
    <sheet name="Cp, Spring" sheetId="20" r:id="rId3"/>
    <sheet name="Cp, Summer" sheetId="14" r:id="rId4"/>
    <sheet name="Cp, Autumn" sheetId="21" r:id="rId5"/>
    <sheet name="Flex, Winter" sheetId="18" r:id="rId6"/>
    <sheet name="Flex, Spring" sheetId="22" r:id="rId7"/>
    <sheet name="Flex, Summer" sheetId="19" r:id="rId8"/>
    <sheet name="Flex, Autumn" sheetId="23" r:id="rId9"/>
  </sheets>
  <externalReferences>
    <externalReference r:id="rId10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1" l="1"/>
  <c r="E1" i="1"/>
  <c r="C1" i="1"/>
  <c r="B7" i="1" l="1"/>
  <c r="B6" i="1"/>
  <c r="X4" i="23" s="1"/>
  <c r="B2" i="21" l="1"/>
  <c r="Y2" i="14"/>
  <c r="X2" i="14"/>
  <c r="K4" i="14"/>
  <c r="R4" i="14"/>
  <c r="C2" i="21"/>
  <c r="Y3" i="2"/>
  <c r="B4" i="2"/>
  <c r="K3" i="18"/>
  <c r="S4" i="2"/>
  <c r="D4" i="18"/>
  <c r="K2" i="20"/>
  <c r="E3" i="22"/>
  <c r="D2" i="21"/>
  <c r="S2" i="21"/>
  <c r="I3" i="18"/>
  <c r="J3" i="18"/>
  <c r="Q4" i="2"/>
  <c r="R4" i="2"/>
  <c r="B4" i="18"/>
  <c r="C4" i="18"/>
  <c r="J2" i="20"/>
  <c r="G2" i="14"/>
  <c r="F3" i="22"/>
  <c r="U3" i="20"/>
  <c r="V3" i="22"/>
  <c r="V3" i="20"/>
  <c r="O4" i="20"/>
  <c r="M3" i="21"/>
  <c r="X3" i="22"/>
  <c r="F3" i="2"/>
  <c r="F2" i="14"/>
  <c r="Y4" i="21"/>
  <c r="O4" i="22"/>
  <c r="O2" i="18"/>
  <c r="H2" i="19"/>
  <c r="T2" i="21"/>
  <c r="G3" i="22"/>
  <c r="M4" i="20"/>
  <c r="U2" i="21"/>
  <c r="Q3" i="22"/>
  <c r="L3" i="21"/>
  <c r="H2" i="14"/>
  <c r="Q2" i="18"/>
  <c r="J2" i="19"/>
  <c r="N4" i="20"/>
  <c r="G3" i="2"/>
  <c r="I3" i="2"/>
  <c r="W3" i="2"/>
  <c r="W2" i="14"/>
  <c r="R2" i="18"/>
  <c r="Y2" i="19"/>
  <c r="N3" i="21"/>
  <c r="S4" i="18"/>
  <c r="G3" i="19"/>
  <c r="L2" i="20"/>
  <c r="R3" i="19"/>
  <c r="C3" i="20"/>
  <c r="Q3" i="14"/>
  <c r="F4" i="21"/>
  <c r="M2" i="2"/>
  <c r="D3" i="20"/>
  <c r="R3" i="14"/>
  <c r="G4" i="21"/>
  <c r="L2" i="22"/>
  <c r="D2" i="23"/>
  <c r="P3" i="14"/>
  <c r="E4" i="21"/>
  <c r="T4" i="18"/>
  <c r="K4" i="19"/>
  <c r="N2" i="2"/>
  <c r="E3" i="20"/>
  <c r="I4" i="14"/>
  <c r="V4" i="21"/>
  <c r="M2" i="22"/>
  <c r="F2" i="23"/>
  <c r="U4" i="18"/>
  <c r="O2" i="2"/>
  <c r="T3" i="20"/>
  <c r="J4" i="14"/>
  <c r="W4" i="21"/>
  <c r="N2" i="22"/>
  <c r="U2" i="23"/>
  <c r="N3" i="23"/>
  <c r="G4" i="23"/>
  <c r="W3" i="22"/>
  <c r="P4" i="22"/>
  <c r="I2" i="19"/>
  <c r="B3" i="19"/>
  <c r="S3" i="19"/>
  <c r="L4" i="19"/>
  <c r="E2" i="23"/>
  <c r="V2" i="23"/>
  <c r="O3" i="23"/>
  <c r="I4" i="23"/>
  <c r="Q2" i="2"/>
  <c r="J3" i="2"/>
  <c r="C4" i="2"/>
  <c r="T4" i="2"/>
  <c r="M2" i="20"/>
  <c r="F3" i="20"/>
  <c r="W3" i="20"/>
  <c r="P4" i="20"/>
  <c r="I2" i="14"/>
  <c r="B3" i="14"/>
  <c r="S3" i="14"/>
  <c r="L4" i="14"/>
  <c r="E2" i="21"/>
  <c r="V2" i="21"/>
  <c r="O3" i="21"/>
  <c r="I4" i="21"/>
  <c r="B2" i="18"/>
  <c r="S2" i="18"/>
  <c r="L3" i="18"/>
  <c r="E4" i="18"/>
  <c r="V4" i="18"/>
  <c r="O2" i="22"/>
  <c r="H3" i="22"/>
  <c r="Y3" i="22"/>
  <c r="R4" i="22"/>
  <c r="K2" i="19"/>
  <c r="D3" i="19"/>
  <c r="U3" i="19"/>
  <c r="N4" i="19"/>
  <c r="G2" i="23"/>
  <c r="Y2" i="23"/>
  <c r="R3" i="23"/>
  <c r="K4" i="23"/>
  <c r="R2" i="2"/>
  <c r="K3" i="2"/>
  <c r="D4" i="2"/>
  <c r="U4" i="2"/>
  <c r="N2" i="20"/>
  <c r="G3" i="20"/>
  <c r="X3" i="20"/>
  <c r="Q4" i="20"/>
  <c r="J2" i="14"/>
  <c r="C3" i="14"/>
  <c r="T3" i="14"/>
  <c r="M4" i="14"/>
  <c r="F2" i="21"/>
  <c r="W2" i="21"/>
  <c r="Q3" i="21"/>
  <c r="J4" i="21"/>
  <c r="C2" i="18"/>
  <c r="T2" i="18"/>
  <c r="M3" i="18"/>
  <c r="F4" i="18"/>
  <c r="W4" i="18"/>
  <c r="P2" i="22"/>
  <c r="I3" i="22"/>
  <c r="B4" i="22"/>
  <c r="S4" i="22"/>
  <c r="L2" i="19"/>
  <c r="E3" i="19"/>
  <c r="V3" i="19"/>
  <c r="O4" i="19"/>
  <c r="I2" i="23"/>
  <c r="B3" i="23"/>
  <c r="S3" i="23"/>
  <c r="L4" i="23"/>
  <c r="Q4" i="22"/>
  <c r="T3" i="19"/>
  <c r="Q3" i="23"/>
  <c r="V4" i="2"/>
  <c r="O2" i="20"/>
  <c r="H3" i="20"/>
  <c r="Y3" i="20"/>
  <c r="R4" i="20"/>
  <c r="K2" i="14"/>
  <c r="D3" i="14"/>
  <c r="U3" i="14"/>
  <c r="N4" i="14"/>
  <c r="G2" i="21"/>
  <c r="Y2" i="21"/>
  <c r="R3" i="21"/>
  <c r="K4" i="21"/>
  <c r="D2" i="18"/>
  <c r="U2" i="18"/>
  <c r="N3" i="18"/>
  <c r="G4" i="18"/>
  <c r="X4" i="18"/>
  <c r="Q2" i="22"/>
  <c r="J3" i="22"/>
  <c r="C4" i="22"/>
  <c r="T4" i="22"/>
  <c r="M2" i="19"/>
  <c r="F3" i="19"/>
  <c r="W3" i="19"/>
  <c r="Q4" i="19"/>
  <c r="J2" i="23"/>
  <c r="C3" i="23"/>
  <c r="T3" i="23"/>
  <c r="M4" i="23"/>
  <c r="B3" i="21"/>
  <c r="S4" i="20"/>
  <c r="L2" i="14"/>
  <c r="O4" i="14"/>
  <c r="I2" i="21"/>
  <c r="S3" i="21"/>
  <c r="E2" i="18"/>
  <c r="V2" i="18"/>
  <c r="O3" i="18"/>
  <c r="H4" i="18"/>
  <c r="D4" i="22"/>
  <c r="N4" i="23"/>
  <c r="D2" i="2"/>
  <c r="U2" i="2"/>
  <c r="N3" i="2"/>
  <c r="X4" i="2"/>
  <c r="Q2" i="20"/>
  <c r="T4" i="20"/>
  <c r="M2" i="14"/>
  <c r="F3" i="14"/>
  <c r="W3" i="14"/>
  <c r="Q4" i="14"/>
  <c r="J2" i="21"/>
  <c r="C3" i="21"/>
  <c r="T3" i="21"/>
  <c r="M4" i="21"/>
  <c r="F2" i="18"/>
  <c r="W2" i="18"/>
  <c r="P3" i="18"/>
  <c r="I4" i="18"/>
  <c r="B2" i="22"/>
  <c r="S2" i="22"/>
  <c r="L3" i="22"/>
  <c r="E4" i="22"/>
  <c r="V4" i="22"/>
  <c r="O2" i="19"/>
  <c r="I3" i="19"/>
  <c r="B4" i="19"/>
  <c r="S4" i="19"/>
  <c r="L2" i="23"/>
  <c r="E3" i="23"/>
  <c r="V3" i="23"/>
  <c r="O4" i="23"/>
  <c r="U3" i="21"/>
  <c r="Q3" i="18"/>
  <c r="P4" i="23"/>
  <c r="C3" i="19"/>
  <c r="M4" i="19"/>
  <c r="W2" i="23"/>
  <c r="J4" i="23"/>
  <c r="B2" i="2"/>
  <c r="S2" i="2"/>
  <c r="L3" i="2"/>
  <c r="E4" i="2"/>
  <c r="C2" i="2"/>
  <c r="T2" i="2"/>
  <c r="M3" i="2"/>
  <c r="W4" i="2"/>
  <c r="P2" i="20"/>
  <c r="I3" i="20"/>
  <c r="B4" i="20"/>
  <c r="L4" i="21"/>
  <c r="Y4" i="18"/>
  <c r="R2" i="22"/>
  <c r="K3" i="22"/>
  <c r="U4" i="22"/>
  <c r="R4" i="19"/>
  <c r="K2" i="23"/>
  <c r="U3" i="23"/>
  <c r="G4" i="2"/>
  <c r="J3" i="20"/>
  <c r="Y4" i="2"/>
  <c r="R2" i="20"/>
  <c r="K3" i="20"/>
  <c r="D4" i="20"/>
  <c r="U4" i="20"/>
  <c r="N2" i="14"/>
  <c r="G3" i="14"/>
  <c r="Y3" i="14"/>
  <c r="K2" i="21"/>
  <c r="D3" i="21"/>
  <c r="N4" i="21"/>
  <c r="G2" i="18"/>
  <c r="X2" i="18"/>
  <c r="J4" i="18"/>
  <c r="C2" i="22"/>
  <c r="T2" i="22"/>
  <c r="M3" i="22"/>
  <c r="F4" i="22"/>
  <c r="W4" i="22"/>
  <c r="Q2" i="19"/>
  <c r="J3" i="19"/>
  <c r="C4" i="19"/>
  <c r="T4" i="19"/>
  <c r="M2" i="23"/>
  <c r="F3" i="23"/>
  <c r="W3" i="23"/>
  <c r="F2" i="2"/>
  <c r="W2" i="2"/>
  <c r="P3" i="2"/>
  <c r="I4" i="2"/>
  <c r="B2" i="20"/>
  <c r="S2" i="20"/>
  <c r="L3" i="20"/>
  <c r="E4" i="20"/>
  <c r="V4" i="20"/>
  <c r="O2" i="14"/>
  <c r="I3" i="14"/>
  <c r="B4" i="14"/>
  <c r="S4" i="14"/>
  <c r="L2" i="21"/>
  <c r="E3" i="21"/>
  <c r="V3" i="21"/>
  <c r="O4" i="21"/>
  <c r="H2" i="18"/>
  <c r="Y2" i="18"/>
  <c r="R3" i="18"/>
  <c r="K4" i="18"/>
  <c r="D2" i="22"/>
  <c r="U2" i="22"/>
  <c r="N3" i="22"/>
  <c r="G4" i="22"/>
  <c r="Y4" i="22"/>
  <c r="R2" i="19"/>
  <c r="K3" i="19"/>
  <c r="D4" i="19"/>
  <c r="U4" i="19"/>
  <c r="N2" i="23"/>
  <c r="G3" i="23"/>
  <c r="X3" i="23"/>
  <c r="Q4" i="23"/>
  <c r="N2" i="19"/>
  <c r="D3" i="23"/>
  <c r="C4" i="20"/>
  <c r="E2" i="2"/>
  <c r="V2" i="2"/>
  <c r="O3" i="2"/>
  <c r="H4" i="2"/>
  <c r="G2" i="2"/>
  <c r="X2" i="2"/>
  <c r="Q3" i="2"/>
  <c r="J4" i="2"/>
  <c r="C2" i="20"/>
  <c r="T2" i="20"/>
  <c r="M3" i="20"/>
  <c r="F4" i="20"/>
  <c r="W4" i="20"/>
  <c r="Q2" i="14"/>
  <c r="J3" i="14"/>
  <c r="C4" i="14"/>
  <c r="T4" i="14"/>
  <c r="M2" i="21"/>
  <c r="F3" i="21"/>
  <c r="W3" i="21"/>
  <c r="P4" i="21"/>
  <c r="I2" i="18"/>
  <c r="B3" i="18"/>
  <c r="S3" i="18"/>
  <c r="L4" i="18"/>
  <c r="E2" i="22"/>
  <c r="V2" i="22"/>
  <c r="O3" i="22"/>
  <c r="I4" i="22"/>
  <c r="B2" i="19"/>
  <c r="S2" i="19"/>
  <c r="L3" i="19"/>
  <c r="E4" i="19"/>
  <c r="V4" i="19"/>
  <c r="O2" i="23"/>
  <c r="H3" i="23"/>
  <c r="Y3" i="23"/>
  <c r="R4" i="23"/>
  <c r="F4" i="2"/>
  <c r="V3" i="14"/>
  <c r="E3" i="14"/>
  <c r="Y3" i="19"/>
  <c r="H2" i="2"/>
  <c r="Y2" i="2"/>
  <c r="R3" i="2"/>
  <c r="K4" i="2"/>
  <c r="D2" i="20"/>
  <c r="U2" i="20"/>
  <c r="N3" i="20"/>
  <c r="Y4" i="20"/>
  <c r="R2" i="14"/>
  <c r="K3" i="14"/>
  <c r="U4" i="14"/>
  <c r="N2" i="21"/>
  <c r="G3" i="21"/>
  <c r="X3" i="21"/>
  <c r="Q4" i="21"/>
  <c r="J2" i="18"/>
  <c r="C3" i="18"/>
  <c r="T3" i="18"/>
  <c r="M4" i="18"/>
  <c r="F2" i="22"/>
  <c r="W2" i="22"/>
  <c r="J4" i="22"/>
  <c r="C2" i="19"/>
  <c r="T2" i="19"/>
  <c r="M3" i="19"/>
  <c r="F4" i="19"/>
  <c r="P2" i="23"/>
  <c r="I4" i="20"/>
  <c r="B2" i="14"/>
  <c r="S2" i="14"/>
  <c r="L3" i="14"/>
  <c r="E4" i="14"/>
  <c r="V4" i="14"/>
  <c r="O2" i="21"/>
  <c r="H3" i="21"/>
  <c r="Y3" i="21"/>
  <c r="R4" i="21"/>
  <c r="K2" i="18"/>
  <c r="D3" i="18"/>
  <c r="U3" i="18"/>
  <c r="N4" i="18"/>
  <c r="G2" i="22"/>
  <c r="Y2" i="22"/>
  <c r="R3" i="22"/>
  <c r="K4" i="22"/>
  <c r="D2" i="19"/>
  <c r="U2" i="19"/>
  <c r="N3" i="19"/>
  <c r="G4" i="19"/>
  <c r="X4" i="19"/>
  <c r="Q2" i="23"/>
  <c r="J3" i="23"/>
  <c r="C4" i="23"/>
  <c r="T4" i="23"/>
  <c r="S4" i="23"/>
  <c r="I2" i="2"/>
  <c r="B3" i="2"/>
  <c r="S3" i="2"/>
  <c r="V2" i="20"/>
  <c r="M4" i="2"/>
  <c r="F2" i="20"/>
  <c r="Q3" i="20"/>
  <c r="J4" i="20"/>
  <c r="C2" i="14"/>
  <c r="T2" i="14"/>
  <c r="M3" i="14"/>
  <c r="F4" i="14"/>
  <c r="W4" i="14"/>
  <c r="P2" i="21"/>
  <c r="I3" i="21"/>
  <c r="B4" i="21"/>
  <c r="S4" i="21"/>
  <c r="L2" i="18"/>
  <c r="E3" i="18"/>
  <c r="V3" i="18"/>
  <c r="O4" i="18"/>
  <c r="I2" i="22"/>
  <c r="B3" i="22"/>
  <c r="S3" i="22"/>
  <c r="L4" i="22"/>
  <c r="E2" i="19"/>
  <c r="V2" i="19"/>
  <c r="O3" i="19"/>
  <c r="H4" i="19"/>
  <c r="Y4" i="19"/>
  <c r="R2" i="23"/>
  <c r="K3" i="23"/>
  <c r="D4" i="23"/>
  <c r="V4" i="23"/>
  <c r="I3" i="23"/>
  <c r="L4" i="2"/>
  <c r="E2" i="20"/>
  <c r="W2" i="20"/>
  <c r="K2" i="2"/>
  <c r="D3" i="2"/>
  <c r="U3" i="2"/>
  <c r="N4" i="2"/>
  <c r="G2" i="20"/>
  <c r="Y2" i="20"/>
  <c r="R3" i="20"/>
  <c r="K4" i="20"/>
  <c r="D2" i="14"/>
  <c r="U2" i="14"/>
  <c r="N3" i="14"/>
  <c r="G4" i="14"/>
  <c r="X4" i="14"/>
  <c r="Q2" i="21"/>
  <c r="J3" i="21"/>
  <c r="C4" i="21"/>
  <c r="T4" i="21"/>
  <c r="M2" i="18"/>
  <c r="F3" i="18"/>
  <c r="W3" i="18"/>
  <c r="Q4" i="18"/>
  <c r="J2" i="22"/>
  <c r="C3" i="22"/>
  <c r="T3" i="22"/>
  <c r="M4" i="22"/>
  <c r="F2" i="19"/>
  <c r="W2" i="19"/>
  <c r="P3" i="19"/>
  <c r="I4" i="19"/>
  <c r="B2" i="23"/>
  <c r="S2" i="23"/>
  <c r="L3" i="23"/>
  <c r="E4" i="23"/>
  <c r="W4" i="23"/>
  <c r="G4" i="20"/>
  <c r="D4" i="14"/>
  <c r="W4" i="19"/>
  <c r="B4" i="23"/>
  <c r="O3" i="20"/>
  <c r="J2" i="2"/>
  <c r="C3" i="2"/>
  <c r="T3" i="2"/>
  <c r="L2" i="2"/>
  <c r="E3" i="2"/>
  <c r="V3" i="2"/>
  <c r="O4" i="2"/>
  <c r="I2" i="20"/>
  <c r="B3" i="20"/>
  <c r="S3" i="20"/>
  <c r="L4" i="20"/>
  <c r="E2" i="14"/>
  <c r="V2" i="14"/>
  <c r="O3" i="14"/>
  <c r="H4" i="14"/>
  <c r="Y4" i="14"/>
  <c r="R2" i="21"/>
  <c r="K3" i="21"/>
  <c r="D4" i="21"/>
  <c r="U4" i="21"/>
  <c r="N2" i="18"/>
  <c r="G3" i="18"/>
  <c r="Y3" i="18"/>
  <c r="R4" i="18"/>
  <c r="K2" i="22"/>
  <c r="D3" i="22"/>
  <c r="U3" i="22"/>
  <c r="N4" i="22"/>
  <c r="G2" i="19"/>
  <c r="X2" i="19"/>
  <c r="Q3" i="19"/>
  <c r="J4" i="19"/>
  <c r="C2" i="23"/>
  <c r="T2" i="23"/>
  <c r="M3" i="23"/>
  <c r="F4" i="23"/>
  <c r="Y4" i="23"/>
  <c r="U4" i="23"/>
  <c r="P2" i="2"/>
  <c r="H3" i="2"/>
  <c r="X3" i="2"/>
  <c r="P4" i="2"/>
  <c r="H2" i="20"/>
  <c r="X2" i="20"/>
  <c r="P3" i="20"/>
  <c r="H4" i="20"/>
  <c r="X4" i="20"/>
  <c r="P2" i="14"/>
  <c r="H3" i="14"/>
  <c r="X3" i="14"/>
  <c r="P4" i="14"/>
  <c r="H2" i="21"/>
  <c r="X2" i="21"/>
  <c r="P3" i="21"/>
  <c r="H4" i="21"/>
  <c r="X4" i="21"/>
  <c r="P2" i="18"/>
  <c r="H3" i="18"/>
  <c r="X3" i="18"/>
  <c r="P4" i="18"/>
  <c r="H2" i="22"/>
  <c r="X2" i="22"/>
  <c r="P3" i="22"/>
  <c r="H4" i="22"/>
  <c r="X4" i="22"/>
  <c r="P2" i="19"/>
  <c r="H3" i="19"/>
  <c r="X3" i="19"/>
  <c r="P4" i="19"/>
  <c r="H2" i="23"/>
  <c r="X2" i="23"/>
  <c r="P3" i="23"/>
  <c r="H4" i="23"/>
</calcChain>
</file>

<file path=xl/sharedStrings.xml><?xml version="1.0" encoding="utf-8"?>
<sst xmlns="http://schemas.openxmlformats.org/spreadsheetml/2006/main" count="14" uniqueCount="7">
  <si>
    <t>Year</t>
  </si>
  <si>
    <t>NumScenarios</t>
  </si>
  <si>
    <t>Scenario</t>
  </si>
  <si>
    <t>Value</t>
  </si>
  <si>
    <t>Active Power</t>
  </si>
  <si>
    <t>Growth factors (cumul.)</t>
  </si>
  <si>
    <t>Flexibility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</si>
</sst>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1"/>
    <xf numFmtId="2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jects\thesis-shared-resources-planning-no_esso-degradation\data\CS7\Market%20Data\CS7_market_data_base.xlsx" TargetMode="External"/><Relationship Id="rId1" Type="http://schemas.openxmlformats.org/officeDocument/2006/relationships/externalLinkPath" Target="CS7_market_data_ba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Energy, Winter"/>
      <sheetName val="Energy, Spring"/>
      <sheetName val="Energy, Summer"/>
      <sheetName val="Energy, Autumn"/>
      <sheetName val="Flexibility, Winter"/>
      <sheetName val="Flexibility, Spring"/>
      <sheetName val="Flexibility, Summer"/>
      <sheetName val="Flexibility, Autumn"/>
    </sheetNames>
    <sheetDataSet>
      <sheetData sheetId="0">
        <row r="1">
          <cell r="B1">
            <v>2025</v>
          </cell>
        </row>
        <row r="4">
          <cell r="B4">
            <v>2.5000000000000001E-2</v>
          </cell>
        </row>
        <row r="5">
          <cell r="B5">
            <v>0.02</v>
          </cell>
        </row>
      </sheetData>
      <sheetData sheetId="1">
        <row r="2">
          <cell r="B2">
            <v>91.75</v>
          </cell>
          <cell r="C2">
            <v>86.18</v>
          </cell>
          <cell r="D2">
            <v>82.1</v>
          </cell>
          <cell r="E2">
            <v>80</v>
          </cell>
          <cell r="F2">
            <v>79.599999999999994</v>
          </cell>
          <cell r="G2">
            <v>81.099999999999994</v>
          </cell>
          <cell r="H2">
            <v>85.91</v>
          </cell>
          <cell r="I2">
            <v>102.05</v>
          </cell>
          <cell r="J2">
            <v>113.84</v>
          </cell>
          <cell r="K2">
            <v>110</v>
          </cell>
          <cell r="L2">
            <v>97.63</v>
          </cell>
          <cell r="M2">
            <v>86.18</v>
          </cell>
          <cell r="N2">
            <v>83.89</v>
          </cell>
          <cell r="O2">
            <v>82.18</v>
          </cell>
          <cell r="P2">
            <v>83</v>
          </cell>
          <cell r="Q2">
            <v>85</v>
          </cell>
          <cell r="R2">
            <v>97.63</v>
          </cell>
          <cell r="S2">
            <v>118.5</v>
          </cell>
          <cell r="T2">
            <v>128.93</v>
          </cell>
          <cell r="U2">
            <v>132.31</v>
          </cell>
          <cell r="V2">
            <v>117.93</v>
          </cell>
          <cell r="W2">
            <v>108.33</v>
          </cell>
          <cell r="X2">
            <v>100</v>
          </cell>
          <cell r="Y2">
            <v>93.26</v>
          </cell>
        </row>
        <row r="3">
          <cell r="B3">
            <v>88.98</v>
          </cell>
          <cell r="C3">
            <v>86.45</v>
          </cell>
          <cell r="D3">
            <v>84.99</v>
          </cell>
          <cell r="E3">
            <v>83</v>
          </cell>
          <cell r="F3">
            <v>83.14</v>
          </cell>
          <cell r="G3">
            <v>85</v>
          </cell>
          <cell r="H3">
            <v>89</v>
          </cell>
          <cell r="I3">
            <v>100</v>
          </cell>
          <cell r="J3">
            <v>104.77</v>
          </cell>
          <cell r="K3">
            <v>105</v>
          </cell>
          <cell r="L3">
            <v>100</v>
          </cell>
          <cell r="M3">
            <v>94.58</v>
          </cell>
          <cell r="N3">
            <v>92</v>
          </cell>
          <cell r="O3">
            <v>91.78</v>
          </cell>
          <cell r="P3">
            <v>90.1</v>
          </cell>
          <cell r="Q3">
            <v>92.01</v>
          </cell>
          <cell r="R3">
            <v>100.98</v>
          </cell>
          <cell r="S3">
            <v>107.1</v>
          </cell>
          <cell r="T3">
            <v>126</v>
          </cell>
          <cell r="U3">
            <v>119.47</v>
          </cell>
          <cell r="V3">
            <v>110</v>
          </cell>
          <cell r="W3">
            <v>102.26</v>
          </cell>
          <cell r="X3">
            <v>98</v>
          </cell>
          <cell r="Y3">
            <v>95.49</v>
          </cell>
        </row>
        <row r="4">
          <cell r="B4">
            <v>92.33</v>
          </cell>
          <cell r="C4">
            <v>90.12</v>
          </cell>
          <cell r="D4">
            <v>87.01</v>
          </cell>
          <cell r="E4">
            <v>85.8</v>
          </cell>
          <cell r="F4">
            <v>85</v>
          </cell>
          <cell r="G4">
            <v>86.3</v>
          </cell>
          <cell r="H4">
            <v>95</v>
          </cell>
          <cell r="I4">
            <v>103.94</v>
          </cell>
          <cell r="J4">
            <v>121.4</v>
          </cell>
          <cell r="K4">
            <v>121.4</v>
          </cell>
          <cell r="L4">
            <v>105.38</v>
          </cell>
          <cell r="M4">
            <v>102.97</v>
          </cell>
          <cell r="N4">
            <v>99.99</v>
          </cell>
          <cell r="O4">
            <v>98.5</v>
          </cell>
          <cell r="P4">
            <v>94.76</v>
          </cell>
          <cell r="Q4">
            <v>94.73</v>
          </cell>
          <cell r="R4">
            <v>99.37</v>
          </cell>
          <cell r="S4">
            <v>102.7</v>
          </cell>
          <cell r="T4">
            <v>111.29</v>
          </cell>
          <cell r="U4">
            <v>121.4</v>
          </cell>
          <cell r="V4">
            <v>120</v>
          </cell>
          <cell r="W4">
            <v>107.71</v>
          </cell>
          <cell r="X4">
            <v>101.32</v>
          </cell>
          <cell r="Y4">
            <v>92.68</v>
          </cell>
        </row>
      </sheetData>
      <sheetData sheetId="2">
        <row r="2">
          <cell r="B2">
            <v>44</v>
          </cell>
          <cell r="C2">
            <v>46.62</v>
          </cell>
          <cell r="D2">
            <v>48.16</v>
          </cell>
          <cell r="E2">
            <v>48.4</v>
          </cell>
          <cell r="F2">
            <v>50.5</v>
          </cell>
          <cell r="G2">
            <v>55.99</v>
          </cell>
          <cell r="H2">
            <v>58.82</v>
          </cell>
          <cell r="I2">
            <v>49.98</v>
          </cell>
          <cell r="J2">
            <v>33.799999999999997</v>
          </cell>
          <cell r="K2">
            <v>13.5</v>
          </cell>
          <cell r="L2">
            <v>11.3</v>
          </cell>
          <cell r="M2">
            <v>9.4499999999999993</v>
          </cell>
          <cell r="N2">
            <v>4.5</v>
          </cell>
          <cell r="O2">
            <v>3.13</v>
          </cell>
          <cell r="P2">
            <v>0.54</v>
          </cell>
          <cell r="Q2">
            <v>3.25</v>
          </cell>
          <cell r="R2">
            <v>5</v>
          </cell>
          <cell r="S2">
            <v>15.17</v>
          </cell>
          <cell r="T2">
            <v>33.799999999999997</v>
          </cell>
          <cell r="U2">
            <v>49.12</v>
          </cell>
          <cell r="V2">
            <v>59.31</v>
          </cell>
          <cell r="W2">
            <v>57.63</v>
          </cell>
          <cell r="X2">
            <v>49</v>
          </cell>
          <cell r="Y2">
            <v>72.430000000000007</v>
          </cell>
        </row>
        <row r="3">
          <cell r="B3">
            <v>70.5</v>
          </cell>
          <cell r="C3">
            <v>69.13</v>
          </cell>
          <cell r="D3">
            <v>69</v>
          </cell>
          <cell r="E3">
            <v>68.010000000000005</v>
          </cell>
          <cell r="F3">
            <v>68.84</v>
          </cell>
          <cell r="G3">
            <v>67</v>
          </cell>
          <cell r="H3">
            <v>67.92</v>
          </cell>
          <cell r="I3">
            <v>72.87</v>
          </cell>
          <cell r="J3">
            <v>41.7</v>
          </cell>
          <cell r="K3">
            <v>30</v>
          </cell>
          <cell r="L3">
            <v>18.82</v>
          </cell>
          <cell r="M3">
            <v>20.43</v>
          </cell>
          <cell r="N3">
            <v>14.7</v>
          </cell>
          <cell r="O3">
            <v>9.66</v>
          </cell>
          <cell r="P3">
            <v>8.2100000000000009</v>
          </cell>
          <cell r="Q3">
            <v>7.44</v>
          </cell>
          <cell r="R3">
            <v>14.7</v>
          </cell>
          <cell r="S3">
            <v>19.440000000000001</v>
          </cell>
          <cell r="T3">
            <v>34.79</v>
          </cell>
          <cell r="U3">
            <v>62.73</v>
          </cell>
          <cell r="V3">
            <v>68.010000000000005</v>
          </cell>
          <cell r="W3">
            <v>66.77</v>
          </cell>
          <cell r="X3">
            <v>63.08</v>
          </cell>
          <cell r="Y3">
            <v>72</v>
          </cell>
        </row>
        <row r="4">
          <cell r="B4">
            <v>68.900000000000006</v>
          </cell>
          <cell r="C4">
            <v>65.900000000000006</v>
          </cell>
          <cell r="D4">
            <v>66.319999999999993</v>
          </cell>
          <cell r="E4">
            <v>64.760000000000005</v>
          </cell>
          <cell r="F4">
            <v>67.88</v>
          </cell>
          <cell r="G4">
            <v>62.9</v>
          </cell>
          <cell r="H4">
            <v>66.430000000000007</v>
          </cell>
          <cell r="I4">
            <v>58.58</v>
          </cell>
          <cell r="J4">
            <v>38.65</v>
          </cell>
          <cell r="K4">
            <v>24.17</v>
          </cell>
          <cell r="L4">
            <v>22</v>
          </cell>
          <cell r="M4">
            <v>21.76</v>
          </cell>
          <cell r="N4">
            <v>11.72</v>
          </cell>
          <cell r="O4">
            <v>10.23</v>
          </cell>
          <cell r="P4">
            <v>3.25</v>
          </cell>
          <cell r="Q4">
            <v>3.25</v>
          </cell>
          <cell r="R4">
            <v>8.4700000000000006</v>
          </cell>
          <cell r="S4">
            <v>25.1</v>
          </cell>
          <cell r="T4">
            <v>41.2</v>
          </cell>
          <cell r="U4">
            <v>57.24</v>
          </cell>
          <cell r="V4">
            <v>74.63</v>
          </cell>
          <cell r="W4">
            <v>67.88</v>
          </cell>
          <cell r="X4">
            <v>71</v>
          </cell>
          <cell r="Y4">
            <v>72</v>
          </cell>
        </row>
      </sheetData>
      <sheetData sheetId="3">
        <row r="2">
          <cell r="B2">
            <v>113.14</v>
          </cell>
          <cell r="C2">
            <v>112.38</v>
          </cell>
          <cell r="D2">
            <v>112.64</v>
          </cell>
          <cell r="E2">
            <v>112.58</v>
          </cell>
          <cell r="F2">
            <v>112.88</v>
          </cell>
          <cell r="G2">
            <v>116.84</v>
          </cell>
          <cell r="H2">
            <v>120.72</v>
          </cell>
          <cell r="I2">
            <v>116.84</v>
          </cell>
          <cell r="J2">
            <v>112.82</v>
          </cell>
          <cell r="K2">
            <v>111.92</v>
          </cell>
          <cell r="L2">
            <v>98</v>
          </cell>
          <cell r="M2">
            <v>92.98</v>
          </cell>
          <cell r="N2">
            <v>92.79</v>
          </cell>
          <cell r="O2">
            <v>88.99</v>
          </cell>
          <cell r="P2">
            <v>83</v>
          </cell>
          <cell r="Q2">
            <v>81.8</v>
          </cell>
          <cell r="R2">
            <v>81.8</v>
          </cell>
          <cell r="S2">
            <v>94.37</v>
          </cell>
          <cell r="T2">
            <v>109.2</v>
          </cell>
          <cell r="U2">
            <v>117.6</v>
          </cell>
          <cell r="V2">
            <v>132.66</v>
          </cell>
          <cell r="W2">
            <v>125.5</v>
          </cell>
          <cell r="X2">
            <v>117.14</v>
          </cell>
          <cell r="Y2">
            <v>113.84</v>
          </cell>
        </row>
        <row r="3">
          <cell r="B3">
            <v>107.22</v>
          </cell>
          <cell r="C3">
            <v>107.21</v>
          </cell>
          <cell r="D3">
            <v>107.21</v>
          </cell>
          <cell r="E3">
            <v>95</v>
          </cell>
          <cell r="F3">
            <v>102.44</v>
          </cell>
          <cell r="G3">
            <v>105</v>
          </cell>
          <cell r="H3">
            <v>115.1</v>
          </cell>
          <cell r="I3">
            <v>102.44</v>
          </cell>
          <cell r="J3">
            <v>87.97</v>
          </cell>
          <cell r="K3">
            <v>79.39</v>
          </cell>
          <cell r="L3">
            <v>79.599999999999994</v>
          </cell>
          <cell r="M3">
            <v>81.099999999999994</v>
          </cell>
          <cell r="N3">
            <v>82</v>
          </cell>
          <cell r="O3">
            <v>82.49</v>
          </cell>
          <cell r="P3">
            <v>79.599999999999994</v>
          </cell>
          <cell r="Q3">
            <v>79.599999999999994</v>
          </cell>
          <cell r="R3">
            <v>82</v>
          </cell>
          <cell r="S3">
            <v>84.23</v>
          </cell>
          <cell r="T3">
            <v>89</v>
          </cell>
          <cell r="U3">
            <v>116.2</v>
          </cell>
          <cell r="V3">
            <v>128.9</v>
          </cell>
          <cell r="W3">
            <v>122.42</v>
          </cell>
          <cell r="X3">
            <v>115.58</v>
          </cell>
          <cell r="Y3">
            <v>107.75</v>
          </cell>
        </row>
        <row r="4">
          <cell r="B4">
            <v>108.64</v>
          </cell>
          <cell r="C4">
            <v>104.63</v>
          </cell>
          <cell r="D4">
            <v>105.25</v>
          </cell>
          <cell r="E4">
            <v>93.63</v>
          </cell>
          <cell r="F4">
            <v>94.37</v>
          </cell>
          <cell r="G4">
            <v>99.45</v>
          </cell>
          <cell r="H4">
            <v>113.3</v>
          </cell>
          <cell r="I4">
            <v>109.87</v>
          </cell>
          <cell r="J4">
            <v>90</v>
          </cell>
          <cell r="K4">
            <v>75</v>
          </cell>
          <cell r="L4">
            <v>64.88</v>
          </cell>
          <cell r="M4">
            <v>64.55</v>
          </cell>
          <cell r="N4">
            <v>64.989999999999995</v>
          </cell>
          <cell r="O4">
            <v>64.88</v>
          </cell>
          <cell r="P4">
            <v>63.37</v>
          </cell>
          <cell r="Q4">
            <v>60</v>
          </cell>
          <cell r="R4">
            <v>63.91</v>
          </cell>
          <cell r="S4">
            <v>69.989999999999995</v>
          </cell>
          <cell r="T4">
            <v>85.53</v>
          </cell>
          <cell r="U4">
            <v>109.02</v>
          </cell>
          <cell r="V4">
            <v>114.26</v>
          </cell>
          <cell r="W4">
            <v>108.54</v>
          </cell>
          <cell r="X4">
            <v>94.18</v>
          </cell>
          <cell r="Y4">
            <v>74.23</v>
          </cell>
        </row>
      </sheetData>
      <sheetData sheetId="4">
        <row r="2">
          <cell r="B2">
            <v>92.04</v>
          </cell>
          <cell r="C2">
            <v>89.96</v>
          </cell>
          <cell r="D2">
            <v>90.07</v>
          </cell>
          <cell r="E2">
            <v>83.82</v>
          </cell>
          <cell r="F2">
            <v>85.36</v>
          </cell>
          <cell r="G2">
            <v>89.89</v>
          </cell>
          <cell r="H2">
            <v>104.14</v>
          </cell>
          <cell r="I2">
            <v>121.15</v>
          </cell>
          <cell r="J2">
            <v>120.75</v>
          </cell>
          <cell r="K2">
            <v>118.04</v>
          </cell>
          <cell r="L2">
            <v>99.88</v>
          </cell>
          <cell r="M2">
            <v>93.32</v>
          </cell>
          <cell r="N2">
            <v>91.39</v>
          </cell>
          <cell r="O2">
            <v>90.1</v>
          </cell>
          <cell r="P2">
            <v>92.4</v>
          </cell>
          <cell r="Q2">
            <v>109.64</v>
          </cell>
          <cell r="R2">
            <v>120.94</v>
          </cell>
          <cell r="S2">
            <v>135.24</v>
          </cell>
          <cell r="T2">
            <v>160.54</v>
          </cell>
          <cell r="U2">
            <v>151.52000000000001</v>
          </cell>
          <cell r="V2">
            <v>123</v>
          </cell>
          <cell r="W2">
            <v>118.28</v>
          </cell>
          <cell r="X2">
            <v>118.28</v>
          </cell>
          <cell r="Y2">
            <v>109.64</v>
          </cell>
        </row>
        <row r="3">
          <cell r="B3">
            <v>80</v>
          </cell>
          <cell r="C3">
            <v>76.790000000000006</v>
          </cell>
          <cell r="D3">
            <v>75</v>
          </cell>
          <cell r="E3">
            <v>72.59</v>
          </cell>
          <cell r="F3">
            <v>70.989999999999995</v>
          </cell>
          <cell r="G3">
            <v>77</v>
          </cell>
          <cell r="H3">
            <v>88.39</v>
          </cell>
          <cell r="I3">
            <v>107.36</v>
          </cell>
          <cell r="J3">
            <v>121.58</v>
          </cell>
          <cell r="K3">
            <v>102.8</v>
          </cell>
          <cell r="L3">
            <v>93.2</v>
          </cell>
          <cell r="M3">
            <v>85.04</v>
          </cell>
          <cell r="N3">
            <v>88.91</v>
          </cell>
          <cell r="O3">
            <v>85.31</v>
          </cell>
          <cell r="P3">
            <v>85.51</v>
          </cell>
          <cell r="Q3">
            <v>95.5</v>
          </cell>
          <cell r="R3">
            <v>113</v>
          </cell>
          <cell r="S3">
            <v>130</v>
          </cell>
          <cell r="T3">
            <v>134.13999999999999</v>
          </cell>
          <cell r="U3">
            <v>135.01</v>
          </cell>
          <cell r="V3">
            <v>148.72</v>
          </cell>
          <cell r="W3">
            <v>134.34</v>
          </cell>
          <cell r="X3">
            <v>115.2</v>
          </cell>
          <cell r="Y3">
            <v>102</v>
          </cell>
        </row>
        <row r="4">
          <cell r="B4">
            <v>86.48</v>
          </cell>
          <cell r="C4">
            <v>81.709999999999994</v>
          </cell>
          <cell r="D4">
            <v>75</v>
          </cell>
          <cell r="E4">
            <v>70.7</v>
          </cell>
          <cell r="F4">
            <v>70.680000000000007</v>
          </cell>
          <cell r="G4">
            <v>71.66</v>
          </cell>
          <cell r="H4">
            <v>73.84</v>
          </cell>
          <cell r="I4">
            <v>78</v>
          </cell>
          <cell r="J4">
            <v>73.09</v>
          </cell>
          <cell r="K4">
            <v>70</v>
          </cell>
          <cell r="L4">
            <v>66.709999999999994</v>
          </cell>
          <cell r="M4">
            <v>47.8</v>
          </cell>
          <cell r="N4">
            <v>49.99</v>
          </cell>
          <cell r="O4">
            <v>50.24</v>
          </cell>
          <cell r="P4">
            <v>60</v>
          </cell>
          <cell r="Q4">
            <v>70.430000000000007</v>
          </cell>
          <cell r="R4">
            <v>83.76</v>
          </cell>
          <cell r="S4">
            <v>105.48</v>
          </cell>
          <cell r="T4">
            <v>125.88</v>
          </cell>
          <cell r="U4">
            <v>120.01</v>
          </cell>
          <cell r="V4">
            <v>119.7</v>
          </cell>
          <cell r="W4">
            <v>110.75</v>
          </cell>
          <cell r="X4">
            <v>101.09</v>
          </cell>
          <cell r="Y4">
            <v>95.65</v>
          </cell>
        </row>
      </sheetData>
      <sheetData sheetId="5">
        <row r="2">
          <cell r="B2">
            <v>45.875</v>
          </cell>
          <cell r="C2">
            <v>43.09</v>
          </cell>
          <cell r="D2">
            <v>41.05</v>
          </cell>
          <cell r="E2">
            <v>40</v>
          </cell>
          <cell r="F2">
            <v>39.799999999999997</v>
          </cell>
          <cell r="G2">
            <v>40.549999999999997</v>
          </cell>
          <cell r="H2">
            <v>42.954999999999998</v>
          </cell>
          <cell r="I2">
            <v>51.024999999999999</v>
          </cell>
          <cell r="J2">
            <v>56.92</v>
          </cell>
          <cell r="K2">
            <v>55</v>
          </cell>
          <cell r="L2">
            <v>48.814999999999998</v>
          </cell>
          <cell r="M2">
            <v>43.09</v>
          </cell>
          <cell r="N2">
            <v>41.945</v>
          </cell>
          <cell r="O2">
            <v>41.09</v>
          </cell>
          <cell r="P2">
            <v>41.5</v>
          </cell>
          <cell r="Q2">
            <v>42.5</v>
          </cell>
          <cell r="R2">
            <v>48.814999999999998</v>
          </cell>
          <cell r="S2">
            <v>59.25</v>
          </cell>
          <cell r="T2">
            <v>64.465000000000003</v>
          </cell>
          <cell r="U2">
            <v>66.155000000000001</v>
          </cell>
          <cell r="V2">
            <v>58.965000000000003</v>
          </cell>
          <cell r="W2">
            <v>54.164999999999999</v>
          </cell>
          <cell r="X2">
            <v>50</v>
          </cell>
          <cell r="Y2">
            <v>46.63</v>
          </cell>
        </row>
        <row r="3">
          <cell r="B3">
            <v>44.49</v>
          </cell>
          <cell r="C3">
            <v>43.225000000000001</v>
          </cell>
          <cell r="D3">
            <v>42.494999999999997</v>
          </cell>
          <cell r="E3">
            <v>41.5</v>
          </cell>
          <cell r="F3">
            <v>41.57</v>
          </cell>
          <cell r="G3">
            <v>42.5</v>
          </cell>
          <cell r="H3">
            <v>44.5</v>
          </cell>
          <cell r="I3">
            <v>50</v>
          </cell>
          <cell r="J3">
            <v>52.384999999999998</v>
          </cell>
          <cell r="K3">
            <v>52.5</v>
          </cell>
          <cell r="L3">
            <v>50</v>
          </cell>
          <cell r="M3">
            <v>47.29</v>
          </cell>
          <cell r="N3">
            <v>46</v>
          </cell>
          <cell r="O3">
            <v>45.89</v>
          </cell>
          <cell r="P3">
            <v>45.05</v>
          </cell>
          <cell r="Q3">
            <v>46.005000000000003</v>
          </cell>
          <cell r="R3">
            <v>50.49</v>
          </cell>
          <cell r="S3">
            <v>53.55</v>
          </cell>
          <cell r="T3">
            <v>63</v>
          </cell>
          <cell r="U3">
            <v>59.734999999999999</v>
          </cell>
          <cell r="V3">
            <v>55</v>
          </cell>
          <cell r="W3">
            <v>51.13</v>
          </cell>
          <cell r="X3">
            <v>49</v>
          </cell>
          <cell r="Y3">
            <v>47.744999999999997</v>
          </cell>
        </row>
        <row r="4">
          <cell r="B4">
            <v>46.164999999999999</v>
          </cell>
          <cell r="C4">
            <v>45.06</v>
          </cell>
          <cell r="D4">
            <v>43.505000000000003</v>
          </cell>
          <cell r="E4">
            <v>42.9</v>
          </cell>
          <cell r="F4">
            <v>42.5</v>
          </cell>
          <cell r="G4">
            <v>43.15</v>
          </cell>
          <cell r="H4">
            <v>47.5</v>
          </cell>
          <cell r="I4">
            <v>51.97</v>
          </cell>
          <cell r="J4">
            <v>60.7</v>
          </cell>
          <cell r="K4">
            <v>60.7</v>
          </cell>
          <cell r="L4">
            <v>52.69</v>
          </cell>
          <cell r="M4">
            <v>51.484999999999999</v>
          </cell>
          <cell r="N4">
            <v>49.994999999999997</v>
          </cell>
          <cell r="O4">
            <v>49.25</v>
          </cell>
          <cell r="P4">
            <v>47.38</v>
          </cell>
          <cell r="Q4">
            <v>47.365000000000002</v>
          </cell>
          <cell r="R4">
            <v>49.685000000000002</v>
          </cell>
          <cell r="S4">
            <v>51.35</v>
          </cell>
          <cell r="T4">
            <v>55.645000000000003</v>
          </cell>
          <cell r="U4">
            <v>60.7</v>
          </cell>
          <cell r="V4">
            <v>60</v>
          </cell>
          <cell r="W4">
            <v>53.854999999999997</v>
          </cell>
          <cell r="X4">
            <v>50.66</v>
          </cell>
          <cell r="Y4">
            <v>46.34</v>
          </cell>
        </row>
      </sheetData>
      <sheetData sheetId="6">
        <row r="2">
          <cell r="B2">
            <v>22</v>
          </cell>
          <cell r="C2">
            <v>23.31</v>
          </cell>
          <cell r="D2">
            <v>24.08</v>
          </cell>
          <cell r="E2">
            <v>24.2</v>
          </cell>
          <cell r="F2">
            <v>25.25</v>
          </cell>
          <cell r="G2">
            <v>27.995000000000001</v>
          </cell>
          <cell r="H2">
            <v>29.41</v>
          </cell>
          <cell r="I2">
            <v>24.99</v>
          </cell>
          <cell r="J2">
            <v>16.899999999999999</v>
          </cell>
          <cell r="K2">
            <v>6.75</v>
          </cell>
          <cell r="L2">
            <v>5.65</v>
          </cell>
          <cell r="M2">
            <v>4.7249999999999996</v>
          </cell>
          <cell r="N2">
            <v>2.25</v>
          </cell>
          <cell r="O2">
            <v>1.5649999999999999</v>
          </cell>
          <cell r="P2">
            <v>0.27</v>
          </cell>
          <cell r="Q2">
            <v>1.625</v>
          </cell>
          <cell r="R2">
            <v>2.5</v>
          </cell>
          <cell r="S2">
            <v>7.585</v>
          </cell>
          <cell r="T2">
            <v>16.899999999999999</v>
          </cell>
          <cell r="U2">
            <v>24.56</v>
          </cell>
          <cell r="V2">
            <v>29.655000000000001</v>
          </cell>
          <cell r="W2">
            <v>28.815000000000001</v>
          </cell>
          <cell r="X2">
            <v>24.5</v>
          </cell>
          <cell r="Y2">
            <v>36.215000000000003</v>
          </cell>
        </row>
        <row r="3">
          <cell r="B3">
            <v>35.25</v>
          </cell>
          <cell r="C3">
            <v>34.564999999999998</v>
          </cell>
          <cell r="D3">
            <v>34.5</v>
          </cell>
          <cell r="E3">
            <v>34.005000000000003</v>
          </cell>
          <cell r="F3">
            <v>34.42</v>
          </cell>
          <cell r="G3">
            <v>33.5</v>
          </cell>
          <cell r="H3">
            <v>33.96</v>
          </cell>
          <cell r="I3">
            <v>36.435000000000002</v>
          </cell>
          <cell r="J3">
            <v>20.85</v>
          </cell>
          <cell r="K3">
            <v>15</v>
          </cell>
          <cell r="L3">
            <v>9.41</v>
          </cell>
          <cell r="M3">
            <v>10.215</v>
          </cell>
          <cell r="N3">
            <v>7.35</v>
          </cell>
          <cell r="O3">
            <v>4.83</v>
          </cell>
          <cell r="P3">
            <v>4.1050000000000004</v>
          </cell>
          <cell r="Q3">
            <v>3.72</v>
          </cell>
          <cell r="R3">
            <v>7.35</v>
          </cell>
          <cell r="S3">
            <v>9.7200000000000006</v>
          </cell>
          <cell r="T3">
            <v>17.395</v>
          </cell>
          <cell r="U3">
            <v>31.364999999999998</v>
          </cell>
          <cell r="V3">
            <v>34.005000000000003</v>
          </cell>
          <cell r="W3">
            <v>33.384999999999998</v>
          </cell>
          <cell r="X3">
            <v>31.54</v>
          </cell>
          <cell r="Y3">
            <v>36</v>
          </cell>
        </row>
        <row r="4">
          <cell r="B4">
            <v>34.450000000000003</v>
          </cell>
          <cell r="C4">
            <v>32.950000000000003</v>
          </cell>
          <cell r="D4">
            <v>33.159999999999997</v>
          </cell>
          <cell r="E4">
            <v>32.380000000000003</v>
          </cell>
          <cell r="F4">
            <v>33.94</v>
          </cell>
          <cell r="G4">
            <v>31.45</v>
          </cell>
          <cell r="H4">
            <v>33.215000000000003</v>
          </cell>
          <cell r="I4">
            <v>29.29</v>
          </cell>
          <cell r="J4">
            <v>19.324999999999999</v>
          </cell>
          <cell r="K4">
            <v>12.085000000000001</v>
          </cell>
          <cell r="L4">
            <v>11</v>
          </cell>
          <cell r="M4">
            <v>10.88</v>
          </cell>
          <cell r="N4">
            <v>5.86</v>
          </cell>
          <cell r="O4">
            <v>5.1150000000000002</v>
          </cell>
          <cell r="P4">
            <v>1.625</v>
          </cell>
          <cell r="Q4">
            <v>1.625</v>
          </cell>
          <cell r="R4">
            <v>4.2350000000000003</v>
          </cell>
          <cell r="S4">
            <v>12.55</v>
          </cell>
          <cell r="T4">
            <v>20.6</v>
          </cell>
          <cell r="U4">
            <v>28.62</v>
          </cell>
          <cell r="V4">
            <v>37.314999999999998</v>
          </cell>
          <cell r="W4">
            <v>33.94</v>
          </cell>
          <cell r="X4">
            <v>35.5</v>
          </cell>
          <cell r="Y4">
            <v>36</v>
          </cell>
        </row>
      </sheetData>
      <sheetData sheetId="7">
        <row r="2">
          <cell r="B2">
            <v>56.57</v>
          </cell>
          <cell r="C2">
            <v>56.19</v>
          </cell>
          <cell r="D2">
            <v>56.32</v>
          </cell>
          <cell r="E2">
            <v>56.29</v>
          </cell>
          <cell r="F2">
            <v>56.44</v>
          </cell>
          <cell r="G2">
            <v>58.42</v>
          </cell>
          <cell r="H2">
            <v>60.36</v>
          </cell>
          <cell r="I2">
            <v>58.42</v>
          </cell>
          <cell r="J2">
            <v>56.41</v>
          </cell>
          <cell r="K2">
            <v>55.96</v>
          </cell>
          <cell r="L2">
            <v>49</v>
          </cell>
          <cell r="M2">
            <v>46.49</v>
          </cell>
          <cell r="N2">
            <v>46.395000000000003</v>
          </cell>
          <cell r="O2">
            <v>44.494999999999997</v>
          </cell>
          <cell r="P2">
            <v>41.5</v>
          </cell>
          <cell r="Q2">
            <v>40.9</v>
          </cell>
          <cell r="R2">
            <v>40.9</v>
          </cell>
          <cell r="S2">
            <v>47.185000000000002</v>
          </cell>
          <cell r="T2">
            <v>54.6</v>
          </cell>
          <cell r="U2">
            <v>58.8</v>
          </cell>
          <cell r="V2">
            <v>66.33</v>
          </cell>
          <cell r="W2">
            <v>62.75</v>
          </cell>
          <cell r="X2">
            <v>58.57</v>
          </cell>
          <cell r="Y2">
            <v>56.92</v>
          </cell>
        </row>
        <row r="3">
          <cell r="B3">
            <v>53.61</v>
          </cell>
          <cell r="C3">
            <v>53.604999999999997</v>
          </cell>
          <cell r="D3">
            <v>53.604999999999997</v>
          </cell>
          <cell r="E3">
            <v>47.5</v>
          </cell>
          <cell r="F3">
            <v>51.22</v>
          </cell>
          <cell r="G3">
            <v>52.5</v>
          </cell>
          <cell r="H3">
            <v>57.55</v>
          </cell>
          <cell r="I3">
            <v>51.22</v>
          </cell>
          <cell r="J3">
            <v>43.984999999999999</v>
          </cell>
          <cell r="K3">
            <v>39.695</v>
          </cell>
          <cell r="L3">
            <v>39.799999999999997</v>
          </cell>
          <cell r="M3">
            <v>40.549999999999997</v>
          </cell>
          <cell r="N3">
            <v>41</v>
          </cell>
          <cell r="O3">
            <v>41.244999999999997</v>
          </cell>
          <cell r="P3">
            <v>39.799999999999997</v>
          </cell>
          <cell r="Q3">
            <v>39.799999999999997</v>
          </cell>
          <cell r="R3">
            <v>41</v>
          </cell>
          <cell r="S3">
            <v>42.115000000000002</v>
          </cell>
          <cell r="T3">
            <v>44.5</v>
          </cell>
          <cell r="U3">
            <v>58.1</v>
          </cell>
          <cell r="V3">
            <v>64.45</v>
          </cell>
          <cell r="W3">
            <v>61.21</v>
          </cell>
          <cell r="X3">
            <v>57.79</v>
          </cell>
          <cell r="Y3">
            <v>53.875</v>
          </cell>
        </row>
        <row r="4">
          <cell r="B4">
            <v>54.32</v>
          </cell>
          <cell r="C4">
            <v>52.314999999999998</v>
          </cell>
          <cell r="D4">
            <v>52.625</v>
          </cell>
          <cell r="E4">
            <v>46.814999999999998</v>
          </cell>
          <cell r="F4">
            <v>47.185000000000002</v>
          </cell>
          <cell r="G4">
            <v>49.725000000000001</v>
          </cell>
          <cell r="H4">
            <v>56.65</v>
          </cell>
          <cell r="I4">
            <v>54.935000000000002</v>
          </cell>
          <cell r="J4">
            <v>45</v>
          </cell>
          <cell r="K4">
            <v>37.5</v>
          </cell>
          <cell r="L4">
            <v>32.44</v>
          </cell>
          <cell r="M4">
            <v>32.274999999999999</v>
          </cell>
          <cell r="N4">
            <v>32.494999999999997</v>
          </cell>
          <cell r="O4">
            <v>32.44</v>
          </cell>
          <cell r="P4">
            <v>31.684999999999999</v>
          </cell>
          <cell r="Q4">
            <v>30</v>
          </cell>
          <cell r="R4">
            <v>31.954999999999998</v>
          </cell>
          <cell r="S4">
            <v>34.994999999999997</v>
          </cell>
          <cell r="T4">
            <v>42.765000000000001</v>
          </cell>
          <cell r="U4">
            <v>54.51</v>
          </cell>
          <cell r="V4">
            <v>57.13</v>
          </cell>
          <cell r="W4">
            <v>54.27</v>
          </cell>
          <cell r="X4">
            <v>47.09</v>
          </cell>
          <cell r="Y4">
            <v>37.115000000000002</v>
          </cell>
        </row>
      </sheetData>
      <sheetData sheetId="8">
        <row r="2">
          <cell r="B2">
            <v>46.02</v>
          </cell>
          <cell r="C2">
            <v>44.98</v>
          </cell>
          <cell r="D2">
            <v>45.034999999999997</v>
          </cell>
          <cell r="E2">
            <v>41.91</v>
          </cell>
          <cell r="F2">
            <v>42.68</v>
          </cell>
          <cell r="G2">
            <v>44.945</v>
          </cell>
          <cell r="H2">
            <v>52.07</v>
          </cell>
          <cell r="I2">
            <v>60.575000000000003</v>
          </cell>
          <cell r="J2">
            <v>60.375</v>
          </cell>
          <cell r="K2">
            <v>59.02</v>
          </cell>
          <cell r="L2">
            <v>49.94</v>
          </cell>
          <cell r="M2">
            <v>46.66</v>
          </cell>
          <cell r="N2">
            <v>45.695</v>
          </cell>
          <cell r="O2">
            <v>45.05</v>
          </cell>
          <cell r="P2">
            <v>46.2</v>
          </cell>
          <cell r="Q2">
            <v>54.82</v>
          </cell>
          <cell r="R2">
            <v>60.47</v>
          </cell>
          <cell r="S2">
            <v>67.62</v>
          </cell>
          <cell r="T2">
            <v>80.27</v>
          </cell>
          <cell r="U2">
            <v>75.760000000000005</v>
          </cell>
          <cell r="V2">
            <v>61.5</v>
          </cell>
          <cell r="W2">
            <v>59.14</v>
          </cell>
          <cell r="X2">
            <v>59.14</v>
          </cell>
          <cell r="Y2">
            <v>54.82</v>
          </cell>
        </row>
        <row r="3">
          <cell r="B3">
            <v>40</v>
          </cell>
          <cell r="C3">
            <v>38.395000000000003</v>
          </cell>
          <cell r="D3">
            <v>37.5</v>
          </cell>
          <cell r="E3">
            <v>36.295000000000002</v>
          </cell>
          <cell r="F3">
            <v>35.494999999999997</v>
          </cell>
          <cell r="G3">
            <v>38.5</v>
          </cell>
          <cell r="H3">
            <v>44.195</v>
          </cell>
          <cell r="I3">
            <v>53.68</v>
          </cell>
          <cell r="J3">
            <v>60.79</v>
          </cell>
          <cell r="K3">
            <v>51.4</v>
          </cell>
          <cell r="L3">
            <v>46.6</v>
          </cell>
          <cell r="M3">
            <v>42.52</v>
          </cell>
          <cell r="N3">
            <v>44.454999999999998</v>
          </cell>
          <cell r="O3">
            <v>42.655000000000001</v>
          </cell>
          <cell r="P3">
            <v>42.755000000000003</v>
          </cell>
          <cell r="Q3">
            <v>47.75</v>
          </cell>
          <cell r="R3">
            <v>56.5</v>
          </cell>
          <cell r="S3">
            <v>65</v>
          </cell>
          <cell r="T3">
            <v>67.069999999999993</v>
          </cell>
          <cell r="U3">
            <v>67.504999999999995</v>
          </cell>
          <cell r="V3">
            <v>74.36</v>
          </cell>
          <cell r="W3">
            <v>67.17</v>
          </cell>
          <cell r="X3">
            <v>57.6</v>
          </cell>
          <cell r="Y3">
            <v>51</v>
          </cell>
        </row>
        <row r="4">
          <cell r="B4">
            <v>43.24</v>
          </cell>
          <cell r="C4">
            <v>40.854999999999997</v>
          </cell>
          <cell r="D4">
            <v>37.5</v>
          </cell>
          <cell r="E4">
            <v>35.35</v>
          </cell>
          <cell r="F4">
            <v>35.340000000000003</v>
          </cell>
          <cell r="G4">
            <v>35.83</v>
          </cell>
          <cell r="H4">
            <v>36.92</v>
          </cell>
          <cell r="I4">
            <v>39</v>
          </cell>
          <cell r="J4">
            <v>36.545000000000002</v>
          </cell>
          <cell r="K4">
            <v>35</v>
          </cell>
          <cell r="L4">
            <v>33.354999999999997</v>
          </cell>
          <cell r="M4">
            <v>23.9</v>
          </cell>
          <cell r="N4">
            <v>24.995000000000001</v>
          </cell>
          <cell r="O4">
            <v>25.12</v>
          </cell>
          <cell r="P4">
            <v>30</v>
          </cell>
          <cell r="Q4">
            <v>35.215000000000003</v>
          </cell>
          <cell r="R4">
            <v>41.88</v>
          </cell>
          <cell r="S4">
            <v>52.74</v>
          </cell>
          <cell r="T4">
            <v>62.94</v>
          </cell>
          <cell r="U4">
            <v>60.005000000000003</v>
          </cell>
          <cell r="V4">
            <v>59.85</v>
          </cell>
          <cell r="W4">
            <v>55.375</v>
          </cell>
          <cell r="X4">
            <v>50.545000000000002</v>
          </cell>
          <cell r="Y4">
            <v>47.825000000000003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>
      <selection activeCell="B3" sqref="B3"/>
    </sheetView>
  </sheetViews>
  <sheetFormatPr defaultRowHeight="14.4" x14ac:dyDescent="0.3"/>
  <cols>
    <col min="1" max="1" width="17.6640625" customWidth="1"/>
  </cols>
  <sheetData>
    <row r="1" spans="1:8" x14ac:dyDescent="0.3">
      <c r="A1" t="s">
        <v>1</v>
      </c>
      <c r="B1">
        <v>3</v>
      </c>
      <c r="C1" s="1">
        <f>1/$B$1</f>
        <v>0.33333333333333331</v>
      </c>
      <c r="D1" s="1">
        <f t="shared" ref="D1:E1" si="0">1/$B$1</f>
        <v>0.33333333333333331</v>
      </c>
      <c r="E1" s="1">
        <f t="shared" si="0"/>
        <v>0.33333333333333331</v>
      </c>
      <c r="F1" s="1"/>
      <c r="G1" s="1"/>
      <c r="H1" s="1"/>
    </row>
    <row r="3" spans="1:8" x14ac:dyDescent="0.3">
      <c r="A3" t="s">
        <v>0</v>
      </c>
      <c r="B3" s="3">
        <v>2046</v>
      </c>
    </row>
    <row r="5" spans="1:8" x14ac:dyDescent="0.3">
      <c r="A5" t="s">
        <v>5</v>
      </c>
      <c r="B5" t="s">
        <v>3</v>
      </c>
    </row>
    <row r="6" spans="1:8" x14ac:dyDescent="0.3">
      <c r="A6" t="s">
        <v>4</v>
      </c>
      <c r="B6" s="1">
        <f>(1+[1]Main!$B$4)^($B$3-[1]Main!$B$1)</f>
        <v>1.6795818512976552</v>
      </c>
    </row>
    <row r="7" spans="1:8" ht="15.75" customHeight="1" x14ac:dyDescent="0.3">
      <c r="A7" t="s">
        <v>6</v>
      </c>
      <c r="B7" s="1">
        <f>(1+[1]Main!$B$5)^($B$3-[1]Main!$B$1)</f>
        <v>1.5156663438979212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73F7F-45E0-423B-A01B-B6DF6F75CAB7}">
  <dimension ref="A1:Y6"/>
  <sheetViews>
    <sheetView zoomScale="85" zoomScaleNormal="85" workbookViewId="0">
      <selection activeCell="B2" sqref="B2:Y4"/>
    </sheetView>
  </sheetViews>
  <sheetFormatPr defaultRowHeight="14.4" x14ac:dyDescent="0.3"/>
  <sheetData>
    <row r="1" spans="1:25" x14ac:dyDescent="0.3">
      <c r="A1" t="s">
        <v>2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'[1]Energy, Winter'!B2*Scenarios!$B$6</f>
        <v>154.10163485655988</v>
      </c>
      <c r="C2" s="2">
        <f>'[1]Energy, Winter'!C2*Scenarios!$B$6</f>
        <v>144.74636394483193</v>
      </c>
      <c r="D2" s="2">
        <f>'[1]Energy, Winter'!D2*Scenarios!$B$6</f>
        <v>137.89366999153748</v>
      </c>
      <c r="E2" s="2">
        <f>'[1]Energy, Winter'!E2*Scenarios!$B$6</f>
        <v>134.36654810381242</v>
      </c>
      <c r="F2" s="2">
        <f>'[1]Energy, Winter'!F2*Scenarios!$B$6</f>
        <v>133.69471536329334</v>
      </c>
      <c r="G2" s="2">
        <f>'[1]Energy, Winter'!G2*Scenarios!$B$6</f>
        <v>136.21408814023982</v>
      </c>
      <c r="H2" s="2">
        <f>'[1]Energy, Winter'!H2*Scenarios!$B$6</f>
        <v>144.29287684498155</v>
      </c>
      <c r="I2" s="2">
        <f>'[1]Energy, Winter'!I2*Scenarios!$B$6</f>
        <v>171.40132792492571</v>
      </c>
      <c r="J2" s="2">
        <f>'[1]Energy, Winter'!J2*Scenarios!$B$6</f>
        <v>191.20359795172507</v>
      </c>
      <c r="K2" s="2">
        <f>'[1]Energy, Winter'!K2*Scenarios!$B$6</f>
        <v>184.75400364274208</v>
      </c>
      <c r="L2" s="2">
        <f>'[1]Energy, Winter'!L2*Scenarios!$B$6</f>
        <v>163.97757614219009</v>
      </c>
      <c r="M2" s="2">
        <f>'[1]Energy, Winter'!M2*Scenarios!$B$6</f>
        <v>144.74636394483193</v>
      </c>
      <c r="N2" s="2">
        <f>'[1]Energy, Winter'!N2*Scenarios!$B$6</f>
        <v>140.90012150536029</v>
      </c>
      <c r="O2" s="2">
        <f>'[1]Energy, Winter'!O2*Scenarios!$B$6</f>
        <v>138.02803653964131</v>
      </c>
      <c r="P2" s="2">
        <f>'[1]Energy, Winter'!P2*Scenarios!$B$6</f>
        <v>139.40529365770539</v>
      </c>
      <c r="Q2" s="2">
        <f>'[1]Energy, Winter'!Q2*Scenarios!$B$6</f>
        <v>142.7644573603007</v>
      </c>
      <c r="R2" s="2">
        <f>'[1]Energy, Winter'!R2*Scenarios!$B$6</f>
        <v>163.97757614219009</v>
      </c>
      <c r="S2" s="2">
        <f>'[1]Energy, Winter'!S2*Scenarios!$B$6</f>
        <v>199.03044937877215</v>
      </c>
      <c r="T2" s="2">
        <f>'[1]Energy, Winter'!T2*Scenarios!$B$6</f>
        <v>216.5484880878067</v>
      </c>
      <c r="U2" s="2">
        <f>'[1]Energy, Winter'!U2*Scenarios!$B$6</f>
        <v>222.22547474519277</v>
      </c>
      <c r="V2" s="2">
        <f>'[1]Energy, Winter'!V2*Scenarios!$B$6</f>
        <v>198.0730877235325</v>
      </c>
      <c r="W2" s="2">
        <f>'[1]Energy, Winter'!W2*Scenarios!$B$6</f>
        <v>181.94910195107499</v>
      </c>
      <c r="X2" s="2">
        <f>'[1]Energy, Winter'!X2*Scenarios!$B$6</f>
        <v>167.95818512976552</v>
      </c>
      <c r="Y2" s="2">
        <f>'[1]Energy, Winter'!Y2*Scenarios!$B$6</f>
        <v>156.63780345201934</v>
      </c>
    </row>
    <row r="3" spans="1:25" x14ac:dyDescent="0.3">
      <c r="A3">
        <v>2</v>
      </c>
      <c r="B3" s="2">
        <f>'[1]Energy, Winter'!B3*Scenarios!$B$6</f>
        <v>149.44919312846537</v>
      </c>
      <c r="C3" s="2">
        <f>'[1]Energy, Winter'!C3*Scenarios!$B$6</f>
        <v>145.1998510446823</v>
      </c>
      <c r="D3" s="2">
        <f>'[1]Energy, Winter'!D3*Scenarios!$B$6</f>
        <v>142.74766154178772</v>
      </c>
      <c r="E3" s="2">
        <f>'[1]Energy, Winter'!E3*Scenarios!$B$6</f>
        <v>139.40529365770539</v>
      </c>
      <c r="F3" s="2">
        <f>'[1]Energy, Winter'!F3*Scenarios!$B$6</f>
        <v>139.64043511688706</v>
      </c>
      <c r="G3" s="2">
        <f>'[1]Energy, Winter'!G3*Scenarios!$B$6</f>
        <v>142.7644573603007</v>
      </c>
      <c r="H3" s="2">
        <f>'[1]Energy, Winter'!H3*Scenarios!$B$6</f>
        <v>149.48278476549132</v>
      </c>
      <c r="I3" s="2">
        <f>'[1]Energy, Winter'!I3*Scenarios!$B$6</f>
        <v>167.95818512976552</v>
      </c>
      <c r="J3" s="2">
        <f>'[1]Energy, Winter'!J3*Scenarios!$B$6</f>
        <v>175.96979056045532</v>
      </c>
      <c r="K3" s="2">
        <f>'[1]Energy, Winter'!K3*Scenarios!$B$6</f>
        <v>176.3560943862538</v>
      </c>
      <c r="L3" s="2">
        <f>'[1]Energy, Winter'!L3*Scenarios!$B$6</f>
        <v>167.95818512976552</v>
      </c>
      <c r="M3" s="2">
        <f>'[1]Energy, Winter'!M3*Scenarios!$B$6</f>
        <v>158.85485149573222</v>
      </c>
      <c r="N3" s="2">
        <f>'[1]Energy, Winter'!N3*Scenarios!$B$6</f>
        <v>154.52153031938428</v>
      </c>
      <c r="O3" s="2">
        <f>'[1]Energy, Winter'!O3*Scenarios!$B$6</f>
        <v>154.15202231209881</v>
      </c>
      <c r="P3" s="2">
        <f>'[1]Energy, Winter'!P3*Scenarios!$B$6</f>
        <v>151.33032480191872</v>
      </c>
      <c r="Q3" s="2">
        <f>'[1]Energy, Winter'!Q3*Scenarios!$B$6</f>
        <v>154.53832613789726</v>
      </c>
      <c r="R3" s="2">
        <f>'[1]Energy, Winter'!R3*Scenarios!$B$6</f>
        <v>169.60417534403723</v>
      </c>
      <c r="S3" s="2">
        <f>'[1]Energy, Winter'!S3*Scenarios!$B$6</f>
        <v>179.88321627397886</v>
      </c>
      <c r="T3" s="2">
        <f>'[1]Energy, Winter'!T3*Scenarios!$B$6</f>
        <v>211.62731326350456</v>
      </c>
      <c r="U3" s="2">
        <f>'[1]Energy, Winter'!U3*Scenarios!$B$6</f>
        <v>200.65964377453088</v>
      </c>
      <c r="V3" s="2">
        <f>'[1]Energy, Winter'!V3*Scenarios!$B$6</f>
        <v>184.75400364274208</v>
      </c>
      <c r="W3" s="2">
        <f>'[1]Energy, Winter'!W3*Scenarios!$B$6</f>
        <v>171.75404011369824</v>
      </c>
      <c r="X3" s="2">
        <f>'[1]Energy, Winter'!X3*Scenarios!$B$6</f>
        <v>164.59902142717021</v>
      </c>
      <c r="Y3" s="2">
        <f>'[1]Energy, Winter'!Y3*Scenarios!$B$6</f>
        <v>160.3832709804131</v>
      </c>
    </row>
    <row r="4" spans="1:25" x14ac:dyDescent="0.3">
      <c r="A4">
        <v>3</v>
      </c>
      <c r="B4" s="2">
        <f>'[1]Energy, Winter'!B4*Scenarios!$B$6</f>
        <v>155.07579233031251</v>
      </c>
      <c r="C4" s="2">
        <f>'[1]Energy, Winter'!C4*Scenarios!$B$6</f>
        <v>151.3639164389447</v>
      </c>
      <c r="D4" s="2">
        <f>'[1]Energy, Winter'!D4*Scenarios!$B$6</f>
        <v>146.14041688140898</v>
      </c>
      <c r="E4" s="2">
        <f>'[1]Energy, Winter'!E4*Scenarios!$B$6</f>
        <v>144.10812284133883</v>
      </c>
      <c r="F4" s="2">
        <f>'[1]Energy, Winter'!F4*Scenarios!$B$6</f>
        <v>142.7644573603007</v>
      </c>
      <c r="G4" s="2">
        <f>'[1]Energy, Winter'!G4*Scenarios!$B$6</f>
        <v>144.94791376698765</v>
      </c>
      <c r="H4" s="2">
        <f>'[1]Energy, Winter'!H4*Scenarios!$B$6</f>
        <v>159.56027587327725</v>
      </c>
      <c r="I4" s="2">
        <f>'[1]Energy, Winter'!I4*Scenarios!$B$6</f>
        <v>174.5757376238783</v>
      </c>
      <c r="J4" s="2">
        <f>'[1]Energy, Winter'!J4*Scenarios!$B$6</f>
        <v>203.90123674753536</v>
      </c>
      <c r="K4" s="2">
        <f>'[1]Energy, Winter'!K4*Scenarios!$B$6</f>
        <v>203.90123674753536</v>
      </c>
      <c r="L4" s="2">
        <f>'[1]Energy, Winter'!L4*Scenarios!$B$6</f>
        <v>176.9943354897469</v>
      </c>
      <c r="M4" s="2">
        <f>'[1]Energy, Winter'!M4*Scenarios!$B$6</f>
        <v>172.94654322811957</v>
      </c>
      <c r="N4" s="2">
        <f>'[1]Energy, Winter'!N4*Scenarios!$B$6</f>
        <v>167.94138931125255</v>
      </c>
      <c r="O4" s="2">
        <f>'[1]Energy, Winter'!O4*Scenarios!$B$6</f>
        <v>165.43881235281904</v>
      </c>
      <c r="P4" s="2">
        <f>'[1]Energy, Winter'!P4*Scenarios!$B$6</f>
        <v>159.15717622896582</v>
      </c>
      <c r="Q4" s="2">
        <f>'[1]Energy, Winter'!Q4*Scenarios!$B$6</f>
        <v>159.1067887734269</v>
      </c>
      <c r="R4" s="2">
        <f>'[1]Energy, Winter'!R4*Scenarios!$B$6</f>
        <v>166.900048563448</v>
      </c>
      <c r="S4" s="2">
        <f>'[1]Energy, Winter'!S4*Scenarios!$B$6</f>
        <v>172.49305612826919</v>
      </c>
      <c r="T4" s="2">
        <f>'[1]Energy, Winter'!T4*Scenarios!$B$6</f>
        <v>186.92066423091606</v>
      </c>
      <c r="U4" s="2">
        <f>'[1]Energy, Winter'!U4*Scenarios!$B$6</f>
        <v>203.90123674753536</v>
      </c>
      <c r="V4" s="2">
        <f>'[1]Energy, Winter'!V4*Scenarios!$B$6</f>
        <v>201.54982215571863</v>
      </c>
      <c r="W4" s="2">
        <f>'[1]Energy, Winter'!W4*Scenarios!$B$6</f>
        <v>180.90776120327044</v>
      </c>
      <c r="X4" s="2">
        <f>'[1]Energy, Winter'!X4*Scenarios!$B$6</f>
        <v>170.17523317347843</v>
      </c>
      <c r="Y4" s="2">
        <f>'[1]Energy, Winter'!Y4*Scenarios!$B$6</f>
        <v>155.66364597826669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377DA-14C0-46CD-834E-BEA2509E570F}">
  <dimension ref="A1:Y6"/>
  <sheetViews>
    <sheetView zoomScale="85" zoomScaleNormal="85" workbookViewId="0">
      <selection activeCell="B2" sqref="B2:Y4"/>
    </sheetView>
  </sheetViews>
  <sheetFormatPr defaultRowHeight="14.4" x14ac:dyDescent="0.3"/>
  <sheetData>
    <row r="1" spans="1:25" x14ac:dyDescent="0.3">
      <c r="A1" t="s">
        <v>2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'[1]Energy, Spring'!B2*Scenarios!$B$6</f>
        <v>73.901601457096831</v>
      </c>
      <c r="C2" s="2">
        <f>'[1]Energy, Spring'!C2*Scenarios!$B$6</f>
        <v>78.302105907496681</v>
      </c>
      <c r="D2" s="2">
        <f>'[1]Energy, Spring'!D2*Scenarios!$B$6</f>
        <v>80.888661958495078</v>
      </c>
      <c r="E2" s="2">
        <f>'[1]Energy, Spring'!E2*Scenarios!$B$6</f>
        <v>81.291761602806517</v>
      </c>
      <c r="F2" s="2">
        <f>'[1]Energy, Spring'!F2*Scenarios!$B$6</f>
        <v>84.81888349053159</v>
      </c>
      <c r="G2" s="2">
        <f>'[1]Energy, Spring'!G2*Scenarios!$B$6</f>
        <v>94.039787854155719</v>
      </c>
      <c r="H2" s="2">
        <f>'[1]Energy, Spring'!H2*Scenarios!$B$6</f>
        <v>98.793004493328084</v>
      </c>
      <c r="I2" s="2">
        <f>'[1]Energy, Spring'!I2*Scenarios!$B$6</f>
        <v>83.945500927856799</v>
      </c>
      <c r="J2" s="2">
        <f>'[1]Energy, Spring'!J2*Scenarios!$B$6</f>
        <v>56.769866573860746</v>
      </c>
      <c r="K2" s="2">
        <f>'[1]Energy, Spring'!K2*Scenarios!$B$6</f>
        <v>22.674354992518346</v>
      </c>
      <c r="L2" s="2">
        <f>'[1]Energy, Spring'!L2*Scenarios!$B$6</f>
        <v>18.979274919663506</v>
      </c>
      <c r="M2" s="2">
        <f>'[1]Energy, Spring'!M2*Scenarios!$B$6</f>
        <v>15.872048494762842</v>
      </c>
      <c r="N2" s="2">
        <f>'[1]Energy, Spring'!N2*Scenarios!$B$6</f>
        <v>7.5581183308394486</v>
      </c>
      <c r="O2" s="2">
        <f>'[1]Energy, Spring'!O2*Scenarios!$B$6</f>
        <v>5.257091194561661</v>
      </c>
      <c r="P2" s="2">
        <f>'[1]Energy, Spring'!P2*Scenarios!$B$6</f>
        <v>0.9069741997007339</v>
      </c>
      <c r="Q2" s="2">
        <f>'[1]Energy, Spring'!Q2*Scenarios!$B$6</f>
        <v>5.4586410167173796</v>
      </c>
      <c r="R2" s="2">
        <f>'[1]Energy, Spring'!R2*Scenarios!$B$6</f>
        <v>8.3979092564882762</v>
      </c>
      <c r="S2" s="2">
        <f>'[1]Energy, Spring'!S2*Scenarios!$B$6</f>
        <v>25.47925668418543</v>
      </c>
      <c r="T2" s="2">
        <f>'[1]Energy, Spring'!T2*Scenarios!$B$6</f>
        <v>56.769866573860746</v>
      </c>
      <c r="U2" s="2">
        <f>'[1]Energy, Spring'!U2*Scenarios!$B$6</f>
        <v>82.50106053574082</v>
      </c>
      <c r="V2" s="2">
        <f>'[1]Energy, Spring'!V2*Scenarios!$B$6</f>
        <v>99.615999600463937</v>
      </c>
      <c r="W2" s="2">
        <f>'[1]Energy, Spring'!W2*Scenarios!$B$6</f>
        <v>96.794302090283878</v>
      </c>
      <c r="X2" s="2">
        <f>'[1]Energy, Spring'!X2*Scenarios!$B$6</f>
        <v>82.299510713585107</v>
      </c>
      <c r="Y2" s="2">
        <f>'[1]Energy, Spring'!Y2*Scenarios!$B$6</f>
        <v>121.65211348948918</v>
      </c>
    </row>
    <row r="3" spans="1:25" x14ac:dyDescent="0.3">
      <c r="A3">
        <v>2</v>
      </c>
      <c r="B3" s="2">
        <f>'[1]Energy, Spring'!B3*Scenarios!$B$6</f>
        <v>118.4105205164847</v>
      </c>
      <c r="C3" s="2">
        <f>'[1]Energy, Spring'!C3*Scenarios!$B$6</f>
        <v>116.1094933802069</v>
      </c>
      <c r="D3" s="2">
        <f>'[1]Energy, Spring'!D3*Scenarios!$B$6</f>
        <v>115.89114773953821</v>
      </c>
      <c r="E3" s="2">
        <f>'[1]Energy, Spring'!E3*Scenarios!$B$6</f>
        <v>114.22836170675355</v>
      </c>
      <c r="F3" s="2">
        <f>'[1]Energy, Spring'!F3*Scenarios!$B$6</f>
        <v>115.62241464333059</v>
      </c>
      <c r="G3" s="2">
        <f>'[1]Energy, Spring'!G3*Scenarios!$B$6</f>
        <v>112.5319840369429</v>
      </c>
      <c r="H3" s="2">
        <f>'[1]Energy, Spring'!H3*Scenarios!$B$6</f>
        <v>114.07719934013674</v>
      </c>
      <c r="I3" s="2">
        <f>'[1]Energy, Spring'!I3*Scenarios!$B$6</f>
        <v>122.39112950406015</v>
      </c>
      <c r="J3" s="2">
        <f>'[1]Energy, Spring'!J3*Scenarios!$B$6</f>
        <v>70.038563199112232</v>
      </c>
      <c r="K3" s="2">
        <f>'[1]Energy, Spring'!K3*Scenarios!$B$6</f>
        <v>50.387455538929657</v>
      </c>
      <c r="L3" s="2">
        <f>'[1]Energy, Spring'!L3*Scenarios!$B$6</f>
        <v>31.60973044142187</v>
      </c>
      <c r="M3" s="2">
        <f>'[1]Energy, Spring'!M3*Scenarios!$B$6</f>
        <v>34.313857222011094</v>
      </c>
      <c r="N3" s="2">
        <f>'[1]Energy, Spring'!N3*Scenarios!$B$6</f>
        <v>24.68985321407553</v>
      </c>
      <c r="O3" s="2">
        <f>'[1]Energy, Spring'!O3*Scenarios!$B$6</f>
        <v>16.224760683535351</v>
      </c>
      <c r="P3" s="2">
        <f>'[1]Energy, Spring'!P3*Scenarios!$B$6</f>
        <v>13.789366999153751</v>
      </c>
      <c r="Q3" s="2">
        <f>'[1]Energy, Spring'!Q3*Scenarios!$B$6</f>
        <v>12.496088973654556</v>
      </c>
      <c r="R3" s="2">
        <f>'[1]Energy, Spring'!R3*Scenarios!$B$6</f>
        <v>24.68985321407553</v>
      </c>
      <c r="S3" s="2">
        <f>'[1]Energy, Spring'!S3*Scenarios!$B$6</f>
        <v>32.651071189226421</v>
      </c>
      <c r="T3" s="2">
        <f>'[1]Energy, Spring'!T3*Scenarios!$B$6</f>
        <v>58.432652606645426</v>
      </c>
      <c r="U3" s="2">
        <f>'[1]Energy, Spring'!U3*Scenarios!$B$6</f>
        <v>105.3601695319019</v>
      </c>
      <c r="V3" s="2">
        <f>'[1]Energy, Spring'!V3*Scenarios!$B$6</f>
        <v>114.22836170675355</v>
      </c>
      <c r="W3" s="2">
        <f>'[1]Energy, Spring'!W3*Scenarios!$B$6</f>
        <v>112.14568021114444</v>
      </c>
      <c r="X3" s="2">
        <f>'[1]Energy, Spring'!X3*Scenarios!$B$6</f>
        <v>105.94802317985609</v>
      </c>
      <c r="Y3" s="2">
        <f>'[1]Energy, Spring'!Y3*Scenarios!$B$6</f>
        <v>120.92989329343118</v>
      </c>
    </row>
    <row r="4" spans="1:25" x14ac:dyDescent="0.3">
      <c r="A4">
        <v>3</v>
      </c>
      <c r="B4" s="2">
        <f>'[1]Energy, Spring'!B4*Scenarios!$B$6</f>
        <v>115.72318955440845</v>
      </c>
      <c r="C4" s="2">
        <f>'[1]Energy, Spring'!C4*Scenarios!$B$6</f>
        <v>110.68444400051548</v>
      </c>
      <c r="D4" s="2">
        <f>'[1]Energy, Spring'!D4*Scenarios!$B$6</f>
        <v>111.38986837806048</v>
      </c>
      <c r="E4" s="2">
        <f>'[1]Energy, Spring'!E4*Scenarios!$B$6</f>
        <v>108.76972069003617</v>
      </c>
      <c r="F4" s="2">
        <f>'[1]Energy, Spring'!F4*Scenarios!$B$6</f>
        <v>114.01001606608483</v>
      </c>
      <c r="G4" s="2">
        <f>'[1]Energy, Spring'!G4*Scenarios!$B$6</f>
        <v>105.64569844662252</v>
      </c>
      <c r="H4" s="2">
        <f>'[1]Energy, Spring'!H4*Scenarios!$B$6</f>
        <v>111.57462238170325</v>
      </c>
      <c r="I4" s="2">
        <f>'[1]Energy, Spring'!I4*Scenarios!$B$6</f>
        <v>98.389904849016645</v>
      </c>
      <c r="J4" s="2">
        <f>'[1]Energy, Spring'!J4*Scenarios!$B$6</f>
        <v>64.915838552654378</v>
      </c>
      <c r="K4" s="2">
        <f>'[1]Energy, Spring'!K4*Scenarios!$B$6</f>
        <v>40.595493345864327</v>
      </c>
      <c r="L4" s="2">
        <f>'[1]Energy, Spring'!L4*Scenarios!$B$6</f>
        <v>36.950800728548415</v>
      </c>
      <c r="M4" s="2">
        <f>'[1]Energy, Spring'!M4*Scenarios!$B$6</f>
        <v>36.547701084236984</v>
      </c>
      <c r="N4" s="2">
        <f>'[1]Energy, Spring'!N4*Scenarios!$B$6</f>
        <v>19.684699297208521</v>
      </c>
      <c r="O4" s="2">
        <f>'[1]Energy, Spring'!O4*Scenarios!$B$6</f>
        <v>17.182122338775013</v>
      </c>
      <c r="P4" s="2">
        <f>'[1]Energy, Spring'!P4*Scenarios!$B$6</f>
        <v>5.4586410167173796</v>
      </c>
      <c r="Q4" s="2">
        <f>'[1]Energy, Spring'!Q4*Scenarios!$B$6</f>
        <v>5.4586410167173796</v>
      </c>
      <c r="R4" s="2">
        <f>'[1]Energy, Spring'!R4*Scenarios!$B$6</f>
        <v>14.226058280491142</v>
      </c>
      <c r="S4" s="2">
        <f>'[1]Energy, Spring'!S4*Scenarios!$B$6</f>
        <v>42.157504467571151</v>
      </c>
      <c r="T4" s="2">
        <f>'[1]Energy, Spring'!T4*Scenarios!$B$6</f>
        <v>69.198772273463405</v>
      </c>
      <c r="U4" s="2">
        <f>'[1]Energy, Spring'!U4*Scenarios!$B$6</f>
        <v>96.139265168277788</v>
      </c>
      <c r="V4" s="2">
        <f>'[1]Energy, Spring'!V4*Scenarios!$B$6</f>
        <v>125.347193562344</v>
      </c>
      <c r="W4" s="2">
        <f>'[1]Energy, Spring'!W4*Scenarios!$B$6</f>
        <v>114.01001606608483</v>
      </c>
      <c r="X4" s="2">
        <f>'[1]Energy, Spring'!X4*Scenarios!$B$6</f>
        <v>119.25031144213352</v>
      </c>
      <c r="Y4" s="2">
        <f>'[1]Energy, Spring'!Y4*Scenarios!$B$6</f>
        <v>120.92989329343118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AB509-4E8E-41C1-87FA-12D2A67962A8}">
  <dimension ref="A1:Y6"/>
  <sheetViews>
    <sheetView zoomScale="85" zoomScaleNormal="85" workbookViewId="0">
      <selection activeCell="B2" sqref="B2:Y4"/>
    </sheetView>
  </sheetViews>
  <sheetFormatPr defaultRowHeight="14.4" x14ac:dyDescent="0.3"/>
  <sheetData>
    <row r="1" spans="1:25" x14ac:dyDescent="0.3">
      <c r="A1" t="s">
        <v>2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'[1]Energy, Summer'!B2*Scenarios!$B$6</f>
        <v>190.02789065581672</v>
      </c>
      <c r="C2" s="2">
        <f>'[1]Energy, Summer'!C2*Scenarios!$B$6</f>
        <v>188.75140844883049</v>
      </c>
      <c r="D2" s="2">
        <f>'[1]Energy, Summer'!D2*Scenarios!$B$6</f>
        <v>189.18809973016789</v>
      </c>
      <c r="E2" s="2">
        <f>'[1]Energy, Summer'!E2*Scenarios!$B$6</f>
        <v>189.08732481909001</v>
      </c>
      <c r="F2" s="2">
        <f>'[1]Energy, Summer'!F2*Scenarios!$B$6</f>
        <v>189.59119937447932</v>
      </c>
      <c r="G2" s="2">
        <f>'[1]Energy, Summer'!G2*Scenarios!$B$6</f>
        <v>196.24234350561804</v>
      </c>
      <c r="H2" s="2">
        <f>'[1]Energy, Summer'!H2*Scenarios!$B$6</f>
        <v>202.75912108865293</v>
      </c>
      <c r="I2" s="2">
        <f>'[1]Energy, Summer'!I2*Scenarios!$B$6</f>
        <v>196.24234350561804</v>
      </c>
      <c r="J2" s="2">
        <f>'[1]Energy, Summer'!J2*Scenarios!$B$6</f>
        <v>189.49042446340147</v>
      </c>
      <c r="K2" s="2">
        <f>'[1]Energy, Summer'!K2*Scenarios!$B$6</f>
        <v>187.97880079723359</v>
      </c>
      <c r="L2" s="2">
        <f>'[1]Energy, Summer'!L2*Scenarios!$B$6</f>
        <v>164.59902142717021</v>
      </c>
      <c r="M2" s="2">
        <f>'[1]Energy, Summer'!M2*Scenarios!$B$6</f>
        <v>156.16752053365599</v>
      </c>
      <c r="N2" s="2">
        <f>'[1]Energy, Summer'!N2*Scenarios!$B$6</f>
        <v>155.84839998190944</v>
      </c>
      <c r="O2" s="2">
        <f>'[1]Energy, Summer'!O2*Scenarios!$B$6</f>
        <v>149.46598894697834</v>
      </c>
      <c r="P2" s="2">
        <f>'[1]Energy, Summer'!P2*Scenarios!$B$6</f>
        <v>139.40529365770539</v>
      </c>
      <c r="Q2" s="2">
        <f>'[1]Energy, Summer'!Q2*Scenarios!$B$6</f>
        <v>137.3897954361482</v>
      </c>
      <c r="R2" s="2">
        <f>'[1]Energy, Summer'!R2*Scenarios!$B$6</f>
        <v>137.3897954361482</v>
      </c>
      <c r="S2" s="2">
        <f>'[1]Energy, Summer'!S2*Scenarios!$B$6</f>
        <v>158.50213930695972</v>
      </c>
      <c r="T2" s="2">
        <f>'[1]Energy, Summer'!T2*Scenarios!$B$6</f>
        <v>183.41033816170395</v>
      </c>
      <c r="U2" s="2">
        <f>'[1]Energy, Summer'!U2*Scenarios!$B$6</f>
        <v>197.51882571260424</v>
      </c>
      <c r="V2" s="2">
        <f>'[1]Energy, Summer'!V2*Scenarios!$B$6</f>
        <v>222.81332839314695</v>
      </c>
      <c r="W2" s="2">
        <f>'[1]Energy, Summer'!W2*Scenarios!$B$6</f>
        <v>210.78752233785573</v>
      </c>
      <c r="X2" s="2">
        <f>'[1]Energy, Summer'!X2*Scenarios!$B$6</f>
        <v>196.74621806100734</v>
      </c>
      <c r="Y2" s="2">
        <f>'[1]Energy, Summer'!Y2*Scenarios!$B$6</f>
        <v>191.20359795172507</v>
      </c>
    </row>
    <row r="3" spans="1:25" x14ac:dyDescent="0.3">
      <c r="A3">
        <v>2</v>
      </c>
      <c r="B3" s="2">
        <f>'[1]Energy, Summer'!B3*Scenarios!$B$6</f>
        <v>180.08476609613459</v>
      </c>
      <c r="C3" s="2">
        <f>'[1]Energy, Summer'!C3*Scenarios!$B$6</f>
        <v>180.06797027762161</v>
      </c>
      <c r="D3" s="2">
        <f>'[1]Energy, Summer'!D3*Scenarios!$B$6</f>
        <v>180.06797027762161</v>
      </c>
      <c r="E3" s="2">
        <f>'[1]Energy, Summer'!E3*Scenarios!$B$6</f>
        <v>159.56027587327725</v>
      </c>
      <c r="F3" s="2">
        <f>'[1]Energy, Summer'!F3*Scenarios!$B$6</f>
        <v>172.05636484693181</v>
      </c>
      <c r="G3" s="2">
        <f>'[1]Energy, Summer'!G3*Scenarios!$B$6</f>
        <v>176.3560943862538</v>
      </c>
      <c r="H3" s="2">
        <f>'[1]Energy, Summer'!H3*Scenarios!$B$6</f>
        <v>193.3198710843601</v>
      </c>
      <c r="I3" s="2">
        <f>'[1]Energy, Summer'!I3*Scenarios!$B$6</f>
        <v>172.05636484693181</v>
      </c>
      <c r="J3" s="2">
        <f>'[1]Energy, Summer'!J3*Scenarios!$B$6</f>
        <v>147.75281545865474</v>
      </c>
      <c r="K3" s="2">
        <f>'[1]Energy, Summer'!K3*Scenarios!$B$6</f>
        <v>133.34200317452084</v>
      </c>
      <c r="L3" s="2">
        <f>'[1]Energy, Summer'!L3*Scenarios!$B$6</f>
        <v>133.69471536329334</v>
      </c>
      <c r="M3" s="2">
        <f>'[1]Energy, Summer'!M3*Scenarios!$B$6</f>
        <v>136.21408814023982</v>
      </c>
      <c r="N3" s="2">
        <f>'[1]Energy, Summer'!N3*Scenarios!$B$6</f>
        <v>137.72571180640773</v>
      </c>
      <c r="O3" s="2">
        <f>'[1]Energy, Summer'!O3*Scenarios!$B$6</f>
        <v>138.54870691354358</v>
      </c>
      <c r="P3" s="2">
        <f>'[1]Energy, Summer'!P3*Scenarios!$B$6</f>
        <v>133.69471536329334</v>
      </c>
      <c r="Q3" s="2">
        <f>'[1]Energy, Summer'!Q3*Scenarios!$B$6</f>
        <v>133.69471536329334</v>
      </c>
      <c r="R3" s="2">
        <f>'[1]Energy, Summer'!R3*Scenarios!$B$6</f>
        <v>137.72571180640773</v>
      </c>
      <c r="S3" s="2">
        <f>'[1]Energy, Summer'!S3*Scenarios!$B$6</f>
        <v>141.47117933480152</v>
      </c>
      <c r="T3" s="2">
        <f>'[1]Energy, Summer'!T3*Scenarios!$B$6</f>
        <v>149.48278476549132</v>
      </c>
      <c r="U3" s="2">
        <f>'[1]Energy, Summer'!U3*Scenarios!$B$6</f>
        <v>195.16741112078753</v>
      </c>
      <c r="V3" s="2">
        <f>'[1]Energy, Summer'!V3*Scenarios!$B$6</f>
        <v>216.49810063226778</v>
      </c>
      <c r="W3" s="2">
        <f>'[1]Energy, Summer'!W3*Scenarios!$B$6</f>
        <v>205.61441023585897</v>
      </c>
      <c r="X3" s="2">
        <f>'[1]Energy, Summer'!X3*Scenarios!$B$6</f>
        <v>194.12607037298298</v>
      </c>
      <c r="Y3" s="2">
        <f>'[1]Energy, Summer'!Y3*Scenarios!$B$6</f>
        <v>180.97494447732237</v>
      </c>
    </row>
    <row r="4" spans="1:25" x14ac:dyDescent="0.3">
      <c r="A4">
        <v>3</v>
      </c>
      <c r="B4" s="2">
        <f>'[1]Energy, Summer'!B4*Scenarios!$B$6</f>
        <v>182.46977232497727</v>
      </c>
      <c r="C4" s="2">
        <f>'[1]Energy, Summer'!C4*Scenarios!$B$6</f>
        <v>175.73464910127367</v>
      </c>
      <c r="D4" s="2">
        <f>'[1]Energy, Summer'!D4*Scenarios!$B$6</f>
        <v>176.7759898490782</v>
      </c>
      <c r="E4" s="2">
        <f>'[1]Energy, Summer'!E4*Scenarios!$B$6</f>
        <v>157.25924873699947</v>
      </c>
      <c r="F4" s="2">
        <f>'[1]Energy, Summer'!F4*Scenarios!$B$6</f>
        <v>158.50213930695972</v>
      </c>
      <c r="G4" s="2">
        <f>'[1]Energy, Summer'!G4*Scenarios!$B$6</f>
        <v>167.03441511155182</v>
      </c>
      <c r="H4" s="2">
        <f>'[1]Energy, Summer'!H4*Scenarios!$B$6</f>
        <v>190.29662375202435</v>
      </c>
      <c r="I4" s="2">
        <f>'[1]Energy, Summer'!I4*Scenarios!$B$6</f>
        <v>184.53565800207338</v>
      </c>
      <c r="J4" s="2">
        <f>'[1]Energy, Summer'!J4*Scenarios!$B$6</f>
        <v>151.16236661678897</v>
      </c>
      <c r="K4" s="2">
        <f>'[1]Energy, Summer'!K4*Scenarios!$B$6</f>
        <v>125.96863884732414</v>
      </c>
      <c r="L4" s="2">
        <f>'[1]Energy, Summer'!L4*Scenarios!$B$6</f>
        <v>108.97127051219186</v>
      </c>
      <c r="M4" s="2">
        <f>'[1]Energy, Summer'!M4*Scenarios!$B$6</f>
        <v>108.41700850126364</v>
      </c>
      <c r="N4" s="2">
        <f>'[1]Energy, Summer'!N4*Scenarios!$B$6</f>
        <v>109.1560245158346</v>
      </c>
      <c r="O4" s="2">
        <f>'[1]Energy, Summer'!O4*Scenarios!$B$6</f>
        <v>108.97127051219186</v>
      </c>
      <c r="P4" s="2">
        <f>'[1]Energy, Summer'!P4*Scenarios!$B$6</f>
        <v>106.43510191673241</v>
      </c>
      <c r="Q4" s="2">
        <f>'[1]Energy, Summer'!Q4*Scenarios!$B$6</f>
        <v>100.77491107785931</v>
      </c>
      <c r="R4" s="2">
        <f>'[1]Energy, Summer'!R4*Scenarios!$B$6</f>
        <v>107.34207611643315</v>
      </c>
      <c r="S4" s="2">
        <f>'[1]Energy, Summer'!S4*Scenarios!$B$6</f>
        <v>117.55393377232288</v>
      </c>
      <c r="T4" s="2">
        <f>'[1]Energy, Summer'!T4*Scenarios!$B$6</f>
        <v>143.65463574148845</v>
      </c>
      <c r="U4" s="2">
        <f>'[1]Energy, Summer'!U4*Scenarios!$B$6</f>
        <v>183.10801342847037</v>
      </c>
      <c r="V4" s="2">
        <f>'[1]Energy, Summer'!V4*Scenarios!$B$6</f>
        <v>191.9090223292701</v>
      </c>
      <c r="W4" s="2">
        <f>'[1]Energy, Summer'!W4*Scenarios!$B$6</f>
        <v>182.30181413984752</v>
      </c>
      <c r="X4" s="2">
        <f>'[1]Energy, Summer'!X4*Scenarios!$B$6</f>
        <v>158.18301875521317</v>
      </c>
      <c r="Y4" s="2">
        <f>'[1]Energy, Summer'!Y4*Scenarios!$B$6</f>
        <v>124.67536082182495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9686C-6AB5-4C22-BD0D-20FD9CC12ACE}">
  <dimension ref="A1:Y6"/>
  <sheetViews>
    <sheetView zoomScale="85" zoomScaleNormal="85" workbookViewId="0">
      <selection activeCell="B2" sqref="B2"/>
    </sheetView>
  </sheetViews>
  <sheetFormatPr defaultRowHeight="14.4" x14ac:dyDescent="0.3"/>
  <sheetData>
    <row r="1" spans="1:25" x14ac:dyDescent="0.3">
      <c r="A1" t="s">
        <v>2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'[1]Energy, Autumn'!B2*Scenarios!$B$6</f>
        <v>154.58871359343621</v>
      </c>
      <c r="C2" s="2">
        <f>'[1]Energy, Autumn'!C2*Scenarios!$B$6</f>
        <v>151.09518334273704</v>
      </c>
      <c r="D2" s="2">
        <f>'[1]Energy, Autumn'!D2*Scenarios!$B$6</f>
        <v>151.2799373463798</v>
      </c>
      <c r="E2" s="2">
        <f>'[1]Energy, Autumn'!E2*Scenarios!$B$6</f>
        <v>140.78255077576947</v>
      </c>
      <c r="F2" s="2">
        <f>'[1]Energy, Autumn'!F2*Scenarios!$B$6</f>
        <v>143.36910682676785</v>
      </c>
      <c r="G2" s="2">
        <f>'[1]Energy, Autumn'!G2*Scenarios!$B$6</f>
        <v>150.97761261314622</v>
      </c>
      <c r="H2" s="2">
        <f>'[1]Energy, Autumn'!H2*Scenarios!$B$6</f>
        <v>174.91165399413782</v>
      </c>
      <c r="I2" s="2">
        <f>'[1]Energy, Autumn'!I2*Scenarios!$B$6</f>
        <v>203.48134128471094</v>
      </c>
      <c r="J2" s="2">
        <f>'[1]Energy, Autumn'!J2*Scenarios!$B$6</f>
        <v>202.80950854419189</v>
      </c>
      <c r="K2" s="2">
        <f>'[1]Energy, Autumn'!K2*Scenarios!$B$6</f>
        <v>198.25784172717525</v>
      </c>
      <c r="L2" s="2">
        <f>'[1]Energy, Autumn'!L2*Scenarios!$B$6</f>
        <v>167.7566353076098</v>
      </c>
      <c r="M2" s="2">
        <f>'[1]Energy, Autumn'!M2*Scenarios!$B$6</f>
        <v>156.73857836309719</v>
      </c>
      <c r="N2" s="2">
        <f>'[1]Energy, Autumn'!N2*Scenarios!$B$6</f>
        <v>153.4969853900927</v>
      </c>
      <c r="O2" s="2">
        <f>'[1]Energy, Autumn'!O2*Scenarios!$B$6</f>
        <v>151.33032480191872</v>
      </c>
      <c r="P2" s="2">
        <f>'[1]Energy, Autumn'!P2*Scenarios!$B$6</f>
        <v>155.19336305990336</v>
      </c>
      <c r="Q2" s="2">
        <f>'[1]Energy, Autumn'!Q2*Scenarios!$B$6</f>
        <v>184.14935417627493</v>
      </c>
      <c r="R2" s="2">
        <f>'[1]Energy, Autumn'!R2*Scenarios!$B$6</f>
        <v>203.12862909593844</v>
      </c>
      <c r="S2" s="2">
        <f>'[1]Energy, Autumn'!S2*Scenarios!$B$6</f>
        <v>227.14664956949491</v>
      </c>
      <c r="T2" s="2">
        <f>'[1]Energy, Autumn'!T2*Scenarios!$B$6</f>
        <v>269.64007040732554</v>
      </c>
      <c r="U2" s="2">
        <f>'[1]Energy, Autumn'!U2*Scenarios!$B$6</f>
        <v>254.49024210862075</v>
      </c>
      <c r="V2" s="2">
        <f>'[1]Energy, Autumn'!V2*Scenarios!$B$6</f>
        <v>206.5885677096116</v>
      </c>
      <c r="W2" s="2">
        <f>'[1]Energy, Autumn'!W2*Scenarios!$B$6</f>
        <v>198.66094137148667</v>
      </c>
      <c r="X2" s="2">
        <f>'[1]Energy, Autumn'!X2*Scenarios!$B$6</f>
        <v>198.66094137148667</v>
      </c>
      <c r="Y2" s="2">
        <f>'[1]Energy, Autumn'!Y2*Scenarios!$B$6</f>
        <v>184.14935417627493</v>
      </c>
    </row>
    <row r="3" spans="1:25" x14ac:dyDescent="0.3">
      <c r="A3">
        <v>2</v>
      </c>
      <c r="B3" s="2">
        <f>'[1]Energy, Autumn'!B3*Scenarios!$B$6</f>
        <v>134.36654810381242</v>
      </c>
      <c r="C3" s="2">
        <f>'[1]Energy, Autumn'!C3*Scenarios!$B$6</f>
        <v>128.97509036114695</v>
      </c>
      <c r="D3" s="2">
        <f>'[1]Energy, Autumn'!D3*Scenarios!$B$6</f>
        <v>125.96863884732414</v>
      </c>
      <c r="E3" s="2">
        <f>'[1]Energy, Autumn'!E3*Scenarios!$B$6</f>
        <v>121.92084658569679</v>
      </c>
      <c r="F3" s="2">
        <f>'[1]Energy, Autumn'!F3*Scenarios!$B$6</f>
        <v>119.23351562362053</v>
      </c>
      <c r="G3" s="2">
        <f>'[1]Energy, Autumn'!G3*Scenarios!$B$6</f>
        <v>129.32780254991945</v>
      </c>
      <c r="H3" s="2">
        <f>'[1]Energy, Autumn'!H3*Scenarios!$B$6</f>
        <v>148.45823983619974</v>
      </c>
      <c r="I3" s="2">
        <f>'[1]Energy, Autumn'!I3*Scenarios!$B$6</f>
        <v>180.31990755531626</v>
      </c>
      <c r="J3" s="2">
        <f>'[1]Energy, Autumn'!J3*Scenarios!$B$6</f>
        <v>204.20356148076891</v>
      </c>
      <c r="K3" s="2">
        <f>'[1]Energy, Autumn'!K3*Scenarios!$B$6</f>
        <v>172.66101431339897</v>
      </c>
      <c r="L3" s="2">
        <f>'[1]Energy, Autumn'!L3*Scenarios!$B$6</f>
        <v>156.53702854094146</v>
      </c>
      <c r="M3" s="2">
        <f>'[1]Energy, Autumn'!M3*Scenarios!$B$6</f>
        <v>142.83164063435262</v>
      </c>
      <c r="N3" s="2">
        <f>'[1]Energy, Autumn'!N3*Scenarios!$B$6</f>
        <v>149.33162239887452</v>
      </c>
      <c r="O3" s="2">
        <f>'[1]Energy, Autumn'!O3*Scenarios!$B$6</f>
        <v>143.28512773420297</v>
      </c>
      <c r="P3" s="2">
        <f>'[1]Energy, Autumn'!P3*Scenarios!$B$6</f>
        <v>143.6210441044625</v>
      </c>
      <c r="Q3" s="2">
        <f>'[1]Energy, Autumn'!Q3*Scenarios!$B$6</f>
        <v>160.40006679892608</v>
      </c>
      <c r="R3" s="2">
        <f>'[1]Energy, Autumn'!R3*Scenarios!$B$6</f>
        <v>189.79274919663504</v>
      </c>
      <c r="S3" s="2">
        <f>'[1]Energy, Autumn'!S3*Scenarios!$B$6</f>
        <v>218.34564066869518</v>
      </c>
      <c r="T3" s="2">
        <f>'[1]Energy, Autumn'!T3*Scenarios!$B$6</f>
        <v>225.29910953306745</v>
      </c>
      <c r="U3" s="2">
        <f>'[1]Energy, Autumn'!U3*Scenarios!$B$6</f>
        <v>226.76034574369643</v>
      </c>
      <c r="V3" s="2">
        <f>'[1]Energy, Autumn'!V3*Scenarios!$B$6</f>
        <v>249.78741292498728</v>
      </c>
      <c r="W3" s="2">
        <f>'[1]Energy, Autumn'!W3*Scenarios!$B$6</f>
        <v>225.635025903327</v>
      </c>
      <c r="X3" s="2">
        <f>'[1]Energy, Autumn'!X3*Scenarios!$B$6</f>
        <v>193.48782926948988</v>
      </c>
      <c r="Y3" s="2">
        <f>'[1]Energy, Autumn'!Y3*Scenarios!$B$6</f>
        <v>171.31734883236084</v>
      </c>
    </row>
    <row r="4" spans="1:25" x14ac:dyDescent="0.3">
      <c r="A4">
        <v>3</v>
      </c>
      <c r="B4" s="2">
        <f>'[1]Energy, Autumn'!B4*Scenarios!$B$6</f>
        <v>145.25023850022123</v>
      </c>
      <c r="C4" s="2">
        <f>'[1]Energy, Autumn'!C4*Scenarios!$B$6</f>
        <v>137.2386330695314</v>
      </c>
      <c r="D4" s="2">
        <f>'[1]Energy, Autumn'!D4*Scenarios!$B$6</f>
        <v>125.96863884732414</v>
      </c>
      <c r="E4" s="2">
        <f>'[1]Energy, Autumn'!E4*Scenarios!$B$6</f>
        <v>118.74643688674423</v>
      </c>
      <c r="F4" s="2">
        <f>'[1]Energy, Autumn'!F4*Scenarios!$B$6</f>
        <v>118.71284524971828</v>
      </c>
      <c r="G4" s="2">
        <f>'[1]Energy, Autumn'!G4*Scenarios!$B$6</f>
        <v>120.35883546398998</v>
      </c>
      <c r="H4" s="2">
        <f>'[1]Energy, Autumn'!H4*Scenarios!$B$6</f>
        <v>124.02032389981886</v>
      </c>
      <c r="I4" s="2">
        <f>'[1]Energy, Autumn'!I4*Scenarios!$B$6</f>
        <v>131.00738440121711</v>
      </c>
      <c r="J4" s="2">
        <f>'[1]Energy, Autumn'!J4*Scenarios!$B$6</f>
        <v>122.76063751134562</v>
      </c>
      <c r="K4" s="2">
        <f>'[1]Energy, Autumn'!K4*Scenarios!$B$6</f>
        <v>117.57072959083587</v>
      </c>
      <c r="L4" s="2">
        <f>'[1]Energy, Autumn'!L4*Scenarios!$B$6</f>
        <v>112.04490530006657</v>
      </c>
      <c r="M4" s="2">
        <f>'[1]Energy, Autumn'!M4*Scenarios!$B$6</f>
        <v>80.284012492027912</v>
      </c>
      <c r="N4" s="2">
        <f>'[1]Energy, Autumn'!N4*Scenarios!$B$6</f>
        <v>83.962296746369788</v>
      </c>
      <c r="O4" s="2">
        <f>'[1]Energy, Autumn'!O4*Scenarios!$B$6</f>
        <v>84.382192209194201</v>
      </c>
      <c r="P4" s="2">
        <f>'[1]Energy, Autumn'!P4*Scenarios!$B$6</f>
        <v>100.77491107785931</v>
      </c>
      <c r="Q4" s="2">
        <f>'[1]Energy, Autumn'!Q4*Scenarios!$B$6</f>
        <v>118.29294978689387</v>
      </c>
      <c r="R4" s="2">
        <f>'[1]Energy, Autumn'!R4*Scenarios!$B$6</f>
        <v>140.68177586469162</v>
      </c>
      <c r="S4" s="2">
        <f>'[1]Energy, Autumn'!S4*Scenarios!$B$6</f>
        <v>177.16229367487668</v>
      </c>
      <c r="T4" s="2">
        <f>'[1]Energy, Autumn'!T4*Scenarios!$B$6</f>
        <v>211.42576344134883</v>
      </c>
      <c r="U4" s="2">
        <f>'[1]Energy, Autumn'!U4*Scenarios!$B$6</f>
        <v>201.5666179742316</v>
      </c>
      <c r="V4" s="2">
        <f>'[1]Energy, Autumn'!V4*Scenarios!$B$6</f>
        <v>201.04594760032933</v>
      </c>
      <c r="W4" s="2">
        <f>'[1]Energy, Autumn'!W4*Scenarios!$B$6</f>
        <v>186.01369003121533</v>
      </c>
      <c r="X4" s="2">
        <f>'[1]Energy, Autumn'!X4*Scenarios!$B$6</f>
        <v>169.78892934767998</v>
      </c>
      <c r="Y4" s="2">
        <f>'[1]Energy, Autumn'!Y4*Scenarios!$B$6</f>
        <v>160.65200407662073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A0F2A-A97B-42BF-BD16-0283FFE6BEE7}">
  <dimension ref="A1:Y6"/>
  <sheetViews>
    <sheetView zoomScale="85" zoomScaleNormal="85" workbookViewId="0">
      <selection activeCell="S21" sqref="S21"/>
    </sheetView>
  </sheetViews>
  <sheetFormatPr defaultRowHeight="14.4" x14ac:dyDescent="0.3"/>
  <sheetData>
    <row r="1" spans="1:25" x14ac:dyDescent="0.3">
      <c r="A1" t="s">
        <v>2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'[1]Flexibility, Winter'!B2*Scenarios!$B$6</f>
        <v>77.050817428279942</v>
      </c>
      <c r="C2" s="2">
        <f>'[1]Flexibility, Winter'!C2*Scenarios!$B$6</f>
        <v>72.373181972415964</v>
      </c>
      <c r="D2" s="2">
        <f>'[1]Flexibility, Winter'!D2*Scenarios!$B$6</f>
        <v>68.946834995768739</v>
      </c>
      <c r="E2" s="2">
        <f>'[1]Flexibility, Winter'!E2*Scenarios!$B$6</f>
        <v>67.18327405190621</v>
      </c>
      <c r="F2" s="2">
        <f>'[1]Flexibility, Winter'!F2*Scenarios!$B$6</f>
        <v>66.84735768164667</v>
      </c>
      <c r="G2" s="2">
        <f>'[1]Flexibility, Winter'!G2*Scenarios!$B$6</f>
        <v>68.107044070119912</v>
      </c>
      <c r="H2" s="2">
        <f>'[1]Flexibility, Winter'!H2*Scenarios!$B$6</f>
        <v>72.146438422490775</v>
      </c>
      <c r="I2" s="2">
        <f>'[1]Flexibility, Winter'!I2*Scenarios!$B$6</f>
        <v>85.700663962462855</v>
      </c>
      <c r="J2" s="2">
        <f>'[1]Flexibility, Winter'!J2*Scenarios!$B$6</f>
        <v>95.601798975862536</v>
      </c>
      <c r="K2" s="2">
        <f>'[1]Flexibility, Winter'!K2*Scenarios!$B$6</f>
        <v>92.377001821371039</v>
      </c>
      <c r="L2" s="2">
        <f>'[1]Flexibility, Winter'!L2*Scenarios!$B$6</f>
        <v>81.988788071095044</v>
      </c>
      <c r="M2" s="2">
        <f>'[1]Flexibility, Winter'!M2*Scenarios!$B$6</f>
        <v>72.373181972415964</v>
      </c>
      <c r="N2" s="2">
        <f>'[1]Flexibility, Winter'!N2*Scenarios!$B$6</f>
        <v>70.450060752680145</v>
      </c>
      <c r="O2" s="2">
        <f>'[1]Flexibility, Winter'!O2*Scenarios!$B$6</f>
        <v>69.014018269820653</v>
      </c>
      <c r="P2" s="2">
        <f>'[1]Flexibility, Winter'!P2*Scenarios!$B$6</f>
        <v>69.702646828852693</v>
      </c>
      <c r="Q2" s="2">
        <f>'[1]Flexibility, Winter'!Q2*Scenarios!$B$6</f>
        <v>71.382228680150348</v>
      </c>
      <c r="R2" s="2">
        <f>'[1]Flexibility, Winter'!R2*Scenarios!$B$6</f>
        <v>81.988788071095044</v>
      </c>
      <c r="S2" s="2">
        <f>'[1]Flexibility, Winter'!S2*Scenarios!$B$6</f>
        <v>99.515224689386073</v>
      </c>
      <c r="T2" s="2">
        <f>'[1]Flexibility, Winter'!T2*Scenarios!$B$6</f>
        <v>108.27424404390335</v>
      </c>
      <c r="U2" s="2">
        <f>'[1]Flexibility, Winter'!U2*Scenarios!$B$6</f>
        <v>111.11273737259638</v>
      </c>
      <c r="V2" s="2">
        <f>'[1]Flexibility, Winter'!V2*Scenarios!$B$6</f>
        <v>99.036543861766248</v>
      </c>
      <c r="W2" s="2">
        <f>'[1]Flexibility, Winter'!W2*Scenarios!$B$6</f>
        <v>90.974550975537497</v>
      </c>
      <c r="X2" s="2">
        <f>'[1]Flexibility, Winter'!X2*Scenarios!$B$6</f>
        <v>83.979092564882762</v>
      </c>
      <c r="Y2" s="2">
        <f>'[1]Flexibility, Winter'!Y2*Scenarios!$B$6</f>
        <v>78.31890172600967</v>
      </c>
    </row>
    <row r="3" spans="1:25" x14ac:dyDescent="0.3">
      <c r="A3">
        <v>2</v>
      </c>
      <c r="B3" s="2">
        <f>'[1]Flexibility, Winter'!B3*Scenarios!$B$6</f>
        <v>74.724596564232684</v>
      </c>
      <c r="C3" s="2">
        <f>'[1]Flexibility, Winter'!C3*Scenarios!$B$6</f>
        <v>72.599925522341152</v>
      </c>
      <c r="D3" s="2">
        <f>'[1]Flexibility, Winter'!D3*Scenarios!$B$6</f>
        <v>71.373830770893861</v>
      </c>
      <c r="E3" s="2">
        <f>'[1]Flexibility, Winter'!E3*Scenarios!$B$6</f>
        <v>69.702646828852693</v>
      </c>
      <c r="F3" s="2">
        <f>'[1]Flexibility, Winter'!F3*Scenarios!$B$6</f>
        <v>69.820217558443531</v>
      </c>
      <c r="G3" s="2">
        <f>'[1]Flexibility, Winter'!G3*Scenarios!$B$6</f>
        <v>71.382228680150348</v>
      </c>
      <c r="H3" s="2">
        <f>'[1]Flexibility, Winter'!H3*Scenarios!$B$6</f>
        <v>74.741392382745659</v>
      </c>
      <c r="I3" s="2">
        <f>'[1]Flexibility, Winter'!I3*Scenarios!$B$6</f>
        <v>83.979092564882762</v>
      </c>
      <c r="J3" s="2">
        <f>'[1]Flexibility, Winter'!J3*Scenarios!$B$6</f>
        <v>87.984895280227661</v>
      </c>
      <c r="K3" s="2">
        <f>'[1]Flexibility, Winter'!K3*Scenarios!$B$6</f>
        <v>88.178047193126901</v>
      </c>
      <c r="L3" s="2">
        <f>'[1]Flexibility, Winter'!L3*Scenarios!$B$6</f>
        <v>83.979092564882762</v>
      </c>
      <c r="M3" s="2">
        <f>'[1]Flexibility, Winter'!M3*Scenarios!$B$6</f>
        <v>79.42742574786611</v>
      </c>
      <c r="N3" s="2">
        <f>'[1]Flexibility, Winter'!N3*Scenarios!$B$6</f>
        <v>77.260765159692141</v>
      </c>
      <c r="O3" s="2">
        <f>'[1]Flexibility, Winter'!O3*Scenarios!$B$6</f>
        <v>77.076011156049404</v>
      </c>
      <c r="P3" s="2">
        <f>'[1]Flexibility, Winter'!P3*Scenarios!$B$6</f>
        <v>75.66516240095936</v>
      </c>
      <c r="Q3" s="2">
        <f>'[1]Flexibility, Winter'!Q3*Scenarios!$B$6</f>
        <v>77.269163068948629</v>
      </c>
      <c r="R3" s="2">
        <f>'[1]Flexibility, Winter'!R3*Scenarios!$B$6</f>
        <v>84.802087672018615</v>
      </c>
      <c r="S3" s="2">
        <f>'[1]Flexibility, Winter'!S3*Scenarios!$B$6</f>
        <v>89.94160813698943</v>
      </c>
      <c r="T3" s="2">
        <f>'[1]Flexibility, Winter'!T3*Scenarios!$B$6</f>
        <v>105.81365663175228</v>
      </c>
      <c r="U3" s="2">
        <f>'[1]Flexibility, Winter'!U3*Scenarios!$B$6</f>
        <v>100.32982188726544</v>
      </c>
      <c r="V3" s="2">
        <f>'[1]Flexibility, Winter'!V3*Scenarios!$B$6</f>
        <v>92.377001821371039</v>
      </c>
      <c r="W3" s="2">
        <f>'[1]Flexibility, Winter'!W3*Scenarios!$B$6</f>
        <v>85.877020056849119</v>
      </c>
      <c r="X3" s="2">
        <f>'[1]Flexibility, Winter'!X3*Scenarios!$B$6</f>
        <v>82.299510713585107</v>
      </c>
      <c r="Y3" s="2">
        <f>'[1]Flexibility, Winter'!Y3*Scenarios!$B$6</f>
        <v>80.191635490206551</v>
      </c>
    </row>
    <row r="4" spans="1:25" x14ac:dyDescent="0.3">
      <c r="A4">
        <v>3</v>
      </c>
      <c r="B4" s="2">
        <f>'[1]Flexibility, Winter'!B4*Scenarios!$B$6</f>
        <v>77.537896165156255</v>
      </c>
      <c r="C4" s="2">
        <f>'[1]Flexibility, Winter'!C4*Scenarios!$B$6</f>
        <v>75.681958219472349</v>
      </c>
      <c r="D4" s="2">
        <f>'[1]Flexibility, Winter'!D4*Scenarios!$B$6</f>
        <v>73.070208440704491</v>
      </c>
      <c r="E4" s="2">
        <f>'[1]Flexibility, Winter'!E4*Scenarios!$B$6</f>
        <v>72.054061420669413</v>
      </c>
      <c r="F4" s="2">
        <f>'[1]Flexibility, Winter'!F4*Scenarios!$B$6</f>
        <v>71.382228680150348</v>
      </c>
      <c r="G4" s="2">
        <f>'[1]Flexibility, Winter'!G4*Scenarios!$B$6</f>
        <v>72.473956883493827</v>
      </c>
      <c r="H4" s="2">
        <f>'[1]Flexibility, Winter'!H4*Scenarios!$B$6</f>
        <v>79.780137936638624</v>
      </c>
      <c r="I4" s="2">
        <f>'[1]Flexibility, Winter'!I4*Scenarios!$B$6</f>
        <v>87.287868811939148</v>
      </c>
      <c r="J4" s="2">
        <f>'[1]Flexibility, Winter'!J4*Scenarios!$B$6</f>
        <v>101.95061837376768</v>
      </c>
      <c r="K4" s="2">
        <f>'[1]Flexibility, Winter'!K4*Scenarios!$B$6</f>
        <v>101.95061837376768</v>
      </c>
      <c r="L4" s="2">
        <f>'[1]Flexibility, Winter'!L4*Scenarios!$B$6</f>
        <v>88.497167744873451</v>
      </c>
      <c r="M4" s="2">
        <f>'[1]Flexibility, Winter'!M4*Scenarios!$B$6</f>
        <v>86.473271614059783</v>
      </c>
      <c r="N4" s="2">
        <f>'[1]Flexibility, Winter'!N4*Scenarios!$B$6</f>
        <v>83.970694655626275</v>
      </c>
      <c r="O4" s="2">
        <f>'[1]Flexibility, Winter'!O4*Scenarios!$B$6</f>
        <v>82.719406176409521</v>
      </c>
      <c r="P4" s="2">
        <f>'[1]Flexibility, Winter'!P4*Scenarios!$B$6</f>
        <v>79.578588114482912</v>
      </c>
      <c r="Q4" s="2">
        <f>'[1]Flexibility, Winter'!Q4*Scenarios!$B$6</f>
        <v>79.55339438671345</v>
      </c>
      <c r="R4" s="2">
        <f>'[1]Flexibility, Winter'!R4*Scenarios!$B$6</f>
        <v>83.450024281723998</v>
      </c>
      <c r="S4" s="2">
        <f>'[1]Flexibility, Winter'!S4*Scenarios!$B$6</f>
        <v>86.246528064134594</v>
      </c>
      <c r="T4" s="2">
        <f>'[1]Flexibility, Winter'!T4*Scenarios!$B$6</f>
        <v>93.46033211545803</v>
      </c>
      <c r="U4" s="2">
        <f>'[1]Flexibility, Winter'!U4*Scenarios!$B$6</f>
        <v>101.95061837376768</v>
      </c>
      <c r="V4" s="2">
        <f>'[1]Flexibility, Winter'!V4*Scenarios!$B$6</f>
        <v>100.77491107785931</v>
      </c>
      <c r="W4" s="2">
        <f>'[1]Flexibility, Winter'!W4*Scenarios!$B$6</f>
        <v>90.45388060163522</v>
      </c>
      <c r="X4" s="2">
        <f>'[1]Flexibility, Winter'!X4*Scenarios!$B$6</f>
        <v>85.087616586739216</v>
      </c>
      <c r="Y4" s="2">
        <f>'[1]Flexibility, Winter'!Y4*Scenarios!$B$6</f>
        <v>77.831822989133343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CA46C-7623-4ABD-BCE9-736625BC3D05}">
  <dimension ref="A1:Y6"/>
  <sheetViews>
    <sheetView zoomScale="85" zoomScaleNormal="85" workbookViewId="0">
      <selection activeCell="B2" sqref="B2"/>
    </sheetView>
  </sheetViews>
  <sheetFormatPr defaultRowHeight="14.4" x14ac:dyDescent="0.3"/>
  <sheetData>
    <row r="1" spans="1:25" x14ac:dyDescent="0.3">
      <c r="A1" t="s">
        <v>2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'[1]Flexibility, Spring'!B2*Scenarios!$B$6</f>
        <v>36.950800728548415</v>
      </c>
      <c r="C2" s="2">
        <f>'[1]Flexibility, Spring'!C2*Scenarios!$B$6</f>
        <v>39.151052953748341</v>
      </c>
      <c r="D2" s="2">
        <f>'[1]Flexibility, Spring'!D2*Scenarios!$B$6</f>
        <v>40.444330979247539</v>
      </c>
      <c r="E2" s="2">
        <f>'[1]Flexibility, Spring'!E2*Scenarios!$B$6</f>
        <v>40.645880801403258</v>
      </c>
      <c r="F2" s="2">
        <f>'[1]Flexibility, Spring'!F2*Scenarios!$B$6</f>
        <v>42.409441745265795</v>
      </c>
      <c r="G2" s="2">
        <f>'[1]Flexibility, Spring'!G2*Scenarios!$B$6</f>
        <v>47.01989392707786</v>
      </c>
      <c r="H2" s="2">
        <f>'[1]Flexibility, Spring'!H2*Scenarios!$B$6</f>
        <v>49.396502246664042</v>
      </c>
      <c r="I2" s="2">
        <f>'[1]Flexibility, Spring'!I2*Scenarios!$B$6</f>
        <v>41.972750463928399</v>
      </c>
      <c r="J2" s="2">
        <f>'[1]Flexibility, Spring'!J2*Scenarios!$B$6</f>
        <v>28.384933286930373</v>
      </c>
      <c r="K2" s="2">
        <f>'[1]Flexibility, Spring'!K2*Scenarios!$B$6</f>
        <v>11.337177496259173</v>
      </c>
      <c r="L2" s="2">
        <f>'[1]Flexibility, Spring'!L2*Scenarios!$B$6</f>
        <v>9.4896374598317532</v>
      </c>
      <c r="M2" s="2">
        <f>'[1]Flexibility, Spring'!M2*Scenarios!$B$6</f>
        <v>7.9360242473814209</v>
      </c>
      <c r="N2" s="2">
        <f>'[1]Flexibility, Spring'!N2*Scenarios!$B$6</f>
        <v>3.7790591654197243</v>
      </c>
      <c r="O2" s="2">
        <f>'[1]Flexibility, Spring'!O2*Scenarios!$B$6</f>
        <v>2.6285455972808305</v>
      </c>
      <c r="P2" s="2">
        <f>'[1]Flexibility, Spring'!P2*Scenarios!$B$6</f>
        <v>0.45348709985036695</v>
      </c>
      <c r="Q2" s="2">
        <f>'[1]Flexibility, Spring'!Q2*Scenarios!$B$6</f>
        <v>2.7293205083586898</v>
      </c>
      <c r="R2" s="2">
        <f>'[1]Flexibility, Spring'!R2*Scenarios!$B$6</f>
        <v>4.1989546282441381</v>
      </c>
      <c r="S2" s="2">
        <f>'[1]Flexibility, Spring'!S2*Scenarios!$B$6</f>
        <v>12.739628342092715</v>
      </c>
      <c r="T2" s="2">
        <f>'[1]Flexibility, Spring'!T2*Scenarios!$B$6</f>
        <v>28.384933286930373</v>
      </c>
      <c r="U2" s="2">
        <f>'[1]Flexibility, Spring'!U2*Scenarios!$B$6</f>
        <v>41.25053026787041</v>
      </c>
      <c r="V2" s="2">
        <f>'[1]Flexibility, Spring'!V2*Scenarios!$B$6</f>
        <v>49.807999800231968</v>
      </c>
      <c r="W2" s="2">
        <f>'[1]Flexibility, Spring'!W2*Scenarios!$B$6</f>
        <v>48.397151045141939</v>
      </c>
      <c r="X2" s="2">
        <f>'[1]Flexibility, Spring'!X2*Scenarios!$B$6</f>
        <v>41.149755356792554</v>
      </c>
      <c r="Y2" s="2">
        <f>'[1]Flexibility, Spring'!Y2*Scenarios!$B$6</f>
        <v>60.826056744744591</v>
      </c>
    </row>
    <row r="3" spans="1:25" x14ac:dyDescent="0.3">
      <c r="A3">
        <v>2</v>
      </c>
      <c r="B3" s="2">
        <f>'[1]Flexibility, Spring'!B3*Scenarios!$B$6</f>
        <v>59.205260258242348</v>
      </c>
      <c r="C3" s="2">
        <f>'[1]Flexibility, Spring'!C3*Scenarios!$B$6</f>
        <v>58.05474669010345</v>
      </c>
      <c r="D3" s="2">
        <f>'[1]Flexibility, Spring'!D3*Scenarios!$B$6</f>
        <v>57.945573869769106</v>
      </c>
      <c r="E3" s="2">
        <f>'[1]Flexibility, Spring'!E3*Scenarios!$B$6</f>
        <v>57.114180853376773</v>
      </c>
      <c r="F3" s="2">
        <f>'[1]Flexibility, Spring'!F3*Scenarios!$B$6</f>
        <v>57.811207321665293</v>
      </c>
      <c r="G3" s="2">
        <f>'[1]Flexibility, Spring'!G3*Scenarios!$B$6</f>
        <v>56.265992018471451</v>
      </c>
      <c r="H3" s="2">
        <f>'[1]Flexibility, Spring'!H3*Scenarios!$B$6</f>
        <v>57.038599670068372</v>
      </c>
      <c r="I3" s="2">
        <f>'[1]Flexibility, Spring'!I3*Scenarios!$B$6</f>
        <v>61.195564752030073</v>
      </c>
      <c r="J3" s="2">
        <f>'[1]Flexibility, Spring'!J3*Scenarios!$B$6</f>
        <v>35.019281599556116</v>
      </c>
      <c r="K3" s="2">
        <f>'[1]Flexibility, Spring'!K3*Scenarios!$B$6</f>
        <v>25.193727769464829</v>
      </c>
      <c r="L3" s="2">
        <f>'[1]Flexibility, Spring'!L3*Scenarios!$B$6</f>
        <v>15.804865220710935</v>
      </c>
      <c r="M3" s="2">
        <f>'[1]Flexibility, Spring'!M3*Scenarios!$B$6</f>
        <v>17.156928611005547</v>
      </c>
      <c r="N3" s="2">
        <f>'[1]Flexibility, Spring'!N3*Scenarios!$B$6</f>
        <v>12.344926607037765</v>
      </c>
      <c r="O3" s="2">
        <f>'[1]Flexibility, Spring'!O3*Scenarios!$B$6</f>
        <v>8.1123803417676754</v>
      </c>
      <c r="P3" s="2">
        <f>'[1]Flexibility, Spring'!P3*Scenarios!$B$6</f>
        <v>6.8946834995768755</v>
      </c>
      <c r="Q3" s="2">
        <f>'[1]Flexibility, Spring'!Q3*Scenarios!$B$6</f>
        <v>6.2480444868272782</v>
      </c>
      <c r="R3" s="2">
        <f>'[1]Flexibility, Spring'!R3*Scenarios!$B$6</f>
        <v>12.344926607037765</v>
      </c>
      <c r="S3" s="2">
        <f>'[1]Flexibility, Spring'!S3*Scenarios!$B$6</f>
        <v>16.325535594613211</v>
      </c>
      <c r="T3" s="2">
        <f>'[1]Flexibility, Spring'!T3*Scenarios!$B$6</f>
        <v>29.216326303322713</v>
      </c>
      <c r="U3" s="2">
        <f>'[1]Flexibility, Spring'!U3*Scenarios!$B$6</f>
        <v>52.680084765950951</v>
      </c>
      <c r="V3" s="2">
        <f>'[1]Flexibility, Spring'!V3*Scenarios!$B$6</f>
        <v>57.114180853376773</v>
      </c>
      <c r="W3" s="2">
        <f>'[1]Flexibility, Spring'!W3*Scenarios!$B$6</f>
        <v>56.072840105572219</v>
      </c>
      <c r="X3" s="2">
        <f>'[1]Flexibility, Spring'!X3*Scenarios!$B$6</f>
        <v>52.974011589928047</v>
      </c>
      <c r="Y3" s="2">
        <f>'[1]Flexibility, Spring'!Y3*Scenarios!$B$6</f>
        <v>60.464946646715589</v>
      </c>
    </row>
    <row r="4" spans="1:25" x14ac:dyDescent="0.3">
      <c r="A4">
        <v>3</v>
      </c>
      <c r="B4" s="2">
        <f>'[1]Flexibility, Spring'!B4*Scenarios!$B$6</f>
        <v>57.861594777204225</v>
      </c>
      <c r="C4" s="2">
        <f>'[1]Flexibility, Spring'!C4*Scenarios!$B$6</f>
        <v>55.342222000257742</v>
      </c>
      <c r="D4" s="2">
        <f>'[1]Flexibility, Spring'!D4*Scenarios!$B$6</f>
        <v>55.694934189030242</v>
      </c>
      <c r="E4" s="2">
        <f>'[1]Flexibility, Spring'!E4*Scenarios!$B$6</f>
        <v>54.384860345018083</v>
      </c>
      <c r="F4" s="2">
        <f>'[1]Flexibility, Spring'!F4*Scenarios!$B$6</f>
        <v>57.005008033042415</v>
      </c>
      <c r="G4" s="2">
        <f>'[1]Flexibility, Spring'!G4*Scenarios!$B$6</f>
        <v>52.822849223311259</v>
      </c>
      <c r="H4" s="2">
        <f>'[1]Flexibility, Spring'!H4*Scenarios!$B$6</f>
        <v>55.787311190851625</v>
      </c>
      <c r="I4" s="2">
        <f>'[1]Flexibility, Spring'!I4*Scenarios!$B$6</f>
        <v>49.194952424508323</v>
      </c>
      <c r="J4" s="2">
        <f>'[1]Flexibility, Spring'!J4*Scenarios!$B$6</f>
        <v>32.457919276327189</v>
      </c>
      <c r="K4" s="2">
        <f>'[1]Flexibility, Spring'!K4*Scenarios!$B$6</f>
        <v>20.297746672932163</v>
      </c>
      <c r="L4" s="2">
        <f>'[1]Flexibility, Spring'!L4*Scenarios!$B$6</f>
        <v>18.475400364274208</v>
      </c>
      <c r="M4" s="2">
        <f>'[1]Flexibility, Spring'!M4*Scenarios!$B$6</f>
        <v>18.273850542118492</v>
      </c>
      <c r="N4" s="2">
        <f>'[1]Flexibility, Spring'!N4*Scenarios!$B$6</f>
        <v>9.8423496486042605</v>
      </c>
      <c r="O4" s="2">
        <f>'[1]Flexibility, Spring'!O4*Scenarios!$B$6</f>
        <v>8.5910611693875065</v>
      </c>
      <c r="P4" s="2">
        <f>'[1]Flexibility, Spring'!P4*Scenarios!$B$6</f>
        <v>2.7293205083586898</v>
      </c>
      <c r="Q4" s="2">
        <f>'[1]Flexibility, Spring'!Q4*Scenarios!$B$6</f>
        <v>2.7293205083586898</v>
      </c>
      <c r="R4" s="2">
        <f>'[1]Flexibility, Spring'!R4*Scenarios!$B$6</f>
        <v>7.1130291402455708</v>
      </c>
      <c r="S4" s="2">
        <f>'[1]Flexibility, Spring'!S4*Scenarios!$B$6</f>
        <v>21.078752233785575</v>
      </c>
      <c r="T4" s="2">
        <f>'[1]Flexibility, Spring'!T4*Scenarios!$B$6</f>
        <v>34.599386136731702</v>
      </c>
      <c r="U4" s="2">
        <f>'[1]Flexibility, Spring'!U4*Scenarios!$B$6</f>
        <v>48.069632584138894</v>
      </c>
      <c r="V4" s="2">
        <f>'[1]Flexibility, Spring'!V4*Scenarios!$B$6</f>
        <v>62.673596781172002</v>
      </c>
      <c r="W4" s="2">
        <f>'[1]Flexibility, Spring'!W4*Scenarios!$B$6</f>
        <v>57.005008033042415</v>
      </c>
      <c r="X4" s="2">
        <f>'[1]Flexibility, Spring'!X4*Scenarios!$B$6</f>
        <v>59.625155721066761</v>
      </c>
      <c r="Y4" s="2">
        <f>'[1]Flexibility, Spring'!Y4*Scenarios!$B$6</f>
        <v>60.464946646715589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8B75F-C023-45BB-9C5E-2448F504CF83}">
  <dimension ref="A1:Y6"/>
  <sheetViews>
    <sheetView zoomScale="85" zoomScaleNormal="85" workbookViewId="0">
      <selection activeCell="U27" sqref="U27"/>
    </sheetView>
  </sheetViews>
  <sheetFormatPr defaultRowHeight="14.4" x14ac:dyDescent="0.3"/>
  <sheetData>
    <row r="1" spans="1:25" x14ac:dyDescent="0.3">
      <c r="A1" t="s">
        <v>2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'[1]Flexibility, Summer'!B2*Scenarios!$B$6</f>
        <v>95.01394532790836</v>
      </c>
      <c r="C2" s="2">
        <f>'[1]Flexibility, Summer'!C2*Scenarios!$B$6</f>
        <v>94.375704224415244</v>
      </c>
      <c r="D2" s="2">
        <f>'[1]Flexibility, Summer'!D2*Scenarios!$B$6</f>
        <v>94.594049865083946</v>
      </c>
      <c r="E2" s="2">
        <f>'[1]Flexibility, Summer'!E2*Scenarios!$B$6</f>
        <v>94.543662409545007</v>
      </c>
      <c r="F2" s="2">
        <f>'[1]Flexibility, Summer'!F2*Scenarios!$B$6</f>
        <v>94.795599687239658</v>
      </c>
      <c r="G2" s="2">
        <f>'[1]Flexibility, Summer'!G2*Scenarios!$B$6</f>
        <v>98.121171752809019</v>
      </c>
      <c r="H2" s="2">
        <f>'[1]Flexibility, Summer'!H2*Scenarios!$B$6</f>
        <v>101.37956054432647</v>
      </c>
      <c r="I2" s="2">
        <f>'[1]Flexibility, Summer'!I2*Scenarios!$B$6</f>
        <v>98.121171752809019</v>
      </c>
      <c r="J2" s="2">
        <f>'[1]Flexibility, Summer'!J2*Scenarios!$B$6</f>
        <v>94.745212231700734</v>
      </c>
      <c r="K2" s="2">
        <f>'[1]Flexibility, Summer'!K2*Scenarios!$B$6</f>
        <v>93.989400398616795</v>
      </c>
      <c r="L2" s="2">
        <f>'[1]Flexibility, Summer'!L2*Scenarios!$B$6</f>
        <v>82.299510713585107</v>
      </c>
      <c r="M2" s="2">
        <f>'[1]Flexibility, Summer'!M2*Scenarios!$B$6</f>
        <v>78.083760266827994</v>
      </c>
      <c r="N2" s="2">
        <f>'[1]Flexibility, Summer'!N2*Scenarios!$B$6</f>
        <v>77.924199990954719</v>
      </c>
      <c r="O2" s="2">
        <f>'[1]Flexibility, Summer'!O2*Scenarios!$B$6</f>
        <v>74.732994473489171</v>
      </c>
      <c r="P2" s="2">
        <f>'[1]Flexibility, Summer'!P2*Scenarios!$B$6</f>
        <v>69.702646828852693</v>
      </c>
      <c r="Q2" s="2">
        <f>'[1]Flexibility, Summer'!Q2*Scenarios!$B$6</f>
        <v>68.694897718074102</v>
      </c>
      <c r="R2" s="2">
        <f>'[1]Flexibility, Summer'!R2*Scenarios!$B$6</f>
        <v>68.694897718074102</v>
      </c>
      <c r="S2" s="2">
        <f>'[1]Flexibility, Summer'!S2*Scenarios!$B$6</f>
        <v>79.25106965347986</v>
      </c>
      <c r="T2" s="2">
        <f>'[1]Flexibility, Summer'!T2*Scenarios!$B$6</f>
        <v>91.705169080851974</v>
      </c>
      <c r="U2" s="2">
        <f>'[1]Flexibility, Summer'!U2*Scenarios!$B$6</f>
        <v>98.75941285630212</v>
      </c>
      <c r="V2" s="2">
        <f>'[1]Flexibility, Summer'!V2*Scenarios!$B$6</f>
        <v>111.40666419657347</v>
      </c>
      <c r="W2" s="2">
        <f>'[1]Flexibility, Summer'!W2*Scenarios!$B$6</f>
        <v>105.39376116892787</v>
      </c>
      <c r="X2" s="2">
        <f>'[1]Flexibility, Summer'!X2*Scenarios!$B$6</f>
        <v>98.37310903050367</v>
      </c>
      <c r="Y2" s="2">
        <f>'[1]Flexibility, Summer'!Y2*Scenarios!$B$6</f>
        <v>95.601798975862536</v>
      </c>
    </row>
    <row r="3" spans="1:25" x14ac:dyDescent="0.3">
      <c r="A3">
        <v>2</v>
      </c>
      <c r="B3" s="2">
        <f>'[1]Flexibility, Summer'!B3*Scenarios!$B$6</f>
        <v>90.042383048067293</v>
      </c>
      <c r="C3" s="2">
        <f>'[1]Flexibility, Summer'!C3*Scenarios!$B$6</f>
        <v>90.033985138810806</v>
      </c>
      <c r="D3" s="2">
        <f>'[1]Flexibility, Summer'!D3*Scenarios!$B$6</f>
        <v>90.033985138810806</v>
      </c>
      <c r="E3" s="2">
        <f>'[1]Flexibility, Summer'!E3*Scenarios!$B$6</f>
        <v>79.780137936638624</v>
      </c>
      <c r="F3" s="2">
        <f>'[1]Flexibility, Summer'!F3*Scenarios!$B$6</f>
        <v>86.028182423465907</v>
      </c>
      <c r="G3" s="2">
        <f>'[1]Flexibility, Summer'!G3*Scenarios!$B$6</f>
        <v>88.178047193126901</v>
      </c>
      <c r="H3" s="2">
        <f>'[1]Flexibility, Summer'!H3*Scenarios!$B$6</f>
        <v>96.659935542180051</v>
      </c>
      <c r="I3" s="2">
        <f>'[1]Flexibility, Summer'!I3*Scenarios!$B$6</f>
        <v>86.028182423465907</v>
      </c>
      <c r="J3" s="2">
        <f>'[1]Flexibility, Summer'!J3*Scenarios!$B$6</f>
        <v>73.876407729327369</v>
      </c>
      <c r="K3" s="2">
        <f>'[1]Flexibility, Summer'!K3*Scenarios!$B$6</f>
        <v>66.67100158726042</v>
      </c>
      <c r="L3" s="2">
        <f>'[1]Flexibility, Summer'!L3*Scenarios!$B$6</f>
        <v>66.84735768164667</v>
      </c>
      <c r="M3" s="2">
        <f>'[1]Flexibility, Summer'!M3*Scenarios!$B$6</f>
        <v>68.107044070119912</v>
      </c>
      <c r="N3" s="2">
        <f>'[1]Flexibility, Summer'!N3*Scenarios!$B$6</f>
        <v>68.862855903203865</v>
      </c>
      <c r="O3" s="2">
        <f>'[1]Flexibility, Summer'!O3*Scenarios!$B$6</f>
        <v>69.274353456771792</v>
      </c>
      <c r="P3" s="2">
        <f>'[1]Flexibility, Summer'!P3*Scenarios!$B$6</f>
        <v>66.84735768164667</v>
      </c>
      <c r="Q3" s="2">
        <f>'[1]Flexibility, Summer'!Q3*Scenarios!$B$6</f>
        <v>66.84735768164667</v>
      </c>
      <c r="R3" s="2">
        <f>'[1]Flexibility, Summer'!R3*Scenarios!$B$6</f>
        <v>68.862855903203865</v>
      </c>
      <c r="S3" s="2">
        <f>'[1]Flexibility, Summer'!S3*Scenarios!$B$6</f>
        <v>70.73558966740076</v>
      </c>
      <c r="T3" s="2">
        <f>'[1]Flexibility, Summer'!T3*Scenarios!$B$6</f>
        <v>74.741392382745659</v>
      </c>
      <c r="U3" s="2">
        <f>'[1]Flexibility, Summer'!U3*Scenarios!$B$6</f>
        <v>97.583705560393767</v>
      </c>
      <c r="V3" s="2">
        <f>'[1]Flexibility, Summer'!V3*Scenarios!$B$6</f>
        <v>108.24905031613389</v>
      </c>
      <c r="W3" s="2">
        <f>'[1]Flexibility, Summer'!W3*Scenarios!$B$6</f>
        <v>102.80720511792948</v>
      </c>
      <c r="X3" s="2">
        <f>'[1]Flexibility, Summer'!X3*Scenarios!$B$6</f>
        <v>97.06303518649149</v>
      </c>
      <c r="Y3" s="2">
        <f>'[1]Flexibility, Summer'!Y3*Scenarios!$B$6</f>
        <v>90.487472238661184</v>
      </c>
    </row>
    <row r="4" spans="1:25" x14ac:dyDescent="0.3">
      <c r="A4">
        <v>3</v>
      </c>
      <c r="B4" s="2">
        <f>'[1]Flexibility, Summer'!B4*Scenarios!$B$6</f>
        <v>91.234886162488635</v>
      </c>
      <c r="C4" s="2">
        <f>'[1]Flexibility, Summer'!C4*Scenarios!$B$6</f>
        <v>87.867324550636837</v>
      </c>
      <c r="D4" s="2">
        <f>'[1]Flexibility, Summer'!D4*Scenarios!$B$6</f>
        <v>88.3879949245391</v>
      </c>
      <c r="E4" s="2">
        <f>'[1]Flexibility, Summer'!E4*Scenarios!$B$6</f>
        <v>78.629624368499734</v>
      </c>
      <c r="F4" s="2">
        <f>'[1]Flexibility, Summer'!F4*Scenarios!$B$6</f>
        <v>79.25106965347986</v>
      </c>
      <c r="G4" s="2">
        <f>'[1]Flexibility, Summer'!G4*Scenarios!$B$6</f>
        <v>83.517207555775911</v>
      </c>
      <c r="H4" s="2">
        <f>'[1]Flexibility, Summer'!H4*Scenarios!$B$6</f>
        <v>95.148311876012173</v>
      </c>
      <c r="I4" s="2">
        <f>'[1]Flexibility, Summer'!I4*Scenarios!$B$6</f>
        <v>92.267829001036688</v>
      </c>
      <c r="J4" s="2">
        <f>'[1]Flexibility, Summer'!J4*Scenarios!$B$6</f>
        <v>75.581183308394486</v>
      </c>
      <c r="K4" s="2">
        <f>'[1]Flexibility, Summer'!K4*Scenarios!$B$6</f>
        <v>62.984319423662072</v>
      </c>
      <c r="L4" s="2">
        <f>'[1]Flexibility, Summer'!L4*Scenarios!$B$6</f>
        <v>54.485635256095932</v>
      </c>
      <c r="M4" s="2">
        <f>'[1]Flexibility, Summer'!M4*Scenarios!$B$6</f>
        <v>54.208504250631819</v>
      </c>
      <c r="N4" s="2">
        <f>'[1]Flexibility, Summer'!N4*Scenarios!$B$6</f>
        <v>54.578012257917301</v>
      </c>
      <c r="O4" s="2">
        <f>'[1]Flexibility, Summer'!O4*Scenarios!$B$6</f>
        <v>54.485635256095932</v>
      </c>
      <c r="P4" s="2">
        <f>'[1]Flexibility, Summer'!P4*Scenarios!$B$6</f>
        <v>53.217550958366203</v>
      </c>
      <c r="Q4" s="2">
        <f>'[1]Flexibility, Summer'!Q4*Scenarios!$B$6</f>
        <v>50.387455538929657</v>
      </c>
      <c r="R4" s="2">
        <f>'[1]Flexibility, Summer'!R4*Scenarios!$B$6</f>
        <v>53.671038058216574</v>
      </c>
      <c r="S4" s="2">
        <f>'[1]Flexibility, Summer'!S4*Scenarios!$B$6</f>
        <v>58.776966886161439</v>
      </c>
      <c r="T4" s="2">
        <f>'[1]Flexibility, Summer'!T4*Scenarios!$B$6</f>
        <v>71.827317870744224</v>
      </c>
      <c r="U4" s="2">
        <f>'[1]Flexibility, Summer'!U4*Scenarios!$B$6</f>
        <v>91.554006714235186</v>
      </c>
      <c r="V4" s="2">
        <f>'[1]Flexibility, Summer'!V4*Scenarios!$B$6</f>
        <v>95.954511164635051</v>
      </c>
      <c r="W4" s="2">
        <f>'[1]Flexibility, Summer'!W4*Scenarios!$B$6</f>
        <v>91.150907069923761</v>
      </c>
      <c r="X4" s="2">
        <f>'[1]Flexibility, Summer'!X4*Scenarios!$B$6</f>
        <v>79.091509377606585</v>
      </c>
      <c r="Y4" s="2">
        <f>'[1]Flexibility, Summer'!Y4*Scenarios!$B$6</f>
        <v>62.337680410912476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804BC-5FC2-455C-9A89-A3BDE7667108}">
  <dimension ref="A1:Y6"/>
  <sheetViews>
    <sheetView zoomScale="85" zoomScaleNormal="85" workbookViewId="0">
      <selection activeCell="O17" sqref="O17"/>
    </sheetView>
  </sheetViews>
  <sheetFormatPr defaultRowHeight="14.4" x14ac:dyDescent="0.3"/>
  <sheetData>
    <row r="1" spans="1:25" x14ac:dyDescent="0.3">
      <c r="A1" t="s">
        <v>2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'[1]Flexibility, Autumn'!B2*Scenarios!$B$6</f>
        <v>77.294356796718105</v>
      </c>
      <c r="C2" s="2">
        <f>'[1]Flexibility, Autumn'!C2*Scenarios!$B$6</f>
        <v>75.547591671368522</v>
      </c>
      <c r="D2" s="2">
        <f>'[1]Flexibility, Autumn'!D2*Scenarios!$B$6</f>
        <v>75.639968673189898</v>
      </c>
      <c r="E2" s="2">
        <f>'[1]Flexibility, Autumn'!E2*Scenarios!$B$6</f>
        <v>70.391275387884733</v>
      </c>
      <c r="F2" s="2">
        <f>'[1]Flexibility, Autumn'!F2*Scenarios!$B$6</f>
        <v>71.684553413383924</v>
      </c>
      <c r="G2" s="2">
        <f>'[1]Flexibility, Autumn'!G2*Scenarios!$B$6</f>
        <v>75.48880630657311</v>
      </c>
      <c r="H2" s="2">
        <f>'[1]Flexibility, Autumn'!H2*Scenarios!$B$6</f>
        <v>87.455826997068911</v>
      </c>
      <c r="I2" s="2">
        <f>'[1]Flexibility, Autumn'!I2*Scenarios!$B$6</f>
        <v>101.74067064235547</v>
      </c>
      <c r="J2" s="2">
        <f>'[1]Flexibility, Autumn'!J2*Scenarios!$B$6</f>
        <v>101.40475427209594</v>
      </c>
      <c r="K2" s="2">
        <f>'[1]Flexibility, Autumn'!K2*Scenarios!$B$6</f>
        <v>99.128920863587624</v>
      </c>
      <c r="L2" s="2">
        <f>'[1]Flexibility, Autumn'!L2*Scenarios!$B$6</f>
        <v>83.878317653804899</v>
      </c>
      <c r="M2" s="2">
        <f>'[1]Flexibility, Autumn'!M2*Scenarios!$B$6</f>
        <v>78.369289181548595</v>
      </c>
      <c r="N2" s="2">
        <f>'[1]Flexibility, Autumn'!N2*Scenarios!$B$6</f>
        <v>76.748492695046352</v>
      </c>
      <c r="O2" s="2">
        <f>'[1]Flexibility, Autumn'!O2*Scenarios!$B$6</f>
        <v>75.66516240095936</v>
      </c>
      <c r="P2" s="2">
        <f>'[1]Flexibility, Autumn'!P2*Scenarios!$B$6</f>
        <v>77.596681529951681</v>
      </c>
      <c r="Q2" s="2">
        <f>'[1]Flexibility, Autumn'!Q2*Scenarios!$B$6</f>
        <v>92.074677088137463</v>
      </c>
      <c r="R2" s="2">
        <f>'[1]Flexibility, Autumn'!R2*Scenarios!$B$6</f>
        <v>101.56431454796922</v>
      </c>
      <c r="S2" s="2">
        <f>'[1]Flexibility, Autumn'!S2*Scenarios!$B$6</f>
        <v>113.57332478474746</v>
      </c>
      <c r="T2" s="2">
        <f>'[1]Flexibility, Autumn'!T2*Scenarios!$B$6</f>
        <v>134.82003520366277</v>
      </c>
      <c r="U2" s="2">
        <f>'[1]Flexibility, Autumn'!U2*Scenarios!$B$6</f>
        <v>127.24512105431037</v>
      </c>
      <c r="V2" s="2">
        <f>'[1]Flexibility, Autumn'!V2*Scenarios!$B$6</f>
        <v>103.2942838548058</v>
      </c>
      <c r="W2" s="2">
        <f>'[1]Flexibility, Autumn'!W2*Scenarios!$B$6</f>
        <v>99.330470685743336</v>
      </c>
      <c r="X2" s="2">
        <f>'[1]Flexibility, Autumn'!X2*Scenarios!$B$6</f>
        <v>99.330470685743336</v>
      </c>
      <c r="Y2" s="2">
        <f>'[1]Flexibility, Autumn'!Y2*Scenarios!$B$6</f>
        <v>92.074677088137463</v>
      </c>
    </row>
    <row r="3" spans="1:25" x14ac:dyDescent="0.3">
      <c r="A3">
        <v>2</v>
      </c>
      <c r="B3" s="2">
        <f>'[1]Flexibility, Autumn'!B3*Scenarios!$B$6</f>
        <v>67.18327405190621</v>
      </c>
      <c r="C3" s="2">
        <f>'[1]Flexibility, Autumn'!C3*Scenarios!$B$6</f>
        <v>64.487545180573477</v>
      </c>
      <c r="D3" s="2">
        <f>'[1]Flexibility, Autumn'!D3*Scenarios!$B$6</f>
        <v>62.984319423662072</v>
      </c>
      <c r="E3" s="2">
        <f>'[1]Flexibility, Autumn'!E3*Scenarios!$B$6</f>
        <v>60.960423292848397</v>
      </c>
      <c r="F3" s="2">
        <f>'[1]Flexibility, Autumn'!F3*Scenarios!$B$6</f>
        <v>59.616757811810267</v>
      </c>
      <c r="G3" s="2">
        <f>'[1]Flexibility, Autumn'!G3*Scenarios!$B$6</f>
        <v>64.663901274959727</v>
      </c>
      <c r="H3" s="2">
        <f>'[1]Flexibility, Autumn'!H3*Scenarios!$B$6</f>
        <v>74.229119918099869</v>
      </c>
      <c r="I3" s="2">
        <f>'[1]Flexibility, Autumn'!I3*Scenarios!$B$6</f>
        <v>90.159953777658131</v>
      </c>
      <c r="J3" s="2">
        <f>'[1]Flexibility, Autumn'!J3*Scenarios!$B$6</f>
        <v>102.10178074038446</v>
      </c>
      <c r="K3" s="2">
        <f>'[1]Flexibility, Autumn'!K3*Scenarios!$B$6</f>
        <v>86.330507156699483</v>
      </c>
      <c r="L3" s="2">
        <f>'[1]Flexibility, Autumn'!L3*Scenarios!$B$6</f>
        <v>78.268514270470732</v>
      </c>
      <c r="M3" s="2">
        <f>'[1]Flexibility, Autumn'!M3*Scenarios!$B$6</f>
        <v>71.415820317176312</v>
      </c>
      <c r="N3" s="2">
        <f>'[1]Flexibility, Autumn'!N3*Scenarios!$B$6</f>
        <v>74.665811199437258</v>
      </c>
      <c r="O3" s="2">
        <f>'[1]Flexibility, Autumn'!O3*Scenarios!$B$6</f>
        <v>71.642563867101487</v>
      </c>
      <c r="P3" s="2">
        <f>'[1]Flexibility, Autumn'!P3*Scenarios!$B$6</f>
        <v>71.810522052231249</v>
      </c>
      <c r="Q3" s="2">
        <f>'[1]Flexibility, Autumn'!Q3*Scenarios!$B$6</f>
        <v>80.200033399463038</v>
      </c>
      <c r="R3" s="2">
        <f>'[1]Flexibility, Autumn'!R3*Scenarios!$B$6</f>
        <v>94.896374598317522</v>
      </c>
      <c r="S3" s="2">
        <f>'[1]Flexibility, Autumn'!S3*Scenarios!$B$6</f>
        <v>109.17282033434759</v>
      </c>
      <c r="T3" s="2">
        <f>'[1]Flexibility, Autumn'!T3*Scenarios!$B$6</f>
        <v>112.64955476653373</v>
      </c>
      <c r="U3" s="2">
        <f>'[1]Flexibility, Autumn'!U3*Scenarios!$B$6</f>
        <v>113.38017287184822</v>
      </c>
      <c r="V3" s="2">
        <f>'[1]Flexibility, Autumn'!V3*Scenarios!$B$6</f>
        <v>124.89370646249364</v>
      </c>
      <c r="W3" s="2">
        <f>'[1]Flexibility, Autumn'!W3*Scenarios!$B$6</f>
        <v>112.8175129516635</v>
      </c>
      <c r="X3" s="2">
        <f>'[1]Flexibility, Autumn'!X3*Scenarios!$B$6</f>
        <v>96.743914634744939</v>
      </c>
      <c r="Y3" s="2">
        <f>'[1]Flexibility, Autumn'!Y3*Scenarios!$B$6</f>
        <v>85.658674416180418</v>
      </c>
    </row>
    <row r="4" spans="1:25" x14ac:dyDescent="0.3">
      <c r="A4">
        <v>3</v>
      </c>
      <c r="B4" s="2">
        <f>'[1]Flexibility, Autumn'!B4*Scenarios!$B$6</f>
        <v>72.625119250110615</v>
      </c>
      <c r="C4" s="2">
        <f>'[1]Flexibility, Autumn'!C4*Scenarios!$B$6</f>
        <v>68.619316534765701</v>
      </c>
      <c r="D4" s="2">
        <f>'[1]Flexibility, Autumn'!D4*Scenarios!$B$6</f>
        <v>62.984319423662072</v>
      </c>
      <c r="E4" s="2">
        <f>'[1]Flexibility, Autumn'!E4*Scenarios!$B$6</f>
        <v>59.373218443372117</v>
      </c>
      <c r="F4" s="2">
        <f>'[1]Flexibility, Autumn'!F4*Scenarios!$B$6</f>
        <v>59.356422624859142</v>
      </c>
      <c r="G4" s="2">
        <f>'[1]Flexibility, Autumn'!G4*Scenarios!$B$6</f>
        <v>60.179417731994988</v>
      </c>
      <c r="H4" s="2">
        <f>'[1]Flexibility, Autumn'!H4*Scenarios!$B$6</f>
        <v>62.010161949909431</v>
      </c>
      <c r="I4" s="2">
        <f>'[1]Flexibility, Autumn'!I4*Scenarios!$B$6</f>
        <v>65.503692200608555</v>
      </c>
      <c r="J4" s="2">
        <f>'[1]Flexibility, Autumn'!J4*Scenarios!$B$6</f>
        <v>61.38031875567281</v>
      </c>
      <c r="K4" s="2">
        <f>'[1]Flexibility, Autumn'!K4*Scenarios!$B$6</f>
        <v>58.785364795417934</v>
      </c>
      <c r="L4" s="2">
        <f>'[1]Flexibility, Autumn'!L4*Scenarios!$B$6</f>
        <v>56.022452650033287</v>
      </c>
      <c r="M4" s="2">
        <f>'[1]Flexibility, Autumn'!M4*Scenarios!$B$6</f>
        <v>40.142006246013956</v>
      </c>
      <c r="N4" s="2">
        <f>'[1]Flexibility, Autumn'!N4*Scenarios!$B$6</f>
        <v>41.981148373184894</v>
      </c>
      <c r="O4" s="2">
        <f>'[1]Flexibility, Autumn'!O4*Scenarios!$B$6</f>
        <v>42.191096104597101</v>
      </c>
      <c r="P4" s="2">
        <f>'[1]Flexibility, Autumn'!P4*Scenarios!$B$6</f>
        <v>50.387455538929657</v>
      </c>
      <c r="Q4" s="2">
        <f>'[1]Flexibility, Autumn'!Q4*Scenarios!$B$6</f>
        <v>59.146474893446936</v>
      </c>
      <c r="R4" s="2">
        <f>'[1]Flexibility, Autumn'!R4*Scenarios!$B$6</f>
        <v>70.340887932345808</v>
      </c>
      <c r="S4" s="2">
        <f>'[1]Flexibility, Autumn'!S4*Scenarios!$B$6</f>
        <v>88.58114683743834</v>
      </c>
      <c r="T4" s="2">
        <f>'[1]Flexibility, Autumn'!T4*Scenarios!$B$6</f>
        <v>105.71288172067442</v>
      </c>
      <c r="U4" s="2">
        <f>'[1]Flexibility, Autumn'!U4*Scenarios!$B$6</f>
        <v>100.7833089871158</v>
      </c>
      <c r="V4" s="2">
        <f>'[1]Flexibility, Autumn'!V4*Scenarios!$B$6</f>
        <v>100.52297380016466</v>
      </c>
      <c r="W4" s="2">
        <f>'[1]Flexibility, Autumn'!W4*Scenarios!$B$6</f>
        <v>93.006845015607666</v>
      </c>
      <c r="X4" s="2">
        <f>'[1]Flexibility, Autumn'!X4*Scenarios!$B$6</f>
        <v>84.894464673839991</v>
      </c>
      <c r="Y4" s="2">
        <f>'[1]Flexibility, Autumn'!Y4*Scenarios!$B$6</f>
        <v>80.326002038310364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Scenarios</vt:lpstr>
      <vt:lpstr>Cp, Winter</vt:lpstr>
      <vt:lpstr>Cp, Spring</vt:lpstr>
      <vt:lpstr>Cp, Summer</vt:lpstr>
      <vt:lpstr>Cp, Autumn</vt:lpstr>
      <vt:lpstr>Flex, Winter</vt:lpstr>
      <vt:lpstr>Flex, Spring</vt:lpstr>
      <vt:lpstr>Flex, Summer</vt:lpstr>
      <vt:lpstr>Flex, Autumn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2025-06-17T09:08:56Z</dcterms:modified>
</cp:coreProperties>
</file>