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/>
  <mc:AlternateContent xmlns:mc="http://schemas.openxmlformats.org/markup-compatibility/2006">
    <mc:Choice Requires="x15">
      <x15ac:absPath xmlns:x15ac="http://schemas.microsoft.com/office/spreadsheetml/2010/11/ac" url="C:\Projects\thesis-shared-resources-planning-no_esso-degradation\data\CS7\Market Data\"/>
    </mc:Choice>
  </mc:AlternateContent>
  <xr:revisionPtr revIDLastSave="0" documentId="13_ncr:1_{DEEE3303-A4DB-465C-BACF-0152195DDAEF}" xr6:coauthVersionLast="47" xr6:coauthVersionMax="47" xr10:uidLastSave="{00000000-0000-0000-0000-000000000000}"/>
  <bookViews>
    <workbookView xWindow="28680" yWindow="-15195" windowWidth="38640" windowHeight="21120" xr2:uid="{00000000-000D-0000-FFFF-FFFF00000000}"/>
  </bookViews>
  <sheets>
    <sheet name="Scenarios" sheetId="1" r:id="rId1"/>
    <sheet name="Cp, Winter" sheetId="2" r:id="rId2"/>
    <sheet name="Cp, Spring" sheetId="20" r:id="rId3"/>
    <sheet name="Cp, Summer" sheetId="14" r:id="rId4"/>
    <sheet name="Cp, Autumn" sheetId="21" r:id="rId5"/>
    <sheet name="Flex, Winter" sheetId="18" r:id="rId6"/>
    <sheet name="Flex, Spring" sheetId="22" r:id="rId7"/>
    <sheet name="Flex, Summer" sheetId="19" r:id="rId8"/>
    <sheet name="Flex, Autumn" sheetId="23" r:id="rId9"/>
  </sheets>
  <externalReferences>
    <externalReference r:id="rId10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" i="1" l="1"/>
  <c r="E1" i="1"/>
  <c r="C1" i="1"/>
  <c r="B7" i="1" l="1"/>
  <c r="B6" i="1"/>
  <c r="X4" i="23" s="1"/>
  <c r="X3" i="22" l="1"/>
  <c r="Y3" i="2"/>
  <c r="X2" i="14"/>
  <c r="I3" i="18"/>
  <c r="B4" i="2"/>
  <c r="Y2" i="14"/>
  <c r="J3" i="18"/>
  <c r="Q4" i="2"/>
  <c r="K4" i="14"/>
  <c r="K3" i="18"/>
  <c r="R4" i="2"/>
  <c r="R4" i="14"/>
  <c r="B4" i="18"/>
  <c r="S4" i="2"/>
  <c r="B2" i="21"/>
  <c r="C4" i="18"/>
  <c r="J2" i="20"/>
  <c r="C2" i="21"/>
  <c r="D4" i="18"/>
  <c r="K2" i="20"/>
  <c r="D2" i="21"/>
  <c r="E3" i="22"/>
  <c r="U3" i="20"/>
  <c r="S2" i="21"/>
  <c r="F3" i="22"/>
  <c r="V3" i="20"/>
  <c r="T2" i="21"/>
  <c r="G3" i="22"/>
  <c r="M4" i="20"/>
  <c r="U2" i="21"/>
  <c r="Q3" i="22"/>
  <c r="M3" i="21"/>
  <c r="F2" i="14"/>
  <c r="O4" i="22"/>
  <c r="G2" i="14"/>
  <c r="H2" i="19"/>
  <c r="I3" i="2"/>
  <c r="H2" i="14"/>
  <c r="Q2" i="18"/>
  <c r="J2" i="19"/>
  <c r="N4" i="20"/>
  <c r="L3" i="21"/>
  <c r="V3" i="22"/>
  <c r="O4" i="20"/>
  <c r="F3" i="2"/>
  <c r="Y4" i="21"/>
  <c r="G3" i="2"/>
  <c r="O2" i="18"/>
  <c r="W3" i="2"/>
  <c r="W2" i="14"/>
  <c r="R2" i="18"/>
  <c r="Y2" i="19"/>
  <c r="N3" i="21"/>
  <c r="S4" i="18"/>
  <c r="G3" i="19"/>
  <c r="L2" i="20"/>
  <c r="R3" i="19"/>
  <c r="C3" i="20"/>
  <c r="Q3" i="14"/>
  <c r="F4" i="21"/>
  <c r="M2" i="2"/>
  <c r="D3" i="20"/>
  <c r="R3" i="14"/>
  <c r="G4" i="21"/>
  <c r="L2" i="22"/>
  <c r="D2" i="23"/>
  <c r="P3" i="14"/>
  <c r="E4" i="21"/>
  <c r="T4" i="18"/>
  <c r="K4" i="19"/>
  <c r="N2" i="2"/>
  <c r="E3" i="20"/>
  <c r="I4" i="14"/>
  <c r="V4" i="21"/>
  <c r="M2" i="22"/>
  <c r="F2" i="23"/>
  <c r="U4" i="18"/>
  <c r="O2" i="2"/>
  <c r="T3" i="20"/>
  <c r="J4" i="14"/>
  <c r="W4" i="21"/>
  <c r="N2" i="22"/>
  <c r="U2" i="23"/>
  <c r="N3" i="23"/>
  <c r="G4" i="23"/>
  <c r="W3" i="22"/>
  <c r="P4" i="22"/>
  <c r="I2" i="19"/>
  <c r="B3" i="19"/>
  <c r="S3" i="19"/>
  <c r="L4" i="19"/>
  <c r="E2" i="23"/>
  <c r="V2" i="23"/>
  <c r="O3" i="23"/>
  <c r="I4" i="23"/>
  <c r="Q2" i="2"/>
  <c r="J3" i="2"/>
  <c r="C4" i="2"/>
  <c r="T4" i="2"/>
  <c r="M2" i="20"/>
  <c r="F3" i="20"/>
  <c r="W3" i="20"/>
  <c r="P4" i="20"/>
  <c r="I2" i="14"/>
  <c r="B3" i="14"/>
  <c r="S3" i="14"/>
  <c r="L4" i="14"/>
  <c r="E2" i="21"/>
  <c r="V2" i="21"/>
  <c r="O3" i="21"/>
  <c r="I4" i="21"/>
  <c r="B2" i="18"/>
  <c r="S2" i="18"/>
  <c r="L3" i="18"/>
  <c r="E4" i="18"/>
  <c r="V4" i="18"/>
  <c r="O2" i="22"/>
  <c r="H3" i="22"/>
  <c r="Y3" i="22"/>
  <c r="R4" i="22"/>
  <c r="K2" i="19"/>
  <c r="D3" i="19"/>
  <c r="U3" i="19"/>
  <c r="N4" i="19"/>
  <c r="G2" i="23"/>
  <c r="Y2" i="23"/>
  <c r="R3" i="23"/>
  <c r="K4" i="23"/>
  <c r="R2" i="2"/>
  <c r="K3" i="2"/>
  <c r="D4" i="2"/>
  <c r="U4" i="2"/>
  <c r="N2" i="20"/>
  <c r="G3" i="20"/>
  <c r="X3" i="20"/>
  <c r="Q4" i="20"/>
  <c r="J2" i="14"/>
  <c r="C3" i="14"/>
  <c r="T3" i="14"/>
  <c r="M4" i="14"/>
  <c r="F2" i="21"/>
  <c r="W2" i="21"/>
  <c r="Q3" i="21"/>
  <c r="J4" i="21"/>
  <c r="C2" i="18"/>
  <c r="T2" i="18"/>
  <c r="M3" i="18"/>
  <c r="F4" i="18"/>
  <c r="W4" i="18"/>
  <c r="P2" i="22"/>
  <c r="I3" i="22"/>
  <c r="B4" i="22"/>
  <c r="S4" i="22"/>
  <c r="L2" i="19"/>
  <c r="E3" i="19"/>
  <c r="V3" i="19"/>
  <c r="O4" i="19"/>
  <c r="I2" i="23"/>
  <c r="B3" i="23"/>
  <c r="S3" i="23"/>
  <c r="L4" i="23"/>
  <c r="Q4" i="22"/>
  <c r="T3" i="19"/>
  <c r="Q3" i="23"/>
  <c r="V4" i="2"/>
  <c r="O2" i="20"/>
  <c r="H3" i="20"/>
  <c r="Y3" i="20"/>
  <c r="R4" i="20"/>
  <c r="K2" i="14"/>
  <c r="D3" i="14"/>
  <c r="U3" i="14"/>
  <c r="N4" i="14"/>
  <c r="G2" i="21"/>
  <c r="Y2" i="21"/>
  <c r="R3" i="21"/>
  <c r="K4" i="21"/>
  <c r="D2" i="18"/>
  <c r="U2" i="18"/>
  <c r="N3" i="18"/>
  <c r="G4" i="18"/>
  <c r="X4" i="18"/>
  <c r="Q2" i="22"/>
  <c r="J3" i="22"/>
  <c r="C4" i="22"/>
  <c r="T4" i="22"/>
  <c r="M2" i="19"/>
  <c r="F3" i="19"/>
  <c r="W3" i="19"/>
  <c r="Q4" i="19"/>
  <c r="J2" i="23"/>
  <c r="C3" i="23"/>
  <c r="T3" i="23"/>
  <c r="M4" i="23"/>
  <c r="B3" i="21"/>
  <c r="S4" i="20"/>
  <c r="L2" i="14"/>
  <c r="O4" i="14"/>
  <c r="I2" i="21"/>
  <c r="S3" i="21"/>
  <c r="E2" i="18"/>
  <c r="V2" i="18"/>
  <c r="O3" i="18"/>
  <c r="H4" i="18"/>
  <c r="D4" i="22"/>
  <c r="N4" i="23"/>
  <c r="D2" i="2"/>
  <c r="U2" i="2"/>
  <c r="N3" i="2"/>
  <c r="X4" i="2"/>
  <c r="Q2" i="20"/>
  <c r="T4" i="20"/>
  <c r="M2" i="14"/>
  <c r="F3" i="14"/>
  <c r="W3" i="14"/>
  <c r="Q4" i="14"/>
  <c r="J2" i="21"/>
  <c r="C3" i="21"/>
  <c r="T3" i="21"/>
  <c r="M4" i="21"/>
  <c r="F2" i="18"/>
  <c r="W2" i="18"/>
  <c r="P3" i="18"/>
  <c r="I4" i="18"/>
  <c r="B2" i="22"/>
  <c r="S2" i="22"/>
  <c r="L3" i="22"/>
  <c r="E4" i="22"/>
  <c r="V4" i="22"/>
  <c r="O2" i="19"/>
  <c r="I3" i="19"/>
  <c r="B4" i="19"/>
  <c r="S4" i="19"/>
  <c r="L2" i="23"/>
  <c r="E3" i="23"/>
  <c r="V3" i="23"/>
  <c r="O4" i="23"/>
  <c r="U3" i="21"/>
  <c r="Q3" i="18"/>
  <c r="P4" i="23"/>
  <c r="C3" i="19"/>
  <c r="M4" i="19"/>
  <c r="W2" i="23"/>
  <c r="J4" i="23"/>
  <c r="B2" i="2"/>
  <c r="S2" i="2"/>
  <c r="L3" i="2"/>
  <c r="E4" i="2"/>
  <c r="C2" i="2"/>
  <c r="T2" i="2"/>
  <c r="M3" i="2"/>
  <c r="W4" i="2"/>
  <c r="P2" i="20"/>
  <c r="I3" i="20"/>
  <c r="B4" i="20"/>
  <c r="L4" i="21"/>
  <c r="Y4" i="18"/>
  <c r="R2" i="22"/>
  <c r="K3" i="22"/>
  <c r="U4" i="22"/>
  <c r="R4" i="19"/>
  <c r="K2" i="23"/>
  <c r="U3" i="23"/>
  <c r="G4" i="2"/>
  <c r="J3" i="20"/>
  <c r="Y4" i="2"/>
  <c r="R2" i="20"/>
  <c r="K3" i="20"/>
  <c r="D4" i="20"/>
  <c r="U4" i="20"/>
  <c r="N2" i="14"/>
  <c r="G3" i="14"/>
  <c r="Y3" i="14"/>
  <c r="K2" i="21"/>
  <c r="D3" i="21"/>
  <c r="N4" i="21"/>
  <c r="G2" i="18"/>
  <c r="X2" i="18"/>
  <c r="J4" i="18"/>
  <c r="C2" i="22"/>
  <c r="T2" i="22"/>
  <c r="M3" i="22"/>
  <c r="F4" i="22"/>
  <c r="W4" i="22"/>
  <c r="Q2" i="19"/>
  <c r="J3" i="19"/>
  <c r="C4" i="19"/>
  <c r="T4" i="19"/>
  <c r="M2" i="23"/>
  <c r="F3" i="23"/>
  <c r="W3" i="23"/>
  <c r="F2" i="2"/>
  <c r="W2" i="2"/>
  <c r="P3" i="2"/>
  <c r="I4" i="2"/>
  <c r="B2" i="20"/>
  <c r="S2" i="20"/>
  <c r="L3" i="20"/>
  <c r="E4" i="20"/>
  <c r="V4" i="20"/>
  <c r="O2" i="14"/>
  <c r="I3" i="14"/>
  <c r="B4" i="14"/>
  <c r="S4" i="14"/>
  <c r="L2" i="21"/>
  <c r="E3" i="21"/>
  <c r="V3" i="21"/>
  <c r="O4" i="21"/>
  <c r="H2" i="18"/>
  <c r="Y2" i="18"/>
  <c r="R3" i="18"/>
  <c r="K4" i="18"/>
  <c r="D2" i="22"/>
  <c r="U2" i="22"/>
  <c r="N3" i="22"/>
  <c r="G4" i="22"/>
  <c r="Y4" i="22"/>
  <c r="R2" i="19"/>
  <c r="K3" i="19"/>
  <c r="D4" i="19"/>
  <c r="U4" i="19"/>
  <c r="N2" i="23"/>
  <c r="G3" i="23"/>
  <c r="X3" i="23"/>
  <c r="Q4" i="23"/>
  <c r="N2" i="19"/>
  <c r="D3" i="23"/>
  <c r="C4" i="20"/>
  <c r="E2" i="2"/>
  <c r="V2" i="2"/>
  <c r="O3" i="2"/>
  <c r="H4" i="2"/>
  <c r="G2" i="2"/>
  <c r="X2" i="2"/>
  <c r="Q3" i="2"/>
  <c r="J4" i="2"/>
  <c r="C2" i="20"/>
  <c r="T2" i="20"/>
  <c r="M3" i="20"/>
  <c r="F4" i="20"/>
  <c r="W4" i="20"/>
  <c r="Q2" i="14"/>
  <c r="J3" i="14"/>
  <c r="C4" i="14"/>
  <c r="T4" i="14"/>
  <c r="M2" i="21"/>
  <c r="F3" i="21"/>
  <c r="W3" i="21"/>
  <c r="P4" i="21"/>
  <c r="I2" i="18"/>
  <c r="B3" i="18"/>
  <c r="S3" i="18"/>
  <c r="L4" i="18"/>
  <c r="E2" i="22"/>
  <c r="V2" i="22"/>
  <c r="O3" i="22"/>
  <c r="I4" i="22"/>
  <c r="B2" i="19"/>
  <c r="S2" i="19"/>
  <c r="L3" i="19"/>
  <c r="E4" i="19"/>
  <c r="V4" i="19"/>
  <c r="O2" i="23"/>
  <c r="H3" i="23"/>
  <c r="Y3" i="23"/>
  <c r="R4" i="23"/>
  <c r="F4" i="2"/>
  <c r="V3" i="14"/>
  <c r="E3" i="14"/>
  <c r="Y3" i="19"/>
  <c r="H2" i="2"/>
  <c r="Y2" i="2"/>
  <c r="R3" i="2"/>
  <c r="K4" i="2"/>
  <c r="D2" i="20"/>
  <c r="U2" i="20"/>
  <c r="N3" i="20"/>
  <c r="Y4" i="20"/>
  <c r="R2" i="14"/>
  <c r="K3" i="14"/>
  <c r="U4" i="14"/>
  <c r="N2" i="21"/>
  <c r="G3" i="21"/>
  <c r="X3" i="21"/>
  <c r="Q4" i="21"/>
  <c r="J2" i="18"/>
  <c r="C3" i="18"/>
  <c r="T3" i="18"/>
  <c r="M4" i="18"/>
  <c r="F2" i="22"/>
  <c r="W2" i="22"/>
  <c r="J4" i="22"/>
  <c r="C2" i="19"/>
  <c r="T2" i="19"/>
  <c r="M3" i="19"/>
  <c r="F4" i="19"/>
  <c r="P2" i="23"/>
  <c r="I4" i="20"/>
  <c r="B2" i="14"/>
  <c r="S2" i="14"/>
  <c r="L3" i="14"/>
  <c r="E4" i="14"/>
  <c r="V4" i="14"/>
  <c r="O2" i="21"/>
  <c r="H3" i="21"/>
  <c r="Y3" i="21"/>
  <c r="R4" i="21"/>
  <c r="K2" i="18"/>
  <c r="D3" i="18"/>
  <c r="U3" i="18"/>
  <c r="N4" i="18"/>
  <c r="G2" i="22"/>
  <c r="Y2" i="22"/>
  <c r="R3" i="22"/>
  <c r="K4" i="22"/>
  <c r="D2" i="19"/>
  <c r="U2" i="19"/>
  <c r="N3" i="19"/>
  <c r="G4" i="19"/>
  <c r="X4" i="19"/>
  <c r="Q2" i="23"/>
  <c r="J3" i="23"/>
  <c r="C4" i="23"/>
  <c r="T4" i="23"/>
  <c r="S4" i="23"/>
  <c r="I2" i="2"/>
  <c r="B3" i="2"/>
  <c r="S3" i="2"/>
  <c r="V2" i="20"/>
  <c r="M4" i="2"/>
  <c r="F2" i="20"/>
  <c r="Q3" i="20"/>
  <c r="J4" i="20"/>
  <c r="C2" i="14"/>
  <c r="T2" i="14"/>
  <c r="M3" i="14"/>
  <c r="F4" i="14"/>
  <c r="W4" i="14"/>
  <c r="P2" i="21"/>
  <c r="I3" i="21"/>
  <c r="B4" i="21"/>
  <c r="S4" i="21"/>
  <c r="L2" i="18"/>
  <c r="E3" i="18"/>
  <c r="V3" i="18"/>
  <c r="O4" i="18"/>
  <c r="I2" i="22"/>
  <c r="B3" i="22"/>
  <c r="S3" i="22"/>
  <c r="L4" i="22"/>
  <c r="E2" i="19"/>
  <c r="V2" i="19"/>
  <c r="O3" i="19"/>
  <c r="H4" i="19"/>
  <c r="Y4" i="19"/>
  <c r="R2" i="23"/>
  <c r="K3" i="23"/>
  <c r="D4" i="23"/>
  <c r="V4" i="23"/>
  <c r="I3" i="23"/>
  <c r="L4" i="2"/>
  <c r="E2" i="20"/>
  <c r="W2" i="20"/>
  <c r="K2" i="2"/>
  <c r="D3" i="2"/>
  <c r="U3" i="2"/>
  <c r="N4" i="2"/>
  <c r="G2" i="20"/>
  <c r="Y2" i="20"/>
  <c r="R3" i="20"/>
  <c r="K4" i="20"/>
  <c r="D2" i="14"/>
  <c r="U2" i="14"/>
  <c r="N3" i="14"/>
  <c r="G4" i="14"/>
  <c r="X4" i="14"/>
  <c r="Q2" i="21"/>
  <c r="J3" i="21"/>
  <c r="C4" i="21"/>
  <c r="T4" i="21"/>
  <c r="M2" i="18"/>
  <c r="F3" i="18"/>
  <c r="W3" i="18"/>
  <c r="Q4" i="18"/>
  <c r="J2" i="22"/>
  <c r="C3" i="22"/>
  <c r="T3" i="22"/>
  <c r="M4" i="22"/>
  <c r="F2" i="19"/>
  <c r="W2" i="19"/>
  <c r="P3" i="19"/>
  <c r="I4" i="19"/>
  <c r="B2" i="23"/>
  <c r="S2" i="23"/>
  <c r="L3" i="23"/>
  <c r="E4" i="23"/>
  <c r="W4" i="23"/>
  <c r="G4" i="20"/>
  <c r="D4" i="14"/>
  <c r="W4" i="19"/>
  <c r="B4" i="23"/>
  <c r="O3" i="20"/>
  <c r="J2" i="2"/>
  <c r="C3" i="2"/>
  <c r="T3" i="2"/>
  <c r="L2" i="2"/>
  <c r="E3" i="2"/>
  <c r="V3" i="2"/>
  <c r="O4" i="2"/>
  <c r="I2" i="20"/>
  <c r="B3" i="20"/>
  <c r="S3" i="20"/>
  <c r="L4" i="20"/>
  <c r="E2" i="14"/>
  <c r="V2" i="14"/>
  <c r="O3" i="14"/>
  <c r="H4" i="14"/>
  <c r="Y4" i="14"/>
  <c r="R2" i="21"/>
  <c r="K3" i="21"/>
  <c r="D4" i="21"/>
  <c r="U4" i="21"/>
  <c r="N2" i="18"/>
  <c r="G3" i="18"/>
  <c r="Y3" i="18"/>
  <c r="R4" i="18"/>
  <c r="K2" i="22"/>
  <c r="D3" i="22"/>
  <c r="U3" i="22"/>
  <c r="N4" i="22"/>
  <c r="G2" i="19"/>
  <c r="X2" i="19"/>
  <c r="Q3" i="19"/>
  <c r="J4" i="19"/>
  <c r="C2" i="23"/>
  <c r="T2" i="23"/>
  <c r="M3" i="23"/>
  <c r="F4" i="23"/>
  <c r="Y4" i="23"/>
  <c r="U4" i="23"/>
  <c r="P2" i="2"/>
  <c r="H3" i="2"/>
  <c r="X3" i="2"/>
  <c r="P4" i="2"/>
  <c r="H2" i="20"/>
  <c r="X2" i="20"/>
  <c r="P3" i="20"/>
  <c r="H4" i="20"/>
  <c r="X4" i="20"/>
  <c r="P2" i="14"/>
  <c r="H3" i="14"/>
  <c r="X3" i="14"/>
  <c r="P4" i="14"/>
  <c r="H2" i="21"/>
  <c r="X2" i="21"/>
  <c r="P3" i="21"/>
  <c r="H4" i="21"/>
  <c r="X4" i="21"/>
  <c r="P2" i="18"/>
  <c r="H3" i="18"/>
  <c r="X3" i="18"/>
  <c r="P4" i="18"/>
  <c r="H2" i="22"/>
  <c r="X2" i="22"/>
  <c r="P3" i="22"/>
  <c r="H4" i="22"/>
  <c r="X4" i="22"/>
  <c r="P2" i="19"/>
  <c r="H3" i="19"/>
  <c r="X3" i="19"/>
  <c r="P4" i="19"/>
  <c r="H2" i="23"/>
  <c r="X2" i="23"/>
  <c r="P3" i="23"/>
  <c r="H4" i="23"/>
</calcChain>
</file>

<file path=xl/sharedStrings.xml><?xml version="1.0" encoding="utf-8"?>
<sst xmlns="http://schemas.openxmlformats.org/spreadsheetml/2006/main" count="14" uniqueCount="7">
  <si>
    <t>Year</t>
  </si>
  <si>
    <t>NumScenarios</t>
  </si>
  <si>
    <t>Scenario</t>
  </si>
  <si>
    <t>Value</t>
  </si>
  <si>
    <t>Active Power</t>
  </si>
  <si>
    <t>Growth factors (cumul.)</t>
  </si>
  <si>
    <t>Flexibility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</si>
</sst>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0" fontId="0" fillId="0" borderId="0" xfId="0" applyNumberFormat="1"/>
    <xf numFmtId="2" fontId="0" fillId="0" borderId="0" xfId="0" applyNumberFormat="1"/>
    <xf numFmtId="0" fontId="0" fillId="2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Projects\thesis-shared-resources-planning-no_esso-degradation\data\CS7\Market%20Data\CS7_market_data_base.xlsx" TargetMode="External"/><Relationship Id="rId1" Type="http://schemas.openxmlformats.org/officeDocument/2006/relationships/externalLinkPath" Target="CS7_market_data_bas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Energy, Winter"/>
      <sheetName val="Energy, Spring"/>
      <sheetName val="Energy, Summer"/>
      <sheetName val="Energy, Autumn"/>
      <sheetName val="Flexibility, Winter"/>
      <sheetName val="Flexibility, Spring"/>
      <sheetName val="Flexibility, Summer"/>
      <sheetName val="Flexibility, Autumn"/>
    </sheetNames>
    <sheetDataSet>
      <sheetData sheetId="0">
        <row r="1">
          <cell r="B1">
            <v>2025</v>
          </cell>
        </row>
        <row r="4">
          <cell r="B4">
            <v>2.5000000000000001E-2</v>
          </cell>
        </row>
        <row r="5">
          <cell r="B5">
            <v>0.02</v>
          </cell>
        </row>
      </sheetData>
      <sheetData sheetId="1">
        <row r="2">
          <cell r="B2">
            <v>91.75</v>
          </cell>
          <cell r="C2">
            <v>86.18</v>
          </cell>
          <cell r="D2">
            <v>82.1</v>
          </cell>
          <cell r="E2">
            <v>80</v>
          </cell>
          <cell r="F2">
            <v>79.599999999999994</v>
          </cell>
          <cell r="G2">
            <v>81.099999999999994</v>
          </cell>
          <cell r="H2">
            <v>85.91</v>
          </cell>
          <cell r="I2">
            <v>102.05</v>
          </cell>
          <cell r="J2">
            <v>113.84</v>
          </cell>
          <cell r="K2">
            <v>110</v>
          </cell>
          <cell r="L2">
            <v>97.63</v>
          </cell>
          <cell r="M2">
            <v>86.18</v>
          </cell>
          <cell r="N2">
            <v>83.89</v>
          </cell>
          <cell r="O2">
            <v>82.18</v>
          </cell>
          <cell r="P2">
            <v>83</v>
          </cell>
          <cell r="Q2">
            <v>85</v>
          </cell>
          <cell r="R2">
            <v>97.63</v>
          </cell>
          <cell r="S2">
            <v>118.5</v>
          </cell>
          <cell r="T2">
            <v>128.93</v>
          </cell>
          <cell r="U2">
            <v>132.31</v>
          </cell>
          <cell r="V2">
            <v>117.93</v>
          </cell>
          <cell r="W2">
            <v>108.33</v>
          </cell>
          <cell r="X2">
            <v>100</v>
          </cell>
          <cell r="Y2">
            <v>93.26</v>
          </cell>
        </row>
        <row r="3">
          <cell r="B3">
            <v>88.98</v>
          </cell>
          <cell r="C3">
            <v>86.45</v>
          </cell>
          <cell r="D3">
            <v>84.99</v>
          </cell>
          <cell r="E3">
            <v>83</v>
          </cell>
          <cell r="F3">
            <v>83.14</v>
          </cell>
          <cell r="G3">
            <v>85</v>
          </cell>
          <cell r="H3">
            <v>89</v>
          </cell>
          <cell r="I3">
            <v>100</v>
          </cell>
          <cell r="J3">
            <v>104.77</v>
          </cell>
          <cell r="K3">
            <v>105</v>
          </cell>
          <cell r="L3">
            <v>100</v>
          </cell>
          <cell r="M3">
            <v>94.58</v>
          </cell>
          <cell r="N3">
            <v>92</v>
          </cell>
          <cell r="O3">
            <v>91.78</v>
          </cell>
          <cell r="P3">
            <v>90.1</v>
          </cell>
          <cell r="Q3">
            <v>92.01</v>
          </cell>
          <cell r="R3">
            <v>100.98</v>
          </cell>
          <cell r="S3">
            <v>107.1</v>
          </cell>
          <cell r="T3">
            <v>126</v>
          </cell>
          <cell r="U3">
            <v>119.47</v>
          </cell>
          <cell r="V3">
            <v>110</v>
          </cell>
          <cell r="W3">
            <v>102.26</v>
          </cell>
          <cell r="X3">
            <v>98</v>
          </cell>
          <cell r="Y3">
            <v>95.49</v>
          </cell>
        </row>
        <row r="4">
          <cell r="B4">
            <v>92.33</v>
          </cell>
          <cell r="C4">
            <v>90.12</v>
          </cell>
          <cell r="D4">
            <v>87.01</v>
          </cell>
          <cell r="E4">
            <v>85.8</v>
          </cell>
          <cell r="F4">
            <v>85</v>
          </cell>
          <cell r="G4">
            <v>86.3</v>
          </cell>
          <cell r="H4">
            <v>95</v>
          </cell>
          <cell r="I4">
            <v>103.94</v>
          </cell>
          <cell r="J4">
            <v>121.4</v>
          </cell>
          <cell r="K4">
            <v>121.4</v>
          </cell>
          <cell r="L4">
            <v>105.38</v>
          </cell>
          <cell r="M4">
            <v>102.97</v>
          </cell>
          <cell r="N4">
            <v>99.99</v>
          </cell>
          <cell r="O4">
            <v>98.5</v>
          </cell>
          <cell r="P4">
            <v>94.76</v>
          </cell>
          <cell r="Q4">
            <v>94.73</v>
          </cell>
          <cell r="R4">
            <v>99.37</v>
          </cell>
          <cell r="S4">
            <v>102.7</v>
          </cell>
          <cell r="T4">
            <v>111.29</v>
          </cell>
          <cell r="U4">
            <v>121.4</v>
          </cell>
          <cell r="V4">
            <v>120</v>
          </cell>
          <cell r="W4">
            <v>107.71</v>
          </cell>
          <cell r="X4">
            <v>101.32</v>
          </cell>
          <cell r="Y4">
            <v>92.68</v>
          </cell>
        </row>
      </sheetData>
      <sheetData sheetId="2">
        <row r="2">
          <cell r="B2">
            <v>44</v>
          </cell>
          <cell r="C2">
            <v>46.62</v>
          </cell>
          <cell r="D2">
            <v>48.16</v>
          </cell>
          <cell r="E2">
            <v>48.4</v>
          </cell>
          <cell r="F2">
            <v>50.5</v>
          </cell>
          <cell r="G2">
            <v>55.99</v>
          </cell>
          <cell r="H2">
            <v>58.82</v>
          </cell>
          <cell r="I2">
            <v>49.98</v>
          </cell>
          <cell r="J2">
            <v>33.799999999999997</v>
          </cell>
          <cell r="K2">
            <v>13.5</v>
          </cell>
          <cell r="L2">
            <v>11.3</v>
          </cell>
          <cell r="M2">
            <v>9.4499999999999993</v>
          </cell>
          <cell r="N2">
            <v>4.5</v>
          </cell>
          <cell r="O2">
            <v>3.13</v>
          </cell>
          <cell r="P2">
            <v>0.54</v>
          </cell>
          <cell r="Q2">
            <v>3.25</v>
          </cell>
          <cell r="R2">
            <v>5</v>
          </cell>
          <cell r="S2">
            <v>15.17</v>
          </cell>
          <cell r="T2">
            <v>33.799999999999997</v>
          </cell>
          <cell r="U2">
            <v>49.12</v>
          </cell>
          <cell r="V2">
            <v>59.31</v>
          </cell>
          <cell r="W2">
            <v>57.63</v>
          </cell>
          <cell r="X2">
            <v>49</v>
          </cell>
          <cell r="Y2">
            <v>72.430000000000007</v>
          </cell>
        </row>
        <row r="3">
          <cell r="B3">
            <v>70.5</v>
          </cell>
          <cell r="C3">
            <v>69.13</v>
          </cell>
          <cell r="D3">
            <v>69</v>
          </cell>
          <cell r="E3">
            <v>68.010000000000005</v>
          </cell>
          <cell r="F3">
            <v>68.84</v>
          </cell>
          <cell r="G3">
            <v>67</v>
          </cell>
          <cell r="H3">
            <v>67.92</v>
          </cell>
          <cell r="I3">
            <v>72.87</v>
          </cell>
          <cell r="J3">
            <v>41.7</v>
          </cell>
          <cell r="K3">
            <v>30</v>
          </cell>
          <cell r="L3">
            <v>18.82</v>
          </cell>
          <cell r="M3">
            <v>20.43</v>
          </cell>
          <cell r="N3">
            <v>14.7</v>
          </cell>
          <cell r="O3">
            <v>9.66</v>
          </cell>
          <cell r="P3">
            <v>8.2100000000000009</v>
          </cell>
          <cell r="Q3">
            <v>7.44</v>
          </cell>
          <cell r="R3">
            <v>14.7</v>
          </cell>
          <cell r="S3">
            <v>19.440000000000001</v>
          </cell>
          <cell r="T3">
            <v>34.79</v>
          </cell>
          <cell r="U3">
            <v>62.73</v>
          </cell>
          <cell r="V3">
            <v>68.010000000000005</v>
          </cell>
          <cell r="W3">
            <v>66.77</v>
          </cell>
          <cell r="X3">
            <v>63.08</v>
          </cell>
          <cell r="Y3">
            <v>72</v>
          </cell>
        </row>
        <row r="4">
          <cell r="B4">
            <v>68.900000000000006</v>
          </cell>
          <cell r="C4">
            <v>65.900000000000006</v>
          </cell>
          <cell r="D4">
            <v>66.319999999999993</v>
          </cell>
          <cell r="E4">
            <v>64.760000000000005</v>
          </cell>
          <cell r="F4">
            <v>67.88</v>
          </cell>
          <cell r="G4">
            <v>62.9</v>
          </cell>
          <cell r="H4">
            <v>66.430000000000007</v>
          </cell>
          <cell r="I4">
            <v>58.58</v>
          </cell>
          <cell r="J4">
            <v>38.65</v>
          </cell>
          <cell r="K4">
            <v>24.17</v>
          </cell>
          <cell r="L4">
            <v>22</v>
          </cell>
          <cell r="M4">
            <v>21.76</v>
          </cell>
          <cell r="N4">
            <v>11.72</v>
          </cell>
          <cell r="O4">
            <v>10.23</v>
          </cell>
          <cell r="P4">
            <v>3.25</v>
          </cell>
          <cell r="Q4">
            <v>3.25</v>
          </cell>
          <cell r="R4">
            <v>8.4700000000000006</v>
          </cell>
          <cell r="S4">
            <v>25.1</v>
          </cell>
          <cell r="T4">
            <v>41.2</v>
          </cell>
          <cell r="U4">
            <v>57.24</v>
          </cell>
          <cell r="V4">
            <v>74.63</v>
          </cell>
          <cell r="W4">
            <v>67.88</v>
          </cell>
          <cell r="X4">
            <v>71</v>
          </cell>
          <cell r="Y4">
            <v>72</v>
          </cell>
        </row>
      </sheetData>
      <sheetData sheetId="3">
        <row r="2">
          <cell r="B2">
            <v>113.14</v>
          </cell>
          <cell r="C2">
            <v>112.38</v>
          </cell>
          <cell r="D2">
            <v>112.64</v>
          </cell>
          <cell r="E2">
            <v>112.58</v>
          </cell>
          <cell r="F2">
            <v>112.88</v>
          </cell>
          <cell r="G2">
            <v>116.84</v>
          </cell>
          <cell r="H2">
            <v>120.72</v>
          </cell>
          <cell r="I2">
            <v>116.84</v>
          </cell>
          <cell r="J2">
            <v>112.82</v>
          </cell>
          <cell r="K2">
            <v>111.92</v>
          </cell>
          <cell r="L2">
            <v>98</v>
          </cell>
          <cell r="M2">
            <v>92.98</v>
          </cell>
          <cell r="N2">
            <v>92.79</v>
          </cell>
          <cell r="O2">
            <v>88.99</v>
          </cell>
          <cell r="P2">
            <v>83</v>
          </cell>
          <cell r="Q2">
            <v>81.8</v>
          </cell>
          <cell r="R2">
            <v>81.8</v>
          </cell>
          <cell r="S2">
            <v>94.37</v>
          </cell>
          <cell r="T2">
            <v>109.2</v>
          </cell>
          <cell r="U2">
            <v>117.6</v>
          </cell>
          <cell r="V2">
            <v>132.66</v>
          </cell>
          <cell r="W2">
            <v>125.5</v>
          </cell>
          <cell r="X2">
            <v>117.14</v>
          </cell>
          <cell r="Y2">
            <v>113.84</v>
          </cell>
        </row>
        <row r="3">
          <cell r="B3">
            <v>107.22</v>
          </cell>
          <cell r="C3">
            <v>107.21</v>
          </cell>
          <cell r="D3">
            <v>107.21</v>
          </cell>
          <cell r="E3">
            <v>95</v>
          </cell>
          <cell r="F3">
            <v>102.44</v>
          </cell>
          <cell r="G3">
            <v>105</v>
          </cell>
          <cell r="H3">
            <v>115.1</v>
          </cell>
          <cell r="I3">
            <v>102.44</v>
          </cell>
          <cell r="J3">
            <v>87.97</v>
          </cell>
          <cell r="K3">
            <v>79.39</v>
          </cell>
          <cell r="L3">
            <v>79.599999999999994</v>
          </cell>
          <cell r="M3">
            <v>81.099999999999994</v>
          </cell>
          <cell r="N3">
            <v>82</v>
          </cell>
          <cell r="O3">
            <v>82.49</v>
          </cell>
          <cell r="P3">
            <v>79.599999999999994</v>
          </cell>
          <cell r="Q3">
            <v>79.599999999999994</v>
          </cell>
          <cell r="R3">
            <v>82</v>
          </cell>
          <cell r="S3">
            <v>84.23</v>
          </cell>
          <cell r="T3">
            <v>89</v>
          </cell>
          <cell r="U3">
            <v>116.2</v>
          </cell>
          <cell r="V3">
            <v>128.9</v>
          </cell>
          <cell r="W3">
            <v>122.42</v>
          </cell>
          <cell r="X3">
            <v>115.58</v>
          </cell>
          <cell r="Y3">
            <v>107.75</v>
          </cell>
        </row>
        <row r="4">
          <cell r="B4">
            <v>108.64</v>
          </cell>
          <cell r="C4">
            <v>104.63</v>
          </cell>
          <cell r="D4">
            <v>105.25</v>
          </cell>
          <cell r="E4">
            <v>93.63</v>
          </cell>
          <cell r="F4">
            <v>94.37</v>
          </cell>
          <cell r="G4">
            <v>99.45</v>
          </cell>
          <cell r="H4">
            <v>113.3</v>
          </cell>
          <cell r="I4">
            <v>109.87</v>
          </cell>
          <cell r="J4">
            <v>90</v>
          </cell>
          <cell r="K4">
            <v>75</v>
          </cell>
          <cell r="L4">
            <v>64.88</v>
          </cell>
          <cell r="M4">
            <v>64.55</v>
          </cell>
          <cell r="N4">
            <v>64.989999999999995</v>
          </cell>
          <cell r="O4">
            <v>64.88</v>
          </cell>
          <cell r="P4">
            <v>63.37</v>
          </cell>
          <cell r="Q4">
            <v>60</v>
          </cell>
          <cell r="R4">
            <v>63.91</v>
          </cell>
          <cell r="S4">
            <v>69.989999999999995</v>
          </cell>
          <cell r="T4">
            <v>85.53</v>
          </cell>
          <cell r="U4">
            <v>109.02</v>
          </cell>
          <cell r="V4">
            <v>114.26</v>
          </cell>
          <cell r="W4">
            <v>108.54</v>
          </cell>
          <cell r="X4">
            <v>94.18</v>
          </cell>
          <cell r="Y4">
            <v>74.23</v>
          </cell>
        </row>
      </sheetData>
      <sheetData sheetId="4">
        <row r="2">
          <cell r="B2">
            <v>92.04</v>
          </cell>
          <cell r="C2">
            <v>89.96</v>
          </cell>
          <cell r="D2">
            <v>90.07</v>
          </cell>
          <cell r="E2">
            <v>83.82</v>
          </cell>
          <cell r="F2">
            <v>85.36</v>
          </cell>
          <cell r="G2">
            <v>89.89</v>
          </cell>
          <cell r="H2">
            <v>104.14</v>
          </cell>
          <cell r="I2">
            <v>121.15</v>
          </cell>
          <cell r="J2">
            <v>120.75</v>
          </cell>
          <cell r="K2">
            <v>118.04</v>
          </cell>
          <cell r="L2">
            <v>99.88</v>
          </cell>
          <cell r="M2">
            <v>93.32</v>
          </cell>
          <cell r="N2">
            <v>91.39</v>
          </cell>
          <cell r="O2">
            <v>90.1</v>
          </cell>
          <cell r="P2">
            <v>92.4</v>
          </cell>
          <cell r="Q2">
            <v>109.64</v>
          </cell>
          <cell r="R2">
            <v>120.94</v>
          </cell>
          <cell r="S2">
            <v>135.24</v>
          </cell>
          <cell r="T2">
            <v>160.54</v>
          </cell>
          <cell r="U2">
            <v>151.52000000000001</v>
          </cell>
          <cell r="V2">
            <v>123</v>
          </cell>
          <cell r="W2">
            <v>118.28</v>
          </cell>
          <cell r="X2">
            <v>118.28</v>
          </cell>
          <cell r="Y2">
            <v>109.64</v>
          </cell>
        </row>
        <row r="3">
          <cell r="B3">
            <v>80</v>
          </cell>
          <cell r="C3">
            <v>76.790000000000006</v>
          </cell>
          <cell r="D3">
            <v>75</v>
          </cell>
          <cell r="E3">
            <v>72.59</v>
          </cell>
          <cell r="F3">
            <v>70.989999999999995</v>
          </cell>
          <cell r="G3">
            <v>77</v>
          </cell>
          <cell r="H3">
            <v>88.39</v>
          </cell>
          <cell r="I3">
            <v>107.36</v>
          </cell>
          <cell r="J3">
            <v>121.58</v>
          </cell>
          <cell r="K3">
            <v>102.8</v>
          </cell>
          <cell r="L3">
            <v>93.2</v>
          </cell>
          <cell r="M3">
            <v>85.04</v>
          </cell>
          <cell r="N3">
            <v>88.91</v>
          </cell>
          <cell r="O3">
            <v>85.31</v>
          </cell>
          <cell r="P3">
            <v>85.51</v>
          </cell>
          <cell r="Q3">
            <v>95.5</v>
          </cell>
          <cell r="R3">
            <v>113</v>
          </cell>
          <cell r="S3">
            <v>130</v>
          </cell>
          <cell r="T3">
            <v>134.13999999999999</v>
          </cell>
          <cell r="U3">
            <v>135.01</v>
          </cell>
          <cell r="V3">
            <v>148.72</v>
          </cell>
          <cell r="W3">
            <v>134.34</v>
          </cell>
          <cell r="X3">
            <v>115.2</v>
          </cell>
          <cell r="Y3">
            <v>102</v>
          </cell>
        </row>
        <row r="4">
          <cell r="B4">
            <v>86.48</v>
          </cell>
          <cell r="C4">
            <v>81.709999999999994</v>
          </cell>
          <cell r="D4">
            <v>75</v>
          </cell>
          <cell r="E4">
            <v>70.7</v>
          </cell>
          <cell r="F4">
            <v>70.680000000000007</v>
          </cell>
          <cell r="G4">
            <v>71.66</v>
          </cell>
          <cell r="H4">
            <v>73.84</v>
          </cell>
          <cell r="I4">
            <v>78</v>
          </cell>
          <cell r="J4">
            <v>73.09</v>
          </cell>
          <cell r="K4">
            <v>70</v>
          </cell>
          <cell r="L4">
            <v>66.709999999999994</v>
          </cell>
          <cell r="M4">
            <v>47.8</v>
          </cell>
          <cell r="N4">
            <v>49.99</v>
          </cell>
          <cell r="O4">
            <v>50.24</v>
          </cell>
          <cell r="P4">
            <v>60</v>
          </cell>
          <cell r="Q4">
            <v>70.430000000000007</v>
          </cell>
          <cell r="R4">
            <v>83.76</v>
          </cell>
          <cell r="S4">
            <v>105.48</v>
          </cell>
          <cell r="T4">
            <v>125.88</v>
          </cell>
          <cell r="U4">
            <v>120.01</v>
          </cell>
          <cell r="V4">
            <v>119.7</v>
          </cell>
          <cell r="W4">
            <v>110.75</v>
          </cell>
          <cell r="X4">
            <v>101.09</v>
          </cell>
          <cell r="Y4">
            <v>95.65</v>
          </cell>
        </row>
      </sheetData>
      <sheetData sheetId="5">
        <row r="2">
          <cell r="B2">
            <v>45.875</v>
          </cell>
          <cell r="C2">
            <v>43.09</v>
          </cell>
          <cell r="D2">
            <v>41.05</v>
          </cell>
          <cell r="E2">
            <v>40</v>
          </cell>
          <cell r="F2">
            <v>39.799999999999997</v>
          </cell>
          <cell r="G2">
            <v>40.549999999999997</v>
          </cell>
          <cell r="H2">
            <v>42.954999999999998</v>
          </cell>
          <cell r="I2">
            <v>51.024999999999999</v>
          </cell>
          <cell r="J2">
            <v>56.92</v>
          </cell>
          <cell r="K2">
            <v>55</v>
          </cell>
          <cell r="L2">
            <v>48.814999999999998</v>
          </cell>
          <cell r="M2">
            <v>43.09</v>
          </cell>
          <cell r="N2">
            <v>41.945</v>
          </cell>
          <cell r="O2">
            <v>41.09</v>
          </cell>
          <cell r="P2">
            <v>41.5</v>
          </cell>
          <cell r="Q2">
            <v>42.5</v>
          </cell>
          <cell r="R2">
            <v>48.814999999999998</v>
          </cell>
          <cell r="S2">
            <v>59.25</v>
          </cell>
          <cell r="T2">
            <v>64.465000000000003</v>
          </cell>
          <cell r="U2">
            <v>66.155000000000001</v>
          </cell>
          <cell r="V2">
            <v>58.965000000000003</v>
          </cell>
          <cell r="W2">
            <v>54.164999999999999</v>
          </cell>
          <cell r="X2">
            <v>50</v>
          </cell>
          <cell r="Y2">
            <v>46.63</v>
          </cell>
        </row>
        <row r="3">
          <cell r="B3">
            <v>44.49</v>
          </cell>
          <cell r="C3">
            <v>43.225000000000001</v>
          </cell>
          <cell r="D3">
            <v>42.494999999999997</v>
          </cell>
          <cell r="E3">
            <v>41.5</v>
          </cell>
          <cell r="F3">
            <v>41.57</v>
          </cell>
          <cell r="G3">
            <v>42.5</v>
          </cell>
          <cell r="H3">
            <v>44.5</v>
          </cell>
          <cell r="I3">
            <v>50</v>
          </cell>
          <cell r="J3">
            <v>52.384999999999998</v>
          </cell>
          <cell r="K3">
            <v>52.5</v>
          </cell>
          <cell r="L3">
            <v>50</v>
          </cell>
          <cell r="M3">
            <v>47.29</v>
          </cell>
          <cell r="N3">
            <v>46</v>
          </cell>
          <cell r="O3">
            <v>45.89</v>
          </cell>
          <cell r="P3">
            <v>45.05</v>
          </cell>
          <cell r="Q3">
            <v>46.005000000000003</v>
          </cell>
          <cell r="R3">
            <v>50.49</v>
          </cell>
          <cell r="S3">
            <v>53.55</v>
          </cell>
          <cell r="T3">
            <v>63</v>
          </cell>
          <cell r="U3">
            <v>59.734999999999999</v>
          </cell>
          <cell r="V3">
            <v>55</v>
          </cell>
          <cell r="W3">
            <v>51.13</v>
          </cell>
          <cell r="X3">
            <v>49</v>
          </cell>
          <cell r="Y3">
            <v>47.744999999999997</v>
          </cell>
        </row>
        <row r="4">
          <cell r="B4">
            <v>46.164999999999999</v>
          </cell>
          <cell r="C4">
            <v>45.06</v>
          </cell>
          <cell r="D4">
            <v>43.505000000000003</v>
          </cell>
          <cell r="E4">
            <v>42.9</v>
          </cell>
          <cell r="F4">
            <v>42.5</v>
          </cell>
          <cell r="G4">
            <v>43.15</v>
          </cell>
          <cell r="H4">
            <v>47.5</v>
          </cell>
          <cell r="I4">
            <v>51.97</v>
          </cell>
          <cell r="J4">
            <v>60.7</v>
          </cell>
          <cell r="K4">
            <v>60.7</v>
          </cell>
          <cell r="L4">
            <v>52.69</v>
          </cell>
          <cell r="M4">
            <v>51.484999999999999</v>
          </cell>
          <cell r="N4">
            <v>49.994999999999997</v>
          </cell>
          <cell r="O4">
            <v>49.25</v>
          </cell>
          <cell r="P4">
            <v>47.38</v>
          </cell>
          <cell r="Q4">
            <v>47.365000000000002</v>
          </cell>
          <cell r="R4">
            <v>49.685000000000002</v>
          </cell>
          <cell r="S4">
            <v>51.35</v>
          </cell>
          <cell r="T4">
            <v>55.645000000000003</v>
          </cell>
          <cell r="U4">
            <v>60.7</v>
          </cell>
          <cell r="V4">
            <v>60</v>
          </cell>
          <cell r="W4">
            <v>53.854999999999997</v>
          </cell>
          <cell r="X4">
            <v>50.66</v>
          </cell>
          <cell r="Y4">
            <v>46.34</v>
          </cell>
        </row>
      </sheetData>
      <sheetData sheetId="6">
        <row r="2">
          <cell r="B2">
            <v>22</v>
          </cell>
          <cell r="C2">
            <v>23.31</v>
          </cell>
          <cell r="D2">
            <v>24.08</v>
          </cell>
          <cell r="E2">
            <v>24.2</v>
          </cell>
          <cell r="F2">
            <v>25.25</v>
          </cell>
          <cell r="G2">
            <v>27.995000000000001</v>
          </cell>
          <cell r="H2">
            <v>29.41</v>
          </cell>
          <cell r="I2">
            <v>24.99</v>
          </cell>
          <cell r="J2">
            <v>16.899999999999999</v>
          </cell>
          <cell r="K2">
            <v>6.75</v>
          </cell>
          <cell r="L2">
            <v>5.65</v>
          </cell>
          <cell r="M2">
            <v>4.7249999999999996</v>
          </cell>
          <cell r="N2">
            <v>2.25</v>
          </cell>
          <cell r="O2">
            <v>1.5649999999999999</v>
          </cell>
          <cell r="P2">
            <v>0.27</v>
          </cell>
          <cell r="Q2">
            <v>1.625</v>
          </cell>
          <cell r="R2">
            <v>2.5</v>
          </cell>
          <cell r="S2">
            <v>7.585</v>
          </cell>
          <cell r="T2">
            <v>16.899999999999999</v>
          </cell>
          <cell r="U2">
            <v>24.56</v>
          </cell>
          <cell r="V2">
            <v>29.655000000000001</v>
          </cell>
          <cell r="W2">
            <v>28.815000000000001</v>
          </cell>
          <cell r="X2">
            <v>24.5</v>
          </cell>
          <cell r="Y2">
            <v>36.215000000000003</v>
          </cell>
        </row>
        <row r="3">
          <cell r="B3">
            <v>35.25</v>
          </cell>
          <cell r="C3">
            <v>34.564999999999998</v>
          </cell>
          <cell r="D3">
            <v>34.5</v>
          </cell>
          <cell r="E3">
            <v>34.005000000000003</v>
          </cell>
          <cell r="F3">
            <v>34.42</v>
          </cell>
          <cell r="G3">
            <v>33.5</v>
          </cell>
          <cell r="H3">
            <v>33.96</v>
          </cell>
          <cell r="I3">
            <v>36.435000000000002</v>
          </cell>
          <cell r="J3">
            <v>20.85</v>
          </cell>
          <cell r="K3">
            <v>15</v>
          </cell>
          <cell r="L3">
            <v>9.41</v>
          </cell>
          <cell r="M3">
            <v>10.215</v>
          </cell>
          <cell r="N3">
            <v>7.35</v>
          </cell>
          <cell r="O3">
            <v>4.83</v>
          </cell>
          <cell r="P3">
            <v>4.1050000000000004</v>
          </cell>
          <cell r="Q3">
            <v>3.72</v>
          </cell>
          <cell r="R3">
            <v>7.35</v>
          </cell>
          <cell r="S3">
            <v>9.7200000000000006</v>
          </cell>
          <cell r="T3">
            <v>17.395</v>
          </cell>
          <cell r="U3">
            <v>31.364999999999998</v>
          </cell>
          <cell r="V3">
            <v>34.005000000000003</v>
          </cell>
          <cell r="W3">
            <v>33.384999999999998</v>
          </cell>
          <cell r="X3">
            <v>31.54</v>
          </cell>
          <cell r="Y3">
            <v>36</v>
          </cell>
        </row>
        <row r="4">
          <cell r="B4">
            <v>34.450000000000003</v>
          </cell>
          <cell r="C4">
            <v>32.950000000000003</v>
          </cell>
          <cell r="D4">
            <v>33.159999999999997</v>
          </cell>
          <cell r="E4">
            <v>32.380000000000003</v>
          </cell>
          <cell r="F4">
            <v>33.94</v>
          </cell>
          <cell r="G4">
            <v>31.45</v>
          </cell>
          <cell r="H4">
            <v>33.215000000000003</v>
          </cell>
          <cell r="I4">
            <v>29.29</v>
          </cell>
          <cell r="J4">
            <v>19.324999999999999</v>
          </cell>
          <cell r="K4">
            <v>12.085000000000001</v>
          </cell>
          <cell r="L4">
            <v>11</v>
          </cell>
          <cell r="M4">
            <v>10.88</v>
          </cell>
          <cell r="N4">
            <v>5.86</v>
          </cell>
          <cell r="O4">
            <v>5.1150000000000002</v>
          </cell>
          <cell r="P4">
            <v>1.625</v>
          </cell>
          <cell r="Q4">
            <v>1.625</v>
          </cell>
          <cell r="R4">
            <v>4.2350000000000003</v>
          </cell>
          <cell r="S4">
            <v>12.55</v>
          </cell>
          <cell r="T4">
            <v>20.6</v>
          </cell>
          <cell r="U4">
            <v>28.62</v>
          </cell>
          <cell r="V4">
            <v>37.314999999999998</v>
          </cell>
          <cell r="W4">
            <v>33.94</v>
          </cell>
          <cell r="X4">
            <v>35.5</v>
          </cell>
          <cell r="Y4">
            <v>36</v>
          </cell>
        </row>
      </sheetData>
      <sheetData sheetId="7">
        <row r="2">
          <cell r="B2">
            <v>56.57</v>
          </cell>
          <cell r="C2">
            <v>56.19</v>
          </cell>
          <cell r="D2">
            <v>56.32</v>
          </cell>
          <cell r="E2">
            <v>56.29</v>
          </cell>
          <cell r="F2">
            <v>56.44</v>
          </cell>
          <cell r="G2">
            <v>58.42</v>
          </cell>
          <cell r="H2">
            <v>60.36</v>
          </cell>
          <cell r="I2">
            <v>58.42</v>
          </cell>
          <cell r="J2">
            <v>56.41</v>
          </cell>
          <cell r="K2">
            <v>55.96</v>
          </cell>
          <cell r="L2">
            <v>49</v>
          </cell>
          <cell r="M2">
            <v>46.49</v>
          </cell>
          <cell r="N2">
            <v>46.395000000000003</v>
          </cell>
          <cell r="O2">
            <v>44.494999999999997</v>
          </cell>
          <cell r="P2">
            <v>41.5</v>
          </cell>
          <cell r="Q2">
            <v>40.9</v>
          </cell>
          <cell r="R2">
            <v>40.9</v>
          </cell>
          <cell r="S2">
            <v>47.185000000000002</v>
          </cell>
          <cell r="T2">
            <v>54.6</v>
          </cell>
          <cell r="U2">
            <v>58.8</v>
          </cell>
          <cell r="V2">
            <v>66.33</v>
          </cell>
          <cell r="W2">
            <v>62.75</v>
          </cell>
          <cell r="X2">
            <v>58.57</v>
          </cell>
          <cell r="Y2">
            <v>56.92</v>
          </cell>
        </row>
        <row r="3">
          <cell r="B3">
            <v>53.61</v>
          </cell>
          <cell r="C3">
            <v>53.604999999999997</v>
          </cell>
          <cell r="D3">
            <v>53.604999999999997</v>
          </cell>
          <cell r="E3">
            <v>47.5</v>
          </cell>
          <cell r="F3">
            <v>51.22</v>
          </cell>
          <cell r="G3">
            <v>52.5</v>
          </cell>
          <cell r="H3">
            <v>57.55</v>
          </cell>
          <cell r="I3">
            <v>51.22</v>
          </cell>
          <cell r="J3">
            <v>43.984999999999999</v>
          </cell>
          <cell r="K3">
            <v>39.695</v>
          </cell>
          <cell r="L3">
            <v>39.799999999999997</v>
          </cell>
          <cell r="M3">
            <v>40.549999999999997</v>
          </cell>
          <cell r="N3">
            <v>41</v>
          </cell>
          <cell r="O3">
            <v>41.244999999999997</v>
          </cell>
          <cell r="P3">
            <v>39.799999999999997</v>
          </cell>
          <cell r="Q3">
            <v>39.799999999999997</v>
          </cell>
          <cell r="R3">
            <v>41</v>
          </cell>
          <cell r="S3">
            <v>42.115000000000002</v>
          </cell>
          <cell r="T3">
            <v>44.5</v>
          </cell>
          <cell r="U3">
            <v>58.1</v>
          </cell>
          <cell r="V3">
            <v>64.45</v>
          </cell>
          <cell r="W3">
            <v>61.21</v>
          </cell>
          <cell r="X3">
            <v>57.79</v>
          </cell>
          <cell r="Y3">
            <v>53.875</v>
          </cell>
        </row>
        <row r="4">
          <cell r="B4">
            <v>54.32</v>
          </cell>
          <cell r="C4">
            <v>52.314999999999998</v>
          </cell>
          <cell r="D4">
            <v>52.625</v>
          </cell>
          <cell r="E4">
            <v>46.814999999999998</v>
          </cell>
          <cell r="F4">
            <v>47.185000000000002</v>
          </cell>
          <cell r="G4">
            <v>49.725000000000001</v>
          </cell>
          <cell r="H4">
            <v>56.65</v>
          </cell>
          <cell r="I4">
            <v>54.935000000000002</v>
          </cell>
          <cell r="J4">
            <v>45</v>
          </cell>
          <cell r="K4">
            <v>37.5</v>
          </cell>
          <cell r="L4">
            <v>32.44</v>
          </cell>
          <cell r="M4">
            <v>32.274999999999999</v>
          </cell>
          <cell r="N4">
            <v>32.494999999999997</v>
          </cell>
          <cell r="O4">
            <v>32.44</v>
          </cell>
          <cell r="P4">
            <v>31.684999999999999</v>
          </cell>
          <cell r="Q4">
            <v>30</v>
          </cell>
          <cell r="R4">
            <v>31.954999999999998</v>
          </cell>
          <cell r="S4">
            <v>34.994999999999997</v>
          </cell>
          <cell r="T4">
            <v>42.765000000000001</v>
          </cell>
          <cell r="U4">
            <v>54.51</v>
          </cell>
          <cell r="V4">
            <v>57.13</v>
          </cell>
          <cell r="W4">
            <v>54.27</v>
          </cell>
          <cell r="X4">
            <v>47.09</v>
          </cell>
          <cell r="Y4">
            <v>37.115000000000002</v>
          </cell>
        </row>
      </sheetData>
      <sheetData sheetId="8">
        <row r="2">
          <cell r="B2">
            <v>46.02</v>
          </cell>
          <cell r="C2">
            <v>44.98</v>
          </cell>
          <cell r="D2">
            <v>45.034999999999997</v>
          </cell>
          <cell r="E2">
            <v>41.91</v>
          </cell>
          <cell r="F2">
            <v>42.68</v>
          </cell>
          <cell r="G2">
            <v>44.945</v>
          </cell>
          <cell r="H2">
            <v>52.07</v>
          </cell>
          <cell r="I2">
            <v>60.575000000000003</v>
          </cell>
          <cell r="J2">
            <v>60.375</v>
          </cell>
          <cell r="K2">
            <v>59.02</v>
          </cell>
          <cell r="L2">
            <v>49.94</v>
          </cell>
          <cell r="M2">
            <v>46.66</v>
          </cell>
          <cell r="N2">
            <v>45.695</v>
          </cell>
          <cell r="O2">
            <v>45.05</v>
          </cell>
          <cell r="P2">
            <v>46.2</v>
          </cell>
          <cell r="Q2">
            <v>54.82</v>
          </cell>
          <cell r="R2">
            <v>60.47</v>
          </cell>
          <cell r="S2">
            <v>67.62</v>
          </cell>
          <cell r="T2">
            <v>80.27</v>
          </cell>
          <cell r="U2">
            <v>75.760000000000005</v>
          </cell>
          <cell r="V2">
            <v>61.5</v>
          </cell>
          <cell r="W2">
            <v>59.14</v>
          </cell>
          <cell r="X2">
            <v>59.14</v>
          </cell>
          <cell r="Y2">
            <v>54.82</v>
          </cell>
        </row>
        <row r="3">
          <cell r="B3">
            <v>40</v>
          </cell>
          <cell r="C3">
            <v>38.395000000000003</v>
          </cell>
          <cell r="D3">
            <v>37.5</v>
          </cell>
          <cell r="E3">
            <v>36.295000000000002</v>
          </cell>
          <cell r="F3">
            <v>35.494999999999997</v>
          </cell>
          <cell r="G3">
            <v>38.5</v>
          </cell>
          <cell r="H3">
            <v>44.195</v>
          </cell>
          <cell r="I3">
            <v>53.68</v>
          </cell>
          <cell r="J3">
            <v>60.79</v>
          </cell>
          <cell r="K3">
            <v>51.4</v>
          </cell>
          <cell r="L3">
            <v>46.6</v>
          </cell>
          <cell r="M3">
            <v>42.52</v>
          </cell>
          <cell r="N3">
            <v>44.454999999999998</v>
          </cell>
          <cell r="O3">
            <v>42.655000000000001</v>
          </cell>
          <cell r="P3">
            <v>42.755000000000003</v>
          </cell>
          <cell r="Q3">
            <v>47.75</v>
          </cell>
          <cell r="R3">
            <v>56.5</v>
          </cell>
          <cell r="S3">
            <v>65</v>
          </cell>
          <cell r="T3">
            <v>67.069999999999993</v>
          </cell>
          <cell r="U3">
            <v>67.504999999999995</v>
          </cell>
          <cell r="V3">
            <v>74.36</v>
          </cell>
          <cell r="W3">
            <v>67.17</v>
          </cell>
          <cell r="X3">
            <v>57.6</v>
          </cell>
          <cell r="Y3">
            <v>51</v>
          </cell>
        </row>
        <row r="4">
          <cell r="B4">
            <v>43.24</v>
          </cell>
          <cell r="C4">
            <v>40.854999999999997</v>
          </cell>
          <cell r="D4">
            <v>37.5</v>
          </cell>
          <cell r="E4">
            <v>35.35</v>
          </cell>
          <cell r="F4">
            <v>35.340000000000003</v>
          </cell>
          <cell r="G4">
            <v>35.83</v>
          </cell>
          <cell r="H4">
            <v>36.92</v>
          </cell>
          <cell r="I4">
            <v>39</v>
          </cell>
          <cell r="J4">
            <v>36.545000000000002</v>
          </cell>
          <cell r="K4">
            <v>35</v>
          </cell>
          <cell r="L4">
            <v>33.354999999999997</v>
          </cell>
          <cell r="M4">
            <v>23.9</v>
          </cell>
          <cell r="N4">
            <v>24.995000000000001</v>
          </cell>
          <cell r="O4">
            <v>25.12</v>
          </cell>
          <cell r="P4">
            <v>30</v>
          </cell>
          <cell r="Q4">
            <v>35.215000000000003</v>
          </cell>
          <cell r="R4">
            <v>41.88</v>
          </cell>
          <cell r="S4">
            <v>52.74</v>
          </cell>
          <cell r="T4">
            <v>62.94</v>
          </cell>
          <cell r="U4">
            <v>60.005000000000003</v>
          </cell>
          <cell r="V4">
            <v>59.85</v>
          </cell>
          <cell r="W4">
            <v>55.375</v>
          </cell>
          <cell r="X4">
            <v>50.545000000000002</v>
          </cell>
          <cell r="Y4">
            <v>47.825000000000003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7"/>
  <sheetViews>
    <sheetView tabSelected="1" workbookViewId="0">
      <selection activeCell="C1" sqref="C1:E1"/>
    </sheetView>
  </sheetViews>
  <sheetFormatPr defaultRowHeight="14.4" x14ac:dyDescent="0.3"/>
  <cols>
    <col min="1" max="1" width="17.6640625" customWidth="1"/>
  </cols>
  <sheetData>
    <row r="1" spans="1:8" x14ac:dyDescent="0.3">
      <c r="A1" t="s">
        <v>1</v>
      </c>
      <c r="B1">
        <v>3</v>
      </c>
      <c r="C1" s="1">
        <f>1/$B$1</f>
        <v>0.33333333333333331</v>
      </c>
      <c r="D1" s="1">
        <f t="shared" ref="D1:E1" si="0">1/$B$1</f>
        <v>0.33333333333333331</v>
      </c>
      <c r="E1" s="1">
        <f t="shared" si="0"/>
        <v>0.33333333333333331</v>
      </c>
      <c r="F1" s="1"/>
      <c r="G1" s="1"/>
      <c r="H1" s="1"/>
    </row>
    <row r="3" spans="1:8" x14ac:dyDescent="0.3">
      <c r="A3" t="s">
        <v>0</v>
      </c>
      <c r="B3" s="3">
        <v>2040</v>
      </c>
    </row>
    <row r="5" spans="1:8" x14ac:dyDescent="0.3">
      <c r="A5" t="s">
        <v>5</v>
      </c>
      <c r="B5" t="s">
        <v>3</v>
      </c>
    </row>
    <row r="6" spans="1:8" x14ac:dyDescent="0.3">
      <c r="A6" t="s">
        <v>4</v>
      </c>
      <c r="B6" s="1">
        <f>(1+[1]Main!$B$4)^($B$3-[1]Main!$B$1)</f>
        <v>1.4482981664981105</v>
      </c>
    </row>
    <row r="7" spans="1:8" ht="15.75" customHeight="1" x14ac:dyDescent="0.3">
      <c r="A7" t="s">
        <v>6</v>
      </c>
      <c r="B7" s="1">
        <f>(1+[1]Main!$B$5)^($B$3-[1]Main!$B$1)</f>
        <v>1.3458683383241292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E73F7F-45E0-423B-A01B-B6DF6F75CAB7}">
  <dimension ref="A1:Y6"/>
  <sheetViews>
    <sheetView zoomScale="85" zoomScaleNormal="85" workbookViewId="0">
      <selection activeCell="B2" sqref="B2:Y4"/>
    </sheetView>
  </sheetViews>
  <sheetFormatPr defaultRowHeight="14.4" x14ac:dyDescent="0.3"/>
  <sheetData>
    <row r="1" spans="1:25" x14ac:dyDescent="0.3">
      <c r="A1" t="s">
        <v>2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'[1]Energy, Winter'!B2*Scenarios!$B$6</f>
        <v>132.88135677620164</v>
      </c>
      <c r="C2" s="2">
        <f>'[1]Energy, Winter'!C2*Scenarios!$B$6</f>
        <v>124.81433598880717</v>
      </c>
      <c r="D2" s="2">
        <f>'[1]Energy, Winter'!D2*Scenarios!$B$6</f>
        <v>118.90527946949486</v>
      </c>
      <c r="E2" s="2">
        <f>'[1]Energy, Winter'!E2*Scenarios!$B$6</f>
        <v>115.86385331984884</v>
      </c>
      <c r="F2" s="2">
        <f>'[1]Energy, Winter'!F2*Scenarios!$B$6</f>
        <v>115.28453405324959</v>
      </c>
      <c r="G2" s="2">
        <f>'[1]Energy, Winter'!G2*Scenarios!$B$6</f>
        <v>117.45698130299675</v>
      </c>
      <c r="H2" s="2">
        <f>'[1]Energy, Winter'!H2*Scenarios!$B$6</f>
        <v>124.42329548385267</v>
      </c>
      <c r="I2" s="2">
        <f>'[1]Energy, Winter'!I2*Scenarios!$B$6</f>
        <v>147.79882789113216</v>
      </c>
      <c r="J2" s="2">
        <f>'[1]Energy, Winter'!J2*Scenarios!$B$6</f>
        <v>164.87426327414491</v>
      </c>
      <c r="K2" s="2">
        <f>'[1]Energy, Winter'!K2*Scenarios!$B$6</f>
        <v>159.31279831479216</v>
      </c>
      <c r="L2" s="2">
        <f>'[1]Energy, Winter'!L2*Scenarios!$B$6</f>
        <v>141.39734999521053</v>
      </c>
      <c r="M2" s="2">
        <f>'[1]Energy, Winter'!M2*Scenarios!$B$6</f>
        <v>124.81433598880717</v>
      </c>
      <c r="N2" s="2">
        <f>'[1]Energy, Winter'!N2*Scenarios!$B$6</f>
        <v>121.49773318752649</v>
      </c>
      <c r="O2" s="2">
        <f>'[1]Energy, Winter'!O2*Scenarios!$B$6</f>
        <v>119.02114332281474</v>
      </c>
      <c r="P2" s="2">
        <f>'[1]Energy, Winter'!P2*Scenarios!$B$6</f>
        <v>120.20874781934317</v>
      </c>
      <c r="Q2" s="2">
        <f>'[1]Energy, Winter'!Q2*Scenarios!$B$6</f>
        <v>123.1053441523394</v>
      </c>
      <c r="R2" s="2">
        <f>'[1]Energy, Winter'!R2*Scenarios!$B$6</f>
        <v>141.39734999521053</v>
      </c>
      <c r="S2" s="2">
        <f>'[1]Energy, Winter'!S2*Scenarios!$B$6</f>
        <v>171.62333273002611</v>
      </c>
      <c r="T2" s="2">
        <f>'[1]Energy, Winter'!T2*Scenarios!$B$6</f>
        <v>186.72908260660139</v>
      </c>
      <c r="U2" s="2">
        <f>'[1]Energy, Winter'!U2*Scenarios!$B$6</f>
        <v>191.624330409365</v>
      </c>
      <c r="V2" s="2">
        <f>'[1]Energy, Winter'!V2*Scenarios!$B$6</f>
        <v>170.79780277512219</v>
      </c>
      <c r="W2" s="2">
        <f>'[1]Energy, Winter'!W2*Scenarios!$B$6</f>
        <v>156.8941403767403</v>
      </c>
      <c r="X2" s="2">
        <f>'[1]Energy, Winter'!X2*Scenarios!$B$6</f>
        <v>144.82981664981105</v>
      </c>
      <c r="Y2" s="2">
        <f>'[1]Energy, Winter'!Y2*Scenarios!$B$6</f>
        <v>135.0682870076138</v>
      </c>
    </row>
    <row r="3" spans="1:25" x14ac:dyDescent="0.3">
      <c r="A3">
        <v>2</v>
      </c>
      <c r="B3" s="2">
        <f>'[1]Energy, Winter'!B3*Scenarios!$B$6</f>
        <v>128.86957085500188</v>
      </c>
      <c r="C3" s="2">
        <f>'[1]Energy, Winter'!C3*Scenarios!$B$6</f>
        <v>125.20537649376166</v>
      </c>
      <c r="D3" s="2">
        <f>'[1]Energy, Winter'!D3*Scenarios!$B$6</f>
        <v>123.0908611706744</v>
      </c>
      <c r="E3" s="2">
        <f>'[1]Energy, Winter'!E3*Scenarios!$B$6</f>
        <v>120.20874781934317</v>
      </c>
      <c r="F3" s="2">
        <f>'[1]Energy, Winter'!F3*Scenarios!$B$6</f>
        <v>120.41150956265291</v>
      </c>
      <c r="G3" s="2">
        <f>'[1]Energy, Winter'!G3*Scenarios!$B$6</f>
        <v>123.1053441523394</v>
      </c>
      <c r="H3" s="2">
        <f>'[1]Energy, Winter'!H3*Scenarios!$B$6</f>
        <v>128.89853681833182</v>
      </c>
      <c r="I3" s="2">
        <f>'[1]Energy, Winter'!I3*Scenarios!$B$6</f>
        <v>144.82981664981105</v>
      </c>
      <c r="J3" s="2">
        <f>'[1]Energy, Winter'!J3*Scenarios!$B$6</f>
        <v>151.73819890400702</v>
      </c>
      <c r="K3" s="2">
        <f>'[1]Energy, Winter'!K3*Scenarios!$B$6</f>
        <v>152.07130748230159</v>
      </c>
      <c r="L3" s="2">
        <f>'[1]Energy, Winter'!L3*Scenarios!$B$6</f>
        <v>144.82981664981105</v>
      </c>
      <c r="M3" s="2">
        <f>'[1]Energy, Winter'!M3*Scenarios!$B$6</f>
        <v>136.9800405873913</v>
      </c>
      <c r="N3" s="2">
        <f>'[1]Energy, Winter'!N3*Scenarios!$B$6</f>
        <v>133.24343131782618</v>
      </c>
      <c r="O3" s="2">
        <f>'[1]Energy, Winter'!O3*Scenarios!$B$6</f>
        <v>132.92480572119658</v>
      </c>
      <c r="P3" s="2">
        <f>'[1]Energy, Winter'!P3*Scenarios!$B$6</f>
        <v>130.49166480147974</v>
      </c>
      <c r="Q3" s="2">
        <f>'[1]Energy, Winter'!Q3*Scenarios!$B$6</f>
        <v>133.25791429949115</v>
      </c>
      <c r="R3" s="2">
        <f>'[1]Energy, Winter'!R3*Scenarios!$B$6</f>
        <v>146.2491488529792</v>
      </c>
      <c r="S3" s="2">
        <f>'[1]Energy, Winter'!S3*Scenarios!$B$6</f>
        <v>155.11273363194763</v>
      </c>
      <c r="T3" s="2">
        <f>'[1]Energy, Winter'!T3*Scenarios!$B$6</f>
        <v>182.48556897876193</v>
      </c>
      <c r="U3" s="2">
        <f>'[1]Energy, Winter'!U3*Scenarios!$B$6</f>
        <v>173.02818195152926</v>
      </c>
      <c r="V3" s="2">
        <f>'[1]Energy, Winter'!V3*Scenarios!$B$6</f>
        <v>159.31279831479216</v>
      </c>
      <c r="W3" s="2">
        <f>'[1]Energy, Winter'!W3*Scenarios!$B$6</f>
        <v>148.1029705060968</v>
      </c>
      <c r="X3" s="2">
        <f>'[1]Energy, Winter'!X3*Scenarios!$B$6</f>
        <v>141.93322031681484</v>
      </c>
      <c r="Y3" s="2">
        <f>'[1]Energy, Winter'!Y3*Scenarios!$B$6</f>
        <v>138.29799191890456</v>
      </c>
    </row>
    <row r="4" spans="1:25" x14ac:dyDescent="0.3">
      <c r="A4">
        <v>3</v>
      </c>
      <c r="B4" s="2">
        <f>'[1]Energy, Winter'!B4*Scenarios!$B$6</f>
        <v>133.72136971277055</v>
      </c>
      <c r="C4" s="2">
        <f>'[1]Energy, Winter'!C4*Scenarios!$B$6</f>
        <v>130.52063076480974</v>
      </c>
      <c r="D4" s="2">
        <f>'[1]Energy, Winter'!D4*Scenarios!$B$6</f>
        <v>126.01642346700061</v>
      </c>
      <c r="E4" s="2">
        <f>'[1]Energy, Winter'!E4*Scenarios!$B$6</f>
        <v>124.26398268553788</v>
      </c>
      <c r="F4" s="2">
        <f>'[1]Energy, Winter'!F4*Scenarios!$B$6</f>
        <v>123.1053441523394</v>
      </c>
      <c r="G4" s="2">
        <f>'[1]Energy, Winter'!G4*Scenarios!$B$6</f>
        <v>124.98813176878693</v>
      </c>
      <c r="H4" s="2">
        <f>'[1]Energy, Winter'!H4*Scenarios!$B$6</f>
        <v>137.58832581732051</v>
      </c>
      <c r="I4" s="2">
        <f>'[1]Energy, Winter'!I4*Scenarios!$B$6</f>
        <v>150.5361114258136</v>
      </c>
      <c r="J4" s="2">
        <f>'[1]Energy, Winter'!J4*Scenarios!$B$6</f>
        <v>175.82339741287063</v>
      </c>
      <c r="K4" s="2">
        <f>'[1]Energy, Winter'!K4*Scenarios!$B$6</f>
        <v>175.82339741287063</v>
      </c>
      <c r="L4" s="2">
        <f>'[1]Energy, Winter'!L4*Scenarios!$B$6</f>
        <v>152.62166078557087</v>
      </c>
      <c r="M4" s="2">
        <f>'[1]Energy, Winter'!M4*Scenarios!$B$6</f>
        <v>149.13126220431045</v>
      </c>
      <c r="N4" s="2">
        <f>'[1]Energy, Winter'!N4*Scenarios!$B$6</f>
        <v>144.81533366814605</v>
      </c>
      <c r="O4" s="2">
        <f>'[1]Energy, Winter'!O4*Scenarios!$B$6</f>
        <v>142.65736940006389</v>
      </c>
      <c r="P4" s="2">
        <f>'[1]Energy, Winter'!P4*Scenarios!$B$6</f>
        <v>137.24073425736097</v>
      </c>
      <c r="Q4" s="2">
        <f>'[1]Energy, Winter'!Q4*Scenarios!$B$6</f>
        <v>137.19728531236601</v>
      </c>
      <c r="R4" s="2">
        <f>'[1]Energy, Winter'!R4*Scenarios!$B$6</f>
        <v>143.91738880491724</v>
      </c>
      <c r="S4" s="2">
        <f>'[1]Energy, Winter'!S4*Scenarios!$B$6</f>
        <v>148.74022169935594</v>
      </c>
      <c r="T4" s="2">
        <f>'[1]Energy, Winter'!T4*Scenarios!$B$6</f>
        <v>161.18110294957472</v>
      </c>
      <c r="U4" s="2">
        <f>'[1]Energy, Winter'!U4*Scenarios!$B$6</f>
        <v>175.82339741287063</v>
      </c>
      <c r="V4" s="2">
        <f>'[1]Energy, Winter'!V4*Scenarios!$B$6</f>
        <v>173.79577997977327</v>
      </c>
      <c r="W4" s="2">
        <f>'[1]Energy, Winter'!W4*Scenarios!$B$6</f>
        <v>155.99619551351148</v>
      </c>
      <c r="X4" s="2">
        <f>'[1]Energy, Winter'!X4*Scenarios!$B$6</f>
        <v>146.74157022958855</v>
      </c>
      <c r="Y4" s="2">
        <f>'[1]Energy, Winter'!Y4*Scenarios!$B$6</f>
        <v>134.22827407104489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8377DA-14C0-46CD-834E-BEA2509E570F}">
  <dimension ref="A1:Y6"/>
  <sheetViews>
    <sheetView zoomScale="85" zoomScaleNormal="85" workbookViewId="0">
      <selection activeCell="B2" sqref="B2:Y4"/>
    </sheetView>
  </sheetViews>
  <sheetFormatPr defaultRowHeight="14.4" x14ac:dyDescent="0.3"/>
  <sheetData>
    <row r="1" spans="1:25" x14ac:dyDescent="0.3">
      <c r="A1" t="s">
        <v>2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'[1]Energy, Spring'!B2*Scenarios!$B$6</f>
        <v>63.725119325916864</v>
      </c>
      <c r="C2" s="2">
        <f>'[1]Energy, Spring'!C2*Scenarios!$B$6</f>
        <v>67.519660522141905</v>
      </c>
      <c r="D2" s="2">
        <f>'[1]Energy, Spring'!D2*Scenarios!$B$6</f>
        <v>69.750039698549003</v>
      </c>
      <c r="E2" s="2">
        <f>'[1]Energy, Spring'!E2*Scenarios!$B$6</f>
        <v>70.097631258508542</v>
      </c>
      <c r="F2" s="2">
        <f>'[1]Energy, Spring'!F2*Scenarios!$B$6</f>
        <v>73.139057408154585</v>
      </c>
      <c r="G2" s="2">
        <f>'[1]Energy, Spring'!G2*Scenarios!$B$6</f>
        <v>81.090214342229203</v>
      </c>
      <c r="H2" s="2">
        <f>'[1]Energy, Spring'!H2*Scenarios!$B$6</f>
        <v>85.188898153418862</v>
      </c>
      <c r="I2" s="2">
        <f>'[1]Energy, Spring'!I2*Scenarios!$B$6</f>
        <v>72.385942361575559</v>
      </c>
      <c r="J2" s="2">
        <f>'[1]Energy, Spring'!J2*Scenarios!$B$6</f>
        <v>48.952478027636133</v>
      </c>
      <c r="K2" s="2">
        <f>'[1]Energy, Spring'!K2*Scenarios!$B$6</f>
        <v>19.55202524772449</v>
      </c>
      <c r="L2" s="2">
        <f>'[1]Energy, Spring'!L2*Scenarios!$B$6</f>
        <v>16.365769281428651</v>
      </c>
      <c r="M2" s="2">
        <f>'[1]Energy, Spring'!M2*Scenarios!$B$6</f>
        <v>13.686417673407144</v>
      </c>
      <c r="N2" s="2">
        <f>'[1]Energy, Spring'!N2*Scenarios!$B$6</f>
        <v>6.5173417492414973</v>
      </c>
      <c r="O2" s="2">
        <f>'[1]Energy, Spring'!O2*Scenarios!$B$6</f>
        <v>4.533173261139086</v>
      </c>
      <c r="P2" s="2">
        <f>'[1]Energy, Spring'!P2*Scenarios!$B$6</f>
        <v>0.78208100990897977</v>
      </c>
      <c r="Q2" s="2">
        <f>'[1]Energy, Spring'!Q2*Scenarios!$B$6</f>
        <v>4.7069690411188594</v>
      </c>
      <c r="R2" s="2">
        <f>'[1]Energy, Spring'!R2*Scenarios!$B$6</f>
        <v>7.2414908324905527</v>
      </c>
      <c r="S2" s="2">
        <f>'[1]Energy, Spring'!S2*Scenarios!$B$6</f>
        <v>21.970683185776338</v>
      </c>
      <c r="T2" s="2">
        <f>'[1]Energy, Spring'!T2*Scenarios!$B$6</f>
        <v>48.952478027636133</v>
      </c>
      <c r="U2" s="2">
        <f>'[1]Energy, Spring'!U2*Scenarios!$B$6</f>
        <v>71.14040593838719</v>
      </c>
      <c r="V2" s="2">
        <f>'[1]Energy, Spring'!V2*Scenarios!$B$6</f>
        <v>85.898564255002938</v>
      </c>
      <c r="W2" s="2">
        <f>'[1]Energy, Spring'!W2*Scenarios!$B$6</f>
        <v>83.465423335286118</v>
      </c>
      <c r="X2" s="2">
        <f>'[1]Energy, Spring'!X2*Scenarios!$B$6</f>
        <v>70.96661015840742</v>
      </c>
      <c r="Y2" s="2">
        <f>'[1]Energy, Spring'!Y2*Scenarios!$B$6</f>
        <v>104.90023619945815</v>
      </c>
    </row>
    <row r="3" spans="1:25" x14ac:dyDescent="0.3">
      <c r="A3">
        <v>2</v>
      </c>
      <c r="B3" s="2">
        <f>'[1]Energy, Spring'!B3*Scenarios!$B$6</f>
        <v>102.10502073811679</v>
      </c>
      <c r="C3" s="2">
        <f>'[1]Energy, Spring'!C3*Scenarios!$B$6</f>
        <v>100.12085225001437</v>
      </c>
      <c r="D3" s="2">
        <f>'[1]Energy, Spring'!D3*Scenarios!$B$6</f>
        <v>99.932573488369627</v>
      </c>
      <c r="E3" s="2">
        <f>'[1]Energy, Spring'!E3*Scenarios!$B$6</f>
        <v>98.498758303536505</v>
      </c>
      <c r="F3" s="2">
        <f>'[1]Energy, Spring'!F3*Scenarios!$B$6</f>
        <v>99.700845781729925</v>
      </c>
      <c r="G3" s="2">
        <f>'[1]Energy, Spring'!G3*Scenarios!$B$6</f>
        <v>97.035977155373402</v>
      </c>
      <c r="H3" s="2">
        <f>'[1]Energy, Spring'!H3*Scenarios!$B$6</f>
        <v>98.36841146855167</v>
      </c>
      <c r="I3" s="2">
        <f>'[1]Energy, Spring'!I3*Scenarios!$B$6</f>
        <v>105.53748739271732</v>
      </c>
      <c r="J3" s="2">
        <f>'[1]Energy, Spring'!J3*Scenarios!$B$6</f>
        <v>60.394033542971215</v>
      </c>
      <c r="K3" s="2">
        <f>'[1]Energy, Spring'!K3*Scenarios!$B$6</f>
        <v>43.448944994943318</v>
      </c>
      <c r="L3" s="2">
        <f>'[1]Energy, Spring'!L3*Scenarios!$B$6</f>
        <v>27.25697149349444</v>
      </c>
      <c r="M3" s="2">
        <f>'[1]Energy, Spring'!M3*Scenarios!$B$6</f>
        <v>29.588731541556395</v>
      </c>
      <c r="N3" s="2">
        <f>'[1]Energy, Spring'!N3*Scenarios!$B$6</f>
        <v>21.289983047522224</v>
      </c>
      <c r="O3" s="2">
        <f>'[1]Energy, Spring'!O3*Scenarios!$B$6</f>
        <v>13.990560288371748</v>
      </c>
      <c r="P3" s="2">
        <f>'[1]Energy, Spring'!P3*Scenarios!$B$6</f>
        <v>11.890527946949488</v>
      </c>
      <c r="Q3" s="2">
        <f>'[1]Energy, Spring'!Q3*Scenarios!$B$6</f>
        <v>10.775338358745943</v>
      </c>
      <c r="R3" s="2">
        <f>'[1]Energy, Spring'!R3*Scenarios!$B$6</f>
        <v>21.289983047522224</v>
      </c>
      <c r="S3" s="2">
        <f>'[1]Energy, Spring'!S3*Scenarios!$B$6</f>
        <v>28.15491635672327</v>
      </c>
      <c r="T3" s="2">
        <f>'[1]Energy, Spring'!T3*Scenarios!$B$6</f>
        <v>50.386293212469262</v>
      </c>
      <c r="U3" s="2">
        <f>'[1]Energy, Spring'!U3*Scenarios!$B$6</f>
        <v>90.851743984426463</v>
      </c>
      <c r="V3" s="2">
        <f>'[1]Energy, Spring'!V3*Scenarios!$B$6</f>
        <v>98.498758303536505</v>
      </c>
      <c r="W3" s="2">
        <f>'[1]Energy, Spring'!W3*Scenarios!$B$6</f>
        <v>96.702868577078831</v>
      </c>
      <c r="X3" s="2">
        <f>'[1]Energy, Spring'!X3*Scenarios!$B$6</f>
        <v>91.358648342700803</v>
      </c>
      <c r="Y3" s="2">
        <f>'[1]Energy, Spring'!Y3*Scenarios!$B$6</f>
        <v>104.27746798786396</v>
      </c>
    </row>
    <row r="4" spans="1:25" x14ac:dyDescent="0.3">
      <c r="A4">
        <v>3</v>
      </c>
      <c r="B4" s="2">
        <f>'[1]Energy, Spring'!B4*Scenarios!$B$6</f>
        <v>99.787743671719824</v>
      </c>
      <c r="C4" s="2">
        <f>'[1]Energy, Spring'!C4*Scenarios!$B$6</f>
        <v>95.442849172225493</v>
      </c>
      <c r="D4" s="2">
        <f>'[1]Energy, Spring'!D4*Scenarios!$B$6</f>
        <v>96.051134402154673</v>
      </c>
      <c r="E4" s="2">
        <f>'[1]Energy, Spring'!E4*Scenarios!$B$6</f>
        <v>93.791789262417637</v>
      </c>
      <c r="F4" s="2">
        <f>'[1]Energy, Spring'!F4*Scenarios!$B$6</f>
        <v>98.310479541891738</v>
      </c>
      <c r="G4" s="2">
        <f>'[1]Energy, Spring'!G4*Scenarios!$B$6</f>
        <v>91.097954672731149</v>
      </c>
      <c r="H4" s="2">
        <f>'[1]Energy, Spring'!H4*Scenarios!$B$6</f>
        <v>96.210447200469488</v>
      </c>
      <c r="I4" s="2">
        <f>'[1]Energy, Spring'!I4*Scenarios!$B$6</f>
        <v>84.841306593459308</v>
      </c>
      <c r="J4" s="2">
        <f>'[1]Energy, Spring'!J4*Scenarios!$B$6</f>
        <v>55.976724135151969</v>
      </c>
      <c r="K4" s="2">
        <f>'[1]Energy, Spring'!K4*Scenarios!$B$6</f>
        <v>35.005366684259336</v>
      </c>
      <c r="L4" s="2">
        <f>'[1]Energy, Spring'!L4*Scenarios!$B$6</f>
        <v>31.862559662958432</v>
      </c>
      <c r="M4" s="2">
        <f>'[1]Energy, Spring'!M4*Scenarios!$B$6</f>
        <v>31.514968102998886</v>
      </c>
      <c r="N4" s="2">
        <f>'[1]Energy, Spring'!N4*Scenarios!$B$6</f>
        <v>16.974054511357856</v>
      </c>
      <c r="O4" s="2">
        <f>'[1]Energy, Spring'!O4*Scenarios!$B$6</f>
        <v>14.816090243275671</v>
      </c>
      <c r="P4" s="2">
        <f>'[1]Energy, Spring'!P4*Scenarios!$B$6</f>
        <v>4.7069690411188594</v>
      </c>
      <c r="Q4" s="2">
        <f>'[1]Energy, Spring'!Q4*Scenarios!$B$6</f>
        <v>4.7069690411188594</v>
      </c>
      <c r="R4" s="2">
        <f>'[1]Energy, Spring'!R4*Scenarios!$B$6</f>
        <v>12.267085470238996</v>
      </c>
      <c r="S4" s="2">
        <f>'[1]Energy, Spring'!S4*Scenarios!$B$6</f>
        <v>36.352283979102573</v>
      </c>
      <c r="T4" s="2">
        <f>'[1]Energy, Spring'!T4*Scenarios!$B$6</f>
        <v>59.669884459722155</v>
      </c>
      <c r="U4" s="2">
        <f>'[1]Energy, Spring'!U4*Scenarios!$B$6</f>
        <v>82.900587050351845</v>
      </c>
      <c r="V4" s="2">
        <f>'[1]Energy, Spring'!V4*Scenarios!$B$6</f>
        <v>108.08649216575398</v>
      </c>
      <c r="W4" s="2">
        <f>'[1]Energy, Spring'!W4*Scenarios!$B$6</f>
        <v>98.310479541891738</v>
      </c>
      <c r="X4" s="2">
        <f>'[1]Energy, Spring'!X4*Scenarios!$B$6</f>
        <v>102.82916982136585</v>
      </c>
      <c r="Y4" s="2">
        <f>'[1]Energy, Spring'!Y4*Scenarios!$B$6</f>
        <v>104.27746798786396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BAB509-4E8E-41C1-87FA-12D2A67962A8}">
  <dimension ref="A1:Y6"/>
  <sheetViews>
    <sheetView zoomScale="85" zoomScaleNormal="85" workbookViewId="0">
      <selection activeCell="B2" sqref="B2:Y4"/>
    </sheetView>
  </sheetViews>
  <sheetFormatPr defaultRowHeight="14.4" x14ac:dyDescent="0.3"/>
  <sheetData>
    <row r="1" spans="1:25" x14ac:dyDescent="0.3">
      <c r="A1" t="s">
        <v>2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'[1]Energy, Summer'!B2*Scenarios!$B$6</f>
        <v>163.86045455759623</v>
      </c>
      <c r="C2" s="2">
        <f>'[1]Energy, Summer'!C2*Scenarios!$B$6</f>
        <v>162.75974795105765</v>
      </c>
      <c r="D2" s="2">
        <f>'[1]Energy, Summer'!D2*Scenarios!$B$6</f>
        <v>163.13630547434715</v>
      </c>
      <c r="E2" s="2">
        <f>'[1]Energy, Summer'!E2*Scenarios!$B$6</f>
        <v>163.04940758435728</v>
      </c>
      <c r="F2" s="2">
        <f>'[1]Energy, Summer'!F2*Scenarios!$B$6</f>
        <v>163.48389703430669</v>
      </c>
      <c r="G2" s="2">
        <f>'[1]Energy, Summer'!G2*Scenarios!$B$6</f>
        <v>169.21915777363924</v>
      </c>
      <c r="H2" s="2">
        <f>'[1]Energy, Summer'!H2*Scenarios!$B$6</f>
        <v>174.83855465965189</v>
      </c>
      <c r="I2" s="2">
        <f>'[1]Energy, Summer'!I2*Scenarios!$B$6</f>
        <v>169.21915777363924</v>
      </c>
      <c r="J2" s="2">
        <f>'[1]Energy, Summer'!J2*Scenarios!$B$6</f>
        <v>163.39699914431682</v>
      </c>
      <c r="K2" s="2">
        <f>'[1]Energy, Summer'!K2*Scenarios!$B$6</f>
        <v>162.09353079446853</v>
      </c>
      <c r="L2" s="2">
        <f>'[1]Energy, Summer'!L2*Scenarios!$B$6</f>
        <v>141.93322031681484</v>
      </c>
      <c r="M2" s="2">
        <f>'[1]Energy, Summer'!M2*Scenarios!$B$6</f>
        <v>134.66276352099433</v>
      </c>
      <c r="N2" s="2">
        <f>'[1]Energy, Summer'!N2*Scenarios!$B$6</f>
        <v>134.38758686935969</v>
      </c>
      <c r="O2" s="2">
        <f>'[1]Energy, Summer'!O2*Scenarios!$B$6</f>
        <v>128.88405383666685</v>
      </c>
      <c r="P2" s="2">
        <f>'[1]Energy, Summer'!P2*Scenarios!$B$6</f>
        <v>120.20874781934317</v>
      </c>
      <c r="Q2" s="2">
        <f>'[1]Energy, Summer'!Q2*Scenarios!$B$6</f>
        <v>118.47079001954543</v>
      </c>
      <c r="R2" s="2">
        <f>'[1]Energy, Summer'!R2*Scenarios!$B$6</f>
        <v>118.47079001954543</v>
      </c>
      <c r="S2" s="2">
        <f>'[1]Energy, Summer'!S2*Scenarios!$B$6</f>
        <v>136.6758979724267</v>
      </c>
      <c r="T2" s="2">
        <f>'[1]Energy, Summer'!T2*Scenarios!$B$6</f>
        <v>158.15415978159368</v>
      </c>
      <c r="U2" s="2">
        <f>'[1]Energy, Summer'!U2*Scenarios!$B$6</f>
        <v>170.31986438017779</v>
      </c>
      <c r="V2" s="2">
        <f>'[1]Energy, Summer'!V2*Scenarios!$B$6</f>
        <v>192.13123476763934</v>
      </c>
      <c r="W2" s="2">
        <f>'[1]Energy, Summer'!W2*Scenarios!$B$6</f>
        <v>181.76141989551286</v>
      </c>
      <c r="X2" s="2">
        <f>'[1]Energy, Summer'!X2*Scenarios!$B$6</f>
        <v>169.65364722358868</v>
      </c>
      <c r="Y2" s="2">
        <f>'[1]Energy, Summer'!Y2*Scenarios!$B$6</f>
        <v>164.87426327414491</v>
      </c>
    </row>
    <row r="3" spans="1:25" x14ac:dyDescent="0.3">
      <c r="A3">
        <v>2</v>
      </c>
      <c r="B3" s="2">
        <f>'[1]Energy, Summer'!B3*Scenarios!$B$6</f>
        <v>155.2865294119274</v>
      </c>
      <c r="C3" s="2">
        <f>'[1]Energy, Summer'!C3*Scenarios!$B$6</f>
        <v>155.27204643026241</v>
      </c>
      <c r="D3" s="2">
        <f>'[1]Energy, Summer'!D3*Scenarios!$B$6</f>
        <v>155.27204643026241</v>
      </c>
      <c r="E3" s="2">
        <f>'[1]Energy, Summer'!E3*Scenarios!$B$6</f>
        <v>137.58832581732051</v>
      </c>
      <c r="F3" s="2">
        <f>'[1]Energy, Summer'!F3*Scenarios!$B$6</f>
        <v>148.36366417606644</v>
      </c>
      <c r="G3" s="2">
        <f>'[1]Energy, Summer'!G3*Scenarios!$B$6</f>
        <v>152.07130748230159</v>
      </c>
      <c r="H3" s="2">
        <f>'[1]Energy, Summer'!H3*Scenarios!$B$6</f>
        <v>166.69911896393251</v>
      </c>
      <c r="I3" s="2">
        <f>'[1]Energy, Summer'!I3*Scenarios!$B$6</f>
        <v>148.36366417606644</v>
      </c>
      <c r="J3" s="2">
        <f>'[1]Energy, Summer'!J3*Scenarios!$B$6</f>
        <v>127.40678970683878</v>
      </c>
      <c r="K3" s="2">
        <f>'[1]Energy, Summer'!K3*Scenarios!$B$6</f>
        <v>114.980391438285</v>
      </c>
      <c r="L3" s="2">
        <f>'[1]Energy, Summer'!L3*Scenarios!$B$6</f>
        <v>115.28453405324959</v>
      </c>
      <c r="M3" s="2">
        <f>'[1]Energy, Summer'!M3*Scenarios!$B$6</f>
        <v>117.45698130299675</v>
      </c>
      <c r="N3" s="2">
        <f>'[1]Energy, Summer'!N3*Scenarios!$B$6</f>
        <v>118.76044965284505</v>
      </c>
      <c r="O3" s="2">
        <f>'[1]Energy, Summer'!O3*Scenarios!$B$6</f>
        <v>119.47011575442913</v>
      </c>
      <c r="P3" s="2">
        <f>'[1]Energy, Summer'!P3*Scenarios!$B$6</f>
        <v>115.28453405324959</v>
      </c>
      <c r="Q3" s="2">
        <f>'[1]Energy, Summer'!Q3*Scenarios!$B$6</f>
        <v>115.28453405324959</v>
      </c>
      <c r="R3" s="2">
        <f>'[1]Energy, Summer'!R3*Scenarios!$B$6</f>
        <v>118.76044965284505</v>
      </c>
      <c r="S3" s="2">
        <f>'[1]Energy, Summer'!S3*Scenarios!$B$6</f>
        <v>121.99015456413585</v>
      </c>
      <c r="T3" s="2">
        <f>'[1]Energy, Summer'!T3*Scenarios!$B$6</f>
        <v>128.89853681833182</v>
      </c>
      <c r="U3" s="2">
        <f>'[1]Energy, Summer'!U3*Scenarios!$B$6</f>
        <v>168.29224694708046</v>
      </c>
      <c r="V3" s="2">
        <f>'[1]Energy, Summer'!V3*Scenarios!$B$6</f>
        <v>186.68563366160646</v>
      </c>
      <c r="W3" s="2">
        <f>'[1]Energy, Summer'!W3*Scenarios!$B$6</f>
        <v>177.30066154269869</v>
      </c>
      <c r="X3" s="2">
        <f>'[1]Energy, Summer'!X3*Scenarios!$B$6</f>
        <v>167.39430208385161</v>
      </c>
      <c r="Y3" s="2">
        <f>'[1]Energy, Summer'!Y3*Scenarios!$B$6</f>
        <v>156.05412744017141</v>
      </c>
    </row>
    <row r="4" spans="1:25" x14ac:dyDescent="0.3">
      <c r="A4">
        <v>3</v>
      </c>
      <c r="B4" s="2">
        <f>'[1]Energy, Summer'!B4*Scenarios!$B$6</f>
        <v>157.34311280835473</v>
      </c>
      <c r="C4" s="2">
        <f>'[1]Energy, Summer'!C4*Scenarios!$B$6</f>
        <v>151.53543716069728</v>
      </c>
      <c r="D4" s="2">
        <f>'[1]Energy, Summer'!D4*Scenarios!$B$6</f>
        <v>152.43338202392613</v>
      </c>
      <c r="E4" s="2">
        <f>'[1]Energy, Summer'!E4*Scenarios!$B$6</f>
        <v>135.60415732921808</v>
      </c>
      <c r="F4" s="2">
        <f>'[1]Energy, Summer'!F4*Scenarios!$B$6</f>
        <v>136.6758979724267</v>
      </c>
      <c r="G4" s="2">
        <f>'[1]Energy, Summer'!G4*Scenarios!$B$6</f>
        <v>144.0332526582371</v>
      </c>
      <c r="H4" s="2">
        <f>'[1]Energy, Summer'!H4*Scenarios!$B$6</f>
        <v>164.0921822642359</v>
      </c>
      <c r="I4" s="2">
        <f>'[1]Energy, Summer'!I4*Scenarios!$B$6</f>
        <v>159.12451955314739</v>
      </c>
      <c r="J4" s="2">
        <f>'[1]Energy, Summer'!J4*Scenarios!$B$6</f>
        <v>130.34683498482994</v>
      </c>
      <c r="K4" s="2">
        <f>'[1]Energy, Summer'!K4*Scenarios!$B$6</f>
        <v>108.62236248735829</v>
      </c>
      <c r="L4" s="2">
        <f>'[1]Energy, Summer'!L4*Scenarios!$B$6</f>
        <v>93.965585042397407</v>
      </c>
      <c r="M4" s="2">
        <f>'[1]Energy, Summer'!M4*Scenarios!$B$6</f>
        <v>93.487646647453033</v>
      </c>
      <c r="N4" s="2">
        <f>'[1]Energy, Summer'!N4*Scenarios!$B$6</f>
        <v>94.124897840712194</v>
      </c>
      <c r="O4" s="2">
        <f>'[1]Energy, Summer'!O4*Scenarios!$B$6</f>
        <v>93.965585042397407</v>
      </c>
      <c r="P4" s="2">
        <f>'[1]Energy, Summer'!P4*Scenarios!$B$6</f>
        <v>91.778654810985259</v>
      </c>
      <c r="Q4" s="2">
        <f>'[1]Energy, Summer'!Q4*Scenarios!$B$6</f>
        <v>86.897889989886636</v>
      </c>
      <c r="R4" s="2">
        <f>'[1]Energy, Summer'!R4*Scenarios!$B$6</f>
        <v>92.560735820894237</v>
      </c>
      <c r="S4" s="2">
        <f>'[1]Energy, Summer'!S4*Scenarios!$B$6</f>
        <v>101.36638867320275</v>
      </c>
      <c r="T4" s="2">
        <f>'[1]Energy, Summer'!T4*Scenarios!$B$6</f>
        <v>123.87294218058339</v>
      </c>
      <c r="U4" s="2">
        <f>'[1]Energy, Summer'!U4*Scenarios!$B$6</f>
        <v>157.89346611162401</v>
      </c>
      <c r="V4" s="2">
        <f>'[1]Energy, Summer'!V4*Scenarios!$B$6</f>
        <v>165.48254850407412</v>
      </c>
      <c r="W4" s="2">
        <f>'[1]Energy, Summer'!W4*Scenarios!$B$6</f>
        <v>157.19828299170493</v>
      </c>
      <c r="X4" s="2">
        <f>'[1]Energy, Summer'!X4*Scenarios!$B$6</f>
        <v>136.40072132079206</v>
      </c>
      <c r="Y4" s="2">
        <f>'[1]Energy, Summer'!Y4*Scenarios!$B$6</f>
        <v>107.50717289915475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F9686C-6AB5-4C22-BD0D-20FD9CC12ACE}">
  <dimension ref="A1:Y6"/>
  <sheetViews>
    <sheetView zoomScale="85" zoomScaleNormal="85" workbookViewId="0">
      <selection activeCell="B2" sqref="B2"/>
    </sheetView>
  </sheetViews>
  <sheetFormatPr defaultRowHeight="14.4" x14ac:dyDescent="0.3"/>
  <sheetData>
    <row r="1" spans="1:25" x14ac:dyDescent="0.3">
      <c r="A1" t="s">
        <v>2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'[1]Energy, Autumn'!B2*Scenarios!$B$6</f>
        <v>133.30136324448611</v>
      </c>
      <c r="C2" s="2">
        <f>'[1]Energy, Autumn'!C2*Scenarios!$B$6</f>
        <v>130.28890305817001</v>
      </c>
      <c r="D2" s="2">
        <f>'[1]Energy, Autumn'!D2*Scenarios!$B$6</f>
        <v>130.44821585648481</v>
      </c>
      <c r="E2" s="2">
        <f>'[1]Energy, Autumn'!E2*Scenarios!$B$6</f>
        <v>121.39635231587161</v>
      </c>
      <c r="F2" s="2">
        <f>'[1]Energy, Autumn'!F2*Scenarios!$B$6</f>
        <v>123.62673149227871</v>
      </c>
      <c r="G2" s="2">
        <f>'[1]Energy, Autumn'!G2*Scenarios!$B$6</f>
        <v>130.18752218651517</v>
      </c>
      <c r="H2" s="2">
        <f>'[1]Energy, Autumn'!H2*Scenarios!$B$6</f>
        <v>150.82577105911324</v>
      </c>
      <c r="I2" s="2">
        <f>'[1]Energy, Autumn'!I2*Scenarios!$B$6</f>
        <v>175.4613228712461</v>
      </c>
      <c r="J2" s="2">
        <f>'[1]Energy, Autumn'!J2*Scenarios!$B$6</f>
        <v>174.88200360464685</v>
      </c>
      <c r="K2" s="2">
        <f>'[1]Energy, Autumn'!K2*Scenarios!$B$6</f>
        <v>170.95711557343697</v>
      </c>
      <c r="L2" s="2">
        <f>'[1]Energy, Autumn'!L2*Scenarios!$B$6</f>
        <v>144.65602086983128</v>
      </c>
      <c r="M2" s="2">
        <f>'[1]Energy, Autumn'!M2*Scenarios!$B$6</f>
        <v>135.15518489760368</v>
      </c>
      <c r="N2" s="2">
        <f>'[1]Energy, Autumn'!N2*Scenarios!$B$6</f>
        <v>132.35996943626233</v>
      </c>
      <c r="O2" s="2">
        <f>'[1]Energy, Autumn'!O2*Scenarios!$B$6</f>
        <v>130.49166480147974</v>
      </c>
      <c r="P2" s="2">
        <f>'[1]Energy, Autumn'!P2*Scenarios!$B$6</f>
        <v>133.82275058442542</v>
      </c>
      <c r="Q2" s="2">
        <f>'[1]Energy, Autumn'!Q2*Scenarios!$B$6</f>
        <v>158.79141097485282</v>
      </c>
      <c r="R2" s="2">
        <f>'[1]Energy, Autumn'!R2*Scenarios!$B$6</f>
        <v>175.15718025628149</v>
      </c>
      <c r="S2" s="2">
        <f>'[1]Energy, Autumn'!S2*Scenarios!$B$6</f>
        <v>195.86784403720446</v>
      </c>
      <c r="T2" s="2">
        <f>'[1]Energy, Autumn'!T2*Scenarios!$B$6</f>
        <v>232.50978764960664</v>
      </c>
      <c r="U2" s="2">
        <f>'[1]Energy, Autumn'!U2*Scenarios!$B$6</f>
        <v>219.44613818779371</v>
      </c>
      <c r="V2" s="2">
        <f>'[1]Energy, Autumn'!V2*Scenarios!$B$6</f>
        <v>178.1406744792676</v>
      </c>
      <c r="W2" s="2">
        <f>'[1]Energy, Autumn'!W2*Scenarios!$B$6</f>
        <v>171.30470713339651</v>
      </c>
      <c r="X2" s="2">
        <f>'[1]Energy, Autumn'!X2*Scenarios!$B$6</f>
        <v>171.30470713339651</v>
      </c>
      <c r="Y2" s="2">
        <f>'[1]Energy, Autumn'!Y2*Scenarios!$B$6</f>
        <v>158.79141097485282</v>
      </c>
    </row>
    <row r="3" spans="1:25" x14ac:dyDescent="0.3">
      <c r="A3">
        <v>2</v>
      </c>
      <c r="B3" s="2">
        <f>'[1]Energy, Autumn'!B3*Scenarios!$B$6</f>
        <v>115.86385331984884</v>
      </c>
      <c r="C3" s="2">
        <f>'[1]Energy, Autumn'!C3*Scenarios!$B$6</f>
        <v>111.21481620538991</v>
      </c>
      <c r="D3" s="2">
        <f>'[1]Energy, Autumn'!D3*Scenarios!$B$6</f>
        <v>108.62236248735829</v>
      </c>
      <c r="E3" s="2">
        <f>'[1]Energy, Autumn'!E3*Scenarios!$B$6</f>
        <v>105.13196390609785</v>
      </c>
      <c r="F3" s="2">
        <f>'[1]Energy, Autumn'!F3*Scenarios!$B$6</f>
        <v>102.81468683970085</v>
      </c>
      <c r="G3" s="2">
        <f>'[1]Energy, Autumn'!G3*Scenarios!$B$6</f>
        <v>111.51895882035451</v>
      </c>
      <c r="H3" s="2">
        <f>'[1]Energy, Autumn'!H3*Scenarios!$B$6</f>
        <v>128.01507493676797</v>
      </c>
      <c r="I3" s="2">
        <f>'[1]Energy, Autumn'!I3*Scenarios!$B$6</f>
        <v>155.48929115523714</v>
      </c>
      <c r="J3" s="2">
        <f>'[1]Energy, Autumn'!J3*Scenarios!$B$6</f>
        <v>176.08409108284027</v>
      </c>
      <c r="K3" s="2">
        <f>'[1]Energy, Autumn'!K3*Scenarios!$B$6</f>
        <v>148.88505151600575</v>
      </c>
      <c r="L3" s="2">
        <f>'[1]Energy, Autumn'!L3*Scenarios!$B$6</f>
        <v>134.98138911762391</v>
      </c>
      <c r="M3" s="2">
        <f>'[1]Energy, Autumn'!M3*Scenarios!$B$6</f>
        <v>123.16327607899933</v>
      </c>
      <c r="N3" s="2">
        <f>'[1]Energy, Autumn'!N3*Scenarios!$B$6</f>
        <v>128.76818998334699</v>
      </c>
      <c r="O3" s="2">
        <f>'[1]Energy, Autumn'!O3*Scenarios!$B$6</f>
        <v>123.55431658395381</v>
      </c>
      <c r="P3" s="2">
        <f>'[1]Energy, Autumn'!P3*Scenarios!$B$6</f>
        <v>123.84397621725344</v>
      </c>
      <c r="Q3" s="2">
        <f>'[1]Energy, Autumn'!Q3*Scenarios!$B$6</f>
        <v>138.31247490056955</v>
      </c>
      <c r="R3" s="2">
        <f>'[1]Energy, Autumn'!R3*Scenarios!$B$6</f>
        <v>163.65769281428649</v>
      </c>
      <c r="S3" s="2">
        <f>'[1]Energy, Autumn'!S3*Scenarios!$B$6</f>
        <v>188.27876164475435</v>
      </c>
      <c r="T3" s="2">
        <f>'[1]Energy, Autumn'!T3*Scenarios!$B$6</f>
        <v>194.27471605405651</v>
      </c>
      <c r="U3" s="2">
        <f>'[1]Energy, Autumn'!U3*Scenarios!$B$6</f>
        <v>195.53473545890989</v>
      </c>
      <c r="V3" s="2">
        <f>'[1]Energy, Autumn'!V3*Scenarios!$B$6</f>
        <v>215.39090332159898</v>
      </c>
      <c r="W3" s="2">
        <f>'[1]Energy, Autumn'!W3*Scenarios!$B$6</f>
        <v>194.56437568735618</v>
      </c>
      <c r="X3" s="2">
        <f>'[1]Energy, Autumn'!X3*Scenarios!$B$6</f>
        <v>166.84394878058234</v>
      </c>
      <c r="Y3" s="2">
        <f>'[1]Energy, Autumn'!Y3*Scenarios!$B$6</f>
        <v>147.72641298280726</v>
      </c>
    </row>
    <row r="4" spans="1:25" x14ac:dyDescent="0.3">
      <c r="A4">
        <v>3</v>
      </c>
      <c r="B4" s="2">
        <f>'[1]Energy, Autumn'!B4*Scenarios!$B$6</f>
        <v>125.2488254387566</v>
      </c>
      <c r="C4" s="2">
        <f>'[1]Energy, Autumn'!C4*Scenarios!$B$6</f>
        <v>118.3404431845606</v>
      </c>
      <c r="D4" s="2">
        <f>'[1]Energy, Autumn'!D4*Scenarios!$B$6</f>
        <v>108.62236248735829</v>
      </c>
      <c r="E4" s="2">
        <f>'[1]Energy, Autumn'!E4*Scenarios!$B$6</f>
        <v>102.39468037141641</v>
      </c>
      <c r="F4" s="2">
        <f>'[1]Energy, Autumn'!F4*Scenarios!$B$6</f>
        <v>102.36571440808646</v>
      </c>
      <c r="G4" s="2">
        <f>'[1]Energy, Autumn'!G4*Scenarios!$B$6</f>
        <v>103.7850466112546</v>
      </c>
      <c r="H4" s="2">
        <f>'[1]Energy, Autumn'!H4*Scenarios!$B$6</f>
        <v>106.94233661422048</v>
      </c>
      <c r="I4" s="2">
        <f>'[1]Energy, Autumn'!I4*Scenarios!$B$6</f>
        <v>112.96725698685262</v>
      </c>
      <c r="J4" s="2">
        <f>'[1]Energy, Autumn'!J4*Scenarios!$B$6</f>
        <v>105.8561129893469</v>
      </c>
      <c r="K4" s="2">
        <f>'[1]Energy, Autumn'!K4*Scenarios!$B$6</f>
        <v>101.38087165486773</v>
      </c>
      <c r="L4" s="2">
        <f>'[1]Energy, Autumn'!L4*Scenarios!$B$6</f>
        <v>96.615970687088947</v>
      </c>
      <c r="M4" s="2">
        <f>'[1]Energy, Autumn'!M4*Scenarios!$B$6</f>
        <v>69.228652358609679</v>
      </c>
      <c r="N4" s="2">
        <f>'[1]Energy, Autumn'!N4*Scenarios!$B$6</f>
        <v>72.400425343240542</v>
      </c>
      <c r="O4" s="2">
        <f>'[1]Energy, Autumn'!O4*Scenarios!$B$6</f>
        <v>72.762499884865079</v>
      </c>
      <c r="P4" s="2">
        <f>'[1]Energy, Autumn'!P4*Scenarios!$B$6</f>
        <v>86.897889989886636</v>
      </c>
      <c r="Q4" s="2">
        <f>'[1]Energy, Autumn'!Q4*Scenarios!$B$6</f>
        <v>102.00363986646194</v>
      </c>
      <c r="R4" s="2">
        <f>'[1]Energy, Autumn'!R4*Scenarios!$B$6</f>
        <v>121.30945442588174</v>
      </c>
      <c r="S4" s="2">
        <f>'[1]Energy, Autumn'!S4*Scenarios!$B$6</f>
        <v>152.7664906022207</v>
      </c>
      <c r="T4" s="2">
        <f>'[1]Energy, Autumn'!T4*Scenarios!$B$6</f>
        <v>182.31177319878213</v>
      </c>
      <c r="U4" s="2">
        <f>'[1]Energy, Autumn'!U4*Scenarios!$B$6</f>
        <v>173.81026296143824</v>
      </c>
      <c r="V4" s="2">
        <f>'[1]Energy, Autumn'!V4*Scenarios!$B$6</f>
        <v>173.36129052982383</v>
      </c>
      <c r="W4" s="2">
        <f>'[1]Energy, Autumn'!W4*Scenarios!$B$6</f>
        <v>160.39902193966574</v>
      </c>
      <c r="X4" s="2">
        <f>'[1]Energy, Autumn'!X4*Scenarios!$B$6</f>
        <v>146.408461651294</v>
      </c>
      <c r="Y4" s="2">
        <f>'[1]Energy, Autumn'!Y4*Scenarios!$B$6</f>
        <v>138.52971962554429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BA0F2A-A97B-42BF-BD16-0283FFE6BEE7}">
  <dimension ref="A1:Y6"/>
  <sheetViews>
    <sheetView zoomScale="85" zoomScaleNormal="85" workbookViewId="0">
      <selection activeCell="S21" sqref="S21"/>
    </sheetView>
  </sheetViews>
  <sheetFormatPr defaultRowHeight="14.4" x14ac:dyDescent="0.3"/>
  <sheetData>
    <row r="1" spans="1:25" x14ac:dyDescent="0.3">
      <c r="A1" t="s">
        <v>2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'[1]Flexibility, Winter'!B2*Scenarios!$B$6</f>
        <v>66.440678388100821</v>
      </c>
      <c r="C2" s="2">
        <f>'[1]Flexibility, Winter'!C2*Scenarios!$B$6</f>
        <v>62.407167994403586</v>
      </c>
      <c r="D2" s="2">
        <f>'[1]Flexibility, Winter'!D2*Scenarios!$B$6</f>
        <v>59.452639734747429</v>
      </c>
      <c r="E2" s="2">
        <f>'[1]Flexibility, Winter'!E2*Scenarios!$B$6</f>
        <v>57.931926659924422</v>
      </c>
      <c r="F2" s="2">
        <f>'[1]Flexibility, Winter'!F2*Scenarios!$B$6</f>
        <v>57.642267026624793</v>
      </c>
      <c r="G2" s="2">
        <f>'[1]Flexibility, Winter'!G2*Scenarios!$B$6</f>
        <v>58.728490651498376</v>
      </c>
      <c r="H2" s="2">
        <f>'[1]Flexibility, Winter'!H2*Scenarios!$B$6</f>
        <v>62.211647741926335</v>
      </c>
      <c r="I2" s="2">
        <f>'[1]Flexibility, Winter'!I2*Scenarios!$B$6</f>
        <v>73.899413945566081</v>
      </c>
      <c r="J2" s="2">
        <f>'[1]Flexibility, Winter'!J2*Scenarios!$B$6</f>
        <v>82.437131637072454</v>
      </c>
      <c r="K2" s="2">
        <f>'[1]Flexibility, Winter'!K2*Scenarios!$B$6</f>
        <v>79.656399157396081</v>
      </c>
      <c r="L2" s="2">
        <f>'[1]Flexibility, Winter'!L2*Scenarios!$B$6</f>
        <v>70.698674997605266</v>
      </c>
      <c r="M2" s="2">
        <f>'[1]Flexibility, Winter'!M2*Scenarios!$B$6</f>
        <v>62.407167994403586</v>
      </c>
      <c r="N2" s="2">
        <f>'[1]Flexibility, Winter'!N2*Scenarios!$B$6</f>
        <v>60.748866593763246</v>
      </c>
      <c r="O2" s="2">
        <f>'[1]Flexibility, Winter'!O2*Scenarios!$B$6</f>
        <v>59.510571661407369</v>
      </c>
      <c r="P2" s="2">
        <f>'[1]Flexibility, Winter'!P2*Scenarios!$B$6</f>
        <v>60.104373909671587</v>
      </c>
      <c r="Q2" s="2">
        <f>'[1]Flexibility, Winter'!Q2*Scenarios!$B$6</f>
        <v>61.552672076169699</v>
      </c>
      <c r="R2" s="2">
        <f>'[1]Flexibility, Winter'!R2*Scenarios!$B$6</f>
        <v>70.698674997605266</v>
      </c>
      <c r="S2" s="2">
        <f>'[1]Flexibility, Winter'!S2*Scenarios!$B$6</f>
        <v>85.811666365013053</v>
      </c>
      <c r="T2" s="2">
        <f>'[1]Flexibility, Winter'!T2*Scenarios!$B$6</f>
        <v>93.364541303300697</v>
      </c>
      <c r="U2" s="2">
        <f>'[1]Flexibility, Winter'!U2*Scenarios!$B$6</f>
        <v>95.812165204682501</v>
      </c>
      <c r="V2" s="2">
        <f>'[1]Flexibility, Winter'!V2*Scenarios!$B$6</f>
        <v>85.398901387561096</v>
      </c>
      <c r="W2" s="2">
        <f>'[1]Flexibility, Winter'!W2*Scenarios!$B$6</f>
        <v>78.447070188370148</v>
      </c>
      <c r="X2" s="2">
        <f>'[1]Flexibility, Winter'!X2*Scenarios!$B$6</f>
        <v>72.414908324905525</v>
      </c>
      <c r="Y2" s="2">
        <f>'[1]Flexibility, Winter'!Y2*Scenarios!$B$6</f>
        <v>67.534143503806902</v>
      </c>
    </row>
    <row r="3" spans="1:25" x14ac:dyDescent="0.3">
      <c r="A3">
        <v>2</v>
      </c>
      <c r="B3" s="2">
        <f>'[1]Flexibility, Winter'!B3*Scenarios!$B$6</f>
        <v>64.434785427500941</v>
      </c>
      <c r="C3" s="2">
        <f>'[1]Flexibility, Winter'!C3*Scenarios!$B$6</f>
        <v>62.602688246880831</v>
      </c>
      <c r="D3" s="2">
        <f>'[1]Flexibility, Winter'!D3*Scenarios!$B$6</f>
        <v>61.545430585337201</v>
      </c>
      <c r="E3" s="2">
        <f>'[1]Flexibility, Winter'!E3*Scenarios!$B$6</f>
        <v>60.104373909671587</v>
      </c>
      <c r="F3" s="2">
        <f>'[1]Flexibility, Winter'!F3*Scenarios!$B$6</f>
        <v>60.205754781326455</v>
      </c>
      <c r="G3" s="2">
        <f>'[1]Flexibility, Winter'!G3*Scenarios!$B$6</f>
        <v>61.552672076169699</v>
      </c>
      <c r="H3" s="2">
        <f>'[1]Flexibility, Winter'!H3*Scenarios!$B$6</f>
        <v>64.44926840916591</v>
      </c>
      <c r="I3" s="2">
        <f>'[1]Flexibility, Winter'!I3*Scenarios!$B$6</f>
        <v>72.414908324905525</v>
      </c>
      <c r="J3" s="2">
        <f>'[1]Flexibility, Winter'!J3*Scenarios!$B$6</f>
        <v>75.86909945200351</v>
      </c>
      <c r="K3" s="2">
        <f>'[1]Flexibility, Winter'!K3*Scenarios!$B$6</f>
        <v>76.035653741150796</v>
      </c>
      <c r="L3" s="2">
        <f>'[1]Flexibility, Winter'!L3*Scenarios!$B$6</f>
        <v>72.414908324905525</v>
      </c>
      <c r="M3" s="2">
        <f>'[1]Flexibility, Winter'!M3*Scenarios!$B$6</f>
        <v>68.49002029369565</v>
      </c>
      <c r="N3" s="2">
        <f>'[1]Flexibility, Winter'!N3*Scenarios!$B$6</f>
        <v>66.621715658913089</v>
      </c>
      <c r="O3" s="2">
        <f>'[1]Flexibility, Winter'!O3*Scenarios!$B$6</f>
        <v>66.462402860598289</v>
      </c>
      <c r="P3" s="2">
        <f>'[1]Flexibility, Winter'!P3*Scenarios!$B$6</f>
        <v>65.245832400739872</v>
      </c>
      <c r="Q3" s="2">
        <f>'[1]Flexibility, Winter'!Q3*Scenarios!$B$6</f>
        <v>66.628957149745574</v>
      </c>
      <c r="R3" s="2">
        <f>'[1]Flexibility, Winter'!R3*Scenarios!$B$6</f>
        <v>73.124574426489602</v>
      </c>
      <c r="S3" s="2">
        <f>'[1]Flexibility, Winter'!S3*Scenarios!$B$6</f>
        <v>77.556366815973817</v>
      </c>
      <c r="T3" s="2">
        <f>'[1]Flexibility, Winter'!T3*Scenarios!$B$6</f>
        <v>91.242784489380966</v>
      </c>
      <c r="U3" s="2">
        <f>'[1]Flexibility, Winter'!U3*Scenarios!$B$6</f>
        <v>86.514090975764631</v>
      </c>
      <c r="V3" s="2">
        <f>'[1]Flexibility, Winter'!V3*Scenarios!$B$6</f>
        <v>79.656399157396081</v>
      </c>
      <c r="W3" s="2">
        <f>'[1]Flexibility, Winter'!W3*Scenarios!$B$6</f>
        <v>74.051485253048398</v>
      </c>
      <c r="X3" s="2">
        <f>'[1]Flexibility, Winter'!X3*Scenarios!$B$6</f>
        <v>70.96661015840742</v>
      </c>
      <c r="Y3" s="2">
        <f>'[1]Flexibility, Winter'!Y3*Scenarios!$B$6</f>
        <v>69.148995959452279</v>
      </c>
    </row>
    <row r="4" spans="1:25" x14ac:dyDescent="0.3">
      <c r="A4">
        <v>3</v>
      </c>
      <c r="B4" s="2">
        <f>'[1]Flexibility, Winter'!B4*Scenarios!$B$6</f>
        <v>66.860684856385276</v>
      </c>
      <c r="C4" s="2">
        <f>'[1]Flexibility, Winter'!C4*Scenarios!$B$6</f>
        <v>65.260315382404869</v>
      </c>
      <c r="D4" s="2">
        <f>'[1]Flexibility, Winter'!D4*Scenarios!$B$6</f>
        <v>63.008211733500303</v>
      </c>
      <c r="E4" s="2">
        <f>'[1]Flexibility, Winter'!E4*Scenarios!$B$6</f>
        <v>62.131991342768941</v>
      </c>
      <c r="F4" s="2">
        <f>'[1]Flexibility, Winter'!F4*Scenarios!$B$6</f>
        <v>61.552672076169699</v>
      </c>
      <c r="G4" s="2">
        <f>'[1]Flexibility, Winter'!G4*Scenarios!$B$6</f>
        <v>62.494065884393464</v>
      </c>
      <c r="H4" s="2">
        <f>'[1]Flexibility, Winter'!H4*Scenarios!$B$6</f>
        <v>68.794162908660255</v>
      </c>
      <c r="I4" s="2">
        <f>'[1]Flexibility, Winter'!I4*Scenarios!$B$6</f>
        <v>75.268055712906801</v>
      </c>
      <c r="J4" s="2">
        <f>'[1]Flexibility, Winter'!J4*Scenarios!$B$6</f>
        <v>87.911698706435317</v>
      </c>
      <c r="K4" s="2">
        <f>'[1]Flexibility, Winter'!K4*Scenarios!$B$6</f>
        <v>87.911698706435317</v>
      </c>
      <c r="L4" s="2">
        <f>'[1]Flexibility, Winter'!L4*Scenarios!$B$6</f>
        <v>76.310830392785434</v>
      </c>
      <c r="M4" s="2">
        <f>'[1]Flexibility, Winter'!M4*Scenarios!$B$6</f>
        <v>74.565631102155223</v>
      </c>
      <c r="N4" s="2">
        <f>'[1]Flexibility, Winter'!N4*Scenarios!$B$6</f>
        <v>72.407666834073027</v>
      </c>
      <c r="O4" s="2">
        <f>'[1]Flexibility, Winter'!O4*Scenarios!$B$6</f>
        <v>71.328684700031943</v>
      </c>
      <c r="P4" s="2">
        <f>'[1]Flexibility, Winter'!P4*Scenarios!$B$6</f>
        <v>68.620367128680485</v>
      </c>
      <c r="Q4" s="2">
        <f>'[1]Flexibility, Winter'!Q4*Scenarios!$B$6</f>
        <v>68.598642656183003</v>
      </c>
      <c r="R4" s="2">
        <f>'[1]Flexibility, Winter'!R4*Scenarios!$B$6</f>
        <v>71.958694402458619</v>
      </c>
      <c r="S4" s="2">
        <f>'[1]Flexibility, Winter'!S4*Scenarios!$B$6</f>
        <v>74.370110849677971</v>
      </c>
      <c r="T4" s="2">
        <f>'[1]Flexibility, Winter'!T4*Scenarios!$B$6</f>
        <v>80.590551474787361</v>
      </c>
      <c r="U4" s="2">
        <f>'[1]Flexibility, Winter'!U4*Scenarios!$B$6</f>
        <v>87.911698706435317</v>
      </c>
      <c r="V4" s="2">
        <f>'[1]Flexibility, Winter'!V4*Scenarios!$B$6</f>
        <v>86.897889989886636</v>
      </c>
      <c r="W4" s="2">
        <f>'[1]Flexibility, Winter'!W4*Scenarios!$B$6</f>
        <v>77.99809775675574</v>
      </c>
      <c r="X4" s="2">
        <f>'[1]Flexibility, Winter'!X4*Scenarios!$B$6</f>
        <v>73.370785114794273</v>
      </c>
      <c r="Y4" s="2">
        <f>'[1]Flexibility, Winter'!Y4*Scenarios!$B$6</f>
        <v>67.114137035522447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</sheetData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FCA46C-7623-4ABD-BCE9-736625BC3D05}">
  <dimension ref="A1:Y6"/>
  <sheetViews>
    <sheetView zoomScale="85" zoomScaleNormal="85" workbookViewId="0">
      <selection activeCell="B2" sqref="B2"/>
    </sheetView>
  </sheetViews>
  <sheetFormatPr defaultRowHeight="14.4" x14ac:dyDescent="0.3"/>
  <sheetData>
    <row r="1" spans="1:25" x14ac:dyDescent="0.3">
      <c r="A1" t="s">
        <v>2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'[1]Flexibility, Spring'!B2*Scenarios!$B$6</f>
        <v>31.862559662958432</v>
      </c>
      <c r="C2" s="2">
        <f>'[1]Flexibility, Spring'!C2*Scenarios!$B$6</f>
        <v>33.759830261070952</v>
      </c>
      <c r="D2" s="2">
        <f>'[1]Flexibility, Spring'!D2*Scenarios!$B$6</f>
        <v>34.875019849274501</v>
      </c>
      <c r="E2" s="2">
        <f>'[1]Flexibility, Spring'!E2*Scenarios!$B$6</f>
        <v>35.048815629254271</v>
      </c>
      <c r="F2" s="2">
        <f>'[1]Flexibility, Spring'!F2*Scenarios!$B$6</f>
        <v>36.569528704077293</v>
      </c>
      <c r="G2" s="2">
        <f>'[1]Flexibility, Spring'!G2*Scenarios!$B$6</f>
        <v>40.545107171114601</v>
      </c>
      <c r="H2" s="2">
        <f>'[1]Flexibility, Spring'!H2*Scenarios!$B$6</f>
        <v>42.594449076709431</v>
      </c>
      <c r="I2" s="2">
        <f>'[1]Flexibility, Spring'!I2*Scenarios!$B$6</f>
        <v>36.192971180787779</v>
      </c>
      <c r="J2" s="2">
        <f>'[1]Flexibility, Spring'!J2*Scenarios!$B$6</f>
        <v>24.476239013818066</v>
      </c>
      <c r="K2" s="2">
        <f>'[1]Flexibility, Spring'!K2*Scenarios!$B$6</f>
        <v>9.7760126238622451</v>
      </c>
      <c r="L2" s="2">
        <f>'[1]Flexibility, Spring'!L2*Scenarios!$B$6</f>
        <v>8.1828846407143256</v>
      </c>
      <c r="M2" s="2">
        <f>'[1]Flexibility, Spring'!M2*Scenarios!$B$6</f>
        <v>6.8432088367035719</v>
      </c>
      <c r="N2" s="2">
        <f>'[1]Flexibility, Spring'!N2*Scenarios!$B$6</f>
        <v>3.2586708746207487</v>
      </c>
      <c r="O2" s="2">
        <f>'[1]Flexibility, Spring'!O2*Scenarios!$B$6</f>
        <v>2.266586630569543</v>
      </c>
      <c r="P2" s="2">
        <f>'[1]Flexibility, Spring'!P2*Scenarios!$B$6</f>
        <v>0.39104050495448989</v>
      </c>
      <c r="Q2" s="2">
        <f>'[1]Flexibility, Spring'!Q2*Scenarios!$B$6</f>
        <v>2.3534845205594297</v>
      </c>
      <c r="R2" s="2">
        <f>'[1]Flexibility, Spring'!R2*Scenarios!$B$6</f>
        <v>3.6207454162452763</v>
      </c>
      <c r="S2" s="2">
        <f>'[1]Flexibility, Spring'!S2*Scenarios!$B$6</f>
        <v>10.985341592888169</v>
      </c>
      <c r="T2" s="2">
        <f>'[1]Flexibility, Spring'!T2*Scenarios!$B$6</f>
        <v>24.476239013818066</v>
      </c>
      <c r="U2" s="2">
        <f>'[1]Flexibility, Spring'!U2*Scenarios!$B$6</f>
        <v>35.570202969193595</v>
      </c>
      <c r="V2" s="2">
        <f>'[1]Flexibility, Spring'!V2*Scenarios!$B$6</f>
        <v>42.949282127501469</v>
      </c>
      <c r="W2" s="2">
        <f>'[1]Flexibility, Spring'!W2*Scenarios!$B$6</f>
        <v>41.732711667643059</v>
      </c>
      <c r="X2" s="2">
        <f>'[1]Flexibility, Spring'!X2*Scenarios!$B$6</f>
        <v>35.48330507920371</v>
      </c>
      <c r="Y2" s="2">
        <f>'[1]Flexibility, Spring'!Y2*Scenarios!$B$6</f>
        <v>52.450118099729075</v>
      </c>
    </row>
    <row r="3" spans="1:25" x14ac:dyDescent="0.3">
      <c r="A3">
        <v>2</v>
      </c>
      <c r="B3" s="2">
        <f>'[1]Flexibility, Spring'!B3*Scenarios!$B$6</f>
        <v>51.052510369058396</v>
      </c>
      <c r="C3" s="2">
        <f>'[1]Flexibility, Spring'!C3*Scenarios!$B$6</f>
        <v>50.060426125007183</v>
      </c>
      <c r="D3" s="2">
        <f>'[1]Flexibility, Spring'!D3*Scenarios!$B$6</f>
        <v>49.966286744184814</v>
      </c>
      <c r="E3" s="2">
        <f>'[1]Flexibility, Spring'!E3*Scenarios!$B$6</f>
        <v>49.249379151768252</v>
      </c>
      <c r="F3" s="2">
        <f>'[1]Flexibility, Spring'!F3*Scenarios!$B$6</f>
        <v>49.850422890864962</v>
      </c>
      <c r="G3" s="2">
        <f>'[1]Flexibility, Spring'!G3*Scenarios!$B$6</f>
        <v>48.517988577686701</v>
      </c>
      <c r="H3" s="2">
        <f>'[1]Flexibility, Spring'!H3*Scenarios!$B$6</f>
        <v>49.184205734275835</v>
      </c>
      <c r="I3" s="2">
        <f>'[1]Flexibility, Spring'!I3*Scenarios!$B$6</f>
        <v>52.768743696358662</v>
      </c>
      <c r="J3" s="2">
        <f>'[1]Flexibility, Spring'!J3*Scenarios!$B$6</f>
        <v>30.197016771485607</v>
      </c>
      <c r="K3" s="2">
        <f>'[1]Flexibility, Spring'!K3*Scenarios!$B$6</f>
        <v>21.724472497471659</v>
      </c>
      <c r="L3" s="2">
        <f>'[1]Flexibility, Spring'!L3*Scenarios!$B$6</f>
        <v>13.62848574674722</v>
      </c>
      <c r="M3" s="2">
        <f>'[1]Flexibility, Spring'!M3*Scenarios!$B$6</f>
        <v>14.794365770778198</v>
      </c>
      <c r="N3" s="2">
        <f>'[1]Flexibility, Spring'!N3*Scenarios!$B$6</f>
        <v>10.644991523761112</v>
      </c>
      <c r="O3" s="2">
        <f>'[1]Flexibility, Spring'!O3*Scenarios!$B$6</f>
        <v>6.9952801441858741</v>
      </c>
      <c r="P3" s="2">
        <f>'[1]Flexibility, Spring'!P3*Scenarios!$B$6</f>
        <v>5.9452639734747441</v>
      </c>
      <c r="Q3" s="2">
        <f>'[1]Flexibility, Spring'!Q3*Scenarios!$B$6</f>
        <v>5.3876691793729714</v>
      </c>
      <c r="R3" s="2">
        <f>'[1]Flexibility, Spring'!R3*Scenarios!$B$6</f>
        <v>10.644991523761112</v>
      </c>
      <c r="S3" s="2">
        <f>'[1]Flexibility, Spring'!S3*Scenarios!$B$6</f>
        <v>14.077458178361635</v>
      </c>
      <c r="T3" s="2">
        <f>'[1]Flexibility, Spring'!T3*Scenarios!$B$6</f>
        <v>25.193146606234631</v>
      </c>
      <c r="U3" s="2">
        <f>'[1]Flexibility, Spring'!U3*Scenarios!$B$6</f>
        <v>45.425871992213231</v>
      </c>
      <c r="V3" s="2">
        <f>'[1]Flexibility, Spring'!V3*Scenarios!$B$6</f>
        <v>49.249379151768252</v>
      </c>
      <c r="W3" s="2">
        <f>'[1]Flexibility, Spring'!W3*Scenarios!$B$6</f>
        <v>48.351434288539416</v>
      </c>
      <c r="X3" s="2">
        <f>'[1]Flexibility, Spring'!X3*Scenarios!$B$6</f>
        <v>45.679324171350402</v>
      </c>
      <c r="Y3" s="2">
        <f>'[1]Flexibility, Spring'!Y3*Scenarios!$B$6</f>
        <v>52.138733993931979</v>
      </c>
    </row>
    <row r="4" spans="1:25" x14ac:dyDescent="0.3">
      <c r="A4">
        <v>3</v>
      </c>
      <c r="B4" s="2">
        <f>'[1]Flexibility, Spring'!B4*Scenarios!$B$6</f>
        <v>49.893871835859912</v>
      </c>
      <c r="C4" s="2">
        <f>'[1]Flexibility, Spring'!C4*Scenarios!$B$6</f>
        <v>47.721424586112747</v>
      </c>
      <c r="D4" s="2">
        <f>'[1]Flexibility, Spring'!D4*Scenarios!$B$6</f>
        <v>48.025567201077337</v>
      </c>
      <c r="E4" s="2">
        <f>'[1]Flexibility, Spring'!E4*Scenarios!$B$6</f>
        <v>46.895894631208819</v>
      </c>
      <c r="F4" s="2">
        <f>'[1]Flexibility, Spring'!F4*Scenarios!$B$6</f>
        <v>49.155239770945869</v>
      </c>
      <c r="G4" s="2">
        <f>'[1]Flexibility, Spring'!G4*Scenarios!$B$6</f>
        <v>45.548977336365574</v>
      </c>
      <c r="H4" s="2">
        <f>'[1]Flexibility, Spring'!H4*Scenarios!$B$6</f>
        <v>48.105223600234744</v>
      </c>
      <c r="I4" s="2">
        <f>'[1]Flexibility, Spring'!I4*Scenarios!$B$6</f>
        <v>42.420653296729654</v>
      </c>
      <c r="J4" s="2">
        <f>'[1]Flexibility, Spring'!J4*Scenarios!$B$6</f>
        <v>27.988362067575984</v>
      </c>
      <c r="K4" s="2">
        <f>'[1]Flexibility, Spring'!K4*Scenarios!$B$6</f>
        <v>17.502683342129668</v>
      </c>
      <c r="L4" s="2">
        <f>'[1]Flexibility, Spring'!L4*Scenarios!$B$6</f>
        <v>15.931279831479216</v>
      </c>
      <c r="M4" s="2">
        <f>'[1]Flexibility, Spring'!M4*Scenarios!$B$6</f>
        <v>15.757484051499443</v>
      </c>
      <c r="N4" s="2">
        <f>'[1]Flexibility, Spring'!N4*Scenarios!$B$6</f>
        <v>8.4870272556789281</v>
      </c>
      <c r="O4" s="2">
        <f>'[1]Flexibility, Spring'!O4*Scenarios!$B$6</f>
        <v>7.4080451216378354</v>
      </c>
      <c r="P4" s="2">
        <f>'[1]Flexibility, Spring'!P4*Scenarios!$B$6</f>
        <v>2.3534845205594297</v>
      </c>
      <c r="Q4" s="2">
        <f>'[1]Flexibility, Spring'!Q4*Scenarios!$B$6</f>
        <v>2.3534845205594297</v>
      </c>
      <c r="R4" s="2">
        <f>'[1]Flexibility, Spring'!R4*Scenarios!$B$6</f>
        <v>6.133542735119498</v>
      </c>
      <c r="S4" s="2">
        <f>'[1]Flexibility, Spring'!S4*Scenarios!$B$6</f>
        <v>18.176141989551287</v>
      </c>
      <c r="T4" s="2">
        <f>'[1]Flexibility, Spring'!T4*Scenarios!$B$6</f>
        <v>29.834942229861078</v>
      </c>
      <c r="U4" s="2">
        <f>'[1]Flexibility, Spring'!U4*Scenarios!$B$6</f>
        <v>41.450293525175923</v>
      </c>
      <c r="V4" s="2">
        <f>'[1]Flexibility, Spring'!V4*Scenarios!$B$6</f>
        <v>54.04324608287699</v>
      </c>
      <c r="W4" s="2">
        <f>'[1]Flexibility, Spring'!W4*Scenarios!$B$6</f>
        <v>49.155239770945869</v>
      </c>
      <c r="X4" s="2">
        <f>'[1]Flexibility, Spring'!X4*Scenarios!$B$6</f>
        <v>51.414584910682926</v>
      </c>
      <c r="Y4" s="2">
        <f>'[1]Flexibility, Spring'!Y4*Scenarios!$B$6</f>
        <v>52.138733993931979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38B75F-C023-45BB-9C5E-2448F504CF83}">
  <dimension ref="A1:Y6"/>
  <sheetViews>
    <sheetView zoomScale="85" zoomScaleNormal="85" workbookViewId="0">
      <selection activeCell="U27" sqref="U27"/>
    </sheetView>
  </sheetViews>
  <sheetFormatPr defaultRowHeight="14.4" x14ac:dyDescent="0.3"/>
  <sheetData>
    <row r="1" spans="1:25" x14ac:dyDescent="0.3">
      <c r="A1" t="s">
        <v>2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'[1]Flexibility, Summer'!B2*Scenarios!$B$6</f>
        <v>81.930227278798114</v>
      </c>
      <c r="C2" s="2">
        <f>'[1]Flexibility, Summer'!C2*Scenarios!$B$6</f>
        <v>81.379873975528824</v>
      </c>
      <c r="D2" s="2">
        <f>'[1]Flexibility, Summer'!D2*Scenarios!$B$6</f>
        <v>81.568152737173577</v>
      </c>
      <c r="E2" s="2">
        <f>'[1]Flexibility, Summer'!E2*Scenarios!$B$6</f>
        <v>81.524703792178641</v>
      </c>
      <c r="F2" s="2">
        <f>'[1]Flexibility, Summer'!F2*Scenarios!$B$6</f>
        <v>81.741948517153347</v>
      </c>
      <c r="G2" s="2">
        <f>'[1]Flexibility, Summer'!G2*Scenarios!$B$6</f>
        <v>84.609578886819619</v>
      </c>
      <c r="H2" s="2">
        <f>'[1]Flexibility, Summer'!H2*Scenarios!$B$6</f>
        <v>87.419277329825945</v>
      </c>
      <c r="I2" s="2">
        <f>'[1]Flexibility, Summer'!I2*Scenarios!$B$6</f>
        <v>84.609578886819619</v>
      </c>
      <c r="J2" s="2">
        <f>'[1]Flexibility, Summer'!J2*Scenarios!$B$6</f>
        <v>81.698499572158411</v>
      </c>
      <c r="K2" s="2">
        <f>'[1]Flexibility, Summer'!K2*Scenarios!$B$6</f>
        <v>81.046765397234267</v>
      </c>
      <c r="L2" s="2">
        <f>'[1]Flexibility, Summer'!L2*Scenarios!$B$6</f>
        <v>70.96661015840742</v>
      </c>
      <c r="M2" s="2">
        <f>'[1]Flexibility, Summer'!M2*Scenarios!$B$6</f>
        <v>67.331381760497166</v>
      </c>
      <c r="N2" s="2">
        <f>'[1]Flexibility, Summer'!N2*Scenarios!$B$6</f>
        <v>67.193793434679847</v>
      </c>
      <c r="O2" s="2">
        <f>'[1]Flexibility, Summer'!O2*Scenarios!$B$6</f>
        <v>64.442026918333426</v>
      </c>
      <c r="P2" s="2">
        <f>'[1]Flexibility, Summer'!P2*Scenarios!$B$6</f>
        <v>60.104373909671587</v>
      </c>
      <c r="Q2" s="2">
        <f>'[1]Flexibility, Summer'!Q2*Scenarios!$B$6</f>
        <v>59.235395009772716</v>
      </c>
      <c r="R2" s="2">
        <f>'[1]Flexibility, Summer'!R2*Scenarios!$B$6</f>
        <v>59.235395009772716</v>
      </c>
      <c r="S2" s="2">
        <f>'[1]Flexibility, Summer'!S2*Scenarios!$B$6</f>
        <v>68.337948986213348</v>
      </c>
      <c r="T2" s="2">
        <f>'[1]Flexibility, Summer'!T2*Scenarios!$B$6</f>
        <v>79.077079890796838</v>
      </c>
      <c r="U2" s="2">
        <f>'[1]Flexibility, Summer'!U2*Scenarios!$B$6</f>
        <v>85.159932190088895</v>
      </c>
      <c r="V2" s="2">
        <f>'[1]Flexibility, Summer'!V2*Scenarios!$B$6</f>
        <v>96.065617383819671</v>
      </c>
      <c r="W2" s="2">
        <f>'[1]Flexibility, Summer'!W2*Scenarios!$B$6</f>
        <v>90.880709947756429</v>
      </c>
      <c r="X2" s="2">
        <f>'[1]Flexibility, Summer'!X2*Scenarios!$B$6</f>
        <v>84.826823611794339</v>
      </c>
      <c r="Y2" s="2">
        <f>'[1]Flexibility, Summer'!Y2*Scenarios!$B$6</f>
        <v>82.437131637072454</v>
      </c>
    </row>
    <row r="3" spans="1:25" x14ac:dyDescent="0.3">
      <c r="A3">
        <v>2</v>
      </c>
      <c r="B3" s="2">
        <f>'[1]Flexibility, Summer'!B3*Scenarios!$B$6</f>
        <v>77.643264705963702</v>
      </c>
      <c r="C3" s="2">
        <f>'[1]Flexibility, Summer'!C3*Scenarios!$B$6</f>
        <v>77.636023215131203</v>
      </c>
      <c r="D3" s="2">
        <f>'[1]Flexibility, Summer'!D3*Scenarios!$B$6</f>
        <v>77.636023215131203</v>
      </c>
      <c r="E3" s="2">
        <f>'[1]Flexibility, Summer'!E3*Scenarios!$B$6</f>
        <v>68.794162908660255</v>
      </c>
      <c r="F3" s="2">
        <f>'[1]Flexibility, Summer'!F3*Scenarios!$B$6</f>
        <v>74.181832088033218</v>
      </c>
      <c r="G3" s="2">
        <f>'[1]Flexibility, Summer'!G3*Scenarios!$B$6</f>
        <v>76.035653741150796</v>
      </c>
      <c r="H3" s="2">
        <f>'[1]Flexibility, Summer'!H3*Scenarios!$B$6</f>
        <v>83.349559481966253</v>
      </c>
      <c r="I3" s="2">
        <f>'[1]Flexibility, Summer'!I3*Scenarios!$B$6</f>
        <v>74.181832088033218</v>
      </c>
      <c r="J3" s="2">
        <f>'[1]Flexibility, Summer'!J3*Scenarios!$B$6</f>
        <v>63.70339485341939</v>
      </c>
      <c r="K3" s="2">
        <f>'[1]Flexibility, Summer'!K3*Scenarios!$B$6</f>
        <v>57.490195719142498</v>
      </c>
      <c r="L3" s="2">
        <f>'[1]Flexibility, Summer'!L3*Scenarios!$B$6</f>
        <v>57.642267026624793</v>
      </c>
      <c r="M3" s="2">
        <f>'[1]Flexibility, Summer'!M3*Scenarios!$B$6</f>
        <v>58.728490651498376</v>
      </c>
      <c r="N3" s="2">
        <f>'[1]Flexibility, Summer'!N3*Scenarios!$B$6</f>
        <v>59.380224826422527</v>
      </c>
      <c r="O3" s="2">
        <f>'[1]Flexibility, Summer'!O3*Scenarios!$B$6</f>
        <v>59.735057877214565</v>
      </c>
      <c r="P3" s="2">
        <f>'[1]Flexibility, Summer'!P3*Scenarios!$B$6</f>
        <v>57.642267026624793</v>
      </c>
      <c r="Q3" s="2">
        <f>'[1]Flexibility, Summer'!Q3*Scenarios!$B$6</f>
        <v>57.642267026624793</v>
      </c>
      <c r="R3" s="2">
        <f>'[1]Flexibility, Summer'!R3*Scenarios!$B$6</f>
        <v>59.380224826422527</v>
      </c>
      <c r="S3" s="2">
        <f>'[1]Flexibility, Summer'!S3*Scenarios!$B$6</f>
        <v>60.995077282067925</v>
      </c>
      <c r="T3" s="2">
        <f>'[1]Flexibility, Summer'!T3*Scenarios!$B$6</f>
        <v>64.44926840916591</v>
      </c>
      <c r="U3" s="2">
        <f>'[1]Flexibility, Summer'!U3*Scenarios!$B$6</f>
        <v>84.146123473540229</v>
      </c>
      <c r="V3" s="2">
        <f>'[1]Flexibility, Summer'!V3*Scenarios!$B$6</f>
        <v>93.34281683080323</v>
      </c>
      <c r="W3" s="2">
        <f>'[1]Flexibility, Summer'!W3*Scenarios!$B$6</f>
        <v>88.650330771349346</v>
      </c>
      <c r="X3" s="2">
        <f>'[1]Flexibility, Summer'!X3*Scenarios!$B$6</f>
        <v>83.697151041925807</v>
      </c>
      <c r="Y3" s="2">
        <f>'[1]Flexibility, Summer'!Y3*Scenarios!$B$6</f>
        <v>78.027063720085707</v>
      </c>
    </row>
    <row r="4" spans="1:25" x14ac:dyDescent="0.3">
      <c r="A4">
        <v>3</v>
      </c>
      <c r="B4" s="2">
        <f>'[1]Flexibility, Summer'!B4*Scenarios!$B$6</f>
        <v>78.671556404177366</v>
      </c>
      <c r="C4" s="2">
        <f>'[1]Flexibility, Summer'!C4*Scenarios!$B$6</f>
        <v>75.767718580348642</v>
      </c>
      <c r="D4" s="2">
        <f>'[1]Flexibility, Summer'!D4*Scenarios!$B$6</f>
        <v>76.216691011963064</v>
      </c>
      <c r="E4" s="2">
        <f>'[1]Flexibility, Summer'!E4*Scenarios!$B$6</f>
        <v>67.802078664609041</v>
      </c>
      <c r="F4" s="2">
        <f>'[1]Flexibility, Summer'!F4*Scenarios!$B$6</f>
        <v>68.337948986213348</v>
      </c>
      <c r="G4" s="2">
        <f>'[1]Flexibility, Summer'!G4*Scenarios!$B$6</f>
        <v>72.016626329118552</v>
      </c>
      <c r="H4" s="2">
        <f>'[1]Flexibility, Summer'!H4*Scenarios!$B$6</f>
        <v>82.046091132117951</v>
      </c>
      <c r="I4" s="2">
        <f>'[1]Flexibility, Summer'!I4*Scenarios!$B$6</f>
        <v>79.562259776573697</v>
      </c>
      <c r="J4" s="2">
        <f>'[1]Flexibility, Summer'!J4*Scenarios!$B$6</f>
        <v>65.17341749241497</v>
      </c>
      <c r="K4" s="2">
        <f>'[1]Flexibility, Summer'!K4*Scenarios!$B$6</f>
        <v>54.311181243679144</v>
      </c>
      <c r="L4" s="2">
        <f>'[1]Flexibility, Summer'!L4*Scenarios!$B$6</f>
        <v>46.982792521198704</v>
      </c>
      <c r="M4" s="2">
        <f>'[1]Flexibility, Summer'!M4*Scenarios!$B$6</f>
        <v>46.743823323726517</v>
      </c>
      <c r="N4" s="2">
        <f>'[1]Flexibility, Summer'!N4*Scenarios!$B$6</f>
        <v>47.062448920356097</v>
      </c>
      <c r="O4" s="2">
        <f>'[1]Flexibility, Summer'!O4*Scenarios!$B$6</f>
        <v>46.982792521198704</v>
      </c>
      <c r="P4" s="2">
        <f>'[1]Flexibility, Summer'!P4*Scenarios!$B$6</f>
        <v>45.889327405492629</v>
      </c>
      <c r="Q4" s="2">
        <f>'[1]Flexibility, Summer'!Q4*Scenarios!$B$6</f>
        <v>43.448944994943318</v>
      </c>
      <c r="R4" s="2">
        <f>'[1]Flexibility, Summer'!R4*Scenarios!$B$6</f>
        <v>46.280367910447119</v>
      </c>
      <c r="S4" s="2">
        <f>'[1]Flexibility, Summer'!S4*Scenarios!$B$6</f>
        <v>50.683194336601375</v>
      </c>
      <c r="T4" s="2">
        <f>'[1]Flexibility, Summer'!T4*Scenarios!$B$6</f>
        <v>61.936471090291697</v>
      </c>
      <c r="U4" s="2">
        <f>'[1]Flexibility, Summer'!U4*Scenarios!$B$6</f>
        <v>78.946733055812004</v>
      </c>
      <c r="V4" s="2">
        <f>'[1]Flexibility, Summer'!V4*Scenarios!$B$6</f>
        <v>82.741274252037059</v>
      </c>
      <c r="W4" s="2">
        <f>'[1]Flexibility, Summer'!W4*Scenarios!$B$6</f>
        <v>78.599141495852464</v>
      </c>
      <c r="X4" s="2">
        <f>'[1]Flexibility, Summer'!X4*Scenarios!$B$6</f>
        <v>68.200360660396029</v>
      </c>
      <c r="Y4" s="2">
        <f>'[1]Flexibility, Summer'!Y4*Scenarios!$B$6</f>
        <v>53.753586449577377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</sheetData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A804BC-5FC2-455C-9A89-A3BDE7667108}">
  <dimension ref="A1:Y6"/>
  <sheetViews>
    <sheetView zoomScale="85" zoomScaleNormal="85" workbookViewId="0">
      <selection activeCell="O17" sqref="O17"/>
    </sheetView>
  </sheetViews>
  <sheetFormatPr defaultRowHeight="14.4" x14ac:dyDescent="0.3"/>
  <sheetData>
    <row r="1" spans="1:25" x14ac:dyDescent="0.3">
      <c r="A1" t="s">
        <v>2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'[1]Flexibility, Autumn'!B2*Scenarios!$B$6</f>
        <v>66.650681622243056</v>
      </c>
      <c r="C2" s="2">
        <f>'[1]Flexibility, Autumn'!C2*Scenarios!$B$6</f>
        <v>65.144451529085003</v>
      </c>
      <c r="D2" s="2">
        <f>'[1]Flexibility, Autumn'!D2*Scenarios!$B$6</f>
        <v>65.224107928242404</v>
      </c>
      <c r="E2" s="2">
        <f>'[1]Flexibility, Autumn'!E2*Scenarios!$B$6</f>
        <v>60.698176157935805</v>
      </c>
      <c r="F2" s="2">
        <f>'[1]Flexibility, Autumn'!F2*Scenarios!$B$6</f>
        <v>61.813365746139354</v>
      </c>
      <c r="G2" s="2">
        <f>'[1]Flexibility, Autumn'!G2*Scenarios!$B$6</f>
        <v>65.093761093257584</v>
      </c>
      <c r="H2" s="2">
        <f>'[1]Flexibility, Autumn'!H2*Scenarios!$B$6</f>
        <v>75.412885529556618</v>
      </c>
      <c r="I2" s="2">
        <f>'[1]Flexibility, Autumn'!I2*Scenarios!$B$6</f>
        <v>87.730661435623048</v>
      </c>
      <c r="J2" s="2">
        <f>'[1]Flexibility, Autumn'!J2*Scenarios!$B$6</f>
        <v>87.441001802323427</v>
      </c>
      <c r="K2" s="2">
        <f>'[1]Flexibility, Autumn'!K2*Scenarios!$B$6</f>
        <v>85.478557786718483</v>
      </c>
      <c r="L2" s="2">
        <f>'[1]Flexibility, Autumn'!L2*Scenarios!$B$6</f>
        <v>72.32801043491564</v>
      </c>
      <c r="M2" s="2">
        <f>'[1]Flexibility, Autumn'!M2*Scenarios!$B$6</f>
        <v>67.577592448801838</v>
      </c>
      <c r="N2" s="2">
        <f>'[1]Flexibility, Autumn'!N2*Scenarios!$B$6</f>
        <v>66.179984718131166</v>
      </c>
      <c r="O2" s="2">
        <f>'[1]Flexibility, Autumn'!O2*Scenarios!$B$6</f>
        <v>65.245832400739872</v>
      </c>
      <c r="P2" s="2">
        <f>'[1]Flexibility, Autumn'!P2*Scenarios!$B$6</f>
        <v>66.911375292212711</v>
      </c>
      <c r="Q2" s="2">
        <f>'[1]Flexibility, Autumn'!Q2*Scenarios!$B$6</f>
        <v>79.395705487426412</v>
      </c>
      <c r="R2" s="2">
        <f>'[1]Flexibility, Autumn'!R2*Scenarios!$B$6</f>
        <v>87.578590128140746</v>
      </c>
      <c r="S2" s="2">
        <f>'[1]Flexibility, Autumn'!S2*Scenarios!$B$6</f>
        <v>97.933922018602232</v>
      </c>
      <c r="T2" s="2">
        <f>'[1]Flexibility, Autumn'!T2*Scenarios!$B$6</f>
        <v>116.25489382480332</v>
      </c>
      <c r="U2" s="2">
        <f>'[1]Flexibility, Autumn'!U2*Scenarios!$B$6</f>
        <v>109.72306909389685</v>
      </c>
      <c r="V2" s="2">
        <f>'[1]Flexibility, Autumn'!V2*Scenarios!$B$6</f>
        <v>89.070337239633801</v>
      </c>
      <c r="W2" s="2">
        <f>'[1]Flexibility, Autumn'!W2*Scenarios!$B$6</f>
        <v>85.652353566698253</v>
      </c>
      <c r="X2" s="2">
        <f>'[1]Flexibility, Autumn'!X2*Scenarios!$B$6</f>
        <v>85.652353566698253</v>
      </c>
      <c r="Y2" s="2">
        <f>'[1]Flexibility, Autumn'!Y2*Scenarios!$B$6</f>
        <v>79.395705487426412</v>
      </c>
    </row>
    <row r="3" spans="1:25" x14ac:dyDescent="0.3">
      <c r="A3">
        <v>2</v>
      </c>
      <c r="B3" s="2">
        <f>'[1]Flexibility, Autumn'!B3*Scenarios!$B$6</f>
        <v>57.931926659924422</v>
      </c>
      <c r="C3" s="2">
        <f>'[1]Flexibility, Autumn'!C3*Scenarios!$B$6</f>
        <v>55.607408102694954</v>
      </c>
      <c r="D3" s="2">
        <f>'[1]Flexibility, Autumn'!D3*Scenarios!$B$6</f>
        <v>54.311181243679144</v>
      </c>
      <c r="E3" s="2">
        <f>'[1]Flexibility, Autumn'!E3*Scenarios!$B$6</f>
        <v>52.565981953048926</v>
      </c>
      <c r="F3" s="2">
        <f>'[1]Flexibility, Autumn'!F3*Scenarios!$B$6</f>
        <v>51.407343419850427</v>
      </c>
      <c r="G3" s="2">
        <f>'[1]Flexibility, Autumn'!G3*Scenarios!$B$6</f>
        <v>55.759479410177256</v>
      </c>
      <c r="H3" s="2">
        <f>'[1]Flexibility, Autumn'!H3*Scenarios!$B$6</f>
        <v>64.007537468383987</v>
      </c>
      <c r="I3" s="2">
        <f>'[1]Flexibility, Autumn'!I3*Scenarios!$B$6</f>
        <v>77.74464557761857</v>
      </c>
      <c r="J3" s="2">
        <f>'[1]Flexibility, Autumn'!J3*Scenarios!$B$6</f>
        <v>88.042045541420137</v>
      </c>
      <c r="K3" s="2">
        <f>'[1]Flexibility, Autumn'!K3*Scenarios!$B$6</f>
        <v>74.442525758002873</v>
      </c>
      <c r="L3" s="2">
        <f>'[1]Flexibility, Autumn'!L3*Scenarios!$B$6</f>
        <v>67.490694558811953</v>
      </c>
      <c r="M3" s="2">
        <f>'[1]Flexibility, Autumn'!M3*Scenarios!$B$6</f>
        <v>61.581638039499666</v>
      </c>
      <c r="N3" s="2">
        <f>'[1]Flexibility, Autumn'!N3*Scenarios!$B$6</f>
        <v>64.384094991673493</v>
      </c>
      <c r="O3" s="2">
        <f>'[1]Flexibility, Autumn'!O3*Scenarios!$B$6</f>
        <v>61.777158291976903</v>
      </c>
      <c r="P3" s="2">
        <f>'[1]Flexibility, Autumn'!P3*Scenarios!$B$6</f>
        <v>61.921988108626721</v>
      </c>
      <c r="Q3" s="2">
        <f>'[1]Flexibility, Autumn'!Q3*Scenarios!$B$6</f>
        <v>69.156237450284777</v>
      </c>
      <c r="R3" s="2">
        <f>'[1]Flexibility, Autumn'!R3*Scenarios!$B$6</f>
        <v>81.828846407143246</v>
      </c>
      <c r="S3" s="2">
        <f>'[1]Flexibility, Autumn'!S3*Scenarios!$B$6</f>
        <v>94.139380822377177</v>
      </c>
      <c r="T3" s="2">
        <f>'[1]Flexibility, Autumn'!T3*Scenarios!$B$6</f>
        <v>97.137358027028256</v>
      </c>
      <c r="U3" s="2">
        <f>'[1]Flexibility, Autumn'!U3*Scenarios!$B$6</f>
        <v>97.767367729454946</v>
      </c>
      <c r="V3" s="2">
        <f>'[1]Flexibility, Autumn'!V3*Scenarios!$B$6</f>
        <v>107.69545166079949</v>
      </c>
      <c r="W3" s="2">
        <f>'[1]Flexibility, Autumn'!W3*Scenarios!$B$6</f>
        <v>97.282187843678088</v>
      </c>
      <c r="X3" s="2">
        <f>'[1]Flexibility, Autumn'!X3*Scenarios!$B$6</f>
        <v>83.421974390291169</v>
      </c>
      <c r="Y3" s="2">
        <f>'[1]Flexibility, Autumn'!Y3*Scenarios!$B$6</f>
        <v>73.863206491403631</v>
      </c>
    </row>
    <row r="4" spans="1:25" x14ac:dyDescent="0.3">
      <c r="A4">
        <v>3</v>
      </c>
      <c r="B4" s="2">
        <f>'[1]Flexibility, Autumn'!B4*Scenarios!$B$6</f>
        <v>62.624412719378299</v>
      </c>
      <c r="C4" s="2">
        <f>'[1]Flexibility, Autumn'!C4*Scenarios!$B$6</f>
        <v>59.170221592280299</v>
      </c>
      <c r="D4" s="2">
        <f>'[1]Flexibility, Autumn'!D4*Scenarios!$B$6</f>
        <v>54.311181243679144</v>
      </c>
      <c r="E4" s="2">
        <f>'[1]Flexibility, Autumn'!E4*Scenarios!$B$6</f>
        <v>51.197340185708207</v>
      </c>
      <c r="F4" s="2">
        <f>'[1]Flexibility, Autumn'!F4*Scenarios!$B$6</f>
        <v>51.182857204043231</v>
      </c>
      <c r="G4" s="2">
        <f>'[1]Flexibility, Autumn'!G4*Scenarios!$B$6</f>
        <v>51.8925233056273</v>
      </c>
      <c r="H4" s="2">
        <f>'[1]Flexibility, Autumn'!H4*Scenarios!$B$6</f>
        <v>53.47116830711024</v>
      </c>
      <c r="I4" s="2">
        <f>'[1]Flexibility, Autumn'!I4*Scenarios!$B$6</f>
        <v>56.483628493426309</v>
      </c>
      <c r="J4" s="2">
        <f>'[1]Flexibility, Autumn'!J4*Scenarios!$B$6</f>
        <v>52.928056494673449</v>
      </c>
      <c r="K4" s="2">
        <f>'[1]Flexibility, Autumn'!K4*Scenarios!$B$6</f>
        <v>50.690435827433866</v>
      </c>
      <c r="L4" s="2">
        <f>'[1]Flexibility, Autumn'!L4*Scenarios!$B$6</f>
        <v>48.307985343544473</v>
      </c>
      <c r="M4" s="2">
        <f>'[1]Flexibility, Autumn'!M4*Scenarios!$B$6</f>
        <v>34.61432617930484</v>
      </c>
      <c r="N4" s="2">
        <f>'[1]Flexibility, Autumn'!N4*Scenarios!$B$6</f>
        <v>36.200212671620271</v>
      </c>
      <c r="O4" s="2">
        <f>'[1]Flexibility, Autumn'!O4*Scenarios!$B$6</f>
        <v>36.38124994243254</v>
      </c>
      <c r="P4" s="2">
        <f>'[1]Flexibility, Autumn'!P4*Scenarios!$B$6</f>
        <v>43.448944994943318</v>
      </c>
      <c r="Q4" s="2">
        <f>'[1]Flexibility, Autumn'!Q4*Scenarios!$B$6</f>
        <v>51.001819933230969</v>
      </c>
      <c r="R4" s="2">
        <f>'[1]Flexibility, Autumn'!R4*Scenarios!$B$6</f>
        <v>60.65472721294087</v>
      </c>
      <c r="S4" s="2">
        <f>'[1]Flexibility, Autumn'!S4*Scenarios!$B$6</f>
        <v>76.38324530111035</v>
      </c>
      <c r="T4" s="2">
        <f>'[1]Flexibility, Autumn'!T4*Scenarios!$B$6</f>
        <v>91.155886599391067</v>
      </c>
      <c r="U4" s="2">
        <f>'[1]Flexibility, Autumn'!U4*Scenarios!$B$6</f>
        <v>86.90513148071912</v>
      </c>
      <c r="V4" s="2">
        <f>'[1]Flexibility, Autumn'!V4*Scenarios!$B$6</f>
        <v>86.680645264911917</v>
      </c>
      <c r="W4" s="2">
        <f>'[1]Flexibility, Autumn'!W4*Scenarios!$B$6</f>
        <v>80.199510969832872</v>
      </c>
      <c r="X4" s="2">
        <f>'[1]Flexibility, Autumn'!X4*Scenarios!$B$6</f>
        <v>73.204230825647002</v>
      </c>
      <c r="Y4" s="2">
        <f>'[1]Flexibility, Autumn'!Y4*Scenarios!$B$6</f>
        <v>69.264859812772144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Scenarios</vt:lpstr>
      <vt:lpstr>Cp, Winter</vt:lpstr>
      <vt:lpstr>Cp, Spring</vt:lpstr>
      <vt:lpstr>Cp, Summer</vt:lpstr>
      <vt:lpstr>Cp, Autumn</vt:lpstr>
      <vt:lpstr>Flex, Winter</vt:lpstr>
      <vt:lpstr>Flex, Spring</vt:lpstr>
      <vt:lpstr>Flex, Summer</vt:lpstr>
      <vt:lpstr>Flex, Autumn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Micael Filipe Simões</dc:creator>
  <cp:lastModifiedBy>Micael Filipe Simões</cp:lastModifiedBy>
  <dcterms:created xsi:type="dcterms:W3CDTF">2015-06-05T18:17:20Z</dcterms:created>
  <dcterms:modified xsi:type="dcterms:W3CDTF">2025-05-30T14:06:48Z</dcterms:modified>
</cp:coreProperties>
</file>