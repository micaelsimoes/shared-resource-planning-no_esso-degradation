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Market Data\"/>
    </mc:Choice>
  </mc:AlternateContent>
  <xr:revisionPtr revIDLastSave="0" documentId="13_ncr:1_{C93678FB-6D1E-4B95-91EA-954FB214ECCF}" xr6:coauthVersionLast="47" xr6:coauthVersionMax="47" xr10:uidLastSave="{00000000-0000-0000-0000-000000000000}"/>
  <bookViews>
    <workbookView xWindow="33075" yWindow="-10800" windowWidth="28800" windowHeight="15285" xr2:uid="{00000000-000D-0000-FFFF-FFFF00000000}"/>
  </bookViews>
  <sheets>
    <sheet name="Scenarios" sheetId="1" r:id="rId1"/>
    <sheet name="Cp, Winter" sheetId="2" r:id="rId2"/>
    <sheet name="Cp, Spring" sheetId="20" r:id="rId3"/>
    <sheet name="Cp, Summer" sheetId="14" r:id="rId4"/>
    <sheet name="Cp, Autumn" sheetId="21" r:id="rId5"/>
    <sheet name="Flex, Winter" sheetId="18" r:id="rId6"/>
    <sheet name="Flex, Spring" sheetId="22" r:id="rId7"/>
    <sheet name="Flex, Summer" sheetId="19" r:id="rId8"/>
    <sheet name="Flex, Autumn" sheetId="23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E1" i="1"/>
  <c r="C1" i="1"/>
  <c r="B7" i="1"/>
  <c r="B6" i="1"/>
  <c r="X4" i="23" s="1"/>
  <c r="Y2" i="14" l="1"/>
  <c r="K4" i="14"/>
  <c r="D2" i="21"/>
  <c r="B4" i="18"/>
  <c r="G3" i="22"/>
  <c r="Y3" i="2"/>
  <c r="C4" i="18"/>
  <c r="B2" i="21"/>
  <c r="B4" i="2"/>
  <c r="S2" i="21"/>
  <c r="T2" i="21"/>
  <c r="U2" i="21"/>
  <c r="J2" i="20"/>
  <c r="J3" i="18"/>
  <c r="K3" i="18"/>
  <c r="V3" i="20"/>
  <c r="O4" i="20"/>
  <c r="D4" i="18"/>
  <c r="C2" i="21"/>
  <c r="Q4" i="2"/>
  <c r="R4" i="2"/>
  <c r="S4" i="2"/>
  <c r="I3" i="18"/>
  <c r="K2" i="20"/>
  <c r="U3" i="20"/>
  <c r="M4" i="20"/>
  <c r="X2" i="14"/>
  <c r="E3" i="22"/>
  <c r="F3" i="22"/>
  <c r="R4" i="14"/>
  <c r="Q3" i="22"/>
  <c r="N4" i="20"/>
  <c r="L3" i="21"/>
  <c r="V3" i="22"/>
  <c r="M3" i="21"/>
  <c r="X3" i="22"/>
  <c r="F3" i="2"/>
  <c r="F2" i="14"/>
  <c r="Y4" i="21"/>
  <c r="O4" i="22"/>
  <c r="G3" i="2"/>
  <c r="G2" i="14"/>
  <c r="O2" i="18"/>
  <c r="H2" i="19"/>
  <c r="I3" i="2"/>
  <c r="H2" i="14"/>
  <c r="Q2" i="18"/>
  <c r="J2" i="19"/>
  <c r="W3" i="2"/>
  <c r="W2" i="14"/>
  <c r="R2" i="18"/>
  <c r="Y2" i="19"/>
  <c r="N3" i="21"/>
  <c r="S4" i="18"/>
  <c r="G3" i="19"/>
  <c r="L2" i="20"/>
  <c r="R3" i="19"/>
  <c r="C3" i="20"/>
  <c r="Q3" i="14"/>
  <c r="F4" i="21"/>
  <c r="M2" i="2"/>
  <c r="D3" i="20"/>
  <c r="R3" i="14"/>
  <c r="G4" i="21"/>
  <c r="L2" i="22"/>
  <c r="D2" i="23"/>
  <c r="P3" i="14"/>
  <c r="E4" i="21"/>
  <c r="T4" i="18"/>
  <c r="K4" i="19"/>
  <c r="N2" i="2"/>
  <c r="E3" i="20"/>
  <c r="I4" i="14"/>
  <c r="V4" i="21"/>
  <c r="M2" i="22"/>
  <c r="F2" i="23"/>
  <c r="U4" i="18"/>
  <c r="O2" i="2"/>
  <c r="T3" i="20"/>
  <c r="J4" i="14"/>
  <c r="W4" i="21"/>
  <c r="N2" i="22"/>
  <c r="U2" i="23"/>
  <c r="N3" i="23"/>
  <c r="G4" i="23"/>
  <c r="W3" i="22"/>
  <c r="P4" i="22"/>
  <c r="I2" i="19"/>
  <c r="B3" i="19"/>
  <c r="S3" i="19"/>
  <c r="L4" i="19"/>
  <c r="E2" i="23"/>
  <c r="V2" i="23"/>
  <c r="O3" i="23"/>
  <c r="I4" i="23"/>
  <c r="Q2" i="2"/>
  <c r="J3" i="2"/>
  <c r="C4" i="2"/>
  <c r="T4" i="2"/>
  <c r="M2" i="20"/>
  <c r="F3" i="20"/>
  <c r="W3" i="20"/>
  <c r="P4" i="20"/>
  <c r="I2" i="14"/>
  <c r="B3" i="14"/>
  <c r="S3" i="14"/>
  <c r="L4" i="14"/>
  <c r="E2" i="21"/>
  <c r="V2" i="21"/>
  <c r="O3" i="21"/>
  <c r="I4" i="21"/>
  <c r="B2" i="18"/>
  <c r="S2" i="18"/>
  <c r="L3" i="18"/>
  <c r="E4" i="18"/>
  <c r="V4" i="18"/>
  <c r="O2" i="22"/>
  <c r="H3" i="22"/>
  <c r="Y3" i="22"/>
  <c r="R4" i="22"/>
  <c r="K2" i="19"/>
  <c r="D3" i="19"/>
  <c r="U3" i="19"/>
  <c r="N4" i="19"/>
  <c r="G2" i="23"/>
  <c r="Y2" i="23"/>
  <c r="R3" i="23"/>
  <c r="K4" i="23"/>
  <c r="R2" i="2"/>
  <c r="K3" i="2"/>
  <c r="D4" i="2"/>
  <c r="U4" i="2"/>
  <c r="N2" i="20"/>
  <c r="G3" i="20"/>
  <c r="X3" i="20"/>
  <c r="Q4" i="20"/>
  <c r="J2" i="14"/>
  <c r="C3" i="14"/>
  <c r="T3" i="14"/>
  <c r="M4" i="14"/>
  <c r="F2" i="21"/>
  <c r="W2" i="21"/>
  <c r="Q3" i="21"/>
  <c r="J4" i="21"/>
  <c r="C2" i="18"/>
  <c r="T2" i="18"/>
  <c r="M3" i="18"/>
  <c r="F4" i="18"/>
  <c r="W4" i="18"/>
  <c r="P2" i="22"/>
  <c r="I3" i="22"/>
  <c r="B4" i="22"/>
  <c r="S4" i="22"/>
  <c r="L2" i="19"/>
  <c r="E3" i="19"/>
  <c r="V3" i="19"/>
  <c r="O4" i="19"/>
  <c r="I2" i="23"/>
  <c r="B3" i="23"/>
  <c r="S3" i="23"/>
  <c r="L4" i="23"/>
  <c r="Q4" i="22"/>
  <c r="T3" i="19"/>
  <c r="Q3" i="23"/>
  <c r="V4" i="2"/>
  <c r="O2" i="20"/>
  <c r="H3" i="20"/>
  <c r="Y3" i="20"/>
  <c r="R4" i="20"/>
  <c r="K2" i="14"/>
  <c r="D3" i="14"/>
  <c r="U3" i="14"/>
  <c r="N4" i="14"/>
  <c r="G2" i="21"/>
  <c r="Y2" i="21"/>
  <c r="R3" i="21"/>
  <c r="K4" i="21"/>
  <c r="D2" i="18"/>
  <c r="U2" i="18"/>
  <c r="N3" i="18"/>
  <c r="G4" i="18"/>
  <c r="X4" i="18"/>
  <c r="Q2" i="22"/>
  <c r="J3" i="22"/>
  <c r="C4" i="22"/>
  <c r="T4" i="22"/>
  <c r="M2" i="19"/>
  <c r="F3" i="19"/>
  <c r="W3" i="19"/>
  <c r="Q4" i="19"/>
  <c r="J2" i="23"/>
  <c r="C3" i="23"/>
  <c r="T3" i="23"/>
  <c r="M4" i="23"/>
  <c r="B3" i="21"/>
  <c r="S4" i="20"/>
  <c r="L2" i="14"/>
  <c r="O4" i="14"/>
  <c r="I2" i="21"/>
  <c r="S3" i="21"/>
  <c r="E2" i="18"/>
  <c r="V2" i="18"/>
  <c r="O3" i="18"/>
  <c r="H4" i="18"/>
  <c r="D4" i="22"/>
  <c r="N4" i="23"/>
  <c r="D2" i="2"/>
  <c r="U2" i="2"/>
  <c r="N3" i="2"/>
  <c r="X4" i="2"/>
  <c r="Q2" i="20"/>
  <c r="T4" i="20"/>
  <c r="M2" i="14"/>
  <c r="F3" i="14"/>
  <c r="W3" i="14"/>
  <c r="Q4" i="14"/>
  <c r="J2" i="21"/>
  <c r="C3" i="21"/>
  <c r="T3" i="21"/>
  <c r="M4" i="21"/>
  <c r="F2" i="18"/>
  <c r="W2" i="18"/>
  <c r="P3" i="18"/>
  <c r="I4" i="18"/>
  <c r="B2" i="22"/>
  <c r="S2" i="22"/>
  <c r="L3" i="22"/>
  <c r="E4" i="22"/>
  <c r="V4" i="22"/>
  <c r="O2" i="19"/>
  <c r="I3" i="19"/>
  <c r="B4" i="19"/>
  <c r="S4" i="19"/>
  <c r="L2" i="23"/>
  <c r="E3" i="23"/>
  <c r="V3" i="23"/>
  <c r="O4" i="23"/>
  <c r="U3" i="21"/>
  <c r="Q3" i="18"/>
  <c r="P4" i="23"/>
  <c r="C3" i="19"/>
  <c r="M4" i="19"/>
  <c r="W2" i="23"/>
  <c r="J4" i="23"/>
  <c r="B2" i="2"/>
  <c r="S2" i="2"/>
  <c r="L3" i="2"/>
  <c r="E4" i="2"/>
  <c r="C2" i="2"/>
  <c r="T2" i="2"/>
  <c r="M3" i="2"/>
  <c r="W4" i="2"/>
  <c r="P2" i="20"/>
  <c r="I3" i="20"/>
  <c r="B4" i="20"/>
  <c r="L4" i="21"/>
  <c r="Y4" i="18"/>
  <c r="R2" i="22"/>
  <c r="K3" i="22"/>
  <c r="U4" i="22"/>
  <c r="R4" i="19"/>
  <c r="K2" i="23"/>
  <c r="U3" i="23"/>
  <c r="G4" i="2"/>
  <c r="J3" i="20"/>
  <c r="Y4" i="2"/>
  <c r="R2" i="20"/>
  <c r="K3" i="20"/>
  <c r="D4" i="20"/>
  <c r="U4" i="20"/>
  <c r="N2" i="14"/>
  <c r="G3" i="14"/>
  <c r="Y3" i="14"/>
  <c r="K2" i="21"/>
  <c r="D3" i="21"/>
  <c r="N4" i="21"/>
  <c r="G2" i="18"/>
  <c r="X2" i="18"/>
  <c r="J4" i="18"/>
  <c r="C2" i="22"/>
  <c r="T2" i="22"/>
  <c r="M3" i="22"/>
  <c r="F4" i="22"/>
  <c r="W4" i="22"/>
  <c r="Q2" i="19"/>
  <c r="J3" i="19"/>
  <c r="C4" i="19"/>
  <c r="T4" i="19"/>
  <c r="M2" i="23"/>
  <c r="F3" i="23"/>
  <c r="W3" i="23"/>
  <c r="F2" i="2"/>
  <c r="W2" i="2"/>
  <c r="P3" i="2"/>
  <c r="I4" i="2"/>
  <c r="B2" i="20"/>
  <c r="S2" i="20"/>
  <c r="L3" i="20"/>
  <c r="E4" i="20"/>
  <c r="V4" i="20"/>
  <c r="O2" i="14"/>
  <c r="I3" i="14"/>
  <c r="B4" i="14"/>
  <c r="S4" i="14"/>
  <c r="L2" i="21"/>
  <c r="E3" i="21"/>
  <c r="V3" i="21"/>
  <c r="O4" i="21"/>
  <c r="H2" i="18"/>
  <c r="Y2" i="18"/>
  <c r="R3" i="18"/>
  <c r="K4" i="18"/>
  <c r="D2" i="22"/>
  <c r="U2" i="22"/>
  <c r="N3" i="22"/>
  <c r="G4" i="22"/>
  <c r="Y4" i="22"/>
  <c r="R2" i="19"/>
  <c r="K3" i="19"/>
  <c r="D4" i="19"/>
  <c r="U4" i="19"/>
  <c r="N2" i="23"/>
  <c r="G3" i="23"/>
  <c r="X3" i="23"/>
  <c r="Q4" i="23"/>
  <c r="N2" i="19"/>
  <c r="D3" i="23"/>
  <c r="C4" i="20"/>
  <c r="E2" i="2"/>
  <c r="V2" i="2"/>
  <c r="O3" i="2"/>
  <c r="H4" i="2"/>
  <c r="G2" i="2"/>
  <c r="X2" i="2"/>
  <c r="Q3" i="2"/>
  <c r="J4" i="2"/>
  <c r="C2" i="20"/>
  <c r="T2" i="20"/>
  <c r="M3" i="20"/>
  <c r="F4" i="20"/>
  <c r="W4" i="20"/>
  <c r="Q2" i="14"/>
  <c r="J3" i="14"/>
  <c r="C4" i="14"/>
  <c r="T4" i="14"/>
  <c r="M2" i="21"/>
  <c r="F3" i="21"/>
  <c r="W3" i="21"/>
  <c r="P4" i="21"/>
  <c r="I2" i="18"/>
  <c r="B3" i="18"/>
  <c r="S3" i="18"/>
  <c r="L4" i="18"/>
  <c r="E2" i="22"/>
  <c r="V2" i="22"/>
  <c r="O3" i="22"/>
  <c r="I4" i="22"/>
  <c r="B2" i="19"/>
  <c r="S2" i="19"/>
  <c r="L3" i="19"/>
  <c r="E4" i="19"/>
  <c r="V4" i="19"/>
  <c r="O2" i="23"/>
  <c r="H3" i="23"/>
  <c r="Y3" i="23"/>
  <c r="R4" i="23"/>
  <c r="F4" i="2"/>
  <c r="V3" i="14"/>
  <c r="E3" i="14"/>
  <c r="Y3" i="19"/>
  <c r="H2" i="2"/>
  <c r="Y2" i="2"/>
  <c r="R3" i="2"/>
  <c r="K4" i="2"/>
  <c r="D2" i="20"/>
  <c r="U2" i="20"/>
  <c r="N3" i="20"/>
  <c r="Y4" i="20"/>
  <c r="R2" i="14"/>
  <c r="K3" i="14"/>
  <c r="U4" i="14"/>
  <c r="N2" i="21"/>
  <c r="G3" i="21"/>
  <c r="X3" i="21"/>
  <c r="Q4" i="21"/>
  <c r="J2" i="18"/>
  <c r="C3" i="18"/>
  <c r="T3" i="18"/>
  <c r="M4" i="18"/>
  <c r="F2" i="22"/>
  <c r="W2" i="22"/>
  <c r="J4" i="22"/>
  <c r="C2" i="19"/>
  <c r="T2" i="19"/>
  <c r="M3" i="19"/>
  <c r="F4" i="19"/>
  <c r="P2" i="23"/>
  <c r="I4" i="20"/>
  <c r="B2" i="14"/>
  <c r="S2" i="14"/>
  <c r="L3" i="14"/>
  <c r="E4" i="14"/>
  <c r="V4" i="14"/>
  <c r="O2" i="21"/>
  <c r="H3" i="21"/>
  <c r="Y3" i="21"/>
  <c r="R4" i="21"/>
  <c r="K2" i="18"/>
  <c r="D3" i="18"/>
  <c r="U3" i="18"/>
  <c r="N4" i="18"/>
  <c r="G2" i="22"/>
  <c r="Y2" i="22"/>
  <c r="R3" i="22"/>
  <c r="K4" i="22"/>
  <c r="D2" i="19"/>
  <c r="U2" i="19"/>
  <c r="N3" i="19"/>
  <c r="G4" i="19"/>
  <c r="X4" i="19"/>
  <c r="Q2" i="23"/>
  <c r="J3" i="23"/>
  <c r="C4" i="23"/>
  <c r="T4" i="23"/>
  <c r="S4" i="23"/>
  <c r="I2" i="2"/>
  <c r="B3" i="2"/>
  <c r="S3" i="2"/>
  <c r="V2" i="20"/>
  <c r="M4" i="2"/>
  <c r="F2" i="20"/>
  <c r="Q3" i="20"/>
  <c r="J4" i="20"/>
  <c r="C2" i="14"/>
  <c r="T2" i="14"/>
  <c r="M3" i="14"/>
  <c r="F4" i="14"/>
  <c r="W4" i="14"/>
  <c r="P2" i="21"/>
  <c r="I3" i="21"/>
  <c r="B4" i="21"/>
  <c r="S4" i="21"/>
  <c r="L2" i="18"/>
  <c r="E3" i="18"/>
  <c r="V3" i="18"/>
  <c r="O4" i="18"/>
  <c r="I2" i="22"/>
  <c r="B3" i="22"/>
  <c r="S3" i="22"/>
  <c r="L4" i="22"/>
  <c r="E2" i="19"/>
  <c r="V2" i="19"/>
  <c r="O3" i="19"/>
  <c r="H4" i="19"/>
  <c r="Y4" i="19"/>
  <c r="R2" i="23"/>
  <c r="K3" i="23"/>
  <c r="D4" i="23"/>
  <c r="V4" i="23"/>
  <c r="I3" i="23"/>
  <c r="L4" i="2"/>
  <c r="E2" i="20"/>
  <c r="W2" i="20"/>
  <c r="K2" i="2"/>
  <c r="D3" i="2"/>
  <c r="U3" i="2"/>
  <c r="N4" i="2"/>
  <c r="G2" i="20"/>
  <c r="Y2" i="20"/>
  <c r="R3" i="20"/>
  <c r="K4" i="20"/>
  <c r="D2" i="14"/>
  <c r="U2" i="14"/>
  <c r="N3" i="14"/>
  <c r="G4" i="14"/>
  <c r="X4" i="14"/>
  <c r="Q2" i="21"/>
  <c r="J3" i="21"/>
  <c r="C4" i="21"/>
  <c r="T4" i="21"/>
  <c r="M2" i="18"/>
  <c r="F3" i="18"/>
  <c r="W3" i="18"/>
  <c r="Q4" i="18"/>
  <c r="J2" i="22"/>
  <c r="C3" i="22"/>
  <c r="T3" i="22"/>
  <c r="M4" i="22"/>
  <c r="F2" i="19"/>
  <c r="W2" i="19"/>
  <c r="P3" i="19"/>
  <c r="I4" i="19"/>
  <c r="B2" i="23"/>
  <c r="S2" i="23"/>
  <c r="L3" i="23"/>
  <c r="E4" i="23"/>
  <c r="W4" i="23"/>
  <c r="G4" i="20"/>
  <c r="D4" i="14"/>
  <c r="W4" i="19"/>
  <c r="B4" i="23"/>
  <c r="O3" i="20"/>
  <c r="J2" i="2"/>
  <c r="C3" i="2"/>
  <c r="T3" i="2"/>
  <c r="L2" i="2"/>
  <c r="E3" i="2"/>
  <c r="V3" i="2"/>
  <c r="O4" i="2"/>
  <c r="I2" i="20"/>
  <c r="B3" i="20"/>
  <c r="S3" i="20"/>
  <c r="L4" i="20"/>
  <c r="E2" i="14"/>
  <c r="V2" i="14"/>
  <c r="O3" i="14"/>
  <c r="H4" i="14"/>
  <c r="Y4" i="14"/>
  <c r="R2" i="21"/>
  <c r="K3" i="21"/>
  <c r="D4" i="21"/>
  <c r="U4" i="21"/>
  <c r="N2" i="18"/>
  <c r="G3" i="18"/>
  <c r="Y3" i="18"/>
  <c r="R4" i="18"/>
  <c r="K2" i="22"/>
  <c r="D3" i="22"/>
  <c r="U3" i="22"/>
  <c r="N4" i="22"/>
  <c r="G2" i="19"/>
  <c r="X2" i="19"/>
  <c r="Q3" i="19"/>
  <c r="J4" i="19"/>
  <c r="C2" i="23"/>
  <c r="T2" i="23"/>
  <c r="M3" i="23"/>
  <c r="F4" i="23"/>
  <c r="Y4" i="23"/>
  <c r="U4" i="23"/>
  <c r="P2" i="2"/>
  <c r="H3" i="2"/>
  <c r="X3" i="2"/>
  <c r="P4" i="2"/>
  <c r="H2" i="20"/>
  <c r="X2" i="20"/>
  <c r="P3" i="20"/>
  <c r="H4" i="20"/>
  <c r="X4" i="20"/>
  <c r="P2" i="14"/>
  <c r="H3" i="14"/>
  <c r="X3" i="14"/>
  <c r="P4" i="14"/>
  <c r="H2" i="21"/>
  <c r="X2" i="21"/>
  <c r="P3" i="21"/>
  <c r="H4" i="21"/>
  <c r="X4" i="21"/>
  <c r="P2" i="18"/>
  <c r="H3" i="18"/>
  <c r="X3" i="18"/>
  <c r="P4" i="18"/>
  <c r="H2" i="22"/>
  <c r="X2" i="22"/>
  <c r="P3" i="22"/>
  <c r="H4" i="22"/>
  <c r="X4" i="22"/>
  <c r="P2" i="19"/>
  <c r="H3" i="19"/>
  <c r="X3" i="19"/>
  <c r="P4" i="19"/>
  <c r="H2" i="23"/>
  <c r="X2" i="23"/>
  <c r="P3" i="23"/>
  <c r="H4" i="23"/>
</calcChain>
</file>

<file path=xl/sharedStrings.xml><?xml version="1.0" encoding="utf-8"?>
<sst xmlns="http://schemas.openxmlformats.org/spreadsheetml/2006/main" count="14" uniqueCount="7">
  <si>
    <t>Year</t>
  </si>
  <si>
    <t>NumScenarios</t>
  </si>
  <si>
    <t>Scenario</t>
  </si>
  <si>
    <t>Value</t>
  </si>
  <si>
    <t>Active Power</t>
  </si>
  <si>
    <t>Growth factors (cumul.)</t>
  </si>
  <si>
    <t>Flexibility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</si>
</sst>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Market%20Data\CS7_market_data_base.xlsx" TargetMode="External"/><Relationship Id="rId1" Type="http://schemas.openxmlformats.org/officeDocument/2006/relationships/externalLinkPath" Target="CS7_market_data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Energy, Winter"/>
      <sheetName val="Energy, Spring"/>
      <sheetName val="Energy, Summer"/>
      <sheetName val="Energy, Autumn"/>
      <sheetName val="Flexibility, Winter"/>
      <sheetName val="Flexibility, Spring"/>
      <sheetName val="Flexibility, Summer"/>
      <sheetName val="Flexibility, Autumn"/>
    </sheetNames>
    <sheetDataSet>
      <sheetData sheetId="0">
        <row r="1">
          <cell r="B1">
            <v>2025</v>
          </cell>
        </row>
        <row r="4">
          <cell r="B4">
            <v>2.5000000000000001E-2</v>
          </cell>
        </row>
        <row r="5">
          <cell r="B5">
            <v>0.02</v>
          </cell>
        </row>
      </sheetData>
      <sheetData sheetId="1">
        <row r="2">
          <cell r="B2">
            <v>91.75</v>
          </cell>
          <cell r="C2">
            <v>86.18</v>
          </cell>
          <cell r="D2">
            <v>82.1</v>
          </cell>
          <cell r="E2">
            <v>80</v>
          </cell>
          <cell r="F2">
            <v>79.599999999999994</v>
          </cell>
          <cell r="G2">
            <v>81.099999999999994</v>
          </cell>
          <cell r="H2">
            <v>85.91</v>
          </cell>
          <cell r="I2">
            <v>102.05</v>
          </cell>
          <cell r="J2">
            <v>113.84</v>
          </cell>
          <cell r="K2">
            <v>110</v>
          </cell>
          <cell r="L2">
            <v>97.63</v>
          </cell>
          <cell r="M2">
            <v>86.18</v>
          </cell>
          <cell r="N2">
            <v>83.89</v>
          </cell>
          <cell r="O2">
            <v>82.18</v>
          </cell>
          <cell r="P2">
            <v>83</v>
          </cell>
          <cell r="Q2">
            <v>85</v>
          </cell>
          <cell r="R2">
            <v>97.63</v>
          </cell>
          <cell r="S2">
            <v>118.5</v>
          </cell>
          <cell r="T2">
            <v>128.93</v>
          </cell>
          <cell r="U2">
            <v>132.31</v>
          </cell>
          <cell r="V2">
            <v>117.93</v>
          </cell>
          <cell r="W2">
            <v>108.33</v>
          </cell>
          <cell r="X2">
            <v>100</v>
          </cell>
          <cell r="Y2">
            <v>93.26</v>
          </cell>
        </row>
        <row r="3">
          <cell r="B3">
            <v>88.98</v>
          </cell>
          <cell r="C3">
            <v>86.45</v>
          </cell>
          <cell r="D3">
            <v>84.99</v>
          </cell>
          <cell r="E3">
            <v>83</v>
          </cell>
          <cell r="F3">
            <v>83.14</v>
          </cell>
          <cell r="G3">
            <v>85</v>
          </cell>
          <cell r="H3">
            <v>89</v>
          </cell>
          <cell r="I3">
            <v>100</v>
          </cell>
          <cell r="J3">
            <v>104.77</v>
          </cell>
          <cell r="K3">
            <v>105</v>
          </cell>
          <cell r="L3">
            <v>100</v>
          </cell>
          <cell r="M3">
            <v>94.58</v>
          </cell>
          <cell r="N3">
            <v>92</v>
          </cell>
          <cell r="O3">
            <v>91.78</v>
          </cell>
          <cell r="P3">
            <v>90.1</v>
          </cell>
          <cell r="Q3">
            <v>92.01</v>
          </cell>
          <cell r="R3">
            <v>100.98</v>
          </cell>
          <cell r="S3">
            <v>107.1</v>
          </cell>
          <cell r="T3">
            <v>126</v>
          </cell>
          <cell r="U3">
            <v>119.47</v>
          </cell>
          <cell r="V3">
            <v>110</v>
          </cell>
          <cell r="W3">
            <v>102.26</v>
          </cell>
          <cell r="X3">
            <v>98</v>
          </cell>
          <cell r="Y3">
            <v>95.49</v>
          </cell>
        </row>
        <row r="4">
          <cell r="B4">
            <v>92.33</v>
          </cell>
          <cell r="C4">
            <v>90.12</v>
          </cell>
          <cell r="D4">
            <v>87.01</v>
          </cell>
          <cell r="E4">
            <v>85.8</v>
          </cell>
          <cell r="F4">
            <v>85</v>
          </cell>
          <cell r="G4">
            <v>86.3</v>
          </cell>
          <cell r="H4">
            <v>95</v>
          </cell>
          <cell r="I4">
            <v>103.94</v>
          </cell>
          <cell r="J4">
            <v>121.4</v>
          </cell>
          <cell r="K4">
            <v>121.4</v>
          </cell>
          <cell r="L4">
            <v>105.38</v>
          </cell>
          <cell r="M4">
            <v>102.97</v>
          </cell>
          <cell r="N4">
            <v>99.99</v>
          </cell>
          <cell r="O4">
            <v>98.5</v>
          </cell>
          <cell r="P4">
            <v>94.76</v>
          </cell>
          <cell r="Q4">
            <v>94.73</v>
          </cell>
          <cell r="R4">
            <v>99.37</v>
          </cell>
          <cell r="S4">
            <v>102.7</v>
          </cell>
          <cell r="T4">
            <v>111.29</v>
          </cell>
          <cell r="U4">
            <v>121.4</v>
          </cell>
          <cell r="V4">
            <v>120</v>
          </cell>
          <cell r="W4">
            <v>107.71</v>
          </cell>
          <cell r="X4">
            <v>101.32</v>
          </cell>
          <cell r="Y4">
            <v>92.68</v>
          </cell>
        </row>
      </sheetData>
      <sheetData sheetId="2">
        <row r="2">
          <cell r="B2">
            <v>44</v>
          </cell>
          <cell r="C2">
            <v>46.62</v>
          </cell>
          <cell r="D2">
            <v>48.16</v>
          </cell>
          <cell r="E2">
            <v>48.4</v>
          </cell>
          <cell r="F2">
            <v>50.5</v>
          </cell>
          <cell r="G2">
            <v>55.99</v>
          </cell>
          <cell r="H2">
            <v>58.82</v>
          </cell>
          <cell r="I2">
            <v>49.98</v>
          </cell>
          <cell r="J2">
            <v>33.799999999999997</v>
          </cell>
          <cell r="K2">
            <v>13.5</v>
          </cell>
          <cell r="L2">
            <v>11.3</v>
          </cell>
          <cell r="M2">
            <v>9.4499999999999993</v>
          </cell>
          <cell r="N2">
            <v>4.5</v>
          </cell>
          <cell r="O2">
            <v>3.13</v>
          </cell>
          <cell r="P2">
            <v>0.54</v>
          </cell>
          <cell r="Q2">
            <v>3.25</v>
          </cell>
          <cell r="R2">
            <v>5</v>
          </cell>
          <cell r="S2">
            <v>15.17</v>
          </cell>
          <cell r="T2">
            <v>33.799999999999997</v>
          </cell>
          <cell r="U2">
            <v>49.12</v>
          </cell>
          <cell r="V2">
            <v>59.31</v>
          </cell>
          <cell r="W2">
            <v>57.63</v>
          </cell>
          <cell r="X2">
            <v>49</v>
          </cell>
          <cell r="Y2">
            <v>72.430000000000007</v>
          </cell>
        </row>
        <row r="3">
          <cell r="B3">
            <v>70.5</v>
          </cell>
          <cell r="C3">
            <v>69.13</v>
          </cell>
          <cell r="D3">
            <v>69</v>
          </cell>
          <cell r="E3">
            <v>68.010000000000005</v>
          </cell>
          <cell r="F3">
            <v>68.84</v>
          </cell>
          <cell r="G3">
            <v>67</v>
          </cell>
          <cell r="H3">
            <v>67.92</v>
          </cell>
          <cell r="I3">
            <v>72.87</v>
          </cell>
          <cell r="J3">
            <v>41.7</v>
          </cell>
          <cell r="K3">
            <v>30</v>
          </cell>
          <cell r="L3">
            <v>18.82</v>
          </cell>
          <cell r="M3">
            <v>20.43</v>
          </cell>
          <cell r="N3">
            <v>14.7</v>
          </cell>
          <cell r="O3">
            <v>9.66</v>
          </cell>
          <cell r="P3">
            <v>8.2100000000000009</v>
          </cell>
          <cell r="Q3">
            <v>7.44</v>
          </cell>
          <cell r="R3">
            <v>14.7</v>
          </cell>
          <cell r="S3">
            <v>19.440000000000001</v>
          </cell>
          <cell r="T3">
            <v>34.79</v>
          </cell>
          <cell r="U3">
            <v>62.73</v>
          </cell>
          <cell r="V3">
            <v>68.010000000000005</v>
          </cell>
          <cell r="W3">
            <v>66.77</v>
          </cell>
          <cell r="X3">
            <v>63.08</v>
          </cell>
          <cell r="Y3">
            <v>72</v>
          </cell>
        </row>
        <row r="4">
          <cell r="B4">
            <v>68.900000000000006</v>
          </cell>
          <cell r="C4">
            <v>65.900000000000006</v>
          </cell>
          <cell r="D4">
            <v>66.319999999999993</v>
          </cell>
          <cell r="E4">
            <v>64.760000000000005</v>
          </cell>
          <cell r="F4">
            <v>67.88</v>
          </cell>
          <cell r="G4">
            <v>62.9</v>
          </cell>
          <cell r="H4">
            <v>66.430000000000007</v>
          </cell>
          <cell r="I4">
            <v>58.58</v>
          </cell>
          <cell r="J4">
            <v>38.65</v>
          </cell>
          <cell r="K4">
            <v>24.17</v>
          </cell>
          <cell r="L4">
            <v>22</v>
          </cell>
          <cell r="M4">
            <v>21.76</v>
          </cell>
          <cell r="N4">
            <v>11.72</v>
          </cell>
          <cell r="O4">
            <v>10.23</v>
          </cell>
          <cell r="P4">
            <v>3.25</v>
          </cell>
          <cell r="Q4">
            <v>3.25</v>
          </cell>
          <cell r="R4">
            <v>8.4700000000000006</v>
          </cell>
          <cell r="S4">
            <v>25.1</v>
          </cell>
          <cell r="T4">
            <v>41.2</v>
          </cell>
          <cell r="U4">
            <v>57.24</v>
          </cell>
          <cell r="V4">
            <v>74.63</v>
          </cell>
          <cell r="W4">
            <v>67.88</v>
          </cell>
          <cell r="X4">
            <v>71</v>
          </cell>
          <cell r="Y4">
            <v>72</v>
          </cell>
        </row>
      </sheetData>
      <sheetData sheetId="3">
        <row r="2">
          <cell r="B2">
            <v>113.14</v>
          </cell>
          <cell r="C2">
            <v>112.38</v>
          </cell>
          <cell r="D2">
            <v>112.64</v>
          </cell>
          <cell r="E2">
            <v>112.58</v>
          </cell>
          <cell r="F2">
            <v>112.88</v>
          </cell>
          <cell r="G2">
            <v>116.84</v>
          </cell>
          <cell r="H2">
            <v>120.72</v>
          </cell>
          <cell r="I2">
            <v>116.84</v>
          </cell>
          <cell r="J2">
            <v>112.82</v>
          </cell>
          <cell r="K2">
            <v>111.92</v>
          </cell>
          <cell r="L2">
            <v>98</v>
          </cell>
          <cell r="M2">
            <v>92.98</v>
          </cell>
          <cell r="N2">
            <v>92.79</v>
          </cell>
          <cell r="O2">
            <v>88.99</v>
          </cell>
          <cell r="P2">
            <v>83</v>
          </cell>
          <cell r="Q2">
            <v>81.8</v>
          </cell>
          <cell r="R2">
            <v>81.8</v>
          </cell>
          <cell r="S2">
            <v>94.37</v>
          </cell>
          <cell r="T2">
            <v>109.2</v>
          </cell>
          <cell r="U2">
            <v>117.6</v>
          </cell>
          <cell r="V2">
            <v>132.66</v>
          </cell>
          <cell r="W2">
            <v>125.5</v>
          </cell>
          <cell r="X2">
            <v>117.14</v>
          </cell>
          <cell r="Y2">
            <v>113.84</v>
          </cell>
        </row>
        <row r="3">
          <cell r="B3">
            <v>107.22</v>
          </cell>
          <cell r="C3">
            <v>107.21</v>
          </cell>
          <cell r="D3">
            <v>107.21</v>
          </cell>
          <cell r="E3">
            <v>95</v>
          </cell>
          <cell r="F3">
            <v>102.44</v>
          </cell>
          <cell r="G3">
            <v>105</v>
          </cell>
          <cell r="H3">
            <v>115.1</v>
          </cell>
          <cell r="I3">
            <v>102.44</v>
          </cell>
          <cell r="J3">
            <v>87.97</v>
          </cell>
          <cell r="K3">
            <v>79.39</v>
          </cell>
          <cell r="L3">
            <v>79.599999999999994</v>
          </cell>
          <cell r="M3">
            <v>81.099999999999994</v>
          </cell>
          <cell r="N3">
            <v>82</v>
          </cell>
          <cell r="O3">
            <v>82.49</v>
          </cell>
          <cell r="P3">
            <v>79.599999999999994</v>
          </cell>
          <cell r="Q3">
            <v>79.599999999999994</v>
          </cell>
          <cell r="R3">
            <v>82</v>
          </cell>
          <cell r="S3">
            <v>84.23</v>
          </cell>
          <cell r="T3">
            <v>89</v>
          </cell>
          <cell r="U3">
            <v>116.2</v>
          </cell>
          <cell r="V3">
            <v>128.9</v>
          </cell>
          <cell r="W3">
            <v>122.42</v>
          </cell>
          <cell r="X3">
            <v>115.58</v>
          </cell>
          <cell r="Y3">
            <v>107.75</v>
          </cell>
        </row>
        <row r="4">
          <cell r="B4">
            <v>108.64</v>
          </cell>
          <cell r="C4">
            <v>104.63</v>
          </cell>
          <cell r="D4">
            <v>105.25</v>
          </cell>
          <cell r="E4">
            <v>93.63</v>
          </cell>
          <cell r="F4">
            <v>94.37</v>
          </cell>
          <cell r="G4">
            <v>99.45</v>
          </cell>
          <cell r="H4">
            <v>113.3</v>
          </cell>
          <cell r="I4">
            <v>109.87</v>
          </cell>
          <cell r="J4">
            <v>90</v>
          </cell>
          <cell r="K4">
            <v>75</v>
          </cell>
          <cell r="L4">
            <v>64.88</v>
          </cell>
          <cell r="M4">
            <v>64.55</v>
          </cell>
          <cell r="N4">
            <v>64.989999999999995</v>
          </cell>
          <cell r="O4">
            <v>64.88</v>
          </cell>
          <cell r="P4">
            <v>63.37</v>
          </cell>
          <cell r="Q4">
            <v>60</v>
          </cell>
          <cell r="R4">
            <v>63.91</v>
          </cell>
          <cell r="S4">
            <v>69.989999999999995</v>
          </cell>
          <cell r="T4">
            <v>85.53</v>
          </cell>
          <cell r="U4">
            <v>109.02</v>
          </cell>
          <cell r="V4">
            <v>114.26</v>
          </cell>
          <cell r="W4">
            <v>108.54</v>
          </cell>
          <cell r="X4">
            <v>94.18</v>
          </cell>
          <cell r="Y4">
            <v>74.23</v>
          </cell>
        </row>
      </sheetData>
      <sheetData sheetId="4">
        <row r="2">
          <cell r="B2">
            <v>92.04</v>
          </cell>
          <cell r="C2">
            <v>89.96</v>
          </cell>
          <cell r="D2">
            <v>90.07</v>
          </cell>
          <cell r="E2">
            <v>83.82</v>
          </cell>
          <cell r="F2">
            <v>85.36</v>
          </cell>
          <cell r="G2">
            <v>89.89</v>
          </cell>
          <cell r="H2">
            <v>104.14</v>
          </cell>
          <cell r="I2">
            <v>121.15</v>
          </cell>
          <cell r="J2">
            <v>120.75</v>
          </cell>
          <cell r="K2">
            <v>118.04</v>
          </cell>
          <cell r="L2">
            <v>99.88</v>
          </cell>
          <cell r="M2">
            <v>93.32</v>
          </cell>
          <cell r="N2">
            <v>91.39</v>
          </cell>
          <cell r="O2">
            <v>90.1</v>
          </cell>
          <cell r="P2">
            <v>92.4</v>
          </cell>
          <cell r="Q2">
            <v>109.64</v>
          </cell>
          <cell r="R2">
            <v>120.94</v>
          </cell>
          <cell r="S2">
            <v>135.24</v>
          </cell>
          <cell r="T2">
            <v>160.54</v>
          </cell>
          <cell r="U2">
            <v>151.52000000000001</v>
          </cell>
          <cell r="V2">
            <v>123</v>
          </cell>
          <cell r="W2">
            <v>118.28</v>
          </cell>
          <cell r="X2">
            <v>118.28</v>
          </cell>
          <cell r="Y2">
            <v>109.64</v>
          </cell>
        </row>
        <row r="3">
          <cell r="B3">
            <v>80</v>
          </cell>
          <cell r="C3">
            <v>76.790000000000006</v>
          </cell>
          <cell r="D3">
            <v>75</v>
          </cell>
          <cell r="E3">
            <v>72.59</v>
          </cell>
          <cell r="F3">
            <v>70.989999999999995</v>
          </cell>
          <cell r="G3">
            <v>77</v>
          </cell>
          <cell r="H3">
            <v>88.39</v>
          </cell>
          <cell r="I3">
            <v>107.36</v>
          </cell>
          <cell r="J3">
            <v>121.58</v>
          </cell>
          <cell r="K3">
            <v>102.8</v>
          </cell>
          <cell r="L3">
            <v>93.2</v>
          </cell>
          <cell r="M3">
            <v>85.04</v>
          </cell>
          <cell r="N3">
            <v>88.91</v>
          </cell>
          <cell r="O3">
            <v>85.31</v>
          </cell>
          <cell r="P3">
            <v>85.51</v>
          </cell>
          <cell r="Q3">
            <v>95.5</v>
          </cell>
          <cell r="R3">
            <v>113</v>
          </cell>
          <cell r="S3">
            <v>130</v>
          </cell>
          <cell r="T3">
            <v>134.13999999999999</v>
          </cell>
          <cell r="U3">
            <v>135.01</v>
          </cell>
          <cell r="V3">
            <v>148.72</v>
          </cell>
          <cell r="W3">
            <v>134.34</v>
          </cell>
          <cell r="X3">
            <v>115.2</v>
          </cell>
          <cell r="Y3">
            <v>102</v>
          </cell>
        </row>
        <row r="4">
          <cell r="B4">
            <v>86.48</v>
          </cell>
          <cell r="C4">
            <v>81.709999999999994</v>
          </cell>
          <cell r="D4">
            <v>75</v>
          </cell>
          <cell r="E4">
            <v>70.7</v>
          </cell>
          <cell r="F4">
            <v>70.680000000000007</v>
          </cell>
          <cell r="G4">
            <v>71.66</v>
          </cell>
          <cell r="H4">
            <v>73.84</v>
          </cell>
          <cell r="I4">
            <v>78</v>
          </cell>
          <cell r="J4">
            <v>73.09</v>
          </cell>
          <cell r="K4">
            <v>70</v>
          </cell>
          <cell r="L4">
            <v>66.709999999999994</v>
          </cell>
          <cell r="M4">
            <v>47.8</v>
          </cell>
          <cell r="N4">
            <v>49.99</v>
          </cell>
          <cell r="O4">
            <v>50.24</v>
          </cell>
          <cell r="P4">
            <v>60</v>
          </cell>
          <cell r="Q4">
            <v>70.430000000000007</v>
          </cell>
          <cell r="R4">
            <v>83.76</v>
          </cell>
          <cell r="S4">
            <v>105.48</v>
          </cell>
          <cell r="T4">
            <v>125.88</v>
          </cell>
          <cell r="U4">
            <v>120.01</v>
          </cell>
          <cell r="V4">
            <v>119.7</v>
          </cell>
          <cell r="W4">
            <v>110.75</v>
          </cell>
          <cell r="X4">
            <v>101.09</v>
          </cell>
          <cell r="Y4">
            <v>95.65</v>
          </cell>
        </row>
      </sheetData>
      <sheetData sheetId="5">
        <row r="2">
          <cell r="B2">
            <v>45.875</v>
          </cell>
          <cell r="C2">
            <v>43.09</v>
          </cell>
          <cell r="D2">
            <v>41.05</v>
          </cell>
          <cell r="E2">
            <v>40</v>
          </cell>
          <cell r="F2">
            <v>39.799999999999997</v>
          </cell>
          <cell r="G2">
            <v>40.549999999999997</v>
          </cell>
          <cell r="H2">
            <v>42.954999999999998</v>
          </cell>
          <cell r="I2">
            <v>51.024999999999999</v>
          </cell>
          <cell r="J2">
            <v>56.92</v>
          </cell>
          <cell r="K2">
            <v>55</v>
          </cell>
          <cell r="L2">
            <v>48.814999999999998</v>
          </cell>
          <cell r="M2">
            <v>43.09</v>
          </cell>
          <cell r="N2">
            <v>41.945</v>
          </cell>
          <cell r="O2">
            <v>41.09</v>
          </cell>
          <cell r="P2">
            <v>41.5</v>
          </cell>
          <cell r="Q2">
            <v>42.5</v>
          </cell>
          <cell r="R2">
            <v>48.814999999999998</v>
          </cell>
          <cell r="S2">
            <v>59.25</v>
          </cell>
          <cell r="T2">
            <v>64.465000000000003</v>
          </cell>
          <cell r="U2">
            <v>66.155000000000001</v>
          </cell>
          <cell r="V2">
            <v>58.965000000000003</v>
          </cell>
          <cell r="W2">
            <v>54.164999999999999</v>
          </cell>
          <cell r="X2">
            <v>50</v>
          </cell>
          <cell r="Y2">
            <v>46.63</v>
          </cell>
        </row>
        <row r="3">
          <cell r="B3">
            <v>44.49</v>
          </cell>
          <cell r="C3">
            <v>43.225000000000001</v>
          </cell>
          <cell r="D3">
            <v>42.494999999999997</v>
          </cell>
          <cell r="E3">
            <v>41.5</v>
          </cell>
          <cell r="F3">
            <v>41.57</v>
          </cell>
          <cell r="G3">
            <v>42.5</v>
          </cell>
          <cell r="H3">
            <v>44.5</v>
          </cell>
          <cell r="I3">
            <v>50</v>
          </cell>
          <cell r="J3">
            <v>52.384999999999998</v>
          </cell>
          <cell r="K3">
            <v>52.5</v>
          </cell>
          <cell r="L3">
            <v>50</v>
          </cell>
          <cell r="M3">
            <v>47.29</v>
          </cell>
          <cell r="N3">
            <v>46</v>
          </cell>
          <cell r="O3">
            <v>45.89</v>
          </cell>
          <cell r="P3">
            <v>45.05</v>
          </cell>
          <cell r="Q3">
            <v>46.005000000000003</v>
          </cell>
          <cell r="R3">
            <v>50.49</v>
          </cell>
          <cell r="S3">
            <v>53.55</v>
          </cell>
          <cell r="T3">
            <v>63</v>
          </cell>
          <cell r="U3">
            <v>59.734999999999999</v>
          </cell>
          <cell r="V3">
            <v>55</v>
          </cell>
          <cell r="W3">
            <v>51.13</v>
          </cell>
          <cell r="X3">
            <v>49</v>
          </cell>
          <cell r="Y3">
            <v>47.744999999999997</v>
          </cell>
        </row>
        <row r="4">
          <cell r="B4">
            <v>46.164999999999999</v>
          </cell>
          <cell r="C4">
            <v>45.06</v>
          </cell>
          <cell r="D4">
            <v>43.505000000000003</v>
          </cell>
          <cell r="E4">
            <v>42.9</v>
          </cell>
          <cell r="F4">
            <v>42.5</v>
          </cell>
          <cell r="G4">
            <v>43.15</v>
          </cell>
          <cell r="H4">
            <v>47.5</v>
          </cell>
          <cell r="I4">
            <v>51.97</v>
          </cell>
          <cell r="J4">
            <v>60.7</v>
          </cell>
          <cell r="K4">
            <v>60.7</v>
          </cell>
          <cell r="L4">
            <v>52.69</v>
          </cell>
          <cell r="M4">
            <v>51.484999999999999</v>
          </cell>
          <cell r="N4">
            <v>49.994999999999997</v>
          </cell>
          <cell r="O4">
            <v>49.25</v>
          </cell>
          <cell r="P4">
            <v>47.38</v>
          </cell>
          <cell r="Q4">
            <v>47.365000000000002</v>
          </cell>
          <cell r="R4">
            <v>49.685000000000002</v>
          </cell>
          <cell r="S4">
            <v>51.35</v>
          </cell>
          <cell r="T4">
            <v>55.645000000000003</v>
          </cell>
          <cell r="U4">
            <v>60.7</v>
          </cell>
          <cell r="V4">
            <v>60</v>
          </cell>
          <cell r="W4">
            <v>53.854999999999997</v>
          </cell>
          <cell r="X4">
            <v>50.66</v>
          </cell>
          <cell r="Y4">
            <v>46.34</v>
          </cell>
        </row>
      </sheetData>
      <sheetData sheetId="6">
        <row r="2">
          <cell r="B2">
            <v>22</v>
          </cell>
          <cell r="C2">
            <v>23.31</v>
          </cell>
          <cell r="D2">
            <v>24.08</v>
          </cell>
          <cell r="E2">
            <v>24.2</v>
          </cell>
          <cell r="F2">
            <v>25.25</v>
          </cell>
          <cell r="G2">
            <v>27.995000000000001</v>
          </cell>
          <cell r="H2">
            <v>29.41</v>
          </cell>
          <cell r="I2">
            <v>24.99</v>
          </cell>
          <cell r="J2">
            <v>16.899999999999999</v>
          </cell>
          <cell r="K2">
            <v>6.75</v>
          </cell>
          <cell r="L2">
            <v>5.65</v>
          </cell>
          <cell r="M2">
            <v>4.7249999999999996</v>
          </cell>
          <cell r="N2">
            <v>2.25</v>
          </cell>
          <cell r="O2">
            <v>1.5649999999999999</v>
          </cell>
          <cell r="P2">
            <v>0.27</v>
          </cell>
          <cell r="Q2">
            <v>1.625</v>
          </cell>
          <cell r="R2">
            <v>2.5</v>
          </cell>
          <cell r="S2">
            <v>7.585</v>
          </cell>
          <cell r="T2">
            <v>16.899999999999999</v>
          </cell>
          <cell r="U2">
            <v>24.56</v>
          </cell>
          <cell r="V2">
            <v>29.655000000000001</v>
          </cell>
          <cell r="W2">
            <v>28.815000000000001</v>
          </cell>
          <cell r="X2">
            <v>24.5</v>
          </cell>
          <cell r="Y2">
            <v>36.215000000000003</v>
          </cell>
        </row>
        <row r="3">
          <cell r="B3">
            <v>35.25</v>
          </cell>
          <cell r="C3">
            <v>34.564999999999998</v>
          </cell>
          <cell r="D3">
            <v>34.5</v>
          </cell>
          <cell r="E3">
            <v>34.005000000000003</v>
          </cell>
          <cell r="F3">
            <v>34.42</v>
          </cell>
          <cell r="G3">
            <v>33.5</v>
          </cell>
          <cell r="H3">
            <v>33.96</v>
          </cell>
          <cell r="I3">
            <v>36.435000000000002</v>
          </cell>
          <cell r="J3">
            <v>20.85</v>
          </cell>
          <cell r="K3">
            <v>15</v>
          </cell>
          <cell r="L3">
            <v>9.41</v>
          </cell>
          <cell r="M3">
            <v>10.215</v>
          </cell>
          <cell r="N3">
            <v>7.35</v>
          </cell>
          <cell r="O3">
            <v>4.83</v>
          </cell>
          <cell r="P3">
            <v>4.1050000000000004</v>
          </cell>
          <cell r="Q3">
            <v>3.72</v>
          </cell>
          <cell r="R3">
            <v>7.35</v>
          </cell>
          <cell r="S3">
            <v>9.7200000000000006</v>
          </cell>
          <cell r="T3">
            <v>17.395</v>
          </cell>
          <cell r="U3">
            <v>31.364999999999998</v>
          </cell>
          <cell r="V3">
            <v>34.005000000000003</v>
          </cell>
          <cell r="W3">
            <v>33.384999999999998</v>
          </cell>
          <cell r="X3">
            <v>31.54</v>
          </cell>
          <cell r="Y3">
            <v>36</v>
          </cell>
        </row>
        <row r="4">
          <cell r="B4">
            <v>34.450000000000003</v>
          </cell>
          <cell r="C4">
            <v>32.950000000000003</v>
          </cell>
          <cell r="D4">
            <v>33.159999999999997</v>
          </cell>
          <cell r="E4">
            <v>32.380000000000003</v>
          </cell>
          <cell r="F4">
            <v>33.94</v>
          </cell>
          <cell r="G4">
            <v>31.45</v>
          </cell>
          <cell r="H4">
            <v>33.215000000000003</v>
          </cell>
          <cell r="I4">
            <v>29.29</v>
          </cell>
          <cell r="J4">
            <v>19.324999999999999</v>
          </cell>
          <cell r="K4">
            <v>12.085000000000001</v>
          </cell>
          <cell r="L4">
            <v>11</v>
          </cell>
          <cell r="M4">
            <v>10.88</v>
          </cell>
          <cell r="N4">
            <v>5.86</v>
          </cell>
          <cell r="O4">
            <v>5.1150000000000002</v>
          </cell>
          <cell r="P4">
            <v>1.625</v>
          </cell>
          <cell r="Q4">
            <v>1.625</v>
          </cell>
          <cell r="R4">
            <v>4.2350000000000003</v>
          </cell>
          <cell r="S4">
            <v>12.55</v>
          </cell>
          <cell r="T4">
            <v>20.6</v>
          </cell>
          <cell r="U4">
            <v>28.62</v>
          </cell>
          <cell r="V4">
            <v>37.314999999999998</v>
          </cell>
          <cell r="W4">
            <v>33.94</v>
          </cell>
          <cell r="X4">
            <v>35.5</v>
          </cell>
          <cell r="Y4">
            <v>36</v>
          </cell>
        </row>
      </sheetData>
      <sheetData sheetId="7">
        <row r="2">
          <cell r="B2">
            <v>56.57</v>
          </cell>
          <cell r="C2">
            <v>56.19</v>
          </cell>
          <cell r="D2">
            <v>56.32</v>
          </cell>
          <cell r="E2">
            <v>56.29</v>
          </cell>
          <cell r="F2">
            <v>56.44</v>
          </cell>
          <cell r="G2">
            <v>58.42</v>
          </cell>
          <cell r="H2">
            <v>60.36</v>
          </cell>
          <cell r="I2">
            <v>58.42</v>
          </cell>
          <cell r="J2">
            <v>56.41</v>
          </cell>
          <cell r="K2">
            <v>55.96</v>
          </cell>
          <cell r="L2">
            <v>49</v>
          </cell>
          <cell r="M2">
            <v>46.49</v>
          </cell>
          <cell r="N2">
            <v>46.395000000000003</v>
          </cell>
          <cell r="O2">
            <v>44.494999999999997</v>
          </cell>
          <cell r="P2">
            <v>41.5</v>
          </cell>
          <cell r="Q2">
            <v>40.9</v>
          </cell>
          <cell r="R2">
            <v>40.9</v>
          </cell>
          <cell r="S2">
            <v>47.185000000000002</v>
          </cell>
          <cell r="T2">
            <v>54.6</v>
          </cell>
          <cell r="U2">
            <v>58.8</v>
          </cell>
          <cell r="V2">
            <v>66.33</v>
          </cell>
          <cell r="W2">
            <v>62.75</v>
          </cell>
          <cell r="X2">
            <v>58.57</v>
          </cell>
          <cell r="Y2">
            <v>56.92</v>
          </cell>
        </row>
        <row r="3">
          <cell r="B3">
            <v>53.61</v>
          </cell>
          <cell r="C3">
            <v>53.604999999999997</v>
          </cell>
          <cell r="D3">
            <v>53.604999999999997</v>
          </cell>
          <cell r="E3">
            <v>47.5</v>
          </cell>
          <cell r="F3">
            <v>51.22</v>
          </cell>
          <cell r="G3">
            <v>52.5</v>
          </cell>
          <cell r="H3">
            <v>57.55</v>
          </cell>
          <cell r="I3">
            <v>51.22</v>
          </cell>
          <cell r="J3">
            <v>43.984999999999999</v>
          </cell>
          <cell r="K3">
            <v>39.695</v>
          </cell>
          <cell r="L3">
            <v>39.799999999999997</v>
          </cell>
          <cell r="M3">
            <v>40.549999999999997</v>
          </cell>
          <cell r="N3">
            <v>41</v>
          </cell>
          <cell r="O3">
            <v>41.244999999999997</v>
          </cell>
          <cell r="P3">
            <v>39.799999999999997</v>
          </cell>
          <cell r="Q3">
            <v>39.799999999999997</v>
          </cell>
          <cell r="R3">
            <v>41</v>
          </cell>
          <cell r="S3">
            <v>42.115000000000002</v>
          </cell>
          <cell r="T3">
            <v>44.5</v>
          </cell>
          <cell r="U3">
            <v>58.1</v>
          </cell>
          <cell r="V3">
            <v>64.45</v>
          </cell>
          <cell r="W3">
            <v>61.21</v>
          </cell>
          <cell r="X3">
            <v>57.79</v>
          </cell>
          <cell r="Y3">
            <v>53.875</v>
          </cell>
        </row>
        <row r="4">
          <cell r="B4">
            <v>54.32</v>
          </cell>
          <cell r="C4">
            <v>52.314999999999998</v>
          </cell>
          <cell r="D4">
            <v>52.625</v>
          </cell>
          <cell r="E4">
            <v>46.814999999999998</v>
          </cell>
          <cell r="F4">
            <v>47.185000000000002</v>
          </cell>
          <cell r="G4">
            <v>49.725000000000001</v>
          </cell>
          <cell r="H4">
            <v>56.65</v>
          </cell>
          <cell r="I4">
            <v>54.935000000000002</v>
          </cell>
          <cell r="J4">
            <v>45</v>
          </cell>
          <cell r="K4">
            <v>37.5</v>
          </cell>
          <cell r="L4">
            <v>32.44</v>
          </cell>
          <cell r="M4">
            <v>32.274999999999999</v>
          </cell>
          <cell r="N4">
            <v>32.494999999999997</v>
          </cell>
          <cell r="O4">
            <v>32.44</v>
          </cell>
          <cell r="P4">
            <v>31.684999999999999</v>
          </cell>
          <cell r="Q4">
            <v>30</v>
          </cell>
          <cell r="R4">
            <v>31.954999999999998</v>
          </cell>
          <cell r="S4">
            <v>34.994999999999997</v>
          </cell>
          <cell r="T4">
            <v>42.765000000000001</v>
          </cell>
          <cell r="U4">
            <v>54.51</v>
          </cell>
          <cell r="V4">
            <v>57.13</v>
          </cell>
          <cell r="W4">
            <v>54.27</v>
          </cell>
          <cell r="X4">
            <v>47.09</v>
          </cell>
          <cell r="Y4">
            <v>37.115000000000002</v>
          </cell>
        </row>
      </sheetData>
      <sheetData sheetId="8">
        <row r="2">
          <cell r="B2">
            <v>46.02</v>
          </cell>
          <cell r="C2">
            <v>44.98</v>
          </cell>
          <cell r="D2">
            <v>45.034999999999997</v>
          </cell>
          <cell r="E2">
            <v>41.91</v>
          </cell>
          <cell r="F2">
            <v>42.68</v>
          </cell>
          <cell r="G2">
            <v>44.945</v>
          </cell>
          <cell r="H2">
            <v>52.07</v>
          </cell>
          <cell r="I2">
            <v>60.575000000000003</v>
          </cell>
          <cell r="J2">
            <v>60.375</v>
          </cell>
          <cell r="K2">
            <v>59.02</v>
          </cell>
          <cell r="L2">
            <v>49.94</v>
          </cell>
          <cell r="M2">
            <v>46.66</v>
          </cell>
          <cell r="N2">
            <v>45.695</v>
          </cell>
          <cell r="O2">
            <v>45.05</v>
          </cell>
          <cell r="P2">
            <v>46.2</v>
          </cell>
          <cell r="Q2">
            <v>54.82</v>
          </cell>
          <cell r="R2">
            <v>60.47</v>
          </cell>
          <cell r="S2">
            <v>67.62</v>
          </cell>
          <cell r="T2">
            <v>80.27</v>
          </cell>
          <cell r="U2">
            <v>75.760000000000005</v>
          </cell>
          <cell r="V2">
            <v>61.5</v>
          </cell>
          <cell r="W2">
            <v>59.14</v>
          </cell>
          <cell r="X2">
            <v>59.14</v>
          </cell>
          <cell r="Y2">
            <v>54.82</v>
          </cell>
        </row>
        <row r="3">
          <cell r="B3">
            <v>40</v>
          </cell>
          <cell r="C3">
            <v>38.395000000000003</v>
          </cell>
          <cell r="D3">
            <v>37.5</v>
          </cell>
          <cell r="E3">
            <v>36.295000000000002</v>
          </cell>
          <cell r="F3">
            <v>35.494999999999997</v>
          </cell>
          <cell r="G3">
            <v>38.5</v>
          </cell>
          <cell r="H3">
            <v>44.195</v>
          </cell>
          <cell r="I3">
            <v>53.68</v>
          </cell>
          <cell r="J3">
            <v>60.79</v>
          </cell>
          <cell r="K3">
            <v>51.4</v>
          </cell>
          <cell r="L3">
            <v>46.6</v>
          </cell>
          <cell r="M3">
            <v>42.52</v>
          </cell>
          <cell r="N3">
            <v>44.454999999999998</v>
          </cell>
          <cell r="O3">
            <v>42.655000000000001</v>
          </cell>
          <cell r="P3">
            <v>42.755000000000003</v>
          </cell>
          <cell r="Q3">
            <v>47.75</v>
          </cell>
          <cell r="R3">
            <v>56.5</v>
          </cell>
          <cell r="S3">
            <v>65</v>
          </cell>
          <cell r="T3">
            <v>67.069999999999993</v>
          </cell>
          <cell r="U3">
            <v>67.504999999999995</v>
          </cell>
          <cell r="V3">
            <v>74.36</v>
          </cell>
          <cell r="W3">
            <v>67.17</v>
          </cell>
          <cell r="X3">
            <v>57.6</v>
          </cell>
          <cell r="Y3">
            <v>51</v>
          </cell>
        </row>
        <row r="4">
          <cell r="B4">
            <v>43.24</v>
          </cell>
          <cell r="C4">
            <v>40.854999999999997</v>
          </cell>
          <cell r="D4">
            <v>37.5</v>
          </cell>
          <cell r="E4">
            <v>35.35</v>
          </cell>
          <cell r="F4">
            <v>35.340000000000003</v>
          </cell>
          <cell r="G4">
            <v>35.83</v>
          </cell>
          <cell r="H4">
            <v>36.92</v>
          </cell>
          <cell r="I4">
            <v>39</v>
          </cell>
          <cell r="J4">
            <v>36.545000000000002</v>
          </cell>
          <cell r="K4">
            <v>35</v>
          </cell>
          <cell r="L4">
            <v>33.354999999999997</v>
          </cell>
          <cell r="M4">
            <v>23.9</v>
          </cell>
          <cell r="N4">
            <v>24.995000000000001</v>
          </cell>
          <cell r="O4">
            <v>25.12</v>
          </cell>
          <cell r="P4">
            <v>30</v>
          </cell>
          <cell r="Q4">
            <v>35.215000000000003</v>
          </cell>
          <cell r="R4">
            <v>41.88</v>
          </cell>
          <cell r="S4">
            <v>52.74</v>
          </cell>
          <cell r="T4">
            <v>62.94</v>
          </cell>
          <cell r="U4">
            <v>60.005000000000003</v>
          </cell>
          <cell r="V4">
            <v>59.85</v>
          </cell>
          <cell r="W4">
            <v>55.375</v>
          </cell>
          <cell r="X4">
            <v>50.545000000000002</v>
          </cell>
          <cell r="Y4">
            <v>47.825000000000003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B3" sqref="B3"/>
    </sheetView>
  </sheetViews>
  <sheetFormatPr defaultRowHeight="14.4" x14ac:dyDescent="0.3"/>
  <cols>
    <col min="1" max="1" width="17.6640625" customWidth="1"/>
  </cols>
  <sheetData>
    <row r="1" spans="1:8" x14ac:dyDescent="0.3">
      <c r="A1" t="s">
        <v>1</v>
      </c>
      <c r="B1">
        <v>3</v>
      </c>
      <c r="C1" s="1">
        <f>1/$B$1</f>
        <v>0.33333333333333331</v>
      </c>
      <c r="D1" s="1">
        <f t="shared" ref="D1:E1" si="0">1/$B$1</f>
        <v>0.33333333333333331</v>
      </c>
      <c r="E1" s="1">
        <f t="shared" si="0"/>
        <v>0.33333333333333331</v>
      </c>
      <c r="F1" s="1"/>
      <c r="G1" s="1"/>
      <c r="H1" s="1"/>
    </row>
    <row r="3" spans="1:8" x14ac:dyDescent="0.3">
      <c r="A3" t="s">
        <v>0</v>
      </c>
      <c r="B3" s="3">
        <v>2039</v>
      </c>
    </row>
    <row r="5" spans="1:8" x14ac:dyDescent="0.3">
      <c r="A5" t="s">
        <v>5</v>
      </c>
      <c r="B5" t="s">
        <v>3</v>
      </c>
    </row>
    <row r="6" spans="1:8" x14ac:dyDescent="0.3">
      <c r="A6" t="s">
        <v>4</v>
      </c>
      <c r="B6" s="1">
        <f>(1+[1]Main!$B$4)^($B$3-[1]Main!$B$1)</f>
        <v>1.4129738209737661</v>
      </c>
    </row>
    <row r="7" spans="1:8" ht="15.75" customHeight="1" x14ac:dyDescent="0.3">
      <c r="A7" t="s">
        <v>6</v>
      </c>
      <c r="B7" s="1">
        <f>(1+[1]Main!$B$5)^($B$3-[1]Main!$B$1)</f>
        <v>1.3194787630628722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73F7F-45E0-423B-A01B-B6DF6F75CAB7}">
  <dimension ref="A1:Y6"/>
  <sheetViews>
    <sheetView zoomScale="85" zoomScaleNormal="85" workbookViewId="0">
      <selection activeCell="B2" sqref="B2:Y4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Winter'!B2*Scenarios!$B$6</f>
        <v>129.64034807434305</v>
      </c>
      <c r="C2" s="2">
        <f>'[1]Energy, Winter'!C2*Scenarios!$B$6</f>
        <v>121.77008389151918</v>
      </c>
      <c r="D2" s="2">
        <f>'[1]Energy, Winter'!D2*Scenarios!$B$6</f>
        <v>116.00515070194619</v>
      </c>
      <c r="E2" s="2">
        <f>'[1]Energy, Winter'!E2*Scenarios!$B$6</f>
        <v>113.03790567790129</v>
      </c>
      <c r="F2" s="2">
        <f>'[1]Energy, Winter'!F2*Scenarios!$B$6</f>
        <v>112.47271614951177</v>
      </c>
      <c r="G2" s="2">
        <f>'[1]Energy, Winter'!G2*Scenarios!$B$6</f>
        <v>114.59217688097242</v>
      </c>
      <c r="H2" s="2">
        <f>'[1]Energy, Winter'!H2*Scenarios!$B$6</f>
        <v>121.38858095985624</v>
      </c>
      <c r="I2" s="2">
        <f>'[1]Energy, Winter'!I2*Scenarios!$B$6</f>
        <v>144.19397843037282</v>
      </c>
      <c r="J2" s="2">
        <f>'[1]Energy, Winter'!J2*Scenarios!$B$6</f>
        <v>160.85293977965355</v>
      </c>
      <c r="K2" s="2">
        <f>'[1]Energy, Winter'!K2*Scenarios!$B$6</f>
        <v>155.42712030711428</v>
      </c>
      <c r="L2" s="2">
        <f>'[1]Energy, Winter'!L2*Scenarios!$B$6</f>
        <v>137.94863414166878</v>
      </c>
      <c r="M2" s="2">
        <f>'[1]Energy, Winter'!M2*Scenarios!$B$6</f>
        <v>121.77008389151918</v>
      </c>
      <c r="N2" s="2">
        <f>'[1]Energy, Winter'!N2*Scenarios!$B$6</f>
        <v>118.53437384148924</v>
      </c>
      <c r="O2" s="2">
        <f>'[1]Energy, Winter'!O2*Scenarios!$B$6</f>
        <v>116.11818860762411</v>
      </c>
      <c r="P2" s="2">
        <f>'[1]Energy, Winter'!P2*Scenarios!$B$6</f>
        <v>117.27682714082259</v>
      </c>
      <c r="Q2" s="2">
        <f>'[1]Energy, Winter'!Q2*Scenarios!$B$6</f>
        <v>120.10277478277013</v>
      </c>
      <c r="R2" s="2">
        <f>'[1]Energy, Winter'!R2*Scenarios!$B$6</f>
        <v>137.94863414166878</v>
      </c>
      <c r="S2" s="2">
        <f>'[1]Energy, Winter'!S2*Scenarios!$B$6</f>
        <v>167.43739778539128</v>
      </c>
      <c r="T2" s="2">
        <f>'[1]Energy, Winter'!T2*Scenarios!$B$6</f>
        <v>182.17471473814769</v>
      </c>
      <c r="U2" s="2">
        <f>'[1]Energy, Winter'!U2*Scenarios!$B$6</f>
        <v>186.950566253039</v>
      </c>
      <c r="V2" s="2">
        <f>'[1]Energy, Winter'!V2*Scenarios!$B$6</f>
        <v>166.63200270743624</v>
      </c>
      <c r="W2" s="2">
        <f>'[1]Energy, Winter'!W2*Scenarios!$B$6</f>
        <v>153.06745402608809</v>
      </c>
      <c r="X2" s="2">
        <f>'[1]Energy, Winter'!X2*Scenarios!$B$6</f>
        <v>141.29738209737661</v>
      </c>
      <c r="Y2" s="2">
        <f>'[1]Energy, Winter'!Y2*Scenarios!$B$6</f>
        <v>131.77393854401345</v>
      </c>
    </row>
    <row r="3" spans="1:25" x14ac:dyDescent="0.3">
      <c r="A3">
        <v>2</v>
      </c>
      <c r="B3" s="2">
        <f>'[1]Energy, Winter'!B3*Scenarios!$B$6</f>
        <v>125.72641059024572</v>
      </c>
      <c r="C3" s="2">
        <f>'[1]Energy, Winter'!C3*Scenarios!$B$6</f>
        <v>122.15158682318209</v>
      </c>
      <c r="D3" s="2">
        <f>'[1]Energy, Winter'!D3*Scenarios!$B$6</f>
        <v>120.08864504456038</v>
      </c>
      <c r="E3" s="2">
        <f>'[1]Energy, Winter'!E3*Scenarios!$B$6</f>
        <v>117.27682714082259</v>
      </c>
      <c r="F3" s="2">
        <f>'[1]Energy, Winter'!F3*Scenarios!$B$6</f>
        <v>117.47464347575891</v>
      </c>
      <c r="G3" s="2">
        <f>'[1]Energy, Winter'!G3*Scenarios!$B$6</f>
        <v>120.10277478277013</v>
      </c>
      <c r="H3" s="2">
        <f>'[1]Energy, Winter'!H3*Scenarios!$B$6</f>
        <v>125.75467006666518</v>
      </c>
      <c r="I3" s="2">
        <f>'[1]Energy, Winter'!I3*Scenarios!$B$6</f>
        <v>141.29738209737661</v>
      </c>
      <c r="J3" s="2">
        <f>'[1]Energy, Winter'!J3*Scenarios!$B$6</f>
        <v>148.03726722342148</v>
      </c>
      <c r="K3" s="2">
        <f>'[1]Energy, Winter'!K3*Scenarios!$B$6</f>
        <v>148.36225120224543</v>
      </c>
      <c r="L3" s="2">
        <f>'[1]Energy, Winter'!L3*Scenarios!$B$6</f>
        <v>141.29738209737661</v>
      </c>
      <c r="M3" s="2">
        <f>'[1]Energy, Winter'!M3*Scenarios!$B$6</f>
        <v>133.63906398769879</v>
      </c>
      <c r="N3" s="2">
        <f>'[1]Energy, Winter'!N3*Scenarios!$B$6</f>
        <v>129.9935915295865</v>
      </c>
      <c r="O3" s="2">
        <f>'[1]Energy, Winter'!O3*Scenarios!$B$6</f>
        <v>129.68273728897225</v>
      </c>
      <c r="P3" s="2">
        <f>'[1]Energy, Winter'!P3*Scenarios!$B$6</f>
        <v>127.30894126973632</v>
      </c>
      <c r="Q3" s="2">
        <f>'[1]Energy, Winter'!Q3*Scenarios!$B$6</f>
        <v>130.00772126779623</v>
      </c>
      <c r="R3" s="2">
        <f>'[1]Energy, Winter'!R3*Scenarios!$B$6</f>
        <v>142.6820964419309</v>
      </c>
      <c r="S3" s="2">
        <f>'[1]Energy, Winter'!S3*Scenarios!$B$6</f>
        <v>151.32949622629033</v>
      </c>
      <c r="T3" s="2">
        <f>'[1]Energy, Winter'!T3*Scenarios!$B$6</f>
        <v>178.03470144269454</v>
      </c>
      <c r="U3" s="2">
        <f>'[1]Energy, Winter'!U3*Scenarios!$B$6</f>
        <v>168.80798239173583</v>
      </c>
      <c r="V3" s="2">
        <f>'[1]Energy, Winter'!V3*Scenarios!$B$6</f>
        <v>155.42712030711428</v>
      </c>
      <c r="W3" s="2">
        <f>'[1]Energy, Winter'!W3*Scenarios!$B$6</f>
        <v>144.49070293277734</v>
      </c>
      <c r="X3" s="2">
        <f>'[1]Energy, Winter'!X3*Scenarios!$B$6</f>
        <v>138.47143445542909</v>
      </c>
      <c r="Y3" s="2">
        <f>'[1]Energy, Winter'!Y3*Scenarios!$B$6</f>
        <v>134.92487016478492</v>
      </c>
    </row>
    <row r="4" spans="1:25" x14ac:dyDescent="0.3">
      <c r="A4">
        <v>3</v>
      </c>
      <c r="B4" s="2">
        <f>'[1]Energy, Winter'!B4*Scenarios!$B$6</f>
        <v>130.45987289050782</v>
      </c>
      <c r="C4" s="2">
        <f>'[1]Energy, Winter'!C4*Scenarios!$B$6</f>
        <v>127.33720074615582</v>
      </c>
      <c r="D4" s="2">
        <f>'[1]Energy, Winter'!D4*Scenarios!$B$6</f>
        <v>122.94285216292739</v>
      </c>
      <c r="E4" s="2">
        <f>'[1]Energy, Winter'!E4*Scenarios!$B$6</f>
        <v>121.23315383954913</v>
      </c>
      <c r="F4" s="2">
        <f>'[1]Energy, Winter'!F4*Scenarios!$B$6</f>
        <v>120.10277478277013</v>
      </c>
      <c r="G4" s="2">
        <f>'[1]Energy, Winter'!G4*Scenarios!$B$6</f>
        <v>121.93964075003601</v>
      </c>
      <c r="H4" s="2">
        <f>'[1]Energy, Winter'!H4*Scenarios!$B$6</f>
        <v>134.23251299250779</v>
      </c>
      <c r="I4" s="2">
        <f>'[1]Energy, Winter'!I4*Scenarios!$B$6</f>
        <v>146.86449895201324</v>
      </c>
      <c r="J4" s="2">
        <f>'[1]Energy, Winter'!J4*Scenarios!$B$6</f>
        <v>171.5350218662152</v>
      </c>
      <c r="K4" s="2">
        <f>'[1]Energy, Winter'!K4*Scenarios!$B$6</f>
        <v>171.5350218662152</v>
      </c>
      <c r="L4" s="2">
        <f>'[1]Energy, Winter'!L4*Scenarios!$B$6</f>
        <v>148.89918125421548</v>
      </c>
      <c r="M4" s="2">
        <f>'[1]Energy, Winter'!M4*Scenarios!$B$6</f>
        <v>145.49391434566868</v>
      </c>
      <c r="N4" s="2">
        <f>'[1]Energy, Winter'!N4*Scenarios!$B$6</f>
        <v>141.28325235916688</v>
      </c>
      <c r="O4" s="2">
        <f>'[1]Energy, Winter'!O4*Scenarios!$B$6</f>
        <v>139.17792136591595</v>
      </c>
      <c r="P4" s="2">
        <f>'[1]Energy, Winter'!P4*Scenarios!$B$6</f>
        <v>133.89339927547408</v>
      </c>
      <c r="Q4" s="2">
        <f>'[1]Energy, Winter'!Q4*Scenarios!$B$6</f>
        <v>133.85101006084486</v>
      </c>
      <c r="R4" s="2">
        <f>'[1]Energy, Winter'!R4*Scenarios!$B$6</f>
        <v>140.40720859016315</v>
      </c>
      <c r="S4" s="2">
        <f>'[1]Energy, Winter'!S4*Scenarios!$B$6</f>
        <v>145.11241141400578</v>
      </c>
      <c r="T4" s="2">
        <f>'[1]Energy, Winter'!T4*Scenarios!$B$6</f>
        <v>157.24985653617043</v>
      </c>
      <c r="U4" s="2">
        <f>'[1]Energy, Winter'!U4*Scenarios!$B$6</f>
        <v>171.5350218662152</v>
      </c>
      <c r="V4" s="2">
        <f>'[1]Energy, Winter'!V4*Scenarios!$B$6</f>
        <v>169.55685851685195</v>
      </c>
      <c r="W4" s="2">
        <f>'[1]Energy, Winter'!W4*Scenarios!$B$6</f>
        <v>152.19141025708433</v>
      </c>
      <c r="X4" s="2">
        <f>'[1]Energy, Winter'!X4*Scenarios!$B$6</f>
        <v>143.16250754106198</v>
      </c>
      <c r="Y4" s="2">
        <f>'[1]Energy, Winter'!Y4*Scenarios!$B$6</f>
        <v>130.95441372784865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377DA-14C0-46CD-834E-BEA2509E570F}">
  <dimension ref="A1:Y6"/>
  <sheetViews>
    <sheetView zoomScale="85" zoomScaleNormal="85" workbookViewId="0">
      <selection activeCell="B2" sqref="B2:Y4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Spring'!B2*Scenarios!$B$6</f>
        <v>62.170848122845712</v>
      </c>
      <c r="C2" s="2">
        <f>'[1]Energy, Spring'!C2*Scenarios!$B$6</f>
        <v>65.872839533796977</v>
      </c>
      <c r="D2" s="2">
        <f>'[1]Energy, Spring'!D2*Scenarios!$B$6</f>
        <v>68.048819218096568</v>
      </c>
      <c r="E2" s="2">
        <f>'[1]Energy, Spring'!E2*Scenarios!$B$6</f>
        <v>68.38793293513028</v>
      </c>
      <c r="F2" s="2">
        <f>'[1]Energy, Spring'!F2*Scenarios!$B$6</f>
        <v>71.355177959175194</v>
      </c>
      <c r="G2" s="2">
        <f>'[1]Energy, Spring'!G2*Scenarios!$B$6</f>
        <v>79.112404236321169</v>
      </c>
      <c r="H2" s="2">
        <f>'[1]Energy, Spring'!H2*Scenarios!$B$6</f>
        <v>83.111120149676921</v>
      </c>
      <c r="I2" s="2">
        <f>'[1]Energy, Spring'!I2*Scenarios!$B$6</f>
        <v>70.620431572268828</v>
      </c>
      <c r="J2" s="2">
        <f>'[1]Energy, Spring'!J2*Scenarios!$B$6</f>
        <v>47.75851514891329</v>
      </c>
      <c r="K2" s="2">
        <f>'[1]Energy, Spring'!K2*Scenarios!$B$6</f>
        <v>19.075146583145841</v>
      </c>
      <c r="L2" s="2">
        <f>'[1]Energy, Spring'!L2*Scenarios!$B$6</f>
        <v>15.966604177003559</v>
      </c>
      <c r="M2" s="2">
        <f>'[1]Energy, Spring'!M2*Scenarios!$B$6</f>
        <v>13.352602608202089</v>
      </c>
      <c r="N2" s="2">
        <f>'[1]Energy, Spring'!N2*Scenarios!$B$6</f>
        <v>6.3583821943819476</v>
      </c>
      <c r="O2" s="2">
        <f>'[1]Energy, Spring'!O2*Scenarios!$B$6</f>
        <v>4.4226080596478878</v>
      </c>
      <c r="P2" s="2">
        <f>'[1]Energy, Spring'!P2*Scenarios!$B$6</f>
        <v>0.76300586332583376</v>
      </c>
      <c r="Q2" s="2">
        <f>'[1]Energy, Spring'!Q2*Scenarios!$B$6</f>
        <v>4.5921649181647402</v>
      </c>
      <c r="R2" s="2">
        <f>'[1]Energy, Spring'!R2*Scenarios!$B$6</f>
        <v>7.0648691048688308</v>
      </c>
      <c r="S2" s="2">
        <f>'[1]Energy, Spring'!S2*Scenarios!$B$6</f>
        <v>21.434812864172031</v>
      </c>
      <c r="T2" s="2">
        <f>'[1]Energy, Spring'!T2*Scenarios!$B$6</f>
        <v>47.75851514891329</v>
      </c>
      <c r="U2" s="2">
        <f>'[1]Energy, Spring'!U2*Scenarios!$B$6</f>
        <v>69.405274086231387</v>
      </c>
      <c r="V2" s="2">
        <f>'[1]Energy, Spring'!V2*Scenarios!$B$6</f>
        <v>83.803477321954077</v>
      </c>
      <c r="W2" s="2">
        <f>'[1]Energy, Spring'!W2*Scenarios!$B$6</f>
        <v>81.429681302718151</v>
      </c>
      <c r="X2" s="2">
        <f>'[1]Energy, Spring'!X2*Scenarios!$B$6</f>
        <v>69.235717227714545</v>
      </c>
      <c r="Y2" s="2">
        <f>'[1]Energy, Spring'!Y2*Scenarios!$B$6</f>
        <v>102.34169385312988</v>
      </c>
    </row>
    <row r="3" spans="1:25" x14ac:dyDescent="0.3">
      <c r="A3">
        <v>2</v>
      </c>
      <c r="B3" s="2">
        <f>'[1]Energy, Spring'!B3*Scenarios!$B$6</f>
        <v>99.614654378650513</v>
      </c>
      <c r="C3" s="2">
        <f>'[1]Energy, Spring'!C3*Scenarios!$B$6</f>
        <v>97.678880243916439</v>
      </c>
      <c r="D3" s="2">
        <f>'[1]Energy, Spring'!D3*Scenarios!$B$6</f>
        <v>97.495193647189865</v>
      </c>
      <c r="E3" s="2">
        <f>'[1]Energy, Spring'!E3*Scenarios!$B$6</f>
        <v>96.096349564425836</v>
      </c>
      <c r="F3" s="2">
        <f>'[1]Energy, Spring'!F3*Scenarios!$B$6</f>
        <v>97.269117835834066</v>
      </c>
      <c r="G3" s="2">
        <f>'[1]Energy, Spring'!G3*Scenarios!$B$6</f>
        <v>94.669246005242329</v>
      </c>
      <c r="H3" s="2">
        <f>'[1]Energy, Spring'!H3*Scenarios!$B$6</f>
        <v>95.96918192053819</v>
      </c>
      <c r="I3" s="2">
        <f>'[1]Energy, Spring'!I3*Scenarios!$B$6</f>
        <v>102.96340233435835</v>
      </c>
      <c r="J3" s="2">
        <f>'[1]Energy, Spring'!J3*Scenarios!$B$6</f>
        <v>58.92100833460605</v>
      </c>
      <c r="K3" s="2">
        <f>'[1]Energy, Spring'!K3*Scenarios!$B$6</f>
        <v>42.389214629212987</v>
      </c>
      <c r="L3" s="2">
        <f>'[1]Energy, Spring'!L3*Scenarios!$B$6</f>
        <v>26.592167310726278</v>
      </c>
      <c r="M3" s="2">
        <f>'[1]Energy, Spring'!M3*Scenarios!$B$6</f>
        <v>28.86705516249404</v>
      </c>
      <c r="N3" s="2">
        <f>'[1]Energy, Spring'!N3*Scenarios!$B$6</f>
        <v>20.770715168314361</v>
      </c>
      <c r="O3" s="2">
        <f>'[1]Energy, Spring'!O3*Scenarios!$B$6</f>
        <v>13.649327110606581</v>
      </c>
      <c r="P3" s="2">
        <f>'[1]Energy, Spring'!P3*Scenarios!$B$6</f>
        <v>11.600515070194621</v>
      </c>
      <c r="Q3" s="2">
        <f>'[1]Energy, Spring'!Q3*Scenarios!$B$6</f>
        <v>10.51252522804482</v>
      </c>
      <c r="R3" s="2">
        <f>'[1]Energy, Spring'!R3*Scenarios!$B$6</f>
        <v>20.770715168314361</v>
      </c>
      <c r="S3" s="2">
        <f>'[1]Energy, Spring'!S3*Scenarios!$B$6</f>
        <v>27.468211079730015</v>
      </c>
      <c r="T3" s="2">
        <f>'[1]Energy, Spring'!T3*Scenarios!$B$6</f>
        <v>49.157359231677319</v>
      </c>
      <c r="U3" s="2">
        <f>'[1]Energy, Spring'!U3*Scenarios!$B$6</f>
        <v>88.635847789684348</v>
      </c>
      <c r="V3" s="2">
        <f>'[1]Energy, Spring'!V3*Scenarios!$B$6</f>
        <v>96.096349564425836</v>
      </c>
      <c r="W3" s="2">
        <f>'[1]Energy, Spring'!W3*Scenarios!$B$6</f>
        <v>94.344262026418363</v>
      </c>
      <c r="X3" s="2">
        <f>'[1]Energy, Spring'!X3*Scenarios!$B$6</f>
        <v>89.13038862702517</v>
      </c>
      <c r="Y3" s="2">
        <f>'[1]Energy, Spring'!Y3*Scenarios!$B$6</f>
        <v>101.73411511011116</v>
      </c>
    </row>
    <row r="4" spans="1:25" x14ac:dyDescent="0.3">
      <c r="A4">
        <v>3</v>
      </c>
      <c r="B4" s="2">
        <f>'[1]Energy, Spring'!B4*Scenarios!$B$6</f>
        <v>97.353896265092487</v>
      </c>
      <c r="C4" s="2">
        <f>'[1]Energy, Spring'!C4*Scenarios!$B$6</f>
        <v>93.11497480217119</v>
      </c>
      <c r="D4" s="2">
        <f>'[1]Energy, Spring'!D4*Scenarios!$B$6</f>
        <v>93.708423806980164</v>
      </c>
      <c r="E4" s="2">
        <f>'[1]Energy, Spring'!E4*Scenarios!$B$6</f>
        <v>91.504184646261095</v>
      </c>
      <c r="F4" s="2">
        <f>'[1]Energy, Spring'!F4*Scenarios!$B$6</f>
        <v>95.912662967699234</v>
      </c>
      <c r="G4" s="2">
        <f>'[1]Energy, Spring'!G4*Scenarios!$B$6</f>
        <v>88.876053339249893</v>
      </c>
      <c r="H4" s="2">
        <f>'[1]Energy, Spring'!H4*Scenarios!$B$6</f>
        <v>93.863850927287288</v>
      </c>
      <c r="I4" s="2">
        <f>'[1]Energy, Spring'!I4*Scenarios!$B$6</f>
        <v>82.772006432643224</v>
      </c>
      <c r="J4" s="2">
        <f>'[1]Energy, Spring'!J4*Scenarios!$B$6</f>
        <v>54.611438180636057</v>
      </c>
      <c r="K4" s="2">
        <f>'[1]Energy, Spring'!K4*Scenarios!$B$6</f>
        <v>34.15157725293593</v>
      </c>
      <c r="L4" s="2">
        <f>'[1]Energy, Spring'!L4*Scenarios!$B$6</f>
        <v>31.085424061422856</v>
      </c>
      <c r="M4" s="2">
        <f>'[1]Energy, Spring'!M4*Scenarios!$B$6</f>
        <v>30.746310344389151</v>
      </c>
      <c r="N4" s="2">
        <f>'[1]Energy, Spring'!N4*Scenarios!$B$6</f>
        <v>16.560053181812538</v>
      </c>
      <c r="O4" s="2">
        <f>'[1]Energy, Spring'!O4*Scenarios!$B$6</f>
        <v>14.454722188561629</v>
      </c>
      <c r="P4" s="2">
        <f>'[1]Energy, Spring'!P4*Scenarios!$B$6</f>
        <v>4.5921649181647402</v>
      </c>
      <c r="Q4" s="2">
        <f>'[1]Energy, Spring'!Q4*Scenarios!$B$6</f>
        <v>4.5921649181647402</v>
      </c>
      <c r="R4" s="2">
        <f>'[1]Energy, Spring'!R4*Scenarios!$B$6</f>
        <v>11.967888263647801</v>
      </c>
      <c r="S4" s="2">
        <f>'[1]Energy, Spring'!S4*Scenarios!$B$6</f>
        <v>35.465642906441531</v>
      </c>
      <c r="T4" s="2">
        <f>'[1]Energy, Spring'!T4*Scenarios!$B$6</f>
        <v>58.21452142411917</v>
      </c>
      <c r="U4" s="2">
        <f>'[1]Energy, Spring'!U4*Scenarios!$B$6</f>
        <v>80.878621512538373</v>
      </c>
      <c r="V4" s="2">
        <f>'[1]Energy, Spring'!V4*Scenarios!$B$6</f>
        <v>105.45023625927216</v>
      </c>
      <c r="W4" s="2">
        <f>'[1]Energy, Spring'!W4*Scenarios!$B$6</f>
        <v>95.912662967699234</v>
      </c>
      <c r="X4" s="2">
        <f>'[1]Energy, Spring'!X4*Scenarios!$B$6</f>
        <v>100.3211412891374</v>
      </c>
      <c r="Y4" s="2">
        <f>'[1]Energy, Spring'!Y4*Scenarios!$B$6</f>
        <v>101.73411511011116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AB509-4E8E-41C1-87FA-12D2A67962A8}">
  <dimension ref="A1:Y6"/>
  <sheetViews>
    <sheetView zoomScale="85" zoomScaleNormal="85" workbookViewId="0">
      <selection activeCell="B2" sqref="B2:Y4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Summer'!B2*Scenarios!$B$6</f>
        <v>159.86385810497191</v>
      </c>
      <c r="C2" s="2">
        <f>'[1]Energy, Summer'!C2*Scenarios!$B$6</f>
        <v>158.78999800103182</v>
      </c>
      <c r="D2" s="2">
        <f>'[1]Energy, Summer'!D2*Scenarios!$B$6</f>
        <v>159.15737119448502</v>
      </c>
      <c r="E2" s="2">
        <f>'[1]Energy, Summer'!E2*Scenarios!$B$6</f>
        <v>159.07259276522657</v>
      </c>
      <c r="F2" s="2">
        <f>'[1]Energy, Summer'!F2*Scenarios!$B$6</f>
        <v>159.49648491151871</v>
      </c>
      <c r="G2" s="2">
        <f>'[1]Energy, Summer'!G2*Scenarios!$B$6</f>
        <v>165.09186124257485</v>
      </c>
      <c r="H2" s="2">
        <f>'[1]Energy, Summer'!H2*Scenarios!$B$6</f>
        <v>170.57419966795305</v>
      </c>
      <c r="I2" s="2">
        <f>'[1]Energy, Summer'!I2*Scenarios!$B$6</f>
        <v>165.09186124257485</v>
      </c>
      <c r="J2" s="2">
        <f>'[1]Energy, Summer'!J2*Scenarios!$B$6</f>
        <v>159.41170648226029</v>
      </c>
      <c r="K2" s="2">
        <f>'[1]Energy, Summer'!K2*Scenarios!$B$6</f>
        <v>158.14003004338392</v>
      </c>
      <c r="L2" s="2">
        <f>'[1]Energy, Summer'!L2*Scenarios!$B$6</f>
        <v>138.47143445542909</v>
      </c>
      <c r="M2" s="2">
        <f>'[1]Energy, Summer'!M2*Scenarios!$B$6</f>
        <v>131.37830587414078</v>
      </c>
      <c r="N2" s="2">
        <f>'[1]Energy, Summer'!N2*Scenarios!$B$6</f>
        <v>131.10984084815576</v>
      </c>
      <c r="O2" s="2">
        <f>'[1]Energy, Summer'!O2*Scenarios!$B$6</f>
        <v>125.74054032845544</v>
      </c>
      <c r="P2" s="2">
        <f>'[1]Energy, Summer'!P2*Scenarios!$B$6</f>
        <v>117.27682714082259</v>
      </c>
      <c r="Q2" s="2">
        <f>'[1]Energy, Summer'!Q2*Scenarios!$B$6</f>
        <v>115.58125855565406</v>
      </c>
      <c r="R2" s="2">
        <f>'[1]Energy, Summer'!R2*Scenarios!$B$6</f>
        <v>115.58125855565406</v>
      </c>
      <c r="S2" s="2">
        <f>'[1]Energy, Summer'!S2*Scenarios!$B$6</f>
        <v>133.3423394852943</v>
      </c>
      <c r="T2" s="2">
        <f>'[1]Energy, Summer'!T2*Scenarios!$B$6</f>
        <v>154.29674125033526</v>
      </c>
      <c r="U2" s="2">
        <f>'[1]Energy, Summer'!U2*Scenarios!$B$6</f>
        <v>166.16572134651489</v>
      </c>
      <c r="V2" s="2">
        <f>'[1]Energy, Summer'!V2*Scenarios!$B$6</f>
        <v>187.44510709037982</v>
      </c>
      <c r="W2" s="2">
        <f>'[1]Energy, Summer'!W2*Scenarios!$B$6</f>
        <v>177.32821453220765</v>
      </c>
      <c r="X2" s="2">
        <f>'[1]Energy, Summer'!X2*Scenarios!$B$6</f>
        <v>165.51575338886695</v>
      </c>
      <c r="Y2" s="2">
        <f>'[1]Energy, Summer'!Y2*Scenarios!$B$6</f>
        <v>160.85293977965355</v>
      </c>
    </row>
    <row r="3" spans="1:25" x14ac:dyDescent="0.3">
      <c r="A3">
        <v>2</v>
      </c>
      <c r="B3" s="2">
        <f>'[1]Energy, Summer'!B3*Scenarios!$B$6</f>
        <v>151.4990530848072</v>
      </c>
      <c r="C3" s="2">
        <f>'[1]Energy, Summer'!C3*Scenarios!$B$6</f>
        <v>151.48492334659747</v>
      </c>
      <c r="D3" s="2">
        <f>'[1]Energy, Summer'!D3*Scenarios!$B$6</f>
        <v>151.48492334659747</v>
      </c>
      <c r="E3" s="2">
        <f>'[1]Energy, Summer'!E3*Scenarios!$B$6</f>
        <v>134.23251299250779</v>
      </c>
      <c r="F3" s="2">
        <f>'[1]Energy, Summer'!F3*Scenarios!$B$6</f>
        <v>144.7450382205526</v>
      </c>
      <c r="G3" s="2">
        <f>'[1]Energy, Summer'!G3*Scenarios!$B$6</f>
        <v>148.36225120224543</v>
      </c>
      <c r="H3" s="2">
        <f>'[1]Energy, Summer'!H3*Scenarios!$B$6</f>
        <v>162.63328679408048</v>
      </c>
      <c r="I3" s="2">
        <f>'[1]Energy, Summer'!I3*Scenarios!$B$6</f>
        <v>144.7450382205526</v>
      </c>
      <c r="J3" s="2">
        <f>'[1]Energy, Summer'!J3*Scenarios!$B$6</f>
        <v>124.2993070310622</v>
      </c>
      <c r="K3" s="2">
        <f>'[1]Energy, Summer'!K3*Scenarios!$B$6</f>
        <v>112.1759916471073</v>
      </c>
      <c r="L3" s="2">
        <f>'[1]Energy, Summer'!L3*Scenarios!$B$6</f>
        <v>112.47271614951177</v>
      </c>
      <c r="M3" s="2">
        <f>'[1]Energy, Summer'!M3*Scenarios!$B$6</f>
        <v>114.59217688097242</v>
      </c>
      <c r="N3" s="2">
        <f>'[1]Energy, Summer'!N3*Scenarios!$B$6</f>
        <v>115.86385331984881</v>
      </c>
      <c r="O3" s="2">
        <f>'[1]Energy, Summer'!O3*Scenarios!$B$6</f>
        <v>116.55621049212596</v>
      </c>
      <c r="P3" s="2">
        <f>'[1]Energy, Summer'!P3*Scenarios!$B$6</f>
        <v>112.47271614951177</v>
      </c>
      <c r="Q3" s="2">
        <f>'[1]Energy, Summer'!Q3*Scenarios!$B$6</f>
        <v>112.47271614951177</v>
      </c>
      <c r="R3" s="2">
        <f>'[1]Energy, Summer'!R3*Scenarios!$B$6</f>
        <v>115.86385331984881</v>
      </c>
      <c r="S3" s="2">
        <f>'[1]Energy, Summer'!S3*Scenarios!$B$6</f>
        <v>119.01478494062033</v>
      </c>
      <c r="T3" s="2">
        <f>'[1]Energy, Summer'!T3*Scenarios!$B$6</f>
        <v>125.75467006666518</v>
      </c>
      <c r="U3" s="2">
        <f>'[1]Energy, Summer'!U3*Scenarios!$B$6</f>
        <v>164.18755799715163</v>
      </c>
      <c r="V3" s="2">
        <f>'[1]Energy, Summer'!V3*Scenarios!$B$6</f>
        <v>182.13232552351846</v>
      </c>
      <c r="W3" s="2">
        <f>'[1]Energy, Summer'!W3*Scenarios!$B$6</f>
        <v>172.97625516360844</v>
      </c>
      <c r="X3" s="2">
        <f>'[1]Energy, Summer'!X3*Scenarios!$B$6</f>
        <v>163.31151422814787</v>
      </c>
      <c r="Y3" s="2">
        <f>'[1]Energy, Summer'!Y3*Scenarios!$B$6</f>
        <v>152.24792920992329</v>
      </c>
    </row>
    <row r="4" spans="1:25" x14ac:dyDescent="0.3">
      <c r="A4">
        <v>3</v>
      </c>
      <c r="B4" s="2">
        <f>'[1]Energy, Summer'!B4*Scenarios!$B$6</f>
        <v>153.50547591058995</v>
      </c>
      <c r="C4" s="2">
        <f>'[1]Energy, Summer'!C4*Scenarios!$B$6</f>
        <v>147.83945088848515</v>
      </c>
      <c r="D4" s="2">
        <f>'[1]Energy, Summer'!D4*Scenarios!$B$6</f>
        <v>148.71549465748888</v>
      </c>
      <c r="E4" s="2">
        <f>'[1]Energy, Summer'!E4*Scenarios!$B$6</f>
        <v>132.2967388577737</v>
      </c>
      <c r="F4" s="2">
        <f>'[1]Energy, Summer'!F4*Scenarios!$B$6</f>
        <v>133.3423394852943</v>
      </c>
      <c r="G4" s="2">
        <f>'[1]Energy, Summer'!G4*Scenarios!$B$6</f>
        <v>140.52024649584104</v>
      </c>
      <c r="H4" s="2">
        <f>'[1]Energy, Summer'!H4*Scenarios!$B$6</f>
        <v>160.08993391632771</v>
      </c>
      <c r="I4" s="2">
        <f>'[1]Energy, Summer'!I4*Scenarios!$B$6</f>
        <v>155.24343371038768</v>
      </c>
      <c r="J4" s="2">
        <f>'[1]Energy, Summer'!J4*Scenarios!$B$6</f>
        <v>127.16764388763895</v>
      </c>
      <c r="K4" s="2">
        <f>'[1]Energy, Summer'!K4*Scenarios!$B$6</f>
        <v>105.97303657303246</v>
      </c>
      <c r="L4" s="2">
        <f>'[1]Energy, Summer'!L4*Scenarios!$B$6</f>
        <v>91.673741504777936</v>
      </c>
      <c r="M4" s="2">
        <f>'[1]Energy, Summer'!M4*Scenarios!$B$6</f>
        <v>91.207460143856594</v>
      </c>
      <c r="N4" s="2">
        <f>'[1]Energy, Summer'!N4*Scenarios!$B$6</f>
        <v>91.829168625085046</v>
      </c>
      <c r="O4" s="2">
        <f>'[1]Energy, Summer'!O4*Scenarios!$B$6</f>
        <v>91.673741504777936</v>
      </c>
      <c r="P4" s="2">
        <f>'[1]Energy, Summer'!P4*Scenarios!$B$6</f>
        <v>89.540151035107556</v>
      </c>
      <c r="Q4" s="2">
        <f>'[1]Energy, Summer'!Q4*Scenarios!$B$6</f>
        <v>84.778429258425973</v>
      </c>
      <c r="R4" s="2">
        <f>'[1]Energy, Summer'!R4*Scenarios!$B$6</f>
        <v>90.303156898433386</v>
      </c>
      <c r="S4" s="2">
        <f>'[1]Energy, Summer'!S4*Scenarios!$B$6</f>
        <v>98.89403772995388</v>
      </c>
      <c r="T4" s="2">
        <f>'[1]Energy, Summer'!T4*Scenarios!$B$6</f>
        <v>120.85165090788622</v>
      </c>
      <c r="U4" s="2">
        <f>'[1]Energy, Summer'!U4*Scenarios!$B$6</f>
        <v>154.04240596255997</v>
      </c>
      <c r="V4" s="2">
        <f>'[1]Energy, Summer'!V4*Scenarios!$B$6</f>
        <v>161.44638878446253</v>
      </c>
      <c r="W4" s="2">
        <f>'[1]Energy, Summer'!W4*Scenarios!$B$6</f>
        <v>153.36417852849257</v>
      </c>
      <c r="X4" s="2">
        <f>'[1]Energy, Summer'!X4*Scenarios!$B$6</f>
        <v>133.07387445930931</v>
      </c>
      <c r="Y4" s="2">
        <f>'[1]Energy, Summer'!Y4*Scenarios!$B$6</f>
        <v>104.88504673088266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9686C-6AB5-4C22-BD0D-20FD9CC12ACE}">
  <dimension ref="A1:Y6"/>
  <sheetViews>
    <sheetView zoomScale="85" zoomScaleNormal="85" workbookViewId="0">
      <selection activeCell="B2" sqref="B2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Autumn'!B2*Scenarios!$B$6</f>
        <v>130.05011048242545</v>
      </c>
      <c r="C2" s="2">
        <f>'[1]Energy, Autumn'!C2*Scenarios!$B$6</f>
        <v>127.11112493479999</v>
      </c>
      <c r="D2" s="2">
        <f>'[1]Energy, Autumn'!D2*Scenarios!$B$6</f>
        <v>127.2665520551071</v>
      </c>
      <c r="E2" s="2">
        <f>'[1]Energy, Autumn'!E2*Scenarios!$B$6</f>
        <v>118.43546567402106</v>
      </c>
      <c r="F2" s="2">
        <f>'[1]Energy, Autumn'!F2*Scenarios!$B$6</f>
        <v>120.61144535832068</v>
      </c>
      <c r="G2" s="2">
        <f>'[1]Energy, Autumn'!G2*Scenarios!$B$6</f>
        <v>127.01221676733184</v>
      </c>
      <c r="H2" s="2">
        <f>'[1]Energy, Autumn'!H2*Scenarios!$B$6</f>
        <v>147.14709371620799</v>
      </c>
      <c r="I2" s="2">
        <f>'[1]Energy, Autumn'!I2*Scenarios!$B$6</f>
        <v>171.18177841097176</v>
      </c>
      <c r="J2" s="2">
        <f>'[1]Energy, Autumn'!J2*Scenarios!$B$6</f>
        <v>170.61658888258225</v>
      </c>
      <c r="K2" s="2">
        <f>'[1]Energy, Autumn'!K2*Scenarios!$B$6</f>
        <v>166.78742982774335</v>
      </c>
      <c r="L2" s="2">
        <f>'[1]Energy, Autumn'!L2*Scenarios!$B$6</f>
        <v>141.12782523885974</v>
      </c>
      <c r="M2" s="2">
        <f>'[1]Energy, Autumn'!M2*Scenarios!$B$6</f>
        <v>131.85871697327184</v>
      </c>
      <c r="N2" s="2">
        <f>'[1]Energy, Autumn'!N2*Scenarios!$B$6</f>
        <v>129.1316774987925</v>
      </c>
      <c r="O2" s="2">
        <f>'[1]Energy, Autumn'!O2*Scenarios!$B$6</f>
        <v>127.30894126973632</v>
      </c>
      <c r="P2" s="2">
        <f>'[1]Energy, Autumn'!P2*Scenarios!$B$6</f>
        <v>130.55878105797601</v>
      </c>
      <c r="Q2" s="2">
        <f>'[1]Energy, Autumn'!Q2*Scenarios!$B$6</f>
        <v>154.91844973156373</v>
      </c>
      <c r="R2" s="2">
        <f>'[1]Energy, Autumn'!R2*Scenarios!$B$6</f>
        <v>170.88505390856727</v>
      </c>
      <c r="S2" s="2">
        <f>'[1]Energy, Autumn'!S2*Scenarios!$B$6</f>
        <v>191.09057954849214</v>
      </c>
      <c r="T2" s="2">
        <f>'[1]Energy, Autumn'!T2*Scenarios!$B$6</f>
        <v>226.8388172191284</v>
      </c>
      <c r="U2" s="2">
        <f>'[1]Energy, Autumn'!U2*Scenarios!$B$6</f>
        <v>214.09379335394505</v>
      </c>
      <c r="V2" s="2">
        <f>'[1]Energy, Autumn'!V2*Scenarios!$B$6</f>
        <v>173.79577997977324</v>
      </c>
      <c r="W2" s="2">
        <f>'[1]Energy, Autumn'!W2*Scenarios!$B$6</f>
        <v>167.12654354477706</v>
      </c>
      <c r="X2" s="2">
        <f>'[1]Energy, Autumn'!X2*Scenarios!$B$6</f>
        <v>167.12654354477706</v>
      </c>
      <c r="Y2" s="2">
        <f>'[1]Energy, Autumn'!Y2*Scenarios!$B$6</f>
        <v>154.91844973156373</v>
      </c>
    </row>
    <row r="3" spans="1:25" x14ac:dyDescent="0.3">
      <c r="A3">
        <v>2</v>
      </c>
      <c r="B3" s="2">
        <f>'[1]Energy, Autumn'!B3*Scenarios!$B$6</f>
        <v>113.03790567790129</v>
      </c>
      <c r="C3" s="2">
        <f>'[1]Energy, Autumn'!C3*Scenarios!$B$6</f>
        <v>108.50225971257551</v>
      </c>
      <c r="D3" s="2">
        <f>'[1]Energy, Autumn'!D3*Scenarios!$B$6</f>
        <v>105.97303657303246</v>
      </c>
      <c r="E3" s="2">
        <f>'[1]Energy, Autumn'!E3*Scenarios!$B$6</f>
        <v>102.56776966448568</v>
      </c>
      <c r="F3" s="2">
        <f>'[1]Energy, Autumn'!F3*Scenarios!$B$6</f>
        <v>100.30701155092765</v>
      </c>
      <c r="G3" s="2">
        <f>'[1]Energy, Autumn'!G3*Scenarios!$B$6</f>
        <v>108.79898421498</v>
      </c>
      <c r="H3" s="2">
        <f>'[1]Energy, Autumn'!H3*Scenarios!$B$6</f>
        <v>124.89275603587119</v>
      </c>
      <c r="I3" s="2">
        <f>'[1]Energy, Autumn'!I3*Scenarios!$B$6</f>
        <v>151.69686941974354</v>
      </c>
      <c r="J3" s="2">
        <f>'[1]Energy, Autumn'!J3*Scenarios!$B$6</f>
        <v>171.78935715399049</v>
      </c>
      <c r="K3" s="2">
        <f>'[1]Energy, Autumn'!K3*Scenarios!$B$6</f>
        <v>145.25370879610315</v>
      </c>
      <c r="L3" s="2">
        <f>'[1]Energy, Autumn'!L3*Scenarios!$B$6</f>
        <v>131.689160114755</v>
      </c>
      <c r="M3" s="2">
        <f>'[1]Energy, Autumn'!M3*Scenarios!$B$6</f>
        <v>120.15929373560908</v>
      </c>
      <c r="N3" s="2">
        <f>'[1]Energy, Autumn'!N3*Scenarios!$B$6</f>
        <v>125.62750242277754</v>
      </c>
      <c r="O3" s="2">
        <f>'[1]Energy, Autumn'!O3*Scenarios!$B$6</f>
        <v>120.54079666727199</v>
      </c>
      <c r="P3" s="2">
        <f>'[1]Energy, Autumn'!P3*Scenarios!$B$6</f>
        <v>120.82339143146675</v>
      </c>
      <c r="Q3" s="2">
        <f>'[1]Energy, Autumn'!Q3*Scenarios!$B$6</f>
        <v>134.93899990299465</v>
      </c>
      <c r="R3" s="2">
        <f>'[1]Energy, Autumn'!R3*Scenarios!$B$6</f>
        <v>159.66604177003558</v>
      </c>
      <c r="S3" s="2">
        <f>'[1]Energy, Autumn'!S3*Scenarios!$B$6</f>
        <v>183.68659672658958</v>
      </c>
      <c r="T3" s="2">
        <f>'[1]Energy, Autumn'!T3*Scenarios!$B$6</f>
        <v>189.53630834542096</v>
      </c>
      <c r="U3" s="2">
        <f>'[1]Energy, Autumn'!U3*Scenarios!$B$6</f>
        <v>190.76559556966816</v>
      </c>
      <c r="V3" s="2">
        <f>'[1]Energy, Autumn'!V3*Scenarios!$B$6</f>
        <v>210.1374666552185</v>
      </c>
      <c r="W3" s="2">
        <f>'[1]Energy, Autumn'!W3*Scenarios!$B$6</f>
        <v>189.81890310961575</v>
      </c>
      <c r="X3" s="2">
        <f>'[1]Energy, Autumn'!X3*Scenarios!$B$6</f>
        <v>162.77458417617785</v>
      </c>
      <c r="Y3" s="2">
        <f>'[1]Energy, Autumn'!Y3*Scenarios!$B$6</f>
        <v>144.12332973932413</v>
      </c>
    </row>
    <row r="4" spans="1:25" x14ac:dyDescent="0.3">
      <c r="A4">
        <v>3</v>
      </c>
      <c r="B4" s="2">
        <f>'[1]Energy, Autumn'!B4*Scenarios!$B$6</f>
        <v>122.1939760378113</v>
      </c>
      <c r="C4" s="2">
        <f>'[1]Energy, Autumn'!C4*Scenarios!$B$6</f>
        <v>115.45409091176641</v>
      </c>
      <c r="D4" s="2">
        <f>'[1]Energy, Autumn'!D4*Scenarios!$B$6</f>
        <v>105.97303657303246</v>
      </c>
      <c r="E4" s="2">
        <f>'[1]Energy, Autumn'!E4*Scenarios!$B$6</f>
        <v>99.897249142845268</v>
      </c>
      <c r="F4" s="2">
        <f>'[1]Energy, Autumn'!F4*Scenarios!$B$6</f>
        <v>99.868989666425804</v>
      </c>
      <c r="G4" s="2">
        <f>'[1]Energy, Autumn'!G4*Scenarios!$B$6</f>
        <v>101.25370401098007</v>
      </c>
      <c r="H4" s="2">
        <f>'[1]Energy, Autumn'!H4*Scenarios!$B$6</f>
        <v>104.3339869407029</v>
      </c>
      <c r="I4" s="2">
        <f>'[1]Energy, Autumn'!I4*Scenarios!$B$6</f>
        <v>110.21195803595376</v>
      </c>
      <c r="J4" s="2">
        <f>'[1]Energy, Autumn'!J4*Scenarios!$B$6</f>
        <v>103.27425657497257</v>
      </c>
      <c r="K4" s="2">
        <f>'[1]Energy, Autumn'!K4*Scenarios!$B$6</f>
        <v>98.908167468163626</v>
      </c>
      <c r="L4" s="2">
        <f>'[1]Energy, Autumn'!L4*Scenarios!$B$6</f>
        <v>94.259483597159928</v>
      </c>
      <c r="M4" s="2">
        <f>'[1]Energy, Autumn'!M4*Scenarios!$B$6</f>
        <v>67.540148642546015</v>
      </c>
      <c r="N4" s="2">
        <f>'[1]Energy, Autumn'!N4*Scenarios!$B$6</f>
        <v>70.634561310478574</v>
      </c>
      <c r="O4" s="2">
        <f>'[1]Energy, Autumn'!O4*Scenarios!$B$6</f>
        <v>70.987804765722018</v>
      </c>
      <c r="P4" s="2">
        <f>'[1]Energy, Autumn'!P4*Scenarios!$B$6</f>
        <v>84.778429258425973</v>
      </c>
      <c r="Q4" s="2">
        <f>'[1]Energy, Autumn'!Q4*Scenarios!$B$6</f>
        <v>99.515746211182361</v>
      </c>
      <c r="R4" s="2">
        <f>'[1]Energy, Autumn'!R4*Scenarios!$B$6</f>
        <v>118.35068724476265</v>
      </c>
      <c r="S4" s="2">
        <f>'[1]Energy, Autumn'!S4*Scenarios!$B$6</f>
        <v>149.04047863631286</v>
      </c>
      <c r="T4" s="2">
        <f>'[1]Energy, Autumn'!T4*Scenarios!$B$6</f>
        <v>177.86514458417767</v>
      </c>
      <c r="U4" s="2">
        <f>'[1]Energy, Autumn'!U4*Scenarios!$B$6</f>
        <v>169.57098825506168</v>
      </c>
      <c r="V4" s="2">
        <f>'[1]Energy, Autumn'!V4*Scenarios!$B$6</f>
        <v>169.13296637055981</v>
      </c>
      <c r="W4" s="2">
        <f>'[1]Energy, Autumn'!W4*Scenarios!$B$6</f>
        <v>156.48685067284461</v>
      </c>
      <c r="X4" s="2">
        <f>'[1]Energy, Autumn'!X4*Scenarios!$B$6</f>
        <v>142.83752356223803</v>
      </c>
      <c r="Y4" s="2">
        <f>'[1]Energy, Autumn'!Y4*Scenarios!$B$6</f>
        <v>135.15094597614075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A0F2A-A97B-42BF-BD16-0283FFE6BEE7}">
  <dimension ref="A1:Y6"/>
  <sheetViews>
    <sheetView zoomScale="85" zoomScaleNormal="85" workbookViewId="0">
      <selection activeCell="S21" sqref="S21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Winter'!B2*Scenarios!$B$6</f>
        <v>64.820174037171526</v>
      </c>
      <c r="C2" s="2">
        <f>'[1]Flexibility, Winter'!C2*Scenarios!$B$6</f>
        <v>60.885041945759589</v>
      </c>
      <c r="D2" s="2">
        <f>'[1]Flexibility, Winter'!D2*Scenarios!$B$6</f>
        <v>58.002575350973096</v>
      </c>
      <c r="E2" s="2">
        <f>'[1]Flexibility, Winter'!E2*Scenarios!$B$6</f>
        <v>56.518952838950646</v>
      </c>
      <c r="F2" s="2">
        <f>'[1]Flexibility, Winter'!F2*Scenarios!$B$6</f>
        <v>56.236358074755884</v>
      </c>
      <c r="G2" s="2">
        <f>'[1]Flexibility, Winter'!G2*Scenarios!$B$6</f>
        <v>57.296088440486209</v>
      </c>
      <c r="H2" s="2">
        <f>'[1]Flexibility, Winter'!H2*Scenarios!$B$6</f>
        <v>60.694290479928121</v>
      </c>
      <c r="I2" s="2">
        <f>'[1]Flexibility, Winter'!I2*Scenarios!$B$6</f>
        <v>72.096989215186412</v>
      </c>
      <c r="J2" s="2">
        <f>'[1]Flexibility, Winter'!J2*Scenarios!$B$6</f>
        <v>80.426469889826777</v>
      </c>
      <c r="K2" s="2">
        <f>'[1]Flexibility, Winter'!K2*Scenarios!$B$6</f>
        <v>77.71356015355714</v>
      </c>
      <c r="L2" s="2">
        <f>'[1]Flexibility, Winter'!L2*Scenarios!$B$6</f>
        <v>68.974317070834388</v>
      </c>
      <c r="M2" s="2">
        <f>'[1]Flexibility, Winter'!M2*Scenarios!$B$6</f>
        <v>60.885041945759589</v>
      </c>
      <c r="N2" s="2">
        <f>'[1]Flexibility, Winter'!N2*Scenarios!$B$6</f>
        <v>59.267186920744621</v>
      </c>
      <c r="O2" s="2">
        <f>'[1]Flexibility, Winter'!O2*Scenarios!$B$6</f>
        <v>58.059094303812053</v>
      </c>
      <c r="P2" s="2">
        <f>'[1]Flexibility, Winter'!P2*Scenarios!$B$6</f>
        <v>58.638413570411295</v>
      </c>
      <c r="Q2" s="2">
        <f>'[1]Flexibility, Winter'!Q2*Scenarios!$B$6</f>
        <v>60.051387391385063</v>
      </c>
      <c r="R2" s="2">
        <f>'[1]Flexibility, Winter'!R2*Scenarios!$B$6</f>
        <v>68.974317070834388</v>
      </c>
      <c r="S2" s="2">
        <f>'[1]Flexibility, Winter'!S2*Scenarios!$B$6</f>
        <v>83.718698892695642</v>
      </c>
      <c r="T2" s="2">
        <f>'[1]Flexibility, Winter'!T2*Scenarios!$B$6</f>
        <v>91.087357369073843</v>
      </c>
      <c r="U2" s="2">
        <f>'[1]Flexibility, Winter'!U2*Scenarios!$B$6</f>
        <v>93.4752831265195</v>
      </c>
      <c r="V2" s="2">
        <f>'[1]Flexibility, Winter'!V2*Scenarios!$B$6</f>
        <v>83.316001353718121</v>
      </c>
      <c r="W2" s="2">
        <f>'[1]Flexibility, Winter'!W2*Scenarios!$B$6</f>
        <v>76.533727013044043</v>
      </c>
      <c r="X2" s="2">
        <f>'[1]Flexibility, Winter'!X2*Scenarios!$B$6</f>
        <v>70.648691048688306</v>
      </c>
      <c r="Y2" s="2">
        <f>'[1]Flexibility, Winter'!Y2*Scenarios!$B$6</f>
        <v>65.886969272006723</v>
      </c>
    </row>
    <row r="3" spans="1:25" x14ac:dyDescent="0.3">
      <c r="A3">
        <v>2</v>
      </c>
      <c r="B3" s="2">
        <f>'[1]Flexibility, Winter'!B3*Scenarios!$B$6</f>
        <v>62.86320529512286</v>
      </c>
      <c r="C3" s="2">
        <f>'[1]Flexibility, Winter'!C3*Scenarios!$B$6</f>
        <v>61.075793411591043</v>
      </c>
      <c r="D3" s="2">
        <f>'[1]Flexibility, Winter'!D3*Scenarios!$B$6</f>
        <v>60.04432252228019</v>
      </c>
      <c r="E3" s="2">
        <f>'[1]Flexibility, Winter'!E3*Scenarios!$B$6</f>
        <v>58.638413570411295</v>
      </c>
      <c r="F3" s="2">
        <f>'[1]Flexibility, Winter'!F3*Scenarios!$B$6</f>
        <v>58.737321737879455</v>
      </c>
      <c r="G3" s="2">
        <f>'[1]Flexibility, Winter'!G3*Scenarios!$B$6</f>
        <v>60.051387391385063</v>
      </c>
      <c r="H3" s="2">
        <f>'[1]Flexibility, Winter'!H3*Scenarios!$B$6</f>
        <v>62.877335033332592</v>
      </c>
      <c r="I3" s="2">
        <f>'[1]Flexibility, Winter'!I3*Scenarios!$B$6</f>
        <v>70.648691048688306</v>
      </c>
      <c r="J3" s="2">
        <f>'[1]Flexibility, Winter'!J3*Scenarios!$B$6</f>
        <v>74.01863361171074</v>
      </c>
      <c r="K3" s="2">
        <f>'[1]Flexibility, Winter'!K3*Scenarios!$B$6</f>
        <v>74.181125601122716</v>
      </c>
      <c r="L3" s="2">
        <f>'[1]Flexibility, Winter'!L3*Scenarios!$B$6</f>
        <v>70.648691048688306</v>
      </c>
      <c r="M3" s="2">
        <f>'[1]Flexibility, Winter'!M3*Scenarios!$B$6</f>
        <v>66.819531993849395</v>
      </c>
      <c r="N3" s="2">
        <f>'[1]Flexibility, Winter'!N3*Scenarios!$B$6</f>
        <v>64.996795764793248</v>
      </c>
      <c r="O3" s="2">
        <f>'[1]Flexibility, Winter'!O3*Scenarios!$B$6</f>
        <v>64.841368644486124</v>
      </c>
      <c r="P3" s="2">
        <f>'[1]Flexibility, Winter'!P3*Scenarios!$B$6</f>
        <v>63.654470634868161</v>
      </c>
      <c r="Q3" s="2">
        <f>'[1]Flexibility, Winter'!Q3*Scenarios!$B$6</f>
        <v>65.003860633898114</v>
      </c>
      <c r="R3" s="2">
        <f>'[1]Flexibility, Winter'!R3*Scenarios!$B$6</f>
        <v>71.341048220965448</v>
      </c>
      <c r="S3" s="2">
        <f>'[1]Flexibility, Winter'!S3*Scenarios!$B$6</f>
        <v>75.664748113145166</v>
      </c>
      <c r="T3" s="2">
        <f>'[1]Flexibility, Winter'!T3*Scenarios!$B$6</f>
        <v>89.01735072134727</v>
      </c>
      <c r="U3" s="2">
        <f>'[1]Flexibility, Winter'!U3*Scenarios!$B$6</f>
        <v>84.403991195867917</v>
      </c>
      <c r="V3" s="2">
        <f>'[1]Flexibility, Winter'!V3*Scenarios!$B$6</f>
        <v>77.71356015355714</v>
      </c>
      <c r="W3" s="2">
        <f>'[1]Flexibility, Winter'!W3*Scenarios!$B$6</f>
        <v>72.245351466388669</v>
      </c>
      <c r="X3" s="2">
        <f>'[1]Flexibility, Winter'!X3*Scenarios!$B$6</f>
        <v>69.235717227714545</v>
      </c>
      <c r="Y3" s="2">
        <f>'[1]Flexibility, Winter'!Y3*Scenarios!$B$6</f>
        <v>67.46243508239246</v>
      </c>
    </row>
    <row r="4" spans="1:25" x14ac:dyDescent="0.3">
      <c r="A4">
        <v>3</v>
      </c>
      <c r="B4" s="2">
        <f>'[1]Flexibility, Winter'!B4*Scenarios!$B$6</f>
        <v>65.229936445253912</v>
      </c>
      <c r="C4" s="2">
        <f>'[1]Flexibility, Winter'!C4*Scenarios!$B$6</f>
        <v>63.668600373077908</v>
      </c>
      <c r="D4" s="2">
        <f>'[1]Flexibility, Winter'!D4*Scenarios!$B$6</f>
        <v>61.471426081463697</v>
      </c>
      <c r="E4" s="2">
        <f>'[1]Flexibility, Winter'!E4*Scenarios!$B$6</f>
        <v>60.616576919774566</v>
      </c>
      <c r="F4" s="2">
        <f>'[1]Flexibility, Winter'!F4*Scenarios!$B$6</f>
        <v>60.051387391385063</v>
      </c>
      <c r="G4" s="2">
        <f>'[1]Flexibility, Winter'!G4*Scenarios!$B$6</f>
        <v>60.969820375018003</v>
      </c>
      <c r="H4" s="2">
        <f>'[1]Flexibility, Winter'!H4*Scenarios!$B$6</f>
        <v>67.116256496253897</v>
      </c>
      <c r="I4" s="2">
        <f>'[1]Flexibility, Winter'!I4*Scenarios!$B$6</f>
        <v>73.432249476006618</v>
      </c>
      <c r="J4" s="2">
        <f>'[1]Flexibility, Winter'!J4*Scenarios!$B$6</f>
        <v>85.767510933107602</v>
      </c>
      <c r="K4" s="2">
        <f>'[1]Flexibility, Winter'!K4*Scenarios!$B$6</f>
        <v>85.767510933107602</v>
      </c>
      <c r="L4" s="2">
        <f>'[1]Flexibility, Winter'!L4*Scenarios!$B$6</f>
        <v>74.449590627107739</v>
      </c>
      <c r="M4" s="2">
        <f>'[1]Flexibility, Winter'!M4*Scenarios!$B$6</f>
        <v>72.746957172834342</v>
      </c>
      <c r="N4" s="2">
        <f>'[1]Flexibility, Winter'!N4*Scenarios!$B$6</f>
        <v>70.64162617958344</v>
      </c>
      <c r="O4" s="2">
        <f>'[1]Flexibility, Winter'!O4*Scenarios!$B$6</f>
        <v>69.588960682957975</v>
      </c>
      <c r="P4" s="2">
        <f>'[1]Flexibility, Winter'!P4*Scenarios!$B$6</f>
        <v>66.946699637737041</v>
      </c>
      <c r="Q4" s="2">
        <f>'[1]Flexibility, Winter'!Q4*Scenarios!$B$6</f>
        <v>66.925505030422428</v>
      </c>
      <c r="R4" s="2">
        <f>'[1]Flexibility, Winter'!R4*Scenarios!$B$6</f>
        <v>70.203604295081576</v>
      </c>
      <c r="S4" s="2">
        <f>'[1]Flexibility, Winter'!S4*Scenarios!$B$6</f>
        <v>72.556205707002889</v>
      </c>
      <c r="T4" s="2">
        <f>'[1]Flexibility, Winter'!T4*Scenarios!$B$6</f>
        <v>78.624928268085213</v>
      </c>
      <c r="U4" s="2">
        <f>'[1]Flexibility, Winter'!U4*Scenarios!$B$6</f>
        <v>85.767510933107602</v>
      </c>
      <c r="V4" s="2">
        <f>'[1]Flexibility, Winter'!V4*Scenarios!$B$6</f>
        <v>84.778429258425973</v>
      </c>
      <c r="W4" s="2">
        <f>'[1]Flexibility, Winter'!W4*Scenarios!$B$6</f>
        <v>76.095705128542164</v>
      </c>
      <c r="X4" s="2">
        <f>'[1]Flexibility, Winter'!X4*Scenarios!$B$6</f>
        <v>71.581253770530992</v>
      </c>
      <c r="Y4" s="2">
        <f>'[1]Flexibility, Winter'!Y4*Scenarios!$B$6</f>
        <v>65.477206863924323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CA46C-7623-4ABD-BCE9-736625BC3D05}">
  <dimension ref="A1:Y6"/>
  <sheetViews>
    <sheetView zoomScale="85" zoomScaleNormal="85" workbookViewId="0">
      <selection activeCell="B2" sqref="B2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Spring'!B2*Scenarios!$B$6</f>
        <v>31.085424061422856</v>
      </c>
      <c r="C2" s="2">
        <f>'[1]Flexibility, Spring'!C2*Scenarios!$B$6</f>
        <v>32.936419766898489</v>
      </c>
      <c r="D2" s="2">
        <f>'[1]Flexibility, Spring'!D2*Scenarios!$B$6</f>
        <v>34.024409609048284</v>
      </c>
      <c r="E2" s="2">
        <f>'[1]Flexibility, Spring'!E2*Scenarios!$B$6</f>
        <v>34.19396646756514</v>
      </c>
      <c r="F2" s="2">
        <f>'[1]Flexibility, Spring'!F2*Scenarios!$B$6</f>
        <v>35.677588979587597</v>
      </c>
      <c r="G2" s="2">
        <f>'[1]Flexibility, Spring'!G2*Scenarios!$B$6</f>
        <v>39.556202118160584</v>
      </c>
      <c r="H2" s="2">
        <f>'[1]Flexibility, Spring'!H2*Scenarios!$B$6</f>
        <v>41.555560074838461</v>
      </c>
      <c r="I2" s="2">
        <f>'[1]Flexibility, Spring'!I2*Scenarios!$B$6</f>
        <v>35.310215786134414</v>
      </c>
      <c r="J2" s="2">
        <f>'[1]Flexibility, Spring'!J2*Scenarios!$B$6</f>
        <v>23.879257574456645</v>
      </c>
      <c r="K2" s="2">
        <f>'[1]Flexibility, Spring'!K2*Scenarios!$B$6</f>
        <v>9.5375732915729206</v>
      </c>
      <c r="L2" s="2">
        <f>'[1]Flexibility, Spring'!L2*Scenarios!$B$6</f>
        <v>7.9833020885017794</v>
      </c>
      <c r="M2" s="2">
        <f>'[1]Flexibility, Spring'!M2*Scenarios!$B$6</f>
        <v>6.6763013041010444</v>
      </c>
      <c r="N2" s="2">
        <f>'[1]Flexibility, Spring'!N2*Scenarios!$B$6</f>
        <v>3.1791910971909738</v>
      </c>
      <c r="O2" s="2">
        <f>'[1]Flexibility, Spring'!O2*Scenarios!$B$6</f>
        <v>2.2113040298239439</v>
      </c>
      <c r="P2" s="2">
        <f>'[1]Flexibility, Spring'!P2*Scenarios!$B$6</f>
        <v>0.38150293166291688</v>
      </c>
      <c r="Q2" s="2">
        <f>'[1]Flexibility, Spring'!Q2*Scenarios!$B$6</f>
        <v>2.2960824590823701</v>
      </c>
      <c r="R2" s="2">
        <f>'[1]Flexibility, Spring'!R2*Scenarios!$B$6</f>
        <v>3.5324345524344154</v>
      </c>
      <c r="S2" s="2">
        <f>'[1]Flexibility, Spring'!S2*Scenarios!$B$6</f>
        <v>10.717406432086015</v>
      </c>
      <c r="T2" s="2">
        <f>'[1]Flexibility, Spring'!T2*Scenarios!$B$6</f>
        <v>23.879257574456645</v>
      </c>
      <c r="U2" s="2">
        <f>'[1]Flexibility, Spring'!U2*Scenarios!$B$6</f>
        <v>34.702637043115693</v>
      </c>
      <c r="V2" s="2">
        <f>'[1]Flexibility, Spring'!V2*Scenarios!$B$6</f>
        <v>41.901738660977038</v>
      </c>
      <c r="W2" s="2">
        <f>'[1]Flexibility, Spring'!W2*Scenarios!$B$6</f>
        <v>40.714840651359076</v>
      </c>
      <c r="X2" s="2">
        <f>'[1]Flexibility, Spring'!X2*Scenarios!$B$6</f>
        <v>34.617858613857273</v>
      </c>
      <c r="Y2" s="2">
        <f>'[1]Flexibility, Spring'!Y2*Scenarios!$B$6</f>
        <v>51.170846926564941</v>
      </c>
    </row>
    <row r="3" spans="1:25" x14ac:dyDescent="0.3">
      <c r="A3">
        <v>2</v>
      </c>
      <c r="B3" s="2">
        <f>'[1]Flexibility, Spring'!B3*Scenarios!$B$6</f>
        <v>49.807327189325257</v>
      </c>
      <c r="C3" s="2">
        <f>'[1]Flexibility, Spring'!C3*Scenarios!$B$6</f>
        <v>48.839440121958219</v>
      </c>
      <c r="D3" s="2">
        <f>'[1]Flexibility, Spring'!D3*Scenarios!$B$6</f>
        <v>48.747596823594932</v>
      </c>
      <c r="E3" s="2">
        <f>'[1]Flexibility, Spring'!E3*Scenarios!$B$6</f>
        <v>48.048174782212918</v>
      </c>
      <c r="F3" s="2">
        <f>'[1]Flexibility, Spring'!F3*Scenarios!$B$6</f>
        <v>48.634558917917033</v>
      </c>
      <c r="G3" s="2">
        <f>'[1]Flexibility, Spring'!G3*Scenarios!$B$6</f>
        <v>47.334623002621164</v>
      </c>
      <c r="H3" s="2">
        <f>'[1]Flexibility, Spring'!H3*Scenarios!$B$6</f>
        <v>47.984590960269095</v>
      </c>
      <c r="I3" s="2">
        <f>'[1]Flexibility, Spring'!I3*Scenarios!$B$6</f>
        <v>51.481701167179175</v>
      </c>
      <c r="J3" s="2">
        <f>'[1]Flexibility, Spring'!J3*Scenarios!$B$6</f>
        <v>29.460504167303025</v>
      </c>
      <c r="K3" s="2">
        <f>'[1]Flexibility, Spring'!K3*Scenarios!$B$6</f>
        <v>21.194607314606493</v>
      </c>
      <c r="L3" s="2">
        <f>'[1]Flexibility, Spring'!L3*Scenarios!$B$6</f>
        <v>13.296083655363139</v>
      </c>
      <c r="M3" s="2">
        <f>'[1]Flexibility, Spring'!M3*Scenarios!$B$6</f>
        <v>14.43352758124702</v>
      </c>
      <c r="N3" s="2">
        <f>'[1]Flexibility, Spring'!N3*Scenarios!$B$6</f>
        <v>10.38535758415718</v>
      </c>
      <c r="O3" s="2">
        <f>'[1]Flexibility, Spring'!O3*Scenarios!$B$6</f>
        <v>6.8246635553032906</v>
      </c>
      <c r="P3" s="2">
        <f>'[1]Flexibility, Spring'!P3*Scenarios!$B$6</f>
        <v>5.8002575350973107</v>
      </c>
      <c r="Q3" s="2">
        <f>'[1]Flexibility, Spring'!Q3*Scenarios!$B$6</f>
        <v>5.2562626140224102</v>
      </c>
      <c r="R3" s="2">
        <f>'[1]Flexibility, Spring'!R3*Scenarios!$B$6</f>
        <v>10.38535758415718</v>
      </c>
      <c r="S3" s="2">
        <f>'[1]Flexibility, Spring'!S3*Scenarios!$B$6</f>
        <v>13.734105539865007</v>
      </c>
      <c r="T3" s="2">
        <f>'[1]Flexibility, Spring'!T3*Scenarios!$B$6</f>
        <v>24.578679615838659</v>
      </c>
      <c r="U3" s="2">
        <f>'[1]Flexibility, Spring'!U3*Scenarios!$B$6</f>
        <v>44.317923894842174</v>
      </c>
      <c r="V3" s="2">
        <f>'[1]Flexibility, Spring'!V3*Scenarios!$B$6</f>
        <v>48.048174782212918</v>
      </c>
      <c r="W3" s="2">
        <f>'[1]Flexibility, Spring'!W3*Scenarios!$B$6</f>
        <v>47.172131013209182</v>
      </c>
      <c r="X3" s="2">
        <f>'[1]Flexibility, Spring'!X3*Scenarios!$B$6</f>
        <v>44.565194313512585</v>
      </c>
      <c r="Y3" s="2">
        <f>'[1]Flexibility, Spring'!Y3*Scenarios!$B$6</f>
        <v>50.867057555055581</v>
      </c>
    </row>
    <row r="4" spans="1:25" x14ac:dyDescent="0.3">
      <c r="A4">
        <v>3</v>
      </c>
      <c r="B4" s="2">
        <f>'[1]Flexibility, Spring'!B4*Scenarios!$B$6</f>
        <v>48.676948132546244</v>
      </c>
      <c r="C4" s="2">
        <f>'[1]Flexibility, Spring'!C4*Scenarios!$B$6</f>
        <v>46.557487401085595</v>
      </c>
      <c r="D4" s="2">
        <f>'[1]Flexibility, Spring'!D4*Scenarios!$B$6</f>
        <v>46.854211903490082</v>
      </c>
      <c r="E4" s="2">
        <f>'[1]Flexibility, Spring'!E4*Scenarios!$B$6</f>
        <v>45.752092323130547</v>
      </c>
      <c r="F4" s="2">
        <f>'[1]Flexibility, Spring'!F4*Scenarios!$B$6</f>
        <v>47.956331483849617</v>
      </c>
      <c r="G4" s="2">
        <f>'[1]Flexibility, Spring'!G4*Scenarios!$B$6</f>
        <v>44.438026669624946</v>
      </c>
      <c r="H4" s="2">
        <f>'[1]Flexibility, Spring'!H4*Scenarios!$B$6</f>
        <v>46.931925463643644</v>
      </c>
      <c r="I4" s="2">
        <f>'[1]Flexibility, Spring'!I4*Scenarios!$B$6</f>
        <v>41.386003216321612</v>
      </c>
      <c r="J4" s="2">
        <f>'[1]Flexibility, Spring'!J4*Scenarios!$B$6</f>
        <v>27.305719090318028</v>
      </c>
      <c r="K4" s="2">
        <f>'[1]Flexibility, Spring'!K4*Scenarios!$B$6</f>
        <v>17.075788626467965</v>
      </c>
      <c r="L4" s="2">
        <f>'[1]Flexibility, Spring'!L4*Scenarios!$B$6</f>
        <v>15.542712030711428</v>
      </c>
      <c r="M4" s="2">
        <f>'[1]Flexibility, Spring'!M4*Scenarios!$B$6</f>
        <v>15.373155172194576</v>
      </c>
      <c r="N4" s="2">
        <f>'[1]Flexibility, Spring'!N4*Scenarios!$B$6</f>
        <v>8.2800265909062691</v>
      </c>
      <c r="O4" s="2">
        <f>'[1]Flexibility, Spring'!O4*Scenarios!$B$6</f>
        <v>7.2273610942808144</v>
      </c>
      <c r="P4" s="2">
        <f>'[1]Flexibility, Spring'!P4*Scenarios!$B$6</f>
        <v>2.2960824590823701</v>
      </c>
      <c r="Q4" s="2">
        <f>'[1]Flexibility, Spring'!Q4*Scenarios!$B$6</f>
        <v>2.2960824590823701</v>
      </c>
      <c r="R4" s="2">
        <f>'[1]Flexibility, Spring'!R4*Scenarios!$B$6</f>
        <v>5.9839441318239004</v>
      </c>
      <c r="S4" s="2">
        <f>'[1]Flexibility, Spring'!S4*Scenarios!$B$6</f>
        <v>17.732821453220765</v>
      </c>
      <c r="T4" s="2">
        <f>'[1]Flexibility, Spring'!T4*Scenarios!$B$6</f>
        <v>29.107260712059585</v>
      </c>
      <c r="U4" s="2">
        <f>'[1]Flexibility, Spring'!U4*Scenarios!$B$6</f>
        <v>40.439310756269187</v>
      </c>
      <c r="V4" s="2">
        <f>'[1]Flexibility, Spring'!V4*Scenarios!$B$6</f>
        <v>52.72511812963608</v>
      </c>
      <c r="W4" s="2">
        <f>'[1]Flexibility, Spring'!W4*Scenarios!$B$6</f>
        <v>47.956331483849617</v>
      </c>
      <c r="X4" s="2">
        <f>'[1]Flexibility, Spring'!X4*Scenarios!$B$6</f>
        <v>50.160570644568701</v>
      </c>
      <c r="Y4" s="2">
        <f>'[1]Flexibility, Spring'!Y4*Scenarios!$B$6</f>
        <v>50.867057555055581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8B75F-C023-45BB-9C5E-2448F504CF83}">
  <dimension ref="A1:Y6"/>
  <sheetViews>
    <sheetView zoomScale="85" zoomScaleNormal="85" workbookViewId="0">
      <selection activeCell="U27" sqref="U27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Summer'!B2*Scenarios!$B$6</f>
        <v>79.931929052485955</v>
      </c>
      <c r="C2" s="2">
        <f>'[1]Flexibility, Summer'!C2*Scenarios!$B$6</f>
        <v>79.394999000515909</v>
      </c>
      <c r="D2" s="2">
        <f>'[1]Flexibility, Summer'!D2*Scenarios!$B$6</f>
        <v>79.578685597242512</v>
      </c>
      <c r="E2" s="2">
        <f>'[1]Flexibility, Summer'!E2*Scenarios!$B$6</f>
        <v>79.536296382613287</v>
      </c>
      <c r="F2" s="2">
        <f>'[1]Flexibility, Summer'!F2*Scenarios!$B$6</f>
        <v>79.748242455759353</v>
      </c>
      <c r="G2" s="2">
        <f>'[1]Flexibility, Summer'!G2*Scenarios!$B$6</f>
        <v>82.545930621287425</v>
      </c>
      <c r="H2" s="2">
        <f>'[1]Flexibility, Summer'!H2*Scenarios!$B$6</f>
        <v>85.287099833976526</v>
      </c>
      <c r="I2" s="2">
        <f>'[1]Flexibility, Summer'!I2*Scenarios!$B$6</f>
        <v>82.545930621287425</v>
      </c>
      <c r="J2" s="2">
        <f>'[1]Flexibility, Summer'!J2*Scenarios!$B$6</f>
        <v>79.705853241130143</v>
      </c>
      <c r="K2" s="2">
        <f>'[1]Flexibility, Summer'!K2*Scenarios!$B$6</f>
        <v>79.070015021691958</v>
      </c>
      <c r="L2" s="2">
        <f>'[1]Flexibility, Summer'!L2*Scenarios!$B$6</f>
        <v>69.235717227714545</v>
      </c>
      <c r="M2" s="2">
        <f>'[1]Flexibility, Summer'!M2*Scenarios!$B$6</f>
        <v>65.689152937070389</v>
      </c>
      <c r="N2" s="2">
        <f>'[1]Flexibility, Summer'!N2*Scenarios!$B$6</f>
        <v>65.554920424077878</v>
      </c>
      <c r="O2" s="2">
        <f>'[1]Flexibility, Summer'!O2*Scenarios!$B$6</f>
        <v>62.870270164227719</v>
      </c>
      <c r="P2" s="2">
        <f>'[1]Flexibility, Summer'!P2*Scenarios!$B$6</f>
        <v>58.638413570411295</v>
      </c>
      <c r="Q2" s="2">
        <f>'[1]Flexibility, Summer'!Q2*Scenarios!$B$6</f>
        <v>57.79062927782703</v>
      </c>
      <c r="R2" s="2">
        <f>'[1]Flexibility, Summer'!R2*Scenarios!$B$6</f>
        <v>57.79062927782703</v>
      </c>
      <c r="S2" s="2">
        <f>'[1]Flexibility, Summer'!S2*Scenarios!$B$6</f>
        <v>66.671169742647152</v>
      </c>
      <c r="T2" s="2">
        <f>'[1]Flexibility, Summer'!T2*Scenarios!$B$6</f>
        <v>77.14837062516763</v>
      </c>
      <c r="U2" s="2">
        <f>'[1]Flexibility, Summer'!U2*Scenarios!$B$6</f>
        <v>83.082860673257443</v>
      </c>
      <c r="V2" s="2">
        <f>'[1]Flexibility, Summer'!V2*Scenarios!$B$6</f>
        <v>93.722553545189911</v>
      </c>
      <c r="W2" s="2">
        <f>'[1]Flexibility, Summer'!W2*Scenarios!$B$6</f>
        <v>88.664107266103827</v>
      </c>
      <c r="X2" s="2">
        <f>'[1]Flexibility, Summer'!X2*Scenarios!$B$6</f>
        <v>82.757876694433477</v>
      </c>
      <c r="Y2" s="2">
        <f>'[1]Flexibility, Summer'!Y2*Scenarios!$B$6</f>
        <v>80.426469889826777</v>
      </c>
    </row>
    <row r="3" spans="1:25" x14ac:dyDescent="0.3">
      <c r="A3">
        <v>2</v>
      </c>
      <c r="B3" s="2">
        <f>'[1]Flexibility, Summer'!B3*Scenarios!$B$6</f>
        <v>75.749526542403601</v>
      </c>
      <c r="C3" s="2">
        <f>'[1]Flexibility, Summer'!C3*Scenarios!$B$6</f>
        <v>75.742461673298735</v>
      </c>
      <c r="D3" s="2">
        <f>'[1]Flexibility, Summer'!D3*Scenarios!$B$6</f>
        <v>75.742461673298735</v>
      </c>
      <c r="E3" s="2">
        <f>'[1]Flexibility, Summer'!E3*Scenarios!$B$6</f>
        <v>67.116256496253897</v>
      </c>
      <c r="F3" s="2">
        <f>'[1]Flexibility, Summer'!F3*Scenarios!$B$6</f>
        <v>72.372519110276301</v>
      </c>
      <c r="G3" s="2">
        <f>'[1]Flexibility, Summer'!G3*Scenarios!$B$6</f>
        <v>74.181125601122716</v>
      </c>
      <c r="H3" s="2">
        <f>'[1]Flexibility, Summer'!H3*Scenarios!$B$6</f>
        <v>81.316643397040238</v>
      </c>
      <c r="I3" s="2">
        <f>'[1]Flexibility, Summer'!I3*Scenarios!$B$6</f>
        <v>72.372519110276301</v>
      </c>
      <c r="J3" s="2">
        <f>'[1]Flexibility, Summer'!J3*Scenarios!$B$6</f>
        <v>62.149653515531099</v>
      </c>
      <c r="K3" s="2">
        <f>'[1]Flexibility, Summer'!K3*Scenarios!$B$6</f>
        <v>56.087995823553648</v>
      </c>
      <c r="L3" s="2">
        <f>'[1]Flexibility, Summer'!L3*Scenarios!$B$6</f>
        <v>56.236358074755884</v>
      </c>
      <c r="M3" s="2">
        <f>'[1]Flexibility, Summer'!M3*Scenarios!$B$6</f>
        <v>57.296088440486209</v>
      </c>
      <c r="N3" s="2">
        <f>'[1]Flexibility, Summer'!N3*Scenarios!$B$6</f>
        <v>57.931926659924407</v>
      </c>
      <c r="O3" s="2">
        <f>'[1]Flexibility, Summer'!O3*Scenarios!$B$6</f>
        <v>58.278105246062978</v>
      </c>
      <c r="P3" s="2">
        <f>'[1]Flexibility, Summer'!P3*Scenarios!$B$6</f>
        <v>56.236358074755884</v>
      </c>
      <c r="Q3" s="2">
        <f>'[1]Flexibility, Summer'!Q3*Scenarios!$B$6</f>
        <v>56.236358074755884</v>
      </c>
      <c r="R3" s="2">
        <f>'[1]Flexibility, Summer'!R3*Scenarios!$B$6</f>
        <v>57.931926659924407</v>
      </c>
      <c r="S3" s="2">
        <f>'[1]Flexibility, Summer'!S3*Scenarios!$B$6</f>
        <v>59.507392470310165</v>
      </c>
      <c r="T3" s="2">
        <f>'[1]Flexibility, Summer'!T3*Scenarios!$B$6</f>
        <v>62.877335033332592</v>
      </c>
      <c r="U3" s="2">
        <f>'[1]Flexibility, Summer'!U3*Scenarios!$B$6</f>
        <v>82.093778998575814</v>
      </c>
      <c r="V3" s="2">
        <f>'[1]Flexibility, Summer'!V3*Scenarios!$B$6</f>
        <v>91.06616276175923</v>
      </c>
      <c r="W3" s="2">
        <f>'[1]Flexibility, Summer'!W3*Scenarios!$B$6</f>
        <v>86.488127581804221</v>
      </c>
      <c r="X3" s="2">
        <f>'[1]Flexibility, Summer'!X3*Scenarios!$B$6</f>
        <v>81.655757114073936</v>
      </c>
      <c r="Y3" s="2">
        <f>'[1]Flexibility, Summer'!Y3*Scenarios!$B$6</f>
        <v>76.123964604961643</v>
      </c>
    </row>
    <row r="4" spans="1:25" x14ac:dyDescent="0.3">
      <c r="A4">
        <v>3</v>
      </c>
      <c r="B4" s="2">
        <f>'[1]Flexibility, Summer'!B4*Scenarios!$B$6</f>
        <v>76.752737955294975</v>
      </c>
      <c r="C4" s="2">
        <f>'[1]Flexibility, Summer'!C4*Scenarios!$B$6</f>
        <v>73.919725444242573</v>
      </c>
      <c r="D4" s="2">
        <f>'[1]Flexibility, Summer'!D4*Scenarios!$B$6</f>
        <v>74.357747328744438</v>
      </c>
      <c r="E4" s="2">
        <f>'[1]Flexibility, Summer'!E4*Scenarios!$B$6</f>
        <v>66.148369428886852</v>
      </c>
      <c r="F4" s="2">
        <f>'[1]Flexibility, Summer'!F4*Scenarios!$B$6</f>
        <v>66.671169742647152</v>
      </c>
      <c r="G4" s="2">
        <f>'[1]Flexibility, Summer'!G4*Scenarios!$B$6</f>
        <v>70.260123247920518</v>
      </c>
      <c r="H4" s="2">
        <f>'[1]Flexibility, Summer'!H4*Scenarios!$B$6</f>
        <v>80.044966958163855</v>
      </c>
      <c r="I4" s="2">
        <f>'[1]Flexibility, Summer'!I4*Scenarios!$B$6</f>
        <v>77.621716855193839</v>
      </c>
      <c r="J4" s="2">
        <f>'[1]Flexibility, Summer'!J4*Scenarios!$B$6</f>
        <v>63.583821943819473</v>
      </c>
      <c r="K4" s="2">
        <f>'[1]Flexibility, Summer'!K4*Scenarios!$B$6</f>
        <v>52.98651828651623</v>
      </c>
      <c r="L4" s="2">
        <f>'[1]Flexibility, Summer'!L4*Scenarios!$B$6</f>
        <v>45.836870752388968</v>
      </c>
      <c r="M4" s="2">
        <f>'[1]Flexibility, Summer'!M4*Scenarios!$B$6</f>
        <v>45.603730071928297</v>
      </c>
      <c r="N4" s="2">
        <f>'[1]Flexibility, Summer'!N4*Scenarios!$B$6</f>
        <v>45.914584312542523</v>
      </c>
      <c r="O4" s="2">
        <f>'[1]Flexibility, Summer'!O4*Scenarios!$B$6</f>
        <v>45.836870752388968</v>
      </c>
      <c r="P4" s="2">
        <f>'[1]Flexibility, Summer'!P4*Scenarios!$B$6</f>
        <v>44.770075517553778</v>
      </c>
      <c r="Q4" s="2">
        <f>'[1]Flexibility, Summer'!Q4*Scenarios!$B$6</f>
        <v>42.389214629212987</v>
      </c>
      <c r="R4" s="2">
        <f>'[1]Flexibility, Summer'!R4*Scenarios!$B$6</f>
        <v>45.151578449216693</v>
      </c>
      <c r="S4" s="2">
        <f>'[1]Flexibility, Summer'!S4*Scenarios!$B$6</f>
        <v>49.44701886497694</v>
      </c>
      <c r="T4" s="2">
        <f>'[1]Flexibility, Summer'!T4*Scenarios!$B$6</f>
        <v>60.425825453943112</v>
      </c>
      <c r="U4" s="2">
        <f>'[1]Flexibility, Summer'!U4*Scenarios!$B$6</f>
        <v>77.021202981279984</v>
      </c>
      <c r="V4" s="2">
        <f>'[1]Flexibility, Summer'!V4*Scenarios!$B$6</f>
        <v>80.723194392231264</v>
      </c>
      <c r="W4" s="2">
        <f>'[1]Flexibility, Summer'!W4*Scenarios!$B$6</f>
        <v>76.682089264246287</v>
      </c>
      <c r="X4" s="2">
        <f>'[1]Flexibility, Summer'!X4*Scenarios!$B$6</f>
        <v>66.536937229654654</v>
      </c>
      <c r="Y4" s="2">
        <f>'[1]Flexibility, Summer'!Y4*Scenarios!$B$6</f>
        <v>52.442523365441332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804BC-5FC2-455C-9A89-A3BDE7667108}">
  <dimension ref="A1:Y6"/>
  <sheetViews>
    <sheetView zoomScale="85" zoomScaleNormal="85" workbookViewId="0">
      <selection activeCell="O17" sqref="O17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Autumn'!B2*Scenarios!$B$6</f>
        <v>65.025055241212726</v>
      </c>
      <c r="C2" s="2">
        <f>'[1]Flexibility, Autumn'!C2*Scenarios!$B$6</f>
        <v>63.555562467399994</v>
      </c>
      <c r="D2" s="2">
        <f>'[1]Flexibility, Autumn'!D2*Scenarios!$B$6</f>
        <v>63.633276027553549</v>
      </c>
      <c r="E2" s="2">
        <f>'[1]Flexibility, Autumn'!E2*Scenarios!$B$6</f>
        <v>59.21773283701053</v>
      </c>
      <c r="F2" s="2">
        <f>'[1]Flexibility, Autumn'!F2*Scenarios!$B$6</f>
        <v>60.30572267916034</v>
      </c>
      <c r="G2" s="2">
        <f>'[1]Flexibility, Autumn'!G2*Scenarios!$B$6</f>
        <v>63.506108383665918</v>
      </c>
      <c r="H2" s="2">
        <f>'[1]Flexibility, Autumn'!H2*Scenarios!$B$6</f>
        <v>73.573546858103995</v>
      </c>
      <c r="I2" s="2">
        <f>'[1]Flexibility, Autumn'!I2*Scenarios!$B$6</f>
        <v>85.59088920548588</v>
      </c>
      <c r="J2" s="2">
        <f>'[1]Flexibility, Autumn'!J2*Scenarios!$B$6</f>
        <v>85.308294441291125</v>
      </c>
      <c r="K2" s="2">
        <f>'[1]Flexibility, Autumn'!K2*Scenarios!$B$6</f>
        <v>83.393714913871676</v>
      </c>
      <c r="L2" s="2">
        <f>'[1]Flexibility, Autumn'!L2*Scenarios!$B$6</f>
        <v>70.563912619429871</v>
      </c>
      <c r="M2" s="2">
        <f>'[1]Flexibility, Autumn'!M2*Scenarios!$B$6</f>
        <v>65.92935848663592</v>
      </c>
      <c r="N2" s="2">
        <f>'[1]Flexibility, Autumn'!N2*Scenarios!$B$6</f>
        <v>64.565838749396249</v>
      </c>
      <c r="O2" s="2">
        <f>'[1]Flexibility, Autumn'!O2*Scenarios!$B$6</f>
        <v>63.654470634868161</v>
      </c>
      <c r="P2" s="2">
        <f>'[1]Flexibility, Autumn'!P2*Scenarios!$B$6</f>
        <v>65.279390528988003</v>
      </c>
      <c r="Q2" s="2">
        <f>'[1]Flexibility, Autumn'!Q2*Scenarios!$B$6</f>
        <v>77.459224865781863</v>
      </c>
      <c r="R2" s="2">
        <f>'[1]Flexibility, Autumn'!R2*Scenarios!$B$6</f>
        <v>85.442526954283636</v>
      </c>
      <c r="S2" s="2">
        <f>'[1]Flexibility, Autumn'!S2*Scenarios!$B$6</f>
        <v>95.545289774246072</v>
      </c>
      <c r="T2" s="2">
        <f>'[1]Flexibility, Autumn'!T2*Scenarios!$B$6</f>
        <v>113.4194086095642</v>
      </c>
      <c r="U2" s="2">
        <f>'[1]Flexibility, Autumn'!U2*Scenarios!$B$6</f>
        <v>107.04689667697252</v>
      </c>
      <c r="V2" s="2">
        <f>'[1]Flexibility, Autumn'!V2*Scenarios!$B$6</f>
        <v>86.897889989886622</v>
      </c>
      <c r="W2" s="2">
        <f>'[1]Flexibility, Autumn'!W2*Scenarios!$B$6</f>
        <v>83.563271772388532</v>
      </c>
      <c r="X2" s="2">
        <f>'[1]Flexibility, Autumn'!X2*Scenarios!$B$6</f>
        <v>83.563271772388532</v>
      </c>
      <c r="Y2" s="2">
        <f>'[1]Flexibility, Autumn'!Y2*Scenarios!$B$6</f>
        <v>77.459224865781863</v>
      </c>
    </row>
    <row r="3" spans="1:25" x14ac:dyDescent="0.3">
      <c r="A3">
        <v>2</v>
      </c>
      <c r="B3" s="2">
        <f>'[1]Flexibility, Autumn'!B3*Scenarios!$B$6</f>
        <v>56.518952838950646</v>
      </c>
      <c r="C3" s="2">
        <f>'[1]Flexibility, Autumn'!C3*Scenarios!$B$6</f>
        <v>54.251129856287754</v>
      </c>
      <c r="D3" s="2">
        <f>'[1]Flexibility, Autumn'!D3*Scenarios!$B$6</f>
        <v>52.98651828651623</v>
      </c>
      <c r="E3" s="2">
        <f>'[1]Flexibility, Autumn'!E3*Scenarios!$B$6</f>
        <v>51.28388483224284</v>
      </c>
      <c r="F3" s="2">
        <f>'[1]Flexibility, Autumn'!F3*Scenarios!$B$6</f>
        <v>50.153505775463827</v>
      </c>
      <c r="G3" s="2">
        <f>'[1]Flexibility, Autumn'!G3*Scenarios!$B$6</f>
        <v>54.399492107489998</v>
      </c>
      <c r="H3" s="2">
        <f>'[1]Flexibility, Autumn'!H3*Scenarios!$B$6</f>
        <v>62.446378017935594</v>
      </c>
      <c r="I3" s="2">
        <f>'[1]Flexibility, Autumn'!I3*Scenarios!$B$6</f>
        <v>75.848434709871768</v>
      </c>
      <c r="J3" s="2">
        <f>'[1]Flexibility, Autumn'!J3*Scenarios!$B$6</f>
        <v>85.894678576995247</v>
      </c>
      <c r="K3" s="2">
        <f>'[1]Flexibility, Autumn'!K3*Scenarios!$B$6</f>
        <v>72.626854398051577</v>
      </c>
      <c r="L3" s="2">
        <f>'[1]Flexibility, Autumn'!L3*Scenarios!$B$6</f>
        <v>65.844580057377499</v>
      </c>
      <c r="M3" s="2">
        <f>'[1]Flexibility, Autumn'!M3*Scenarios!$B$6</f>
        <v>60.079646867804541</v>
      </c>
      <c r="N3" s="2">
        <f>'[1]Flexibility, Autumn'!N3*Scenarios!$B$6</f>
        <v>62.813751211388769</v>
      </c>
      <c r="O3" s="2">
        <f>'[1]Flexibility, Autumn'!O3*Scenarios!$B$6</f>
        <v>60.270398333635995</v>
      </c>
      <c r="P3" s="2">
        <f>'[1]Flexibility, Autumn'!P3*Scenarios!$B$6</f>
        <v>60.411695715733373</v>
      </c>
      <c r="Q3" s="2">
        <f>'[1]Flexibility, Autumn'!Q3*Scenarios!$B$6</f>
        <v>67.469499951497326</v>
      </c>
      <c r="R3" s="2">
        <f>'[1]Flexibility, Autumn'!R3*Scenarios!$B$6</f>
        <v>79.833020885017788</v>
      </c>
      <c r="S3" s="2">
        <f>'[1]Flexibility, Autumn'!S3*Scenarios!$B$6</f>
        <v>91.843298363294792</v>
      </c>
      <c r="T3" s="2">
        <f>'[1]Flexibility, Autumn'!T3*Scenarios!$B$6</f>
        <v>94.768154172710481</v>
      </c>
      <c r="U3" s="2">
        <f>'[1]Flexibility, Autumn'!U3*Scenarios!$B$6</f>
        <v>95.382797784834082</v>
      </c>
      <c r="V3" s="2">
        <f>'[1]Flexibility, Autumn'!V3*Scenarios!$B$6</f>
        <v>105.06873332760925</v>
      </c>
      <c r="W3" s="2">
        <f>'[1]Flexibility, Autumn'!W3*Scenarios!$B$6</f>
        <v>94.909451554807873</v>
      </c>
      <c r="X3" s="2">
        <f>'[1]Flexibility, Autumn'!X3*Scenarios!$B$6</f>
        <v>81.387292088088927</v>
      </c>
      <c r="Y3" s="2">
        <f>'[1]Flexibility, Autumn'!Y3*Scenarios!$B$6</f>
        <v>72.061664869662067</v>
      </c>
    </row>
    <row r="4" spans="1:25" x14ac:dyDescent="0.3">
      <c r="A4">
        <v>3</v>
      </c>
      <c r="B4" s="2">
        <f>'[1]Flexibility, Autumn'!B4*Scenarios!$B$6</f>
        <v>61.096988018905648</v>
      </c>
      <c r="C4" s="2">
        <f>'[1]Flexibility, Autumn'!C4*Scenarios!$B$6</f>
        <v>57.727045455883207</v>
      </c>
      <c r="D4" s="2">
        <f>'[1]Flexibility, Autumn'!D4*Scenarios!$B$6</f>
        <v>52.98651828651623</v>
      </c>
      <c r="E4" s="2">
        <f>'[1]Flexibility, Autumn'!E4*Scenarios!$B$6</f>
        <v>49.948624571422634</v>
      </c>
      <c r="F4" s="2">
        <f>'[1]Flexibility, Autumn'!F4*Scenarios!$B$6</f>
        <v>49.934494833212902</v>
      </c>
      <c r="G4" s="2">
        <f>'[1]Flexibility, Autumn'!G4*Scenarios!$B$6</f>
        <v>50.626852005490036</v>
      </c>
      <c r="H4" s="2">
        <f>'[1]Flexibility, Autumn'!H4*Scenarios!$B$6</f>
        <v>52.16699347035145</v>
      </c>
      <c r="I4" s="2">
        <f>'[1]Flexibility, Autumn'!I4*Scenarios!$B$6</f>
        <v>55.105979017976878</v>
      </c>
      <c r="J4" s="2">
        <f>'[1]Flexibility, Autumn'!J4*Scenarios!$B$6</f>
        <v>51.637128287486284</v>
      </c>
      <c r="K4" s="2">
        <f>'[1]Flexibility, Autumn'!K4*Scenarios!$B$6</f>
        <v>49.454083734081813</v>
      </c>
      <c r="L4" s="2">
        <f>'[1]Flexibility, Autumn'!L4*Scenarios!$B$6</f>
        <v>47.129741798579964</v>
      </c>
      <c r="M4" s="2">
        <f>'[1]Flexibility, Autumn'!M4*Scenarios!$B$6</f>
        <v>33.770074321273007</v>
      </c>
      <c r="N4" s="2">
        <f>'[1]Flexibility, Autumn'!N4*Scenarios!$B$6</f>
        <v>35.317280655239287</v>
      </c>
      <c r="O4" s="2">
        <f>'[1]Flexibility, Autumn'!O4*Scenarios!$B$6</f>
        <v>35.493902382861009</v>
      </c>
      <c r="P4" s="2">
        <f>'[1]Flexibility, Autumn'!P4*Scenarios!$B$6</f>
        <v>42.389214629212987</v>
      </c>
      <c r="Q4" s="2">
        <f>'[1]Flexibility, Autumn'!Q4*Scenarios!$B$6</f>
        <v>49.75787310559118</v>
      </c>
      <c r="R4" s="2">
        <f>'[1]Flexibility, Autumn'!R4*Scenarios!$B$6</f>
        <v>59.175343622381327</v>
      </c>
      <c r="S4" s="2">
        <f>'[1]Flexibility, Autumn'!S4*Scenarios!$B$6</f>
        <v>74.520239318156428</v>
      </c>
      <c r="T4" s="2">
        <f>'[1]Flexibility, Autumn'!T4*Scenarios!$B$6</f>
        <v>88.932572292088835</v>
      </c>
      <c r="U4" s="2">
        <f>'[1]Flexibility, Autumn'!U4*Scenarios!$B$6</f>
        <v>84.785494127530839</v>
      </c>
      <c r="V4" s="2">
        <f>'[1]Flexibility, Autumn'!V4*Scenarios!$B$6</f>
        <v>84.566483185279907</v>
      </c>
      <c r="W4" s="2">
        <f>'[1]Flexibility, Autumn'!W4*Scenarios!$B$6</f>
        <v>78.243425336422305</v>
      </c>
      <c r="X4" s="2">
        <f>'[1]Flexibility, Autumn'!X4*Scenarios!$B$6</f>
        <v>71.418761781119017</v>
      </c>
      <c r="Y4" s="2">
        <f>'[1]Flexibility, Autumn'!Y4*Scenarios!$B$6</f>
        <v>67.575472988070374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Scenarios</vt:lpstr>
      <vt:lpstr>Cp, Winter</vt:lpstr>
      <vt:lpstr>Cp, Spring</vt:lpstr>
      <vt:lpstr>Cp, Summer</vt:lpstr>
      <vt:lpstr>Cp, Autumn</vt:lpstr>
      <vt:lpstr>Flex, Winter</vt:lpstr>
      <vt:lpstr>Flex, Spring</vt:lpstr>
      <vt:lpstr>Flex, Summer</vt:lpstr>
      <vt:lpstr>Flex,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2025-06-17T09:08:06Z</dcterms:modified>
</cp:coreProperties>
</file>