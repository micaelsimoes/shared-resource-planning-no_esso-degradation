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Market Data\"/>
    </mc:Choice>
  </mc:AlternateContent>
  <xr:revisionPtr revIDLastSave="0" documentId="13_ncr:1_{10BDF104-6374-4177-AE90-14273871AA43}" xr6:coauthVersionLast="47" xr6:coauthVersionMax="47" xr10:uidLastSave="{00000000-0000-0000-0000-000000000000}"/>
  <bookViews>
    <workbookView xWindow="32640" yWindow="-11235" windowWidth="28800" windowHeight="15285" xr2:uid="{00000000-000D-0000-FFFF-FFFF00000000}"/>
  </bookViews>
  <sheets>
    <sheet name="Scenarios" sheetId="1" r:id="rId1"/>
    <sheet name="Cp, Winter" sheetId="2" r:id="rId2"/>
    <sheet name="Cp, Spring" sheetId="20" r:id="rId3"/>
    <sheet name="Cp, Summer" sheetId="14" r:id="rId4"/>
    <sheet name="Cp, Autumn" sheetId="21" r:id="rId5"/>
    <sheet name="Flex, Winter" sheetId="18" r:id="rId6"/>
    <sheet name="Flex, Spring" sheetId="22" r:id="rId7"/>
    <sheet name="Flex, Summer" sheetId="19" r:id="rId8"/>
    <sheet name="Flex, Autumn" sheetId="23" r:id="rId9"/>
  </sheets>
  <externalReferences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E1" i="1"/>
  <c r="C1" i="1"/>
  <c r="B7" i="1"/>
  <c r="B6" i="1"/>
  <c r="X4" i="23" s="1"/>
  <c r="Y2" i="14" l="1"/>
  <c r="K4" i="14"/>
  <c r="D2" i="21"/>
  <c r="B4" i="18"/>
  <c r="G3" i="22"/>
  <c r="Y3" i="2"/>
  <c r="C4" i="18"/>
  <c r="B2" i="21"/>
  <c r="B4" i="2"/>
  <c r="S2" i="21"/>
  <c r="T2" i="21"/>
  <c r="U2" i="21"/>
  <c r="J2" i="20"/>
  <c r="J3" i="18"/>
  <c r="K3" i="18"/>
  <c r="V3" i="20"/>
  <c r="O4" i="20"/>
  <c r="D4" i="18"/>
  <c r="C2" i="21"/>
  <c r="Q4" i="2"/>
  <c r="R4" i="2"/>
  <c r="S4" i="2"/>
  <c r="I3" i="18"/>
  <c r="K2" i="20"/>
  <c r="U3" i="20"/>
  <c r="M4" i="20"/>
  <c r="X2" i="14"/>
  <c r="E3" i="22"/>
  <c r="F3" i="22"/>
  <c r="R4" i="14"/>
  <c r="Q3" i="22"/>
  <c r="N4" i="20"/>
  <c r="L3" i="21"/>
  <c r="V3" i="22"/>
  <c r="M3" i="21"/>
  <c r="X3" i="22"/>
  <c r="F3" i="2"/>
  <c r="F2" i="14"/>
  <c r="Y4" i="21"/>
  <c r="O4" i="22"/>
  <c r="G3" i="2"/>
  <c r="G2" i="14"/>
  <c r="O2" i="18"/>
  <c r="H2" i="19"/>
  <c r="I3" i="2"/>
  <c r="H2" i="14"/>
  <c r="Q2" i="18"/>
  <c r="J2" i="19"/>
  <c r="W3" i="2"/>
  <c r="W2" i="14"/>
  <c r="R2" i="18"/>
  <c r="Y2" i="19"/>
  <c r="N3" i="21"/>
  <c r="S4" i="18"/>
  <c r="G3" i="19"/>
  <c r="L2" i="20"/>
  <c r="R3" i="19"/>
  <c r="C3" i="20"/>
  <c r="Q3" i="14"/>
  <c r="F4" i="21"/>
  <c r="M2" i="2"/>
  <c r="D3" i="20"/>
  <c r="R3" i="14"/>
  <c r="G4" i="21"/>
  <c r="L2" i="22"/>
  <c r="D2" i="23"/>
  <c r="P3" i="14"/>
  <c r="E4" i="21"/>
  <c r="T4" i="18"/>
  <c r="K4" i="19"/>
  <c r="N2" i="2"/>
  <c r="E3" i="20"/>
  <c r="I4" i="14"/>
  <c r="V4" i="21"/>
  <c r="M2" i="22"/>
  <c r="F2" i="23"/>
  <c r="U4" i="18"/>
  <c r="O2" i="2"/>
  <c r="T3" i="20"/>
  <c r="J4" i="14"/>
  <c r="W4" i="21"/>
  <c r="N2" i="22"/>
  <c r="U2" i="23"/>
  <c r="N3" i="23"/>
  <c r="G4" i="23"/>
  <c r="W3" i="22"/>
  <c r="P4" i="22"/>
  <c r="I2" i="19"/>
  <c r="B3" i="19"/>
  <c r="S3" i="19"/>
  <c r="L4" i="19"/>
  <c r="E2" i="23"/>
  <c r="V2" i="23"/>
  <c r="O3" i="23"/>
  <c r="I4" i="23"/>
  <c r="Q2" i="2"/>
  <c r="J3" i="2"/>
  <c r="C4" i="2"/>
  <c r="T4" i="2"/>
  <c r="M2" i="20"/>
  <c r="F3" i="20"/>
  <c r="W3" i="20"/>
  <c r="P4" i="20"/>
  <c r="I2" i="14"/>
  <c r="B3" i="14"/>
  <c r="S3" i="14"/>
  <c r="L4" i="14"/>
  <c r="E2" i="21"/>
  <c r="V2" i="21"/>
  <c r="O3" i="21"/>
  <c r="I4" i="21"/>
  <c r="B2" i="18"/>
  <c r="S2" i="18"/>
  <c r="L3" i="18"/>
  <c r="E4" i="18"/>
  <c r="V4" i="18"/>
  <c r="O2" i="22"/>
  <c r="H3" i="22"/>
  <c r="Y3" i="22"/>
  <c r="R4" i="22"/>
  <c r="K2" i="19"/>
  <c r="D3" i="19"/>
  <c r="U3" i="19"/>
  <c r="N4" i="19"/>
  <c r="G2" i="23"/>
  <c r="Y2" i="23"/>
  <c r="R3" i="23"/>
  <c r="K4" i="23"/>
  <c r="R2" i="2"/>
  <c r="K3" i="2"/>
  <c r="D4" i="2"/>
  <c r="U4" i="2"/>
  <c r="N2" i="20"/>
  <c r="G3" i="20"/>
  <c r="X3" i="20"/>
  <c r="Q4" i="20"/>
  <c r="J2" i="14"/>
  <c r="C3" i="14"/>
  <c r="T3" i="14"/>
  <c r="M4" i="14"/>
  <c r="F2" i="21"/>
  <c r="W2" i="21"/>
  <c r="Q3" i="21"/>
  <c r="J4" i="21"/>
  <c r="C2" i="18"/>
  <c r="T2" i="18"/>
  <c r="M3" i="18"/>
  <c r="F4" i="18"/>
  <c r="W4" i="18"/>
  <c r="P2" i="22"/>
  <c r="I3" i="22"/>
  <c r="B4" i="22"/>
  <c r="S4" i="22"/>
  <c r="L2" i="19"/>
  <c r="E3" i="19"/>
  <c r="V3" i="19"/>
  <c r="O4" i="19"/>
  <c r="I2" i="23"/>
  <c r="B3" i="23"/>
  <c r="S3" i="23"/>
  <c r="L4" i="23"/>
  <c r="Q4" i="22"/>
  <c r="T3" i="19"/>
  <c r="Q3" i="23"/>
  <c r="V4" i="2"/>
  <c r="O2" i="20"/>
  <c r="H3" i="20"/>
  <c r="Y3" i="20"/>
  <c r="R4" i="20"/>
  <c r="K2" i="14"/>
  <c r="D3" i="14"/>
  <c r="U3" i="14"/>
  <c r="N4" i="14"/>
  <c r="G2" i="21"/>
  <c r="Y2" i="21"/>
  <c r="R3" i="21"/>
  <c r="K4" i="21"/>
  <c r="D2" i="18"/>
  <c r="U2" i="18"/>
  <c r="N3" i="18"/>
  <c r="G4" i="18"/>
  <c r="X4" i="18"/>
  <c r="Q2" i="22"/>
  <c r="J3" i="22"/>
  <c r="C4" i="22"/>
  <c r="T4" i="22"/>
  <c r="M2" i="19"/>
  <c r="F3" i="19"/>
  <c r="W3" i="19"/>
  <c r="Q4" i="19"/>
  <c r="J2" i="23"/>
  <c r="C3" i="23"/>
  <c r="T3" i="23"/>
  <c r="M4" i="23"/>
  <c r="B3" i="21"/>
  <c r="S4" i="20"/>
  <c r="L2" i="14"/>
  <c r="O4" i="14"/>
  <c r="I2" i="21"/>
  <c r="S3" i="21"/>
  <c r="E2" i="18"/>
  <c r="V2" i="18"/>
  <c r="O3" i="18"/>
  <c r="H4" i="18"/>
  <c r="D4" i="22"/>
  <c r="N4" i="23"/>
  <c r="D2" i="2"/>
  <c r="U2" i="2"/>
  <c r="N3" i="2"/>
  <c r="X4" i="2"/>
  <c r="Q2" i="20"/>
  <c r="T4" i="20"/>
  <c r="M2" i="14"/>
  <c r="F3" i="14"/>
  <c r="W3" i="14"/>
  <c r="Q4" i="14"/>
  <c r="J2" i="21"/>
  <c r="C3" i="21"/>
  <c r="T3" i="21"/>
  <c r="M4" i="21"/>
  <c r="F2" i="18"/>
  <c r="W2" i="18"/>
  <c r="P3" i="18"/>
  <c r="I4" i="18"/>
  <c r="B2" i="22"/>
  <c r="S2" i="22"/>
  <c r="L3" i="22"/>
  <c r="E4" i="22"/>
  <c r="V4" i="22"/>
  <c r="O2" i="19"/>
  <c r="I3" i="19"/>
  <c r="B4" i="19"/>
  <c r="S4" i="19"/>
  <c r="L2" i="23"/>
  <c r="E3" i="23"/>
  <c r="V3" i="23"/>
  <c r="O4" i="23"/>
  <c r="U3" i="21"/>
  <c r="Q3" i="18"/>
  <c r="P4" i="23"/>
  <c r="C3" i="19"/>
  <c r="M4" i="19"/>
  <c r="W2" i="23"/>
  <c r="J4" i="23"/>
  <c r="B2" i="2"/>
  <c r="S2" i="2"/>
  <c r="L3" i="2"/>
  <c r="E4" i="2"/>
  <c r="C2" i="2"/>
  <c r="T2" i="2"/>
  <c r="M3" i="2"/>
  <c r="W4" i="2"/>
  <c r="P2" i="20"/>
  <c r="I3" i="20"/>
  <c r="B4" i="20"/>
  <c r="L4" i="21"/>
  <c r="Y4" i="18"/>
  <c r="R2" i="22"/>
  <c r="K3" i="22"/>
  <c r="U4" i="22"/>
  <c r="R4" i="19"/>
  <c r="K2" i="23"/>
  <c r="U3" i="23"/>
  <c r="G4" i="2"/>
  <c r="J3" i="20"/>
  <c r="Y4" i="2"/>
  <c r="R2" i="20"/>
  <c r="K3" i="20"/>
  <c r="D4" i="20"/>
  <c r="U4" i="20"/>
  <c r="N2" i="14"/>
  <c r="G3" i="14"/>
  <c r="Y3" i="14"/>
  <c r="K2" i="21"/>
  <c r="D3" i="21"/>
  <c r="N4" i="21"/>
  <c r="G2" i="18"/>
  <c r="X2" i="18"/>
  <c r="J4" i="18"/>
  <c r="C2" i="22"/>
  <c r="T2" i="22"/>
  <c r="M3" i="22"/>
  <c r="F4" i="22"/>
  <c r="W4" i="22"/>
  <c r="Q2" i="19"/>
  <c r="J3" i="19"/>
  <c r="C4" i="19"/>
  <c r="T4" i="19"/>
  <c r="M2" i="23"/>
  <c r="F3" i="23"/>
  <c r="W3" i="23"/>
  <c r="F2" i="2"/>
  <c r="W2" i="2"/>
  <c r="P3" i="2"/>
  <c r="I4" i="2"/>
  <c r="B2" i="20"/>
  <c r="S2" i="20"/>
  <c r="L3" i="20"/>
  <c r="E4" i="20"/>
  <c r="V4" i="20"/>
  <c r="O2" i="14"/>
  <c r="I3" i="14"/>
  <c r="B4" i="14"/>
  <c r="S4" i="14"/>
  <c r="L2" i="21"/>
  <c r="E3" i="21"/>
  <c r="V3" i="21"/>
  <c r="O4" i="21"/>
  <c r="H2" i="18"/>
  <c r="Y2" i="18"/>
  <c r="R3" i="18"/>
  <c r="K4" i="18"/>
  <c r="D2" i="22"/>
  <c r="U2" i="22"/>
  <c r="N3" i="22"/>
  <c r="G4" i="22"/>
  <c r="Y4" i="22"/>
  <c r="R2" i="19"/>
  <c r="K3" i="19"/>
  <c r="D4" i="19"/>
  <c r="U4" i="19"/>
  <c r="N2" i="23"/>
  <c r="G3" i="23"/>
  <c r="X3" i="23"/>
  <c r="Q4" i="23"/>
  <c r="N2" i="19"/>
  <c r="D3" i="23"/>
  <c r="C4" i="20"/>
  <c r="E2" i="2"/>
  <c r="V2" i="2"/>
  <c r="O3" i="2"/>
  <c r="H4" i="2"/>
  <c r="G2" i="2"/>
  <c r="X2" i="2"/>
  <c r="Q3" i="2"/>
  <c r="J4" i="2"/>
  <c r="C2" i="20"/>
  <c r="T2" i="20"/>
  <c r="M3" i="20"/>
  <c r="F4" i="20"/>
  <c r="W4" i="20"/>
  <c r="Q2" i="14"/>
  <c r="J3" i="14"/>
  <c r="C4" i="14"/>
  <c r="T4" i="14"/>
  <c r="M2" i="21"/>
  <c r="F3" i="21"/>
  <c r="W3" i="21"/>
  <c r="P4" i="21"/>
  <c r="I2" i="18"/>
  <c r="B3" i="18"/>
  <c r="S3" i="18"/>
  <c r="L4" i="18"/>
  <c r="E2" i="22"/>
  <c r="V2" i="22"/>
  <c r="O3" i="22"/>
  <c r="I4" i="22"/>
  <c r="B2" i="19"/>
  <c r="S2" i="19"/>
  <c r="L3" i="19"/>
  <c r="E4" i="19"/>
  <c r="V4" i="19"/>
  <c r="O2" i="23"/>
  <c r="H3" i="23"/>
  <c r="Y3" i="23"/>
  <c r="R4" i="23"/>
  <c r="F4" i="2"/>
  <c r="V3" i="14"/>
  <c r="E3" i="14"/>
  <c r="Y3" i="19"/>
  <c r="H2" i="2"/>
  <c r="Y2" i="2"/>
  <c r="R3" i="2"/>
  <c r="K4" i="2"/>
  <c r="D2" i="20"/>
  <c r="U2" i="20"/>
  <c r="N3" i="20"/>
  <c r="Y4" i="20"/>
  <c r="R2" i="14"/>
  <c r="K3" i="14"/>
  <c r="U4" i="14"/>
  <c r="N2" i="21"/>
  <c r="G3" i="21"/>
  <c r="X3" i="21"/>
  <c r="Q4" i="21"/>
  <c r="J2" i="18"/>
  <c r="C3" i="18"/>
  <c r="T3" i="18"/>
  <c r="M4" i="18"/>
  <c r="F2" i="22"/>
  <c r="W2" i="22"/>
  <c r="J4" i="22"/>
  <c r="C2" i="19"/>
  <c r="T2" i="19"/>
  <c r="M3" i="19"/>
  <c r="F4" i="19"/>
  <c r="P2" i="23"/>
  <c r="I4" i="20"/>
  <c r="B2" i="14"/>
  <c r="S2" i="14"/>
  <c r="L3" i="14"/>
  <c r="E4" i="14"/>
  <c r="V4" i="14"/>
  <c r="O2" i="21"/>
  <c r="H3" i="21"/>
  <c r="Y3" i="21"/>
  <c r="R4" i="21"/>
  <c r="K2" i="18"/>
  <c r="D3" i="18"/>
  <c r="U3" i="18"/>
  <c r="N4" i="18"/>
  <c r="G2" i="22"/>
  <c r="Y2" i="22"/>
  <c r="R3" i="22"/>
  <c r="K4" i="22"/>
  <c r="D2" i="19"/>
  <c r="U2" i="19"/>
  <c r="N3" i="19"/>
  <c r="G4" i="19"/>
  <c r="X4" i="19"/>
  <c r="Q2" i="23"/>
  <c r="J3" i="23"/>
  <c r="C4" i="23"/>
  <c r="T4" i="23"/>
  <c r="S4" i="23"/>
  <c r="I2" i="2"/>
  <c r="B3" i="2"/>
  <c r="S3" i="2"/>
  <c r="V2" i="20"/>
  <c r="M4" i="2"/>
  <c r="F2" i="20"/>
  <c r="Q3" i="20"/>
  <c r="J4" i="20"/>
  <c r="C2" i="14"/>
  <c r="T2" i="14"/>
  <c r="M3" i="14"/>
  <c r="F4" i="14"/>
  <c r="W4" i="14"/>
  <c r="P2" i="21"/>
  <c r="I3" i="21"/>
  <c r="B4" i="21"/>
  <c r="S4" i="21"/>
  <c r="L2" i="18"/>
  <c r="E3" i="18"/>
  <c r="V3" i="18"/>
  <c r="O4" i="18"/>
  <c r="I2" i="22"/>
  <c r="B3" i="22"/>
  <c r="S3" i="22"/>
  <c r="L4" i="22"/>
  <c r="E2" i="19"/>
  <c r="V2" i="19"/>
  <c r="O3" i="19"/>
  <c r="H4" i="19"/>
  <c r="Y4" i="19"/>
  <c r="R2" i="23"/>
  <c r="K3" i="23"/>
  <c r="D4" i="23"/>
  <c r="V4" i="23"/>
  <c r="I3" i="23"/>
  <c r="L4" i="2"/>
  <c r="E2" i="20"/>
  <c r="W2" i="20"/>
  <c r="K2" i="2"/>
  <c r="D3" i="2"/>
  <c r="U3" i="2"/>
  <c r="N4" i="2"/>
  <c r="G2" i="20"/>
  <c r="Y2" i="20"/>
  <c r="R3" i="20"/>
  <c r="K4" i="20"/>
  <c r="D2" i="14"/>
  <c r="U2" i="14"/>
  <c r="N3" i="14"/>
  <c r="G4" i="14"/>
  <c r="X4" i="14"/>
  <c r="Q2" i="21"/>
  <c r="J3" i="21"/>
  <c r="C4" i="21"/>
  <c r="T4" i="21"/>
  <c r="M2" i="18"/>
  <c r="F3" i="18"/>
  <c r="W3" i="18"/>
  <c r="Q4" i="18"/>
  <c r="J2" i="22"/>
  <c r="C3" i="22"/>
  <c r="T3" i="22"/>
  <c r="M4" i="22"/>
  <c r="F2" i="19"/>
  <c r="W2" i="19"/>
  <c r="P3" i="19"/>
  <c r="I4" i="19"/>
  <c r="B2" i="23"/>
  <c r="S2" i="23"/>
  <c r="L3" i="23"/>
  <c r="E4" i="23"/>
  <c r="W4" i="23"/>
  <c r="G4" i="20"/>
  <c r="D4" i="14"/>
  <c r="W4" i="19"/>
  <c r="B4" i="23"/>
  <c r="O3" i="20"/>
  <c r="J2" i="2"/>
  <c r="C3" i="2"/>
  <c r="T3" i="2"/>
  <c r="L2" i="2"/>
  <c r="E3" i="2"/>
  <c r="V3" i="2"/>
  <c r="O4" i="2"/>
  <c r="I2" i="20"/>
  <c r="B3" i="20"/>
  <c r="S3" i="20"/>
  <c r="L4" i="20"/>
  <c r="E2" i="14"/>
  <c r="V2" i="14"/>
  <c r="O3" i="14"/>
  <c r="H4" i="14"/>
  <c r="Y4" i="14"/>
  <c r="R2" i="21"/>
  <c r="K3" i="21"/>
  <c r="D4" i="21"/>
  <c r="U4" i="21"/>
  <c r="N2" i="18"/>
  <c r="G3" i="18"/>
  <c r="Y3" i="18"/>
  <c r="R4" i="18"/>
  <c r="K2" i="22"/>
  <c r="D3" i="22"/>
  <c r="U3" i="22"/>
  <c r="N4" i="22"/>
  <c r="G2" i="19"/>
  <c r="X2" i="19"/>
  <c r="Q3" i="19"/>
  <c r="J4" i="19"/>
  <c r="C2" i="23"/>
  <c r="T2" i="23"/>
  <c r="M3" i="23"/>
  <c r="F4" i="23"/>
  <c r="Y4" i="23"/>
  <c r="U4" i="23"/>
  <c r="P2" i="2"/>
  <c r="H3" i="2"/>
  <c r="X3" i="2"/>
  <c r="P4" i="2"/>
  <c r="H2" i="20"/>
  <c r="X2" i="20"/>
  <c r="P3" i="20"/>
  <c r="H4" i="20"/>
  <c r="X4" i="20"/>
  <c r="P2" i="14"/>
  <c r="H3" i="14"/>
  <c r="X3" i="14"/>
  <c r="P4" i="14"/>
  <c r="H2" i="21"/>
  <c r="X2" i="21"/>
  <c r="P3" i="21"/>
  <c r="H4" i="21"/>
  <c r="X4" i="21"/>
  <c r="P2" i="18"/>
  <c r="H3" i="18"/>
  <c r="X3" i="18"/>
  <c r="P4" i="18"/>
  <c r="H2" i="22"/>
  <c r="X2" i="22"/>
  <c r="P3" i="22"/>
  <c r="H4" i="22"/>
  <c r="X4" i="22"/>
  <c r="P2" i="19"/>
  <c r="H3" i="19"/>
  <c r="X3" i="19"/>
  <c r="P4" i="19"/>
  <c r="H2" i="23"/>
  <c r="X2" i="23"/>
  <c r="P3" i="23"/>
  <c r="H4" i="23"/>
</calcChain>
</file>

<file path=xl/sharedStrings.xml><?xml version="1.0" encoding="utf-8"?>
<sst xmlns="http://schemas.openxmlformats.org/spreadsheetml/2006/main" count="14" uniqueCount="7">
  <si>
    <t>Year</t>
  </si>
  <si>
    <t>NumScenarios</t>
  </si>
  <si>
    <t>Scenario</t>
  </si>
  <si>
    <t>Value</t>
  </si>
  <si>
    <t>Active Power</t>
  </si>
  <si>
    <t>Growth factors (cumul.)</t>
  </si>
  <si>
    <t>Flexibility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</si>
</sst>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Market%20Data\CS7_market_data_base.xlsx" TargetMode="External"/><Relationship Id="rId1" Type="http://schemas.openxmlformats.org/officeDocument/2006/relationships/externalLinkPath" Target="CS7_market_data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Energy, Winter"/>
      <sheetName val="Energy, Spring"/>
      <sheetName val="Energy, Summer"/>
      <sheetName val="Energy, Autumn"/>
      <sheetName val="Flexibility, Winter"/>
      <sheetName val="Flexibility, Spring"/>
      <sheetName val="Flexibility, Summer"/>
      <sheetName val="Flexibility, Autumn"/>
    </sheetNames>
    <sheetDataSet>
      <sheetData sheetId="0">
        <row r="1">
          <cell r="B1">
            <v>2025</v>
          </cell>
        </row>
        <row r="4">
          <cell r="B4">
            <v>2.5000000000000001E-2</v>
          </cell>
        </row>
        <row r="5">
          <cell r="B5">
            <v>0.02</v>
          </cell>
        </row>
      </sheetData>
      <sheetData sheetId="1">
        <row r="2">
          <cell r="B2">
            <v>91.75</v>
          </cell>
          <cell r="C2">
            <v>86.18</v>
          </cell>
          <cell r="D2">
            <v>82.1</v>
          </cell>
          <cell r="E2">
            <v>80</v>
          </cell>
          <cell r="F2">
            <v>79.599999999999994</v>
          </cell>
          <cell r="G2">
            <v>81.099999999999994</v>
          </cell>
          <cell r="H2">
            <v>85.91</v>
          </cell>
          <cell r="I2">
            <v>102.05</v>
          </cell>
          <cell r="J2">
            <v>113.84</v>
          </cell>
          <cell r="K2">
            <v>110</v>
          </cell>
          <cell r="L2">
            <v>97.63</v>
          </cell>
          <cell r="M2">
            <v>86.18</v>
          </cell>
          <cell r="N2">
            <v>83.89</v>
          </cell>
          <cell r="O2">
            <v>82.18</v>
          </cell>
          <cell r="P2">
            <v>83</v>
          </cell>
          <cell r="Q2">
            <v>85</v>
          </cell>
          <cell r="R2">
            <v>97.63</v>
          </cell>
          <cell r="S2">
            <v>118.5</v>
          </cell>
          <cell r="T2">
            <v>128.93</v>
          </cell>
          <cell r="U2">
            <v>132.31</v>
          </cell>
          <cell r="V2">
            <v>117.93</v>
          </cell>
          <cell r="W2">
            <v>108.33</v>
          </cell>
          <cell r="X2">
            <v>100</v>
          </cell>
          <cell r="Y2">
            <v>93.26</v>
          </cell>
        </row>
        <row r="3">
          <cell r="B3">
            <v>88.98</v>
          </cell>
          <cell r="C3">
            <v>86.45</v>
          </cell>
          <cell r="D3">
            <v>84.99</v>
          </cell>
          <cell r="E3">
            <v>83</v>
          </cell>
          <cell r="F3">
            <v>83.14</v>
          </cell>
          <cell r="G3">
            <v>85</v>
          </cell>
          <cell r="H3">
            <v>89</v>
          </cell>
          <cell r="I3">
            <v>100</v>
          </cell>
          <cell r="J3">
            <v>104.77</v>
          </cell>
          <cell r="K3">
            <v>105</v>
          </cell>
          <cell r="L3">
            <v>100</v>
          </cell>
          <cell r="M3">
            <v>94.58</v>
          </cell>
          <cell r="N3">
            <v>92</v>
          </cell>
          <cell r="O3">
            <v>91.78</v>
          </cell>
          <cell r="P3">
            <v>90.1</v>
          </cell>
          <cell r="Q3">
            <v>92.01</v>
          </cell>
          <cell r="R3">
            <v>100.98</v>
          </cell>
          <cell r="S3">
            <v>107.1</v>
          </cell>
          <cell r="T3">
            <v>126</v>
          </cell>
          <cell r="U3">
            <v>119.47</v>
          </cell>
          <cell r="V3">
            <v>110</v>
          </cell>
          <cell r="W3">
            <v>102.26</v>
          </cell>
          <cell r="X3">
            <v>98</v>
          </cell>
          <cell r="Y3">
            <v>95.49</v>
          </cell>
        </row>
        <row r="4">
          <cell r="B4">
            <v>92.33</v>
          </cell>
          <cell r="C4">
            <v>90.12</v>
          </cell>
          <cell r="D4">
            <v>87.01</v>
          </cell>
          <cell r="E4">
            <v>85.8</v>
          </cell>
          <cell r="F4">
            <v>85</v>
          </cell>
          <cell r="G4">
            <v>86.3</v>
          </cell>
          <cell r="H4">
            <v>95</v>
          </cell>
          <cell r="I4">
            <v>103.94</v>
          </cell>
          <cell r="J4">
            <v>121.4</v>
          </cell>
          <cell r="K4">
            <v>121.4</v>
          </cell>
          <cell r="L4">
            <v>105.38</v>
          </cell>
          <cell r="M4">
            <v>102.97</v>
          </cell>
          <cell r="N4">
            <v>99.99</v>
          </cell>
          <cell r="O4">
            <v>98.5</v>
          </cell>
          <cell r="P4">
            <v>94.76</v>
          </cell>
          <cell r="Q4">
            <v>94.73</v>
          </cell>
          <cell r="R4">
            <v>99.37</v>
          </cell>
          <cell r="S4">
            <v>102.7</v>
          </cell>
          <cell r="T4">
            <v>111.29</v>
          </cell>
          <cell r="U4">
            <v>121.4</v>
          </cell>
          <cell r="V4">
            <v>120</v>
          </cell>
          <cell r="W4">
            <v>107.71</v>
          </cell>
          <cell r="X4">
            <v>101.32</v>
          </cell>
          <cell r="Y4">
            <v>92.68</v>
          </cell>
        </row>
      </sheetData>
      <sheetData sheetId="2">
        <row r="2">
          <cell r="B2">
            <v>44</v>
          </cell>
          <cell r="C2">
            <v>46.62</v>
          </cell>
          <cell r="D2">
            <v>48.16</v>
          </cell>
          <cell r="E2">
            <v>48.4</v>
          </cell>
          <cell r="F2">
            <v>50.5</v>
          </cell>
          <cell r="G2">
            <v>55.99</v>
          </cell>
          <cell r="H2">
            <v>58.82</v>
          </cell>
          <cell r="I2">
            <v>49.98</v>
          </cell>
          <cell r="J2">
            <v>33.799999999999997</v>
          </cell>
          <cell r="K2">
            <v>13.5</v>
          </cell>
          <cell r="L2">
            <v>11.3</v>
          </cell>
          <cell r="M2">
            <v>9.4499999999999993</v>
          </cell>
          <cell r="N2">
            <v>4.5</v>
          </cell>
          <cell r="O2">
            <v>3.13</v>
          </cell>
          <cell r="P2">
            <v>0.54</v>
          </cell>
          <cell r="Q2">
            <v>3.25</v>
          </cell>
          <cell r="R2">
            <v>5</v>
          </cell>
          <cell r="S2">
            <v>15.17</v>
          </cell>
          <cell r="T2">
            <v>33.799999999999997</v>
          </cell>
          <cell r="U2">
            <v>49.12</v>
          </cell>
          <cell r="V2">
            <v>59.31</v>
          </cell>
          <cell r="W2">
            <v>57.63</v>
          </cell>
          <cell r="X2">
            <v>49</v>
          </cell>
          <cell r="Y2">
            <v>72.430000000000007</v>
          </cell>
        </row>
        <row r="3">
          <cell r="B3">
            <v>70.5</v>
          </cell>
          <cell r="C3">
            <v>69.13</v>
          </cell>
          <cell r="D3">
            <v>69</v>
          </cell>
          <cell r="E3">
            <v>68.010000000000005</v>
          </cell>
          <cell r="F3">
            <v>68.84</v>
          </cell>
          <cell r="G3">
            <v>67</v>
          </cell>
          <cell r="H3">
            <v>67.92</v>
          </cell>
          <cell r="I3">
            <v>72.87</v>
          </cell>
          <cell r="J3">
            <v>41.7</v>
          </cell>
          <cell r="K3">
            <v>30</v>
          </cell>
          <cell r="L3">
            <v>18.82</v>
          </cell>
          <cell r="M3">
            <v>20.43</v>
          </cell>
          <cell r="N3">
            <v>14.7</v>
          </cell>
          <cell r="O3">
            <v>9.66</v>
          </cell>
          <cell r="P3">
            <v>8.2100000000000009</v>
          </cell>
          <cell r="Q3">
            <v>7.44</v>
          </cell>
          <cell r="R3">
            <v>14.7</v>
          </cell>
          <cell r="S3">
            <v>19.440000000000001</v>
          </cell>
          <cell r="T3">
            <v>34.79</v>
          </cell>
          <cell r="U3">
            <v>62.73</v>
          </cell>
          <cell r="V3">
            <v>68.010000000000005</v>
          </cell>
          <cell r="W3">
            <v>66.77</v>
          </cell>
          <cell r="X3">
            <v>63.08</v>
          </cell>
          <cell r="Y3">
            <v>72</v>
          </cell>
        </row>
        <row r="4">
          <cell r="B4">
            <v>68.900000000000006</v>
          </cell>
          <cell r="C4">
            <v>65.900000000000006</v>
          </cell>
          <cell r="D4">
            <v>66.319999999999993</v>
          </cell>
          <cell r="E4">
            <v>64.760000000000005</v>
          </cell>
          <cell r="F4">
            <v>67.88</v>
          </cell>
          <cell r="G4">
            <v>62.9</v>
          </cell>
          <cell r="H4">
            <v>66.430000000000007</v>
          </cell>
          <cell r="I4">
            <v>58.58</v>
          </cell>
          <cell r="J4">
            <v>38.65</v>
          </cell>
          <cell r="K4">
            <v>24.17</v>
          </cell>
          <cell r="L4">
            <v>22</v>
          </cell>
          <cell r="M4">
            <v>21.76</v>
          </cell>
          <cell r="N4">
            <v>11.72</v>
          </cell>
          <cell r="O4">
            <v>10.23</v>
          </cell>
          <cell r="P4">
            <v>3.25</v>
          </cell>
          <cell r="Q4">
            <v>3.25</v>
          </cell>
          <cell r="R4">
            <v>8.4700000000000006</v>
          </cell>
          <cell r="S4">
            <v>25.1</v>
          </cell>
          <cell r="T4">
            <v>41.2</v>
          </cell>
          <cell r="U4">
            <v>57.24</v>
          </cell>
          <cell r="V4">
            <v>74.63</v>
          </cell>
          <cell r="W4">
            <v>67.88</v>
          </cell>
          <cell r="X4">
            <v>71</v>
          </cell>
          <cell r="Y4">
            <v>72</v>
          </cell>
        </row>
      </sheetData>
      <sheetData sheetId="3">
        <row r="2">
          <cell r="B2">
            <v>113.14</v>
          </cell>
          <cell r="C2">
            <v>112.38</v>
          </cell>
          <cell r="D2">
            <v>112.64</v>
          </cell>
          <cell r="E2">
            <v>112.58</v>
          </cell>
          <cell r="F2">
            <v>112.88</v>
          </cell>
          <cell r="G2">
            <v>116.84</v>
          </cell>
          <cell r="H2">
            <v>120.72</v>
          </cell>
          <cell r="I2">
            <v>116.84</v>
          </cell>
          <cell r="J2">
            <v>112.82</v>
          </cell>
          <cell r="K2">
            <v>111.92</v>
          </cell>
          <cell r="L2">
            <v>98</v>
          </cell>
          <cell r="M2">
            <v>92.98</v>
          </cell>
          <cell r="N2">
            <v>92.79</v>
          </cell>
          <cell r="O2">
            <v>88.99</v>
          </cell>
          <cell r="P2">
            <v>83</v>
          </cell>
          <cell r="Q2">
            <v>81.8</v>
          </cell>
          <cell r="R2">
            <v>81.8</v>
          </cell>
          <cell r="S2">
            <v>94.37</v>
          </cell>
          <cell r="T2">
            <v>109.2</v>
          </cell>
          <cell r="U2">
            <v>117.6</v>
          </cell>
          <cell r="V2">
            <v>132.66</v>
          </cell>
          <cell r="W2">
            <v>125.5</v>
          </cell>
          <cell r="X2">
            <v>117.14</v>
          </cell>
          <cell r="Y2">
            <v>113.84</v>
          </cell>
        </row>
        <row r="3">
          <cell r="B3">
            <v>107.22</v>
          </cell>
          <cell r="C3">
            <v>107.21</v>
          </cell>
          <cell r="D3">
            <v>107.21</v>
          </cell>
          <cell r="E3">
            <v>95</v>
          </cell>
          <cell r="F3">
            <v>102.44</v>
          </cell>
          <cell r="G3">
            <v>105</v>
          </cell>
          <cell r="H3">
            <v>115.1</v>
          </cell>
          <cell r="I3">
            <v>102.44</v>
          </cell>
          <cell r="J3">
            <v>87.97</v>
          </cell>
          <cell r="K3">
            <v>79.39</v>
          </cell>
          <cell r="L3">
            <v>79.599999999999994</v>
          </cell>
          <cell r="M3">
            <v>81.099999999999994</v>
          </cell>
          <cell r="N3">
            <v>82</v>
          </cell>
          <cell r="O3">
            <v>82.49</v>
          </cell>
          <cell r="P3">
            <v>79.599999999999994</v>
          </cell>
          <cell r="Q3">
            <v>79.599999999999994</v>
          </cell>
          <cell r="R3">
            <v>82</v>
          </cell>
          <cell r="S3">
            <v>84.23</v>
          </cell>
          <cell r="T3">
            <v>89</v>
          </cell>
          <cell r="U3">
            <v>116.2</v>
          </cell>
          <cell r="V3">
            <v>128.9</v>
          </cell>
          <cell r="W3">
            <v>122.42</v>
          </cell>
          <cell r="X3">
            <v>115.58</v>
          </cell>
          <cell r="Y3">
            <v>107.75</v>
          </cell>
        </row>
        <row r="4">
          <cell r="B4">
            <v>108.64</v>
          </cell>
          <cell r="C4">
            <v>104.63</v>
          </cell>
          <cell r="D4">
            <v>105.25</v>
          </cell>
          <cell r="E4">
            <v>93.63</v>
          </cell>
          <cell r="F4">
            <v>94.37</v>
          </cell>
          <cell r="G4">
            <v>99.45</v>
          </cell>
          <cell r="H4">
            <v>113.3</v>
          </cell>
          <cell r="I4">
            <v>109.87</v>
          </cell>
          <cell r="J4">
            <v>90</v>
          </cell>
          <cell r="K4">
            <v>75</v>
          </cell>
          <cell r="L4">
            <v>64.88</v>
          </cell>
          <cell r="M4">
            <v>64.55</v>
          </cell>
          <cell r="N4">
            <v>64.989999999999995</v>
          </cell>
          <cell r="O4">
            <v>64.88</v>
          </cell>
          <cell r="P4">
            <v>63.37</v>
          </cell>
          <cell r="Q4">
            <v>60</v>
          </cell>
          <cell r="R4">
            <v>63.91</v>
          </cell>
          <cell r="S4">
            <v>69.989999999999995</v>
          </cell>
          <cell r="T4">
            <v>85.53</v>
          </cell>
          <cell r="U4">
            <v>109.02</v>
          </cell>
          <cell r="V4">
            <v>114.26</v>
          </cell>
          <cell r="W4">
            <v>108.54</v>
          </cell>
          <cell r="X4">
            <v>94.18</v>
          </cell>
          <cell r="Y4">
            <v>74.23</v>
          </cell>
        </row>
      </sheetData>
      <sheetData sheetId="4">
        <row r="2">
          <cell r="B2">
            <v>92.04</v>
          </cell>
          <cell r="C2">
            <v>89.96</v>
          </cell>
          <cell r="D2">
            <v>90.07</v>
          </cell>
          <cell r="E2">
            <v>83.82</v>
          </cell>
          <cell r="F2">
            <v>85.36</v>
          </cell>
          <cell r="G2">
            <v>89.89</v>
          </cell>
          <cell r="H2">
            <v>104.14</v>
          </cell>
          <cell r="I2">
            <v>121.15</v>
          </cell>
          <cell r="J2">
            <v>120.75</v>
          </cell>
          <cell r="K2">
            <v>118.04</v>
          </cell>
          <cell r="L2">
            <v>99.88</v>
          </cell>
          <cell r="M2">
            <v>93.32</v>
          </cell>
          <cell r="N2">
            <v>91.39</v>
          </cell>
          <cell r="O2">
            <v>90.1</v>
          </cell>
          <cell r="P2">
            <v>92.4</v>
          </cell>
          <cell r="Q2">
            <v>109.64</v>
          </cell>
          <cell r="R2">
            <v>120.94</v>
          </cell>
          <cell r="S2">
            <v>135.24</v>
          </cell>
          <cell r="T2">
            <v>160.54</v>
          </cell>
          <cell r="U2">
            <v>151.52000000000001</v>
          </cell>
          <cell r="V2">
            <v>123</v>
          </cell>
          <cell r="W2">
            <v>118.28</v>
          </cell>
          <cell r="X2">
            <v>118.28</v>
          </cell>
          <cell r="Y2">
            <v>109.64</v>
          </cell>
        </row>
        <row r="3">
          <cell r="B3">
            <v>80</v>
          </cell>
          <cell r="C3">
            <v>76.790000000000006</v>
          </cell>
          <cell r="D3">
            <v>75</v>
          </cell>
          <cell r="E3">
            <v>72.59</v>
          </cell>
          <cell r="F3">
            <v>70.989999999999995</v>
          </cell>
          <cell r="G3">
            <v>77</v>
          </cell>
          <cell r="H3">
            <v>88.39</v>
          </cell>
          <cell r="I3">
            <v>107.36</v>
          </cell>
          <cell r="J3">
            <v>121.58</v>
          </cell>
          <cell r="K3">
            <v>102.8</v>
          </cell>
          <cell r="L3">
            <v>93.2</v>
          </cell>
          <cell r="M3">
            <v>85.04</v>
          </cell>
          <cell r="N3">
            <v>88.91</v>
          </cell>
          <cell r="O3">
            <v>85.31</v>
          </cell>
          <cell r="P3">
            <v>85.51</v>
          </cell>
          <cell r="Q3">
            <v>95.5</v>
          </cell>
          <cell r="R3">
            <v>113</v>
          </cell>
          <cell r="S3">
            <v>130</v>
          </cell>
          <cell r="T3">
            <v>134.13999999999999</v>
          </cell>
          <cell r="U3">
            <v>135.01</v>
          </cell>
          <cell r="V3">
            <v>148.72</v>
          </cell>
          <cell r="W3">
            <v>134.34</v>
          </cell>
          <cell r="X3">
            <v>115.2</v>
          </cell>
          <cell r="Y3">
            <v>102</v>
          </cell>
        </row>
        <row r="4">
          <cell r="B4">
            <v>86.48</v>
          </cell>
          <cell r="C4">
            <v>81.709999999999994</v>
          </cell>
          <cell r="D4">
            <v>75</v>
          </cell>
          <cell r="E4">
            <v>70.7</v>
          </cell>
          <cell r="F4">
            <v>70.680000000000007</v>
          </cell>
          <cell r="G4">
            <v>71.66</v>
          </cell>
          <cell r="H4">
            <v>73.84</v>
          </cell>
          <cell r="I4">
            <v>78</v>
          </cell>
          <cell r="J4">
            <v>73.09</v>
          </cell>
          <cell r="K4">
            <v>70</v>
          </cell>
          <cell r="L4">
            <v>66.709999999999994</v>
          </cell>
          <cell r="M4">
            <v>47.8</v>
          </cell>
          <cell r="N4">
            <v>49.99</v>
          </cell>
          <cell r="O4">
            <v>50.24</v>
          </cell>
          <cell r="P4">
            <v>60</v>
          </cell>
          <cell r="Q4">
            <v>70.430000000000007</v>
          </cell>
          <cell r="R4">
            <v>83.76</v>
          </cell>
          <cell r="S4">
            <v>105.48</v>
          </cell>
          <cell r="T4">
            <v>125.88</v>
          </cell>
          <cell r="U4">
            <v>120.01</v>
          </cell>
          <cell r="V4">
            <v>119.7</v>
          </cell>
          <cell r="W4">
            <v>110.75</v>
          </cell>
          <cell r="X4">
            <v>101.09</v>
          </cell>
          <cell r="Y4">
            <v>95.65</v>
          </cell>
        </row>
      </sheetData>
      <sheetData sheetId="5">
        <row r="2">
          <cell r="B2">
            <v>45.875</v>
          </cell>
          <cell r="C2">
            <v>43.09</v>
          </cell>
          <cell r="D2">
            <v>41.05</v>
          </cell>
          <cell r="E2">
            <v>40</v>
          </cell>
          <cell r="F2">
            <v>39.799999999999997</v>
          </cell>
          <cell r="G2">
            <v>40.549999999999997</v>
          </cell>
          <cell r="H2">
            <v>42.954999999999998</v>
          </cell>
          <cell r="I2">
            <v>51.024999999999999</v>
          </cell>
          <cell r="J2">
            <v>56.92</v>
          </cell>
          <cell r="K2">
            <v>55</v>
          </cell>
          <cell r="L2">
            <v>48.814999999999998</v>
          </cell>
          <cell r="M2">
            <v>43.09</v>
          </cell>
          <cell r="N2">
            <v>41.945</v>
          </cell>
          <cell r="O2">
            <v>41.09</v>
          </cell>
          <cell r="P2">
            <v>41.5</v>
          </cell>
          <cell r="Q2">
            <v>42.5</v>
          </cell>
          <cell r="R2">
            <v>48.814999999999998</v>
          </cell>
          <cell r="S2">
            <v>59.25</v>
          </cell>
          <cell r="T2">
            <v>64.465000000000003</v>
          </cell>
          <cell r="U2">
            <v>66.155000000000001</v>
          </cell>
          <cell r="V2">
            <v>58.965000000000003</v>
          </cell>
          <cell r="W2">
            <v>54.164999999999999</v>
          </cell>
          <cell r="X2">
            <v>50</v>
          </cell>
          <cell r="Y2">
            <v>46.63</v>
          </cell>
        </row>
        <row r="3">
          <cell r="B3">
            <v>44.49</v>
          </cell>
          <cell r="C3">
            <v>43.225000000000001</v>
          </cell>
          <cell r="D3">
            <v>42.494999999999997</v>
          </cell>
          <cell r="E3">
            <v>41.5</v>
          </cell>
          <cell r="F3">
            <v>41.57</v>
          </cell>
          <cell r="G3">
            <v>42.5</v>
          </cell>
          <cell r="H3">
            <v>44.5</v>
          </cell>
          <cell r="I3">
            <v>50</v>
          </cell>
          <cell r="J3">
            <v>52.384999999999998</v>
          </cell>
          <cell r="K3">
            <v>52.5</v>
          </cell>
          <cell r="L3">
            <v>50</v>
          </cell>
          <cell r="M3">
            <v>47.29</v>
          </cell>
          <cell r="N3">
            <v>46</v>
          </cell>
          <cell r="O3">
            <v>45.89</v>
          </cell>
          <cell r="P3">
            <v>45.05</v>
          </cell>
          <cell r="Q3">
            <v>46.005000000000003</v>
          </cell>
          <cell r="R3">
            <v>50.49</v>
          </cell>
          <cell r="S3">
            <v>53.55</v>
          </cell>
          <cell r="T3">
            <v>63</v>
          </cell>
          <cell r="U3">
            <v>59.734999999999999</v>
          </cell>
          <cell r="V3">
            <v>55</v>
          </cell>
          <cell r="W3">
            <v>51.13</v>
          </cell>
          <cell r="X3">
            <v>49</v>
          </cell>
          <cell r="Y3">
            <v>47.744999999999997</v>
          </cell>
        </row>
        <row r="4">
          <cell r="B4">
            <v>46.164999999999999</v>
          </cell>
          <cell r="C4">
            <v>45.06</v>
          </cell>
          <cell r="D4">
            <v>43.505000000000003</v>
          </cell>
          <cell r="E4">
            <v>42.9</v>
          </cell>
          <cell r="F4">
            <v>42.5</v>
          </cell>
          <cell r="G4">
            <v>43.15</v>
          </cell>
          <cell r="H4">
            <v>47.5</v>
          </cell>
          <cell r="I4">
            <v>51.97</v>
          </cell>
          <cell r="J4">
            <v>60.7</v>
          </cell>
          <cell r="K4">
            <v>60.7</v>
          </cell>
          <cell r="L4">
            <v>52.69</v>
          </cell>
          <cell r="M4">
            <v>51.484999999999999</v>
          </cell>
          <cell r="N4">
            <v>49.994999999999997</v>
          </cell>
          <cell r="O4">
            <v>49.25</v>
          </cell>
          <cell r="P4">
            <v>47.38</v>
          </cell>
          <cell r="Q4">
            <v>47.365000000000002</v>
          </cell>
          <cell r="R4">
            <v>49.685000000000002</v>
          </cell>
          <cell r="S4">
            <v>51.35</v>
          </cell>
          <cell r="T4">
            <v>55.645000000000003</v>
          </cell>
          <cell r="U4">
            <v>60.7</v>
          </cell>
          <cell r="V4">
            <v>60</v>
          </cell>
          <cell r="W4">
            <v>53.854999999999997</v>
          </cell>
          <cell r="X4">
            <v>50.66</v>
          </cell>
          <cell r="Y4">
            <v>46.34</v>
          </cell>
        </row>
      </sheetData>
      <sheetData sheetId="6">
        <row r="2">
          <cell r="B2">
            <v>22</v>
          </cell>
          <cell r="C2">
            <v>23.31</v>
          </cell>
          <cell r="D2">
            <v>24.08</v>
          </cell>
          <cell r="E2">
            <v>24.2</v>
          </cell>
          <cell r="F2">
            <v>25.25</v>
          </cell>
          <cell r="G2">
            <v>27.995000000000001</v>
          </cell>
          <cell r="H2">
            <v>29.41</v>
          </cell>
          <cell r="I2">
            <v>24.99</v>
          </cell>
          <cell r="J2">
            <v>16.899999999999999</v>
          </cell>
          <cell r="K2">
            <v>6.75</v>
          </cell>
          <cell r="L2">
            <v>5.65</v>
          </cell>
          <cell r="M2">
            <v>4.7249999999999996</v>
          </cell>
          <cell r="N2">
            <v>2.25</v>
          </cell>
          <cell r="O2">
            <v>1.5649999999999999</v>
          </cell>
          <cell r="P2">
            <v>0.27</v>
          </cell>
          <cell r="Q2">
            <v>1.625</v>
          </cell>
          <cell r="R2">
            <v>2.5</v>
          </cell>
          <cell r="S2">
            <v>7.585</v>
          </cell>
          <cell r="T2">
            <v>16.899999999999999</v>
          </cell>
          <cell r="U2">
            <v>24.56</v>
          </cell>
          <cell r="V2">
            <v>29.655000000000001</v>
          </cell>
          <cell r="W2">
            <v>28.815000000000001</v>
          </cell>
          <cell r="X2">
            <v>24.5</v>
          </cell>
          <cell r="Y2">
            <v>36.215000000000003</v>
          </cell>
        </row>
        <row r="3">
          <cell r="B3">
            <v>35.25</v>
          </cell>
          <cell r="C3">
            <v>34.564999999999998</v>
          </cell>
          <cell r="D3">
            <v>34.5</v>
          </cell>
          <cell r="E3">
            <v>34.005000000000003</v>
          </cell>
          <cell r="F3">
            <v>34.42</v>
          </cell>
          <cell r="G3">
            <v>33.5</v>
          </cell>
          <cell r="H3">
            <v>33.96</v>
          </cell>
          <cell r="I3">
            <v>36.435000000000002</v>
          </cell>
          <cell r="J3">
            <v>20.85</v>
          </cell>
          <cell r="K3">
            <v>15</v>
          </cell>
          <cell r="L3">
            <v>9.41</v>
          </cell>
          <cell r="M3">
            <v>10.215</v>
          </cell>
          <cell r="N3">
            <v>7.35</v>
          </cell>
          <cell r="O3">
            <v>4.83</v>
          </cell>
          <cell r="P3">
            <v>4.1050000000000004</v>
          </cell>
          <cell r="Q3">
            <v>3.72</v>
          </cell>
          <cell r="R3">
            <v>7.35</v>
          </cell>
          <cell r="S3">
            <v>9.7200000000000006</v>
          </cell>
          <cell r="T3">
            <v>17.395</v>
          </cell>
          <cell r="U3">
            <v>31.364999999999998</v>
          </cell>
          <cell r="V3">
            <v>34.005000000000003</v>
          </cell>
          <cell r="W3">
            <v>33.384999999999998</v>
          </cell>
          <cell r="X3">
            <v>31.54</v>
          </cell>
          <cell r="Y3">
            <v>36</v>
          </cell>
        </row>
        <row r="4">
          <cell r="B4">
            <v>34.450000000000003</v>
          </cell>
          <cell r="C4">
            <v>32.950000000000003</v>
          </cell>
          <cell r="D4">
            <v>33.159999999999997</v>
          </cell>
          <cell r="E4">
            <v>32.380000000000003</v>
          </cell>
          <cell r="F4">
            <v>33.94</v>
          </cell>
          <cell r="G4">
            <v>31.45</v>
          </cell>
          <cell r="H4">
            <v>33.215000000000003</v>
          </cell>
          <cell r="I4">
            <v>29.29</v>
          </cell>
          <cell r="J4">
            <v>19.324999999999999</v>
          </cell>
          <cell r="K4">
            <v>12.085000000000001</v>
          </cell>
          <cell r="L4">
            <v>11</v>
          </cell>
          <cell r="M4">
            <v>10.88</v>
          </cell>
          <cell r="N4">
            <v>5.86</v>
          </cell>
          <cell r="O4">
            <v>5.1150000000000002</v>
          </cell>
          <cell r="P4">
            <v>1.625</v>
          </cell>
          <cell r="Q4">
            <v>1.625</v>
          </cell>
          <cell r="R4">
            <v>4.2350000000000003</v>
          </cell>
          <cell r="S4">
            <v>12.55</v>
          </cell>
          <cell r="T4">
            <v>20.6</v>
          </cell>
          <cell r="U4">
            <v>28.62</v>
          </cell>
          <cell r="V4">
            <v>37.314999999999998</v>
          </cell>
          <cell r="W4">
            <v>33.94</v>
          </cell>
          <cell r="X4">
            <v>35.5</v>
          </cell>
          <cell r="Y4">
            <v>36</v>
          </cell>
        </row>
      </sheetData>
      <sheetData sheetId="7">
        <row r="2">
          <cell r="B2">
            <v>56.57</v>
          </cell>
          <cell r="C2">
            <v>56.19</v>
          </cell>
          <cell r="D2">
            <v>56.32</v>
          </cell>
          <cell r="E2">
            <v>56.29</v>
          </cell>
          <cell r="F2">
            <v>56.44</v>
          </cell>
          <cell r="G2">
            <v>58.42</v>
          </cell>
          <cell r="H2">
            <v>60.36</v>
          </cell>
          <cell r="I2">
            <v>58.42</v>
          </cell>
          <cell r="J2">
            <v>56.41</v>
          </cell>
          <cell r="K2">
            <v>55.96</v>
          </cell>
          <cell r="L2">
            <v>49</v>
          </cell>
          <cell r="M2">
            <v>46.49</v>
          </cell>
          <cell r="N2">
            <v>46.395000000000003</v>
          </cell>
          <cell r="O2">
            <v>44.494999999999997</v>
          </cell>
          <cell r="P2">
            <v>41.5</v>
          </cell>
          <cell r="Q2">
            <v>40.9</v>
          </cell>
          <cell r="R2">
            <v>40.9</v>
          </cell>
          <cell r="S2">
            <v>47.185000000000002</v>
          </cell>
          <cell r="T2">
            <v>54.6</v>
          </cell>
          <cell r="U2">
            <v>58.8</v>
          </cell>
          <cell r="V2">
            <v>66.33</v>
          </cell>
          <cell r="W2">
            <v>62.75</v>
          </cell>
          <cell r="X2">
            <v>58.57</v>
          </cell>
          <cell r="Y2">
            <v>56.92</v>
          </cell>
        </row>
        <row r="3">
          <cell r="B3">
            <v>53.61</v>
          </cell>
          <cell r="C3">
            <v>53.604999999999997</v>
          </cell>
          <cell r="D3">
            <v>53.604999999999997</v>
          </cell>
          <cell r="E3">
            <v>47.5</v>
          </cell>
          <cell r="F3">
            <v>51.22</v>
          </cell>
          <cell r="G3">
            <v>52.5</v>
          </cell>
          <cell r="H3">
            <v>57.55</v>
          </cell>
          <cell r="I3">
            <v>51.22</v>
          </cell>
          <cell r="J3">
            <v>43.984999999999999</v>
          </cell>
          <cell r="K3">
            <v>39.695</v>
          </cell>
          <cell r="L3">
            <v>39.799999999999997</v>
          </cell>
          <cell r="M3">
            <v>40.549999999999997</v>
          </cell>
          <cell r="N3">
            <v>41</v>
          </cell>
          <cell r="O3">
            <v>41.244999999999997</v>
          </cell>
          <cell r="P3">
            <v>39.799999999999997</v>
          </cell>
          <cell r="Q3">
            <v>39.799999999999997</v>
          </cell>
          <cell r="R3">
            <v>41</v>
          </cell>
          <cell r="S3">
            <v>42.115000000000002</v>
          </cell>
          <cell r="T3">
            <v>44.5</v>
          </cell>
          <cell r="U3">
            <v>58.1</v>
          </cell>
          <cell r="V3">
            <v>64.45</v>
          </cell>
          <cell r="W3">
            <v>61.21</v>
          </cell>
          <cell r="X3">
            <v>57.79</v>
          </cell>
          <cell r="Y3">
            <v>53.875</v>
          </cell>
        </row>
        <row r="4">
          <cell r="B4">
            <v>54.32</v>
          </cell>
          <cell r="C4">
            <v>52.314999999999998</v>
          </cell>
          <cell r="D4">
            <v>52.625</v>
          </cell>
          <cell r="E4">
            <v>46.814999999999998</v>
          </cell>
          <cell r="F4">
            <v>47.185000000000002</v>
          </cell>
          <cell r="G4">
            <v>49.725000000000001</v>
          </cell>
          <cell r="H4">
            <v>56.65</v>
          </cell>
          <cell r="I4">
            <v>54.935000000000002</v>
          </cell>
          <cell r="J4">
            <v>45</v>
          </cell>
          <cell r="K4">
            <v>37.5</v>
          </cell>
          <cell r="L4">
            <v>32.44</v>
          </cell>
          <cell r="M4">
            <v>32.274999999999999</v>
          </cell>
          <cell r="N4">
            <v>32.494999999999997</v>
          </cell>
          <cell r="O4">
            <v>32.44</v>
          </cell>
          <cell r="P4">
            <v>31.684999999999999</v>
          </cell>
          <cell r="Q4">
            <v>30</v>
          </cell>
          <cell r="R4">
            <v>31.954999999999998</v>
          </cell>
          <cell r="S4">
            <v>34.994999999999997</v>
          </cell>
          <cell r="T4">
            <v>42.765000000000001</v>
          </cell>
          <cell r="U4">
            <v>54.51</v>
          </cell>
          <cell r="V4">
            <v>57.13</v>
          </cell>
          <cell r="W4">
            <v>54.27</v>
          </cell>
          <cell r="X4">
            <v>47.09</v>
          </cell>
          <cell r="Y4">
            <v>37.115000000000002</v>
          </cell>
        </row>
      </sheetData>
      <sheetData sheetId="8">
        <row r="2">
          <cell r="B2">
            <v>46.02</v>
          </cell>
          <cell r="C2">
            <v>44.98</v>
          </cell>
          <cell r="D2">
            <v>45.034999999999997</v>
          </cell>
          <cell r="E2">
            <v>41.91</v>
          </cell>
          <cell r="F2">
            <v>42.68</v>
          </cell>
          <cell r="G2">
            <v>44.945</v>
          </cell>
          <cell r="H2">
            <v>52.07</v>
          </cell>
          <cell r="I2">
            <v>60.575000000000003</v>
          </cell>
          <cell r="J2">
            <v>60.375</v>
          </cell>
          <cell r="K2">
            <v>59.02</v>
          </cell>
          <cell r="L2">
            <v>49.94</v>
          </cell>
          <cell r="M2">
            <v>46.66</v>
          </cell>
          <cell r="N2">
            <v>45.695</v>
          </cell>
          <cell r="O2">
            <v>45.05</v>
          </cell>
          <cell r="P2">
            <v>46.2</v>
          </cell>
          <cell r="Q2">
            <v>54.82</v>
          </cell>
          <cell r="R2">
            <v>60.47</v>
          </cell>
          <cell r="S2">
            <v>67.62</v>
          </cell>
          <cell r="T2">
            <v>80.27</v>
          </cell>
          <cell r="U2">
            <v>75.760000000000005</v>
          </cell>
          <cell r="V2">
            <v>61.5</v>
          </cell>
          <cell r="W2">
            <v>59.14</v>
          </cell>
          <cell r="X2">
            <v>59.14</v>
          </cell>
          <cell r="Y2">
            <v>54.82</v>
          </cell>
        </row>
        <row r="3">
          <cell r="B3">
            <v>40</v>
          </cell>
          <cell r="C3">
            <v>38.395000000000003</v>
          </cell>
          <cell r="D3">
            <v>37.5</v>
          </cell>
          <cell r="E3">
            <v>36.295000000000002</v>
          </cell>
          <cell r="F3">
            <v>35.494999999999997</v>
          </cell>
          <cell r="G3">
            <v>38.5</v>
          </cell>
          <cell r="H3">
            <v>44.195</v>
          </cell>
          <cell r="I3">
            <v>53.68</v>
          </cell>
          <cell r="J3">
            <v>60.79</v>
          </cell>
          <cell r="K3">
            <v>51.4</v>
          </cell>
          <cell r="L3">
            <v>46.6</v>
          </cell>
          <cell r="M3">
            <v>42.52</v>
          </cell>
          <cell r="N3">
            <v>44.454999999999998</v>
          </cell>
          <cell r="O3">
            <v>42.655000000000001</v>
          </cell>
          <cell r="P3">
            <v>42.755000000000003</v>
          </cell>
          <cell r="Q3">
            <v>47.75</v>
          </cell>
          <cell r="R3">
            <v>56.5</v>
          </cell>
          <cell r="S3">
            <v>65</v>
          </cell>
          <cell r="T3">
            <v>67.069999999999993</v>
          </cell>
          <cell r="U3">
            <v>67.504999999999995</v>
          </cell>
          <cell r="V3">
            <v>74.36</v>
          </cell>
          <cell r="W3">
            <v>67.17</v>
          </cell>
          <cell r="X3">
            <v>57.6</v>
          </cell>
          <cell r="Y3">
            <v>51</v>
          </cell>
        </row>
        <row r="4">
          <cell r="B4">
            <v>43.24</v>
          </cell>
          <cell r="C4">
            <v>40.854999999999997</v>
          </cell>
          <cell r="D4">
            <v>37.5</v>
          </cell>
          <cell r="E4">
            <v>35.35</v>
          </cell>
          <cell r="F4">
            <v>35.340000000000003</v>
          </cell>
          <cell r="G4">
            <v>35.83</v>
          </cell>
          <cell r="H4">
            <v>36.92</v>
          </cell>
          <cell r="I4">
            <v>39</v>
          </cell>
          <cell r="J4">
            <v>36.545000000000002</v>
          </cell>
          <cell r="K4">
            <v>35</v>
          </cell>
          <cell r="L4">
            <v>33.354999999999997</v>
          </cell>
          <cell r="M4">
            <v>23.9</v>
          </cell>
          <cell r="N4">
            <v>24.995000000000001</v>
          </cell>
          <cell r="O4">
            <v>25.12</v>
          </cell>
          <cell r="P4">
            <v>30</v>
          </cell>
          <cell r="Q4">
            <v>35.215000000000003</v>
          </cell>
          <cell r="R4">
            <v>41.88</v>
          </cell>
          <cell r="S4">
            <v>52.74</v>
          </cell>
          <cell r="T4">
            <v>62.94</v>
          </cell>
          <cell r="U4">
            <v>60.005000000000003</v>
          </cell>
          <cell r="V4">
            <v>59.85</v>
          </cell>
          <cell r="W4">
            <v>55.375</v>
          </cell>
          <cell r="X4">
            <v>50.545000000000002</v>
          </cell>
          <cell r="Y4">
            <v>47.825000000000003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B3" sqref="B3"/>
    </sheetView>
  </sheetViews>
  <sheetFormatPr defaultRowHeight="14.4" x14ac:dyDescent="0.3"/>
  <cols>
    <col min="1" max="1" width="17.6640625" customWidth="1"/>
  </cols>
  <sheetData>
    <row r="1" spans="1:8" x14ac:dyDescent="0.3">
      <c r="A1" t="s">
        <v>1</v>
      </c>
      <c r="B1">
        <v>3</v>
      </c>
      <c r="C1" s="1">
        <f>1/$B$1</f>
        <v>0.33333333333333331</v>
      </c>
      <c r="D1" s="1">
        <f t="shared" ref="D1:E1" si="0">1/$B$1</f>
        <v>0.33333333333333331</v>
      </c>
      <c r="E1" s="1">
        <f t="shared" si="0"/>
        <v>0.33333333333333331</v>
      </c>
      <c r="F1" s="1"/>
      <c r="G1" s="1"/>
      <c r="H1" s="1"/>
    </row>
    <row r="3" spans="1:8" x14ac:dyDescent="0.3">
      <c r="A3" t="s">
        <v>0</v>
      </c>
      <c r="B3" s="3">
        <v>2038</v>
      </c>
    </row>
    <row r="5" spans="1:8" x14ac:dyDescent="0.3">
      <c r="A5" t="s">
        <v>5</v>
      </c>
      <c r="B5" t="s">
        <v>3</v>
      </c>
    </row>
    <row r="6" spans="1:8" x14ac:dyDescent="0.3">
      <c r="A6" t="s">
        <v>4</v>
      </c>
      <c r="B6" s="1">
        <f>(1+[1]Main!$B$4)^($B$3-[1]Main!$B$1)</f>
        <v>1.3785110448524549</v>
      </c>
    </row>
    <row r="7" spans="1:8" ht="15.75" customHeight="1" x14ac:dyDescent="0.3">
      <c r="A7" t="s">
        <v>6</v>
      </c>
      <c r="B7" s="1">
        <f>(1+[1]Main!$B$5)^($B$3-[1]Main!$B$1)</f>
        <v>1.2936066304537961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73F7F-45E0-423B-A01B-B6DF6F75CAB7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Winter'!B2*Scenarios!$B$6</f>
        <v>126.47838836521274</v>
      </c>
      <c r="C2" s="2">
        <f>'[1]Energy, Winter'!C2*Scenarios!$B$6</f>
        <v>118.80008184538457</v>
      </c>
      <c r="D2" s="2">
        <f>'[1]Energy, Winter'!D2*Scenarios!$B$6</f>
        <v>113.17575678238654</v>
      </c>
      <c r="E2" s="2">
        <f>'[1]Energy, Winter'!E2*Scenarios!$B$6</f>
        <v>110.28088358819639</v>
      </c>
      <c r="F2" s="2">
        <f>'[1]Energy, Winter'!F2*Scenarios!$B$6</f>
        <v>109.7294791702554</v>
      </c>
      <c r="G2" s="2">
        <f>'[1]Energy, Winter'!G2*Scenarios!$B$6</f>
        <v>111.79724573753408</v>
      </c>
      <c r="H2" s="2">
        <f>'[1]Energy, Winter'!H2*Scenarios!$B$6</f>
        <v>118.4278838632744</v>
      </c>
      <c r="I2" s="2">
        <f>'[1]Energy, Winter'!I2*Scenarios!$B$6</f>
        <v>140.67705212719301</v>
      </c>
      <c r="J2" s="2">
        <f>'[1]Energy, Winter'!J2*Scenarios!$B$6</f>
        <v>156.92969734600348</v>
      </c>
      <c r="K2" s="2">
        <f>'[1]Energy, Winter'!K2*Scenarios!$B$6</f>
        <v>151.63621493377005</v>
      </c>
      <c r="L2" s="2">
        <f>'[1]Energy, Winter'!L2*Scenarios!$B$6</f>
        <v>134.58403330894515</v>
      </c>
      <c r="M2" s="2">
        <f>'[1]Energy, Winter'!M2*Scenarios!$B$6</f>
        <v>118.80008184538457</v>
      </c>
      <c r="N2" s="2">
        <f>'[1]Energy, Winter'!N2*Scenarios!$B$6</f>
        <v>115.64329155267244</v>
      </c>
      <c r="O2" s="2">
        <f>'[1]Energy, Winter'!O2*Scenarios!$B$6</f>
        <v>113.28603766597476</v>
      </c>
      <c r="P2" s="2">
        <f>'[1]Energy, Winter'!P2*Scenarios!$B$6</f>
        <v>114.41641672275375</v>
      </c>
      <c r="Q2" s="2">
        <f>'[1]Energy, Winter'!Q2*Scenarios!$B$6</f>
        <v>117.17343881245867</v>
      </c>
      <c r="R2" s="2">
        <f>'[1]Energy, Winter'!R2*Scenarios!$B$6</f>
        <v>134.58403330894515</v>
      </c>
      <c r="S2" s="2">
        <f>'[1]Energy, Winter'!S2*Scenarios!$B$6</f>
        <v>163.3535588150159</v>
      </c>
      <c r="T2" s="2">
        <f>'[1]Energy, Winter'!T2*Scenarios!$B$6</f>
        <v>177.73142901282702</v>
      </c>
      <c r="U2" s="2">
        <f>'[1]Energy, Winter'!U2*Scenarios!$B$6</f>
        <v>182.39079634442831</v>
      </c>
      <c r="V2" s="2">
        <f>'[1]Energy, Winter'!V2*Scenarios!$B$6</f>
        <v>162.56780751945001</v>
      </c>
      <c r="W2" s="2">
        <f>'[1]Energy, Winter'!W2*Scenarios!$B$6</f>
        <v>149.33410148886642</v>
      </c>
      <c r="X2" s="2">
        <f>'[1]Energy, Winter'!X2*Scenarios!$B$6</f>
        <v>137.85110448524549</v>
      </c>
      <c r="Y2" s="2">
        <f>'[1]Energy, Winter'!Y2*Scenarios!$B$6</f>
        <v>128.55994004293996</v>
      </c>
    </row>
    <row r="3" spans="1:25" x14ac:dyDescent="0.3">
      <c r="A3">
        <v>2</v>
      </c>
      <c r="B3" s="2">
        <f>'[1]Energy, Winter'!B3*Scenarios!$B$6</f>
        <v>122.65991277097145</v>
      </c>
      <c r="C3" s="2">
        <f>'[1]Energy, Winter'!C3*Scenarios!$B$6</f>
        <v>119.17227982749473</v>
      </c>
      <c r="D3" s="2">
        <f>'[1]Energy, Winter'!D3*Scenarios!$B$6</f>
        <v>117.15965370201013</v>
      </c>
      <c r="E3" s="2">
        <f>'[1]Energy, Winter'!E3*Scenarios!$B$6</f>
        <v>114.41641672275375</v>
      </c>
      <c r="F3" s="2">
        <f>'[1]Energy, Winter'!F3*Scenarios!$B$6</f>
        <v>114.6094082690331</v>
      </c>
      <c r="G3" s="2">
        <f>'[1]Energy, Winter'!G3*Scenarios!$B$6</f>
        <v>117.17343881245867</v>
      </c>
      <c r="H3" s="2">
        <f>'[1]Energy, Winter'!H3*Scenarios!$B$6</f>
        <v>122.68748299186849</v>
      </c>
      <c r="I3" s="2">
        <f>'[1]Energy, Winter'!I3*Scenarios!$B$6</f>
        <v>137.85110448524549</v>
      </c>
      <c r="J3" s="2">
        <f>'[1]Energy, Winter'!J3*Scenarios!$B$6</f>
        <v>144.42660216919168</v>
      </c>
      <c r="K3" s="2">
        <f>'[1]Energy, Winter'!K3*Scenarios!$B$6</f>
        <v>144.74365970950777</v>
      </c>
      <c r="L3" s="2">
        <f>'[1]Energy, Winter'!L3*Scenarios!$B$6</f>
        <v>137.85110448524549</v>
      </c>
      <c r="M3" s="2">
        <f>'[1]Energy, Winter'!M3*Scenarios!$B$6</f>
        <v>130.37957462214519</v>
      </c>
      <c r="N3" s="2">
        <f>'[1]Energy, Winter'!N3*Scenarios!$B$6</f>
        <v>126.82301612642586</v>
      </c>
      <c r="O3" s="2">
        <f>'[1]Energy, Winter'!O3*Scenarios!$B$6</f>
        <v>126.51974369655831</v>
      </c>
      <c r="P3" s="2">
        <f>'[1]Energy, Winter'!P3*Scenarios!$B$6</f>
        <v>124.20384514120617</v>
      </c>
      <c r="Q3" s="2">
        <f>'[1]Energy, Winter'!Q3*Scenarios!$B$6</f>
        <v>126.83680123687438</v>
      </c>
      <c r="R3" s="2">
        <f>'[1]Energy, Winter'!R3*Scenarios!$B$6</f>
        <v>139.20204530920091</v>
      </c>
      <c r="S3" s="2">
        <f>'[1]Energy, Winter'!S3*Scenarios!$B$6</f>
        <v>147.63853290369792</v>
      </c>
      <c r="T3" s="2">
        <f>'[1]Energy, Winter'!T3*Scenarios!$B$6</f>
        <v>173.69239165140931</v>
      </c>
      <c r="U3" s="2">
        <f>'[1]Energy, Winter'!U3*Scenarios!$B$6</f>
        <v>164.69071452852279</v>
      </c>
      <c r="V3" s="2">
        <f>'[1]Energy, Winter'!V3*Scenarios!$B$6</f>
        <v>151.63621493377005</v>
      </c>
      <c r="W3" s="2">
        <f>'[1]Energy, Winter'!W3*Scenarios!$B$6</f>
        <v>140.96653944661205</v>
      </c>
      <c r="X3" s="2">
        <f>'[1]Energy, Winter'!X3*Scenarios!$B$6</f>
        <v>135.09408239554057</v>
      </c>
      <c r="Y3" s="2">
        <f>'[1]Energy, Winter'!Y3*Scenarios!$B$6</f>
        <v>131.6340196729609</v>
      </c>
    </row>
    <row r="4" spans="1:25" x14ac:dyDescent="0.3">
      <c r="A4">
        <v>3</v>
      </c>
      <c r="B4" s="2">
        <f>'[1]Energy, Winter'!B4*Scenarios!$B$6</f>
        <v>127.27792477122716</v>
      </c>
      <c r="C4" s="2">
        <f>'[1]Energy, Winter'!C4*Scenarios!$B$6</f>
        <v>124.23141536210325</v>
      </c>
      <c r="D4" s="2">
        <f>'[1]Energy, Winter'!D4*Scenarios!$B$6</f>
        <v>119.94424601261211</v>
      </c>
      <c r="E4" s="2">
        <f>'[1]Energy, Winter'!E4*Scenarios!$B$6</f>
        <v>118.27624764834063</v>
      </c>
      <c r="F4" s="2">
        <f>'[1]Energy, Winter'!F4*Scenarios!$B$6</f>
        <v>117.17343881245867</v>
      </c>
      <c r="G4" s="2">
        <f>'[1]Energy, Winter'!G4*Scenarios!$B$6</f>
        <v>118.96550317076685</v>
      </c>
      <c r="H4" s="2">
        <f>'[1]Energy, Winter'!H4*Scenarios!$B$6</f>
        <v>130.9585492609832</v>
      </c>
      <c r="I4" s="2">
        <f>'[1]Energy, Winter'!I4*Scenarios!$B$6</f>
        <v>143.28243800196415</v>
      </c>
      <c r="J4" s="2">
        <f>'[1]Energy, Winter'!J4*Scenarios!$B$6</f>
        <v>167.35124084508803</v>
      </c>
      <c r="K4" s="2">
        <f>'[1]Energy, Winter'!K4*Scenarios!$B$6</f>
        <v>167.35124084508803</v>
      </c>
      <c r="L4" s="2">
        <f>'[1]Energy, Winter'!L4*Scenarios!$B$6</f>
        <v>145.26749390655169</v>
      </c>
      <c r="M4" s="2">
        <f>'[1]Energy, Winter'!M4*Scenarios!$B$6</f>
        <v>141.94528228845729</v>
      </c>
      <c r="N4" s="2">
        <f>'[1]Energy, Winter'!N4*Scenarios!$B$6</f>
        <v>137.83731937479695</v>
      </c>
      <c r="O4" s="2">
        <f>'[1]Energy, Winter'!O4*Scenarios!$B$6</f>
        <v>135.7833379179668</v>
      </c>
      <c r="P4" s="2">
        <f>'[1]Energy, Winter'!P4*Scenarios!$B$6</f>
        <v>130.62770661021864</v>
      </c>
      <c r="Q4" s="2">
        <f>'[1]Energy, Winter'!Q4*Scenarios!$B$6</f>
        <v>130.58635127887305</v>
      </c>
      <c r="R4" s="2">
        <f>'[1]Energy, Winter'!R4*Scenarios!$B$6</f>
        <v>136.98264252698846</v>
      </c>
      <c r="S4" s="2">
        <f>'[1]Energy, Winter'!S4*Scenarios!$B$6</f>
        <v>141.57308430634711</v>
      </c>
      <c r="T4" s="2">
        <f>'[1]Energy, Winter'!T4*Scenarios!$B$6</f>
        <v>153.41449418162972</v>
      </c>
      <c r="U4" s="2">
        <f>'[1]Energy, Winter'!U4*Scenarios!$B$6</f>
        <v>167.35124084508803</v>
      </c>
      <c r="V4" s="2">
        <f>'[1]Energy, Winter'!V4*Scenarios!$B$6</f>
        <v>165.42132538229458</v>
      </c>
      <c r="W4" s="2">
        <f>'[1]Energy, Winter'!W4*Scenarios!$B$6</f>
        <v>148.4794246410579</v>
      </c>
      <c r="X4" s="2">
        <f>'[1]Energy, Winter'!X4*Scenarios!$B$6</f>
        <v>139.67073906445071</v>
      </c>
      <c r="Y4" s="2">
        <f>'[1]Energy, Winter'!Y4*Scenarios!$B$6</f>
        <v>127.76040363692553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77DA-14C0-46CD-834E-BEA2509E570F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Spring'!B2*Scenarios!$B$6</f>
        <v>60.654485973508017</v>
      </c>
      <c r="C2" s="2">
        <f>'[1]Energy, Spring'!C2*Scenarios!$B$6</f>
        <v>64.26618491102144</v>
      </c>
      <c r="D2" s="2">
        <f>'[1]Energy, Spring'!D2*Scenarios!$B$6</f>
        <v>66.389091920094216</v>
      </c>
      <c r="E2" s="2">
        <f>'[1]Energy, Spring'!E2*Scenarios!$B$6</f>
        <v>66.719934570858811</v>
      </c>
      <c r="F2" s="2">
        <f>'[1]Energy, Spring'!F2*Scenarios!$B$6</f>
        <v>69.61480776504898</v>
      </c>
      <c r="G2" s="2">
        <f>'[1]Energy, Spring'!G2*Scenarios!$B$6</f>
        <v>77.18283340128896</v>
      </c>
      <c r="H2" s="2">
        <f>'[1]Energy, Spring'!H2*Scenarios!$B$6</f>
        <v>81.084019658221393</v>
      </c>
      <c r="I2" s="2">
        <f>'[1]Energy, Spring'!I2*Scenarios!$B$6</f>
        <v>68.897982021725696</v>
      </c>
      <c r="J2" s="2">
        <f>'[1]Energy, Spring'!J2*Scenarios!$B$6</f>
        <v>46.593673316012975</v>
      </c>
      <c r="K2" s="2">
        <f>'[1]Energy, Spring'!K2*Scenarios!$B$6</f>
        <v>18.609899105508141</v>
      </c>
      <c r="L2" s="2">
        <f>'[1]Energy, Spring'!L2*Scenarios!$B$6</f>
        <v>15.577174806832742</v>
      </c>
      <c r="M2" s="2">
        <f>'[1]Energy, Spring'!M2*Scenarios!$B$6</f>
        <v>13.026929373855697</v>
      </c>
      <c r="N2" s="2">
        <f>'[1]Energy, Spring'!N2*Scenarios!$B$6</f>
        <v>6.2032997018360474</v>
      </c>
      <c r="O2" s="2">
        <f>'[1]Energy, Spring'!O2*Scenarios!$B$6</f>
        <v>4.3147395703881841</v>
      </c>
      <c r="P2" s="2">
        <f>'[1]Energy, Spring'!P2*Scenarios!$B$6</f>
        <v>0.74439596422032572</v>
      </c>
      <c r="Q2" s="2">
        <f>'[1]Energy, Spring'!Q2*Scenarios!$B$6</f>
        <v>4.4801608957704788</v>
      </c>
      <c r="R2" s="2">
        <f>'[1]Energy, Spring'!R2*Scenarios!$B$6</f>
        <v>6.8925552242622743</v>
      </c>
      <c r="S2" s="2">
        <f>'[1]Energy, Spring'!S2*Scenarios!$B$6</f>
        <v>20.912012550411742</v>
      </c>
      <c r="T2" s="2">
        <f>'[1]Energy, Spring'!T2*Scenarios!$B$6</f>
        <v>46.593673316012975</v>
      </c>
      <c r="U2" s="2">
        <f>'[1]Energy, Spring'!U2*Scenarios!$B$6</f>
        <v>67.712462523152581</v>
      </c>
      <c r="V2" s="2">
        <f>'[1]Energy, Spring'!V2*Scenarios!$B$6</f>
        <v>81.759490070199107</v>
      </c>
      <c r="W2" s="2">
        <f>'[1]Energy, Spring'!W2*Scenarios!$B$6</f>
        <v>79.443591514846986</v>
      </c>
      <c r="X2" s="2">
        <f>'[1]Energy, Spring'!X2*Scenarios!$B$6</f>
        <v>67.547041197770284</v>
      </c>
      <c r="Y2" s="2">
        <f>'[1]Energy, Spring'!Y2*Scenarios!$B$6</f>
        <v>99.845554978663316</v>
      </c>
    </row>
    <row r="3" spans="1:25" x14ac:dyDescent="0.3">
      <c r="A3">
        <v>2</v>
      </c>
      <c r="B3" s="2">
        <f>'[1]Energy, Spring'!B3*Scenarios!$B$6</f>
        <v>97.185028662098077</v>
      </c>
      <c r="C3" s="2">
        <f>'[1]Energy, Spring'!C3*Scenarios!$B$6</f>
        <v>95.296468530650202</v>
      </c>
      <c r="D3" s="2">
        <f>'[1]Energy, Spring'!D3*Scenarios!$B$6</f>
        <v>95.117262094819395</v>
      </c>
      <c r="E3" s="2">
        <f>'[1]Energy, Spring'!E3*Scenarios!$B$6</f>
        <v>93.75253616041546</v>
      </c>
      <c r="F3" s="2">
        <f>'[1]Energy, Spring'!F3*Scenarios!$B$6</f>
        <v>94.896700327643003</v>
      </c>
      <c r="G3" s="2">
        <f>'[1]Energy, Spring'!G3*Scenarios!$B$6</f>
        <v>92.360240005114477</v>
      </c>
      <c r="H3" s="2">
        <f>'[1]Energy, Spring'!H3*Scenarios!$B$6</f>
        <v>93.628470166378733</v>
      </c>
      <c r="I3" s="2">
        <f>'[1]Energy, Spring'!I3*Scenarios!$B$6</f>
        <v>100.4520998383984</v>
      </c>
      <c r="J3" s="2">
        <f>'[1]Energy, Spring'!J3*Scenarios!$B$6</f>
        <v>57.483910570347376</v>
      </c>
      <c r="K3" s="2">
        <f>'[1]Energy, Spring'!K3*Scenarios!$B$6</f>
        <v>41.355331345573646</v>
      </c>
      <c r="L3" s="2">
        <f>'[1]Energy, Spring'!L3*Scenarios!$B$6</f>
        <v>25.943577864123203</v>
      </c>
      <c r="M3" s="2">
        <f>'[1]Energy, Spring'!M3*Scenarios!$B$6</f>
        <v>28.162980646335654</v>
      </c>
      <c r="N3" s="2">
        <f>'[1]Energy, Spring'!N3*Scenarios!$B$6</f>
        <v>20.264112359331087</v>
      </c>
      <c r="O3" s="2">
        <f>'[1]Energy, Spring'!O3*Scenarios!$B$6</f>
        <v>13.316416693274714</v>
      </c>
      <c r="P3" s="2">
        <f>'[1]Energy, Spring'!P3*Scenarios!$B$6</f>
        <v>11.317575678238656</v>
      </c>
      <c r="Q3" s="2">
        <f>'[1]Energy, Spring'!Q3*Scenarios!$B$6</f>
        <v>10.256122173702265</v>
      </c>
      <c r="R3" s="2">
        <f>'[1]Energy, Spring'!R3*Scenarios!$B$6</f>
        <v>20.264112359331087</v>
      </c>
      <c r="S3" s="2">
        <f>'[1]Energy, Spring'!S3*Scenarios!$B$6</f>
        <v>26.798254711931726</v>
      </c>
      <c r="T3" s="2">
        <f>'[1]Energy, Spring'!T3*Scenarios!$B$6</f>
        <v>47.958399250416903</v>
      </c>
      <c r="U3" s="2">
        <f>'[1]Energy, Spring'!U3*Scenarios!$B$6</f>
        <v>86.473997843594489</v>
      </c>
      <c r="V3" s="2">
        <f>'[1]Energy, Spring'!V3*Scenarios!$B$6</f>
        <v>93.75253616041546</v>
      </c>
      <c r="W3" s="2">
        <f>'[1]Energy, Spring'!W3*Scenarios!$B$6</f>
        <v>92.043182464798406</v>
      </c>
      <c r="X3" s="2">
        <f>'[1]Energy, Spring'!X3*Scenarios!$B$6</f>
        <v>86.956476709292858</v>
      </c>
      <c r="Y3" s="2">
        <f>'[1]Energy, Spring'!Y3*Scenarios!$B$6</f>
        <v>99.252795229376758</v>
      </c>
    </row>
    <row r="4" spans="1:25" x14ac:dyDescent="0.3">
      <c r="A4">
        <v>3</v>
      </c>
      <c r="B4" s="2">
        <f>'[1]Energy, Spring'!B4*Scenarios!$B$6</f>
        <v>94.979410990334145</v>
      </c>
      <c r="C4" s="2">
        <f>'[1]Energy, Spring'!C4*Scenarios!$B$6</f>
        <v>90.843877855776782</v>
      </c>
      <c r="D4" s="2">
        <f>'[1]Energy, Spring'!D4*Scenarios!$B$6</f>
        <v>91.422852494614801</v>
      </c>
      <c r="E4" s="2">
        <f>'[1]Energy, Spring'!E4*Scenarios!$B$6</f>
        <v>89.272375264644992</v>
      </c>
      <c r="F4" s="2">
        <f>'[1]Energy, Spring'!F4*Scenarios!$B$6</f>
        <v>93.573329724584639</v>
      </c>
      <c r="G4" s="2">
        <f>'[1]Energy, Spring'!G4*Scenarios!$B$6</f>
        <v>86.708344721219405</v>
      </c>
      <c r="H4" s="2">
        <f>'[1]Energy, Spring'!H4*Scenarios!$B$6</f>
        <v>91.574488709548589</v>
      </c>
      <c r="I4" s="2">
        <f>'[1]Energy, Spring'!I4*Scenarios!$B$6</f>
        <v>80.753177007456813</v>
      </c>
      <c r="J4" s="2">
        <f>'[1]Energy, Spring'!J4*Scenarios!$B$6</f>
        <v>53.279451883547381</v>
      </c>
      <c r="K4" s="2">
        <f>'[1]Energy, Spring'!K4*Scenarios!$B$6</f>
        <v>33.318611954083835</v>
      </c>
      <c r="L4" s="2">
        <f>'[1]Energy, Spring'!L4*Scenarios!$B$6</f>
        <v>30.327242986754008</v>
      </c>
      <c r="M4" s="2">
        <f>'[1]Energy, Spring'!M4*Scenarios!$B$6</f>
        <v>29.996400335989421</v>
      </c>
      <c r="N4" s="2">
        <f>'[1]Energy, Spring'!N4*Scenarios!$B$6</f>
        <v>16.156149445670771</v>
      </c>
      <c r="O4" s="2">
        <f>'[1]Energy, Spring'!O4*Scenarios!$B$6</f>
        <v>14.102167988840614</v>
      </c>
      <c r="P4" s="2">
        <f>'[1]Energy, Spring'!P4*Scenarios!$B$6</f>
        <v>4.4801608957704788</v>
      </c>
      <c r="Q4" s="2">
        <f>'[1]Energy, Spring'!Q4*Scenarios!$B$6</f>
        <v>4.4801608957704788</v>
      </c>
      <c r="R4" s="2">
        <f>'[1]Energy, Spring'!R4*Scenarios!$B$6</f>
        <v>11.675988549900294</v>
      </c>
      <c r="S4" s="2">
        <f>'[1]Energy, Spring'!S4*Scenarios!$B$6</f>
        <v>34.600627225796622</v>
      </c>
      <c r="T4" s="2">
        <f>'[1]Energy, Spring'!T4*Scenarios!$B$6</f>
        <v>56.794655047921147</v>
      </c>
      <c r="U4" s="2">
        <f>'[1]Energy, Spring'!U4*Scenarios!$B$6</f>
        <v>78.905972207354523</v>
      </c>
      <c r="V4" s="2">
        <f>'[1]Energy, Spring'!V4*Scenarios!$B$6</f>
        <v>102.87827927733871</v>
      </c>
      <c r="W4" s="2">
        <f>'[1]Energy, Spring'!W4*Scenarios!$B$6</f>
        <v>93.573329724584639</v>
      </c>
      <c r="X4" s="2">
        <f>'[1]Energy, Spring'!X4*Scenarios!$B$6</f>
        <v>97.874284184524299</v>
      </c>
      <c r="Y4" s="2">
        <f>'[1]Energy, Spring'!Y4*Scenarios!$B$6</f>
        <v>99.252795229376758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AB509-4E8E-41C1-87FA-12D2A67962A8}">
  <dimension ref="A1:Y6"/>
  <sheetViews>
    <sheetView zoomScale="85" zoomScaleNormal="85" workbookViewId="0">
      <selection activeCell="B2" sqref="B2:Y4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Summer'!B2*Scenarios!$B$6</f>
        <v>155.96473961460674</v>
      </c>
      <c r="C2" s="2">
        <f>'[1]Energy, Summer'!C2*Scenarios!$B$6</f>
        <v>154.91707122051886</v>
      </c>
      <c r="D2" s="2">
        <f>'[1]Energy, Summer'!D2*Scenarios!$B$6</f>
        <v>155.27548409218053</v>
      </c>
      <c r="E2" s="2">
        <f>'[1]Energy, Summer'!E2*Scenarios!$B$6</f>
        <v>155.19277342948936</v>
      </c>
      <c r="F2" s="2">
        <f>'[1]Energy, Summer'!F2*Scenarios!$B$6</f>
        <v>155.6063267429451</v>
      </c>
      <c r="G2" s="2">
        <f>'[1]Energy, Summer'!G2*Scenarios!$B$6</f>
        <v>161.06523048056084</v>
      </c>
      <c r="H2" s="2">
        <f>'[1]Energy, Summer'!H2*Scenarios!$B$6</f>
        <v>166.41385333458837</v>
      </c>
      <c r="I2" s="2">
        <f>'[1]Energy, Summer'!I2*Scenarios!$B$6</f>
        <v>161.06523048056084</v>
      </c>
      <c r="J2" s="2">
        <f>'[1]Energy, Summer'!J2*Scenarios!$B$6</f>
        <v>155.52361608025396</v>
      </c>
      <c r="K2" s="2">
        <f>'[1]Energy, Summer'!K2*Scenarios!$B$6</f>
        <v>154.28295613988675</v>
      </c>
      <c r="L2" s="2">
        <f>'[1]Energy, Summer'!L2*Scenarios!$B$6</f>
        <v>135.09408239554057</v>
      </c>
      <c r="M2" s="2">
        <f>'[1]Energy, Summer'!M2*Scenarios!$B$6</f>
        <v>128.17395695038127</v>
      </c>
      <c r="N2" s="2">
        <f>'[1]Energy, Summer'!N2*Scenarios!$B$6</f>
        <v>127.9120398518593</v>
      </c>
      <c r="O2" s="2">
        <f>'[1]Energy, Summer'!O2*Scenarios!$B$6</f>
        <v>122.67369788141995</v>
      </c>
      <c r="P2" s="2">
        <f>'[1]Energy, Summer'!P2*Scenarios!$B$6</f>
        <v>114.41641672275375</v>
      </c>
      <c r="Q2" s="2">
        <f>'[1]Energy, Summer'!Q2*Scenarios!$B$6</f>
        <v>112.76220346893081</v>
      </c>
      <c r="R2" s="2">
        <f>'[1]Energy, Summer'!R2*Scenarios!$B$6</f>
        <v>112.76220346893081</v>
      </c>
      <c r="S2" s="2">
        <f>'[1]Energy, Summer'!S2*Scenarios!$B$6</f>
        <v>130.09008730272618</v>
      </c>
      <c r="T2" s="2">
        <f>'[1]Energy, Summer'!T2*Scenarios!$B$6</f>
        <v>150.53340609788808</v>
      </c>
      <c r="U2" s="2">
        <f>'[1]Energy, Summer'!U2*Scenarios!$B$6</f>
        <v>162.11289887464869</v>
      </c>
      <c r="V2" s="2">
        <f>'[1]Energy, Summer'!V2*Scenarios!$B$6</f>
        <v>182.87327521012665</v>
      </c>
      <c r="W2" s="2">
        <f>'[1]Energy, Summer'!W2*Scenarios!$B$6</f>
        <v>173.0031361289831</v>
      </c>
      <c r="X2" s="2">
        <f>'[1]Energy, Summer'!X2*Scenarios!$B$6</f>
        <v>161.47878379401658</v>
      </c>
      <c r="Y2" s="2">
        <f>'[1]Energy, Summer'!Y2*Scenarios!$B$6</f>
        <v>156.92969734600348</v>
      </c>
    </row>
    <row r="3" spans="1:25" x14ac:dyDescent="0.3">
      <c r="A3">
        <v>2</v>
      </c>
      <c r="B3" s="2">
        <f>'[1]Energy, Summer'!B3*Scenarios!$B$6</f>
        <v>147.8039542290802</v>
      </c>
      <c r="C3" s="2">
        <f>'[1]Energy, Summer'!C3*Scenarios!$B$6</f>
        <v>147.7901691186317</v>
      </c>
      <c r="D3" s="2">
        <f>'[1]Energy, Summer'!D3*Scenarios!$B$6</f>
        <v>147.7901691186317</v>
      </c>
      <c r="E3" s="2">
        <f>'[1]Energy, Summer'!E3*Scenarios!$B$6</f>
        <v>130.9585492609832</v>
      </c>
      <c r="F3" s="2">
        <f>'[1]Energy, Summer'!F3*Scenarios!$B$6</f>
        <v>141.21467143468547</v>
      </c>
      <c r="G3" s="2">
        <f>'[1]Energy, Summer'!G3*Scenarios!$B$6</f>
        <v>144.74365970950777</v>
      </c>
      <c r="H3" s="2">
        <f>'[1]Energy, Summer'!H3*Scenarios!$B$6</f>
        <v>158.66662126251754</v>
      </c>
      <c r="I3" s="2">
        <f>'[1]Energy, Summer'!I3*Scenarios!$B$6</f>
        <v>141.21467143468547</v>
      </c>
      <c r="J3" s="2">
        <f>'[1]Energy, Summer'!J3*Scenarios!$B$6</f>
        <v>121.26761661567046</v>
      </c>
      <c r="K3" s="2">
        <f>'[1]Energy, Summer'!K3*Scenarios!$B$6</f>
        <v>109.43999185083639</v>
      </c>
      <c r="L3" s="2">
        <f>'[1]Energy, Summer'!L3*Scenarios!$B$6</f>
        <v>109.7294791702554</v>
      </c>
      <c r="M3" s="2">
        <f>'[1]Energy, Summer'!M3*Scenarios!$B$6</f>
        <v>111.79724573753408</v>
      </c>
      <c r="N3" s="2">
        <f>'[1]Energy, Summer'!N3*Scenarios!$B$6</f>
        <v>113.03790567790131</v>
      </c>
      <c r="O3" s="2">
        <f>'[1]Energy, Summer'!O3*Scenarios!$B$6</f>
        <v>113.71337608987899</v>
      </c>
      <c r="P3" s="2">
        <f>'[1]Energy, Summer'!P3*Scenarios!$B$6</f>
        <v>109.7294791702554</v>
      </c>
      <c r="Q3" s="2">
        <f>'[1]Energy, Summer'!Q3*Scenarios!$B$6</f>
        <v>109.7294791702554</v>
      </c>
      <c r="R3" s="2">
        <f>'[1]Energy, Summer'!R3*Scenarios!$B$6</f>
        <v>113.03790567790131</v>
      </c>
      <c r="S3" s="2">
        <f>'[1]Energy, Summer'!S3*Scenarios!$B$6</f>
        <v>116.11198530792228</v>
      </c>
      <c r="T3" s="2">
        <f>'[1]Energy, Summer'!T3*Scenarios!$B$6</f>
        <v>122.68748299186849</v>
      </c>
      <c r="U3" s="2">
        <f>'[1]Energy, Summer'!U3*Scenarios!$B$6</f>
        <v>160.18298341185528</v>
      </c>
      <c r="V3" s="2">
        <f>'[1]Energy, Summer'!V3*Scenarios!$B$6</f>
        <v>177.69007368148144</v>
      </c>
      <c r="W3" s="2">
        <f>'[1]Energy, Summer'!W3*Scenarios!$B$6</f>
        <v>168.75732211083752</v>
      </c>
      <c r="X3" s="2">
        <f>'[1]Energy, Summer'!X3*Scenarios!$B$6</f>
        <v>159.32830656404673</v>
      </c>
      <c r="Y3" s="2">
        <f>'[1]Energy, Summer'!Y3*Scenarios!$B$6</f>
        <v>148.53456508285203</v>
      </c>
    </row>
    <row r="4" spans="1:25" x14ac:dyDescent="0.3">
      <c r="A4">
        <v>3</v>
      </c>
      <c r="B4" s="2">
        <f>'[1]Energy, Summer'!B4*Scenarios!$B$6</f>
        <v>149.7614399127707</v>
      </c>
      <c r="C4" s="2">
        <f>'[1]Energy, Summer'!C4*Scenarios!$B$6</f>
        <v>144.23361062291235</v>
      </c>
      <c r="D4" s="2">
        <f>'[1]Energy, Summer'!D4*Scenarios!$B$6</f>
        <v>145.08828747072087</v>
      </c>
      <c r="E4" s="2">
        <f>'[1]Energy, Summer'!E4*Scenarios!$B$6</f>
        <v>129.06998912953534</v>
      </c>
      <c r="F4" s="2">
        <f>'[1]Energy, Summer'!F4*Scenarios!$B$6</f>
        <v>130.09008730272618</v>
      </c>
      <c r="G4" s="2">
        <f>'[1]Energy, Summer'!G4*Scenarios!$B$6</f>
        <v>137.09292341057665</v>
      </c>
      <c r="H4" s="2">
        <f>'[1]Energy, Summer'!H4*Scenarios!$B$6</f>
        <v>156.18530138178315</v>
      </c>
      <c r="I4" s="2">
        <f>'[1]Energy, Summer'!I4*Scenarios!$B$6</f>
        <v>151.45700849793923</v>
      </c>
      <c r="J4" s="2">
        <f>'[1]Energy, Summer'!J4*Scenarios!$B$6</f>
        <v>124.06599403672094</v>
      </c>
      <c r="K4" s="2">
        <f>'[1]Energy, Summer'!K4*Scenarios!$B$6</f>
        <v>103.38832836393412</v>
      </c>
      <c r="L4" s="2">
        <f>'[1]Energy, Summer'!L4*Scenarios!$B$6</f>
        <v>89.437796590027261</v>
      </c>
      <c r="M4" s="2">
        <f>'[1]Energy, Summer'!M4*Scenarios!$B$6</f>
        <v>88.982887945225954</v>
      </c>
      <c r="N4" s="2">
        <f>'[1]Energy, Summer'!N4*Scenarios!$B$6</f>
        <v>89.589432804961035</v>
      </c>
      <c r="O4" s="2">
        <f>'[1]Energy, Summer'!O4*Scenarios!$B$6</f>
        <v>89.437796590027261</v>
      </c>
      <c r="P4" s="2">
        <f>'[1]Energy, Summer'!P4*Scenarios!$B$6</f>
        <v>87.35624491230007</v>
      </c>
      <c r="Q4" s="2">
        <f>'[1]Energy, Summer'!Q4*Scenarios!$B$6</f>
        <v>82.710662691147292</v>
      </c>
      <c r="R4" s="2">
        <f>'[1]Energy, Summer'!R4*Scenarios!$B$6</f>
        <v>88.100640876520387</v>
      </c>
      <c r="S4" s="2">
        <f>'[1]Energy, Summer'!S4*Scenarios!$B$6</f>
        <v>96.481988029223317</v>
      </c>
      <c r="T4" s="2">
        <f>'[1]Energy, Summer'!T4*Scenarios!$B$6</f>
        <v>117.90404966623046</v>
      </c>
      <c r="U4" s="2">
        <f>'[1]Energy, Summer'!U4*Scenarios!$B$6</f>
        <v>150.28527410981462</v>
      </c>
      <c r="V4" s="2">
        <f>'[1]Energy, Summer'!V4*Scenarios!$B$6</f>
        <v>157.5086719848415</v>
      </c>
      <c r="W4" s="2">
        <f>'[1]Energy, Summer'!W4*Scenarios!$B$6</f>
        <v>149.62358880828546</v>
      </c>
      <c r="X4" s="2">
        <f>'[1]Energy, Summer'!X4*Scenarios!$B$6</f>
        <v>129.82817020420421</v>
      </c>
      <c r="Y4" s="2">
        <f>'[1]Energy, Summer'!Y4*Scenarios!$B$6</f>
        <v>102.32687485939773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686C-6AB5-4C22-BD0D-20FD9CC12ACE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'[1]Energy, Autumn'!B2*Scenarios!$B$6</f>
        <v>126.87815656821996</v>
      </c>
      <c r="C2" s="2">
        <f>'[1]Energy, Autumn'!C2*Scenarios!$B$6</f>
        <v>124.01085359492683</v>
      </c>
      <c r="D2" s="2">
        <f>'[1]Energy, Autumn'!D2*Scenarios!$B$6</f>
        <v>124.1624898098606</v>
      </c>
      <c r="E2" s="2">
        <f>'[1]Energy, Autumn'!E2*Scenarios!$B$6</f>
        <v>115.54679577953276</v>
      </c>
      <c r="F2" s="2">
        <f>'[1]Energy, Autumn'!F2*Scenarios!$B$6</f>
        <v>117.66970278860555</v>
      </c>
      <c r="G2" s="2">
        <f>'[1]Energy, Autumn'!G2*Scenarios!$B$6</f>
        <v>123.91435782178718</v>
      </c>
      <c r="H2" s="2">
        <f>'[1]Energy, Autumn'!H2*Scenarios!$B$6</f>
        <v>143.55814021093465</v>
      </c>
      <c r="I2" s="2">
        <f>'[1]Energy, Autumn'!I2*Scenarios!$B$6</f>
        <v>167.00661308387492</v>
      </c>
      <c r="J2" s="2">
        <f>'[1]Energy, Autumn'!J2*Scenarios!$B$6</f>
        <v>166.45520866593392</v>
      </c>
      <c r="K2" s="2">
        <f>'[1]Energy, Autumn'!K2*Scenarios!$B$6</f>
        <v>162.71944373438379</v>
      </c>
      <c r="L2" s="2">
        <f>'[1]Energy, Autumn'!L2*Scenarios!$B$6</f>
        <v>137.6856831598632</v>
      </c>
      <c r="M2" s="2">
        <f>'[1]Energy, Autumn'!M2*Scenarios!$B$6</f>
        <v>128.64265070563107</v>
      </c>
      <c r="N2" s="2">
        <f>'[1]Energy, Autumn'!N2*Scenarios!$B$6</f>
        <v>125.98212438906586</v>
      </c>
      <c r="O2" s="2">
        <f>'[1]Energy, Autumn'!O2*Scenarios!$B$6</f>
        <v>124.20384514120617</v>
      </c>
      <c r="P2" s="2">
        <f>'[1]Energy, Autumn'!P2*Scenarios!$B$6</f>
        <v>127.37442054436684</v>
      </c>
      <c r="Q2" s="2">
        <f>'[1]Energy, Autumn'!Q2*Scenarios!$B$6</f>
        <v>151.13995095762314</v>
      </c>
      <c r="R2" s="2">
        <f>'[1]Energy, Autumn'!R2*Scenarios!$B$6</f>
        <v>166.71712576445589</v>
      </c>
      <c r="S2" s="2">
        <f>'[1]Energy, Autumn'!S2*Scenarios!$B$6</f>
        <v>186.42983370584602</v>
      </c>
      <c r="T2" s="2">
        <f>'[1]Energy, Autumn'!T2*Scenarios!$B$6</f>
        <v>221.30616314061311</v>
      </c>
      <c r="U2" s="2">
        <f>'[1]Energy, Autumn'!U2*Scenarios!$B$6</f>
        <v>208.87199351604397</v>
      </c>
      <c r="V2" s="2">
        <f>'[1]Energy, Autumn'!V2*Scenarios!$B$6</f>
        <v>169.55685851685195</v>
      </c>
      <c r="W2" s="2">
        <f>'[1]Energy, Autumn'!W2*Scenarios!$B$6</f>
        <v>163.05028638514835</v>
      </c>
      <c r="X2" s="2">
        <f>'[1]Energy, Autumn'!X2*Scenarios!$B$6</f>
        <v>163.05028638514835</v>
      </c>
      <c r="Y2" s="2">
        <f>'[1]Energy, Autumn'!Y2*Scenarios!$B$6</f>
        <v>151.13995095762314</v>
      </c>
    </row>
    <row r="3" spans="1:25" x14ac:dyDescent="0.3">
      <c r="A3">
        <v>2</v>
      </c>
      <c r="B3" s="2">
        <f>'[1]Energy, Autumn'!B3*Scenarios!$B$6</f>
        <v>110.28088358819639</v>
      </c>
      <c r="C3" s="2">
        <f>'[1]Energy, Autumn'!C3*Scenarios!$B$6</f>
        <v>105.85586313422002</v>
      </c>
      <c r="D3" s="2">
        <f>'[1]Energy, Autumn'!D3*Scenarios!$B$6</f>
        <v>103.38832836393412</v>
      </c>
      <c r="E3" s="2">
        <f>'[1]Energy, Autumn'!E3*Scenarios!$B$6</f>
        <v>100.06611674583971</v>
      </c>
      <c r="F3" s="2">
        <f>'[1]Energy, Autumn'!F3*Scenarios!$B$6</f>
        <v>97.860499074075761</v>
      </c>
      <c r="G3" s="2">
        <f>'[1]Energy, Autumn'!G3*Scenarios!$B$6</f>
        <v>106.14535045363903</v>
      </c>
      <c r="H3" s="2">
        <f>'[1]Energy, Autumn'!H3*Scenarios!$B$6</f>
        <v>121.8465912545085</v>
      </c>
      <c r="I3" s="2">
        <f>'[1]Energy, Autumn'!I3*Scenarios!$B$6</f>
        <v>147.99694577535956</v>
      </c>
      <c r="J3" s="2">
        <f>'[1]Energy, Autumn'!J3*Scenarios!$B$6</f>
        <v>167.59937283316145</v>
      </c>
      <c r="K3" s="2">
        <f>'[1]Energy, Autumn'!K3*Scenarios!$B$6</f>
        <v>141.71093541083235</v>
      </c>
      <c r="L3" s="2">
        <f>'[1]Energy, Autumn'!L3*Scenarios!$B$6</f>
        <v>128.47722938024882</v>
      </c>
      <c r="M3" s="2">
        <f>'[1]Energy, Autumn'!M3*Scenarios!$B$6</f>
        <v>117.22857925425278</v>
      </c>
      <c r="N3" s="2">
        <f>'[1]Energy, Autumn'!N3*Scenarios!$B$6</f>
        <v>122.56341699783177</v>
      </c>
      <c r="O3" s="2">
        <f>'[1]Energy, Autumn'!O3*Scenarios!$B$6</f>
        <v>117.60077723636293</v>
      </c>
      <c r="P3" s="2">
        <f>'[1]Energy, Autumn'!P3*Scenarios!$B$6</f>
        <v>117.87647944533343</v>
      </c>
      <c r="Q3" s="2">
        <f>'[1]Energy, Autumn'!Q3*Scenarios!$B$6</f>
        <v>131.64780478340944</v>
      </c>
      <c r="R3" s="2">
        <f>'[1]Energy, Autumn'!R3*Scenarios!$B$6</f>
        <v>155.77174806832741</v>
      </c>
      <c r="S3" s="2">
        <f>'[1]Energy, Autumn'!S3*Scenarios!$B$6</f>
        <v>179.20643583081915</v>
      </c>
      <c r="T3" s="2">
        <f>'[1]Energy, Autumn'!T3*Scenarios!$B$6</f>
        <v>184.91347155650828</v>
      </c>
      <c r="U3" s="2">
        <f>'[1]Energy, Autumn'!U3*Scenarios!$B$6</f>
        <v>186.11277616552994</v>
      </c>
      <c r="V3" s="2">
        <f>'[1]Energy, Autumn'!V3*Scenarios!$B$6</f>
        <v>205.01216259045708</v>
      </c>
      <c r="W3" s="2">
        <f>'[1]Energy, Autumn'!W3*Scenarios!$B$6</f>
        <v>185.18917376547878</v>
      </c>
      <c r="X3" s="2">
        <f>'[1]Energy, Autumn'!X3*Scenarios!$B$6</f>
        <v>158.8044723670028</v>
      </c>
      <c r="Y3" s="2">
        <f>'[1]Energy, Autumn'!Y3*Scenarios!$B$6</f>
        <v>140.6081265749504</v>
      </c>
    </row>
    <row r="4" spans="1:25" x14ac:dyDescent="0.3">
      <c r="A4">
        <v>3</v>
      </c>
      <c r="B4" s="2">
        <f>'[1]Energy, Autumn'!B4*Scenarios!$B$6</f>
        <v>119.2136351588403</v>
      </c>
      <c r="C4" s="2">
        <f>'[1]Energy, Autumn'!C4*Scenarios!$B$6</f>
        <v>112.63813747489408</v>
      </c>
      <c r="D4" s="2">
        <f>'[1]Energy, Autumn'!D4*Scenarios!$B$6</f>
        <v>103.38832836393412</v>
      </c>
      <c r="E4" s="2">
        <f>'[1]Energy, Autumn'!E4*Scenarios!$B$6</f>
        <v>97.460730871068563</v>
      </c>
      <c r="F4" s="2">
        <f>'[1]Energy, Autumn'!F4*Scenarios!$B$6</f>
        <v>97.433160650171516</v>
      </c>
      <c r="G4" s="2">
        <f>'[1]Energy, Autumn'!G4*Scenarios!$B$6</f>
        <v>98.784101474126913</v>
      </c>
      <c r="H4" s="2">
        <f>'[1]Energy, Autumn'!H4*Scenarios!$B$6</f>
        <v>101.78925555190527</v>
      </c>
      <c r="I4" s="2">
        <f>'[1]Energy, Autumn'!I4*Scenarios!$B$6</f>
        <v>107.52386149849148</v>
      </c>
      <c r="J4" s="2">
        <f>'[1]Energy, Autumn'!J4*Scenarios!$B$6</f>
        <v>100.75537226826593</v>
      </c>
      <c r="K4" s="2">
        <f>'[1]Energy, Autumn'!K4*Scenarios!$B$6</f>
        <v>96.49577313967184</v>
      </c>
      <c r="L4" s="2">
        <f>'[1]Energy, Autumn'!L4*Scenarios!$B$6</f>
        <v>91.960471802107264</v>
      </c>
      <c r="M4" s="2">
        <f>'[1]Energy, Autumn'!M4*Scenarios!$B$6</f>
        <v>65.892827943947339</v>
      </c>
      <c r="N4" s="2">
        <f>'[1]Energy, Autumn'!N4*Scenarios!$B$6</f>
        <v>68.911767132174219</v>
      </c>
      <c r="O4" s="2">
        <f>'[1]Energy, Autumn'!O4*Scenarios!$B$6</f>
        <v>69.256394893387338</v>
      </c>
      <c r="P4" s="2">
        <f>'[1]Energy, Autumn'!P4*Scenarios!$B$6</f>
        <v>82.710662691147292</v>
      </c>
      <c r="Q4" s="2">
        <f>'[1]Energy, Autumn'!Q4*Scenarios!$B$6</f>
        <v>97.088532888958412</v>
      </c>
      <c r="R4" s="2">
        <f>'[1]Energy, Autumn'!R4*Scenarios!$B$6</f>
        <v>115.46408511684163</v>
      </c>
      <c r="S4" s="2">
        <f>'[1]Energy, Autumn'!S4*Scenarios!$B$6</f>
        <v>145.40534501103696</v>
      </c>
      <c r="T4" s="2">
        <f>'[1]Energy, Autumn'!T4*Scenarios!$B$6</f>
        <v>173.52697032602703</v>
      </c>
      <c r="U4" s="2">
        <f>'[1]Energy, Autumn'!U4*Scenarios!$B$6</f>
        <v>165.43511049274312</v>
      </c>
      <c r="V4" s="2">
        <f>'[1]Energy, Autumn'!V4*Scenarios!$B$6</f>
        <v>165.00777206883885</v>
      </c>
      <c r="W4" s="2">
        <f>'[1]Energy, Autumn'!W4*Scenarios!$B$6</f>
        <v>152.67009821740939</v>
      </c>
      <c r="X4" s="2">
        <f>'[1]Energy, Autumn'!X4*Scenarios!$B$6</f>
        <v>139.35368152413466</v>
      </c>
      <c r="Y4" s="2">
        <f>'[1]Energy, Autumn'!Y4*Scenarios!$B$6</f>
        <v>131.85458144013731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A0F2A-A97B-42BF-BD16-0283FFE6BEE7}">
  <dimension ref="A1:Y6"/>
  <sheetViews>
    <sheetView zoomScale="85" zoomScaleNormal="85" workbookViewId="0">
      <selection activeCell="S21" sqref="S21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Winter'!B2*Scenarios!$B$6</f>
        <v>63.239194182606369</v>
      </c>
      <c r="C2" s="2">
        <f>'[1]Flexibility, Winter'!C2*Scenarios!$B$6</f>
        <v>59.400040922692284</v>
      </c>
      <c r="D2" s="2">
        <f>'[1]Flexibility, Winter'!D2*Scenarios!$B$6</f>
        <v>56.587878391193271</v>
      </c>
      <c r="E2" s="2">
        <f>'[1]Flexibility, Winter'!E2*Scenarios!$B$6</f>
        <v>55.140441794098194</v>
      </c>
      <c r="F2" s="2">
        <f>'[1]Flexibility, Winter'!F2*Scenarios!$B$6</f>
        <v>54.864739585127701</v>
      </c>
      <c r="G2" s="2">
        <f>'[1]Flexibility, Winter'!G2*Scenarios!$B$6</f>
        <v>55.898622868767042</v>
      </c>
      <c r="H2" s="2">
        <f>'[1]Flexibility, Winter'!H2*Scenarios!$B$6</f>
        <v>59.213941931637201</v>
      </c>
      <c r="I2" s="2">
        <f>'[1]Flexibility, Winter'!I2*Scenarios!$B$6</f>
        <v>70.338526063596504</v>
      </c>
      <c r="J2" s="2">
        <f>'[1]Flexibility, Winter'!J2*Scenarios!$B$6</f>
        <v>78.46484867300174</v>
      </c>
      <c r="K2" s="2">
        <f>'[1]Flexibility, Winter'!K2*Scenarios!$B$6</f>
        <v>75.818107466885024</v>
      </c>
      <c r="L2" s="2">
        <f>'[1]Flexibility, Winter'!L2*Scenarios!$B$6</f>
        <v>67.292016654472576</v>
      </c>
      <c r="M2" s="2">
        <f>'[1]Flexibility, Winter'!M2*Scenarios!$B$6</f>
        <v>59.400040922692284</v>
      </c>
      <c r="N2" s="2">
        <f>'[1]Flexibility, Winter'!N2*Scenarios!$B$6</f>
        <v>57.821645776336219</v>
      </c>
      <c r="O2" s="2">
        <f>'[1]Flexibility, Winter'!O2*Scenarios!$B$6</f>
        <v>56.64301883298738</v>
      </c>
      <c r="P2" s="2">
        <f>'[1]Flexibility, Winter'!P2*Scenarios!$B$6</f>
        <v>57.208208361376876</v>
      </c>
      <c r="Q2" s="2">
        <f>'[1]Flexibility, Winter'!Q2*Scenarios!$B$6</f>
        <v>58.586719406229335</v>
      </c>
      <c r="R2" s="2">
        <f>'[1]Flexibility, Winter'!R2*Scenarios!$B$6</f>
        <v>67.292016654472576</v>
      </c>
      <c r="S2" s="2">
        <f>'[1]Flexibility, Winter'!S2*Scenarios!$B$6</f>
        <v>81.676779407507951</v>
      </c>
      <c r="T2" s="2">
        <f>'[1]Flexibility, Winter'!T2*Scenarios!$B$6</f>
        <v>88.865714506413511</v>
      </c>
      <c r="U2" s="2">
        <f>'[1]Flexibility, Winter'!U2*Scenarios!$B$6</f>
        <v>91.195398172214155</v>
      </c>
      <c r="V2" s="2">
        <f>'[1]Flexibility, Winter'!V2*Scenarios!$B$6</f>
        <v>81.283903759725007</v>
      </c>
      <c r="W2" s="2">
        <f>'[1]Flexibility, Winter'!W2*Scenarios!$B$6</f>
        <v>74.667050744433212</v>
      </c>
      <c r="X2" s="2">
        <f>'[1]Flexibility, Winter'!X2*Scenarios!$B$6</f>
        <v>68.925552242622743</v>
      </c>
      <c r="Y2" s="2">
        <f>'[1]Flexibility, Winter'!Y2*Scenarios!$B$6</f>
        <v>64.279970021469978</v>
      </c>
    </row>
    <row r="3" spans="1:25" x14ac:dyDescent="0.3">
      <c r="A3">
        <v>2</v>
      </c>
      <c r="B3" s="2">
        <f>'[1]Flexibility, Winter'!B3*Scenarios!$B$6</f>
        <v>61.329956385485723</v>
      </c>
      <c r="C3" s="2">
        <f>'[1]Flexibility, Winter'!C3*Scenarios!$B$6</f>
        <v>59.586139913747367</v>
      </c>
      <c r="D3" s="2">
        <f>'[1]Flexibility, Winter'!D3*Scenarios!$B$6</f>
        <v>58.579826851005066</v>
      </c>
      <c r="E3" s="2">
        <f>'[1]Flexibility, Winter'!E3*Scenarios!$B$6</f>
        <v>57.208208361376876</v>
      </c>
      <c r="F3" s="2">
        <f>'[1]Flexibility, Winter'!F3*Scenarios!$B$6</f>
        <v>57.304704134516548</v>
      </c>
      <c r="G3" s="2">
        <f>'[1]Flexibility, Winter'!G3*Scenarios!$B$6</f>
        <v>58.586719406229335</v>
      </c>
      <c r="H3" s="2">
        <f>'[1]Flexibility, Winter'!H3*Scenarios!$B$6</f>
        <v>61.343741495934246</v>
      </c>
      <c r="I3" s="2">
        <f>'[1]Flexibility, Winter'!I3*Scenarios!$B$6</f>
        <v>68.925552242622743</v>
      </c>
      <c r="J3" s="2">
        <f>'[1]Flexibility, Winter'!J3*Scenarios!$B$6</f>
        <v>72.213301084595841</v>
      </c>
      <c r="K3" s="2">
        <f>'[1]Flexibility, Winter'!K3*Scenarios!$B$6</f>
        <v>72.371829854753884</v>
      </c>
      <c r="L3" s="2">
        <f>'[1]Flexibility, Winter'!L3*Scenarios!$B$6</f>
        <v>68.925552242622743</v>
      </c>
      <c r="M3" s="2">
        <f>'[1]Flexibility, Winter'!M3*Scenarios!$B$6</f>
        <v>65.189787311072593</v>
      </c>
      <c r="N3" s="2">
        <f>'[1]Flexibility, Winter'!N3*Scenarios!$B$6</f>
        <v>63.411508063212928</v>
      </c>
      <c r="O3" s="2">
        <f>'[1]Flexibility, Winter'!O3*Scenarios!$B$6</f>
        <v>63.259871848279154</v>
      </c>
      <c r="P3" s="2">
        <f>'[1]Flexibility, Winter'!P3*Scenarios!$B$6</f>
        <v>62.101922570603087</v>
      </c>
      <c r="Q3" s="2">
        <f>'[1]Flexibility, Winter'!Q3*Scenarios!$B$6</f>
        <v>63.41840061843719</v>
      </c>
      <c r="R3" s="2">
        <f>'[1]Flexibility, Winter'!R3*Scenarios!$B$6</f>
        <v>69.601022654600456</v>
      </c>
      <c r="S3" s="2">
        <f>'[1]Flexibility, Winter'!S3*Scenarios!$B$6</f>
        <v>73.819266451848961</v>
      </c>
      <c r="T3" s="2">
        <f>'[1]Flexibility, Winter'!T3*Scenarios!$B$6</f>
        <v>86.846195825704655</v>
      </c>
      <c r="U3" s="2">
        <f>'[1]Flexibility, Winter'!U3*Scenarios!$B$6</f>
        <v>82.345357264261395</v>
      </c>
      <c r="V3" s="2">
        <f>'[1]Flexibility, Winter'!V3*Scenarios!$B$6</f>
        <v>75.818107466885024</v>
      </c>
      <c r="W3" s="2">
        <f>'[1]Flexibility, Winter'!W3*Scenarios!$B$6</f>
        <v>70.483269723306023</v>
      </c>
      <c r="X3" s="2">
        <f>'[1]Flexibility, Winter'!X3*Scenarios!$B$6</f>
        <v>67.547041197770284</v>
      </c>
      <c r="Y3" s="2">
        <f>'[1]Flexibility, Winter'!Y3*Scenarios!$B$6</f>
        <v>65.817009836480452</v>
      </c>
    </row>
    <row r="4" spans="1:25" x14ac:dyDescent="0.3">
      <c r="A4">
        <v>3</v>
      </c>
      <c r="B4" s="2">
        <f>'[1]Flexibility, Winter'!B4*Scenarios!$B$6</f>
        <v>63.638962385613581</v>
      </c>
      <c r="C4" s="2">
        <f>'[1]Flexibility, Winter'!C4*Scenarios!$B$6</f>
        <v>62.115707681051624</v>
      </c>
      <c r="D4" s="2">
        <f>'[1]Flexibility, Winter'!D4*Scenarios!$B$6</f>
        <v>59.972123006306056</v>
      </c>
      <c r="E4" s="2">
        <f>'[1]Flexibility, Winter'!E4*Scenarios!$B$6</f>
        <v>59.138123824170314</v>
      </c>
      <c r="F4" s="2">
        <f>'[1]Flexibility, Winter'!F4*Scenarios!$B$6</f>
        <v>58.586719406229335</v>
      </c>
      <c r="G4" s="2">
        <f>'[1]Flexibility, Winter'!G4*Scenarios!$B$6</f>
        <v>59.482751585383426</v>
      </c>
      <c r="H4" s="2">
        <f>'[1]Flexibility, Winter'!H4*Scenarios!$B$6</f>
        <v>65.479274630491602</v>
      </c>
      <c r="I4" s="2">
        <f>'[1]Flexibility, Winter'!I4*Scenarios!$B$6</f>
        <v>71.641219000982076</v>
      </c>
      <c r="J4" s="2">
        <f>'[1]Flexibility, Winter'!J4*Scenarios!$B$6</f>
        <v>83.675620422544014</v>
      </c>
      <c r="K4" s="2">
        <f>'[1]Flexibility, Winter'!K4*Scenarios!$B$6</f>
        <v>83.675620422544014</v>
      </c>
      <c r="L4" s="2">
        <f>'[1]Flexibility, Winter'!L4*Scenarios!$B$6</f>
        <v>72.633746953275846</v>
      </c>
      <c r="M4" s="2">
        <f>'[1]Flexibility, Winter'!M4*Scenarios!$B$6</f>
        <v>70.972641144228646</v>
      </c>
      <c r="N4" s="2">
        <f>'[1]Flexibility, Winter'!N4*Scenarios!$B$6</f>
        <v>68.918659687398474</v>
      </c>
      <c r="O4" s="2">
        <f>'[1]Flexibility, Winter'!O4*Scenarios!$B$6</f>
        <v>67.891668958983402</v>
      </c>
      <c r="P4" s="2">
        <f>'[1]Flexibility, Winter'!P4*Scenarios!$B$6</f>
        <v>65.313853305109319</v>
      </c>
      <c r="Q4" s="2">
        <f>'[1]Flexibility, Winter'!Q4*Scenarios!$B$6</f>
        <v>65.293175639436527</v>
      </c>
      <c r="R4" s="2">
        <f>'[1]Flexibility, Winter'!R4*Scenarios!$B$6</f>
        <v>68.491321263494228</v>
      </c>
      <c r="S4" s="2">
        <f>'[1]Flexibility, Winter'!S4*Scenarios!$B$6</f>
        <v>70.786542153173556</v>
      </c>
      <c r="T4" s="2">
        <f>'[1]Flexibility, Winter'!T4*Scenarios!$B$6</f>
        <v>76.70724709081486</v>
      </c>
      <c r="U4" s="2">
        <f>'[1]Flexibility, Winter'!U4*Scenarios!$B$6</f>
        <v>83.675620422544014</v>
      </c>
      <c r="V4" s="2">
        <f>'[1]Flexibility, Winter'!V4*Scenarios!$B$6</f>
        <v>82.710662691147292</v>
      </c>
      <c r="W4" s="2">
        <f>'[1]Flexibility, Winter'!W4*Scenarios!$B$6</f>
        <v>74.239712320528952</v>
      </c>
      <c r="X4" s="2">
        <f>'[1]Flexibility, Winter'!X4*Scenarios!$B$6</f>
        <v>69.835369532225357</v>
      </c>
      <c r="Y4" s="2">
        <f>'[1]Flexibility, Winter'!Y4*Scenarios!$B$6</f>
        <v>63.880201818462766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CA46C-7623-4ABD-BCE9-736625BC3D05}">
  <dimension ref="A1:Y6"/>
  <sheetViews>
    <sheetView zoomScale="85" zoomScaleNormal="85" workbookViewId="0">
      <selection activeCell="B2" sqref="B2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Spring'!B2*Scenarios!$B$6</f>
        <v>30.327242986754008</v>
      </c>
      <c r="C2" s="2">
        <f>'[1]Flexibility, Spring'!C2*Scenarios!$B$6</f>
        <v>32.13309245551072</v>
      </c>
      <c r="D2" s="2">
        <f>'[1]Flexibility, Spring'!D2*Scenarios!$B$6</f>
        <v>33.194545960047108</v>
      </c>
      <c r="E2" s="2">
        <f>'[1]Flexibility, Spring'!E2*Scenarios!$B$6</f>
        <v>33.359967285429406</v>
      </c>
      <c r="F2" s="2">
        <f>'[1]Flexibility, Spring'!F2*Scenarios!$B$6</f>
        <v>34.80740388252449</v>
      </c>
      <c r="G2" s="2">
        <f>'[1]Flexibility, Spring'!G2*Scenarios!$B$6</f>
        <v>38.59141670064448</v>
      </c>
      <c r="H2" s="2">
        <f>'[1]Flexibility, Spring'!H2*Scenarios!$B$6</f>
        <v>40.542009829110697</v>
      </c>
      <c r="I2" s="2">
        <f>'[1]Flexibility, Spring'!I2*Scenarios!$B$6</f>
        <v>34.448991010862848</v>
      </c>
      <c r="J2" s="2">
        <f>'[1]Flexibility, Spring'!J2*Scenarios!$B$6</f>
        <v>23.296836658006487</v>
      </c>
      <c r="K2" s="2">
        <f>'[1]Flexibility, Spring'!K2*Scenarios!$B$6</f>
        <v>9.3049495527540707</v>
      </c>
      <c r="L2" s="2">
        <f>'[1]Flexibility, Spring'!L2*Scenarios!$B$6</f>
        <v>7.7885874034163711</v>
      </c>
      <c r="M2" s="2">
        <f>'[1]Flexibility, Spring'!M2*Scenarios!$B$6</f>
        <v>6.5134646869278487</v>
      </c>
      <c r="N2" s="2">
        <f>'[1]Flexibility, Spring'!N2*Scenarios!$B$6</f>
        <v>3.1016498509180237</v>
      </c>
      <c r="O2" s="2">
        <f>'[1]Flexibility, Spring'!O2*Scenarios!$B$6</f>
        <v>2.1573697851940921</v>
      </c>
      <c r="P2" s="2">
        <f>'[1]Flexibility, Spring'!P2*Scenarios!$B$6</f>
        <v>0.37219798211016286</v>
      </c>
      <c r="Q2" s="2">
        <f>'[1]Flexibility, Spring'!Q2*Scenarios!$B$6</f>
        <v>2.2400804478852394</v>
      </c>
      <c r="R2" s="2">
        <f>'[1]Flexibility, Spring'!R2*Scenarios!$B$6</f>
        <v>3.4462776121311371</v>
      </c>
      <c r="S2" s="2">
        <f>'[1]Flexibility, Spring'!S2*Scenarios!$B$6</f>
        <v>10.456006275205871</v>
      </c>
      <c r="T2" s="2">
        <f>'[1]Flexibility, Spring'!T2*Scenarios!$B$6</f>
        <v>23.296836658006487</v>
      </c>
      <c r="U2" s="2">
        <f>'[1]Flexibility, Spring'!U2*Scenarios!$B$6</f>
        <v>33.856231261576291</v>
      </c>
      <c r="V2" s="2">
        <f>'[1]Flexibility, Spring'!V2*Scenarios!$B$6</f>
        <v>40.879745035099553</v>
      </c>
      <c r="W2" s="2">
        <f>'[1]Flexibility, Spring'!W2*Scenarios!$B$6</f>
        <v>39.721795757423493</v>
      </c>
      <c r="X2" s="2">
        <f>'[1]Flexibility, Spring'!X2*Scenarios!$B$6</f>
        <v>33.773520598885142</v>
      </c>
      <c r="Y2" s="2">
        <f>'[1]Flexibility, Spring'!Y2*Scenarios!$B$6</f>
        <v>49.922777489331658</v>
      </c>
    </row>
    <row r="3" spans="1:25" x14ac:dyDescent="0.3">
      <c r="A3">
        <v>2</v>
      </c>
      <c r="B3" s="2">
        <f>'[1]Flexibility, Spring'!B3*Scenarios!$B$6</f>
        <v>48.592514331049038</v>
      </c>
      <c r="C3" s="2">
        <f>'[1]Flexibility, Spring'!C3*Scenarios!$B$6</f>
        <v>47.648234265325101</v>
      </c>
      <c r="D3" s="2">
        <f>'[1]Flexibility, Spring'!D3*Scenarios!$B$6</f>
        <v>47.558631047409698</v>
      </c>
      <c r="E3" s="2">
        <f>'[1]Flexibility, Spring'!E3*Scenarios!$B$6</f>
        <v>46.87626808020773</v>
      </c>
      <c r="F3" s="2">
        <f>'[1]Flexibility, Spring'!F3*Scenarios!$B$6</f>
        <v>47.448350163821502</v>
      </c>
      <c r="G3" s="2">
        <f>'[1]Flexibility, Spring'!G3*Scenarios!$B$6</f>
        <v>46.180120002557238</v>
      </c>
      <c r="H3" s="2">
        <f>'[1]Flexibility, Spring'!H3*Scenarios!$B$6</f>
        <v>46.814235083189367</v>
      </c>
      <c r="I3" s="2">
        <f>'[1]Flexibility, Spring'!I3*Scenarios!$B$6</f>
        <v>50.226049919199198</v>
      </c>
      <c r="J3" s="2">
        <f>'[1]Flexibility, Spring'!J3*Scenarios!$B$6</f>
        <v>28.741955285173688</v>
      </c>
      <c r="K3" s="2">
        <f>'[1]Flexibility, Spring'!K3*Scenarios!$B$6</f>
        <v>20.677665672786823</v>
      </c>
      <c r="L3" s="2">
        <f>'[1]Flexibility, Spring'!L3*Scenarios!$B$6</f>
        <v>12.971788932061601</v>
      </c>
      <c r="M3" s="2">
        <f>'[1]Flexibility, Spring'!M3*Scenarios!$B$6</f>
        <v>14.081490323167827</v>
      </c>
      <c r="N3" s="2">
        <f>'[1]Flexibility, Spring'!N3*Scenarios!$B$6</f>
        <v>10.132056179665543</v>
      </c>
      <c r="O3" s="2">
        <f>'[1]Flexibility, Spring'!O3*Scenarios!$B$6</f>
        <v>6.6582083466373572</v>
      </c>
      <c r="P3" s="2">
        <f>'[1]Flexibility, Spring'!P3*Scenarios!$B$6</f>
        <v>5.658787839119328</v>
      </c>
      <c r="Q3" s="2">
        <f>'[1]Flexibility, Spring'!Q3*Scenarios!$B$6</f>
        <v>5.1280610868511323</v>
      </c>
      <c r="R3" s="2">
        <f>'[1]Flexibility, Spring'!R3*Scenarios!$B$6</f>
        <v>10.132056179665543</v>
      </c>
      <c r="S3" s="2">
        <f>'[1]Flexibility, Spring'!S3*Scenarios!$B$6</f>
        <v>13.399127355965863</v>
      </c>
      <c r="T3" s="2">
        <f>'[1]Flexibility, Spring'!T3*Scenarios!$B$6</f>
        <v>23.979199625208452</v>
      </c>
      <c r="U3" s="2">
        <f>'[1]Flexibility, Spring'!U3*Scenarios!$B$6</f>
        <v>43.236998921797245</v>
      </c>
      <c r="V3" s="2">
        <f>'[1]Flexibility, Spring'!V3*Scenarios!$B$6</f>
        <v>46.87626808020773</v>
      </c>
      <c r="W3" s="2">
        <f>'[1]Flexibility, Spring'!W3*Scenarios!$B$6</f>
        <v>46.021591232399203</v>
      </c>
      <c r="X3" s="2">
        <f>'[1]Flexibility, Spring'!X3*Scenarios!$B$6</f>
        <v>43.478238354646429</v>
      </c>
      <c r="Y3" s="2">
        <f>'[1]Flexibility, Spring'!Y3*Scenarios!$B$6</f>
        <v>49.626397614688379</v>
      </c>
    </row>
    <row r="4" spans="1:25" x14ac:dyDescent="0.3">
      <c r="A4">
        <v>3</v>
      </c>
      <c r="B4" s="2">
        <f>'[1]Flexibility, Spring'!B4*Scenarios!$B$6</f>
        <v>47.489705495167073</v>
      </c>
      <c r="C4" s="2">
        <f>'[1]Flexibility, Spring'!C4*Scenarios!$B$6</f>
        <v>45.421938927888391</v>
      </c>
      <c r="D4" s="2">
        <f>'[1]Flexibility, Spring'!D4*Scenarios!$B$6</f>
        <v>45.711426247307401</v>
      </c>
      <c r="E4" s="2">
        <f>'[1]Flexibility, Spring'!E4*Scenarios!$B$6</f>
        <v>44.636187632322496</v>
      </c>
      <c r="F4" s="2">
        <f>'[1]Flexibility, Spring'!F4*Scenarios!$B$6</f>
        <v>46.786664862292319</v>
      </c>
      <c r="G4" s="2">
        <f>'[1]Flexibility, Spring'!G4*Scenarios!$B$6</f>
        <v>43.354172360609702</v>
      </c>
      <c r="H4" s="2">
        <f>'[1]Flexibility, Spring'!H4*Scenarios!$B$6</f>
        <v>45.787244354774295</v>
      </c>
      <c r="I4" s="2">
        <f>'[1]Flexibility, Spring'!I4*Scenarios!$B$6</f>
        <v>40.376588503728406</v>
      </c>
      <c r="J4" s="2">
        <f>'[1]Flexibility, Spring'!J4*Scenarios!$B$6</f>
        <v>26.63972594177369</v>
      </c>
      <c r="K4" s="2">
        <f>'[1]Flexibility, Spring'!K4*Scenarios!$B$6</f>
        <v>16.659305977041917</v>
      </c>
      <c r="L4" s="2">
        <f>'[1]Flexibility, Spring'!L4*Scenarios!$B$6</f>
        <v>15.163621493377004</v>
      </c>
      <c r="M4" s="2">
        <f>'[1]Flexibility, Spring'!M4*Scenarios!$B$6</f>
        <v>14.99820016799471</v>
      </c>
      <c r="N4" s="2">
        <f>'[1]Flexibility, Spring'!N4*Scenarios!$B$6</f>
        <v>8.0780747228353853</v>
      </c>
      <c r="O4" s="2">
        <f>'[1]Flexibility, Spring'!O4*Scenarios!$B$6</f>
        <v>7.0510839944203072</v>
      </c>
      <c r="P4" s="2">
        <f>'[1]Flexibility, Spring'!P4*Scenarios!$B$6</f>
        <v>2.2400804478852394</v>
      </c>
      <c r="Q4" s="2">
        <f>'[1]Flexibility, Spring'!Q4*Scenarios!$B$6</f>
        <v>2.2400804478852394</v>
      </c>
      <c r="R4" s="2">
        <f>'[1]Flexibility, Spring'!R4*Scenarios!$B$6</f>
        <v>5.8379942749501472</v>
      </c>
      <c r="S4" s="2">
        <f>'[1]Flexibility, Spring'!S4*Scenarios!$B$6</f>
        <v>17.300313612898311</v>
      </c>
      <c r="T4" s="2">
        <f>'[1]Flexibility, Spring'!T4*Scenarios!$B$6</f>
        <v>28.397327523960573</v>
      </c>
      <c r="U4" s="2">
        <f>'[1]Flexibility, Spring'!U4*Scenarios!$B$6</f>
        <v>39.452986103677262</v>
      </c>
      <c r="V4" s="2">
        <f>'[1]Flexibility, Spring'!V4*Scenarios!$B$6</f>
        <v>51.439139638669353</v>
      </c>
      <c r="W4" s="2">
        <f>'[1]Flexibility, Spring'!W4*Scenarios!$B$6</f>
        <v>46.786664862292319</v>
      </c>
      <c r="X4" s="2">
        <f>'[1]Flexibility, Spring'!X4*Scenarios!$B$6</f>
        <v>48.93714209226215</v>
      </c>
      <c r="Y4" s="2">
        <f>'[1]Flexibility, Spring'!Y4*Scenarios!$B$6</f>
        <v>49.626397614688379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8B75F-C023-45BB-9C5E-2448F504CF83}">
  <dimension ref="A1:Y6"/>
  <sheetViews>
    <sheetView zoomScale="85" zoomScaleNormal="85" workbookViewId="0">
      <selection activeCell="U27" sqref="U2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Summer'!B2*Scenarios!$B$6</f>
        <v>77.982369807303371</v>
      </c>
      <c r="C2" s="2">
        <f>'[1]Flexibility, Summer'!C2*Scenarios!$B$6</f>
        <v>77.458535610259432</v>
      </c>
      <c r="D2" s="2">
        <f>'[1]Flexibility, Summer'!D2*Scenarios!$B$6</f>
        <v>77.637742046090267</v>
      </c>
      <c r="E2" s="2">
        <f>'[1]Flexibility, Summer'!E2*Scenarios!$B$6</f>
        <v>77.596386714744682</v>
      </c>
      <c r="F2" s="2">
        <f>'[1]Flexibility, Summer'!F2*Scenarios!$B$6</f>
        <v>77.80316337147255</v>
      </c>
      <c r="G2" s="2">
        <f>'[1]Flexibility, Summer'!G2*Scenarios!$B$6</f>
        <v>80.532615240280421</v>
      </c>
      <c r="H2" s="2">
        <f>'[1]Flexibility, Summer'!H2*Scenarios!$B$6</f>
        <v>83.206926667294184</v>
      </c>
      <c r="I2" s="2">
        <f>'[1]Flexibility, Summer'!I2*Scenarios!$B$6</f>
        <v>80.532615240280421</v>
      </c>
      <c r="J2" s="2">
        <f>'[1]Flexibility, Summer'!J2*Scenarios!$B$6</f>
        <v>77.761808040126979</v>
      </c>
      <c r="K2" s="2">
        <f>'[1]Flexibility, Summer'!K2*Scenarios!$B$6</f>
        <v>77.141478069943375</v>
      </c>
      <c r="L2" s="2">
        <f>'[1]Flexibility, Summer'!L2*Scenarios!$B$6</f>
        <v>67.547041197770284</v>
      </c>
      <c r="M2" s="2">
        <f>'[1]Flexibility, Summer'!M2*Scenarios!$B$6</f>
        <v>64.086978475190634</v>
      </c>
      <c r="N2" s="2">
        <f>'[1]Flexibility, Summer'!N2*Scenarios!$B$6</f>
        <v>63.956019925929652</v>
      </c>
      <c r="O2" s="2">
        <f>'[1]Flexibility, Summer'!O2*Scenarios!$B$6</f>
        <v>61.336848940709977</v>
      </c>
      <c r="P2" s="2">
        <f>'[1]Flexibility, Summer'!P2*Scenarios!$B$6</f>
        <v>57.208208361376876</v>
      </c>
      <c r="Q2" s="2">
        <f>'[1]Flexibility, Summer'!Q2*Scenarios!$B$6</f>
        <v>56.381101734465403</v>
      </c>
      <c r="R2" s="2">
        <f>'[1]Flexibility, Summer'!R2*Scenarios!$B$6</f>
        <v>56.381101734465403</v>
      </c>
      <c r="S2" s="2">
        <f>'[1]Flexibility, Summer'!S2*Scenarios!$B$6</f>
        <v>65.045043651363088</v>
      </c>
      <c r="T2" s="2">
        <f>'[1]Flexibility, Summer'!T2*Scenarios!$B$6</f>
        <v>75.266703048944038</v>
      </c>
      <c r="U2" s="2">
        <f>'[1]Flexibility, Summer'!U2*Scenarios!$B$6</f>
        <v>81.056449437324346</v>
      </c>
      <c r="V2" s="2">
        <f>'[1]Flexibility, Summer'!V2*Scenarios!$B$6</f>
        <v>91.436637605063325</v>
      </c>
      <c r="W2" s="2">
        <f>'[1]Flexibility, Summer'!W2*Scenarios!$B$6</f>
        <v>86.501568064491551</v>
      </c>
      <c r="X2" s="2">
        <f>'[1]Flexibility, Summer'!X2*Scenarios!$B$6</f>
        <v>80.739391897008289</v>
      </c>
      <c r="Y2" s="2">
        <f>'[1]Flexibility, Summer'!Y2*Scenarios!$B$6</f>
        <v>78.46484867300174</v>
      </c>
    </row>
    <row r="3" spans="1:25" x14ac:dyDescent="0.3">
      <c r="A3">
        <v>2</v>
      </c>
      <c r="B3" s="2">
        <f>'[1]Flexibility, Summer'!B3*Scenarios!$B$6</f>
        <v>73.901977114540102</v>
      </c>
      <c r="C3" s="2">
        <f>'[1]Flexibility, Summer'!C3*Scenarios!$B$6</f>
        <v>73.895084559315848</v>
      </c>
      <c r="D3" s="2">
        <f>'[1]Flexibility, Summer'!D3*Scenarios!$B$6</f>
        <v>73.895084559315848</v>
      </c>
      <c r="E3" s="2">
        <f>'[1]Flexibility, Summer'!E3*Scenarios!$B$6</f>
        <v>65.479274630491602</v>
      </c>
      <c r="F3" s="2">
        <f>'[1]Flexibility, Summer'!F3*Scenarios!$B$6</f>
        <v>70.607335717342735</v>
      </c>
      <c r="G3" s="2">
        <f>'[1]Flexibility, Summer'!G3*Scenarios!$B$6</f>
        <v>72.371829854753884</v>
      </c>
      <c r="H3" s="2">
        <f>'[1]Flexibility, Summer'!H3*Scenarios!$B$6</f>
        <v>79.333310631258769</v>
      </c>
      <c r="I3" s="2">
        <f>'[1]Flexibility, Summer'!I3*Scenarios!$B$6</f>
        <v>70.607335717342735</v>
      </c>
      <c r="J3" s="2">
        <f>'[1]Flexibility, Summer'!J3*Scenarios!$B$6</f>
        <v>60.633808307835231</v>
      </c>
      <c r="K3" s="2">
        <f>'[1]Flexibility, Summer'!K3*Scenarios!$B$6</f>
        <v>54.719995925418196</v>
      </c>
      <c r="L3" s="2">
        <f>'[1]Flexibility, Summer'!L3*Scenarios!$B$6</f>
        <v>54.864739585127701</v>
      </c>
      <c r="M3" s="2">
        <f>'[1]Flexibility, Summer'!M3*Scenarios!$B$6</f>
        <v>55.898622868767042</v>
      </c>
      <c r="N3" s="2">
        <f>'[1]Flexibility, Summer'!N3*Scenarios!$B$6</f>
        <v>56.518952838950653</v>
      </c>
      <c r="O3" s="2">
        <f>'[1]Flexibility, Summer'!O3*Scenarios!$B$6</f>
        <v>56.856688044939496</v>
      </c>
      <c r="P3" s="2">
        <f>'[1]Flexibility, Summer'!P3*Scenarios!$B$6</f>
        <v>54.864739585127701</v>
      </c>
      <c r="Q3" s="2">
        <f>'[1]Flexibility, Summer'!Q3*Scenarios!$B$6</f>
        <v>54.864739585127701</v>
      </c>
      <c r="R3" s="2">
        <f>'[1]Flexibility, Summer'!R3*Scenarios!$B$6</f>
        <v>56.518952838950653</v>
      </c>
      <c r="S3" s="2">
        <f>'[1]Flexibility, Summer'!S3*Scenarios!$B$6</f>
        <v>58.055992653961141</v>
      </c>
      <c r="T3" s="2">
        <f>'[1]Flexibility, Summer'!T3*Scenarios!$B$6</f>
        <v>61.343741495934246</v>
      </c>
      <c r="U3" s="2">
        <f>'[1]Flexibility, Summer'!U3*Scenarios!$B$6</f>
        <v>80.091491705927638</v>
      </c>
      <c r="V3" s="2">
        <f>'[1]Flexibility, Summer'!V3*Scenarios!$B$6</f>
        <v>88.845036840740718</v>
      </c>
      <c r="W3" s="2">
        <f>'[1]Flexibility, Summer'!W3*Scenarios!$B$6</f>
        <v>84.37866105541876</v>
      </c>
      <c r="X3" s="2">
        <f>'[1]Flexibility, Summer'!X3*Scenarios!$B$6</f>
        <v>79.664153282023364</v>
      </c>
      <c r="Y3" s="2">
        <f>'[1]Flexibility, Summer'!Y3*Scenarios!$B$6</f>
        <v>74.267282541426013</v>
      </c>
    </row>
    <row r="4" spans="1:25" x14ac:dyDescent="0.3">
      <c r="A4">
        <v>3</v>
      </c>
      <c r="B4" s="2">
        <f>'[1]Flexibility, Summer'!B4*Scenarios!$B$6</f>
        <v>74.880719956385349</v>
      </c>
      <c r="C4" s="2">
        <f>'[1]Flexibility, Summer'!C4*Scenarios!$B$6</f>
        <v>72.116805311456176</v>
      </c>
      <c r="D4" s="2">
        <f>'[1]Flexibility, Summer'!D4*Scenarios!$B$6</f>
        <v>72.544143735360436</v>
      </c>
      <c r="E4" s="2">
        <f>'[1]Flexibility, Summer'!E4*Scenarios!$B$6</f>
        <v>64.534994564767672</v>
      </c>
      <c r="F4" s="2">
        <f>'[1]Flexibility, Summer'!F4*Scenarios!$B$6</f>
        <v>65.045043651363088</v>
      </c>
      <c r="G4" s="2">
        <f>'[1]Flexibility, Summer'!G4*Scenarios!$B$6</f>
        <v>68.546461705288323</v>
      </c>
      <c r="H4" s="2">
        <f>'[1]Flexibility, Summer'!H4*Scenarios!$B$6</f>
        <v>78.092650690891574</v>
      </c>
      <c r="I4" s="2">
        <f>'[1]Flexibility, Summer'!I4*Scenarios!$B$6</f>
        <v>75.728504248969614</v>
      </c>
      <c r="J4" s="2">
        <f>'[1]Flexibility, Summer'!J4*Scenarios!$B$6</f>
        <v>62.032997018360469</v>
      </c>
      <c r="K4" s="2">
        <f>'[1]Flexibility, Summer'!K4*Scenarios!$B$6</f>
        <v>51.694164181967061</v>
      </c>
      <c r="L4" s="2">
        <f>'[1]Flexibility, Summer'!L4*Scenarios!$B$6</f>
        <v>44.718898295013631</v>
      </c>
      <c r="M4" s="2">
        <f>'[1]Flexibility, Summer'!M4*Scenarios!$B$6</f>
        <v>44.491443972612977</v>
      </c>
      <c r="N4" s="2">
        <f>'[1]Flexibility, Summer'!N4*Scenarios!$B$6</f>
        <v>44.794716402480518</v>
      </c>
      <c r="O4" s="2">
        <f>'[1]Flexibility, Summer'!O4*Scenarios!$B$6</f>
        <v>44.718898295013631</v>
      </c>
      <c r="P4" s="2">
        <f>'[1]Flexibility, Summer'!P4*Scenarios!$B$6</f>
        <v>43.678122456150035</v>
      </c>
      <c r="Q4" s="2">
        <f>'[1]Flexibility, Summer'!Q4*Scenarios!$B$6</f>
        <v>41.355331345573646</v>
      </c>
      <c r="R4" s="2">
        <f>'[1]Flexibility, Summer'!R4*Scenarios!$B$6</f>
        <v>44.050320438260194</v>
      </c>
      <c r="S4" s="2">
        <f>'[1]Flexibility, Summer'!S4*Scenarios!$B$6</f>
        <v>48.240994014611658</v>
      </c>
      <c r="T4" s="2">
        <f>'[1]Flexibility, Summer'!T4*Scenarios!$B$6</f>
        <v>58.952024833115232</v>
      </c>
      <c r="U4" s="2">
        <f>'[1]Flexibility, Summer'!U4*Scenarios!$B$6</f>
        <v>75.142637054907311</v>
      </c>
      <c r="V4" s="2">
        <f>'[1]Flexibility, Summer'!V4*Scenarios!$B$6</f>
        <v>78.754335992420749</v>
      </c>
      <c r="W4" s="2">
        <f>'[1]Flexibility, Summer'!W4*Scenarios!$B$6</f>
        <v>74.811794404142731</v>
      </c>
      <c r="X4" s="2">
        <f>'[1]Flexibility, Summer'!X4*Scenarios!$B$6</f>
        <v>64.914085102102106</v>
      </c>
      <c r="Y4" s="2">
        <f>'[1]Flexibility, Summer'!Y4*Scenarios!$B$6</f>
        <v>51.163437429698867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04BC-5FC2-455C-9A89-A3BDE7667108}">
  <dimension ref="A1:Y6"/>
  <sheetViews>
    <sheetView zoomScale="85" zoomScaleNormal="85" workbookViewId="0">
      <selection activeCell="O17" sqref="O17"/>
    </sheetView>
  </sheetViews>
  <sheetFormatPr defaultRowHeight="14.4" x14ac:dyDescent="0.3"/>
  <sheetData>
    <row r="1" spans="1:25" x14ac:dyDescent="0.3">
      <c r="A1" t="s">
        <v>2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'[1]Flexibility, Autumn'!B2*Scenarios!$B$6</f>
        <v>63.439078284109982</v>
      </c>
      <c r="C2" s="2">
        <f>'[1]Flexibility, Autumn'!C2*Scenarios!$B$6</f>
        <v>62.005426797463414</v>
      </c>
      <c r="D2" s="2">
        <f>'[1]Flexibility, Autumn'!D2*Scenarios!$B$6</f>
        <v>62.081244904930301</v>
      </c>
      <c r="E2" s="2">
        <f>'[1]Flexibility, Autumn'!E2*Scenarios!$B$6</f>
        <v>57.773397889766379</v>
      </c>
      <c r="F2" s="2">
        <f>'[1]Flexibility, Autumn'!F2*Scenarios!$B$6</f>
        <v>58.834851394302774</v>
      </c>
      <c r="G2" s="2">
        <f>'[1]Flexibility, Autumn'!G2*Scenarios!$B$6</f>
        <v>61.957178910893589</v>
      </c>
      <c r="H2" s="2">
        <f>'[1]Flexibility, Autumn'!H2*Scenarios!$B$6</f>
        <v>71.779070105467326</v>
      </c>
      <c r="I2" s="2">
        <f>'[1]Flexibility, Autumn'!I2*Scenarios!$B$6</f>
        <v>83.503306541937462</v>
      </c>
      <c r="J2" s="2">
        <f>'[1]Flexibility, Autumn'!J2*Scenarios!$B$6</f>
        <v>83.227604332966962</v>
      </c>
      <c r="K2" s="2">
        <f>'[1]Flexibility, Autumn'!K2*Scenarios!$B$6</f>
        <v>81.359721867191894</v>
      </c>
      <c r="L2" s="2">
        <f>'[1]Flexibility, Autumn'!L2*Scenarios!$B$6</f>
        <v>68.842841579931601</v>
      </c>
      <c r="M2" s="2">
        <f>'[1]Flexibility, Autumn'!M2*Scenarios!$B$6</f>
        <v>64.321325352815535</v>
      </c>
      <c r="N2" s="2">
        <f>'[1]Flexibility, Autumn'!N2*Scenarios!$B$6</f>
        <v>62.99106219453293</v>
      </c>
      <c r="O2" s="2">
        <f>'[1]Flexibility, Autumn'!O2*Scenarios!$B$6</f>
        <v>62.101922570603087</v>
      </c>
      <c r="P2" s="2">
        <f>'[1]Flexibility, Autumn'!P2*Scenarios!$B$6</f>
        <v>63.687210272183421</v>
      </c>
      <c r="Q2" s="2">
        <f>'[1]Flexibility, Autumn'!Q2*Scenarios!$B$6</f>
        <v>75.569975478811571</v>
      </c>
      <c r="R2" s="2">
        <f>'[1]Flexibility, Autumn'!R2*Scenarios!$B$6</f>
        <v>83.358562882227943</v>
      </c>
      <c r="S2" s="2">
        <f>'[1]Flexibility, Autumn'!S2*Scenarios!$B$6</f>
        <v>93.214916852923011</v>
      </c>
      <c r="T2" s="2">
        <f>'[1]Flexibility, Autumn'!T2*Scenarios!$B$6</f>
        <v>110.65308157030655</v>
      </c>
      <c r="U2" s="2">
        <f>'[1]Flexibility, Autumn'!U2*Scenarios!$B$6</f>
        <v>104.43599675802199</v>
      </c>
      <c r="V2" s="2">
        <f>'[1]Flexibility, Autumn'!V2*Scenarios!$B$6</f>
        <v>84.778429258425973</v>
      </c>
      <c r="W2" s="2">
        <f>'[1]Flexibility, Autumn'!W2*Scenarios!$B$6</f>
        <v>81.525143192574177</v>
      </c>
      <c r="X2" s="2">
        <f>'[1]Flexibility, Autumn'!X2*Scenarios!$B$6</f>
        <v>81.525143192574177</v>
      </c>
      <c r="Y2" s="2">
        <f>'[1]Flexibility, Autumn'!Y2*Scenarios!$B$6</f>
        <v>75.569975478811571</v>
      </c>
    </row>
    <row r="3" spans="1:25" x14ac:dyDescent="0.3">
      <c r="A3">
        <v>2</v>
      </c>
      <c r="B3" s="2">
        <f>'[1]Flexibility, Autumn'!B3*Scenarios!$B$6</f>
        <v>55.140441794098194</v>
      </c>
      <c r="C3" s="2">
        <f>'[1]Flexibility, Autumn'!C3*Scenarios!$B$6</f>
        <v>52.927931567110008</v>
      </c>
      <c r="D3" s="2">
        <f>'[1]Flexibility, Autumn'!D3*Scenarios!$B$6</f>
        <v>51.694164181967061</v>
      </c>
      <c r="E3" s="2">
        <f>'[1]Flexibility, Autumn'!E3*Scenarios!$B$6</f>
        <v>50.033058372919854</v>
      </c>
      <c r="F3" s="2">
        <f>'[1]Flexibility, Autumn'!F3*Scenarios!$B$6</f>
        <v>48.930249537037881</v>
      </c>
      <c r="G3" s="2">
        <f>'[1]Flexibility, Autumn'!G3*Scenarios!$B$6</f>
        <v>53.072675226819513</v>
      </c>
      <c r="H3" s="2">
        <f>'[1]Flexibility, Autumn'!H3*Scenarios!$B$6</f>
        <v>60.923295627254248</v>
      </c>
      <c r="I3" s="2">
        <f>'[1]Flexibility, Autumn'!I3*Scenarios!$B$6</f>
        <v>73.998472887679782</v>
      </c>
      <c r="J3" s="2">
        <f>'[1]Flexibility, Autumn'!J3*Scenarios!$B$6</f>
        <v>83.799686416580727</v>
      </c>
      <c r="K3" s="2">
        <f>'[1]Flexibility, Autumn'!K3*Scenarios!$B$6</f>
        <v>70.855467705416174</v>
      </c>
      <c r="L3" s="2">
        <f>'[1]Flexibility, Autumn'!L3*Scenarios!$B$6</f>
        <v>64.238614690124408</v>
      </c>
      <c r="M3" s="2">
        <f>'[1]Flexibility, Autumn'!M3*Scenarios!$B$6</f>
        <v>58.614289627126389</v>
      </c>
      <c r="N3" s="2">
        <f>'[1]Flexibility, Autumn'!N3*Scenarios!$B$6</f>
        <v>61.281708498915883</v>
      </c>
      <c r="O3" s="2">
        <f>'[1]Flexibility, Autumn'!O3*Scenarios!$B$6</f>
        <v>58.800388618181465</v>
      </c>
      <c r="P3" s="2">
        <f>'[1]Flexibility, Autumn'!P3*Scenarios!$B$6</f>
        <v>58.938239722666715</v>
      </c>
      <c r="Q3" s="2">
        <f>'[1]Flexibility, Autumn'!Q3*Scenarios!$B$6</f>
        <v>65.823902391704721</v>
      </c>
      <c r="R3" s="2">
        <f>'[1]Flexibility, Autumn'!R3*Scenarios!$B$6</f>
        <v>77.885874034163706</v>
      </c>
      <c r="S3" s="2">
        <f>'[1]Flexibility, Autumn'!S3*Scenarios!$B$6</f>
        <v>89.603217915409573</v>
      </c>
      <c r="T3" s="2">
        <f>'[1]Flexibility, Autumn'!T3*Scenarios!$B$6</f>
        <v>92.456735778254142</v>
      </c>
      <c r="U3" s="2">
        <f>'[1]Flexibility, Autumn'!U3*Scenarios!$B$6</f>
        <v>93.056388082764968</v>
      </c>
      <c r="V3" s="2">
        <f>'[1]Flexibility, Autumn'!V3*Scenarios!$B$6</f>
        <v>102.50608129522854</v>
      </c>
      <c r="W3" s="2">
        <f>'[1]Flexibility, Autumn'!W3*Scenarios!$B$6</f>
        <v>92.594586882739392</v>
      </c>
      <c r="X3" s="2">
        <f>'[1]Flexibility, Autumn'!X3*Scenarios!$B$6</f>
        <v>79.402236183501401</v>
      </c>
      <c r="Y3" s="2">
        <f>'[1]Flexibility, Autumn'!Y3*Scenarios!$B$6</f>
        <v>70.304063287475202</v>
      </c>
    </row>
    <row r="4" spans="1:25" x14ac:dyDescent="0.3">
      <c r="A4">
        <v>3</v>
      </c>
      <c r="B4" s="2">
        <f>'[1]Flexibility, Autumn'!B4*Scenarios!$B$6</f>
        <v>59.606817579420152</v>
      </c>
      <c r="C4" s="2">
        <f>'[1]Flexibility, Autumn'!C4*Scenarios!$B$6</f>
        <v>56.31906873744704</v>
      </c>
      <c r="D4" s="2">
        <f>'[1]Flexibility, Autumn'!D4*Scenarios!$B$6</f>
        <v>51.694164181967061</v>
      </c>
      <c r="E4" s="2">
        <f>'[1]Flexibility, Autumn'!E4*Scenarios!$B$6</f>
        <v>48.730365435534281</v>
      </c>
      <c r="F4" s="2">
        <f>'[1]Flexibility, Autumn'!F4*Scenarios!$B$6</f>
        <v>48.716580325085758</v>
      </c>
      <c r="G4" s="2">
        <f>'[1]Flexibility, Autumn'!G4*Scenarios!$B$6</f>
        <v>49.392050737063457</v>
      </c>
      <c r="H4" s="2">
        <f>'[1]Flexibility, Autumn'!H4*Scenarios!$B$6</f>
        <v>50.894627775952635</v>
      </c>
      <c r="I4" s="2">
        <f>'[1]Flexibility, Autumn'!I4*Scenarios!$B$6</f>
        <v>53.761930749245742</v>
      </c>
      <c r="J4" s="2">
        <f>'[1]Flexibility, Autumn'!J4*Scenarios!$B$6</f>
        <v>50.377686134132965</v>
      </c>
      <c r="K4" s="2">
        <f>'[1]Flexibility, Autumn'!K4*Scenarios!$B$6</f>
        <v>48.24788656983592</v>
      </c>
      <c r="L4" s="2">
        <f>'[1]Flexibility, Autumn'!L4*Scenarios!$B$6</f>
        <v>45.980235901053632</v>
      </c>
      <c r="M4" s="2">
        <f>'[1]Flexibility, Autumn'!M4*Scenarios!$B$6</f>
        <v>32.946413971973669</v>
      </c>
      <c r="N4" s="2">
        <f>'[1]Flexibility, Autumn'!N4*Scenarios!$B$6</f>
        <v>34.45588356608711</v>
      </c>
      <c r="O4" s="2">
        <f>'[1]Flexibility, Autumn'!O4*Scenarios!$B$6</f>
        <v>34.628197446693669</v>
      </c>
      <c r="P4" s="2">
        <f>'[1]Flexibility, Autumn'!P4*Scenarios!$B$6</f>
        <v>41.355331345573646</v>
      </c>
      <c r="Q4" s="2">
        <f>'[1]Flexibility, Autumn'!Q4*Scenarios!$B$6</f>
        <v>48.544266444479206</v>
      </c>
      <c r="R4" s="2">
        <f>'[1]Flexibility, Autumn'!R4*Scenarios!$B$6</f>
        <v>57.732042558420815</v>
      </c>
      <c r="S4" s="2">
        <f>'[1]Flexibility, Autumn'!S4*Scenarios!$B$6</f>
        <v>72.702672505518478</v>
      </c>
      <c r="T4" s="2">
        <f>'[1]Flexibility, Autumn'!T4*Scenarios!$B$6</f>
        <v>86.763485163013513</v>
      </c>
      <c r="U4" s="2">
        <f>'[1]Flexibility, Autumn'!U4*Scenarios!$B$6</f>
        <v>82.71755524637156</v>
      </c>
      <c r="V4" s="2">
        <f>'[1]Flexibility, Autumn'!V4*Scenarios!$B$6</f>
        <v>82.503886034419423</v>
      </c>
      <c r="W4" s="2">
        <f>'[1]Flexibility, Autumn'!W4*Scenarios!$B$6</f>
        <v>76.335049108704695</v>
      </c>
      <c r="X4" s="2">
        <f>'[1]Flexibility, Autumn'!X4*Scenarios!$B$6</f>
        <v>69.676840762067329</v>
      </c>
      <c r="Y4" s="2">
        <f>'[1]Flexibility, Autumn'!Y4*Scenarios!$B$6</f>
        <v>65.927290720068655</v>
      </c>
    </row>
    <row r="5" spans="1:25" x14ac:dyDescent="0.3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Scenarios</vt:lpstr>
      <vt:lpstr>Cp, Winter</vt:lpstr>
      <vt:lpstr>Cp, Spring</vt:lpstr>
      <vt:lpstr>Cp, Summer</vt:lpstr>
      <vt:lpstr>Cp, Autumn</vt:lpstr>
      <vt:lpstr>Flex, Winter</vt:lpstr>
      <vt:lpstr>Flex, Spring</vt:lpstr>
      <vt:lpstr>Flex, Summer</vt:lpstr>
      <vt:lpstr>Flex,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2025-06-17T09:08:12Z</dcterms:modified>
</cp:coreProperties>
</file>