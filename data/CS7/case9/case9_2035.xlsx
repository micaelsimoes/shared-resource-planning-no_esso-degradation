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Projects\thesis-shared-resources-planning-no_esso-degradation\data\CS7\case9\"/>
    </mc:Choice>
  </mc:AlternateContent>
  <xr:revisionPtr revIDLastSave="0" documentId="13_ncr:1_{A32542A3-28F2-4FB6-8CD2-4BEC546A9BC3}" xr6:coauthVersionLast="47" xr6:coauthVersionMax="47" xr10:uidLastSave="{00000000-0000-0000-0000-000000000000}"/>
  <bookViews>
    <workbookView xWindow="33660" yWindow="-9525" windowWidth="28800" windowHeight="15285" tabRatio="722" xr2:uid="{00000000-000D-0000-FFFF-FFFF00000000}"/>
  </bookViews>
  <sheets>
    <sheet name="Main" sheetId="1" r:id="rId1"/>
    <sheet name="RES installed" sheetId="54" r:id="rId2"/>
    <sheet name="ES installed" sheetId="56" r:id="rId3"/>
    <sheet name="FL Ratio" sheetId="58" r:id="rId4"/>
    <sheet name="FL Characterization" sheetId="59" r:id="rId5"/>
    <sheet name="Pc, Winter, S1" sheetId="29" r:id="rId6"/>
    <sheet name="Pc, Winter, S2" sheetId="192" r:id="rId7"/>
    <sheet name="Pc, Winter, S3" sheetId="193" r:id="rId8"/>
    <sheet name="Pc, Winter, S4" sheetId="182" r:id="rId9"/>
    <sheet name="Pc, Winter, S5" sheetId="194" r:id="rId10"/>
    <sheet name="Pc, Winter, S6" sheetId="195" r:id="rId11"/>
    <sheet name="Pc, Winter, S7" sheetId="183" r:id="rId12"/>
    <sheet name="Pc, Winter, S8" sheetId="196" r:id="rId13"/>
    <sheet name="Pc, Winter, S9" sheetId="197" r:id="rId14"/>
    <sheet name="Qc, Winter, S1" sheetId="8" r:id="rId15"/>
    <sheet name="Qc, Winter, S2" sheetId="198" r:id="rId16"/>
    <sheet name="Qc, Winter, S3" sheetId="199" r:id="rId17"/>
    <sheet name="Qc, Winter, S4" sheetId="184" r:id="rId18"/>
    <sheet name="Qc, Winter, S5" sheetId="200" r:id="rId19"/>
    <sheet name="Qc, Winter, S6" sheetId="201" r:id="rId20"/>
    <sheet name="Qc, Winter, S7" sheetId="185" r:id="rId21"/>
    <sheet name="Qc, Winter, S8" sheetId="202" r:id="rId22"/>
    <sheet name="Qc, Winter, S9" sheetId="203" r:id="rId23"/>
    <sheet name="UpFlex, Winter" sheetId="68" r:id="rId24"/>
    <sheet name="DownFlex, Winter" sheetId="69" r:id="rId25"/>
    <sheet name="Pg, Winter, S1" sheetId="71" r:id="rId26"/>
    <sheet name="Pg, Winter, S2" sheetId="188" r:id="rId27"/>
    <sheet name="Pg, Winter, S3" sheetId="189" r:id="rId28"/>
    <sheet name="Pg, Winter, S4" sheetId="204" r:id="rId29"/>
    <sheet name="Pg, Winter, S5" sheetId="205" r:id="rId30"/>
    <sheet name="Pg, Winter, S6" sheetId="206" r:id="rId31"/>
    <sheet name="Pg, Winter, S7" sheetId="207" r:id="rId32"/>
    <sheet name="Pg, Winter, S8" sheetId="208" r:id="rId33"/>
    <sheet name="Pg, Winter, S9" sheetId="209" r:id="rId34"/>
    <sheet name="Qg, Winter, S1" sheetId="143" r:id="rId35"/>
    <sheet name="Qg, Winter, S2" sheetId="190" r:id="rId36"/>
    <sheet name="Qg, Winter, S3" sheetId="191" r:id="rId37"/>
    <sheet name="Qg, Winter, S4" sheetId="210" r:id="rId38"/>
    <sheet name="Qg, Winter, S5" sheetId="211" r:id="rId39"/>
    <sheet name="Qg, Winter, S6" sheetId="212" r:id="rId40"/>
    <sheet name="Qg, Winter, S7" sheetId="213" r:id="rId41"/>
    <sheet name="Qg, Winter, S8" sheetId="214" r:id="rId42"/>
    <sheet name="Qg, Winter, S9" sheetId="215" r:id="rId43"/>
    <sheet name="GenStatus, Winter" sheetId="9" r:id="rId44"/>
    <sheet name="Pc, Spring, S1" sheetId="255" r:id="rId45"/>
    <sheet name="Pc, Spring, S2" sheetId="256" r:id="rId46"/>
    <sheet name="Pc, Spring, S3" sheetId="257" r:id="rId47"/>
    <sheet name="Pc, Spring, S4" sheetId="258" r:id="rId48"/>
    <sheet name="Pc, Spring, S5" sheetId="259" r:id="rId49"/>
    <sheet name="Pc, Spring, S6" sheetId="260" r:id="rId50"/>
    <sheet name="Pc, Spring, S7" sheetId="261" r:id="rId51"/>
    <sheet name="Pc, Spring, S8" sheetId="262" r:id="rId52"/>
    <sheet name="Pc, Spring, S9" sheetId="263" r:id="rId53"/>
    <sheet name="Qc, Spring, S1" sheetId="264" r:id="rId54"/>
    <sheet name="Qc, Spring, S2" sheetId="265" r:id="rId55"/>
    <sheet name="Qc, Spring, S3" sheetId="266" r:id="rId56"/>
    <sheet name="Qc, Spring, S4" sheetId="267" r:id="rId57"/>
    <sheet name="Qc, Spring, S5" sheetId="268" r:id="rId58"/>
    <sheet name="Qc, Spring, S6" sheetId="269" r:id="rId59"/>
    <sheet name="Qc, Spring, S7" sheetId="270" r:id="rId60"/>
    <sheet name="Qc, Spring, S8" sheetId="271" r:id="rId61"/>
    <sheet name="Qc, Spring, S9" sheetId="272" r:id="rId62"/>
    <sheet name="UpFlex, Spring" sheetId="273" r:id="rId63"/>
    <sheet name="DownFlex, Spring" sheetId="274" r:id="rId64"/>
    <sheet name="Pg, Spring, S1" sheetId="275" r:id="rId65"/>
    <sheet name="Pg, Spring, S2" sheetId="276" r:id="rId66"/>
    <sheet name="Pg, Spring, S3" sheetId="277" r:id="rId67"/>
    <sheet name="Pg, Spring, S4" sheetId="278" r:id="rId68"/>
    <sheet name="Pg, Spring, S5" sheetId="279" r:id="rId69"/>
    <sheet name="Pg, Spring, S6" sheetId="280" r:id="rId70"/>
    <sheet name="Pg, Spring, S7" sheetId="281" r:id="rId71"/>
    <sheet name="Pg, Spring, S8" sheetId="282" r:id="rId72"/>
    <sheet name="Pg, Spring, S9" sheetId="283" r:id="rId73"/>
    <sheet name="Qg, Spring, S1" sheetId="284" r:id="rId74"/>
    <sheet name="Qg, Spring, S2" sheetId="285" r:id="rId75"/>
    <sheet name="Qg, Spring, S3" sheetId="286" r:id="rId76"/>
    <sheet name="Qg, Spring, S4" sheetId="287" r:id="rId77"/>
    <sheet name="Qg, Spring, S5" sheetId="288" r:id="rId78"/>
    <sheet name="Qg, Spring, S6" sheetId="289" r:id="rId79"/>
    <sheet name="Qg, Spring, S7" sheetId="290" r:id="rId80"/>
    <sheet name="Qg, Spring, S8" sheetId="291" r:id="rId81"/>
    <sheet name="Qg, Spring, S9" sheetId="292" r:id="rId82"/>
    <sheet name="GenStatus, Spring" sheetId="293" r:id="rId83"/>
    <sheet name="Pc, Summer, S1" sheetId="216" r:id="rId84"/>
    <sheet name="Pc, Summer, S2" sheetId="217" r:id="rId85"/>
    <sheet name="Pc, Summer, S3" sheetId="218" r:id="rId86"/>
    <sheet name="Pc, Summer, S4" sheetId="219" r:id="rId87"/>
    <sheet name="Pc, Summer, S5" sheetId="220" r:id="rId88"/>
    <sheet name="Pc, Summer, S6" sheetId="221" r:id="rId89"/>
    <sheet name="Pc, Summer, S7" sheetId="222" r:id="rId90"/>
    <sheet name="Pc, Summer, S8" sheetId="223" r:id="rId91"/>
    <sheet name="Pc, Summer, S9" sheetId="224" r:id="rId92"/>
    <sheet name="Qc, Summer, S1" sheetId="225" r:id="rId93"/>
    <sheet name="Qc, Summer, S2" sheetId="226" r:id="rId94"/>
    <sheet name="Qc, Summer, S3" sheetId="227" r:id="rId95"/>
    <sheet name="Qc, Summer, S4" sheetId="228" r:id="rId96"/>
    <sheet name="Qc, Summer, S5" sheetId="229" r:id="rId97"/>
    <sheet name="Qc, Summer, S6" sheetId="230" r:id="rId98"/>
    <sheet name="Qc, Summer, S7" sheetId="231" r:id="rId99"/>
    <sheet name="Qc, Summer, S8" sheetId="232" r:id="rId100"/>
    <sheet name="Qc, Summer, S9" sheetId="233" r:id="rId101"/>
    <sheet name="UpFlex, Summer" sheetId="234" r:id="rId102"/>
    <sheet name="DownFlex, Summer" sheetId="235" r:id="rId103"/>
    <sheet name="Pg, Summer, S1" sheetId="236" r:id="rId104"/>
    <sheet name="Pg, Summer, S2" sheetId="237" r:id="rId105"/>
    <sheet name="Pg, Summer, S3" sheetId="238" r:id="rId106"/>
    <sheet name="Pg, Summer, S4" sheetId="239" r:id="rId107"/>
    <sheet name="Pg, Summer, S5" sheetId="240" r:id="rId108"/>
    <sheet name="Pg, Summer, S6" sheetId="241" r:id="rId109"/>
    <sheet name="Pg, Summer, S7" sheetId="242" r:id="rId110"/>
    <sheet name="Pg, Summer, S8" sheetId="243" r:id="rId111"/>
    <sheet name="Pg, Summer, S9" sheetId="244" r:id="rId112"/>
    <sheet name="Qg, Summer, S1" sheetId="245" r:id="rId113"/>
    <sheet name="Qg, Summer, S2" sheetId="246" r:id="rId114"/>
    <sheet name="Qg, Summer, S3" sheetId="247" r:id="rId115"/>
    <sheet name="Qg, Summer, S4" sheetId="248" r:id="rId116"/>
    <sheet name="Qg, Summer, S5" sheetId="249" r:id="rId117"/>
    <sheet name="Qg, Summer, S6" sheetId="250" r:id="rId118"/>
    <sheet name="Qg, Summer, S7" sheetId="251" r:id="rId119"/>
    <sheet name="Qg, Summer, S8" sheetId="252" r:id="rId120"/>
    <sheet name="Qg, Summer, S9" sheetId="253" r:id="rId121"/>
    <sheet name="GenStatus, Summer" sheetId="254" r:id="rId122"/>
    <sheet name="Pc, Autumn, S1" sheetId="294" r:id="rId123"/>
    <sheet name="Pc, Autumn, S2" sheetId="295" r:id="rId124"/>
    <sheet name="Pc, Autumn, S3" sheetId="296" r:id="rId125"/>
    <sheet name="Pc, Autumn, S4" sheetId="297" r:id="rId126"/>
    <sheet name="Pc, Autumn, S5" sheetId="298" r:id="rId127"/>
    <sheet name="Pc, Autumn, S6" sheetId="299" r:id="rId128"/>
    <sheet name="Pc, Autumn, S7" sheetId="300" r:id="rId129"/>
    <sheet name="Pc, Autumn, S8" sheetId="301" r:id="rId130"/>
    <sheet name="Pc, Autumn, S9" sheetId="302" r:id="rId131"/>
    <sheet name="Qc, Autumn, S1" sheetId="303" r:id="rId132"/>
    <sheet name="Qc, Autumn, S2" sheetId="304" r:id="rId133"/>
    <sheet name="Qc, Autumn, S3" sheetId="305" r:id="rId134"/>
    <sheet name="Qc, Autumn, S4" sheetId="306" r:id="rId135"/>
    <sheet name="Qc, Autumn, S5" sheetId="307" r:id="rId136"/>
    <sheet name="Qc, Autumn, S6" sheetId="308" r:id="rId137"/>
    <sheet name="Qc, Autumn, S7" sheetId="309" r:id="rId138"/>
    <sheet name="Qc, Autumn, S8" sheetId="310" r:id="rId139"/>
    <sheet name="Qc, Autumn, S9" sheetId="311" r:id="rId140"/>
    <sheet name="UpFlex, Autumn" sheetId="312" r:id="rId141"/>
    <sheet name="DownFlex, Autumn" sheetId="313" r:id="rId142"/>
    <sheet name="Pg, Autumn, S1" sheetId="314" r:id="rId143"/>
    <sheet name="Pg, Autumn, S2" sheetId="315" r:id="rId144"/>
    <sheet name="Pg, Autumn, S3" sheetId="316" r:id="rId145"/>
    <sheet name="Pg, Autumn, S4" sheetId="317" r:id="rId146"/>
    <sheet name="Pg, Autumn, S5" sheetId="318" r:id="rId147"/>
    <sheet name="Pg, Autumn, S6" sheetId="319" r:id="rId148"/>
    <sheet name="Pg, Autumn, S7" sheetId="320" r:id="rId149"/>
    <sheet name="Pg, Autumn, S8" sheetId="321" r:id="rId150"/>
    <sheet name="Pg, Autumn, S9" sheetId="322" r:id="rId151"/>
    <sheet name="Qg, Autumn, S1" sheetId="323" r:id="rId152"/>
    <sheet name="Qg, Autumn, S2" sheetId="324" r:id="rId153"/>
    <sheet name="Qg, Autumn, S3" sheetId="325" r:id="rId154"/>
    <sheet name="Qg, Autumn, S4" sheetId="326" r:id="rId155"/>
    <sheet name="Qg, Autumn, S5" sheetId="327" r:id="rId156"/>
    <sheet name="Qg, Autumn, S6" sheetId="328" r:id="rId157"/>
    <sheet name="Qg, Autumn, S7" sheetId="329" r:id="rId158"/>
    <sheet name="Qg, Autumn, S8" sheetId="330" r:id="rId159"/>
    <sheet name="Qg, Autumn, S9" sheetId="331" r:id="rId160"/>
    <sheet name="GenStatus, Autumn" sheetId="332" r:id="rId161"/>
  </sheets>
  <externalReferences>
    <externalReference r:id="rId162"/>
  </externalReferences>
  <definedNames>
    <definedName name="_xlnm._FilterDatabase" localSheetId="2" hidden="1">'ES installed'!$B$1:$C$4</definedName>
    <definedName name="_xlnm._FilterDatabase" localSheetId="3" hidden="1">'FL Ratio'!$E$1:$F$24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10" i="322" l="1"/>
  <c r="X10" i="322"/>
  <c r="W10" i="322"/>
  <c r="V10" i="322"/>
  <c r="U10" i="322"/>
  <c r="T10" i="322"/>
  <c r="S10" i="322"/>
  <c r="R10" i="322"/>
  <c r="Q10" i="322"/>
  <c r="P10" i="322"/>
  <c r="O10" i="322"/>
  <c r="N10" i="322"/>
  <c r="M10" i="322"/>
  <c r="L10" i="322"/>
  <c r="K10" i="322"/>
  <c r="J10" i="322"/>
  <c r="I10" i="322"/>
  <c r="H10" i="322"/>
  <c r="G10" i="322"/>
  <c r="F10" i="322"/>
  <c r="E10" i="322"/>
  <c r="D10" i="322"/>
  <c r="C10" i="322"/>
  <c r="B10" i="322"/>
  <c r="Y9" i="322"/>
  <c r="X9" i="322"/>
  <c r="W9" i="322"/>
  <c r="V9" i="322"/>
  <c r="U9" i="322"/>
  <c r="T9" i="322"/>
  <c r="S9" i="322"/>
  <c r="R9" i="322"/>
  <c r="Q9" i="322"/>
  <c r="P9" i="322"/>
  <c r="O9" i="322"/>
  <c r="N9" i="322"/>
  <c r="M9" i="322"/>
  <c r="L9" i="322"/>
  <c r="K9" i="322"/>
  <c r="J9" i="322"/>
  <c r="I9" i="322"/>
  <c r="H9" i="322"/>
  <c r="G9" i="322"/>
  <c r="F9" i="322"/>
  <c r="E9" i="322"/>
  <c r="D9" i="322"/>
  <c r="C9" i="322"/>
  <c r="B9" i="322"/>
  <c r="Y8" i="322"/>
  <c r="X8" i="322"/>
  <c r="W8" i="322"/>
  <c r="V8" i="322"/>
  <c r="U8" i="322"/>
  <c r="T8" i="322"/>
  <c r="S8" i="322"/>
  <c r="R8" i="322"/>
  <c r="Q8" i="322"/>
  <c r="P8" i="322"/>
  <c r="O8" i="322"/>
  <c r="N8" i="322"/>
  <c r="M8" i="322"/>
  <c r="L8" i="322"/>
  <c r="K8" i="322"/>
  <c r="J8" i="322"/>
  <c r="I8" i="322"/>
  <c r="H8" i="322"/>
  <c r="G8" i="322"/>
  <c r="F8" i="322"/>
  <c r="E8" i="322"/>
  <c r="D8" i="322"/>
  <c r="C8" i="322"/>
  <c r="B8" i="322"/>
  <c r="Y7" i="322"/>
  <c r="X7" i="322"/>
  <c r="W7" i="322"/>
  <c r="V7" i="322"/>
  <c r="U7" i="322"/>
  <c r="T7" i="322"/>
  <c r="S7" i="322"/>
  <c r="R7" i="322"/>
  <c r="Q7" i="322"/>
  <c r="P7" i="322"/>
  <c r="O7" i="322"/>
  <c r="N7" i="322"/>
  <c r="M7" i="322"/>
  <c r="L7" i="322"/>
  <c r="K7" i="322"/>
  <c r="J7" i="322"/>
  <c r="I7" i="322"/>
  <c r="H7" i="322"/>
  <c r="G7" i="322"/>
  <c r="F7" i="322"/>
  <c r="E7" i="322"/>
  <c r="D7" i="322"/>
  <c r="C7" i="322"/>
  <c r="B7" i="322"/>
  <c r="Y6" i="322"/>
  <c r="X6" i="322"/>
  <c r="W6" i="322"/>
  <c r="V6" i="322"/>
  <c r="U6" i="322"/>
  <c r="T6" i="322"/>
  <c r="S6" i="322"/>
  <c r="R6" i="322"/>
  <c r="Q6" i="322"/>
  <c r="P6" i="322"/>
  <c r="O6" i="322"/>
  <c r="N6" i="322"/>
  <c r="M6" i="322"/>
  <c r="L6" i="322"/>
  <c r="K6" i="322"/>
  <c r="J6" i="322"/>
  <c r="I6" i="322"/>
  <c r="H6" i="322"/>
  <c r="G6" i="322"/>
  <c r="F6" i="322"/>
  <c r="E6" i="322"/>
  <c r="D6" i="322"/>
  <c r="C6" i="322"/>
  <c r="B6" i="322"/>
  <c r="Y5" i="322"/>
  <c r="X5" i="322"/>
  <c r="W5" i="322"/>
  <c r="V5" i="322"/>
  <c r="U5" i="322"/>
  <c r="T5" i="322"/>
  <c r="S5" i="322"/>
  <c r="R5" i="322"/>
  <c r="Q5" i="322"/>
  <c r="P5" i="322"/>
  <c r="O5" i="322"/>
  <c r="N5" i="322"/>
  <c r="M5" i="322"/>
  <c r="L5" i="322"/>
  <c r="K5" i="322"/>
  <c r="J5" i="322"/>
  <c r="I5" i="322"/>
  <c r="H5" i="322"/>
  <c r="G5" i="322"/>
  <c r="F5" i="322"/>
  <c r="E5" i="322"/>
  <c r="D5" i="322"/>
  <c r="C5" i="322"/>
  <c r="B5" i="322"/>
  <c r="Y10" i="321"/>
  <c r="X10" i="321"/>
  <c r="W10" i="321"/>
  <c r="V10" i="321"/>
  <c r="U10" i="321"/>
  <c r="T10" i="321"/>
  <c r="S10" i="321"/>
  <c r="R10" i="321"/>
  <c r="Q10" i="321"/>
  <c r="P10" i="321"/>
  <c r="O10" i="321"/>
  <c r="N10" i="321"/>
  <c r="M10" i="321"/>
  <c r="L10" i="321"/>
  <c r="K10" i="321"/>
  <c r="J10" i="321"/>
  <c r="I10" i="321"/>
  <c r="H10" i="321"/>
  <c r="G10" i="321"/>
  <c r="F10" i="321"/>
  <c r="E10" i="321"/>
  <c r="D10" i="321"/>
  <c r="C10" i="321"/>
  <c r="B10" i="321"/>
  <c r="Y9" i="321"/>
  <c r="X9" i="321"/>
  <c r="W9" i="321"/>
  <c r="V9" i="321"/>
  <c r="U9" i="321"/>
  <c r="T9" i="321"/>
  <c r="S9" i="321"/>
  <c r="R9" i="321"/>
  <c r="Q9" i="321"/>
  <c r="P9" i="321"/>
  <c r="O9" i="321"/>
  <c r="N9" i="321"/>
  <c r="M9" i="321"/>
  <c r="L9" i="321"/>
  <c r="K9" i="321"/>
  <c r="J9" i="321"/>
  <c r="I9" i="321"/>
  <c r="H9" i="321"/>
  <c r="G9" i="321"/>
  <c r="F9" i="321"/>
  <c r="E9" i="321"/>
  <c r="D9" i="321"/>
  <c r="C9" i="321"/>
  <c r="B9" i="321"/>
  <c r="Y8" i="321"/>
  <c r="X8" i="321"/>
  <c r="W8" i="321"/>
  <c r="V8" i="321"/>
  <c r="U8" i="321"/>
  <c r="T8" i="321"/>
  <c r="S8" i="321"/>
  <c r="R8" i="321"/>
  <c r="Q8" i="321"/>
  <c r="P8" i="321"/>
  <c r="O8" i="321"/>
  <c r="N8" i="321"/>
  <c r="M8" i="321"/>
  <c r="L8" i="321"/>
  <c r="K8" i="321"/>
  <c r="J8" i="321"/>
  <c r="I8" i="321"/>
  <c r="H8" i="321"/>
  <c r="G8" i="321"/>
  <c r="F8" i="321"/>
  <c r="E8" i="321"/>
  <c r="D8" i="321"/>
  <c r="C8" i="321"/>
  <c r="B8" i="321"/>
  <c r="Y7" i="321"/>
  <c r="X7" i="321"/>
  <c r="W7" i="321"/>
  <c r="V7" i="321"/>
  <c r="U7" i="321"/>
  <c r="T7" i="321"/>
  <c r="S7" i="321"/>
  <c r="R7" i="321"/>
  <c r="Q7" i="321"/>
  <c r="P7" i="321"/>
  <c r="O7" i="321"/>
  <c r="N7" i="321"/>
  <c r="M7" i="321"/>
  <c r="L7" i="321"/>
  <c r="K7" i="321"/>
  <c r="J7" i="321"/>
  <c r="I7" i="321"/>
  <c r="H7" i="321"/>
  <c r="G7" i="321"/>
  <c r="F7" i="321"/>
  <c r="E7" i="321"/>
  <c r="D7" i="321"/>
  <c r="C7" i="321"/>
  <c r="B7" i="321"/>
  <c r="Y6" i="321"/>
  <c r="X6" i="321"/>
  <c r="W6" i="321"/>
  <c r="V6" i="321"/>
  <c r="U6" i="321"/>
  <c r="T6" i="321"/>
  <c r="S6" i="321"/>
  <c r="R6" i="321"/>
  <c r="Q6" i="321"/>
  <c r="P6" i="321"/>
  <c r="O6" i="321"/>
  <c r="N6" i="321"/>
  <c r="M6" i="321"/>
  <c r="L6" i="321"/>
  <c r="K6" i="321"/>
  <c r="J6" i="321"/>
  <c r="I6" i="321"/>
  <c r="H6" i="321"/>
  <c r="G6" i="321"/>
  <c r="F6" i="321"/>
  <c r="E6" i="321"/>
  <c r="D6" i="321"/>
  <c r="C6" i="321"/>
  <c r="B6" i="321"/>
  <c r="Y5" i="321"/>
  <c r="X5" i="321"/>
  <c r="W5" i="321"/>
  <c r="V5" i="321"/>
  <c r="U5" i="321"/>
  <c r="T5" i="321"/>
  <c r="S5" i="321"/>
  <c r="R5" i="321"/>
  <c r="Q5" i="321"/>
  <c r="P5" i="321"/>
  <c r="O5" i="321"/>
  <c r="N5" i="321"/>
  <c r="M5" i="321"/>
  <c r="L5" i="321"/>
  <c r="K5" i="321"/>
  <c r="J5" i="321"/>
  <c r="I5" i="321"/>
  <c r="H5" i="321"/>
  <c r="G5" i="321"/>
  <c r="F5" i="321"/>
  <c r="E5" i="321"/>
  <c r="D5" i="321"/>
  <c r="C5" i="321"/>
  <c r="B5" i="321"/>
  <c r="Y10" i="320"/>
  <c r="X10" i="320"/>
  <c r="W10" i="320"/>
  <c r="V10" i="320"/>
  <c r="U10" i="320"/>
  <c r="T10" i="320"/>
  <c r="S10" i="320"/>
  <c r="R10" i="320"/>
  <c r="Q10" i="320"/>
  <c r="P10" i="320"/>
  <c r="O10" i="320"/>
  <c r="N10" i="320"/>
  <c r="M10" i="320"/>
  <c r="L10" i="320"/>
  <c r="K10" i="320"/>
  <c r="J10" i="320"/>
  <c r="I10" i="320"/>
  <c r="H10" i="320"/>
  <c r="G10" i="320"/>
  <c r="F10" i="320"/>
  <c r="E10" i="320"/>
  <c r="D10" i="320"/>
  <c r="C10" i="320"/>
  <c r="B10" i="320"/>
  <c r="Y9" i="320"/>
  <c r="X9" i="320"/>
  <c r="W9" i="320"/>
  <c r="V9" i="320"/>
  <c r="U9" i="320"/>
  <c r="T9" i="320"/>
  <c r="S9" i="320"/>
  <c r="R9" i="320"/>
  <c r="Q9" i="320"/>
  <c r="P9" i="320"/>
  <c r="O9" i="320"/>
  <c r="N9" i="320"/>
  <c r="M9" i="320"/>
  <c r="L9" i="320"/>
  <c r="K9" i="320"/>
  <c r="J9" i="320"/>
  <c r="I9" i="320"/>
  <c r="H9" i="320"/>
  <c r="G9" i="320"/>
  <c r="F9" i="320"/>
  <c r="E9" i="320"/>
  <c r="D9" i="320"/>
  <c r="C9" i="320"/>
  <c r="B9" i="320"/>
  <c r="Y8" i="320"/>
  <c r="X8" i="320"/>
  <c r="W8" i="320"/>
  <c r="V8" i="320"/>
  <c r="U8" i="320"/>
  <c r="T8" i="320"/>
  <c r="S8" i="320"/>
  <c r="R8" i="320"/>
  <c r="Q8" i="320"/>
  <c r="P8" i="320"/>
  <c r="O8" i="320"/>
  <c r="N8" i="320"/>
  <c r="M8" i="320"/>
  <c r="L8" i="320"/>
  <c r="K8" i="320"/>
  <c r="J8" i="320"/>
  <c r="I8" i="320"/>
  <c r="H8" i="320"/>
  <c r="G8" i="320"/>
  <c r="F8" i="320"/>
  <c r="E8" i="320"/>
  <c r="D8" i="320"/>
  <c r="C8" i="320"/>
  <c r="B8" i="320"/>
  <c r="Y7" i="320"/>
  <c r="X7" i="320"/>
  <c r="W7" i="320"/>
  <c r="V7" i="320"/>
  <c r="U7" i="320"/>
  <c r="T7" i="320"/>
  <c r="S7" i="320"/>
  <c r="R7" i="320"/>
  <c r="Q7" i="320"/>
  <c r="P7" i="320"/>
  <c r="O7" i="320"/>
  <c r="N7" i="320"/>
  <c r="M7" i="320"/>
  <c r="L7" i="320"/>
  <c r="K7" i="320"/>
  <c r="J7" i="320"/>
  <c r="I7" i="320"/>
  <c r="H7" i="320"/>
  <c r="G7" i="320"/>
  <c r="F7" i="320"/>
  <c r="E7" i="320"/>
  <c r="D7" i="320"/>
  <c r="C7" i="320"/>
  <c r="B7" i="320"/>
  <c r="Y6" i="320"/>
  <c r="X6" i="320"/>
  <c r="W6" i="320"/>
  <c r="V6" i="320"/>
  <c r="U6" i="320"/>
  <c r="T6" i="320"/>
  <c r="S6" i="320"/>
  <c r="R6" i="320"/>
  <c r="Q6" i="320"/>
  <c r="P6" i="320"/>
  <c r="O6" i="320"/>
  <c r="N6" i="320"/>
  <c r="M6" i="320"/>
  <c r="L6" i="320"/>
  <c r="K6" i="320"/>
  <c r="J6" i="320"/>
  <c r="I6" i="320"/>
  <c r="H6" i="320"/>
  <c r="G6" i="320"/>
  <c r="F6" i="320"/>
  <c r="E6" i="320"/>
  <c r="D6" i="320"/>
  <c r="C6" i="320"/>
  <c r="B6" i="320"/>
  <c r="Y5" i="320"/>
  <c r="X5" i="320"/>
  <c r="W5" i="320"/>
  <c r="V5" i="320"/>
  <c r="U5" i="320"/>
  <c r="T5" i="320"/>
  <c r="S5" i="320"/>
  <c r="R5" i="320"/>
  <c r="Q5" i="320"/>
  <c r="P5" i="320"/>
  <c r="O5" i="320"/>
  <c r="N5" i="320"/>
  <c r="M5" i="320"/>
  <c r="L5" i="320"/>
  <c r="K5" i="320"/>
  <c r="J5" i="320"/>
  <c r="I5" i="320"/>
  <c r="H5" i="320"/>
  <c r="G5" i="320"/>
  <c r="F5" i="320"/>
  <c r="E5" i="320"/>
  <c r="D5" i="320"/>
  <c r="C5" i="320"/>
  <c r="B5" i="320"/>
  <c r="Y10" i="319"/>
  <c r="X10" i="319"/>
  <c r="W10" i="319"/>
  <c r="V10" i="319"/>
  <c r="U10" i="319"/>
  <c r="T10" i="319"/>
  <c r="S10" i="319"/>
  <c r="R10" i="319"/>
  <c r="Q10" i="319"/>
  <c r="P10" i="319"/>
  <c r="O10" i="319"/>
  <c r="N10" i="319"/>
  <c r="M10" i="319"/>
  <c r="L10" i="319"/>
  <c r="K10" i="319"/>
  <c r="J10" i="319"/>
  <c r="I10" i="319"/>
  <c r="H10" i="319"/>
  <c r="G10" i="319"/>
  <c r="F10" i="319"/>
  <c r="E10" i="319"/>
  <c r="D10" i="319"/>
  <c r="C10" i="319"/>
  <c r="B10" i="319"/>
  <c r="Y9" i="319"/>
  <c r="X9" i="319"/>
  <c r="W9" i="319"/>
  <c r="V9" i="319"/>
  <c r="U9" i="319"/>
  <c r="T9" i="319"/>
  <c r="S9" i="319"/>
  <c r="R9" i="319"/>
  <c r="Q9" i="319"/>
  <c r="P9" i="319"/>
  <c r="O9" i="319"/>
  <c r="N9" i="319"/>
  <c r="M9" i="319"/>
  <c r="L9" i="319"/>
  <c r="K9" i="319"/>
  <c r="J9" i="319"/>
  <c r="I9" i="319"/>
  <c r="H9" i="319"/>
  <c r="G9" i="319"/>
  <c r="F9" i="319"/>
  <c r="E9" i="319"/>
  <c r="D9" i="319"/>
  <c r="C9" i="319"/>
  <c r="B9" i="319"/>
  <c r="Y8" i="319"/>
  <c r="X8" i="319"/>
  <c r="W8" i="319"/>
  <c r="V8" i="319"/>
  <c r="U8" i="319"/>
  <c r="T8" i="319"/>
  <c r="S8" i="319"/>
  <c r="R8" i="319"/>
  <c r="Q8" i="319"/>
  <c r="P8" i="319"/>
  <c r="O8" i="319"/>
  <c r="N8" i="319"/>
  <c r="M8" i="319"/>
  <c r="L8" i="319"/>
  <c r="K8" i="319"/>
  <c r="J8" i="319"/>
  <c r="I8" i="319"/>
  <c r="H8" i="319"/>
  <c r="G8" i="319"/>
  <c r="F8" i="319"/>
  <c r="E8" i="319"/>
  <c r="D8" i="319"/>
  <c r="C8" i="319"/>
  <c r="B8" i="319"/>
  <c r="Y7" i="319"/>
  <c r="X7" i="319"/>
  <c r="W7" i="319"/>
  <c r="V7" i="319"/>
  <c r="U7" i="319"/>
  <c r="T7" i="319"/>
  <c r="S7" i="319"/>
  <c r="R7" i="319"/>
  <c r="Q7" i="319"/>
  <c r="P7" i="319"/>
  <c r="O7" i="319"/>
  <c r="N7" i="319"/>
  <c r="M7" i="319"/>
  <c r="L7" i="319"/>
  <c r="K7" i="319"/>
  <c r="J7" i="319"/>
  <c r="I7" i="319"/>
  <c r="H7" i="319"/>
  <c r="G7" i="319"/>
  <c r="F7" i="319"/>
  <c r="E7" i="319"/>
  <c r="D7" i="319"/>
  <c r="C7" i="319"/>
  <c r="B7" i="319"/>
  <c r="Y6" i="319"/>
  <c r="X6" i="319"/>
  <c r="W6" i="319"/>
  <c r="V6" i="319"/>
  <c r="U6" i="319"/>
  <c r="T6" i="319"/>
  <c r="S6" i="319"/>
  <c r="R6" i="319"/>
  <c r="Q6" i="319"/>
  <c r="P6" i="319"/>
  <c r="O6" i="319"/>
  <c r="N6" i="319"/>
  <c r="M6" i="319"/>
  <c r="L6" i="319"/>
  <c r="K6" i="319"/>
  <c r="J6" i="319"/>
  <c r="I6" i="319"/>
  <c r="H6" i="319"/>
  <c r="G6" i="319"/>
  <c r="F6" i="319"/>
  <c r="E6" i="319"/>
  <c r="D6" i="319"/>
  <c r="C6" i="319"/>
  <c r="B6" i="319"/>
  <c r="Y5" i="319"/>
  <c r="X5" i="319"/>
  <c r="W5" i="319"/>
  <c r="V5" i="319"/>
  <c r="U5" i="319"/>
  <c r="T5" i="319"/>
  <c r="S5" i="319"/>
  <c r="R5" i="319"/>
  <c r="Q5" i="319"/>
  <c r="P5" i="319"/>
  <c r="O5" i="319"/>
  <c r="N5" i="319"/>
  <c r="M5" i="319"/>
  <c r="L5" i="319"/>
  <c r="K5" i="319"/>
  <c r="J5" i="319"/>
  <c r="I5" i="319"/>
  <c r="H5" i="319"/>
  <c r="G5" i="319"/>
  <c r="F5" i="319"/>
  <c r="E5" i="319"/>
  <c r="D5" i="319"/>
  <c r="C5" i="319"/>
  <c r="B5" i="319"/>
  <c r="Y10" i="318"/>
  <c r="X10" i="318"/>
  <c r="W10" i="318"/>
  <c r="V10" i="318"/>
  <c r="U10" i="318"/>
  <c r="T10" i="318"/>
  <c r="S10" i="318"/>
  <c r="R10" i="318"/>
  <c r="Q10" i="318"/>
  <c r="P10" i="318"/>
  <c r="O10" i="318"/>
  <c r="N10" i="318"/>
  <c r="M10" i="318"/>
  <c r="L10" i="318"/>
  <c r="K10" i="318"/>
  <c r="J10" i="318"/>
  <c r="I10" i="318"/>
  <c r="H10" i="318"/>
  <c r="G10" i="318"/>
  <c r="F10" i="318"/>
  <c r="E10" i="318"/>
  <c r="D10" i="318"/>
  <c r="C10" i="318"/>
  <c r="B10" i="318"/>
  <c r="Y9" i="318"/>
  <c r="X9" i="318"/>
  <c r="W9" i="318"/>
  <c r="V9" i="318"/>
  <c r="U9" i="318"/>
  <c r="T9" i="318"/>
  <c r="S9" i="318"/>
  <c r="R9" i="318"/>
  <c r="Q9" i="318"/>
  <c r="P9" i="318"/>
  <c r="O9" i="318"/>
  <c r="N9" i="318"/>
  <c r="M9" i="318"/>
  <c r="L9" i="318"/>
  <c r="K9" i="318"/>
  <c r="J9" i="318"/>
  <c r="I9" i="318"/>
  <c r="H9" i="318"/>
  <c r="G9" i="318"/>
  <c r="F9" i="318"/>
  <c r="E9" i="318"/>
  <c r="D9" i="318"/>
  <c r="C9" i="318"/>
  <c r="B9" i="318"/>
  <c r="Y8" i="318"/>
  <c r="X8" i="318"/>
  <c r="W8" i="318"/>
  <c r="V8" i="318"/>
  <c r="U8" i="318"/>
  <c r="T8" i="318"/>
  <c r="S8" i="318"/>
  <c r="R8" i="318"/>
  <c r="Q8" i="318"/>
  <c r="P8" i="318"/>
  <c r="O8" i="318"/>
  <c r="N8" i="318"/>
  <c r="M8" i="318"/>
  <c r="L8" i="318"/>
  <c r="K8" i="318"/>
  <c r="J8" i="318"/>
  <c r="I8" i="318"/>
  <c r="H8" i="318"/>
  <c r="G8" i="318"/>
  <c r="F8" i="318"/>
  <c r="E8" i="318"/>
  <c r="D8" i="318"/>
  <c r="C8" i="318"/>
  <c r="B8" i="318"/>
  <c r="Y7" i="318"/>
  <c r="X7" i="318"/>
  <c r="W7" i="318"/>
  <c r="V7" i="318"/>
  <c r="U7" i="318"/>
  <c r="T7" i="318"/>
  <c r="S7" i="318"/>
  <c r="R7" i="318"/>
  <c r="Q7" i="318"/>
  <c r="P7" i="318"/>
  <c r="O7" i="318"/>
  <c r="N7" i="318"/>
  <c r="M7" i="318"/>
  <c r="L7" i="318"/>
  <c r="K7" i="318"/>
  <c r="J7" i="318"/>
  <c r="I7" i="318"/>
  <c r="H7" i="318"/>
  <c r="G7" i="318"/>
  <c r="F7" i="318"/>
  <c r="E7" i="318"/>
  <c r="D7" i="318"/>
  <c r="C7" i="318"/>
  <c r="B7" i="318"/>
  <c r="Y6" i="318"/>
  <c r="X6" i="318"/>
  <c r="W6" i="318"/>
  <c r="V6" i="318"/>
  <c r="U6" i="318"/>
  <c r="T6" i="318"/>
  <c r="S6" i="318"/>
  <c r="R6" i="318"/>
  <c r="Q6" i="318"/>
  <c r="P6" i="318"/>
  <c r="O6" i="318"/>
  <c r="N6" i="318"/>
  <c r="M6" i="318"/>
  <c r="L6" i="318"/>
  <c r="K6" i="318"/>
  <c r="J6" i="318"/>
  <c r="I6" i="318"/>
  <c r="H6" i="318"/>
  <c r="G6" i="318"/>
  <c r="F6" i="318"/>
  <c r="E6" i="318"/>
  <c r="D6" i="318"/>
  <c r="C6" i="318"/>
  <c r="B6" i="318"/>
  <c r="Y5" i="318"/>
  <c r="X5" i="318"/>
  <c r="W5" i="318"/>
  <c r="V5" i="318"/>
  <c r="U5" i="318"/>
  <c r="T5" i="318"/>
  <c r="S5" i="318"/>
  <c r="R5" i="318"/>
  <c r="Q5" i="318"/>
  <c r="P5" i="318"/>
  <c r="O5" i="318"/>
  <c r="N5" i="318"/>
  <c r="M5" i="318"/>
  <c r="L5" i="318"/>
  <c r="K5" i="318"/>
  <c r="J5" i="318"/>
  <c r="I5" i="318"/>
  <c r="H5" i="318"/>
  <c r="G5" i="318"/>
  <c r="F5" i="318"/>
  <c r="E5" i="318"/>
  <c r="D5" i="318"/>
  <c r="C5" i="318"/>
  <c r="B5" i="318"/>
  <c r="Y10" i="317"/>
  <c r="X10" i="317"/>
  <c r="W10" i="317"/>
  <c r="V10" i="317"/>
  <c r="U10" i="317"/>
  <c r="T10" i="317"/>
  <c r="S10" i="317"/>
  <c r="R10" i="317"/>
  <c r="Q10" i="317"/>
  <c r="P10" i="317"/>
  <c r="O10" i="317"/>
  <c r="N10" i="317"/>
  <c r="M10" i="317"/>
  <c r="L10" i="317"/>
  <c r="K10" i="317"/>
  <c r="J10" i="317"/>
  <c r="I10" i="317"/>
  <c r="H10" i="317"/>
  <c r="G10" i="317"/>
  <c r="F10" i="317"/>
  <c r="E10" i="317"/>
  <c r="D10" i="317"/>
  <c r="C10" i="317"/>
  <c r="B10" i="317"/>
  <c r="Y9" i="317"/>
  <c r="X9" i="317"/>
  <c r="W9" i="317"/>
  <c r="V9" i="317"/>
  <c r="U9" i="317"/>
  <c r="T9" i="317"/>
  <c r="S9" i="317"/>
  <c r="R9" i="317"/>
  <c r="Q9" i="317"/>
  <c r="P9" i="317"/>
  <c r="O9" i="317"/>
  <c r="N9" i="317"/>
  <c r="M9" i="317"/>
  <c r="L9" i="317"/>
  <c r="K9" i="317"/>
  <c r="J9" i="317"/>
  <c r="I9" i="317"/>
  <c r="H9" i="317"/>
  <c r="G9" i="317"/>
  <c r="F9" i="317"/>
  <c r="E9" i="317"/>
  <c r="D9" i="317"/>
  <c r="C9" i="317"/>
  <c r="B9" i="317"/>
  <c r="Y8" i="317"/>
  <c r="X8" i="317"/>
  <c r="W8" i="317"/>
  <c r="V8" i="317"/>
  <c r="U8" i="317"/>
  <c r="T8" i="317"/>
  <c r="S8" i="317"/>
  <c r="R8" i="317"/>
  <c r="Q8" i="317"/>
  <c r="P8" i="317"/>
  <c r="O8" i="317"/>
  <c r="N8" i="317"/>
  <c r="M8" i="317"/>
  <c r="L8" i="317"/>
  <c r="K8" i="317"/>
  <c r="J8" i="317"/>
  <c r="I8" i="317"/>
  <c r="H8" i="317"/>
  <c r="G8" i="317"/>
  <c r="F8" i="317"/>
  <c r="E8" i="317"/>
  <c r="D8" i="317"/>
  <c r="C8" i="317"/>
  <c r="B8" i="317"/>
  <c r="Y7" i="317"/>
  <c r="X7" i="317"/>
  <c r="W7" i="317"/>
  <c r="V7" i="317"/>
  <c r="U7" i="317"/>
  <c r="T7" i="317"/>
  <c r="S7" i="317"/>
  <c r="R7" i="317"/>
  <c r="Q7" i="317"/>
  <c r="P7" i="317"/>
  <c r="O7" i="317"/>
  <c r="N7" i="317"/>
  <c r="M7" i="317"/>
  <c r="L7" i="317"/>
  <c r="K7" i="317"/>
  <c r="J7" i="317"/>
  <c r="I7" i="317"/>
  <c r="H7" i="317"/>
  <c r="G7" i="317"/>
  <c r="F7" i="317"/>
  <c r="E7" i="317"/>
  <c r="D7" i="317"/>
  <c r="C7" i="317"/>
  <c r="B7" i="317"/>
  <c r="Y6" i="317"/>
  <c r="X6" i="317"/>
  <c r="W6" i="317"/>
  <c r="V6" i="317"/>
  <c r="U6" i="317"/>
  <c r="T6" i="317"/>
  <c r="S6" i="317"/>
  <c r="R6" i="317"/>
  <c r="Q6" i="317"/>
  <c r="P6" i="317"/>
  <c r="O6" i="317"/>
  <c r="N6" i="317"/>
  <c r="M6" i="317"/>
  <c r="L6" i="317"/>
  <c r="K6" i="317"/>
  <c r="J6" i="317"/>
  <c r="I6" i="317"/>
  <c r="H6" i="317"/>
  <c r="G6" i="317"/>
  <c r="F6" i="317"/>
  <c r="E6" i="317"/>
  <c r="D6" i="317"/>
  <c r="C6" i="317"/>
  <c r="B6" i="317"/>
  <c r="Y5" i="317"/>
  <c r="X5" i="317"/>
  <c r="W5" i="317"/>
  <c r="V5" i="317"/>
  <c r="U5" i="317"/>
  <c r="T5" i="317"/>
  <c r="S5" i="317"/>
  <c r="R5" i="317"/>
  <c r="Q5" i="317"/>
  <c r="P5" i="317"/>
  <c r="O5" i="317"/>
  <c r="N5" i="317"/>
  <c r="M5" i="317"/>
  <c r="L5" i="317"/>
  <c r="K5" i="317"/>
  <c r="J5" i="317"/>
  <c r="I5" i="317"/>
  <c r="H5" i="317"/>
  <c r="G5" i="317"/>
  <c r="F5" i="317"/>
  <c r="E5" i="317"/>
  <c r="D5" i="317"/>
  <c r="C5" i="317"/>
  <c r="B5" i="317"/>
  <c r="Y10" i="316"/>
  <c r="X10" i="316"/>
  <c r="W10" i="316"/>
  <c r="V10" i="316"/>
  <c r="U10" i="316"/>
  <c r="T10" i="316"/>
  <c r="S10" i="316"/>
  <c r="R10" i="316"/>
  <c r="Q10" i="316"/>
  <c r="P10" i="316"/>
  <c r="O10" i="316"/>
  <c r="N10" i="316"/>
  <c r="M10" i="316"/>
  <c r="L10" i="316"/>
  <c r="K10" i="316"/>
  <c r="J10" i="316"/>
  <c r="I10" i="316"/>
  <c r="H10" i="316"/>
  <c r="G10" i="316"/>
  <c r="F10" i="316"/>
  <c r="E10" i="316"/>
  <c r="D10" i="316"/>
  <c r="C10" i="316"/>
  <c r="B10" i="316"/>
  <c r="Y9" i="316"/>
  <c r="X9" i="316"/>
  <c r="W9" i="316"/>
  <c r="V9" i="316"/>
  <c r="U9" i="316"/>
  <c r="T9" i="316"/>
  <c r="S9" i="316"/>
  <c r="R9" i="316"/>
  <c r="Q9" i="316"/>
  <c r="P9" i="316"/>
  <c r="O9" i="316"/>
  <c r="N9" i="316"/>
  <c r="M9" i="316"/>
  <c r="L9" i="316"/>
  <c r="K9" i="316"/>
  <c r="J9" i="316"/>
  <c r="I9" i="316"/>
  <c r="H9" i="316"/>
  <c r="G9" i="316"/>
  <c r="F9" i="316"/>
  <c r="E9" i="316"/>
  <c r="D9" i="316"/>
  <c r="C9" i="316"/>
  <c r="B9" i="316"/>
  <c r="Y8" i="316"/>
  <c r="X8" i="316"/>
  <c r="W8" i="316"/>
  <c r="V8" i="316"/>
  <c r="U8" i="316"/>
  <c r="T8" i="316"/>
  <c r="S8" i="316"/>
  <c r="R8" i="316"/>
  <c r="Q8" i="316"/>
  <c r="P8" i="316"/>
  <c r="O8" i="316"/>
  <c r="N8" i="316"/>
  <c r="M8" i="316"/>
  <c r="L8" i="316"/>
  <c r="K8" i="316"/>
  <c r="J8" i="316"/>
  <c r="I8" i="316"/>
  <c r="H8" i="316"/>
  <c r="G8" i="316"/>
  <c r="F8" i="316"/>
  <c r="E8" i="316"/>
  <c r="D8" i="316"/>
  <c r="C8" i="316"/>
  <c r="B8" i="316"/>
  <c r="Y7" i="316"/>
  <c r="X7" i="316"/>
  <c r="W7" i="316"/>
  <c r="V7" i="316"/>
  <c r="U7" i="316"/>
  <c r="T7" i="316"/>
  <c r="S7" i="316"/>
  <c r="R7" i="316"/>
  <c r="Q7" i="316"/>
  <c r="P7" i="316"/>
  <c r="O7" i="316"/>
  <c r="N7" i="316"/>
  <c r="M7" i="316"/>
  <c r="L7" i="316"/>
  <c r="K7" i="316"/>
  <c r="J7" i="316"/>
  <c r="I7" i="316"/>
  <c r="H7" i="316"/>
  <c r="G7" i="316"/>
  <c r="F7" i="316"/>
  <c r="E7" i="316"/>
  <c r="D7" i="316"/>
  <c r="C7" i="316"/>
  <c r="B7" i="316"/>
  <c r="Y6" i="316"/>
  <c r="X6" i="316"/>
  <c r="W6" i="316"/>
  <c r="V6" i="316"/>
  <c r="U6" i="316"/>
  <c r="T6" i="316"/>
  <c r="S6" i="316"/>
  <c r="R6" i="316"/>
  <c r="Q6" i="316"/>
  <c r="P6" i="316"/>
  <c r="O6" i="316"/>
  <c r="N6" i="316"/>
  <c r="M6" i="316"/>
  <c r="L6" i="316"/>
  <c r="K6" i="316"/>
  <c r="J6" i="316"/>
  <c r="I6" i="316"/>
  <c r="H6" i="316"/>
  <c r="G6" i="316"/>
  <c r="F6" i="316"/>
  <c r="E6" i="316"/>
  <c r="D6" i="316"/>
  <c r="C6" i="316"/>
  <c r="B6" i="316"/>
  <c r="Y5" i="316"/>
  <c r="X5" i="316"/>
  <c r="W5" i="316"/>
  <c r="V5" i="316"/>
  <c r="U5" i="316"/>
  <c r="T5" i="316"/>
  <c r="S5" i="316"/>
  <c r="R5" i="316"/>
  <c r="Q5" i="316"/>
  <c r="P5" i="316"/>
  <c r="O5" i="316"/>
  <c r="N5" i="316"/>
  <c r="M5" i="316"/>
  <c r="L5" i="316"/>
  <c r="K5" i="316"/>
  <c r="J5" i="316"/>
  <c r="I5" i="316"/>
  <c r="H5" i="316"/>
  <c r="G5" i="316"/>
  <c r="F5" i="316"/>
  <c r="E5" i="316"/>
  <c r="D5" i="316"/>
  <c r="C5" i="316"/>
  <c r="B5" i="316"/>
  <c r="Y10" i="315"/>
  <c r="X10" i="315"/>
  <c r="W10" i="315"/>
  <c r="V10" i="315"/>
  <c r="U10" i="315"/>
  <c r="T10" i="315"/>
  <c r="S10" i="315"/>
  <c r="R10" i="315"/>
  <c r="Q10" i="315"/>
  <c r="P10" i="315"/>
  <c r="O10" i="315"/>
  <c r="N10" i="315"/>
  <c r="M10" i="315"/>
  <c r="L10" i="315"/>
  <c r="K10" i="315"/>
  <c r="J10" i="315"/>
  <c r="I10" i="315"/>
  <c r="H10" i="315"/>
  <c r="G10" i="315"/>
  <c r="F10" i="315"/>
  <c r="E10" i="315"/>
  <c r="D10" i="315"/>
  <c r="C10" i="315"/>
  <c r="B10" i="315"/>
  <c r="Y9" i="315"/>
  <c r="X9" i="315"/>
  <c r="W9" i="315"/>
  <c r="V9" i="315"/>
  <c r="U9" i="315"/>
  <c r="T9" i="315"/>
  <c r="S9" i="315"/>
  <c r="R9" i="315"/>
  <c r="Q9" i="315"/>
  <c r="P9" i="315"/>
  <c r="O9" i="315"/>
  <c r="N9" i="315"/>
  <c r="M9" i="315"/>
  <c r="L9" i="315"/>
  <c r="K9" i="315"/>
  <c r="J9" i="315"/>
  <c r="I9" i="315"/>
  <c r="H9" i="315"/>
  <c r="G9" i="315"/>
  <c r="F9" i="315"/>
  <c r="E9" i="315"/>
  <c r="D9" i="315"/>
  <c r="C9" i="315"/>
  <c r="B9" i="315"/>
  <c r="Y8" i="315"/>
  <c r="X8" i="315"/>
  <c r="W8" i="315"/>
  <c r="V8" i="315"/>
  <c r="U8" i="315"/>
  <c r="T8" i="315"/>
  <c r="S8" i="315"/>
  <c r="R8" i="315"/>
  <c r="Q8" i="315"/>
  <c r="P8" i="315"/>
  <c r="O8" i="315"/>
  <c r="N8" i="315"/>
  <c r="M8" i="315"/>
  <c r="L8" i="315"/>
  <c r="K8" i="315"/>
  <c r="J8" i="315"/>
  <c r="I8" i="315"/>
  <c r="H8" i="315"/>
  <c r="G8" i="315"/>
  <c r="F8" i="315"/>
  <c r="E8" i="315"/>
  <c r="D8" i="315"/>
  <c r="C8" i="315"/>
  <c r="B8" i="315"/>
  <c r="Y7" i="315"/>
  <c r="X7" i="315"/>
  <c r="W7" i="315"/>
  <c r="V7" i="315"/>
  <c r="U7" i="315"/>
  <c r="T7" i="315"/>
  <c r="S7" i="315"/>
  <c r="R7" i="315"/>
  <c r="Q7" i="315"/>
  <c r="P7" i="315"/>
  <c r="O7" i="315"/>
  <c r="N7" i="315"/>
  <c r="M7" i="315"/>
  <c r="L7" i="315"/>
  <c r="K7" i="315"/>
  <c r="J7" i="315"/>
  <c r="I7" i="315"/>
  <c r="H7" i="315"/>
  <c r="G7" i="315"/>
  <c r="F7" i="315"/>
  <c r="E7" i="315"/>
  <c r="D7" i="315"/>
  <c r="C7" i="315"/>
  <c r="B7" i="315"/>
  <c r="Y6" i="315"/>
  <c r="X6" i="315"/>
  <c r="W6" i="315"/>
  <c r="V6" i="315"/>
  <c r="U6" i="315"/>
  <c r="T6" i="315"/>
  <c r="S6" i="315"/>
  <c r="R6" i="315"/>
  <c r="Q6" i="315"/>
  <c r="P6" i="315"/>
  <c r="O6" i="315"/>
  <c r="N6" i="315"/>
  <c r="M6" i="315"/>
  <c r="L6" i="315"/>
  <c r="K6" i="315"/>
  <c r="J6" i="315"/>
  <c r="I6" i="315"/>
  <c r="H6" i="315"/>
  <c r="G6" i="315"/>
  <c r="F6" i="315"/>
  <c r="E6" i="315"/>
  <c r="D6" i="315"/>
  <c r="C6" i="315"/>
  <c r="B6" i="315"/>
  <c r="Y5" i="315"/>
  <c r="X5" i="315"/>
  <c r="W5" i="315"/>
  <c r="V5" i="315"/>
  <c r="U5" i="315"/>
  <c r="T5" i="315"/>
  <c r="S5" i="315"/>
  <c r="R5" i="315"/>
  <c r="Q5" i="315"/>
  <c r="P5" i="315"/>
  <c r="O5" i="315"/>
  <c r="N5" i="315"/>
  <c r="M5" i="315"/>
  <c r="L5" i="315"/>
  <c r="K5" i="315"/>
  <c r="J5" i="315"/>
  <c r="I5" i="315"/>
  <c r="H5" i="315"/>
  <c r="G5" i="315"/>
  <c r="F5" i="315"/>
  <c r="E5" i="315"/>
  <c r="D5" i="315"/>
  <c r="C5" i="315"/>
  <c r="B5" i="315"/>
  <c r="Y10" i="314"/>
  <c r="X10" i="314"/>
  <c r="W10" i="314"/>
  <c r="V10" i="314"/>
  <c r="U10" i="314"/>
  <c r="T10" i="314"/>
  <c r="S10" i="314"/>
  <c r="R10" i="314"/>
  <c r="Q10" i="314"/>
  <c r="P10" i="314"/>
  <c r="O10" i="314"/>
  <c r="N10" i="314"/>
  <c r="M10" i="314"/>
  <c r="L10" i="314"/>
  <c r="K10" i="314"/>
  <c r="J10" i="314"/>
  <c r="I10" i="314"/>
  <c r="H10" i="314"/>
  <c r="G10" i="314"/>
  <c r="F10" i="314"/>
  <c r="E10" i="314"/>
  <c r="D10" i="314"/>
  <c r="C10" i="314"/>
  <c r="B10" i="314"/>
  <c r="Y9" i="314"/>
  <c r="X9" i="314"/>
  <c r="W9" i="314"/>
  <c r="V9" i="314"/>
  <c r="U9" i="314"/>
  <c r="T9" i="314"/>
  <c r="S9" i="314"/>
  <c r="R9" i="314"/>
  <c r="Q9" i="314"/>
  <c r="P9" i="314"/>
  <c r="O9" i="314"/>
  <c r="N9" i="314"/>
  <c r="M9" i="314"/>
  <c r="L9" i="314"/>
  <c r="K9" i="314"/>
  <c r="J9" i="314"/>
  <c r="I9" i="314"/>
  <c r="H9" i="314"/>
  <c r="G9" i="314"/>
  <c r="F9" i="314"/>
  <c r="E9" i="314"/>
  <c r="D9" i="314"/>
  <c r="C9" i="314"/>
  <c r="B9" i="314"/>
  <c r="Y8" i="314"/>
  <c r="X8" i="314"/>
  <c r="W8" i="314"/>
  <c r="V8" i="314"/>
  <c r="U8" i="314"/>
  <c r="T8" i="314"/>
  <c r="S8" i="314"/>
  <c r="R8" i="314"/>
  <c r="Q8" i="314"/>
  <c r="P8" i="314"/>
  <c r="O8" i="314"/>
  <c r="N8" i="314"/>
  <c r="M8" i="314"/>
  <c r="L8" i="314"/>
  <c r="K8" i="314"/>
  <c r="J8" i="314"/>
  <c r="I8" i="314"/>
  <c r="H8" i="314"/>
  <c r="G8" i="314"/>
  <c r="F8" i="314"/>
  <c r="E8" i="314"/>
  <c r="D8" i="314"/>
  <c r="C8" i="314"/>
  <c r="B8" i="314"/>
  <c r="Y7" i="314"/>
  <c r="X7" i="314"/>
  <c r="W7" i="314"/>
  <c r="V7" i="314"/>
  <c r="U7" i="314"/>
  <c r="T7" i="314"/>
  <c r="S7" i="314"/>
  <c r="R7" i="314"/>
  <c r="Q7" i="314"/>
  <c r="P7" i="314"/>
  <c r="O7" i="314"/>
  <c r="N7" i="314"/>
  <c r="M7" i="314"/>
  <c r="L7" i="314"/>
  <c r="K7" i="314"/>
  <c r="J7" i="314"/>
  <c r="I7" i="314"/>
  <c r="H7" i="314"/>
  <c r="G7" i="314"/>
  <c r="F7" i="314"/>
  <c r="E7" i="314"/>
  <c r="D7" i="314"/>
  <c r="C7" i="314"/>
  <c r="B7" i="314"/>
  <c r="Y6" i="314"/>
  <c r="X6" i="314"/>
  <c r="W6" i="314"/>
  <c r="V6" i="314"/>
  <c r="U6" i="314"/>
  <c r="T6" i="314"/>
  <c r="S6" i="314"/>
  <c r="R6" i="314"/>
  <c r="Q6" i="314"/>
  <c r="P6" i="314"/>
  <c r="O6" i="314"/>
  <c r="N6" i="314"/>
  <c r="M6" i="314"/>
  <c r="L6" i="314"/>
  <c r="K6" i="314"/>
  <c r="J6" i="314"/>
  <c r="I6" i="314"/>
  <c r="H6" i="314"/>
  <c r="G6" i="314"/>
  <c r="F6" i="314"/>
  <c r="E6" i="314"/>
  <c r="D6" i="314"/>
  <c r="C6" i="314"/>
  <c r="B6" i="314"/>
  <c r="Y5" i="314"/>
  <c r="X5" i="314"/>
  <c r="W5" i="314"/>
  <c r="V5" i="314"/>
  <c r="U5" i="314"/>
  <c r="T5" i="314"/>
  <c r="S5" i="314"/>
  <c r="R5" i="314"/>
  <c r="Q5" i="314"/>
  <c r="P5" i="314"/>
  <c r="O5" i="314"/>
  <c r="N5" i="314"/>
  <c r="M5" i="314"/>
  <c r="L5" i="314"/>
  <c r="K5" i="314"/>
  <c r="J5" i="314"/>
  <c r="I5" i="314"/>
  <c r="H5" i="314"/>
  <c r="G5" i="314"/>
  <c r="F5" i="314"/>
  <c r="E5" i="314"/>
  <c r="D5" i="314"/>
  <c r="C5" i="314"/>
  <c r="B5" i="314"/>
  <c r="Y10" i="283"/>
  <c r="X10" i="283"/>
  <c r="W10" i="283"/>
  <c r="V10" i="283"/>
  <c r="U10" i="283"/>
  <c r="T10" i="283"/>
  <c r="S10" i="283"/>
  <c r="R10" i="283"/>
  <c r="Q10" i="283"/>
  <c r="P10" i="283"/>
  <c r="O10" i="283"/>
  <c r="N10" i="283"/>
  <c r="M10" i="283"/>
  <c r="L10" i="283"/>
  <c r="K10" i="283"/>
  <c r="J10" i="283"/>
  <c r="I10" i="283"/>
  <c r="H10" i="283"/>
  <c r="G10" i="283"/>
  <c r="F10" i="283"/>
  <c r="E10" i="283"/>
  <c r="D10" i="283"/>
  <c r="C10" i="283"/>
  <c r="B10" i="283"/>
  <c r="Y9" i="283"/>
  <c r="X9" i="283"/>
  <c r="W9" i="283"/>
  <c r="V9" i="283"/>
  <c r="U9" i="283"/>
  <c r="T9" i="283"/>
  <c r="S9" i="283"/>
  <c r="R9" i="283"/>
  <c r="Q9" i="283"/>
  <c r="P9" i="283"/>
  <c r="O9" i="283"/>
  <c r="N9" i="283"/>
  <c r="M9" i="283"/>
  <c r="L9" i="283"/>
  <c r="K9" i="283"/>
  <c r="J9" i="283"/>
  <c r="I9" i="283"/>
  <c r="H9" i="283"/>
  <c r="G9" i="283"/>
  <c r="F9" i="283"/>
  <c r="E9" i="283"/>
  <c r="D9" i="283"/>
  <c r="C9" i="283"/>
  <c r="B9" i="283"/>
  <c r="Y8" i="283"/>
  <c r="X8" i="283"/>
  <c r="W8" i="283"/>
  <c r="V8" i="283"/>
  <c r="U8" i="283"/>
  <c r="T8" i="283"/>
  <c r="S8" i="283"/>
  <c r="R8" i="283"/>
  <c r="Q8" i="283"/>
  <c r="P8" i="283"/>
  <c r="O8" i="283"/>
  <c r="N8" i="283"/>
  <c r="M8" i="283"/>
  <c r="L8" i="283"/>
  <c r="K8" i="283"/>
  <c r="J8" i="283"/>
  <c r="I8" i="283"/>
  <c r="H8" i="283"/>
  <c r="G8" i="283"/>
  <c r="F8" i="283"/>
  <c r="E8" i="283"/>
  <c r="D8" i="283"/>
  <c r="C8" i="283"/>
  <c r="B8" i="283"/>
  <c r="Y7" i="283"/>
  <c r="X7" i="283"/>
  <c r="W7" i="283"/>
  <c r="V7" i="283"/>
  <c r="U7" i="283"/>
  <c r="T7" i="283"/>
  <c r="S7" i="283"/>
  <c r="R7" i="283"/>
  <c r="Q7" i="283"/>
  <c r="P7" i="283"/>
  <c r="O7" i="283"/>
  <c r="N7" i="283"/>
  <c r="M7" i="283"/>
  <c r="L7" i="283"/>
  <c r="K7" i="283"/>
  <c r="J7" i="283"/>
  <c r="I7" i="283"/>
  <c r="H7" i="283"/>
  <c r="G7" i="283"/>
  <c r="F7" i="283"/>
  <c r="E7" i="283"/>
  <c r="D7" i="283"/>
  <c r="C7" i="283"/>
  <c r="B7" i="283"/>
  <c r="Y6" i="283"/>
  <c r="X6" i="283"/>
  <c r="W6" i="283"/>
  <c r="V6" i="283"/>
  <c r="U6" i="283"/>
  <c r="T6" i="283"/>
  <c r="S6" i="283"/>
  <c r="R6" i="283"/>
  <c r="Q6" i="283"/>
  <c r="P6" i="283"/>
  <c r="O6" i="283"/>
  <c r="N6" i="283"/>
  <c r="M6" i="283"/>
  <c r="L6" i="283"/>
  <c r="K6" i="283"/>
  <c r="J6" i="283"/>
  <c r="I6" i="283"/>
  <c r="H6" i="283"/>
  <c r="G6" i="283"/>
  <c r="F6" i="283"/>
  <c r="E6" i="283"/>
  <c r="D6" i="283"/>
  <c r="C6" i="283"/>
  <c r="B6" i="283"/>
  <c r="Y5" i="283"/>
  <c r="X5" i="283"/>
  <c r="W5" i="283"/>
  <c r="V5" i="283"/>
  <c r="U5" i="283"/>
  <c r="T5" i="283"/>
  <c r="S5" i="283"/>
  <c r="R5" i="283"/>
  <c r="Q5" i="283"/>
  <c r="P5" i="283"/>
  <c r="O5" i="283"/>
  <c r="N5" i="283"/>
  <c r="M5" i="283"/>
  <c r="L5" i="283"/>
  <c r="K5" i="283"/>
  <c r="J5" i="283"/>
  <c r="I5" i="283"/>
  <c r="H5" i="283"/>
  <c r="G5" i="283"/>
  <c r="F5" i="283"/>
  <c r="E5" i="283"/>
  <c r="D5" i="283"/>
  <c r="C5" i="283"/>
  <c r="B5" i="283"/>
  <c r="Y10" i="282"/>
  <c r="X10" i="282"/>
  <c r="W10" i="282"/>
  <c r="V10" i="282"/>
  <c r="U10" i="282"/>
  <c r="T10" i="282"/>
  <c r="S10" i="282"/>
  <c r="R10" i="282"/>
  <c r="Q10" i="282"/>
  <c r="P10" i="282"/>
  <c r="O10" i="282"/>
  <c r="N10" i="282"/>
  <c r="M10" i="282"/>
  <c r="L10" i="282"/>
  <c r="K10" i="282"/>
  <c r="J10" i="282"/>
  <c r="I10" i="282"/>
  <c r="H10" i="282"/>
  <c r="G10" i="282"/>
  <c r="F10" i="282"/>
  <c r="E10" i="282"/>
  <c r="D10" i="282"/>
  <c r="C10" i="282"/>
  <c r="B10" i="282"/>
  <c r="Y9" i="282"/>
  <c r="X9" i="282"/>
  <c r="W9" i="282"/>
  <c r="V9" i="282"/>
  <c r="U9" i="282"/>
  <c r="T9" i="282"/>
  <c r="S9" i="282"/>
  <c r="R9" i="282"/>
  <c r="Q9" i="282"/>
  <c r="P9" i="282"/>
  <c r="O9" i="282"/>
  <c r="N9" i="282"/>
  <c r="M9" i="282"/>
  <c r="L9" i="282"/>
  <c r="K9" i="282"/>
  <c r="J9" i="282"/>
  <c r="I9" i="282"/>
  <c r="H9" i="282"/>
  <c r="G9" i="282"/>
  <c r="F9" i="282"/>
  <c r="E9" i="282"/>
  <c r="D9" i="282"/>
  <c r="C9" i="282"/>
  <c r="B9" i="282"/>
  <c r="Y8" i="282"/>
  <c r="X8" i="282"/>
  <c r="W8" i="282"/>
  <c r="V8" i="282"/>
  <c r="U8" i="282"/>
  <c r="T8" i="282"/>
  <c r="S8" i="282"/>
  <c r="R8" i="282"/>
  <c r="Q8" i="282"/>
  <c r="P8" i="282"/>
  <c r="O8" i="282"/>
  <c r="N8" i="282"/>
  <c r="M8" i="282"/>
  <c r="L8" i="282"/>
  <c r="K8" i="282"/>
  <c r="J8" i="282"/>
  <c r="I8" i="282"/>
  <c r="H8" i="282"/>
  <c r="G8" i="282"/>
  <c r="F8" i="282"/>
  <c r="E8" i="282"/>
  <c r="D8" i="282"/>
  <c r="C8" i="282"/>
  <c r="B8" i="282"/>
  <c r="Y7" i="282"/>
  <c r="X7" i="282"/>
  <c r="W7" i="282"/>
  <c r="V7" i="282"/>
  <c r="U7" i="282"/>
  <c r="T7" i="282"/>
  <c r="S7" i="282"/>
  <c r="R7" i="282"/>
  <c r="Q7" i="282"/>
  <c r="P7" i="282"/>
  <c r="O7" i="282"/>
  <c r="N7" i="282"/>
  <c r="M7" i="282"/>
  <c r="L7" i="282"/>
  <c r="K7" i="282"/>
  <c r="J7" i="282"/>
  <c r="I7" i="282"/>
  <c r="H7" i="282"/>
  <c r="G7" i="282"/>
  <c r="F7" i="282"/>
  <c r="E7" i="282"/>
  <c r="D7" i="282"/>
  <c r="C7" i="282"/>
  <c r="B7" i="282"/>
  <c r="Y6" i="282"/>
  <c r="X6" i="282"/>
  <c r="W6" i="282"/>
  <c r="V6" i="282"/>
  <c r="U6" i="282"/>
  <c r="T6" i="282"/>
  <c r="S6" i="282"/>
  <c r="R6" i="282"/>
  <c r="Q6" i="282"/>
  <c r="P6" i="282"/>
  <c r="O6" i="282"/>
  <c r="N6" i="282"/>
  <c r="M6" i="282"/>
  <c r="L6" i="282"/>
  <c r="K6" i="282"/>
  <c r="J6" i="282"/>
  <c r="I6" i="282"/>
  <c r="H6" i="282"/>
  <c r="G6" i="282"/>
  <c r="F6" i="282"/>
  <c r="E6" i="282"/>
  <c r="D6" i="282"/>
  <c r="C6" i="282"/>
  <c r="B6" i="282"/>
  <c r="Y5" i="282"/>
  <c r="X5" i="282"/>
  <c r="W5" i="282"/>
  <c r="V5" i="282"/>
  <c r="U5" i="282"/>
  <c r="T5" i="282"/>
  <c r="S5" i="282"/>
  <c r="R5" i="282"/>
  <c r="Q5" i="282"/>
  <c r="P5" i="282"/>
  <c r="O5" i="282"/>
  <c r="N5" i="282"/>
  <c r="M5" i="282"/>
  <c r="L5" i="282"/>
  <c r="K5" i="282"/>
  <c r="J5" i="282"/>
  <c r="I5" i="282"/>
  <c r="H5" i="282"/>
  <c r="G5" i="282"/>
  <c r="F5" i="282"/>
  <c r="E5" i="282"/>
  <c r="D5" i="282"/>
  <c r="C5" i="282"/>
  <c r="B5" i="282"/>
  <c r="Y10" i="281"/>
  <c r="X10" i="281"/>
  <c r="W10" i="281"/>
  <c r="V10" i="281"/>
  <c r="U10" i="281"/>
  <c r="T10" i="281"/>
  <c r="S10" i="281"/>
  <c r="R10" i="281"/>
  <c r="Q10" i="281"/>
  <c r="P10" i="281"/>
  <c r="O10" i="281"/>
  <c r="N10" i="281"/>
  <c r="M10" i="281"/>
  <c r="L10" i="281"/>
  <c r="K10" i="281"/>
  <c r="J10" i="281"/>
  <c r="I10" i="281"/>
  <c r="H10" i="281"/>
  <c r="G10" i="281"/>
  <c r="F10" i="281"/>
  <c r="E10" i="281"/>
  <c r="D10" i="281"/>
  <c r="C10" i="281"/>
  <c r="B10" i="281"/>
  <c r="Y9" i="281"/>
  <c r="X9" i="281"/>
  <c r="W9" i="281"/>
  <c r="V9" i="281"/>
  <c r="U9" i="281"/>
  <c r="T9" i="281"/>
  <c r="S9" i="281"/>
  <c r="R9" i="281"/>
  <c r="Q9" i="281"/>
  <c r="P9" i="281"/>
  <c r="O9" i="281"/>
  <c r="N9" i="281"/>
  <c r="M9" i="281"/>
  <c r="L9" i="281"/>
  <c r="K9" i="281"/>
  <c r="J9" i="281"/>
  <c r="I9" i="281"/>
  <c r="H9" i="281"/>
  <c r="G9" i="281"/>
  <c r="F9" i="281"/>
  <c r="E9" i="281"/>
  <c r="D9" i="281"/>
  <c r="C9" i="281"/>
  <c r="B9" i="281"/>
  <c r="Y8" i="281"/>
  <c r="X8" i="281"/>
  <c r="W8" i="281"/>
  <c r="V8" i="281"/>
  <c r="U8" i="281"/>
  <c r="T8" i="281"/>
  <c r="S8" i="281"/>
  <c r="R8" i="281"/>
  <c r="Q8" i="281"/>
  <c r="P8" i="281"/>
  <c r="O8" i="281"/>
  <c r="N8" i="281"/>
  <c r="M8" i="281"/>
  <c r="L8" i="281"/>
  <c r="K8" i="281"/>
  <c r="J8" i="281"/>
  <c r="I8" i="281"/>
  <c r="H8" i="281"/>
  <c r="G8" i="281"/>
  <c r="F8" i="281"/>
  <c r="E8" i="281"/>
  <c r="D8" i="281"/>
  <c r="C8" i="281"/>
  <c r="B8" i="281"/>
  <c r="Y7" i="281"/>
  <c r="X7" i="281"/>
  <c r="W7" i="281"/>
  <c r="V7" i="281"/>
  <c r="U7" i="281"/>
  <c r="T7" i="281"/>
  <c r="S7" i="281"/>
  <c r="R7" i="281"/>
  <c r="Q7" i="281"/>
  <c r="P7" i="281"/>
  <c r="O7" i="281"/>
  <c r="N7" i="281"/>
  <c r="M7" i="281"/>
  <c r="L7" i="281"/>
  <c r="K7" i="281"/>
  <c r="J7" i="281"/>
  <c r="I7" i="281"/>
  <c r="H7" i="281"/>
  <c r="G7" i="281"/>
  <c r="F7" i="281"/>
  <c r="E7" i="281"/>
  <c r="D7" i="281"/>
  <c r="C7" i="281"/>
  <c r="B7" i="281"/>
  <c r="Y6" i="281"/>
  <c r="X6" i="281"/>
  <c r="W6" i="281"/>
  <c r="V6" i="281"/>
  <c r="U6" i="281"/>
  <c r="T6" i="281"/>
  <c r="S6" i="281"/>
  <c r="R6" i="281"/>
  <c r="Q6" i="281"/>
  <c r="P6" i="281"/>
  <c r="O6" i="281"/>
  <c r="N6" i="281"/>
  <c r="M6" i="281"/>
  <c r="L6" i="281"/>
  <c r="K6" i="281"/>
  <c r="J6" i="281"/>
  <c r="I6" i="281"/>
  <c r="H6" i="281"/>
  <c r="G6" i="281"/>
  <c r="F6" i="281"/>
  <c r="E6" i="281"/>
  <c r="D6" i="281"/>
  <c r="C6" i="281"/>
  <c r="B6" i="281"/>
  <c r="Y5" i="281"/>
  <c r="X5" i="281"/>
  <c r="W5" i="281"/>
  <c r="V5" i="281"/>
  <c r="U5" i="281"/>
  <c r="T5" i="281"/>
  <c r="S5" i="281"/>
  <c r="R5" i="281"/>
  <c r="Q5" i="281"/>
  <c r="P5" i="281"/>
  <c r="O5" i="281"/>
  <c r="N5" i="281"/>
  <c r="M5" i="281"/>
  <c r="L5" i="281"/>
  <c r="K5" i="281"/>
  <c r="J5" i="281"/>
  <c r="I5" i="281"/>
  <c r="H5" i="281"/>
  <c r="G5" i="281"/>
  <c r="F5" i="281"/>
  <c r="E5" i="281"/>
  <c r="D5" i="281"/>
  <c r="C5" i="281"/>
  <c r="B5" i="281"/>
  <c r="Y10" i="280"/>
  <c r="X10" i="280"/>
  <c r="W10" i="280"/>
  <c r="V10" i="280"/>
  <c r="U10" i="280"/>
  <c r="T10" i="280"/>
  <c r="S10" i="280"/>
  <c r="R10" i="280"/>
  <c r="Q10" i="280"/>
  <c r="P10" i="280"/>
  <c r="O10" i="280"/>
  <c r="N10" i="280"/>
  <c r="M10" i="280"/>
  <c r="L10" i="280"/>
  <c r="K10" i="280"/>
  <c r="J10" i="280"/>
  <c r="I10" i="280"/>
  <c r="H10" i="280"/>
  <c r="G10" i="280"/>
  <c r="F10" i="280"/>
  <c r="E10" i="280"/>
  <c r="D10" i="280"/>
  <c r="C10" i="280"/>
  <c r="B10" i="280"/>
  <c r="Y9" i="280"/>
  <c r="X9" i="280"/>
  <c r="W9" i="280"/>
  <c r="V9" i="280"/>
  <c r="U9" i="280"/>
  <c r="T9" i="280"/>
  <c r="S9" i="280"/>
  <c r="R9" i="280"/>
  <c r="Q9" i="280"/>
  <c r="P9" i="280"/>
  <c r="O9" i="280"/>
  <c r="N9" i="280"/>
  <c r="M9" i="280"/>
  <c r="L9" i="280"/>
  <c r="K9" i="280"/>
  <c r="J9" i="280"/>
  <c r="I9" i="280"/>
  <c r="H9" i="280"/>
  <c r="G9" i="280"/>
  <c r="F9" i="280"/>
  <c r="E9" i="280"/>
  <c r="D9" i="280"/>
  <c r="C9" i="280"/>
  <c r="B9" i="280"/>
  <c r="Y8" i="280"/>
  <c r="X8" i="280"/>
  <c r="W8" i="280"/>
  <c r="V8" i="280"/>
  <c r="U8" i="280"/>
  <c r="T8" i="280"/>
  <c r="S8" i="280"/>
  <c r="R8" i="280"/>
  <c r="Q8" i="280"/>
  <c r="P8" i="280"/>
  <c r="O8" i="280"/>
  <c r="N8" i="280"/>
  <c r="M8" i="280"/>
  <c r="L8" i="280"/>
  <c r="K8" i="280"/>
  <c r="J8" i="280"/>
  <c r="I8" i="280"/>
  <c r="H8" i="280"/>
  <c r="G8" i="280"/>
  <c r="F8" i="280"/>
  <c r="E8" i="280"/>
  <c r="D8" i="280"/>
  <c r="C8" i="280"/>
  <c r="B8" i="280"/>
  <c r="Y7" i="280"/>
  <c r="X7" i="280"/>
  <c r="W7" i="280"/>
  <c r="V7" i="280"/>
  <c r="U7" i="280"/>
  <c r="T7" i="280"/>
  <c r="S7" i="280"/>
  <c r="R7" i="280"/>
  <c r="Q7" i="280"/>
  <c r="P7" i="280"/>
  <c r="O7" i="280"/>
  <c r="N7" i="280"/>
  <c r="M7" i="280"/>
  <c r="L7" i="280"/>
  <c r="K7" i="280"/>
  <c r="J7" i="280"/>
  <c r="I7" i="280"/>
  <c r="H7" i="280"/>
  <c r="G7" i="280"/>
  <c r="F7" i="280"/>
  <c r="E7" i="280"/>
  <c r="D7" i="280"/>
  <c r="C7" i="280"/>
  <c r="B7" i="280"/>
  <c r="Y6" i="280"/>
  <c r="X6" i="280"/>
  <c r="W6" i="280"/>
  <c r="V6" i="280"/>
  <c r="U6" i="280"/>
  <c r="T6" i="280"/>
  <c r="S6" i="280"/>
  <c r="R6" i="280"/>
  <c r="Q6" i="280"/>
  <c r="P6" i="280"/>
  <c r="O6" i="280"/>
  <c r="N6" i="280"/>
  <c r="M6" i="280"/>
  <c r="L6" i="280"/>
  <c r="K6" i="280"/>
  <c r="J6" i="280"/>
  <c r="I6" i="280"/>
  <c r="H6" i="280"/>
  <c r="G6" i="280"/>
  <c r="F6" i="280"/>
  <c r="E6" i="280"/>
  <c r="D6" i="280"/>
  <c r="C6" i="280"/>
  <c r="B6" i="280"/>
  <c r="Y5" i="280"/>
  <c r="X5" i="280"/>
  <c r="W5" i="280"/>
  <c r="V5" i="280"/>
  <c r="U5" i="280"/>
  <c r="T5" i="280"/>
  <c r="S5" i="280"/>
  <c r="R5" i="280"/>
  <c r="Q5" i="280"/>
  <c r="P5" i="280"/>
  <c r="O5" i="280"/>
  <c r="N5" i="280"/>
  <c r="M5" i="280"/>
  <c r="L5" i="280"/>
  <c r="K5" i="280"/>
  <c r="J5" i="280"/>
  <c r="I5" i="280"/>
  <c r="H5" i="280"/>
  <c r="G5" i="280"/>
  <c r="F5" i="280"/>
  <c r="E5" i="280"/>
  <c r="D5" i="280"/>
  <c r="C5" i="280"/>
  <c r="B5" i="280"/>
  <c r="Y10" i="279"/>
  <c r="X10" i="279"/>
  <c r="W10" i="279"/>
  <c r="V10" i="279"/>
  <c r="U10" i="279"/>
  <c r="T10" i="279"/>
  <c r="S10" i="279"/>
  <c r="R10" i="279"/>
  <c r="Q10" i="279"/>
  <c r="P10" i="279"/>
  <c r="O10" i="279"/>
  <c r="N10" i="279"/>
  <c r="M10" i="279"/>
  <c r="L10" i="279"/>
  <c r="K10" i="279"/>
  <c r="J10" i="279"/>
  <c r="I10" i="279"/>
  <c r="H10" i="279"/>
  <c r="G10" i="279"/>
  <c r="F10" i="279"/>
  <c r="E10" i="279"/>
  <c r="D10" i="279"/>
  <c r="C10" i="279"/>
  <c r="B10" i="279"/>
  <c r="Y9" i="279"/>
  <c r="X9" i="279"/>
  <c r="W9" i="279"/>
  <c r="V9" i="279"/>
  <c r="U9" i="279"/>
  <c r="T9" i="279"/>
  <c r="S9" i="279"/>
  <c r="R9" i="279"/>
  <c r="Q9" i="279"/>
  <c r="P9" i="279"/>
  <c r="O9" i="279"/>
  <c r="N9" i="279"/>
  <c r="M9" i="279"/>
  <c r="L9" i="279"/>
  <c r="K9" i="279"/>
  <c r="J9" i="279"/>
  <c r="I9" i="279"/>
  <c r="H9" i="279"/>
  <c r="G9" i="279"/>
  <c r="F9" i="279"/>
  <c r="E9" i="279"/>
  <c r="D9" i="279"/>
  <c r="C9" i="279"/>
  <c r="B9" i="279"/>
  <c r="Y8" i="279"/>
  <c r="X8" i="279"/>
  <c r="W8" i="279"/>
  <c r="V8" i="279"/>
  <c r="U8" i="279"/>
  <c r="T8" i="279"/>
  <c r="S8" i="279"/>
  <c r="R8" i="279"/>
  <c r="Q8" i="279"/>
  <c r="P8" i="279"/>
  <c r="O8" i="279"/>
  <c r="N8" i="279"/>
  <c r="M8" i="279"/>
  <c r="L8" i="279"/>
  <c r="K8" i="279"/>
  <c r="J8" i="279"/>
  <c r="I8" i="279"/>
  <c r="H8" i="279"/>
  <c r="G8" i="279"/>
  <c r="F8" i="279"/>
  <c r="E8" i="279"/>
  <c r="D8" i="279"/>
  <c r="C8" i="279"/>
  <c r="B8" i="279"/>
  <c r="Y7" i="279"/>
  <c r="X7" i="279"/>
  <c r="W7" i="279"/>
  <c r="V7" i="279"/>
  <c r="U7" i="279"/>
  <c r="T7" i="279"/>
  <c r="S7" i="279"/>
  <c r="R7" i="279"/>
  <c r="Q7" i="279"/>
  <c r="P7" i="279"/>
  <c r="O7" i="279"/>
  <c r="N7" i="279"/>
  <c r="M7" i="279"/>
  <c r="L7" i="279"/>
  <c r="K7" i="279"/>
  <c r="J7" i="279"/>
  <c r="I7" i="279"/>
  <c r="H7" i="279"/>
  <c r="G7" i="279"/>
  <c r="F7" i="279"/>
  <c r="E7" i="279"/>
  <c r="D7" i="279"/>
  <c r="C7" i="279"/>
  <c r="B7" i="279"/>
  <c r="Y6" i="279"/>
  <c r="X6" i="279"/>
  <c r="W6" i="279"/>
  <c r="V6" i="279"/>
  <c r="U6" i="279"/>
  <c r="T6" i="279"/>
  <c r="S6" i="279"/>
  <c r="R6" i="279"/>
  <c r="Q6" i="279"/>
  <c r="P6" i="279"/>
  <c r="O6" i="279"/>
  <c r="N6" i="279"/>
  <c r="M6" i="279"/>
  <c r="L6" i="279"/>
  <c r="K6" i="279"/>
  <c r="J6" i="279"/>
  <c r="I6" i="279"/>
  <c r="H6" i="279"/>
  <c r="G6" i="279"/>
  <c r="F6" i="279"/>
  <c r="E6" i="279"/>
  <c r="D6" i="279"/>
  <c r="C6" i="279"/>
  <c r="B6" i="279"/>
  <c r="Y5" i="279"/>
  <c r="X5" i="279"/>
  <c r="W5" i="279"/>
  <c r="V5" i="279"/>
  <c r="U5" i="279"/>
  <c r="T5" i="279"/>
  <c r="S5" i="279"/>
  <c r="R5" i="279"/>
  <c r="Q5" i="279"/>
  <c r="P5" i="279"/>
  <c r="O5" i="279"/>
  <c r="N5" i="279"/>
  <c r="M5" i="279"/>
  <c r="L5" i="279"/>
  <c r="K5" i="279"/>
  <c r="J5" i="279"/>
  <c r="I5" i="279"/>
  <c r="H5" i="279"/>
  <c r="G5" i="279"/>
  <c r="F5" i="279"/>
  <c r="E5" i="279"/>
  <c r="D5" i="279"/>
  <c r="C5" i="279"/>
  <c r="B5" i="279"/>
  <c r="Y10" i="278"/>
  <c r="X10" i="278"/>
  <c r="W10" i="278"/>
  <c r="V10" i="278"/>
  <c r="U10" i="278"/>
  <c r="T10" i="278"/>
  <c r="S10" i="278"/>
  <c r="R10" i="278"/>
  <c r="Q10" i="278"/>
  <c r="P10" i="278"/>
  <c r="O10" i="278"/>
  <c r="N10" i="278"/>
  <c r="M10" i="278"/>
  <c r="L10" i="278"/>
  <c r="K10" i="278"/>
  <c r="J10" i="278"/>
  <c r="I10" i="278"/>
  <c r="H10" i="278"/>
  <c r="G10" i="278"/>
  <c r="F10" i="278"/>
  <c r="E10" i="278"/>
  <c r="D10" i="278"/>
  <c r="C10" i="278"/>
  <c r="B10" i="278"/>
  <c r="Y9" i="278"/>
  <c r="X9" i="278"/>
  <c r="W9" i="278"/>
  <c r="V9" i="278"/>
  <c r="U9" i="278"/>
  <c r="T9" i="278"/>
  <c r="S9" i="278"/>
  <c r="R9" i="278"/>
  <c r="Q9" i="278"/>
  <c r="P9" i="278"/>
  <c r="O9" i="278"/>
  <c r="N9" i="278"/>
  <c r="M9" i="278"/>
  <c r="L9" i="278"/>
  <c r="K9" i="278"/>
  <c r="J9" i="278"/>
  <c r="I9" i="278"/>
  <c r="H9" i="278"/>
  <c r="G9" i="278"/>
  <c r="F9" i="278"/>
  <c r="E9" i="278"/>
  <c r="D9" i="278"/>
  <c r="C9" i="278"/>
  <c r="B9" i="278"/>
  <c r="Y8" i="278"/>
  <c r="X8" i="278"/>
  <c r="W8" i="278"/>
  <c r="V8" i="278"/>
  <c r="U8" i="278"/>
  <c r="T8" i="278"/>
  <c r="S8" i="278"/>
  <c r="R8" i="278"/>
  <c r="Q8" i="278"/>
  <c r="P8" i="278"/>
  <c r="O8" i="278"/>
  <c r="N8" i="278"/>
  <c r="M8" i="278"/>
  <c r="L8" i="278"/>
  <c r="K8" i="278"/>
  <c r="J8" i="278"/>
  <c r="I8" i="278"/>
  <c r="H8" i="278"/>
  <c r="G8" i="278"/>
  <c r="F8" i="278"/>
  <c r="E8" i="278"/>
  <c r="D8" i="278"/>
  <c r="C8" i="278"/>
  <c r="B8" i="278"/>
  <c r="Y7" i="278"/>
  <c r="X7" i="278"/>
  <c r="W7" i="278"/>
  <c r="V7" i="278"/>
  <c r="U7" i="278"/>
  <c r="T7" i="278"/>
  <c r="S7" i="278"/>
  <c r="R7" i="278"/>
  <c r="Q7" i="278"/>
  <c r="P7" i="278"/>
  <c r="O7" i="278"/>
  <c r="N7" i="278"/>
  <c r="M7" i="278"/>
  <c r="L7" i="278"/>
  <c r="K7" i="278"/>
  <c r="J7" i="278"/>
  <c r="I7" i="278"/>
  <c r="H7" i="278"/>
  <c r="G7" i="278"/>
  <c r="F7" i="278"/>
  <c r="E7" i="278"/>
  <c r="D7" i="278"/>
  <c r="C7" i="278"/>
  <c r="B7" i="278"/>
  <c r="Y6" i="278"/>
  <c r="X6" i="278"/>
  <c r="W6" i="278"/>
  <c r="V6" i="278"/>
  <c r="U6" i="278"/>
  <c r="T6" i="278"/>
  <c r="S6" i="278"/>
  <c r="R6" i="278"/>
  <c r="Q6" i="278"/>
  <c r="P6" i="278"/>
  <c r="O6" i="278"/>
  <c r="N6" i="278"/>
  <c r="M6" i="278"/>
  <c r="L6" i="278"/>
  <c r="K6" i="278"/>
  <c r="J6" i="278"/>
  <c r="I6" i="278"/>
  <c r="H6" i="278"/>
  <c r="G6" i="278"/>
  <c r="F6" i="278"/>
  <c r="E6" i="278"/>
  <c r="D6" i="278"/>
  <c r="C6" i="278"/>
  <c r="B6" i="278"/>
  <c r="Y5" i="278"/>
  <c r="X5" i="278"/>
  <c r="W5" i="278"/>
  <c r="V5" i="278"/>
  <c r="U5" i="278"/>
  <c r="T5" i="278"/>
  <c r="S5" i="278"/>
  <c r="R5" i="278"/>
  <c r="Q5" i="278"/>
  <c r="P5" i="278"/>
  <c r="O5" i="278"/>
  <c r="N5" i="278"/>
  <c r="M5" i="278"/>
  <c r="L5" i="278"/>
  <c r="K5" i="278"/>
  <c r="J5" i="278"/>
  <c r="I5" i="278"/>
  <c r="H5" i="278"/>
  <c r="G5" i="278"/>
  <c r="F5" i="278"/>
  <c r="E5" i="278"/>
  <c r="D5" i="278"/>
  <c r="C5" i="278"/>
  <c r="B5" i="278"/>
  <c r="Y10" i="277"/>
  <c r="X10" i="277"/>
  <c r="W10" i="277"/>
  <c r="V10" i="277"/>
  <c r="U10" i="277"/>
  <c r="T10" i="277"/>
  <c r="S10" i="277"/>
  <c r="R10" i="277"/>
  <c r="Q10" i="277"/>
  <c r="P10" i="277"/>
  <c r="O10" i="277"/>
  <c r="N10" i="277"/>
  <c r="M10" i="277"/>
  <c r="L10" i="277"/>
  <c r="K10" i="277"/>
  <c r="J10" i="277"/>
  <c r="I10" i="277"/>
  <c r="H10" i="277"/>
  <c r="G10" i="277"/>
  <c r="F10" i="277"/>
  <c r="E10" i="277"/>
  <c r="D10" i="277"/>
  <c r="C10" i="277"/>
  <c r="B10" i="277"/>
  <c r="Y9" i="277"/>
  <c r="X9" i="277"/>
  <c r="W9" i="277"/>
  <c r="V9" i="277"/>
  <c r="U9" i="277"/>
  <c r="T9" i="277"/>
  <c r="S9" i="277"/>
  <c r="R9" i="277"/>
  <c r="Q9" i="277"/>
  <c r="P9" i="277"/>
  <c r="O9" i="277"/>
  <c r="N9" i="277"/>
  <c r="M9" i="277"/>
  <c r="L9" i="277"/>
  <c r="K9" i="277"/>
  <c r="J9" i="277"/>
  <c r="I9" i="277"/>
  <c r="H9" i="277"/>
  <c r="G9" i="277"/>
  <c r="F9" i="277"/>
  <c r="E9" i="277"/>
  <c r="D9" i="277"/>
  <c r="C9" i="277"/>
  <c r="B9" i="277"/>
  <c r="Y8" i="277"/>
  <c r="X8" i="277"/>
  <c r="W8" i="277"/>
  <c r="V8" i="277"/>
  <c r="U8" i="277"/>
  <c r="T8" i="277"/>
  <c r="S8" i="277"/>
  <c r="R8" i="277"/>
  <c r="Q8" i="277"/>
  <c r="P8" i="277"/>
  <c r="O8" i="277"/>
  <c r="N8" i="277"/>
  <c r="M8" i="277"/>
  <c r="L8" i="277"/>
  <c r="K8" i="277"/>
  <c r="J8" i="277"/>
  <c r="I8" i="277"/>
  <c r="H8" i="277"/>
  <c r="G8" i="277"/>
  <c r="F8" i="277"/>
  <c r="E8" i="277"/>
  <c r="D8" i="277"/>
  <c r="C8" i="277"/>
  <c r="B8" i="277"/>
  <c r="Y7" i="277"/>
  <c r="X7" i="277"/>
  <c r="W7" i="277"/>
  <c r="V7" i="277"/>
  <c r="U7" i="277"/>
  <c r="T7" i="277"/>
  <c r="S7" i="277"/>
  <c r="R7" i="277"/>
  <c r="Q7" i="277"/>
  <c r="P7" i="277"/>
  <c r="O7" i="277"/>
  <c r="N7" i="277"/>
  <c r="M7" i="277"/>
  <c r="L7" i="277"/>
  <c r="K7" i="277"/>
  <c r="J7" i="277"/>
  <c r="I7" i="277"/>
  <c r="H7" i="277"/>
  <c r="G7" i="277"/>
  <c r="F7" i="277"/>
  <c r="E7" i="277"/>
  <c r="D7" i="277"/>
  <c r="C7" i="277"/>
  <c r="B7" i="277"/>
  <c r="Y6" i="277"/>
  <c r="X6" i="277"/>
  <c r="W6" i="277"/>
  <c r="V6" i="277"/>
  <c r="U6" i="277"/>
  <c r="T6" i="277"/>
  <c r="S6" i="277"/>
  <c r="R6" i="277"/>
  <c r="Q6" i="277"/>
  <c r="P6" i="277"/>
  <c r="O6" i="277"/>
  <c r="N6" i="277"/>
  <c r="M6" i="277"/>
  <c r="L6" i="277"/>
  <c r="K6" i="277"/>
  <c r="J6" i="277"/>
  <c r="I6" i="277"/>
  <c r="H6" i="277"/>
  <c r="G6" i="277"/>
  <c r="F6" i="277"/>
  <c r="E6" i="277"/>
  <c r="D6" i="277"/>
  <c r="C6" i="277"/>
  <c r="B6" i="277"/>
  <c r="Y5" i="277"/>
  <c r="X5" i="277"/>
  <c r="W5" i="277"/>
  <c r="V5" i="277"/>
  <c r="U5" i="277"/>
  <c r="T5" i="277"/>
  <c r="S5" i="277"/>
  <c r="R5" i="277"/>
  <c r="Q5" i="277"/>
  <c r="P5" i="277"/>
  <c r="O5" i="277"/>
  <c r="N5" i="277"/>
  <c r="M5" i="277"/>
  <c r="L5" i="277"/>
  <c r="K5" i="277"/>
  <c r="J5" i="277"/>
  <c r="I5" i="277"/>
  <c r="H5" i="277"/>
  <c r="G5" i="277"/>
  <c r="F5" i="277"/>
  <c r="E5" i="277"/>
  <c r="D5" i="277"/>
  <c r="C5" i="277"/>
  <c r="B5" i="277"/>
  <c r="Y10" i="276"/>
  <c r="X10" i="276"/>
  <c r="W10" i="276"/>
  <c r="V10" i="276"/>
  <c r="U10" i="276"/>
  <c r="T10" i="276"/>
  <c r="S10" i="276"/>
  <c r="R10" i="276"/>
  <c r="Q10" i="276"/>
  <c r="P10" i="276"/>
  <c r="O10" i="276"/>
  <c r="N10" i="276"/>
  <c r="M10" i="276"/>
  <c r="L10" i="276"/>
  <c r="K10" i="276"/>
  <c r="J10" i="276"/>
  <c r="I10" i="276"/>
  <c r="H10" i="276"/>
  <c r="G10" i="276"/>
  <c r="F10" i="276"/>
  <c r="E10" i="276"/>
  <c r="D10" i="276"/>
  <c r="C10" i="276"/>
  <c r="B10" i="276"/>
  <c r="Y9" i="276"/>
  <c r="X9" i="276"/>
  <c r="W9" i="276"/>
  <c r="V9" i="276"/>
  <c r="U9" i="276"/>
  <c r="T9" i="276"/>
  <c r="S9" i="276"/>
  <c r="R9" i="276"/>
  <c r="Q9" i="276"/>
  <c r="P9" i="276"/>
  <c r="O9" i="276"/>
  <c r="N9" i="276"/>
  <c r="M9" i="276"/>
  <c r="L9" i="276"/>
  <c r="K9" i="276"/>
  <c r="J9" i="276"/>
  <c r="I9" i="276"/>
  <c r="H9" i="276"/>
  <c r="G9" i="276"/>
  <c r="F9" i="276"/>
  <c r="E9" i="276"/>
  <c r="D9" i="276"/>
  <c r="C9" i="276"/>
  <c r="B9" i="276"/>
  <c r="Y8" i="276"/>
  <c r="X8" i="276"/>
  <c r="W8" i="276"/>
  <c r="V8" i="276"/>
  <c r="U8" i="276"/>
  <c r="T8" i="276"/>
  <c r="S8" i="276"/>
  <c r="R8" i="276"/>
  <c r="Q8" i="276"/>
  <c r="P8" i="276"/>
  <c r="O8" i="276"/>
  <c r="N8" i="276"/>
  <c r="M8" i="276"/>
  <c r="L8" i="276"/>
  <c r="K8" i="276"/>
  <c r="J8" i="276"/>
  <c r="I8" i="276"/>
  <c r="H8" i="276"/>
  <c r="G8" i="276"/>
  <c r="F8" i="276"/>
  <c r="E8" i="276"/>
  <c r="D8" i="276"/>
  <c r="C8" i="276"/>
  <c r="B8" i="276"/>
  <c r="Y7" i="276"/>
  <c r="X7" i="276"/>
  <c r="W7" i="276"/>
  <c r="V7" i="276"/>
  <c r="U7" i="276"/>
  <c r="T7" i="276"/>
  <c r="S7" i="276"/>
  <c r="R7" i="276"/>
  <c r="Q7" i="276"/>
  <c r="P7" i="276"/>
  <c r="O7" i="276"/>
  <c r="N7" i="276"/>
  <c r="M7" i="276"/>
  <c r="L7" i="276"/>
  <c r="K7" i="276"/>
  <c r="J7" i="276"/>
  <c r="I7" i="276"/>
  <c r="H7" i="276"/>
  <c r="G7" i="276"/>
  <c r="F7" i="276"/>
  <c r="E7" i="276"/>
  <c r="D7" i="276"/>
  <c r="C7" i="276"/>
  <c r="B7" i="276"/>
  <c r="Y6" i="276"/>
  <c r="X6" i="276"/>
  <c r="W6" i="276"/>
  <c r="V6" i="276"/>
  <c r="U6" i="276"/>
  <c r="T6" i="276"/>
  <c r="S6" i="276"/>
  <c r="R6" i="276"/>
  <c r="Q6" i="276"/>
  <c r="P6" i="276"/>
  <c r="O6" i="276"/>
  <c r="N6" i="276"/>
  <c r="M6" i="276"/>
  <c r="L6" i="276"/>
  <c r="K6" i="276"/>
  <c r="J6" i="276"/>
  <c r="I6" i="276"/>
  <c r="H6" i="276"/>
  <c r="G6" i="276"/>
  <c r="F6" i="276"/>
  <c r="E6" i="276"/>
  <c r="D6" i="276"/>
  <c r="C6" i="276"/>
  <c r="B6" i="276"/>
  <c r="Y5" i="276"/>
  <c r="X5" i="276"/>
  <c r="W5" i="276"/>
  <c r="V5" i="276"/>
  <c r="U5" i="276"/>
  <c r="T5" i="276"/>
  <c r="S5" i="276"/>
  <c r="R5" i="276"/>
  <c r="Q5" i="276"/>
  <c r="P5" i="276"/>
  <c r="O5" i="276"/>
  <c r="N5" i="276"/>
  <c r="M5" i="276"/>
  <c r="L5" i="276"/>
  <c r="K5" i="276"/>
  <c r="J5" i="276"/>
  <c r="I5" i="276"/>
  <c r="H5" i="276"/>
  <c r="G5" i="276"/>
  <c r="F5" i="276"/>
  <c r="E5" i="276"/>
  <c r="D5" i="276"/>
  <c r="C5" i="276"/>
  <c r="B5" i="276"/>
  <c r="Y10" i="275"/>
  <c r="X10" i="275"/>
  <c r="W10" i="275"/>
  <c r="V10" i="275"/>
  <c r="U10" i="275"/>
  <c r="T10" i="275"/>
  <c r="S10" i="275"/>
  <c r="R10" i="275"/>
  <c r="Q10" i="275"/>
  <c r="P10" i="275"/>
  <c r="O10" i="275"/>
  <c r="N10" i="275"/>
  <c r="M10" i="275"/>
  <c r="L10" i="275"/>
  <c r="K10" i="275"/>
  <c r="J10" i="275"/>
  <c r="I10" i="275"/>
  <c r="H10" i="275"/>
  <c r="G10" i="275"/>
  <c r="F10" i="275"/>
  <c r="E10" i="275"/>
  <c r="D10" i="275"/>
  <c r="C10" i="275"/>
  <c r="B10" i="275"/>
  <c r="Y9" i="275"/>
  <c r="X9" i="275"/>
  <c r="W9" i="275"/>
  <c r="V9" i="275"/>
  <c r="U9" i="275"/>
  <c r="T9" i="275"/>
  <c r="S9" i="275"/>
  <c r="R9" i="275"/>
  <c r="Q9" i="275"/>
  <c r="P9" i="275"/>
  <c r="O9" i="275"/>
  <c r="N9" i="275"/>
  <c r="M9" i="275"/>
  <c r="L9" i="275"/>
  <c r="K9" i="275"/>
  <c r="J9" i="275"/>
  <c r="I9" i="275"/>
  <c r="H9" i="275"/>
  <c r="G9" i="275"/>
  <c r="F9" i="275"/>
  <c r="E9" i="275"/>
  <c r="D9" i="275"/>
  <c r="C9" i="275"/>
  <c r="B9" i="275"/>
  <c r="Y8" i="275"/>
  <c r="X8" i="275"/>
  <c r="W8" i="275"/>
  <c r="V8" i="275"/>
  <c r="U8" i="275"/>
  <c r="T8" i="275"/>
  <c r="S8" i="275"/>
  <c r="R8" i="275"/>
  <c r="Q8" i="275"/>
  <c r="P8" i="275"/>
  <c r="O8" i="275"/>
  <c r="N8" i="275"/>
  <c r="M8" i="275"/>
  <c r="L8" i="275"/>
  <c r="K8" i="275"/>
  <c r="J8" i="275"/>
  <c r="I8" i="275"/>
  <c r="H8" i="275"/>
  <c r="G8" i="275"/>
  <c r="F8" i="275"/>
  <c r="E8" i="275"/>
  <c r="D8" i="275"/>
  <c r="C8" i="275"/>
  <c r="B8" i="275"/>
  <c r="Y7" i="275"/>
  <c r="X7" i="275"/>
  <c r="W7" i="275"/>
  <c r="V7" i="275"/>
  <c r="U7" i="275"/>
  <c r="T7" i="275"/>
  <c r="S7" i="275"/>
  <c r="R7" i="275"/>
  <c r="Q7" i="275"/>
  <c r="P7" i="275"/>
  <c r="O7" i="275"/>
  <c r="N7" i="275"/>
  <c r="M7" i="275"/>
  <c r="L7" i="275"/>
  <c r="K7" i="275"/>
  <c r="J7" i="275"/>
  <c r="I7" i="275"/>
  <c r="H7" i="275"/>
  <c r="G7" i="275"/>
  <c r="F7" i="275"/>
  <c r="E7" i="275"/>
  <c r="D7" i="275"/>
  <c r="C7" i="275"/>
  <c r="B7" i="275"/>
  <c r="Y6" i="275"/>
  <c r="X6" i="275"/>
  <c r="W6" i="275"/>
  <c r="V6" i="275"/>
  <c r="U6" i="275"/>
  <c r="T6" i="275"/>
  <c r="S6" i="275"/>
  <c r="R6" i="275"/>
  <c r="Q6" i="275"/>
  <c r="P6" i="275"/>
  <c r="O6" i="275"/>
  <c r="N6" i="275"/>
  <c r="M6" i="275"/>
  <c r="L6" i="275"/>
  <c r="K6" i="275"/>
  <c r="J6" i="275"/>
  <c r="I6" i="275"/>
  <c r="H6" i="275"/>
  <c r="G6" i="275"/>
  <c r="F6" i="275"/>
  <c r="E6" i="275"/>
  <c r="D6" i="275"/>
  <c r="C6" i="275"/>
  <c r="B6" i="275"/>
  <c r="Y5" i="275"/>
  <c r="X5" i="275"/>
  <c r="W5" i="275"/>
  <c r="V5" i="275"/>
  <c r="U5" i="275"/>
  <c r="T5" i="275"/>
  <c r="S5" i="275"/>
  <c r="R5" i="275"/>
  <c r="Q5" i="275"/>
  <c r="P5" i="275"/>
  <c r="O5" i="275"/>
  <c r="N5" i="275"/>
  <c r="M5" i="275"/>
  <c r="L5" i="275"/>
  <c r="K5" i="275"/>
  <c r="J5" i="275"/>
  <c r="I5" i="275"/>
  <c r="H5" i="275"/>
  <c r="G5" i="275"/>
  <c r="F5" i="275"/>
  <c r="E5" i="275"/>
  <c r="D5" i="275"/>
  <c r="C5" i="275"/>
  <c r="B5" i="275"/>
  <c r="D1" i="1"/>
  <c r="E1" i="1"/>
  <c r="F1" i="1"/>
  <c r="G1" i="1"/>
  <c r="H1" i="1"/>
  <c r="I1" i="1"/>
  <c r="J1" i="1"/>
  <c r="K1" i="1"/>
  <c r="C1" i="1"/>
  <c r="B7" i="1" l="1"/>
  <c r="B6" i="1" l="1"/>
  <c r="B5" i="1"/>
  <c r="Y10" i="244"/>
  <c r="X10" i="244"/>
  <c r="W10" i="244"/>
  <c r="V10" i="244"/>
  <c r="U10" i="244"/>
  <c r="T10" i="244"/>
  <c r="S10" i="244"/>
  <c r="R10" i="244"/>
  <c r="Q10" i="244"/>
  <c r="P10" i="244"/>
  <c r="O10" i="244"/>
  <c r="N10" i="244"/>
  <c r="M10" i="244"/>
  <c r="L10" i="244"/>
  <c r="K10" i="244"/>
  <c r="J10" i="244"/>
  <c r="I10" i="244"/>
  <c r="H10" i="244"/>
  <c r="G10" i="244"/>
  <c r="F10" i="244"/>
  <c r="E10" i="244"/>
  <c r="D10" i="244"/>
  <c r="C10" i="244"/>
  <c r="B10" i="244"/>
  <c r="Y9" i="244"/>
  <c r="X9" i="244"/>
  <c r="W9" i="244"/>
  <c r="V9" i="244"/>
  <c r="U9" i="244"/>
  <c r="T9" i="244"/>
  <c r="S9" i="244"/>
  <c r="R9" i="244"/>
  <c r="Q9" i="244"/>
  <c r="P9" i="244"/>
  <c r="O9" i="244"/>
  <c r="N9" i="244"/>
  <c r="M9" i="244"/>
  <c r="L9" i="244"/>
  <c r="K9" i="244"/>
  <c r="J9" i="244"/>
  <c r="I9" i="244"/>
  <c r="H9" i="244"/>
  <c r="G9" i="244"/>
  <c r="F9" i="244"/>
  <c r="E9" i="244"/>
  <c r="D9" i="244"/>
  <c r="C9" i="244"/>
  <c r="B9" i="244"/>
  <c r="Y8" i="244"/>
  <c r="X8" i="244"/>
  <c r="W8" i="244"/>
  <c r="V8" i="244"/>
  <c r="U8" i="244"/>
  <c r="T8" i="244"/>
  <c r="S8" i="244"/>
  <c r="R8" i="244"/>
  <c r="Q8" i="244"/>
  <c r="P8" i="244"/>
  <c r="O8" i="244"/>
  <c r="N8" i="244"/>
  <c r="M8" i="244"/>
  <c r="L8" i="244"/>
  <c r="K8" i="244"/>
  <c r="J8" i="244"/>
  <c r="I8" i="244"/>
  <c r="H8" i="244"/>
  <c r="G8" i="244"/>
  <c r="F8" i="244"/>
  <c r="E8" i="244"/>
  <c r="D8" i="244"/>
  <c r="C8" i="244"/>
  <c r="B8" i="244"/>
  <c r="Y7" i="244"/>
  <c r="X7" i="244"/>
  <c r="W7" i="244"/>
  <c r="V7" i="244"/>
  <c r="U7" i="244"/>
  <c r="T7" i="244"/>
  <c r="S7" i="244"/>
  <c r="R7" i="244"/>
  <c r="Q7" i="244"/>
  <c r="P7" i="244"/>
  <c r="O7" i="244"/>
  <c r="N7" i="244"/>
  <c r="M7" i="244"/>
  <c r="L7" i="244"/>
  <c r="K7" i="244"/>
  <c r="J7" i="244"/>
  <c r="I7" i="244"/>
  <c r="H7" i="244"/>
  <c r="G7" i="244"/>
  <c r="F7" i="244"/>
  <c r="E7" i="244"/>
  <c r="D7" i="244"/>
  <c r="C7" i="244"/>
  <c r="B7" i="244"/>
  <c r="Y6" i="244"/>
  <c r="X6" i="244"/>
  <c r="W6" i="244"/>
  <c r="V6" i="244"/>
  <c r="U6" i="244"/>
  <c r="T6" i="244"/>
  <c r="S6" i="244"/>
  <c r="R6" i="244"/>
  <c r="Q6" i="244"/>
  <c r="P6" i="244"/>
  <c r="O6" i="244"/>
  <c r="N6" i="244"/>
  <c r="M6" i="244"/>
  <c r="L6" i="244"/>
  <c r="K6" i="244"/>
  <c r="J6" i="244"/>
  <c r="I6" i="244"/>
  <c r="H6" i="244"/>
  <c r="G6" i="244"/>
  <c r="F6" i="244"/>
  <c r="E6" i="244"/>
  <c r="D6" i="244"/>
  <c r="C6" i="244"/>
  <c r="B6" i="244"/>
  <c r="Y5" i="244"/>
  <c r="X5" i="244"/>
  <c r="W5" i="244"/>
  <c r="V5" i="244"/>
  <c r="U5" i="244"/>
  <c r="T5" i="244"/>
  <c r="S5" i="244"/>
  <c r="R5" i="244"/>
  <c r="Q5" i="244"/>
  <c r="P5" i="244"/>
  <c r="O5" i="244"/>
  <c r="N5" i="244"/>
  <c r="M5" i="244"/>
  <c r="L5" i="244"/>
  <c r="K5" i="244"/>
  <c r="J5" i="244"/>
  <c r="I5" i="244"/>
  <c r="H5" i="244"/>
  <c r="G5" i="244"/>
  <c r="F5" i="244"/>
  <c r="E5" i="244"/>
  <c r="D5" i="244"/>
  <c r="C5" i="244"/>
  <c r="B5" i="244"/>
  <c r="Y10" i="243"/>
  <c r="X10" i="243"/>
  <c r="W10" i="243"/>
  <c r="V10" i="243"/>
  <c r="U10" i="243"/>
  <c r="T10" i="243"/>
  <c r="S10" i="243"/>
  <c r="R10" i="243"/>
  <c r="Q10" i="243"/>
  <c r="P10" i="243"/>
  <c r="O10" i="243"/>
  <c r="N10" i="243"/>
  <c r="M10" i="243"/>
  <c r="L10" i="243"/>
  <c r="K10" i="243"/>
  <c r="J10" i="243"/>
  <c r="I10" i="243"/>
  <c r="H10" i="243"/>
  <c r="G10" i="243"/>
  <c r="F10" i="243"/>
  <c r="E10" i="243"/>
  <c r="D10" i="243"/>
  <c r="C10" i="243"/>
  <c r="B10" i="243"/>
  <c r="Y9" i="243"/>
  <c r="X9" i="243"/>
  <c r="W9" i="243"/>
  <c r="V9" i="243"/>
  <c r="U9" i="243"/>
  <c r="T9" i="243"/>
  <c r="S9" i="243"/>
  <c r="R9" i="243"/>
  <c r="Q9" i="243"/>
  <c r="P9" i="243"/>
  <c r="O9" i="243"/>
  <c r="N9" i="243"/>
  <c r="M9" i="243"/>
  <c r="L9" i="243"/>
  <c r="K9" i="243"/>
  <c r="J9" i="243"/>
  <c r="I9" i="243"/>
  <c r="H9" i="243"/>
  <c r="G9" i="243"/>
  <c r="F9" i="243"/>
  <c r="E9" i="243"/>
  <c r="D9" i="243"/>
  <c r="C9" i="243"/>
  <c r="B9" i="243"/>
  <c r="Y8" i="243"/>
  <c r="X8" i="243"/>
  <c r="W8" i="243"/>
  <c r="V8" i="243"/>
  <c r="U8" i="243"/>
  <c r="T8" i="243"/>
  <c r="S8" i="243"/>
  <c r="R8" i="243"/>
  <c r="Q8" i="243"/>
  <c r="P8" i="243"/>
  <c r="O8" i="243"/>
  <c r="N8" i="243"/>
  <c r="M8" i="243"/>
  <c r="L8" i="243"/>
  <c r="K8" i="243"/>
  <c r="J8" i="243"/>
  <c r="I8" i="243"/>
  <c r="H8" i="243"/>
  <c r="G8" i="243"/>
  <c r="F8" i="243"/>
  <c r="E8" i="243"/>
  <c r="D8" i="243"/>
  <c r="C8" i="243"/>
  <c r="B8" i="243"/>
  <c r="Y7" i="243"/>
  <c r="X7" i="243"/>
  <c r="W7" i="243"/>
  <c r="V7" i="243"/>
  <c r="U7" i="243"/>
  <c r="T7" i="243"/>
  <c r="S7" i="243"/>
  <c r="R7" i="243"/>
  <c r="Q7" i="243"/>
  <c r="P7" i="243"/>
  <c r="O7" i="243"/>
  <c r="N7" i="243"/>
  <c r="M7" i="243"/>
  <c r="L7" i="243"/>
  <c r="K7" i="243"/>
  <c r="J7" i="243"/>
  <c r="I7" i="243"/>
  <c r="H7" i="243"/>
  <c r="G7" i="243"/>
  <c r="F7" i="243"/>
  <c r="E7" i="243"/>
  <c r="D7" i="243"/>
  <c r="C7" i="243"/>
  <c r="B7" i="243"/>
  <c r="Y6" i="243"/>
  <c r="X6" i="243"/>
  <c r="W6" i="243"/>
  <c r="V6" i="243"/>
  <c r="U6" i="243"/>
  <c r="T6" i="243"/>
  <c r="S6" i="243"/>
  <c r="R6" i="243"/>
  <c r="Q6" i="243"/>
  <c r="P6" i="243"/>
  <c r="O6" i="243"/>
  <c r="N6" i="243"/>
  <c r="M6" i="243"/>
  <c r="L6" i="243"/>
  <c r="K6" i="243"/>
  <c r="J6" i="243"/>
  <c r="I6" i="243"/>
  <c r="H6" i="243"/>
  <c r="G6" i="243"/>
  <c r="F6" i="243"/>
  <c r="E6" i="243"/>
  <c r="D6" i="243"/>
  <c r="C6" i="243"/>
  <c r="B6" i="243"/>
  <c r="Y5" i="243"/>
  <c r="X5" i="243"/>
  <c r="W5" i="243"/>
  <c r="V5" i="243"/>
  <c r="U5" i="243"/>
  <c r="T5" i="243"/>
  <c r="S5" i="243"/>
  <c r="R5" i="243"/>
  <c r="Q5" i="243"/>
  <c r="P5" i="243"/>
  <c r="O5" i="243"/>
  <c r="N5" i="243"/>
  <c r="M5" i="243"/>
  <c r="L5" i="243"/>
  <c r="K5" i="243"/>
  <c r="J5" i="243"/>
  <c r="I5" i="243"/>
  <c r="H5" i="243"/>
  <c r="G5" i="243"/>
  <c r="F5" i="243"/>
  <c r="E5" i="243"/>
  <c r="D5" i="243"/>
  <c r="C5" i="243"/>
  <c r="B5" i="243"/>
  <c r="Y10" i="242"/>
  <c r="X10" i="242"/>
  <c r="W10" i="242"/>
  <c r="V10" i="242"/>
  <c r="U10" i="242"/>
  <c r="T10" i="242"/>
  <c r="S10" i="242"/>
  <c r="R10" i="242"/>
  <c r="Q10" i="242"/>
  <c r="P10" i="242"/>
  <c r="O10" i="242"/>
  <c r="N10" i="242"/>
  <c r="M10" i="242"/>
  <c r="L10" i="242"/>
  <c r="K10" i="242"/>
  <c r="J10" i="242"/>
  <c r="I10" i="242"/>
  <c r="H10" i="242"/>
  <c r="G10" i="242"/>
  <c r="F10" i="242"/>
  <c r="E10" i="242"/>
  <c r="D10" i="242"/>
  <c r="C10" i="242"/>
  <c r="B10" i="242"/>
  <c r="Y9" i="242"/>
  <c r="X9" i="242"/>
  <c r="W9" i="242"/>
  <c r="V9" i="242"/>
  <c r="U9" i="242"/>
  <c r="T9" i="242"/>
  <c r="S9" i="242"/>
  <c r="R9" i="242"/>
  <c r="Q9" i="242"/>
  <c r="P9" i="242"/>
  <c r="O9" i="242"/>
  <c r="N9" i="242"/>
  <c r="M9" i="242"/>
  <c r="L9" i="242"/>
  <c r="K9" i="242"/>
  <c r="J9" i="242"/>
  <c r="I9" i="242"/>
  <c r="H9" i="242"/>
  <c r="G9" i="242"/>
  <c r="F9" i="242"/>
  <c r="E9" i="242"/>
  <c r="D9" i="242"/>
  <c r="C9" i="242"/>
  <c r="B9" i="242"/>
  <c r="Y8" i="242"/>
  <c r="X8" i="242"/>
  <c r="W8" i="242"/>
  <c r="V8" i="242"/>
  <c r="U8" i="242"/>
  <c r="T8" i="242"/>
  <c r="S8" i="242"/>
  <c r="R8" i="242"/>
  <c r="Q8" i="242"/>
  <c r="P8" i="242"/>
  <c r="O8" i="242"/>
  <c r="N8" i="242"/>
  <c r="M8" i="242"/>
  <c r="L8" i="242"/>
  <c r="K8" i="242"/>
  <c r="J8" i="242"/>
  <c r="I8" i="242"/>
  <c r="H8" i="242"/>
  <c r="G8" i="242"/>
  <c r="F8" i="242"/>
  <c r="E8" i="242"/>
  <c r="D8" i="242"/>
  <c r="C8" i="242"/>
  <c r="B8" i="242"/>
  <c r="Y7" i="242"/>
  <c r="X7" i="242"/>
  <c r="W7" i="242"/>
  <c r="V7" i="242"/>
  <c r="U7" i="242"/>
  <c r="T7" i="242"/>
  <c r="S7" i="242"/>
  <c r="R7" i="242"/>
  <c r="Q7" i="242"/>
  <c r="P7" i="242"/>
  <c r="O7" i="242"/>
  <c r="N7" i="242"/>
  <c r="M7" i="242"/>
  <c r="L7" i="242"/>
  <c r="K7" i="242"/>
  <c r="J7" i="242"/>
  <c r="I7" i="242"/>
  <c r="H7" i="242"/>
  <c r="G7" i="242"/>
  <c r="F7" i="242"/>
  <c r="E7" i="242"/>
  <c r="D7" i="242"/>
  <c r="C7" i="242"/>
  <c r="B7" i="242"/>
  <c r="Y6" i="242"/>
  <c r="X6" i="242"/>
  <c r="W6" i="242"/>
  <c r="V6" i="242"/>
  <c r="U6" i="242"/>
  <c r="T6" i="242"/>
  <c r="S6" i="242"/>
  <c r="R6" i="242"/>
  <c r="Q6" i="242"/>
  <c r="P6" i="242"/>
  <c r="O6" i="242"/>
  <c r="N6" i="242"/>
  <c r="M6" i="242"/>
  <c r="L6" i="242"/>
  <c r="K6" i="242"/>
  <c r="J6" i="242"/>
  <c r="I6" i="242"/>
  <c r="H6" i="242"/>
  <c r="G6" i="242"/>
  <c r="F6" i="242"/>
  <c r="E6" i="242"/>
  <c r="D6" i="242"/>
  <c r="C6" i="242"/>
  <c r="B6" i="242"/>
  <c r="Y5" i="242"/>
  <c r="X5" i="242"/>
  <c r="W5" i="242"/>
  <c r="V5" i="242"/>
  <c r="U5" i="242"/>
  <c r="T5" i="242"/>
  <c r="S5" i="242"/>
  <c r="R5" i="242"/>
  <c r="Q5" i="242"/>
  <c r="P5" i="242"/>
  <c r="O5" i="242"/>
  <c r="N5" i="242"/>
  <c r="M5" i="242"/>
  <c r="L5" i="242"/>
  <c r="K5" i="242"/>
  <c r="J5" i="242"/>
  <c r="I5" i="242"/>
  <c r="H5" i="242"/>
  <c r="G5" i="242"/>
  <c r="F5" i="242"/>
  <c r="E5" i="242"/>
  <c r="D5" i="242"/>
  <c r="C5" i="242"/>
  <c r="B5" i="242"/>
  <c r="Y10" i="241"/>
  <c r="X10" i="241"/>
  <c r="W10" i="241"/>
  <c r="V10" i="241"/>
  <c r="U10" i="241"/>
  <c r="T10" i="241"/>
  <c r="S10" i="241"/>
  <c r="R10" i="241"/>
  <c r="Q10" i="241"/>
  <c r="P10" i="241"/>
  <c r="O10" i="241"/>
  <c r="N10" i="241"/>
  <c r="M10" i="241"/>
  <c r="L10" i="241"/>
  <c r="K10" i="241"/>
  <c r="J10" i="241"/>
  <c r="I10" i="241"/>
  <c r="H10" i="241"/>
  <c r="G10" i="241"/>
  <c r="F10" i="241"/>
  <c r="E10" i="241"/>
  <c r="D10" i="241"/>
  <c r="C10" i="241"/>
  <c r="B10" i="241"/>
  <c r="Y9" i="241"/>
  <c r="X9" i="241"/>
  <c r="W9" i="241"/>
  <c r="V9" i="241"/>
  <c r="U9" i="241"/>
  <c r="T9" i="241"/>
  <c r="S9" i="241"/>
  <c r="R9" i="241"/>
  <c r="Q9" i="241"/>
  <c r="P9" i="241"/>
  <c r="O9" i="241"/>
  <c r="N9" i="241"/>
  <c r="M9" i="241"/>
  <c r="L9" i="241"/>
  <c r="K9" i="241"/>
  <c r="J9" i="241"/>
  <c r="I9" i="241"/>
  <c r="H9" i="241"/>
  <c r="G9" i="241"/>
  <c r="F9" i="241"/>
  <c r="E9" i="241"/>
  <c r="D9" i="241"/>
  <c r="C9" i="241"/>
  <c r="B9" i="241"/>
  <c r="Y8" i="241"/>
  <c r="X8" i="241"/>
  <c r="W8" i="241"/>
  <c r="V8" i="241"/>
  <c r="U8" i="241"/>
  <c r="T8" i="241"/>
  <c r="S8" i="241"/>
  <c r="R8" i="241"/>
  <c r="Q8" i="241"/>
  <c r="P8" i="241"/>
  <c r="O8" i="241"/>
  <c r="N8" i="241"/>
  <c r="M8" i="241"/>
  <c r="L8" i="241"/>
  <c r="K8" i="241"/>
  <c r="J8" i="241"/>
  <c r="I8" i="241"/>
  <c r="H8" i="241"/>
  <c r="G8" i="241"/>
  <c r="F8" i="241"/>
  <c r="E8" i="241"/>
  <c r="D8" i="241"/>
  <c r="C8" i="241"/>
  <c r="B8" i="241"/>
  <c r="Y7" i="241"/>
  <c r="X7" i="241"/>
  <c r="W7" i="241"/>
  <c r="V7" i="241"/>
  <c r="U7" i="241"/>
  <c r="T7" i="241"/>
  <c r="S7" i="241"/>
  <c r="R7" i="241"/>
  <c r="Q7" i="241"/>
  <c r="P7" i="241"/>
  <c r="O7" i="241"/>
  <c r="N7" i="241"/>
  <c r="M7" i="241"/>
  <c r="L7" i="241"/>
  <c r="K7" i="241"/>
  <c r="J7" i="241"/>
  <c r="I7" i="241"/>
  <c r="H7" i="241"/>
  <c r="G7" i="241"/>
  <c r="F7" i="241"/>
  <c r="E7" i="241"/>
  <c r="D7" i="241"/>
  <c r="C7" i="241"/>
  <c r="B7" i="241"/>
  <c r="Y6" i="241"/>
  <c r="X6" i="241"/>
  <c r="W6" i="241"/>
  <c r="V6" i="241"/>
  <c r="U6" i="241"/>
  <c r="T6" i="241"/>
  <c r="S6" i="241"/>
  <c r="R6" i="241"/>
  <c r="Q6" i="241"/>
  <c r="P6" i="241"/>
  <c r="O6" i="241"/>
  <c r="N6" i="241"/>
  <c r="M6" i="241"/>
  <c r="L6" i="241"/>
  <c r="K6" i="241"/>
  <c r="J6" i="241"/>
  <c r="I6" i="241"/>
  <c r="H6" i="241"/>
  <c r="G6" i="241"/>
  <c r="F6" i="241"/>
  <c r="E6" i="241"/>
  <c r="D6" i="241"/>
  <c r="C6" i="241"/>
  <c r="B6" i="241"/>
  <c r="Y5" i="241"/>
  <c r="X5" i="241"/>
  <c r="W5" i="241"/>
  <c r="V5" i="241"/>
  <c r="U5" i="241"/>
  <c r="T5" i="241"/>
  <c r="S5" i="241"/>
  <c r="R5" i="241"/>
  <c r="Q5" i="241"/>
  <c r="P5" i="241"/>
  <c r="O5" i="241"/>
  <c r="N5" i="241"/>
  <c r="M5" i="241"/>
  <c r="L5" i="241"/>
  <c r="K5" i="241"/>
  <c r="J5" i="241"/>
  <c r="I5" i="241"/>
  <c r="H5" i="241"/>
  <c r="G5" i="241"/>
  <c r="F5" i="241"/>
  <c r="E5" i="241"/>
  <c r="D5" i="241"/>
  <c r="C5" i="241"/>
  <c r="B5" i="241"/>
  <c r="Y10" i="240"/>
  <c r="X10" i="240"/>
  <c r="W10" i="240"/>
  <c r="V10" i="240"/>
  <c r="U10" i="240"/>
  <c r="T10" i="240"/>
  <c r="S10" i="240"/>
  <c r="R10" i="240"/>
  <c r="Q10" i="240"/>
  <c r="P10" i="240"/>
  <c r="O10" i="240"/>
  <c r="N10" i="240"/>
  <c r="M10" i="240"/>
  <c r="L10" i="240"/>
  <c r="K10" i="240"/>
  <c r="J10" i="240"/>
  <c r="I10" i="240"/>
  <c r="H10" i="240"/>
  <c r="G10" i="240"/>
  <c r="F10" i="240"/>
  <c r="E10" i="240"/>
  <c r="D10" i="240"/>
  <c r="C10" i="240"/>
  <c r="B10" i="240"/>
  <c r="Y9" i="240"/>
  <c r="X9" i="240"/>
  <c r="W9" i="240"/>
  <c r="V9" i="240"/>
  <c r="U9" i="240"/>
  <c r="T9" i="240"/>
  <c r="S9" i="240"/>
  <c r="R9" i="240"/>
  <c r="Q9" i="240"/>
  <c r="P9" i="240"/>
  <c r="O9" i="240"/>
  <c r="N9" i="240"/>
  <c r="M9" i="240"/>
  <c r="L9" i="240"/>
  <c r="K9" i="240"/>
  <c r="J9" i="240"/>
  <c r="I9" i="240"/>
  <c r="H9" i="240"/>
  <c r="G9" i="240"/>
  <c r="F9" i="240"/>
  <c r="E9" i="240"/>
  <c r="D9" i="240"/>
  <c r="C9" i="240"/>
  <c r="B9" i="240"/>
  <c r="Y8" i="240"/>
  <c r="X8" i="240"/>
  <c r="W8" i="240"/>
  <c r="V8" i="240"/>
  <c r="U8" i="240"/>
  <c r="T8" i="240"/>
  <c r="S8" i="240"/>
  <c r="R8" i="240"/>
  <c r="Q8" i="240"/>
  <c r="P8" i="240"/>
  <c r="O8" i="240"/>
  <c r="N8" i="240"/>
  <c r="M8" i="240"/>
  <c r="L8" i="240"/>
  <c r="K8" i="240"/>
  <c r="J8" i="240"/>
  <c r="I8" i="240"/>
  <c r="H8" i="240"/>
  <c r="G8" i="240"/>
  <c r="F8" i="240"/>
  <c r="E8" i="240"/>
  <c r="D8" i="240"/>
  <c r="C8" i="240"/>
  <c r="B8" i="240"/>
  <c r="Y7" i="240"/>
  <c r="X7" i="240"/>
  <c r="W7" i="240"/>
  <c r="V7" i="240"/>
  <c r="U7" i="240"/>
  <c r="T7" i="240"/>
  <c r="S7" i="240"/>
  <c r="R7" i="240"/>
  <c r="Q7" i="240"/>
  <c r="P7" i="240"/>
  <c r="O7" i="240"/>
  <c r="N7" i="240"/>
  <c r="M7" i="240"/>
  <c r="L7" i="240"/>
  <c r="K7" i="240"/>
  <c r="J7" i="240"/>
  <c r="I7" i="240"/>
  <c r="H7" i="240"/>
  <c r="G7" i="240"/>
  <c r="F7" i="240"/>
  <c r="E7" i="240"/>
  <c r="D7" i="240"/>
  <c r="C7" i="240"/>
  <c r="B7" i="240"/>
  <c r="Y6" i="240"/>
  <c r="X6" i="240"/>
  <c r="W6" i="240"/>
  <c r="V6" i="240"/>
  <c r="U6" i="240"/>
  <c r="T6" i="240"/>
  <c r="S6" i="240"/>
  <c r="R6" i="240"/>
  <c r="Q6" i="240"/>
  <c r="P6" i="240"/>
  <c r="O6" i="240"/>
  <c r="N6" i="240"/>
  <c r="M6" i="240"/>
  <c r="L6" i="240"/>
  <c r="K6" i="240"/>
  <c r="J6" i="240"/>
  <c r="I6" i="240"/>
  <c r="H6" i="240"/>
  <c r="G6" i="240"/>
  <c r="F6" i="240"/>
  <c r="E6" i="240"/>
  <c r="D6" i="240"/>
  <c r="C6" i="240"/>
  <c r="B6" i="240"/>
  <c r="Y5" i="240"/>
  <c r="X5" i="240"/>
  <c r="W5" i="240"/>
  <c r="V5" i="240"/>
  <c r="U5" i="240"/>
  <c r="T5" i="240"/>
  <c r="S5" i="240"/>
  <c r="R5" i="240"/>
  <c r="Q5" i="240"/>
  <c r="P5" i="240"/>
  <c r="O5" i="240"/>
  <c r="N5" i="240"/>
  <c r="M5" i="240"/>
  <c r="L5" i="240"/>
  <c r="K5" i="240"/>
  <c r="J5" i="240"/>
  <c r="I5" i="240"/>
  <c r="H5" i="240"/>
  <c r="G5" i="240"/>
  <c r="F5" i="240"/>
  <c r="E5" i="240"/>
  <c r="D5" i="240"/>
  <c r="C5" i="240"/>
  <c r="B5" i="240"/>
  <c r="Y10" i="239"/>
  <c r="X10" i="239"/>
  <c r="W10" i="239"/>
  <c r="V10" i="239"/>
  <c r="U10" i="239"/>
  <c r="T10" i="239"/>
  <c r="S10" i="239"/>
  <c r="R10" i="239"/>
  <c r="Q10" i="239"/>
  <c r="P10" i="239"/>
  <c r="O10" i="239"/>
  <c r="N10" i="239"/>
  <c r="M10" i="239"/>
  <c r="L10" i="239"/>
  <c r="K10" i="239"/>
  <c r="J10" i="239"/>
  <c r="I10" i="239"/>
  <c r="H10" i="239"/>
  <c r="G10" i="239"/>
  <c r="F10" i="239"/>
  <c r="E10" i="239"/>
  <c r="D10" i="239"/>
  <c r="C10" i="239"/>
  <c r="B10" i="239"/>
  <c r="Y9" i="239"/>
  <c r="X9" i="239"/>
  <c r="W9" i="239"/>
  <c r="V9" i="239"/>
  <c r="U9" i="239"/>
  <c r="T9" i="239"/>
  <c r="S9" i="239"/>
  <c r="R9" i="239"/>
  <c r="Q9" i="239"/>
  <c r="P9" i="239"/>
  <c r="O9" i="239"/>
  <c r="N9" i="239"/>
  <c r="M9" i="239"/>
  <c r="L9" i="239"/>
  <c r="K9" i="239"/>
  <c r="J9" i="239"/>
  <c r="I9" i="239"/>
  <c r="H9" i="239"/>
  <c r="G9" i="239"/>
  <c r="F9" i="239"/>
  <c r="E9" i="239"/>
  <c r="D9" i="239"/>
  <c r="C9" i="239"/>
  <c r="B9" i="239"/>
  <c r="Y8" i="239"/>
  <c r="X8" i="239"/>
  <c r="W8" i="239"/>
  <c r="V8" i="239"/>
  <c r="U8" i="239"/>
  <c r="T8" i="239"/>
  <c r="S8" i="239"/>
  <c r="R8" i="239"/>
  <c r="Q8" i="239"/>
  <c r="P8" i="239"/>
  <c r="O8" i="239"/>
  <c r="N8" i="239"/>
  <c r="M8" i="239"/>
  <c r="L8" i="239"/>
  <c r="K8" i="239"/>
  <c r="J8" i="239"/>
  <c r="I8" i="239"/>
  <c r="H8" i="239"/>
  <c r="G8" i="239"/>
  <c r="F8" i="239"/>
  <c r="E8" i="239"/>
  <c r="D8" i="239"/>
  <c r="C8" i="239"/>
  <c r="B8" i="239"/>
  <c r="Y7" i="239"/>
  <c r="X7" i="239"/>
  <c r="W7" i="239"/>
  <c r="V7" i="239"/>
  <c r="U7" i="239"/>
  <c r="T7" i="239"/>
  <c r="S7" i="239"/>
  <c r="R7" i="239"/>
  <c r="Q7" i="239"/>
  <c r="P7" i="239"/>
  <c r="O7" i="239"/>
  <c r="N7" i="239"/>
  <c r="M7" i="239"/>
  <c r="L7" i="239"/>
  <c r="K7" i="239"/>
  <c r="J7" i="239"/>
  <c r="I7" i="239"/>
  <c r="H7" i="239"/>
  <c r="G7" i="239"/>
  <c r="F7" i="239"/>
  <c r="E7" i="239"/>
  <c r="D7" i="239"/>
  <c r="C7" i="239"/>
  <c r="B7" i="239"/>
  <c r="Y6" i="239"/>
  <c r="X6" i="239"/>
  <c r="W6" i="239"/>
  <c r="V6" i="239"/>
  <c r="U6" i="239"/>
  <c r="T6" i="239"/>
  <c r="S6" i="239"/>
  <c r="R6" i="239"/>
  <c r="Q6" i="239"/>
  <c r="P6" i="239"/>
  <c r="O6" i="239"/>
  <c r="N6" i="239"/>
  <c r="M6" i="239"/>
  <c r="L6" i="239"/>
  <c r="K6" i="239"/>
  <c r="J6" i="239"/>
  <c r="I6" i="239"/>
  <c r="H6" i="239"/>
  <c r="G6" i="239"/>
  <c r="F6" i="239"/>
  <c r="E6" i="239"/>
  <c r="D6" i="239"/>
  <c r="C6" i="239"/>
  <c r="B6" i="239"/>
  <c r="Y5" i="239"/>
  <c r="X5" i="239"/>
  <c r="W5" i="239"/>
  <c r="V5" i="239"/>
  <c r="U5" i="239"/>
  <c r="T5" i="239"/>
  <c r="S5" i="239"/>
  <c r="R5" i="239"/>
  <c r="Q5" i="239"/>
  <c r="P5" i="239"/>
  <c r="O5" i="239"/>
  <c r="N5" i="239"/>
  <c r="M5" i="239"/>
  <c r="L5" i="239"/>
  <c r="K5" i="239"/>
  <c r="J5" i="239"/>
  <c r="I5" i="239"/>
  <c r="H5" i="239"/>
  <c r="G5" i="239"/>
  <c r="F5" i="239"/>
  <c r="E5" i="239"/>
  <c r="D5" i="239"/>
  <c r="C5" i="239"/>
  <c r="B5" i="239"/>
  <c r="Y10" i="238"/>
  <c r="X10" i="238"/>
  <c r="W10" i="238"/>
  <c r="V10" i="238"/>
  <c r="U10" i="238"/>
  <c r="T10" i="238"/>
  <c r="S10" i="238"/>
  <c r="R10" i="238"/>
  <c r="Q10" i="238"/>
  <c r="P10" i="238"/>
  <c r="O10" i="238"/>
  <c r="N10" i="238"/>
  <c r="M10" i="238"/>
  <c r="L10" i="238"/>
  <c r="K10" i="238"/>
  <c r="J10" i="238"/>
  <c r="I10" i="238"/>
  <c r="H10" i="238"/>
  <c r="G10" i="238"/>
  <c r="F10" i="238"/>
  <c r="E10" i="238"/>
  <c r="D10" i="238"/>
  <c r="C10" i="238"/>
  <c r="B10" i="238"/>
  <c r="Y9" i="238"/>
  <c r="X9" i="238"/>
  <c r="W9" i="238"/>
  <c r="V9" i="238"/>
  <c r="U9" i="238"/>
  <c r="T9" i="238"/>
  <c r="S9" i="238"/>
  <c r="R9" i="238"/>
  <c r="Q9" i="238"/>
  <c r="P9" i="238"/>
  <c r="O9" i="238"/>
  <c r="N9" i="238"/>
  <c r="M9" i="238"/>
  <c r="L9" i="238"/>
  <c r="K9" i="238"/>
  <c r="J9" i="238"/>
  <c r="I9" i="238"/>
  <c r="H9" i="238"/>
  <c r="G9" i="238"/>
  <c r="F9" i="238"/>
  <c r="E9" i="238"/>
  <c r="D9" i="238"/>
  <c r="C9" i="238"/>
  <c r="B9" i="238"/>
  <c r="Y8" i="238"/>
  <c r="X8" i="238"/>
  <c r="W8" i="238"/>
  <c r="V8" i="238"/>
  <c r="U8" i="238"/>
  <c r="T8" i="238"/>
  <c r="S8" i="238"/>
  <c r="R8" i="238"/>
  <c r="Q8" i="238"/>
  <c r="P8" i="238"/>
  <c r="O8" i="238"/>
  <c r="N8" i="238"/>
  <c r="M8" i="238"/>
  <c r="L8" i="238"/>
  <c r="K8" i="238"/>
  <c r="J8" i="238"/>
  <c r="I8" i="238"/>
  <c r="H8" i="238"/>
  <c r="G8" i="238"/>
  <c r="F8" i="238"/>
  <c r="E8" i="238"/>
  <c r="D8" i="238"/>
  <c r="C8" i="238"/>
  <c r="B8" i="238"/>
  <c r="Y7" i="238"/>
  <c r="X7" i="238"/>
  <c r="W7" i="238"/>
  <c r="V7" i="238"/>
  <c r="U7" i="238"/>
  <c r="T7" i="238"/>
  <c r="S7" i="238"/>
  <c r="R7" i="238"/>
  <c r="Q7" i="238"/>
  <c r="P7" i="238"/>
  <c r="O7" i="238"/>
  <c r="N7" i="238"/>
  <c r="M7" i="238"/>
  <c r="L7" i="238"/>
  <c r="K7" i="238"/>
  <c r="J7" i="238"/>
  <c r="I7" i="238"/>
  <c r="H7" i="238"/>
  <c r="G7" i="238"/>
  <c r="F7" i="238"/>
  <c r="E7" i="238"/>
  <c r="D7" i="238"/>
  <c r="C7" i="238"/>
  <c r="B7" i="238"/>
  <c r="Y6" i="238"/>
  <c r="X6" i="238"/>
  <c r="W6" i="238"/>
  <c r="V6" i="238"/>
  <c r="U6" i="238"/>
  <c r="T6" i="238"/>
  <c r="S6" i="238"/>
  <c r="R6" i="238"/>
  <c r="Q6" i="238"/>
  <c r="P6" i="238"/>
  <c r="O6" i="238"/>
  <c r="N6" i="238"/>
  <c r="M6" i="238"/>
  <c r="L6" i="238"/>
  <c r="K6" i="238"/>
  <c r="J6" i="238"/>
  <c r="I6" i="238"/>
  <c r="H6" i="238"/>
  <c r="G6" i="238"/>
  <c r="F6" i="238"/>
  <c r="E6" i="238"/>
  <c r="D6" i="238"/>
  <c r="C6" i="238"/>
  <c r="B6" i="238"/>
  <c r="Y5" i="238"/>
  <c r="X5" i="238"/>
  <c r="W5" i="238"/>
  <c r="V5" i="238"/>
  <c r="U5" i="238"/>
  <c r="T5" i="238"/>
  <c r="S5" i="238"/>
  <c r="R5" i="238"/>
  <c r="Q5" i="238"/>
  <c r="P5" i="238"/>
  <c r="O5" i="238"/>
  <c r="N5" i="238"/>
  <c r="M5" i="238"/>
  <c r="L5" i="238"/>
  <c r="K5" i="238"/>
  <c r="J5" i="238"/>
  <c r="I5" i="238"/>
  <c r="H5" i="238"/>
  <c r="G5" i="238"/>
  <c r="F5" i="238"/>
  <c r="E5" i="238"/>
  <c r="D5" i="238"/>
  <c r="C5" i="238"/>
  <c r="B5" i="238"/>
  <c r="Y10" i="237"/>
  <c r="X10" i="237"/>
  <c r="W10" i="237"/>
  <c r="V10" i="237"/>
  <c r="U10" i="237"/>
  <c r="T10" i="237"/>
  <c r="S10" i="237"/>
  <c r="R10" i="237"/>
  <c r="Q10" i="237"/>
  <c r="P10" i="237"/>
  <c r="O10" i="237"/>
  <c r="N10" i="237"/>
  <c r="M10" i="237"/>
  <c r="L10" i="237"/>
  <c r="K10" i="237"/>
  <c r="J10" i="237"/>
  <c r="I10" i="237"/>
  <c r="H10" i="237"/>
  <c r="G10" i="237"/>
  <c r="F10" i="237"/>
  <c r="E10" i="237"/>
  <c r="D10" i="237"/>
  <c r="C10" i="237"/>
  <c r="B10" i="237"/>
  <c r="Y9" i="237"/>
  <c r="X9" i="237"/>
  <c r="W9" i="237"/>
  <c r="V9" i="237"/>
  <c r="U9" i="237"/>
  <c r="T9" i="237"/>
  <c r="S9" i="237"/>
  <c r="R9" i="237"/>
  <c r="Q9" i="237"/>
  <c r="P9" i="237"/>
  <c r="O9" i="237"/>
  <c r="N9" i="237"/>
  <c r="M9" i="237"/>
  <c r="L9" i="237"/>
  <c r="K9" i="237"/>
  <c r="J9" i="237"/>
  <c r="I9" i="237"/>
  <c r="H9" i="237"/>
  <c r="G9" i="237"/>
  <c r="F9" i="237"/>
  <c r="E9" i="237"/>
  <c r="D9" i="237"/>
  <c r="C9" i="237"/>
  <c r="B9" i="237"/>
  <c r="Y8" i="237"/>
  <c r="X8" i="237"/>
  <c r="W8" i="237"/>
  <c r="V8" i="237"/>
  <c r="U8" i="237"/>
  <c r="T8" i="237"/>
  <c r="S8" i="237"/>
  <c r="R8" i="237"/>
  <c r="Q8" i="237"/>
  <c r="P8" i="237"/>
  <c r="O8" i="237"/>
  <c r="N8" i="237"/>
  <c r="M8" i="237"/>
  <c r="L8" i="237"/>
  <c r="K8" i="237"/>
  <c r="J8" i="237"/>
  <c r="I8" i="237"/>
  <c r="H8" i="237"/>
  <c r="G8" i="237"/>
  <c r="F8" i="237"/>
  <c r="E8" i="237"/>
  <c r="D8" i="237"/>
  <c r="C8" i="237"/>
  <c r="B8" i="237"/>
  <c r="Y7" i="237"/>
  <c r="X7" i="237"/>
  <c r="W7" i="237"/>
  <c r="V7" i="237"/>
  <c r="U7" i="237"/>
  <c r="T7" i="237"/>
  <c r="S7" i="237"/>
  <c r="R7" i="237"/>
  <c r="Q7" i="237"/>
  <c r="P7" i="237"/>
  <c r="O7" i="237"/>
  <c r="N7" i="237"/>
  <c r="M7" i="237"/>
  <c r="L7" i="237"/>
  <c r="K7" i="237"/>
  <c r="J7" i="237"/>
  <c r="I7" i="237"/>
  <c r="H7" i="237"/>
  <c r="G7" i="237"/>
  <c r="F7" i="237"/>
  <c r="E7" i="237"/>
  <c r="D7" i="237"/>
  <c r="C7" i="237"/>
  <c r="B7" i="237"/>
  <c r="Y6" i="237"/>
  <c r="X6" i="237"/>
  <c r="W6" i="237"/>
  <c r="V6" i="237"/>
  <c r="U6" i="237"/>
  <c r="T6" i="237"/>
  <c r="S6" i="237"/>
  <c r="R6" i="237"/>
  <c r="Q6" i="237"/>
  <c r="P6" i="237"/>
  <c r="O6" i="237"/>
  <c r="N6" i="237"/>
  <c r="M6" i="237"/>
  <c r="L6" i="237"/>
  <c r="K6" i="237"/>
  <c r="J6" i="237"/>
  <c r="I6" i="237"/>
  <c r="H6" i="237"/>
  <c r="G6" i="237"/>
  <c r="F6" i="237"/>
  <c r="E6" i="237"/>
  <c r="D6" i="237"/>
  <c r="C6" i="237"/>
  <c r="B6" i="237"/>
  <c r="Y5" i="237"/>
  <c r="X5" i="237"/>
  <c r="W5" i="237"/>
  <c r="V5" i="237"/>
  <c r="U5" i="237"/>
  <c r="T5" i="237"/>
  <c r="S5" i="237"/>
  <c r="R5" i="237"/>
  <c r="Q5" i="237"/>
  <c r="P5" i="237"/>
  <c r="O5" i="237"/>
  <c r="N5" i="237"/>
  <c r="M5" i="237"/>
  <c r="L5" i="237"/>
  <c r="K5" i="237"/>
  <c r="J5" i="237"/>
  <c r="I5" i="237"/>
  <c r="H5" i="237"/>
  <c r="G5" i="237"/>
  <c r="F5" i="237"/>
  <c r="E5" i="237"/>
  <c r="D5" i="237"/>
  <c r="C5" i="237"/>
  <c r="B5" i="237"/>
  <c r="Y10" i="236"/>
  <c r="X10" i="236"/>
  <c r="W10" i="236"/>
  <c r="V10" i="236"/>
  <c r="U10" i="236"/>
  <c r="T10" i="236"/>
  <c r="S10" i="236"/>
  <c r="R10" i="236"/>
  <c r="Q10" i="236"/>
  <c r="P10" i="236"/>
  <c r="O10" i="236"/>
  <c r="N10" i="236"/>
  <c r="M10" i="236"/>
  <c r="L10" i="236"/>
  <c r="K10" i="236"/>
  <c r="J10" i="236"/>
  <c r="I10" i="236"/>
  <c r="H10" i="236"/>
  <c r="G10" i="236"/>
  <c r="F10" i="236"/>
  <c r="E10" i="236"/>
  <c r="D10" i="236"/>
  <c r="C10" i="236"/>
  <c r="B10" i="236"/>
  <c r="Y9" i="236"/>
  <c r="X9" i="236"/>
  <c r="W9" i="236"/>
  <c r="V9" i="236"/>
  <c r="U9" i="236"/>
  <c r="T9" i="236"/>
  <c r="S9" i="236"/>
  <c r="R9" i="236"/>
  <c r="Q9" i="236"/>
  <c r="P9" i="236"/>
  <c r="O9" i="236"/>
  <c r="N9" i="236"/>
  <c r="M9" i="236"/>
  <c r="L9" i="236"/>
  <c r="K9" i="236"/>
  <c r="J9" i="236"/>
  <c r="I9" i="236"/>
  <c r="H9" i="236"/>
  <c r="G9" i="236"/>
  <c r="F9" i="236"/>
  <c r="E9" i="236"/>
  <c r="D9" i="236"/>
  <c r="C9" i="236"/>
  <c r="B9" i="236"/>
  <c r="Y8" i="236"/>
  <c r="X8" i="236"/>
  <c r="W8" i="236"/>
  <c r="V8" i="236"/>
  <c r="U8" i="236"/>
  <c r="T8" i="236"/>
  <c r="S8" i="236"/>
  <c r="R8" i="236"/>
  <c r="Q8" i="236"/>
  <c r="P8" i="236"/>
  <c r="O8" i="236"/>
  <c r="N8" i="236"/>
  <c r="M8" i="236"/>
  <c r="L8" i="236"/>
  <c r="K8" i="236"/>
  <c r="J8" i="236"/>
  <c r="I8" i="236"/>
  <c r="H8" i="236"/>
  <c r="G8" i="236"/>
  <c r="F8" i="236"/>
  <c r="E8" i="236"/>
  <c r="D8" i="236"/>
  <c r="C8" i="236"/>
  <c r="B8" i="236"/>
  <c r="Y7" i="236"/>
  <c r="X7" i="236"/>
  <c r="W7" i="236"/>
  <c r="V7" i="236"/>
  <c r="U7" i="236"/>
  <c r="T7" i="236"/>
  <c r="S7" i="236"/>
  <c r="R7" i="236"/>
  <c r="Q7" i="236"/>
  <c r="P7" i="236"/>
  <c r="O7" i="236"/>
  <c r="N7" i="236"/>
  <c r="M7" i="236"/>
  <c r="L7" i="236"/>
  <c r="K7" i="236"/>
  <c r="J7" i="236"/>
  <c r="I7" i="236"/>
  <c r="H7" i="236"/>
  <c r="G7" i="236"/>
  <c r="F7" i="236"/>
  <c r="E7" i="236"/>
  <c r="D7" i="236"/>
  <c r="C7" i="236"/>
  <c r="B7" i="236"/>
  <c r="Y6" i="236"/>
  <c r="X6" i="236"/>
  <c r="W6" i="236"/>
  <c r="V6" i="236"/>
  <c r="U6" i="236"/>
  <c r="T6" i="236"/>
  <c r="S6" i="236"/>
  <c r="R6" i="236"/>
  <c r="Q6" i="236"/>
  <c r="P6" i="236"/>
  <c r="O6" i="236"/>
  <c r="N6" i="236"/>
  <c r="M6" i="236"/>
  <c r="L6" i="236"/>
  <c r="K6" i="236"/>
  <c r="J6" i="236"/>
  <c r="I6" i="236"/>
  <c r="H6" i="236"/>
  <c r="G6" i="236"/>
  <c r="F6" i="236"/>
  <c r="E6" i="236"/>
  <c r="D6" i="236"/>
  <c r="C6" i="236"/>
  <c r="B6" i="236"/>
  <c r="Y5" i="236"/>
  <c r="X5" i="236"/>
  <c r="W5" i="236"/>
  <c r="V5" i="236"/>
  <c r="U5" i="236"/>
  <c r="T5" i="236"/>
  <c r="S5" i="236"/>
  <c r="R5" i="236"/>
  <c r="Q5" i="236"/>
  <c r="P5" i="236"/>
  <c r="O5" i="236"/>
  <c r="N5" i="236"/>
  <c r="M5" i="236"/>
  <c r="L5" i="236"/>
  <c r="K5" i="236"/>
  <c r="J5" i="236"/>
  <c r="I5" i="236"/>
  <c r="H5" i="236"/>
  <c r="G5" i="236"/>
  <c r="F5" i="236"/>
  <c r="E5" i="236"/>
  <c r="D5" i="236"/>
  <c r="C5" i="236"/>
  <c r="B5" i="236"/>
  <c r="Y10" i="209"/>
  <c r="X10" i="209"/>
  <c r="W10" i="209"/>
  <c r="V10" i="209"/>
  <c r="U10" i="209"/>
  <c r="T10" i="209"/>
  <c r="S10" i="209"/>
  <c r="R10" i="209"/>
  <c r="Q10" i="209"/>
  <c r="P10" i="209"/>
  <c r="O10" i="209"/>
  <c r="N10" i="209"/>
  <c r="M10" i="209"/>
  <c r="L10" i="209"/>
  <c r="K10" i="209"/>
  <c r="J10" i="209"/>
  <c r="I10" i="209"/>
  <c r="H10" i="209"/>
  <c r="G10" i="209"/>
  <c r="F10" i="209"/>
  <c r="E10" i="209"/>
  <c r="D10" i="209"/>
  <c r="C10" i="209"/>
  <c r="B10" i="209"/>
  <c r="Y9" i="209"/>
  <c r="X9" i="209"/>
  <c r="W9" i="209"/>
  <c r="V9" i="209"/>
  <c r="U9" i="209"/>
  <c r="T9" i="209"/>
  <c r="S9" i="209"/>
  <c r="R9" i="209"/>
  <c r="Q9" i="209"/>
  <c r="P9" i="209"/>
  <c r="O9" i="209"/>
  <c r="N9" i="209"/>
  <c r="M9" i="209"/>
  <c r="L9" i="209"/>
  <c r="K9" i="209"/>
  <c r="J9" i="209"/>
  <c r="I9" i="209"/>
  <c r="H9" i="209"/>
  <c r="G9" i="209"/>
  <c r="F9" i="209"/>
  <c r="E9" i="209"/>
  <c r="D9" i="209"/>
  <c r="C9" i="209"/>
  <c r="B9" i="209"/>
  <c r="Y8" i="209"/>
  <c r="X8" i="209"/>
  <c r="W8" i="209"/>
  <c r="V8" i="209"/>
  <c r="U8" i="209"/>
  <c r="T8" i="209"/>
  <c r="S8" i="209"/>
  <c r="R8" i="209"/>
  <c r="Q8" i="209"/>
  <c r="P8" i="209"/>
  <c r="O8" i="209"/>
  <c r="N8" i="209"/>
  <c r="M8" i="209"/>
  <c r="L8" i="209"/>
  <c r="K8" i="209"/>
  <c r="J8" i="209"/>
  <c r="I8" i="209"/>
  <c r="H8" i="209"/>
  <c r="G8" i="209"/>
  <c r="F8" i="209"/>
  <c r="E8" i="209"/>
  <c r="D8" i="209"/>
  <c r="C8" i="209"/>
  <c r="B8" i="209"/>
  <c r="Y7" i="209"/>
  <c r="X7" i="209"/>
  <c r="W7" i="209"/>
  <c r="V7" i="209"/>
  <c r="U7" i="209"/>
  <c r="T7" i="209"/>
  <c r="S7" i="209"/>
  <c r="R7" i="209"/>
  <c r="Q7" i="209"/>
  <c r="P7" i="209"/>
  <c r="O7" i="209"/>
  <c r="N7" i="209"/>
  <c r="M7" i="209"/>
  <c r="L7" i="209"/>
  <c r="K7" i="209"/>
  <c r="J7" i="209"/>
  <c r="I7" i="209"/>
  <c r="H7" i="209"/>
  <c r="G7" i="209"/>
  <c r="F7" i="209"/>
  <c r="E7" i="209"/>
  <c r="D7" i="209"/>
  <c r="C7" i="209"/>
  <c r="B7" i="209"/>
  <c r="Y6" i="209"/>
  <c r="X6" i="209"/>
  <c r="W6" i="209"/>
  <c r="V6" i="209"/>
  <c r="U6" i="209"/>
  <c r="T6" i="209"/>
  <c r="S6" i="209"/>
  <c r="R6" i="209"/>
  <c r="Q6" i="209"/>
  <c r="P6" i="209"/>
  <c r="O6" i="209"/>
  <c r="N6" i="209"/>
  <c r="M6" i="209"/>
  <c r="L6" i="209"/>
  <c r="K6" i="209"/>
  <c r="J6" i="209"/>
  <c r="I6" i="209"/>
  <c r="H6" i="209"/>
  <c r="G6" i="209"/>
  <c r="F6" i="209"/>
  <c r="E6" i="209"/>
  <c r="D6" i="209"/>
  <c r="C6" i="209"/>
  <c r="B6" i="209"/>
  <c r="Y5" i="209"/>
  <c r="X5" i="209"/>
  <c r="W5" i="209"/>
  <c r="V5" i="209"/>
  <c r="U5" i="209"/>
  <c r="T5" i="209"/>
  <c r="S5" i="209"/>
  <c r="R5" i="209"/>
  <c r="Q5" i="209"/>
  <c r="P5" i="209"/>
  <c r="O5" i="209"/>
  <c r="N5" i="209"/>
  <c r="M5" i="209"/>
  <c r="L5" i="209"/>
  <c r="K5" i="209"/>
  <c r="J5" i="209"/>
  <c r="I5" i="209"/>
  <c r="H5" i="209"/>
  <c r="G5" i="209"/>
  <c r="F5" i="209"/>
  <c r="E5" i="209"/>
  <c r="D5" i="209"/>
  <c r="C5" i="209"/>
  <c r="B5" i="209"/>
  <c r="Y10" i="208"/>
  <c r="X10" i="208"/>
  <c r="W10" i="208"/>
  <c r="V10" i="208"/>
  <c r="U10" i="208"/>
  <c r="T10" i="208"/>
  <c r="S10" i="208"/>
  <c r="R10" i="208"/>
  <c r="Q10" i="208"/>
  <c r="P10" i="208"/>
  <c r="O10" i="208"/>
  <c r="N10" i="208"/>
  <c r="M10" i="208"/>
  <c r="L10" i="208"/>
  <c r="K10" i="208"/>
  <c r="J10" i="208"/>
  <c r="I10" i="208"/>
  <c r="H10" i="208"/>
  <c r="G10" i="208"/>
  <c r="F10" i="208"/>
  <c r="E10" i="208"/>
  <c r="D10" i="208"/>
  <c r="C10" i="208"/>
  <c r="B10" i="208"/>
  <c r="Y9" i="208"/>
  <c r="X9" i="208"/>
  <c r="W9" i="208"/>
  <c r="V9" i="208"/>
  <c r="U9" i="208"/>
  <c r="T9" i="208"/>
  <c r="S9" i="208"/>
  <c r="R9" i="208"/>
  <c r="Q9" i="208"/>
  <c r="P9" i="208"/>
  <c r="O9" i="208"/>
  <c r="N9" i="208"/>
  <c r="M9" i="208"/>
  <c r="L9" i="208"/>
  <c r="K9" i="208"/>
  <c r="J9" i="208"/>
  <c r="I9" i="208"/>
  <c r="H9" i="208"/>
  <c r="G9" i="208"/>
  <c r="F9" i="208"/>
  <c r="E9" i="208"/>
  <c r="D9" i="208"/>
  <c r="C9" i="208"/>
  <c r="B9" i="208"/>
  <c r="Y8" i="208"/>
  <c r="X8" i="208"/>
  <c r="W8" i="208"/>
  <c r="V8" i="208"/>
  <c r="U8" i="208"/>
  <c r="T8" i="208"/>
  <c r="S8" i="208"/>
  <c r="R8" i="208"/>
  <c r="Q8" i="208"/>
  <c r="P8" i="208"/>
  <c r="O8" i="208"/>
  <c r="N8" i="208"/>
  <c r="M8" i="208"/>
  <c r="L8" i="208"/>
  <c r="K8" i="208"/>
  <c r="J8" i="208"/>
  <c r="I8" i="208"/>
  <c r="H8" i="208"/>
  <c r="G8" i="208"/>
  <c r="F8" i="208"/>
  <c r="E8" i="208"/>
  <c r="D8" i="208"/>
  <c r="C8" i="208"/>
  <c r="B8" i="208"/>
  <c r="Y7" i="208"/>
  <c r="X7" i="208"/>
  <c r="W7" i="208"/>
  <c r="V7" i="208"/>
  <c r="U7" i="208"/>
  <c r="T7" i="208"/>
  <c r="S7" i="208"/>
  <c r="R7" i="208"/>
  <c r="Q7" i="208"/>
  <c r="P7" i="208"/>
  <c r="O7" i="208"/>
  <c r="N7" i="208"/>
  <c r="M7" i="208"/>
  <c r="L7" i="208"/>
  <c r="K7" i="208"/>
  <c r="J7" i="208"/>
  <c r="I7" i="208"/>
  <c r="H7" i="208"/>
  <c r="G7" i="208"/>
  <c r="F7" i="208"/>
  <c r="E7" i="208"/>
  <c r="D7" i="208"/>
  <c r="C7" i="208"/>
  <c r="B7" i="208"/>
  <c r="Y6" i="208"/>
  <c r="X6" i="208"/>
  <c r="W6" i="208"/>
  <c r="V6" i="208"/>
  <c r="U6" i="208"/>
  <c r="T6" i="208"/>
  <c r="S6" i="208"/>
  <c r="R6" i="208"/>
  <c r="Q6" i="208"/>
  <c r="P6" i="208"/>
  <c r="O6" i="208"/>
  <c r="N6" i="208"/>
  <c r="M6" i="208"/>
  <c r="L6" i="208"/>
  <c r="K6" i="208"/>
  <c r="J6" i="208"/>
  <c r="I6" i="208"/>
  <c r="H6" i="208"/>
  <c r="G6" i="208"/>
  <c r="F6" i="208"/>
  <c r="E6" i="208"/>
  <c r="D6" i="208"/>
  <c r="C6" i="208"/>
  <c r="B6" i="208"/>
  <c r="Y5" i="208"/>
  <c r="X5" i="208"/>
  <c r="W5" i="208"/>
  <c r="V5" i="208"/>
  <c r="U5" i="208"/>
  <c r="T5" i="208"/>
  <c r="S5" i="208"/>
  <c r="R5" i="208"/>
  <c r="Q5" i="208"/>
  <c r="P5" i="208"/>
  <c r="O5" i="208"/>
  <c r="N5" i="208"/>
  <c r="M5" i="208"/>
  <c r="L5" i="208"/>
  <c r="K5" i="208"/>
  <c r="J5" i="208"/>
  <c r="I5" i="208"/>
  <c r="H5" i="208"/>
  <c r="G5" i="208"/>
  <c r="F5" i="208"/>
  <c r="E5" i="208"/>
  <c r="D5" i="208"/>
  <c r="C5" i="208"/>
  <c r="B5" i="208"/>
  <c r="Y10" i="207"/>
  <c r="X10" i="207"/>
  <c r="W10" i="207"/>
  <c r="V10" i="207"/>
  <c r="U10" i="207"/>
  <c r="T10" i="207"/>
  <c r="S10" i="207"/>
  <c r="R10" i="207"/>
  <c r="Q10" i="207"/>
  <c r="P10" i="207"/>
  <c r="O10" i="207"/>
  <c r="N10" i="207"/>
  <c r="M10" i="207"/>
  <c r="L10" i="207"/>
  <c r="K10" i="207"/>
  <c r="J10" i="207"/>
  <c r="I10" i="207"/>
  <c r="H10" i="207"/>
  <c r="G10" i="207"/>
  <c r="F10" i="207"/>
  <c r="E10" i="207"/>
  <c r="D10" i="207"/>
  <c r="C10" i="207"/>
  <c r="B10" i="207"/>
  <c r="Y9" i="207"/>
  <c r="X9" i="207"/>
  <c r="W9" i="207"/>
  <c r="V9" i="207"/>
  <c r="U9" i="207"/>
  <c r="T9" i="207"/>
  <c r="S9" i="207"/>
  <c r="R9" i="207"/>
  <c r="Q9" i="207"/>
  <c r="P9" i="207"/>
  <c r="O9" i="207"/>
  <c r="N9" i="207"/>
  <c r="M9" i="207"/>
  <c r="L9" i="207"/>
  <c r="K9" i="207"/>
  <c r="J9" i="207"/>
  <c r="I9" i="207"/>
  <c r="H9" i="207"/>
  <c r="G9" i="207"/>
  <c r="F9" i="207"/>
  <c r="E9" i="207"/>
  <c r="D9" i="207"/>
  <c r="C9" i="207"/>
  <c r="B9" i="207"/>
  <c r="Y8" i="207"/>
  <c r="X8" i="207"/>
  <c r="W8" i="207"/>
  <c r="V8" i="207"/>
  <c r="U8" i="207"/>
  <c r="T8" i="207"/>
  <c r="S8" i="207"/>
  <c r="R8" i="207"/>
  <c r="Q8" i="207"/>
  <c r="P8" i="207"/>
  <c r="O8" i="207"/>
  <c r="N8" i="207"/>
  <c r="M8" i="207"/>
  <c r="L8" i="207"/>
  <c r="K8" i="207"/>
  <c r="J8" i="207"/>
  <c r="I8" i="207"/>
  <c r="H8" i="207"/>
  <c r="G8" i="207"/>
  <c r="F8" i="207"/>
  <c r="E8" i="207"/>
  <c r="D8" i="207"/>
  <c r="C8" i="207"/>
  <c r="B8" i="207"/>
  <c r="Y7" i="207"/>
  <c r="X7" i="207"/>
  <c r="W7" i="207"/>
  <c r="V7" i="207"/>
  <c r="U7" i="207"/>
  <c r="T7" i="207"/>
  <c r="S7" i="207"/>
  <c r="R7" i="207"/>
  <c r="Q7" i="207"/>
  <c r="P7" i="207"/>
  <c r="O7" i="207"/>
  <c r="N7" i="207"/>
  <c r="M7" i="207"/>
  <c r="L7" i="207"/>
  <c r="K7" i="207"/>
  <c r="J7" i="207"/>
  <c r="I7" i="207"/>
  <c r="H7" i="207"/>
  <c r="G7" i="207"/>
  <c r="F7" i="207"/>
  <c r="E7" i="207"/>
  <c r="D7" i="207"/>
  <c r="C7" i="207"/>
  <c r="B7" i="207"/>
  <c r="Y6" i="207"/>
  <c r="X6" i="207"/>
  <c r="W6" i="207"/>
  <c r="V6" i="207"/>
  <c r="U6" i="207"/>
  <c r="T6" i="207"/>
  <c r="S6" i="207"/>
  <c r="R6" i="207"/>
  <c r="Q6" i="207"/>
  <c r="P6" i="207"/>
  <c r="O6" i="207"/>
  <c r="N6" i="207"/>
  <c r="M6" i="207"/>
  <c r="L6" i="207"/>
  <c r="K6" i="207"/>
  <c r="J6" i="207"/>
  <c r="I6" i="207"/>
  <c r="H6" i="207"/>
  <c r="G6" i="207"/>
  <c r="F6" i="207"/>
  <c r="E6" i="207"/>
  <c r="D6" i="207"/>
  <c r="C6" i="207"/>
  <c r="B6" i="207"/>
  <c r="Y5" i="207"/>
  <c r="X5" i="207"/>
  <c r="W5" i="207"/>
  <c r="V5" i="207"/>
  <c r="U5" i="207"/>
  <c r="T5" i="207"/>
  <c r="S5" i="207"/>
  <c r="R5" i="207"/>
  <c r="Q5" i="207"/>
  <c r="P5" i="207"/>
  <c r="O5" i="207"/>
  <c r="N5" i="207"/>
  <c r="M5" i="207"/>
  <c r="L5" i="207"/>
  <c r="K5" i="207"/>
  <c r="J5" i="207"/>
  <c r="I5" i="207"/>
  <c r="H5" i="207"/>
  <c r="G5" i="207"/>
  <c r="F5" i="207"/>
  <c r="E5" i="207"/>
  <c r="D5" i="207"/>
  <c r="C5" i="207"/>
  <c r="B5" i="207"/>
  <c r="Y10" i="206"/>
  <c r="X10" i="206"/>
  <c r="W10" i="206"/>
  <c r="V10" i="206"/>
  <c r="U10" i="206"/>
  <c r="T10" i="206"/>
  <c r="S10" i="206"/>
  <c r="R10" i="206"/>
  <c r="Q10" i="206"/>
  <c r="P10" i="206"/>
  <c r="O10" i="206"/>
  <c r="N10" i="206"/>
  <c r="M10" i="206"/>
  <c r="L10" i="206"/>
  <c r="K10" i="206"/>
  <c r="J10" i="206"/>
  <c r="I10" i="206"/>
  <c r="H10" i="206"/>
  <c r="G10" i="206"/>
  <c r="F10" i="206"/>
  <c r="E10" i="206"/>
  <c r="D10" i="206"/>
  <c r="C10" i="206"/>
  <c r="B10" i="206"/>
  <c r="Y9" i="206"/>
  <c r="X9" i="206"/>
  <c r="W9" i="206"/>
  <c r="V9" i="206"/>
  <c r="U9" i="206"/>
  <c r="T9" i="206"/>
  <c r="S9" i="206"/>
  <c r="R9" i="206"/>
  <c r="Q9" i="206"/>
  <c r="P9" i="206"/>
  <c r="O9" i="206"/>
  <c r="N9" i="206"/>
  <c r="M9" i="206"/>
  <c r="L9" i="206"/>
  <c r="K9" i="206"/>
  <c r="J9" i="206"/>
  <c r="I9" i="206"/>
  <c r="H9" i="206"/>
  <c r="G9" i="206"/>
  <c r="F9" i="206"/>
  <c r="E9" i="206"/>
  <c r="D9" i="206"/>
  <c r="C9" i="206"/>
  <c r="B9" i="206"/>
  <c r="Y8" i="206"/>
  <c r="X8" i="206"/>
  <c r="W8" i="206"/>
  <c r="V8" i="206"/>
  <c r="U8" i="206"/>
  <c r="T8" i="206"/>
  <c r="S8" i="206"/>
  <c r="R8" i="206"/>
  <c r="Q8" i="206"/>
  <c r="P8" i="206"/>
  <c r="O8" i="206"/>
  <c r="N8" i="206"/>
  <c r="M8" i="206"/>
  <c r="L8" i="206"/>
  <c r="K8" i="206"/>
  <c r="J8" i="206"/>
  <c r="I8" i="206"/>
  <c r="H8" i="206"/>
  <c r="G8" i="206"/>
  <c r="F8" i="206"/>
  <c r="E8" i="206"/>
  <c r="D8" i="206"/>
  <c r="C8" i="206"/>
  <c r="B8" i="206"/>
  <c r="Y7" i="206"/>
  <c r="X7" i="206"/>
  <c r="W7" i="206"/>
  <c r="V7" i="206"/>
  <c r="U7" i="206"/>
  <c r="T7" i="206"/>
  <c r="S7" i="206"/>
  <c r="R7" i="206"/>
  <c r="Q7" i="206"/>
  <c r="P7" i="206"/>
  <c r="O7" i="206"/>
  <c r="N7" i="206"/>
  <c r="M7" i="206"/>
  <c r="L7" i="206"/>
  <c r="K7" i="206"/>
  <c r="J7" i="206"/>
  <c r="I7" i="206"/>
  <c r="H7" i="206"/>
  <c r="G7" i="206"/>
  <c r="F7" i="206"/>
  <c r="E7" i="206"/>
  <c r="D7" i="206"/>
  <c r="C7" i="206"/>
  <c r="B7" i="206"/>
  <c r="Y6" i="206"/>
  <c r="X6" i="206"/>
  <c r="W6" i="206"/>
  <c r="V6" i="206"/>
  <c r="U6" i="206"/>
  <c r="T6" i="206"/>
  <c r="S6" i="206"/>
  <c r="R6" i="206"/>
  <c r="Q6" i="206"/>
  <c r="P6" i="206"/>
  <c r="O6" i="206"/>
  <c r="N6" i="206"/>
  <c r="M6" i="206"/>
  <c r="L6" i="206"/>
  <c r="K6" i="206"/>
  <c r="J6" i="206"/>
  <c r="I6" i="206"/>
  <c r="H6" i="206"/>
  <c r="G6" i="206"/>
  <c r="F6" i="206"/>
  <c r="E6" i="206"/>
  <c r="D6" i="206"/>
  <c r="C6" i="206"/>
  <c r="B6" i="206"/>
  <c r="Y5" i="206"/>
  <c r="X5" i="206"/>
  <c r="W5" i="206"/>
  <c r="V5" i="206"/>
  <c r="U5" i="206"/>
  <c r="T5" i="206"/>
  <c r="S5" i="206"/>
  <c r="R5" i="206"/>
  <c r="Q5" i="206"/>
  <c r="P5" i="206"/>
  <c r="O5" i="206"/>
  <c r="N5" i="206"/>
  <c r="M5" i="206"/>
  <c r="L5" i="206"/>
  <c r="K5" i="206"/>
  <c r="J5" i="206"/>
  <c r="I5" i="206"/>
  <c r="H5" i="206"/>
  <c r="G5" i="206"/>
  <c r="F5" i="206"/>
  <c r="E5" i="206"/>
  <c r="D5" i="206"/>
  <c r="C5" i="206"/>
  <c r="B5" i="206"/>
  <c r="Y10" i="205"/>
  <c r="X10" i="205"/>
  <c r="W10" i="205"/>
  <c r="V10" i="205"/>
  <c r="U10" i="205"/>
  <c r="T10" i="205"/>
  <c r="S10" i="205"/>
  <c r="R10" i="205"/>
  <c r="Q10" i="205"/>
  <c r="P10" i="205"/>
  <c r="O10" i="205"/>
  <c r="N10" i="205"/>
  <c r="M10" i="205"/>
  <c r="L10" i="205"/>
  <c r="K10" i="205"/>
  <c r="J10" i="205"/>
  <c r="I10" i="205"/>
  <c r="H10" i="205"/>
  <c r="G10" i="205"/>
  <c r="F10" i="205"/>
  <c r="E10" i="205"/>
  <c r="D10" i="205"/>
  <c r="C10" i="205"/>
  <c r="B10" i="205"/>
  <c r="Y9" i="205"/>
  <c r="X9" i="205"/>
  <c r="W9" i="205"/>
  <c r="V9" i="205"/>
  <c r="U9" i="205"/>
  <c r="T9" i="205"/>
  <c r="S9" i="205"/>
  <c r="R9" i="205"/>
  <c r="Q9" i="205"/>
  <c r="P9" i="205"/>
  <c r="O9" i="205"/>
  <c r="N9" i="205"/>
  <c r="M9" i="205"/>
  <c r="L9" i="205"/>
  <c r="K9" i="205"/>
  <c r="J9" i="205"/>
  <c r="I9" i="205"/>
  <c r="H9" i="205"/>
  <c r="G9" i="205"/>
  <c r="F9" i="205"/>
  <c r="E9" i="205"/>
  <c r="D9" i="205"/>
  <c r="C9" i="205"/>
  <c r="B9" i="205"/>
  <c r="Y8" i="205"/>
  <c r="X8" i="205"/>
  <c r="W8" i="205"/>
  <c r="V8" i="205"/>
  <c r="U8" i="205"/>
  <c r="T8" i="205"/>
  <c r="S8" i="205"/>
  <c r="R8" i="205"/>
  <c r="Q8" i="205"/>
  <c r="P8" i="205"/>
  <c r="O8" i="205"/>
  <c r="N8" i="205"/>
  <c r="M8" i="205"/>
  <c r="L8" i="205"/>
  <c r="K8" i="205"/>
  <c r="J8" i="205"/>
  <c r="I8" i="205"/>
  <c r="H8" i="205"/>
  <c r="G8" i="205"/>
  <c r="F8" i="205"/>
  <c r="E8" i="205"/>
  <c r="D8" i="205"/>
  <c r="C8" i="205"/>
  <c r="B8" i="205"/>
  <c r="Y7" i="205"/>
  <c r="X7" i="205"/>
  <c r="W7" i="205"/>
  <c r="V7" i="205"/>
  <c r="U7" i="205"/>
  <c r="T7" i="205"/>
  <c r="S7" i="205"/>
  <c r="R7" i="205"/>
  <c r="Q7" i="205"/>
  <c r="P7" i="205"/>
  <c r="O7" i="205"/>
  <c r="N7" i="205"/>
  <c r="M7" i="205"/>
  <c r="L7" i="205"/>
  <c r="K7" i="205"/>
  <c r="J7" i="205"/>
  <c r="I7" i="205"/>
  <c r="H7" i="205"/>
  <c r="G7" i="205"/>
  <c r="F7" i="205"/>
  <c r="E7" i="205"/>
  <c r="D7" i="205"/>
  <c r="C7" i="205"/>
  <c r="B7" i="205"/>
  <c r="Y6" i="205"/>
  <c r="X6" i="205"/>
  <c r="W6" i="205"/>
  <c r="V6" i="205"/>
  <c r="U6" i="205"/>
  <c r="T6" i="205"/>
  <c r="S6" i="205"/>
  <c r="R6" i="205"/>
  <c r="Q6" i="205"/>
  <c r="P6" i="205"/>
  <c r="O6" i="205"/>
  <c r="N6" i="205"/>
  <c r="M6" i="205"/>
  <c r="L6" i="205"/>
  <c r="K6" i="205"/>
  <c r="J6" i="205"/>
  <c r="I6" i="205"/>
  <c r="H6" i="205"/>
  <c r="G6" i="205"/>
  <c r="F6" i="205"/>
  <c r="E6" i="205"/>
  <c r="D6" i="205"/>
  <c r="C6" i="205"/>
  <c r="B6" i="205"/>
  <c r="Y5" i="205"/>
  <c r="X5" i="205"/>
  <c r="W5" i="205"/>
  <c r="V5" i="205"/>
  <c r="U5" i="205"/>
  <c r="T5" i="205"/>
  <c r="S5" i="205"/>
  <c r="R5" i="205"/>
  <c r="Q5" i="205"/>
  <c r="P5" i="205"/>
  <c r="O5" i="205"/>
  <c r="N5" i="205"/>
  <c r="M5" i="205"/>
  <c r="L5" i="205"/>
  <c r="K5" i="205"/>
  <c r="J5" i="205"/>
  <c r="I5" i="205"/>
  <c r="H5" i="205"/>
  <c r="G5" i="205"/>
  <c r="F5" i="205"/>
  <c r="E5" i="205"/>
  <c r="D5" i="205"/>
  <c r="C5" i="205"/>
  <c r="B5" i="205"/>
  <c r="Y10" i="204"/>
  <c r="X10" i="204"/>
  <c r="W10" i="204"/>
  <c r="V10" i="204"/>
  <c r="U10" i="204"/>
  <c r="T10" i="204"/>
  <c r="S10" i="204"/>
  <c r="R10" i="204"/>
  <c r="Q10" i="204"/>
  <c r="P10" i="204"/>
  <c r="O10" i="204"/>
  <c r="N10" i="204"/>
  <c r="M10" i="204"/>
  <c r="L10" i="204"/>
  <c r="K10" i="204"/>
  <c r="J10" i="204"/>
  <c r="I10" i="204"/>
  <c r="H10" i="204"/>
  <c r="G10" i="204"/>
  <c r="F10" i="204"/>
  <c r="E10" i="204"/>
  <c r="D10" i="204"/>
  <c r="C10" i="204"/>
  <c r="B10" i="204"/>
  <c r="Y9" i="204"/>
  <c r="X9" i="204"/>
  <c r="W9" i="204"/>
  <c r="V9" i="204"/>
  <c r="U9" i="204"/>
  <c r="T9" i="204"/>
  <c r="S9" i="204"/>
  <c r="R9" i="204"/>
  <c r="Q9" i="204"/>
  <c r="P9" i="204"/>
  <c r="O9" i="204"/>
  <c r="N9" i="204"/>
  <c r="M9" i="204"/>
  <c r="L9" i="204"/>
  <c r="K9" i="204"/>
  <c r="J9" i="204"/>
  <c r="I9" i="204"/>
  <c r="H9" i="204"/>
  <c r="G9" i="204"/>
  <c r="F9" i="204"/>
  <c r="E9" i="204"/>
  <c r="D9" i="204"/>
  <c r="C9" i="204"/>
  <c r="B9" i="204"/>
  <c r="Y8" i="204"/>
  <c r="X8" i="204"/>
  <c r="W8" i="204"/>
  <c r="V8" i="204"/>
  <c r="U8" i="204"/>
  <c r="T8" i="204"/>
  <c r="S8" i="204"/>
  <c r="R8" i="204"/>
  <c r="Q8" i="204"/>
  <c r="P8" i="204"/>
  <c r="O8" i="204"/>
  <c r="N8" i="204"/>
  <c r="M8" i="204"/>
  <c r="L8" i="204"/>
  <c r="K8" i="204"/>
  <c r="J8" i="204"/>
  <c r="I8" i="204"/>
  <c r="H8" i="204"/>
  <c r="G8" i="204"/>
  <c r="F8" i="204"/>
  <c r="E8" i="204"/>
  <c r="D8" i="204"/>
  <c r="C8" i="204"/>
  <c r="B8" i="204"/>
  <c r="Y7" i="204"/>
  <c r="X7" i="204"/>
  <c r="W7" i="204"/>
  <c r="V7" i="204"/>
  <c r="U7" i="204"/>
  <c r="T7" i="204"/>
  <c r="S7" i="204"/>
  <c r="R7" i="204"/>
  <c r="Q7" i="204"/>
  <c r="P7" i="204"/>
  <c r="O7" i="204"/>
  <c r="N7" i="204"/>
  <c r="M7" i="204"/>
  <c r="L7" i="204"/>
  <c r="K7" i="204"/>
  <c r="J7" i="204"/>
  <c r="I7" i="204"/>
  <c r="H7" i="204"/>
  <c r="G7" i="204"/>
  <c r="F7" i="204"/>
  <c r="E7" i="204"/>
  <c r="D7" i="204"/>
  <c r="C7" i="204"/>
  <c r="B7" i="204"/>
  <c r="Y6" i="204"/>
  <c r="X6" i="204"/>
  <c r="W6" i="204"/>
  <c r="V6" i="204"/>
  <c r="U6" i="204"/>
  <c r="T6" i="204"/>
  <c r="S6" i="204"/>
  <c r="R6" i="204"/>
  <c r="Q6" i="204"/>
  <c r="P6" i="204"/>
  <c r="O6" i="204"/>
  <c r="N6" i="204"/>
  <c r="M6" i="204"/>
  <c r="L6" i="204"/>
  <c r="K6" i="204"/>
  <c r="J6" i="204"/>
  <c r="I6" i="204"/>
  <c r="H6" i="204"/>
  <c r="G6" i="204"/>
  <c r="F6" i="204"/>
  <c r="E6" i="204"/>
  <c r="D6" i="204"/>
  <c r="C6" i="204"/>
  <c r="B6" i="204"/>
  <c r="Y5" i="204"/>
  <c r="X5" i="204"/>
  <c r="W5" i="204"/>
  <c r="V5" i="204"/>
  <c r="U5" i="204"/>
  <c r="T5" i="204"/>
  <c r="S5" i="204"/>
  <c r="R5" i="204"/>
  <c r="Q5" i="204"/>
  <c r="P5" i="204"/>
  <c r="O5" i="204"/>
  <c r="N5" i="204"/>
  <c r="M5" i="204"/>
  <c r="L5" i="204"/>
  <c r="K5" i="204"/>
  <c r="J5" i="204"/>
  <c r="I5" i="204"/>
  <c r="H5" i="204"/>
  <c r="G5" i="204"/>
  <c r="F5" i="204"/>
  <c r="E5" i="204"/>
  <c r="D5" i="204"/>
  <c r="C5" i="204"/>
  <c r="B5" i="204"/>
  <c r="C5" i="189"/>
  <c r="D5" i="189"/>
  <c r="E5" i="189"/>
  <c r="F5" i="189"/>
  <c r="G5" i="189"/>
  <c r="H5" i="189"/>
  <c r="I5" i="189"/>
  <c r="J5" i="189"/>
  <c r="K5" i="189"/>
  <c r="L5" i="189"/>
  <c r="M5" i="189"/>
  <c r="N5" i="189"/>
  <c r="O5" i="189"/>
  <c r="P5" i="189"/>
  <c r="Q5" i="189"/>
  <c r="R5" i="189"/>
  <c r="S5" i="189"/>
  <c r="T5" i="189"/>
  <c r="U5" i="189"/>
  <c r="V5" i="189"/>
  <c r="W5" i="189"/>
  <c r="X5" i="189"/>
  <c r="Y5" i="189"/>
  <c r="C6" i="189"/>
  <c r="D6" i="189"/>
  <c r="E6" i="189"/>
  <c r="F6" i="189"/>
  <c r="G6" i="189"/>
  <c r="H6" i="189"/>
  <c r="I6" i="189"/>
  <c r="J6" i="189"/>
  <c r="K6" i="189"/>
  <c r="L6" i="189"/>
  <c r="M6" i="189"/>
  <c r="N6" i="189"/>
  <c r="O6" i="189"/>
  <c r="P6" i="189"/>
  <c r="Q6" i="189"/>
  <c r="R6" i="189"/>
  <c r="S6" i="189"/>
  <c r="T6" i="189"/>
  <c r="U6" i="189"/>
  <c r="V6" i="189"/>
  <c r="W6" i="189"/>
  <c r="X6" i="189"/>
  <c r="Y6" i="189"/>
  <c r="C7" i="189"/>
  <c r="D7" i="189"/>
  <c r="E7" i="189"/>
  <c r="F7" i="189"/>
  <c r="G7" i="189"/>
  <c r="H7" i="189"/>
  <c r="I7" i="189"/>
  <c r="J7" i="189"/>
  <c r="K7" i="189"/>
  <c r="L7" i="189"/>
  <c r="M7" i="189"/>
  <c r="N7" i="189"/>
  <c r="O7" i="189"/>
  <c r="P7" i="189"/>
  <c r="Q7" i="189"/>
  <c r="R7" i="189"/>
  <c r="S7" i="189"/>
  <c r="T7" i="189"/>
  <c r="U7" i="189"/>
  <c r="V7" i="189"/>
  <c r="W7" i="189"/>
  <c r="X7" i="189"/>
  <c r="Y7" i="189"/>
  <c r="C8" i="189"/>
  <c r="D8" i="189"/>
  <c r="E8" i="189"/>
  <c r="F8" i="189"/>
  <c r="G8" i="189"/>
  <c r="H8" i="189"/>
  <c r="I8" i="189"/>
  <c r="J8" i="189"/>
  <c r="K8" i="189"/>
  <c r="L8" i="189"/>
  <c r="M8" i="189"/>
  <c r="N8" i="189"/>
  <c r="O8" i="189"/>
  <c r="P8" i="189"/>
  <c r="Q8" i="189"/>
  <c r="R8" i="189"/>
  <c r="S8" i="189"/>
  <c r="T8" i="189"/>
  <c r="U8" i="189"/>
  <c r="V8" i="189"/>
  <c r="W8" i="189"/>
  <c r="X8" i="189"/>
  <c r="Y8" i="189"/>
  <c r="C9" i="189"/>
  <c r="D9" i="189"/>
  <c r="E9" i="189"/>
  <c r="F9" i="189"/>
  <c r="G9" i="189"/>
  <c r="H9" i="189"/>
  <c r="I9" i="189"/>
  <c r="J9" i="189"/>
  <c r="K9" i="189"/>
  <c r="L9" i="189"/>
  <c r="M9" i="189"/>
  <c r="N9" i="189"/>
  <c r="O9" i="189"/>
  <c r="P9" i="189"/>
  <c r="Q9" i="189"/>
  <c r="R9" i="189"/>
  <c r="S9" i="189"/>
  <c r="T9" i="189"/>
  <c r="U9" i="189"/>
  <c r="V9" i="189"/>
  <c r="W9" i="189"/>
  <c r="X9" i="189"/>
  <c r="Y9" i="189"/>
  <c r="C10" i="189"/>
  <c r="D10" i="189"/>
  <c r="E10" i="189"/>
  <c r="F10" i="189"/>
  <c r="G10" i="189"/>
  <c r="H10" i="189"/>
  <c r="I10" i="189"/>
  <c r="J10" i="189"/>
  <c r="K10" i="189"/>
  <c r="L10" i="189"/>
  <c r="M10" i="189"/>
  <c r="N10" i="189"/>
  <c r="O10" i="189"/>
  <c r="P10" i="189"/>
  <c r="Q10" i="189"/>
  <c r="R10" i="189"/>
  <c r="S10" i="189"/>
  <c r="T10" i="189"/>
  <c r="U10" i="189"/>
  <c r="V10" i="189"/>
  <c r="W10" i="189"/>
  <c r="X10" i="189"/>
  <c r="Y10" i="189"/>
  <c r="B9" i="189"/>
  <c r="B10" i="189"/>
  <c r="B8" i="189"/>
  <c r="B6" i="189"/>
  <c r="B7" i="189"/>
  <c r="B5" i="189"/>
  <c r="C5" i="188"/>
  <c r="D5" i="188"/>
  <c r="E5" i="188"/>
  <c r="F5" i="188"/>
  <c r="G5" i="188"/>
  <c r="H5" i="188"/>
  <c r="I5" i="188"/>
  <c r="J5" i="188"/>
  <c r="K5" i="188"/>
  <c r="L5" i="188"/>
  <c r="M5" i="188"/>
  <c r="N5" i="188"/>
  <c r="O5" i="188"/>
  <c r="P5" i="188"/>
  <c r="Q5" i="188"/>
  <c r="R5" i="188"/>
  <c r="S5" i="188"/>
  <c r="T5" i="188"/>
  <c r="U5" i="188"/>
  <c r="V5" i="188"/>
  <c r="W5" i="188"/>
  <c r="X5" i="188"/>
  <c r="Y5" i="188"/>
  <c r="C6" i="188"/>
  <c r="D6" i="188"/>
  <c r="E6" i="188"/>
  <c r="F6" i="188"/>
  <c r="G6" i="188"/>
  <c r="H6" i="188"/>
  <c r="I6" i="188"/>
  <c r="J6" i="188"/>
  <c r="K6" i="188"/>
  <c r="L6" i="188"/>
  <c r="M6" i="188"/>
  <c r="N6" i="188"/>
  <c r="O6" i="188"/>
  <c r="P6" i="188"/>
  <c r="Q6" i="188"/>
  <c r="R6" i="188"/>
  <c r="S6" i="188"/>
  <c r="T6" i="188"/>
  <c r="U6" i="188"/>
  <c r="V6" i="188"/>
  <c r="W6" i="188"/>
  <c r="X6" i="188"/>
  <c r="Y6" i="188"/>
  <c r="C7" i="188"/>
  <c r="D7" i="188"/>
  <c r="E7" i="188"/>
  <c r="F7" i="188"/>
  <c r="G7" i="188"/>
  <c r="H7" i="188"/>
  <c r="I7" i="188"/>
  <c r="J7" i="188"/>
  <c r="K7" i="188"/>
  <c r="L7" i="188"/>
  <c r="M7" i="188"/>
  <c r="N7" i="188"/>
  <c r="O7" i="188"/>
  <c r="P7" i="188"/>
  <c r="Q7" i="188"/>
  <c r="R7" i="188"/>
  <c r="S7" i="188"/>
  <c r="T7" i="188"/>
  <c r="U7" i="188"/>
  <c r="V7" i="188"/>
  <c r="W7" i="188"/>
  <c r="X7" i="188"/>
  <c r="Y7" i="188"/>
  <c r="C8" i="188"/>
  <c r="D8" i="188"/>
  <c r="E8" i="188"/>
  <c r="F8" i="188"/>
  <c r="G8" i="188"/>
  <c r="H8" i="188"/>
  <c r="I8" i="188"/>
  <c r="J8" i="188"/>
  <c r="K8" i="188"/>
  <c r="L8" i="188"/>
  <c r="M8" i="188"/>
  <c r="N8" i="188"/>
  <c r="O8" i="188"/>
  <c r="P8" i="188"/>
  <c r="Q8" i="188"/>
  <c r="R8" i="188"/>
  <c r="S8" i="188"/>
  <c r="T8" i="188"/>
  <c r="U8" i="188"/>
  <c r="V8" i="188"/>
  <c r="W8" i="188"/>
  <c r="X8" i="188"/>
  <c r="Y8" i="188"/>
  <c r="C9" i="188"/>
  <c r="D9" i="188"/>
  <c r="E9" i="188"/>
  <c r="F9" i="188"/>
  <c r="G9" i="188"/>
  <c r="H9" i="188"/>
  <c r="I9" i="188"/>
  <c r="J9" i="188"/>
  <c r="K9" i="188"/>
  <c r="L9" i="188"/>
  <c r="M9" i="188"/>
  <c r="N9" i="188"/>
  <c r="O9" i="188"/>
  <c r="P9" i="188"/>
  <c r="Q9" i="188"/>
  <c r="R9" i="188"/>
  <c r="S9" i="188"/>
  <c r="T9" i="188"/>
  <c r="U9" i="188"/>
  <c r="V9" i="188"/>
  <c r="W9" i="188"/>
  <c r="X9" i="188"/>
  <c r="Y9" i="188"/>
  <c r="C10" i="188"/>
  <c r="D10" i="188"/>
  <c r="E10" i="188"/>
  <c r="F10" i="188"/>
  <c r="G10" i="188"/>
  <c r="H10" i="188"/>
  <c r="I10" i="188"/>
  <c r="J10" i="188"/>
  <c r="K10" i="188"/>
  <c r="L10" i="188"/>
  <c r="M10" i="188"/>
  <c r="N10" i="188"/>
  <c r="O10" i="188"/>
  <c r="P10" i="188"/>
  <c r="Q10" i="188"/>
  <c r="R10" i="188"/>
  <c r="S10" i="188"/>
  <c r="T10" i="188"/>
  <c r="U10" i="188"/>
  <c r="V10" i="188"/>
  <c r="W10" i="188"/>
  <c r="X10" i="188"/>
  <c r="Y10" i="188"/>
  <c r="B9" i="188"/>
  <c r="B10" i="188"/>
  <c r="B8" i="188"/>
  <c r="B6" i="188"/>
  <c r="B7" i="188"/>
  <c r="B5" i="188"/>
  <c r="C8" i="71"/>
  <c r="D8" i="71"/>
  <c r="E8" i="71"/>
  <c r="F8" i="71"/>
  <c r="G8" i="71"/>
  <c r="H8" i="71"/>
  <c r="I8" i="71"/>
  <c r="J8" i="71"/>
  <c r="K8" i="71"/>
  <c r="L8" i="71"/>
  <c r="M8" i="71"/>
  <c r="N8" i="71"/>
  <c r="O8" i="71"/>
  <c r="P8" i="71"/>
  <c r="Q8" i="71"/>
  <c r="R8" i="71"/>
  <c r="S8" i="71"/>
  <c r="T8" i="71"/>
  <c r="U8" i="71"/>
  <c r="V8" i="71"/>
  <c r="W8" i="71"/>
  <c r="X8" i="71"/>
  <c r="Y8" i="71"/>
  <c r="C9" i="71"/>
  <c r="D9" i="71"/>
  <c r="E9" i="71"/>
  <c r="F9" i="71"/>
  <c r="G9" i="71"/>
  <c r="H9" i="71"/>
  <c r="I9" i="71"/>
  <c r="J9" i="71"/>
  <c r="K9" i="71"/>
  <c r="L9" i="71"/>
  <c r="M9" i="71"/>
  <c r="N9" i="71"/>
  <c r="O9" i="71"/>
  <c r="P9" i="71"/>
  <c r="Q9" i="71"/>
  <c r="R9" i="71"/>
  <c r="S9" i="71"/>
  <c r="T9" i="71"/>
  <c r="U9" i="71"/>
  <c r="V9" i="71"/>
  <c r="W9" i="71"/>
  <c r="X9" i="71"/>
  <c r="Y9" i="71"/>
  <c r="C10" i="71"/>
  <c r="D10" i="71"/>
  <c r="E10" i="71"/>
  <c r="F10" i="71"/>
  <c r="G10" i="71"/>
  <c r="H10" i="71"/>
  <c r="I10" i="71"/>
  <c r="J10" i="71"/>
  <c r="K10" i="71"/>
  <c r="L10" i="71"/>
  <c r="M10" i="71"/>
  <c r="N10" i="71"/>
  <c r="O10" i="71"/>
  <c r="P10" i="71"/>
  <c r="Q10" i="71"/>
  <c r="R10" i="71"/>
  <c r="S10" i="71"/>
  <c r="T10" i="71"/>
  <c r="U10" i="71"/>
  <c r="V10" i="71"/>
  <c r="W10" i="71"/>
  <c r="X10" i="71"/>
  <c r="Y10" i="71"/>
  <c r="B9" i="71"/>
  <c r="B10" i="71"/>
  <c r="B8" i="71"/>
  <c r="C5" i="71"/>
  <c r="D5" i="71"/>
  <c r="E5" i="71"/>
  <c r="F5" i="71"/>
  <c r="G5" i="71"/>
  <c r="H5" i="71"/>
  <c r="I5" i="71"/>
  <c r="J5" i="71"/>
  <c r="K5" i="71"/>
  <c r="L5" i="71"/>
  <c r="M5" i="71"/>
  <c r="N5" i="71"/>
  <c r="O5" i="71"/>
  <c r="P5" i="71"/>
  <c r="Q5" i="71"/>
  <c r="R5" i="71"/>
  <c r="S5" i="71"/>
  <c r="T5" i="71"/>
  <c r="U5" i="71"/>
  <c r="V5" i="71"/>
  <c r="W5" i="71"/>
  <c r="X5" i="71"/>
  <c r="Y5" i="71"/>
  <c r="C6" i="71"/>
  <c r="D6" i="71"/>
  <c r="E6" i="71"/>
  <c r="F6" i="71"/>
  <c r="G6" i="71"/>
  <c r="H6" i="71"/>
  <c r="I6" i="71"/>
  <c r="J6" i="71"/>
  <c r="K6" i="71"/>
  <c r="L6" i="71"/>
  <c r="M6" i="71"/>
  <c r="N6" i="71"/>
  <c r="O6" i="71"/>
  <c r="P6" i="71"/>
  <c r="Q6" i="71"/>
  <c r="R6" i="71"/>
  <c r="S6" i="71"/>
  <c r="T6" i="71"/>
  <c r="U6" i="71"/>
  <c r="V6" i="71"/>
  <c r="W6" i="71"/>
  <c r="X6" i="71"/>
  <c r="Y6" i="71"/>
  <c r="C7" i="71"/>
  <c r="D7" i="71"/>
  <c r="E7" i="71"/>
  <c r="F7" i="71"/>
  <c r="G7" i="71"/>
  <c r="H7" i="71"/>
  <c r="I7" i="71"/>
  <c r="J7" i="71"/>
  <c r="K7" i="71"/>
  <c r="L7" i="71"/>
  <c r="M7" i="71"/>
  <c r="N7" i="71"/>
  <c r="O7" i="71"/>
  <c r="P7" i="71"/>
  <c r="Q7" i="71"/>
  <c r="R7" i="71"/>
  <c r="S7" i="71"/>
  <c r="T7" i="71"/>
  <c r="U7" i="71"/>
  <c r="V7" i="71"/>
  <c r="W7" i="71"/>
  <c r="X7" i="71"/>
  <c r="Y7" i="71"/>
  <c r="B6" i="71"/>
  <c r="B7" i="71"/>
  <c r="B5" i="71"/>
  <c r="Y4" i="305" l="1"/>
  <c r="I4" i="305"/>
  <c r="Q3" i="305"/>
  <c r="Y2" i="305"/>
  <c r="I2" i="305"/>
  <c r="Q4" i="304"/>
  <c r="Y3" i="304"/>
  <c r="I3" i="304"/>
  <c r="Q2" i="304"/>
  <c r="Y4" i="303"/>
  <c r="I4" i="303"/>
  <c r="Q3" i="303"/>
  <c r="Y2" i="303"/>
  <c r="I2" i="303"/>
  <c r="X4" i="305"/>
  <c r="H4" i="305"/>
  <c r="P3" i="305"/>
  <c r="X2" i="305"/>
  <c r="H2" i="305"/>
  <c r="P4" i="304"/>
  <c r="X3" i="304"/>
  <c r="H3" i="304"/>
  <c r="P2" i="304"/>
  <c r="X4" i="303"/>
  <c r="H4" i="303"/>
  <c r="P3" i="303"/>
  <c r="X2" i="303"/>
  <c r="H2" i="303"/>
  <c r="W4" i="305"/>
  <c r="G4" i="305"/>
  <c r="O3" i="305"/>
  <c r="W2" i="305"/>
  <c r="G2" i="305"/>
  <c r="O4" i="304"/>
  <c r="W3" i="304"/>
  <c r="G3" i="304"/>
  <c r="O2" i="304"/>
  <c r="W4" i="303"/>
  <c r="G4" i="303"/>
  <c r="O3" i="303"/>
  <c r="W2" i="303"/>
  <c r="G2" i="303"/>
  <c r="V4" i="305"/>
  <c r="F4" i="305"/>
  <c r="N3" i="305"/>
  <c r="V2" i="305"/>
  <c r="F2" i="305"/>
  <c r="N4" i="304"/>
  <c r="V3" i="304"/>
  <c r="F3" i="304"/>
  <c r="N2" i="304"/>
  <c r="V4" i="303"/>
  <c r="F4" i="303"/>
  <c r="N3" i="303"/>
  <c r="V2" i="303"/>
  <c r="F2" i="303"/>
  <c r="U4" i="305"/>
  <c r="E4" i="305"/>
  <c r="M3" i="305"/>
  <c r="U2" i="305"/>
  <c r="E2" i="305"/>
  <c r="M4" i="304"/>
  <c r="U3" i="304"/>
  <c r="E3" i="304"/>
  <c r="M2" i="304"/>
  <c r="U4" i="303"/>
  <c r="E4" i="303"/>
  <c r="M3" i="303"/>
  <c r="U2" i="303"/>
  <c r="E2" i="303"/>
  <c r="T4" i="305"/>
  <c r="D4" i="305"/>
  <c r="L3" i="305"/>
  <c r="T2" i="305"/>
  <c r="D2" i="305"/>
  <c r="L4" i="304"/>
  <c r="T3" i="304"/>
  <c r="D3" i="304"/>
  <c r="L2" i="304"/>
  <c r="T4" i="303"/>
  <c r="D4" i="303"/>
  <c r="L3" i="303"/>
  <c r="T2" i="303"/>
  <c r="D2" i="303"/>
  <c r="S4" i="305"/>
  <c r="C4" i="305"/>
  <c r="K3" i="305"/>
  <c r="S2" i="305"/>
  <c r="C2" i="305"/>
  <c r="K4" i="304"/>
  <c r="S3" i="304"/>
  <c r="C3" i="304"/>
  <c r="K2" i="304"/>
  <c r="S4" i="303"/>
  <c r="C4" i="303"/>
  <c r="K3" i="303"/>
  <c r="S2" i="303"/>
  <c r="C2" i="303"/>
  <c r="R4" i="305"/>
  <c r="B4" i="305"/>
  <c r="J3" i="305"/>
  <c r="R2" i="305"/>
  <c r="B2" i="305"/>
  <c r="J4" i="304"/>
  <c r="R3" i="304"/>
  <c r="B3" i="304"/>
  <c r="J2" i="304"/>
  <c r="R4" i="303"/>
  <c r="B4" i="303"/>
  <c r="J3" i="303"/>
  <c r="R2" i="303"/>
  <c r="B2" i="303"/>
  <c r="Q4" i="305"/>
  <c r="Y3" i="305"/>
  <c r="I3" i="305"/>
  <c r="Q2" i="305"/>
  <c r="Y4" i="304"/>
  <c r="I4" i="304"/>
  <c r="Q3" i="304"/>
  <c r="Y2" i="304"/>
  <c r="I2" i="304"/>
  <c r="Q4" i="303"/>
  <c r="Y3" i="303"/>
  <c r="I3" i="303"/>
  <c r="Q2" i="303"/>
  <c r="X4" i="304"/>
  <c r="P3" i="304"/>
  <c r="X2" i="304"/>
  <c r="H2" i="304"/>
  <c r="P4" i="303"/>
  <c r="P4" i="305"/>
  <c r="X3" i="305"/>
  <c r="H3" i="305"/>
  <c r="P2" i="305"/>
  <c r="H4" i="304"/>
  <c r="X3" i="303"/>
  <c r="H3" i="303"/>
  <c r="P2" i="303"/>
  <c r="O4" i="305"/>
  <c r="W3" i="305"/>
  <c r="G3" i="305"/>
  <c r="O2" i="305"/>
  <c r="W4" i="304"/>
  <c r="G4" i="304"/>
  <c r="O3" i="304"/>
  <c r="W2" i="304"/>
  <c r="G2" i="304"/>
  <c r="O4" i="303"/>
  <c r="W3" i="303"/>
  <c r="G3" i="303"/>
  <c r="O2" i="303"/>
  <c r="N4" i="305"/>
  <c r="V3" i="305"/>
  <c r="F3" i="305"/>
  <c r="N2" i="305"/>
  <c r="V4" i="304"/>
  <c r="F4" i="304"/>
  <c r="N3" i="304"/>
  <c r="V2" i="304"/>
  <c r="F2" i="304"/>
  <c r="N4" i="303"/>
  <c r="V3" i="303"/>
  <c r="F3" i="303"/>
  <c r="N2" i="303"/>
  <c r="U3" i="305"/>
  <c r="E3" i="305"/>
  <c r="M2" i="305"/>
  <c r="U4" i="304"/>
  <c r="M4" i="305"/>
  <c r="E4" i="304"/>
  <c r="M3" i="304"/>
  <c r="U2" i="304"/>
  <c r="E2" i="304"/>
  <c r="M4" i="303"/>
  <c r="U3" i="303"/>
  <c r="E3" i="303"/>
  <c r="M2" i="303"/>
  <c r="L4" i="305"/>
  <c r="T3" i="305"/>
  <c r="D3" i="305"/>
  <c r="L2" i="305"/>
  <c r="T4" i="304"/>
  <c r="D4" i="304"/>
  <c r="L3" i="304"/>
  <c r="T2" i="304"/>
  <c r="D2" i="304"/>
  <c r="L4" i="303"/>
  <c r="T3" i="303"/>
  <c r="D3" i="303"/>
  <c r="L2" i="303"/>
  <c r="K4" i="305"/>
  <c r="S3" i="305"/>
  <c r="C3" i="305"/>
  <c r="K2" i="305"/>
  <c r="S4" i="304"/>
  <c r="C4" i="304"/>
  <c r="K3" i="304"/>
  <c r="S2" i="304"/>
  <c r="C2" i="304"/>
  <c r="K4" i="303"/>
  <c r="S3" i="303"/>
  <c r="C3" i="303"/>
  <c r="K2" i="303"/>
  <c r="J4" i="305"/>
  <c r="R3" i="305"/>
  <c r="B3" i="305"/>
  <c r="J2" i="305"/>
  <c r="R4" i="304"/>
  <c r="B4" i="304"/>
  <c r="J3" i="304"/>
  <c r="R2" i="304"/>
  <c r="B2" i="304"/>
  <c r="J4" i="303"/>
  <c r="R3" i="303"/>
  <c r="B3" i="303"/>
  <c r="J2" i="303"/>
  <c r="B3" i="58"/>
  <c r="B4" i="58"/>
  <c r="B2" i="58"/>
  <c r="X4" i="227" l="1"/>
  <c r="H4" i="227"/>
  <c r="P3" i="227"/>
  <c r="X2" i="227"/>
  <c r="H2" i="227"/>
  <c r="P4" i="226"/>
  <c r="X3" i="226"/>
  <c r="H3" i="226"/>
  <c r="P2" i="226"/>
  <c r="X4" i="225"/>
  <c r="H4" i="225"/>
  <c r="P3" i="225"/>
  <c r="X2" i="225"/>
  <c r="H2" i="225"/>
  <c r="X4" i="199"/>
  <c r="H4" i="199"/>
  <c r="P3" i="199"/>
  <c r="X2" i="199"/>
  <c r="H2" i="199"/>
  <c r="P4" i="198"/>
  <c r="X3" i="198"/>
  <c r="H3" i="198"/>
  <c r="P2" i="198"/>
  <c r="C3" i="8"/>
  <c r="S3" i="8"/>
  <c r="K4" i="8"/>
  <c r="D2" i="8"/>
  <c r="T2" i="8"/>
  <c r="W4" i="227"/>
  <c r="G4" i="227"/>
  <c r="O3" i="227"/>
  <c r="W2" i="227"/>
  <c r="G2" i="227"/>
  <c r="O4" i="226"/>
  <c r="W3" i="226"/>
  <c r="G3" i="226"/>
  <c r="O2" i="226"/>
  <c r="W4" i="225"/>
  <c r="G4" i="225"/>
  <c r="O3" i="225"/>
  <c r="W2" i="225"/>
  <c r="G2" i="225"/>
  <c r="W4" i="199"/>
  <c r="G4" i="199"/>
  <c r="O3" i="199"/>
  <c r="W2" i="199"/>
  <c r="G2" i="199"/>
  <c r="O4" i="198"/>
  <c r="W3" i="198"/>
  <c r="G3" i="198"/>
  <c r="O2" i="198"/>
  <c r="D3" i="8"/>
  <c r="T3" i="8"/>
  <c r="L4" i="8"/>
  <c r="E2" i="8"/>
  <c r="U2" i="8"/>
  <c r="T4" i="227"/>
  <c r="D4" i="227"/>
  <c r="L3" i="227"/>
  <c r="T2" i="227"/>
  <c r="D2" i="227"/>
  <c r="L4" i="226"/>
  <c r="T3" i="226"/>
  <c r="D3" i="226"/>
  <c r="L2" i="226"/>
  <c r="T4" i="225"/>
  <c r="D4" i="225"/>
  <c r="L3" i="225"/>
  <c r="T2" i="225"/>
  <c r="D2" i="225"/>
  <c r="T4" i="199"/>
  <c r="D4" i="199"/>
  <c r="L3" i="199"/>
  <c r="T2" i="199"/>
  <c r="D2" i="199"/>
  <c r="L4" i="198"/>
  <c r="T3" i="198"/>
  <c r="D3" i="198"/>
  <c r="L2" i="198"/>
  <c r="G3" i="8"/>
  <c r="W3" i="8"/>
  <c r="O4" i="8"/>
  <c r="H2" i="8"/>
  <c r="X2" i="8"/>
  <c r="S4" i="227"/>
  <c r="C4" i="227"/>
  <c r="K3" i="227"/>
  <c r="S2" i="227"/>
  <c r="C2" i="227"/>
  <c r="K4" i="226"/>
  <c r="S3" i="226"/>
  <c r="C3" i="226"/>
  <c r="R4" i="227"/>
  <c r="B4" i="227"/>
  <c r="J3" i="227"/>
  <c r="R2" i="227"/>
  <c r="B2" i="227"/>
  <c r="J4" i="226"/>
  <c r="R3" i="226"/>
  <c r="B3" i="226"/>
  <c r="J2" i="226"/>
  <c r="R4" i="225"/>
  <c r="B4" i="225"/>
  <c r="J3" i="225"/>
  <c r="R2" i="225"/>
  <c r="B2" i="225"/>
  <c r="R4" i="199"/>
  <c r="B4" i="199"/>
  <c r="J3" i="199"/>
  <c r="R2" i="199"/>
  <c r="B2" i="199"/>
  <c r="J4" i="198"/>
  <c r="R3" i="198"/>
  <c r="B3" i="198"/>
  <c r="J2" i="198"/>
  <c r="I3" i="8"/>
  <c r="Y3" i="8"/>
  <c r="Q4" i="8"/>
  <c r="J2" i="8"/>
  <c r="B2" i="8"/>
  <c r="O4" i="227"/>
  <c r="W3" i="227"/>
  <c r="G3" i="227"/>
  <c r="O2" i="227"/>
  <c r="W4" i="226"/>
  <c r="G4" i="226"/>
  <c r="O3" i="226"/>
  <c r="W2" i="226"/>
  <c r="G2" i="226"/>
  <c r="O4" i="225"/>
  <c r="W3" i="225"/>
  <c r="G3" i="225"/>
  <c r="O2" i="225"/>
  <c r="O4" i="199"/>
  <c r="W3" i="199"/>
  <c r="G3" i="199"/>
  <c r="O2" i="199"/>
  <c r="W4" i="198"/>
  <c r="G4" i="198"/>
  <c r="O3" i="198"/>
  <c r="W2" i="198"/>
  <c r="G2" i="198"/>
  <c r="M4" i="227"/>
  <c r="M3" i="227"/>
  <c r="K2" i="227"/>
  <c r="H4" i="226"/>
  <c r="I3" i="226"/>
  <c r="F2" i="226"/>
  <c r="I4" i="225"/>
  <c r="H3" i="225"/>
  <c r="J2" i="225"/>
  <c r="P4" i="199"/>
  <c r="R3" i="199"/>
  <c r="Q2" i="199"/>
  <c r="S4" i="198"/>
  <c r="S3" i="198"/>
  <c r="T2" i="198"/>
  <c r="P3" i="8"/>
  <c r="N4" i="8"/>
  <c r="M2" i="8"/>
  <c r="Q3" i="199"/>
  <c r="Q3" i="8"/>
  <c r="P4" i="8"/>
  <c r="N2" i="8"/>
  <c r="N2" i="198"/>
  <c r="T4" i="8"/>
  <c r="Q2" i="8"/>
  <c r="L4" i="227"/>
  <c r="I3" i="227"/>
  <c r="J2" i="227"/>
  <c r="F4" i="226"/>
  <c r="F3" i="226"/>
  <c r="E2" i="226"/>
  <c r="F4" i="225"/>
  <c r="F3" i="225"/>
  <c r="I2" i="225"/>
  <c r="N4" i="199"/>
  <c r="P2" i="199"/>
  <c r="R4" i="198"/>
  <c r="Q3" i="198"/>
  <c r="S2" i="198"/>
  <c r="K4" i="227"/>
  <c r="H3" i="227"/>
  <c r="I2" i="227"/>
  <c r="E4" i="226"/>
  <c r="E3" i="226"/>
  <c r="D2" i="226"/>
  <c r="E4" i="225"/>
  <c r="E3" i="225"/>
  <c r="F2" i="225"/>
  <c r="M4" i="199"/>
  <c r="N3" i="199"/>
  <c r="N2" i="199"/>
  <c r="Q4" i="198"/>
  <c r="P3" i="198"/>
  <c r="R2" i="198"/>
  <c r="R3" i="8"/>
  <c r="R4" i="8"/>
  <c r="O2" i="8"/>
  <c r="M3" i="199"/>
  <c r="M2" i="199"/>
  <c r="N4" i="198"/>
  <c r="S4" i="8"/>
  <c r="I4" i="227"/>
  <c r="E2" i="227"/>
  <c r="C4" i="226"/>
  <c r="X2" i="226"/>
  <c r="B2" i="226"/>
  <c r="Y3" i="225"/>
  <c r="C3" i="225"/>
  <c r="C2" i="225"/>
  <c r="K4" i="199"/>
  <c r="L2" i="199"/>
  <c r="M3" i="198"/>
  <c r="V3" i="8"/>
  <c r="J4" i="227"/>
  <c r="F3" i="227"/>
  <c r="F2" i="227"/>
  <c r="D4" i="226"/>
  <c r="Y2" i="226"/>
  <c r="C2" i="226"/>
  <c r="C4" i="225"/>
  <c r="D3" i="225"/>
  <c r="E2" i="225"/>
  <c r="L4" i="199"/>
  <c r="N3" i="198"/>
  <c r="Q2" i="198"/>
  <c r="U3" i="8"/>
  <c r="P2" i="8"/>
  <c r="E3" i="227"/>
  <c r="K3" i="199"/>
  <c r="M4" i="198"/>
  <c r="F4" i="227"/>
  <c r="D3" i="227"/>
  <c r="Y4" i="226"/>
  <c r="B4" i="226"/>
  <c r="V2" i="226"/>
  <c r="Y4" i="225"/>
  <c r="X3" i="225"/>
  <c r="B3" i="225"/>
  <c r="J4" i="199"/>
  <c r="I3" i="199"/>
  <c r="K2" i="199"/>
  <c r="K4" i="198"/>
  <c r="L3" i="198"/>
  <c r="M2" i="198"/>
  <c r="X3" i="8"/>
  <c r="U4" i="8"/>
  <c r="R2" i="8"/>
  <c r="B4" i="8"/>
  <c r="I3" i="198"/>
  <c r="S2" i="225"/>
  <c r="E4" i="227"/>
  <c r="C3" i="227"/>
  <c r="X4" i="226"/>
  <c r="Y3" i="226"/>
  <c r="U2" i="226"/>
  <c r="V4" i="225"/>
  <c r="V3" i="225"/>
  <c r="Y2" i="225"/>
  <c r="I4" i="199"/>
  <c r="H3" i="199"/>
  <c r="J2" i="199"/>
  <c r="I4" i="198"/>
  <c r="K3" i="198"/>
  <c r="K2" i="198"/>
  <c r="B3" i="8"/>
  <c r="V4" i="8"/>
  <c r="S2" i="8"/>
  <c r="F3" i="8"/>
  <c r="X4" i="8"/>
  <c r="W2" i="8"/>
  <c r="Y3" i="227"/>
  <c r="B3" i="227"/>
  <c r="V4" i="226"/>
  <c r="V3" i="226"/>
  <c r="T2" i="226"/>
  <c r="U4" i="225"/>
  <c r="U3" i="225"/>
  <c r="V2" i="225"/>
  <c r="F4" i="199"/>
  <c r="F3" i="199"/>
  <c r="I2" i="199"/>
  <c r="H4" i="198"/>
  <c r="J3" i="198"/>
  <c r="I2" i="198"/>
  <c r="E3" i="8"/>
  <c r="C4" i="8"/>
  <c r="W4" i="8"/>
  <c r="V2" i="8"/>
  <c r="E3" i="199"/>
  <c r="V3" i="227"/>
  <c r="V2" i="227"/>
  <c r="T4" i="226"/>
  <c r="S3" i="225"/>
  <c r="X3" i="227"/>
  <c r="Y2" i="227"/>
  <c r="U4" i="226"/>
  <c r="U3" i="226"/>
  <c r="S2" i="226"/>
  <c r="S4" i="225"/>
  <c r="T3" i="225"/>
  <c r="U2" i="225"/>
  <c r="E4" i="199"/>
  <c r="F2" i="199"/>
  <c r="F4" i="198"/>
  <c r="H2" i="198"/>
  <c r="D4" i="8"/>
  <c r="Q3" i="226"/>
  <c r="R2" i="226"/>
  <c r="Q4" i="225"/>
  <c r="Y4" i="227"/>
  <c r="U3" i="227"/>
  <c r="U2" i="227"/>
  <c r="S4" i="226"/>
  <c r="P3" i="226"/>
  <c r="Q2" i="226"/>
  <c r="P4" i="225"/>
  <c r="R3" i="225"/>
  <c r="Q2" i="225"/>
  <c r="Y3" i="199"/>
  <c r="C3" i="199"/>
  <c r="C2" i="199"/>
  <c r="D4" i="198"/>
  <c r="E3" i="198"/>
  <c r="E2" i="198"/>
  <c r="Q4" i="227"/>
  <c r="R3" i="227"/>
  <c r="N2" i="227"/>
  <c r="N4" i="226"/>
  <c r="L3" i="226"/>
  <c r="K2" i="226"/>
  <c r="L4" i="225"/>
  <c r="M3" i="225"/>
  <c r="M2" i="225"/>
  <c r="P4" i="227"/>
  <c r="Q3" i="227"/>
  <c r="M2" i="227"/>
  <c r="M4" i="226"/>
  <c r="K3" i="226"/>
  <c r="I2" i="226"/>
  <c r="N4" i="227"/>
  <c r="N3" i="227"/>
  <c r="L2" i="227"/>
  <c r="I4" i="226"/>
  <c r="J3" i="226"/>
  <c r="H2" i="226"/>
  <c r="J4" i="225"/>
  <c r="I3" i="225"/>
  <c r="K2" i="225"/>
  <c r="M3" i="226"/>
  <c r="V4" i="199"/>
  <c r="E2" i="199"/>
  <c r="V2" i="198"/>
  <c r="M3" i="8"/>
  <c r="L2" i="8"/>
  <c r="X4" i="198"/>
  <c r="O3" i="8"/>
  <c r="Q4" i="199"/>
  <c r="E4" i="8"/>
  <c r="F4" i="8"/>
  <c r="B3" i="199"/>
  <c r="N2" i="226"/>
  <c r="U4" i="199"/>
  <c r="Y4" i="198"/>
  <c r="U2" i="198"/>
  <c r="N3" i="8"/>
  <c r="Y2" i="8"/>
  <c r="S4" i="199"/>
  <c r="V4" i="198"/>
  <c r="Y4" i="8"/>
  <c r="R4" i="226"/>
  <c r="V2" i="199"/>
  <c r="J3" i="8"/>
  <c r="L3" i="8"/>
  <c r="M2" i="226"/>
  <c r="F2" i="198"/>
  <c r="D2" i="198"/>
  <c r="G4" i="8"/>
  <c r="L2" i="225"/>
  <c r="C3" i="198"/>
  <c r="Y4" i="199"/>
  <c r="N4" i="225"/>
  <c r="M4" i="225"/>
  <c r="C4" i="199"/>
  <c r="U4" i="198"/>
  <c r="C2" i="198"/>
  <c r="K4" i="225"/>
  <c r="X3" i="199"/>
  <c r="T4" i="198"/>
  <c r="B2" i="198"/>
  <c r="X2" i="198"/>
  <c r="Q3" i="225"/>
  <c r="V3" i="199"/>
  <c r="E4" i="198"/>
  <c r="H4" i="8"/>
  <c r="Q2" i="227"/>
  <c r="U3" i="198"/>
  <c r="K2" i="8"/>
  <c r="V4" i="227"/>
  <c r="N3" i="225"/>
  <c r="U3" i="199"/>
  <c r="C4" i="198"/>
  <c r="I4" i="8"/>
  <c r="T3" i="227"/>
  <c r="P2" i="225"/>
  <c r="S3" i="199"/>
  <c r="Y3" i="198"/>
  <c r="M4" i="8"/>
  <c r="S3" i="227"/>
  <c r="N2" i="225"/>
  <c r="D3" i="199"/>
  <c r="H3" i="8"/>
  <c r="G2" i="8"/>
  <c r="U4" i="227"/>
  <c r="K3" i="225"/>
  <c r="T3" i="199"/>
  <c r="B4" i="198"/>
  <c r="J4" i="8"/>
  <c r="V3" i="198"/>
  <c r="C2" i="8"/>
  <c r="S2" i="199"/>
  <c r="P2" i="227"/>
  <c r="Y2" i="199"/>
  <c r="F3" i="198"/>
  <c r="F2" i="8"/>
  <c r="Q4" i="226"/>
  <c r="U2" i="199"/>
  <c r="Y2" i="198"/>
  <c r="K3" i="8"/>
  <c r="I2" i="8"/>
  <c r="N3" i="226"/>
  <c r="D2" i="59"/>
  <c r="T2" i="59"/>
  <c r="M3" i="59"/>
  <c r="F4" i="59"/>
  <c r="V4" i="59"/>
  <c r="E2" i="59"/>
  <c r="U2" i="59"/>
  <c r="N3" i="59"/>
  <c r="G4" i="59"/>
  <c r="W4" i="59"/>
  <c r="H2" i="59"/>
  <c r="X2" i="59"/>
  <c r="Q3" i="59"/>
  <c r="J4" i="59"/>
  <c r="B3" i="59"/>
  <c r="J2" i="59"/>
  <c r="C3" i="59"/>
  <c r="S3" i="59"/>
  <c r="L4" i="59"/>
  <c r="B2" i="59"/>
  <c r="W2" i="59"/>
  <c r="V3" i="59"/>
  <c r="S4" i="59"/>
  <c r="Y2" i="59"/>
  <c r="W3" i="59"/>
  <c r="T4" i="59"/>
  <c r="G2" i="59"/>
  <c r="C2" i="59"/>
  <c r="D3" i="59"/>
  <c r="X3" i="59"/>
  <c r="U4" i="59"/>
  <c r="F2" i="59"/>
  <c r="Y3" i="59"/>
  <c r="X4" i="59"/>
  <c r="E3" i="59"/>
  <c r="I2" i="59"/>
  <c r="G3" i="59"/>
  <c r="D4" i="59"/>
  <c r="B4" i="59"/>
  <c r="H3" i="59"/>
  <c r="E4" i="59"/>
  <c r="K2" i="59"/>
  <c r="M2" i="59"/>
  <c r="L2" i="59"/>
  <c r="I3" i="59"/>
  <c r="H4" i="59"/>
  <c r="J3" i="59"/>
  <c r="I4" i="59"/>
  <c r="Q2" i="59"/>
  <c r="O4" i="59"/>
  <c r="S2" i="59"/>
  <c r="V2" i="59"/>
  <c r="T3" i="59"/>
  <c r="U3" i="59"/>
  <c r="R2" i="59"/>
  <c r="P4" i="59"/>
  <c r="R4" i="59"/>
  <c r="K4" i="59"/>
  <c r="P2" i="59"/>
  <c r="Q4" i="59"/>
  <c r="F3" i="59"/>
  <c r="Y4" i="59"/>
  <c r="K3" i="59"/>
  <c r="L3" i="59"/>
  <c r="R3" i="59"/>
  <c r="N2" i="59"/>
  <c r="O3" i="59"/>
  <c r="C4" i="59"/>
  <c r="N4" i="59"/>
  <c r="P3" i="59"/>
  <c r="O2" i="59"/>
  <c r="M4" i="59"/>
  <c r="B8" i="1"/>
  <c r="I3" i="312" l="1"/>
  <c r="I3" i="273"/>
  <c r="I4" i="273"/>
  <c r="I2" i="273"/>
  <c r="I4" i="312"/>
  <c r="I2" i="312"/>
  <c r="U4" i="273"/>
  <c r="U2" i="273"/>
  <c r="U3" i="312"/>
  <c r="U3" i="273"/>
  <c r="U4" i="312"/>
  <c r="U2" i="312"/>
  <c r="J3" i="313"/>
  <c r="J3" i="274"/>
  <c r="J4" i="313"/>
  <c r="J2" i="313"/>
  <c r="J4" i="274"/>
  <c r="J2" i="274"/>
  <c r="J4" i="294"/>
  <c r="J3" i="296"/>
  <c r="J3" i="294"/>
  <c r="J2" i="294"/>
  <c r="J2" i="296"/>
  <c r="J3" i="295"/>
  <c r="J4" i="295"/>
  <c r="J4" i="296"/>
  <c r="J2" i="295"/>
  <c r="Y3" i="312"/>
  <c r="Y3" i="273"/>
  <c r="Y2" i="273"/>
  <c r="Y4" i="312"/>
  <c r="Y2" i="312"/>
  <c r="Y4" i="273"/>
  <c r="H3" i="273"/>
  <c r="H3" i="312"/>
  <c r="H4" i="312"/>
  <c r="H2" i="312"/>
  <c r="H4" i="273"/>
  <c r="H2" i="273"/>
  <c r="J3" i="273"/>
  <c r="J4" i="312"/>
  <c r="J2" i="312"/>
  <c r="J4" i="273"/>
  <c r="J2" i="273"/>
  <c r="J3" i="312"/>
  <c r="M3" i="313"/>
  <c r="M3" i="274"/>
  <c r="M2" i="274"/>
  <c r="M4" i="313"/>
  <c r="M2" i="313"/>
  <c r="M4" i="274"/>
  <c r="M2" i="294"/>
  <c r="M2" i="296"/>
  <c r="M4" i="295"/>
  <c r="M4" i="294"/>
  <c r="M3" i="295"/>
  <c r="M3" i="296"/>
  <c r="M2" i="295"/>
  <c r="M3" i="294"/>
  <c r="M4" i="296"/>
  <c r="K4" i="273"/>
  <c r="K2" i="273"/>
  <c r="K4" i="312"/>
  <c r="K2" i="312"/>
  <c r="K3" i="273"/>
  <c r="K3" i="312"/>
  <c r="K3" i="274"/>
  <c r="K4" i="274"/>
  <c r="K3" i="313"/>
  <c r="K2" i="274"/>
  <c r="K4" i="313"/>
  <c r="K2" i="313"/>
  <c r="K3" i="295"/>
  <c r="K3" i="294"/>
  <c r="K4" i="295"/>
  <c r="K3" i="296"/>
  <c r="K4" i="294"/>
  <c r="K2" i="294"/>
  <c r="K4" i="296"/>
  <c r="K2" i="296"/>
  <c r="K2" i="295"/>
  <c r="T3" i="273"/>
  <c r="T3" i="312"/>
  <c r="T4" i="312"/>
  <c r="T2" i="312"/>
  <c r="T4" i="273"/>
  <c r="T2" i="273"/>
  <c r="W4" i="273"/>
  <c r="W2" i="273"/>
  <c r="W3" i="312"/>
  <c r="W3" i="273"/>
  <c r="W4" i="312"/>
  <c r="W2" i="312"/>
  <c r="R2" i="273"/>
  <c r="R3" i="312"/>
  <c r="R3" i="273"/>
  <c r="R4" i="312"/>
  <c r="R2" i="312"/>
  <c r="R4" i="273"/>
  <c r="E4" i="273"/>
  <c r="E3" i="312"/>
  <c r="E3" i="273"/>
  <c r="E2" i="273"/>
  <c r="E4" i="312"/>
  <c r="E2" i="312"/>
  <c r="G2" i="273"/>
  <c r="G3" i="312"/>
  <c r="G3" i="273"/>
  <c r="G4" i="273"/>
  <c r="G4" i="312"/>
  <c r="G2" i="312"/>
  <c r="M4" i="312"/>
  <c r="M2" i="312"/>
  <c r="M4" i="273"/>
  <c r="M2" i="273"/>
  <c r="M3" i="273"/>
  <c r="M3" i="312"/>
  <c r="Y4" i="313"/>
  <c r="Y2" i="313"/>
  <c r="Y4" i="274"/>
  <c r="Y2" i="274"/>
  <c r="Y3" i="313"/>
  <c r="Y3" i="274"/>
  <c r="Y4" i="294"/>
  <c r="Y3" i="295"/>
  <c r="Y2" i="294"/>
  <c r="Y4" i="295"/>
  <c r="Y4" i="296"/>
  <c r="Y2" i="296"/>
  <c r="Y2" i="295"/>
  <c r="Y3" i="294"/>
  <c r="Y3" i="296"/>
  <c r="R4" i="313"/>
  <c r="R2" i="313"/>
  <c r="R4" i="274"/>
  <c r="R2" i="274"/>
  <c r="R3" i="313"/>
  <c r="R3" i="274"/>
  <c r="R3" i="296"/>
  <c r="R3" i="294"/>
  <c r="R4" i="296"/>
  <c r="R2" i="296"/>
  <c r="R3" i="295"/>
  <c r="R4" i="294"/>
  <c r="R4" i="295"/>
  <c r="R2" i="294"/>
  <c r="R2" i="295"/>
  <c r="F4" i="313"/>
  <c r="F2" i="313"/>
  <c r="F4" i="274"/>
  <c r="F2" i="274"/>
  <c r="F3" i="313"/>
  <c r="F3" i="274"/>
  <c r="F4" i="294"/>
  <c r="F3" i="294"/>
  <c r="F2" i="294"/>
  <c r="F3" i="296"/>
  <c r="F2" i="295"/>
  <c r="F2" i="296"/>
  <c r="F4" i="295"/>
  <c r="F4" i="296"/>
  <c r="F3" i="295"/>
  <c r="P3" i="274"/>
  <c r="P3" i="313"/>
  <c r="P2" i="274"/>
  <c r="P2" i="313"/>
  <c r="P4" i="274"/>
  <c r="P4" i="313"/>
  <c r="P3" i="295"/>
  <c r="P2" i="294"/>
  <c r="P3" i="294"/>
  <c r="P2" i="295"/>
  <c r="P4" i="294"/>
  <c r="P4" i="296"/>
  <c r="P4" i="295"/>
  <c r="P3" i="296"/>
  <c r="P2" i="296"/>
  <c r="B4" i="273"/>
  <c r="B2" i="273"/>
  <c r="B3" i="312"/>
  <c r="B3" i="273"/>
  <c r="B4" i="312"/>
  <c r="B2" i="312"/>
  <c r="W4" i="313"/>
  <c r="W2" i="313"/>
  <c r="W4" i="274"/>
  <c r="W2" i="274"/>
  <c r="W3" i="274"/>
  <c r="W3" i="313"/>
  <c r="W3" i="294"/>
  <c r="W2" i="294"/>
  <c r="W2" i="296"/>
  <c r="W3" i="296"/>
  <c r="W4" i="296"/>
  <c r="W2" i="295"/>
  <c r="W4" i="295"/>
  <c r="W4" i="294"/>
  <c r="W3" i="295"/>
  <c r="P4" i="273"/>
  <c r="P2" i="273"/>
  <c r="P4" i="312"/>
  <c r="P2" i="312"/>
  <c r="P3" i="312"/>
  <c r="P3" i="273"/>
  <c r="S3" i="273"/>
  <c r="S4" i="273"/>
  <c r="S3" i="312"/>
  <c r="S2" i="273"/>
  <c r="S4" i="312"/>
  <c r="S2" i="312"/>
  <c r="D3" i="273"/>
  <c r="D3" i="312"/>
  <c r="D4" i="312"/>
  <c r="D2" i="312"/>
  <c r="D4" i="273"/>
  <c r="D2" i="273"/>
  <c r="E4" i="313"/>
  <c r="E2" i="313"/>
  <c r="E4" i="274"/>
  <c r="E2" i="274"/>
  <c r="E3" i="274"/>
  <c r="E3" i="313"/>
  <c r="E3" i="296"/>
  <c r="E4" i="296"/>
  <c r="E3" i="294"/>
  <c r="E3" i="295"/>
  <c r="E2" i="295"/>
  <c r="E4" i="295"/>
  <c r="E2" i="294"/>
  <c r="E4" i="294"/>
  <c r="E2" i="296"/>
  <c r="N4" i="312"/>
  <c r="N2" i="312"/>
  <c r="N4" i="273"/>
  <c r="N2" i="273"/>
  <c r="N3" i="312"/>
  <c r="N3" i="273"/>
  <c r="V3" i="312"/>
  <c r="V3" i="273"/>
  <c r="V4" i="312"/>
  <c r="V2" i="312"/>
  <c r="V4" i="273"/>
  <c r="V2" i="273"/>
  <c r="B4" i="313"/>
  <c r="B2" i="313"/>
  <c r="B4" i="274"/>
  <c r="B2" i="274"/>
  <c r="B3" i="313"/>
  <c r="B3" i="274"/>
  <c r="B3" i="294"/>
  <c r="B4" i="296"/>
  <c r="B2" i="296"/>
  <c r="B3" i="296"/>
  <c r="B3" i="295"/>
  <c r="B4" i="295"/>
  <c r="B2" i="295"/>
  <c r="B2" i="294"/>
  <c r="B4" i="294"/>
  <c r="X4" i="274"/>
  <c r="X2" i="274"/>
  <c r="X4" i="313"/>
  <c r="X2" i="313"/>
  <c r="X3" i="274"/>
  <c r="X3" i="313"/>
  <c r="X4" i="296"/>
  <c r="X4" i="294"/>
  <c r="X2" i="295"/>
  <c r="X2" i="294"/>
  <c r="X3" i="294"/>
  <c r="X3" i="295"/>
  <c r="X3" i="296"/>
  <c r="X4" i="295"/>
  <c r="X2" i="296"/>
  <c r="G4" i="313"/>
  <c r="G2" i="313"/>
  <c r="G4" i="274"/>
  <c r="G2" i="274"/>
  <c r="G3" i="274"/>
  <c r="G3" i="313"/>
  <c r="G3" i="294"/>
  <c r="G2" i="294"/>
  <c r="G2" i="296"/>
  <c r="G3" i="295"/>
  <c r="G3" i="296"/>
  <c r="G4" i="296"/>
  <c r="G4" i="295"/>
  <c r="G2" i="295"/>
  <c r="G4" i="294"/>
  <c r="O3" i="313"/>
  <c r="O3" i="274"/>
  <c r="O4" i="274"/>
  <c r="O2" i="274"/>
  <c r="O4" i="313"/>
  <c r="O2" i="313"/>
  <c r="O2" i="296"/>
  <c r="O2" i="294"/>
  <c r="O2" i="295"/>
  <c r="O4" i="296"/>
  <c r="O3" i="296"/>
  <c r="O4" i="295"/>
  <c r="O3" i="295"/>
  <c r="O4" i="294"/>
  <c r="O3" i="294"/>
  <c r="C4" i="273"/>
  <c r="C3" i="273"/>
  <c r="C2" i="273"/>
  <c r="C3" i="312"/>
  <c r="C4" i="312"/>
  <c r="C2" i="312"/>
  <c r="V4" i="313"/>
  <c r="V2" i="313"/>
  <c r="V4" i="274"/>
  <c r="V2" i="274"/>
  <c r="V3" i="313"/>
  <c r="V3" i="274"/>
  <c r="V4" i="295"/>
  <c r="V2" i="294"/>
  <c r="V2" i="295"/>
  <c r="V3" i="296"/>
  <c r="V4" i="296"/>
  <c r="V2" i="296"/>
  <c r="V3" i="294"/>
  <c r="V3" i="295"/>
  <c r="V4" i="294"/>
  <c r="I4" i="313"/>
  <c r="I2" i="313"/>
  <c r="I4" i="274"/>
  <c r="I2" i="274"/>
  <c r="I3" i="313"/>
  <c r="I3" i="274"/>
  <c r="I3" i="296"/>
  <c r="I2" i="294"/>
  <c r="I4" i="296"/>
  <c r="I4" i="294"/>
  <c r="I2" i="295"/>
  <c r="I4" i="295"/>
  <c r="I3" i="294"/>
  <c r="I3" i="295"/>
  <c r="I2" i="296"/>
  <c r="F3" i="312"/>
  <c r="F3" i="273"/>
  <c r="F4" i="312"/>
  <c r="F2" i="312"/>
  <c r="F4" i="273"/>
  <c r="F2" i="273"/>
  <c r="S2" i="274"/>
  <c r="S4" i="274"/>
  <c r="S4" i="313"/>
  <c r="S2" i="313"/>
  <c r="S3" i="274"/>
  <c r="S3" i="313"/>
  <c r="S4" i="295"/>
  <c r="S4" i="294"/>
  <c r="S2" i="294"/>
  <c r="S3" i="294"/>
  <c r="S3" i="296"/>
  <c r="S2" i="295"/>
  <c r="S4" i="296"/>
  <c r="S2" i="296"/>
  <c r="S3" i="295"/>
  <c r="L4" i="273"/>
  <c r="L2" i="273"/>
  <c r="L4" i="312"/>
  <c r="L2" i="312"/>
  <c r="L3" i="312"/>
  <c r="L3" i="273"/>
  <c r="Q4" i="312"/>
  <c r="Q2" i="312"/>
  <c r="Q4" i="273"/>
  <c r="Q2" i="273"/>
  <c r="Q3" i="273"/>
  <c r="Q3" i="312"/>
  <c r="L3" i="274"/>
  <c r="L3" i="313"/>
  <c r="L4" i="313"/>
  <c r="L2" i="313"/>
  <c r="L4" i="274"/>
  <c r="L2" i="274"/>
  <c r="L4" i="296"/>
  <c r="L4" i="295"/>
  <c r="L3" i="295"/>
  <c r="L2" i="296"/>
  <c r="L3" i="294"/>
  <c r="L4" i="294"/>
  <c r="L2" i="295"/>
  <c r="L2" i="294"/>
  <c r="L3" i="296"/>
  <c r="C3" i="274"/>
  <c r="C2" i="274"/>
  <c r="C4" i="274"/>
  <c r="C4" i="313"/>
  <c r="C2" i="313"/>
  <c r="C3" i="313"/>
  <c r="C4" i="294"/>
  <c r="C4" i="296"/>
  <c r="C4" i="295"/>
  <c r="C2" i="294"/>
  <c r="C2" i="295"/>
  <c r="C3" i="294"/>
  <c r="C3" i="295"/>
  <c r="C2" i="296"/>
  <c r="C3" i="296"/>
  <c r="H2" i="274"/>
  <c r="H4" i="313"/>
  <c r="H2" i="313"/>
  <c r="H4" i="274"/>
  <c r="H3" i="313"/>
  <c r="H3" i="274"/>
  <c r="H2" i="295"/>
  <c r="H3" i="296"/>
  <c r="H2" i="294"/>
  <c r="H2" i="296"/>
  <c r="H3" i="294"/>
  <c r="H4" i="294"/>
  <c r="H4" i="296"/>
  <c r="H3" i="295"/>
  <c r="H4" i="295"/>
  <c r="U3" i="274"/>
  <c r="U4" i="313"/>
  <c r="U2" i="313"/>
  <c r="U4" i="274"/>
  <c r="U2" i="274"/>
  <c r="U3" i="313"/>
  <c r="U4" i="296"/>
  <c r="U3" i="295"/>
  <c r="U4" i="295"/>
  <c r="U3" i="294"/>
  <c r="U2" i="295"/>
  <c r="U2" i="296"/>
  <c r="U4" i="294"/>
  <c r="U3" i="296"/>
  <c r="U2" i="294"/>
  <c r="N3" i="313"/>
  <c r="N3" i="274"/>
  <c r="N4" i="313"/>
  <c r="N2" i="313"/>
  <c r="N4" i="274"/>
  <c r="N2" i="274"/>
  <c r="N3" i="296"/>
  <c r="N3" i="294"/>
  <c r="N4" i="296"/>
  <c r="N2" i="295"/>
  <c r="N2" i="296"/>
  <c r="N4" i="294"/>
  <c r="N3" i="295"/>
  <c r="N4" i="295"/>
  <c r="N2" i="294"/>
  <c r="O4" i="312"/>
  <c r="O2" i="312"/>
  <c r="O4" i="273"/>
  <c r="O2" i="273"/>
  <c r="O3" i="273"/>
  <c r="O3" i="312"/>
  <c r="X3" i="273"/>
  <c r="X3" i="312"/>
  <c r="X4" i="273"/>
  <c r="X4" i="312"/>
  <c r="X2" i="312"/>
  <c r="X2" i="273"/>
  <c r="T4" i="274"/>
  <c r="T2" i="274"/>
  <c r="T4" i="313"/>
  <c r="T2" i="313"/>
  <c r="T3" i="313"/>
  <c r="T3" i="274"/>
  <c r="T3" i="295"/>
  <c r="T3" i="296"/>
  <c r="T2" i="295"/>
  <c r="T3" i="294"/>
  <c r="T4" i="295"/>
  <c r="T4" i="294"/>
  <c r="T2" i="294"/>
  <c r="T2" i="296"/>
  <c r="T4" i="296"/>
  <c r="Q3" i="313"/>
  <c r="Q3" i="274"/>
  <c r="Q4" i="313"/>
  <c r="Q2" i="313"/>
  <c r="Q4" i="274"/>
  <c r="Q2" i="274"/>
  <c r="Q4" i="294"/>
  <c r="Q2" i="296"/>
  <c r="Q3" i="294"/>
  <c r="Q3" i="296"/>
  <c r="Q3" i="295"/>
  <c r="Q4" i="295"/>
  <c r="Q2" i="294"/>
  <c r="Q4" i="296"/>
  <c r="Q2" i="295"/>
  <c r="D4" i="274"/>
  <c r="D2" i="274"/>
  <c r="D4" i="313"/>
  <c r="D2" i="313"/>
  <c r="D3" i="313"/>
  <c r="D3" i="274"/>
  <c r="D2" i="296"/>
  <c r="D3" i="296"/>
  <c r="D3" i="295"/>
  <c r="D4" i="295"/>
  <c r="D2" i="295"/>
  <c r="D4" i="294"/>
  <c r="D4" i="296"/>
  <c r="D2" i="294"/>
  <c r="D3" i="294"/>
  <c r="H4" i="217"/>
  <c r="M2" i="29"/>
  <c r="P4" i="192"/>
  <c r="K2" i="218"/>
  <c r="V3" i="192"/>
  <c r="I3" i="218"/>
  <c r="B2" i="192"/>
  <c r="Y3" i="218"/>
  <c r="W3" i="217"/>
  <c r="S2" i="192"/>
  <c r="O2" i="192"/>
  <c r="R3" i="216"/>
  <c r="U3" i="218"/>
  <c r="C4" i="29"/>
  <c r="G4" i="217"/>
  <c r="E2" i="29"/>
  <c r="N2" i="216"/>
  <c r="T2" i="193"/>
  <c r="Q3" i="193"/>
  <c r="D4" i="193"/>
  <c r="T4" i="69"/>
  <c r="D2" i="29"/>
  <c r="B2" i="68"/>
  <c r="N4" i="68"/>
  <c r="S3" i="68"/>
  <c r="Q2" i="218"/>
  <c r="X4" i="69"/>
  <c r="D4" i="68"/>
  <c r="O2" i="68"/>
  <c r="Y2" i="217"/>
  <c r="S3" i="192"/>
  <c r="T4" i="216"/>
  <c r="D2" i="216"/>
  <c r="D2" i="68"/>
  <c r="S2" i="216"/>
  <c r="D3" i="68"/>
  <c r="K2" i="68"/>
  <c r="T4" i="68"/>
  <c r="W4" i="68"/>
  <c r="Q3" i="217"/>
  <c r="R2" i="68"/>
  <c r="E2" i="68"/>
  <c r="W2" i="69"/>
  <c r="R2" i="216"/>
  <c r="N2" i="193"/>
  <c r="N3" i="193"/>
  <c r="N4" i="193"/>
  <c r="N2" i="217"/>
  <c r="Y3" i="216"/>
  <c r="W2" i="68"/>
  <c r="W2" i="29"/>
  <c r="N3" i="217"/>
  <c r="S3" i="29"/>
  <c r="T3" i="218"/>
  <c r="Q2" i="68"/>
  <c r="I4" i="193"/>
  <c r="E3" i="69"/>
  <c r="Y3" i="69"/>
  <c r="Y2" i="193"/>
  <c r="Y4" i="69"/>
  <c r="N3" i="68"/>
  <c r="Q2" i="69"/>
  <c r="Q4" i="217"/>
  <c r="I2" i="69"/>
  <c r="T2" i="69"/>
  <c r="T2" i="68"/>
  <c r="L2" i="69"/>
  <c r="E2" i="69"/>
  <c r="M3" i="68"/>
  <c r="S4" i="192"/>
  <c r="R3" i="29"/>
  <c r="W3" i="29"/>
  <c r="U2" i="29"/>
  <c r="S2" i="218"/>
  <c r="I4" i="216"/>
  <c r="K3" i="68"/>
  <c r="M2" i="69"/>
  <c r="Q4" i="29"/>
  <c r="D4" i="216"/>
  <c r="Q4" i="192"/>
  <c r="L4" i="68"/>
  <c r="E2" i="216"/>
  <c r="O3" i="68"/>
  <c r="T2" i="29"/>
  <c r="O4" i="68"/>
  <c r="I2" i="193"/>
  <c r="P3" i="218"/>
  <c r="V2" i="218"/>
  <c r="E2" i="217"/>
  <c r="T4" i="192"/>
  <c r="I2" i="218"/>
  <c r="W3" i="68"/>
  <c r="M3" i="69"/>
  <c r="E4" i="192"/>
  <c r="E3" i="29"/>
  <c r="N4" i="29"/>
  <c r="D3" i="217"/>
  <c r="T3" i="193"/>
  <c r="E4" i="69"/>
  <c r="N2" i="68"/>
  <c r="P2" i="68"/>
  <c r="V3" i="29"/>
  <c r="T2" i="216"/>
  <c r="U4" i="216"/>
  <c r="Q4" i="216"/>
  <c r="N2" i="29"/>
  <c r="E3" i="216"/>
  <c r="R4" i="192"/>
  <c r="P2" i="193"/>
  <c r="H3" i="217"/>
  <c r="T3" i="216"/>
  <c r="S4" i="69"/>
  <c r="I3" i="69"/>
  <c r="R3" i="69"/>
  <c r="N4" i="217"/>
  <c r="S4" i="216"/>
  <c r="V4" i="29"/>
  <c r="U2" i="192"/>
  <c r="M4" i="193"/>
  <c r="I4" i="217"/>
  <c r="D4" i="217"/>
  <c r="S2" i="69"/>
  <c r="R4" i="69"/>
  <c r="U3" i="216"/>
  <c r="B3" i="29"/>
  <c r="B2" i="216"/>
  <c r="Q3" i="192"/>
  <c r="E4" i="218"/>
  <c r="I2" i="216"/>
  <c r="E2" i="192"/>
  <c r="D3" i="218"/>
  <c r="T4" i="29"/>
  <c r="R2" i="69"/>
  <c r="O4" i="29"/>
  <c r="S3" i="193"/>
  <c r="U2" i="216"/>
  <c r="Y4" i="193"/>
  <c r="V2" i="217"/>
  <c r="V3" i="217"/>
  <c r="T2" i="192"/>
  <c r="B4" i="216"/>
  <c r="I2" i="217"/>
  <c r="D3" i="192"/>
  <c r="V3" i="193"/>
  <c r="D2" i="69"/>
  <c r="Y2" i="69"/>
  <c r="P4" i="69"/>
  <c r="E4" i="68"/>
  <c r="U2" i="217"/>
  <c r="S3" i="217"/>
  <c r="V4" i="193"/>
  <c r="D3" i="29"/>
  <c r="Q2" i="217"/>
  <c r="T2" i="218"/>
  <c r="U2" i="218"/>
  <c r="N4" i="192"/>
  <c r="V4" i="217"/>
  <c r="E3" i="218"/>
  <c r="D2" i="193"/>
  <c r="O2" i="193"/>
  <c r="B4" i="68"/>
  <c r="E2" i="193"/>
  <c r="S4" i="193"/>
  <c r="T3" i="69"/>
  <c r="B3" i="69"/>
  <c r="Q3" i="218"/>
  <c r="Q2" i="216"/>
  <c r="R4" i="68"/>
  <c r="R4" i="216"/>
  <c r="T3" i="29"/>
  <c r="D2" i="218"/>
  <c r="B2" i="29"/>
  <c r="N3" i="216"/>
  <c r="V4" i="216"/>
  <c r="B3" i="68"/>
  <c r="V4" i="69"/>
  <c r="R3" i="217"/>
  <c r="I3" i="192"/>
  <c r="N3" i="218"/>
  <c r="S3" i="218"/>
  <c r="T4" i="218"/>
  <c r="V3" i="69"/>
  <c r="N2" i="69"/>
  <c r="V2" i="69"/>
  <c r="Q3" i="69"/>
  <c r="R3" i="68"/>
  <c r="N4" i="69"/>
  <c r="D3" i="69"/>
  <c r="E4" i="29"/>
  <c r="T3" i="217"/>
  <c r="V3" i="216"/>
  <c r="N2" i="218"/>
  <c r="D4" i="192"/>
  <c r="Q2" i="192"/>
  <c r="Y4" i="216"/>
  <c r="Y4" i="218"/>
  <c r="N4" i="216"/>
  <c r="B3" i="218"/>
  <c r="R2" i="192"/>
  <c r="S2" i="29"/>
  <c r="E3" i="193"/>
  <c r="T3" i="68"/>
  <c r="V2" i="68"/>
  <c r="R4" i="218"/>
  <c r="Q4" i="69"/>
  <c r="N3" i="69"/>
  <c r="Q4" i="68"/>
  <c r="X4" i="68"/>
  <c r="I2" i="192"/>
  <c r="S4" i="217"/>
  <c r="B4" i="29"/>
  <c r="Q4" i="218"/>
  <c r="S2" i="217"/>
  <c r="I4" i="192"/>
  <c r="B3" i="217"/>
  <c r="E4" i="216"/>
  <c r="D2" i="192"/>
  <c r="I3" i="217"/>
  <c r="Q3" i="29"/>
  <c r="M3" i="218"/>
  <c r="E4" i="217"/>
  <c r="C2" i="192"/>
  <c r="G2" i="29"/>
  <c r="K4" i="217"/>
  <c r="O3" i="218"/>
  <c r="R2" i="29"/>
  <c r="B4" i="193"/>
  <c r="R2" i="217"/>
  <c r="G4" i="29"/>
  <c r="O4" i="192"/>
  <c r="G3" i="216"/>
  <c r="X3" i="218"/>
  <c r="F2" i="235"/>
  <c r="F3" i="235"/>
  <c r="F4" i="235"/>
  <c r="J3" i="235"/>
  <c r="J2" i="235"/>
  <c r="J4" i="235"/>
  <c r="F3" i="29"/>
  <c r="L4" i="69"/>
  <c r="U4" i="234"/>
  <c r="U3" i="234"/>
  <c r="U2" i="234"/>
  <c r="L3" i="192"/>
  <c r="C3" i="216"/>
  <c r="F2" i="216"/>
  <c r="K2" i="216"/>
  <c r="J4" i="29"/>
  <c r="G4" i="218"/>
  <c r="Y4" i="29"/>
  <c r="R4" i="193"/>
  <c r="J3" i="217"/>
  <c r="O3" i="29"/>
  <c r="T4" i="217"/>
  <c r="G2" i="193"/>
  <c r="W3" i="216"/>
  <c r="P4" i="218"/>
  <c r="X4" i="235"/>
  <c r="X2" i="235"/>
  <c r="X3" i="235"/>
  <c r="L3" i="69"/>
  <c r="Q3" i="68"/>
  <c r="X3" i="68"/>
  <c r="Y2" i="234"/>
  <c r="Y4" i="234"/>
  <c r="Y3" i="234"/>
  <c r="H3" i="234"/>
  <c r="H2" i="234"/>
  <c r="H4" i="234"/>
  <c r="J4" i="234"/>
  <c r="J2" i="234"/>
  <c r="J3" i="234"/>
  <c r="C3" i="193"/>
  <c r="X4" i="29"/>
  <c r="C4" i="216"/>
  <c r="F3" i="216"/>
  <c r="C3" i="218"/>
  <c r="J3" i="29"/>
  <c r="J3" i="218"/>
  <c r="W2" i="192"/>
  <c r="Y2" i="29"/>
  <c r="W4" i="218"/>
  <c r="I4" i="29"/>
  <c r="B4" i="217"/>
  <c r="L2" i="218"/>
  <c r="W2" i="193"/>
  <c r="O4" i="216"/>
  <c r="I2" i="234"/>
  <c r="I4" i="234"/>
  <c r="I3" i="234"/>
  <c r="X2" i="68"/>
  <c r="M4" i="69"/>
  <c r="X4" i="216"/>
  <c r="C4" i="218"/>
  <c r="J2" i="217"/>
  <c r="M2" i="216"/>
  <c r="H4" i="218"/>
  <c r="R4" i="217"/>
  <c r="O3" i="193"/>
  <c r="G2" i="217"/>
  <c r="P2" i="192"/>
  <c r="L3" i="235"/>
  <c r="L2" i="235"/>
  <c r="L4" i="235"/>
  <c r="L3" i="216"/>
  <c r="F4" i="29"/>
  <c r="J2" i="218"/>
  <c r="G4" i="193"/>
  <c r="W2" i="217"/>
  <c r="H3" i="192"/>
  <c r="K4" i="216"/>
  <c r="F2" i="29"/>
  <c r="H3" i="29"/>
  <c r="G2" i="216"/>
  <c r="L4" i="218"/>
  <c r="W4" i="193"/>
  <c r="O3" i="217"/>
  <c r="X3" i="192"/>
  <c r="P2" i="216"/>
  <c r="C4" i="217"/>
  <c r="K4" i="29"/>
  <c r="F2" i="218"/>
  <c r="K2" i="217"/>
  <c r="H4" i="29"/>
  <c r="W2" i="216"/>
  <c r="R3" i="218"/>
  <c r="D4" i="29"/>
  <c r="H3" i="216"/>
  <c r="P3" i="235"/>
  <c r="P2" i="235"/>
  <c r="P4" i="235"/>
  <c r="M2" i="235"/>
  <c r="M4" i="235"/>
  <c r="M3" i="235"/>
  <c r="G4" i="235"/>
  <c r="G2" i="235"/>
  <c r="G3" i="235"/>
  <c r="W3" i="234"/>
  <c r="W4" i="234"/>
  <c r="W2" i="234"/>
  <c r="K4" i="68"/>
  <c r="X2" i="29"/>
  <c r="P3" i="216"/>
  <c r="Y2" i="216"/>
  <c r="Y4" i="217"/>
  <c r="C2" i="218"/>
  <c r="F3" i="218"/>
  <c r="H2" i="29"/>
  <c r="Y2" i="192"/>
  <c r="I3" i="29"/>
  <c r="O3" i="216"/>
  <c r="J4" i="218"/>
  <c r="L2" i="192"/>
  <c r="L3" i="29"/>
  <c r="W4" i="217"/>
  <c r="H2" i="193"/>
  <c r="X3" i="216"/>
  <c r="J2" i="29"/>
  <c r="J4" i="217"/>
  <c r="O2" i="218"/>
  <c r="X2" i="193"/>
  <c r="P4" i="216"/>
  <c r="C2" i="216"/>
  <c r="M2" i="193"/>
  <c r="U3" i="235"/>
  <c r="U2" i="235"/>
  <c r="U4" i="235"/>
  <c r="J2" i="193"/>
  <c r="Y3" i="193"/>
  <c r="B3" i="193"/>
  <c r="M3" i="192"/>
  <c r="U3" i="217"/>
  <c r="V3" i="218"/>
  <c r="C2" i="217"/>
  <c r="O2" i="29"/>
  <c r="M3" i="193"/>
  <c r="B4" i="218"/>
  <c r="M4" i="29"/>
  <c r="J3" i="216"/>
  <c r="U4" i="192"/>
  <c r="H2" i="218"/>
  <c r="G2" i="192"/>
  <c r="M2" i="217"/>
  <c r="G3" i="193"/>
  <c r="W4" i="216"/>
  <c r="J2" i="192"/>
  <c r="T3" i="192"/>
  <c r="L2" i="216"/>
  <c r="G3" i="218"/>
  <c r="P3" i="193"/>
  <c r="H2" i="217"/>
  <c r="X4" i="192"/>
  <c r="X3" i="217"/>
  <c r="U4" i="68"/>
  <c r="G3" i="234"/>
  <c r="G4" i="234"/>
  <c r="G2" i="234"/>
  <c r="G4" i="216"/>
  <c r="W4" i="69"/>
  <c r="U2" i="68"/>
  <c r="I4" i="68"/>
  <c r="H4" i="69"/>
  <c r="D3" i="234"/>
  <c r="D4" i="234"/>
  <c r="D2" i="234"/>
  <c r="E3" i="235"/>
  <c r="E2" i="235"/>
  <c r="E4" i="235"/>
  <c r="E4" i="193"/>
  <c r="G4" i="192"/>
  <c r="C3" i="29"/>
  <c r="F4" i="192"/>
  <c r="U4" i="217"/>
  <c r="U4" i="218"/>
  <c r="C3" i="217"/>
  <c r="L4" i="193"/>
  <c r="X4" i="218"/>
  <c r="P3" i="29"/>
  <c r="X2" i="192"/>
  <c r="H4" i="216"/>
  <c r="S2" i="193"/>
  <c r="E3" i="192"/>
  <c r="M3" i="217"/>
  <c r="W3" i="193"/>
  <c r="O2" i="217"/>
  <c r="B3" i="192"/>
  <c r="L4" i="192"/>
  <c r="D3" i="216"/>
  <c r="W3" i="218"/>
  <c r="L2" i="29"/>
  <c r="H4" i="193"/>
  <c r="X2" i="217"/>
  <c r="F3" i="217"/>
  <c r="P4" i="193"/>
  <c r="F4" i="218"/>
  <c r="F2" i="192"/>
  <c r="C4" i="192"/>
  <c r="L4" i="217"/>
  <c r="O4" i="193"/>
  <c r="G3" i="217"/>
  <c r="R3" i="192"/>
  <c r="J2" i="216"/>
  <c r="O4" i="218"/>
  <c r="S4" i="29"/>
  <c r="X4" i="193"/>
  <c r="P3" i="217"/>
  <c r="L2" i="68"/>
  <c r="G2" i="68"/>
  <c r="P2" i="69"/>
  <c r="M4" i="68"/>
  <c r="E2" i="234"/>
  <c r="E4" i="234"/>
  <c r="E3" i="234"/>
  <c r="H3" i="193"/>
  <c r="G3" i="68"/>
  <c r="C4" i="69"/>
  <c r="C3" i="69"/>
  <c r="Y3" i="68"/>
  <c r="W3" i="69"/>
  <c r="P3" i="192"/>
  <c r="Y3" i="217"/>
  <c r="F2" i="69"/>
  <c r="Y2" i="68"/>
  <c r="C2" i="68"/>
  <c r="O4" i="69"/>
  <c r="K3" i="69"/>
  <c r="C3" i="234"/>
  <c r="C2" i="234"/>
  <c r="C4" i="234"/>
  <c r="V4" i="235"/>
  <c r="V3" i="235"/>
  <c r="V2" i="235"/>
  <c r="I3" i="235"/>
  <c r="I2" i="235"/>
  <c r="I4" i="235"/>
  <c r="F2" i="234"/>
  <c r="F4" i="234"/>
  <c r="F3" i="234"/>
  <c r="M4" i="218"/>
  <c r="U3" i="29"/>
  <c r="G3" i="29"/>
  <c r="B2" i="218"/>
  <c r="I3" i="216"/>
  <c r="Q2" i="193"/>
  <c r="F4" i="217"/>
  <c r="Q4" i="193"/>
  <c r="M3" i="216"/>
  <c r="C3" i="192"/>
  <c r="W4" i="192"/>
  <c r="J4" i="192"/>
  <c r="B3" i="216"/>
  <c r="L4" i="216"/>
  <c r="C4" i="235"/>
  <c r="C2" i="235"/>
  <c r="C3" i="235"/>
  <c r="X3" i="69"/>
  <c r="H4" i="235"/>
  <c r="H2" i="235"/>
  <c r="H3" i="235"/>
  <c r="X2" i="216"/>
  <c r="X2" i="69"/>
  <c r="K4" i="234"/>
  <c r="K2" i="234"/>
  <c r="K3" i="234"/>
  <c r="K3" i="235"/>
  <c r="K2" i="235"/>
  <c r="K4" i="235"/>
  <c r="T3" i="234"/>
  <c r="T2" i="234"/>
  <c r="T4" i="234"/>
  <c r="H4" i="192"/>
  <c r="R3" i="234"/>
  <c r="R4" i="234"/>
  <c r="R2" i="234"/>
  <c r="G4" i="69"/>
  <c r="U3" i="68"/>
  <c r="M3" i="234"/>
  <c r="M2" i="234"/>
  <c r="M4" i="234"/>
  <c r="P4" i="234"/>
  <c r="P2" i="234"/>
  <c r="P3" i="234"/>
  <c r="F3" i="193"/>
  <c r="J4" i="69"/>
  <c r="F2" i="68"/>
  <c r="L3" i="218"/>
  <c r="F4" i="193"/>
  <c r="S4" i="218"/>
  <c r="K2" i="193"/>
  <c r="P4" i="29"/>
  <c r="L2" i="193"/>
  <c r="X2" i="218"/>
  <c r="F4" i="216"/>
  <c r="U3" i="192"/>
  <c r="R3" i="193"/>
  <c r="E2" i="218"/>
  <c r="M4" i="216"/>
  <c r="I2" i="29"/>
  <c r="B4" i="192"/>
  <c r="V2" i="193"/>
  <c r="K3" i="218"/>
  <c r="O4" i="217"/>
  <c r="B2" i="193"/>
  <c r="L3" i="193"/>
  <c r="D2" i="217"/>
  <c r="K3" i="29"/>
  <c r="X4" i="217"/>
  <c r="L3" i="68"/>
  <c r="P3" i="69"/>
  <c r="Y3" i="29"/>
  <c r="Y2" i="218"/>
  <c r="M3" i="29"/>
  <c r="M2" i="68"/>
  <c r="O3" i="235"/>
  <c r="O4" i="235"/>
  <c r="O2" i="235"/>
  <c r="R4" i="235"/>
  <c r="R2" i="235"/>
  <c r="R3" i="235"/>
  <c r="S3" i="234"/>
  <c r="S4" i="234"/>
  <c r="S2" i="234"/>
  <c r="C4" i="68"/>
  <c r="C2" i="69"/>
  <c r="H2" i="68"/>
  <c r="C3" i="68"/>
  <c r="I3" i="68"/>
  <c r="V4" i="234"/>
  <c r="V3" i="234"/>
  <c r="V2" i="234"/>
  <c r="H2" i="192"/>
  <c r="L4" i="234"/>
  <c r="L2" i="234"/>
  <c r="L3" i="234"/>
  <c r="K2" i="192"/>
  <c r="F3" i="192"/>
  <c r="D4" i="69"/>
  <c r="J3" i="68"/>
  <c r="J3" i="69"/>
  <c r="B2" i="69"/>
  <c r="U3" i="69"/>
  <c r="O2" i="69"/>
  <c r="V4" i="68"/>
  <c r="F3" i="68"/>
  <c r="S2" i="68"/>
  <c r="N2" i="235"/>
  <c r="N4" i="235"/>
  <c r="N3" i="235"/>
  <c r="O4" i="234"/>
  <c r="O2" i="234"/>
  <c r="O3" i="234"/>
  <c r="X3" i="234"/>
  <c r="X2" i="234"/>
  <c r="X4" i="234"/>
  <c r="T4" i="235"/>
  <c r="T2" i="235"/>
  <c r="T3" i="235"/>
  <c r="M2" i="192"/>
  <c r="N2" i="192"/>
  <c r="S3" i="216"/>
  <c r="F2" i="193"/>
  <c r="R2" i="218"/>
  <c r="U4" i="29"/>
  <c r="V2" i="216"/>
  <c r="N3" i="192"/>
  <c r="K4" i="218"/>
  <c r="N4" i="218"/>
  <c r="I3" i="193"/>
  <c r="K3" i="193"/>
  <c r="O3" i="192"/>
  <c r="F2" i="217"/>
  <c r="D4" i="218"/>
  <c r="L2" i="217"/>
  <c r="L4" i="29"/>
  <c r="V4" i="192"/>
  <c r="U3" i="193"/>
  <c r="I4" i="218"/>
  <c r="G2" i="218"/>
  <c r="R2" i="193"/>
  <c r="J4" i="216"/>
  <c r="P2" i="29"/>
  <c r="T2" i="217"/>
  <c r="G3" i="192"/>
  <c r="P2" i="218"/>
  <c r="Q2" i="234"/>
  <c r="Q4" i="234"/>
  <c r="Q3" i="234"/>
  <c r="Y4" i="235"/>
  <c r="Y3" i="235"/>
  <c r="Y2" i="235"/>
  <c r="P4" i="217"/>
  <c r="Y3" i="192"/>
  <c r="G4" i="68"/>
  <c r="G2" i="69"/>
  <c r="H2" i="69"/>
  <c r="B3" i="234"/>
  <c r="B2" i="234"/>
  <c r="B4" i="234"/>
  <c r="G3" i="69"/>
  <c r="P4" i="68"/>
  <c r="F4" i="69"/>
  <c r="Y4" i="68"/>
  <c r="P3" i="68"/>
  <c r="K4" i="69"/>
  <c r="H3" i="69"/>
  <c r="N3" i="234"/>
  <c r="N2" i="234"/>
  <c r="N4" i="234"/>
  <c r="W4" i="235"/>
  <c r="W2" i="235"/>
  <c r="W3" i="235"/>
  <c r="K4" i="192"/>
  <c r="J3" i="192"/>
  <c r="C2" i="29"/>
  <c r="R4" i="29"/>
  <c r="M4" i="217"/>
  <c r="H2" i="216"/>
  <c r="J2" i="69"/>
  <c r="H4" i="68"/>
  <c r="I2" i="68"/>
  <c r="B4" i="235"/>
  <c r="B2" i="235"/>
  <c r="B3" i="235"/>
  <c r="X3" i="29"/>
  <c r="M2" i="218"/>
  <c r="M4" i="192"/>
  <c r="F3" i="69"/>
  <c r="J4" i="68"/>
  <c r="H3" i="68"/>
  <c r="U4" i="69"/>
  <c r="O3" i="69"/>
  <c r="K2" i="69"/>
  <c r="S4" i="68"/>
  <c r="S4" i="235"/>
  <c r="S2" i="235"/>
  <c r="S3" i="235"/>
  <c r="C4" i="193"/>
  <c r="K3" i="192"/>
  <c r="J2" i="68"/>
  <c r="S3" i="69"/>
  <c r="B4" i="69"/>
  <c r="U2" i="69"/>
  <c r="I4" i="69"/>
  <c r="V3" i="68"/>
  <c r="F4" i="68"/>
  <c r="E3" i="68"/>
  <c r="Q2" i="235"/>
  <c r="Q3" i="235"/>
  <c r="Q4" i="235"/>
  <c r="D4" i="235"/>
  <c r="D2" i="235"/>
  <c r="D3" i="235"/>
  <c r="X3" i="193"/>
  <c r="Y4" i="192"/>
  <c r="Q3" i="216"/>
  <c r="C2" i="193"/>
  <c r="Q2" i="29"/>
  <c r="P2" i="217"/>
  <c r="V2" i="29"/>
  <c r="D3" i="193"/>
  <c r="J4" i="193"/>
  <c r="K4" i="193"/>
  <c r="V4" i="218"/>
  <c r="K2" i="29"/>
  <c r="V2" i="192"/>
  <c r="E3" i="217"/>
  <c r="K3" i="216"/>
  <c r="K3" i="217"/>
  <c r="N3" i="29"/>
  <c r="U2" i="193"/>
  <c r="U4" i="193"/>
  <c r="W2" i="218"/>
  <c r="J3" i="193"/>
  <c r="B2" i="217"/>
  <c r="W4" i="29"/>
  <c r="T4" i="193"/>
  <c r="L3" i="217"/>
  <c r="W3" i="192"/>
  <c r="O2" i="216"/>
  <c r="H3" i="218"/>
  <c r="N3" i="266" l="1"/>
  <c r="N3" i="264"/>
  <c r="N3" i="265"/>
  <c r="O2" i="266"/>
  <c r="O2" i="264"/>
  <c r="O2" i="265"/>
  <c r="F4" i="264"/>
  <c r="F4" i="265"/>
  <c r="F4" i="266"/>
  <c r="U4" i="266"/>
  <c r="U4" i="264"/>
  <c r="U4" i="265"/>
  <c r="M3" i="266"/>
  <c r="M3" i="264"/>
  <c r="M3" i="265"/>
  <c r="O3" i="266"/>
  <c r="O3" i="264"/>
  <c r="O3" i="265"/>
  <c r="V4" i="266"/>
  <c r="V4" i="264"/>
  <c r="V4" i="265"/>
  <c r="N2" i="266"/>
  <c r="N2" i="264"/>
  <c r="N2" i="265"/>
  <c r="E4" i="266"/>
  <c r="E4" i="264"/>
  <c r="E4" i="265"/>
  <c r="M2" i="266"/>
  <c r="M2" i="265"/>
  <c r="M2" i="264"/>
  <c r="T4" i="266"/>
  <c r="T4" i="265"/>
  <c r="T4" i="264"/>
  <c r="D4" i="264"/>
  <c r="D4" i="266"/>
  <c r="D4" i="265"/>
  <c r="L3" i="264"/>
  <c r="L3" i="266"/>
  <c r="L3" i="265"/>
  <c r="W4" i="265"/>
  <c r="W4" i="264"/>
  <c r="W4" i="266"/>
  <c r="R4" i="266"/>
  <c r="R4" i="264"/>
  <c r="R4" i="265"/>
  <c r="B4" i="265"/>
  <c r="B4" i="266"/>
  <c r="B4" i="264"/>
  <c r="J3" i="266"/>
  <c r="J3" i="264"/>
  <c r="J3" i="265"/>
  <c r="C2" i="264"/>
  <c r="C2" i="265"/>
  <c r="C2" i="266"/>
  <c r="J2" i="265"/>
  <c r="J2" i="264"/>
  <c r="J2" i="266"/>
  <c r="T2" i="265"/>
  <c r="T2" i="266"/>
  <c r="T2" i="264"/>
  <c r="B2" i="257"/>
  <c r="B2" i="255"/>
  <c r="B2" i="256"/>
  <c r="K2" i="266"/>
  <c r="K2" i="265"/>
  <c r="K2" i="264"/>
  <c r="I2" i="266"/>
  <c r="I2" i="265"/>
  <c r="I2" i="264"/>
  <c r="P4" i="266"/>
  <c r="P4" i="264"/>
  <c r="P4" i="265"/>
  <c r="X3" i="266"/>
  <c r="X3" i="265"/>
  <c r="X3" i="264"/>
  <c r="H3" i="266"/>
  <c r="H3" i="264"/>
  <c r="H3" i="265"/>
  <c r="D2" i="266"/>
  <c r="D2" i="264"/>
  <c r="D2" i="265"/>
  <c r="S3" i="264"/>
  <c r="S3" i="266"/>
  <c r="S3" i="265"/>
  <c r="J4" i="266"/>
  <c r="J4" i="264"/>
  <c r="J4" i="265"/>
  <c r="K3" i="266"/>
  <c r="K3" i="264"/>
  <c r="K3" i="265"/>
  <c r="I3" i="266"/>
  <c r="I3" i="264"/>
  <c r="I3" i="265"/>
  <c r="L2" i="266"/>
  <c r="L2" i="264"/>
  <c r="L2" i="265"/>
  <c r="C4" i="264"/>
  <c r="C4" i="266"/>
  <c r="C4" i="265"/>
  <c r="Q4" i="265"/>
  <c r="Q4" i="266"/>
  <c r="Q4" i="264"/>
  <c r="K4" i="266"/>
  <c r="K4" i="264"/>
  <c r="K4" i="265"/>
  <c r="P2" i="266"/>
  <c r="P2" i="265"/>
  <c r="P2" i="264"/>
  <c r="G4" i="266"/>
  <c r="G4" i="264"/>
  <c r="G4" i="265"/>
  <c r="B2" i="264"/>
  <c r="B2" i="266"/>
  <c r="B2" i="265"/>
  <c r="Y3" i="266"/>
  <c r="Y3" i="264"/>
  <c r="Y3" i="265"/>
  <c r="Y2" i="265"/>
  <c r="Y2" i="264"/>
  <c r="Y2" i="266"/>
  <c r="W2" i="264"/>
  <c r="W2" i="265"/>
  <c r="W2" i="266"/>
  <c r="G2" i="266"/>
  <c r="G2" i="265"/>
  <c r="G2" i="264"/>
  <c r="N4" i="264"/>
  <c r="N4" i="265"/>
  <c r="N4" i="266"/>
  <c r="V3" i="264"/>
  <c r="V3" i="265"/>
  <c r="V3" i="266"/>
  <c r="F3" i="266"/>
  <c r="F3" i="264"/>
  <c r="F3" i="265"/>
  <c r="V2" i="266"/>
  <c r="V2" i="264"/>
  <c r="V2" i="265"/>
  <c r="F2" i="266"/>
  <c r="F2" i="264"/>
  <c r="F2" i="265"/>
  <c r="M4" i="265"/>
  <c r="M4" i="264"/>
  <c r="M4" i="266"/>
  <c r="U3" i="266"/>
  <c r="U3" i="265"/>
  <c r="U3" i="264"/>
  <c r="E3" i="265"/>
  <c r="E3" i="266"/>
  <c r="E3" i="264"/>
  <c r="S4" i="265"/>
  <c r="S4" i="266"/>
  <c r="S4" i="264"/>
  <c r="U2" i="265"/>
  <c r="U2" i="266"/>
  <c r="U2" i="264"/>
  <c r="E2" i="266"/>
  <c r="E2" i="264"/>
  <c r="E2" i="265"/>
  <c r="L4" i="264"/>
  <c r="L4" i="265"/>
  <c r="L4" i="266"/>
  <c r="T3" i="266"/>
  <c r="T3" i="264"/>
  <c r="T3" i="265"/>
  <c r="D3" i="265"/>
  <c r="D3" i="266"/>
  <c r="D3" i="264"/>
  <c r="C3" i="266"/>
  <c r="C3" i="264"/>
  <c r="C3" i="265"/>
  <c r="R3" i="265"/>
  <c r="R3" i="266"/>
  <c r="R3" i="264"/>
  <c r="B3" i="265"/>
  <c r="B3" i="266"/>
  <c r="B3" i="264"/>
  <c r="R2" i="266"/>
  <c r="R2" i="264"/>
  <c r="R2" i="265"/>
  <c r="Y4" i="266"/>
  <c r="Y4" i="264"/>
  <c r="Y4" i="265"/>
  <c r="Q3" i="266"/>
  <c r="Q3" i="265"/>
  <c r="Q3" i="264"/>
  <c r="I4" i="266"/>
  <c r="I4" i="264"/>
  <c r="I4" i="265"/>
  <c r="Q2" i="266"/>
  <c r="Q2" i="264"/>
  <c r="Q2" i="265"/>
  <c r="X4" i="266"/>
  <c r="X4" i="264"/>
  <c r="X4" i="265"/>
  <c r="H4" i="264"/>
  <c r="H4" i="266"/>
  <c r="H4" i="265"/>
  <c r="P3" i="266"/>
  <c r="P3" i="264"/>
  <c r="P3" i="265"/>
  <c r="S2" i="264"/>
  <c r="S2" i="266"/>
  <c r="S2" i="265"/>
  <c r="X2" i="266"/>
  <c r="X2" i="264"/>
  <c r="X2" i="265"/>
  <c r="H2" i="266"/>
  <c r="H2" i="264"/>
  <c r="H2" i="265"/>
  <c r="O4" i="264"/>
  <c r="O4" i="265"/>
  <c r="O4" i="266"/>
  <c r="W3" i="264"/>
  <c r="W3" i="265"/>
  <c r="W3" i="266"/>
  <c r="G3" i="265"/>
  <c r="G3" i="266"/>
  <c r="G3" i="264"/>
  <c r="I2" i="255" l="1"/>
  <c r="I2" i="257"/>
  <c r="I2" i="256"/>
  <c r="P4" i="257"/>
  <c r="P4" i="255"/>
  <c r="P4" i="256"/>
  <c r="H3" i="257"/>
  <c r="H3" i="255"/>
  <c r="H3" i="256"/>
  <c r="W2" i="257"/>
  <c r="W2" i="256"/>
  <c r="W2" i="255"/>
  <c r="G2" i="255"/>
  <c r="G2" i="256"/>
  <c r="G2" i="257"/>
  <c r="N4" i="257"/>
  <c r="N4" i="256"/>
  <c r="N4" i="255"/>
  <c r="V3" i="257"/>
  <c r="V3" i="255"/>
  <c r="V3" i="256"/>
  <c r="F3" i="257"/>
  <c r="F3" i="255"/>
  <c r="F3" i="256"/>
  <c r="V2" i="255"/>
  <c r="V2" i="256"/>
  <c r="V2" i="257"/>
  <c r="F2" i="256"/>
  <c r="F2" i="257"/>
  <c r="F2" i="255"/>
  <c r="M4" i="255"/>
  <c r="M4" i="256"/>
  <c r="M4" i="257"/>
  <c r="U3" i="256"/>
  <c r="U3" i="257"/>
  <c r="U3" i="255"/>
  <c r="E3" i="256"/>
  <c r="E3" i="257"/>
  <c r="E3" i="255"/>
  <c r="L4" i="257"/>
  <c r="L4" i="255"/>
  <c r="L4" i="256"/>
  <c r="S3" i="255"/>
  <c r="S3" i="257"/>
  <c r="S3" i="256"/>
  <c r="S2" i="256"/>
  <c r="S2" i="255"/>
  <c r="S2" i="257"/>
  <c r="B3" i="257"/>
  <c r="B3" i="255"/>
  <c r="B3" i="256"/>
  <c r="D3" i="256"/>
  <c r="D3" i="257"/>
  <c r="D3" i="255"/>
  <c r="C2" i="255"/>
  <c r="C2" i="256"/>
  <c r="C2" i="257"/>
  <c r="I4" i="257"/>
  <c r="I4" i="255"/>
  <c r="I4" i="256"/>
  <c r="Q3" i="255"/>
  <c r="Q3" i="257"/>
  <c r="Q3" i="256"/>
  <c r="R3" i="255"/>
  <c r="R3" i="256"/>
  <c r="R3" i="257"/>
  <c r="Y4" i="255"/>
  <c r="Y4" i="257"/>
  <c r="Y4" i="256"/>
  <c r="P3" i="257"/>
  <c r="P3" i="256"/>
  <c r="P3" i="255"/>
  <c r="E2" i="257"/>
  <c r="E2" i="256"/>
  <c r="E2" i="255"/>
  <c r="O3" i="257"/>
  <c r="O3" i="256"/>
  <c r="O3" i="255"/>
  <c r="U2" i="255"/>
  <c r="U2" i="257"/>
  <c r="U2" i="256"/>
  <c r="T2" i="255"/>
  <c r="T2" i="256"/>
  <c r="T2" i="257"/>
  <c r="D2" i="255"/>
  <c r="D2" i="256"/>
  <c r="D2" i="257"/>
  <c r="J4" i="256"/>
  <c r="J4" i="257"/>
  <c r="J4" i="255"/>
  <c r="R2" i="256"/>
  <c r="R2" i="257"/>
  <c r="R2" i="255"/>
  <c r="P2" i="257"/>
  <c r="P2" i="256"/>
  <c r="P2" i="255"/>
  <c r="G4" i="257"/>
  <c r="G4" i="255"/>
  <c r="G4" i="256"/>
  <c r="O2" i="255"/>
  <c r="O2" i="257"/>
  <c r="O2" i="256"/>
  <c r="V4" i="256"/>
  <c r="V4" i="255"/>
  <c r="V4" i="257"/>
  <c r="F4" i="257"/>
  <c r="F4" i="255"/>
  <c r="F4" i="256"/>
  <c r="N3" i="256"/>
  <c r="N3" i="257"/>
  <c r="N3" i="255"/>
  <c r="H4" i="255"/>
  <c r="H4" i="257"/>
  <c r="H4" i="256"/>
  <c r="J2" i="256"/>
  <c r="J2" i="257"/>
  <c r="J2" i="255"/>
  <c r="C3" i="256"/>
  <c r="C3" i="257"/>
  <c r="C3" i="255"/>
  <c r="E4" i="257"/>
  <c r="E4" i="256"/>
  <c r="E4" i="255"/>
  <c r="M3" i="256"/>
  <c r="M3" i="255"/>
  <c r="M3" i="257"/>
  <c r="M2" i="257"/>
  <c r="M2" i="255"/>
  <c r="M2" i="256"/>
  <c r="T3" i="256"/>
  <c r="T3" i="257"/>
  <c r="T3" i="255"/>
  <c r="X4" i="257"/>
  <c r="X4" i="255"/>
  <c r="X4" i="256"/>
  <c r="T4" i="256"/>
  <c r="T4" i="257"/>
  <c r="T4" i="255"/>
  <c r="K3" i="257"/>
  <c r="K3" i="255"/>
  <c r="K3" i="256"/>
  <c r="K4" i="257"/>
  <c r="K4" i="256"/>
  <c r="K4" i="255"/>
  <c r="Q2" i="257"/>
  <c r="Q2" i="255"/>
  <c r="Q2" i="256"/>
  <c r="W4" i="256"/>
  <c r="W4" i="257"/>
  <c r="W4" i="255"/>
  <c r="N2" i="256"/>
  <c r="N2" i="257"/>
  <c r="N2" i="255"/>
  <c r="U4" i="257"/>
  <c r="U4" i="256"/>
  <c r="U4" i="255"/>
  <c r="D4" i="255"/>
  <c r="D4" i="256"/>
  <c r="D4" i="257"/>
  <c r="L3" i="256"/>
  <c r="L3" i="257"/>
  <c r="L3" i="255"/>
  <c r="L2" i="255"/>
  <c r="L2" i="256"/>
  <c r="L2" i="257"/>
  <c r="S4" i="256"/>
  <c r="S4" i="257"/>
  <c r="S4" i="255"/>
  <c r="C4" i="257"/>
  <c r="C4" i="255"/>
  <c r="C4" i="256"/>
  <c r="K2" i="257"/>
  <c r="K2" i="256"/>
  <c r="K2" i="255"/>
  <c r="R4" i="257"/>
  <c r="R4" i="255"/>
  <c r="R4" i="256"/>
  <c r="B4" i="257"/>
  <c r="B4" i="255"/>
  <c r="B4" i="256"/>
  <c r="J3" i="257"/>
  <c r="J3" i="255"/>
  <c r="J3" i="256"/>
  <c r="I3" i="257"/>
  <c r="I3" i="255"/>
  <c r="I3" i="256"/>
  <c r="Q4" i="256"/>
  <c r="Q4" i="257"/>
  <c r="Q4" i="255"/>
  <c r="Y3" i="256"/>
  <c r="Y3" i="255"/>
  <c r="Y3" i="257"/>
  <c r="Y2" i="257"/>
  <c r="Y2" i="255"/>
  <c r="Y2" i="256"/>
  <c r="X3" i="256"/>
  <c r="X3" i="257"/>
  <c r="X3" i="255"/>
  <c r="X2" i="255"/>
  <c r="X2" i="256"/>
  <c r="X2" i="257"/>
  <c r="H2" i="257"/>
  <c r="H2" i="256"/>
  <c r="H2" i="255"/>
  <c r="O4" i="256"/>
  <c r="O4" i="257"/>
  <c r="O4" i="255"/>
  <c r="W3" i="255"/>
  <c r="W3" i="256"/>
  <c r="W3" i="257"/>
  <c r="G3" i="255"/>
  <c r="G3" i="257"/>
  <c r="G3" i="256"/>
  <c r="E2" i="260" l="1"/>
  <c r="E2" i="258"/>
  <c r="E2" i="259"/>
  <c r="J3" i="263"/>
  <c r="J3" i="261"/>
  <c r="J3" i="262"/>
  <c r="G2" i="260"/>
  <c r="G2" i="258"/>
  <c r="G2" i="259"/>
  <c r="B3" i="260"/>
  <c r="B3" i="258"/>
  <c r="B3" i="259"/>
  <c r="F3" i="260"/>
  <c r="F3" i="259"/>
  <c r="F3" i="258"/>
  <c r="J2" i="271"/>
  <c r="J2" i="272"/>
  <c r="J2" i="270"/>
  <c r="N2" i="272"/>
  <c r="N2" i="270"/>
  <c r="N2" i="271"/>
  <c r="B2" i="272"/>
  <c r="B2" i="271"/>
  <c r="B2" i="270"/>
  <c r="U2" i="272"/>
  <c r="U2" i="271"/>
  <c r="U2" i="270"/>
  <c r="P3" i="272"/>
  <c r="P3" i="270"/>
  <c r="P3" i="271"/>
  <c r="C4" i="269"/>
  <c r="C4" i="267"/>
  <c r="C4" i="268"/>
  <c r="V4" i="269"/>
  <c r="V4" i="267"/>
  <c r="V4" i="268"/>
  <c r="J2" i="269"/>
  <c r="J2" i="267"/>
  <c r="J2" i="268"/>
  <c r="N2" i="269"/>
  <c r="N2" i="268"/>
  <c r="N2" i="267"/>
  <c r="E4" i="263"/>
  <c r="E4" i="262"/>
  <c r="E4" i="261"/>
  <c r="I2" i="263"/>
  <c r="I2" i="261"/>
  <c r="I2" i="262"/>
  <c r="D2" i="260"/>
  <c r="D2" i="258"/>
  <c r="D2" i="259"/>
  <c r="W2" i="260"/>
  <c r="W2" i="258"/>
  <c r="W2" i="259"/>
  <c r="R3" i="259"/>
  <c r="R3" i="260"/>
  <c r="R3" i="258"/>
  <c r="V3" i="260"/>
  <c r="V3" i="259"/>
  <c r="V3" i="258"/>
  <c r="B3" i="272"/>
  <c r="B3" i="270"/>
  <c r="B3" i="271"/>
  <c r="F3" i="272"/>
  <c r="F3" i="270"/>
  <c r="F3" i="271"/>
  <c r="R2" i="272"/>
  <c r="R2" i="270"/>
  <c r="R2" i="271"/>
  <c r="M3" i="272"/>
  <c r="M3" i="270"/>
  <c r="M3" i="271"/>
  <c r="H4" i="272"/>
  <c r="H4" i="270"/>
  <c r="H4" i="271"/>
  <c r="S4" i="269"/>
  <c r="S4" i="267"/>
  <c r="S4" i="268"/>
  <c r="G2" i="269"/>
  <c r="G2" i="267"/>
  <c r="G2" i="268"/>
  <c r="B3" i="269"/>
  <c r="B3" i="267"/>
  <c r="B3" i="268"/>
  <c r="F3" i="269"/>
  <c r="F3" i="268"/>
  <c r="F3" i="267"/>
  <c r="V3" i="263"/>
  <c r="V3" i="262"/>
  <c r="V3" i="261"/>
  <c r="X4" i="261"/>
  <c r="X4" i="262"/>
  <c r="X4" i="263"/>
  <c r="J4" i="263"/>
  <c r="J4" i="261"/>
  <c r="J4" i="262"/>
  <c r="U4" i="263"/>
  <c r="U4" i="261"/>
  <c r="U4" i="262"/>
  <c r="K2" i="262"/>
  <c r="K2" i="263"/>
  <c r="K2" i="261"/>
  <c r="Y2" i="263"/>
  <c r="Y2" i="261"/>
  <c r="Y2" i="262"/>
  <c r="T2" i="260"/>
  <c r="T2" i="258"/>
  <c r="T2" i="259"/>
  <c r="O3" i="260"/>
  <c r="O3" i="258"/>
  <c r="O3" i="259"/>
  <c r="J4" i="260"/>
  <c r="J4" i="258"/>
  <c r="J4" i="259"/>
  <c r="N4" i="260"/>
  <c r="N4" i="258"/>
  <c r="N4" i="259"/>
  <c r="R3" i="272"/>
  <c r="R3" i="271"/>
  <c r="R3" i="270"/>
  <c r="V3" i="272"/>
  <c r="V3" i="271"/>
  <c r="V3" i="270"/>
  <c r="J3" i="271"/>
  <c r="J3" i="270"/>
  <c r="J3" i="272"/>
  <c r="E4" i="272"/>
  <c r="E4" i="270"/>
  <c r="E4" i="271"/>
  <c r="X4" i="272"/>
  <c r="X4" i="270"/>
  <c r="X4" i="271"/>
  <c r="D2" i="269"/>
  <c r="D2" i="267"/>
  <c r="D2" i="268"/>
  <c r="W2" i="269"/>
  <c r="W2" i="267"/>
  <c r="W2" i="268"/>
  <c r="R3" i="267"/>
  <c r="R3" i="269"/>
  <c r="R3" i="268"/>
  <c r="V3" i="269"/>
  <c r="V3" i="268"/>
  <c r="V3" i="267"/>
  <c r="B4" i="263"/>
  <c r="B4" i="262"/>
  <c r="B4" i="261"/>
  <c r="O2" i="263"/>
  <c r="O2" i="262"/>
  <c r="O2" i="261"/>
  <c r="R4" i="263"/>
  <c r="R4" i="261"/>
  <c r="R4" i="262"/>
  <c r="F2" i="263"/>
  <c r="F2" i="261"/>
  <c r="F2" i="262"/>
  <c r="C3" i="263"/>
  <c r="C3" i="261"/>
  <c r="C3" i="262"/>
  <c r="G3" i="262"/>
  <c r="G3" i="263"/>
  <c r="G3" i="261"/>
  <c r="C2" i="263"/>
  <c r="C2" i="261"/>
  <c r="C2" i="262"/>
  <c r="V2" i="261"/>
  <c r="V2" i="262"/>
  <c r="V2" i="263"/>
  <c r="Q3" i="263"/>
  <c r="Q3" i="261"/>
  <c r="Q3" i="262"/>
  <c r="L3" i="260"/>
  <c r="L3" i="259"/>
  <c r="L3" i="258"/>
  <c r="G4" i="260"/>
  <c r="G4" i="259"/>
  <c r="G4" i="258"/>
  <c r="K2" i="260"/>
  <c r="K2" i="258"/>
  <c r="K2" i="259"/>
  <c r="O2" i="260"/>
  <c r="O2" i="258"/>
  <c r="O2" i="259"/>
  <c r="J4" i="272"/>
  <c r="J4" i="270"/>
  <c r="J4" i="271"/>
  <c r="N4" i="272"/>
  <c r="N4" i="271"/>
  <c r="N4" i="270"/>
  <c r="B4" i="272"/>
  <c r="B4" i="270"/>
  <c r="B4" i="271"/>
  <c r="U4" i="272"/>
  <c r="U4" i="270"/>
  <c r="U4" i="271"/>
  <c r="I2" i="271"/>
  <c r="I2" i="270"/>
  <c r="I2" i="272"/>
  <c r="T2" i="269"/>
  <c r="T2" i="267"/>
  <c r="T2" i="268"/>
  <c r="O3" i="269"/>
  <c r="O3" i="267"/>
  <c r="O3" i="268"/>
  <c r="J4" i="269"/>
  <c r="J4" i="267"/>
  <c r="J4" i="268"/>
  <c r="N4" i="269"/>
  <c r="N4" i="267"/>
  <c r="N4" i="268"/>
  <c r="L2" i="263"/>
  <c r="L2" i="261"/>
  <c r="L2" i="262"/>
  <c r="R3" i="263"/>
  <c r="R3" i="261"/>
  <c r="R3" i="262"/>
  <c r="N4" i="263"/>
  <c r="N4" i="261"/>
  <c r="N4" i="262"/>
  <c r="W3" i="262"/>
  <c r="W3" i="263"/>
  <c r="W3" i="261"/>
  <c r="N3" i="263"/>
  <c r="N3" i="262"/>
  <c r="N3" i="261"/>
  <c r="I4" i="263"/>
  <c r="I4" i="261"/>
  <c r="I4" i="262"/>
  <c r="D4" i="260"/>
  <c r="D4" i="258"/>
  <c r="D4" i="259"/>
  <c r="W4" i="260"/>
  <c r="W4" i="258"/>
  <c r="W4" i="259"/>
  <c r="C3" i="260"/>
  <c r="C3" i="258"/>
  <c r="C3" i="259"/>
  <c r="G3" i="260"/>
  <c r="G3" i="259"/>
  <c r="G3" i="258"/>
  <c r="K2" i="272"/>
  <c r="K2" i="270"/>
  <c r="K2" i="271"/>
  <c r="O2" i="272"/>
  <c r="O2" i="270"/>
  <c r="O2" i="271"/>
  <c r="F2" i="272"/>
  <c r="F2" i="271"/>
  <c r="F2" i="270"/>
  <c r="Y2" i="270"/>
  <c r="Y2" i="271"/>
  <c r="Y2" i="272"/>
  <c r="L3" i="269"/>
  <c r="L3" i="267"/>
  <c r="L3" i="268"/>
  <c r="G4" i="269"/>
  <c r="G4" i="267"/>
  <c r="G4" i="268"/>
  <c r="K2" i="269"/>
  <c r="K2" i="267"/>
  <c r="K2" i="268"/>
  <c r="O2" i="269"/>
  <c r="O2" i="267"/>
  <c r="O2" i="268"/>
  <c r="C4" i="263"/>
  <c r="C4" i="261"/>
  <c r="C4" i="262"/>
  <c r="S4" i="260"/>
  <c r="S4" i="258"/>
  <c r="S4" i="259"/>
  <c r="S3" i="263"/>
  <c r="S3" i="262"/>
  <c r="S3" i="261"/>
  <c r="S2" i="263"/>
  <c r="S2" i="261"/>
  <c r="S2" i="262"/>
  <c r="R4" i="272"/>
  <c r="R4" i="270"/>
  <c r="R4" i="271"/>
  <c r="K4" i="263"/>
  <c r="K4" i="261"/>
  <c r="K4" i="262"/>
  <c r="O4" i="262"/>
  <c r="O4" i="263"/>
  <c r="O4" i="261"/>
  <c r="K3" i="263"/>
  <c r="K3" i="261"/>
  <c r="K3" i="262"/>
  <c r="F4" i="263"/>
  <c r="F4" i="261"/>
  <c r="F4" i="262"/>
  <c r="Y4" i="263"/>
  <c r="Y4" i="262"/>
  <c r="Y4" i="261"/>
  <c r="T4" i="260"/>
  <c r="T4" i="259"/>
  <c r="T4" i="258"/>
  <c r="H2" i="260"/>
  <c r="H2" i="258"/>
  <c r="H2" i="259"/>
  <c r="S3" i="260"/>
  <c r="S3" i="258"/>
  <c r="S3" i="259"/>
  <c r="W3" i="260"/>
  <c r="W3" i="258"/>
  <c r="W3" i="259"/>
  <c r="C3" i="272"/>
  <c r="C3" i="270"/>
  <c r="C3" i="271"/>
  <c r="G3" i="272"/>
  <c r="G3" i="271"/>
  <c r="G3" i="270"/>
  <c r="C2" i="272"/>
  <c r="C2" i="271"/>
  <c r="C2" i="270"/>
  <c r="V2" i="272"/>
  <c r="V2" i="270"/>
  <c r="V2" i="271"/>
  <c r="Q3" i="272"/>
  <c r="Q3" i="270"/>
  <c r="Q3" i="271"/>
  <c r="D4" i="269"/>
  <c r="D4" i="268"/>
  <c r="D4" i="267"/>
  <c r="W4" i="269"/>
  <c r="W4" i="267"/>
  <c r="W4" i="268"/>
  <c r="C3" i="267"/>
  <c r="C3" i="268"/>
  <c r="C3" i="269"/>
  <c r="G3" i="269"/>
  <c r="G3" i="267"/>
  <c r="G3" i="268"/>
  <c r="V4" i="263"/>
  <c r="V4" i="261"/>
  <c r="V4" i="262"/>
  <c r="O4" i="260"/>
  <c r="O4" i="259"/>
  <c r="O4" i="258"/>
  <c r="W3" i="272"/>
  <c r="W3" i="270"/>
  <c r="W3" i="271"/>
  <c r="S2" i="271"/>
  <c r="S2" i="272"/>
  <c r="S2" i="270"/>
  <c r="N3" i="272"/>
  <c r="N3" i="270"/>
  <c r="N3" i="271"/>
  <c r="I4" i="272"/>
  <c r="I4" i="271"/>
  <c r="I4" i="270"/>
  <c r="T4" i="269"/>
  <c r="T4" i="267"/>
  <c r="T4" i="268"/>
  <c r="H2" i="269"/>
  <c r="H2" i="267"/>
  <c r="H2" i="268"/>
  <c r="S3" i="269"/>
  <c r="S3" i="267"/>
  <c r="S3" i="268"/>
  <c r="W3" i="269"/>
  <c r="W3" i="268"/>
  <c r="W3" i="267"/>
  <c r="D3" i="263"/>
  <c r="D3" i="262"/>
  <c r="D3" i="261"/>
  <c r="H3" i="263"/>
  <c r="H3" i="261"/>
  <c r="H3" i="262"/>
  <c r="S4" i="263"/>
  <c r="S4" i="261"/>
  <c r="S4" i="262"/>
  <c r="G2" i="263"/>
  <c r="G2" i="261"/>
  <c r="G2" i="262"/>
  <c r="B2" i="260"/>
  <c r="B2" i="258"/>
  <c r="B2" i="259"/>
  <c r="U2" i="260"/>
  <c r="U2" i="258"/>
  <c r="U2" i="259"/>
  <c r="P3" i="260"/>
  <c r="P3" i="258"/>
  <c r="P3" i="259"/>
  <c r="L2" i="260"/>
  <c r="L2" i="259"/>
  <c r="L2" i="258"/>
  <c r="P2" i="258"/>
  <c r="P2" i="259"/>
  <c r="P2" i="260"/>
  <c r="K4" i="272"/>
  <c r="K4" i="271"/>
  <c r="K4" i="270"/>
  <c r="O4" i="272"/>
  <c r="O4" i="270"/>
  <c r="O4" i="271"/>
  <c r="K3" i="270"/>
  <c r="K3" i="271"/>
  <c r="K3" i="272"/>
  <c r="F4" i="272"/>
  <c r="F4" i="270"/>
  <c r="F4" i="271"/>
  <c r="Y4" i="272"/>
  <c r="Y4" i="271"/>
  <c r="Y4" i="270"/>
  <c r="E2" i="269"/>
  <c r="E2" i="267"/>
  <c r="E2" i="268"/>
  <c r="X2" i="267"/>
  <c r="X2" i="269"/>
  <c r="X2" i="268"/>
  <c r="K4" i="267"/>
  <c r="K4" i="268"/>
  <c r="K4" i="269"/>
  <c r="O4" i="269"/>
  <c r="O4" i="267"/>
  <c r="O4" i="268"/>
  <c r="T3" i="263"/>
  <c r="T3" i="261"/>
  <c r="T3" i="262"/>
  <c r="X3" i="263"/>
  <c r="X3" i="261"/>
  <c r="X3" i="262"/>
  <c r="D2" i="263"/>
  <c r="D2" i="261"/>
  <c r="D2" i="262"/>
  <c r="W2" i="263"/>
  <c r="W2" i="261"/>
  <c r="W2" i="262"/>
  <c r="R2" i="260"/>
  <c r="R2" i="258"/>
  <c r="R2" i="259"/>
  <c r="M3" i="260"/>
  <c r="M3" i="258"/>
  <c r="M3" i="259"/>
  <c r="H4" i="260"/>
  <c r="H4" i="258"/>
  <c r="H4" i="259"/>
  <c r="D3" i="260"/>
  <c r="D3" i="258"/>
  <c r="D3" i="259"/>
  <c r="H3" i="260"/>
  <c r="H3" i="258"/>
  <c r="H3" i="259"/>
  <c r="L2" i="271"/>
  <c r="L2" i="272"/>
  <c r="L2" i="270"/>
  <c r="P2" i="272"/>
  <c r="P2" i="270"/>
  <c r="P2" i="271"/>
  <c r="C4" i="272"/>
  <c r="C4" i="270"/>
  <c r="C4" i="271"/>
  <c r="V4" i="272"/>
  <c r="V4" i="271"/>
  <c r="V4" i="270"/>
  <c r="B2" i="267"/>
  <c r="B2" i="268"/>
  <c r="B2" i="269"/>
  <c r="U2" i="267"/>
  <c r="U2" i="268"/>
  <c r="U2" i="269"/>
  <c r="P3" i="269"/>
  <c r="P3" i="268"/>
  <c r="P3" i="267"/>
  <c r="L2" i="267"/>
  <c r="L2" i="269"/>
  <c r="L2" i="268"/>
  <c r="P2" i="269"/>
  <c r="P2" i="267"/>
  <c r="P2" i="268"/>
  <c r="X4" i="260"/>
  <c r="X4" i="258"/>
  <c r="X4" i="259"/>
  <c r="T3" i="260"/>
  <c r="T3" i="258"/>
  <c r="T3" i="259"/>
  <c r="X3" i="260"/>
  <c r="X3" i="259"/>
  <c r="X3" i="258"/>
  <c r="D3" i="272"/>
  <c r="D3" i="270"/>
  <c r="D3" i="271"/>
  <c r="H3" i="270"/>
  <c r="H3" i="271"/>
  <c r="H3" i="272"/>
  <c r="S4" i="272"/>
  <c r="S4" i="270"/>
  <c r="S4" i="271"/>
  <c r="G2" i="272"/>
  <c r="G2" i="270"/>
  <c r="G2" i="271"/>
  <c r="R2" i="269"/>
  <c r="R2" i="267"/>
  <c r="R2" i="268"/>
  <c r="M3" i="269"/>
  <c r="M3" i="268"/>
  <c r="M3" i="267"/>
  <c r="H4" i="268"/>
  <c r="H4" i="269"/>
  <c r="H4" i="267"/>
  <c r="D3" i="269"/>
  <c r="D3" i="267"/>
  <c r="D3" i="268"/>
  <c r="H3" i="269"/>
  <c r="H3" i="267"/>
  <c r="H3" i="268"/>
  <c r="K4" i="260"/>
  <c r="K4" i="259"/>
  <c r="K4" i="258"/>
  <c r="X2" i="258"/>
  <c r="X2" i="259"/>
  <c r="X2" i="260"/>
  <c r="T2" i="263"/>
  <c r="T2" i="261"/>
  <c r="T2" i="262"/>
  <c r="Q2" i="263"/>
  <c r="Q2" i="262"/>
  <c r="Q2" i="261"/>
  <c r="U4" i="260"/>
  <c r="U4" i="258"/>
  <c r="U4" i="259"/>
  <c r="P4" i="260"/>
  <c r="P4" i="259"/>
  <c r="P4" i="258"/>
  <c r="X3" i="272"/>
  <c r="X3" i="270"/>
  <c r="X3" i="271"/>
  <c r="W2" i="271"/>
  <c r="W2" i="270"/>
  <c r="W2" i="272"/>
  <c r="E4" i="269"/>
  <c r="E4" i="268"/>
  <c r="E4" i="267"/>
  <c r="X3" i="269"/>
  <c r="X3" i="268"/>
  <c r="X3" i="267"/>
  <c r="I3" i="263"/>
  <c r="I3" i="261"/>
  <c r="I3" i="262"/>
  <c r="D4" i="261"/>
  <c r="D4" i="263"/>
  <c r="D4" i="262"/>
  <c r="W4" i="262"/>
  <c r="W4" i="263"/>
  <c r="W4" i="261"/>
  <c r="R4" i="260"/>
  <c r="R4" i="258"/>
  <c r="R4" i="259"/>
  <c r="F2" i="260"/>
  <c r="F2" i="259"/>
  <c r="F2" i="258"/>
  <c r="Y2" i="260"/>
  <c r="Y2" i="259"/>
  <c r="Y2" i="258"/>
  <c r="M2" i="258"/>
  <c r="M2" i="260"/>
  <c r="M2" i="259"/>
  <c r="Q2" i="260"/>
  <c r="Q2" i="258"/>
  <c r="Q2" i="259"/>
  <c r="L4" i="272"/>
  <c r="L4" i="270"/>
  <c r="L4" i="271"/>
  <c r="P4" i="272"/>
  <c r="P4" i="270"/>
  <c r="P4" i="271"/>
  <c r="T2" i="272"/>
  <c r="T2" i="270"/>
  <c r="T2" i="271"/>
  <c r="O3" i="271"/>
  <c r="O3" i="272"/>
  <c r="O3" i="270"/>
  <c r="B4" i="269"/>
  <c r="B4" i="267"/>
  <c r="B4" i="268"/>
  <c r="U4" i="268"/>
  <c r="U4" i="269"/>
  <c r="U4" i="267"/>
  <c r="I2" i="269"/>
  <c r="I2" i="267"/>
  <c r="I2" i="268"/>
  <c r="L4" i="269"/>
  <c r="L4" i="267"/>
  <c r="L4" i="268"/>
  <c r="P4" i="268"/>
  <c r="P4" i="267"/>
  <c r="P4" i="269"/>
  <c r="P2" i="263"/>
  <c r="P2" i="261"/>
  <c r="P2" i="262"/>
  <c r="S3" i="272"/>
  <c r="S3" i="270"/>
  <c r="S3" i="271"/>
  <c r="E4" i="260"/>
  <c r="E4" i="259"/>
  <c r="E4" i="258"/>
  <c r="L3" i="262"/>
  <c r="L3" i="263"/>
  <c r="L3" i="261"/>
  <c r="G4" i="263"/>
  <c r="G4" i="262"/>
  <c r="G4" i="261"/>
  <c r="D2" i="272"/>
  <c r="D2" i="271"/>
  <c r="D2" i="270"/>
  <c r="T3" i="269"/>
  <c r="T3" i="267"/>
  <c r="T3" i="268"/>
  <c r="U3" i="263"/>
  <c r="U3" i="261"/>
  <c r="U3" i="262"/>
  <c r="Y3" i="263"/>
  <c r="Y3" i="262"/>
  <c r="Y3" i="261"/>
  <c r="T4" i="263"/>
  <c r="T4" i="261"/>
  <c r="T4" i="262"/>
  <c r="H2" i="263"/>
  <c r="H2" i="261"/>
  <c r="H2" i="262"/>
  <c r="C2" i="260"/>
  <c r="C2" i="259"/>
  <c r="C2" i="258"/>
  <c r="V2" i="259"/>
  <c r="V2" i="260"/>
  <c r="V2" i="258"/>
  <c r="Q3" i="260"/>
  <c r="Q3" i="258"/>
  <c r="Q3" i="259"/>
  <c r="E3" i="260"/>
  <c r="E3" i="258"/>
  <c r="E3" i="259"/>
  <c r="I3" i="258"/>
  <c r="I3" i="259"/>
  <c r="I3" i="260"/>
  <c r="M2" i="270"/>
  <c r="M2" i="271"/>
  <c r="M2" i="272"/>
  <c r="Q2" i="272"/>
  <c r="Q2" i="270"/>
  <c r="Q2" i="271"/>
  <c r="L3" i="272"/>
  <c r="L3" i="271"/>
  <c r="L3" i="270"/>
  <c r="G4" i="272"/>
  <c r="G4" i="271"/>
  <c r="G4" i="270"/>
  <c r="R4" i="268"/>
  <c r="R4" i="269"/>
  <c r="R4" i="267"/>
  <c r="F2" i="268"/>
  <c r="F2" i="269"/>
  <c r="F2" i="267"/>
  <c r="Y2" i="269"/>
  <c r="Y2" i="267"/>
  <c r="Y2" i="268"/>
  <c r="M2" i="267"/>
  <c r="M2" i="268"/>
  <c r="M2" i="269"/>
  <c r="Q2" i="269"/>
  <c r="Q2" i="268"/>
  <c r="Q2" i="267"/>
  <c r="L4" i="263"/>
  <c r="L4" i="261"/>
  <c r="L4" i="262"/>
  <c r="J3" i="260"/>
  <c r="J3" i="258"/>
  <c r="J3" i="259"/>
  <c r="B4" i="258"/>
  <c r="B4" i="260"/>
  <c r="B4" i="259"/>
  <c r="J3" i="267"/>
  <c r="J3" i="268"/>
  <c r="J3" i="269"/>
  <c r="X4" i="269"/>
  <c r="X4" i="267"/>
  <c r="X4" i="268"/>
  <c r="M4" i="263"/>
  <c r="M4" i="261"/>
  <c r="M4" i="262"/>
  <c r="Q4" i="263"/>
  <c r="Q4" i="261"/>
  <c r="Q4" i="262"/>
  <c r="E2" i="261"/>
  <c r="E2" i="262"/>
  <c r="E2" i="263"/>
  <c r="X2" i="261"/>
  <c r="X2" i="263"/>
  <c r="X2" i="262"/>
  <c r="S2" i="258"/>
  <c r="S2" i="259"/>
  <c r="S2" i="260"/>
  <c r="N3" i="260"/>
  <c r="N3" i="259"/>
  <c r="N3" i="258"/>
  <c r="I4" i="260"/>
  <c r="I4" i="258"/>
  <c r="I4" i="259"/>
  <c r="U3" i="258"/>
  <c r="U3" i="260"/>
  <c r="U3" i="259"/>
  <c r="Y3" i="259"/>
  <c r="Y3" i="260"/>
  <c r="Y3" i="258"/>
  <c r="E3" i="271"/>
  <c r="E3" i="272"/>
  <c r="E3" i="270"/>
  <c r="I3" i="272"/>
  <c r="I3" i="270"/>
  <c r="I3" i="271"/>
  <c r="D4" i="272"/>
  <c r="D4" i="270"/>
  <c r="D4" i="271"/>
  <c r="W4" i="271"/>
  <c r="W4" i="272"/>
  <c r="W4" i="270"/>
  <c r="C2" i="268"/>
  <c r="C2" i="267"/>
  <c r="C2" i="269"/>
  <c r="V2" i="269"/>
  <c r="V2" i="267"/>
  <c r="V2" i="268"/>
  <c r="Q3" i="269"/>
  <c r="Q3" i="268"/>
  <c r="Q3" i="267"/>
  <c r="E3" i="269"/>
  <c r="E3" i="267"/>
  <c r="E3" i="268"/>
  <c r="I3" i="269"/>
  <c r="I3" i="267"/>
  <c r="I3" i="268"/>
  <c r="P4" i="263"/>
  <c r="P4" i="262"/>
  <c r="P4" i="261"/>
  <c r="O3" i="263"/>
  <c r="O3" i="261"/>
  <c r="O3" i="262"/>
  <c r="M2" i="263"/>
  <c r="M2" i="262"/>
  <c r="M2" i="261"/>
  <c r="L4" i="260"/>
  <c r="L4" i="258"/>
  <c r="L4" i="259"/>
  <c r="Q2" i="310"/>
  <c r="Q2" i="309"/>
  <c r="Q2" i="232"/>
  <c r="Q2" i="311"/>
  <c r="Q2" i="233"/>
  <c r="Q2" i="231"/>
  <c r="J2" i="262"/>
  <c r="J2" i="263"/>
  <c r="J2" i="261"/>
  <c r="N2" i="261"/>
  <c r="N2" i="262"/>
  <c r="N2" i="263"/>
  <c r="B2" i="263"/>
  <c r="B2" i="261"/>
  <c r="B2" i="262"/>
  <c r="U2" i="263"/>
  <c r="U2" i="261"/>
  <c r="U2" i="262"/>
  <c r="P3" i="263"/>
  <c r="P3" i="261"/>
  <c r="P3" i="262"/>
  <c r="K3" i="260"/>
  <c r="K3" i="258"/>
  <c r="K3" i="259"/>
  <c r="Y4" i="259"/>
  <c r="Y4" i="258"/>
  <c r="Y4" i="260"/>
  <c r="M4" i="258"/>
  <c r="M4" i="259"/>
  <c r="M4" i="260"/>
  <c r="Q4" i="260"/>
  <c r="Q4" i="258"/>
  <c r="Q4" i="259"/>
  <c r="Y3" i="272"/>
  <c r="Y3" i="270"/>
  <c r="Y3" i="271"/>
  <c r="I4" i="269"/>
  <c r="I4" i="267"/>
  <c r="I4" i="268"/>
  <c r="Y3" i="269"/>
  <c r="Y3" i="267"/>
  <c r="Y3" i="268"/>
  <c r="I2" i="260"/>
  <c r="I2" i="258"/>
  <c r="I2" i="259"/>
  <c r="T3" i="272"/>
  <c r="T3" i="270"/>
  <c r="T3" i="271"/>
  <c r="E3" i="261"/>
  <c r="E3" i="263"/>
  <c r="E3" i="262"/>
  <c r="F4" i="260"/>
  <c r="F4" i="259"/>
  <c r="F4" i="258"/>
  <c r="U3" i="270"/>
  <c r="U3" i="272"/>
  <c r="U3" i="271"/>
  <c r="T4" i="270"/>
  <c r="T4" i="272"/>
  <c r="T4" i="271"/>
  <c r="H2" i="270"/>
  <c r="H2" i="271"/>
  <c r="H2" i="272"/>
  <c r="S2" i="269"/>
  <c r="S2" i="267"/>
  <c r="S2" i="268"/>
  <c r="N3" i="267"/>
  <c r="N3" i="268"/>
  <c r="N3" i="269"/>
  <c r="U3" i="267"/>
  <c r="U3" i="268"/>
  <c r="U3" i="269"/>
  <c r="O4" i="232"/>
  <c r="O4" i="310"/>
  <c r="O4" i="309"/>
  <c r="O4" i="233"/>
  <c r="O4" i="231"/>
  <c r="O4" i="311"/>
  <c r="B3" i="263"/>
  <c r="B3" i="262"/>
  <c r="B3" i="261"/>
  <c r="F3" i="262"/>
  <c r="F3" i="263"/>
  <c r="F3" i="261"/>
  <c r="R2" i="261"/>
  <c r="R2" i="263"/>
  <c r="R2" i="262"/>
  <c r="M3" i="261"/>
  <c r="M3" i="262"/>
  <c r="M3" i="263"/>
  <c r="H4" i="263"/>
  <c r="H4" i="262"/>
  <c r="H4" i="261"/>
  <c r="C4" i="258"/>
  <c r="C4" i="260"/>
  <c r="C4" i="259"/>
  <c r="V4" i="260"/>
  <c r="V4" i="258"/>
  <c r="V4" i="259"/>
  <c r="J2" i="259"/>
  <c r="J2" i="260"/>
  <c r="J2" i="258"/>
  <c r="N2" i="259"/>
  <c r="N2" i="260"/>
  <c r="N2" i="258"/>
  <c r="B4" i="194"/>
  <c r="B4" i="182"/>
  <c r="B4" i="195"/>
  <c r="M4" i="270"/>
  <c r="M4" i="272"/>
  <c r="M4" i="271"/>
  <c r="Q4" i="272"/>
  <c r="Q4" i="270"/>
  <c r="Q4" i="271"/>
  <c r="E2" i="272"/>
  <c r="E2" i="271"/>
  <c r="E2" i="270"/>
  <c r="X2" i="272"/>
  <c r="X2" i="270"/>
  <c r="X2" i="271"/>
  <c r="K3" i="269"/>
  <c r="K3" i="268"/>
  <c r="K3" i="267"/>
  <c r="F4" i="269"/>
  <c r="F4" i="268"/>
  <c r="F4" i="267"/>
  <c r="Y4" i="269"/>
  <c r="Y4" i="267"/>
  <c r="Y4" i="268"/>
  <c r="M4" i="269"/>
  <c r="M4" i="268"/>
  <c r="M4" i="267"/>
  <c r="Q4" i="267"/>
  <c r="Q4" i="269"/>
  <c r="Q4" i="268"/>
  <c r="C2" i="309" l="1"/>
  <c r="C2" i="311"/>
  <c r="C2" i="233"/>
  <c r="C2" i="310"/>
  <c r="C2" i="231"/>
  <c r="C2" i="232"/>
  <c r="N4" i="220"/>
  <c r="N4" i="298"/>
  <c r="N4" i="297"/>
  <c r="N4" i="299"/>
  <c r="N4" i="221"/>
  <c r="N4" i="219"/>
  <c r="Y4" i="299"/>
  <c r="Y4" i="297"/>
  <c r="Y4" i="298"/>
  <c r="Y4" i="219"/>
  <c r="Y4" i="220"/>
  <c r="Y4" i="221"/>
  <c r="F2" i="197"/>
  <c r="F2" i="183"/>
  <c r="F2" i="196"/>
  <c r="P2" i="184"/>
  <c r="P2" i="200"/>
  <c r="P2" i="201"/>
  <c r="R4" i="202"/>
  <c r="R4" i="203"/>
  <c r="R4" i="185"/>
  <c r="G4" i="195"/>
  <c r="G4" i="194"/>
  <c r="G4" i="182"/>
  <c r="R2" i="182"/>
  <c r="R2" i="194"/>
  <c r="R2" i="195"/>
  <c r="L3" i="203"/>
  <c r="L3" i="202"/>
  <c r="L3" i="185"/>
  <c r="F4" i="219"/>
  <c r="F4" i="220"/>
  <c r="F4" i="299"/>
  <c r="F4" i="297"/>
  <c r="F4" i="298"/>
  <c r="F4" i="221"/>
  <c r="V3" i="308"/>
  <c r="V3" i="306"/>
  <c r="V3" i="307"/>
  <c r="V3" i="230"/>
  <c r="V3" i="229"/>
  <c r="V3" i="228"/>
  <c r="G4" i="298"/>
  <c r="G4" i="299"/>
  <c r="G4" i="221"/>
  <c r="G4" i="219"/>
  <c r="G4" i="220"/>
  <c r="G4" i="297"/>
  <c r="K4" i="307"/>
  <c r="K4" i="306"/>
  <c r="K4" i="308"/>
  <c r="K4" i="230"/>
  <c r="K4" i="228"/>
  <c r="K4" i="229"/>
  <c r="W3" i="229"/>
  <c r="W3" i="308"/>
  <c r="W3" i="306"/>
  <c r="W3" i="230"/>
  <c r="W3" i="228"/>
  <c r="W3" i="307"/>
  <c r="U3" i="222"/>
  <c r="U3" i="224"/>
  <c r="U3" i="302"/>
  <c r="U3" i="301"/>
  <c r="U3" i="300"/>
  <c r="U3" i="223"/>
  <c r="O3" i="221"/>
  <c r="O3" i="297"/>
  <c r="O3" i="298"/>
  <c r="O3" i="299"/>
  <c r="O3" i="220"/>
  <c r="O3" i="219"/>
  <c r="U4" i="223"/>
  <c r="U4" i="224"/>
  <c r="U4" i="222"/>
  <c r="U4" i="300"/>
  <c r="U4" i="301"/>
  <c r="U4" i="302"/>
  <c r="C2" i="299"/>
  <c r="C2" i="298"/>
  <c r="C2" i="297"/>
  <c r="C2" i="219"/>
  <c r="C2" i="220"/>
  <c r="C2" i="221"/>
  <c r="H2" i="311"/>
  <c r="H2" i="309"/>
  <c r="H2" i="310"/>
  <c r="H2" i="233"/>
  <c r="H2" i="232"/>
  <c r="H2" i="231"/>
  <c r="F2" i="299"/>
  <c r="F2" i="297"/>
  <c r="F2" i="298"/>
  <c r="F2" i="221"/>
  <c r="F2" i="220"/>
  <c r="F2" i="219"/>
  <c r="N2" i="231"/>
  <c r="N2" i="310"/>
  <c r="N2" i="309"/>
  <c r="N2" i="311"/>
  <c r="N2" i="233"/>
  <c r="N2" i="232"/>
  <c r="Q2" i="223"/>
  <c r="Q2" i="302"/>
  <c r="Q2" i="300"/>
  <c r="Q2" i="224"/>
  <c r="Q2" i="222"/>
  <c r="Q2" i="301"/>
  <c r="F4" i="301"/>
  <c r="F4" i="300"/>
  <c r="F4" i="302"/>
  <c r="F4" i="224"/>
  <c r="F4" i="222"/>
  <c r="F4" i="223"/>
  <c r="O4" i="307"/>
  <c r="O4" i="306"/>
  <c r="O4" i="308"/>
  <c r="O4" i="229"/>
  <c r="O4" i="228"/>
  <c r="O4" i="230"/>
  <c r="J3" i="298"/>
  <c r="J3" i="221"/>
  <c r="J3" i="219"/>
  <c r="J3" i="299"/>
  <c r="J3" i="297"/>
  <c r="J3" i="220"/>
  <c r="I4" i="182"/>
  <c r="I4" i="194"/>
  <c r="I4" i="195"/>
  <c r="L2" i="202"/>
  <c r="L2" i="185"/>
  <c r="L2" i="203"/>
  <c r="F4" i="185"/>
  <c r="F4" i="203"/>
  <c r="F4" i="202"/>
  <c r="N2" i="201"/>
  <c r="N2" i="184"/>
  <c r="N2" i="200"/>
  <c r="V2" i="184"/>
  <c r="V2" i="200"/>
  <c r="V2" i="201"/>
  <c r="D4" i="183"/>
  <c r="D4" i="196"/>
  <c r="D4" i="197"/>
  <c r="K3" i="297"/>
  <c r="K3" i="299"/>
  <c r="K3" i="298"/>
  <c r="K3" i="221"/>
  <c r="K3" i="219"/>
  <c r="K3" i="220"/>
  <c r="S4" i="219"/>
  <c r="S4" i="299"/>
  <c r="S4" i="298"/>
  <c r="S4" i="297"/>
  <c r="S4" i="220"/>
  <c r="S4" i="221"/>
  <c r="U3" i="230"/>
  <c r="U3" i="228"/>
  <c r="U3" i="307"/>
  <c r="U3" i="308"/>
  <c r="U3" i="306"/>
  <c r="U3" i="229"/>
  <c r="Y2" i="311"/>
  <c r="Y2" i="309"/>
  <c r="Y2" i="310"/>
  <c r="Y2" i="232"/>
  <c r="Y2" i="233"/>
  <c r="Y2" i="231"/>
  <c r="D4" i="302"/>
  <c r="D4" i="222"/>
  <c r="D4" i="223"/>
  <c r="D4" i="224"/>
  <c r="D4" i="301"/>
  <c r="D4" i="300"/>
  <c r="N3" i="301"/>
  <c r="N3" i="302"/>
  <c r="N3" i="300"/>
  <c r="N3" i="224"/>
  <c r="N3" i="222"/>
  <c r="N3" i="223"/>
  <c r="N3" i="229"/>
  <c r="N3" i="307"/>
  <c r="N3" i="306"/>
  <c r="N3" i="308"/>
  <c r="N3" i="230"/>
  <c r="N3" i="228"/>
  <c r="H3" i="182"/>
  <c r="H3" i="194"/>
  <c r="H3" i="195"/>
  <c r="D2" i="184"/>
  <c r="D2" i="201"/>
  <c r="D2" i="200"/>
  <c r="O2" i="196"/>
  <c r="O2" i="197"/>
  <c r="O2" i="183"/>
  <c r="S4" i="197"/>
  <c r="S4" i="183"/>
  <c r="S4" i="196"/>
  <c r="I2" i="185"/>
  <c r="I2" i="202"/>
  <c r="I2" i="203"/>
  <c r="W2" i="200"/>
  <c r="W2" i="184"/>
  <c r="W2" i="201"/>
  <c r="F3" i="200"/>
  <c r="F3" i="184"/>
  <c r="F3" i="201"/>
  <c r="U3" i="183"/>
  <c r="U3" i="196"/>
  <c r="U3" i="197"/>
  <c r="G4" i="197"/>
  <c r="G4" i="183"/>
  <c r="G4" i="196"/>
  <c r="W4" i="201"/>
  <c r="W4" i="200"/>
  <c r="W4" i="184"/>
  <c r="P4" i="196"/>
  <c r="P4" i="197"/>
  <c r="P4" i="183"/>
  <c r="W2" i="194"/>
  <c r="W2" i="182"/>
  <c r="W2" i="195"/>
  <c r="M2" i="297"/>
  <c r="M2" i="220"/>
  <c r="M2" i="221"/>
  <c r="M2" i="299"/>
  <c r="M2" i="298"/>
  <c r="M2" i="219"/>
  <c r="D4" i="182"/>
  <c r="D4" i="195"/>
  <c r="D4" i="194"/>
  <c r="E4" i="185"/>
  <c r="E4" i="202"/>
  <c r="E4" i="203"/>
  <c r="U4" i="196"/>
  <c r="U4" i="197"/>
  <c r="U4" i="183"/>
  <c r="O4" i="183"/>
  <c r="O4" i="197"/>
  <c r="O4" i="196"/>
  <c r="Y4" i="194"/>
  <c r="Y4" i="195"/>
  <c r="Y4" i="182"/>
  <c r="L4" i="184"/>
  <c r="L4" i="201"/>
  <c r="L4" i="200"/>
  <c r="Q4" i="182"/>
  <c r="Q4" i="194"/>
  <c r="Q4" i="195"/>
  <c r="M2" i="200"/>
  <c r="M2" i="184"/>
  <c r="M2" i="201"/>
  <c r="K2" i="203"/>
  <c r="K2" i="185"/>
  <c r="K2" i="202"/>
  <c r="B3" i="183"/>
  <c r="B3" i="197"/>
  <c r="B3" i="196"/>
  <c r="F3" i="203"/>
  <c r="F3" i="202"/>
  <c r="F3" i="185"/>
  <c r="G4" i="202"/>
  <c r="G4" i="203"/>
  <c r="G4" i="185"/>
  <c r="W2" i="203"/>
  <c r="W2" i="202"/>
  <c r="W2" i="185"/>
  <c r="Q2" i="197"/>
  <c r="Q2" i="183"/>
  <c r="Q2" i="196"/>
  <c r="V4" i="201"/>
  <c r="V4" i="184"/>
  <c r="V4" i="200"/>
  <c r="V2" i="203"/>
  <c r="V2" i="185"/>
  <c r="V2" i="202"/>
  <c r="X2" i="196"/>
  <c r="X2" i="197"/>
  <c r="X2" i="183"/>
  <c r="B2" i="197"/>
  <c r="B2" i="196"/>
  <c r="B2" i="183"/>
  <c r="P4" i="299"/>
  <c r="P4" i="221"/>
  <c r="P4" i="219"/>
  <c r="P4" i="220"/>
  <c r="P4" i="297"/>
  <c r="P4" i="298"/>
  <c r="X3" i="298"/>
  <c r="X3" i="297"/>
  <c r="X3" i="221"/>
  <c r="X3" i="219"/>
  <c r="X3" i="220"/>
  <c r="X3" i="299"/>
  <c r="Y3" i="223"/>
  <c r="Y3" i="301"/>
  <c r="Y3" i="222"/>
  <c r="Y3" i="224"/>
  <c r="Y3" i="300"/>
  <c r="Y3" i="302"/>
  <c r="W2" i="299"/>
  <c r="W2" i="297"/>
  <c r="W2" i="220"/>
  <c r="W2" i="298"/>
  <c r="W2" i="221"/>
  <c r="W2" i="219"/>
  <c r="D2" i="302"/>
  <c r="D2" i="300"/>
  <c r="D2" i="301"/>
  <c r="D2" i="223"/>
  <c r="D2" i="222"/>
  <c r="D2" i="224"/>
  <c r="B2" i="228"/>
  <c r="B2" i="229"/>
  <c r="B2" i="307"/>
  <c r="B2" i="308"/>
  <c r="B2" i="230"/>
  <c r="B2" i="306"/>
  <c r="L3" i="301"/>
  <c r="L3" i="302"/>
  <c r="L3" i="300"/>
  <c r="L3" i="222"/>
  <c r="L3" i="223"/>
  <c r="L3" i="224"/>
  <c r="X4" i="300"/>
  <c r="X4" i="301"/>
  <c r="X4" i="223"/>
  <c r="X4" i="224"/>
  <c r="X4" i="302"/>
  <c r="X4" i="222"/>
  <c r="F3" i="311"/>
  <c r="F3" i="309"/>
  <c r="F3" i="231"/>
  <c r="F3" i="232"/>
  <c r="F3" i="233"/>
  <c r="F3" i="310"/>
  <c r="I4" i="233"/>
  <c r="I4" i="309"/>
  <c r="I4" i="310"/>
  <c r="I4" i="231"/>
  <c r="I4" i="232"/>
  <c r="I4" i="311"/>
  <c r="C4" i="306"/>
  <c r="C4" i="307"/>
  <c r="C4" i="228"/>
  <c r="C4" i="229"/>
  <c r="C4" i="308"/>
  <c r="C4" i="230"/>
  <c r="X4" i="311"/>
  <c r="X4" i="309"/>
  <c r="X4" i="310"/>
  <c r="X4" i="233"/>
  <c r="X4" i="231"/>
  <c r="X4" i="232"/>
  <c r="I2" i="311"/>
  <c r="I2" i="309"/>
  <c r="I2" i="310"/>
  <c r="I2" i="231"/>
  <c r="I2" i="232"/>
  <c r="I2" i="233"/>
  <c r="J3" i="224"/>
  <c r="J3" i="223"/>
  <c r="J3" i="301"/>
  <c r="J3" i="300"/>
  <c r="J3" i="302"/>
  <c r="J3" i="222"/>
  <c r="H2" i="301"/>
  <c r="H2" i="224"/>
  <c r="H2" i="300"/>
  <c r="H2" i="223"/>
  <c r="H2" i="222"/>
  <c r="H2" i="302"/>
  <c r="L2" i="300"/>
  <c r="L2" i="302"/>
  <c r="L2" i="224"/>
  <c r="L2" i="222"/>
  <c r="L2" i="301"/>
  <c r="L2" i="223"/>
  <c r="I2" i="298"/>
  <c r="I2" i="219"/>
  <c r="I2" i="220"/>
  <c r="I2" i="221"/>
  <c r="I2" i="299"/>
  <c r="I2" i="297"/>
  <c r="E4" i="302"/>
  <c r="E4" i="223"/>
  <c r="E4" i="224"/>
  <c r="E4" i="222"/>
  <c r="E4" i="301"/>
  <c r="E4" i="300"/>
  <c r="Y4" i="196"/>
  <c r="Y4" i="183"/>
  <c r="Y4" i="197"/>
  <c r="X3" i="194"/>
  <c r="X3" i="182"/>
  <c r="X3" i="195"/>
  <c r="F4" i="196"/>
  <c r="F4" i="183"/>
  <c r="F4" i="197"/>
  <c r="C3" i="300"/>
  <c r="C3" i="302"/>
  <c r="C3" i="301"/>
  <c r="C3" i="224"/>
  <c r="C3" i="222"/>
  <c r="C3" i="223"/>
  <c r="U2" i="311"/>
  <c r="U2" i="232"/>
  <c r="U2" i="233"/>
  <c r="U2" i="309"/>
  <c r="U2" i="231"/>
  <c r="U2" i="310"/>
  <c r="V2" i="310"/>
  <c r="V2" i="233"/>
  <c r="V2" i="231"/>
  <c r="V2" i="311"/>
  <c r="V2" i="309"/>
  <c r="V2" i="232"/>
  <c r="N4" i="302"/>
  <c r="N4" i="300"/>
  <c r="N4" i="301"/>
  <c r="N4" i="224"/>
  <c r="N4" i="223"/>
  <c r="N4" i="222"/>
  <c r="C2" i="201"/>
  <c r="C2" i="184"/>
  <c r="C2" i="200"/>
  <c r="Q4" i="302"/>
  <c r="Q4" i="222"/>
  <c r="Q4" i="224"/>
  <c r="Q4" i="300"/>
  <c r="Q4" i="301"/>
  <c r="Q4" i="223"/>
  <c r="N3" i="183"/>
  <c r="N3" i="196"/>
  <c r="N3" i="197"/>
  <c r="L4" i="197"/>
  <c r="L4" i="196"/>
  <c r="L4" i="183"/>
  <c r="M2" i="182"/>
  <c r="M2" i="194"/>
  <c r="M2" i="195"/>
  <c r="G2" i="224"/>
  <c r="G2" i="222"/>
  <c r="G2" i="300"/>
  <c r="G2" i="301"/>
  <c r="G2" i="302"/>
  <c r="G2" i="223"/>
  <c r="Q3" i="220"/>
  <c r="Q3" i="221"/>
  <c r="Q3" i="299"/>
  <c r="Q3" i="297"/>
  <c r="Q3" i="298"/>
  <c r="Q3" i="219"/>
  <c r="K4" i="182"/>
  <c r="K4" i="195"/>
  <c r="K4" i="194"/>
  <c r="M4" i="196"/>
  <c r="M4" i="183"/>
  <c r="M4" i="197"/>
  <c r="T3" i="203"/>
  <c r="T3" i="202"/>
  <c r="T3" i="185"/>
  <c r="C3" i="309"/>
  <c r="C3" i="233"/>
  <c r="C3" i="311"/>
  <c r="C3" i="231"/>
  <c r="C3" i="232"/>
  <c r="C3" i="310"/>
  <c r="W3" i="231"/>
  <c r="W3" i="232"/>
  <c r="W3" i="309"/>
  <c r="W3" i="311"/>
  <c r="W3" i="310"/>
  <c r="W3" i="233"/>
  <c r="R3" i="232"/>
  <c r="R3" i="231"/>
  <c r="R3" i="233"/>
  <c r="R3" i="309"/>
  <c r="R3" i="310"/>
  <c r="R3" i="311"/>
  <c r="V2" i="301"/>
  <c r="V2" i="302"/>
  <c r="V2" i="300"/>
  <c r="V2" i="222"/>
  <c r="V2" i="223"/>
  <c r="V2" i="224"/>
  <c r="U4" i="297"/>
  <c r="U4" i="219"/>
  <c r="U4" i="299"/>
  <c r="U4" i="220"/>
  <c r="U4" i="221"/>
  <c r="U4" i="298"/>
  <c r="S3" i="224"/>
  <c r="S3" i="222"/>
  <c r="S3" i="302"/>
  <c r="S3" i="301"/>
  <c r="S3" i="300"/>
  <c r="S3" i="223"/>
  <c r="G3" i="220"/>
  <c r="G3" i="219"/>
  <c r="G3" i="297"/>
  <c r="G3" i="221"/>
  <c r="G3" i="299"/>
  <c r="G3" i="298"/>
  <c r="Y3" i="298"/>
  <c r="Y3" i="299"/>
  <c r="Y3" i="297"/>
  <c r="Y3" i="220"/>
  <c r="Y3" i="219"/>
  <c r="Y3" i="221"/>
  <c r="I2" i="306"/>
  <c r="I2" i="229"/>
  <c r="I2" i="308"/>
  <c r="I2" i="228"/>
  <c r="I2" i="230"/>
  <c r="I2" i="307"/>
  <c r="T4" i="220"/>
  <c r="T4" i="221"/>
  <c r="T4" i="297"/>
  <c r="T4" i="299"/>
  <c r="T4" i="298"/>
  <c r="T4" i="219"/>
  <c r="I4" i="229"/>
  <c r="I4" i="228"/>
  <c r="I4" i="308"/>
  <c r="I4" i="230"/>
  <c r="I4" i="307"/>
  <c r="I4" i="306"/>
  <c r="W2" i="310"/>
  <c r="W2" i="311"/>
  <c r="W2" i="309"/>
  <c r="W2" i="232"/>
  <c r="W2" i="233"/>
  <c r="W2" i="231"/>
  <c r="G3" i="308"/>
  <c r="G3" i="228"/>
  <c r="G3" i="306"/>
  <c r="G3" i="307"/>
  <c r="G3" i="229"/>
  <c r="G3" i="230"/>
  <c r="F3" i="228"/>
  <c r="F3" i="229"/>
  <c r="F3" i="308"/>
  <c r="F3" i="306"/>
  <c r="F3" i="307"/>
  <c r="F3" i="230"/>
  <c r="T2" i="219"/>
  <c r="T2" i="297"/>
  <c r="T2" i="298"/>
  <c r="T2" i="221"/>
  <c r="T2" i="220"/>
  <c r="T2" i="299"/>
  <c r="I4" i="299"/>
  <c r="I4" i="297"/>
  <c r="I4" i="219"/>
  <c r="I4" i="220"/>
  <c r="I4" i="298"/>
  <c r="I4" i="221"/>
  <c r="R2" i="310"/>
  <c r="R2" i="311"/>
  <c r="R2" i="309"/>
  <c r="R2" i="232"/>
  <c r="R2" i="231"/>
  <c r="R2" i="233"/>
  <c r="L2" i="228"/>
  <c r="L2" i="229"/>
  <c r="L2" i="307"/>
  <c r="L2" i="306"/>
  <c r="L2" i="230"/>
  <c r="L2" i="308"/>
  <c r="U3" i="203"/>
  <c r="U3" i="185"/>
  <c r="U3" i="202"/>
  <c r="W3" i="194"/>
  <c r="W3" i="182"/>
  <c r="W3" i="195"/>
  <c r="H2" i="200"/>
  <c r="H2" i="184"/>
  <c r="H2" i="201"/>
  <c r="L2" i="200"/>
  <c r="L2" i="184"/>
  <c r="L2" i="201"/>
  <c r="T4" i="197"/>
  <c r="T4" i="183"/>
  <c r="T4" i="196"/>
  <c r="S2" i="201"/>
  <c r="S2" i="184"/>
  <c r="S2" i="200"/>
  <c r="T2" i="231"/>
  <c r="T2" i="311"/>
  <c r="T2" i="310"/>
  <c r="T2" i="232"/>
  <c r="T2" i="233"/>
  <c r="T2" i="309"/>
  <c r="D2" i="311"/>
  <c r="D2" i="231"/>
  <c r="D2" i="232"/>
  <c r="D2" i="233"/>
  <c r="D2" i="310"/>
  <c r="D2" i="309"/>
  <c r="H3" i="230"/>
  <c r="H3" i="308"/>
  <c r="H3" i="306"/>
  <c r="H3" i="307"/>
  <c r="H3" i="228"/>
  <c r="H3" i="229"/>
  <c r="R3" i="220"/>
  <c r="R3" i="299"/>
  <c r="R3" i="298"/>
  <c r="R3" i="297"/>
  <c r="R3" i="221"/>
  <c r="R3" i="219"/>
  <c r="M4" i="302"/>
  <c r="M4" i="222"/>
  <c r="M4" i="224"/>
  <c r="M4" i="301"/>
  <c r="M4" i="300"/>
  <c r="M4" i="223"/>
  <c r="W2" i="300"/>
  <c r="W2" i="301"/>
  <c r="W2" i="302"/>
  <c r="W2" i="223"/>
  <c r="W2" i="224"/>
  <c r="W2" i="222"/>
  <c r="H4" i="311"/>
  <c r="H4" i="233"/>
  <c r="H4" i="232"/>
  <c r="H4" i="309"/>
  <c r="H4" i="310"/>
  <c r="H4" i="231"/>
  <c r="H4" i="220"/>
  <c r="H4" i="219"/>
  <c r="H4" i="299"/>
  <c r="H4" i="297"/>
  <c r="H4" i="298"/>
  <c r="H4" i="221"/>
  <c r="M3" i="231"/>
  <c r="M3" i="311"/>
  <c r="M3" i="309"/>
  <c r="M3" i="232"/>
  <c r="M3" i="233"/>
  <c r="M3" i="310"/>
  <c r="N3" i="221"/>
  <c r="N3" i="219"/>
  <c r="N3" i="299"/>
  <c r="N3" i="297"/>
  <c r="N3" i="298"/>
  <c r="N3" i="220"/>
  <c r="P4" i="222"/>
  <c r="P4" i="223"/>
  <c r="P4" i="302"/>
  <c r="P4" i="301"/>
  <c r="P4" i="300"/>
  <c r="P4" i="224"/>
  <c r="H2" i="230"/>
  <c r="H2" i="308"/>
  <c r="H2" i="306"/>
  <c r="H2" i="307"/>
  <c r="H2" i="228"/>
  <c r="H2" i="229"/>
  <c r="I2" i="302"/>
  <c r="I2" i="223"/>
  <c r="I2" i="224"/>
  <c r="I2" i="301"/>
  <c r="I2" i="300"/>
  <c r="I2" i="222"/>
  <c r="C2" i="228"/>
  <c r="C2" i="230"/>
  <c r="C2" i="307"/>
  <c r="C2" i="306"/>
  <c r="C2" i="308"/>
  <c r="C2" i="229"/>
  <c r="G4" i="311"/>
  <c r="G4" i="309"/>
  <c r="G4" i="310"/>
  <c r="G4" i="233"/>
  <c r="G4" i="231"/>
  <c r="G4" i="232"/>
  <c r="E3" i="299"/>
  <c r="E3" i="219"/>
  <c r="E3" i="297"/>
  <c r="E3" i="220"/>
  <c r="E3" i="298"/>
  <c r="E3" i="221"/>
  <c r="X3" i="232"/>
  <c r="X3" i="231"/>
  <c r="X3" i="233"/>
  <c r="X3" i="309"/>
  <c r="X3" i="310"/>
  <c r="X3" i="311"/>
  <c r="Y3" i="308"/>
  <c r="Y3" i="306"/>
  <c r="Y3" i="307"/>
  <c r="Y3" i="228"/>
  <c r="Y3" i="229"/>
  <c r="Y3" i="230"/>
  <c r="B3" i="200"/>
  <c r="B3" i="201"/>
  <c r="B3" i="184"/>
  <c r="Q3" i="196"/>
  <c r="Q3" i="197"/>
  <c r="Q3" i="183"/>
  <c r="H2" i="197"/>
  <c r="H2" i="183"/>
  <c r="H2" i="196"/>
  <c r="K2" i="196"/>
  <c r="K2" i="183"/>
  <c r="K2" i="197"/>
  <c r="T2" i="307"/>
  <c r="T2" i="308"/>
  <c r="T2" i="306"/>
  <c r="T2" i="229"/>
  <c r="T2" i="230"/>
  <c r="T2" i="228"/>
  <c r="T4" i="311"/>
  <c r="T4" i="310"/>
  <c r="T4" i="309"/>
  <c r="T4" i="232"/>
  <c r="T4" i="233"/>
  <c r="T4" i="231"/>
  <c r="R3" i="185"/>
  <c r="R3" i="202"/>
  <c r="R3" i="203"/>
  <c r="S3" i="195"/>
  <c r="S3" i="182"/>
  <c r="S3" i="194"/>
  <c r="K4" i="201"/>
  <c r="K4" i="200"/>
  <c r="K4" i="184"/>
  <c r="N3" i="185"/>
  <c r="N3" i="203"/>
  <c r="N3" i="202"/>
  <c r="Q4" i="184"/>
  <c r="Q4" i="201"/>
  <c r="Q4" i="200"/>
  <c r="O4" i="302"/>
  <c r="O4" i="301"/>
  <c r="O4" i="300"/>
  <c r="O4" i="224"/>
  <c r="O4" i="222"/>
  <c r="O4" i="223"/>
  <c r="P3" i="298"/>
  <c r="P3" i="221"/>
  <c r="P3" i="297"/>
  <c r="P3" i="299"/>
  <c r="P3" i="219"/>
  <c r="P3" i="220"/>
  <c r="R2" i="203"/>
  <c r="R2" i="185"/>
  <c r="R2" i="202"/>
  <c r="D4" i="185"/>
  <c r="D4" i="202"/>
  <c r="D4" i="203"/>
  <c r="V2" i="195"/>
  <c r="V2" i="182"/>
  <c r="V2" i="194"/>
  <c r="Y3" i="194"/>
  <c r="Y3" i="182"/>
  <c r="Y3" i="195"/>
  <c r="K4" i="183"/>
  <c r="K4" i="197"/>
  <c r="K4" i="196"/>
  <c r="S2" i="195"/>
  <c r="S2" i="182"/>
  <c r="S2" i="194"/>
  <c r="R3" i="196"/>
  <c r="R3" i="183"/>
  <c r="R3" i="197"/>
  <c r="S3" i="203"/>
  <c r="S3" i="202"/>
  <c r="S3" i="185"/>
  <c r="X3" i="203"/>
  <c r="X3" i="185"/>
  <c r="X3" i="202"/>
  <c r="B3" i="202"/>
  <c r="B3" i="203"/>
  <c r="B3" i="185"/>
  <c r="X4" i="194"/>
  <c r="X4" i="182"/>
  <c r="X4" i="195"/>
  <c r="I2" i="182"/>
  <c r="I2" i="194"/>
  <c r="I2" i="195"/>
  <c r="L4" i="195"/>
  <c r="L4" i="182"/>
  <c r="L4" i="194"/>
  <c r="P4" i="203"/>
  <c r="P4" i="202"/>
  <c r="P4" i="185"/>
  <c r="X3" i="197"/>
  <c r="X3" i="183"/>
  <c r="X3" i="196"/>
  <c r="U2" i="197"/>
  <c r="U2" i="183"/>
  <c r="U2" i="196"/>
  <c r="R4" i="183"/>
  <c r="R4" i="197"/>
  <c r="R4" i="196"/>
  <c r="N3" i="184"/>
  <c r="N3" i="201"/>
  <c r="N3" i="200"/>
  <c r="Y2" i="184"/>
  <c r="Y2" i="200"/>
  <c r="Y2" i="201"/>
  <c r="B2" i="203"/>
  <c r="B2" i="185"/>
  <c r="B2" i="202"/>
  <c r="E4" i="194"/>
  <c r="E4" i="182"/>
  <c r="E4" i="195"/>
  <c r="T4" i="194"/>
  <c r="T4" i="195"/>
  <c r="T4" i="182"/>
  <c r="C4" i="182"/>
  <c r="C4" i="195"/>
  <c r="C4" i="194"/>
  <c r="I2" i="183"/>
  <c r="I2" i="197"/>
  <c r="I2" i="196"/>
  <c r="M3" i="184"/>
  <c r="M3" i="200"/>
  <c r="M3" i="201"/>
  <c r="E4" i="308"/>
  <c r="E4" i="306"/>
  <c r="E4" i="307"/>
  <c r="E4" i="230"/>
  <c r="E4" i="229"/>
  <c r="E4" i="228"/>
  <c r="I3" i="306"/>
  <c r="I3" i="307"/>
  <c r="I3" i="308"/>
  <c r="I3" i="228"/>
  <c r="I3" i="229"/>
  <c r="I3" i="230"/>
  <c r="R4" i="223"/>
  <c r="R4" i="222"/>
  <c r="R4" i="224"/>
  <c r="R4" i="300"/>
  <c r="R4" i="301"/>
  <c r="R4" i="302"/>
  <c r="L4" i="298"/>
  <c r="L4" i="299"/>
  <c r="L4" i="221"/>
  <c r="L4" i="297"/>
  <c r="L4" i="220"/>
  <c r="L4" i="219"/>
  <c r="Q2" i="308"/>
  <c r="Q2" i="306"/>
  <c r="Q2" i="307"/>
  <c r="Q2" i="228"/>
  <c r="Q2" i="229"/>
  <c r="Q2" i="230"/>
  <c r="W4" i="297"/>
  <c r="W4" i="220"/>
  <c r="W4" i="221"/>
  <c r="W4" i="219"/>
  <c r="W4" i="298"/>
  <c r="W4" i="299"/>
  <c r="K4" i="223"/>
  <c r="K4" i="302"/>
  <c r="K4" i="300"/>
  <c r="K4" i="301"/>
  <c r="K4" i="224"/>
  <c r="K4" i="222"/>
  <c r="O4" i="219"/>
  <c r="O4" i="221"/>
  <c r="O4" i="220"/>
  <c r="O4" i="299"/>
  <c r="O4" i="297"/>
  <c r="O4" i="298"/>
  <c r="N4" i="310"/>
  <c r="N4" i="309"/>
  <c r="N4" i="233"/>
  <c r="N4" i="311"/>
  <c r="N4" i="231"/>
  <c r="N4" i="232"/>
  <c r="Q3" i="300"/>
  <c r="Q3" i="302"/>
  <c r="Q3" i="301"/>
  <c r="Q3" i="223"/>
  <c r="Q3" i="224"/>
  <c r="Q3" i="222"/>
  <c r="J4" i="222"/>
  <c r="J4" i="223"/>
  <c r="J4" i="224"/>
  <c r="J4" i="302"/>
  <c r="J4" i="301"/>
  <c r="J4" i="300"/>
  <c r="G4" i="301"/>
  <c r="G4" i="222"/>
  <c r="G4" i="223"/>
  <c r="G4" i="224"/>
  <c r="G4" i="302"/>
  <c r="G4" i="300"/>
  <c r="D3" i="297"/>
  <c r="D3" i="298"/>
  <c r="D3" i="299"/>
  <c r="D3" i="220"/>
  <c r="D3" i="221"/>
  <c r="D3" i="219"/>
  <c r="W2" i="230"/>
  <c r="W2" i="228"/>
  <c r="W2" i="229"/>
  <c r="W2" i="306"/>
  <c r="W2" i="308"/>
  <c r="W2" i="307"/>
  <c r="E4" i="231"/>
  <c r="E4" i="310"/>
  <c r="E4" i="309"/>
  <c r="E4" i="311"/>
  <c r="E4" i="233"/>
  <c r="E4" i="232"/>
  <c r="C3" i="221"/>
  <c r="C3" i="297"/>
  <c r="C3" i="299"/>
  <c r="C3" i="219"/>
  <c r="C3" i="220"/>
  <c r="C3" i="298"/>
  <c r="S3" i="310"/>
  <c r="S3" i="311"/>
  <c r="S3" i="231"/>
  <c r="S3" i="309"/>
  <c r="S3" i="233"/>
  <c r="S3" i="232"/>
  <c r="P3" i="308"/>
  <c r="P3" i="307"/>
  <c r="P3" i="306"/>
  <c r="P3" i="230"/>
  <c r="P3" i="229"/>
  <c r="P3" i="228"/>
  <c r="Y3" i="183"/>
  <c r="Y3" i="196"/>
  <c r="Y3" i="197"/>
  <c r="F2" i="307"/>
  <c r="F2" i="308"/>
  <c r="F2" i="306"/>
  <c r="F2" i="230"/>
  <c r="F2" i="228"/>
  <c r="F2" i="229"/>
  <c r="X4" i="200"/>
  <c r="X4" i="184"/>
  <c r="X4" i="201"/>
  <c r="O2" i="298"/>
  <c r="O2" i="299"/>
  <c r="O2" i="220"/>
  <c r="O2" i="297"/>
  <c r="O2" i="221"/>
  <c r="O2" i="219"/>
  <c r="N4" i="307"/>
  <c r="N4" i="229"/>
  <c r="N4" i="306"/>
  <c r="N4" i="308"/>
  <c r="N4" i="230"/>
  <c r="N4" i="228"/>
  <c r="D3" i="183"/>
  <c r="D3" i="196"/>
  <c r="D3" i="197"/>
  <c r="B2" i="184"/>
  <c r="B2" i="200"/>
  <c r="B2" i="201"/>
  <c r="G2" i="185"/>
  <c r="G2" i="202"/>
  <c r="G2" i="203"/>
  <c r="L3" i="309"/>
  <c r="L3" i="311"/>
  <c r="L3" i="310"/>
  <c r="L3" i="231"/>
  <c r="L3" i="233"/>
  <c r="L3" i="232"/>
  <c r="E4" i="197"/>
  <c r="E4" i="196"/>
  <c r="E4" i="183"/>
  <c r="S4" i="302"/>
  <c r="S4" i="301"/>
  <c r="S4" i="223"/>
  <c r="S4" i="224"/>
  <c r="S4" i="300"/>
  <c r="S4" i="222"/>
  <c r="N2" i="298"/>
  <c r="N2" i="297"/>
  <c r="N2" i="299"/>
  <c r="N2" i="220"/>
  <c r="N2" i="221"/>
  <c r="N2" i="219"/>
  <c r="B2" i="223"/>
  <c r="B2" i="301"/>
  <c r="B2" i="224"/>
  <c r="B2" i="302"/>
  <c r="B2" i="300"/>
  <c r="B2" i="222"/>
  <c r="Q4" i="197"/>
  <c r="Q4" i="183"/>
  <c r="Q4" i="196"/>
  <c r="M4" i="310"/>
  <c r="M4" i="309"/>
  <c r="M4" i="231"/>
  <c r="M4" i="311"/>
  <c r="M4" i="233"/>
  <c r="M4" i="232"/>
  <c r="V4" i="308"/>
  <c r="V4" i="230"/>
  <c r="V4" i="306"/>
  <c r="V4" i="307"/>
  <c r="V4" i="228"/>
  <c r="V4" i="229"/>
  <c r="O3" i="310"/>
  <c r="O3" i="311"/>
  <c r="O3" i="309"/>
  <c r="O3" i="233"/>
  <c r="O3" i="231"/>
  <c r="O3" i="232"/>
  <c r="C2" i="195"/>
  <c r="C2" i="182"/>
  <c r="C2" i="194"/>
  <c r="N4" i="201"/>
  <c r="N4" i="184"/>
  <c r="N4" i="200"/>
  <c r="P2" i="194"/>
  <c r="P2" i="195"/>
  <c r="P2" i="182"/>
  <c r="V4" i="183"/>
  <c r="V4" i="197"/>
  <c r="V4" i="196"/>
  <c r="U2" i="201"/>
  <c r="U2" i="184"/>
  <c r="U2" i="200"/>
  <c r="O4" i="185"/>
  <c r="O4" i="203"/>
  <c r="O4" i="202"/>
  <c r="O3" i="194"/>
  <c r="O3" i="195"/>
  <c r="O3" i="182"/>
  <c r="N4" i="195"/>
  <c r="N4" i="182"/>
  <c r="N4" i="194"/>
  <c r="X3" i="308"/>
  <c r="X3" i="307"/>
  <c r="X3" i="230"/>
  <c r="X3" i="306"/>
  <c r="X3" i="228"/>
  <c r="X3" i="229"/>
  <c r="B4" i="302"/>
  <c r="B4" i="301"/>
  <c r="B4" i="222"/>
  <c r="B4" i="223"/>
  <c r="B4" i="224"/>
  <c r="B4" i="300"/>
  <c r="P2" i="223"/>
  <c r="P2" i="222"/>
  <c r="P2" i="302"/>
  <c r="P2" i="300"/>
  <c r="P2" i="224"/>
  <c r="P2" i="301"/>
  <c r="B3" i="232"/>
  <c r="B3" i="309"/>
  <c r="B3" i="231"/>
  <c r="B3" i="310"/>
  <c r="B3" i="311"/>
  <c r="B3" i="233"/>
  <c r="X4" i="299"/>
  <c r="X4" i="298"/>
  <c r="X4" i="297"/>
  <c r="X4" i="219"/>
  <c r="X4" i="220"/>
  <c r="X4" i="221"/>
  <c r="W3" i="224"/>
  <c r="W3" i="223"/>
  <c r="W3" i="222"/>
  <c r="W3" i="301"/>
  <c r="W3" i="302"/>
  <c r="W3" i="300"/>
  <c r="M3" i="223"/>
  <c r="M3" i="224"/>
  <c r="M3" i="222"/>
  <c r="M3" i="302"/>
  <c r="M3" i="301"/>
  <c r="M3" i="300"/>
  <c r="X3" i="200"/>
  <c r="X3" i="201"/>
  <c r="X3" i="184"/>
  <c r="N2" i="197"/>
  <c r="N2" i="183"/>
  <c r="N2" i="196"/>
  <c r="Y3" i="185"/>
  <c r="Y3" i="203"/>
  <c r="Y3" i="202"/>
  <c r="W3" i="185"/>
  <c r="W3" i="202"/>
  <c r="W3" i="203"/>
  <c r="C4" i="196"/>
  <c r="C4" i="197"/>
  <c r="C4" i="183"/>
  <c r="H4" i="184"/>
  <c r="H4" i="201"/>
  <c r="H4" i="200"/>
  <c r="O4" i="184"/>
  <c r="O4" i="200"/>
  <c r="O4" i="201"/>
  <c r="R2" i="197"/>
  <c r="R2" i="196"/>
  <c r="R2" i="183"/>
  <c r="H4" i="197"/>
  <c r="H4" i="183"/>
  <c r="H4" i="196"/>
  <c r="S3" i="196"/>
  <c r="S3" i="183"/>
  <c r="S3" i="197"/>
  <c r="F4" i="195"/>
  <c r="F4" i="194"/>
  <c r="F4" i="182"/>
  <c r="I4" i="183"/>
  <c r="I4" i="196"/>
  <c r="I4" i="197"/>
  <c r="C2" i="197"/>
  <c r="C2" i="196"/>
  <c r="C2" i="183"/>
  <c r="Q4" i="185"/>
  <c r="Q4" i="203"/>
  <c r="Q4" i="202"/>
  <c r="U2" i="194"/>
  <c r="U2" i="182"/>
  <c r="U2" i="195"/>
  <c r="T3" i="182"/>
  <c r="T3" i="194"/>
  <c r="T3" i="195"/>
  <c r="L2" i="195"/>
  <c r="L2" i="182"/>
  <c r="L2" i="194"/>
  <c r="J2" i="196"/>
  <c r="J2" i="197"/>
  <c r="J2" i="183"/>
  <c r="U2" i="307"/>
  <c r="U2" i="308"/>
  <c r="U2" i="306"/>
  <c r="U2" i="229"/>
  <c r="U2" i="230"/>
  <c r="U2" i="228"/>
  <c r="B2" i="311"/>
  <c r="B2" i="232"/>
  <c r="B2" i="310"/>
  <c r="B2" i="309"/>
  <c r="B2" i="231"/>
  <c r="B2" i="233"/>
  <c r="H4" i="300"/>
  <c r="H4" i="301"/>
  <c r="H4" i="302"/>
  <c r="H4" i="224"/>
  <c r="H4" i="222"/>
  <c r="H4" i="223"/>
  <c r="D2" i="228"/>
  <c r="D2" i="229"/>
  <c r="D2" i="307"/>
  <c r="D2" i="308"/>
  <c r="D2" i="230"/>
  <c r="D2" i="306"/>
  <c r="L4" i="310"/>
  <c r="L4" i="309"/>
  <c r="L4" i="311"/>
  <c r="L4" i="233"/>
  <c r="L4" i="232"/>
  <c r="L4" i="231"/>
  <c r="B3" i="299"/>
  <c r="B3" i="298"/>
  <c r="B3" i="297"/>
  <c r="B3" i="221"/>
  <c r="B3" i="219"/>
  <c r="B3" i="220"/>
  <c r="U2" i="222"/>
  <c r="U2" i="300"/>
  <c r="U2" i="223"/>
  <c r="U2" i="302"/>
  <c r="U2" i="301"/>
  <c r="U2" i="224"/>
  <c r="F4" i="232"/>
  <c r="F4" i="309"/>
  <c r="F4" i="233"/>
  <c r="F4" i="311"/>
  <c r="F4" i="310"/>
  <c r="F4" i="231"/>
  <c r="K3" i="306"/>
  <c r="K3" i="308"/>
  <c r="K3" i="230"/>
  <c r="K3" i="229"/>
  <c r="K3" i="228"/>
  <c r="K3" i="307"/>
  <c r="R4" i="306"/>
  <c r="R4" i="229"/>
  <c r="R4" i="308"/>
  <c r="R4" i="307"/>
  <c r="R4" i="228"/>
  <c r="R4" i="230"/>
  <c r="I3" i="310"/>
  <c r="I3" i="309"/>
  <c r="I3" i="311"/>
  <c r="I3" i="231"/>
  <c r="I3" i="232"/>
  <c r="I3" i="233"/>
  <c r="C3" i="306"/>
  <c r="C3" i="307"/>
  <c r="C3" i="228"/>
  <c r="C3" i="230"/>
  <c r="C3" i="229"/>
  <c r="C3" i="308"/>
  <c r="P2" i="306"/>
  <c r="P2" i="230"/>
  <c r="P2" i="229"/>
  <c r="P2" i="307"/>
  <c r="P2" i="228"/>
  <c r="P2" i="308"/>
  <c r="O2" i="301"/>
  <c r="O2" i="302"/>
  <c r="O2" i="300"/>
  <c r="O2" i="223"/>
  <c r="O2" i="224"/>
  <c r="O2" i="222"/>
  <c r="K4" i="231"/>
  <c r="K4" i="310"/>
  <c r="K4" i="311"/>
  <c r="K4" i="309"/>
  <c r="K4" i="233"/>
  <c r="K4" i="232"/>
  <c r="M3" i="221"/>
  <c r="M3" i="219"/>
  <c r="M3" i="220"/>
  <c r="M3" i="298"/>
  <c r="M3" i="297"/>
  <c r="M3" i="299"/>
  <c r="X4" i="306"/>
  <c r="X4" i="308"/>
  <c r="X4" i="229"/>
  <c r="X4" i="307"/>
  <c r="X4" i="228"/>
  <c r="X4" i="230"/>
  <c r="S4" i="307"/>
  <c r="S4" i="308"/>
  <c r="S4" i="306"/>
  <c r="S4" i="229"/>
  <c r="S4" i="228"/>
  <c r="S4" i="230"/>
  <c r="G4" i="184"/>
  <c r="G4" i="200"/>
  <c r="G4" i="201"/>
  <c r="M3" i="194"/>
  <c r="M3" i="182"/>
  <c r="M3" i="195"/>
  <c r="S3" i="220"/>
  <c r="S3" i="221"/>
  <c r="S3" i="299"/>
  <c r="S3" i="297"/>
  <c r="S3" i="298"/>
  <c r="S3" i="219"/>
  <c r="M4" i="202"/>
  <c r="M4" i="203"/>
  <c r="M4" i="185"/>
  <c r="I3" i="197"/>
  <c r="I3" i="196"/>
  <c r="I3" i="183"/>
  <c r="E2" i="203"/>
  <c r="E2" i="185"/>
  <c r="E2" i="202"/>
  <c r="B2" i="194"/>
  <c r="B2" i="182"/>
  <c r="B2" i="195"/>
  <c r="J2" i="221"/>
  <c r="J2" i="219"/>
  <c r="J2" i="220"/>
  <c r="J2" i="299"/>
  <c r="J2" i="297"/>
  <c r="J2" i="298"/>
  <c r="N2" i="302"/>
  <c r="N2" i="300"/>
  <c r="N2" i="222"/>
  <c r="N2" i="223"/>
  <c r="N2" i="301"/>
  <c r="N2" i="224"/>
  <c r="M2" i="300"/>
  <c r="M2" i="224"/>
  <c r="M2" i="223"/>
  <c r="M2" i="302"/>
  <c r="M2" i="222"/>
  <c r="M2" i="301"/>
  <c r="R2" i="222"/>
  <c r="R2" i="302"/>
  <c r="R2" i="223"/>
  <c r="R2" i="300"/>
  <c r="R2" i="301"/>
  <c r="R2" i="224"/>
  <c r="X2" i="230"/>
  <c r="X2" i="228"/>
  <c r="X2" i="229"/>
  <c r="X2" i="306"/>
  <c r="X2" i="307"/>
  <c r="X2" i="308"/>
  <c r="R2" i="307"/>
  <c r="R2" i="308"/>
  <c r="R2" i="228"/>
  <c r="R2" i="229"/>
  <c r="R2" i="306"/>
  <c r="R2" i="230"/>
  <c r="G2" i="197"/>
  <c r="G2" i="183"/>
  <c r="G2" i="196"/>
  <c r="J2" i="200"/>
  <c r="J2" i="184"/>
  <c r="J2" i="201"/>
  <c r="P2" i="202"/>
  <c r="P2" i="203"/>
  <c r="P2" i="185"/>
  <c r="Q3" i="203"/>
  <c r="Q3" i="185"/>
  <c r="Q3" i="202"/>
  <c r="G3" i="311"/>
  <c r="G3" i="309"/>
  <c r="G3" i="310"/>
  <c r="G3" i="233"/>
  <c r="G3" i="231"/>
  <c r="G3" i="232"/>
  <c r="H4" i="307"/>
  <c r="H4" i="306"/>
  <c r="H4" i="229"/>
  <c r="H4" i="308"/>
  <c r="H4" i="228"/>
  <c r="H4" i="230"/>
  <c r="J3" i="306"/>
  <c r="J3" i="307"/>
  <c r="J3" i="308"/>
  <c r="J3" i="230"/>
  <c r="J3" i="228"/>
  <c r="J3" i="229"/>
  <c r="K2" i="182"/>
  <c r="K2" i="195"/>
  <c r="K2" i="194"/>
  <c r="X4" i="202"/>
  <c r="X4" i="185"/>
  <c r="X4" i="203"/>
  <c r="T4" i="184"/>
  <c r="T4" i="200"/>
  <c r="T4" i="201"/>
  <c r="N4" i="183"/>
  <c r="N4" i="196"/>
  <c r="N4" i="197"/>
  <c r="O3" i="203"/>
  <c r="O3" i="185"/>
  <c r="O3" i="202"/>
  <c r="I3" i="195"/>
  <c r="I3" i="182"/>
  <c r="I3" i="194"/>
  <c r="H2" i="299"/>
  <c r="H2" i="298"/>
  <c r="H2" i="297"/>
  <c r="H2" i="220"/>
  <c r="H2" i="221"/>
  <c r="H2" i="219"/>
  <c r="V3" i="309"/>
  <c r="V3" i="310"/>
  <c r="V3" i="231"/>
  <c r="V3" i="232"/>
  <c r="V3" i="233"/>
  <c r="V3" i="311"/>
  <c r="O2" i="195"/>
  <c r="O2" i="182"/>
  <c r="O2" i="194"/>
  <c r="C3" i="185"/>
  <c r="C3" i="203"/>
  <c r="C3" i="202"/>
  <c r="W3" i="196"/>
  <c r="W3" i="183"/>
  <c r="W3" i="197"/>
  <c r="D4" i="184"/>
  <c r="D4" i="201"/>
  <c r="D4" i="200"/>
  <c r="O3" i="201"/>
  <c r="O3" i="184"/>
  <c r="O3" i="200"/>
  <c r="D2" i="197"/>
  <c r="D2" i="183"/>
  <c r="D2" i="196"/>
  <c r="M4" i="194"/>
  <c r="M4" i="182"/>
  <c r="M4" i="195"/>
  <c r="B3" i="228"/>
  <c r="B3" i="230"/>
  <c r="B3" i="229"/>
  <c r="B3" i="307"/>
  <c r="B3" i="306"/>
  <c r="B3" i="308"/>
  <c r="G3" i="300"/>
  <c r="G3" i="302"/>
  <c r="G3" i="223"/>
  <c r="G3" i="224"/>
  <c r="G3" i="301"/>
  <c r="G3" i="222"/>
  <c r="L3" i="297"/>
  <c r="L3" i="219"/>
  <c r="L3" i="221"/>
  <c r="L3" i="220"/>
  <c r="L3" i="299"/>
  <c r="L3" i="298"/>
  <c r="V4" i="222"/>
  <c r="V4" i="300"/>
  <c r="V4" i="302"/>
  <c r="V4" i="224"/>
  <c r="V4" i="223"/>
  <c r="V4" i="301"/>
  <c r="N3" i="231"/>
  <c r="N3" i="233"/>
  <c r="N3" i="232"/>
  <c r="N3" i="309"/>
  <c r="N3" i="310"/>
  <c r="N3" i="311"/>
  <c r="H3" i="297"/>
  <c r="H3" i="219"/>
  <c r="H3" i="220"/>
  <c r="H3" i="221"/>
  <c r="H3" i="299"/>
  <c r="H3" i="298"/>
  <c r="L4" i="306"/>
  <c r="L4" i="307"/>
  <c r="L4" i="308"/>
  <c r="L4" i="228"/>
  <c r="L4" i="229"/>
  <c r="L4" i="230"/>
  <c r="O2" i="309"/>
  <c r="O2" i="310"/>
  <c r="O2" i="311"/>
  <c r="O2" i="232"/>
  <c r="O2" i="233"/>
  <c r="O2" i="231"/>
  <c r="W4" i="302"/>
  <c r="W4" i="300"/>
  <c r="W4" i="224"/>
  <c r="W4" i="223"/>
  <c r="W4" i="222"/>
  <c r="W4" i="301"/>
  <c r="V4" i="232"/>
  <c r="V4" i="311"/>
  <c r="V4" i="309"/>
  <c r="V4" i="233"/>
  <c r="V4" i="231"/>
  <c r="V4" i="310"/>
  <c r="I3" i="302"/>
  <c r="I3" i="300"/>
  <c r="I3" i="301"/>
  <c r="I3" i="224"/>
  <c r="I3" i="222"/>
  <c r="I3" i="223"/>
  <c r="J2" i="311"/>
  <c r="J2" i="310"/>
  <c r="J2" i="309"/>
  <c r="J2" i="232"/>
  <c r="J2" i="233"/>
  <c r="J2" i="231"/>
  <c r="V2" i="306"/>
  <c r="V2" i="308"/>
  <c r="V2" i="228"/>
  <c r="V2" i="229"/>
  <c r="V2" i="230"/>
  <c r="V2" i="307"/>
  <c r="K2" i="223"/>
  <c r="K2" i="302"/>
  <c r="K2" i="301"/>
  <c r="K2" i="300"/>
  <c r="K2" i="222"/>
  <c r="K2" i="224"/>
  <c r="F2" i="309"/>
  <c r="F2" i="310"/>
  <c r="F2" i="311"/>
  <c r="F2" i="233"/>
  <c r="F2" i="231"/>
  <c r="F2" i="232"/>
  <c r="E2" i="307"/>
  <c r="E2" i="306"/>
  <c r="E2" i="230"/>
  <c r="E2" i="228"/>
  <c r="E2" i="229"/>
  <c r="E2" i="308"/>
  <c r="T4" i="228"/>
  <c r="T4" i="229"/>
  <c r="T4" i="308"/>
  <c r="T4" i="307"/>
  <c r="T4" i="306"/>
  <c r="T4" i="230"/>
  <c r="S3" i="228"/>
  <c r="S3" i="307"/>
  <c r="S3" i="306"/>
  <c r="S3" i="308"/>
  <c r="S3" i="230"/>
  <c r="S3" i="229"/>
  <c r="K2" i="201"/>
  <c r="K2" i="184"/>
  <c r="K2" i="200"/>
  <c r="S2" i="197"/>
  <c r="S2" i="196"/>
  <c r="S2" i="183"/>
  <c r="K2" i="310"/>
  <c r="K2" i="311"/>
  <c r="K2" i="309"/>
  <c r="K2" i="233"/>
  <c r="K2" i="231"/>
  <c r="K2" i="232"/>
  <c r="C2" i="202"/>
  <c r="C2" i="185"/>
  <c r="C2" i="203"/>
  <c r="L3" i="194"/>
  <c r="L3" i="182"/>
  <c r="L3" i="195"/>
  <c r="V3" i="194"/>
  <c r="V3" i="195"/>
  <c r="V3" i="182"/>
  <c r="S3" i="200"/>
  <c r="S3" i="201"/>
  <c r="S3" i="184"/>
  <c r="U3" i="200"/>
  <c r="U3" i="184"/>
  <c r="U3" i="201"/>
  <c r="B4" i="202"/>
  <c r="B4" i="185"/>
  <c r="B4" i="203"/>
  <c r="K3" i="301"/>
  <c r="K3" i="300"/>
  <c r="K3" i="224"/>
  <c r="K3" i="222"/>
  <c r="K3" i="223"/>
  <c r="K3" i="302"/>
  <c r="L2" i="299"/>
  <c r="L2" i="297"/>
  <c r="L2" i="221"/>
  <c r="L2" i="298"/>
  <c r="L2" i="220"/>
  <c r="L2" i="219"/>
  <c r="G2" i="182"/>
  <c r="G2" i="194"/>
  <c r="G2" i="195"/>
  <c r="C4" i="200"/>
  <c r="C4" i="201"/>
  <c r="C4" i="184"/>
  <c r="J4" i="183"/>
  <c r="J4" i="197"/>
  <c r="J4" i="196"/>
  <c r="H3" i="310"/>
  <c r="H3" i="309"/>
  <c r="H3" i="232"/>
  <c r="H3" i="311"/>
  <c r="H3" i="233"/>
  <c r="H3" i="231"/>
  <c r="W3" i="298"/>
  <c r="W3" i="221"/>
  <c r="W3" i="219"/>
  <c r="W3" i="297"/>
  <c r="W3" i="299"/>
  <c r="W3" i="220"/>
  <c r="J4" i="299"/>
  <c r="J4" i="219"/>
  <c r="J4" i="298"/>
  <c r="J4" i="297"/>
  <c r="J4" i="220"/>
  <c r="J4" i="221"/>
  <c r="U4" i="306"/>
  <c r="U4" i="229"/>
  <c r="U4" i="230"/>
  <c r="U4" i="308"/>
  <c r="U4" i="307"/>
  <c r="U4" i="228"/>
  <c r="R2" i="219"/>
  <c r="R2" i="220"/>
  <c r="R2" i="298"/>
  <c r="R2" i="297"/>
  <c r="R2" i="221"/>
  <c r="R2" i="299"/>
  <c r="S4" i="203"/>
  <c r="S4" i="185"/>
  <c r="S4" i="202"/>
  <c r="P3" i="203"/>
  <c r="P3" i="202"/>
  <c r="P3" i="185"/>
  <c r="J3" i="201"/>
  <c r="J3" i="184"/>
  <c r="J3" i="200"/>
  <c r="E3" i="182"/>
  <c r="E3" i="194"/>
  <c r="E3" i="195"/>
  <c r="F3" i="302"/>
  <c r="F3" i="300"/>
  <c r="F3" i="301"/>
  <c r="F3" i="222"/>
  <c r="F3" i="223"/>
  <c r="F3" i="224"/>
  <c r="I3" i="202"/>
  <c r="I3" i="185"/>
  <c r="I3" i="203"/>
  <c r="T2" i="184"/>
  <c r="T2" i="201"/>
  <c r="T2" i="200"/>
  <c r="Y4" i="203"/>
  <c r="Y4" i="202"/>
  <c r="Y4" i="185"/>
  <c r="P3" i="194"/>
  <c r="P3" i="195"/>
  <c r="P3" i="182"/>
  <c r="C3" i="182"/>
  <c r="C3" i="194"/>
  <c r="C3" i="195"/>
  <c r="P4" i="201"/>
  <c r="P4" i="184"/>
  <c r="P4" i="200"/>
  <c r="X2" i="185"/>
  <c r="X2" i="203"/>
  <c r="X2" i="202"/>
  <c r="G2" i="201"/>
  <c r="G2" i="200"/>
  <c r="G2" i="184"/>
  <c r="J3" i="196"/>
  <c r="J3" i="183"/>
  <c r="J3" i="197"/>
  <c r="V3" i="196"/>
  <c r="V3" i="197"/>
  <c r="V3" i="183"/>
  <c r="E2" i="182"/>
  <c r="E2" i="195"/>
  <c r="E2" i="194"/>
  <c r="S2" i="300"/>
  <c r="S2" i="302"/>
  <c r="S2" i="224"/>
  <c r="S2" i="222"/>
  <c r="S2" i="223"/>
  <c r="S2" i="301"/>
  <c r="B2" i="297"/>
  <c r="B2" i="220"/>
  <c r="B2" i="219"/>
  <c r="B2" i="221"/>
  <c r="B2" i="299"/>
  <c r="B2" i="298"/>
  <c r="Q4" i="310"/>
  <c r="Q4" i="311"/>
  <c r="Q4" i="309"/>
  <c r="Q4" i="232"/>
  <c r="Q4" i="233"/>
  <c r="Q4" i="231"/>
  <c r="X2" i="309"/>
  <c r="X2" i="310"/>
  <c r="X2" i="311"/>
  <c r="X2" i="232"/>
  <c r="X2" i="233"/>
  <c r="X2" i="231"/>
  <c r="K2" i="306"/>
  <c r="K2" i="307"/>
  <c r="K2" i="308"/>
  <c r="K2" i="230"/>
  <c r="K2" i="228"/>
  <c r="K2" i="229"/>
  <c r="P3" i="309"/>
  <c r="P3" i="310"/>
  <c r="P3" i="231"/>
  <c r="P3" i="232"/>
  <c r="P3" i="233"/>
  <c r="P3" i="311"/>
  <c r="N2" i="308"/>
  <c r="N2" i="307"/>
  <c r="N2" i="306"/>
  <c r="N2" i="230"/>
  <c r="N2" i="228"/>
  <c r="N2" i="229"/>
  <c r="D4" i="307"/>
  <c r="D4" i="306"/>
  <c r="D4" i="308"/>
  <c r="D4" i="229"/>
  <c r="D4" i="230"/>
  <c r="D4" i="228"/>
  <c r="R3" i="201"/>
  <c r="R3" i="200"/>
  <c r="R3" i="184"/>
  <c r="B3" i="194"/>
  <c r="B3" i="195"/>
  <c r="B3" i="182"/>
  <c r="E3" i="222"/>
  <c r="E3" i="223"/>
  <c r="E3" i="300"/>
  <c r="E3" i="302"/>
  <c r="E3" i="301"/>
  <c r="E3" i="224"/>
  <c r="M2" i="197"/>
  <c r="M2" i="196"/>
  <c r="M2" i="183"/>
  <c r="Q4" i="297"/>
  <c r="Q4" i="299"/>
  <c r="Q4" i="221"/>
  <c r="Q4" i="298"/>
  <c r="Q4" i="219"/>
  <c r="Q4" i="220"/>
  <c r="K3" i="182"/>
  <c r="K3" i="194"/>
  <c r="K3" i="195"/>
  <c r="R3" i="302"/>
  <c r="R3" i="224"/>
  <c r="R3" i="222"/>
  <c r="R3" i="301"/>
  <c r="R3" i="300"/>
  <c r="R3" i="223"/>
  <c r="E3" i="310"/>
  <c r="E3" i="232"/>
  <c r="E3" i="311"/>
  <c r="E3" i="309"/>
  <c r="E3" i="233"/>
  <c r="E3" i="231"/>
  <c r="R4" i="182"/>
  <c r="R4" i="195"/>
  <c r="R4" i="194"/>
  <c r="W4" i="183"/>
  <c r="W4" i="197"/>
  <c r="W4" i="196"/>
  <c r="E2" i="201"/>
  <c r="E2" i="184"/>
  <c r="E2" i="200"/>
  <c r="U2" i="203"/>
  <c r="U2" i="185"/>
  <c r="U2" i="202"/>
  <c r="N4" i="203"/>
  <c r="N4" i="202"/>
  <c r="N4" i="185"/>
  <c r="H2" i="202"/>
  <c r="H2" i="203"/>
  <c r="H2" i="185"/>
  <c r="H4" i="203"/>
  <c r="H4" i="202"/>
  <c r="H4" i="185"/>
  <c r="D2" i="194"/>
  <c r="D2" i="195"/>
  <c r="D2" i="182"/>
  <c r="E3" i="196"/>
  <c r="E3" i="197"/>
  <c r="E3" i="183"/>
  <c r="P3" i="197"/>
  <c r="P3" i="183"/>
  <c r="P3" i="196"/>
  <c r="P4" i="231"/>
  <c r="P4" i="311"/>
  <c r="P4" i="309"/>
  <c r="P4" i="232"/>
  <c r="P4" i="233"/>
  <c r="P4" i="310"/>
  <c r="Y4" i="184"/>
  <c r="Y4" i="201"/>
  <c r="Y4" i="200"/>
  <c r="F4" i="201"/>
  <c r="F4" i="184"/>
  <c r="F4" i="200"/>
  <c r="B4" i="183"/>
  <c r="B4" i="196"/>
  <c r="B4" i="197"/>
  <c r="U4" i="202"/>
  <c r="U4" i="203"/>
  <c r="U4" i="185"/>
  <c r="T3" i="184"/>
  <c r="T3" i="201"/>
  <c r="T3" i="200"/>
  <c r="M3" i="183"/>
  <c r="M3" i="197"/>
  <c r="M3" i="196"/>
  <c r="Q3" i="184"/>
  <c r="Q3" i="201"/>
  <c r="Q3" i="200"/>
  <c r="P4" i="182"/>
  <c r="P4" i="195"/>
  <c r="P4" i="194"/>
  <c r="O4" i="194"/>
  <c r="O4" i="195"/>
  <c r="O4" i="182"/>
  <c r="S2" i="203"/>
  <c r="S2" i="185"/>
  <c r="S2" i="202"/>
  <c r="Y2" i="220"/>
  <c r="Y2" i="221"/>
  <c r="Y2" i="219"/>
  <c r="Y2" i="299"/>
  <c r="Y2" i="297"/>
  <c r="Y2" i="298"/>
  <c r="S4" i="311"/>
  <c r="S4" i="310"/>
  <c r="S4" i="309"/>
  <c r="S4" i="231"/>
  <c r="S4" i="232"/>
  <c r="S4" i="233"/>
  <c r="O3" i="222"/>
  <c r="O3" i="300"/>
  <c r="O3" i="301"/>
  <c r="O3" i="224"/>
  <c r="O3" i="223"/>
  <c r="O3" i="302"/>
  <c r="T3" i="230"/>
  <c r="T3" i="228"/>
  <c r="T3" i="307"/>
  <c r="T3" i="308"/>
  <c r="T3" i="306"/>
  <c r="T3" i="229"/>
  <c r="C3" i="184"/>
  <c r="C3" i="201"/>
  <c r="C3" i="200"/>
  <c r="J4" i="182"/>
  <c r="J4" i="194"/>
  <c r="J4" i="195"/>
  <c r="U4" i="195"/>
  <c r="U4" i="194"/>
  <c r="U4" i="182"/>
  <c r="I4" i="185"/>
  <c r="I4" i="203"/>
  <c r="I4" i="202"/>
  <c r="E3" i="184"/>
  <c r="E3" i="200"/>
  <c r="E3" i="201"/>
  <c r="M3" i="203"/>
  <c r="M3" i="185"/>
  <c r="M3" i="202"/>
  <c r="V4" i="203"/>
  <c r="V4" i="202"/>
  <c r="V4" i="185"/>
  <c r="J4" i="203"/>
  <c r="J4" i="202"/>
  <c r="J4" i="185"/>
  <c r="C4" i="301"/>
  <c r="C4" i="302"/>
  <c r="C4" i="300"/>
  <c r="C4" i="222"/>
  <c r="C4" i="224"/>
  <c r="C4" i="223"/>
  <c r="M3" i="306"/>
  <c r="M3" i="307"/>
  <c r="M3" i="230"/>
  <c r="M3" i="228"/>
  <c r="M3" i="229"/>
  <c r="M3" i="308"/>
  <c r="J2" i="222"/>
  <c r="J2" i="300"/>
  <c r="J2" i="302"/>
  <c r="J2" i="301"/>
  <c r="J2" i="224"/>
  <c r="J2" i="223"/>
  <c r="U3" i="232"/>
  <c r="U3" i="311"/>
  <c r="U3" i="309"/>
  <c r="U3" i="310"/>
  <c r="U3" i="231"/>
  <c r="U3" i="233"/>
  <c r="Q3" i="311"/>
  <c r="Q3" i="310"/>
  <c r="Q3" i="233"/>
  <c r="Q3" i="231"/>
  <c r="Q3" i="232"/>
  <c r="Q3" i="309"/>
  <c r="D3" i="231"/>
  <c r="D3" i="232"/>
  <c r="D3" i="311"/>
  <c r="D3" i="309"/>
  <c r="D3" i="310"/>
  <c r="D3" i="233"/>
  <c r="L3" i="230"/>
  <c r="L3" i="306"/>
  <c r="L3" i="308"/>
  <c r="L3" i="307"/>
  <c r="L3" i="228"/>
  <c r="L3" i="229"/>
  <c r="V4" i="297"/>
  <c r="V4" i="298"/>
  <c r="V4" i="220"/>
  <c r="V4" i="219"/>
  <c r="V4" i="221"/>
  <c r="V4" i="299"/>
  <c r="O2" i="230"/>
  <c r="O2" i="228"/>
  <c r="O2" i="229"/>
  <c r="O2" i="308"/>
  <c r="O2" i="306"/>
  <c r="O2" i="307"/>
  <c r="S2" i="298"/>
  <c r="S2" i="297"/>
  <c r="S2" i="299"/>
  <c r="S2" i="221"/>
  <c r="S2" i="219"/>
  <c r="S2" i="220"/>
  <c r="B3" i="302"/>
  <c r="B3" i="301"/>
  <c r="B3" i="300"/>
  <c r="B3" i="224"/>
  <c r="B3" i="222"/>
  <c r="B3" i="223"/>
  <c r="T3" i="233"/>
  <c r="T3" i="309"/>
  <c r="T3" i="231"/>
  <c r="T3" i="232"/>
  <c r="T3" i="311"/>
  <c r="T3" i="310"/>
  <c r="C4" i="298"/>
  <c r="C4" i="299"/>
  <c r="C4" i="297"/>
  <c r="C4" i="220"/>
  <c r="C4" i="219"/>
  <c r="C4" i="221"/>
  <c r="J2" i="307"/>
  <c r="J2" i="306"/>
  <c r="J2" i="308"/>
  <c r="J2" i="230"/>
  <c r="J2" i="228"/>
  <c r="J2" i="229"/>
  <c r="F2" i="223"/>
  <c r="F2" i="300"/>
  <c r="F2" i="302"/>
  <c r="F2" i="224"/>
  <c r="F2" i="222"/>
  <c r="F2" i="301"/>
  <c r="B4" i="308"/>
  <c r="B4" i="306"/>
  <c r="B4" i="307"/>
  <c r="B4" i="230"/>
  <c r="B4" i="228"/>
  <c r="B4" i="229"/>
  <c r="C4" i="310"/>
  <c r="C4" i="311"/>
  <c r="C4" i="309"/>
  <c r="C4" i="233"/>
  <c r="C4" i="231"/>
  <c r="C4" i="232"/>
  <c r="H2" i="194"/>
  <c r="H2" i="182"/>
  <c r="H2" i="195"/>
  <c r="P2" i="298"/>
  <c r="P2" i="297"/>
  <c r="P2" i="299"/>
  <c r="P2" i="221"/>
  <c r="P2" i="219"/>
  <c r="P2" i="220"/>
  <c r="W2" i="196"/>
  <c r="W2" i="197"/>
  <c r="W2" i="183"/>
  <c r="I2" i="184"/>
  <c r="I2" i="200"/>
  <c r="I2" i="201"/>
  <c r="V4" i="182"/>
  <c r="V4" i="195"/>
  <c r="V4" i="194"/>
  <c r="Y2" i="194"/>
  <c r="Y2" i="182"/>
  <c r="Y2" i="195"/>
  <c r="S4" i="200"/>
  <c r="S4" i="201"/>
  <c r="S4" i="184"/>
  <c r="Q2" i="203"/>
  <c r="Q2" i="185"/>
  <c r="Q2" i="202"/>
  <c r="U4" i="200"/>
  <c r="U4" i="201"/>
  <c r="U4" i="184"/>
  <c r="E3" i="229"/>
  <c r="E3" i="308"/>
  <c r="E3" i="306"/>
  <c r="E3" i="307"/>
  <c r="E3" i="228"/>
  <c r="E3" i="230"/>
  <c r="D4" i="309"/>
  <c r="D4" i="311"/>
  <c r="D4" i="310"/>
  <c r="D4" i="231"/>
  <c r="D4" i="232"/>
  <c r="D4" i="233"/>
  <c r="B4" i="311"/>
  <c r="B4" i="309"/>
  <c r="B4" i="233"/>
  <c r="B4" i="231"/>
  <c r="B4" i="232"/>
  <c r="B4" i="310"/>
  <c r="D2" i="220"/>
  <c r="D2" i="298"/>
  <c r="D2" i="297"/>
  <c r="D2" i="221"/>
  <c r="D2" i="219"/>
  <c r="D2" i="299"/>
  <c r="V3" i="200"/>
  <c r="V3" i="184"/>
  <c r="V3" i="201"/>
  <c r="E2" i="196"/>
  <c r="E2" i="197"/>
  <c r="E2" i="183"/>
  <c r="X2" i="195"/>
  <c r="X2" i="182"/>
  <c r="X2" i="194"/>
  <c r="H3" i="184"/>
  <c r="H3" i="200"/>
  <c r="H3" i="201"/>
  <c r="O3" i="197"/>
  <c r="O3" i="183"/>
  <c r="O3" i="196"/>
  <c r="E3" i="185"/>
  <c r="E3" i="203"/>
  <c r="E3" i="202"/>
  <c r="T2" i="182"/>
  <c r="T2" i="195"/>
  <c r="T2" i="194"/>
  <c r="V3" i="301"/>
  <c r="V3" i="302"/>
  <c r="V3" i="300"/>
  <c r="V3" i="224"/>
  <c r="V3" i="223"/>
  <c r="V3" i="222"/>
  <c r="F3" i="297"/>
  <c r="F3" i="298"/>
  <c r="F3" i="299"/>
  <c r="F3" i="221"/>
  <c r="F3" i="219"/>
  <c r="F3" i="220"/>
  <c r="Y4" i="311"/>
  <c r="Y4" i="309"/>
  <c r="Y4" i="310"/>
  <c r="Y4" i="232"/>
  <c r="Y4" i="233"/>
  <c r="Y4" i="231"/>
  <c r="D4" i="297"/>
  <c r="D4" i="298"/>
  <c r="D4" i="299"/>
  <c r="D4" i="220"/>
  <c r="D4" i="221"/>
  <c r="D4" i="219"/>
  <c r="Y2" i="301"/>
  <c r="Y2" i="302"/>
  <c r="Y2" i="224"/>
  <c r="Y2" i="223"/>
  <c r="Y2" i="222"/>
  <c r="Y2" i="300"/>
  <c r="B4" i="200"/>
  <c r="B4" i="201"/>
  <c r="B4" i="184"/>
  <c r="V2" i="183"/>
  <c r="V2" i="196"/>
  <c r="V2" i="197"/>
  <c r="G3" i="185"/>
  <c r="G3" i="202"/>
  <c r="G3" i="203"/>
  <c r="J3" i="203"/>
  <c r="J3" i="202"/>
  <c r="J3" i="185"/>
  <c r="C2" i="302"/>
  <c r="C2" i="301"/>
  <c r="C2" i="300"/>
  <c r="C2" i="224"/>
  <c r="C2" i="223"/>
  <c r="C2" i="222"/>
  <c r="L3" i="196"/>
  <c r="L3" i="197"/>
  <c r="L3" i="183"/>
  <c r="N2" i="195"/>
  <c r="N2" i="194"/>
  <c r="N2" i="182"/>
  <c r="I4" i="184"/>
  <c r="I4" i="201"/>
  <c r="I4" i="200"/>
  <c r="W3" i="184"/>
  <c r="W3" i="201"/>
  <c r="W3" i="200"/>
  <c r="F3" i="194"/>
  <c r="F3" i="182"/>
  <c r="F3" i="195"/>
  <c r="N3" i="194"/>
  <c r="N3" i="195"/>
  <c r="N3" i="182"/>
  <c r="K3" i="184"/>
  <c r="K3" i="200"/>
  <c r="K3" i="201"/>
  <c r="J2" i="194"/>
  <c r="J2" i="195"/>
  <c r="J2" i="182"/>
  <c r="L2" i="196"/>
  <c r="L2" i="197"/>
  <c r="L2" i="183"/>
  <c r="T2" i="196"/>
  <c r="T2" i="183"/>
  <c r="T2" i="197"/>
  <c r="T4" i="203"/>
  <c r="T4" i="202"/>
  <c r="T4" i="185"/>
  <c r="J2" i="202"/>
  <c r="J2" i="185"/>
  <c r="J2" i="203"/>
  <c r="F2" i="203"/>
  <c r="F2" i="185"/>
  <c r="F2" i="202"/>
  <c r="D3" i="203"/>
  <c r="D3" i="185"/>
  <c r="D3" i="202"/>
  <c r="X2" i="201"/>
  <c r="X2" i="200"/>
  <c r="X2" i="184"/>
  <c r="K4" i="202"/>
  <c r="K4" i="203"/>
  <c r="K4" i="185"/>
  <c r="E2" i="301"/>
  <c r="E2" i="222"/>
  <c r="E2" i="302"/>
  <c r="E2" i="224"/>
  <c r="E2" i="223"/>
  <c r="E2" i="300"/>
  <c r="L4" i="300"/>
  <c r="L4" i="222"/>
  <c r="L4" i="223"/>
  <c r="L4" i="302"/>
  <c r="L4" i="224"/>
  <c r="L4" i="301"/>
  <c r="J4" i="307"/>
  <c r="J4" i="308"/>
  <c r="J4" i="306"/>
  <c r="J4" i="230"/>
  <c r="J4" i="228"/>
  <c r="J4" i="229"/>
  <c r="P2" i="231"/>
  <c r="P2" i="232"/>
  <c r="P2" i="310"/>
  <c r="P2" i="311"/>
  <c r="P2" i="309"/>
  <c r="P2" i="233"/>
  <c r="L2" i="311"/>
  <c r="L2" i="309"/>
  <c r="L2" i="310"/>
  <c r="L2" i="233"/>
  <c r="L2" i="231"/>
  <c r="L2" i="232"/>
  <c r="K3" i="311"/>
  <c r="K3" i="233"/>
  <c r="K3" i="232"/>
  <c r="K3" i="309"/>
  <c r="K3" i="310"/>
  <c r="K3" i="231"/>
  <c r="G2" i="232"/>
  <c r="G2" i="311"/>
  <c r="G2" i="310"/>
  <c r="G2" i="233"/>
  <c r="G2" i="309"/>
  <c r="G2" i="231"/>
  <c r="Q4" i="308"/>
  <c r="Q4" i="306"/>
  <c r="Q4" i="230"/>
  <c r="Q4" i="228"/>
  <c r="Q4" i="229"/>
  <c r="Q4" i="307"/>
  <c r="G2" i="299"/>
  <c r="G2" i="220"/>
  <c r="G2" i="219"/>
  <c r="G2" i="297"/>
  <c r="G2" i="221"/>
  <c r="G2" i="298"/>
  <c r="S2" i="230"/>
  <c r="S2" i="228"/>
  <c r="S2" i="229"/>
  <c r="S2" i="306"/>
  <c r="S2" i="308"/>
  <c r="S2" i="307"/>
  <c r="M4" i="221"/>
  <c r="M4" i="219"/>
  <c r="M4" i="298"/>
  <c r="M4" i="299"/>
  <c r="M4" i="297"/>
  <c r="M4" i="220"/>
  <c r="X2" i="221"/>
  <c r="X2" i="299"/>
  <c r="X2" i="219"/>
  <c r="X2" i="297"/>
  <c r="X2" i="220"/>
  <c r="X2" i="298"/>
  <c r="E2" i="311"/>
  <c r="E2" i="233"/>
  <c r="E2" i="309"/>
  <c r="E2" i="231"/>
  <c r="E2" i="232"/>
  <c r="E2" i="310"/>
  <c r="R4" i="298"/>
  <c r="R4" i="219"/>
  <c r="R4" i="297"/>
  <c r="R4" i="299"/>
  <c r="R4" i="220"/>
  <c r="R4" i="221"/>
  <c r="P4" i="307"/>
  <c r="P4" i="228"/>
  <c r="P4" i="308"/>
  <c r="P4" i="306"/>
  <c r="P4" i="230"/>
  <c r="P4" i="229"/>
  <c r="U2" i="220"/>
  <c r="U2" i="297"/>
  <c r="U2" i="299"/>
  <c r="U2" i="298"/>
  <c r="U2" i="221"/>
  <c r="U2" i="219"/>
  <c r="T4" i="224"/>
  <c r="T4" i="300"/>
  <c r="T4" i="301"/>
  <c r="T4" i="302"/>
  <c r="T4" i="223"/>
  <c r="T4" i="222"/>
  <c r="O3" i="307"/>
  <c r="O3" i="230"/>
  <c r="O3" i="308"/>
  <c r="O3" i="228"/>
  <c r="O3" i="306"/>
  <c r="O3" i="229"/>
  <c r="W4" i="202"/>
  <c r="W4" i="185"/>
  <c r="W4" i="203"/>
  <c r="J3" i="182"/>
  <c r="J3" i="194"/>
  <c r="J3" i="195"/>
  <c r="R3" i="182"/>
  <c r="R3" i="195"/>
  <c r="R3" i="194"/>
  <c r="K2" i="219"/>
  <c r="K2" i="220"/>
  <c r="K2" i="221"/>
  <c r="K2" i="299"/>
  <c r="K2" i="297"/>
  <c r="K2" i="298"/>
  <c r="G3" i="195"/>
  <c r="G3" i="194"/>
  <c r="G3" i="182"/>
  <c r="M2" i="185"/>
  <c r="M2" i="203"/>
  <c r="M2" i="202"/>
  <c r="H4" i="195"/>
  <c r="H4" i="182"/>
  <c r="H4" i="194"/>
  <c r="Q3" i="194"/>
  <c r="Q3" i="182"/>
  <c r="Q3" i="195"/>
  <c r="R4" i="311"/>
  <c r="R4" i="309"/>
  <c r="R4" i="231"/>
  <c r="R4" i="233"/>
  <c r="R4" i="232"/>
  <c r="R4" i="310"/>
  <c r="H3" i="185"/>
  <c r="H3" i="202"/>
  <c r="H3" i="203"/>
  <c r="X2" i="223"/>
  <c r="X2" i="301"/>
  <c r="X2" i="302"/>
  <c r="X2" i="300"/>
  <c r="X2" i="222"/>
  <c r="X2" i="224"/>
  <c r="F2" i="194"/>
  <c r="F2" i="182"/>
  <c r="F2" i="195"/>
  <c r="O2" i="184"/>
  <c r="O2" i="200"/>
  <c r="O2" i="201"/>
  <c r="Q2" i="184"/>
  <c r="Q2" i="201"/>
  <c r="Q2" i="200"/>
  <c r="J4" i="200"/>
  <c r="J4" i="201"/>
  <c r="J4" i="184"/>
  <c r="P2" i="196"/>
  <c r="P2" i="197"/>
  <c r="P2" i="183"/>
  <c r="C3" i="196"/>
  <c r="C3" i="183"/>
  <c r="C3" i="197"/>
  <c r="T2" i="185"/>
  <c r="T2" i="202"/>
  <c r="T2" i="203"/>
  <c r="X4" i="197"/>
  <c r="X4" i="183"/>
  <c r="X4" i="196"/>
  <c r="H3" i="196"/>
  <c r="H3" i="183"/>
  <c r="H3" i="197"/>
  <c r="S4" i="182"/>
  <c r="S4" i="195"/>
  <c r="S4" i="194"/>
  <c r="D3" i="184"/>
  <c r="D3" i="200"/>
  <c r="D3" i="201"/>
  <c r="P3" i="201"/>
  <c r="P3" i="200"/>
  <c r="P3" i="184"/>
  <c r="Y3" i="201"/>
  <c r="Y3" i="200"/>
  <c r="Y3" i="184"/>
  <c r="G3" i="201"/>
  <c r="G3" i="184"/>
  <c r="G3" i="200"/>
  <c r="K3" i="197"/>
  <c r="K3" i="183"/>
  <c r="K3" i="196"/>
  <c r="D2" i="202"/>
  <c r="D2" i="185"/>
  <c r="D2" i="203"/>
  <c r="K3" i="185"/>
  <c r="K3" i="202"/>
  <c r="K3" i="203"/>
  <c r="W4" i="195"/>
  <c r="W4" i="194"/>
  <c r="W4" i="182"/>
  <c r="Y2" i="196"/>
  <c r="Y2" i="183"/>
  <c r="Y2" i="197"/>
  <c r="D3" i="194"/>
  <c r="D3" i="182"/>
  <c r="D3" i="195"/>
  <c r="L4" i="185"/>
  <c r="L4" i="202"/>
  <c r="L4" i="203"/>
  <c r="L3" i="184"/>
  <c r="L3" i="200"/>
  <c r="L3" i="201"/>
  <c r="O2" i="185"/>
  <c r="O2" i="202"/>
  <c r="O2" i="203"/>
  <c r="N2" i="185"/>
  <c r="N2" i="203"/>
  <c r="N2" i="202"/>
  <c r="T3" i="197"/>
  <c r="T3" i="183"/>
  <c r="T3" i="196"/>
  <c r="R2" i="200"/>
  <c r="R2" i="201"/>
  <c r="R2" i="184"/>
  <c r="I4" i="301"/>
  <c r="I4" i="222"/>
  <c r="I4" i="302"/>
  <c r="I4" i="300"/>
  <c r="I4" i="223"/>
  <c r="I4" i="224"/>
  <c r="P3" i="223"/>
  <c r="P3" i="301"/>
  <c r="P3" i="302"/>
  <c r="P3" i="224"/>
  <c r="P3" i="300"/>
  <c r="P3" i="222"/>
  <c r="T3" i="301"/>
  <c r="T3" i="224"/>
  <c r="T3" i="302"/>
  <c r="T3" i="223"/>
  <c r="T3" i="300"/>
  <c r="T3" i="222"/>
  <c r="G4" i="306"/>
  <c r="G4" i="307"/>
  <c r="G4" i="230"/>
  <c r="G4" i="308"/>
  <c r="G4" i="229"/>
  <c r="G4" i="228"/>
  <c r="M4" i="229"/>
  <c r="M4" i="308"/>
  <c r="M4" i="230"/>
  <c r="M4" i="228"/>
  <c r="M4" i="306"/>
  <c r="M4" i="307"/>
  <c r="M2" i="311"/>
  <c r="M2" i="309"/>
  <c r="M2" i="233"/>
  <c r="M2" i="231"/>
  <c r="M2" i="232"/>
  <c r="M2" i="310"/>
  <c r="S2" i="231"/>
  <c r="S2" i="232"/>
  <c r="S2" i="309"/>
  <c r="S2" i="310"/>
  <c r="S2" i="233"/>
  <c r="S2" i="311"/>
  <c r="Y4" i="307"/>
  <c r="Y4" i="306"/>
  <c r="Y4" i="230"/>
  <c r="Y4" i="228"/>
  <c r="Y4" i="229"/>
  <c r="Y4" i="308"/>
  <c r="E2" i="297"/>
  <c r="E2" i="299"/>
  <c r="E2" i="221"/>
  <c r="E2" i="219"/>
  <c r="E2" i="220"/>
  <c r="E2" i="298"/>
  <c r="J3" i="233"/>
  <c r="J3" i="232"/>
  <c r="J3" i="309"/>
  <c r="J3" i="310"/>
  <c r="J3" i="311"/>
  <c r="J3" i="231"/>
  <c r="K4" i="297"/>
  <c r="K4" i="299"/>
  <c r="K4" i="219"/>
  <c r="K4" i="221"/>
  <c r="K4" i="298"/>
  <c r="K4" i="220"/>
  <c r="V2" i="298"/>
  <c r="V2" i="219"/>
  <c r="V2" i="220"/>
  <c r="V2" i="299"/>
  <c r="V2" i="221"/>
  <c r="V2" i="297"/>
  <c r="F4" i="228"/>
  <c r="F4" i="230"/>
  <c r="F4" i="229"/>
  <c r="F4" i="306"/>
  <c r="F4" i="308"/>
  <c r="F4" i="307"/>
  <c r="Q2" i="298"/>
  <c r="Q2" i="297"/>
  <c r="Q2" i="299"/>
  <c r="Q2" i="220"/>
  <c r="Q2" i="219"/>
  <c r="Q2" i="221"/>
  <c r="G2" i="308"/>
  <c r="G2" i="230"/>
  <c r="G2" i="228"/>
  <c r="G2" i="306"/>
  <c r="G2" i="229"/>
  <c r="G2" i="307"/>
  <c r="V3" i="299"/>
  <c r="V3" i="221"/>
  <c r="V3" i="220"/>
  <c r="V3" i="297"/>
  <c r="V3" i="298"/>
  <c r="V3" i="219"/>
  <c r="H3" i="302"/>
  <c r="H3" i="300"/>
  <c r="H3" i="301"/>
  <c r="H3" i="224"/>
  <c r="H3" i="222"/>
  <c r="H3" i="223"/>
  <c r="W4" i="306"/>
  <c r="W4" i="230"/>
  <c r="W4" i="229"/>
  <c r="W4" i="307"/>
  <c r="W4" i="228"/>
  <c r="W4" i="308"/>
  <c r="G3" i="183"/>
  <c r="G3" i="196"/>
  <c r="G3" i="197"/>
  <c r="Y2" i="203"/>
  <c r="Y2" i="202"/>
  <c r="Y2" i="185"/>
  <c r="V3" i="185"/>
  <c r="V3" i="203"/>
  <c r="V3" i="202"/>
  <c r="F3" i="183"/>
  <c r="F3" i="196"/>
  <c r="F3" i="197"/>
  <c r="Q2" i="194"/>
  <c r="Q2" i="195"/>
  <c r="Q2" i="182"/>
  <c r="U3" i="195"/>
  <c r="U3" i="182"/>
  <c r="U3" i="194"/>
  <c r="R4" i="200"/>
  <c r="R4" i="184"/>
  <c r="R4" i="201"/>
  <c r="F2" i="200"/>
  <c r="F2" i="184"/>
  <c r="F2" i="201"/>
  <c r="E4" i="201"/>
  <c r="E4" i="200"/>
  <c r="E4" i="184"/>
  <c r="I3" i="200"/>
  <c r="I3" i="201"/>
  <c r="I3" i="184"/>
  <c r="C4" i="185"/>
  <c r="C4" i="202"/>
  <c r="C4" i="203"/>
  <c r="M4" i="200"/>
  <c r="M4" i="201"/>
  <c r="M4" i="184"/>
  <c r="E4" i="298"/>
  <c r="E4" i="219"/>
  <c r="E4" i="221"/>
  <c r="E4" i="220"/>
  <c r="E4" i="299"/>
  <c r="E4" i="297"/>
  <c r="B4" i="298"/>
  <c r="B4" i="299"/>
  <c r="B4" i="219"/>
  <c r="B4" i="221"/>
  <c r="B4" i="220"/>
  <c r="B4" i="297"/>
  <c r="I3" i="297"/>
  <c r="I3" i="221"/>
  <c r="I3" i="298"/>
  <c r="I3" i="220"/>
  <c r="I3" i="219"/>
  <c r="I3" i="299"/>
  <c r="D3" i="230"/>
  <c r="D3" i="308"/>
  <c r="D3" i="229"/>
  <c r="D3" i="306"/>
  <c r="D3" i="228"/>
  <c r="D3" i="307"/>
  <c r="M2" i="308"/>
  <c r="M2" i="229"/>
  <c r="M2" i="228"/>
  <c r="M2" i="230"/>
  <c r="M2" i="306"/>
  <c r="M2" i="307"/>
  <c r="J4" i="309"/>
  <c r="J4" i="232"/>
  <c r="J4" i="231"/>
  <c r="J4" i="233"/>
  <c r="J4" i="310"/>
  <c r="J4" i="311"/>
  <c r="R3" i="308"/>
  <c r="R3" i="229"/>
  <c r="R3" i="306"/>
  <c r="R3" i="230"/>
  <c r="R3" i="228"/>
  <c r="R3" i="307"/>
  <c r="X3" i="302"/>
  <c r="X3" i="301"/>
  <c r="X3" i="222"/>
  <c r="X3" i="300"/>
  <c r="X3" i="223"/>
  <c r="X3" i="224"/>
  <c r="Q3" i="306"/>
  <c r="Q3" i="307"/>
  <c r="Q3" i="230"/>
  <c r="Q3" i="308"/>
  <c r="Q3" i="228"/>
  <c r="Q3" i="229"/>
  <c r="D3" i="301"/>
  <c r="D3" i="224"/>
  <c r="D3" i="302"/>
  <c r="D3" i="300"/>
  <c r="D3" i="223"/>
  <c r="D3" i="222"/>
  <c r="U4" i="233"/>
  <c r="U4" i="311"/>
  <c r="U4" i="232"/>
  <c r="U4" i="310"/>
  <c r="U4" i="309"/>
  <c r="U4" i="231"/>
  <c r="Y3" i="232"/>
  <c r="Y3" i="311"/>
  <c r="Y3" i="231"/>
  <c r="Y3" i="233"/>
  <c r="Y3" i="310"/>
  <c r="Y3" i="309"/>
  <c r="W4" i="232"/>
  <c r="W4" i="309"/>
  <c r="W4" i="311"/>
  <c r="W4" i="231"/>
  <c r="W4" i="233"/>
  <c r="W4" i="310"/>
  <c r="U3" i="298"/>
  <c r="U3" i="220"/>
  <c r="U3" i="221"/>
  <c r="U3" i="219"/>
  <c r="U3" i="297"/>
  <c r="U3" i="299"/>
  <c r="T2" i="301"/>
  <c r="T2" i="224"/>
  <c r="T2" i="302"/>
  <c r="T2" i="222"/>
  <c r="T2" i="300"/>
  <c r="T2" i="223"/>
  <c r="T3" i="299"/>
  <c r="T3" i="297"/>
  <c r="T3" i="221"/>
  <c r="T3" i="298"/>
  <c r="T3" i="219"/>
  <c r="T3" i="220"/>
  <c r="Y4" i="302"/>
  <c r="Y4" i="223"/>
  <c r="Y4" i="301"/>
  <c r="Y4" i="300"/>
  <c r="Y4" i="224"/>
  <c r="Y4" i="222"/>
  <c r="Y2" i="308"/>
  <c r="Y2" i="228"/>
  <c r="Y2" i="230"/>
  <c r="Y2" i="229"/>
  <c r="Y2" i="307"/>
  <c r="Y2" i="306"/>
</calcChain>
</file>

<file path=xl/sharedStrings.xml><?xml version="1.0" encoding="utf-8"?>
<sst xmlns="http://schemas.openxmlformats.org/spreadsheetml/2006/main" count="178" uniqueCount="19">
  <si>
    <t>numScenarios</t>
  </si>
  <si>
    <t>Node ID</t>
  </si>
  <si>
    <t>Year</t>
  </si>
  <si>
    <t>ESS Installed, [MWh]</t>
  </si>
  <si>
    <t>Time</t>
  </si>
  <si>
    <t>NodeID</t>
  </si>
  <si>
    <t>Pinst, [MW]</t>
  </si>
  <si>
    <t>Ratio, [%]</t>
  </si>
  <si>
    <t>Load Scale Factor</t>
  </si>
  <si>
    <t>Load Growth (cumul.)</t>
  </si>
  <si>
    <t>Flex. Load Growth</t>
  </si>
  <si>
    <t>GenID</t>
  </si>
  <si>
    <t>RES Installed, [MW]</t>
  </si>
  <si>
    <t>ESS ID</t>
  </si>
  <si>
    <t>N/A</t>
  </si>
  <si>
    <t>LoadID</t>
  </si>
  <si>
    <t>FL, [MW]</t>
  </si>
  <si>
    <t>Minimum FL, [MW]</t>
  </si>
  <si>
    <t>Maximum FL, [MW]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</si>
</sst>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0" fontId="0" fillId="0" borderId="0" xfId="0" applyNumberFormat="1"/>
    <xf numFmtId="2" fontId="0" fillId="0" borderId="0" xfId="0" applyNumberFormat="1"/>
    <xf numFmtId="0" fontId="0" fillId="2" borderId="0" xfId="0" applyFill="1"/>
    <xf numFmtId="2" fontId="0" fillId="2" borderId="0" xfId="0" applyNumberFormat="1" applyFill="1"/>
    <xf numFmtId="0" fontId="0" fillId="3" borderId="0" xfId="0" applyFill="1"/>
    <xf numFmtId="2" fontId="0" fillId="3" borderId="0" xfId="0" applyNumberFormat="1" applyFill="1"/>
    <xf numFmtId="10" fontId="0" fillId="2" borderId="0" xfId="0" applyNumberFormat="1" applyFill="1"/>
    <xf numFmtId="0" fontId="0" fillId="4" borderId="0" xfId="0" applyFill="1"/>
    <xf numFmtId="2" fontId="0" fillId="4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61" Type="http://schemas.openxmlformats.org/officeDocument/2006/relationships/worksheet" Target="worksheets/sheet161.xml"/><Relationship Id="rId16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theme" Target="theme/theme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sharedStrings" Target="sharedStrings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rojects\thesis-shared-resources-planning-no_esso-degradation\data\CS7\case9\case9_base.xlsx" TargetMode="External"/><Relationship Id="rId1" Type="http://schemas.openxmlformats.org/officeDocument/2006/relationships/externalLinkPath" Target="case9_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ase Consumption"/>
      <sheetName val="Profiles, RES, Winter"/>
      <sheetName val="Profiles, RES, Spring"/>
      <sheetName val="Profiles, RES, Summer"/>
      <sheetName val="Profiles, RES, Autumn"/>
      <sheetName val="Pc, Winter, S1"/>
      <sheetName val="Pc, Winter, S2"/>
      <sheetName val="Pc, Winter, S3"/>
      <sheetName val="Qc, Winter, S1"/>
      <sheetName val="Qc, Winter, S2"/>
      <sheetName val="Qc, Winter, S3"/>
      <sheetName val="Pc, Spring, S1"/>
      <sheetName val="Pc, Spring, S2"/>
      <sheetName val="Pc, Spring, S3"/>
      <sheetName val="Qc, Spring, S1"/>
      <sheetName val="Qc, Spring, S2"/>
      <sheetName val="Qc, Spring, S3"/>
      <sheetName val="Pc, Summer, S1"/>
      <sheetName val="Pc, Summer, S2"/>
      <sheetName val="Pc, Summer, S3"/>
      <sheetName val="Qc, Summer, S1"/>
      <sheetName val="Qc, Summer, S2"/>
      <sheetName val="Qc, Summer, S3"/>
      <sheetName val="Pc, Autumn, S1"/>
      <sheetName val="Pc, Autumn, S2"/>
      <sheetName val="Pc, Autumn, S3"/>
      <sheetName val="Qc, Autumn, S1"/>
      <sheetName val="Qc, Autumn, S2"/>
      <sheetName val="Qc, Autumn, S3"/>
      <sheetName val="Profiles, Pc, Winter, S1"/>
      <sheetName val="Profiles, Pc, Winter, S2"/>
      <sheetName val="Profiles, Pc, Winter, S3"/>
      <sheetName val="Profiles, Qc, Winter, S1"/>
      <sheetName val="Profiles, Qc, Winter, S2"/>
      <sheetName val="Profiles, Qc, Winter, S3"/>
      <sheetName val="Profiles, Pc, Spring, S1"/>
      <sheetName val="Profiles, Pc, Spring, S2"/>
      <sheetName val="Profiles, Pc, Spring, S3"/>
      <sheetName val="Profiles, Qc, Spring, S1"/>
      <sheetName val="Profiles, Qc, Spring, S2"/>
      <sheetName val="Profiles, Qc, Spring, S3"/>
      <sheetName val="Profiles, Pc, Summer, S1"/>
      <sheetName val="Profiles, Pc, Summer, S2"/>
      <sheetName val="Profiles, Pc, Summer, S3"/>
      <sheetName val="Profiles, Qc, Summer, S1"/>
      <sheetName val="Profiles, Qc, Summer, S2"/>
      <sheetName val="Profiles, Qc, Summer, S3"/>
      <sheetName val="Profiles, Pc, Autumn, S1"/>
      <sheetName val="Profiles, Pc, Autumn, S2"/>
      <sheetName val="Profiles, Pc, Autumn, S3"/>
      <sheetName val="Profiles, Qc, Autumn, S1"/>
      <sheetName val="Profiles, Qc, Autumn, S2"/>
      <sheetName val="Profiles, Qc, Autumn, S3"/>
      <sheetName val="EV Profiles"/>
    </sheetNames>
    <sheetDataSet>
      <sheetData sheetId="0">
        <row r="2">
          <cell r="B2">
            <v>0.01</v>
          </cell>
        </row>
        <row r="3">
          <cell r="B3">
            <v>2.5000000000000001E-2</v>
          </cell>
        </row>
      </sheetData>
      <sheetData sheetId="1"/>
      <sheetData sheetId="2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3.7907505686125853E-4</v>
          </cell>
          <cell r="J2">
            <v>4.435178165276725E-2</v>
          </cell>
          <cell r="K2">
            <v>0.18726307808946172</v>
          </cell>
          <cell r="L2">
            <v>0.32941622441243368</v>
          </cell>
          <cell r="M2">
            <v>0.39196360879454134</v>
          </cell>
          <cell r="N2">
            <v>0.37717968157695225</v>
          </cell>
          <cell r="O2">
            <v>0.38021228203184232</v>
          </cell>
          <cell r="P2">
            <v>0.35898407884761185</v>
          </cell>
          <cell r="Q2">
            <v>0.26876421531463229</v>
          </cell>
          <cell r="R2">
            <v>0.10121304018195602</v>
          </cell>
          <cell r="S2">
            <v>4.5489006823351023E-3</v>
          </cell>
          <cell r="T2">
            <v>0</v>
          </cell>
          <cell r="U2">
            <v>0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7.5815011372251705E-4</v>
          </cell>
          <cell r="J3">
            <v>6.4821834723275212E-2</v>
          </cell>
          <cell r="K3">
            <v>0.22289613343442002</v>
          </cell>
          <cell r="L3">
            <v>0.34230477634571643</v>
          </cell>
          <cell r="M3">
            <v>0.33965125094768767</v>
          </cell>
          <cell r="N3">
            <v>0.3775587566338135</v>
          </cell>
          <cell r="O3">
            <v>0.36921910538286579</v>
          </cell>
          <cell r="P3">
            <v>0.31235784685367701</v>
          </cell>
          <cell r="Q3">
            <v>0.20090978013646701</v>
          </cell>
          <cell r="R3">
            <v>6.4063684609552696E-2</v>
          </cell>
          <cell r="S3">
            <v>3.7907505686125853E-3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3.7907505686125853E-4</v>
          </cell>
          <cell r="J4">
            <v>3.373768006065201E-2</v>
          </cell>
          <cell r="K4">
            <v>0.14480667172100076</v>
          </cell>
          <cell r="L4">
            <v>0.23881728582259287</v>
          </cell>
          <cell r="M4">
            <v>0.27141774071266112</v>
          </cell>
          <cell r="N4">
            <v>0.25928733889310085</v>
          </cell>
          <cell r="O4">
            <v>0.26421531463229719</v>
          </cell>
          <cell r="P4">
            <v>0.28582259287338896</v>
          </cell>
          <cell r="Q4">
            <v>0.26042456406368458</v>
          </cell>
          <cell r="R4">
            <v>0.11865049279757392</v>
          </cell>
          <cell r="S4">
            <v>6.0652009097801364E-3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0.54215174628663187</v>
          </cell>
          <cell r="C5">
            <v>0.58329987956643914</v>
          </cell>
          <cell r="D5">
            <v>0.58028904054596553</v>
          </cell>
          <cell r="E5">
            <v>0.58149337615415497</v>
          </cell>
          <cell r="F5">
            <v>0.60196708149337619</v>
          </cell>
          <cell r="G5">
            <v>0.63548775592131679</v>
          </cell>
          <cell r="H5">
            <v>0.67703733440385383</v>
          </cell>
          <cell r="I5">
            <v>0.67824167001204339</v>
          </cell>
          <cell r="J5">
            <v>0.67221999197109594</v>
          </cell>
          <cell r="K5">
            <v>0.63087113608992373</v>
          </cell>
          <cell r="L5">
            <v>0.55018065034122843</v>
          </cell>
          <cell r="M5">
            <v>0.50622240064231228</v>
          </cell>
          <cell r="N5">
            <v>0.48635086310718589</v>
          </cell>
          <cell r="O5">
            <v>0.45323163388197513</v>
          </cell>
          <cell r="P5">
            <v>0.41429144921718186</v>
          </cell>
          <cell r="Q5">
            <v>0.41790445604175031</v>
          </cell>
          <cell r="R5">
            <v>0.43356081894821358</v>
          </cell>
          <cell r="S5">
            <v>0.49959855479727017</v>
          </cell>
          <cell r="T5">
            <v>0.54094741067844243</v>
          </cell>
          <cell r="U5">
            <v>0.55439582496989159</v>
          </cell>
          <cell r="V5">
            <v>0.53613006824568443</v>
          </cell>
          <cell r="W5">
            <v>0.50702529104777194</v>
          </cell>
          <cell r="X5">
            <v>0.51244480128462466</v>
          </cell>
          <cell r="Y5">
            <v>0.5335206744279406</v>
          </cell>
        </row>
        <row r="6">
          <cell r="B6">
            <v>0.52468887996788438</v>
          </cell>
          <cell r="C6">
            <v>0.53271778402248093</v>
          </cell>
          <cell r="D6">
            <v>0.5345242874347651</v>
          </cell>
          <cell r="E6">
            <v>0.48875953432356484</v>
          </cell>
          <cell r="F6">
            <v>0.50441589723002811</v>
          </cell>
          <cell r="G6">
            <v>0.53251706142111599</v>
          </cell>
          <cell r="H6">
            <v>0.5451625853071056</v>
          </cell>
          <cell r="I6">
            <v>0.51926936973103166</v>
          </cell>
          <cell r="J6">
            <v>0.4941790445604175</v>
          </cell>
          <cell r="K6">
            <v>0.46547571256523484</v>
          </cell>
          <cell r="L6">
            <v>0.43737454837414691</v>
          </cell>
          <cell r="M6">
            <v>0.41328783621035731</v>
          </cell>
          <cell r="N6">
            <v>0.38097149739060621</v>
          </cell>
          <cell r="O6">
            <v>0.29506222400642312</v>
          </cell>
          <cell r="P6">
            <v>0.2886391007627459</v>
          </cell>
          <cell r="Q6">
            <v>0.29365716579686874</v>
          </cell>
          <cell r="R6">
            <v>0.37254114813327982</v>
          </cell>
          <cell r="S6">
            <v>0.4365716579686873</v>
          </cell>
          <cell r="T6">
            <v>0.46507426736250501</v>
          </cell>
          <cell r="U6">
            <v>0.48574869530309112</v>
          </cell>
          <cell r="V6">
            <v>0.50200722601364911</v>
          </cell>
          <cell r="W6">
            <v>0.52107587314331594</v>
          </cell>
          <cell r="X6">
            <v>0.51124046567643522</v>
          </cell>
          <cell r="Y6">
            <v>0.49739060618225611</v>
          </cell>
        </row>
        <row r="7">
          <cell r="B7">
            <v>0.502408671216379</v>
          </cell>
          <cell r="C7">
            <v>0.50020072260136494</v>
          </cell>
          <cell r="D7">
            <v>0.48755519871537534</v>
          </cell>
          <cell r="E7">
            <v>0.49959855479727017</v>
          </cell>
          <cell r="F7">
            <v>0.48554797270172623</v>
          </cell>
          <cell r="G7">
            <v>0.48293857888398234</v>
          </cell>
          <cell r="H7">
            <v>0.50040144520272978</v>
          </cell>
          <cell r="I7">
            <v>0.47029305499799279</v>
          </cell>
          <cell r="J7">
            <v>0.4329586511441188</v>
          </cell>
          <cell r="K7">
            <v>0.40545965475712564</v>
          </cell>
          <cell r="L7">
            <v>0.36672019269369732</v>
          </cell>
          <cell r="M7">
            <v>0.31593737454837417</v>
          </cell>
          <cell r="N7">
            <v>0.28482537133681252</v>
          </cell>
          <cell r="O7">
            <v>0.28301886792452829</v>
          </cell>
          <cell r="P7">
            <v>0.32115616218386189</v>
          </cell>
          <cell r="Q7">
            <v>0.33239662786029706</v>
          </cell>
          <cell r="R7">
            <v>0.36752308309915699</v>
          </cell>
          <cell r="S7">
            <v>0.42593336009634686</v>
          </cell>
          <cell r="T7">
            <v>0.46326776395022079</v>
          </cell>
          <cell r="U7">
            <v>0.49096748293857889</v>
          </cell>
          <cell r="V7">
            <v>0.49498193496587717</v>
          </cell>
          <cell r="W7">
            <v>0.45624247290244879</v>
          </cell>
          <cell r="X7">
            <v>0.42071457246085908</v>
          </cell>
          <cell r="Y7">
            <v>0.40405459654757125</v>
          </cell>
        </row>
      </sheetData>
      <sheetData sheetId="3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9.4768764215314629E-3</v>
          </cell>
          <cell r="H2">
            <v>9.5147839272175891E-2</v>
          </cell>
          <cell r="I2">
            <v>0.26573161485974223</v>
          </cell>
          <cell r="J2">
            <v>0.41053828658074298</v>
          </cell>
          <cell r="K2">
            <v>0.48028809704321457</v>
          </cell>
          <cell r="L2">
            <v>0.54890068233510236</v>
          </cell>
          <cell r="M2">
            <v>0.57846853677028054</v>
          </cell>
          <cell r="N2">
            <v>0.62395754359363154</v>
          </cell>
          <cell r="O2">
            <v>0.6273692191053829</v>
          </cell>
          <cell r="P2">
            <v>0.63078089461713416</v>
          </cell>
          <cell r="Q2">
            <v>0.57695223654283545</v>
          </cell>
          <cell r="R2">
            <v>0.4590598938589841</v>
          </cell>
          <cell r="S2">
            <v>0.30250189537528432</v>
          </cell>
          <cell r="T2">
            <v>0.11144806671721001</v>
          </cell>
          <cell r="U2">
            <v>9.8559514783927212E-3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1.1372251705837756E-2</v>
          </cell>
          <cell r="H3">
            <v>9.9696739954510991E-2</v>
          </cell>
          <cell r="I3">
            <v>0.23995451099317666</v>
          </cell>
          <cell r="J3">
            <v>0.36201667930250192</v>
          </cell>
          <cell r="K3">
            <v>0.50416982562547386</v>
          </cell>
          <cell r="L3">
            <v>0.59666413949962094</v>
          </cell>
          <cell r="M3">
            <v>0.61068991660348748</v>
          </cell>
          <cell r="N3">
            <v>0.62509476876421532</v>
          </cell>
          <cell r="O3">
            <v>0.60310841546626237</v>
          </cell>
          <cell r="P3">
            <v>0.64101592115238815</v>
          </cell>
          <cell r="Q3">
            <v>0.56899166034874904</v>
          </cell>
          <cell r="R3">
            <v>0.4772554965883245</v>
          </cell>
          <cell r="S3">
            <v>0.31197877179681577</v>
          </cell>
          <cell r="T3">
            <v>0.11372251705837756</v>
          </cell>
          <cell r="U3">
            <v>1.023502653525398E-2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1.0993176648976498E-2</v>
          </cell>
          <cell r="H4">
            <v>0.10538286580742987</v>
          </cell>
          <cell r="I4">
            <v>0.29264594389689158</v>
          </cell>
          <cell r="J4">
            <v>0.46967399545109934</v>
          </cell>
          <cell r="K4">
            <v>0.55686125852918877</v>
          </cell>
          <cell r="L4">
            <v>0.61561789234268383</v>
          </cell>
          <cell r="M4">
            <v>0.68460955269143287</v>
          </cell>
          <cell r="N4">
            <v>0.66830932524639874</v>
          </cell>
          <cell r="O4">
            <v>0.66489764973464749</v>
          </cell>
          <cell r="P4">
            <v>0.66944655041698253</v>
          </cell>
          <cell r="Q4">
            <v>0.61865049279757389</v>
          </cell>
          <cell r="R4">
            <v>0.50303260045489007</v>
          </cell>
          <cell r="S4">
            <v>0.32979529946929492</v>
          </cell>
          <cell r="T4">
            <v>0.11713419257012889</v>
          </cell>
          <cell r="U4">
            <v>1.2130401819560273E-2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0.25812926535527903</v>
          </cell>
          <cell r="C5">
            <v>0.23966278602970695</v>
          </cell>
          <cell r="D5">
            <v>0.24086712163789642</v>
          </cell>
          <cell r="E5">
            <v>0.23123243677238056</v>
          </cell>
          <cell r="F5">
            <v>0.22902448815736651</v>
          </cell>
          <cell r="G5">
            <v>0.23303894018466478</v>
          </cell>
          <cell r="H5">
            <v>0.20915295062224007</v>
          </cell>
          <cell r="I5">
            <v>0.16780409474106783</v>
          </cell>
          <cell r="J5">
            <v>0.13227619429947812</v>
          </cell>
          <cell r="K5">
            <v>9.9959855479727022E-2</v>
          </cell>
          <cell r="L5">
            <v>9.4941790445604177E-2</v>
          </cell>
          <cell r="M5">
            <v>0.11561621838619028</v>
          </cell>
          <cell r="N5">
            <v>0.15274989963869931</v>
          </cell>
          <cell r="O5">
            <v>0.21116017663588921</v>
          </cell>
          <cell r="P5">
            <v>0.27559213167402652</v>
          </cell>
          <cell r="Q5">
            <v>0.34383781613809716</v>
          </cell>
          <cell r="R5">
            <v>0.42814130871136091</v>
          </cell>
          <cell r="S5">
            <v>0.47531112003211562</v>
          </cell>
          <cell r="T5">
            <v>0.47691690084303495</v>
          </cell>
          <cell r="U5">
            <v>0.46447209955841029</v>
          </cell>
          <cell r="V5">
            <v>0.42111601766358892</v>
          </cell>
          <cell r="W5">
            <v>0.38920112404656765</v>
          </cell>
          <cell r="X5">
            <v>0.38859895624247293</v>
          </cell>
          <cell r="Y5">
            <v>0.36852669610598154</v>
          </cell>
        </row>
        <row r="6">
          <cell r="B6">
            <v>0.3384183059012445</v>
          </cell>
          <cell r="C6">
            <v>0.30710558008831795</v>
          </cell>
          <cell r="D6">
            <v>0.2679646728221598</v>
          </cell>
          <cell r="E6">
            <v>0.24126856684062625</v>
          </cell>
          <cell r="F6">
            <v>0.23584905660377359</v>
          </cell>
          <cell r="G6">
            <v>0.23845845042151748</v>
          </cell>
          <cell r="H6">
            <v>0.20353271778402249</v>
          </cell>
          <cell r="I6">
            <v>0.15315134484142914</v>
          </cell>
          <cell r="J6">
            <v>0.13950220794861501</v>
          </cell>
          <cell r="K6">
            <v>0.14532316338819751</v>
          </cell>
          <cell r="L6">
            <v>0.162786029706945</v>
          </cell>
          <cell r="M6">
            <v>0.18667201926936974</v>
          </cell>
          <cell r="N6">
            <v>0.24267362505018064</v>
          </cell>
          <cell r="O6">
            <v>0.30128462464873546</v>
          </cell>
          <cell r="P6">
            <v>0.34223203532717783</v>
          </cell>
          <cell r="Q6">
            <v>0.3765556001605781</v>
          </cell>
          <cell r="R6">
            <v>0.41268566840626253</v>
          </cell>
          <cell r="S6">
            <v>0.3948213568847852</v>
          </cell>
          <cell r="T6">
            <v>0.34925732637494983</v>
          </cell>
          <cell r="U6">
            <v>0.3360096346848655</v>
          </cell>
          <cell r="V6">
            <v>0.31252509032517062</v>
          </cell>
          <cell r="W6">
            <v>0.29646728221597751</v>
          </cell>
          <cell r="X6">
            <v>0.26876756322761941</v>
          </cell>
          <cell r="Y6">
            <v>0.23966278602970695</v>
          </cell>
        </row>
        <row r="7">
          <cell r="B7">
            <v>0.2476916900843035</v>
          </cell>
          <cell r="C7">
            <v>0.23484544359694901</v>
          </cell>
          <cell r="D7">
            <v>0.22842232035327178</v>
          </cell>
          <cell r="E7">
            <v>0.24046567643516659</v>
          </cell>
          <cell r="F7">
            <v>0.24106784423926134</v>
          </cell>
          <cell r="G7">
            <v>0.21437173825772782</v>
          </cell>
          <cell r="H7">
            <v>0.18245684464070655</v>
          </cell>
          <cell r="I7">
            <v>0.13749498193496587</v>
          </cell>
          <cell r="J7">
            <v>0.1158169409875552</v>
          </cell>
          <cell r="K7">
            <v>0.12585307105580087</v>
          </cell>
          <cell r="L7">
            <v>0.14873544761140103</v>
          </cell>
          <cell r="M7">
            <v>0.14712966680048173</v>
          </cell>
          <cell r="N7">
            <v>0.16900843034925733</v>
          </cell>
          <cell r="O7">
            <v>0.21557607386591729</v>
          </cell>
          <cell r="P7">
            <v>0.25170614211160175</v>
          </cell>
          <cell r="Q7">
            <v>0.28362103572862302</v>
          </cell>
          <cell r="R7">
            <v>0.31874749096748295</v>
          </cell>
          <cell r="S7">
            <v>0.33179446005620233</v>
          </cell>
          <cell r="T7">
            <v>0.33199518265756722</v>
          </cell>
          <cell r="U7">
            <v>0.29686872741870735</v>
          </cell>
          <cell r="V7">
            <v>0.28342031312725813</v>
          </cell>
          <cell r="W7">
            <v>0.28181453231633879</v>
          </cell>
          <cell r="X7">
            <v>0.28643115214773185</v>
          </cell>
          <cell r="Y7">
            <v>0.30931352870333201</v>
          </cell>
        </row>
      </sheetData>
      <sheetData sheetId="4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2.2744503411675512E-3</v>
          </cell>
          <cell r="H2">
            <v>6.6717210007581504E-2</v>
          </cell>
          <cell r="I2">
            <v>0.27748294162244125</v>
          </cell>
          <cell r="J2">
            <v>0.57467778620166798</v>
          </cell>
          <cell r="K2">
            <v>0.75625473843821078</v>
          </cell>
          <cell r="L2">
            <v>0.86884003032600454</v>
          </cell>
          <cell r="M2">
            <v>0.91963608794541318</v>
          </cell>
          <cell r="N2">
            <v>0.94010614101592116</v>
          </cell>
          <cell r="O2">
            <v>0.94048521607278246</v>
          </cell>
          <cell r="P2">
            <v>0.90826383623957541</v>
          </cell>
          <cell r="Q2">
            <v>0.80780894617134191</v>
          </cell>
          <cell r="R2">
            <v>0.64746019711902958</v>
          </cell>
          <cell r="S2">
            <v>0.41887793783169069</v>
          </cell>
          <cell r="T2">
            <v>0.14594389689158455</v>
          </cell>
          <cell r="U2">
            <v>1.2130401819560273E-2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1.8953752843062926E-3</v>
          </cell>
          <cell r="H3">
            <v>7.9984836997725545E-2</v>
          </cell>
          <cell r="I3">
            <v>0.32183472327520851</v>
          </cell>
          <cell r="J3">
            <v>0.58832448824867323</v>
          </cell>
          <cell r="K3">
            <v>0.77369219105382869</v>
          </cell>
          <cell r="L3">
            <v>0.8999241849886277</v>
          </cell>
          <cell r="M3">
            <v>0.94655041698256259</v>
          </cell>
          <cell r="N3">
            <v>0.94920394238059136</v>
          </cell>
          <cell r="O3">
            <v>0.92911296436694468</v>
          </cell>
          <cell r="P3">
            <v>0.89954510993176651</v>
          </cell>
          <cell r="Q3">
            <v>0.80250189537528427</v>
          </cell>
          <cell r="R3">
            <v>0.64442759666413951</v>
          </cell>
          <cell r="S3">
            <v>0.40409401061410161</v>
          </cell>
          <cell r="T3">
            <v>0.1315390447308567</v>
          </cell>
          <cell r="U3">
            <v>8.7187263078089463E-3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3.7907505686125853E-4</v>
          </cell>
          <cell r="H4">
            <v>4.66262319939348E-2</v>
          </cell>
          <cell r="I4">
            <v>0.22062168309325247</v>
          </cell>
          <cell r="J4">
            <v>0.48028809704321457</v>
          </cell>
          <cell r="K4">
            <v>0.74147081122062164</v>
          </cell>
          <cell r="L4">
            <v>0.91015921152388168</v>
          </cell>
          <cell r="M4">
            <v>0.97346474601971189</v>
          </cell>
          <cell r="N4">
            <v>1</v>
          </cell>
          <cell r="O4">
            <v>0.98256254738438209</v>
          </cell>
          <cell r="P4">
            <v>0.93290371493555724</v>
          </cell>
          <cell r="Q4">
            <v>0.82562547384382112</v>
          </cell>
          <cell r="R4">
            <v>0.64859742228961337</v>
          </cell>
          <cell r="S4">
            <v>0.38589840788476121</v>
          </cell>
          <cell r="T4">
            <v>0.1178923426838514</v>
          </cell>
          <cell r="U4">
            <v>5.3070507960576198E-3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0.2701726214371738</v>
          </cell>
          <cell r="C5">
            <v>0.24708952228020875</v>
          </cell>
          <cell r="D5">
            <v>0.21617824167001204</v>
          </cell>
          <cell r="E5">
            <v>0.2153753512645524</v>
          </cell>
          <cell r="F5">
            <v>0.20393416298675232</v>
          </cell>
          <cell r="G5">
            <v>0.18787635487755922</v>
          </cell>
          <cell r="H5">
            <v>0.16519470092332397</v>
          </cell>
          <cell r="I5">
            <v>0.12986752308309915</v>
          </cell>
          <cell r="J5">
            <v>0.10798875953432356</v>
          </cell>
          <cell r="K5">
            <v>0.10096346848655159</v>
          </cell>
          <cell r="L5">
            <v>9.2934564431955038E-2</v>
          </cell>
          <cell r="M5">
            <v>0.10457647531112003</v>
          </cell>
          <cell r="N5">
            <v>0.13147330389401846</v>
          </cell>
          <cell r="O5">
            <v>0.16318747490967483</v>
          </cell>
          <cell r="P5">
            <v>0.21778402248093134</v>
          </cell>
          <cell r="Q5">
            <v>0.27800080289040546</v>
          </cell>
          <cell r="R5">
            <v>0.32858289843436372</v>
          </cell>
          <cell r="S5">
            <v>0.35066238458450422</v>
          </cell>
          <cell r="T5">
            <v>0.37735849056603776</v>
          </cell>
          <cell r="U5">
            <v>0.42031312725812925</v>
          </cell>
          <cell r="V5">
            <v>0.46346848655158573</v>
          </cell>
          <cell r="W5">
            <v>0.48273785628261745</v>
          </cell>
          <cell r="X5">
            <v>0.48494580489763145</v>
          </cell>
          <cell r="Y5">
            <v>0.4676836611802489</v>
          </cell>
        </row>
        <row r="6">
          <cell r="B6">
            <v>0.28502609393817746</v>
          </cell>
          <cell r="C6">
            <v>0.26475311120032113</v>
          </cell>
          <cell r="D6">
            <v>0.26916900843034924</v>
          </cell>
          <cell r="E6">
            <v>0.24327579285427539</v>
          </cell>
          <cell r="F6">
            <v>0.22761942994781212</v>
          </cell>
          <cell r="G6">
            <v>0.24167001204335609</v>
          </cell>
          <cell r="H6">
            <v>0.2390606182256122</v>
          </cell>
          <cell r="I6">
            <v>0.17623444399839422</v>
          </cell>
          <cell r="J6">
            <v>0.11280610196708149</v>
          </cell>
          <cell r="K6">
            <v>8.2095543958249695E-2</v>
          </cell>
          <cell r="L6">
            <v>6.2023283821758327E-2</v>
          </cell>
          <cell r="M6">
            <v>5.8209554395824967E-2</v>
          </cell>
          <cell r="N6">
            <v>7.286230429546367E-2</v>
          </cell>
          <cell r="O6">
            <v>9.4540345242874343E-2</v>
          </cell>
          <cell r="P6">
            <v>0.13468486551585709</v>
          </cell>
          <cell r="Q6">
            <v>0.17001204335608189</v>
          </cell>
          <cell r="R6">
            <v>0.20353271778402249</v>
          </cell>
          <cell r="S6">
            <v>0.21738257727820154</v>
          </cell>
          <cell r="T6">
            <v>0.2067442794058611</v>
          </cell>
          <cell r="U6">
            <v>0.20052187876354877</v>
          </cell>
          <cell r="V6">
            <v>0.20112404656764352</v>
          </cell>
          <cell r="W6">
            <v>0.18486551585708549</v>
          </cell>
          <cell r="X6">
            <v>0.1714171015656363</v>
          </cell>
          <cell r="Y6">
            <v>0.17442794058611</v>
          </cell>
        </row>
        <row r="7">
          <cell r="B7">
            <v>0.29767161782416701</v>
          </cell>
          <cell r="C7">
            <v>0.26776395022079486</v>
          </cell>
          <cell r="D7">
            <v>0.22360497792051384</v>
          </cell>
          <cell r="E7">
            <v>0.21136089923725412</v>
          </cell>
          <cell r="F7">
            <v>0.20794861501405057</v>
          </cell>
          <cell r="G7">
            <v>0.2332396627860297</v>
          </cell>
          <cell r="H7">
            <v>0.25712565234845441</v>
          </cell>
          <cell r="I7">
            <v>0.26595744680851063</v>
          </cell>
          <cell r="J7">
            <v>0.21617824167001204</v>
          </cell>
          <cell r="K7">
            <v>0.16820553994379767</v>
          </cell>
          <cell r="L7">
            <v>0.15134484142914492</v>
          </cell>
          <cell r="M7">
            <v>0.1350863107185869</v>
          </cell>
          <cell r="N7">
            <v>0.14632677639502209</v>
          </cell>
          <cell r="O7">
            <v>0.19470092332396627</v>
          </cell>
          <cell r="P7">
            <v>0.2448815736651947</v>
          </cell>
          <cell r="Q7">
            <v>0.25692492974708953</v>
          </cell>
          <cell r="R7">
            <v>0.27739863508631074</v>
          </cell>
          <cell r="S7">
            <v>0.2886391007627459</v>
          </cell>
          <cell r="T7">
            <v>0.29586511441188279</v>
          </cell>
          <cell r="U7">
            <v>0.33902047370533922</v>
          </cell>
          <cell r="V7">
            <v>0.38137294259333598</v>
          </cell>
          <cell r="W7">
            <v>0.3683259735046166</v>
          </cell>
          <cell r="X7">
            <v>0.34885588117221999</v>
          </cell>
          <cell r="Y7">
            <v>0.34263348052990766</v>
          </cell>
        </row>
      </sheetData>
      <sheetData sheetId="5"/>
      <sheetData sheetId="6">
        <row r="2">
          <cell r="B2">
            <v>28.640709882946304</v>
          </cell>
          <cell r="C2">
            <v>26.714573281418307</v>
          </cell>
          <cell r="D2">
            <v>25.312879159841337</v>
          </cell>
          <cell r="E2">
            <v>25.133776452667234</v>
          </cell>
          <cell r="F2">
            <v>25.436946861179031</v>
          </cell>
          <cell r="G2">
            <v>27.960696815854309</v>
          </cell>
          <cell r="H2">
            <v>33.363925378103289</v>
          </cell>
          <cell r="I2">
            <v>40.159994232752233</v>
          </cell>
          <cell r="J2">
            <v>43.723321027778113</v>
          </cell>
          <cell r="K2">
            <v>44.268543395713934</v>
          </cell>
          <cell r="L2">
            <v>43.073883742328519</v>
          </cell>
          <cell r="M2">
            <v>43.295892296382085</v>
          </cell>
          <cell r="N2">
            <v>43.260312945175158</v>
          </cell>
          <cell r="O2">
            <v>42.553895205510344</v>
          </cell>
          <cell r="P2">
            <v>40.128767731659636</v>
          </cell>
          <cell r="Q2">
            <v>38.979063710676506</v>
          </cell>
          <cell r="R2">
            <v>40.594711565011977</v>
          </cell>
          <cell r="S2">
            <v>45</v>
          </cell>
          <cell r="T2">
            <v>44.836875711706767</v>
          </cell>
          <cell r="U2">
            <v>43.908591159821562</v>
          </cell>
          <cell r="V2">
            <v>43.153477019322303</v>
          </cell>
          <cell r="W2">
            <v>40.446415007398876</v>
          </cell>
          <cell r="X2">
            <v>35.383087776062744</v>
          </cell>
          <cell r="Y2">
            <v>32.101442185583167</v>
          </cell>
        </row>
        <row r="3">
          <cell r="B3">
            <v>28.318710831598349</v>
          </cell>
          <cell r="C3">
            <v>26.315204214245814</v>
          </cell>
          <cell r="D3">
            <v>23.814013426539436</v>
          </cell>
          <cell r="E3">
            <v>25.613338402094083</v>
          </cell>
          <cell r="F3">
            <v>25.524009277571608</v>
          </cell>
          <cell r="G3">
            <v>26.608704012448104</v>
          </cell>
          <cell r="H3">
            <v>39.599618813370633</v>
          </cell>
          <cell r="I3">
            <v>44.104324438231103</v>
          </cell>
          <cell r="J3">
            <v>48.353801657343247</v>
          </cell>
          <cell r="K3">
            <v>48.379322308964795</v>
          </cell>
          <cell r="L3">
            <v>45.699473268620906</v>
          </cell>
          <cell r="M3">
            <v>50</v>
          </cell>
          <cell r="N3">
            <v>47.154254412376474</v>
          </cell>
          <cell r="O3">
            <v>44.142609525564225</v>
          </cell>
          <cell r="P3">
            <v>42.802683636622866</v>
          </cell>
          <cell r="Q3">
            <v>39.995217650477144</v>
          </cell>
          <cell r="R3">
            <v>40.020741039637507</v>
          </cell>
          <cell r="S3">
            <v>42.368805198038565</v>
          </cell>
          <cell r="T3">
            <v>42.368805198038565</v>
          </cell>
          <cell r="U3">
            <v>43.006857051434061</v>
          </cell>
          <cell r="V3">
            <v>41.845586666813716</v>
          </cell>
          <cell r="W3">
            <v>37.813044567870669</v>
          </cell>
          <cell r="X3">
            <v>31.981180223726628</v>
          </cell>
          <cell r="Y3">
            <v>30.947518572291692</v>
          </cell>
        </row>
        <row r="4">
          <cell r="B4">
            <v>41.161923557384661</v>
          </cell>
          <cell r="C4">
            <v>36.216924903815787</v>
          </cell>
          <cell r="D4">
            <v>34.096561117866841</v>
          </cell>
          <cell r="E4">
            <v>33.691648371190951</v>
          </cell>
          <cell r="F4">
            <v>35.265166706644465</v>
          </cell>
          <cell r="G4">
            <v>38.0759327548637</v>
          </cell>
          <cell r="H4">
            <v>45.945274418750067</v>
          </cell>
          <cell r="I4">
            <v>51.363857914252421</v>
          </cell>
          <cell r="J4">
            <v>54.36397226733289</v>
          </cell>
          <cell r="K4">
            <v>56.213389721513067</v>
          </cell>
          <cell r="L4">
            <v>56.727717165012599</v>
          </cell>
          <cell r="M4">
            <v>56.13602693224356</v>
          </cell>
          <cell r="N4">
            <v>55.817499446474862</v>
          </cell>
          <cell r="O4">
            <v>54.666430938587787</v>
          </cell>
          <cell r="P4">
            <v>52.926301971725778</v>
          </cell>
          <cell r="Q4">
            <v>51.96798375759154</v>
          </cell>
          <cell r="R4">
            <v>53.823207181536652</v>
          </cell>
          <cell r="S4">
            <v>60.935494732253488</v>
          </cell>
          <cell r="T4">
            <v>62.130997688214556</v>
          </cell>
          <cell r="U4">
            <v>62.5</v>
          </cell>
          <cell r="V4">
            <v>60.64144136208904</v>
          </cell>
          <cell r="W4">
            <v>57.869420599424572</v>
          </cell>
          <cell r="X4">
            <v>52.76844322838636</v>
          </cell>
          <cell r="Y4">
            <v>46.642389516869741</v>
          </cell>
        </row>
      </sheetData>
      <sheetData sheetId="7">
        <row r="2">
          <cell r="B2">
            <v>29.499931179434693</v>
          </cell>
          <cell r="C2">
            <v>27.516010479860856</v>
          </cell>
          <cell r="D2">
            <v>26.072265534636578</v>
          </cell>
          <cell r="E2">
            <v>25.88778974624725</v>
          </cell>
          <cell r="F2">
            <v>26.200055267014402</v>
          </cell>
          <cell r="G2">
            <v>28.799517720329941</v>
          </cell>
          <cell r="H2">
            <v>34.364843139446386</v>
          </cell>
          <cell r="I2">
            <v>41.364794059734798</v>
          </cell>
          <cell r="J2">
            <v>45.035020658611458</v>
          </cell>
          <cell r="K2">
            <v>45.596599697585361</v>
          </cell>
          <cell r="L2">
            <v>44.366100254598379</v>
          </cell>
          <cell r="M2">
            <v>44.594769065273553</v>
          </cell>
          <cell r="N2">
            <v>44.55812233353042</v>
          </cell>
          <cell r="O2">
            <v>43.830512061675655</v>
          </cell>
          <cell r="P2">
            <v>41.332630763609423</v>
          </cell>
          <cell r="Q2">
            <v>40.148435621996803</v>
          </cell>
          <cell r="R2">
            <v>41.812552911962335</v>
          </cell>
          <cell r="S2">
            <v>46.35</v>
          </cell>
          <cell r="T2">
            <v>46.181981983057973</v>
          </cell>
          <cell r="U2">
            <v>45.225848894616213</v>
          </cell>
          <cell r="V2">
            <v>44.448081329901974</v>
          </cell>
          <cell r="W2">
            <v>41.659807457620843</v>
          </cell>
          <cell r="X2">
            <v>36.444580409344631</v>
          </cell>
          <cell r="Y2">
            <v>33.064485451150667</v>
          </cell>
        </row>
        <row r="3">
          <cell r="B3">
            <v>29.168272156546298</v>
          </cell>
          <cell r="C3">
            <v>27.104660340673188</v>
          </cell>
          <cell r="D3">
            <v>24.528433829335619</v>
          </cell>
          <cell r="E3">
            <v>26.381738554156907</v>
          </cell>
          <cell r="F3">
            <v>26.289729555898756</v>
          </cell>
          <cell r="G3">
            <v>27.406965132821547</v>
          </cell>
          <cell r="H3">
            <v>40.787607377771756</v>
          </cell>
          <cell r="I3">
            <v>45.427454171378031</v>
          </cell>
          <cell r="J3">
            <v>49.804415707063548</v>
          </cell>
          <cell r="K3">
            <v>49.830701978233741</v>
          </cell>
          <cell r="L3">
            <v>47.070457466679535</v>
          </cell>
          <cell r="M3">
            <v>51.5</v>
          </cell>
          <cell r="N3">
            <v>48.568882044747767</v>
          </cell>
          <cell r="O3">
            <v>45.466887811331155</v>
          </cell>
          <cell r="P3">
            <v>44.08676414572156</v>
          </cell>
          <cell r="Q3">
            <v>41.195074179991458</v>
          </cell>
          <cell r="R3">
            <v>41.221363270826636</v>
          </cell>
          <cell r="S3">
            <v>43.639869353979726</v>
          </cell>
          <cell r="T3">
            <v>43.639869353979726</v>
          </cell>
          <cell r="U3">
            <v>44.297062762977085</v>
          </cell>
          <cell r="V3">
            <v>43.100954266818128</v>
          </cell>
          <cell r="W3">
            <v>38.94743590490679</v>
          </cell>
          <cell r="X3">
            <v>32.94061563043843</v>
          </cell>
          <cell r="Y3">
            <v>31.875944129460443</v>
          </cell>
        </row>
        <row r="4">
          <cell r="B4">
            <v>42.396781264106203</v>
          </cell>
          <cell r="C4">
            <v>37.303432650930269</v>
          </cell>
          <cell r="D4">
            <v>35.119457951402843</v>
          </cell>
          <cell r="E4">
            <v>34.702397822326681</v>
          </cell>
          <cell r="F4">
            <v>36.323121707843796</v>
          </cell>
          <cell r="G4">
            <v>39.218210737509615</v>
          </cell>
          <cell r="H4">
            <v>47.323632651312565</v>
          </cell>
          <cell r="I4">
            <v>52.904773651679996</v>
          </cell>
          <cell r="J4">
            <v>55.994891435352876</v>
          </cell>
          <cell r="K4">
            <v>57.899791413158461</v>
          </cell>
          <cell r="L4">
            <v>58.429548679962977</v>
          </cell>
          <cell r="M4">
            <v>57.820107740210865</v>
          </cell>
          <cell r="N4">
            <v>57.492024429869112</v>
          </cell>
          <cell r="O4">
            <v>56.306423866745419</v>
          </cell>
          <cell r="P4">
            <v>54.514091030877552</v>
          </cell>
          <cell r="Q4">
            <v>53.52702327031929</v>
          </cell>
          <cell r="R4">
            <v>55.437903396982755</v>
          </cell>
          <cell r="S4">
            <v>62.763559574221098</v>
          </cell>
          <cell r="T4">
            <v>63.994927618860999</v>
          </cell>
          <cell r="U4">
            <v>64.375</v>
          </cell>
          <cell r="V4">
            <v>62.460684602951716</v>
          </cell>
          <cell r="W4">
            <v>59.605503217407311</v>
          </cell>
          <cell r="X4">
            <v>54.351496525237955</v>
          </cell>
          <cell r="Y4">
            <v>48.041661202375835</v>
          </cell>
        </row>
      </sheetData>
      <sheetData sheetId="8">
        <row r="2">
          <cell r="B2">
            <v>28.067895685287372</v>
          </cell>
          <cell r="C2">
            <v>26.180281815789936</v>
          </cell>
          <cell r="D2">
            <v>24.80662157664451</v>
          </cell>
          <cell r="E2">
            <v>24.631100923613889</v>
          </cell>
          <cell r="F2">
            <v>24.928207923955451</v>
          </cell>
          <cell r="G2">
            <v>27.401482879537223</v>
          </cell>
          <cell r="H2">
            <v>32.696646870541223</v>
          </cell>
          <cell r="I2">
            <v>39.356794348097182</v>
          </cell>
          <cell r="J2">
            <v>42.848854607222549</v>
          </cell>
          <cell r="K2">
            <v>43.383172527799658</v>
          </cell>
          <cell r="L2">
            <v>42.212406067481943</v>
          </cell>
          <cell r="M2">
            <v>42.429974450454445</v>
          </cell>
          <cell r="N2">
            <v>42.39510668627166</v>
          </cell>
          <cell r="O2">
            <v>41.702817301400131</v>
          </cell>
          <cell r="P2">
            <v>39.326192377026437</v>
          </cell>
          <cell r="Q2">
            <v>38.199482436462979</v>
          </cell>
          <cell r="R2">
            <v>39.782817333711733</v>
          </cell>
          <cell r="S2">
            <v>44.1</v>
          </cell>
          <cell r="T2">
            <v>43.940138197472628</v>
          </cell>
          <cell r="U2">
            <v>43.03041933662513</v>
          </cell>
          <cell r="V2">
            <v>42.290407478935855</v>
          </cell>
          <cell r="W2">
            <v>39.637486707250901</v>
          </cell>
          <cell r="X2">
            <v>34.675426020541487</v>
          </cell>
          <cell r="Y2">
            <v>31.459413341871503</v>
          </cell>
        </row>
        <row r="3">
          <cell r="B3">
            <v>27.752336614966381</v>
          </cell>
          <cell r="C3">
            <v>25.788900129960897</v>
          </cell>
          <cell r="D3">
            <v>23.337733158008646</v>
          </cell>
          <cell r="E3">
            <v>25.101071634052204</v>
          </cell>
          <cell r="F3">
            <v>25.013529092020175</v>
          </cell>
          <cell r="G3">
            <v>26.07652993219914</v>
          </cell>
          <cell r="H3">
            <v>38.807626437103224</v>
          </cell>
          <cell r="I3">
            <v>43.222237949466482</v>
          </cell>
          <cell r="J3">
            <v>47.386725624196387</v>
          </cell>
          <cell r="K3">
            <v>47.411735862785498</v>
          </cell>
          <cell r="L3">
            <v>44.785483803248489</v>
          </cell>
          <cell r="M3">
            <v>49</v>
          </cell>
          <cell r="N3">
            <v>46.211169324128946</v>
          </cell>
          <cell r="O3">
            <v>43.259757335052939</v>
          </cell>
          <cell r="P3">
            <v>41.946629963890409</v>
          </cell>
          <cell r="Q3">
            <v>39.1953132974676</v>
          </cell>
          <cell r="R3">
            <v>39.220326218844761</v>
          </cell>
          <cell r="S3">
            <v>41.521429094077796</v>
          </cell>
          <cell r="T3">
            <v>41.521429094077796</v>
          </cell>
          <cell r="U3">
            <v>42.14671991040538</v>
          </cell>
          <cell r="V3">
            <v>41.008674933477437</v>
          </cell>
          <cell r="W3">
            <v>37.056783676513255</v>
          </cell>
          <cell r="X3">
            <v>31.341556619252099</v>
          </cell>
          <cell r="Y3">
            <v>30.328568200845858</v>
          </cell>
        </row>
        <row r="4">
          <cell r="B4">
            <v>40.338685086236971</v>
          </cell>
          <cell r="C4">
            <v>35.492586405739473</v>
          </cell>
          <cell r="D4">
            <v>33.414629895509499</v>
          </cell>
          <cell r="E4">
            <v>33.017815403767131</v>
          </cell>
          <cell r="F4">
            <v>34.559863372511572</v>
          </cell>
          <cell r="G4">
            <v>37.314414099766424</v>
          </cell>
          <cell r="H4">
            <v>45.026368930375057</v>
          </cell>
          <cell r="I4">
            <v>50.336580755967368</v>
          </cell>
          <cell r="J4">
            <v>53.276692821986231</v>
          </cell>
          <cell r="K4">
            <v>55.089121927082807</v>
          </cell>
          <cell r="L4">
            <v>55.593162821712347</v>
          </cell>
          <cell r="M4">
            <v>55.01330639359869</v>
          </cell>
          <cell r="N4">
            <v>54.70114945754537</v>
          </cell>
          <cell r="O4">
            <v>53.57310231981603</v>
          </cell>
          <cell r="P4">
            <v>51.867775932291266</v>
          </cell>
          <cell r="Q4">
            <v>50.928624082439704</v>
          </cell>
          <cell r="R4">
            <v>52.746743037905922</v>
          </cell>
          <cell r="S4">
            <v>59.716784837608415</v>
          </cell>
          <cell r="T4">
            <v>60.888377734450266</v>
          </cell>
          <cell r="U4">
            <v>61.25</v>
          </cell>
          <cell r="V4">
            <v>59.428612534847261</v>
          </cell>
          <cell r="W4">
            <v>56.712032187436073</v>
          </cell>
          <cell r="X4">
            <v>51.713074363818635</v>
          </cell>
          <cell r="Y4">
            <v>45.70954172653235</v>
          </cell>
        </row>
      </sheetData>
      <sheetData sheetId="9">
        <row r="2">
          <cell r="B2">
            <v>-12.469785513080238</v>
          </cell>
          <cell r="C2">
            <v>-13.552944458482951</v>
          </cell>
          <cell r="D2">
            <v>-14.59839275357499</v>
          </cell>
          <cell r="E2">
            <v>-14.492120196648649</v>
          </cell>
          <cell r="F2">
            <v>-15</v>
          </cell>
          <cell r="G2">
            <v>-13.35282359736305</v>
          </cell>
          <cell r="H2">
            <v>-9.9436551462545548</v>
          </cell>
          <cell r="I2">
            <v>-4.0930063124960201</v>
          </cell>
          <cell r="J2">
            <v>-1.2053668195189318</v>
          </cell>
          <cell r="K2">
            <v>-0.18855958103093676</v>
          </cell>
          <cell r="L2">
            <v>-1.6927804232274042</v>
          </cell>
          <cell r="M2">
            <v>-1.2444992949422855</v>
          </cell>
          <cell r="N2">
            <v>-1.7225564045393726</v>
          </cell>
          <cell r="O2">
            <v>-1.7376609171962816</v>
          </cell>
          <cell r="P2">
            <v>-4.3928558767051147</v>
          </cell>
          <cell r="Q2">
            <v>-6.3264040784546287</v>
          </cell>
          <cell r="R2">
            <v>-5.6261809952244768</v>
          </cell>
          <cell r="S2">
            <v>-1.9205124586372087</v>
          </cell>
          <cell r="T2">
            <v>-2.7936569679470304</v>
          </cell>
          <cell r="U2">
            <v>-3.5117603225567375</v>
          </cell>
          <cell r="V2">
            <v>-5.5163531393218799</v>
          </cell>
          <cell r="W2">
            <v>-7.1605846200922834</v>
          </cell>
          <cell r="X2">
            <v>-9.6068981828398492</v>
          </cell>
          <cell r="Y2">
            <v>-10.813381136149594</v>
          </cell>
        </row>
        <row r="3">
          <cell r="B3">
            <v>14.127545889467058</v>
          </cell>
          <cell r="C3">
            <v>17.5</v>
          </cell>
          <cell r="D3">
            <v>17.5</v>
          </cell>
          <cell r="E3">
            <v>17.5</v>
          </cell>
          <cell r="F3">
            <v>17.5</v>
          </cell>
          <cell r="G3">
            <v>14.179431683319915</v>
          </cell>
          <cell r="H3">
            <v>6.4314389736126669</v>
          </cell>
          <cell r="I3">
            <v>0.8279811071244515</v>
          </cell>
          <cell r="J3">
            <v>-4.8446504074823817</v>
          </cell>
          <cell r="K3">
            <v>-4.8446504074823817</v>
          </cell>
          <cell r="L3">
            <v>-0.41722598524226717</v>
          </cell>
          <cell r="M3">
            <v>-5.0521935828938114</v>
          </cell>
          <cell r="N3">
            <v>-5.0521935828938114</v>
          </cell>
          <cell r="O3">
            <v>-3.9107469480985446</v>
          </cell>
          <cell r="P3">
            <v>-0.4864070437127439</v>
          </cell>
          <cell r="Q3">
            <v>2.9379217305387932</v>
          </cell>
          <cell r="R3">
            <v>4.0793646552893064</v>
          </cell>
          <cell r="S3">
            <v>4.0793646552893064</v>
          </cell>
          <cell r="T3">
            <v>4.0793646552893064</v>
          </cell>
          <cell r="U3">
            <v>4.0793646552893064</v>
          </cell>
          <cell r="V3">
            <v>4.0793646552893064</v>
          </cell>
          <cell r="W3">
            <v>8.5067890385788196</v>
          </cell>
          <cell r="X3">
            <v>13.00339451928941</v>
          </cell>
          <cell r="Y3">
            <v>13.00339451928941</v>
          </cell>
        </row>
        <row r="4">
          <cell r="B4">
            <v>9.5862253418707848</v>
          </cell>
          <cell r="C4">
            <v>7.3945508941769083</v>
          </cell>
          <cell r="D4">
            <v>6.3301139872096703</v>
          </cell>
          <cell r="E4">
            <v>6.1944372172834452</v>
          </cell>
          <cell r="F4">
            <v>7.0403543352236237</v>
          </cell>
          <cell r="G4">
            <v>8.7415700230074709</v>
          </cell>
          <cell r="H4">
            <v>13.562617537809391</v>
          </cell>
          <cell r="I4">
            <v>16.557360904182715</v>
          </cell>
          <cell r="J4">
            <v>19.129685301172859</v>
          </cell>
          <cell r="K4">
            <v>21.065303619522883</v>
          </cell>
          <cell r="L4">
            <v>21.243078629058768</v>
          </cell>
          <cell r="M4">
            <v>20.862173033119678</v>
          </cell>
          <cell r="N4">
            <v>20.95102394649771</v>
          </cell>
          <cell r="O4">
            <v>20.737230794477721</v>
          </cell>
          <cell r="P4">
            <v>18.707375853174536</v>
          </cell>
          <cell r="Q4">
            <v>17.77368689804371</v>
          </cell>
          <cell r="R4">
            <v>18.342498955643656</v>
          </cell>
          <cell r="S4">
            <v>25</v>
          </cell>
          <cell r="T4">
            <v>24.963707582812827</v>
          </cell>
          <cell r="U4">
            <v>24.201932642157256</v>
          </cell>
          <cell r="V4">
            <v>22.401441623691078</v>
          </cell>
          <cell r="W4">
            <v>19.922348287051417</v>
          </cell>
          <cell r="X4">
            <v>16.249130246379966</v>
          </cell>
          <cell r="Y4">
            <v>12.466213225438899</v>
          </cell>
        </row>
      </sheetData>
      <sheetData sheetId="10">
        <row r="2">
          <cell r="B2">
            <v>-12.843879078472645</v>
          </cell>
          <cell r="C2">
            <v>-13.959532792237439</v>
          </cell>
          <cell r="D2">
            <v>-15.03634453618224</v>
          </cell>
          <cell r="E2">
            <v>-14.92688380254811</v>
          </cell>
          <cell r="F2">
            <v>-15.450000000000001</v>
          </cell>
          <cell r="G2">
            <v>-13.753408305283942</v>
          </cell>
          <cell r="H2">
            <v>-10.24196480064219</v>
          </cell>
          <cell r="I2">
            <v>-4.2157965018709005</v>
          </cell>
          <cell r="J2">
            <v>-1.2415278241044996</v>
          </cell>
          <cell r="K2">
            <v>-0.19421636846186485</v>
          </cell>
          <cell r="L2">
            <v>-1.7435638359242263</v>
          </cell>
          <cell r="M2">
            <v>-1.2818342737905541</v>
          </cell>
          <cell r="N2">
            <v>-1.774233096675554</v>
          </cell>
          <cell r="O2">
            <v>-1.7897907447121701</v>
          </cell>
          <cell r="P2">
            <v>-4.5246415530062682</v>
          </cell>
          <cell r="Q2">
            <v>-6.5161962008082677</v>
          </cell>
          <cell r="R2">
            <v>-5.7949664250812116</v>
          </cell>
          <cell r="S2">
            <v>-1.9781278323963249</v>
          </cell>
          <cell r="T2">
            <v>-2.8774666769854416</v>
          </cell>
          <cell r="U2">
            <v>-3.6171131322334396</v>
          </cell>
          <cell r="V2">
            <v>-5.6818437335015366</v>
          </cell>
          <cell r="W2">
            <v>-7.375402158695052</v>
          </cell>
          <cell r="X2">
            <v>-9.8951051283250457</v>
          </cell>
          <cell r="Y2">
            <v>-11.137782570234082</v>
          </cell>
        </row>
        <row r="3">
          <cell r="B3">
            <v>14.55137226615107</v>
          </cell>
          <cell r="C3">
            <v>18.025000000000002</v>
          </cell>
          <cell r="D3">
            <v>18.025000000000002</v>
          </cell>
          <cell r="E3">
            <v>18.025000000000002</v>
          </cell>
          <cell r="F3">
            <v>18.025000000000002</v>
          </cell>
          <cell r="G3">
            <v>14.604814633819514</v>
          </cell>
          <cell r="H3">
            <v>6.6243821428210472</v>
          </cell>
          <cell r="I3">
            <v>0.85282054033818511</v>
          </cell>
          <cell r="J3">
            <v>-4.9899899197068533</v>
          </cell>
          <cell r="K3">
            <v>-4.9899899197068533</v>
          </cell>
          <cell r="L3">
            <v>-0.42974276479953516</v>
          </cell>
          <cell r="M3">
            <v>-5.2037593903806263</v>
          </cell>
          <cell r="N3">
            <v>-5.2037593903806263</v>
          </cell>
          <cell r="O3">
            <v>-4.0280693565415007</v>
          </cell>
          <cell r="P3">
            <v>-0.50099925502412623</v>
          </cell>
          <cell r="Q3">
            <v>3.0260593824549575</v>
          </cell>
          <cell r="R3">
            <v>4.2017455949479858</v>
          </cell>
          <cell r="S3">
            <v>4.2017455949479858</v>
          </cell>
          <cell r="T3">
            <v>4.2017455949479858</v>
          </cell>
          <cell r="U3">
            <v>4.2017455949479858</v>
          </cell>
          <cell r="V3">
            <v>4.2017455949479858</v>
          </cell>
          <cell r="W3">
            <v>8.7619927097361838</v>
          </cell>
          <cell r="X3">
            <v>13.393496354868093</v>
          </cell>
          <cell r="Y3">
            <v>13.393496354868093</v>
          </cell>
        </row>
        <row r="4">
          <cell r="B4">
            <v>9.8738121021269087</v>
          </cell>
          <cell r="C4">
            <v>7.6163874210022158</v>
          </cell>
          <cell r="D4">
            <v>6.5200174068259606</v>
          </cell>
          <cell r="E4">
            <v>6.3802703338019491</v>
          </cell>
          <cell r="F4">
            <v>7.2515649652803322</v>
          </cell>
          <cell r="G4">
            <v>9.0038171236976954</v>
          </cell>
          <cell r="H4">
            <v>13.969496063943673</v>
          </cell>
          <cell r="I4">
            <v>17.054081731308198</v>
          </cell>
          <cell r="J4">
            <v>19.703575860208048</v>
          </cell>
          <cell r="K4">
            <v>21.697262728108569</v>
          </cell>
          <cell r="L4">
            <v>21.880370987930529</v>
          </cell>
          <cell r="M4">
            <v>21.488038224113268</v>
          </cell>
          <cell r="N4">
            <v>21.57955466489264</v>
          </cell>
          <cell r="O4">
            <v>21.359347718312051</v>
          </cell>
          <cell r="P4">
            <v>19.268597128769773</v>
          </cell>
          <cell r="Q4">
            <v>18.306897504985024</v>
          </cell>
          <cell r="R4">
            <v>18.892773924312966</v>
          </cell>
          <cell r="S4">
            <v>25.75</v>
          </cell>
          <cell r="T4">
            <v>25.712618810297212</v>
          </cell>
          <cell r="U4">
            <v>24.927990621421976</v>
          </cell>
          <cell r="V4">
            <v>23.07348487240181</v>
          </cell>
          <cell r="W4">
            <v>20.520018735662958</v>
          </cell>
          <cell r="X4">
            <v>16.736604153771367</v>
          </cell>
          <cell r="Y4">
            <v>12.840199622202068</v>
          </cell>
        </row>
      </sheetData>
      <sheetData sheetId="11">
        <row r="2">
          <cell r="B2">
            <v>-12.220389802818632</v>
          </cell>
          <cell r="C2">
            <v>-13.281885569313291</v>
          </cell>
          <cell r="D2">
            <v>-14.30642489850349</v>
          </cell>
          <cell r="E2">
            <v>-14.202277792715677</v>
          </cell>
          <cell r="F2">
            <v>-14.7</v>
          </cell>
          <cell r="G2">
            <v>-13.08576712541579</v>
          </cell>
          <cell r="H2">
            <v>-9.7447820433294616</v>
          </cell>
          <cell r="I2">
            <v>-4.0111461862460995</v>
          </cell>
          <cell r="J2">
            <v>-1.181259483128553</v>
          </cell>
          <cell r="K2">
            <v>-0.18478838941031803</v>
          </cell>
          <cell r="L2">
            <v>-1.6589248147628561</v>
          </cell>
          <cell r="M2">
            <v>-1.2196093090434397</v>
          </cell>
          <cell r="N2">
            <v>-1.6881052764485851</v>
          </cell>
          <cell r="O2">
            <v>-1.7029076988523559</v>
          </cell>
          <cell r="P2">
            <v>-4.3049987591710126</v>
          </cell>
          <cell r="Q2">
            <v>-6.1998759968855355</v>
          </cell>
          <cell r="R2">
            <v>-5.5136573753199869</v>
          </cell>
          <cell r="S2">
            <v>-1.8821022094644642</v>
          </cell>
          <cell r="T2">
            <v>-2.73778382858809</v>
          </cell>
          <cell r="U2">
            <v>-3.4415251161056029</v>
          </cell>
          <cell r="V2">
            <v>-5.4060260765354426</v>
          </cell>
          <cell r="W2">
            <v>-7.0173729276904373</v>
          </cell>
          <cell r="X2">
            <v>-9.4147602191830515</v>
          </cell>
          <cell r="Y2">
            <v>-10.597113513426603</v>
          </cell>
        </row>
        <row r="3">
          <cell r="B3">
            <v>13.844994971677718</v>
          </cell>
          <cell r="C3">
            <v>17.149999999999999</v>
          </cell>
          <cell r="D3">
            <v>17.149999999999999</v>
          </cell>
          <cell r="E3">
            <v>17.149999999999999</v>
          </cell>
          <cell r="F3">
            <v>17.149999999999999</v>
          </cell>
          <cell r="G3">
            <v>13.895843049653516</v>
          </cell>
          <cell r="H3">
            <v>6.302810194140414</v>
          </cell>
          <cell r="I3">
            <v>0.81142148498196243</v>
          </cell>
          <cell r="J3">
            <v>-4.7477573993327349</v>
          </cell>
          <cell r="K3">
            <v>-4.7477573993327349</v>
          </cell>
          <cell r="L3">
            <v>-0.40888146553742183</v>
          </cell>
          <cell r="M3">
            <v>-4.9511497112359351</v>
          </cell>
          <cell r="N3">
            <v>-4.9511497112359351</v>
          </cell>
          <cell r="O3">
            <v>-3.8325320091365733</v>
          </cell>
          <cell r="P3">
            <v>-0.47667890283848902</v>
          </cell>
          <cell r="Q3">
            <v>2.8791632959280173</v>
          </cell>
          <cell r="R3">
            <v>3.9977773621835202</v>
          </cell>
          <cell r="S3">
            <v>3.9977773621835202</v>
          </cell>
          <cell r="T3">
            <v>3.9977773621835202</v>
          </cell>
          <cell r="U3">
            <v>3.9977773621835202</v>
          </cell>
          <cell r="V3">
            <v>3.9977773621835202</v>
          </cell>
          <cell r="W3">
            <v>8.3366532578072423</v>
          </cell>
          <cell r="X3">
            <v>12.743326628903622</v>
          </cell>
          <cell r="Y3">
            <v>12.743326628903622</v>
          </cell>
        </row>
        <row r="4">
          <cell r="B4">
            <v>9.3945008350333676</v>
          </cell>
          <cell r="C4">
            <v>7.2466598762933714</v>
          </cell>
          <cell r="D4">
            <v>6.2035117074654771</v>
          </cell>
          <cell r="E4">
            <v>6.0705484729377766</v>
          </cell>
          <cell r="F4">
            <v>6.8995472485191511</v>
          </cell>
          <cell r="G4">
            <v>8.5667386225473212</v>
          </cell>
          <cell r="H4">
            <v>13.291365187053202</v>
          </cell>
          <cell r="I4">
            <v>16.226213686099062</v>
          </cell>
          <cell r="J4">
            <v>18.747091595149403</v>
          </cell>
          <cell r="K4">
            <v>20.643997547132422</v>
          </cell>
          <cell r="L4">
            <v>20.818217056477593</v>
          </cell>
          <cell r="M4">
            <v>20.444929572457283</v>
          </cell>
          <cell r="N4">
            <v>20.532003467567755</v>
          </cell>
          <cell r="O4">
            <v>20.322486178588168</v>
          </cell>
          <cell r="P4">
            <v>18.333228336111045</v>
          </cell>
          <cell r="Q4">
            <v>17.418213160082839</v>
          </cell>
          <cell r="R4">
            <v>17.975648976530785</v>
          </cell>
          <cell r="S4">
            <v>24.5</v>
          </cell>
          <cell r="T4">
            <v>24.464433431156571</v>
          </cell>
          <cell r="U4">
            <v>23.71789398931411</v>
          </cell>
          <cell r="V4">
            <v>21.953412791217257</v>
          </cell>
          <cell r="W4">
            <v>19.52390132131039</v>
          </cell>
          <cell r="X4">
            <v>15.924147641452368</v>
          </cell>
          <cell r="Y4">
            <v>12.21688896093012</v>
          </cell>
        </row>
      </sheetData>
      <sheetData sheetId="12">
        <row r="2">
          <cell r="B2">
            <v>29.804176869297603</v>
          </cell>
          <cell r="C2">
            <v>26.644820270777611</v>
          </cell>
          <cell r="D2">
            <v>25.411595180390687</v>
          </cell>
          <cell r="E2">
            <v>25.353147791464139</v>
          </cell>
          <cell r="F2">
            <v>25.039313582222675</v>
          </cell>
          <cell r="G2">
            <v>26.165973821904611</v>
          </cell>
          <cell r="H2">
            <v>29.430377367433447</v>
          </cell>
          <cell r="I2">
            <v>36.732334527504271</v>
          </cell>
          <cell r="J2">
            <v>39.367123462487584</v>
          </cell>
          <cell r="K2">
            <v>41.249793296271953</v>
          </cell>
          <cell r="L2">
            <v>42.613662696283143</v>
          </cell>
          <cell r="M2">
            <v>41.488990378462901</v>
          </cell>
          <cell r="N2">
            <v>42.144125178070063</v>
          </cell>
          <cell r="O2">
            <v>42.992097653227766</v>
          </cell>
          <cell r="P2">
            <v>39.479340247125904</v>
          </cell>
          <cell r="Q2">
            <v>36.428881355961025</v>
          </cell>
          <cell r="R2">
            <v>37.805851311810983</v>
          </cell>
          <cell r="S2">
            <v>39.734333964177125</v>
          </cell>
          <cell r="T2">
            <v>42.111111160488811</v>
          </cell>
          <cell r="U2">
            <v>41.372677006938666</v>
          </cell>
          <cell r="V2">
            <v>39.85772609006446</v>
          </cell>
          <cell r="W2">
            <v>41.307497267714197</v>
          </cell>
          <cell r="X2">
            <v>34.612315009335632</v>
          </cell>
          <cell r="Y2">
            <v>34.755218765474922</v>
          </cell>
        </row>
        <row r="3">
          <cell r="B3">
            <v>28.875350957191564</v>
          </cell>
          <cell r="C3">
            <v>27.891355389404048</v>
          </cell>
          <cell r="D3">
            <v>25.050316632719948</v>
          </cell>
          <cell r="E3">
            <v>25.982571774500563</v>
          </cell>
          <cell r="F3">
            <v>25.103250102643042</v>
          </cell>
          <cell r="G3">
            <v>27.844198263445165</v>
          </cell>
          <cell r="H3">
            <v>36.289512364289422</v>
          </cell>
          <cell r="I3">
            <v>42.769788910744744</v>
          </cell>
          <cell r="J3">
            <v>46.473808680087728</v>
          </cell>
          <cell r="K3">
            <v>45.159921141297353</v>
          </cell>
          <cell r="L3">
            <v>42.634595816865414</v>
          </cell>
          <cell r="M3">
            <v>46.5</v>
          </cell>
          <cell r="N3">
            <v>44.729999659053554</v>
          </cell>
          <cell r="O3">
            <v>42.891339429203121</v>
          </cell>
          <cell r="P3">
            <v>42.251485069560395</v>
          </cell>
          <cell r="Q3">
            <v>40.546316489666197</v>
          </cell>
          <cell r="R3">
            <v>37.68679268613819</v>
          </cell>
          <cell r="S3">
            <v>41.229757874939587</v>
          </cell>
          <cell r="T3">
            <v>41.405066520114509</v>
          </cell>
          <cell r="U3">
            <v>40.281515628413231</v>
          </cell>
          <cell r="V3">
            <v>38.517973643105648</v>
          </cell>
          <cell r="W3">
            <v>37.941956418315435</v>
          </cell>
          <cell r="X3">
            <v>34.925716207720136</v>
          </cell>
          <cell r="Y3">
            <v>32.345827987123428</v>
          </cell>
        </row>
        <row r="4">
          <cell r="B4">
            <v>40.138293234919523</v>
          </cell>
          <cell r="C4">
            <v>34.945146189419937</v>
          </cell>
          <cell r="D4">
            <v>35.238338785050757</v>
          </cell>
          <cell r="E4">
            <v>32.442569312376285</v>
          </cell>
          <cell r="F4">
            <v>34.614280706719995</v>
          </cell>
          <cell r="G4">
            <v>34.120402260241164</v>
          </cell>
          <cell r="H4">
            <v>39.887077093422469</v>
          </cell>
          <cell r="I4">
            <v>44.302198024984683</v>
          </cell>
          <cell r="J4">
            <v>51.252381832168346</v>
          </cell>
          <cell r="K4">
            <v>52.588558489906255</v>
          </cell>
          <cell r="L4">
            <v>54.479497589850986</v>
          </cell>
          <cell r="M4">
            <v>57.45934099700068</v>
          </cell>
          <cell r="N4">
            <v>57.834456662186497</v>
          </cell>
          <cell r="O4">
            <v>57.395412652249817</v>
          </cell>
          <cell r="P4">
            <v>54.188584333481991</v>
          </cell>
          <cell r="Q4">
            <v>54.751525291537526</v>
          </cell>
          <cell r="R4">
            <v>54.536650589645262</v>
          </cell>
          <cell r="S4">
            <v>56.295189884377749</v>
          </cell>
          <cell r="T4">
            <v>56.248056207175203</v>
          </cell>
          <cell r="U4">
            <v>55.102772670021572</v>
          </cell>
          <cell r="V4">
            <v>53.811540954047096</v>
          </cell>
          <cell r="W4">
            <v>56.384843977543227</v>
          </cell>
          <cell r="X4">
            <v>51.819161667131951</v>
          </cell>
          <cell r="Y4">
            <v>47.11949991002956</v>
          </cell>
        </row>
      </sheetData>
      <sheetData sheetId="13">
        <row r="2">
          <cell r="B2">
            <v>30.698302175376529</v>
          </cell>
          <cell r="C2">
            <v>27.444164878900942</v>
          </cell>
          <cell r="D2">
            <v>26.173943035802409</v>
          </cell>
          <cell r="E2">
            <v>26.113742225208064</v>
          </cell>
          <cell r="F2">
            <v>25.790492989689358</v>
          </cell>
          <cell r="G2">
            <v>26.950953036561749</v>
          </cell>
          <cell r="H2">
            <v>30.313288688456449</v>
          </cell>
          <cell r="I2">
            <v>37.834304563329397</v>
          </cell>
          <cell r="J2">
            <v>40.54813716636221</v>
          </cell>
          <cell r="K2">
            <v>42.487287095160113</v>
          </cell>
          <cell r="L2">
            <v>43.892072577171639</v>
          </cell>
          <cell r="M2">
            <v>42.733660089816794</v>
          </cell>
          <cell r="N2">
            <v>43.408448933412167</v>
          </cell>
          <cell r="O2">
            <v>44.281860582824599</v>
          </cell>
          <cell r="P2">
            <v>40.663720454539686</v>
          </cell>
          <cell r="Q2">
            <v>37.521747796639858</v>
          </cell>
          <cell r="R2">
            <v>38.940026851165314</v>
          </cell>
          <cell r="S2">
            <v>40.926363983102441</v>
          </cell>
          <cell r="T2">
            <v>43.374444495303479</v>
          </cell>
          <cell r="U2">
            <v>42.613857317146824</v>
          </cell>
          <cell r="V2">
            <v>41.053457872766394</v>
          </cell>
          <cell r="W2">
            <v>42.546722185745622</v>
          </cell>
          <cell r="X2">
            <v>35.650684459615697</v>
          </cell>
          <cell r="Y2">
            <v>35.797875328439176</v>
          </cell>
        </row>
        <row r="3">
          <cell r="B3">
            <v>29.74161148590731</v>
          </cell>
          <cell r="C3">
            <v>28.728096051086172</v>
          </cell>
          <cell r="D3">
            <v>25.801826131701549</v>
          </cell>
          <cell r="E3">
            <v>26.762048927735581</v>
          </cell>
          <cell r="F3">
            <v>25.856347605722334</v>
          </cell>
          <cell r="G3">
            <v>28.679524211348518</v>
          </cell>
          <cell r="H3">
            <v>37.378197735218102</v>
          </cell>
          <cell r="I3">
            <v>44.052882578067084</v>
          </cell>
          <cell r="J3">
            <v>47.868022940490363</v>
          </cell>
          <cell r="K3">
            <v>46.514718775536281</v>
          </cell>
          <cell r="L3">
            <v>43.913633691371381</v>
          </cell>
          <cell r="M3">
            <v>47.895000000000003</v>
          </cell>
          <cell r="N3">
            <v>46.071899648825159</v>
          </cell>
          <cell r="O3">
            <v>44.178079612079216</v>
          </cell>
          <cell r="P3">
            <v>43.519029621647206</v>
          </cell>
          <cell r="Q3">
            <v>41.762705984356181</v>
          </cell>
          <cell r="R3">
            <v>38.817396466722343</v>
          </cell>
          <cell r="S3">
            <v>42.466650611187781</v>
          </cell>
          <cell r="T3">
            <v>42.647218515717945</v>
          </cell>
          <cell r="U3">
            <v>41.489961097265635</v>
          </cell>
          <cell r="V3">
            <v>39.673512852398822</v>
          </cell>
          <cell r="W3">
            <v>39.080215110864899</v>
          </cell>
          <cell r="X3">
            <v>35.973487693951739</v>
          </cell>
          <cell r="Y3">
            <v>33.316202826737126</v>
          </cell>
        </row>
        <row r="4">
          <cell r="B4">
            <v>41.34244203196711</v>
          </cell>
          <cell r="C4">
            <v>35.99350057510253</v>
          </cell>
          <cell r="D4">
            <v>36.295488948602284</v>
          </cell>
          <cell r="E4">
            <v>33.415846391747579</v>
          </cell>
          <cell r="F4">
            <v>35.652709127921597</v>
          </cell>
          <cell r="G4">
            <v>35.144014328048399</v>
          </cell>
          <cell r="H4">
            <v>41.08368940622514</v>
          </cell>
          <cell r="I4">
            <v>45.631263965734227</v>
          </cell>
          <cell r="J4">
            <v>52.7899532871334</v>
          </cell>
          <cell r="K4">
            <v>54.166215244603443</v>
          </cell>
          <cell r="L4">
            <v>56.113882517546521</v>
          </cell>
          <cell r="M4">
            <v>59.183121226910707</v>
          </cell>
          <cell r="N4">
            <v>59.5694903620521</v>
          </cell>
          <cell r="O4">
            <v>59.117275031817307</v>
          </cell>
          <cell r="P4">
            <v>55.814241863486451</v>
          </cell>
          <cell r="Q4">
            <v>56.394071050283657</v>
          </cell>
          <cell r="R4">
            <v>56.172750107334622</v>
          </cell>
          <cell r="S4">
            <v>57.984045580909083</v>
          </cell>
          <cell r="T4">
            <v>57.935497893390462</v>
          </cell>
          <cell r="U4">
            <v>56.755855850122224</v>
          </cell>
          <cell r="V4">
            <v>55.425887182668511</v>
          </cell>
          <cell r="W4">
            <v>58.076389296869522</v>
          </cell>
          <cell r="X4">
            <v>53.373736517145907</v>
          </cell>
          <cell r="Y4">
            <v>48.533084907330448</v>
          </cell>
        </row>
      </sheetData>
      <sheetData sheetId="14">
        <row r="2">
          <cell r="B2">
            <v>29.208093331911648</v>
          </cell>
          <cell r="C2">
            <v>26.111923865362058</v>
          </cell>
          <cell r="D2">
            <v>24.903363276782876</v>
          </cell>
          <cell r="E2">
            <v>24.846084835634855</v>
          </cell>
          <cell r="F2">
            <v>24.538527310578218</v>
          </cell>
          <cell r="G2">
            <v>25.642654345466518</v>
          </cell>
          <cell r="H2">
            <v>28.841769820084778</v>
          </cell>
          <cell r="I2">
            <v>35.997687836954178</v>
          </cell>
          <cell r="J2">
            <v>38.579780993237826</v>
          </cell>
          <cell r="K2">
            <v>40.424797430346516</v>
          </cell>
          <cell r="L2">
            <v>41.761389442357483</v>
          </cell>
          <cell r="M2">
            <v>40.659210570893649</v>
          </cell>
          <cell r="N2">
            <v>41.301242674508664</v>
          </cell>
          <cell r="O2">
            <v>42.132255700163206</v>
          </cell>
          <cell r="P2">
            <v>38.689753442183388</v>
          </cell>
          <cell r="Q2">
            <v>35.700303728841803</v>
          </cell>
          <cell r="R2">
            <v>37.049734285574765</v>
          </cell>
          <cell r="S2">
            <v>38.939647284893582</v>
          </cell>
          <cell r="T2">
            <v>41.26888893727903</v>
          </cell>
          <cell r="U2">
            <v>40.545223466799889</v>
          </cell>
          <cell r="V2">
            <v>39.060571568263171</v>
          </cell>
          <cell r="W2">
            <v>40.481347322359916</v>
          </cell>
          <cell r="X2">
            <v>33.920068709148914</v>
          </cell>
          <cell r="Y2">
            <v>34.060114390165424</v>
          </cell>
        </row>
        <row r="3">
          <cell r="B3">
            <v>28.297843938047734</v>
          </cell>
          <cell r="C3">
            <v>27.333528281615965</v>
          </cell>
          <cell r="D3">
            <v>24.549310300065549</v>
          </cell>
          <cell r="E3">
            <v>25.462920339010552</v>
          </cell>
          <cell r="F3">
            <v>24.601185100590182</v>
          </cell>
          <cell r="G3">
            <v>27.287314298176256</v>
          </cell>
          <cell r="H3">
            <v>35.563722117003636</v>
          </cell>
          <cell r="I3">
            <v>41.914393132529845</v>
          </cell>
          <cell r="J3">
            <v>45.544332506485972</v>
          </cell>
          <cell r="K3">
            <v>44.256722718471408</v>
          </cell>
          <cell r="L3">
            <v>41.781903900528107</v>
          </cell>
          <cell r="M3">
            <v>45.57</v>
          </cell>
          <cell r="N3">
            <v>43.83539966587248</v>
          </cell>
          <cell r="O3">
            <v>42.033512640619058</v>
          </cell>
          <cell r="P3">
            <v>41.40645536816919</v>
          </cell>
          <cell r="Q3">
            <v>39.735390159872871</v>
          </cell>
          <cell r="R3">
            <v>36.933056832415431</v>
          </cell>
          <cell r="S3">
            <v>40.405162717440795</v>
          </cell>
          <cell r="T3">
            <v>40.576965189712219</v>
          </cell>
          <cell r="U3">
            <v>39.47588531584497</v>
          </cell>
          <cell r="V3">
            <v>37.747614170243537</v>
          </cell>
          <cell r="W3">
            <v>37.183117289949124</v>
          </cell>
          <cell r="X3">
            <v>34.227201883565733</v>
          </cell>
          <cell r="Y3">
            <v>31.69891142738096</v>
          </cell>
        </row>
        <row r="4">
          <cell r="B4">
            <v>39.335527370221129</v>
          </cell>
          <cell r="C4">
            <v>34.246243265631534</v>
          </cell>
          <cell r="D4">
            <v>34.53357200934974</v>
          </cell>
          <cell r="E4">
            <v>31.793717926128764</v>
          </cell>
          <cell r="F4">
            <v>33.92199509258559</v>
          </cell>
          <cell r="G4">
            <v>33.437994215036341</v>
          </cell>
          <cell r="H4">
            <v>39.089335551554022</v>
          </cell>
          <cell r="I4">
            <v>43.416154064484985</v>
          </cell>
          <cell r="J4">
            <v>50.227334195524975</v>
          </cell>
          <cell r="K4">
            <v>51.536787320108125</v>
          </cell>
          <cell r="L4">
            <v>53.38990763805397</v>
          </cell>
          <cell r="M4">
            <v>56.310154177060667</v>
          </cell>
          <cell r="N4">
            <v>56.677767528942766</v>
          </cell>
          <cell r="O4">
            <v>56.247504399204821</v>
          </cell>
          <cell r="P4">
            <v>53.104812646812348</v>
          </cell>
          <cell r="Q4">
            <v>53.656494785706776</v>
          </cell>
          <cell r="R4">
            <v>53.445917577852356</v>
          </cell>
          <cell r="S4">
            <v>55.169286086690185</v>
          </cell>
          <cell r="T4">
            <v>55.1230950830317</v>
          </cell>
          <cell r="U4">
            <v>54.00071721662114</v>
          </cell>
          <cell r="V4">
            <v>52.735310134966156</v>
          </cell>
          <cell r="W4">
            <v>55.257147097992359</v>
          </cell>
          <cell r="X4">
            <v>50.782778433789311</v>
          </cell>
          <cell r="Y4">
            <v>46.177109911828964</v>
          </cell>
        </row>
      </sheetData>
      <sheetData sheetId="15">
        <row r="2">
          <cell r="B2">
            <v>-11.088841925983788</v>
          </cell>
          <cell r="C2">
            <v>-13.065323033043761</v>
          </cell>
          <cell r="D2">
            <v>-14.684923998850405</v>
          </cell>
          <cell r="E2">
            <v>-13.830347092910559</v>
          </cell>
          <cell r="F2">
            <v>-13.969399347096569</v>
          </cell>
          <cell r="G2">
            <v>-13.733839083829603</v>
          </cell>
          <cell r="H2">
            <v>-11.42434438615695</v>
          </cell>
          <cell r="I2">
            <v>-2.7372853032067219</v>
          </cell>
          <cell r="J2">
            <v>3.067458834337967</v>
          </cell>
          <cell r="K2">
            <v>5.5999989790138986</v>
          </cell>
          <cell r="L2">
            <v>3.6701180867174648</v>
          </cell>
          <cell r="M2">
            <v>5.0444104809313339</v>
          </cell>
          <cell r="N2">
            <v>4.4223529988851746</v>
          </cell>
          <cell r="O2">
            <v>4.4212663008034578</v>
          </cell>
          <cell r="P2">
            <v>1.0160953442116454</v>
          </cell>
          <cell r="Q2">
            <v>-1.8396861042081714</v>
          </cell>
          <cell r="R2">
            <v>-0.79459390599102997</v>
          </cell>
          <cell r="S2">
            <v>1.137649286212379</v>
          </cell>
          <cell r="T2">
            <v>6.8719547083179386E-2</v>
          </cell>
          <cell r="U2">
            <v>-1.4718026832605351</v>
          </cell>
          <cell r="V2">
            <v>-2.987202385176956</v>
          </cell>
          <cell r="W2">
            <v>-3.2933486610726868</v>
          </cell>
          <cell r="X2">
            <v>-6.3080766097708816</v>
          </cell>
          <cell r="Y2">
            <v>-7.9487186287736025</v>
          </cell>
        </row>
        <row r="3">
          <cell r="B3">
            <v>-2.0416492018416124</v>
          </cell>
          <cell r="C3">
            <v>-0.62549122389476985</v>
          </cell>
          <cell r="D3">
            <v>-2.6193939123207386</v>
          </cell>
          <cell r="E3">
            <v>-3.8149999999999995</v>
          </cell>
          <cell r="F3">
            <v>-2.8000000000000007</v>
          </cell>
          <cell r="G3">
            <v>-4.2802514138049919</v>
          </cell>
          <cell r="H3">
            <v>-1.4658471276391805</v>
          </cell>
          <cell r="I3">
            <v>1.1643132923190587</v>
          </cell>
          <cell r="J3">
            <v>0.66692099127970028</v>
          </cell>
          <cell r="K3">
            <v>0.80169965916860464</v>
          </cell>
          <cell r="L3">
            <v>2.1379066004862848</v>
          </cell>
          <cell r="M3">
            <v>1.2887270380343245</v>
          </cell>
          <cell r="N3">
            <v>2.3609502665246009</v>
          </cell>
          <cell r="O3">
            <v>3.3430240018811648</v>
          </cell>
          <cell r="P3">
            <v>2.4042439160597446</v>
          </cell>
          <cell r="Q3">
            <v>3.2723933788967976</v>
          </cell>
          <cell r="R3">
            <v>1.2337607500799099</v>
          </cell>
          <cell r="S3">
            <v>1.1521734569741238</v>
          </cell>
          <cell r="T3">
            <v>1.2337607500799099</v>
          </cell>
          <cell r="U3">
            <v>1.1368511337022784</v>
          </cell>
          <cell r="V3">
            <v>-0.58773988762411578</v>
          </cell>
          <cell r="W3">
            <v>0.53037799112387607</v>
          </cell>
          <cell r="X3">
            <v>-2.9395683403642692</v>
          </cell>
          <cell r="Y3">
            <v>-2.6512951820839734</v>
          </cell>
        </row>
        <row r="4">
          <cell r="B4">
            <v>9.4393191010555899</v>
          </cell>
          <cell r="C4">
            <v>7.4966547713080836</v>
          </cell>
          <cell r="D4">
            <v>6.9597908049056638</v>
          </cell>
          <cell r="E4">
            <v>6.4288857936403154</v>
          </cell>
          <cell r="F4">
            <v>6.859975883228171</v>
          </cell>
          <cell r="G4">
            <v>5.3109564507033715</v>
          </cell>
          <cell r="H4">
            <v>9.085447883450259</v>
          </cell>
          <cell r="I4">
            <v>13.092182632975129</v>
          </cell>
          <cell r="J4">
            <v>17.717818939306181</v>
          </cell>
          <cell r="K4">
            <v>20.848274955873382</v>
          </cell>
          <cell r="L4">
            <v>21.195241729266453</v>
          </cell>
          <cell r="M4">
            <v>21.511095728825421</v>
          </cell>
          <cell r="N4">
            <v>23.100164598932942</v>
          </cell>
          <cell r="O4">
            <v>22.244892317791091</v>
          </cell>
          <cell r="P4">
            <v>20.660467992445859</v>
          </cell>
          <cell r="Q4">
            <v>20.502954463113181</v>
          </cell>
          <cell r="R4">
            <v>19.903721709814427</v>
          </cell>
          <cell r="S4">
            <v>20.929236545383567</v>
          </cell>
          <cell r="T4">
            <v>20.783883202483562</v>
          </cell>
          <cell r="U4">
            <v>20.53977177214384</v>
          </cell>
          <cell r="V4">
            <v>17.673466241030393</v>
          </cell>
          <cell r="W4">
            <v>19.175684953740713</v>
          </cell>
          <cell r="X4">
            <v>16.189065446942021</v>
          </cell>
          <cell r="Y4">
            <v>13.449246788708443</v>
          </cell>
        </row>
      </sheetData>
      <sheetData sheetId="16">
        <row r="2">
          <cell r="B2">
            <v>-11.421507183763302</v>
          </cell>
          <cell r="C2">
            <v>-13.457282724035073</v>
          </cell>
          <cell r="D2">
            <v>-15.125471718815918</v>
          </cell>
          <cell r="E2">
            <v>-14.245257505697877</v>
          </cell>
          <cell r="F2">
            <v>-14.388481327509467</v>
          </cell>
          <cell r="G2">
            <v>-14.145854256344492</v>
          </cell>
          <cell r="H2">
            <v>-11.767074717741659</v>
          </cell>
          <cell r="I2">
            <v>-2.8194038623029241</v>
          </cell>
          <cell r="J2">
            <v>3.1594825993681059</v>
          </cell>
          <cell r="K2">
            <v>5.7679989483843155</v>
          </cell>
          <cell r="L2">
            <v>3.780221629318989</v>
          </cell>
          <cell r="M2">
            <v>5.1957427953592745</v>
          </cell>
          <cell r="N2">
            <v>4.5550235888517303</v>
          </cell>
          <cell r="O2">
            <v>4.5539042898275621</v>
          </cell>
          <cell r="P2">
            <v>1.0465782045379948</v>
          </cell>
          <cell r="Q2">
            <v>-1.8948766873344167</v>
          </cell>
          <cell r="R2">
            <v>-0.81843172317076096</v>
          </cell>
          <cell r="S2">
            <v>1.1717787647987503</v>
          </cell>
          <cell r="T2">
            <v>7.0781133495674775E-2</v>
          </cell>
          <cell r="U2">
            <v>-1.5159567637583511</v>
          </cell>
          <cell r="V2">
            <v>-3.0768184567322647</v>
          </cell>
          <cell r="W2">
            <v>-3.3921491209048673</v>
          </cell>
          <cell r="X2">
            <v>-6.4973189080640088</v>
          </cell>
          <cell r="Y2">
            <v>-8.1871801876368107</v>
          </cell>
        </row>
        <row r="3">
          <cell r="B3">
            <v>-2.1028986778968606</v>
          </cell>
          <cell r="C3">
            <v>-0.64425596061161305</v>
          </cell>
          <cell r="D3">
            <v>-2.6979757296903606</v>
          </cell>
          <cell r="E3">
            <v>-3.9294499999999997</v>
          </cell>
          <cell r="F3">
            <v>-2.8840000000000003</v>
          </cell>
          <cell r="G3">
            <v>-4.4086589562191421</v>
          </cell>
          <cell r="H3">
            <v>-1.5098225414683557</v>
          </cell>
          <cell r="I3">
            <v>1.1992426910886305</v>
          </cell>
          <cell r="J3">
            <v>0.68692862101809127</v>
          </cell>
          <cell r="K3">
            <v>0.82575064894366279</v>
          </cell>
          <cell r="L3">
            <v>2.2020437985008732</v>
          </cell>
          <cell r="M3">
            <v>1.3273888491753543</v>
          </cell>
          <cell r="N3">
            <v>2.4317787745203394</v>
          </cell>
          <cell r="O3">
            <v>3.4433147219375995</v>
          </cell>
          <cell r="P3">
            <v>2.4763712335415375</v>
          </cell>
          <cell r="Q3">
            <v>3.3705651802637018</v>
          </cell>
          <cell r="R3">
            <v>1.2707735725823071</v>
          </cell>
          <cell r="S3">
            <v>1.1867386606833474</v>
          </cell>
          <cell r="T3">
            <v>1.2707735725823071</v>
          </cell>
          <cell r="U3">
            <v>1.1709566677133467</v>
          </cell>
          <cell r="V3">
            <v>-0.60537208425283928</v>
          </cell>
          <cell r="W3">
            <v>0.54628933085759235</v>
          </cell>
          <cell r="X3">
            <v>-3.0277553905751975</v>
          </cell>
          <cell r="Y3">
            <v>-2.7308340375464923</v>
          </cell>
        </row>
        <row r="4">
          <cell r="B4">
            <v>9.722498674087257</v>
          </cell>
          <cell r="C4">
            <v>7.7215544144473265</v>
          </cell>
          <cell r="D4">
            <v>7.1685845290528336</v>
          </cell>
          <cell r="E4">
            <v>6.6217523674495249</v>
          </cell>
          <cell r="F4">
            <v>7.0657751597250167</v>
          </cell>
          <cell r="G4">
            <v>5.4702851442244729</v>
          </cell>
          <cell r="H4">
            <v>9.3580113199537678</v>
          </cell>
          <cell r="I4">
            <v>13.484948111964384</v>
          </cell>
          <cell r="J4">
            <v>18.249353507485367</v>
          </cell>
          <cell r="K4">
            <v>21.473723204549586</v>
          </cell>
          <cell r="L4">
            <v>21.831098981144446</v>
          </cell>
          <cell r="M4">
            <v>22.156428600690184</v>
          </cell>
          <cell r="N4">
            <v>23.793169536900933</v>
          </cell>
          <cell r="O4">
            <v>22.912239087324824</v>
          </cell>
          <cell r="P4">
            <v>21.280282032219233</v>
          </cell>
          <cell r="Q4">
            <v>21.118043097006577</v>
          </cell>
          <cell r="R4">
            <v>20.500833361108857</v>
          </cell>
          <cell r="S4">
            <v>21.557113641745072</v>
          </cell>
          <cell r="T4">
            <v>21.407399698558073</v>
          </cell>
          <cell r="U4">
            <v>21.155964925308155</v>
          </cell>
          <cell r="V4">
            <v>18.203670228261306</v>
          </cell>
          <cell r="W4">
            <v>19.750955502352934</v>
          </cell>
          <cell r="X4">
            <v>16.674737410350279</v>
          </cell>
          <cell r="Y4">
            <v>13.852724192369697</v>
          </cell>
        </row>
      </sheetData>
      <sheetData sheetId="17">
        <row r="2">
          <cell r="B2">
            <v>-10.867065087464113</v>
          </cell>
          <cell r="C2">
            <v>-12.804016572382885</v>
          </cell>
          <cell r="D2">
            <v>-14.391225518873396</v>
          </cell>
          <cell r="E2">
            <v>-13.553740151052347</v>
          </cell>
          <cell r="F2">
            <v>-13.690011360154639</v>
          </cell>
          <cell r="G2">
            <v>-13.459162302153011</v>
          </cell>
          <cell r="H2">
            <v>-11.19585749843381</v>
          </cell>
          <cell r="I2">
            <v>-2.6825395971425876</v>
          </cell>
          <cell r="J2">
            <v>3.0061096576512076</v>
          </cell>
          <cell r="K2">
            <v>5.4879989994336205</v>
          </cell>
          <cell r="L2">
            <v>3.5967157249831154</v>
          </cell>
          <cell r="M2">
            <v>4.9435222713127063</v>
          </cell>
          <cell r="N2">
            <v>4.3339059389074706</v>
          </cell>
          <cell r="O2">
            <v>4.3328409747873895</v>
          </cell>
          <cell r="P2">
            <v>0.99577343732741241</v>
          </cell>
          <cell r="Q2">
            <v>-1.8028923821240079</v>
          </cell>
          <cell r="R2">
            <v>-0.77870202787120935</v>
          </cell>
          <cell r="S2">
            <v>1.1148963004881314</v>
          </cell>
          <cell r="T2">
            <v>6.7345156141515802E-2</v>
          </cell>
          <cell r="U2">
            <v>-1.4423666295953244</v>
          </cell>
          <cell r="V2">
            <v>-2.9274583374734164</v>
          </cell>
          <cell r="W2">
            <v>-3.2274816878512329</v>
          </cell>
          <cell r="X2">
            <v>-6.1819150775754643</v>
          </cell>
          <cell r="Y2">
            <v>-7.7897442561981309</v>
          </cell>
        </row>
        <row r="3">
          <cell r="B3">
            <v>-2.0008162178047799</v>
          </cell>
          <cell r="C3">
            <v>-0.61298139941687446</v>
          </cell>
          <cell r="D3">
            <v>-2.5670060340743235</v>
          </cell>
          <cell r="E3">
            <v>-3.7386999999999992</v>
          </cell>
          <cell r="F3">
            <v>-2.7440000000000002</v>
          </cell>
          <cell r="G3">
            <v>-4.194646385528892</v>
          </cell>
          <cell r="H3">
            <v>-1.4365301850863967</v>
          </cell>
          <cell r="I3">
            <v>1.1410270264726776</v>
          </cell>
          <cell r="J3">
            <v>0.65358257145410625</v>
          </cell>
          <cell r="K3">
            <v>0.78566566598523246</v>
          </cell>
          <cell r="L3">
            <v>2.0951484684765593</v>
          </cell>
          <cell r="M3">
            <v>1.2629524972736379</v>
          </cell>
          <cell r="N3">
            <v>2.3137312611941092</v>
          </cell>
          <cell r="O3">
            <v>3.2761635218435416</v>
          </cell>
          <cell r="P3">
            <v>2.35615903773855</v>
          </cell>
          <cell r="Q3">
            <v>3.2069455113188612</v>
          </cell>
          <cell r="R3">
            <v>1.2090855350783116</v>
          </cell>
          <cell r="S3">
            <v>1.1291299878346415</v>
          </cell>
          <cell r="T3">
            <v>1.2090855350783116</v>
          </cell>
          <cell r="U3">
            <v>1.1141141110282329</v>
          </cell>
          <cell r="V3">
            <v>-0.57598508987163344</v>
          </cell>
          <cell r="W3">
            <v>0.51977043130139855</v>
          </cell>
          <cell r="X3">
            <v>-2.8807769735569835</v>
          </cell>
          <cell r="Y3">
            <v>-2.5982692784422938</v>
          </cell>
        </row>
        <row r="4">
          <cell r="B4">
            <v>9.2505327190344762</v>
          </cell>
          <cell r="C4">
            <v>7.3467216758819216</v>
          </cell>
          <cell r="D4">
            <v>6.8205949888075503</v>
          </cell>
          <cell r="E4">
            <v>6.3003080777675091</v>
          </cell>
          <cell r="F4">
            <v>6.7227763655636084</v>
          </cell>
          <cell r="G4">
            <v>5.2047373216893043</v>
          </cell>
          <cell r="H4">
            <v>8.9037389257812549</v>
          </cell>
          <cell r="I4">
            <v>12.830338980315629</v>
          </cell>
          <cell r="J4">
            <v>17.363462560520055</v>
          </cell>
          <cell r="K4">
            <v>20.431309456755915</v>
          </cell>
          <cell r="L4">
            <v>20.771336894681124</v>
          </cell>
          <cell r="M4">
            <v>21.080873814248914</v>
          </cell>
          <cell r="N4">
            <v>22.638161306954281</v>
          </cell>
          <cell r="O4">
            <v>21.799994471435269</v>
          </cell>
          <cell r="P4">
            <v>20.247258632596939</v>
          </cell>
          <cell r="Q4">
            <v>20.092895373850919</v>
          </cell>
          <cell r="R4">
            <v>19.505647275618138</v>
          </cell>
          <cell r="S4">
            <v>20.510651814475896</v>
          </cell>
          <cell r="T4">
            <v>20.368205538433891</v>
          </cell>
          <cell r="U4">
            <v>20.128976336700962</v>
          </cell>
          <cell r="V4">
            <v>17.319996916209789</v>
          </cell>
          <cell r="W4">
            <v>18.792171254665899</v>
          </cell>
          <cell r="X4">
            <v>15.865284138003178</v>
          </cell>
          <cell r="Y4">
            <v>13.180261852934274</v>
          </cell>
        </row>
      </sheetData>
      <sheetData sheetId="18">
        <row r="2">
          <cell r="B2">
            <v>32.817375945180018</v>
          </cell>
          <cell r="C2">
            <v>29.816054647595806</v>
          </cell>
          <cell r="D2">
            <v>29.295245664706428</v>
          </cell>
          <cell r="E2">
            <v>29.220409083340382</v>
          </cell>
          <cell r="F2">
            <v>29.222712823617609</v>
          </cell>
          <cell r="G2">
            <v>28.964275690097171</v>
          </cell>
          <cell r="H2">
            <v>31.269521157901131</v>
          </cell>
          <cell r="I2">
            <v>37.124561006189111</v>
          </cell>
          <cell r="J2">
            <v>42.311443296985573</v>
          </cell>
          <cell r="K2">
            <v>43.611591410751721</v>
          </cell>
          <cell r="L2">
            <v>43.170253740394109</v>
          </cell>
          <cell r="M2">
            <v>44.391048414605869</v>
          </cell>
          <cell r="N2">
            <v>45</v>
          </cell>
          <cell r="O2">
            <v>44.167584304461947</v>
          </cell>
          <cell r="P2">
            <v>42.441726729097923</v>
          </cell>
          <cell r="Q2">
            <v>40.733520449221196</v>
          </cell>
          <cell r="R2">
            <v>41.444186883530428</v>
          </cell>
          <cell r="S2">
            <v>41.853645097091622</v>
          </cell>
          <cell r="T2">
            <v>42.03129827269828</v>
          </cell>
          <cell r="U2">
            <v>41.335487053836879</v>
          </cell>
          <cell r="V2">
            <v>41.459681983858381</v>
          </cell>
          <cell r="W2">
            <v>43.176857843221036</v>
          </cell>
          <cell r="X2">
            <v>40.246057516386649</v>
          </cell>
          <cell r="Y2">
            <v>36.893336517241856</v>
          </cell>
        </row>
        <row r="3">
          <cell r="B3">
            <v>33.274803251773768</v>
          </cell>
          <cell r="C3">
            <v>30.29770808896906</v>
          </cell>
          <cell r="D3">
            <v>28.814738182842035</v>
          </cell>
          <cell r="E3">
            <v>27.788929416265447</v>
          </cell>
          <cell r="F3">
            <v>27.788929416265447</v>
          </cell>
          <cell r="G3">
            <v>29.795954262951184</v>
          </cell>
          <cell r="H3">
            <v>37.333448032961321</v>
          </cell>
          <cell r="I3">
            <v>45.941338459596224</v>
          </cell>
          <cell r="J3">
            <v>47.948365710769622</v>
          </cell>
          <cell r="K3">
            <v>46.944850889217129</v>
          </cell>
          <cell r="L3">
            <v>46.922554552261445</v>
          </cell>
          <cell r="M3">
            <v>50</v>
          </cell>
          <cell r="N3">
            <v>50</v>
          </cell>
          <cell r="O3">
            <v>50</v>
          </cell>
          <cell r="P3">
            <v>47.491214142084559</v>
          </cell>
          <cell r="Q3">
            <v>44.960127160211236</v>
          </cell>
          <cell r="R3">
            <v>41.882686499474886</v>
          </cell>
          <cell r="S3">
            <v>41.882686499474886</v>
          </cell>
          <cell r="T3">
            <v>41.882686499474886</v>
          </cell>
          <cell r="U3">
            <v>41.882686499474886</v>
          </cell>
          <cell r="V3">
            <v>41.882686499474886</v>
          </cell>
          <cell r="W3">
            <v>41.882686499474886</v>
          </cell>
          <cell r="X3">
            <v>40.377425040255353</v>
          </cell>
          <cell r="Y3">
            <v>37.779446643027327</v>
          </cell>
        </row>
        <row r="4">
          <cell r="B4">
            <v>44.865864987387084</v>
          </cell>
          <cell r="C4">
            <v>39.495523010342957</v>
          </cell>
          <cell r="D4">
            <v>37.347251859751694</v>
          </cell>
          <cell r="E4">
            <v>36.162740690435101</v>
          </cell>
          <cell r="F4">
            <v>38.335890154838715</v>
          </cell>
          <cell r="G4">
            <v>35.113211958178042</v>
          </cell>
          <cell r="H4">
            <v>41.181390873337726</v>
          </cell>
          <cell r="I4">
            <v>47.798535510840388</v>
          </cell>
          <cell r="J4">
            <v>53.84827683750818</v>
          </cell>
          <cell r="K4">
            <v>57.793534551430149</v>
          </cell>
          <cell r="L4">
            <v>59.64305265787354</v>
          </cell>
          <cell r="M4">
            <v>60.586991450795175</v>
          </cell>
          <cell r="N4">
            <v>61.776626940151822</v>
          </cell>
          <cell r="O4">
            <v>62.282600162562005</v>
          </cell>
          <cell r="P4">
            <v>62.5</v>
          </cell>
          <cell r="Q4">
            <v>60.143799765726357</v>
          </cell>
          <cell r="R4">
            <v>60.173902963837676</v>
          </cell>
          <cell r="S4">
            <v>57.827884042529625</v>
          </cell>
          <cell r="T4">
            <v>58.132149240630504</v>
          </cell>
          <cell r="U4">
            <v>58.610095416705747</v>
          </cell>
          <cell r="V4">
            <v>58.128308238547049</v>
          </cell>
          <cell r="W4">
            <v>60.212093727850366</v>
          </cell>
          <cell r="X4">
            <v>58.828061556194697</v>
          </cell>
          <cell r="Y4">
            <v>52.576544886746582</v>
          </cell>
        </row>
      </sheetData>
      <sheetData sheetId="19">
        <row r="2">
          <cell r="B2">
            <v>33.80189722353542</v>
          </cell>
          <cell r="C2">
            <v>30.710536287023682</v>
          </cell>
          <cell r="D2">
            <v>30.174103034647622</v>
          </cell>
          <cell r="E2">
            <v>30.097021355840596</v>
          </cell>
          <cell r="F2">
            <v>30.099394208326139</v>
          </cell>
          <cell r="G2">
            <v>29.833203960800088</v>
          </cell>
          <cell r="H2">
            <v>32.207606792638167</v>
          </cell>
          <cell r="I2">
            <v>38.238297836374784</v>
          </cell>
          <cell r="J2">
            <v>43.580786595895141</v>
          </cell>
          <cell r="K2">
            <v>44.919939153074274</v>
          </cell>
          <cell r="L2">
            <v>44.465361352605932</v>
          </cell>
          <cell r="M2">
            <v>45.722779867044046</v>
          </cell>
          <cell r="N2">
            <v>46.35</v>
          </cell>
          <cell r="O2">
            <v>45.492611833595802</v>
          </cell>
          <cell r="P2">
            <v>43.714978530970861</v>
          </cell>
          <cell r="Q2">
            <v>41.955526062697835</v>
          </cell>
          <cell r="R2">
            <v>42.68751249003634</v>
          </cell>
          <cell r="S2">
            <v>43.109254450004372</v>
          </cell>
          <cell r="T2">
            <v>43.29223722087923</v>
          </cell>
          <cell r="U2">
            <v>42.575551665451982</v>
          </cell>
          <cell r="V2">
            <v>42.703472443374132</v>
          </cell>
          <cell r="W2">
            <v>44.472163578517666</v>
          </cell>
          <cell r="X2">
            <v>41.45343924187825</v>
          </cell>
          <cell r="Y2">
            <v>38.000136612759107</v>
          </cell>
        </row>
        <row r="3">
          <cell r="B3">
            <v>34.27304734932698</v>
          </cell>
          <cell r="C3">
            <v>31.206639331638129</v>
          </cell>
          <cell r="D3">
            <v>29.679180328327298</v>
          </cell>
          <cell r="E3">
            <v>28.622597298753412</v>
          </cell>
          <cell r="F3">
            <v>28.622597298753412</v>
          </cell>
          <cell r="G3">
            <v>30.689832890839725</v>
          </cell>
          <cell r="H3">
            <v>38.45345147395016</v>
          </cell>
          <cell r="I3">
            <v>47.319578613384117</v>
          </cell>
          <cell r="J3">
            <v>49.386816682092714</v>
          </cell>
          <cell r="K3">
            <v>48.353196415893649</v>
          </cell>
          <cell r="L3">
            <v>48.330231188829295</v>
          </cell>
          <cell r="M3">
            <v>51.5</v>
          </cell>
          <cell r="N3">
            <v>51.5</v>
          </cell>
          <cell r="O3">
            <v>51.5</v>
          </cell>
          <cell r="P3">
            <v>48.915950566347099</v>
          </cell>
          <cell r="Q3">
            <v>46.308930975017574</v>
          </cell>
          <cell r="R3">
            <v>43.139167094459133</v>
          </cell>
          <cell r="S3">
            <v>43.139167094459133</v>
          </cell>
          <cell r="T3">
            <v>43.139167094459133</v>
          </cell>
          <cell r="U3">
            <v>43.139167094459133</v>
          </cell>
          <cell r="V3">
            <v>43.139167094459133</v>
          </cell>
          <cell r="W3">
            <v>43.139167094459133</v>
          </cell>
          <cell r="X3">
            <v>41.588747791463014</v>
          </cell>
          <cell r="Y3">
            <v>38.912830042318149</v>
          </cell>
        </row>
        <row r="4">
          <cell r="B4">
            <v>46.211840937008702</v>
          </cell>
          <cell r="C4">
            <v>40.680388700653246</v>
          </cell>
          <cell r="D4">
            <v>38.467669415544243</v>
          </cell>
          <cell r="E4">
            <v>37.247622911148156</v>
          </cell>
          <cell r="F4">
            <v>39.485966859483874</v>
          </cell>
          <cell r="G4">
            <v>36.166608316923387</v>
          </cell>
          <cell r="H4">
            <v>42.416832599537855</v>
          </cell>
          <cell r="I4">
            <v>49.2324915761656</v>
          </cell>
          <cell r="J4">
            <v>55.463725142633429</v>
          </cell>
          <cell r="K4">
            <v>59.527340587973057</v>
          </cell>
          <cell r="L4">
            <v>61.432344237609755</v>
          </cell>
          <cell r="M4">
            <v>62.404601194319028</v>
          </cell>
          <cell r="N4">
            <v>63.629925748356378</v>
          </cell>
          <cell r="O4">
            <v>64.151078167438868</v>
          </cell>
          <cell r="P4">
            <v>64.375</v>
          </cell>
          <cell r="Q4">
            <v>61.948113758698142</v>
          </cell>
          <cell r="R4">
            <v>61.979120052752805</v>
          </cell>
          <cell r="S4">
            <v>59.562720563805513</v>
          </cell>
          <cell r="T4">
            <v>59.876113717849421</v>
          </cell>
          <cell r="U4">
            <v>60.368398279206922</v>
          </cell>
          <cell r="V4">
            <v>59.872157485703461</v>
          </cell>
          <cell r="W4">
            <v>62.018456539685879</v>
          </cell>
          <cell r="X4">
            <v>60.592903402880538</v>
          </cell>
          <cell r="Y4">
            <v>54.153841233348977</v>
          </cell>
        </row>
      </sheetData>
      <sheetData sheetId="20">
        <row r="2">
          <cell r="B2">
            <v>32.161028426276417</v>
          </cell>
          <cell r="C2">
            <v>29.219733554643891</v>
          </cell>
          <cell r="D2">
            <v>28.709340751412302</v>
          </cell>
          <cell r="E2">
            <v>28.636000901673572</v>
          </cell>
          <cell r="F2">
            <v>28.638258567145257</v>
          </cell>
          <cell r="G2">
            <v>28.384990176295229</v>
          </cell>
          <cell r="H2">
            <v>30.644130734743111</v>
          </cell>
          <cell r="I2">
            <v>36.38206978606533</v>
          </cell>
          <cell r="J2">
            <v>41.465214431045865</v>
          </cell>
          <cell r="K2">
            <v>42.739359582536679</v>
          </cell>
          <cell r="L2">
            <v>42.30684866558623</v>
          </cell>
          <cell r="M2">
            <v>43.503227446313751</v>
          </cell>
          <cell r="N2">
            <v>44.1</v>
          </cell>
          <cell r="O2">
            <v>43.284232618372705</v>
          </cell>
          <cell r="P2">
            <v>41.592892194515962</v>
          </cell>
          <cell r="Q2">
            <v>39.918850040236777</v>
          </cell>
          <cell r="R2">
            <v>40.615303145859812</v>
          </cell>
          <cell r="S2">
            <v>41.016572195149791</v>
          </cell>
          <cell r="T2">
            <v>41.190672307244313</v>
          </cell>
          <cell r="U2">
            <v>40.508777312760138</v>
          </cell>
          <cell r="V2">
            <v>40.630488344181209</v>
          </cell>
          <cell r="W2">
            <v>42.313320686356619</v>
          </cell>
          <cell r="X2">
            <v>39.44113636605892</v>
          </cell>
          <cell r="Y2">
            <v>36.155469786897015</v>
          </cell>
        </row>
        <row r="3">
          <cell r="B3">
            <v>32.609307186738292</v>
          </cell>
          <cell r="C3">
            <v>29.69175392718968</v>
          </cell>
          <cell r="D3">
            <v>28.238443419185195</v>
          </cell>
          <cell r="E3">
            <v>27.233150827940133</v>
          </cell>
          <cell r="F3">
            <v>27.233150827940133</v>
          </cell>
          <cell r="G3">
            <v>29.200035177692165</v>
          </cell>
          <cell r="H3">
            <v>36.586779072302093</v>
          </cell>
          <cell r="I3">
            <v>45.022511690404301</v>
          </cell>
          <cell r="J3">
            <v>46.989398396554236</v>
          </cell>
          <cell r="K3">
            <v>46.005953871432787</v>
          </cell>
          <cell r="L3">
            <v>45.984103461216222</v>
          </cell>
          <cell r="M3">
            <v>49</v>
          </cell>
          <cell r="N3">
            <v>49</v>
          </cell>
          <cell r="O3">
            <v>49</v>
          </cell>
          <cell r="P3">
            <v>46.541389859242862</v>
          </cell>
          <cell r="Q3">
            <v>44.060924617007011</v>
          </cell>
          <cell r="R3">
            <v>41.045032769485388</v>
          </cell>
          <cell r="S3">
            <v>41.045032769485388</v>
          </cell>
          <cell r="T3">
            <v>41.045032769485388</v>
          </cell>
          <cell r="U3">
            <v>41.045032769485388</v>
          </cell>
          <cell r="V3">
            <v>41.045032769485388</v>
          </cell>
          <cell r="W3">
            <v>41.045032769485388</v>
          </cell>
          <cell r="X3">
            <v>39.569876539450249</v>
          </cell>
          <cell r="Y3">
            <v>37.02385771016678</v>
          </cell>
        </row>
        <row r="4">
          <cell r="B4">
            <v>43.968547687639344</v>
          </cell>
          <cell r="C4">
            <v>38.705612550136102</v>
          </cell>
          <cell r="D4">
            <v>36.600306822556654</v>
          </cell>
          <cell r="E4">
            <v>35.439485876626406</v>
          </cell>
          <cell r="F4">
            <v>37.56917235174194</v>
          </cell>
          <cell r="G4">
            <v>34.410947719014487</v>
          </cell>
          <cell r="H4">
            <v>40.357763055870976</v>
          </cell>
          <cell r="I4">
            <v>46.842564800623578</v>
          </cell>
          <cell r="J4">
            <v>52.771311300758015</v>
          </cell>
          <cell r="K4">
            <v>56.637663860401545</v>
          </cell>
          <cell r="L4">
            <v>58.450191604716068</v>
          </cell>
          <cell r="M4">
            <v>59.375251621779263</v>
          </cell>
          <cell r="N4">
            <v>60.541094401348786</v>
          </cell>
          <cell r="O4">
            <v>61.036948159310768</v>
          </cell>
          <cell r="P4">
            <v>61.25</v>
          </cell>
          <cell r="Q4">
            <v>58.940923770411821</v>
          </cell>
          <cell r="R4">
            <v>58.970424904560922</v>
          </cell>
          <cell r="S4">
            <v>56.671326361679036</v>
          </cell>
          <cell r="T4">
            <v>56.96950625581789</v>
          </cell>
          <cell r="U4">
            <v>57.43789350837163</v>
          </cell>
          <cell r="V4">
            <v>56.965742073776106</v>
          </cell>
          <cell r="W4">
            <v>59.00785185329336</v>
          </cell>
          <cell r="X4">
            <v>57.651500325070799</v>
          </cell>
          <cell r="Y4">
            <v>51.525013989011654</v>
          </cell>
        </row>
      </sheetData>
      <sheetData sheetId="21">
        <row r="2">
          <cell r="B2">
            <v>-10.460555889122473</v>
          </cell>
          <cell r="C2">
            <v>-13.60000711137498</v>
          </cell>
          <cell r="D2">
            <v>-14.989832438442269</v>
          </cell>
          <cell r="E2">
            <v>-13.679007427684805</v>
          </cell>
          <cell r="F2">
            <v>-14.662055579958459</v>
          </cell>
          <cell r="G2">
            <v>-15</v>
          </cell>
          <cell r="H2">
            <v>-13.000354277337081</v>
          </cell>
          <cell r="I2">
            <v>-2.0225630497432934</v>
          </cell>
          <cell r="J2">
            <v>6.4922785620283223</v>
          </cell>
          <cell r="K2">
            <v>9.4514956358025533</v>
          </cell>
          <cell r="L2">
            <v>7.4297205539571705</v>
          </cell>
          <cell r="M2">
            <v>9.8965917745325651</v>
          </cell>
          <cell r="N2">
            <v>8.7824322348813109</v>
          </cell>
          <cell r="O2">
            <v>9.0468606034475183</v>
          </cell>
          <cell r="P2">
            <v>4.6678480617715037</v>
          </cell>
          <cell r="Q2">
            <v>1.1800884944323786</v>
          </cell>
          <cell r="R2">
            <v>2.6252266815345489</v>
          </cell>
          <cell r="S2">
            <v>3.188742745063061</v>
          </cell>
          <cell r="T2">
            <v>1.9210974177443787</v>
          </cell>
          <cell r="U2">
            <v>-0.35837393675904172</v>
          </cell>
          <cell r="V2">
            <v>-1.39903428216524</v>
          </cell>
          <cell r="W2">
            <v>-0.97334439700275344</v>
          </cell>
          <cell r="X2">
            <v>-4.6679092230400974</v>
          </cell>
          <cell r="Y2">
            <v>-6.3183951985649145</v>
          </cell>
        </row>
        <row r="3">
          <cell r="B3">
            <v>-13.238700041483979</v>
          </cell>
          <cell r="C3">
            <v>-13.238700041483979</v>
          </cell>
          <cell r="D3">
            <v>-15.369350020741987</v>
          </cell>
          <cell r="E3">
            <v>-17.5</v>
          </cell>
          <cell r="F3">
            <v>-17.5</v>
          </cell>
          <cell r="G3">
            <v>-17.5</v>
          </cell>
          <cell r="H3">
            <v>-6.9778717969972428</v>
          </cell>
          <cell r="I3">
            <v>1.4463903636619411</v>
          </cell>
          <cell r="J3">
            <v>4.5932017328260173</v>
          </cell>
          <cell r="K3">
            <v>4.5932017328260173</v>
          </cell>
          <cell r="L3">
            <v>4.1998437124476347</v>
          </cell>
          <cell r="M3">
            <v>5.9043552318562922</v>
          </cell>
          <cell r="N3">
            <v>8.0022247716433341</v>
          </cell>
          <cell r="O3">
            <v>8.248077956938614</v>
          </cell>
          <cell r="P3">
            <v>4.6259786379411887</v>
          </cell>
          <cell r="Q3">
            <v>3.6098172295789577</v>
          </cell>
          <cell r="R3">
            <v>-0.58592188690745695</v>
          </cell>
          <cell r="S3">
            <v>-0.58592188690745695</v>
          </cell>
          <cell r="T3">
            <v>-0.58592188690745695</v>
          </cell>
          <cell r="U3">
            <v>-0.58592188690745695</v>
          </cell>
          <cell r="V3">
            <v>-3.7327367719711662</v>
          </cell>
          <cell r="W3">
            <v>-4.7816750669924017</v>
          </cell>
          <cell r="X3">
            <v>-13.369807661944664</v>
          </cell>
          <cell r="Y3">
            <v>-13.369807661944664</v>
          </cell>
        </row>
        <row r="4">
          <cell r="B4">
            <v>10.686627055883104</v>
          </cell>
          <cell r="C4">
            <v>8.1880271442666093</v>
          </cell>
          <cell r="D4">
            <v>7.7593821892689059</v>
          </cell>
          <cell r="E4">
            <v>6.7768420089803687</v>
          </cell>
          <cell r="F4">
            <v>7.8014863947853508</v>
          </cell>
          <cell r="G4">
            <v>3.6207907522596137</v>
          </cell>
          <cell r="H4">
            <v>6.3174342491118045</v>
          </cell>
          <cell r="I4">
            <v>12.13969632964368</v>
          </cell>
          <cell r="J4">
            <v>17.659552313749185</v>
          </cell>
          <cell r="K4">
            <v>20.984459895034021</v>
          </cell>
          <cell r="L4">
            <v>22.908570953690287</v>
          </cell>
          <cell r="M4">
            <v>23.744937648225861</v>
          </cell>
          <cell r="N4">
            <v>24.812272019843068</v>
          </cell>
          <cell r="O4">
            <v>25</v>
          </cell>
          <cell r="P4">
            <v>24.822550505179802</v>
          </cell>
          <cell r="Q4">
            <v>23.996243323270871</v>
          </cell>
          <cell r="R4">
            <v>22.836253635655485</v>
          </cell>
          <cell r="S4">
            <v>20.264603803871577</v>
          </cell>
          <cell r="T4">
            <v>20.17084909066174</v>
          </cell>
          <cell r="U4">
            <v>19.188566278503806</v>
          </cell>
          <cell r="V4">
            <v>17.296536957439471</v>
          </cell>
          <cell r="W4">
            <v>20.735169960805727</v>
          </cell>
          <cell r="X4">
            <v>18.579467024338225</v>
          </cell>
          <cell r="Y4">
            <v>14.952007043816234</v>
          </cell>
        </row>
      </sheetData>
      <sheetData sheetId="22">
        <row r="2">
          <cell r="B2">
            <v>-10.774372565796146</v>
          </cell>
          <cell r="C2">
            <v>-14.00800732471623</v>
          </cell>
          <cell r="D2">
            <v>-15.439527411595538</v>
          </cell>
          <cell r="E2">
            <v>-14.089377650515351</v>
          </cell>
          <cell r="F2">
            <v>-15.101917247357211</v>
          </cell>
          <cell r="G2">
            <v>-15.450000000000001</v>
          </cell>
          <cell r="H2">
            <v>-13.390364905657194</v>
          </cell>
          <cell r="I2">
            <v>-2.0832399412355924</v>
          </cell>
          <cell r="J2">
            <v>6.6870469188891724</v>
          </cell>
          <cell r="K2">
            <v>9.7350405048766291</v>
          </cell>
          <cell r="L2">
            <v>7.6526121705758863</v>
          </cell>
          <cell r="M2">
            <v>10.193489527768541</v>
          </cell>
          <cell r="N2">
            <v>9.0459052019277504</v>
          </cell>
          <cell r="O2">
            <v>9.318266421550943</v>
          </cell>
          <cell r="P2">
            <v>4.807883503624649</v>
          </cell>
          <cell r="Q2">
            <v>1.21549114926535</v>
          </cell>
          <cell r="R2">
            <v>2.7039834819805852</v>
          </cell>
          <cell r="S2">
            <v>3.284405027414953</v>
          </cell>
          <cell r="T2">
            <v>1.97873034027671</v>
          </cell>
          <cell r="U2">
            <v>-0.36912515486181302</v>
          </cell>
          <cell r="V2">
            <v>-1.4410053106301972</v>
          </cell>
          <cell r="W2">
            <v>-1.002544728912836</v>
          </cell>
          <cell r="X2">
            <v>-4.8079464997313011</v>
          </cell>
          <cell r="Y2">
            <v>-6.5079470545218614</v>
          </cell>
        </row>
        <row r="3">
          <cell r="B3">
            <v>-13.635861042728497</v>
          </cell>
          <cell r="C3">
            <v>-13.635861042728497</v>
          </cell>
          <cell r="D3">
            <v>-15.830430521364248</v>
          </cell>
          <cell r="E3">
            <v>-18.025000000000002</v>
          </cell>
          <cell r="F3">
            <v>-18.025000000000002</v>
          </cell>
          <cell r="G3">
            <v>-18.025000000000002</v>
          </cell>
          <cell r="H3">
            <v>-7.18720795090716</v>
          </cell>
          <cell r="I3">
            <v>1.4897820745717996</v>
          </cell>
          <cell r="J3">
            <v>4.730997784810798</v>
          </cell>
          <cell r="K3">
            <v>4.730997784810798</v>
          </cell>
          <cell r="L3">
            <v>4.3258390238210636</v>
          </cell>
          <cell r="M3">
            <v>6.0814858888119803</v>
          </cell>
          <cell r="N3">
            <v>8.2422915147926332</v>
          </cell>
          <cell r="O3">
            <v>8.4955202956467719</v>
          </cell>
          <cell r="P3">
            <v>4.7647579970794247</v>
          </cell>
          <cell r="Q3">
            <v>3.7181117464663269</v>
          </cell>
          <cell r="R3">
            <v>-0.6034995435146806</v>
          </cell>
          <cell r="S3">
            <v>-0.6034995435146806</v>
          </cell>
          <cell r="T3">
            <v>-0.6034995435146806</v>
          </cell>
          <cell r="U3">
            <v>-0.6034995435146806</v>
          </cell>
          <cell r="V3">
            <v>-3.8447188751303014</v>
          </cell>
          <cell r="W3">
            <v>-4.9251253190021744</v>
          </cell>
          <cell r="X3">
            <v>-13.770901891803005</v>
          </cell>
          <cell r="Y3">
            <v>-13.770901891803005</v>
          </cell>
        </row>
        <row r="4">
          <cell r="B4">
            <v>11.007225867559598</v>
          </cell>
          <cell r="C4">
            <v>8.4336679585946062</v>
          </cell>
          <cell r="D4">
            <v>7.9921636549469728</v>
          </cell>
          <cell r="E4">
            <v>6.9801472692497795</v>
          </cell>
          <cell r="F4">
            <v>8.0355309866289115</v>
          </cell>
          <cell r="G4">
            <v>3.7294144748274021</v>
          </cell>
          <cell r="H4">
            <v>6.5069572765851582</v>
          </cell>
          <cell r="I4">
            <v>12.503887219532992</v>
          </cell>
          <cell r="J4">
            <v>18.189338883161664</v>
          </cell>
          <cell r="K4">
            <v>21.613993691885042</v>
          </cell>
          <cell r="L4">
            <v>23.595828082300997</v>
          </cell>
          <cell r="M4">
            <v>24.457285777672638</v>
          </cell>
          <cell r="N4">
            <v>25.556640180438361</v>
          </cell>
          <cell r="O4">
            <v>25.75</v>
          </cell>
          <cell r="P4">
            <v>25.567227020335199</v>
          </cell>
          <cell r="Q4">
            <v>24.716130622968997</v>
          </cell>
          <cell r="R4">
            <v>23.52134124472515</v>
          </cell>
          <cell r="S4">
            <v>20.872541917987725</v>
          </cell>
          <cell r="T4">
            <v>20.775974563381595</v>
          </cell>
          <cell r="U4">
            <v>19.76422326685892</v>
          </cell>
          <cell r="V4">
            <v>17.815433066162655</v>
          </cell>
          <cell r="W4">
            <v>21.357225059629901</v>
          </cell>
          <cell r="X4">
            <v>19.136851035068371</v>
          </cell>
          <cell r="Y4">
            <v>15.400567255130722</v>
          </cell>
        </row>
      </sheetData>
      <sheetData sheetId="23">
        <row r="2">
          <cell r="B2">
            <v>-10.251344771340023</v>
          </cell>
          <cell r="C2">
            <v>-13.328006969147481</v>
          </cell>
          <cell r="D2">
            <v>-14.690035789673422</v>
          </cell>
          <cell r="E2">
            <v>-13.405427279131109</v>
          </cell>
          <cell r="F2">
            <v>-14.36881446835929</v>
          </cell>
          <cell r="G2">
            <v>-14.7</v>
          </cell>
          <cell r="H2">
            <v>-12.740347191790338</v>
          </cell>
          <cell r="I2">
            <v>-1.9821117887484276</v>
          </cell>
          <cell r="J2">
            <v>6.3624329907877559</v>
          </cell>
          <cell r="K2">
            <v>9.2624657230865015</v>
          </cell>
          <cell r="L2">
            <v>7.2811261428780272</v>
          </cell>
          <cell r="M2">
            <v>9.6986599390419137</v>
          </cell>
          <cell r="N2">
            <v>8.6067835901836851</v>
          </cell>
          <cell r="O2">
            <v>8.8659233913785673</v>
          </cell>
          <cell r="P2">
            <v>4.5744911005360738</v>
          </cell>
          <cell r="Q2">
            <v>1.1564867245437309</v>
          </cell>
          <cell r="R2">
            <v>2.5727221479038578</v>
          </cell>
          <cell r="S2">
            <v>3.1249678901617997</v>
          </cell>
          <cell r="T2">
            <v>1.8826754693894914</v>
          </cell>
          <cell r="U2">
            <v>-0.35120645802386091</v>
          </cell>
          <cell r="V2">
            <v>-1.371053596521935</v>
          </cell>
          <cell r="W2">
            <v>-0.9538775090626983</v>
          </cell>
          <cell r="X2">
            <v>-4.5745510385792958</v>
          </cell>
          <cell r="Y2">
            <v>-6.1920272945936166</v>
          </cell>
        </row>
        <row r="3">
          <cell r="B3">
            <v>-12.973926040654298</v>
          </cell>
          <cell r="C3">
            <v>-12.973926040654298</v>
          </cell>
          <cell r="D3">
            <v>-15.061963020327148</v>
          </cell>
          <cell r="E3">
            <v>-17.149999999999999</v>
          </cell>
          <cell r="F3">
            <v>-17.149999999999999</v>
          </cell>
          <cell r="G3">
            <v>-17.149999999999999</v>
          </cell>
          <cell r="H3">
            <v>-6.8383143610572974</v>
          </cell>
          <cell r="I3">
            <v>1.4174625563887022</v>
          </cell>
          <cell r="J3">
            <v>4.5013376981694968</v>
          </cell>
          <cell r="K3">
            <v>4.5013376981694968</v>
          </cell>
          <cell r="L3">
            <v>4.1158468381986815</v>
          </cell>
          <cell r="M3">
            <v>5.7862681272191665</v>
          </cell>
          <cell r="N3">
            <v>7.8421802762104669</v>
          </cell>
          <cell r="O3">
            <v>8.0831163977998415</v>
          </cell>
          <cell r="P3">
            <v>4.533459065182365</v>
          </cell>
          <cell r="Q3">
            <v>3.5376208849873785</v>
          </cell>
          <cell r="R3">
            <v>-0.57420344916930777</v>
          </cell>
          <cell r="S3">
            <v>-0.57420344916930777</v>
          </cell>
          <cell r="T3">
            <v>-0.57420344916930777</v>
          </cell>
          <cell r="U3">
            <v>-0.57420344916930777</v>
          </cell>
          <cell r="V3">
            <v>-3.6580820365317428</v>
          </cell>
          <cell r="W3">
            <v>-4.6860415656525536</v>
          </cell>
          <cell r="X3">
            <v>-13.102411508705773</v>
          </cell>
          <cell r="Y3">
            <v>-13.102411508705773</v>
          </cell>
        </row>
        <row r="4">
          <cell r="B4">
            <v>10.472894514765443</v>
          </cell>
          <cell r="C4">
            <v>8.0242666013812762</v>
          </cell>
          <cell r="D4">
            <v>7.6041945454835265</v>
          </cell>
          <cell r="E4">
            <v>6.6413051688007609</v>
          </cell>
          <cell r="F4">
            <v>7.6454566668896442</v>
          </cell>
          <cell r="G4">
            <v>3.5483749372144215</v>
          </cell>
          <cell r="H4">
            <v>6.1910855641295681</v>
          </cell>
          <cell r="I4">
            <v>11.896902403050806</v>
          </cell>
          <cell r="J4">
            <v>17.306361267474202</v>
          </cell>
          <cell r="K4">
            <v>20.564770697133341</v>
          </cell>
          <cell r="L4">
            <v>22.450399534616484</v>
          </cell>
          <cell r="M4">
            <v>23.270038895261344</v>
          </cell>
          <cell r="N4">
            <v>24.316026579446206</v>
          </cell>
          <cell r="O4">
            <v>24.5</v>
          </cell>
          <cell r="P4">
            <v>24.326099495076207</v>
          </cell>
          <cell r="Q4">
            <v>23.516318456805454</v>
          </cell>
          <cell r="R4">
            <v>22.379528562942376</v>
          </cell>
          <cell r="S4">
            <v>19.859311727794147</v>
          </cell>
          <cell r="T4">
            <v>19.767432108848507</v>
          </cell>
          <cell r="U4">
            <v>18.804794952933733</v>
          </cell>
          <cell r="V4">
            <v>16.95060621829068</v>
          </cell>
          <cell r="W4">
            <v>20.320466561589612</v>
          </cell>
          <cell r="X4">
            <v>18.207877683851461</v>
          </cell>
          <cell r="Y4">
            <v>14.652966902939909</v>
          </cell>
        </row>
      </sheetData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>
        <row r="2">
          <cell r="B2">
            <v>4.9164000000000003</v>
          </cell>
          <cell r="C2">
            <v>5.0804</v>
          </cell>
          <cell r="D2">
            <v>4.5491999999999999</v>
          </cell>
          <cell r="E2">
            <v>4.3120000000000003</v>
          </cell>
          <cell r="F2">
            <v>3.5327999999999999</v>
          </cell>
          <cell r="G2">
            <v>2.9984000000000002</v>
          </cell>
          <cell r="H2">
            <v>3.6667999999999998</v>
          </cell>
          <cell r="I2">
            <v>0.63680000000000003</v>
          </cell>
          <cell r="J2">
            <v>0.56000000000000005</v>
          </cell>
          <cell r="K2">
            <v>0.81640000000000001</v>
          </cell>
          <cell r="L2">
            <v>0.48080000000000001</v>
          </cell>
          <cell r="M2">
            <v>0.6008</v>
          </cell>
          <cell r="N2">
            <v>0.95720000000000005</v>
          </cell>
          <cell r="O2">
            <v>1.7636000000000001</v>
          </cell>
          <cell r="P2">
            <v>1.8815999999999999</v>
          </cell>
          <cell r="Q2">
            <v>1.8504</v>
          </cell>
          <cell r="R2">
            <v>1.038</v>
          </cell>
          <cell r="S2">
            <v>2.1143999999999998</v>
          </cell>
          <cell r="T2">
            <v>1.2407999999999999</v>
          </cell>
          <cell r="U2">
            <v>0.87239999999999995</v>
          </cell>
          <cell r="V2">
            <v>1.3248</v>
          </cell>
          <cell r="W2">
            <v>0.81879999999999997</v>
          </cell>
          <cell r="X2">
            <v>3.7372000000000001</v>
          </cell>
          <cell r="Y2">
            <v>4.5052000000000003</v>
          </cell>
        </row>
        <row r="3">
          <cell r="B3">
            <v>-11.1</v>
          </cell>
          <cell r="C3">
            <v>-11.8696</v>
          </cell>
          <cell r="D3">
            <v>-13.349600000000001</v>
          </cell>
          <cell r="E3">
            <v>-14.400399999999999</v>
          </cell>
          <cell r="F3">
            <v>-15.391999999999999</v>
          </cell>
          <cell r="G3">
            <v>-16.797999999999998</v>
          </cell>
          <cell r="H3">
            <v>-16.028400000000001</v>
          </cell>
          <cell r="I3">
            <v>-17.979759999999999</v>
          </cell>
          <cell r="J3">
            <v>-16.307359999999999</v>
          </cell>
          <cell r="K3">
            <v>-23.952839999999998</v>
          </cell>
          <cell r="L3">
            <v>-23.707360000000001</v>
          </cell>
          <cell r="M3">
            <v>-21.672160000000002</v>
          </cell>
          <cell r="N3">
            <v>-20.774560000000001</v>
          </cell>
          <cell r="O3">
            <v>-20.057480000000002</v>
          </cell>
          <cell r="P3">
            <v>-18.90568</v>
          </cell>
          <cell r="Q3">
            <v>-17.204239999999999</v>
          </cell>
          <cell r="R3">
            <v>-16.086960000000001</v>
          </cell>
          <cell r="S3">
            <v>-14.396240000000001</v>
          </cell>
          <cell r="T3">
            <v>-9.1377199999999998</v>
          </cell>
          <cell r="U3">
            <v>-10.22648</v>
          </cell>
          <cell r="V3">
            <v>-10.809839999999999</v>
          </cell>
          <cell r="W3">
            <v>-11.605399999999999</v>
          </cell>
          <cell r="X3">
            <v>-9.2203999999999997</v>
          </cell>
          <cell r="Y3">
            <v>-9.7975999999999992</v>
          </cell>
        </row>
        <row r="4">
          <cell r="B4">
            <v>10.69356</v>
          </cell>
          <cell r="C4">
            <v>11.44032</v>
          </cell>
          <cell r="D4">
            <v>12.82724</v>
          </cell>
          <cell r="E4">
            <v>13.802440000000001</v>
          </cell>
          <cell r="F4">
            <v>14.6914</v>
          </cell>
          <cell r="G4">
            <v>16.042000000000002</v>
          </cell>
          <cell r="H4">
            <v>15.294</v>
          </cell>
          <cell r="I4">
            <v>17.259160000000001</v>
          </cell>
          <cell r="J4">
            <v>15.80916</v>
          </cell>
          <cell r="K4">
            <v>18.039439999999999</v>
          </cell>
          <cell r="L4">
            <v>18.181480000000001</v>
          </cell>
          <cell r="M4">
            <v>17.019639999999999</v>
          </cell>
          <cell r="N4">
            <v>16.446000000000002</v>
          </cell>
          <cell r="O4">
            <v>16.02328</v>
          </cell>
          <cell r="P4">
            <v>15.01632</v>
          </cell>
          <cell r="Q4">
            <v>13.671480000000001</v>
          </cell>
          <cell r="R4">
            <v>12.736039999999999</v>
          </cell>
          <cell r="S4">
            <v>11.38288</v>
          </cell>
          <cell r="T4">
            <v>8.9093599999999995</v>
          </cell>
          <cell r="U4">
            <v>9.9721600000000006</v>
          </cell>
          <cell r="V4">
            <v>10.59656</v>
          </cell>
          <cell r="W4">
            <v>11.41456</v>
          </cell>
          <cell r="X4">
            <v>8.8819999999999997</v>
          </cell>
          <cell r="Y4">
            <v>9.4448000000000008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1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1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1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1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1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1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1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1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1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1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1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1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1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1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1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1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1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1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1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"/>
  <sheetViews>
    <sheetView tabSelected="1" workbookViewId="0">
      <selection activeCell="B1" sqref="B1"/>
    </sheetView>
  </sheetViews>
  <sheetFormatPr defaultRowHeight="14.4" x14ac:dyDescent="0.3"/>
  <cols>
    <col min="1" max="1" width="19.5546875" bestFit="1" customWidth="1"/>
  </cols>
  <sheetData>
    <row r="1" spans="1:11" x14ac:dyDescent="0.3">
      <c r="A1" t="s">
        <v>0</v>
      </c>
      <c r="B1">
        <v>3</v>
      </c>
      <c r="C1" s="1">
        <f>1/$B$1</f>
        <v>0.33333333333333331</v>
      </c>
      <c r="D1" s="1">
        <f t="shared" ref="D1:K1" si="0">1/$B$1</f>
        <v>0.33333333333333331</v>
      </c>
      <c r="E1" s="1">
        <f t="shared" si="0"/>
        <v>0.33333333333333331</v>
      </c>
      <c r="F1" s="1">
        <f t="shared" si="0"/>
        <v>0.33333333333333331</v>
      </c>
      <c r="G1" s="1">
        <f t="shared" si="0"/>
        <v>0.33333333333333331</v>
      </c>
      <c r="H1" s="1">
        <f t="shared" si="0"/>
        <v>0.33333333333333331</v>
      </c>
      <c r="I1" s="1">
        <f t="shared" si="0"/>
        <v>0.33333333333333331</v>
      </c>
      <c r="J1" s="1">
        <f t="shared" si="0"/>
        <v>0.33333333333333331</v>
      </c>
      <c r="K1" s="1">
        <f t="shared" si="0"/>
        <v>0.33333333333333331</v>
      </c>
    </row>
    <row r="3" spans="1:11" x14ac:dyDescent="0.3">
      <c r="A3" t="s">
        <v>2</v>
      </c>
      <c r="B3" s="3">
        <v>2035</v>
      </c>
    </row>
    <row r="4" spans="1:11" x14ac:dyDescent="0.3">
      <c r="A4" t="s">
        <v>8</v>
      </c>
      <c r="B4" s="7">
        <v>1</v>
      </c>
    </row>
    <row r="5" spans="1:11" x14ac:dyDescent="0.3">
      <c r="A5" t="s">
        <v>9</v>
      </c>
      <c r="B5" s="7">
        <f>((1+[1]Main!$B$2)^($B$3-2020))*$B$4</f>
        <v>1.1609689553699984</v>
      </c>
    </row>
    <row r="6" spans="1:11" x14ac:dyDescent="0.3">
      <c r="A6" t="s">
        <v>10</v>
      </c>
      <c r="B6" s="7">
        <f>((1+[1]Main!$B$3)^($B$3-2020))*$B$4</f>
        <v>1.4482981664981105</v>
      </c>
    </row>
    <row r="7" spans="1:11" x14ac:dyDescent="0.3">
      <c r="A7" t="s">
        <v>12</v>
      </c>
      <c r="B7" s="2">
        <f>SUM('RES installed'!$C$2:$C$7)</f>
        <v>335</v>
      </c>
    </row>
    <row r="8" spans="1:11" x14ac:dyDescent="0.3">
      <c r="A8" t="s">
        <v>3</v>
      </c>
      <c r="B8" s="2">
        <f>SUM('ES installed'!$C$2:$C$4)</f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8F2AC-228D-47B8-8C84-211710BC16D7}">
  <dimension ref="A1:C7"/>
  <sheetViews>
    <sheetView workbookViewId="0">
      <selection activeCell="H42" sqref="H42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11</v>
      </c>
      <c r="B1" t="s">
        <v>5</v>
      </c>
      <c r="C1" t="s">
        <v>6</v>
      </c>
    </row>
    <row r="2" spans="1:3" x14ac:dyDescent="0.3">
      <c r="A2">
        <v>4</v>
      </c>
      <c r="B2">
        <v>4</v>
      </c>
      <c r="C2" s="4">
        <v>45</v>
      </c>
    </row>
    <row r="3" spans="1:3" x14ac:dyDescent="0.3">
      <c r="A3">
        <v>5</v>
      </c>
      <c r="B3">
        <v>6</v>
      </c>
      <c r="C3" s="4">
        <v>60</v>
      </c>
    </row>
    <row r="4" spans="1:3" x14ac:dyDescent="0.3">
      <c r="A4">
        <v>6</v>
      </c>
      <c r="B4">
        <v>8</v>
      </c>
      <c r="C4" s="4">
        <v>45</v>
      </c>
    </row>
    <row r="5" spans="1:3" x14ac:dyDescent="0.3">
      <c r="A5">
        <v>7</v>
      </c>
      <c r="B5">
        <v>4</v>
      </c>
      <c r="C5" s="4">
        <v>75</v>
      </c>
    </row>
    <row r="6" spans="1:3" x14ac:dyDescent="0.3">
      <c r="A6">
        <v>8</v>
      </c>
      <c r="B6">
        <v>6</v>
      </c>
      <c r="C6" s="4">
        <v>50</v>
      </c>
    </row>
    <row r="7" spans="1:3" x14ac:dyDescent="0.3">
      <c r="A7">
        <v>9</v>
      </c>
      <c r="B7">
        <v>8</v>
      </c>
      <c r="C7" s="4">
        <v>60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A34B4-2389-47FB-B2B8-B4CBDDE497E7}">
  <dimension ref="A1:C4"/>
  <sheetViews>
    <sheetView workbookViewId="0">
      <selection activeCell="B2" sqref="B2:B4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13</v>
      </c>
      <c r="B1" t="s">
        <v>1</v>
      </c>
      <c r="C1" t="s">
        <v>6</v>
      </c>
    </row>
    <row r="2" spans="1:3" x14ac:dyDescent="0.3">
      <c r="A2">
        <v>1</v>
      </c>
      <c r="B2" t="s">
        <v>14</v>
      </c>
      <c r="C2" s="4">
        <v>0</v>
      </c>
    </row>
    <row r="3" spans="1:3" x14ac:dyDescent="0.3">
      <c r="A3">
        <v>2</v>
      </c>
      <c r="B3" t="s">
        <v>14</v>
      </c>
      <c r="C3" s="4">
        <v>0</v>
      </c>
    </row>
    <row r="4" spans="1:3" x14ac:dyDescent="0.3">
      <c r="A4">
        <v>3</v>
      </c>
      <c r="B4" t="s">
        <v>14</v>
      </c>
      <c r="C4" s="4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D4FD3-4E6B-4832-B159-4E067DAE6C14}">
  <dimension ref="A1:B21"/>
  <sheetViews>
    <sheetView workbookViewId="0">
      <selection activeCell="A7" sqref="A7"/>
    </sheetView>
  </sheetViews>
  <sheetFormatPr defaultRowHeight="14.4" x14ac:dyDescent="0.3"/>
  <sheetData>
    <row r="1" spans="1:2" x14ac:dyDescent="0.3">
      <c r="A1" t="s">
        <v>15</v>
      </c>
      <c r="B1" t="s">
        <v>7</v>
      </c>
    </row>
    <row r="2" spans="1:2" x14ac:dyDescent="0.3">
      <c r="A2">
        <v>1</v>
      </c>
      <c r="B2" s="1">
        <f>1/COUNT($A$2:$A$21)</f>
        <v>0.33333333333333331</v>
      </c>
    </row>
    <row r="3" spans="1:2" x14ac:dyDescent="0.3">
      <c r="A3">
        <v>2</v>
      </c>
      <c r="B3" s="1">
        <f t="shared" ref="B3:B4" si="0">1/COUNT($A$2:$A$21)</f>
        <v>0.33333333333333331</v>
      </c>
    </row>
    <row r="4" spans="1:2" x14ac:dyDescent="0.3">
      <c r="A4">
        <v>3</v>
      </c>
      <c r="B4" s="1">
        <f t="shared" si="0"/>
        <v>0.33333333333333331</v>
      </c>
    </row>
    <row r="5" spans="1:2" x14ac:dyDescent="0.3">
      <c r="B5" s="1"/>
    </row>
    <row r="6" spans="1:2" x14ac:dyDescent="0.3">
      <c r="B6" s="1"/>
    </row>
    <row r="7" spans="1:2" x14ac:dyDescent="0.3">
      <c r="B7" s="1"/>
    </row>
    <row r="8" spans="1:2" x14ac:dyDescent="0.3">
      <c r="B8" s="1"/>
    </row>
    <row r="9" spans="1:2" x14ac:dyDescent="0.3">
      <c r="B9" s="1"/>
    </row>
    <row r="10" spans="1:2" x14ac:dyDescent="0.3">
      <c r="B10" s="1"/>
    </row>
    <row r="11" spans="1:2" x14ac:dyDescent="0.3">
      <c r="B11" s="1"/>
    </row>
    <row r="12" spans="1:2" x14ac:dyDescent="0.3">
      <c r="B12" s="1"/>
    </row>
    <row r="13" spans="1:2" x14ac:dyDescent="0.3">
      <c r="B13" s="1"/>
    </row>
    <row r="14" spans="1:2" x14ac:dyDescent="0.3">
      <c r="B14" s="1"/>
    </row>
    <row r="15" spans="1:2" x14ac:dyDescent="0.3">
      <c r="B15" s="1"/>
    </row>
    <row r="16" spans="1:2" x14ac:dyDescent="0.3">
      <c r="B16" s="1"/>
    </row>
    <row r="17" spans="2:2" x14ac:dyDescent="0.3">
      <c r="B17" s="1"/>
    </row>
    <row r="18" spans="2:2" x14ac:dyDescent="0.3">
      <c r="B18" s="1"/>
    </row>
    <row r="19" spans="2:2" x14ac:dyDescent="0.3">
      <c r="B19" s="1"/>
    </row>
    <row r="20" spans="2:2" x14ac:dyDescent="0.3">
      <c r="B20" s="1"/>
    </row>
    <row r="21" spans="2:2" x14ac:dyDescent="0.3">
      <c r="B21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855D1-7FFC-4693-9247-9877B2F5B373}">
  <dimension ref="A1:Y5"/>
  <sheetViews>
    <sheetView workbookViewId="0">
      <selection activeCell="B2" sqref="B2:Y4"/>
    </sheetView>
  </sheetViews>
  <sheetFormatPr defaultRowHeight="14.4" x14ac:dyDescent="0.3"/>
  <cols>
    <col min="1" max="1" width="23.5546875" bestFit="1" customWidth="1"/>
  </cols>
  <sheetData>
    <row r="1" spans="1:25" x14ac:dyDescent="0.3">
      <c r="A1" t="s">
        <v>4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 t="s">
        <v>16</v>
      </c>
      <c r="B2" s="2">
        <f>'[1]EV Profiles'!B2*Main!$B$6</f>
        <v>7.1204131057713109</v>
      </c>
      <c r="C2" s="2">
        <f>'[1]EV Profiles'!C2*Main!$B$6</f>
        <v>7.3579340050770004</v>
      </c>
      <c r="D2" s="2">
        <f>'[1]EV Profiles'!D2*Main!$B$6</f>
        <v>6.5885980190332045</v>
      </c>
      <c r="E2" s="2">
        <f>'[1]EV Profiles'!E2*Main!$B$6</f>
        <v>6.2450616939398529</v>
      </c>
      <c r="F2" s="2">
        <f>'[1]EV Profiles'!F2*Main!$B$6</f>
        <v>5.116547762604525</v>
      </c>
      <c r="G2" s="2">
        <f>'[1]EV Profiles'!G2*Main!$B$6</f>
        <v>4.3425772224279351</v>
      </c>
      <c r="H2" s="2">
        <f>'[1]EV Profiles'!H2*Main!$B$6</f>
        <v>5.3106197169152711</v>
      </c>
      <c r="I2" s="2">
        <f>'[1]EV Profiles'!I2*Main!$B$6</f>
        <v>0.92227627242599686</v>
      </c>
      <c r="J2" s="2">
        <f>'[1]EV Profiles'!J2*Main!$B$6</f>
        <v>0.81104697323894193</v>
      </c>
      <c r="K2" s="2">
        <f>'[1]EV Profiles'!K2*Main!$B$6</f>
        <v>1.1823906231290575</v>
      </c>
      <c r="L2" s="2">
        <f>'[1]EV Profiles'!L2*Main!$B$6</f>
        <v>0.69634175845229151</v>
      </c>
      <c r="M2" s="2">
        <f>'[1]EV Profiles'!M2*Main!$B$6</f>
        <v>0.87013753843206476</v>
      </c>
      <c r="N2" s="2">
        <f>'[1]EV Profiles'!N2*Main!$B$6</f>
        <v>1.3863110049719913</v>
      </c>
      <c r="O2" s="2">
        <f>'[1]EV Profiles'!O2*Main!$B$6</f>
        <v>2.5542186464360679</v>
      </c>
      <c r="P2" s="2">
        <f>'[1]EV Profiles'!P2*Main!$B$6</f>
        <v>2.7251178300828447</v>
      </c>
      <c r="Q2" s="2">
        <f>'[1]EV Profiles'!Q2*Main!$B$6</f>
        <v>2.6799309272881038</v>
      </c>
      <c r="R2" s="2">
        <f>'[1]EV Profiles'!R2*Main!$B$6</f>
        <v>1.5033334968250387</v>
      </c>
      <c r="S2" s="2">
        <f>'[1]EV Profiles'!S2*Main!$B$6</f>
        <v>3.0622816432436046</v>
      </c>
      <c r="T2" s="2">
        <f>'[1]EV Profiles'!T2*Main!$B$6</f>
        <v>1.7970483649908553</v>
      </c>
      <c r="U2" s="2">
        <f>'[1]EV Profiles'!U2*Main!$B$6</f>
        <v>1.2634953204529515</v>
      </c>
      <c r="V2" s="2">
        <f>'[1]EV Profiles'!V2*Main!$B$6</f>
        <v>1.9187054109766968</v>
      </c>
      <c r="W2" s="2">
        <f>'[1]EV Profiles'!W2*Main!$B$6</f>
        <v>1.1858665387286529</v>
      </c>
      <c r="X2" s="2">
        <f>'[1]EV Profiles'!X2*Main!$B$6</f>
        <v>5.4125799078367383</v>
      </c>
      <c r="Y2" s="2">
        <f>'[1]EV Profiles'!Y2*Main!$B$6</f>
        <v>6.5248728997072876</v>
      </c>
    </row>
    <row r="3" spans="1:25" x14ac:dyDescent="0.3">
      <c r="A3" t="s">
        <v>17</v>
      </c>
      <c r="B3" s="2">
        <f>'[1]EV Profiles'!B3*Main!$B$6</f>
        <v>-16.076109648129027</v>
      </c>
      <c r="C3" s="2">
        <f>'[1]EV Profiles'!C3*Main!$B$6</f>
        <v>-17.190719917065973</v>
      </c>
      <c r="D3" s="2">
        <f>'[1]EV Profiles'!D3*Main!$B$6</f>
        <v>-19.334201203483175</v>
      </c>
      <c r="E3" s="2">
        <f>'[1]EV Profiles'!E3*Main!$B$6</f>
        <v>-20.856072916839391</v>
      </c>
      <c r="F3" s="2">
        <f>'[1]EV Profiles'!F3*Main!$B$6</f>
        <v>-22.292205378738917</v>
      </c>
      <c r="G3" s="2">
        <f>'[1]EV Profiles'!G3*Main!$B$6</f>
        <v>-24.328512600835257</v>
      </c>
      <c r="H3" s="2">
        <f>'[1]EV Profiles'!H3*Main!$B$6</f>
        <v>-23.213902331898318</v>
      </c>
      <c r="I3" s="2">
        <f>'[1]EV Profiles'!I3*Main!$B$6</f>
        <v>-26.040053442076065</v>
      </c>
      <c r="J3" s="2">
        <f>'[1]EV Profiles'!J3*Main!$B$6</f>
        <v>-23.617919588424627</v>
      </c>
      <c r="K3" s="2">
        <f>'[1]EV Profiles'!K3*Main!$B$6</f>
        <v>-34.690854254422597</v>
      </c>
      <c r="L3" s="2">
        <f>'[1]EV Profiles'!L3*Main!$B$6</f>
        <v>-34.335326020510649</v>
      </c>
      <c r="M3" s="2">
        <f>'[1]EV Profiles'!M3*Main!$B$6</f>
        <v>-31.387749592053694</v>
      </c>
      <c r="N3" s="2">
        <f>'[1]EV Profiles'!N3*Main!$B$6</f>
        <v>-30.087757157804987</v>
      </c>
      <c r="O3" s="2">
        <f>'[1]EV Profiles'!O3*Main!$B$6</f>
        <v>-29.049211508572522</v>
      </c>
      <c r="P3" s="2">
        <f>'[1]EV Profiles'!P3*Main!$B$6</f>
        <v>-27.381061680399998</v>
      </c>
      <c r="Q3" s="2">
        <f>'[1]EV Profiles'!Q3*Main!$B$6</f>
        <v>-24.91686924799345</v>
      </c>
      <c r="R3" s="2">
        <f>'[1]EV Profiles'!R3*Main!$B$6</f>
        <v>-23.298714672528444</v>
      </c>
      <c r="S3" s="2">
        <f>'[1]EV Profiles'!S3*Main!$B$6</f>
        <v>-20.85004799646676</v>
      </c>
      <c r="T3" s="2">
        <f>'[1]EV Profiles'!T3*Main!$B$6</f>
        <v>-13.234143121973114</v>
      </c>
      <c r="U3" s="2">
        <f>'[1]EV Profiles'!U3*Main!$B$6</f>
        <v>-14.810992233729598</v>
      </c>
      <c r="V3" s="2">
        <f>'[1]EV Profiles'!V3*Main!$B$6</f>
        <v>-15.655871452137934</v>
      </c>
      <c r="W3" s="2">
        <f>'[1]EV Profiles'!W3*Main!$B$6</f>
        <v>-16.80807954147717</v>
      </c>
      <c r="X3" s="2">
        <f>'[1]EV Profiles'!X3*Main!$B$6</f>
        <v>-13.353888414379178</v>
      </c>
      <c r="Y3" s="2">
        <f>'[1]EV Profiles'!Y3*Main!$B$6</f>
        <v>-14.189846116081887</v>
      </c>
    </row>
    <row r="4" spans="1:25" x14ac:dyDescent="0.3">
      <c r="A4" t="s">
        <v>18</v>
      </c>
      <c r="B4" s="2">
        <f>'[1]EV Profiles'!B4*Main!$B$6</f>
        <v>15.487463341337534</v>
      </c>
      <c r="C4" s="2">
        <f>'[1]EV Profiles'!C4*Main!$B$6</f>
        <v>16.568994480151662</v>
      </c>
      <c r="D4" s="2">
        <f>'[1]EV Profiles'!D4*Main!$B$6</f>
        <v>18.577668173231224</v>
      </c>
      <c r="E4" s="2">
        <f>'[1]EV Profiles'!E4*Main!$B$6</f>
        <v>19.990048545200182</v>
      </c>
      <c r="F4" s="2">
        <f>'[1]EV Profiles'!F4*Main!$B$6</f>
        <v>21.277527683290341</v>
      </c>
      <c r="G4" s="2">
        <f>'[1]EV Profiles'!G4*Main!$B$6</f>
        <v>23.233599186962692</v>
      </c>
      <c r="H4" s="2">
        <f>'[1]EV Profiles'!H4*Main!$B$6</f>
        <v>22.150272158422101</v>
      </c>
      <c r="I4" s="2">
        <f>'[1]EV Profiles'!I4*Main!$B$6</f>
        <v>24.99640978329753</v>
      </c>
      <c r="J4" s="2">
        <f>'[1]EV Profiles'!J4*Main!$B$6</f>
        <v>22.89637744187527</v>
      </c>
      <c r="K4" s="2">
        <f>'[1]EV Profiles'!K4*Main!$B$6</f>
        <v>26.126487876652671</v>
      </c>
      <c r="L4" s="2">
        <f>'[1]EV Profiles'!L4*Main!$B$6</f>
        <v>26.332204148222068</v>
      </c>
      <c r="M4" s="2">
        <f>'[1]EV Profiles'!M4*Main!$B$6</f>
        <v>24.649513406457899</v>
      </c>
      <c r="N4" s="2">
        <f>'[1]EV Profiles'!N4*Main!$B$6</f>
        <v>23.818711646227928</v>
      </c>
      <c r="O4" s="2">
        <f>'[1]EV Profiles'!O4*Main!$B$6</f>
        <v>23.206487045285844</v>
      </c>
      <c r="P4" s="2">
        <f>'[1]EV Profiles'!P4*Main!$B$6</f>
        <v>21.748108723548906</v>
      </c>
      <c r="Q4" s="2">
        <f>'[1]EV Profiles'!Q4*Main!$B$6</f>
        <v>19.80037941731559</v>
      </c>
      <c r="R4" s="2">
        <f>'[1]EV Profiles'!R4*Main!$B$6</f>
        <v>18.445583380446593</v>
      </c>
      <c r="S4" s="2">
        <f>'[1]EV Profiles'!S4*Main!$B$6</f>
        <v>16.485804233468013</v>
      </c>
      <c r="T4" s="2">
        <f>'[1]EV Profiles'!T4*Main!$B$6</f>
        <v>12.903409752671605</v>
      </c>
      <c r="U4" s="2">
        <f>'[1]EV Profiles'!U4*Main!$B$6</f>
        <v>14.442661044025799</v>
      </c>
      <c r="V4" s="2">
        <f>'[1]EV Profiles'!V4*Main!$B$6</f>
        <v>15.346978419187218</v>
      </c>
      <c r="W4" s="2">
        <f>'[1]EV Profiles'!W4*Main!$B$6</f>
        <v>16.531686319382672</v>
      </c>
      <c r="X4" s="2">
        <f>'[1]EV Profiles'!X4*Main!$B$6</f>
        <v>12.863784314836217</v>
      </c>
      <c r="Y4" s="2">
        <f>'[1]EV Profiles'!Y4*Main!$B$6</f>
        <v>13.678886522941355</v>
      </c>
    </row>
    <row r="5" spans="1:25" x14ac:dyDescent="0.3">
      <c r="B5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E4C95-D1F9-4584-8CBB-5D0A21D88C72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Ratio'!$A$3:$B$10,2,FALSE),0)*'FL Characterization'!B$2)</f>
        <v>33.250975033859362</v>
      </c>
      <c r="C2" s="2">
        <f>('[1]Pc, Winter, S1'!C2*Main!$B$5)+(_xlfn.IFNA(VLOOKUP($A2,'FL Ratio'!$A$3:$B$10,2,FALSE),0)*'FL Characterization'!C$2)</f>
        <v>31.014790235683485</v>
      </c>
      <c r="D2" s="2">
        <f>('[1]Pc, Winter, S1'!D2*Main!$B$5)+(_xlfn.IFNA(VLOOKUP($A2,'FL Ratio'!$A$3:$B$10,2,FALSE),0)*'FL Characterization'!D$2)</f>
        <v>29.387466875608002</v>
      </c>
      <c r="E2" s="2">
        <f>('[1]Pc, Winter, S1'!E2*Main!$B$5)+(_xlfn.IFNA(VLOOKUP($A2,'FL Ratio'!$A$3:$B$10,2,FALSE),0)*'FL Characterization'!E$2)</f>
        <v>29.179534192756144</v>
      </c>
      <c r="F2" s="2">
        <f>('[1]Pc, Winter, S1'!F2*Main!$B$5)+(_xlfn.IFNA(VLOOKUP($A2,'FL Ratio'!$A$3:$B$10,2,FALSE),0)*'FL Characterization'!F$2)</f>
        <v>29.531505625225179</v>
      </c>
      <c r="G2" s="2">
        <f>('[1]Pc, Winter, S1'!G2*Main!$B$5)+(_xlfn.IFNA(VLOOKUP($A2,'FL Ratio'!$A$3:$B$10,2,FALSE),0)*'FL Characterization'!G$2)</f>
        <v>32.461500973719616</v>
      </c>
      <c r="H2" s="2">
        <f>('[1]Pc, Winter, S1'!H2*Main!$B$5)+(_xlfn.IFNA(VLOOKUP($A2,'FL Ratio'!$A$3:$B$10,2,FALSE),0)*'FL Characterization'!H$2)</f>
        <v>38.734481593259154</v>
      </c>
      <c r="I2" s="2">
        <f>('[1]Pc, Winter, S1'!I2*Main!$B$5)+(_xlfn.IFNA(VLOOKUP($A2,'FL Ratio'!$A$3:$B$10,2,FALSE),0)*'FL Characterization'!I$2)</f>
        <v>46.624506552063522</v>
      </c>
      <c r="J2" s="2">
        <f>('[1]Pc, Winter, S1'!J2*Main!$B$5)+(_xlfn.IFNA(VLOOKUP($A2,'FL Ratio'!$A$3:$B$10,2,FALSE),0)*'FL Characterization'!J$2)</f>
        <v>50.761418338926639</v>
      </c>
      <c r="K2" s="2">
        <f>('[1]Pc, Winter, S1'!K2*Main!$B$5)+(_xlfn.IFNA(VLOOKUP($A2,'FL Ratio'!$A$3:$B$10,2,FALSE),0)*'FL Characterization'!K$2)</f>
        <v>51.394404581873452</v>
      </c>
      <c r="L2" s="2">
        <f>('[1]Pc, Winter, S1'!L2*Main!$B$5)+(_xlfn.IFNA(VLOOKUP($A2,'FL Ratio'!$A$3:$B$10,2,FALSE),0)*'FL Characterization'!L$2)</f>
        <v>50.007441812059902</v>
      </c>
      <c r="M2" s="2">
        <f>('[1]Pc, Winter, S1'!M2*Main!$B$5)+(_xlfn.IFNA(VLOOKUP($A2,'FL Ratio'!$A$3:$B$10,2,FALSE),0)*'FL Characterization'!M$2)</f>
        <v>50.265186851142673</v>
      </c>
      <c r="N2" s="2">
        <f>('[1]Pc, Winter, S1'!N2*Main!$B$5)+(_xlfn.IFNA(VLOOKUP($A2,'FL Ratio'!$A$3:$B$10,2,FALSE),0)*'FL Characterization'!N$2)</f>
        <v>50.223880328939224</v>
      </c>
      <c r="O2" s="2">
        <f>('[1]Pc, Winter, S1'!O2*Main!$B$5)+(_xlfn.IFNA(VLOOKUP($A2,'FL Ratio'!$A$3:$B$10,2,FALSE),0)*'FL Characterization'!O$2)</f>
        <v>49.403751263665725</v>
      </c>
      <c r="P2" s="2">
        <f>('[1]Pc, Winter, S1'!P2*Main!$B$5)+(_xlfn.IFNA(VLOOKUP($A2,'FL Ratio'!$A$3:$B$10,2,FALSE),0)*'FL Characterization'!P$2)</f>
        <v>46.588253553710189</v>
      </c>
      <c r="Q2" s="2">
        <f>('[1]Pc, Winter, S1'!Q2*Main!$B$5)+(_xlfn.IFNA(VLOOKUP($A2,'FL Ratio'!$A$3:$B$10,2,FALSE),0)*'FL Characterization'!Q$2)</f>
        <v>45.253482877484721</v>
      </c>
      <c r="R2" s="2">
        <f>('[1]Pc, Winter, S1'!R2*Main!$B$5)+(_xlfn.IFNA(VLOOKUP($A2,'FL Ratio'!$A$3:$B$10,2,FALSE),0)*'FL Characterization'!R$2)</f>
        <v>47.129199879178351</v>
      </c>
      <c r="S2" s="2">
        <f>('[1]Pc, Winter, S1'!S2*Main!$B$5)+(_xlfn.IFNA(VLOOKUP($A2,'FL Ratio'!$A$3:$B$10,2,FALSE),0)*'FL Characterization'!S$2)</f>
        <v>52.243602991649929</v>
      </c>
      <c r="T2" s="2">
        <f>('[1]Pc, Winter, S1'!T2*Main!$B$5)+(_xlfn.IFNA(VLOOKUP($A2,'FL Ratio'!$A$3:$B$10,2,FALSE),0)*'FL Characterization'!T$2)</f>
        <v>52.05422075707466</v>
      </c>
      <c r="U2" s="2">
        <f>('[1]Pc, Winter, S1'!U2*Main!$B$5)+(_xlfn.IFNA(VLOOKUP($A2,'FL Ratio'!$A$3:$B$10,2,FALSE),0)*'FL Characterization'!U$2)</f>
        <v>50.976511210586388</v>
      </c>
      <c r="V2" s="2">
        <f>('[1]Pc, Winter, S1'!V2*Main!$B$5)+(_xlfn.IFNA(VLOOKUP($A2,'FL Ratio'!$A$3:$B$10,2,FALSE),0)*'FL Characterization'!V$2)</f>
        <v>50.099847135705851</v>
      </c>
      <c r="W2" s="2">
        <f>('[1]Pc, Winter, S1'!W2*Main!$B$5)+(_xlfn.IFNA(VLOOKUP($A2,'FL Ratio'!$A$3:$B$10,2,FALSE),0)*'FL Characterization'!W$2)</f>
        <v>46.957032179601299</v>
      </c>
      <c r="X2" s="2">
        <f>('[1]Pc, Winter, S1'!X2*Main!$B$5)+(_xlfn.IFNA(VLOOKUP($A2,'FL Ratio'!$A$3:$B$10,2,FALSE),0)*'FL Characterization'!X$2)</f>
        <v>41.078666453140528</v>
      </c>
      <c r="Y2" s="2">
        <f>('[1]Pc, Winter, S1'!Y2*Main!$B$5)+(_xlfn.IFNA(VLOOKUP($A2,'FL Ratio'!$A$3:$B$10,2,FALSE),0)*'FL Characterization'!Y$2)</f>
        <v>37.268777800066893</v>
      </c>
    </row>
    <row r="3" spans="1:25" x14ac:dyDescent="0.3">
      <c r="A3">
        <v>2</v>
      </c>
      <c r="B3" s="2">
        <f>('[1]Pc, Winter, S1'!B3*Main!$B$5)+(_xlfn.IFNA(VLOOKUP($A3,'FL Ratio'!$A$3:$B$10,2,FALSE),0)*'FL Characterization'!B$2)</f>
        <v>35.250615166842898</v>
      </c>
      <c r="C3" s="2">
        <f>('[1]Pc, Winter, S1'!C3*Main!$B$5)+(_xlfn.IFNA(VLOOKUP($A3,'FL Ratio'!$A$3:$B$10,2,FALSE),0)*'FL Characterization'!C$2)</f>
        <v>33.003779815320144</v>
      </c>
      <c r="D3" s="2">
        <f>('[1]Pc, Winter, S1'!D3*Main!$B$5)+(_xlfn.IFNA(VLOOKUP($A3,'FL Ratio'!$A$3:$B$10,2,FALSE),0)*'FL Characterization'!D$2)</f>
        <v>29.843529630654338</v>
      </c>
      <c r="E3" s="2">
        <f>('[1]Pc, Winter, S1'!E3*Main!$B$5)+(_xlfn.IFNA(VLOOKUP($A3,'FL Ratio'!$A$3:$B$10,2,FALSE),0)*'FL Characterization'!E$2)</f>
        <v>31.817977959530719</v>
      </c>
      <c r="F3" s="2">
        <f>('[1]Pc, Winter, S1'!F3*Main!$B$5)+(_xlfn.IFNA(VLOOKUP($A3,'FL Ratio'!$A$3:$B$10,2,FALSE),0)*'FL Characterization'!F$2)</f>
        <v>31.338098308704634</v>
      </c>
      <c r="G3" s="2">
        <f>('[1]Pc, Winter, S1'!G3*Main!$B$5)+(_xlfn.IFNA(VLOOKUP($A3,'FL Ratio'!$A$3:$B$10,2,FALSE),0)*'FL Characterization'!G$2)</f>
        <v>32.339405041890672</v>
      </c>
      <c r="H3" s="2">
        <f>('[1]Pc, Winter, S1'!H3*Main!$B$5)+(_xlfn.IFNA(VLOOKUP($A3,'FL Ratio'!$A$3:$B$10,2,FALSE),0)*'FL Characterization'!H$2)</f>
        <v>47.744134659114131</v>
      </c>
      <c r="I3" s="2">
        <f>('[1]Pc, Winter, S1'!I3*Main!$B$5)+(_xlfn.IFNA(VLOOKUP($A3,'FL Ratio'!$A$3:$B$10,2,FALSE),0)*'FL Characterization'!I$2)</f>
        <v>51.511176894494653</v>
      </c>
      <c r="J3" s="2">
        <f>('[1]Pc, Winter, S1'!J3*Main!$B$5)+(_xlfn.IFNA(VLOOKUP($A3,'FL Ratio'!$A$3:$B$10,2,FALSE),0)*'FL Characterization'!J$2)</f>
        <v>56.407611589373538</v>
      </c>
      <c r="K3" s="2">
        <f>('[1]Pc, Winter, S1'!K3*Main!$B$5)+(_xlfn.IFNA(VLOOKUP($A3,'FL Ratio'!$A$3:$B$10,2,FALSE),0)*'FL Characterization'!K$2)</f>
        <v>56.561021490257005</v>
      </c>
      <c r="L3" s="2">
        <f>('[1]Pc, Winter, S1'!L3*Main!$B$5)+(_xlfn.IFNA(VLOOKUP($A3,'FL Ratio'!$A$3:$B$10,2,FALSE),0)*'FL Characterization'!L$2)</f>
        <v>53.287783661114084</v>
      </c>
      <c r="M3" s="2">
        <f>('[1]Pc, Winter, S1'!M3*Main!$B$5)+(_xlfn.IFNA(VLOOKUP($A3,'FL Ratio'!$A$3:$B$10,2,FALSE),0)*'FL Characterization'!M$2)</f>
        <v>58.338493614643937</v>
      </c>
      <c r="N3" s="2">
        <f>('[1]Pc, Winter, S1'!N3*Main!$B$5)+(_xlfn.IFNA(VLOOKUP($A3,'FL Ratio'!$A$3:$B$10,2,FALSE),0)*'FL Characterization'!N$2)</f>
        <v>55.206729154711851</v>
      </c>
      <c r="O3" s="2">
        <f>('[1]Pc, Winter, S1'!O3*Main!$B$5)+(_xlfn.IFNA(VLOOKUP($A3,'FL Ratio'!$A$3:$B$10,2,FALSE),0)*'FL Characterization'!O$2)</f>
        <v>52.099605483678729</v>
      </c>
      <c r="P3" s="2">
        <f>('[1]Pc, Winter, S1'!P3*Main!$B$5)+(_xlfn.IFNA(VLOOKUP($A3,'FL Ratio'!$A$3:$B$10,2,FALSE),0)*'FL Characterization'!P$2)</f>
        <v>50.600959518670187</v>
      </c>
      <c r="Q3" s="2">
        <f>('[1]Pc, Winter, S1'!Q3*Main!$B$5)+(_xlfn.IFNA(VLOOKUP($A3,'FL Ratio'!$A$3:$B$10,2,FALSE),0)*'FL Characterization'!Q$2)</f>
        <v>47.32651636456621</v>
      </c>
      <c r="R3" s="2">
        <f>('[1]Pc, Winter, S1'!R3*Main!$B$5)+(_xlfn.IFNA(VLOOKUP($A3,'FL Ratio'!$A$3:$B$10,2,FALSE),0)*'FL Characterization'!R$2)</f>
        <v>46.963949083529528</v>
      </c>
      <c r="S3" s="2">
        <f>('[1]Pc, Winter, S1'!S3*Main!$B$5)+(_xlfn.IFNA(VLOOKUP($A3,'FL Ratio'!$A$3:$B$10,2,FALSE),0)*'FL Characterization'!S$2)</f>
        <v>50.209628058789662</v>
      </c>
      <c r="T3" s="2">
        <f>('[1]Pc, Winter, S1'!T3*Main!$B$5)+(_xlfn.IFNA(VLOOKUP($A3,'FL Ratio'!$A$3:$B$10,2,FALSE),0)*'FL Characterization'!T$2)</f>
        <v>49.787883632705409</v>
      </c>
      <c r="U3" s="2">
        <f>('[1]Pc, Winter, S1'!U3*Main!$B$5)+(_xlfn.IFNA(VLOOKUP($A3,'FL Ratio'!$A$3:$B$10,2,FALSE),0)*'FL Characterization'!U$2)</f>
        <v>50.350791011567907</v>
      </c>
      <c r="V3" s="2">
        <f>('[1]Pc, Winter, S1'!V3*Main!$B$5)+(_xlfn.IFNA(VLOOKUP($A3,'FL Ratio'!$A$3:$B$10,2,FALSE),0)*'FL Characterization'!V$2)</f>
        <v>49.220995509741016</v>
      </c>
      <c r="W3" s="2">
        <f>('[1]Pc, Winter, S1'!W3*Main!$B$5)+(_xlfn.IFNA(VLOOKUP($A3,'FL Ratio'!$A$3:$B$10,2,FALSE),0)*'FL Characterization'!W$2)</f>
        <v>44.295059697562891</v>
      </c>
      <c r="X3" s="2">
        <f>('[1]Pc, Winter, S1'!X3*Main!$B$5)+(_xlfn.IFNA(VLOOKUP($A3,'FL Ratio'!$A$3:$B$10,2,FALSE),0)*'FL Characterization'!X$2)</f>
        <v>38.933350698451804</v>
      </c>
      <c r="Y3" s="2">
        <f>('[1]Pc, Winter, S1'!Y3*Main!$B$5)+(_xlfn.IFNA(VLOOKUP($A3,'FL Ratio'!$A$3:$B$10,2,FALSE),0)*'FL Characterization'!Y$2)</f>
        <v>38.104065941402872</v>
      </c>
    </row>
    <row r="4" spans="1:25" x14ac:dyDescent="0.3">
      <c r="A4">
        <v>3</v>
      </c>
      <c r="B4" s="2">
        <f>('[1]Pc, Winter, S1'!B4*Main!$B$5)+(_xlfn.IFNA(VLOOKUP($A4,'FL Ratio'!$A$3:$B$10,2,FALSE),0)*'FL Characterization'!B$2)</f>
        <v>50.161186428693703</v>
      </c>
      <c r="C4" s="2">
        <f>('[1]Pc, Winter, S1'!C4*Main!$B$5)+(_xlfn.IFNA(VLOOKUP($A4,'FL Ratio'!$A$3:$B$10,2,FALSE),0)*'FL Characterization'!C$2)</f>
        <v>44.499370140655692</v>
      </c>
      <c r="D4" s="2">
        <f>('[1]Pc, Winter, S1'!D4*Main!$B$5)+(_xlfn.IFNA(VLOOKUP($A4,'FL Ratio'!$A$3:$B$10,2,FALSE),0)*'FL Characterization'!D$2)</f>
        <v>41.781248282396909</v>
      </c>
      <c r="E4" s="2">
        <f>('[1]Pc, Winter, S1'!E4*Main!$B$5)+(_xlfn.IFNA(VLOOKUP($A4,'FL Ratio'!$A$3:$B$10,2,FALSE),0)*'FL Characterization'!E$2)</f>
        <v>41.196645045508149</v>
      </c>
      <c r="F4" s="2">
        <f>('[1]Pc, Winter, S1'!F4*Main!$B$5)+(_xlfn.IFNA(VLOOKUP($A4,'FL Ratio'!$A$3:$B$10,2,FALSE),0)*'FL Characterization'!F$2)</f>
        <v>42.647279673230045</v>
      </c>
      <c r="G4" s="2">
        <f>('[1]Pc, Winter, S1'!G4*Main!$B$5)+(_xlfn.IFNA(VLOOKUP($A4,'FL Ratio'!$A$3:$B$10,2,FALSE),0)*'FL Characterization'!G$2)</f>
        <v>45.652501615961725</v>
      </c>
      <c r="H4" s="2">
        <f>('[1]Pc, Winter, S1'!H4*Main!$B$5)+(_xlfn.IFNA(VLOOKUP($A4,'FL Ratio'!$A$3:$B$10,2,FALSE),0)*'FL Characterization'!H$2)</f>
        <v>55.111243818429273</v>
      </c>
      <c r="I4" s="2">
        <f>('[1]Pc, Winter, S1'!I4*Main!$B$5)+(_xlfn.IFNA(VLOOKUP($A4,'FL Ratio'!$A$3:$B$10,2,FALSE),0)*'FL Characterization'!I$2)</f>
        <v>59.939269890624658</v>
      </c>
      <c r="J4" s="2">
        <f>('[1]Pc, Winter, S1'!J4*Main!$B$5)+(_xlfn.IFNA(VLOOKUP($A4,'FL Ratio'!$A$3:$B$10,2,FALSE),0)*'FL Characterization'!J$2)</f>
        <v>63.385233084048686</v>
      </c>
      <c r="K4" s="2">
        <f>('[1]Pc, Winter, S1'!K4*Main!$B$5)+(_xlfn.IFNA(VLOOKUP($A4,'FL Ratio'!$A$3:$B$10,2,FALSE),0)*'FL Characterization'!K$2)</f>
        <v>65.656130550501317</v>
      </c>
      <c r="L4" s="2">
        <f>('[1]Pc, Winter, S1'!L4*Main!$B$5)+(_xlfn.IFNA(VLOOKUP($A4,'FL Ratio'!$A$3:$B$10,2,FALSE),0)*'FL Characterization'!L$2)</f>
        <v>66.091232457073502</v>
      </c>
      <c r="M4" s="2">
        <f>('[1]Pc, Winter, S1'!M4*Main!$B$5)+(_xlfn.IFNA(VLOOKUP($A4,'FL Ratio'!$A$3:$B$10,2,FALSE),0)*'FL Characterization'!M$2)</f>
        <v>65.462230392292923</v>
      </c>
      <c r="N4" s="2">
        <f>('[1]Pc, Winter, S1'!N4*Main!$B$5)+(_xlfn.IFNA(VLOOKUP($A4,'FL Ratio'!$A$3:$B$10,2,FALSE),0)*'FL Characterization'!N$2)</f>
        <v>65.264487692063383</v>
      </c>
      <c r="O4" s="2">
        <f>('[1]Pc, Winter, S1'!O4*Main!$B$5)+(_xlfn.IFNA(VLOOKUP($A4,'FL Ratio'!$A$3:$B$10,2,FALSE),0)*'FL Characterization'!O$2)</f>
        <v>64.31743543605711</v>
      </c>
      <c r="P4" s="2">
        <f>('[1]Pc, Winter, S1'!P4*Main!$B$5)+(_xlfn.IFNA(VLOOKUP($A4,'FL Ratio'!$A$3:$B$10,2,FALSE),0)*'FL Characterization'!P$2)</f>
        <v>62.354166121739176</v>
      </c>
      <c r="Q4" s="2">
        <f>('[1]Pc, Winter, S1'!Q4*Main!$B$5)+(_xlfn.IFNA(VLOOKUP($A4,'FL Ratio'!$A$3:$B$10,2,FALSE),0)*'FL Characterization'!Q$2)</f>
        <v>61.226526124832134</v>
      </c>
      <c r="R4" s="2">
        <f>('[1]Pc, Winter, S1'!R4*Main!$B$5)+(_xlfn.IFNA(VLOOKUP($A4,'FL Ratio'!$A$3:$B$10,2,FALSE),0)*'FL Characterization'!R$2)</f>
        <v>62.988183781819949</v>
      </c>
      <c r="S4" s="2">
        <f>('[1]Pc, Winter, S1'!S4*Main!$B$5)+(_xlfn.IFNA(VLOOKUP($A4,'FL Ratio'!$A$3:$B$10,2,FALSE),0)*'FL Characterization'!S$2)</f>
        <v>71.764978212006241</v>
      </c>
      <c r="T4" s="2">
        <f>('[1]Pc, Winter, S1'!T4*Main!$B$5)+(_xlfn.IFNA(VLOOKUP($A4,'FL Ratio'!$A$3:$B$10,2,FALSE),0)*'FL Characterization'!T$2)</f>
        <v>72.73117560384587</v>
      </c>
      <c r="U4" s="2">
        <f>('[1]Pc, Winter, S1'!U4*Main!$B$5)+(_xlfn.IFNA(VLOOKUP($A4,'FL Ratio'!$A$3:$B$10,2,FALSE),0)*'FL Characterization'!U$2)</f>
        <v>72.981724817442554</v>
      </c>
      <c r="V4" s="2">
        <f>('[1]Pc, Winter, S1'!V4*Main!$B$5)+(_xlfn.IFNA(VLOOKUP($A4,'FL Ratio'!$A$3:$B$10,2,FALSE),0)*'FL Characterization'!V$2)</f>
        <v>71.042399300601105</v>
      </c>
      <c r="W4" s="2">
        <f>('[1]Pc, Winter, S1'!W4*Main!$B$5)+(_xlfn.IFNA(VLOOKUP($A4,'FL Ratio'!$A$3:$B$10,2,FALSE),0)*'FL Characterization'!W$2)</f>
        <v>67.579889627423896</v>
      </c>
      <c r="X4" s="2">
        <f>('[1]Pc, Winter, S1'!X4*Main!$B$5)+(_xlfn.IFNA(VLOOKUP($A4,'FL Ratio'!$A$3:$B$10,2,FALSE),0)*'FL Characterization'!X$2)</f>
        <v>63.066717713973027</v>
      </c>
      <c r="Y4" s="2">
        <f>('[1]Pc, Winter, S1'!Y4*Main!$B$5)+(_xlfn.IFNA(VLOOKUP($A4,'FL Ratio'!$A$3:$B$10,2,FALSE),0)*'FL Characterization'!Y$2)</f>
        <v>56.325323866596591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FDB8D-ED0A-4813-92D7-41EA4F081747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Ratio'!$A$3:$B$10,2,FALSE),0)*'FL Characterization'!B$2)</f>
        <v>33.250975033859362</v>
      </c>
      <c r="C2" s="2">
        <f>('[1]Pc, Winter, S1'!C2*Main!$B$5)+(_xlfn.IFNA(VLOOKUP($A2,'FL Ratio'!$A$3:$B$10,2,FALSE),0)*'FL Characterization'!C$2)</f>
        <v>31.014790235683485</v>
      </c>
      <c r="D2" s="2">
        <f>('[1]Pc, Winter, S1'!D2*Main!$B$5)+(_xlfn.IFNA(VLOOKUP($A2,'FL Ratio'!$A$3:$B$10,2,FALSE),0)*'FL Characterization'!D$2)</f>
        <v>29.387466875608002</v>
      </c>
      <c r="E2" s="2">
        <f>('[1]Pc, Winter, S1'!E2*Main!$B$5)+(_xlfn.IFNA(VLOOKUP($A2,'FL Ratio'!$A$3:$B$10,2,FALSE),0)*'FL Characterization'!E$2)</f>
        <v>29.179534192756144</v>
      </c>
      <c r="F2" s="2">
        <f>('[1]Pc, Winter, S1'!F2*Main!$B$5)+(_xlfn.IFNA(VLOOKUP($A2,'FL Ratio'!$A$3:$B$10,2,FALSE),0)*'FL Characterization'!F$2)</f>
        <v>29.531505625225179</v>
      </c>
      <c r="G2" s="2">
        <f>('[1]Pc, Winter, S1'!G2*Main!$B$5)+(_xlfn.IFNA(VLOOKUP($A2,'FL Ratio'!$A$3:$B$10,2,FALSE),0)*'FL Characterization'!G$2)</f>
        <v>32.461500973719616</v>
      </c>
      <c r="H2" s="2">
        <f>('[1]Pc, Winter, S1'!H2*Main!$B$5)+(_xlfn.IFNA(VLOOKUP($A2,'FL Ratio'!$A$3:$B$10,2,FALSE),0)*'FL Characterization'!H$2)</f>
        <v>38.734481593259154</v>
      </c>
      <c r="I2" s="2">
        <f>('[1]Pc, Winter, S1'!I2*Main!$B$5)+(_xlfn.IFNA(VLOOKUP($A2,'FL Ratio'!$A$3:$B$10,2,FALSE),0)*'FL Characterization'!I$2)</f>
        <v>46.624506552063522</v>
      </c>
      <c r="J2" s="2">
        <f>('[1]Pc, Winter, S1'!J2*Main!$B$5)+(_xlfn.IFNA(VLOOKUP($A2,'FL Ratio'!$A$3:$B$10,2,FALSE),0)*'FL Characterization'!J$2)</f>
        <v>50.761418338926639</v>
      </c>
      <c r="K2" s="2">
        <f>('[1]Pc, Winter, S1'!K2*Main!$B$5)+(_xlfn.IFNA(VLOOKUP($A2,'FL Ratio'!$A$3:$B$10,2,FALSE),0)*'FL Characterization'!K$2)</f>
        <v>51.394404581873452</v>
      </c>
      <c r="L2" s="2">
        <f>('[1]Pc, Winter, S1'!L2*Main!$B$5)+(_xlfn.IFNA(VLOOKUP($A2,'FL Ratio'!$A$3:$B$10,2,FALSE),0)*'FL Characterization'!L$2)</f>
        <v>50.007441812059902</v>
      </c>
      <c r="M2" s="2">
        <f>('[1]Pc, Winter, S1'!M2*Main!$B$5)+(_xlfn.IFNA(VLOOKUP($A2,'FL Ratio'!$A$3:$B$10,2,FALSE),0)*'FL Characterization'!M$2)</f>
        <v>50.265186851142673</v>
      </c>
      <c r="N2" s="2">
        <f>('[1]Pc, Winter, S1'!N2*Main!$B$5)+(_xlfn.IFNA(VLOOKUP($A2,'FL Ratio'!$A$3:$B$10,2,FALSE),0)*'FL Characterization'!N$2)</f>
        <v>50.223880328939224</v>
      </c>
      <c r="O2" s="2">
        <f>('[1]Pc, Winter, S1'!O2*Main!$B$5)+(_xlfn.IFNA(VLOOKUP($A2,'FL Ratio'!$A$3:$B$10,2,FALSE),0)*'FL Characterization'!O$2)</f>
        <v>49.403751263665725</v>
      </c>
      <c r="P2" s="2">
        <f>('[1]Pc, Winter, S1'!P2*Main!$B$5)+(_xlfn.IFNA(VLOOKUP($A2,'FL Ratio'!$A$3:$B$10,2,FALSE),0)*'FL Characterization'!P$2)</f>
        <v>46.588253553710189</v>
      </c>
      <c r="Q2" s="2">
        <f>('[1]Pc, Winter, S1'!Q2*Main!$B$5)+(_xlfn.IFNA(VLOOKUP($A2,'FL Ratio'!$A$3:$B$10,2,FALSE),0)*'FL Characterization'!Q$2)</f>
        <v>45.253482877484721</v>
      </c>
      <c r="R2" s="2">
        <f>('[1]Pc, Winter, S1'!R2*Main!$B$5)+(_xlfn.IFNA(VLOOKUP($A2,'FL Ratio'!$A$3:$B$10,2,FALSE),0)*'FL Characterization'!R$2)</f>
        <v>47.129199879178351</v>
      </c>
      <c r="S2" s="2">
        <f>('[1]Pc, Winter, S1'!S2*Main!$B$5)+(_xlfn.IFNA(VLOOKUP($A2,'FL Ratio'!$A$3:$B$10,2,FALSE),0)*'FL Characterization'!S$2)</f>
        <v>52.243602991649929</v>
      </c>
      <c r="T2" s="2">
        <f>('[1]Pc, Winter, S1'!T2*Main!$B$5)+(_xlfn.IFNA(VLOOKUP($A2,'FL Ratio'!$A$3:$B$10,2,FALSE),0)*'FL Characterization'!T$2)</f>
        <v>52.05422075707466</v>
      </c>
      <c r="U2" s="2">
        <f>('[1]Pc, Winter, S1'!U2*Main!$B$5)+(_xlfn.IFNA(VLOOKUP($A2,'FL Ratio'!$A$3:$B$10,2,FALSE),0)*'FL Characterization'!U$2)</f>
        <v>50.976511210586388</v>
      </c>
      <c r="V2" s="2">
        <f>('[1]Pc, Winter, S1'!V2*Main!$B$5)+(_xlfn.IFNA(VLOOKUP($A2,'FL Ratio'!$A$3:$B$10,2,FALSE),0)*'FL Characterization'!V$2)</f>
        <v>50.099847135705851</v>
      </c>
      <c r="W2" s="2">
        <f>('[1]Pc, Winter, S1'!W2*Main!$B$5)+(_xlfn.IFNA(VLOOKUP($A2,'FL Ratio'!$A$3:$B$10,2,FALSE),0)*'FL Characterization'!W$2)</f>
        <v>46.957032179601299</v>
      </c>
      <c r="X2" s="2">
        <f>('[1]Pc, Winter, S1'!X2*Main!$B$5)+(_xlfn.IFNA(VLOOKUP($A2,'FL Ratio'!$A$3:$B$10,2,FALSE),0)*'FL Characterization'!X$2)</f>
        <v>41.078666453140528</v>
      </c>
      <c r="Y2" s="2">
        <f>('[1]Pc, Winter, S1'!Y2*Main!$B$5)+(_xlfn.IFNA(VLOOKUP($A2,'FL Ratio'!$A$3:$B$10,2,FALSE),0)*'FL Characterization'!Y$2)</f>
        <v>37.268777800066893</v>
      </c>
    </row>
    <row r="3" spans="1:25" x14ac:dyDescent="0.3">
      <c r="A3">
        <v>2</v>
      </c>
      <c r="B3" s="2">
        <f>('[1]Pc, Winter, S1'!B3*Main!$B$5)+(_xlfn.IFNA(VLOOKUP($A3,'FL Ratio'!$A$3:$B$10,2,FALSE),0)*'FL Characterization'!B$2)</f>
        <v>35.250615166842898</v>
      </c>
      <c r="C3" s="2">
        <f>('[1]Pc, Winter, S1'!C3*Main!$B$5)+(_xlfn.IFNA(VLOOKUP($A3,'FL Ratio'!$A$3:$B$10,2,FALSE),0)*'FL Characterization'!C$2)</f>
        <v>33.003779815320144</v>
      </c>
      <c r="D3" s="2">
        <f>('[1]Pc, Winter, S1'!D3*Main!$B$5)+(_xlfn.IFNA(VLOOKUP($A3,'FL Ratio'!$A$3:$B$10,2,FALSE),0)*'FL Characterization'!D$2)</f>
        <v>29.843529630654338</v>
      </c>
      <c r="E3" s="2">
        <f>('[1]Pc, Winter, S1'!E3*Main!$B$5)+(_xlfn.IFNA(VLOOKUP($A3,'FL Ratio'!$A$3:$B$10,2,FALSE),0)*'FL Characterization'!E$2)</f>
        <v>31.817977959530719</v>
      </c>
      <c r="F3" s="2">
        <f>('[1]Pc, Winter, S1'!F3*Main!$B$5)+(_xlfn.IFNA(VLOOKUP($A3,'FL Ratio'!$A$3:$B$10,2,FALSE),0)*'FL Characterization'!F$2)</f>
        <v>31.338098308704634</v>
      </c>
      <c r="G3" s="2">
        <f>('[1]Pc, Winter, S1'!G3*Main!$B$5)+(_xlfn.IFNA(VLOOKUP($A3,'FL Ratio'!$A$3:$B$10,2,FALSE),0)*'FL Characterization'!G$2)</f>
        <v>32.339405041890672</v>
      </c>
      <c r="H3" s="2">
        <f>('[1]Pc, Winter, S1'!H3*Main!$B$5)+(_xlfn.IFNA(VLOOKUP($A3,'FL Ratio'!$A$3:$B$10,2,FALSE),0)*'FL Characterization'!H$2)</f>
        <v>47.744134659114131</v>
      </c>
      <c r="I3" s="2">
        <f>('[1]Pc, Winter, S1'!I3*Main!$B$5)+(_xlfn.IFNA(VLOOKUP($A3,'FL Ratio'!$A$3:$B$10,2,FALSE),0)*'FL Characterization'!I$2)</f>
        <v>51.511176894494653</v>
      </c>
      <c r="J3" s="2">
        <f>('[1]Pc, Winter, S1'!J3*Main!$B$5)+(_xlfn.IFNA(VLOOKUP($A3,'FL Ratio'!$A$3:$B$10,2,FALSE),0)*'FL Characterization'!J$2)</f>
        <v>56.407611589373538</v>
      </c>
      <c r="K3" s="2">
        <f>('[1]Pc, Winter, S1'!K3*Main!$B$5)+(_xlfn.IFNA(VLOOKUP($A3,'FL Ratio'!$A$3:$B$10,2,FALSE),0)*'FL Characterization'!K$2)</f>
        <v>56.561021490257005</v>
      </c>
      <c r="L3" s="2">
        <f>('[1]Pc, Winter, S1'!L3*Main!$B$5)+(_xlfn.IFNA(VLOOKUP($A3,'FL Ratio'!$A$3:$B$10,2,FALSE),0)*'FL Characterization'!L$2)</f>
        <v>53.287783661114084</v>
      </c>
      <c r="M3" s="2">
        <f>('[1]Pc, Winter, S1'!M3*Main!$B$5)+(_xlfn.IFNA(VLOOKUP($A3,'FL Ratio'!$A$3:$B$10,2,FALSE),0)*'FL Characterization'!M$2)</f>
        <v>58.338493614643937</v>
      </c>
      <c r="N3" s="2">
        <f>('[1]Pc, Winter, S1'!N3*Main!$B$5)+(_xlfn.IFNA(VLOOKUP($A3,'FL Ratio'!$A$3:$B$10,2,FALSE),0)*'FL Characterization'!N$2)</f>
        <v>55.206729154711851</v>
      </c>
      <c r="O3" s="2">
        <f>('[1]Pc, Winter, S1'!O3*Main!$B$5)+(_xlfn.IFNA(VLOOKUP($A3,'FL Ratio'!$A$3:$B$10,2,FALSE),0)*'FL Characterization'!O$2)</f>
        <v>52.099605483678729</v>
      </c>
      <c r="P3" s="2">
        <f>('[1]Pc, Winter, S1'!P3*Main!$B$5)+(_xlfn.IFNA(VLOOKUP($A3,'FL Ratio'!$A$3:$B$10,2,FALSE),0)*'FL Characterization'!P$2)</f>
        <v>50.600959518670187</v>
      </c>
      <c r="Q3" s="2">
        <f>('[1]Pc, Winter, S1'!Q3*Main!$B$5)+(_xlfn.IFNA(VLOOKUP($A3,'FL Ratio'!$A$3:$B$10,2,FALSE),0)*'FL Characterization'!Q$2)</f>
        <v>47.32651636456621</v>
      </c>
      <c r="R3" s="2">
        <f>('[1]Pc, Winter, S1'!R3*Main!$B$5)+(_xlfn.IFNA(VLOOKUP($A3,'FL Ratio'!$A$3:$B$10,2,FALSE),0)*'FL Characterization'!R$2)</f>
        <v>46.963949083529528</v>
      </c>
      <c r="S3" s="2">
        <f>('[1]Pc, Winter, S1'!S3*Main!$B$5)+(_xlfn.IFNA(VLOOKUP($A3,'FL Ratio'!$A$3:$B$10,2,FALSE),0)*'FL Characterization'!S$2)</f>
        <v>50.209628058789662</v>
      </c>
      <c r="T3" s="2">
        <f>('[1]Pc, Winter, S1'!T3*Main!$B$5)+(_xlfn.IFNA(VLOOKUP($A3,'FL Ratio'!$A$3:$B$10,2,FALSE),0)*'FL Characterization'!T$2)</f>
        <v>49.787883632705409</v>
      </c>
      <c r="U3" s="2">
        <f>('[1]Pc, Winter, S1'!U3*Main!$B$5)+(_xlfn.IFNA(VLOOKUP($A3,'FL Ratio'!$A$3:$B$10,2,FALSE),0)*'FL Characterization'!U$2)</f>
        <v>50.350791011567907</v>
      </c>
      <c r="V3" s="2">
        <f>('[1]Pc, Winter, S1'!V3*Main!$B$5)+(_xlfn.IFNA(VLOOKUP($A3,'FL Ratio'!$A$3:$B$10,2,FALSE),0)*'FL Characterization'!V$2)</f>
        <v>49.220995509741016</v>
      </c>
      <c r="W3" s="2">
        <f>('[1]Pc, Winter, S1'!W3*Main!$B$5)+(_xlfn.IFNA(VLOOKUP($A3,'FL Ratio'!$A$3:$B$10,2,FALSE),0)*'FL Characterization'!W$2)</f>
        <v>44.295059697562891</v>
      </c>
      <c r="X3" s="2">
        <f>('[1]Pc, Winter, S1'!X3*Main!$B$5)+(_xlfn.IFNA(VLOOKUP($A3,'FL Ratio'!$A$3:$B$10,2,FALSE),0)*'FL Characterization'!X$2)</f>
        <v>38.933350698451804</v>
      </c>
      <c r="Y3" s="2">
        <f>('[1]Pc, Winter, S1'!Y3*Main!$B$5)+(_xlfn.IFNA(VLOOKUP($A3,'FL Ratio'!$A$3:$B$10,2,FALSE),0)*'FL Characterization'!Y$2)</f>
        <v>38.104065941402872</v>
      </c>
    </row>
    <row r="4" spans="1:25" x14ac:dyDescent="0.3">
      <c r="A4">
        <v>3</v>
      </c>
      <c r="B4" s="2">
        <f>('[1]Pc, Winter, S1'!B4*Main!$B$5)+(_xlfn.IFNA(VLOOKUP($A4,'FL Ratio'!$A$3:$B$10,2,FALSE),0)*'FL Characterization'!B$2)</f>
        <v>50.161186428693703</v>
      </c>
      <c r="C4" s="2">
        <f>('[1]Pc, Winter, S1'!C4*Main!$B$5)+(_xlfn.IFNA(VLOOKUP($A4,'FL Ratio'!$A$3:$B$10,2,FALSE),0)*'FL Characterization'!C$2)</f>
        <v>44.499370140655692</v>
      </c>
      <c r="D4" s="2">
        <f>('[1]Pc, Winter, S1'!D4*Main!$B$5)+(_xlfn.IFNA(VLOOKUP($A4,'FL Ratio'!$A$3:$B$10,2,FALSE),0)*'FL Characterization'!D$2)</f>
        <v>41.781248282396909</v>
      </c>
      <c r="E4" s="2">
        <f>('[1]Pc, Winter, S1'!E4*Main!$B$5)+(_xlfn.IFNA(VLOOKUP($A4,'FL Ratio'!$A$3:$B$10,2,FALSE),0)*'FL Characterization'!E$2)</f>
        <v>41.196645045508149</v>
      </c>
      <c r="F4" s="2">
        <f>('[1]Pc, Winter, S1'!F4*Main!$B$5)+(_xlfn.IFNA(VLOOKUP($A4,'FL Ratio'!$A$3:$B$10,2,FALSE),0)*'FL Characterization'!F$2)</f>
        <v>42.647279673230045</v>
      </c>
      <c r="G4" s="2">
        <f>('[1]Pc, Winter, S1'!G4*Main!$B$5)+(_xlfn.IFNA(VLOOKUP($A4,'FL Ratio'!$A$3:$B$10,2,FALSE),0)*'FL Characterization'!G$2)</f>
        <v>45.652501615961725</v>
      </c>
      <c r="H4" s="2">
        <f>('[1]Pc, Winter, S1'!H4*Main!$B$5)+(_xlfn.IFNA(VLOOKUP($A4,'FL Ratio'!$A$3:$B$10,2,FALSE),0)*'FL Characterization'!H$2)</f>
        <v>55.111243818429273</v>
      </c>
      <c r="I4" s="2">
        <f>('[1]Pc, Winter, S1'!I4*Main!$B$5)+(_xlfn.IFNA(VLOOKUP($A4,'FL Ratio'!$A$3:$B$10,2,FALSE),0)*'FL Characterization'!I$2)</f>
        <v>59.939269890624658</v>
      </c>
      <c r="J4" s="2">
        <f>('[1]Pc, Winter, S1'!J4*Main!$B$5)+(_xlfn.IFNA(VLOOKUP($A4,'FL Ratio'!$A$3:$B$10,2,FALSE),0)*'FL Characterization'!J$2)</f>
        <v>63.385233084048686</v>
      </c>
      <c r="K4" s="2">
        <f>('[1]Pc, Winter, S1'!K4*Main!$B$5)+(_xlfn.IFNA(VLOOKUP($A4,'FL Ratio'!$A$3:$B$10,2,FALSE),0)*'FL Characterization'!K$2)</f>
        <v>65.656130550501317</v>
      </c>
      <c r="L4" s="2">
        <f>('[1]Pc, Winter, S1'!L4*Main!$B$5)+(_xlfn.IFNA(VLOOKUP($A4,'FL Ratio'!$A$3:$B$10,2,FALSE),0)*'FL Characterization'!L$2)</f>
        <v>66.091232457073502</v>
      </c>
      <c r="M4" s="2">
        <f>('[1]Pc, Winter, S1'!M4*Main!$B$5)+(_xlfn.IFNA(VLOOKUP($A4,'FL Ratio'!$A$3:$B$10,2,FALSE),0)*'FL Characterization'!M$2)</f>
        <v>65.462230392292923</v>
      </c>
      <c r="N4" s="2">
        <f>('[1]Pc, Winter, S1'!N4*Main!$B$5)+(_xlfn.IFNA(VLOOKUP($A4,'FL Ratio'!$A$3:$B$10,2,FALSE),0)*'FL Characterization'!N$2)</f>
        <v>65.264487692063383</v>
      </c>
      <c r="O4" s="2">
        <f>('[1]Pc, Winter, S1'!O4*Main!$B$5)+(_xlfn.IFNA(VLOOKUP($A4,'FL Ratio'!$A$3:$B$10,2,FALSE),0)*'FL Characterization'!O$2)</f>
        <v>64.31743543605711</v>
      </c>
      <c r="P4" s="2">
        <f>('[1]Pc, Winter, S1'!P4*Main!$B$5)+(_xlfn.IFNA(VLOOKUP($A4,'FL Ratio'!$A$3:$B$10,2,FALSE),0)*'FL Characterization'!P$2)</f>
        <v>62.354166121739176</v>
      </c>
      <c r="Q4" s="2">
        <f>('[1]Pc, Winter, S1'!Q4*Main!$B$5)+(_xlfn.IFNA(VLOOKUP($A4,'FL Ratio'!$A$3:$B$10,2,FALSE),0)*'FL Characterization'!Q$2)</f>
        <v>61.226526124832134</v>
      </c>
      <c r="R4" s="2">
        <f>('[1]Pc, Winter, S1'!R4*Main!$B$5)+(_xlfn.IFNA(VLOOKUP($A4,'FL Ratio'!$A$3:$B$10,2,FALSE),0)*'FL Characterization'!R$2)</f>
        <v>62.988183781819949</v>
      </c>
      <c r="S4" s="2">
        <f>('[1]Pc, Winter, S1'!S4*Main!$B$5)+(_xlfn.IFNA(VLOOKUP($A4,'FL Ratio'!$A$3:$B$10,2,FALSE),0)*'FL Characterization'!S$2)</f>
        <v>71.764978212006241</v>
      </c>
      <c r="T4" s="2">
        <f>('[1]Pc, Winter, S1'!T4*Main!$B$5)+(_xlfn.IFNA(VLOOKUP($A4,'FL Ratio'!$A$3:$B$10,2,FALSE),0)*'FL Characterization'!T$2)</f>
        <v>72.73117560384587</v>
      </c>
      <c r="U4" s="2">
        <f>('[1]Pc, Winter, S1'!U4*Main!$B$5)+(_xlfn.IFNA(VLOOKUP($A4,'FL Ratio'!$A$3:$B$10,2,FALSE),0)*'FL Characterization'!U$2)</f>
        <v>72.981724817442554</v>
      </c>
      <c r="V4" s="2">
        <f>('[1]Pc, Winter, S1'!V4*Main!$B$5)+(_xlfn.IFNA(VLOOKUP($A4,'FL Ratio'!$A$3:$B$10,2,FALSE),0)*'FL Characterization'!V$2)</f>
        <v>71.042399300601105</v>
      </c>
      <c r="W4" s="2">
        <f>('[1]Pc, Winter, S1'!W4*Main!$B$5)+(_xlfn.IFNA(VLOOKUP($A4,'FL Ratio'!$A$3:$B$10,2,FALSE),0)*'FL Characterization'!W$2)</f>
        <v>67.579889627423896</v>
      </c>
      <c r="X4" s="2">
        <f>('[1]Pc, Winter, S1'!X4*Main!$B$5)+(_xlfn.IFNA(VLOOKUP($A4,'FL Ratio'!$A$3:$B$10,2,FALSE),0)*'FL Characterization'!X$2)</f>
        <v>63.066717713973027</v>
      </c>
      <c r="Y4" s="2">
        <f>('[1]Pc, Winter, S1'!Y4*Main!$B$5)+(_xlfn.IFNA(VLOOKUP($A4,'FL Ratio'!$A$3:$B$10,2,FALSE),0)*'FL Characterization'!Y$2)</f>
        <v>56.325323866596591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724950-9858-45BD-B456-6CFB1341FE87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Ratio'!$A$3:$B$10,2,FALSE),0)*'FL Characterization'!B$2)</f>
        <v>33.250975033859362</v>
      </c>
      <c r="C2" s="2">
        <f>('[1]Pc, Winter, S1'!C2*Main!$B$5)+(_xlfn.IFNA(VLOOKUP($A2,'FL Ratio'!$A$3:$B$10,2,FALSE),0)*'FL Characterization'!C$2)</f>
        <v>31.014790235683485</v>
      </c>
      <c r="D2" s="2">
        <f>('[1]Pc, Winter, S1'!D2*Main!$B$5)+(_xlfn.IFNA(VLOOKUP($A2,'FL Ratio'!$A$3:$B$10,2,FALSE),0)*'FL Characterization'!D$2)</f>
        <v>29.387466875608002</v>
      </c>
      <c r="E2" s="2">
        <f>('[1]Pc, Winter, S1'!E2*Main!$B$5)+(_xlfn.IFNA(VLOOKUP($A2,'FL Ratio'!$A$3:$B$10,2,FALSE),0)*'FL Characterization'!E$2)</f>
        <v>29.179534192756144</v>
      </c>
      <c r="F2" s="2">
        <f>('[1]Pc, Winter, S1'!F2*Main!$B$5)+(_xlfn.IFNA(VLOOKUP($A2,'FL Ratio'!$A$3:$B$10,2,FALSE),0)*'FL Characterization'!F$2)</f>
        <v>29.531505625225179</v>
      </c>
      <c r="G2" s="2">
        <f>('[1]Pc, Winter, S1'!G2*Main!$B$5)+(_xlfn.IFNA(VLOOKUP($A2,'FL Ratio'!$A$3:$B$10,2,FALSE),0)*'FL Characterization'!G$2)</f>
        <v>32.461500973719616</v>
      </c>
      <c r="H2" s="2">
        <f>('[1]Pc, Winter, S1'!H2*Main!$B$5)+(_xlfn.IFNA(VLOOKUP($A2,'FL Ratio'!$A$3:$B$10,2,FALSE),0)*'FL Characterization'!H$2)</f>
        <v>38.734481593259154</v>
      </c>
      <c r="I2" s="2">
        <f>('[1]Pc, Winter, S1'!I2*Main!$B$5)+(_xlfn.IFNA(VLOOKUP($A2,'FL Ratio'!$A$3:$B$10,2,FALSE),0)*'FL Characterization'!I$2)</f>
        <v>46.624506552063522</v>
      </c>
      <c r="J2" s="2">
        <f>('[1]Pc, Winter, S1'!J2*Main!$B$5)+(_xlfn.IFNA(VLOOKUP($A2,'FL Ratio'!$A$3:$B$10,2,FALSE),0)*'FL Characterization'!J$2)</f>
        <v>50.761418338926639</v>
      </c>
      <c r="K2" s="2">
        <f>('[1]Pc, Winter, S1'!K2*Main!$B$5)+(_xlfn.IFNA(VLOOKUP($A2,'FL Ratio'!$A$3:$B$10,2,FALSE),0)*'FL Characterization'!K$2)</f>
        <v>51.394404581873452</v>
      </c>
      <c r="L2" s="2">
        <f>('[1]Pc, Winter, S1'!L2*Main!$B$5)+(_xlfn.IFNA(VLOOKUP($A2,'FL Ratio'!$A$3:$B$10,2,FALSE),0)*'FL Characterization'!L$2)</f>
        <v>50.007441812059902</v>
      </c>
      <c r="M2" s="2">
        <f>('[1]Pc, Winter, S1'!M2*Main!$B$5)+(_xlfn.IFNA(VLOOKUP($A2,'FL Ratio'!$A$3:$B$10,2,FALSE),0)*'FL Characterization'!M$2)</f>
        <v>50.265186851142673</v>
      </c>
      <c r="N2" s="2">
        <f>('[1]Pc, Winter, S1'!N2*Main!$B$5)+(_xlfn.IFNA(VLOOKUP($A2,'FL Ratio'!$A$3:$B$10,2,FALSE),0)*'FL Characterization'!N$2)</f>
        <v>50.223880328939224</v>
      </c>
      <c r="O2" s="2">
        <f>('[1]Pc, Winter, S1'!O2*Main!$B$5)+(_xlfn.IFNA(VLOOKUP($A2,'FL Ratio'!$A$3:$B$10,2,FALSE),0)*'FL Characterization'!O$2)</f>
        <v>49.403751263665725</v>
      </c>
      <c r="P2" s="2">
        <f>('[1]Pc, Winter, S1'!P2*Main!$B$5)+(_xlfn.IFNA(VLOOKUP($A2,'FL Ratio'!$A$3:$B$10,2,FALSE),0)*'FL Characterization'!P$2)</f>
        <v>46.588253553710189</v>
      </c>
      <c r="Q2" s="2">
        <f>('[1]Pc, Winter, S1'!Q2*Main!$B$5)+(_xlfn.IFNA(VLOOKUP($A2,'FL Ratio'!$A$3:$B$10,2,FALSE),0)*'FL Characterization'!Q$2)</f>
        <v>45.253482877484721</v>
      </c>
      <c r="R2" s="2">
        <f>('[1]Pc, Winter, S1'!R2*Main!$B$5)+(_xlfn.IFNA(VLOOKUP($A2,'FL Ratio'!$A$3:$B$10,2,FALSE),0)*'FL Characterization'!R$2)</f>
        <v>47.129199879178351</v>
      </c>
      <c r="S2" s="2">
        <f>('[1]Pc, Winter, S1'!S2*Main!$B$5)+(_xlfn.IFNA(VLOOKUP($A2,'FL Ratio'!$A$3:$B$10,2,FALSE),0)*'FL Characterization'!S$2)</f>
        <v>52.243602991649929</v>
      </c>
      <c r="T2" s="2">
        <f>('[1]Pc, Winter, S1'!T2*Main!$B$5)+(_xlfn.IFNA(VLOOKUP($A2,'FL Ratio'!$A$3:$B$10,2,FALSE),0)*'FL Characterization'!T$2)</f>
        <v>52.05422075707466</v>
      </c>
      <c r="U2" s="2">
        <f>('[1]Pc, Winter, S1'!U2*Main!$B$5)+(_xlfn.IFNA(VLOOKUP($A2,'FL Ratio'!$A$3:$B$10,2,FALSE),0)*'FL Characterization'!U$2)</f>
        <v>50.976511210586388</v>
      </c>
      <c r="V2" s="2">
        <f>('[1]Pc, Winter, S1'!V2*Main!$B$5)+(_xlfn.IFNA(VLOOKUP($A2,'FL Ratio'!$A$3:$B$10,2,FALSE),0)*'FL Characterization'!V$2)</f>
        <v>50.099847135705851</v>
      </c>
      <c r="W2" s="2">
        <f>('[1]Pc, Winter, S1'!W2*Main!$B$5)+(_xlfn.IFNA(VLOOKUP($A2,'FL Ratio'!$A$3:$B$10,2,FALSE),0)*'FL Characterization'!W$2)</f>
        <v>46.957032179601299</v>
      </c>
      <c r="X2" s="2">
        <f>('[1]Pc, Winter, S1'!X2*Main!$B$5)+(_xlfn.IFNA(VLOOKUP($A2,'FL Ratio'!$A$3:$B$10,2,FALSE),0)*'FL Characterization'!X$2)</f>
        <v>41.078666453140528</v>
      </c>
      <c r="Y2" s="2">
        <f>('[1]Pc, Winter, S1'!Y2*Main!$B$5)+(_xlfn.IFNA(VLOOKUP($A2,'FL Ratio'!$A$3:$B$10,2,FALSE),0)*'FL Characterization'!Y$2)</f>
        <v>37.268777800066893</v>
      </c>
    </row>
    <row r="3" spans="1:25" x14ac:dyDescent="0.3">
      <c r="A3">
        <v>2</v>
      </c>
      <c r="B3" s="2">
        <f>('[1]Pc, Winter, S1'!B3*Main!$B$5)+(_xlfn.IFNA(VLOOKUP($A3,'FL Ratio'!$A$3:$B$10,2,FALSE),0)*'FL Characterization'!B$2)</f>
        <v>35.250615166842898</v>
      </c>
      <c r="C3" s="2">
        <f>('[1]Pc, Winter, S1'!C3*Main!$B$5)+(_xlfn.IFNA(VLOOKUP($A3,'FL Ratio'!$A$3:$B$10,2,FALSE),0)*'FL Characterization'!C$2)</f>
        <v>33.003779815320144</v>
      </c>
      <c r="D3" s="2">
        <f>('[1]Pc, Winter, S1'!D3*Main!$B$5)+(_xlfn.IFNA(VLOOKUP($A3,'FL Ratio'!$A$3:$B$10,2,FALSE),0)*'FL Characterization'!D$2)</f>
        <v>29.843529630654338</v>
      </c>
      <c r="E3" s="2">
        <f>('[1]Pc, Winter, S1'!E3*Main!$B$5)+(_xlfn.IFNA(VLOOKUP($A3,'FL Ratio'!$A$3:$B$10,2,FALSE),0)*'FL Characterization'!E$2)</f>
        <v>31.817977959530719</v>
      </c>
      <c r="F3" s="2">
        <f>('[1]Pc, Winter, S1'!F3*Main!$B$5)+(_xlfn.IFNA(VLOOKUP($A3,'FL Ratio'!$A$3:$B$10,2,FALSE),0)*'FL Characterization'!F$2)</f>
        <v>31.338098308704634</v>
      </c>
      <c r="G3" s="2">
        <f>('[1]Pc, Winter, S1'!G3*Main!$B$5)+(_xlfn.IFNA(VLOOKUP($A3,'FL Ratio'!$A$3:$B$10,2,FALSE),0)*'FL Characterization'!G$2)</f>
        <v>32.339405041890672</v>
      </c>
      <c r="H3" s="2">
        <f>('[1]Pc, Winter, S1'!H3*Main!$B$5)+(_xlfn.IFNA(VLOOKUP($A3,'FL Ratio'!$A$3:$B$10,2,FALSE),0)*'FL Characterization'!H$2)</f>
        <v>47.744134659114131</v>
      </c>
      <c r="I3" s="2">
        <f>('[1]Pc, Winter, S1'!I3*Main!$B$5)+(_xlfn.IFNA(VLOOKUP($A3,'FL Ratio'!$A$3:$B$10,2,FALSE),0)*'FL Characterization'!I$2)</f>
        <v>51.511176894494653</v>
      </c>
      <c r="J3" s="2">
        <f>('[1]Pc, Winter, S1'!J3*Main!$B$5)+(_xlfn.IFNA(VLOOKUP($A3,'FL Ratio'!$A$3:$B$10,2,FALSE),0)*'FL Characterization'!J$2)</f>
        <v>56.407611589373538</v>
      </c>
      <c r="K3" s="2">
        <f>('[1]Pc, Winter, S1'!K3*Main!$B$5)+(_xlfn.IFNA(VLOOKUP($A3,'FL Ratio'!$A$3:$B$10,2,FALSE),0)*'FL Characterization'!K$2)</f>
        <v>56.561021490257005</v>
      </c>
      <c r="L3" s="2">
        <f>('[1]Pc, Winter, S1'!L3*Main!$B$5)+(_xlfn.IFNA(VLOOKUP($A3,'FL Ratio'!$A$3:$B$10,2,FALSE),0)*'FL Characterization'!L$2)</f>
        <v>53.287783661114084</v>
      </c>
      <c r="M3" s="2">
        <f>('[1]Pc, Winter, S1'!M3*Main!$B$5)+(_xlfn.IFNA(VLOOKUP($A3,'FL Ratio'!$A$3:$B$10,2,FALSE),0)*'FL Characterization'!M$2)</f>
        <v>58.338493614643937</v>
      </c>
      <c r="N3" s="2">
        <f>('[1]Pc, Winter, S1'!N3*Main!$B$5)+(_xlfn.IFNA(VLOOKUP($A3,'FL Ratio'!$A$3:$B$10,2,FALSE),0)*'FL Characterization'!N$2)</f>
        <v>55.206729154711851</v>
      </c>
      <c r="O3" s="2">
        <f>('[1]Pc, Winter, S1'!O3*Main!$B$5)+(_xlfn.IFNA(VLOOKUP($A3,'FL Ratio'!$A$3:$B$10,2,FALSE),0)*'FL Characterization'!O$2)</f>
        <v>52.099605483678729</v>
      </c>
      <c r="P3" s="2">
        <f>('[1]Pc, Winter, S1'!P3*Main!$B$5)+(_xlfn.IFNA(VLOOKUP($A3,'FL Ratio'!$A$3:$B$10,2,FALSE),0)*'FL Characterization'!P$2)</f>
        <v>50.600959518670187</v>
      </c>
      <c r="Q3" s="2">
        <f>('[1]Pc, Winter, S1'!Q3*Main!$B$5)+(_xlfn.IFNA(VLOOKUP($A3,'FL Ratio'!$A$3:$B$10,2,FALSE),0)*'FL Characterization'!Q$2)</f>
        <v>47.32651636456621</v>
      </c>
      <c r="R3" s="2">
        <f>('[1]Pc, Winter, S1'!R3*Main!$B$5)+(_xlfn.IFNA(VLOOKUP($A3,'FL Ratio'!$A$3:$B$10,2,FALSE),0)*'FL Characterization'!R$2)</f>
        <v>46.963949083529528</v>
      </c>
      <c r="S3" s="2">
        <f>('[1]Pc, Winter, S1'!S3*Main!$B$5)+(_xlfn.IFNA(VLOOKUP($A3,'FL Ratio'!$A$3:$B$10,2,FALSE),0)*'FL Characterization'!S$2)</f>
        <v>50.209628058789662</v>
      </c>
      <c r="T3" s="2">
        <f>('[1]Pc, Winter, S1'!T3*Main!$B$5)+(_xlfn.IFNA(VLOOKUP($A3,'FL Ratio'!$A$3:$B$10,2,FALSE),0)*'FL Characterization'!T$2)</f>
        <v>49.787883632705409</v>
      </c>
      <c r="U3" s="2">
        <f>('[1]Pc, Winter, S1'!U3*Main!$B$5)+(_xlfn.IFNA(VLOOKUP($A3,'FL Ratio'!$A$3:$B$10,2,FALSE),0)*'FL Characterization'!U$2)</f>
        <v>50.350791011567907</v>
      </c>
      <c r="V3" s="2">
        <f>('[1]Pc, Winter, S1'!V3*Main!$B$5)+(_xlfn.IFNA(VLOOKUP($A3,'FL Ratio'!$A$3:$B$10,2,FALSE),0)*'FL Characterization'!V$2)</f>
        <v>49.220995509741016</v>
      </c>
      <c r="W3" s="2">
        <f>('[1]Pc, Winter, S1'!W3*Main!$B$5)+(_xlfn.IFNA(VLOOKUP($A3,'FL Ratio'!$A$3:$B$10,2,FALSE),0)*'FL Characterization'!W$2)</f>
        <v>44.295059697562891</v>
      </c>
      <c r="X3" s="2">
        <f>('[1]Pc, Winter, S1'!X3*Main!$B$5)+(_xlfn.IFNA(VLOOKUP($A3,'FL Ratio'!$A$3:$B$10,2,FALSE),0)*'FL Characterization'!X$2)</f>
        <v>38.933350698451804</v>
      </c>
      <c r="Y3" s="2">
        <f>('[1]Pc, Winter, S1'!Y3*Main!$B$5)+(_xlfn.IFNA(VLOOKUP($A3,'FL Ratio'!$A$3:$B$10,2,FALSE),0)*'FL Characterization'!Y$2)</f>
        <v>38.104065941402872</v>
      </c>
    </row>
    <row r="4" spans="1:25" x14ac:dyDescent="0.3">
      <c r="A4">
        <v>3</v>
      </c>
      <c r="B4" s="2">
        <f>('[1]Pc, Winter, S1'!B4*Main!$B$5)+(_xlfn.IFNA(VLOOKUP($A4,'FL Ratio'!$A$3:$B$10,2,FALSE),0)*'FL Characterization'!B$2)</f>
        <v>50.161186428693703</v>
      </c>
      <c r="C4" s="2">
        <f>('[1]Pc, Winter, S1'!C4*Main!$B$5)+(_xlfn.IFNA(VLOOKUP($A4,'FL Ratio'!$A$3:$B$10,2,FALSE),0)*'FL Characterization'!C$2)</f>
        <v>44.499370140655692</v>
      </c>
      <c r="D4" s="2">
        <f>('[1]Pc, Winter, S1'!D4*Main!$B$5)+(_xlfn.IFNA(VLOOKUP($A4,'FL Ratio'!$A$3:$B$10,2,FALSE),0)*'FL Characterization'!D$2)</f>
        <v>41.781248282396909</v>
      </c>
      <c r="E4" s="2">
        <f>('[1]Pc, Winter, S1'!E4*Main!$B$5)+(_xlfn.IFNA(VLOOKUP($A4,'FL Ratio'!$A$3:$B$10,2,FALSE),0)*'FL Characterization'!E$2)</f>
        <v>41.196645045508149</v>
      </c>
      <c r="F4" s="2">
        <f>('[1]Pc, Winter, S1'!F4*Main!$B$5)+(_xlfn.IFNA(VLOOKUP($A4,'FL Ratio'!$A$3:$B$10,2,FALSE),0)*'FL Characterization'!F$2)</f>
        <v>42.647279673230045</v>
      </c>
      <c r="G4" s="2">
        <f>('[1]Pc, Winter, S1'!G4*Main!$B$5)+(_xlfn.IFNA(VLOOKUP($A4,'FL Ratio'!$A$3:$B$10,2,FALSE),0)*'FL Characterization'!G$2)</f>
        <v>45.652501615961725</v>
      </c>
      <c r="H4" s="2">
        <f>('[1]Pc, Winter, S1'!H4*Main!$B$5)+(_xlfn.IFNA(VLOOKUP($A4,'FL Ratio'!$A$3:$B$10,2,FALSE),0)*'FL Characterization'!H$2)</f>
        <v>55.111243818429273</v>
      </c>
      <c r="I4" s="2">
        <f>('[1]Pc, Winter, S1'!I4*Main!$B$5)+(_xlfn.IFNA(VLOOKUP($A4,'FL Ratio'!$A$3:$B$10,2,FALSE),0)*'FL Characterization'!I$2)</f>
        <v>59.939269890624658</v>
      </c>
      <c r="J4" s="2">
        <f>('[1]Pc, Winter, S1'!J4*Main!$B$5)+(_xlfn.IFNA(VLOOKUP($A4,'FL Ratio'!$A$3:$B$10,2,FALSE),0)*'FL Characterization'!J$2)</f>
        <v>63.385233084048686</v>
      </c>
      <c r="K4" s="2">
        <f>('[1]Pc, Winter, S1'!K4*Main!$B$5)+(_xlfn.IFNA(VLOOKUP($A4,'FL Ratio'!$A$3:$B$10,2,FALSE),0)*'FL Characterization'!K$2)</f>
        <v>65.656130550501317</v>
      </c>
      <c r="L4" s="2">
        <f>('[1]Pc, Winter, S1'!L4*Main!$B$5)+(_xlfn.IFNA(VLOOKUP($A4,'FL Ratio'!$A$3:$B$10,2,FALSE),0)*'FL Characterization'!L$2)</f>
        <v>66.091232457073502</v>
      </c>
      <c r="M4" s="2">
        <f>('[1]Pc, Winter, S1'!M4*Main!$B$5)+(_xlfn.IFNA(VLOOKUP($A4,'FL Ratio'!$A$3:$B$10,2,FALSE),0)*'FL Characterization'!M$2)</f>
        <v>65.462230392292923</v>
      </c>
      <c r="N4" s="2">
        <f>('[1]Pc, Winter, S1'!N4*Main!$B$5)+(_xlfn.IFNA(VLOOKUP($A4,'FL Ratio'!$A$3:$B$10,2,FALSE),0)*'FL Characterization'!N$2)</f>
        <v>65.264487692063383</v>
      </c>
      <c r="O4" s="2">
        <f>('[1]Pc, Winter, S1'!O4*Main!$B$5)+(_xlfn.IFNA(VLOOKUP($A4,'FL Ratio'!$A$3:$B$10,2,FALSE),0)*'FL Characterization'!O$2)</f>
        <v>64.31743543605711</v>
      </c>
      <c r="P4" s="2">
        <f>('[1]Pc, Winter, S1'!P4*Main!$B$5)+(_xlfn.IFNA(VLOOKUP($A4,'FL Ratio'!$A$3:$B$10,2,FALSE),0)*'FL Characterization'!P$2)</f>
        <v>62.354166121739176</v>
      </c>
      <c r="Q4" s="2">
        <f>('[1]Pc, Winter, S1'!Q4*Main!$B$5)+(_xlfn.IFNA(VLOOKUP($A4,'FL Ratio'!$A$3:$B$10,2,FALSE),0)*'FL Characterization'!Q$2)</f>
        <v>61.226526124832134</v>
      </c>
      <c r="R4" s="2">
        <f>('[1]Pc, Winter, S1'!R4*Main!$B$5)+(_xlfn.IFNA(VLOOKUP($A4,'FL Ratio'!$A$3:$B$10,2,FALSE),0)*'FL Characterization'!R$2)</f>
        <v>62.988183781819949</v>
      </c>
      <c r="S4" s="2">
        <f>('[1]Pc, Winter, S1'!S4*Main!$B$5)+(_xlfn.IFNA(VLOOKUP($A4,'FL Ratio'!$A$3:$B$10,2,FALSE),0)*'FL Characterization'!S$2)</f>
        <v>71.764978212006241</v>
      </c>
      <c r="T4" s="2">
        <f>('[1]Pc, Winter, S1'!T4*Main!$B$5)+(_xlfn.IFNA(VLOOKUP($A4,'FL Ratio'!$A$3:$B$10,2,FALSE),0)*'FL Characterization'!T$2)</f>
        <v>72.73117560384587</v>
      </c>
      <c r="U4" s="2">
        <f>('[1]Pc, Winter, S1'!U4*Main!$B$5)+(_xlfn.IFNA(VLOOKUP($A4,'FL Ratio'!$A$3:$B$10,2,FALSE),0)*'FL Characterization'!U$2)</f>
        <v>72.981724817442554</v>
      </c>
      <c r="V4" s="2">
        <f>('[1]Pc, Winter, S1'!V4*Main!$B$5)+(_xlfn.IFNA(VLOOKUP($A4,'FL Ratio'!$A$3:$B$10,2,FALSE),0)*'FL Characterization'!V$2)</f>
        <v>71.042399300601105</v>
      </c>
      <c r="W4" s="2">
        <f>('[1]Pc, Winter, S1'!W4*Main!$B$5)+(_xlfn.IFNA(VLOOKUP($A4,'FL Ratio'!$A$3:$B$10,2,FALSE),0)*'FL Characterization'!W$2)</f>
        <v>67.579889627423896</v>
      </c>
      <c r="X4" s="2">
        <f>('[1]Pc, Winter, S1'!X4*Main!$B$5)+(_xlfn.IFNA(VLOOKUP($A4,'FL Ratio'!$A$3:$B$10,2,FALSE),0)*'FL Characterization'!X$2)</f>
        <v>63.066717713973027</v>
      </c>
      <c r="Y4" s="2">
        <f>('[1]Pc, Winter, S1'!Y4*Main!$B$5)+(_xlfn.IFNA(VLOOKUP($A4,'FL Ratio'!$A$3:$B$10,2,FALSE),0)*'FL Characterization'!Y$2)</f>
        <v>56.325323866596591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6AE8B-6573-4D19-B08B-FAF92BAFBCC8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Ratio'!$A$3:$B$10,2,FALSE),0)*'FL Characterization'!B$2)</f>
        <v>34.248504284875139</v>
      </c>
      <c r="C2" s="2">
        <f>('[1]Pc, Winter, S2'!C2*Main!$B$5)+(_xlfn.IFNA(VLOOKUP($A2,'FL Ratio'!$A$3:$B$10,2,FALSE),0)*'FL Characterization'!C$2)</f>
        <v>31.945233942753987</v>
      </c>
      <c r="D2" s="2">
        <f>('[1]Pc, Winter, S2'!D2*Main!$B$5)+(_xlfn.IFNA(VLOOKUP($A2,'FL Ratio'!$A$3:$B$10,2,FALSE),0)*'FL Characterization'!D$2)</f>
        <v>30.269090881876242</v>
      </c>
      <c r="E2" s="2">
        <f>('[1]Pc, Winter, S2'!E2*Main!$B$5)+(_xlfn.IFNA(VLOOKUP($A2,'FL Ratio'!$A$3:$B$10,2,FALSE),0)*'FL Characterization'!E$2)</f>
        <v>30.054920218538829</v>
      </c>
      <c r="F2" s="2">
        <f>('[1]Pc, Winter, S2'!F2*Main!$B$5)+(_xlfn.IFNA(VLOOKUP($A2,'FL Ratio'!$A$3:$B$10,2,FALSE),0)*'FL Characterization'!F$2)</f>
        <v>30.417450793981935</v>
      </c>
      <c r="G2" s="2">
        <f>('[1]Pc, Winter, S2'!G2*Main!$B$5)+(_xlfn.IFNA(VLOOKUP($A2,'FL Ratio'!$A$3:$B$10,2,FALSE),0)*'FL Characterization'!G$2)</f>
        <v>33.435346002931212</v>
      </c>
      <c r="H2" s="2">
        <f>('[1]Pc, Winter, S2'!H2*Main!$B$5)+(_xlfn.IFNA(VLOOKUP($A2,'FL Ratio'!$A$3:$B$10,2,FALSE),0)*'FL Characterization'!H$2)</f>
        <v>39.896516041056927</v>
      </c>
      <c r="I2" s="2">
        <f>('[1]Pc, Winter, S2'!I2*Main!$B$5)+(_xlfn.IFNA(VLOOKUP($A2,'FL Ratio'!$A$3:$B$10,2,FALSE),0)*'FL Characterization'!I$2)</f>
        <v>48.023241748625423</v>
      </c>
      <c r="J2" s="2">
        <f>('[1]Pc, Winter, S2'!J2*Main!$B$5)+(_xlfn.IFNA(VLOOKUP($A2,'FL Ratio'!$A$3:$B$10,2,FALSE),0)*'FL Characterization'!J$2)</f>
        <v>52.28426088909444</v>
      </c>
      <c r="K2" s="2">
        <f>('[1]Pc, Winter, S2'!K2*Main!$B$5)+(_xlfn.IFNA(VLOOKUP($A2,'FL Ratio'!$A$3:$B$10,2,FALSE),0)*'FL Characterization'!K$2)</f>
        <v>52.936236719329663</v>
      </c>
      <c r="L2" s="2">
        <f>('[1]Pc, Winter, S2'!L2*Main!$B$5)+(_xlfn.IFNA(VLOOKUP($A2,'FL Ratio'!$A$3:$B$10,2,FALSE),0)*'FL Characterization'!L$2)</f>
        <v>51.507665066421701</v>
      </c>
      <c r="M2" s="2">
        <f>('[1]Pc, Winter, S2'!M2*Main!$B$5)+(_xlfn.IFNA(VLOOKUP($A2,'FL Ratio'!$A$3:$B$10,2,FALSE),0)*'FL Characterization'!M$2)</f>
        <v>51.773142456676958</v>
      </c>
      <c r="N2" s="2">
        <f>('[1]Pc, Winter, S2'!N2*Main!$B$5)+(_xlfn.IFNA(VLOOKUP($A2,'FL Ratio'!$A$3:$B$10,2,FALSE),0)*'FL Characterization'!N$2)</f>
        <v>51.730596738807407</v>
      </c>
      <c r="O2" s="2">
        <f>('[1]Pc, Winter, S2'!O2*Main!$B$5)+(_xlfn.IFNA(VLOOKUP($A2,'FL Ratio'!$A$3:$B$10,2,FALSE),0)*'FL Characterization'!O$2)</f>
        <v>50.885863801575702</v>
      </c>
      <c r="P2" s="2">
        <f>('[1]Pc, Winter, S2'!P2*Main!$B$5)+(_xlfn.IFNA(VLOOKUP($A2,'FL Ratio'!$A$3:$B$10,2,FALSE),0)*'FL Characterization'!P$2)</f>
        <v>47.98590116032149</v>
      </c>
      <c r="Q2" s="2">
        <f>('[1]Pc, Winter, S2'!Q2*Main!$B$5)+(_xlfn.IFNA(VLOOKUP($A2,'FL Ratio'!$A$3:$B$10,2,FALSE),0)*'FL Characterization'!Q$2)</f>
        <v>46.611087363809261</v>
      </c>
      <c r="R2" s="2">
        <f>('[1]Pc, Winter, S2'!R2*Main!$B$5)+(_xlfn.IFNA(VLOOKUP($A2,'FL Ratio'!$A$3:$B$10,2,FALSE),0)*'FL Characterization'!R$2)</f>
        <v>48.543075875553697</v>
      </c>
      <c r="S2" s="2">
        <f>('[1]Pc, Winter, S2'!S2*Main!$B$5)+(_xlfn.IFNA(VLOOKUP($A2,'FL Ratio'!$A$3:$B$10,2,FALSE),0)*'FL Characterization'!S$2)</f>
        <v>53.810911081399432</v>
      </c>
      <c r="T2" s="2">
        <f>('[1]Pc, Winter, S2'!T2*Main!$B$5)+(_xlfn.IFNA(VLOOKUP($A2,'FL Ratio'!$A$3:$B$10,2,FALSE),0)*'FL Characterization'!T$2)</f>
        <v>53.615847379786906</v>
      </c>
      <c r="U2" s="2">
        <f>('[1]Pc, Winter, S2'!U2*Main!$B$5)+(_xlfn.IFNA(VLOOKUP($A2,'FL Ratio'!$A$3:$B$10,2,FALSE),0)*'FL Characterization'!U$2)</f>
        <v>52.505806546903983</v>
      </c>
      <c r="V2" s="2">
        <f>('[1]Pc, Winter, S2'!V2*Main!$B$5)+(_xlfn.IFNA(VLOOKUP($A2,'FL Ratio'!$A$3:$B$10,2,FALSE),0)*'FL Characterization'!V$2)</f>
        <v>51.602842549777023</v>
      </c>
      <c r="W2" s="2">
        <f>('[1]Pc, Winter, S2'!W2*Main!$B$5)+(_xlfn.IFNA(VLOOKUP($A2,'FL Ratio'!$A$3:$B$10,2,FALSE),0)*'FL Characterization'!W$2)</f>
        <v>48.365743144989338</v>
      </c>
      <c r="X2" s="2">
        <f>('[1]Pc, Winter, S2'!X2*Main!$B$5)+(_xlfn.IFNA(VLOOKUP($A2,'FL Ratio'!$A$3:$B$10,2,FALSE),0)*'FL Characterization'!X$2)</f>
        <v>42.311026446734743</v>
      </c>
      <c r="Y2" s="2">
        <f>('[1]Pc, Winter, S2'!Y2*Main!$B$5)+(_xlfn.IFNA(VLOOKUP($A2,'FL Ratio'!$A$3:$B$10,2,FALSE),0)*'FL Characterization'!Y$2)</f>
        <v>38.386841134068902</v>
      </c>
    </row>
    <row r="3" spans="1:25" x14ac:dyDescent="0.3">
      <c r="A3">
        <v>2</v>
      </c>
      <c r="B3" s="2">
        <f>('[1]Pc, Winter, S2'!B3*Main!$B$5)+(_xlfn.IFNA(VLOOKUP($A3,'FL Ratio'!$A$3:$B$10,2,FALSE),0)*'FL Characterization'!B$2)</f>
        <v>36.236929490790473</v>
      </c>
      <c r="C3" s="2">
        <f>('[1]Pc, Winter, S2'!C3*Main!$B$5)+(_xlfn.IFNA(VLOOKUP($A3,'FL Ratio'!$A$3:$B$10,2,FALSE),0)*'FL Characterization'!C$2)</f>
        <v>33.920313869728979</v>
      </c>
      <c r="D3" s="2">
        <f>('[1]Pc, Winter, S2'!D3*Main!$B$5)+(_xlfn.IFNA(VLOOKUP($A3,'FL Ratio'!$A$3:$B$10,2,FALSE),0)*'FL Characterization'!D$2)</f>
        <v>30.672949539383637</v>
      </c>
      <c r="E3" s="2">
        <f>('[1]Pc, Winter, S2'!E3*Main!$B$5)+(_xlfn.IFNA(VLOOKUP($A3,'FL Ratio'!$A$3:$B$10,2,FALSE),0)*'FL Characterization'!E$2)</f>
        <v>32.710066681377242</v>
      </c>
      <c r="F3" s="2">
        <f>('[1]Pc, Winter, S2'!F3*Main!$B$5)+(_xlfn.IFNA(VLOOKUP($A3,'FL Ratio'!$A$3:$B$10,2,FALSE),0)*'FL Characterization'!F$2)</f>
        <v>32.227075780339725</v>
      </c>
      <c r="G3" s="2">
        <f>('[1]Pc, Winter, S2'!G3*Main!$B$5)+(_xlfn.IFNA(VLOOKUP($A3,'FL Ratio'!$A$3:$B$10,2,FALSE),0)*'FL Characterization'!G$2)</f>
        <v>33.266161420923119</v>
      </c>
      <c r="H3" s="2">
        <f>('[1]Pc, Winter, S2'!H3*Main!$B$5)+(_xlfn.IFNA(VLOOKUP($A3,'FL Ratio'!$A$3:$B$10,2,FALSE),0)*'FL Characterization'!H$2)</f>
        <v>49.123352501718408</v>
      </c>
      <c r="I3" s="2">
        <f>('[1]Pc, Winter, S2'!I3*Main!$B$5)+(_xlfn.IFNA(VLOOKUP($A3,'FL Ratio'!$A$3:$B$10,2,FALSE),0)*'FL Characterization'!I$2)</f>
        <v>53.047289438605226</v>
      </c>
      <c r="J3" s="2">
        <f>('[1]Pc, Winter, S2'!J3*Main!$B$5)+(_xlfn.IFNA(VLOOKUP($A3,'FL Ratio'!$A$3:$B$10,2,FALSE),0)*'FL Characterization'!J$2)</f>
        <v>58.091729467322359</v>
      </c>
      <c r="K3" s="2">
        <f>('[1]Pc, Winter, S2'!K3*Main!$B$5)+(_xlfn.IFNA(VLOOKUP($A3,'FL Ratio'!$A$3:$B$10,2,FALSE),0)*'FL Characterization'!K$2)</f>
        <v>58.246028228733429</v>
      </c>
      <c r="L3" s="2">
        <f>('[1]Pc, Winter, S2'!L3*Main!$B$5)+(_xlfn.IFNA(VLOOKUP($A3,'FL Ratio'!$A$3:$B$10,2,FALSE),0)*'FL Characterization'!L$2)</f>
        <v>54.879453753362981</v>
      </c>
      <c r="M3" s="2">
        <f>('[1]Pc, Winter, S2'!M3*Main!$B$5)+(_xlfn.IFNA(VLOOKUP($A3,'FL Ratio'!$A$3:$B$10,2,FALSE),0)*'FL Characterization'!M$2)</f>
        <v>60.079947047698937</v>
      </c>
      <c r="N3" s="2">
        <f>('[1]Pc, Winter, S2'!N3*Main!$B$5)+(_xlfn.IFNA(VLOOKUP($A3,'FL Ratio'!$A$3:$B$10,2,FALSE),0)*'FL Characterization'!N$2)</f>
        <v>56.849067919303486</v>
      </c>
      <c r="O3" s="2">
        <f>('[1]Pc, Winter, S2'!O3*Main!$B$5)+(_xlfn.IFNA(VLOOKUP($A3,'FL Ratio'!$A$3:$B$10,2,FALSE),0)*'FL Characterization'!O$2)</f>
        <v>53.637051461724738</v>
      </c>
      <c r="P3" s="2">
        <f>('[1]Pc, Winter, S2'!P3*Main!$B$5)+(_xlfn.IFNA(VLOOKUP($A3,'FL Ratio'!$A$3:$B$10,2,FALSE),0)*'FL Characterization'!P$2)</f>
        <v>52.091737125929477</v>
      </c>
      <c r="Q3" s="2">
        <f>('[1]Pc, Winter, S2'!Q3*Main!$B$5)+(_xlfn.IFNA(VLOOKUP($A3,'FL Ratio'!$A$3:$B$10,2,FALSE),0)*'FL Characterization'!Q$2)</f>
        <v>48.719512546230312</v>
      </c>
      <c r="R3" s="2">
        <f>('[1]Pc, Winter, S2'!R3*Main!$B$5)+(_xlfn.IFNA(VLOOKUP($A3,'FL Ratio'!$A$3:$B$10,2,FALSE),0)*'FL Characterization'!R$2)</f>
        <v>48.357834221067165</v>
      </c>
      <c r="S3" s="2">
        <f>('[1]Pc, Winter, S2'!S3*Main!$B$5)+(_xlfn.IFNA(VLOOKUP($A3,'FL Ratio'!$A$3:$B$10,2,FALSE),0)*'FL Characterization'!S$2)</f>
        <v>51.685294084120919</v>
      </c>
      <c r="T3" s="2">
        <f>('[1]Pc, Winter, S2'!T3*Main!$B$5)+(_xlfn.IFNA(VLOOKUP($A3,'FL Ratio'!$A$3:$B$10,2,FALSE),0)*'FL Characterization'!T$2)</f>
        <v>51.263549658036666</v>
      </c>
      <c r="U3" s="2">
        <f>('[1]Pc, Winter, S2'!U3*Main!$B$5)+(_xlfn.IFNA(VLOOKUP($A3,'FL Ratio'!$A$3:$B$10,2,FALSE),0)*'FL Characterization'!U$2)</f>
        <v>51.848679788710413</v>
      </c>
      <c r="V3" s="2">
        <f>('[1]Pc, Winter, S2'!V3*Main!$B$5)+(_xlfn.IFNA(VLOOKUP($A3,'FL Ratio'!$A$3:$B$10,2,FALSE),0)*'FL Characterization'!V$2)</f>
        <v>50.678438320923483</v>
      </c>
      <c r="W3" s="2">
        <f>('[1]Pc, Winter, S2'!W3*Main!$B$5)+(_xlfn.IFNA(VLOOKUP($A3,'FL Ratio'!$A$3:$B$10,2,FALSE),0)*'FL Characterization'!W$2)</f>
        <v>45.612052823102488</v>
      </c>
      <c r="X3" s="2">
        <f>('[1]Pc, Winter, S2'!X3*Main!$B$5)+(_xlfn.IFNA(VLOOKUP($A3,'FL Ratio'!$A$3:$B$10,2,FALSE),0)*'FL Characterization'!X$2)</f>
        <v>40.047225420326996</v>
      </c>
      <c r="Y3" s="2">
        <f>('[1]Pc, Winter, S2'!Y3*Main!$B$5)+(_xlfn.IFNA(VLOOKUP($A3,'FL Ratio'!$A$3:$B$10,2,FALSE),0)*'FL Characterization'!Y$2)</f>
        <v>39.181939190647888</v>
      </c>
    </row>
    <row r="4" spans="1:25" x14ac:dyDescent="0.3">
      <c r="A4">
        <v>3</v>
      </c>
      <c r="B4" s="2">
        <f>('[1]Pc, Winter, S2'!B4*Main!$B$5)+(_xlfn.IFNA(VLOOKUP($A4,'FL Ratio'!$A$3:$B$10,2,FALSE),0)*'FL Characterization'!B$2)</f>
        <v>51.594817890496806</v>
      </c>
      <c r="C4" s="2">
        <f>('[1]Pc, Winter, S2'!C4*Main!$B$5)+(_xlfn.IFNA(VLOOKUP($A4,'FL Ratio'!$A$3:$B$10,2,FALSE),0)*'FL Characterization'!C$2)</f>
        <v>45.760771904824608</v>
      </c>
      <c r="D4" s="2">
        <f>('[1]Pc, Winter, S2'!D4*Main!$B$5)+(_xlfn.IFNA(VLOOKUP($A4,'FL Ratio'!$A$3:$B$10,2,FALSE),0)*'FL Characterization'!D$2)</f>
        <v>42.968799750678478</v>
      </c>
      <c r="E4" s="2">
        <f>('[1]Pc, Winter, S2'!E4*Main!$B$5)+(_xlfn.IFNA(VLOOKUP($A4,'FL Ratio'!$A$3:$B$10,2,FALSE),0)*'FL Characterization'!E$2)</f>
        <v>42.370093779933995</v>
      </c>
      <c r="F4" s="2">
        <f>('[1]Pc, Winter, S2'!F4*Main!$B$5)+(_xlfn.IFNA(VLOOKUP($A4,'FL Ratio'!$A$3:$B$10,2,FALSE),0)*'FL Characterization'!F$2)</f>
        <v>43.875532585800897</v>
      </c>
      <c r="G4" s="2">
        <f>('[1]Pc, Winter, S2'!G4*Main!$B$5)+(_xlfn.IFNA(VLOOKUP($A4,'FL Ratio'!$A$3:$B$10,2,FALSE),0)*'FL Characterization'!G$2)</f>
        <v>46.978650892216308</v>
      </c>
      <c r="H4" s="2">
        <f>('[1]Pc, Winter, S2'!H4*Main!$B$5)+(_xlfn.IFNA(VLOOKUP($A4,'FL Ratio'!$A$3:$B$10,2,FALSE),0)*'FL Characterization'!H$2)</f>
        <v>56.711474935812987</v>
      </c>
      <c r="I4" s="2">
        <f>('[1]Pc, Winter, S2'!I4*Main!$B$5)+(_xlfn.IFNA(VLOOKUP($A4,'FL Ratio'!$A$3:$B$10,2,FALSE),0)*'FL Characterization'!I$2)</f>
        <v>61.728225224619138</v>
      </c>
      <c r="J4" s="2">
        <f>('[1]Pc, Winter, S2'!J4*Main!$B$5)+(_xlfn.IFNA(VLOOKUP($A4,'FL Ratio'!$A$3:$B$10,2,FALSE),0)*'FL Characterization'!J$2)</f>
        <v>65.278679606837741</v>
      </c>
      <c r="K4" s="2">
        <f>('[1]Pc, Winter, S2'!K4*Main!$B$5)+(_xlfn.IFNA(VLOOKUP($A4,'FL Ratio'!$A$3:$B$10,2,FALSE),0)*'FL Characterization'!K$2)</f>
        <v>67.613990560785069</v>
      </c>
      <c r="L4" s="2">
        <f>('[1]Pc, Winter, S2'!L4*Main!$B$5)+(_xlfn.IFNA(VLOOKUP($A4,'FL Ratio'!$A$3:$B$10,2,FALSE),0)*'FL Characterization'!L$2)</f>
        <v>68.06700601320118</v>
      </c>
      <c r="M4" s="2">
        <f>('[1]Pc, Winter, S2'!M4*Main!$B$5)+(_xlfn.IFNA(VLOOKUP($A4,'FL Ratio'!$A$3:$B$10,2,FALSE),0)*'FL Characterization'!M$2)</f>
        <v>67.417395928677394</v>
      </c>
      <c r="N4" s="2">
        <f>('[1]Pc, Winter, S2'!N4*Main!$B$5)+(_xlfn.IFNA(VLOOKUP($A4,'FL Ratio'!$A$3:$B$10,2,FALSE),0)*'FL Characterization'!N$2)</f>
        <v>67.208559212775569</v>
      </c>
      <c r="O4" s="2">
        <f>('[1]Pc, Winter, S2'!O4*Main!$B$5)+(_xlfn.IFNA(VLOOKUP($A4,'FL Ratio'!$A$3:$B$10,2,FALSE),0)*'FL Characterization'!O$2)</f>
        <v>66.221416312674464</v>
      </c>
      <c r="P4" s="2">
        <f>('[1]Pc, Winter, S2'!P4*Main!$B$5)+(_xlfn.IFNA(VLOOKUP($A4,'FL Ratio'!$A$3:$B$10,2,FALSE),0)*'FL Characterization'!P$2)</f>
        <v>64.197539927090531</v>
      </c>
      <c r="Q4" s="2">
        <f>('[1]Pc, Winter, S2'!Q4*Main!$B$5)+(_xlfn.IFNA(VLOOKUP($A4,'FL Ratio'!$A$3:$B$10,2,FALSE),0)*'FL Characterization'!Q$2)</f>
        <v>63.03652259930422</v>
      </c>
      <c r="R4" s="2">
        <f>('[1]Pc, Winter, S2'!R4*Main!$B$5)+(_xlfn.IFNA(VLOOKUP($A4,'FL Ratio'!$A$3:$B$10,2,FALSE),0)*'FL Characterization'!R$2)</f>
        <v>64.8627959603063</v>
      </c>
      <c r="S4" s="2">
        <f>('[1]Pc, Winter, S2'!S4*Main!$B$5)+(_xlfn.IFNA(VLOOKUP($A4,'FL Ratio'!$A$3:$B$10,2,FALSE),0)*'FL Characterization'!S$2)</f>
        <v>73.887304741934003</v>
      </c>
      <c r="T4" s="2">
        <f>('[1]Pc, Winter, S2'!T4*Main!$B$5)+(_xlfn.IFNA(VLOOKUP($A4,'FL Ratio'!$A$3:$B$10,2,FALSE),0)*'FL Characterization'!T$2)</f>
        <v>74.895140388311333</v>
      </c>
      <c r="U4" s="2">
        <f>('[1]Pc, Winter, S2'!U4*Main!$B$5)+(_xlfn.IFNA(VLOOKUP($A4,'FL Ratio'!$A$3:$B$10,2,FALSE),0)*'FL Characterization'!U$2)</f>
        <v>75.158541608761297</v>
      </c>
      <c r="V4" s="2">
        <f>('[1]Pc, Winter, S2'!V4*Main!$B$5)+(_xlfn.IFNA(VLOOKUP($A4,'FL Ratio'!$A$3:$B$10,2,FALSE),0)*'FL Characterization'!V$2)</f>
        <v>73.154484225509364</v>
      </c>
      <c r="W4" s="2">
        <f>('[1]Pc, Winter, S2'!W4*Main!$B$5)+(_xlfn.IFNA(VLOOKUP($A4,'FL Ratio'!$A$3:$B$10,2,FALSE),0)*'FL Characterization'!W$2)</f>
        <v>69.595427650859321</v>
      </c>
      <c r="X4" s="2">
        <f>('[1]Pc, Winter, S2'!X4*Main!$B$5)+(_xlfn.IFNA(VLOOKUP($A4,'FL Ratio'!$A$3:$B$10,2,FALSE),0)*'FL Characterization'!X$2)</f>
        <v>64.904593446313854</v>
      </c>
      <c r="Y4" s="2">
        <f>('[1]Pc, Winter, S2'!Y4*Main!$B$5)+(_xlfn.IFNA(VLOOKUP($A4,'FL Ratio'!$A$3:$B$10,2,FALSE),0)*'FL Characterization'!Y$2)</f>
        <v>57.949834853597423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E2EB3-24DE-408A-A0EC-808358D9BB6E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Ratio'!$A$3:$B$10,2,FALSE),0)*'FL Characterization'!B$2)</f>
        <v>34.248504284875139</v>
      </c>
      <c r="C2" s="2">
        <f>('[1]Pc, Winter, S2'!C2*Main!$B$5)+(_xlfn.IFNA(VLOOKUP($A2,'FL Ratio'!$A$3:$B$10,2,FALSE),0)*'FL Characterization'!C$2)</f>
        <v>31.945233942753987</v>
      </c>
      <c r="D2" s="2">
        <f>('[1]Pc, Winter, S2'!D2*Main!$B$5)+(_xlfn.IFNA(VLOOKUP($A2,'FL Ratio'!$A$3:$B$10,2,FALSE),0)*'FL Characterization'!D$2)</f>
        <v>30.269090881876242</v>
      </c>
      <c r="E2" s="2">
        <f>('[1]Pc, Winter, S2'!E2*Main!$B$5)+(_xlfn.IFNA(VLOOKUP($A2,'FL Ratio'!$A$3:$B$10,2,FALSE),0)*'FL Characterization'!E$2)</f>
        <v>30.054920218538829</v>
      </c>
      <c r="F2" s="2">
        <f>('[1]Pc, Winter, S2'!F2*Main!$B$5)+(_xlfn.IFNA(VLOOKUP($A2,'FL Ratio'!$A$3:$B$10,2,FALSE),0)*'FL Characterization'!F$2)</f>
        <v>30.417450793981935</v>
      </c>
      <c r="G2" s="2">
        <f>('[1]Pc, Winter, S2'!G2*Main!$B$5)+(_xlfn.IFNA(VLOOKUP($A2,'FL Ratio'!$A$3:$B$10,2,FALSE),0)*'FL Characterization'!G$2)</f>
        <v>33.435346002931212</v>
      </c>
      <c r="H2" s="2">
        <f>('[1]Pc, Winter, S2'!H2*Main!$B$5)+(_xlfn.IFNA(VLOOKUP($A2,'FL Ratio'!$A$3:$B$10,2,FALSE),0)*'FL Characterization'!H$2)</f>
        <v>39.896516041056927</v>
      </c>
      <c r="I2" s="2">
        <f>('[1]Pc, Winter, S2'!I2*Main!$B$5)+(_xlfn.IFNA(VLOOKUP($A2,'FL Ratio'!$A$3:$B$10,2,FALSE),0)*'FL Characterization'!I$2)</f>
        <v>48.023241748625423</v>
      </c>
      <c r="J2" s="2">
        <f>('[1]Pc, Winter, S2'!J2*Main!$B$5)+(_xlfn.IFNA(VLOOKUP($A2,'FL Ratio'!$A$3:$B$10,2,FALSE),0)*'FL Characterization'!J$2)</f>
        <v>52.28426088909444</v>
      </c>
      <c r="K2" s="2">
        <f>('[1]Pc, Winter, S2'!K2*Main!$B$5)+(_xlfn.IFNA(VLOOKUP($A2,'FL Ratio'!$A$3:$B$10,2,FALSE),0)*'FL Characterization'!K$2)</f>
        <v>52.936236719329663</v>
      </c>
      <c r="L2" s="2">
        <f>('[1]Pc, Winter, S2'!L2*Main!$B$5)+(_xlfn.IFNA(VLOOKUP($A2,'FL Ratio'!$A$3:$B$10,2,FALSE),0)*'FL Characterization'!L$2)</f>
        <v>51.507665066421701</v>
      </c>
      <c r="M2" s="2">
        <f>('[1]Pc, Winter, S2'!M2*Main!$B$5)+(_xlfn.IFNA(VLOOKUP($A2,'FL Ratio'!$A$3:$B$10,2,FALSE),0)*'FL Characterization'!M$2)</f>
        <v>51.773142456676958</v>
      </c>
      <c r="N2" s="2">
        <f>('[1]Pc, Winter, S2'!N2*Main!$B$5)+(_xlfn.IFNA(VLOOKUP($A2,'FL Ratio'!$A$3:$B$10,2,FALSE),0)*'FL Characterization'!N$2)</f>
        <v>51.730596738807407</v>
      </c>
      <c r="O2" s="2">
        <f>('[1]Pc, Winter, S2'!O2*Main!$B$5)+(_xlfn.IFNA(VLOOKUP($A2,'FL Ratio'!$A$3:$B$10,2,FALSE),0)*'FL Characterization'!O$2)</f>
        <v>50.885863801575702</v>
      </c>
      <c r="P2" s="2">
        <f>('[1]Pc, Winter, S2'!P2*Main!$B$5)+(_xlfn.IFNA(VLOOKUP($A2,'FL Ratio'!$A$3:$B$10,2,FALSE),0)*'FL Characterization'!P$2)</f>
        <v>47.98590116032149</v>
      </c>
      <c r="Q2" s="2">
        <f>('[1]Pc, Winter, S2'!Q2*Main!$B$5)+(_xlfn.IFNA(VLOOKUP($A2,'FL Ratio'!$A$3:$B$10,2,FALSE),0)*'FL Characterization'!Q$2)</f>
        <v>46.611087363809261</v>
      </c>
      <c r="R2" s="2">
        <f>('[1]Pc, Winter, S2'!R2*Main!$B$5)+(_xlfn.IFNA(VLOOKUP($A2,'FL Ratio'!$A$3:$B$10,2,FALSE),0)*'FL Characterization'!R$2)</f>
        <v>48.543075875553697</v>
      </c>
      <c r="S2" s="2">
        <f>('[1]Pc, Winter, S2'!S2*Main!$B$5)+(_xlfn.IFNA(VLOOKUP($A2,'FL Ratio'!$A$3:$B$10,2,FALSE),0)*'FL Characterization'!S$2)</f>
        <v>53.810911081399432</v>
      </c>
      <c r="T2" s="2">
        <f>('[1]Pc, Winter, S2'!T2*Main!$B$5)+(_xlfn.IFNA(VLOOKUP($A2,'FL Ratio'!$A$3:$B$10,2,FALSE),0)*'FL Characterization'!T$2)</f>
        <v>53.615847379786906</v>
      </c>
      <c r="U2" s="2">
        <f>('[1]Pc, Winter, S2'!U2*Main!$B$5)+(_xlfn.IFNA(VLOOKUP($A2,'FL Ratio'!$A$3:$B$10,2,FALSE),0)*'FL Characterization'!U$2)</f>
        <v>52.505806546903983</v>
      </c>
      <c r="V2" s="2">
        <f>('[1]Pc, Winter, S2'!V2*Main!$B$5)+(_xlfn.IFNA(VLOOKUP($A2,'FL Ratio'!$A$3:$B$10,2,FALSE),0)*'FL Characterization'!V$2)</f>
        <v>51.602842549777023</v>
      </c>
      <c r="W2" s="2">
        <f>('[1]Pc, Winter, S2'!W2*Main!$B$5)+(_xlfn.IFNA(VLOOKUP($A2,'FL Ratio'!$A$3:$B$10,2,FALSE),0)*'FL Characterization'!W$2)</f>
        <v>48.365743144989338</v>
      </c>
      <c r="X2" s="2">
        <f>('[1]Pc, Winter, S2'!X2*Main!$B$5)+(_xlfn.IFNA(VLOOKUP($A2,'FL Ratio'!$A$3:$B$10,2,FALSE),0)*'FL Characterization'!X$2)</f>
        <v>42.311026446734743</v>
      </c>
      <c r="Y2" s="2">
        <f>('[1]Pc, Winter, S2'!Y2*Main!$B$5)+(_xlfn.IFNA(VLOOKUP($A2,'FL Ratio'!$A$3:$B$10,2,FALSE),0)*'FL Characterization'!Y$2)</f>
        <v>38.386841134068902</v>
      </c>
    </row>
    <row r="3" spans="1:25" x14ac:dyDescent="0.3">
      <c r="A3">
        <v>2</v>
      </c>
      <c r="B3" s="2">
        <f>('[1]Pc, Winter, S2'!B3*Main!$B$5)+(_xlfn.IFNA(VLOOKUP($A3,'FL Ratio'!$A$3:$B$10,2,FALSE),0)*'FL Characterization'!B$2)</f>
        <v>36.236929490790473</v>
      </c>
      <c r="C3" s="2">
        <f>('[1]Pc, Winter, S2'!C3*Main!$B$5)+(_xlfn.IFNA(VLOOKUP($A3,'FL Ratio'!$A$3:$B$10,2,FALSE),0)*'FL Characterization'!C$2)</f>
        <v>33.920313869728979</v>
      </c>
      <c r="D3" s="2">
        <f>('[1]Pc, Winter, S2'!D3*Main!$B$5)+(_xlfn.IFNA(VLOOKUP($A3,'FL Ratio'!$A$3:$B$10,2,FALSE),0)*'FL Characterization'!D$2)</f>
        <v>30.672949539383637</v>
      </c>
      <c r="E3" s="2">
        <f>('[1]Pc, Winter, S2'!E3*Main!$B$5)+(_xlfn.IFNA(VLOOKUP($A3,'FL Ratio'!$A$3:$B$10,2,FALSE),0)*'FL Characterization'!E$2)</f>
        <v>32.710066681377242</v>
      </c>
      <c r="F3" s="2">
        <f>('[1]Pc, Winter, S2'!F3*Main!$B$5)+(_xlfn.IFNA(VLOOKUP($A3,'FL Ratio'!$A$3:$B$10,2,FALSE),0)*'FL Characterization'!F$2)</f>
        <v>32.227075780339725</v>
      </c>
      <c r="G3" s="2">
        <f>('[1]Pc, Winter, S2'!G3*Main!$B$5)+(_xlfn.IFNA(VLOOKUP($A3,'FL Ratio'!$A$3:$B$10,2,FALSE),0)*'FL Characterization'!G$2)</f>
        <v>33.266161420923119</v>
      </c>
      <c r="H3" s="2">
        <f>('[1]Pc, Winter, S2'!H3*Main!$B$5)+(_xlfn.IFNA(VLOOKUP($A3,'FL Ratio'!$A$3:$B$10,2,FALSE),0)*'FL Characterization'!H$2)</f>
        <v>49.123352501718408</v>
      </c>
      <c r="I3" s="2">
        <f>('[1]Pc, Winter, S2'!I3*Main!$B$5)+(_xlfn.IFNA(VLOOKUP($A3,'FL Ratio'!$A$3:$B$10,2,FALSE),0)*'FL Characterization'!I$2)</f>
        <v>53.047289438605226</v>
      </c>
      <c r="J3" s="2">
        <f>('[1]Pc, Winter, S2'!J3*Main!$B$5)+(_xlfn.IFNA(VLOOKUP($A3,'FL Ratio'!$A$3:$B$10,2,FALSE),0)*'FL Characterization'!J$2)</f>
        <v>58.091729467322359</v>
      </c>
      <c r="K3" s="2">
        <f>('[1]Pc, Winter, S2'!K3*Main!$B$5)+(_xlfn.IFNA(VLOOKUP($A3,'FL Ratio'!$A$3:$B$10,2,FALSE),0)*'FL Characterization'!K$2)</f>
        <v>58.246028228733429</v>
      </c>
      <c r="L3" s="2">
        <f>('[1]Pc, Winter, S2'!L3*Main!$B$5)+(_xlfn.IFNA(VLOOKUP($A3,'FL Ratio'!$A$3:$B$10,2,FALSE),0)*'FL Characterization'!L$2)</f>
        <v>54.879453753362981</v>
      </c>
      <c r="M3" s="2">
        <f>('[1]Pc, Winter, S2'!M3*Main!$B$5)+(_xlfn.IFNA(VLOOKUP($A3,'FL Ratio'!$A$3:$B$10,2,FALSE),0)*'FL Characterization'!M$2)</f>
        <v>60.079947047698937</v>
      </c>
      <c r="N3" s="2">
        <f>('[1]Pc, Winter, S2'!N3*Main!$B$5)+(_xlfn.IFNA(VLOOKUP($A3,'FL Ratio'!$A$3:$B$10,2,FALSE),0)*'FL Characterization'!N$2)</f>
        <v>56.849067919303486</v>
      </c>
      <c r="O3" s="2">
        <f>('[1]Pc, Winter, S2'!O3*Main!$B$5)+(_xlfn.IFNA(VLOOKUP($A3,'FL Ratio'!$A$3:$B$10,2,FALSE),0)*'FL Characterization'!O$2)</f>
        <v>53.637051461724738</v>
      </c>
      <c r="P3" s="2">
        <f>('[1]Pc, Winter, S2'!P3*Main!$B$5)+(_xlfn.IFNA(VLOOKUP($A3,'FL Ratio'!$A$3:$B$10,2,FALSE),0)*'FL Characterization'!P$2)</f>
        <v>52.091737125929477</v>
      </c>
      <c r="Q3" s="2">
        <f>('[1]Pc, Winter, S2'!Q3*Main!$B$5)+(_xlfn.IFNA(VLOOKUP($A3,'FL Ratio'!$A$3:$B$10,2,FALSE),0)*'FL Characterization'!Q$2)</f>
        <v>48.719512546230312</v>
      </c>
      <c r="R3" s="2">
        <f>('[1]Pc, Winter, S2'!R3*Main!$B$5)+(_xlfn.IFNA(VLOOKUP($A3,'FL Ratio'!$A$3:$B$10,2,FALSE),0)*'FL Characterization'!R$2)</f>
        <v>48.357834221067165</v>
      </c>
      <c r="S3" s="2">
        <f>('[1]Pc, Winter, S2'!S3*Main!$B$5)+(_xlfn.IFNA(VLOOKUP($A3,'FL Ratio'!$A$3:$B$10,2,FALSE),0)*'FL Characterization'!S$2)</f>
        <v>51.685294084120919</v>
      </c>
      <c r="T3" s="2">
        <f>('[1]Pc, Winter, S2'!T3*Main!$B$5)+(_xlfn.IFNA(VLOOKUP($A3,'FL Ratio'!$A$3:$B$10,2,FALSE),0)*'FL Characterization'!T$2)</f>
        <v>51.263549658036666</v>
      </c>
      <c r="U3" s="2">
        <f>('[1]Pc, Winter, S2'!U3*Main!$B$5)+(_xlfn.IFNA(VLOOKUP($A3,'FL Ratio'!$A$3:$B$10,2,FALSE),0)*'FL Characterization'!U$2)</f>
        <v>51.848679788710413</v>
      </c>
      <c r="V3" s="2">
        <f>('[1]Pc, Winter, S2'!V3*Main!$B$5)+(_xlfn.IFNA(VLOOKUP($A3,'FL Ratio'!$A$3:$B$10,2,FALSE),0)*'FL Characterization'!V$2)</f>
        <v>50.678438320923483</v>
      </c>
      <c r="W3" s="2">
        <f>('[1]Pc, Winter, S2'!W3*Main!$B$5)+(_xlfn.IFNA(VLOOKUP($A3,'FL Ratio'!$A$3:$B$10,2,FALSE),0)*'FL Characterization'!W$2)</f>
        <v>45.612052823102488</v>
      </c>
      <c r="X3" s="2">
        <f>('[1]Pc, Winter, S2'!X3*Main!$B$5)+(_xlfn.IFNA(VLOOKUP($A3,'FL Ratio'!$A$3:$B$10,2,FALSE),0)*'FL Characterization'!X$2)</f>
        <v>40.047225420326996</v>
      </c>
      <c r="Y3" s="2">
        <f>('[1]Pc, Winter, S2'!Y3*Main!$B$5)+(_xlfn.IFNA(VLOOKUP($A3,'FL Ratio'!$A$3:$B$10,2,FALSE),0)*'FL Characterization'!Y$2)</f>
        <v>39.181939190647888</v>
      </c>
    </row>
    <row r="4" spans="1:25" x14ac:dyDescent="0.3">
      <c r="A4">
        <v>3</v>
      </c>
      <c r="B4" s="2">
        <f>('[1]Pc, Winter, S2'!B4*Main!$B$5)+(_xlfn.IFNA(VLOOKUP($A4,'FL Ratio'!$A$3:$B$10,2,FALSE),0)*'FL Characterization'!B$2)</f>
        <v>51.594817890496806</v>
      </c>
      <c r="C4" s="2">
        <f>('[1]Pc, Winter, S2'!C4*Main!$B$5)+(_xlfn.IFNA(VLOOKUP($A4,'FL Ratio'!$A$3:$B$10,2,FALSE),0)*'FL Characterization'!C$2)</f>
        <v>45.760771904824608</v>
      </c>
      <c r="D4" s="2">
        <f>('[1]Pc, Winter, S2'!D4*Main!$B$5)+(_xlfn.IFNA(VLOOKUP($A4,'FL Ratio'!$A$3:$B$10,2,FALSE),0)*'FL Characterization'!D$2)</f>
        <v>42.968799750678478</v>
      </c>
      <c r="E4" s="2">
        <f>('[1]Pc, Winter, S2'!E4*Main!$B$5)+(_xlfn.IFNA(VLOOKUP($A4,'FL Ratio'!$A$3:$B$10,2,FALSE),0)*'FL Characterization'!E$2)</f>
        <v>42.370093779933995</v>
      </c>
      <c r="F4" s="2">
        <f>('[1]Pc, Winter, S2'!F4*Main!$B$5)+(_xlfn.IFNA(VLOOKUP($A4,'FL Ratio'!$A$3:$B$10,2,FALSE),0)*'FL Characterization'!F$2)</f>
        <v>43.875532585800897</v>
      </c>
      <c r="G4" s="2">
        <f>('[1]Pc, Winter, S2'!G4*Main!$B$5)+(_xlfn.IFNA(VLOOKUP($A4,'FL Ratio'!$A$3:$B$10,2,FALSE),0)*'FL Characterization'!G$2)</f>
        <v>46.978650892216308</v>
      </c>
      <c r="H4" s="2">
        <f>('[1]Pc, Winter, S2'!H4*Main!$B$5)+(_xlfn.IFNA(VLOOKUP($A4,'FL Ratio'!$A$3:$B$10,2,FALSE),0)*'FL Characterization'!H$2)</f>
        <v>56.711474935812987</v>
      </c>
      <c r="I4" s="2">
        <f>('[1]Pc, Winter, S2'!I4*Main!$B$5)+(_xlfn.IFNA(VLOOKUP($A4,'FL Ratio'!$A$3:$B$10,2,FALSE),0)*'FL Characterization'!I$2)</f>
        <v>61.728225224619138</v>
      </c>
      <c r="J4" s="2">
        <f>('[1]Pc, Winter, S2'!J4*Main!$B$5)+(_xlfn.IFNA(VLOOKUP($A4,'FL Ratio'!$A$3:$B$10,2,FALSE),0)*'FL Characterization'!J$2)</f>
        <v>65.278679606837741</v>
      </c>
      <c r="K4" s="2">
        <f>('[1]Pc, Winter, S2'!K4*Main!$B$5)+(_xlfn.IFNA(VLOOKUP($A4,'FL Ratio'!$A$3:$B$10,2,FALSE),0)*'FL Characterization'!K$2)</f>
        <v>67.613990560785069</v>
      </c>
      <c r="L4" s="2">
        <f>('[1]Pc, Winter, S2'!L4*Main!$B$5)+(_xlfn.IFNA(VLOOKUP($A4,'FL Ratio'!$A$3:$B$10,2,FALSE),0)*'FL Characterization'!L$2)</f>
        <v>68.06700601320118</v>
      </c>
      <c r="M4" s="2">
        <f>('[1]Pc, Winter, S2'!M4*Main!$B$5)+(_xlfn.IFNA(VLOOKUP($A4,'FL Ratio'!$A$3:$B$10,2,FALSE),0)*'FL Characterization'!M$2)</f>
        <v>67.417395928677394</v>
      </c>
      <c r="N4" s="2">
        <f>('[1]Pc, Winter, S2'!N4*Main!$B$5)+(_xlfn.IFNA(VLOOKUP($A4,'FL Ratio'!$A$3:$B$10,2,FALSE),0)*'FL Characterization'!N$2)</f>
        <v>67.208559212775569</v>
      </c>
      <c r="O4" s="2">
        <f>('[1]Pc, Winter, S2'!O4*Main!$B$5)+(_xlfn.IFNA(VLOOKUP($A4,'FL Ratio'!$A$3:$B$10,2,FALSE),0)*'FL Characterization'!O$2)</f>
        <v>66.221416312674464</v>
      </c>
      <c r="P4" s="2">
        <f>('[1]Pc, Winter, S2'!P4*Main!$B$5)+(_xlfn.IFNA(VLOOKUP($A4,'FL Ratio'!$A$3:$B$10,2,FALSE),0)*'FL Characterization'!P$2)</f>
        <v>64.197539927090531</v>
      </c>
      <c r="Q4" s="2">
        <f>('[1]Pc, Winter, S2'!Q4*Main!$B$5)+(_xlfn.IFNA(VLOOKUP($A4,'FL Ratio'!$A$3:$B$10,2,FALSE),0)*'FL Characterization'!Q$2)</f>
        <v>63.03652259930422</v>
      </c>
      <c r="R4" s="2">
        <f>('[1]Pc, Winter, S2'!R4*Main!$B$5)+(_xlfn.IFNA(VLOOKUP($A4,'FL Ratio'!$A$3:$B$10,2,FALSE),0)*'FL Characterization'!R$2)</f>
        <v>64.8627959603063</v>
      </c>
      <c r="S4" s="2">
        <f>('[1]Pc, Winter, S2'!S4*Main!$B$5)+(_xlfn.IFNA(VLOOKUP($A4,'FL Ratio'!$A$3:$B$10,2,FALSE),0)*'FL Characterization'!S$2)</f>
        <v>73.887304741934003</v>
      </c>
      <c r="T4" s="2">
        <f>('[1]Pc, Winter, S2'!T4*Main!$B$5)+(_xlfn.IFNA(VLOOKUP($A4,'FL Ratio'!$A$3:$B$10,2,FALSE),0)*'FL Characterization'!T$2)</f>
        <v>74.895140388311333</v>
      </c>
      <c r="U4" s="2">
        <f>('[1]Pc, Winter, S2'!U4*Main!$B$5)+(_xlfn.IFNA(VLOOKUP($A4,'FL Ratio'!$A$3:$B$10,2,FALSE),0)*'FL Characterization'!U$2)</f>
        <v>75.158541608761297</v>
      </c>
      <c r="V4" s="2">
        <f>('[1]Pc, Winter, S2'!V4*Main!$B$5)+(_xlfn.IFNA(VLOOKUP($A4,'FL Ratio'!$A$3:$B$10,2,FALSE),0)*'FL Characterization'!V$2)</f>
        <v>73.154484225509364</v>
      </c>
      <c r="W4" s="2">
        <f>('[1]Pc, Winter, S2'!W4*Main!$B$5)+(_xlfn.IFNA(VLOOKUP($A4,'FL Ratio'!$A$3:$B$10,2,FALSE),0)*'FL Characterization'!W$2)</f>
        <v>69.595427650859321</v>
      </c>
      <c r="X4" s="2">
        <f>('[1]Pc, Winter, S2'!X4*Main!$B$5)+(_xlfn.IFNA(VLOOKUP($A4,'FL Ratio'!$A$3:$B$10,2,FALSE),0)*'FL Characterization'!X$2)</f>
        <v>64.904593446313854</v>
      </c>
      <c r="Y4" s="2">
        <f>('[1]Pc, Winter, S2'!Y4*Main!$B$5)+(_xlfn.IFNA(VLOOKUP($A4,'FL Ratio'!$A$3:$B$10,2,FALSE),0)*'FL Characterization'!Y$2)</f>
        <v>57.949834853597423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A070E-8EC7-41EF-AC07-AAE4911D9B3C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Ratio'!$A$3:$B$10,2,FALSE),0)*'FL Characterization'!B$2)</f>
        <v>34.248504284875139</v>
      </c>
      <c r="C2" s="2">
        <f>('[1]Pc, Winter, S2'!C2*Main!$B$5)+(_xlfn.IFNA(VLOOKUP($A2,'FL Ratio'!$A$3:$B$10,2,FALSE),0)*'FL Characterization'!C$2)</f>
        <v>31.945233942753987</v>
      </c>
      <c r="D2" s="2">
        <f>('[1]Pc, Winter, S2'!D2*Main!$B$5)+(_xlfn.IFNA(VLOOKUP($A2,'FL Ratio'!$A$3:$B$10,2,FALSE),0)*'FL Characterization'!D$2)</f>
        <v>30.269090881876242</v>
      </c>
      <c r="E2" s="2">
        <f>('[1]Pc, Winter, S2'!E2*Main!$B$5)+(_xlfn.IFNA(VLOOKUP($A2,'FL Ratio'!$A$3:$B$10,2,FALSE),0)*'FL Characterization'!E$2)</f>
        <v>30.054920218538829</v>
      </c>
      <c r="F2" s="2">
        <f>('[1]Pc, Winter, S2'!F2*Main!$B$5)+(_xlfn.IFNA(VLOOKUP($A2,'FL Ratio'!$A$3:$B$10,2,FALSE),0)*'FL Characterization'!F$2)</f>
        <v>30.417450793981935</v>
      </c>
      <c r="G2" s="2">
        <f>('[1]Pc, Winter, S2'!G2*Main!$B$5)+(_xlfn.IFNA(VLOOKUP($A2,'FL Ratio'!$A$3:$B$10,2,FALSE),0)*'FL Characterization'!G$2)</f>
        <v>33.435346002931212</v>
      </c>
      <c r="H2" s="2">
        <f>('[1]Pc, Winter, S2'!H2*Main!$B$5)+(_xlfn.IFNA(VLOOKUP($A2,'FL Ratio'!$A$3:$B$10,2,FALSE),0)*'FL Characterization'!H$2)</f>
        <v>39.896516041056927</v>
      </c>
      <c r="I2" s="2">
        <f>('[1]Pc, Winter, S2'!I2*Main!$B$5)+(_xlfn.IFNA(VLOOKUP($A2,'FL Ratio'!$A$3:$B$10,2,FALSE),0)*'FL Characterization'!I$2)</f>
        <v>48.023241748625423</v>
      </c>
      <c r="J2" s="2">
        <f>('[1]Pc, Winter, S2'!J2*Main!$B$5)+(_xlfn.IFNA(VLOOKUP($A2,'FL Ratio'!$A$3:$B$10,2,FALSE),0)*'FL Characterization'!J$2)</f>
        <v>52.28426088909444</v>
      </c>
      <c r="K2" s="2">
        <f>('[1]Pc, Winter, S2'!K2*Main!$B$5)+(_xlfn.IFNA(VLOOKUP($A2,'FL Ratio'!$A$3:$B$10,2,FALSE),0)*'FL Characterization'!K$2)</f>
        <v>52.936236719329663</v>
      </c>
      <c r="L2" s="2">
        <f>('[1]Pc, Winter, S2'!L2*Main!$B$5)+(_xlfn.IFNA(VLOOKUP($A2,'FL Ratio'!$A$3:$B$10,2,FALSE),0)*'FL Characterization'!L$2)</f>
        <v>51.507665066421701</v>
      </c>
      <c r="M2" s="2">
        <f>('[1]Pc, Winter, S2'!M2*Main!$B$5)+(_xlfn.IFNA(VLOOKUP($A2,'FL Ratio'!$A$3:$B$10,2,FALSE),0)*'FL Characterization'!M$2)</f>
        <v>51.773142456676958</v>
      </c>
      <c r="N2" s="2">
        <f>('[1]Pc, Winter, S2'!N2*Main!$B$5)+(_xlfn.IFNA(VLOOKUP($A2,'FL Ratio'!$A$3:$B$10,2,FALSE),0)*'FL Characterization'!N$2)</f>
        <v>51.730596738807407</v>
      </c>
      <c r="O2" s="2">
        <f>('[1]Pc, Winter, S2'!O2*Main!$B$5)+(_xlfn.IFNA(VLOOKUP($A2,'FL Ratio'!$A$3:$B$10,2,FALSE),0)*'FL Characterization'!O$2)</f>
        <v>50.885863801575702</v>
      </c>
      <c r="P2" s="2">
        <f>('[1]Pc, Winter, S2'!P2*Main!$B$5)+(_xlfn.IFNA(VLOOKUP($A2,'FL Ratio'!$A$3:$B$10,2,FALSE),0)*'FL Characterization'!P$2)</f>
        <v>47.98590116032149</v>
      </c>
      <c r="Q2" s="2">
        <f>('[1]Pc, Winter, S2'!Q2*Main!$B$5)+(_xlfn.IFNA(VLOOKUP($A2,'FL Ratio'!$A$3:$B$10,2,FALSE),0)*'FL Characterization'!Q$2)</f>
        <v>46.611087363809261</v>
      </c>
      <c r="R2" s="2">
        <f>('[1]Pc, Winter, S2'!R2*Main!$B$5)+(_xlfn.IFNA(VLOOKUP($A2,'FL Ratio'!$A$3:$B$10,2,FALSE),0)*'FL Characterization'!R$2)</f>
        <v>48.543075875553697</v>
      </c>
      <c r="S2" s="2">
        <f>('[1]Pc, Winter, S2'!S2*Main!$B$5)+(_xlfn.IFNA(VLOOKUP($A2,'FL Ratio'!$A$3:$B$10,2,FALSE),0)*'FL Characterization'!S$2)</f>
        <v>53.810911081399432</v>
      </c>
      <c r="T2" s="2">
        <f>('[1]Pc, Winter, S2'!T2*Main!$B$5)+(_xlfn.IFNA(VLOOKUP($A2,'FL Ratio'!$A$3:$B$10,2,FALSE),0)*'FL Characterization'!T$2)</f>
        <v>53.615847379786906</v>
      </c>
      <c r="U2" s="2">
        <f>('[1]Pc, Winter, S2'!U2*Main!$B$5)+(_xlfn.IFNA(VLOOKUP($A2,'FL Ratio'!$A$3:$B$10,2,FALSE),0)*'FL Characterization'!U$2)</f>
        <v>52.505806546903983</v>
      </c>
      <c r="V2" s="2">
        <f>('[1]Pc, Winter, S2'!V2*Main!$B$5)+(_xlfn.IFNA(VLOOKUP($A2,'FL Ratio'!$A$3:$B$10,2,FALSE),0)*'FL Characterization'!V$2)</f>
        <v>51.602842549777023</v>
      </c>
      <c r="W2" s="2">
        <f>('[1]Pc, Winter, S2'!W2*Main!$B$5)+(_xlfn.IFNA(VLOOKUP($A2,'FL Ratio'!$A$3:$B$10,2,FALSE),0)*'FL Characterization'!W$2)</f>
        <v>48.365743144989338</v>
      </c>
      <c r="X2" s="2">
        <f>('[1]Pc, Winter, S2'!X2*Main!$B$5)+(_xlfn.IFNA(VLOOKUP($A2,'FL Ratio'!$A$3:$B$10,2,FALSE),0)*'FL Characterization'!X$2)</f>
        <v>42.311026446734743</v>
      </c>
      <c r="Y2" s="2">
        <f>('[1]Pc, Winter, S2'!Y2*Main!$B$5)+(_xlfn.IFNA(VLOOKUP($A2,'FL Ratio'!$A$3:$B$10,2,FALSE),0)*'FL Characterization'!Y$2)</f>
        <v>38.386841134068902</v>
      </c>
    </row>
    <row r="3" spans="1:25" x14ac:dyDescent="0.3">
      <c r="A3">
        <v>2</v>
      </c>
      <c r="B3" s="2">
        <f>('[1]Pc, Winter, S2'!B3*Main!$B$5)+(_xlfn.IFNA(VLOOKUP($A3,'FL Ratio'!$A$3:$B$10,2,FALSE),0)*'FL Characterization'!B$2)</f>
        <v>36.236929490790473</v>
      </c>
      <c r="C3" s="2">
        <f>('[1]Pc, Winter, S2'!C3*Main!$B$5)+(_xlfn.IFNA(VLOOKUP($A3,'FL Ratio'!$A$3:$B$10,2,FALSE),0)*'FL Characterization'!C$2)</f>
        <v>33.920313869728979</v>
      </c>
      <c r="D3" s="2">
        <f>('[1]Pc, Winter, S2'!D3*Main!$B$5)+(_xlfn.IFNA(VLOOKUP($A3,'FL Ratio'!$A$3:$B$10,2,FALSE),0)*'FL Characterization'!D$2)</f>
        <v>30.672949539383637</v>
      </c>
      <c r="E3" s="2">
        <f>('[1]Pc, Winter, S2'!E3*Main!$B$5)+(_xlfn.IFNA(VLOOKUP($A3,'FL Ratio'!$A$3:$B$10,2,FALSE),0)*'FL Characterization'!E$2)</f>
        <v>32.710066681377242</v>
      </c>
      <c r="F3" s="2">
        <f>('[1]Pc, Winter, S2'!F3*Main!$B$5)+(_xlfn.IFNA(VLOOKUP($A3,'FL Ratio'!$A$3:$B$10,2,FALSE),0)*'FL Characterization'!F$2)</f>
        <v>32.227075780339725</v>
      </c>
      <c r="G3" s="2">
        <f>('[1]Pc, Winter, S2'!G3*Main!$B$5)+(_xlfn.IFNA(VLOOKUP($A3,'FL Ratio'!$A$3:$B$10,2,FALSE),0)*'FL Characterization'!G$2)</f>
        <v>33.266161420923119</v>
      </c>
      <c r="H3" s="2">
        <f>('[1]Pc, Winter, S2'!H3*Main!$B$5)+(_xlfn.IFNA(VLOOKUP($A3,'FL Ratio'!$A$3:$B$10,2,FALSE),0)*'FL Characterization'!H$2)</f>
        <v>49.123352501718408</v>
      </c>
      <c r="I3" s="2">
        <f>('[1]Pc, Winter, S2'!I3*Main!$B$5)+(_xlfn.IFNA(VLOOKUP($A3,'FL Ratio'!$A$3:$B$10,2,FALSE),0)*'FL Characterization'!I$2)</f>
        <v>53.047289438605226</v>
      </c>
      <c r="J3" s="2">
        <f>('[1]Pc, Winter, S2'!J3*Main!$B$5)+(_xlfn.IFNA(VLOOKUP($A3,'FL Ratio'!$A$3:$B$10,2,FALSE),0)*'FL Characterization'!J$2)</f>
        <v>58.091729467322359</v>
      </c>
      <c r="K3" s="2">
        <f>('[1]Pc, Winter, S2'!K3*Main!$B$5)+(_xlfn.IFNA(VLOOKUP($A3,'FL Ratio'!$A$3:$B$10,2,FALSE),0)*'FL Characterization'!K$2)</f>
        <v>58.246028228733429</v>
      </c>
      <c r="L3" s="2">
        <f>('[1]Pc, Winter, S2'!L3*Main!$B$5)+(_xlfn.IFNA(VLOOKUP($A3,'FL Ratio'!$A$3:$B$10,2,FALSE),0)*'FL Characterization'!L$2)</f>
        <v>54.879453753362981</v>
      </c>
      <c r="M3" s="2">
        <f>('[1]Pc, Winter, S2'!M3*Main!$B$5)+(_xlfn.IFNA(VLOOKUP($A3,'FL Ratio'!$A$3:$B$10,2,FALSE),0)*'FL Characterization'!M$2)</f>
        <v>60.079947047698937</v>
      </c>
      <c r="N3" s="2">
        <f>('[1]Pc, Winter, S2'!N3*Main!$B$5)+(_xlfn.IFNA(VLOOKUP($A3,'FL Ratio'!$A$3:$B$10,2,FALSE),0)*'FL Characterization'!N$2)</f>
        <v>56.849067919303486</v>
      </c>
      <c r="O3" s="2">
        <f>('[1]Pc, Winter, S2'!O3*Main!$B$5)+(_xlfn.IFNA(VLOOKUP($A3,'FL Ratio'!$A$3:$B$10,2,FALSE),0)*'FL Characterization'!O$2)</f>
        <v>53.637051461724738</v>
      </c>
      <c r="P3" s="2">
        <f>('[1]Pc, Winter, S2'!P3*Main!$B$5)+(_xlfn.IFNA(VLOOKUP($A3,'FL Ratio'!$A$3:$B$10,2,FALSE),0)*'FL Characterization'!P$2)</f>
        <v>52.091737125929477</v>
      </c>
      <c r="Q3" s="2">
        <f>('[1]Pc, Winter, S2'!Q3*Main!$B$5)+(_xlfn.IFNA(VLOOKUP($A3,'FL Ratio'!$A$3:$B$10,2,FALSE),0)*'FL Characterization'!Q$2)</f>
        <v>48.719512546230312</v>
      </c>
      <c r="R3" s="2">
        <f>('[1]Pc, Winter, S2'!R3*Main!$B$5)+(_xlfn.IFNA(VLOOKUP($A3,'FL Ratio'!$A$3:$B$10,2,FALSE),0)*'FL Characterization'!R$2)</f>
        <v>48.357834221067165</v>
      </c>
      <c r="S3" s="2">
        <f>('[1]Pc, Winter, S2'!S3*Main!$B$5)+(_xlfn.IFNA(VLOOKUP($A3,'FL Ratio'!$A$3:$B$10,2,FALSE),0)*'FL Characterization'!S$2)</f>
        <v>51.685294084120919</v>
      </c>
      <c r="T3" s="2">
        <f>('[1]Pc, Winter, S2'!T3*Main!$B$5)+(_xlfn.IFNA(VLOOKUP($A3,'FL Ratio'!$A$3:$B$10,2,FALSE),0)*'FL Characterization'!T$2)</f>
        <v>51.263549658036666</v>
      </c>
      <c r="U3" s="2">
        <f>('[1]Pc, Winter, S2'!U3*Main!$B$5)+(_xlfn.IFNA(VLOOKUP($A3,'FL Ratio'!$A$3:$B$10,2,FALSE),0)*'FL Characterization'!U$2)</f>
        <v>51.848679788710413</v>
      </c>
      <c r="V3" s="2">
        <f>('[1]Pc, Winter, S2'!V3*Main!$B$5)+(_xlfn.IFNA(VLOOKUP($A3,'FL Ratio'!$A$3:$B$10,2,FALSE),0)*'FL Characterization'!V$2)</f>
        <v>50.678438320923483</v>
      </c>
      <c r="W3" s="2">
        <f>('[1]Pc, Winter, S2'!W3*Main!$B$5)+(_xlfn.IFNA(VLOOKUP($A3,'FL Ratio'!$A$3:$B$10,2,FALSE),0)*'FL Characterization'!W$2)</f>
        <v>45.612052823102488</v>
      </c>
      <c r="X3" s="2">
        <f>('[1]Pc, Winter, S2'!X3*Main!$B$5)+(_xlfn.IFNA(VLOOKUP($A3,'FL Ratio'!$A$3:$B$10,2,FALSE),0)*'FL Characterization'!X$2)</f>
        <v>40.047225420326996</v>
      </c>
      <c r="Y3" s="2">
        <f>('[1]Pc, Winter, S2'!Y3*Main!$B$5)+(_xlfn.IFNA(VLOOKUP($A3,'FL Ratio'!$A$3:$B$10,2,FALSE),0)*'FL Characterization'!Y$2)</f>
        <v>39.181939190647888</v>
      </c>
    </row>
    <row r="4" spans="1:25" x14ac:dyDescent="0.3">
      <c r="A4">
        <v>3</v>
      </c>
      <c r="B4" s="2">
        <f>('[1]Pc, Winter, S2'!B4*Main!$B$5)+(_xlfn.IFNA(VLOOKUP($A4,'FL Ratio'!$A$3:$B$10,2,FALSE),0)*'FL Characterization'!B$2)</f>
        <v>51.594817890496806</v>
      </c>
      <c r="C4" s="2">
        <f>('[1]Pc, Winter, S2'!C4*Main!$B$5)+(_xlfn.IFNA(VLOOKUP($A4,'FL Ratio'!$A$3:$B$10,2,FALSE),0)*'FL Characterization'!C$2)</f>
        <v>45.760771904824608</v>
      </c>
      <c r="D4" s="2">
        <f>('[1]Pc, Winter, S2'!D4*Main!$B$5)+(_xlfn.IFNA(VLOOKUP($A4,'FL Ratio'!$A$3:$B$10,2,FALSE),0)*'FL Characterization'!D$2)</f>
        <v>42.968799750678478</v>
      </c>
      <c r="E4" s="2">
        <f>('[1]Pc, Winter, S2'!E4*Main!$B$5)+(_xlfn.IFNA(VLOOKUP($A4,'FL Ratio'!$A$3:$B$10,2,FALSE),0)*'FL Characterization'!E$2)</f>
        <v>42.370093779933995</v>
      </c>
      <c r="F4" s="2">
        <f>('[1]Pc, Winter, S2'!F4*Main!$B$5)+(_xlfn.IFNA(VLOOKUP($A4,'FL Ratio'!$A$3:$B$10,2,FALSE),0)*'FL Characterization'!F$2)</f>
        <v>43.875532585800897</v>
      </c>
      <c r="G4" s="2">
        <f>('[1]Pc, Winter, S2'!G4*Main!$B$5)+(_xlfn.IFNA(VLOOKUP($A4,'FL Ratio'!$A$3:$B$10,2,FALSE),0)*'FL Characterization'!G$2)</f>
        <v>46.978650892216308</v>
      </c>
      <c r="H4" s="2">
        <f>('[1]Pc, Winter, S2'!H4*Main!$B$5)+(_xlfn.IFNA(VLOOKUP($A4,'FL Ratio'!$A$3:$B$10,2,FALSE),0)*'FL Characterization'!H$2)</f>
        <v>56.711474935812987</v>
      </c>
      <c r="I4" s="2">
        <f>('[1]Pc, Winter, S2'!I4*Main!$B$5)+(_xlfn.IFNA(VLOOKUP($A4,'FL Ratio'!$A$3:$B$10,2,FALSE),0)*'FL Characterization'!I$2)</f>
        <v>61.728225224619138</v>
      </c>
      <c r="J4" s="2">
        <f>('[1]Pc, Winter, S2'!J4*Main!$B$5)+(_xlfn.IFNA(VLOOKUP($A4,'FL Ratio'!$A$3:$B$10,2,FALSE),0)*'FL Characterization'!J$2)</f>
        <v>65.278679606837741</v>
      </c>
      <c r="K4" s="2">
        <f>('[1]Pc, Winter, S2'!K4*Main!$B$5)+(_xlfn.IFNA(VLOOKUP($A4,'FL Ratio'!$A$3:$B$10,2,FALSE),0)*'FL Characterization'!K$2)</f>
        <v>67.613990560785069</v>
      </c>
      <c r="L4" s="2">
        <f>('[1]Pc, Winter, S2'!L4*Main!$B$5)+(_xlfn.IFNA(VLOOKUP($A4,'FL Ratio'!$A$3:$B$10,2,FALSE),0)*'FL Characterization'!L$2)</f>
        <v>68.06700601320118</v>
      </c>
      <c r="M4" s="2">
        <f>('[1]Pc, Winter, S2'!M4*Main!$B$5)+(_xlfn.IFNA(VLOOKUP($A4,'FL Ratio'!$A$3:$B$10,2,FALSE),0)*'FL Characterization'!M$2)</f>
        <v>67.417395928677394</v>
      </c>
      <c r="N4" s="2">
        <f>('[1]Pc, Winter, S2'!N4*Main!$B$5)+(_xlfn.IFNA(VLOOKUP($A4,'FL Ratio'!$A$3:$B$10,2,FALSE),0)*'FL Characterization'!N$2)</f>
        <v>67.208559212775569</v>
      </c>
      <c r="O4" s="2">
        <f>('[1]Pc, Winter, S2'!O4*Main!$B$5)+(_xlfn.IFNA(VLOOKUP($A4,'FL Ratio'!$A$3:$B$10,2,FALSE),0)*'FL Characterization'!O$2)</f>
        <v>66.221416312674464</v>
      </c>
      <c r="P4" s="2">
        <f>('[1]Pc, Winter, S2'!P4*Main!$B$5)+(_xlfn.IFNA(VLOOKUP($A4,'FL Ratio'!$A$3:$B$10,2,FALSE),0)*'FL Characterization'!P$2)</f>
        <v>64.197539927090531</v>
      </c>
      <c r="Q4" s="2">
        <f>('[1]Pc, Winter, S2'!Q4*Main!$B$5)+(_xlfn.IFNA(VLOOKUP($A4,'FL Ratio'!$A$3:$B$10,2,FALSE),0)*'FL Characterization'!Q$2)</f>
        <v>63.03652259930422</v>
      </c>
      <c r="R4" s="2">
        <f>('[1]Pc, Winter, S2'!R4*Main!$B$5)+(_xlfn.IFNA(VLOOKUP($A4,'FL Ratio'!$A$3:$B$10,2,FALSE),0)*'FL Characterization'!R$2)</f>
        <v>64.8627959603063</v>
      </c>
      <c r="S4" s="2">
        <f>('[1]Pc, Winter, S2'!S4*Main!$B$5)+(_xlfn.IFNA(VLOOKUP($A4,'FL Ratio'!$A$3:$B$10,2,FALSE),0)*'FL Characterization'!S$2)</f>
        <v>73.887304741934003</v>
      </c>
      <c r="T4" s="2">
        <f>('[1]Pc, Winter, S2'!T4*Main!$B$5)+(_xlfn.IFNA(VLOOKUP($A4,'FL Ratio'!$A$3:$B$10,2,FALSE),0)*'FL Characterization'!T$2)</f>
        <v>74.895140388311333</v>
      </c>
      <c r="U4" s="2">
        <f>('[1]Pc, Winter, S2'!U4*Main!$B$5)+(_xlfn.IFNA(VLOOKUP($A4,'FL Ratio'!$A$3:$B$10,2,FALSE),0)*'FL Characterization'!U$2)</f>
        <v>75.158541608761297</v>
      </c>
      <c r="V4" s="2">
        <f>('[1]Pc, Winter, S2'!V4*Main!$B$5)+(_xlfn.IFNA(VLOOKUP($A4,'FL Ratio'!$A$3:$B$10,2,FALSE),0)*'FL Characterization'!V$2)</f>
        <v>73.154484225509364</v>
      </c>
      <c r="W4" s="2">
        <f>('[1]Pc, Winter, S2'!W4*Main!$B$5)+(_xlfn.IFNA(VLOOKUP($A4,'FL Ratio'!$A$3:$B$10,2,FALSE),0)*'FL Characterization'!W$2)</f>
        <v>69.595427650859321</v>
      </c>
      <c r="X4" s="2">
        <f>('[1]Pc, Winter, S2'!X4*Main!$B$5)+(_xlfn.IFNA(VLOOKUP($A4,'FL Ratio'!$A$3:$B$10,2,FALSE),0)*'FL Characterization'!X$2)</f>
        <v>64.904593446313854</v>
      </c>
      <c r="Y4" s="2">
        <f>('[1]Pc, Winter, S2'!Y4*Main!$B$5)+(_xlfn.IFNA(VLOOKUP($A4,'FL Ratio'!$A$3:$B$10,2,FALSE),0)*'FL Characterization'!Y$2)</f>
        <v>57.949834853597423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DFC76-6AE1-4005-842B-53770F433C49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Ratio'!$A$3:$B$10,2,FALSE),0)*'FL Characterization'!B$2)</f>
        <v>32.585955533182165</v>
      </c>
      <c r="C2" s="2">
        <f>('[1]Pc, Winter, S3'!C2*Main!$B$5)+(_xlfn.IFNA(VLOOKUP($A2,'FL Ratio'!$A$3:$B$10,2,FALSE),0)*'FL Characterization'!C$2)</f>
        <v>30.394494430969807</v>
      </c>
      <c r="D2" s="2">
        <f>('[1]Pc, Winter, S3'!D2*Main!$B$5)+(_xlfn.IFNA(VLOOKUP($A2,'FL Ratio'!$A$3:$B$10,2,FALSE),0)*'FL Characterization'!D$2)</f>
        <v>28.799717538095841</v>
      </c>
      <c r="E2" s="2">
        <f>('[1]Pc, Winter, S3'!E2*Main!$B$5)+(_xlfn.IFNA(VLOOKUP($A2,'FL Ratio'!$A$3:$B$10,2,FALSE),0)*'FL Characterization'!E$2)</f>
        <v>28.595943508901023</v>
      </c>
      <c r="F2" s="2">
        <f>('[1]Pc, Winter, S3'!F2*Main!$B$5)+(_xlfn.IFNA(VLOOKUP($A2,'FL Ratio'!$A$3:$B$10,2,FALSE),0)*'FL Characterization'!F$2)</f>
        <v>28.940875512720677</v>
      </c>
      <c r="G2" s="2">
        <f>('[1]Pc, Winter, S3'!G2*Main!$B$5)+(_xlfn.IFNA(VLOOKUP($A2,'FL Ratio'!$A$3:$B$10,2,FALSE),0)*'FL Characterization'!G$2)</f>
        <v>31.812270954245228</v>
      </c>
      <c r="H2" s="2">
        <f>('[1]Pc, Winter, S3'!H2*Main!$B$5)+(_xlfn.IFNA(VLOOKUP($A2,'FL Ratio'!$A$3:$B$10,2,FALSE),0)*'FL Characterization'!H$2)</f>
        <v>37.959791961393975</v>
      </c>
      <c r="I2" s="2">
        <f>('[1]Pc, Winter, S3'!I2*Main!$B$5)+(_xlfn.IFNA(VLOOKUP($A2,'FL Ratio'!$A$3:$B$10,2,FALSE),0)*'FL Characterization'!I$2)</f>
        <v>45.692016421022245</v>
      </c>
      <c r="J2" s="2">
        <f>('[1]Pc, Winter, S3'!J2*Main!$B$5)+(_xlfn.IFNA(VLOOKUP($A2,'FL Ratio'!$A$3:$B$10,2,FALSE),0)*'FL Characterization'!J$2)</f>
        <v>49.746189972148109</v>
      </c>
      <c r="K2" s="2">
        <f>('[1]Pc, Winter, S3'!K2*Main!$B$5)+(_xlfn.IFNA(VLOOKUP($A2,'FL Ratio'!$A$3:$B$10,2,FALSE),0)*'FL Characterization'!K$2)</f>
        <v>50.366516490235988</v>
      </c>
      <c r="L2" s="2">
        <f>('[1]Pc, Winter, S3'!L2*Main!$B$5)+(_xlfn.IFNA(VLOOKUP($A2,'FL Ratio'!$A$3:$B$10,2,FALSE),0)*'FL Characterization'!L$2)</f>
        <v>49.007292975818693</v>
      </c>
      <c r="M2" s="2">
        <f>('[1]Pc, Winter, S3'!M2*Main!$B$5)+(_xlfn.IFNA(VLOOKUP($A2,'FL Ratio'!$A$3:$B$10,2,FALSE),0)*'FL Characterization'!M$2)</f>
        <v>49.259883114119823</v>
      </c>
      <c r="N2" s="2">
        <f>('[1]Pc, Winter, S3'!N2*Main!$B$5)+(_xlfn.IFNA(VLOOKUP($A2,'FL Ratio'!$A$3:$B$10,2,FALSE),0)*'FL Characterization'!N$2)</f>
        <v>49.219402722360442</v>
      </c>
      <c r="O2" s="2">
        <f>('[1]Pc, Winter, S3'!O2*Main!$B$5)+(_xlfn.IFNA(VLOOKUP($A2,'FL Ratio'!$A$3:$B$10,2,FALSE),0)*'FL Characterization'!O$2)</f>
        <v>48.415676238392408</v>
      </c>
      <c r="P2" s="2">
        <f>('[1]Pc, Winter, S3'!P2*Main!$B$5)+(_xlfn.IFNA(VLOOKUP($A2,'FL Ratio'!$A$3:$B$10,2,FALSE),0)*'FL Characterization'!P$2)</f>
        <v>45.656488482635979</v>
      </c>
      <c r="Q2" s="2">
        <f>('[1]Pc, Winter, S3'!Q2*Main!$B$5)+(_xlfn.IFNA(VLOOKUP($A2,'FL Ratio'!$A$3:$B$10,2,FALSE),0)*'FL Characterization'!Q$2)</f>
        <v>44.348413219935026</v>
      </c>
      <c r="R2" s="2">
        <f>('[1]Pc, Winter, S3'!R2*Main!$B$5)+(_xlfn.IFNA(VLOOKUP($A2,'FL Ratio'!$A$3:$B$10,2,FALSE),0)*'FL Characterization'!R$2)</f>
        <v>46.186615881594776</v>
      </c>
      <c r="S2" s="2">
        <f>('[1]Pc, Winter, S3'!S2*Main!$B$5)+(_xlfn.IFNA(VLOOKUP($A2,'FL Ratio'!$A$3:$B$10,2,FALSE),0)*'FL Characterization'!S$2)</f>
        <v>51.198730931816932</v>
      </c>
      <c r="T2" s="2">
        <f>('[1]Pc, Winter, S3'!T2*Main!$B$5)+(_xlfn.IFNA(VLOOKUP($A2,'FL Ratio'!$A$3:$B$10,2,FALSE),0)*'FL Characterization'!T$2)</f>
        <v>51.013136341933162</v>
      </c>
      <c r="U2" s="2">
        <f>('[1]Pc, Winter, S3'!U2*Main!$B$5)+(_xlfn.IFNA(VLOOKUP($A2,'FL Ratio'!$A$3:$B$10,2,FALSE),0)*'FL Characterization'!U$2)</f>
        <v>49.95698098637466</v>
      </c>
      <c r="V2" s="2">
        <f>('[1]Pc, Winter, S3'!V2*Main!$B$5)+(_xlfn.IFNA(VLOOKUP($A2,'FL Ratio'!$A$3:$B$10,2,FALSE),0)*'FL Characterization'!V$2)</f>
        <v>49.097850192991729</v>
      </c>
      <c r="W2" s="2">
        <f>('[1]Pc, Winter, S3'!W2*Main!$B$5)+(_xlfn.IFNA(VLOOKUP($A2,'FL Ratio'!$A$3:$B$10,2,FALSE),0)*'FL Characterization'!W$2)</f>
        <v>46.01789153600928</v>
      </c>
      <c r="X2" s="2">
        <f>('[1]Pc, Winter, S3'!X2*Main!$B$5)+(_xlfn.IFNA(VLOOKUP($A2,'FL Ratio'!$A$3:$B$10,2,FALSE),0)*'FL Characterization'!X$2)</f>
        <v>40.257093124077713</v>
      </c>
      <c r="Y2" s="2">
        <f>('[1]Pc, Winter, S3'!Y2*Main!$B$5)+(_xlfn.IFNA(VLOOKUP($A2,'FL Ratio'!$A$3:$B$10,2,FALSE),0)*'FL Characterization'!Y$2)</f>
        <v>36.523402244065551</v>
      </c>
    </row>
    <row r="3" spans="1:25" x14ac:dyDescent="0.3">
      <c r="A3">
        <v>2</v>
      </c>
      <c r="B3" s="2">
        <f>('[1]Pc, Winter, S3'!B3*Main!$B$5)+(_xlfn.IFNA(VLOOKUP($A3,'FL Ratio'!$A$3:$B$10,2,FALSE),0)*'FL Characterization'!B$2)</f>
        <v>34.593072284211182</v>
      </c>
      <c r="C3" s="2">
        <f>('[1]Pc, Winter, S3'!C3*Main!$B$5)+(_xlfn.IFNA(VLOOKUP($A3,'FL Ratio'!$A$3:$B$10,2,FALSE),0)*'FL Characterization'!C$2)</f>
        <v>32.39275711238092</v>
      </c>
      <c r="D3" s="2">
        <f>('[1]Pc, Winter, S3'!D3*Main!$B$5)+(_xlfn.IFNA(VLOOKUP($A3,'FL Ratio'!$A$3:$B$10,2,FALSE),0)*'FL Characterization'!D$2)</f>
        <v>29.29058302483481</v>
      </c>
      <c r="E3" s="2">
        <f>('[1]Pc, Winter, S3'!E3*Main!$B$5)+(_xlfn.IFNA(VLOOKUP($A3,'FL Ratio'!$A$3:$B$10,2,FALSE),0)*'FL Characterization'!E$2)</f>
        <v>31.223252144966374</v>
      </c>
      <c r="F3" s="2">
        <f>('[1]Pc, Winter, S3'!F3*Main!$B$5)+(_xlfn.IFNA(VLOOKUP($A3,'FL Ratio'!$A$3:$B$10,2,FALSE),0)*'FL Characterization'!F$2)</f>
        <v>30.745446660947906</v>
      </c>
      <c r="G3" s="2">
        <f>('[1]Pc, Winter, S3'!G3*Main!$B$5)+(_xlfn.IFNA(VLOOKUP($A3,'FL Ratio'!$A$3:$B$10,2,FALSE),0)*'FL Characterization'!G$2)</f>
        <v>31.721567455869042</v>
      </c>
      <c r="H3" s="2">
        <f>('[1]Pc, Winter, S3'!H3*Main!$B$5)+(_xlfn.IFNA(VLOOKUP($A3,'FL Ratio'!$A$3:$B$10,2,FALSE),0)*'FL Characterization'!H$2)</f>
        <v>46.824656097377954</v>
      </c>
      <c r="I3" s="2">
        <f>('[1]Pc, Winter, S3'!I3*Main!$B$5)+(_xlfn.IFNA(VLOOKUP($A3,'FL Ratio'!$A$3:$B$10,2,FALSE),0)*'FL Characterization'!I$2)</f>
        <v>50.487101865087602</v>
      </c>
      <c r="J3" s="2">
        <f>('[1]Pc, Winter, S3'!J3*Main!$B$5)+(_xlfn.IFNA(VLOOKUP($A3,'FL Ratio'!$A$3:$B$10,2,FALSE),0)*'FL Characterization'!J$2)</f>
        <v>55.284866337407671</v>
      </c>
      <c r="K3" s="2">
        <f>('[1]Pc, Winter, S3'!K3*Main!$B$5)+(_xlfn.IFNA(VLOOKUP($A3,'FL Ratio'!$A$3:$B$10,2,FALSE),0)*'FL Characterization'!K$2)</f>
        <v>55.437683664606055</v>
      </c>
      <c r="L3" s="2">
        <f>('[1]Pc, Winter, S3'!L3*Main!$B$5)+(_xlfn.IFNA(VLOOKUP($A3,'FL Ratio'!$A$3:$B$10,2,FALSE),0)*'FL Characterization'!L$2)</f>
        <v>52.226670266281481</v>
      </c>
      <c r="M3" s="2">
        <f>('[1]Pc, Winter, S3'!M3*Main!$B$5)+(_xlfn.IFNA(VLOOKUP($A3,'FL Ratio'!$A$3:$B$10,2,FALSE),0)*'FL Characterization'!M$2)</f>
        <v>57.177524659273942</v>
      </c>
      <c r="N3" s="2">
        <f>('[1]Pc, Winter, S3'!N3*Main!$B$5)+(_xlfn.IFNA(VLOOKUP($A3,'FL Ratio'!$A$3:$B$10,2,FALSE),0)*'FL Characterization'!N$2)</f>
        <v>54.111836644984095</v>
      </c>
      <c r="O3" s="2">
        <f>('[1]Pc, Winter, S3'!O3*Main!$B$5)+(_xlfn.IFNA(VLOOKUP($A3,'FL Ratio'!$A$3:$B$10,2,FALSE),0)*'FL Characterization'!O$2)</f>
        <v>51.074641498314726</v>
      </c>
      <c r="P3" s="2">
        <f>('[1]Pc, Winter, S3'!P3*Main!$B$5)+(_xlfn.IFNA(VLOOKUP($A3,'FL Ratio'!$A$3:$B$10,2,FALSE),0)*'FL Characterization'!P$2)</f>
        <v>49.607107780497337</v>
      </c>
      <c r="Q3" s="2">
        <f>('[1]Pc, Winter, S3'!Q3*Main!$B$5)+(_xlfn.IFNA(VLOOKUP($A3,'FL Ratio'!$A$3:$B$10,2,FALSE),0)*'FL Characterization'!Q$2)</f>
        <v>46.397852243456803</v>
      </c>
      <c r="R3" s="2">
        <f>('[1]Pc, Winter, S3'!R3*Main!$B$5)+(_xlfn.IFNA(VLOOKUP($A3,'FL Ratio'!$A$3:$B$10,2,FALSE),0)*'FL Characterization'!R$2)</f>
        <v>46.034692325171108</v>
      </c>
      <c r="S3" s="2">
        <f>('[1]Pc, Winter, S3'!S3*Main!$B$5)+(_xlfn.IFNA(VLOOKUP($A3,'FL Ratio'!$A$3:$B$10,2,FALSE),0)*'FL Characterization'!S$2)</f>
        <v>49.225850708568828</v>
      </c>
      <c r="T3" s="2">
        <f>('[1]Pc, Winter, S3'!T3*Main!$B$5)+(_xlfn.IFNA(VLOOKUP($A3,'FL Ratio'!$A$3:$B$10,2,FALSE),0)*'FL Characterization'!T$2)</f>
        <v>48.804106282484575</v>
      </c>
      <c r="U3" s="2">
        <f>('[1]Pc, Winter, S3'!U3*Main!$B$5)+(_xlfn.IFNA(VLOOKUP($A3,'FL Ratio'!$A$3:$B$10,2,FALSE),0)*'FL Characterization'!U$2)</f>
        <v>49.352198493472905</v>
      </c>
      <c r="V3" s="2">
        <f>('[1]Pc, Winter, S3'!V3*Main!$B$5)+(_xlfn.IFNA(VLOOKUP($A3,'FL Ratio'!$A$3:$B$10,2,FALSE),0)*'FL Characterization'!V$2)</f>
        <v>48.249366968952707</v>
      </c>
      <c r="W3" s="2">
        <f>('[1]Pc, Winter, S3'!W3*Main!$B$5)+(_xlfn.IFNA(VLOOKUP($A3,'FL Ratio'!$A$3:$B$10,2,FALSE),0)*'FL Characterization'!W$2)</f>
        <v>43.417064280536486</v>
      </c>
      <c r="X3" s="2">
        <f>('[1]Pc, Winter, S3'!X3*Main!$B$5)+(_xlfn.IFNA(VLOOKUP($A3,'FL Ratio'!$A$3:$B$10,2,FALSE),0)*'FL Characterization'!X$2)</f>
        <v>38.190767550535014</v>
      </c>
      <c r="Y3" s="2">
        <f>('[1]Pc, Winter, S3'!Y3*Main!$B$5)+(_xlfn.IFNA(VLOOKUP($A3,'FL Ratio'!$A$3:$B$10,2,FALSE),0)*'FL Characterization'!Y$2)</f>
        <v>37.385483775239535</v>
      </c>
    </row>
    <row r="4" spans="1:25" x14ac:dyDescent="0.3">
      <c r="A4">
        <v>3</v>
      </c>
      <c r="B4" s="2">
        <f>('[1]Pc, Winter, S3'!B4*Main!$B$5)+(_xlfn.IFNA(VLOOKUP($A4,'FL Ratio'!$A$3:$B$10,2,FALSE),0)*'FL Characterization'!B$2)</f>
        <v>49.205432120824973</v>
      </c>
      <c r="C4" s="2">
        <f>('[1]Pc, Winter, S3'!C4*Main!$B$5)+(_xlfn.IFNA(VLOOKUP($A4,'FL Ratio'!$A$3:$B$10,2,FALSE),0)*'FL Characterization'!C$2)</f>
        <v>43.658435631209763</v>
      </c>
      <c r="D4" s="2">
        <f>('[1]Pc, Winter, S3'!D4*Main!$B$5)+(_xlfn.IFNA(VLOOKUP($A4,'FL Ratio'!$A$3:$B$10,2,FALSE),0)*'FL Characterization'!D$2)</f>
        <v>40.989547303542516</v>
      </c>
      <c r="E4" s="2">
        <f>('[1]Pc, Winter, S3'!E4*Main!$B$5)+(_xlfn.IFNA(VLOOKUP($A4,'FL Ratio'!$A$3:$B$10,2,FALSE),0)*'FL Characterization'!E$2)</f>
        <v>40.414345889224251</v>
      </c>
      <c r="F4" s="2">
        <f>('[1]Pc, Winter, S3'!F4*Main!$B$5)+(_xlfn.IFNA(VLOOKUP($A4,'FL Ratio'!$A$3:$B$10,2,FALSE),0)*'FL Characterization'!F$2)</f>
        <v>41.828444398182803</v>
      </c>
      <c r="G4" s="2">
        <f>('[1]Pc, Winter, S3'!G4*Main!$B$5)+(_xlfn.IFNA(VLOOKUP($A4,'FL Ratio'!$A$3:$B$10,2,FALSE),0)*'FL Characterization'!G$2)</f>
        <v>44.768402098458679</v>
      </c>
      <c r="H4" s="2">
        <f>('[1]Pc, Winter, S3'!H4*Main!$B$5)+(_xlfn.IFNA(VLOOKUP($A4,'FL Ratio'!$A$3:$B$10,2,FALSE),0)*'FL Characterization'!H$2)</f>
        <v>54.044423073506778</v>
      </c>
      <c r="I4" s="2">
        <f>('[1]Pc, Winter, S3'!I4*Main!$B$5)+(_xlfn.IFNA(VLOOKUP($A4,'FL Ratio'!$A$3:$B$10,2,FALSE),0)*'FL Characterization'!I$2)</f>
        <v>58.746633001294995</v>
      </c>
      <c r="J4" s="2">
        <f>('[1]Pc, Winter, S3'!J4*Main!$B$5)+(_xlfn.IFNA(VLOOKUP($A4,'FL Ratio'!$A$3:$B$10,2,FALSE),0)*'FL Characterization'!J$2)</f>
        <v>62.122935402189299</v>
      </c>
      <c r="K4" s="2">
        <f>('[1]Pc, Winter, S3'!K4*Main!$B$5)+(_xlfn.IFNA(VLOOKUP($A4,'FL Ratio'!$A$3:$B$10,2,FALSE),0)*'FL Characterization'!K$2)</f>
        <v>64.350890543645491</v>
      </c>
      <c r="L4" s="2">
        <f>('[1]Pc, Winter, S3'!L4*Main!$B$5)+(_xlfn.IFNA(VLOOKUP($A4,'FL Ratio'!$A$3:$B$10,2,FALSE),0)*'FL Characterization'!L$2)</f>
        <v>64.774050086321708</v>
      </c>
      <c r="M4" s="2">
        <f>('[1]Pc, Winter, S3'!M4*Main!$B$5)+(_xlfn.IFNA(VLOOKUP($A4,'FL Ratio'!$A$3:$B$10,2,FALSE),0)*'FL Characterization'!M$2)</f>
        <v>64.158786701369948</v>
      </c>
      <c r="N4" s="2">
        <f>('[1]Pc, Winter, S3'!N4*Main!$B$5)+(_xlfn.IFNA(VLOOKUP($A4,'FL Ratio'!$A$3:$B$10,2,FALSE),0)*'FL Characterization'!N$2)</f>
        <v>63.968440011588605</v>
      </c>
      <c r="O4" s="2">
        <f>('[1]Pc, Winter, S3'!O4*Main!$B$5)+(_xlfn.IFNA(VLOOKUP($A4,'FL Ratio'!$A$3:$B$10,2,FALSE),0)*'FL Characterization'!O$2)</f>
        <v>63.048114851645543</v>
      </c>
      <c r="P4" s="2">
        <f>('[1]Pc, Winter, S3'!P4*Main!$B$5)+(_xlfn.IFNA(VLOOKUP($A4,'FL Ratio'!$A$3:$B$10,2,FALSE),0)*'FL Characterization'!P$2)</f>
        <v>61.125250251504951</v>
      </c>
      <c r="Q4" s="2">
        <f>('[1]Pc, Winter, S3'!Q4*Main!$B$5)+(_xlfn.IFNA(VLOOKUP($A4,'FL Ratio'!$A$3:$B$10,2,FALSE),0)*'FL Characterization'!Q$2)</f>
        <v>60.019861808517405</v>
      </c>
      <c r="R4" s="2">
        <f>('[1]Pc, Winter, S3'!R4*Main!$B$5)+(_xlfn.IFNA(VLOOKUP($A4,'FL Ratio'!$A$3:$B$10,2,FALSE),0)*'FL Characterization'!R$2)</f>
        <v>61.738442329495719</v>
      </c>
      <c r="S4" s="2">
        <f>('[1]Pc, Winter, S3'!S4*Main!$B$5)+(_xlfn.IFNA(VLOOKUP($A4,'FL Ratio'!$A$3:$B$10,2,FALSE),0)*'FL Characterization'!S$2)</f>
        <v>70.350093858721067</v>
      </c>
      <c r="T4" s="2">
        <f>('[1]Pc, Winter, S3'!T4*Main!$B$5)+(_xlfn.IFNA(VLOOKUP($A4,'FL Ratio'!$A$3:$B$10,2,FALSE),0)*'FL Characterization'!T$2)</f>
        <v>71.288532414202223</v>
      </c>
      <c r="U4" s="2">
        <f>('[1]Pc, Winter, S3'!U4*Main!$B$5)+(_xlfn.IFNA(VLOOKUP($A4,'FL Ratio'!$A$3:$B$10,2,FALSE),0)*'FL Characterization'!U$2)</f>
        <v>71.530513623230064</v>
      </c>
      <c r="V4" s="2">
        <f>('[1]Pc, Winter, S3'!V4*Main!$B$5)+(_xlfn.IFNA(VLOOKUP($A4,'FL Ratio'!$A$3:$B$10,2,FALSE),0)*'FL Characterization'!V$2)</f>
        <v>69.634342683995584</v>
      </c>
      <c r="W4" s="2">
        <f>('[1]Pc, Winter, S3'!W4*Main!$B$5)+(_xlfn.IFNA(VLOOKUP($A4,'FL Ratio'!$A$3:$B$10,2,FALSE),0)*'FL Characterization'!W$2)</f>
        <v>66.236197611800264</v>
      </c>
      <c r="X4" s="2">
        <f>('[1]Pc, Winter, S3'!X4*Main!$B$5)+(_xlfn.IFNA(VLOOKUP($A4,'FL Ratio'!$A$3:$B$10,2,FALSE),0)*'FL Characterization'!X$2)</f>
        <v>61.841467225745816</v>
      </c>
      <c r="Y4" s="2">
        <f>('[1]Pc, Winter, S3'!Y4*Main!$B$5)+(_xlfn.IFNA(VLOOKUP($A4,'FL Ratio'!$A$3:$B$10,2,FALSE),0)*'FL Characterization'!Y$2)</f>
        <v>55.242316541929384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491D0-D1DE-4067-A278-C5302ED652E4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Ratio'!$A$3:$B$10,2,FALSE),0)*'FL Characterization'!B$2)</f>
        <v>32.585955533182165</v>
      </c>
      <c r="C2" s="2">
        <f>('[1]Pc, Winter, S3'!C2*Main!$B$5)+(_xlfn.IFNA(VLOOKUP($A2,'FL Ratio'!$A$3:$B$10,2,FALSE),0)*'FL Characterization'!C$2)</f>
        <v>30.394494430969807</v>
      </c>
      <c r="D2" s="2">
        <f>('[1]Pc, Winter, S3'!D2*Main!$B$5)+(_xlfn.IFNA(VLOOKUP($A2,'FL Ratio'!$A$3:$B$10,2,FALSE),0)*'FL Characterization'!D$2)</f>
        <v>28.799717538095841</v>
      </c>
      <c r="E2" s="2">
        <f>('[1]Pc, Winter, S3'!E2*Main!$B$5)+(_xlfn.IFNA(VLOOKUP($A2,'FL Ratio'!$A$3:$B$10,2,FALSE),0)*'FL Characterization'!E$2)</f>
        <v>28.595943508901023</v>
      </c>
      <c r="F2" s="2">
        <f>('[1]Pc, Winter, S3'!F2*Main!$B$5)+(_xlfn.IFNA(VLOOKUP($A2,'FL Ratio'!$A$3:$B$10,2,FALSE),0)*'FL Characterization'!F$2)</f>
        <v>28.940875512720677</v>
      </c>
      <c r="G2" s="2">
        <f>('[1]Pc, Winter, S3'!G2*Main!$B$5)+(_xlfn.IFNA(VLOOKUP($A2,'FL Ratio'!$A$3:$B$10,2,FALSE),0)*'FL Characterization'!G$2)</f>
        <v>31.812270954245228</v>
      </c>
      <c r="H2" s="2">
        <f>('[1]Pc, Winter, S3'!H2*Main!$B$5)+(_xlfn.IFNA(VLOOKUP($A2,'FL Ratio'!$A$3:$B$10,2,FALSE),0)*'FL Characterization'!H$2)</f>
        <v>37.959791961393975</v>
      </c>
      <c r="I2" s="2">
        <f>('[1]Pc, Winter, S3'!I2*Main!$B$5)+(_xlfn.IFNA(VLOOKUP($A2,'FL Ratio'!$A$3:$B$10,2,FALSE),0)*'FL Characterization'!I$2)</f>
        <v>45.692016421022245</v>
      </c>
      <c r="J2" s="2">
        <f>('[1]Pc, Winter, S3'!J2*Main!$B$5)+(_xlfn.IFNA(VLOOKUP($A2,'FL Ratio'!$A$3:$B$10,2,FALSE),0)*'FL Characterization'!J$2)</f>
        <v>49.746189972148109</v>
      </c>
      <c r="K2" s="2">
        <f>('[1]Pc, Winter, S3'!K2*Main!$B$5)+(_xlfn.IFNA(VLOOKUP($A2,'FL Ratio'!$A$3:$B$10,2,FALSE),0)*'FL Characterization'!K$2)</f>
        <v>50.366516490235988</v>
      </c>
      <c r="L2" s="2">
        <f>('[1]Pc, Winter, S3'!L2*Main!$B$5)+(_xlfn.IFNA(VLOOKUP($A2,'FL Ratio'!$A$3:$B$10,2,FALSE),0)*'FL Characterization'!L$2)</f>
        <v>49.007292975818693</v>
      </c>
      <c r="M2" s="2">
        <f>('[1]Pc, Winter, S3'!M2*Main!$B$5)+(_xlfn.IFNA(VLOOKUP($A2,'FL Ratio'!$A$3:$B$10,2,FALSE),0)*'FL Characterization'!M$2)</f>
        <v>49.259883114119823</v>
      </c>
      <c r="N2" s="2">
        <f>('[1]Pc, Winter, S3'!N2*Main!$B$5)+(_xlfn.IFNA(VLOOKUP($A2,'FL Ratio'!$A$3:$B$10,2,FALSE),0)*'FL Characterization'!N$2)</f>
        <v>49.219402722360442</v>
      </c>
      <c r="O2" s="2">
        <f>('[1]Pc, Winter, S3'!O2*Main!$B$5)+(_xlfn.IFNA(VLOOKUP($A2,'FL Ratio'!$A$3:$B$10,2,FALSE),0)*'FL Characterization'!O$2)</f>
        <v>48.415676238392408</v>
      </c>
      <c r="P2" s="2">
        <f>('[1]Pc, Winter, S3'!P2*Main!$B$5)+(_xlfn.IFNA(VLOOKUP($A2,'FL Ratio'!$A$3:$B$10,2,FALSE),0)*'FL Characterization'!P$2)</f>
        <v>45.656488482635979</v>
      </c>
      <c r="Q2" s="2">
        <f>('[1]Pc, Winter, S3'!Q2*Main!$B$5)+(_xlfn.IFNA(VLOOKUP($A2,'FL Ratio'!$A$3:$B$10,2,FALSE),0)*'FL Characterization'!Q$2)</f>
        <v>44.348413219935026</v>
      </c>
      <c r="R2" s="2">
        <f>('[1]Pc, Winter, S3'!R2*Main!$B$5)+(_xlfn.IFNA(VLOOKUP($A2,'FL Ratio'!$A$3:$B$10,2,FALSE),0)*'FL Characterization'!R$2)</f>
        <v>46.186615881594776</v>
      </c>
      <c r="S2" s="2">
        <f>('[1]Pc, Winter, S3'!S2*Main!$B$5)+(_xlfn.IFNA(VLOOKUP($A2,'FL Ratio'!$A$3:$B$10,2,FALSE),0)*'FL Characterization'!S$2)</f>
        <v>51.198730931816932</v>
      </c>
      <c r="T2" s="2">
        <f>('[1]Pc, Winter, S3'!T2*Main!$B$5)+(_xlfn.IFNA(VLOOKUP($A2,'FL Ratio'!$A$3:$B$10,2,FALSE),0)*'FL Characterization'!T$2)</f>
        <v>51.013136341933162</v>
      </c>
      <c r="U2" s="2">
        <f>('[1]Pc, Winter, S3'!U2*Main!$B$5)+(_xlfn.IFNA(VLOOKUP($A2,'FL Ratio'!$A$3:$B$10,2,FALSE),0)*'FL Characterization'!U$2)</f>
        <v>49.95698098637466</v>
      </c>
      <c r="V2" s="2">
        <f>('[1]Pc, Winter, S3'!V2*Main!$B$5)+(_xlfn.IFNA(VLOOKUP($A2,'FL Ratio'!$A$3:$B$10,2,FALSE),0)*'FL Characterization'!V$2)</f>
        <v>49.097850192991729</v>
      </c>
      <c r="W2" s="2">
        <f>('[1]Pc, Winter, S3'!W2*Main!$B$5)+(_xlfn.IFNA(VLOOKUP($A2,'FL Ratio'!$A$3:$B$10,2,FALSE),0)*'FL Characterization'!W$2)</f>
        <v>46.01789153600928</v>
      </c>
      <c r="X2" s="2">
        <f>('[1]Pc, Winter, S3'!X2*Main!$B$5)+(_xlfn.IFNA(VLOOKUP($A2,'FL Ratio'!$A$3:$B$10,2,FALSE),0)*'FL Characterization'!X$2)</f>
        <v>40.257093124077713</v>
      </c>
      <c r="Y2" s="2">
        <f>('[1]Pc, Winter, S3'!Y2*Main!$B$5)+(_xlfn.IFNA(VLOOKUP($A2,'FL Ratio'!$A$3:$B$10,2,FALSE),0)*'FL Characterization'!Y$2)</f>
        <v>36.523402244065551</v>
      </c>
    </row>
    <row r="3" spans="1:25" x14ac:dyDescent="0.3">
      <c r="A3">
        <v>2</v>
      </c>
      <c r="B3" s="2">
        <f>('[1]Pc, Winter, S3'!B3*Main!$B$5)+(_xlfn.IFNA(VLOOKUP($A3,'FL Ratio'!$A$3:$B$10,2,FALSE),0)*'FL Characterization'!B$2)</f>
        <v>34.593072284211182</v>
      </c>
      <c r="C3" s="2">
        <f>('[1]Pc, Winter, S3'!C3*Main!$B$5)+(_xlfn.IFNA(VLOOKUP($A3,'FL Ratio'!$A$3:$B$10,2,FALSE),0)*'FL Characterization'!C$2)</f>
        <v>32.39275711238092</v>
      </c>
      <c r="D3" s="2">
        <f>('[1]Pc, Winter, S3'!D3*Main!$B$5)+(_xlfn.IFNA(VLOOKUP($A3,'FL Ratio'!$A$3:$B$10,2,FALSE),0)*'FL Characterization'!D$2)</f>
        <v>29.29058302483481</v>
      </c>
      <c r="E3" s="2">
        <f>('[1]Pc, Winter, S3'!E3*Main!$B$5)+(_xlfn.IFNA(VLOOKUP($A3,'FL Ratio'!$A$3:$B$10,2,FALSE),0)*'FL Characterization'!E$2)</f>
        <v>31.223252144966374</v>
      </c>
      <c r="F3" s="2">
        <f>('[1]Pc, Winter, S3'!F3*Main!$B$5)+(_xlfn.IFNA(VLOOKUP($A3,'FL Ratio'!$A$3:$B$10,2,FALSE),0)*'FL Characterization'!F$2)</f>
        <v>30.745446660947906</v>
      </c>
      <c r="G3" s="2">
        <f>('[1]Pc, Winter, S3'!G3*Main!$B$5)+(_xlfn.IFNA(VLOOKUP($A3,'FL Ratio'!$A$3:$B$10,2,FALSE),0)*'FL Characterization'!G$2)</f>
        <v>31.721567455869042</v>
      </c>
      <c r="H3" s="2">
        <f>('[1]Pc, Winter, S3'!H3*Main!$B$5)+(_xlfn.IFNA(VLOOKUP($A3,'FL Ratio'!$A$3:$B$10,2,FALSE),0)*'FL Characterization'!H$2)</f>
        <v>46.824656097377954</v>
      </c>
      <c r="I3" s="2">
        <f>('[1]Pc, Winter, S3'!I3*Main!$B$5)+(_xlfn.IFNA(VLOOKUP($A3,'FL Ratio'!$A$3:$B$10,2,FALSE),0)*'FL Characterization'!I$2)</f>
        <v>50.487101865087602</v>
      </c>
      <c r="J3" s="2">
        <f>('[1]Pc, Winter, S3'!J3*Main!$B$5)+(_xlfn.IFNA(VLOOKUP($A3,'FL Ratio'!$A$3:$B$10,2,FALSE),0)*'FL Characterization'!J$2)</f>
        <v>55.284866337407671</v>
      </c>
      <c r="K3" s="2">
        <f>('[1]Pc, Winter, S3'!K3*Main!$B$5)+(_xlfn.IFNA(VLOOKUP($A3,'FL Ratio'!$A$3:$B$10,2,FALSE),0)*'FL Characterization'!K$2)</f>
        <v>55.437683664606055</v>
      </c>
      <c r="L3" s="2">
        <f>('[1]Pc, Winter, S3'!L3*Main!$B$5)+(_xlfn.IFNA(VLOOKUP($A3,'FL Ratio'!$A$3:$B$10,2,FALSE),0)*'FL Characterization'!L$2)</f>
        <v>52.226670266281481</v>
      </c>
      <c r="M3" s="2">
        <f>('[1]Pc, Winter, S3'!M3*Main!$B$5)+(_xlfn.IFNA(VLOOKUP($A3,'FL Ratio'!$A$3:$B$10,2,FALSE),0)*'FL Characterization'!M$2)</f>
        <v>57.177524659273942</v>
      </c>
      <c r="N3" s="2">
        <f>('[1]Pc, Winter, S3'!N3*Main!$B$5)+(_xlfn.IFNA(VLOOKUP($A3,'FL Ratio'!$A$3:$B$10,2,FALSE),0)*'FL Characterization'!N$2)</f>
        <v>54.111836644984095</v>
      </c>
      <c r="O3" s="2">
        <f>('[1]Pc, Winter, S3'!O3*Main!$B$5)+(_xlfn.IFNA(VLOOKUP($A3,'FL Ratio'!$A$3:$B$10,2,FALSE),0)*'FL Characterization'!O$2)</f>
        <v>51.074641498314726</v>
      </c>
      <c r="P3" s="2">
        <f>('[1]Pc, Winter, S3'!P3*Main!$B$5)+(_xlfn.IFNA(VLOOKUP($A3,'FL Ratio'!$A$3:$B$10,2,FALSE),0)*'FL Characterization'!P$2)</f>
        <v>49.607107780497337</v>
      </c>
      <c r="Q3" s="2">
        <f>('[1]Pc, Winter, S3'!Q3*Main!$B$5)+(_xlfn.IFNA(VLOOKUP($A3,'FL Ratio'!$A$3:$B$10,2,FALSE),0)*'FL Characterization'!Q$2)</f>
        <v>46.397852243456803</v>
      </c>
      <c r="R3" s="2">
        <f>('[1]Pc, Winter, S3'!R3*Main!$B$5)+(_xlfn.IFNA(VLOOKUP($A3,'FL Ratio'!$A$3:$B$10,2,FALSE),0)*'FL Characterization'!R$2)</f>
        <v>46.034692325171108</v>
      </c>
      <c r="S3" s="2">
        <f>('[1]Pc, Winter, S3'!S3*Main!$B$5)+(_xlfn.IFNA(VLOOKUP($A3,'FL Ratio'!$A$3:$B$10,2,FALSE),0)*'FL Characterization'!S$2)</f>
        <v>49.225850708568828</v>
      </c>
      <c r="T3" s="2">
        <f>('[1]Pc, Winter, S3'!T3*Main!$B$5)+(_xlfn.IFNA(VLOOKUP($A3,'FL Ratio'!$A$3:$B$10,2,FALSE),0)*'FL Characterization'!T$2)</f>
        <v>48.804106282484575</v>
      </c>
      <c r="U3" s="2">
        <f>('[1]Pc, Winter, S3'!U3*Main!$B$5)+(_xlfn.IFNA(VLOOKUP($A3,'FL Ratio'!$A$3:$B$10,2,FALSE),0)*'FL Characterization'!U$2)</f>
        <v>49.352198493472905</v>
      </c>
      <c r="V3" s="2">
        <f>('[1]Pc, Winter, S3'!V3*Main!$B$5)+(_xlfn.IFNA(VLOOKUP($A3,'FL Ratio'!$A$3:$B$10,2,FALSE),0)*'FL Characterization'!V$2)</f>
        <v>48.249366968952707</v>
      </c>
      <c r="W3" s="2">
        <f>('[1]Pc, Winter, S3'!W3*Main!$B$5)+(_xlfn.IFNA(VLOOKUP($A3,'FL Ratio'!$A$3:$B$10,2,FALSE),0)*'FL Characterization'!W$2)</f>
        <v>43.417064280536486</v>
      </c>
      <c r="X3" s="2">
        <f>('[1]Pc, Winter, S3'!X3*Main!$B$5)+(_xlfn.IFNA(VLOOKUP($A3,'FL Ratio'!$A$3:$B$10,2,FALSE),0)*'FL Characterization'!X$2)</f>
        <v>38.190767550535014</v>
      </c>
      <c r="Y3" s="2">
        <f>('[1]Pc, Winter, S3'!Y3*Main!$B$5)+(_xlfn.IFNA(VLOOKUP($A3,'FL Ratio'!$A$3:$B$10,2,FALSE),0)*'FL Characterization'!Y$2)</f>
        <v>37.385483775239535</v>
      </c>
    </row>
    <row r="4" spans="1:25" x14ac:dyDescent="0.3">
      <c r="A4">
        <v>3</v>
      </c>
      <c r="B4" s="2">
        <f>('[1]Pc, Winter, S3'!B4*Main!$B$5)+(_xlfn.IFNA(VLOOKUP($A4,'FL Ratio'!$A$3:$B$10,2,FALSE),0)*'FL Characterization'!B$2)</f>
        <v>49.205432120824973</v>
      </c>
      <c r="C4" s="2">
        <f>('[1]Pc, Winter, S3'!C4*Main!$B$5)+(_xlfn.IFNA(VLOOKUP($A4,'FL Ratio'!$A$3:$B$10,2,FALSE),0)*'FL Characterization'!C$2)</f>
        <v>43.658435631209763</v>
      </c>
      <c r="D4" s="2">
        <f>('[1]Pc, Winter, S3'!D4*Main!$B$5)+(_xlfn.IFNA(VLOOKUP($A4,'FL Ratio'!$A$3:$B$10,2,FALSE),0)*'FL Characterization'!D$2)</f>
        <v>40.989547303542516</v>
      </c>
      <c r="E4" s="2">
        <f>('[1]Pc, Winter, S3'!E4*Main!$B$5)+(_xlfn.IFNA(VLOOKUP($A4,'FL Ratio'!$A$3:$B$10,2,FALSE),0)*'FL Characterization'!E$2)</f>
        <v>40.414345889224251</v>
      </c>
      <c r="F4" s="2">
        <f>('[1]Pc, Winter, S3'!F4*Main!$B$5)+(_xlfn.IFNA(VLOOKUP($A4,'FL Ratio'!$A$3:$B$10,2,FALSE),0)*'FL Characterization'!F$2)</f>
        <v>41.828444398182803</v>
      </c>
      <c r="G4" s="2">
        <f>('[1]Pc, Winter, S3'!G4*Main!$B$5)+(_xlfn.IFNA(VLOOKUP($A4,'FL Ratio'!$A$3:$B$10,2,FALSE),0)*'FL Characterization'!G$2)</f>
        <v>44.768402098458679</v>
      </c>
      <c r="H4" s="2">
        <f>('[1]Pc, Winter, S3'!H4*Main!$B$5)+(_xlfn.IFNA(VLOOKUP($A4,'FL Ratio'!$A$3:$B$10,2,FALSE),0)*'FL Characterization'!H$2)</f>
        <v>54.044423073506778</v>
      </c>
      <c r="I4" s="2">
        <f>('[1]Pc, Winter, S3'!I4*Main!$B$5)+(_xlfn.IFNA(VLOOKUP($A4,'FL Ratio'!$A$3:$B$10,2,FALSE),0)*'FL Characterization'!I$2)</f>
        <v>58.746633001294995</v>
      </c>
      <c r="J4" s="2">
        <f>('[1]Pc, Winter, S3'!J4*Main!$B$5)+(_xlfn.IFNA(VLOOKUP($A4,'FL Ratio'!$A$3:$B$10,2,FALSE),0)*'FL Characterization'!J$2)</f>
        <v>62.122935402189299</v>
      </c>
      <c r="K4" s="2">
        <f>('[1]Pc, Winter, S3'!K4*Main!$B$5)+(_xlfn.IFNA(VLOOKUP($A4,'FL Ratio'!$A$3:$B$10,2,FALSE),0)*'FL Characterization'!K$2)</f>
        <v>64.350890543645491</v>
      </c>
      <c r="L4" s="2">
        <f>('[1]Pc, Winter, S3'!L4*Main!$B$5)+(_xlfn.IFNA(VLOOKUP($A4,'FL Ratio'!$A$3:$B$10,2,FALSE),0)*'FL Characterization'!L$2)</f>
        <v>64.774050086321708</v>
      </c>
      <c r="M4" s="2">
        <f>('[1]Pc, Winter, S3'!M4*Main!$B$5)+(_xlfn.IFNA(VLOOKUP($A4,'FL Ratio'!$A$3:$B$10,2,FALSE),0)*'FL Characterization'!M$2)</f>
        <v>64.158786701369948</v>
      </c>
      <c r="N4" s="2">
        <f>('[1]Pc, Winter, S3'!N4*Main!$B$5)+(_xlfn.IFNA(VLOOKUP($A4,'FL Ratio'!$A$3:$B$10,2,FALSE),0)*'FL Characterization'!N$2)</f>
        <v>63.968440011588605</v>
      </c>
      <c r="O4" s="2">
        <f>('[1]Pc, Winter, S3'!O4*Main!$B$5)+(_xlfn.IFNA(VLOOKUP($A4,'FL Ratio'!$A$3:$B$10,2,FALSE),0)*'FL Characterization'!O$2)</f>
        <v>63.048114851645543</v>
      </c>
      <c r="P4" s="2">
        <f>('[1]Pc, Winter, S3'!P4*Main!$B$5)+(_xlfn.IFNA(VLOOKUP($A4,'FL Ratio'!$A$3:$B$10,2,FALSE),0)*'FL Characterization'!P$2)</f>
        <v>61.125250251504951</v>
      </c>
      <c r="Q4" s="2">
        <f>('[1]Pc, Winter, S3'!Q4*Main!$B$5)+(_xlfn.IFNA(VLOOKUP($A4,'FL Ratio'!$A$3:$B$10,2,FALSE),0)*'FL Characterization'!Q$2)</f>
        <v>60.019861808517405</v>
      </c>
      <c r="R4" s="2">
        <f>('[1]Pc, Winter, S3'!R4*Main!$B$5)+(_xlfn.IFNA(VLOOKUP($A4,'FL Ratio'!$A$3:$B$10,2,FALSE),0)*'FL Characterization'!R$2)</f>
        <v>61.738442329495719</v>
      </c>
      <c r="S4" s="2">
        <f>('[1]Pc, Winter, S3'!S4*Main!$B$5)+(_xlfn.IFNA(VLOOKUP($A4,'FL Ratio'!$A$3:$B$10,2,FALSE),0)*'FL Characterization'!S$2)</f>
        <v>70.350093858721067</v>
      </c>
      <c r="T4" s="2">
        <f>('[1]Pc, Winter, S3'!T4*Main!$B$5)+(_xlfn.IFNA(VLOOKUP($A4,'FL Ratio'!$A$3:$B$10,2,FALSE),0)*'FL Characterization'!T$2)</f>
        <v>71.288532414202223</v>
      </c>
      <c r="U4" s="2">
        <f>('[1]Pc, Winter, S3'!U4*Main!$B$5)+(_xlfn.IFNA(VLOOKUP($A4,'FL Ratio'!$A$3:$B$10,2,FALSE),0)*'FL Characterization'!U$2)</f>
        <v>71.530513623230064</v>
      </c>
      <c r="V4" s="2">
        <f>('[1]Pc, Winter, S3'!V4*Main!$B$5)+(_xlfn.IFNA(VLOOKUP($A4,'FL Ratio'!$A$3:$B$10,2,FALSE),0)*'FL Characterization'!V$2)</f>
        <v>69.634342683995584</v>
      </c>
      <c r="W4" s="2">
        <f>('[1]Pc, Winter, S3'!W4*Main!$B$5)+(_xlfn.IFNA(VLOOKUP($A4,'FL Ratio'!$A$3:$B$10,2,FALSE),0)*'FL Characterization'!W$2)</f>
        <v>66.236197611800264</v>
      </c>
      <c r="X4" s="2">
        <f>('[1]Pc, Winter, S3'!X4*Main!$B$5)+(_xlfn.IFNA(VLOOKUP($A4,'FL Ratio'!$A$3:$B$10,2,FALSE),0)*'FL Characterization'!X$2)</f>
        <v>61.841467225745816</v>
      </c>
      <c r="Y4" s="2">
        <f>('[1]Pc, Winter, S3'!Y4*Main!$B$5)+(_xlfn.IFNA(VLOOKUP($A4,'FL Ratio'!$A$3:$B$10,2,FALSE),0)*'FL Characterization'!Y$2)</f>
        <v>55.242316541929384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CA2B4-273F-469D-B869-125A49711BDE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Ratio'!$A$3:$B$10,2,FALSE),0)*'FL Characterization'!B$2)</f>
        <v>32.585955533182165</v>
      </c>
      <c r="C2" s="2">
        <f>('[1]Pc, Winter, S3'!C2*Main!$B$5)+(_xlfn.IFNA(VLOOKUP($A2,'FL Ratio'!$A$3:$B$10,2,FALSE),0)*'FL Characterization'!C$2)</f>
        <v>30.394494430969807</v>
      </c>
      <c r="D2" s="2">
        <f>('[1]Pc, Winter, S3'!D2*Main!$B$5)+(_xlfn.IFNA(VLOOKUP($A2,'FL Ratio'!$A$3:$B$10,2,FALSE),0)*'FL Characterization'!D$2)</f>
        <v>28.799717538095841</v>
      </c>
      <c r="E2" s="2">
        <f>('[1]Pc, Winter, S3'!E2*Main!$B$5)+(_xlfn.IFNA(VLOOKUP($A2,'FL Ratio'!$A$3:$B$10,2,FALSE),0)*'FL Characterization'!E$2)</f>
        <v>28.595943508901023</v>
      </c>
      <c r="F2" s="2">
        <f>('[1]Pc, Winter, S3'!F2*Main!$B$5)+(_xlfn.IFNA(VLOOKUP($A2,'FL Ratio'!$A$3:$B$10,2,FALSE),0)*'FL Characterization'!F$2)</f>
        <v>28.940875512720677</v>
      </c>
      <c r="G2" s="2">
        <f>('[1]Pc, Winter, S3'!G2*Main!$B$5)+(_xlfn.IFNA(VLOOKUP($A2,'FL Ratio'!$A$3:$B$10,2,FALSE),0)*'FL Characterization'!G$2)</f>
        <v>31.812270954245228</v>
      </c>
      <c r="H2" s="2">
        <f>('[1]Pc, Winter, S3'!H2*Main!$B$5)+(_xlfn.IFNA(VLOOKUP($A2,'FL Ratio'!$A$3:$B$10,2,FALSE),0)*'FL Characterization'!H$2)</f>
        <v>37.959791961393975</v>
      </c>
      <c r="I2" s="2">
        <f>('[1]Pc, Winter, S3'!I2*Main!$B$5)+(_xlfn.IFNA(VLOOKUP($A2,'FL Ratio'!$A$3:$B$10,2,FALSE),0)*'FL Characterization'!I$2)</f>
        <v>45.692016421022245</v>
      </c>
      <c r="J2" s="2">
        <f>('[1]Pc, Winter, S3'!J2*Main!$B$5)+(_xlfn.IFNA(VLOOKUP($A2,'FL Ratio'!$A$3:$B$10,2,FALSE),0)*'FL Characterization'!J$2)</f>
        <v>49.746189972148109</v>
      </c>
      <c r="K2" s="2">
        <f>('[1]Pc, Winter, S3'!K2*Main!$B$5)+(_xlfn.IFNA(VLOOKUP($A2,'FL Ratio'!$A$3:$B$10,2,FALSE),0)*'FL Characterization'!K$2)</f>
        <v>50.366516490235988</v>
      </c>
      <c r="L2" s="2">
        <f>('[1]Pc, Winter, S3'!L2*Main!$B$5)+(_xlfn.IFNA(VLOOKUP($A2,'FL Ratio'!$A$3:$B$10,2,FALSE),0)*'FL Characterization'!L$2)</f>
        <v>49.007292975818693</v>
      </c>
      <c r="M2" s="2">
        <f>('[1]Pc, Winter, S3'!M2*Main!$B$5)+(_xlfn.IFNA(VLOOKUP($A2,'FL Ratio'!$A$3:$B$10,2,FALSE),0)*'FL Characterization'!M$2)</f>
        <v>49.259883114119823</v>
      </c>
      <c r="N2" s="2">
        <f>('[1]Pc, Winter, S3'!N2*Main!$B$5)+(_xlfn.IFNA(VLOOKUP($A2,'FL Ratio'!$A$3:$B$10,2,FALSE),0)*'FL Characterization'!N$2)</f>
        <v>49.219402722360442</v>
      </c>
      <c r="O2" s="2">
        <f>('[1]Pc, Winter, S3'!O2*Main!$B$5)+(_xlfn.IFNA(VLOOKUP($A2,'FL Ratio'!$A$3:$B$10,2,FALSE),0)*'FL Characterization'!O$2)</f>
        <v>48.415676238392408</v>
      </c>
      <c r="P2" s="2">
        <f>('[1]Pc, Winter, S3'!P2*Main!$B$5)+(_xlfn.IFNA(VLOOKUP($A2,'FL Ratio'!$A$3:$B$10,2,FALSE),0)*'FL Characterization'!P$2)</f>
        <v>45.656488482635979</v>
      </c>
      <c r="Q2" s="2">
        <f>('[1]Pc, Winter, S3'!Q2*Main!$B$5)+(_xlfn.IFNA(VLOOKUP($A2,'FL Ratio'!$A$3:$B$10,2,FALSE),0)*'FL Characterization'!Q$2)</f>
        <v>44.348413219935026</v>
      </c>
      <c r="R2" s="2">
        <f>('[1]Pc, Winter, S3'!R2*Main!$B$5)+(_xlfn.IFNA(VLOOKUP($A2,'FL Ratio'!$A$3:$B$10,2,FALSE),0)*'FL Characterization'!R$2)</f>
        <v>46.186615881594776</v>
      </c>
      <c r="S2" s="2">
        <f>('[1]Pc, Winter, S3'!S2*Main!$B$5)+(_xlfn.IFNA(VLOOKUP($A2,'FL Ratio'!$A$3:$B$10,2,FALSE),0)*'FL Characterization'!S$2)</f>
        <v>51.198730931816932</v>
      </c>
      <c r="T2" s="2">
        <f>('[1]Pc, Winter, S3'!T2*Main!$B$5)+(_xlfn.IFNA(VLOOKUP($A2,'FL Ratio'!$A$3:$B$10,2,FALSE),0)*'FL Characterization'!T$2)</f>
        <v>51.013136341933162</v>
      </c>
      <c r="U2" s="2">
        <f>('[1]Pc, Winter, S3'!U2*Main!$B$5)+(_xlfn.IFNA(VLOOKUP($A2,'FL Ratio'!$A$3:$B$10,2,FALSE),0)*'FL Characterization'!U$2)</f>
        <v>49.95698098637466</v>
      </c>
      <c r="V2" s="2">
        <f>('[1]Pc, Winter, S3'!V2*Main!$B$5)+(_xlfn.IFNA(VLOOKUP($A2,'FL Ratio'!$A$3:$B$10,2,FALSE),0)*'FL Characterization'!V$2)</f>
        <v>49.097850192991729</v>
      </c>
      <c r="W2" s="2">
        <f>('[1]Pc, Winter, S3'!W2*Main!$B$5)+(_xlfn.IFNA(VLOOKUP($A2,'FL Ratio'!$A$3:$B$10,2,FALSE),0)*'FL Characterization'!W$2)</f>
        <v>46.01789153600928</v>
      </c>
      <c r="X2" s="2">
        <f>('[1]Pc, Winter, S3'!X2*Main!$B$5)+(_xlfn.IFNA(VLOOKUP($A2,'FL Ratio'!$A$3:$B$10,2,FALSE),0)*'FL Characterization'!X$2)</f>
        <v>40.257093124077713</v>
      </c>
      <c r="Y2" s="2">
        <f>('[1]Pc, Winter, S3'!Y2*Main!$B$5)+(_xlfn.IFNA(VLOOKUP($A2,'FL Ratio'!$A$3:$B$10,2,FALSE),0)*'FL Characterization'!Y$2)</f>
        <v>36.523402244065551</v>
      </c>
    </row>
    <row r="3" spans="1:25" x14ac:dyDescent="0.3">
      <c r="A3">
        <v>2</v>
      </c>
      <c r="B3" s="2">
        <f>('[1]Pc, Winter, S3'!B3*Main!$B$5)+(_xlfn.IFNA(VLOOKUP($A3,'FL Ratio'!$A$3:$B$10,2,FALSE),0)*'FL Characterization'!B$2)</f>
        <v>34.593072284211182</v>
      </c>
      <c r="C3" s="2">
        <f>('[1]Pc, Winter, S3'!C3*Main!$B$5)+(_xlfn.IFNA(VLOOKUP($A3,'FL Ratio'!$A$3:$B$10,2,FALSE),0)*'FL Characterization'!C$2)</f>
        <v>32.39275711238092</v>
      </c>
      <c r="D3" s="2">
        <f>('[1]Pc, Winter, S3'!D3*Main!$B$5)+(_xlfn.IFNA(VLOOKUP($A3,'FL Ratio'!$A$3:$B$10,2,FALSE),0)*'FL Characterization'!D$2)</f>
        <v>29.29058302483481</v>
      </c>
      <c r="E3" s="2">
        <f>('[1]Pc, Winter, S3'!E3*Main!$B$5)+(_xlfn.IFNA(VLOOKUP($A3,'FL Ratio'!$A$3:$B$10,2,FALSE),0)*'FL Characterization'!E$2)</f>
        <v>31.223252144966374</v>
      </c>
      <c r="F3" s="2">
        <f>('[1]Pc, Winter, S3'!F3*Main!$B$5)+(_xlfn.IFNA(VLOOKUP($A3,'FL Ratio'!$A$3:$B$10,2,FALSE),0)*'FL Characterization'!F$2)</f>
        <v>30.745446660947906</v>
      </c>
      <c r="G3" s="2">
        <f>('[1]Pc, Winter, S3'!G3*Main!$B$5)+(_xlfn.IFNA(VLOOKUP($A3,'FL Ratio'!$A$3:$B$10,2,FALSE),0)*'FL Characterization'!G$2)</f>
        <v>31.721567455869042</v>
      </c>
      <c r="H3" s="2">
        <f>('[1]Pc, Winter, S3'!H3*Main!$B$5)+(_xlfn.IFNA(VLOOKUP($A3,'FL Ratio'!$A$3:$B$10,2,FALSE),0)*'FL Characterization'!H$2)</f>
        <v>46.824656097377954</v>
      </c>
      <c r="I3" s="2">
        <f>('[1]Pc, Winter, S3'!I3*Main!$B$5)+(_xlfn.IFNA(VLOOKUP($A3,'FL Ratio'!$A$3:$B$10,2,FALSE),0)*'FL Characterization'!I$2)</f>
        <v>50.487101865087602</v>
      </c>
      <c r="J3" s="2">
        <f>('[1]Pc, Winter, S3'!J3*Main!$B$5)+(_xlfn.IFNA(VLOOKUP($A3,'FL Ratio'!$A$3:$B$10,2,FALSE),0)*'FL Characterization'!J$2)</f>
        <v>55.284866337407671</v>
      </c>
      <c r="K3" s="2">
        <f>('[1]Pc, Winter, S3'!K3*Main!$B$5)+(_xlfn.IFNA(VLOOKUP($A3,'FL Ratio'!$A$3:$B$10,2,FALSE),0)*'FL Characterization'!K$2)</f>
        <v>55.437683664606055</v>
      </c>
      <c r="L3" s="2">
        <f>('[1]Pc, Winter, S3'!L3*Main!$B$5)+(_xlfn.IFNA(VLOOKUP($A3,'FL Ratio'!$A$3:$B$10,2,FALSE),0)*'FL Characterization'!L$2)</f>
        <v>52.226670266281481</v>
      </c>
      <c r="M3" s="2">
        <f>('[1]Pc, Winter, S3'!M3*Main!$B$5)+(_xlfn.IFNA(VLOOKUP($A3,'FL Ratio'!$A$3:$B$10,2,FALSE),0)*'FL Characterization'!M$2)</f>
        <v>57.177524659273942</v>
      </c>
      <c r="N3" s="2">
        <f>('[1]Pc, Winter, S3'!N3*Main!$B$5)+(_xlfn.IFNA(VLOOKUP($A3,'FL Ratio'!$A$3:$B$10,2,FALSE),0)*'FL Characterization'!N$2)</f>
        <v>54.111836644984095</v>
      </c>
      <c r="O3" s="2">
        <f>('[1]Pc, Winter, S3'!O3*Main!$B$5)+(_xlfn.IFNA(VLOOKUP($A3,'FL Ratio'!$A$3:$B$10,2,FALSE),0)*'FL Characterization'!O$2)</f>
        <v>51.074641498314726</v>
      </c>
      <c r="P3" s="2">
        <f>('[1]Pc, Winter, S3'!P3*Main!$B$5)+(_xlfn.IFNA(VLOOKUP($A3,'FL Ratio'!$A$3:$B$10,2,FALSE),0)*'FL Characterization'!P$2)</f>
        <v>49.607107780497337</v>
      </c>
      <c r="Q3" s="2">
        <f>('[1]Pc, Winter, S3'!Q3*Main!$B$5)+(_xlfn.IFNA(VLOOKUP($A3,'FL Ratio'!$A$3:$B$10,2,FALSE),0)*'FL Characterization'!Q$2)</f>
        <v>46.397852243456803</v>
      </c>
      <c r="R3" s="2">
        <f>('[1]Pc, Winter, S3'!R3*Main!$B$5)+(_xlfn.IFNA(VLOOKUP($A3,'FL Ratio'!$A$3:$B$10,2,FALSE),0)*'FL Characterization'!R$2)</f>
        <v>46.034692325171108</v>
      </c>
      <c r="S3" s="2">
        <f>('[1]Pc, Winter, S3'!S3*Main!$B$5)+(_xlfn.IFNA(VLOOKUP($A3,'FL Ratio'!$A$3:$B$10,2,FALSE),0)*'FL Characterization'!S$2)</f>
        <v>49.225850708568828</v>
      </c>
      <c r="T3" s="2">
        <f>('[1]Pc, Winter, S3'!T3*Main!$B$5)+(_xlfn.IFNA(VLOOKUP($A3,'FL Ratio'!$A$3:$B$10,2,FALSE),0)*'FL Characterization'!T$2)</f>
        <v>48.804106282484575</v>
      </c>
      <c r="U3" s="2">
        <f>('[1]Pc, Winter, S3'!U3*Main!$B$5)+(_xlfn.IFNA(VLOOKUP($A3,'FL Ratio'!$A$3:$B$10,2,FALSE),0)*'FL Characterization'!U$2)</f>
        <v>49.352198493472905</v>
      </c>
      <c r="V3" s="2">
        <f>('[1]Pc, Winter, S3'!V3*Main!$B$5)+(_xlfn.IFNA(VLOOKUP($A3,'FL Ratio'!$A$3:$B$10,2,FALSE),0)*'FL Characterization'!V$2)</f>
        <v>48.249366968952707</v>
      </c>
      <c r="W3" s="2">
        <f>('[1]Pc, Winter, S3'!W3*Main!$B$5)+(_xlfn.IFNA(VLOOKUP($A3,'FL Ratio'!$A$3:$B$10,2,FALSE),0)*'FL Characterization'!W$2)</f>
        <v>43.417064280536486</v>
      </c>
      <c r="X3" s="2">
        <f>('[1]Pc, Winter, S3'!X3*Main!$B$5)+(_xlfn.IFNA(VLOOKUP($A3,'FL Ratio'!$A$3:$B$10,2,FALSE),0)*'FL Characterization'!X$2)</f>
        <v>38.190767550535014</v>
      </c>
      <c r="Y3" s="2">
        <f>('[1]Pc, Winter, S3'!Y3*Main!$B$5)+(_xlfn.IFNA(VLOOKUP($A3,'FL Ratio'!$A$3:$B$10,2,FALSE),0)*'FL Characterization'!Y$2)</f>
        <v>37.385483775239535</v>
      </c>
    </row>
    <row r="4" spans="1:25" x14ac:dyDescent="0.3">
      <c r="A4">
        <v>3</v>
      </c>
      <c r="B4" s="2">
        <f>('[1]Pc, Winter, S3'!B4*Main!$B$5)+(_xlfn.IFNA(VLOOKUP($A4,'FL Ratio'!$A$3:$B$10,2,FALSE),0)*'FL Characterization'!B$2)</f>
        <v>49.205432120824973</v>
      </c>
      <c r="C4" s="2">
        <f>('[1]Pc, Winter, S3'!C4*Main!$B$5)+(_xlfn.IFNA(VLOOKUP($A4,'FL Ratio'!$A$3:$B$10,2,FALSE),0)*'FL Characterization'!C$2)</f>
        <v>43.658435631209763</v>
      </c>
      <c r="D4" s="2">
        <f>('[1]Pc, Winter, S3'!D4*Main!$B$5)+(_xlfn.IFNA(VLOOKUP($A4,'FL Ratio'!$A$3:$B$10,2,FALSE),0)*'FL Characterization'!D$2)</f>
        <v>40.989547303542516</v>
      </c>
      <c r="E4" s="2">
        <f>('[1]Pc, Winter, S3'!E4*Main!$B$5)+(_xlfn.IFNA(VLOOKUP($A4,'FL Ratio'!$A$3:$B$10,2,FALSE),0)*'FL Characterization'!E$2)</f>
        <v>40.414345889224251</v>
      </c>
      <c r="F4" s="2">
        <f>('[1]Pc, Winter, S3'!F4*Main!$B$5)+(_xlfn.IFNA(VLOOKUP($A4,'FL Ratio'!$A$3:$B$10,2,FALSE),0)*'FL Characterization'!F$2)</f>
        <v>41.828444398182803</v>
      </c>
      <c r="G4" s="2">
        <f>('[1]Pc, Winter, S3'!G4*Main!$B$5)+(_xlfn.IFNA(VLOOKUP($A4,'FL Ratio'!$A$3:$B$10,2,FALSE),0)*'FL Characterization'!G$2)</f>
        <v>44.768402098458679</v>
      </c>
      <c r="H4" s="2">
        <f>('[1]Pc, Winter, S3'!H4*Main!$B$5)+(_xlfn.IFNA(VLOOKUP($A4,'FL Ratio'!$A$3:$B$10,2,FALSE),0)*'FL Characterization'!H$2)</f>
        <v>54.044423073506778</v>
      </c>
      <c r="I4" s="2">
        <f>('[1]Pc, Winter, S3'!I4*Main!$B$5)+(_xlfn.IFNA(VLOOKUP($A4,'FL Ratio'!$A$3:$B$10,2,FALSE),0)*'FL Characterization'!I$2)</f>
        <v>58.746633001294995</v>
      </c>
      <c r="J4" s="2">
        <f>('[1]Pc, Winter, S3'!J4*Main!$B$5)+(_xlfn.IFNA(VLOOKUP($A4,'FL Ratio'!$A$3:$B$10,2,FALSE),0)*'FL Characterization'!J$2)</f>
        <v>62.122935402189299</v>
      </c>
      <c r="K4" s="2">
        <f>('[1]Pc, Winter, S3'!K4*Main!$B$5)+(_xlfn.IFNA(VLOOKUP($A4,'FL Ratio'!$A$3:$B$10,2,FALSE),0)*'FL Characterization'!K$2)</f>
        <v>64.350890543645491</v>
      </c>
      <c r="L4" s="2">
        <f>('[1]Pc, Winter, S3'!L4*Main!$B$5)+(_xlfn.IFNA(VLOOKUP($A4,'FL Ratio'!$A$3:$B$10,2,FALSE),0)*'FL Characterization'!L$2)</f>
        <v>64.774050086321708</v>
      </c>
      <c r="M4" s="2">
        <f>('[1]Pc, Winter, S3'!M4*Main!$B$5)+(_xlfn.IFNA(VLOOKUP($A4,'FL Ratio'!$A$3:$B$10,2,FALSE),0)*'FL Characterization'!M$2)</f>
        <v>64.158786701369948</v>
      </c>
      <c r="N4" s="2">
        <f>('[1]Pc, Winter, S3'!N4*Main!$B$5)+(_xlfn.IFNA(VLOOKUP($A4,'FL Ratio'!$A$3:$B$10,2,FALSE),0)*'FL Characterization'!N$2)</f>
        <v>63.968440011588605</v>
      </c>
      <c r="O4" s="2">
        <f>('[1]Pc, Winter, S3'!O4*Main!$B$5)+(_xlfn.IFNA(VLOOKUP($A4,'FL Ratio'!$A$3:$B$10,2,FALSE),0)*'FL Characterization'!O$2)</f>
        <v>63.048114851645543</v>
      </c>
      <c r="P4" s="2">
        <f>('[1]Pc, Winter, S3'!P4*Main!$B$5)+(_xlfn.IFNA(VLOOKUP($A4,'FL Ratio'!$A$3:$B$10,2,FALSE),0)*'FL Characterization'!P$2)</f>
        <v>61.125250251504951</v>
      </c>
      <c r="Q4" s="2">
        <f>('[1]Pc, Winter, S3'!Q4*Main!$B$5)+(_xlfn.IFNA(VLOOKUP($A4,'FL Ratio'!$A$3:$B$10,2,FALSE),0)*'FL Characterization'!Q$2)</f>
        <v>60.019861808517405</v>
      </c>
      <c r="R4" s="2">
        <f>('[1]Pc, Winter, S3'!R4*Main!$B$5)+(_xlfn.IFNA(VLOOKUP($A4,'FL Ratio'!$A$3:$B$10,2,FALSE),0)*'FL Characterization'!R$2)</f>
        <v>61.738442329495719</v>
      </c>
      <c r="S4" s="2">
        <f>('[1]Pc, Winter, S3'!S4*Main!$B$5)+(_xlfn.IFNA(VLOOKUP($A4,'FL Ratio'!$A$3:$B$10,2,FALSE),0)*'FL Characterization'!S$2)</f>
        <v>70.350093858721067</v>
      </c>
      <c r="T4" s="2">
        <f>('[1]Pc, Winter, S3'!T4*Main!$B$5)+(_xlfn.IFNA(VLOOKUP($A4,'FL Ratio'!$A$3:$B$10,2,FALSE),0)*'FL Characterization'!T$2)</f>
        <v>71.288532414202223</v>
      </c>
      <c r="U4" s="2">
        <f>('[1]Pc, Winter, S3'!U4*Main!$B$5)+(_xlfn.IFNA(VLOOKUP($A4,'FL Ratio'!$A$3:$B$10,2,FALSE),0)*'FL Characterization'!U$2)</f>
        <v>71.530513623230064</v>
      </c>
      <c r="V4" s="2">
        <f>('[1]Pc, Winter, S3'!V4*Main!$B$5)+(_xlfn.IFNA(VLOOKUP($A4,'FL Ratio'!$A$3:$B$10,2,FALSE),0)*'FL Characterization'!V$2)</f>
        <v>69.634342683995584</v>
      </c>
      <c r="W4" s="2">
        <f>('[1]Pc, Winter, S3'!W4*Main!$B$5)+(_xlfn.IFNA(VLOOKUP($A4,'FL Ratio'!$A$3:$B$10,2,FALSE),0)*'FL Characterization'!W$2)</f>
        <v>66.236197611800264</v>
      </c>
      <c r="X4" s="2">
        <f>('[1]Pc, Winter, S3'!X4*Main!$B$5)+(_xlfn.IFNA(VLOOKUP($A4,'FL Ratio'!$A$3:$B$10,2,FALSE),0)*'FL Characterization'!X$2)</f>
        <v>61.841467225745816</v>
      </c>
      <c r="Y4" s="2">
        <f>('[1]Pc, Winter, S3'!Y4*Main!$B$5)+(_xlfn.IFNA(VLOOKUP($A4,'FL Ratio'!$A$3:$B$10,2,FALSE),0)*'FL Characterization'!Y$2)</f>
        <v>55.242316541929384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9B8D7-0E6A-4716-B188-A5931C3A054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-14.477033860808703</v>
      </c>
      <c r="C2" s="2">
        <f>('[1]Qc, Winter, S1'!C2*Main!$B$5)</f>
        <v>-15.734547770152561</v>
      </c>
      <c r="D2" s="2">
        <f>('[1]Qc, Winter, S1'!D2*Main!$B$5)</f>
        <v>-16.948280785198911</v>
      </c>
      <c r="E2" s="2">
        <f>('[1]Qc, Winter, S1'!E2*Main!$B$5)</f>
        <v>-16.824901645799638</v>
      </c>
      <c r="F2" s="2">
        <f>('[1]Qc, Winter, S1'!F2*Main!$B$5)</f>
        <v>-17.414534330549976</v>
      </c>
      <c r="G2" s="2">
        <f>('[1]Qc, Winter, S1'!G2*Main!$B$5)</f>
        <v>-15.502213663070446</v>
      </c>
      <c r="H2" s="2">
        <f>('[1]Qc, Winter, S1'!H2*Main!$B$5)</f>
        <v>-11.54427492770666</v>
      </c>
      <c r="I2" s="2">
        <f>('[1]Qc, Winter, S1'!I2*Main!$B$5)</f>
        <v>-4.7518532629413137</v>
      </c>
      <c r="J2" s="2">
        <f>('[1]Qc, Winter, S1'!J2*Main!$B$5)</f>
        <v>-1.3993934572945517</v>
      </c>
      <c r="K2" s="2">
        <f>('[1]Qc, Winter, S1'!K2*Main!$B$5)</f>
        <v>-0.21891181981449123</v>
      </c>
      <c r="L2" s="2">
        <f>('[1]Qc, Winter, S1'!L2*Main!$B$5)</f>
        <v>-1.9652655196251032</v>
      </c>
      <c r="M2" s="2">
        <f>('[1]Qc, Winter, S1'!M2*Main!$B$5)</f>
        <v>-1.4448250464078447</v>
      </c>
      <c r="N2" s="2">
        <f>('[1]Qc, Winter, S1'!N2*Main!$B$5)</f>
        <v>-1.999834509543976</v>
      </c>
      <c r="O2" s="2">
        <f>('[1]Qc, Winter, S1'!O2*Main!$B$5)</f>
        <v>-2.0173703798246403</v>
      </c>
      <c r="P2" s="2">
        <f>('[1]Qc, Winter, S1'!P2*Main!$B$5)</f>
        <v>-5.0999692982692952</v>
      </c>
      <c r="Q2" s="2">
        <f>('[1]Qc, Winter, S1'!Q2*Main!$B$5)</f>
        <v>-7.3447587342119682</v>
      </c>
      <c r="R2" s="2">
        <f>('[1]Qc, Winter, S1'!R2*Main!$B$5)</f>
        <v>-6.5318214727482991</v>
      </c>
      <c r="S2" s="2">
        <f>('[1]Qc, Winter, S1'!S2*Main!$B$5)</f>
        <v>-2.2296553428791075</v>
      </c>
      <c r="T2" s="2">
        <f>('[1]Qc, Winter, S1'!T2*Main!$B$5)</f>
        <v>-3.2433490117395811</v>
      </c>
      <c r="U2" s="2">
        <f>('[1]Qc, Winter, S1'!U2*Main!$B$5)</f>
        <v>-4.0770447131885046</v>
      </c>
      <c r="V2" s="2">
        <f>('[1]Qc, Winter, S1'!V2*Main!$B$5)</f>
        <v>-6.4043147416105342</v>
      </c>
      <c r="W2" s="2">
        <f>('[1]Qc, Winter, S1'!W2*Main!$B$5)</f>
        <v>-8.3132164462270151</v>
      </c>
      <c r="X2" s="2">
        <f>('[1]Qc, Winter, S1'!X2*Main!$B$5)</f>
        <v>-11.153310547677515</v>
      </c>
      <c r="Y2" s="2">
        <f>('[1]Qc, Winter, S1'!Y2*Main!$B$5)</f>
        <v>-12.553999801653241</v>
      </c>
    </row>
    <row r="3" spans="1:25" x14ac:dyDescent="0.3">
      <c r="A3">
        <v>2</v>
      </c>
      <c r="B3" s="2">
        <f>('[1]Qc, Winter, S1'!B3*Main!$B$5)</f>
        <v>16.401642193236285</v>
      </c>
      <c r="C3" s="2">
        <f>('[1]Qc, Winter, S1'!C3*Main!$B$5)</f>
        <v>20.316956718974971</v>
      </c>
      <c r="D3" s="2">
        <f>('[1]Qc, Winter, S1'!D3*Main!$B$5)</f>
        <v>20.316956718974971</v>
      </c>
      <c r="E3" s="2">
        <f>('[1]Qc, Winter, S1'!E3*Main!$B$5)</f>
        <v>20.316956718974971</v>
      </c>
      <c r="F3" s="2">
        <f>('[1]Qc, Winter, S1'!F3*Main!$B$5)</f>
        <v>20.316956718974971</v>
      </c>
      <c r="G3" s="2">
        <f>('[1]Qc, Winter, S1'!G3*Main!$B$5)</f>
        <v>16.461879989124181</v>
      </c>
      <c r="H3" s="2">
        <f>('[1]Qc, Winter, S1'!H3*Main!$B$5)</f>
        <v>7.4667009867209932</v>
      </c>
      <c r="I3" s="2">
        <f>('[1]Qc, Winter, S1'!I3*Main!$B$5)</f>
        <v>0.96126036100436918</v>
      </c>
      <c r="J3" s="2">
        <f>('[1]Qc, Winter, S1'!J3*Main!$B$5)</f>
        <v>-5.6244887227076577</v>
      </c>
      <c r="K3" s="2">
        <f>('[1]Qc, Winter, S1'!K3*Main!$B$5)</f>
        <v>-5.6244887227076577</v>
      </c>
      <c r="L3" s="2">
        <f>('[1]Qc, Winter, S1'!L3*Main!$B$5)</f>
        <v>-0.48438641623993328</v>
      </c>
      <c r="M3" s="2">
        <f>('[1]Qc, Winter, S1'!M3*Main!$B$5)</f>
        <v>-5.8654399062592377</v>
      </c>
      <c r="N3" s="2">
        <f>('[1]Qc, Winter, S1'!N3*Main!$B$5)</f>
        <v>-5.8654399062592377</v>
      </c>
      <c r="O3" s="2">
        <f>('[1]Qc, Winter, S1'!O3*Main!$B$5)</f>
        <v>-4.5402557990503771</v>
      </c>
      <c r="P3" s="2">
        <f>('[1]Qc, Winter, S1'!P3*Main!$B$5)</f>
        <v>-0.56470347742379345</v>
      </c>
      <c r="Q3" s="2">
        <f>('[1]Qc, Winter, S1'!Q3*Main!$B$5)</f>
        <v>3.4108359224624407</v>
      </c>
      <c r="R3" s="2">
        <f>('[1]Qc, Winter, S1'!R3*Main!$B$5)</f>
        <v>4.7360157224245194</v>
      </c>
      <c r="S3" s="2">
        <f>('[1]Qc, Winter, S1'!S3*Main!$B$5)</f>
        <v>4.7360157224245194</v>
      </c>
      <c r="T3" s="2">
        <f>('[1]Qc, Winter, S1'!T3*Main!$B$5)</f>
        <v>4.7360157224245194</v>
      </c>
      <c r="U3" s="2">
        <f>('[1]Qc, Winter, S1'!U3*Main!$B$5)</f>
        <v>4.7360157224245194</v>
      </c>
      <c r="V3" s="2">
        <f>('[1]Qc, Winter, S1'!V3*Main!$B$5)</f>
        <v>4.7360157224245194</v>
      </c>
      <c r="W3" s="2">
        <f>('[1]Qc, Winter, S1'!W3*Main!$B$5)</f>
        <v>9.876117983671806</v>
      </c>
      <c r="X3" s="2">
        <f>('[1]Qc, Winter, S1'!X3*Main!$B$5)</f>
        <v>15.09653735132339</v>
      </c>
      <c r="Y3" s="2">
        <f>('[1]Qc, Winter, S1'!Y3*Main!$B$5)</f>
        <v>15.09653735132339</v>
      </c>
    </row>
    <row r="4" spans="1:25" x14ac:dyDescent="0.3">
      <c r="A4">
        <v>3</v>
      </c>
      <c r="B4" s="2">
        <f>('[1]Qc, Winter, S1'!B4*Main!$B$5)</f>
        <v>11.129310021093131</v>
      </c>
      <c r="C4" s="2">
        <f>('[1]Qc, Winter, S1'!C4*Main!$B$5)</f>
        <v>8.5848440270428537</v>
      </c>
      <c r="D4" s="2">
        <f>('[1]Qc, Winter, S1'!D4*Main!$B$5)</f>
        <v>7.3490658231038264</v>
      </c>
      <c r="E4" s="2">
        <f>('[1]Qc, Winter, S1'!E4*Main!$B$5)</f>
        <v>7.1915493052546013</v>
      </c>
      <c r="F4" s="2">
        <f>('[1]Qc, Winter, S1'!F4*Main!$B$5)</f>
        <v>8.173632817999211</v>
      </c>
      <c r="G4" s="2">
        <f>('[1]Qc, Winter, S1'!G4*Main!$B$5)</f>
        <v>10.148691417904677</v>
      </c>
      <c r="H4" s="2">
        <f>('[1]Qc, Winter, S1'!H4*Main!$B$5)</f>
        <v>15.74577791495339</v>
      </c>
      <c r="I4" s="2">
        <f>('[1]Qc, Winter, S1'!I4*Main!$B$5)</f>
        <v>19.222581992613058</v>
      </c>
      <c r="J4" s="2">
        <f>('[1]Qc, Winter, S1'!J4*Main!$B$5)</f>
        <v>22.208970760659469</v>
      </c>
      <c r="K4" s="2">
        <f>('[1]Qc, Winter, S1'!K4*Main!$B$5)</f>
        <v>24.45616353770933</v>
      </c>
      <c r="L4" s="2">
        <f>('[1]Qc, Winter, S1'!L4*Main!$B$5)</f>
        <v>24.662554804821095</v>
      </c>
      <c r="M4" s="2">
        <f>('[1]Qc, Winter, S1'!M4*Main!$B$5)</f>
        <v>24.220335233009106</v>
      </c>
      <c r="N4" s="2">
        <f>('[1]Qc, Winter, S1'!N4*Main!$B$5)</f>
        <v>24.323488385097267</v>
      </c>
      <c r="O4" s="2">
        <f>('[1]Qc, Winter, S1'!O4*Main!$B$5)</f>
        <v>24.075281172731362</v>
      </c>
      <c r="P4" s="2">
        <f>('[1]Qc, Winter, S1'!P4*Main!$B$5)</f>
        <v>21.718682601973974</v>
      </c>
      <c r="Q4" s="2">
        <f>('[1]Qc, Winter, S1'!Q4*Main!$B$5)</f>
        <v>20.634698711095233</v>
      </c>
      <c r="R4" s="2">
        <f>('[1]Qc, Winter, S1'!R4*Main!$B$5)</f>
        <v>21.295071851408903</v>
      </c>
      <c r="S4" s="2">
        <f>('[1]Qc, Winter, S1'!S4*Main!$B$5)</f>
        <v>29.02422388424996</v>
      </c>
      <c r="T4" s="2">
        <f>('[1]Qc, Winter, S1'!T4*Main!$B$5)</f>
        <v>28.982089514580316</v>
      </c>
      <c r="U4" s="2">
        <f>('[1]Qc, Winter, S1'!U4*Main!$B$5)</f>
        <v>28.097692457500376</v>
      </c>
      <c r="V4" s="2">
        <f>('[1]Qc, Winter, S1'!V4*Main!$B$5)</f>
        <v>26.007378280638633</v>
      </c>
      <c r="W4" s="2">
        <f>('[1]Qc, Winter, S1'!W4*Main!$B$5)</f>
        <v>23.12922787933536</v>
      </c>
      <c r="X4" s="2">
        <f>('[1]Qc, Winter, S1'!X4*Main!$B$5)</f>
        <v>18.864735767810796</v>
      </c>
      <c r="Y4" s="2">
        <f>('[1]Qc, Winter, S1'!Y4*Main!$B$5)</f>
        <v>14.472886545757458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6B6BD-F78C-490A-A280-D296BC698427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-14.477033860808703</v>
      </c>
      <c r="C2" s="2">
        <f>('[1]Qc, Winter, S1'!C2*Main!$B$5)</f>
        <v>-15.734547770152561</v>
      </c>
      <c r="D2" s="2">
        <f>('[1]Qc, Winter, S1'!D2*Main!$B$5)</f>
        <v>-16.948280785198911</v>
      </c>
      <c r="E2" s="2">
        <f>('[1]Qc, Winter, S1'!E2*Main!$B$5)</f>
        <v>-16.824901645799638</v>
      </c>
      <c r="F2" s="2">
        <f>('[1]Qc, Winter, S1'!F2*Main!$B$5)</f>
        <v>-17.414534330549976</v>
      </c>
      <c r="G2" s="2">
        <f>('[1]Qc, Winter, S1'!G2*Main!$B$5)</f>
        <v>-15.502213663070446</v>
      </c>
      <c r="H2" s="2">
        <f>('[1]Qc, Winter, S1'!H2*Main!$B$5)</f>
        <v>-11.54427492770666</v>
      </c>
      <c r="I2" s="2">
        <f>('[1]Qc, Winter, S1'!I2*Main!$B$5)</f>
        <v>-4.7518532629413137</v>
      </c>
      <c r="J2" s="2">
        <f>('[1]Qc, Winter, S1'!J2*Main!$B$5)</f>
        <v>-1.3993934572945517</v>
      </c>
      <c r="K2" s="2">
        <f>('[1]Qc, Winter, S1'!K2*Main!$B$5)</f>
        <v>-0.21891181981449123</v>
      </c>
      <c r="L2" s="2">
        <f>('[1]Qc, Winter, S1'!L2*Main!$B$5)</f>
        <v>-1.9652655196251032</v>
      </c>
      <c r="M2" s="2">
        <f>('[1]Qc, Winter, S1'!M2*Main!$B$5)</f>
        <v>-1.4448250464078447</v>
      </c>
      <c r="N2" s="2">
        <f>('[1]Qc, Winter, S1'!N2*Main!$B$5)</f>
        <v>-1.999834509543976</v>
      </c>
      <c r="O2" s="2">
        <f>('[1]Qc, Winter, S1'!O2*Main!$B$5)</f>
        <v>-2.0173703798246403</v>
      </c>
      <c r="P2" s="2">
        <f>('[1]Qc, Winter, S1'!P2*Main!$B$5)</f>
        <v>-5.0999692982692952</v>
      </c>
      <c r="Q2" s="2">
        <f>('[1]Qc, Winter, S1'!Q2*Main!$B$5)</f>
        <v>-7.3447587342119682</v>
      </c>
      <c r="R2" s="2">
        <f>('[1]Qc, Winter, S1'!R2*Main!$B$5)</f>
        <v>-6.5318214727482991</v>
      </c>
      <c r="S2" s="2">
        <f>('[1]Qc, Winter, S1'!S2*Main!$B$5)</f>
        <v>-2.2296553428791075</v>
      </c>
      <c r="T2" s="2">
        <f>('[1]Qc, Winter, S1'!T2*Main!$B$5)</f>
        <v>-3.2433490117395811</v>
      </c>
      <c r="U2" s="2">
        <f>('[1]Qc, Winter, S1'!U2*Main!$B$5)</f>
        <v>-4.0770447131885046</v>
      </c>
      <c r="V2" s="2">
        <f>('[1]Qc, Winter, S1'!V2*Main!$B$5)</f>
        <v>-6.4043147416105342</v>
      </c>
      <c r="W2" s="2">
        <f>('[1]Qc, Winter, S1'!W2*Main!$B$5)</f>
        <v>-8.3132164462270151</v>
      </c>
      <c r="X2" s="2">
        <f>('[1]Qc, Winter, S1'!X2*Main!$B$5)</f>
        <v>-11.153310547677515</v>
      </c>
      <c r="Y2" s="2">
        <f>('[1]Qc, Winter, S1'!Y2*Main!$B$5)</f>
        <v>-12.553999801653241</v>
      </c>
    </row>
    <row r="3" spans="1:25" x14ac:dyDescent="0.3">
      <c r="A3">
        <v>2</v>
      </c>
      <c r="B3" s="2">
        <f>('[1]Qc, Winter, S1'!B3*Main!$B$5)</f>
        <v>16.401642193236285</v>
      </c>
      <c r="C3" s="2">
        <f>('[1]Qc, Winter, S1'!C3*Main!$B$5)</f>
        <v>20.316956718974971</v>
      </c>
      <c r="D3" s="2">
        <f>('[1]Qc, Winter, S1'!D3*Main!$B$5)</f>
        <v>20.316956718974971</v>
      </c>
      <c r="E3" s="2">
        <f>('[1]Qc, Winter, S1'!E3*Main!$B$5)</f>
        <v>20.316956718974971</v>
      </c>
      <c r="F3" s="2">
        <f>('[1]Qc, Winter, S1'!F3*Main!$B$5)</f>
        <v>20.316956718974971</v>
      </c>
      <c r="G3" s="2">
        <f>('[1]Qc, Winter, S1'!G3*Main!$B$5)</f>
        <v>16.461879989124181</v>
      </c>
      <c r="H3" s="2">
        <f>('[1]Qc, Winter, S1'!H3*Main!$B$5)</f>
        <v>7.4667009867209932</v>
      </c>
      <c r="I3" s="2">
        <f>('[1]Qc, Winter, S1'!I3*Main!$B$5)</f>
        <v>0.96126036100436918</v>
      </c>
      <c r="J3" s="2">
        <f>('[1]Qc, Winter, S1'!J3*Main!$B$5)</f>
        <v>-5.6244887227076577</v>
      </c>
      <c r="K3" s="2">
        <f>('[1]Qc, Winter, S1'!K3*Main!$B$5)</f>
        <v>-5.6244887227076577</v>
      </c>
      <c r="L3" s="2">
        <f>('[1]Qc, Winter, S1'!L3*Main!$B$5)</f>
        <v>-0.48438641623993328</v>
      </c>
      <c r="M3" s="2">
        <f>('[1]Qc, Winter, S1'!M3*Main!$B$5)</f>
        <v>-5.8654399062592377</v>
      </c>
      <c r="N3" s="2">
        <f>('[1]Qc, Winter, S1'!N3*Main!$B$5)</f>
        <v>-5.8654399062592377</v>
      </c>
      <c r="O3" s="2">
        <f>('[1]Qc, Winter, S1'!O3*Main!$B$5)</f>
        <v>-4.5402557990503771</v>
      </c>
      <c r="P3" s="2">
        <f>('[1]Qc, Winter, S1'!P3*Main!$B$5)</f>
        <v>-0.56470347742379345</v>
      </c>
      <c r="Q3" s="2">
        <f>('[1]Qc, Winter, S1'!Q3*Main!$B$5)</f>
        <v>3.4108359224624407</v>
      </c>
      <c r="R3" s="2">
        <f>('[1]Qc, Winter, S1'!R3*Main!$B$5)</f>
        <v>4.7360157224245194</v>
      </c>
      <c r="S3" s="2">
        <f>('[1]Qc, Winter, S1'!S3*Main!$B$5)</f>
        <v>4.7360157224245194</v>
      </c>
      <c r="T3" s="2">
        <f>('[1]Qc, Winter, S1'!T3*Main!$B$5)</f>
        <v>4.7360157224245194</v>
      </c>
      <c r="U3" s="2">
        <f>('[1]Qc, Winter, S1'!U3*Main!$B$5)</f>
        <v>4.7360157224245194</v>
      </c>
      <c r="V3" s="2">
        <f>('[1]Qc, Winter, S1'!V3*Main!$B$5)</f>
        <v>4.7360157224245194</v>
      </c>
      <c r="W3" s="2">
        <f>('[1]Qc, Winter, S1'!W3*Main!$B$5)</f>
        <v>9.876117983671806</v>
      </c>
      <c r="X3" s="2">
        <f>('[1]Qc, Winter, S1'!X3*Main!$B$5)</f>
        <v>15.09653735132339</v>
      </c>
      <c r="Y3" s="2">
        <f>('[1]Qc, Winter, S1'!Y3*Main!$B$5)</f>
        <v>15.09653735132339</v>
      </c>
    </row>
    <row r="4" spans="1:25" x14ac:dyDescent="0.3">
      <c r="A4">
        <v>3</v>
      </c>
      <c r="B4" s="2">
        <f>('[1]Qc, Winter, S1'!B4*Main!$B$5)</f>
        <v>11.129310021093131</v>
      </c>
      <c r="C4" s="2">
        <f>('[1]Qc, Winter, S1'!C4*Main!$B$5)</f>
        <v>8.5848440270428537</v>
      </c>
      <c r="D4" s="2">
        <f>('[1]Qc, Winter, S1'!D4*Main!$B$5)</f>
        <v>7.3490658231038264</v>
      </c>
      <c r="E4" s="2">
        <f>('[1]Qc, Winter, S1'!E4*Main!$B$5)</f>
        <v>7.1915493052546013</v>
      </c>
      <c r="F4" s="2">
        <f>('[1]Qc, Winter, S1'!F4*Main!$B$5)</f>
        <v>8.173632817999211</v>
      </c>
      <c r="G4" s="2">
        <f>('[1]Qc, Winter, S1'!G4*Main!$B$5)</f>
        <v>10.148691417904677</v>
      </c>
      <c r="H4" s="2">
        <f>('[1]Qc, Winter, S1'!H4*Main!$B$5)</f>
        <v>15.74577791495339</v>
      </c>
      <c r="I4" s="2">
        <f>('[1]Qc, Winter, S1'!I4*Main!$B$5)</f>
        <v>19.222581992613058</v>
      </c>
      <c r="J4" s="2">
        <f>('[1]Qc, Winter, S1'!J4*Main!$B$5)</f>
        <v>22.208970760659469</v>
      </c>
      <c r="K4" s="2">
        <f>('[1]Qc, Winter, S1'!K4*Main!$B$5)</f>
        <v>24.45616353770933</v>
      </c>
      <c r="L4" s="2">
        <f>('[1]Qc, Winter, S1'!L4*Main!$B$5)</f>
        <v>24.662554804821095</v>
      </c>
      <c r="M4" s="2">
        <f>('[1]Qc, Winter, S1'!M4*Main!$B$5)</f>
        <v>24.220335233009106</v>
      </c>
      <c r="N4" s="2">
        <f>('[1]Qc, Winter, S1'!N4*Main!$B$5)</f>
        <v>24.323488385097267</v>
      </c>
      <c r="O4" s="2">
        <f>('[1]Qc, Winter, S1'!O4*Main!$B$5)</f>
        <v>24.075281172731362</v>
      </c>
      <c r="P4" s="2">
        <f>('[1]Qc, Winter, S1'!P4*Main!$B$5)</f>
        <v>21.718682601973974</v>
      </c>
      <c r="Q4" s="2">
        <f>('[1]Qc, Winter, S1'!Q4*Main!$B$5)</f>
        <v>20.634698711095233</v>
      </c>
      <c r="R4" s="2">
        <f>('[1]Qc, Winter, S1'!R4*Main!$B$5)</f>
        <v>21.295071851408903</v>
      </c>
      <c r="S4" s="2">
        <f>('[1]Qc, Winter, S1'!S4*Main!$B$5)</f>
        <v>29.02422388424996</v>
      </c>
      <c r="T4" s="2">
        <f>('[1]Qc, Winter, S1'!T4*Main!$B$5)</f>
        <v>28.982089514580316</v>
      </c>
      <c r="U4" s="2">
        <f>('[1]Qc, Winter, S1'!U4*Main!$B$5)</f>
        <v>28.097692457500376</v>
      </c>
      <c r="V4" s="2">
        <f>('[1]Qc, Winter, S1'!V4*Main!$B$5)</f>
        <v>26.007378280638633</v>
      </c>
      <c r="W4" s="2">
        <f>('[1]Qc, Winter, S1'!W4*Main!$B$5)</f>
        <v>23.12922787933536</v>
      </c>
      <c r="X4" s="2">
        <f>('[1]Qc, Winter, S1'!X4*Main!$B$5)</f>
        <v>18.864735767810796</v>
      </c>
      <c r="Y4" s="2">
        <f>('[1]Qc, Winter, S1'!Y4*Main!$B$5)</f>
        <v>14.472886545757458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348F3-EBC0-4175-A379-0A9197F6CD3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-14.477033860808703</v>
      </c>
      <c r="C2" s="2">
        <f>('[1]Qc, Winter, S1'!C2*Main!$B$5)</f>
        <v>-15.734547770152561</v>
      </c>
      <c r="D2" s="2">
        <f>('[1]Qc, Winter, S1'!D2*Main!$B$5)</f>
        <v>-16.948280785198911</v>
      </c>
      <c r="E2" s="2">
        <f>('[1]Qc, Winter, S1'!E2*Main!$B$5)</f>
        <v>-16.824901645799638</v>
      </c>
      <c r="F2" s="2">
        <f>('[1]Qc, Winter, S1'!F2*Main!$B$5)</f>
        <v>-17.414534330549976</v>
      </c>
      <c r="G2" s="2">
        <f>('[1]Qc, Winter, S1'!G2*Main!$B$5)</f>
        <v>-15.502213663070446</v>
      </c>
      <c r="H2" s="2">
        <f>('[1]Qc, Winter, S1'!H2*Main!$B$5)</f>
        <v>-11.54427492770666</v>
      </c>
      <c r="I2" s="2">
        <f>('[1]Qc, Winter, S1'!I2*Main!$B$5)</f>
        <v>-4.7518532629413137</v>
      </c>
      <c r="J2" s="2">
        <f>('[1]Qc, Winter, S1'!J2*Main!$B$5)</f>
        <v>-1.3993934572945517</v>
      </c>
      <c r="K2" s="2">
        <f>('[1]Qc, Winter, S1'!K2*Main!$B$5)</f>
        <v>-0.21891181981449123</v>
      </c>
      <c r="L2" s="2">
        <f>('[1]Qc, Winter, S1'!L2*Main!$B$5)</f>
        <v>-1.9652655196251032</v>
      </c>
      <c r="M2" s="2">
        <f>('[1]Qc, Winter, S1'!M2*Main!$B$5)</f>
        <v>-1.4448250464078447</v>
      </c>
      <c r="N2" s="2">
        <f>('[1]Qc, Winter, S1'!N2*Main!$B$5)</f>
        <v>-1.999834509543976</v>
      </c>
      <c r="O2" s="2">
        <f>('[1]Qc, Winter, S1'!O2*Main!$B$5)</f>
        <v>-2.0173703798246403</v>
      </c>
      <c r="P2" s="2">
        <f>('[1]Qc, Winter, S1'!P2*Main!$B$5)</f>
        <v>-5.0999692982692952</v>
      </c>
      <c r="Q2" s="2">
        <f>('[1]Qc, Winter, S1'!Q2*Main!$B$5)</f>
        <v>-7.3447587342119682</v>
      </c>
      <c r="R2" s="2">
        <f>('[1]Qc, Winter, S1'!R2*Main!$B$5)</f>
        <v>-6.5318214727482991</v>
      </c>
      <c r="S2" s="2">
        <f>('[1]Qc, Winter, S1'!S2*Main!$B$5)</f>
        <v>-2.2296553428791075</v>
      </c>
      <c r="T2" s="2">
        <f>('[1]Qc, Winter, S1'!T2*Main!$B$5)</f>
        <v>-3.2433490117395811</v>
      </c>
      <c r="U2" s="2">
        <f>('[1]Qc, Winter, S1'!U2*Main!$B$5)</f>
        <v>-4.0770447131885046</v>
      </c>
      <c r="V2" s="2">
        <f>('[1]Qc, Winter, S1'!V2*Main!$B$5)</f>
        <v>-6.4043147416105342</v>
      </c>
      <c r="W2" s="2">
        <f>('[1]Qc, Winter, S1'!W2*Main!$B$5)</f>
        <v>-8.3132164462270151</v>
      </c>
      <c r="X2" s="2">
        <f>('[1]Qc, Winter, S1'!X2*Main!$B$5)</f>
        <v>-11.153310547677515</v>
      </c>
      <c r="Y2" s="2">
        <f>('[1]Qc, Winter, S1'!Y2*Main!$B$5)</f>
        <v>-12.553999801653241</v>
      </c>
    </row>
    <row r="3" spans="1:25" x14ac:dyDescent="0.3">
      <c r="A3">
        <v>2</v>
      </c>
      <c r="B3" s="2">
        <f>('[1]Qc, Winter, S1'!B3*Main!$B$5)</f>
        <v>16.401642193236285</v>
      </c>
      <c r="C3" s="2">
        <f>('[1]Qc, Winter, S1'!C3*Main!$B$5)</f>
        <v>20.316956718974971</v>
      </c>
      <c r="D3" s="2">
        <f>('[1]Qc, Winter, S1'!D3*Main!$B$5)</f>
        <v>20.316956718974971</v>
      </c>
      <c r="E3" s="2">
        <f>('[1]Qc, Winter, S1'!E3*Main!$B$5)</f>
        <v>20.316956718974971</v>
      </c>
      <c r="F3" s="2">
        <f>('[1]Qc, Winter, S1'!F3*Main!$B$5)</f>
        <v>20.316956718974971</v>
      </c>
      <c r="G3" s="2">
        <f>('[1]Qc, Winter, S1'!G3*Main!$B$5)</f>
        <v>16.461879989124181</v>
      </c>
      <c r="H3" s="2">
        <f>('[1]Qc, Winter, S1'!H3*Main!$B$5)</f>
        <v>7.4667009867209932</v>
      </c>
      <c r="I3" s="2">
        <f>('[1]Qc, Winter, S1'!I3*Main!$B$5)</f>
        <v>0.96126036100436918</v>
      </c>
      <c r="J3" s="2">
        <f>('[1]Qc, Winter, S1'!J3*Main!$B$5)</f>
        <v>-5.6244887227076577</v>
      </c>
      <c r="K3" s="2">
        <f>('[1]Qc, Winter, S1'!K3*Main!$B$5)</f>
        <v>-5.6244887227076577</v>
      </c>
      <c r="L3" s="2">
        <f>('[1]Qc, Winter, S1'!L3*Main!$B$5)</f>
        <v>-0.48438641623993328</v>
      </c>
      <c r="M3" s="2">
        <f>('[1]Qc, Winter, S1'!M3*Main!$B$5)</f>
        <v>-5.8654399062592377</v>
      </c>
      <c r="N3" s="2">
        <f>('[1]Qc, Winter, S1'!N3*Main!$B$5)</f>
        <v>-5.8654399062592377</v>
      </c>
      <c r="O3" s="2">
        <f>('[1]Qc, Winter, S1'!O3*Main!$B$5)</f>
        <v>-4.5402557990503771</v>
      </c>
      <c r="P3" s="2">
        <f>('[1]Qc, Winter, S1'!P3*Main!$B$5)</f>
        <v>-0.56470347742379345</v>
      </c>
      <c r="Q3" s="2">
        <f>('[1]Qc, Winter, S1'!Q3*Main!$B$5)</f>
        <v>3.4108359224624407</v>
      </c>
      <c r="R3" s="2">
        <f>('[1]Qc, Winter, S1'!R3*Main!$B$5)</f>
        <v>4.7360157224245194</v>
      </c>
      <c r="S3" s="2">
        <f>('[1]Qc, Winter, S1'!S3*Main!$B$5)</f>
        <v>4.7360157224245194</v>
      </c>
      <c r="T3" s="2">
        <f>('[1]Qc, Winter, S1'!T3*Main!$B$5)</f>
        <v>4.7360157224245194</v>
      </c>
      <c r="U3" s="2">
        <f>('[1]Qc, Winter, S1'!U3*Main!$B$5)</f>
        <v>4.7360157224245194</v>
      </c>
      <c r="V3" s="2">
        <f>('[1]Qc, Winter, S1'!V3*Main!$B$5)</f>
        <v>4.7360157224245194</v>
      </c>
      <c r="W3" s="2">
        <f>('[1]Qc, Winter, S1'!W3*Main!$B$5)</f>
        <v>9.876117983671806</v>
      </c>
      <c r="X3" s="2">
        <f>('[1]Qc, Winter, S1'!X3*Main!$B$5)</f>
        <v>15.09653735132339</v>
      </c>
      <c r="Y3" s="2">
        <f>('[1]Qc, Winter, S1'!Y3*Main!$B$5)</f>
        <v>15.09653735132339</v>
      </c>
    </row>
    <row r="4" spans="1:25" x14ac:dyDescent="0.3">
      <c r="A4">
        <v>3</v>
      </c>
      <c r="B4" s="2">
        <f>('[1]Qc, Winter, S1'!B4*Main!$B$5)</f>
        <v>11.129310021093131</v>
      </c>
      <c r="C4" s="2">
        <f>('[1]Qc, Winter, S1'!C4*Main!$B$5)</f>
        <v>8.5848440270428537</v>
      </c>
      <c r="D4" s="2">
        <f>('[1]Qc, Winter, S1'!D4*Main!$B$5)</f>
        <v>7.3490658231038264</v>
      </c>
      <c r="E4" s="2">
        <f>('[1]Qc, Winter, S1'!E4*Main!$B$5)</f>
        <v>7.1915493052546013</v>
      </c>
      <c r="F4" s="2">
        <f>('[1]Qc, Winter, S1'!F4*Main!$B$5)</f>
        <v>8.173632817999211</v>
      </c>
      <c r="G4" s="2">
        <f>('[1]Qc, Winter, S1'!G4*Main!$B$5)</f>
        <v>10.148691417904677</v>
      </c>
      <c r="H4" s="2">
        <f>('[1]Qc, Winter, S1'!H4*Main!$B$5)</f>
        <v>15.74577791495339</v>
      </c>
      <c r="I4" s="2">
        <f>('[1]Qc, Winter, S1'!I4*Main!$B$5)</f>
        <v>19.222581992613058</v>
      </c>
      <c r="J4" s="2">
        <f>('[1]Qc, Winter, S1'!J4*Main!$B$5)</f>
        <v>22.208970760659469</v>
      </c>
      <c r="K4" s="2">
        <f>('[1]Qc, Winter, S1'!K4*Main!$B$5)</f>
        <v>24.45616353770933</v>
      </c>
      <c r="L4" s="2">
        <f>('[1]Qc, Winter, S1'!L4*Main!$B$5)</f>
        <v>24.662554804821095</v>
      </c>
      <c r="M4" s="2">
        <f>('[1]Qc, Winter, S1'!M4*Main!$B$5)</f>
        <v>24.220335233009106</v>
      </c>
      <c r="N4" s="2">
        <f>('[1]Qc, Winter, S1'!N4*Main!$B$5)</f>
        <v>24.323488385097267</v>
      </c>
      <c r="O4" s="2">
        <f>('[1]Qc, Winter, S1'!O4*Main!$B$5)</f>
        <v>24.075281172731362</v>
      </c>
      <c r="P4" s="2">
        <f>('[1]Qc, Winter, S1'!P4*Main!$B$5)</f>
        <v>21.718682601973974</v>
      </c>
      <c r="Q4" s="2">
        <f>('[1]Qc, Winter, S1'!Q4*Main!$B$5)</f>
        <v>20.634698711095233</v>
      </c>
      <c r="R4" s="2">
        <f>('[1]Qc, Winter, S1'!R4*Main!$B$5)</f>
        <v>21.295071851408903</v>
      </c>
      <c r="S4" s="2">
        <f>('[1]Qc, Winter, S1'!S4*Main!$B$5)</f>
        <v>29.02422388424996</v>
      </c>
      <c r="T4" s="2">
        <f>('[1]Qc, Winter, S1'!T4*Main!$B$5)</f>
        <v>28.982089514580316</v>
      </c>
      <c r="U4" s="2">
        <f>('[1]Qc, Winter, S1'!U4*Main!$B$5)</f>
        <v>28.097692457500376</v>
      </c>
      <c r="V4" s="2">
        <f>('[1]Qc, Winter, S1'!V4*Main!$B$5)</f>
        <v>26.007378280638633</v>
      </c>
      <c r="W4" s="2">
        <f>('[1]Qc, Winter, S1'!W4*Main!$B$5)</f>
        <v>23.12922787933536</v>
      </c>
      <c r="X4" s="2">
        <f>('[1]Qc, Winter, S1'!X4*Main!$B$5)</f>
        <v>18.864735767810796</v>
      </c>
      <c r="Y4" s="2">
        <f>('[1]Qc, Winter, S1'!Y4*Main!$B$5)</f>
        <v>14.472886545757458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C2B8-7F88-4ED9-B33F-D94E55579EE3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-14.911344876632965</v>
      </c>
      <c r="C2" s="2">
        <f>('[1]Qc, Winter, S2'!C2*Main!$B$5)</f>
        <v>-16.206584203257137</v>
      </c>
      <c r="D2" s="2">
        <f>('[1]Qc, Winter, S2'!D2*Main!$B$5)</f>
        <v>-17.456729208754879</v>
      </c>
      <c r="E2" s="2">
        <f>('[1]Qc, Winter, S2'!E2*Main!$B$5)</f>
        <v>-17.329648695173628</v>
      </c>
      <c r="F2" s="2">
        <f>('[1]Qc, Winter, S2'!F2*Main!$B$5)</f>
        <v>-17.936970360466479</v>
      </c>
      <c r="G2" s="2">
        <f>('[1]Qc, Winter, S2'!G2*Main!$B$5)</f>
        <v>-15.967280072962559</v>
      </c>
      <c r="H2" s="2">
        <f>('[1]Qc, Winter, S2'!H2*Main!$B$5)</f>
        <v>-11.890603175537859</v>
      </c>
      <c r="I2" s="2">
        <f>('[1]Qc, Winter, S2'!I2*Main!$B$5)</f>
        <v>-4.8944088608295528</v>
      </c>
      <c r="J2" s="2">
        <f>('[1]Qc, Winter, S2'!J2*Main!$B$5)</f>
        <v>-1.4413752610133881</v>
      </c>
      <c r="K2" s="2">
        <f>('[1]Qc, Winter, S2'!K2*Main!$B$5)</f>
        <v>-0.22547917440892595</v>
      </c>
      <c r="L2" s="2">
        <f>('[1]Qc, Winter, S2'!L2*Main!$B$5)</f>
        <v>-2.0242234852138563</v>
      </c>
      <c r="M2" s="2">
        <f>('[1]Qc, Winter, S2'!M2*Main!$B$5)</f>
        <v>-1.4881697978000803</v>
      </c>
      <c r="N2" s="2">
        <f>('[1]Qc, Winter, S2'!N2*Main!$B$5)</f>
        <v>-2.0598295448302952</v>
      </c>
      <c r="O2" s="2">
        <f>('[1]Qc, Winter, S2'!O2*Main!$B$5)</f>
        <v>-2.0778914912193795</v>
      </c>
      <c r="P2" s="2">
        <f>('[1]Qc, Winter, S2'!P2*Main!$B$5)</f>
        <v>-5.2529683772173748</v>
      </c>
      <c r="Q2" s="2">
        <f>('[1]Qc, Winter, S2'!Q2*Main!$B$5)</f>
        <v>-7.5651014962383272</v>
      </c>
      <c r="R2" s="2">
        <f>('[1]Qc, Winter, S2'!R2*Main!$B$5)</f>
        <v>-6.7277761169307491</v>
      </c>
      <c r="S2" s="2">
        <f>('[1]Qc, Winter, S2'!S2*Main!$B$5)</f>
        <v>-2.2965450031654808</v>
      </c>
      <c r="T2" s="2">
        <f>('[1]Qc, Winter, S2'!T2*Main!$B$5)</f>
        <v>-3.3406494820917687</v>
      </c>
      <c r="U2" s="2">
        <f>('[1]Qc, Winter, S2'!U2*Main!$B$5)</f>
        <v>-4.1993560545841593</v>
      </c>
      <c r="V2" s="2">
        <f>('[1]Qc, Winter, S2'!V2*Main!$B$5)</f>
        <v>-6.5964441838588508</v>
      </c>
      <c r="W2" s="2">
        <f>('[1]Qc, Winter, S2'!W2*Main!$B$5)</f>
        <v>-8.5626129396138264</v>
      </c>
      <c r="X2" s="2">
        <f>('[1]Qc, Winter, S2'!X2*Main!$B$5)</f>
        <v>-11.487909864107843</v>
      </c>
      <c r="Y2" s="2">
        <f>('[1]Qc, Winter, S2'!Y2*Main!$B$5)</f>
        <v>-12.930619795702839</v>
      </c>
    </row>
    <row r="3" spans="1:25" x14ac:dyDescent="0.3">
      <c r="A3">
        <v>2</v>
      </c>
      <c r="B3" s="2">
        <f>('[1]Qc, Winter, S2'!B3*Main!$B$5)</f>
        <v>16.893691459033374</v>
      </c>
      <c r="C3" s="2">
        <f>('[1]Qc, Winter, S2'!C3*Main!$B$5)</f>
        <v>20.926465420544226</v>
      </c>
      <c r="D3" s="2">
        <f>('[1]Qc, Winter, S2'!D3*Main!$B$5)</f>
        <v>20.926465420544226</v>
      </c>
      <c r="E3" s="2">
        <f>('[1]Qc, Winter, S2'!E3*Main!$B$5)</f>
        <v>20.926465420544226</v>
      </c>
      <c r="F3" s="2">
        <f>('[1]Qc, Winter, S2'!F3*Main!$B$5)</f>
        <v>20.926465420544226</v>
      </c>
      <c r="G3" s="2">
        <f>('[1]Qc, Winter, S2'!G3*Main!$B$5)</f>
        <v>16.955736388797906</v>
      </c>
      <c r="H3" s="2">
        <f>('[1]Qc, Winter, S2'!H3*Main!$B$5)</f>
        <v>7.6907020163226232</v>
      </c>
      <c r="I3" s="2">
        <f>('[1]Qc, Winter, S2'!I3*Main!$B$5)</f>
        <v>0.99009817183450033</v>
      </c>
      <c r="J3" s="2">
        <f>('[1]Qc, Winter, S2'!J3*Main!$B$5)</f>
        <v>-5.7932233843888881</v>
      </c>
      <c r="K3" s="2">
        <f>('[1]Qc, Winter, S2'!K3*Main!$B$5)</f>
        <v>-5.7932233843888881</v>
      </c>
      <c r="L3" s="2">
        <f>('[1]Qc, Winter, S2'!L3*Main!$B$5)</f>
        <v>-0.49891800872713127</v>
      </c>
      <c r="M3" s="2">
        <f>('[1]Qc, Winter, S2'!M3*Main!$B$5)</f>
        <v>-6.0414031034470153</v>
      </c>
      <c r="N3" s="2">
        <f>('[1]Qc, Winter, S2'!N3*Main!$B$5)</f>
        <v>-6.0414031034470153</v>
      </c>
      <c r="O3" s="2">
        <f>('[1]Qc, Winter, S2'!O3*Main!$B$5)</f>
        <v>-4.6764634730218875</v>
      </c>
      <c r="P3" s="2">
        <f>('[1]Qc, Winter, S2'!P3*Main!$B$5)</f>
        <v>-0.58164458174650724</v>
      </c>
      <c r="Q3" s="2">
        <f>('[1]Qc, Winter, S2'!Q3*Main!$B$5)</f>
        <v>3.5131610001363147</v>
      </c>
      <c r="R3" s="2">
        <f>('[1]Qc, Winter, S2'!R3*Main!$B$5)</f>
        <v>4.8780961940972558</v>
      </c>
      <c r="S3" s="2">
        <f>('[1]Qc, Winter, S2'!S3*Main!$B$5)</f>
        <v>4.8780961940972558</v>
      </c>
      <c r="T3" s="2">
        <f>('[1]Qc, Winter, S2'!T3*Main!$B$5)</f>
        <v>4.8780961940972558</v>
      </c>
      <c r="U3" s="2">
        <f>('[1]Qc, Winter, S2'!U3*Main!$B$5)</f>
        <v>4.8780961940972558</v>
      </c>
      <c r="V3" s="2">
        <f>('[1]Qc, Winter, S2'!V3*Main!$B$5)</f>
        <v>4.8780961940972558</v>
      </c>
      <c r="W3" s="2">
        <f>('[1]Qc, Winter, S2'!W3*Main!$B$5)</f>
        <v>10.172401523181959</v>
      </c>
      <c r="X3" s="2">
        <f>('[1]Qc, Winter, S2'!X3*Main!$B$5)</f>
        <v>15.549433471863091</v>
      </c>
      <c r="Y3" s="2">
        <f>('[1]Qc, Winter, S2'!Y3*Main!$B$5)</f>
        <v>15.549433471863091</v>
      </c>
    </row>
    <row r="4" spans="1:25" x14ac:dyDescent="0.3">
      <c r="A4">
        <v>3</v>
      </c>
      <c r="B4" s="2">
        <f>('[1]Qc, Winter, S2'!B4*Main!$B$5)</f>
        <v>11.463189321725926</v>
      </c>
      <c r="C4" s="2">
        <f>('[1]Qc, Winter, S2'!C4*Main!$B$5)</f>
        <v>8.8423893478541391</v>
      </c>
      <c r="D4" s="2">
        <f>('[1]Qc, Winter, S2'!D4*Main!$B$5)</f>
        <v>7.5695377977969418</v>
      </c>
      <c r="E4" s="2">
        <f>('[1]Qc, Winter, S2'!E4*Main!$B$5)</f>
        <v>7.4072957844122405</v>
      </c>
      <c r="F4" s="2">
        <f>('[1]Qc, Winter, S2'!F4*Main!$B$5)</f>
        <v>8.4188418025391858</v>
      </c>
      <c r="G4" s="2">
        <f>('[1]Qc, Winter, S2'!G4*Main!$B$5)</f>
        <v>10.453152160441817</v>
      </c>
      <c r="H4" s="2">
        <f>('[1]Qc, Winter, S2'!H4*Main!$B$5)</f>
        <v>16.218151252401992</v>
      </c>
      <c r="I4" s="2">
        <f>('[1]Qc, Winter, S2'!I4*Main!$B$5)</f>
        <v>19.799259452391453</v>
      </c>
      <c r="J4" s="2">
        <f>('[1]Qc, Winter, S2'!J4*Main!$B$5)</f>
        <v>22.875239883479257</v>
      </c>
      <c r="K4" s="2">
        <f>('[1]Qc, Winter, S2'!K4*Main!$B$5)</f>
        <v>25.189848443840607</v>
      </c>
      <c r="L4" s="2">
        <f>('[1]Qc, Winter, S2'!L4*Main!$B$5)</f>
        <v>25.402431448965729</v>
      </c>
      <c r="M4" s="2">
        <f>('[1]Qc, Winter, S2'!M4*Main!$B$5)</f>
        <v>24.946945289999377</v>
      </c>
      <c r="N4" s="2">
        <f>('[1]Qc, Winter, S2'!N4*Main!$B$5)</f>
        <v>25.053193036650185</v>
      </c>
      <c r="O4" s="2">
        <f>('[1]Qc, Winter, S2'!O4*Main!$B$5)</f>
        <v>24.797539607913301</v>
      </c>
      <c r="P4" s="2">
        <f>('[1]Qc, Winter, S2'!P4*Main!$B$5)</f>
        <v>22.370243080033195</v>
      </c>
      <c r="Q4" s="2">
        <f>('[1]Qc, Winter, S2'!Q4*Main!$B$5)</f>
        <v>21.253739672428093</v>
      </c>
      <c r="R4" s="2">
        <f>('[1]Qc, Winter, S2'!R4*Main!$B$5)</f>
        <v>21.93392400695117</v>
      </c>
      <c r="S4" s="2">
        <f>('[1]Qc, Winter, S2'!S4*Main!$B$5)</f>
        <v>29.894950600777459</v>
      </c>
      <c r="T4" s="2">
        <f>('[1]Qc, Winter, S2'!T4*Main!$B$5)</f>
        <v>29.851552200017725</v>
      </c>
      <c r="U4" s="2">
        <f>('[1]Qc, Winter, S2'!U4*Main!$B$5)</f>
        <v>28.940623231225391</v>
      </c>
      <c r="V4" s="2">
        <f>('[1]Qc, Winter, S2'!V4*Main!$B$5)</f>
        <v>26.787599629057791</v>
      </c>
      <c r="W4" s="2">
        <f>('[1]Qc, Winter, S2'!W4*Main!$B$5)</f>
        <v>23.82310471571542</v>
      </c>
      <c r="X4" s="2">
        <f>('[1]Qc, Winter, S2'!X4*Main!$B$5)</f>
        <v>19.430677840845121</v>
      </c>
      <c r="Y4" s="2">
        <f>('[1]Qc, Winter, S2'!Y4*Main!$B$5)</f>
        <v>14.907073142130184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3A09C-8604-436F-9EBD-C4507759FD9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-14.911344876632965</v>
      </c>
      <c r="C2" s="2">
        <f>('[1]Qc, Winter, S2'!C2*Main!$B$5)</f>
        <v>-16.206584203257137</v>
      </c>
      <c r="D2" s="2">
        <f>('[1]Qc, Winter, S2'!D2*Main!$B$5)</f>
        <v>-17.456729208754879</v>
      </c>
      <c r="E2" s="2">
        <f>('[1]Qc, Winter, S2'!E2*Main!$B$5)</f>
        <v>-17.329648695173628</v>
      </c>
      <c r="F2" s="2">
        <f>('[1]Qc, Winter, S2'!F2*Main!$B$5)</f>
        <v>-17.936970360466479</v>
      </c>
      <c r="G2" s="2">
        <f>('[1]Qc, Winter, S2'!G2*Main!$B$5)</f>
        <v>-15.967280072962559</v>
      </c>
      <c r="H2" s="2">
        <f>('[1]Qc, Winter, S2'!H2*Main!$B$5)</f>
        <v>-11.890603175537859</v>
      </c>
      <c r="I2" s="2">
        <f>('[1]Qc, Winter, S2'!I2*Main!$B$5)</f>
        <v>-4.8944088608295528</v>
      </c>
      <c r="J2" s="2">
        <f>('[1]Qc, Winter, S2'!J2*Main!$B$5)</f>
        <v>-1.4413752610133881</v>
      </c>
      <c r="K2" s="2">
        <f>('[1]Qc, Winter, S2'!K2*Main!$B$5)</f>
        <v>-0.22547917440892595</v>
      </c>
      <c r="L2" s="2">
        <f>('[1]Qc, Winter, S2'!L2*Main!$B$5)</f>
        <v>-2.0242234852138563</v>
      </c>
      <c r="M2" s="2">
        <f>('[1]Qc, Winter, S2'!M2*Main!$B$5)</f>
        <v>-1.4881697978000803</v>
      </c>
      <c r="N2" s="2">
        <f>('[1]Qc, Winter, S2'!N2*Main!$B$5)</f>
        <v>-2.0598295448302952</v>
      </c>
      <c r="O2" s="2">
        <f>('[1]Qc, Winter, S2'!O2*Main!$B$5)</f>
        <v>-2.0778914912193795</v>
      </c>
      <c r="P2" s="2">
        <f>('[1]Qc, Winter, S2'!P2*Main!$B$5)</f>
        <v>-5.2529683772173748</v>
      </c>
      <c r="Q2" s="2">
        <f>('[1]Qc, Winter, S2'!Q2*Main!$B$5)</f>
        <v>-7.5651014962383272</v>
      </c>
      <c r="R2" s="2">
        <f>('[1]Qc, Winter, S2'!R2*Main!$B$5)</f>
        <v>-6.7277761169307491</v>
      </c>
      <c r="S2" s="2">
        <f>('[1]Qc, Winter, S2'!S2*Main!$B$5)</f>
        <v>-2.2965450031654808</v>
      </c>
      <c r="T2" s="2">
        <f>('[1]Qc, Winter, S2'!T2*Main!$B$5)</f>
        <v>-3.3406494820917687</v>
      </c>
      <c r="U2" s="2">
        <f>('[1]Qc, Winter, S2'!U2*Main!$B$5)</f>
        <v>-4.1993560545841593</v>
      </c>
      <c r="V2" s="2">
        <f>('[1]Qc, Winter, S2'!V2*Main!$B$5)</f>
        <v>-6.5964441838588508</v>
      </c>
      <c r="W2" s="2">
        <f>('[1]Qc, Winter, S2'!W2*Main!$B$5)</f>
        <v>-8.5626129396138264</v>
      </c>
      <c r="X2" s="2">
        <f>('[1]Qc, Winter, S2'!X2*Main!$B$5)</f>
        <v>-11.487909864107843</v>
      </c>
      <c r="Y2" s="2">
        <f>('[1]Qc, Winter, S2'!Y2*Main!$B$5)</f>
        <v>-12.930619795702839</v>
      </c>
    </row>
    <row r="3" spans="1:25" x14ac:dyDescent="0.3">
      <c r="A3">
        <v>2</v>
      </c>
      <c r="B3" s="2">
        <f>('[1]Qc, Winter, S2'!B3*Main!$B$5)</f>
        <v>16.893691459033374</v>
      </c>
      <c r="C3" s="2">
        <f>('[1]Qc, Winter, S2'!C3*Main!$B$5)</f>
        <v>20.926465420544226</v>
      </c>
      <c r="D3" s="2">
        <f>('[1]Qc, Winter, S2'!D3*Main!$B$5)</f>
        <v>20.926465420544226</v>
      </c>
      <c r="E3" s="2">
        <f>('[1]Qc, Winter, S2'!E3*Main!$B$5)</f>
        <v>20.926465420544226</v>
      </c>
      <c r="F3" s="2">
        <f>('[1]Qc, Winter, S2'!F3*Main!$B$5)</f>
        <v>20.926465420544226</v>
      </c>
      <c r="G3" s="2">
        <f>('[1]Qc, Winter, S2'!G3*Main!$B$5)</f>
        <v>16.955736388797906</v>
      </c>
      <c r="H3" s="2">
        <f>('[1]Qc, Winter, S2'!H3*Main!$B$5)</f>
        <v>7.6907020163226232</v>
      </c>
      <c r="I3" s="2">
        <f>('[1]Qc, Winter, S2'!I3*Main!$B$5)</f>
        <v>0.99009817183450033</v>
      </c>
      <c r="J3" s="2">
        <f>('[1]Qc, Winter, S2'!J3*Main!$B$5)</f>
        <v>-5.7932233843888881</v>
      </c>
      <c r="K3" s="2">
        <f>('[1]Qc, Winter, S2'!K3*Main!$B$5)</f>
        <v>-5.7932233843888881</v>
      </c>
      <c r="L3" s="2">
        <f>('[1]Qc, Winter, S2'!L3*Main!$B$5)</f>
        <v>-0.49891800872713127</v>
      </c>
      <c r="M3" s="2">
        <f>('[1]Qc, Winter, S2'!M3*Main!$B$5)</f>
        <v>-6.0414031034470153</v>
      </c>
      <c r="N3" s="2">
        <f>('[1]Qc, Winter, S2'!N3*Main!$B$5)</f>
        <v>-6.0414031034470153</v>
      </c>
      <c r="O3" s="2">
        <f>('[1]Qc, Winter, S2'!O3*Main!$B$5)</f>
        <v>-4.6764634730218875</v>
      </c>
      <c r="P3" s="2">
        <f>('[1]Qc, Winter, S2'!P3*Main!$B$5)</f>
        <v>-0.58164458174650724</v>
      </c>
      <c r="Q3" s="2">
        <f>('[1]Qc, Winter, S2'!Q3*Main!$B$5)</f>
        <v>3.5131610001363147</v>
      </c>
      <c r="R3" s="2">
        <f>('[1]Qc, Winter, S2'!R3*Main!$B$5)</f>
        <v>4.8780961940972558</v>
      </c>
      <c r="S3" s="2">
        <f>('[1]Qc, Winter, S2'!S3*Main!$B$5)</f>
        <v>4.8780961940972558</v>
      </c>
      <c r="T3" s="2">
        <f>('[1]Qc, Winter, S2'!T3*Main!$B$5)</f>
        <v>4.8780961940972558</v>
      </c>
      <c r="U3" s="2">
        <f>('[1]Qc, Winter, S2'!U3*Main!$B$5)</f>
        <v>4.8780961940972558</v>
      </c>
      <c r="V3" s="2">
        <f>('[1]Qc, Winter, S2'!V3*Main!$B$5)</f>
        <v>4.8780961940972558</v>
      </c>
      <c r="W3" s="2">
        <f>('[1]Qc, Winter, S2'!W3*Main!$B$5)</f>
        <v>10.172401523181959</v>
      </c>
      <c r="X3" s="2">
        <f>('[1]Qc, Winter, S2'!X3*Main!$B$5)</f>
        <v>15.549433471863091</v>
      </c>
      <c r="Y3" s="2">
        <f>('[1]Qc, Winter, S2'!Y3*Main!$B$5)</f>
        <v>15.549433471863091</v>
      </c>
    </row>
    <row r="4" spans="1:25" x14ac:dyDescent="0.3">
      <c r="A4">
        <v>3</v>
      </c>
      <c r="B4" s="2">
        <f>('[1]Qc, Winter, S2'!B4*Main!$B$5)</f>
        <v>11.463189321725926</v>
      </c>
      <c r="C4" s="2">
        <f>('[1]Qc, Winter, S2'!C4*Main!$B$5)</f>
        <v>8.8423893478541391</v>
      </c>
      <c r="D4" s="2">
        <f>('[1]Qc, Winter, S2'!D4*Main!$B$5)</f>
        <v>7.5695377977969418</v>
      </c>
      <c r="E4" s="2">
        <f>('[1]Qc, Winter, S2'!E4*Main!$B$5)</f>
        <v>7.4072957844122405</v>
      </c>
      <c r="F4" s="2">
        <f>('[1]Qc, Winter, S2'!F4*Main!$B$5)</f>
        <v>8.4188418025391858</v>
      </c>
      <c r="G4" s="2">
        <f>('[1]Qc, Winter, S2'!G4*Main!$B$5)</f>
        <v>10.453152160441817</v>
      </c>
      <c r="H4" s="2">
        <f>('[1]Qc, Winter, S2'!H4*Main!$B$5)</f>
        <v>16.218151252401992</v>
      </c>
      <c r="I4" s="2">
        <f>('[1]Qc, Winter, S2'!I4*Main!$B$5)</f>
        <v>19.799259452391453</v>
      </c>
      <c r="J4" s="2">
        <f>('[1]Qc, Winter, S2'!J4*Main!$B$5)</f>
        <v>22.875239883479257</v>
      </c>
      <c r="K4" s="2">
        <f>('[1]Qc, Winter, S2'!K4*Main!$B$5)</f>
        <v>25.189848443840607</v>
      </c>
      <c r="L4" s="2">
        <f>('[1]Qc, Winter, S2'!L4*Main!$B$5)</f>
        <v>25.402431448965729</v>
      </c>
      <c r="M4" s="2">
        <f>('[1]Qc, Winter, S2'!M4*Main!$B$5)</f>
        <v>24.946945289999377</v>
      </c>
      <c r="N4" s="2">
        <f>('[1]Qc, Winter, S2'!N4*Main!$B$5)</f>
        <v>25.053193036650185</v>
      </c>
      <c r="O4" s="2">
        <f>('[1]Qc, Winter, S2'!O4*Main!$B$5)</f>
        <v>24.797539607913301</v>
      </c>
      <c r="P4" s="2">
        <f>('[1]Qc, Winter, S2'!P4*Main!$B$5)</f>
        <v>22.370243080033195</v>
      </c>
      <c r="Q4" s="2">
        <f>('[1]Qc, Winter, S2'!Q4*Main!$B$5)</f>
        <v>21.253739672428093</v>
      </c>
      <c r="R4" s="2">
        <f>('[1]Qc, Winter, S2'!R4*Main!$B$5)</f>
        <v>21.93392400695117</v>
      </c>
      <c r="S4" s="2">
        <f>('[1]Qc, Winter, S2'!S4*Main!$B$5)</f>
        <v>29.894950600777459</v>
      </c>
      <c r="T4" s="2">
        <f>('[1]Qc, Winter, S2'!T4*Main!$B$5)</f>
        <v>29.851552200017725</v>
      </c>
      <c r="U4" s="2">
        <f>('[1]Qc, Winter, S2'!U4*Main!$B$5)</f>
        <v>28.940623231225391</v>
      </c>
      <c r="V4" s="2">
        <f>('[1]Qc, Winter, S2'!V4*Main!$B$5)</f>
        <v>26.787599629057791</v>
      </c>
      <c r="W4" s="2">
        <f>('[1]Qc, Winter, S2'!W4*Main!$B$5)</f>
        <v>23.82310471571542</v>
      </c>
      <c r="X4" s="2">
        <f>('[1]Qc, Winter, S2'!X4*Main!$B$5)</f>
        <v>19.430677840845121</v>
      </c>
      <c r="Y4" s="2">
        <f>('[1]Qc, Winter, S2'!Y4*Main!$B$5)</f>
        <v>14.907073142130184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90954-8C5F-4EDD-907F-04905F62B6D9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-14.911344876632965</v>
      </c>
      <c r="C2" s="2">
        <f>('[1]Qc, Winter, S2'!C2*Main!$B$5)</f>
        <v>-16.206584203257137</v>
      </c>
      <c r="D2" s="2">
        <f>('[1]Qc, Winter, S2'!D2*Main!$B$5)</f>
        <v>-17.456729208754879</v>
      </c>
      <c r="E2" s="2">
        <f>('[1]Qc, Winter, S2'!E2*Main!$B$5)</f>
        <v>-17.329648695173628</v>
      </c>
      <c r="F2" s="2">
        <f>('[1]Qc, Winter, S2'!F2*Main!$B$5)</f>
        <v>-17.936970360466479</v>
      </c>
      <c r="G2" s="2">
        <f>('[1]Qc, Winter, S2'!G2*Main!$B$5)</f>
        <v>-15.967280072962559</v>
      </c>
      <c r="H2" s="2">
        <f>('[1]Qc, Winter, S2'!H2*Main!$B$5)</f>
        <v>-11.890603175537859</v>
      </c>
      <c r="I2" s="2">
        <f>('[1]Qc, Winter, S2'!I2*Main!$B$5)</f>
        <v>-4.8944088608295528</v>
      </c>
      <c r="J2" s="2">
        <f>('[1]Qc, Winter, S2'!J2*Main!$B$5)</f>
        <v>-1.4413752610133881</v>
      </c>
      <c r="K2" s="2">
        <f>('[1]Qc, Winter, S2'!K2*Main!$B$5)</f>
        <v>-0.22547917440892595</v>
      </c>
      <c r="L2" s="2">
        <f>('[1]Qc, Winter, S2'!L2*Main!$B$5)</f>
        <v>-2.0242234852138563</v>
      </c>
      <c r="M2" s="2">
        <f>('[1]Qc, Winter, S2'!M2*Main!$B$5)</f>
        <v>-1.4881697978000803</v>
      </c>
      <c r="N2" s="2">
        <f>('[1]Qc, Winter, S2'!N2*Main!$B$5)</f>
        <v>-2.0598295448302952</v>
      </c>
      <c r="O2" s="2">
        <f>('[1]Qc, Winter, S2'!O2*Main!$B$5)</f>
        <v>-2.0778914912193795</v>
      </c>
      <c r="P2" s="2">
        <f>('[1]Qc, Winter, S2'!P2*Main!$B$5)</f>
        <v>-5.2529683772173748</v>
      </c>
      <c r="Q2" s="2">
        <f>('[1]Qc, Winter, S2'!Q2*Main!$B$5)</f>
        <v>-7.5651014962383272</v>
      </c>
      <c r="R2" s="2">
        <f>('[1]Qc, Winter, S2'!R2*Main!$B$5)</f>
        <v>-6.7277761169307491</v>
      </c>
      <c r="S2" s="2">
        <f>('[1]Qc, Winter, S2'!S2*Main!$B$5)</f>
        <v>-2.2965450031654808</v>
      </c>
      <c r="T2" s="2">
        <f>('[1]Qc, Winter, S2'!T2*Main!$B$5)</f>
        <v>-3.3406494820917687</v>
      </c>
      <c r="U2" s="2">
        <f>('[1]Qc, Winter, S2'!U2*Main!$B$5)</f>
        <v>-4.1993560545841593</v>
      </c>
      <c r="V2" s="2">
        <f>('[1]Qc, Winter, S2'!V2*Main!$B$5)</f>
        <v>-6.5964441838588508</v>
      </c>
      <c r="W2" s="2">
        <f>('[1]Qc, Winter, S2'!W2*Main!$B$5)</f>
        <v>-8.5626129396138264</v>
      </c>
      <c r="X2" s="2">
        <f>('[1]Qc, Winter, S2'!X2*Main!$B$5)</f>
        <v>-11.487909864107843</v>
      </c>
      <c r="Y2" s="2">
        <f>('[1]Qc, Winter, S2'!Y2*Main!$B$5)</f>
        <v>-12.930619795702839</v>
      </c>
    </row>
    <row r="3" spans="1:25" x14ac:dyDescent="0.3">
      <c r="A3">
        <v>2</v>
      </c>
      <c r="B3" s="2">
        <f>('[1]Qc, Winter, S2'!B3*Main!$B$5)</f>
        <v>16.893691459033374</v>
      </c>
      <c r="C3" s="2">
        <f>('[1]Qc, Winter, S2'!C3*Main!$B$5)</f>
        <v>20.926465420544226</v>
      </c>
      <c r="D3" s="2">
        <f>('[1]Qc, Winter, S2'!D3*Main!$B$5)</f>
        <v>20.926465420544226</v>
      </c>
      <c r="E3" s="2">
        <f>('[1]Qc, Winter, S2'!E3*Main!$B$5)</f>
        <v>20.926465420544226</v>
      </c>
      <c r="F3" s="2">
        <f>('[1]Qc, Winter, S2'!F3*Main!$B$5)</f>
        <v>20.926465420544226</v>
      </c>
      <c r="G3" s="2">
        <f>('[1]Qc, Winter, S2'!G3*Main!$B$5)</f>
        <v>16.955736388797906</v>
      </c>
      <c r="H3" s="2">
        <f>('[1]Qc, Winter, S2'!H3*Main!$B$5)</f>
        <v>7.6907020163226232</v>
      </c>
      <c r="I3" s="2">
        <f>('[1]Qc, Winter, S2'!I3*Main!$B$5)</f>
        <v>0.99009817183450033</v>
      </c>
      <c r="J3" s="2">
        <f>('[1]Qc, Winter, S2'!J3*Main!$B$5)</f>
        <v>-5.7932233843888881</v>
      </c>
      <c r="K3" s="2">
        <f>('[1]Qc, Winter, S2'!K3*Main!$B$5)</f>
        <v>-5.7932233843888881</v>
      </c>
      <c r="L3" s="2">
        <f>('[1]Qc, Winter, S2'!L3*Main!$B$5)</f>
        <v>-0.49891800872713127</v>
      </c>
      <c r="M3" s="2">
        <f>('[1]Qc, Winter, S2'!M3*Main!$B$5)</f>
        <v>-6.0414031034470153</v>
      </c>
      <c r="N3" s="2">
        <f>('[1]Qc, Winter, S2'!N3*Main!$B$5)</f>
        <v>-6.0414031034470153</v>
      </c>
      <c r="O3" s="2">
        <f>('[1]Qc, Winter, S2'!O3*Main!$B$5)</f>
        <v>-4.6764634730218875</v>
      </c>
      <c r="P3" s="2">
        <f>('[1]Qc, Winter, S2'!P3*Main!$B$5)</f>
        <v>-0.58164458174650724</v>
      </c>
      <c r="Q3" s="2">
        <f>('[1]Qc, Winter, S2'!Q3*Main!$B$5)</f>
        <v>3.5131610001363147</v>
      </c>
      <c r="R3" s="2">
        <f>('[1]Qc, Winter, S2'!R3*Main!$B$5)</f>
        <v>4.8780961940972558</v>
      </c>
      <c r="S3" s="2">
        <f>('[1]Qc, Winter, S2'!S3*Main!$B$5)</f>
        <v>4.8780961940972558</v>
      </c>
      <c r="T3" s="2">
        <f>('[1]Qc, Winter, S2'!T3*Main!$B$5)</f>
        <v>4.8780961940972558</v>
      </c>
      <c r="U3" s="2">
        <f>('[1]Qc, Winter, S2'!U3*Main!$B$5)</f>
        <v>4.8780961940972558</v>
      </c>
      <c r="V3" s="2">
        <f>('[1]Qc, Winter, S2'!V3*Main!$B$5)</f>
        <v>4.8780961940972558</v>
      </c>
      <c r="W3" s="2">
        <f>('[1]Qc, Winter, S2'!W3*Main!$B$5)</f>
        <v>10.172401523181959</v>
      </c>
      <c r="X3" s="2">
        <f>('[1]Qc, Winter, S2'!X3*Main!$B$5)</f>
        <v>15.549433471863091</v>
      </c>
      <c r="Y3" s="2">
        <f>('[1]Qc, Winter, S2'!Y3*Main!$B$5)</f>
        <v>15.549433471863091</v>
      </c>
    </row>
    <row r="4" spans="1:25" x14ac:dyDescent="0.3">
      <c r="A4">
        <v>3</v>
      </c>
      <c r="B4" s="2">
        <f>('[1]Qc, Winter, S2'!B4*Main!$B$5)</f>
        <v>11.463189321725926</v>
      </c>
      <c r="C4" s="2">
        <f>('[1]Qc, Winter, S2'!C4*Main!$B$5)</f>
        <v>8.8423893478541391</v>
      </c>
      <c r="D4" s="2">
        <f>('[1]Qc, Winter, S2'!D4*Main!$B$5)</f>
        <v>7.5695377977969418</v>
      </c>
      <c r="E4" s="2">
        <f>('[1]Qc, Winter, S2'!E4*Main!$B$5)</f>
        <v>7.4072957844122405</v>
      </c>
      <c r="F4" s="2">
        <f>('[1]Qc, Winter, S2'!F4*Main!$B$5)</f>
        <v>8.4188418025391858</v>
      </c>
      <c r="G4" s="2">
        <f>('[1]Qc, Winter, S2'!G4*Main!$B$5)</f>
        <v>10.453152160441817</v>
      </c>
      <c r="H4" s="2">
        <f>('[1]Qc, Winter, S2'!H4*Main!$B$5)</f>
        <v>16.218151252401992</v>
      </c>
      <c r="I4" s="2">
        <f>('[1]Qc, Winter, S2'!I4*Main!$B$5)</f>
        <v>19.799259452391453</v>
      </c>
      <c r="J4" s="2">
        <f>('[1]Qc, Winter, S2'!J4*Main!$B$5)</f>
        <v>22.875239883479257</v>
      </c>
      <c r="K4" s="2">
        <f>('[1]Qc, Winter, S2'!K4*Main!$B$5)</f>
        <v>25.189848443840607</v>
      </c>
      <c r="L4" s="2">
        <f>('[1]Qc, Winter, S2'!L4*Main!$B$5)</f>
        <v>25.402431448965729</v>
      </c>
      <c r="M4" s="2">
        <f>('[1]Qc, Winter, S2'!M4*Main!$B$5)</f>
        <v>24.946945289999377</v>
      </c>
      <c r="N4" s="2">
        <f>('[1]Qc, Winter, S2'!N4*Main!$B$5)</f>
        <v>25.053193036650185</v>
      </c>
      <c r="O4" s="2">
        <f>('[1]Qc, Winter, S2'!O4*Main!$B$5)</f>
        <v>24.797539607913301</v>
      </c>
      <c r="P4" s="2">
        <f>('[1]Qc, Winter, S2'!P4*Main!$B$5)</f>
        <v>22.370243080033195</v>
      </c>
      <c r="Q4" s="2">
        <f>('[1]Qc, Winter, S2'!Q4*Main!$B$5)</f>
        <v>21.253739672428093</v>
      </c>
      <c r="R4" s="2">
        <f>('[1]Qc, Winter, S2'!R4*Main!$B$5)</f>
        <v>21.93392400695117</v>
      </c>
      <c r="S4" s="2">
        <f>('[1]Qc, Winter, S2'!S4*Main!$B$5)</f>
        <v>29.894950600777459</v>
      </c>
      <c r="T4" s="2">
        <f>('[1]Qc, Winter, S2'!T4*Main!$B$5)</f>
        <v>29.851552200017725</v>
      </c>
      <c r="U4" s="2">
        <f>('[1]Qc, Winter, S2'!U4*Main!$B$5)</f>
        <v>28.940623231225391</v>
      </c>
      <c r="V4" s="2">
        <f>('[1]Qc, Winter, S2'!V4*Main!$B$5)</f>
        <v>26.787599629057791</v>
      </c>
      <c r="W4" s="2">
        <f>('[1]Qc, Winter, S2'!W4*Main!$B$5)</f>
        <v>23.82310471571542</v>
      </c>
      <c r="X4" s="2">
        <f>('[1]Qc, Winter, S2'!X4*Main!$B$5)</f>
        <v>19.430677840845121</v>
      </c>
      <c r="Y4" s="2">
        <f>('[1]Qc, Winter, S2'!Y4*Main!$B$5)</f>
        <v>14.907073142130184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DD3B4-1FA9-4246-8097-0DB47832469D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-14.187493183592528</v>
      </c>
      <c r="C2" s="2">
        <f>('[1]Qc, Winter, S3'!C2*Main!$B$5)</f>
        <v>-15.419856814749508</v>
      </c>
      <c r="D2" s="2">
        <f>('[1]Qc, Winter, S3'!D2*Main!$B$5)</f>
        <v>-16.609315169494934</v>
      </c>
      <c r="E2" s="2">
        <f>('[1]Qc, Winter, S3'!E2*Main!$B$5)</f>
        <v>-16.488403612883648</v>
      </c>
      <c r="F2" s="2">
        <f>('[1]Qc, Winter, S3'!F2*Main!$B$5)</f>
        <v>-17.066243643938975</v>
      </c>
      <c r="G2" s="2">
        <f>('[1]Qc, Winter, S3'!G2*Main!$B$5)</f>
        <v>-15.192169389809038</v>
      </c>
      <c r="H2" s="2">
        <f>('[1]Qc, Winter, S3'!H2*Main!$B$5)</f>
        <v>-11.313389429152524</v>
      </c>
      <c r="I2" s="2">
        <f>('[1]Qc, Winter, S3'!I2*Main!$B$5)</f>
        <v>-4.6568161976824873</v>
      </c>
      <c r="J2" s="2">
        <f>('[1]Qc, Winter, S3'!J2*Main!$B$5)</f>
        <v>-1.3714055881486604</v>
      </c>
      <c r="K2" s="2">
        <f>('[1]Qc, Winter, S3'!K2*Main!$B$5)</f>
        <v>-0.21453358341820139</v>
      </c>
      <c r="L2" s="2">
        <f>('[1]Qc, Winter, S3'!L2*Main!$B$5)</f>
        <v>-1.9259602092326014</v>
      </c>
      <c r="M2" s="2">
        <f>('[1]Qc, Winter, S3'!M2*Main!$B$5)</f>
        <v>-1.4159285454796877</v>
      </c>
      <c r="N2" s="2">
        <f>('[1]Qc, Winter, S3'!N2*Main!$B$5)</f>
        <v>-1.9598378193530963</v>
      </c>
      <c r="O2" s="2">
        <f>('[1]Qc, Winter, S3'!O2*Main!$B$5)</f>
        <v>-1.9770229722281476</v>
      </c>
      <c r="P2" s="2">
        <f>('[1]Qc, Winter, S3'!P2*Main!$B$5)</f>
        <v>-4.9979699123039101</v>
      </c>
      <c r="Q2" s="2">
        <f>('[1]Qc, Winter, S3'!Q2*Main!$B$5)</f>
        <v>-7.1978635595277281</v>
      </c>
      <c r="R2" s="2">
        <f>('[1]Qc, Winter, S3'!R2*Main!$B$5)</f>
        <v>-6.4011850432933324</v>
      </c>
      <c r="S2" s="2">
        <f>('[1]Qc, Winter, S3'!S2*Main!$B$5)</f>
        <v>-2.1850622360215248</v>
      </c>
      <c r="T2" s="2">
        <f>('[1]Qc, Winter, S3'!T2*Main!$B$5)</f>
        <v>-3.1784820315047897</v>
      </c>
      <c r="U2" s="2">
        <f>('[1]Qc, Winter, S3'!U2*Main!$B$5)</f>
        <v>-3.9955038189247345</v>
      </c>
      <c r="V2" s="2">
        <f>('[1]Qc, Winter, S3'!V2*Main!$B$5)</f>
        <v>-6.2762284467783243</v>
      </c>
      <c r="W2" s="2">
        <f>('[1]Qc, Winter, S3'!W2*Main!$B$5)</f>
        <v>-8.1469521173024742</v>
      </c>
      <c r="X2" s="2">
        <f>('[1]Qc, Winter, S3'!X2*Main!$B$5)</f>
        <v>-10.930244336723964</v>
      </c>
      <c r="Y2" s="2">
        <f>('[1]Qc, Winter, S3'!Y2*Main!$B$5)</f>
        <v>-12.302919805620178</v>
      </c>
    </row>
    <row r="3" spans="1:25" x14ac:dyDescent="0.3">
      <c r="A3">
        <v>2</v>
      </c>
      <c r="B3" s="2">
        <f>('[1]Qc, Winter, S3'!B3*Main!$B$5)</f>
        <v>16.073609349371562</v>
      </c>
      <c r="C3" s="2">
        <f>('[1]Qc, Winter, S3'!C3*Main!$B$5)</f>
        <v>19.910617584595471</v>
      </c>
      <c r="D3" s="2">
        <f>('[1]Qc, Winter, S3'!D3*Main!$B$5)</f>
        <v>19.910617584595471</v>
      </c>
      <c r="E3" s="2">
        <f>('[1]Qc, Winter, S3'!E3*Main!$B$5)</f>
        <v>19.910617584595471</v>
      </c>
      <c r="F3" s="2">
        <f>('[1]Qc, Winter, S3'!F3*Main!$B$5)</f>
        <v>19.910617584595471</v>
      </c>
      <c r="G3" s="2">
        <f>('[1]Qc, Winter, S3'!G3*Main!$B$5)</f>
        <v>16.132642389341697</v>
      </c>
      <c r="H3" s="2">
        <f>('[1]Qc, Winter, S3'!H3*Main!$B$5)</f>
        <v>7.3173669669865733</v>
      </c>
      <c r="I3" s="2">
        <f>('[1]Qc, Winter, S3'!I3*Main!$B$5)</f>
        <v>0.94203515378428182</v>
      </c>
      <c r="J3" s="2">
        <f>('[1]Qc, Winter, S3'!J3*Main!$B$5)</f>
        <v>-5.5119989482535061</v>
      </c>
      <c r="K3" s="2">
        <f>('[1]Qc, Winter, S3'!K3*Main!$B$5)</f>
        <v>-5.5119989482535061</v>
      </c>
      <c r="L3" s="2">
        <f>('[1]Qc, Winter, S3'!L3*Main!$B$5)</f>
        <v>-0.47469868791513464</v>
      </c>
      <c r="M3" s="2">
        <f>('[1]Qc, Winter, S3'!M3*Main!$B$5)</f>
        <v>-5.7481311081340527</v>
      </c>
      <c r="N3" s="2">
        <f>('[1]Qc, Winter, S3'!N3*Main!$B$5)</f>
        <v>-5.7481311081340527</v>
      </c>
      <c r="O3" s="2">
        <f>('[1]Qc, Winter, S3'!O3*Main!$B$5)</f>
        <v>-4.4494506830693688</v>
      </c>
      <c r="P3" s="2">
        <f>('[1]Qc, Winter, S3'!P3*Main!$B$5)</f>
        <v>-0.55340940787531756</v>
      </c>
      <c r="Q3" s="2">
        <f>('[1]Qc, Winter, S3'!Q3*Main!$B$5)</f>
        <v>3.3426192040131921</v>
      </c>
      <c r="R3" s="2">
        <f>('[1]Qc, Winter, S3'!R3*Main!$B$5)</f>
        <v>4.6412954079760294</v>
      </c>
      <c r="S3" s="2">
        <f>('[1]Qc, Winter, S3'!S3*Main!$B$5)</f>
        <v>4.6412954079760294</v>
      </c>
      <c r="T3" s="2">
        <f>('[1]Qc, Winter, S3'!T3*Main!$B$5)</f>
        <v>4.6412954079760294</v>
      </c>
      <c r="U3" s="2">
        <f>('[1]Qc, Winter, S3'!U3*Main!$B$5)</f>
        <v>4.6412954079760294</v>
      </c>
      <c r="V3" s="2">
        <f>('[1]Qc, Winter, S3'!V3*Main!$B$5)</f>
        <v>4.6412954079760294</v>
      </c>
      <c r="W3" s="2">
        <f>('[1]Qc, Winter, S3'!W3*Main!$B$5)</f>
        <v>9.678595623998369</v>
      </c>
      <c r="X3" s="2">
        <f>('[1]Qc, Winter, S3'!X3*Main!$B$5)</f>
        <v>14.794606604296922</v>
      </c>
      <c r="Y3" s="2">
        <f>('[1]Qc, Winter, S3'!Y3*Main!$B$5)</f>
        <v>14.794606604296922</v>
      </c>
    </row>
    <row r="4" spans="1:25" x14ac:dyDescent="0.3">
      <c r="A4">
        <v>3</v>
      </c>
      <c r="B4" s="2">
        <f>('[1]Qc, Winter, S3'!B4*Main!$B$5)</f>
        <v>10.906723820671267</v>
      </c>
      <c r="C4" s="2">
        <f>('[1]Qc, Winter, S3'!C4*Main!$B$5)</f>
        <v>8.4131471465019967</v>
      </c>
      <c r="D4" s="2">
        <f>('[1]Qc, Winter, S3'!D4*Main!$B$5)</f>
        <v>7.20208450664175</v>
      </c>
      <c r="E4" s="2">
        <f>('[1]Qc, Winter, S3'!E4*Main!$B$5)</f>
        <v>7.0477183191495101</v>
      </c>
      <c r="F4" s="2">
        <f>('[1]Qc, Winter, S3'!F4*Main!$B$5)</f>
        <v>8.0101601616392255</v>
      </c>
      <c r="G4" s="2">
        <f>('[1]Qc, Winter, S3'!G4*Main!$B$5)</f>
        <v>9.9457175895465824</v>
      </c>
      <c r="H4" s="2">
        <f>('[1]Qc, Winter, S3'!H4*Main!$B$5)</f>
        <v>15.43086235665432</v>
      </c>
      <c r="I4" s="2">
        <f>('[1]Qc, Winter, S3'!I4*Main!$B$5)</f>
        <v>18.8381303527608</v>
      </c>
      <c r="J4" s="2">
        <f>('[1]Qc, Winter, S3'!J4*Main!$B$5)</f>
        <v>21.76479134544628</v>
      </c>
      <c r="K4" s="2">
        <f>('[1]Qc, Winter, S3'!K4*Main!$B$5)</f>
        <v>23.967040266955138</v>
      </c>
      <c r="L4" s="2">
        <f>('[1]Qc, Winter, S3'!L4*Main!$B$5)</f>
        <v>24.169303708724676</v>
      </c>
      <c r="M4" s="2">
        <f>('[1]Qc, Winter, S3'!M4*Main!$B$5)</f>
        <v>23.735928528348921</v>
      </c>
      <c r="N4" s="2">
        <f>('[1]Qc, Winter, S3'!N4*Main!$B$5)</f>
        <v>23.837018617395323</v>
      </c>
      <c r="O4" s="2">
        <f>('[1]Qc, Winter, S3'!O4*Main!$B$5)</f>
        <v>23.593775549276735</v>
      </c>
      <c r="P4" s="2">
        <f>('[1]Qc, Winter, S3'!P4*Main!$B$5)</f>
        <v>21.284308949934495</v>
      </c>
      <c r="Q4" s="2">
        <f>('[1]Qc, Winter, S3'!Q4*Main!$B$5)</f>
        <v>20.222004736873334</v>
      </c>
      <c r="R4" s="2">
        <f>('[1]Qc, Winter, S3'!R4*Main!$B$5)</f>
        <v>20.869170414380726</v>
      </c>
      <c r="S4" s="2">
        <f>('[1]Qc, Winter, S3'!S4*Main!$B$5)</f>
        <v>28.443739406564962</v>
      </c>
      <c r="T4" s="2">
        <f>('[1]Qc, Winter, S3'!T4*Main!$B$5)</f>
        <v>28.402447724288713</v>
      </c>
      <c r="U4" s="2">
        <f>('[1]Qc, Winter, S3'!U4*Main!$B$5)</f>
        <v>27.535738608350368</v>
      </c>
      <c r="V4" s="2">
        <f>('[1]Qc, Winter, S3'!V4*Main!$B$5)</f>
        <v>25.487230715025859</v>
      </c>
      <c r="W4" s="2">
        <f>('[1]Qc, Winter, S3'!W4*Main!$B$5)</f>
        <v>22.666643321748655</v>
      </c>
      <c r="X4" s="2">
        <f>('[1]Qc, Winter, S3'!X4*Main!$B$5)</f>
        <v>18.487441052454582</v>
      </c>
      <c r="Y4" s="2">
        <f>('[1]Qc, Winter, S3'!Y4*Main!$B$5)</f>
        <v>14.183428814842308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3FA67-5FE1-4E20-8A17-7A25E053B447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-14.187493183592528</v>
      </c>
      <c r="C2" s="2">
        <f>('[1]Qc, Winter, S3'!C2*Main!$B$5)</f>
        <v>-15.419856814749508</v>
      </c>
      <c r="D2" s="2">
        <f>('[1]Qc, Winter, S3'!D2*Main!$B$5)</f>
        <v>-16.609315169494934</v>
      </c>
      <c r="E2" s="2">
        <f>('[1]Qc, Winter, S3'!E2*Main!$B$5)</f>
        <v>-16.488403612883648</v>
      </c>
      <c r="F2" s="2">
        <f>('[1]Qc, Winter, S3'!F2*Main!$B$5)</f>
        <v>-17.066243643938975</v>
      </c>
      <c r="G2" s="2">
        <f>('[1]Qc, Winter, S3'!G2*Main!$B$5)</f>
        <v>-15.192169389809038</v>
      </c>
      <c r="H2" s="2">
        <f>('[1]Qc, Winter, S3'!H2*Main!$B$5)</f>
        <v>-11.313389429152524</v>
      </c>
      <c r="I2" s="2">
        <f>('[1]Qc, Winter, S3'!I2*Main!$B$5)</f>
        <v>-4.6568161976824873</v>
      </c>
      <c r="J2" s="2">
        <f>('[1]Qc, Winter, S3'!J2*Main!$B$5)</f>
        <v>-1.3714055881486604</v>
      </c>
      <c r="K2" s="2">
        <f>('[1]Qc, Winter, S3'!K2*Main!$B$5)</f>
        <v>-0.21453358341820139</v>
      </c>
      <c r="L2" s="2">
        <f>('[1]Qc, Winter, S3'!L2*Main!$B$5)</f>
        <v>-1.9259602092326014</v>
      </c>
      <c r="M2" s="2">
        <f>('[1]Qc, Winter, S3'!M2*Main!$B$5)</f>
        <v>-1.4159285454796877</v>
      </c>
      <c r="N2" s="2">
        <f>('[1]Qc, Winter, S3'!N2*Main!$B$5)</f>
        <v>-1.9598378193530963</v>
      </c>
      <c r="O2" s="2">
        <f>('[1]Qc, Winter, S3'!O2*Main!$B$5)</f>
        <v>-1.9770229722281476</v>
      </c>
      <c r="P2" s="2">
        <f>('[1]Qc, Winter, S3'!P2*Main!$B$5)</f>
        <v>-4.9979699123039101</v>
      </c>
      <c r="Q2" s="2">
        <f>('[1]Qc, Winter, S3'!Q2*Main!$B$5)</f>
        <v>-7.1978635595277281</v>
      </c>
      <c r="R2" s="2">
        <f>('[1]Qc, Winter, S3'!R2*Main!$B$5)</f>
        <v>-6.4011850432933324</v>
      </c>
      <c r="S2" s="2">
        <f>('[1]Qc, Winter, S3'!S2*Main!$B$5)</f>
        <v>-2.1850622360215248</v>
      </c>
      <c r="T2" s="2">
        <f>('[1]Qc, Winter, S3'!T2*Main!$B$5)</f>
        <v>-3.1784820315047897</v>
      </c>
      <c r="U2" s="2">
        <f>('[1]Qc, Winter, S3'!U2*Main!$B$5)</f>
        <v>-3.9955038189247345</v>
      </c>
      <c r="V2" s="2">
        <f>('[1]Qc, Winter, S3'!V2*Main!$B$5)</f>
        <v>-6.2762284467783243</v>
      </c>
      <c r="W2" s="2">
        <f>('[1]Qc, Winter, S3'!W2*Main!$B$5)</f>
        <v>-8.1469521173024742</v>
      </c>
      <c r="X2" s="2">
        <f>('[1]Qc, Winter, S3'!X2*Main!$B$5)</f>
        <v>-10.930244336723964</v>
      </c>
      <c r="Y2" s="2">
        <f>('[1]Qc, Winter, S3'!Y2*Main!$B$5)</f>
        <v>-12.302919805620178</v>
      </c>
    </row>
    <row r="3" spans="1:25" x14ac:dyDescent="0.3">
      <c r="A3">
        <v>2</v>
      </c>
      <c r="B3" s="2">
        <f>('[1]Qc, Winter, S3'!B3*Main!$B$5)</f>
        <v>16.073609349371562</v>
      </c>
      <c r="C3" s="2">
        <f>('[1]Qc, Winter, S3'!C3*Main!$B$5)</f>
        <v>19.910617584595471</v>
      </c>
      <c r="D3" s="2">
        <f>('[1]Qc, Winter, S3'!D3*Main!$B$5)</f>
        <v>19.910617584595471</v>
      </c>
      <c r="E3" s="2">
        <f>('[1]Qc, Winter, S3'!E3*Main!$B$5)</f>
        <v>19.910617584595471</v>
      </c>
      <c r="F3" s="2">
        <f>('[1]Qc, Winter, S3'!F3*Main!$B$5)</f>
        <v>19.910617584595471</v>
      </c>
      <c r="G3" s="2">
        <f>('[1]Qc, Winter, S3'!G3*Main!$B$5)</f>
        <v>16.132642389341697</v>
      </c>
      <c r="H3" s="2">
        <f>('[1]Qc, Winter, S3'!H3*Main!$B$5)</f>
        <v>7.3173669669865733</v>
      </c>
      <c r="I3" s="2">
        <f>('[1]Qc, Winter, S3'!I3*Main!$B$5)</f>
        <v>0.94203515378428182</v>
      </c>
      <c r="J3" s="2">
        <f>('[1]Qc, Winter, S3'!J3*Main!$B$5)</f>
        <v>-5.5119989482535061</v>
      </c>
      <c r="K3" s="2">
        <f>('[1]Qc, Winter, S3'!K3*Main!$B$5)</f>
        <v>-5.5119989482535061</v>
      </c>
      <c r="L3" s="2">
        <f>('[1]Qc, Winter, S3'!L3*Main!$B$5)</f>
        <v>-0.47469868791513464</v>
      </c>
      <c r="M3" s="2">
        <f>('[1]Qc, Winter, S3'!M3*Main!$B$5)</f>
        <v>-5.7481311081340527</v>
      </c>
      <c r="N3" s="2">
        <f>('[1]Qc, Winter, S3'!N3*Main!$B$5)</f>
        <v>-5.7481311081340527</v>
      </c>
      <c r="O3" s="2">
        <f>('[1]Qc, Winter, S3'!O3*Main!$B$5)</f>
        <v>-4.4494506830693688</v>
      </c>
      <c r="P3" s="2">
        <f>('[1]Qc, Winter, S3'!P3*Main!$B$5)</f>
        <v>-0.55340940787531756</v>
      </c>
      <c r="Q3" s="2">
        <f>('[1]Qc, Winter, S3'!Q3*Main!$B$5)</f>
        <v>3.3426192040131921</v>
      </c>
      <c r="R3" s="2">
        <f>('[1]Qc, Winter, S3'!R3*Main!$B$5)</f>
        <v>4.6412954079760294</v>
      </c>
      <c r="S3" s="2">
        <f>('[1]Qc, Winter, S3'!S3*Main!$B$5)</f>
        <v>4.6412954079760294</v>
      </c>
      <c r="T3" s="2">
        <f>('[1]Qc, Winter, S3'!T3*Main!$B$5)</f>
        <v>4.6412954079760294</v>
      </c>
      <c r="U3" s="2">
        <f>('[1]Qc, Winter, S3'!U3*Main!$B$5)</f>
        <v>4.6412954079760294</v>
      </c>
      <c r="V3" s="2">
        <f>('[1]Qc, Winter, S3'!V3*Main!$B$5)</f>
        <v>4.6412954079760294</v>
      </c>
      <c r="W3" s="2">
        <f>('[1]Qc, Winter, S3'!W3*Main!$B$5)</f>
        <v>9.678595623998369</v>
      </c>
      <c r="X3" s="2">
        <f>('[1]Qc, Winter, S3'!X3*Main!$B$5)</f>
        <v>14.794606604296922</v>
      </c>
      <c r="Y3" s="2">
        <f>('[1]Qc, Winter, S3'!Y3*Main!$B$5)</f>
        <v>14.794606604296922</v>
      </c>
    </row>
    <row r="4" spans="1:25" x14ac:dyDescent="0.3">
      <c r="A4">
        <v>3</v>
      </c>
      <c r="B4" s="2">
        <f>('[1]Qc, Winter, S3'!B4*Main!$B$5)</f>
        <v>10.906723820671267</v>
      </c>
      <c r="C4" s="2">
        <f>('[1]Qc, Winter, S3'!C4*Main!$B$5)</f>
        <v>8.4131471465019967</v>
      </c>
      <c r="D4" s="2">
        <f>('[1]Qc, Winter, S3'!D4*Main!$B$5)</f>
        <v>7.20208450664175</v>
      </c>
      <c r="E4" s="2">
        <f>('[1]Qc, Winter, S3'!E4*Main!$B$5)</f>
        <v>7.0477183191495101</v>
      </c>
      <c r="F4" s="2">
        <f>('[1]Qc, Winter, S3'!F4*Main!$B$5)</f>
        <v>8.0101601616392255</v>
      </c>
      <c r="G4" s="2">
        <f>('[1]Qc, Winter, S3'!G4*Main!$B$5)</f>
        <v>9.9457175895465824</v>
      </c>
      <c r="H4" s="2">
        <f>('[1]Qc, Winter, S3'!H4*Main!$B$5)</f>
        <v>15.43086235665432</v>
      </c>
      <c r="I4" s="2">
        <f>('[1]Qc, Winter, S3'!I4*Main!$B$5)</f>
        <v>18.8381303527608</v>
      </c>
      <c r="J4" s="2">
        <f>('[1]Qc, Winter, S3'!J4*Main!$B$5)</f>
        <v>21.76479134544628</v>
      </c>
      <c r="K4" s="2">
        <f>('[1]Qc, Winter, S3'!K4*Main!$B$5)</f>
        <v>23.967040266955138</v>
      </c>
      <c r="L4" s="2">
        <f>('[1]Qc, Winter, S3'!L4*Main!$B$5)</f>
        <v>24.169303708724676</v>
      </c>
      <c r="M4" s="2">
        <f>('[1]Qc, Winter, S3'!M4*Main!$B$5)</f>
        <v>23.735928528348921</v>
      </c>
      <c r="N4" s="2">
        <f>('[1]Qc, Winter, S3'!N4*Main!$B$5)</f>
        <v>23.837018617395323</v>
      </c>
      <c r="O4" s="2">
        <f>('[1]Qc, Winter, S3'!O4*Main!$B$5)</f>
        <v>23.593775549276735</v>
      </c>
      <c r="P4" s="2">
        <f>('[1]Qc, Winter, S3'!P4*Main!$B$5)</f>
        <v>21.284308949934495</v>
      </c>
      <c r="Q4" s="2">
        <f>('[1]Qc, Winter, S3'!Q4*Main!$B$5)</f>
        <v>20.222004736873334</v>
      </c>
      <c r="R4" s="2">
        <f>('[1]Qc, Winter, S3'!R4*Main!$B$5)</f>
        <v>20.869170414380726</v>
      </c>
      <c r="S4" s="2">
        <f>('[1]Qc, Winter, S3'!S4*Main!$B$5)</f>
        <v>28.443739406564962</v>
      </c>
      <c r="T4" s="2">
        <f>('[1]Qc, Winter, S3'!T4*Main!$B$5)</f>
        <v>28.402447724288713</v>
      </c>
      <c r="U4" s="2">
        <f>('[1]Qc, Winter, S3'!U4*Main!$B$5)</f>
        <v>27.535738608350368</v>
      </c>
      <c r="V4" s="2">
        <f>('[1]Qc, Winter, S3'!V4*Main!$B$5)</f>
        <v>25.487230715025859</v>
      </c>
      <c r="W4" s="2">
        <f>('[1]Qc, Winter, S3'!W4*Main!$B$5)</f>
        <v>22.666643321748655</v>
      </c>
      <c r="X4" s="2">
        <f>('[1]Qc, Winter, S3'!X4*Main!$B$5)</f>
        <v>18.487441052454582</v>
      </c>
      <c r="Y4" s="2">
        <f>('[1]Qc, Winter, S3'!Y4*Main!$B$5)</f>
        <v>14.183428814842308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2FB1C-8FD9-4768-8219-4FF100197BFC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-14.187493183592528</v>
      </c>
      <c r="C2" s="2">
        <f>('[1]Qc, Winter, S3'!C2*Main!$B$5)</f>
        <v>-15.419856814749508</v>
      </c>
      <c r="D2" s="2">
        <f>('[1]Qc, Winter, S3'!D2*Main!$B$5)</f>
        <v>-16.609315169494934</v>
      </c>
      <c r="E2" s="2">
        <f>('[1]Qc, Winter, S3'!E2*Main!$B$5)</f>
        <v>-16.488403612883648</v>
      </c>
      <c r="F2" s="2">
        <f>('[1]Qc, Winter, S3'!F2*Main!$B$5)</f>
        <v>-17.066243643938975</v>
      </c>
      <c r="G2" s="2">
        <f>('[1]Qc, Winter, S3'!G2*Main!$B$5)</f>
        <v>-15.192169389809038</v>
      </c>
      <c r="H2" s="2">
        <f>('[1]Qc, Winter, S3'!H2*Main!$B$5)</f>
        <v>-11.313389429152524</v>
      </c>
      <c r="I2" s="2">
        <f>('[1]Qc, Winter, S3'!I2*Main!$B$5)</f>
        <v>-4.6568161976824873</v>
      </c>
      <c r="J2" s="2">
        <f>('[1]Qc, Winter, S3'!J2*Main!$B$5)</f>
        <v>-1.3714055881486604</v>
      </c>
      <c r="K2" s="2">
        <f>('[1]Qc, Winter, S3'!K2*Main!$B$5)</f>
        <v>-0.21453358341820139</v>
      </c>
      <c r="L2" s="2">
        <f>('[1]Qc, Winter, S3'!L2*Main!$B$5)</f>
        <v>-1.9259602092326014</v>
      </c>
      <c r="M2" s="2">
        <f>('[1]Qc, Winter, S3'!M2*Main!$B$5)</f>
        <v>-1.4159285454796877</v>
      </c>
      <c r="N2" s="2">
        <f>('[1]Qc, Winter, S3'!N2*Main!$B$5)</f>
        <v>-1.9598378193530963</v>
      </c>
      <c r="O2" s="2">
        <f>('[1]Qc, Winter, S3'!O2*Main!$B$5)</f>
        <v>-1.9770229722281476</v>
      </c>
      <c r="P2" s="2">
        <f>('[1]Qc, Winter, S3'!P2*Main!$B$5)</f>
        <v>-4.9979699123039101</v>
      </c>
      <c r="Q2" s="2">
        <f>('[1]Qc, Winter, S3'!Q2*Main!$B$5)</f>
        <v>-7.1978635595277281</v>
      </c>
      <c r="R2" s="2">
        <f>('[1]Qc, Winter, S3'!R2*Main!$B$5)</f>
        <v>-6.4011850432933324</v>
      </c>
      <c r="S2" s="2">
        <f>('[1]Qc, Winter, S3'!S2*Main!$B$5)</f>
        <v>-2.1850622360215248</v>
      </c>
      <c r="T2" s="2">
        <f>('[1]Qc, Winter, S3'!T2*Main!$B$5)</f>
        <v>-3.1784820315047897</v>
      </c>
      <c r="U2" s="2">
        <f>('[1]Qc, Winter, S3'!U2*Main!$B$5)</f>
        <v>-3.9955038189247345</v>
      </c>
      <c r="V2" s="2">
        <f>('[1]Qc, Winter, S3'!V2*Main!$B$5)</f>
        <v>-6.2762284467783243</v>
      </c>
      <c r="W2" s="2">
        <f>('[1]Qc, Winter, S3'!W2*Main!$B$5)</f>
        <v>-8.1469521173024742</v>
      </c>
      <c r="X2" s="2">
        <f>('[1]Qc, Winter, S3'!X2*Main!$B$5)</f>
        <v>-10.930244336723964</v>
      </c>
      <c r="Y2" s="2">
        <f>('[1]Qc, Winter, S3'!Y2*Main!$B$5)</f>
        <v>-12.302919805620178</v>
      </c>
    </row>
    <row r="3" spans="1:25" x14ac:dyDescent="0.3">
      <c r="A3">
        <v>2</v>
      </c>
      <c r="B3" s="2">
        <f>('[1]Qc, Winter, S3'!B3*Main!$B$5)</f>
        <v>16.073609349371562</v>
      </c>
      <c r="C3" s="2">
        <f>('[1]Qc, Winter, S3'!C3*Main!$B$5)</f>
        <v>19.910617584595471</v>
      </c>
      <c r="D3" s="2">
        <f>('[1]Qc, Winter, S3'!D3*Main!$B$5)</f>
        <v>19.910617584595471</v>
      </c>
      <c r="E3" s="2">
        <f>('[1]Qc, Winter, S3'!E3*Main!$B$5)</f>
        <v>19.910617584595471</v>
      </c>
      <c r="F3" s="2">
        <f>('[1]Qc, Winter, S3'!F3*Main!$B$5)</f>
        <v>19.910617584595471</v>
      </c>
      <c r="G3" s="2">
        <f>('[1]Qc, Winter, S3'!G3*Main!$B$5)</f>
        <v>16.132642389341697</v>
      </c>
      <c r="H3" s="2">
        <f>('[1]Qc, Winter, S3'!H3*Main!$B$5)</f>
        <v>7.3173669669865733</v>
      </c>
      <c r="I3" s="2">
        <f>('[1]Qc, Winter, S3'!I3*Main!$B$5)</f>
        <v>0.94203515378428182</v>
      </c>
      <c r="J3" s="2">
        <f>('[1]Qc, Winter, S3'!J3*Main!$B$5)</f>
        <v>-5.5119989482535061</v>
      </c>
      <c r="K3" s="2">
        <f>('[1]Qc, Winter, S3'!K3*Main!$B$5)</f>
        <v>-5.5119989482535061</v>
      </c>
      <c r="L3" s="2">
        <f>('[1]Qc, Winter, S3'!L3*Main!$B$5)</f>
        <v>-0.47469868791513464</v>
      </c>
      <c r="M3" s="2">
        <f>('[1]Qc, Winter, S3'!M3*Main!$B$5)</f>
        <v>-5.7481311081340527</v>
      </c>
      <c r="N3" s="2">
        <f>('[1]Qc, Winter, S3'!N3*Main!$B$5)</f>
        <v>-5.7481311081340527</v>
      </c>
      <c r="O3" s="2">
        <f>('[1]Qc, Winter, S3'!O3*Main!$B$5)</f>
        <v>-4.4494506830693688</v>
      </c>
      <c r="P3" s="2">
        <f>('[1]Qc, Winter, S3'!P3*Main!$B$5)</f>
        <v>-0.55340940787531756</v>
      </c>
      <c r="Q3" s="2">
        <f>('[1]Qc, Winter, S3'!Q3*Main!$B$5)</f>
        <v>3.3426192040131921</v>
      </c>
      <c r="R3" s="2">
        <f>('[1]Qc, Winter, S3'!R3*Main!$B$5)</f>
        <v>4.6412954079760294</v>
      </c>
      <c r="S3" s="2">
        <f>('[1]Qc, Winter, S3'!S3*Main!$B$5)</f>
        <v>4.6412954079760294</v>
      </c>
      <c r="T3" s="2">
        <f>('[1]Qc, Winter, S3'!T3*Main!$B$5)</f>
        <v>4.6412954079760294</v>
      </c>
      <c r="U3" s="2">
        <f>('[1]Qc, Winter, S3'!U3*Main!$B$5)</f>
        <v>4.6412954079760294</v>
      </c>
      <c r="V3" s="2">
        <f>('[1]Qc, Winter, S3'!V3*Main!$B$5)</f>
        <v>4.6412954079760294</v>
      </c>
      <c r="W3" s="2">
        <f>('[1]Qc, Winter, S3'!W3*Main!$B$5)</f>
        <v>9.678595623998369</v>
      </c>
      <c r="X3" s="2">
        <f>('[1]Qc, Winter, S3'!X3*Main!$B$5)</f>
        <v>14.794606604296922</v>
      </c>
      <c r="Y3" s="2">
        <f>('[1]Qc, Winter, S3'!Y3*Main!$B$5)</f>
        <v>14.794606604296922</v>
      </c>
    </row>
    <row r="4" spans="1:25" x14ac:dyDescent="0.3">
      <c r="A4">
        <v>3</v>
      </c>
      <c r="B4" s="2">
        <f>('[1]Qc, Winter, S3'!B4*Main!$B$5)</f>
        <v>10.906723820671267</v>
      </c>
      <c r="C4" s="2">
        <f>('[1]Qc, Winter, S3'!C4*Main!$B$5)</f>
        <v>8.4131471465019967</v>
      </c>
      <c r="D4" s="2">
        <f>('[1]Qc, Winter, S3'!D4*Main!$B$5)</f>
        <v>7.20208450664175</v>
      </c>
      <c r="E4" s="2">
        <f>('[1]Qc, Winter, S3'!E4*Main!$B$5)</f>
        <v>7.0477183191495101</v>
      </c>
      <c r="F4" s="2">
        <f>('[1]Qc, Winter, S3'!F4*Main!$B$5)</f>
        <v>8.0101601616392255</v>
      </c>
      <c r="G4" s="2">
        <f>('[1]Qc, Winter, S3'!G4*Main!$B$5)</f>
        <v>9.9457175895465824</v>
      </c>
      <c r="H4" s="2">
        <f>('[1]Qc, Winter, S3'!H4*Main!$B$5)</f>
        <v>15.43086235665432</v>
      </c>
      <c r="I4" s="2">
        <f>('[1]Qc, Winter, S3'!I4*Main!$B$5)</f>
        <v>18.8381303527608</v>
      </c>
      <c r="J4" s="2">
        <f>('[1]Qc, Winter, S3'!J4*Main!$B$5)</f>
        <v>21.76479134544628</v>
      </c>
      <c r="K4" s="2">
        <f>('[1]Qc, Winter, S3'!K4*Main!$B$5)</f>
        <v>23.967040266955138</v>
      </c>
      <c r="L4" s="2">
        <f>('[1]Qc, Winter, S3'!L4*Main!$B$5)</f>
        <v>24.169303708724676</v>
      </c>
      <c r="M4" s="2">
        <f>('[1]Qc, Winter, S3'!M4*Main!$B$5)</f>
        <v>23.735928528348921</v>
      </c>
      <c r="N4" s="2">
        <f>('[1]Qc, Winter, S3'!N4*Main!$B$5)</f>
        <v>23.837018617395323</v>
      </c>
      <c r="O4" s="2">
        <f>('[1]Qc, Winter, S3'!O4*Main!$B$5)</f>
        <v>23.593775549276735</v>
      </c>
      <c r="P4" s="2">
        <f>('[1]Qc, Winter, S3'!P4*Main!$B$5)</f>
        <v>21.284308949934495</v>
      </c>
      <c r="Q4" s="2">
        <f>('[1]Qc, Winter, S3'!Q4*Main!$B$5)</f>
        <v>20.222004736873334</v>
      </c>
      <c r="R4" s="2">
        <f>('[1]Qc, Winter, S3'!R4*Main!$B$5)</f>
        <v>20.869170414380726</v>
      </c>
      <c r="S4" s="2">
        <f>('[1]Qc, Winter, S3'!S4*Main!$B$5)</f>
        <v>28.443739406564962</v>
      </c>
      <c r="T4" s="2">
        <f>('[1]Qc, Winter, S3'!T4*Main!$B$5)</f>
        <v>28.402447724288713</v>
      </c>
      <c r="U4" s="2">
        <f>('[1]Qc, Winter, S3'!U4*Main!$B$5)</f>
        <v>27.535738608350368</v>
      </c>
      <c r="V4" s="2">
        <f>('[1]Qc, Winter, S3'!V4*Main!$B$5)</f>
        <v>25.487230715025859</v>
      </c>
      <c r="W4" s="2">
        <f>('[1]Qc, Winter, S3'!W4*Main!$B$5)</f>
        <v>22.666643321748655</v>
      </c>
      <c r="X4" s="2">
        <f>('[1]Qc, Winter, S3'!X4*Main!$B$5)</f>
        <v>18.487441052454582</v>
      </c>
      <c r="Y4" s="2">
        <f>('[1]Qc, Winter, S3'!Y4*Main!$B$5)</f>
        <v>14.183428814842308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C93A0-0BE5-4740-9A7A-7931CB930513}">
  <dimension ref="A1:Y4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Ratio'!$A$2:$B$21,2,FALSE)</f>
        <v>2.7890167451887411</v>
      </c>
      <c r="C2" s="2">
        <f>('FL Characterization'!C$4-'FL Characterization'!C$2)*VLOOKUP($A2,'FL Ratio'!$A$2:$B$21,2,FALSE)</f>
        <v>3.070353491691554</v>
      </c>
      <c r="D2" s="2">
        <f>('FL Characterization'!D$4-'FL Characterization'!D$2)*VLOOKUP($A2,'FL Ratio'!$A$2:$B$21,2,FALSE)</f>
        <v>3.9963567180660062</v>
      </c>
      <c r="E2" s="2">
        <f>('FL Characterization'!E$4-'FL Characterization'!E$2)*VLOOKUP($A2,'FL Ratio'!$A$2:$B$21,2,FALSE)</f>
        <v>4.5816622837534426</v>
      </c>
      <c r="F2" s="2">
        <f>('FL Characterization'!F$4-'FL Characterization'!F$2)*VLOOKUP($A2,'FL Ratio'!$A$2:$B$21,2,FALSE)</f>
        <v>5.3869933068952713</v>
      </c>
      <c r="G2" s="2">
        <f>('FL Characterization'!G$4-'FL Characterization'!G$2)*VLOOKUP($A2,'FL Ratio'!$A$2:$B$21,2,FALSE)</f>
        <v>6.297007321511586</v>
      </c>
      <c r="H2" s="2">
        <f>('FL Characterization'!H$4-'FL Characterization'!H$2)*VLOOKUP($A2,'FL Ratio'!$A$2:$B$21,2,FALSE)</f>
        <v>5.6132174805022759</v>
      </c>
      <c r="I2" s="2">
        <f>('FL Characterization'!I$4-'FL Characterization'!I$2)*VLOOKUP($A2,'FL Ratio'!$A$2:$B$21,2,FALSE)</f>
        <v>8.0247111702905105</v>
      </c>
      <c r="J2" s="2">
        <f>('FL Characterization'!J$4-'FL Characterization'!J$2)*VLOOKUP($A2,'FL Ratio'!$A$2:$B$21,2,FALSE)</f>
        <v>7.3617768228787757</v>
      </c>
      <c r="K2" s="2">
        <f>('FL Characterization'!K$4-'FL Characterization'!K$2)*VLOOKUP($A2,'FL Ratio'!$A$2:$B$21,2,FALSE)</f>
        <v>8.3146990845078719</v>
      </c>
      <c r="L2" s="2">
        <f>('FL Characterization'!L$4-'FL Characterization'!L$2)*VLOOKUP($A2,'FL Ratio'!$A$2:$B$21,2,FALSE)</f>
        <v>8.5452874632565923</v>
      </c>
      <c r="M2" s="2">
        <f>('FL Characterization'!M$4-'FL Characterization'!M$2)*VLOOKUP($A2,'FL Ratio'!$A$2:$B$21,2,FALSE)</f>
        <v>7.9264586226752778</v>
      </c>
      <c r="N2" s="2">
        <f>('FL Characterization'!N$4-'FL Characterization'!N$2)*VLOOKUP($A2,'FL Ratio'!$A$2:$B$21,2,FALSE)</f>
        <v>7.4774668804186462</v>
      </c>
      <c r="O2" s="2">
        <f>('FL Characterization'!O$4-'FL Characterization'!O$2)*VLOOKUP($A2,'FL Ratio'!$A$2:$B$21,2,FALSE)</f>
        <v>6.8840894662832586</v>
      </c>
      <c r="P2" s="2">
        <f>('FL Characterization'!P$4-'FL Characterization'!P$2)*VLOOKUP($A2,'FL Ratio'!$A$2:$B$21,2,FALSE)</f>
        <v>6.3409969644886868</v>
      </c>
      <c r="Q2" s="2">
        <f>('FL Characterization'!Q$4-'FL Characterization'!Q$2)*VLOOKUP($A2,'FL Ratio'!$A$2:$B$21,2,FALSE)</f>
        <v>5.706816163342495</v>
      </c>
      <c r="R2" s="2">
        <f>('FL Characterization'!R$4-'FL Characterization'!R$2)*VLOOKUP($A2,'FL Ratio'!$A$2:$B$21,2,FALSE)</f>
        <v>5.6474166278738505</v>
      </c>
      <c r="S2" s="2">
        <f>('FL Characterization'!S$4-'FL Characterization'!S$2)*VLOOKUP($A2,'FL Ratio'!$A$2:$B$21,2,FALSE)</f>
        <v>4.4745075300748027</v>
      </c>
      <c r="T2" s="2">
        <f>('FL Characterization'!T$4-'FL Characterization'!T$2)*VLOOKUP($A2,'FL Ratio'!$A$2:$B$21,2,FALSE)</f>
        <v>3.7021204625602495</v>
      </c>
      <c r="U2" s="2">
        <f>('FL Characterization'!U$4-'FL Characterization'!U$2)*VLOOKUP($A2,'FL Ratio'!$A$2:$B$21,2,FALSE)</f>
        <v>4.3930552411909485</v>
      </c>
      <c r="V2" s="2">
        <f>('FL Characterization'!V$4-'FL Characterization'!V$2)*VLOOKUP($A2,'FL Ratio'!$A$2:$B$21,2,FALSE)</f>
        <v>4.4760910027368404</v>
      </c>
      <c r="W2" s="2">
        <f>('FL Characterization'!W$4-'FL Characterization'!W$2)*VLOOKUP($A2,'FL Ratio'!$A$2:$B$21,2,FALSE)</f>
        <v>5.1152732602180055</v>
      </c>
      <c r="X2" s="2">
        <f>('FL Characterization'!X$4-'FL Characterization'!X$2)*VLOOKUP($A2,'FL Ratio'!$A$2:$B$21,2,FALSE)</f>
        <v>2.4837348023331591</v>
      </c>
      <c r="Y2" s="2">
        <f>('FL Characterization'!Y$4-'FL Characterization'!Y$2)*VLOOKUP($A2,'FL Ratio'!$A$2:$B$21,2,FALSE)</f>
        <v>2.384671207744689</v>
      </c>
    </row>
    <row r="3" spans="1:25" x14ac:dyDescent="0.3">
      <c r="A3">
        <v>2</v>
      </c>
      <c r="B3" s="2">
        <f>('FL Characterization'!B$4-'FL Characterization'!B$2)*VLOOKUP($A3,'FL Ratio'!$A$2:$B$21,2,FALSE)</f>
        <v>2.7890167451887411</v>
      </c>
      <c r="C3" s="2">
        <f>('FL Characterization'!C$4-'FL Characterization'!C$2)*VLOOKUP($A3,'FL Ratio'!$A$2:$B$21,2,FALSE)</f>
        <v>3.070353491691554</v>
      </c>
      <c r="D3" s="2">
        <f>('FL Characterization'!D$4-'FL Characterization'!D$2)*VLOOKUP($A3,'FL Ratio'!$A$2:$B$21,2,FALSE)</f>
        <v>3.9963567180660062</v>
      </c>
      <c r="E3" s="2">
        <f>('FL Characterization'!E$4-'FL Characterization'!E$2)*VLOOKUP($A3,'FL Ratio'!$A$2:$B$21,2,FALSE)</f>
        <v>4.5816622837534426</v>
      </c>
      <c r="F3" s="2">
        <f>('FL Characterization'!F$4-'FL Characterization'!F$2)*VLOOKUP($A3,'FL Ratio'!$A$2:$B$21,2,FALSE)</f>
        <v>5.3869933068952713</v>
      </c>
      <c r="G3" s="2">
        <f>('FL Characterization'!G$4-'FL Characterization'!G$2)*VLOOKUP($A3,'FL Ratio'!$A$2:$B$21,2,FALSE)</f>
        <v>6.297007321511586</v>
      </c>
      <c r="H3" s="2">
        <f>('FL Characterization'!H$4-'FL Characterization'!H$2)*VLOOKUP($A3,'FL Ratio'!$A$2:$B$21,2,FALSE)</f>
        <v>5.6132174805022759</v>
      </c>
      <c r="I3" s="2">
        <f>('FL Characterization'!I$4-'FL Characterization'!I$2)*VLOOKUP($A3,'FL Ratio'!$A$2:$B$21,2,FALSE)</f>
        <v>8.0247111702905105</v>
      </c>
      <c r="J3" s="2">
        <f>('FL Characterization'!J$4-'FL Characterization'!J$2)*VLOOKUP($A3,'FL Ratio'!$A$2:$B$21,2,FALSE)</f>
        <v>7.3617768228787757</v>
      </c>
      <c r="K3" s="2">
        <f>('FL Characterization'!K$4-'FL Characterization'!K$2)*VLOOKUP($A3,'FL Ratio'!$A$2:$B$21,2,FALSE)</f>
        <v>8.3146990845078719</v>
      </c>
      <c r="L3" s="2">
        <f>('FL Characterization'!L$4-'FL Characterization'!L$2)*VLOOKUP($A3,'FL Ratio'!$A$2:$B$21,2,FALSE)</f>
        <v>8.5452874632565923</v>
      </c>
      <c r="M3" s="2">
        <f>('FL Characterization'!M$4-'FL Characterization'!M$2)*VLOOKUP($A3,'FL Ratio'!$A$2:$B$21,2,FALSE)</f>
        <v>7.9264586226752778</v>
      </c>
      <c r="N3" s="2">
        <f>('FL Characterization'!N$4-'FL Characterization'!N$2)*VLOOKUP($A3,'FL Ratio'!$A$2:$B$21,2,FALSE)</f>
        <v>7.4774668804186462</v>
      </c>
      <c r="O3" s="2">
        <f>('FL Characterization'!O$4-'FL Characterization'!O$2)*VLOOKUP($A3,'FL Ratio'!$A$2:$B$21,2,FALSE)</f>
        <v>6.8840894662832586</v>
      </c>
      <c r="P3" s="2">
        <f>('FL Characterization'!P$4-'FL Characterization'!P$2)*VLOOKUP($A3,'FL Ratio'!$A$2:$B$21,2,FALSE)</f>
        <v>6.3409969644886868</v>
      </c>
      <c r="Q3" s="2">
        <f>('FL Characterization'!Q$4-'FL Characterization'!Q$2)*VLOOKUP($A3,'FL Ratio'!$A$2:$B$21,2,FALSE)</f>
        <v>5.706816163342495</v>
      </c>
      <c r="R3" s="2">
        <f>('FL Characterization'!R$4-'FL Characterization'!R$2)*VLOOKUP($A3,'FL Ratio'!$A$2:$B$21,2,FALSE)</f>
        <v>5.6474166278738505</v>
      </c>
      <c r="S3" s="2">
        <f>('FL Characterization'!S$4-'FL Characterization'!S$2)*VLOOKUP($A3,'FL Ratio'!$A$2:$B$21,2,FALSE)</f>
        <v>4.4745075300748027</v>
      </c>
      <c r="T3" s="2">
        <f>('FL Characterization'!T$4-'FL Characterization'!T$2)*VLOOKUP($A3,'FL Ratio'!$A$2:$B$21,2,FALSE)</f>
        <v>3.7021204625602495</v>
      </c>
      <c r="U3" s="2">
        <f>('FL Characterization'!U$4-'FL Characterization'!U$2)*VLOOKUP($A3,'FL Ratio'!$A$2:$B$21,2,FALSE)</f>
        <v>4.3930552411909485</v>
      </c>
      <c r="V3" s="2">
        <f>('FL Characterization'!V$4-'FL Characterization'!V$2)*VLOOKUP($A3,'FL Ratio'!$A$2:$B$21,2,FALSE)</f>
        <v>4.4760910027368404</v>
      </c>
      <c r="W3" s="2">
        <f>('FL Characterization'!W$4-'FL Characterization'!W$2)*VLOOKUP($A3,'FL Ratio'!$A$2:$B$21,2,FALSE)</f>
        <v>5.1152732602180055</v>
      </c>
      <c r="X3" s="2">
        <f>('FL Characterization'!X$4-'FL Characterization'!X$2)*VLOOKUP($A3,'FL Ratio'!$A$2:$B$21,2,FALSE)</f>
        <v>2.4837348023331591</v>
      </c>
      <c r="Y3" s="2">
        <f>('FL Characterization'!Y$4-'FL Characterization'!Y$2)*VLOOKUP($A3,'FL Ratio'!$A$2:$B$21,2,FALSE)</f>
        <v>2.384671207744689</v>
      </c>
    </row>
    <row r="4" spans="1:25" x14ac:dyDescent="0.3">
      <c r="A4">
        <v>3</v>
      </c>
      <c r="B4" s="2">
        <f>('FL Characterization'!B$4-'FL Characterization'!B$2)*VLOOKUP($A4,'FL Ratio'!$A$2:$B$21,2,FALSE)</f>
        <v>2.7890167451887411</v>
      </c>
      <c r="C4" s="2">
        <f>('FL Characterization'!C$4-'FL Characterization'!C$2)*VLOOKUP($A4,'FL Ratio'!$A$2:$B$21,2,FALSE)</f>
        <v>3.070353491691554</v>
      </c>
      <c r="D4" s="2">
        <f>('FL Characterization'!D$4-'FL Characterization'!D$2)*VLOOKUP($A4,'FL Ratio'!$A$2:$B$21,2,FALSE)</f>
        <v>3.9963567180660062</v>
      </c>
      <c r="E4" s="2">
        <f>('FL Characterization'!E$4-'FL Characterization'!E$2)*VLOOKUP($A4,'FL Ratio'!$A$2:$B$21,2,FALSE)</f>
        <v>4.5816622837534426</v>
      </c>
      <c r="F4" s="2">
        <f>('FL Characterization'!F$4-'FL Characterization'!F$2)*VLOOKUP($A4,'FL Ratio'!$A$2:$B$21,2,FALSE)</f>
        <v>5.3869933068952713</v>
      </c>
      <c r="G4" s="2">
        <f>('FL Characterization'!G$4-'FL Characterization'!G$2)*VLOOKUP($A4,'FL Ratio'!$A$2:$B$21,2,FALSE)</f>
        <v>6.297007321511586</v>
      </c>
      <c r="H4" s="2">
        <f>('FL Characterization'!H$4-'FL Characterization'!H$2)*VLOOKUP($A4,'FL Ratio'!$A$2:$B$21,2,FALSE)</f>
        <v>5.6132174805022759</v>
      </c>
      <c r="I4" s="2">
        <f>('FL Characterization'!I$4-'FL Characterization'!I$2)*VLOOKUP($A4,'FL Ratio'!$A$2:$B$21,2,FALSE)</f>
        <v>8.0247111702905105</v>
      </c>
      <c r="J4" s="2">
        <f>('FL Characterization'!J$4-'FL Characterization'!J$2)*VLOOKUP($A4,'FL Ratio'!$A$2:$B$21,2,FALSE)</f>
        <v>7.3617768228787757</v>
      </c>
      <c r="K4" s="2">
        <f>('FL Characterization'!K$4-'FL Characterization'!K$2)*VLOOKUP($A4,'FL Ratio'!$A$2:$B$21,2,FALSE)</f>
        <v>8.3146990845078719</v>
      </c>
      <c r="L4" s="2">
        <f>('FL Characterization'!L$4-'FL Characterization'!L$2)*VLOOKUP($A4,'FL Ratio'!$A$2:$B$21,2,FALSE)</f>
        <v>8.5452874632565923</v>
      </c>
      <c r="M4" s="2">
        <f>('FL Characterization'!M$4-'FL Characterization'!M$2)*VLOOKUP($A4,'FL Ratio'!$A$2:$B$21,2,FALSE)</f>
        <v>7.9264586226752778</v>
      </c>
      <c r="N4" s="2">
        <f>('FL Characterization'!N$4-'FL Characterization'!N$2)*VLOOKUP($A4,'FL Ratio'!$A$2:$B$21,2,FALSE)</f>
        <v>7.4774668804186462</v>
      </c>
      <c r="O4" s="2">
        <f>('FL Characterization'!O$4-'FL Characterization'!O$2)*VLOOKUP($A4,'FL Ratio'!$A$2:$B$21,2,FALSE)</f>
        <v>6.8840894662832586</v>
      </c>
      <c r="P4" s="2">
        <f>('FL Characterization'!P$4-'FL Characterization'!P$2)*VLOOKUP($A4,'FL Ratio'!$A$2:$B$21,2,FALSE)</f>
        <v>6.3409969644886868</v>
      </c>
      <c r="Q4" s="2">
        <f>('FL Characterization'!Q$4-'FL Characterization'!Q$2)*VLOOKUP($A4,'FL Ratio'!$A$2:$B$21,2,FALSE)</f>
        <v>5.706816163342495</v>
      </c>
      <c r="R4" s="2">
        <f>('FL Characterization'!R$4-'FL Characterization'!R$2)*VLOOKUP($A4,'FL Ratio'!$A$2:$B$21,2,FALSE)</f>
        <v>5.6474166278738505</v>
      </c>
      <c r="S4" s="2">
        <f>('FL Characterization'!S$4-'FL Characterization'!S$2)*VLOOKUP($A4,'FL Ratio'!$A$2:$B$21,2,FALSE)</f>
        <v>4.4745075300748027</v>
      </c>
      <c r="T4" s="2">
        <f>('FL Characterization'!T$4-'FL Characterization'!T$2)*VLOOKUP($A4,'FL Ratio'!$A$2:$B$21,2,FALSE)</f>
        <v>3.7021204625602495</v>
      </c>
      <c r="U4" s="2">
        <f>('FL Characterization'!U$4-'FL Characterization'!U$2)*VLOOKUP($A4,'FL Ratio'!$A$2:$B$21,2,FALSE)</f>
        <v>4.3930552411909485</v>
      </c>
      <c r="V4" s="2">
        <f>('FL Characterization'!V$4-'FL Characterization'!V$2)*VLOOKUP($A4,'FL Ratio'!$A$2:$B$21,2,FALSE)</f>
        <v>4.4760910027368404</v>
      </c>
      <c r="W4" s="2">
        <f>('FL Characterization'!W$4-'FL Characterization'!W$2)*VLOOKUP($A4,'FL Ratio'!$A$2:$B$21,2,FALSE)</f>
        <v>5.1152732602180055</v>
      </c>
      <c r="X4" s="2">
        <f>('FL Characterization'!X$4-'FL Characterization'!X$2)*VLOOKUP($A4,'FL Ratio'!$A$2:$B$21,2,FALSE)</f>
        <v>2.4837348023331591</v>
      </c>
      <c r="Y4" s="2">
        <f>('FL Characterization'!Y$4-'FL Characterization'!Y$2)*VLOOKUP($A4,'FL Ratio'!$A$2:$B$21,2,FALSE)</f>
        <v>2.384671207744689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27C5-ECAC-4498-ABD1-B02555F56FCB}">
  <dimension ref="A1:Y4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Ratio'!$A$2:$B$21,2,FALSE)</f>
        <v>7.7321742513001128</v>
      </c>
      <c r="C2" s="2">
        <f>('FL Characterization'!C$2-'FL Characterization'!C$3)*VLOOKUP($A2,'FL Ratio'!$A$2:$B$21,2,FALSE)</f>
        <v>8.1828846407143239</v>
      </c>
      <c r="D2" s="2">
        <f>('FL Characterization'!D$2-'FL Characterization'!D$3)*VLOOKUP($A2,'FL Ratio'!$A$2:$B$21,2,FALSE)</f>
        <v>8.6409330741721266</v>
      </c>
      <c r="E2" s="2">
        <f>('FL Characterization'!E$2-'FL Characterization'!E$3)*VLOOKUP($A2,'FL Ratio'!$A$2:$B$21,2,FALSE)</f>
        <v>9.0337115369264147</v>
      </c>
      <c r="F2" s="2">
        <f>('FL Characterization'!F$2-'FL Characterization'!F$3)*VLOOKUP($A2,'FL Ratio'!$A$2:$B$21,2,FALSE)</f>
        <v>9.1362510471144809</v>
      </c>
      <c r="G2" s="2">
        <f>('FL Characterization'!G$2-'FL Characterization'!G$3)*VLOOKUP($A2,'FL Ratio'!$A$2:$B$21,2,FALSE)</f>
        <v>9.5570299410877304</v>
      </c>
      <c r="H2" s="2">
        <f>('FL Characterization'!H$2-'FL Characterization'!H$3)*VLOOKUP($A2,'FL Ratio'!$A$2:$B$21,2,FALSE)</f>
        <v>9.5081740162711945</v>
      </c>
      <c r="I2" s="2">
        <f>('FL Characterization'!I$2-'FL Characterization'!I$3)*VLOOKUP($A2,'FL Ratio'!$A$2:$B$21,2,FALSE)</f>
        <v>8.9874432381673532</v>
      </c>
      <c r="J2" s="2">
        <f>('FL Characterization'!J$2-'FL Characterization'!J$3)*VLOOKUP($A2,'FL Ratio'!$A$2:$B$21,2,FALSE)</f>
        <v>8.1429888538878554</v>
      </c>
      <c r="K2" s="2">
        <f>('FL Characterization'!K$2-'FL Characterization'!K$3)*VLOOKUP($A2,'FL Ratio'!$A$2:$B$21,2,FALSE)</f>
        <v>11.957748292517218</v>
      </c>
      <c r="L2" s="2">
        <f>('FL Characterization'!L$2-'FL Characterization'!L$3)*VLOOKUP($A2,'FL Ratio'!$A$2:$B$21,2,FALSE)</f>
        <v>11.677222592987647</v>
      </c>
      <c r="M2" s="2">
        <f>('FL Characterization'!M$2-'FL Characterization'!M$3)*VLOOKUP($A2,'FL Ratio'!$A$2:$B$21,2,FALSE)</f>
        <v>10.752629043495251</v>
      </c>
      <c r="N2" s="2">
        <f>('FL Characterization'!N$2-'FL Characterization'!N$3)*VLOOKUP($A2,'FL Ratio'!$A$2:$B$21,2,FALSE)</f>
        <v>10.491356054258992</v>
      </c>
      <c r="O2" s="2">
        <f>('FL Characterization'!O$2-'FL Characterization'!O$3)*VLOOKUP($A2,'FL Ratio'!$A$2:$B$21,2,FALSE)</f>
        <v>10.534476718336196</v>
      </c>
      <c r="P2" s="2">
        <f>('FL Characterization'!P$2-'FL Characterization'!P$3)*VLOOKUP($A2,'FL Ratio'!$A$2:$B$21,2,FALSE)</f>
        <v>10.035393170160948</v>
      </c>
      <c r="Q2" s="2">
        <f>('FL Characterization'!Q$2-'FL Characterization'!Q$3)*VLOOKUP($A2,'FL Ratio'!$A$2:$B$21,2,FALSE)</f>
        <v>9.1989333917605176</v>
      </c>
      <c r="R2" s="2">
        <f>('FL Characterization'!R$2-'FL Characterization'!R$3)*VLOOKUP($A2,'FL Ratio'!$A$2:$B$21,2,FALSE)</f>
        <v>8.2673493897844939</v>
      </c>
      <c r="S2" s="2">
        <f>('FL Characterization'!S$2-'FL Characterization'!S$3)*VLOOKUP($A2,'FL Ratio'!$A$2:$B$21,2,FALSE)</f>
        <v>7.9707765465701215</v>
      </c>
      <c r="T2" s="2">
        <f>('FL Characterization'!T$2-'FL Characterization'!T$3)*VLOOKUP($A2,'FL Ratio'!$A$2:$B$21,2,FALSE)</f>
        <v>5.0103971623213228</v>
      </c>
      <c r="U2" s="2">
        <f>('FL Characterization'!U$2-'FL Characterization'!U$3)*VLOOKUP($A2,'FL Ratio'!$A$2:$B$21,2,FALSE)</f>
        <v>5.3581625180608494</v>
      </c>
      <c r="V2" s="2">
        <f>('FL Characterization'!V$2-'FL Characterization'!V$3)*VLOOKUP($A2,'FL Ratio'!$A$2:$B$21,2,FALSE)</f>
        <v>5.8581922877048758</v>
      </c>
      <c r="W2" s="2">
        <f>('FL Characterization'!W$2-'FL Characterization'!W$3)*VLOOKUP($A2,'FL Ratio'!$A$2:$B$21,2,FALSE)</f>
        <v>5.9979820267352739</v>
      </c>
      <c r="X2" s="2">
        <f>('FL Characterization'!X$2-'FL Characterization'!X$3)*VLOOKUP($A2,'FL Ratio'!$A$2:$B$21,2,FALSE)</f>
        <v>6.2554894407386374</v>
      </c>
      <c r="Y2" s="2">
        <f>('FL Characterization'!Y$2-'FL Characterization'!Y$3)*VLOOKUP($A2,'FL Ratio'!$A$2:$B$21,2,FALSE)</f>
        <v>6.9049063385963914</v>
      </c>
    </row>
    <row r="3" spans="1:25" x14ac:dyDescent="0.3">
      <c r="A3">
        <v>2</v>
      </c>
      <c r="B3" s="2">
        <f>('FL Characterization'!B$2-'FL Characterization'!B$3)*VLOOKUP($A3,'FL Ratio'!$A$2:$B$21,2,FALSE)</f>
        <v>7.7321742513001128</v>
      </c>
      <c r="C3" s="2">
        <f>('FL Characterization'!C$2-'FL Characterization'!C$3)*VLOOKUP($A3,'FL Ratio'!$A$2:$B$21,2,FALSE)</f>
        <v>8.1828846407143239</v>
      </c>
      <c r="D3" s="2">
        <f>('FL Characterization'!D$2-'FL Characterization'!D$3)*VLOOKUP($A3,'FL Ratio'!$A$2:$B$21,2,FALSE)</f>
        <v>8.6409330741721266</v>
      </c>
      <c r="E3" s="2">
        <f>('FL Characterization'!E$2-'FL Characterization'!E$3)*VLOOKUP($A3,'FL Ratio'!$A$2:$B$21,2,FALSE)</f>
        <v>9.0337115369264147</v>
      </c>
      <c r="F3" s="2">
        <f>('FL Characterization'!F$2-'FL Characterization'!F$3)*VLOOKUP($A3,'FL Ratio'!$A$2:$B$21,2,FALSE)</f>
        <v>9.1362510471144809</v>
      </c>
      <c r="G3" s="2">
        <f>('FL Characterization'!G$2-'FL Characterization'!G$3)*VLOOKUP($A3,'FL Ratio'!$A$2:$B$21,2,FALSE)</f>
        <v>9.5570299410877304</v>
      </c>
      <c r="H3" s="2">
        <f>('FL Characterization'!H$2-'FL Characterization'!H$3)*VLOOKUP($A3,'FL Ratio'!$A$2:$B$21,2,FALSE)</f>
        <v>9.5081740162711945</v>
      </c>
      <c r="I3" s="2">
        <f>('FL Characterization'!I$2-'FL Characterization'!I$3)*VLOOKUP($A3,'FL Ratio'!$A$2:$B$21,2,FALSE)</f>
        <v>8.9874432381673532</v>
      </c>
      <c r="J3" s="2">
        <f>('FL Characterization'!J$2-'FL Characterization'!J$3)*VLOOKUP($A3,'FL Ratio'!$A$2:$B$21,2,FALSE)</f>
        <v>8.1429888538878554</v>
      </c>
      <c r="K3" s="2">
        <f>('FL Characterization'!K$2-'FL Characterization'!K$3)*VLOOKUP($A3,'FL Ratio'!$A$2:$B$21,2,FALSE)</f>
        <v>11.957748292517218</v>
      </c>
      <c r="L3" s="2">
        <f>('FL Characterization'!L$2-'FL Characterization'!L$3)*VLOOKUP($A3,'FL Ratio'!$A$2:$B$21,2,FALSE)</f>
        <v>11.677222592987647</v>
      </c>
      <c r="M3" s="2">
        <f>('FL Characterization'!M$2-'FL Characterization'!M$3)*VLOOKUP($A3,'FL Ratio'!$A$2:$B$21,2,FALSE)</f>
        <v>10.752629043495251</v>
      </c>
      <c r="N3" s="2">
        <f>('FL Characterization'!N$2-'FL Characterization'!N$3)*VLOOKUP($A3,'FL Ratio'!$A$2:$B$21,2,FALSE)</f>
        <v>10.491356054258992</v>
      </c>
      <c r="O3" s="2">
        <f>('FL Characterization'!O$2-'FL Characterization'!O$3)*VLOOKUP($A3,'FL Ratio'!$A$2:$B$21,2,FALSE)</f>
        <v>10.534476718336196</v>
      </c>
      <c r="P3" s="2">
        <f>('FL Characterization'!P$2-'FL Characterization'!P$3)*VLOOKUP($A3,'FL Ratio'!$A$2:$B$21,2,FALSE)</f>
        <v>10.035393170160948</v>
      </c>
      <c r="Q3" s="2">
        <f>('FL Characterization'!Q$2-'FL Characterization'!Q$3)*VLOOKUP($A3,'FL Ratio'!$A$2:$B$21,2,FALSE)</f>
        <v>9.1989333917605176</v>
      </c>
      <c r="R3" s="2">
        <f>('FL Characterization'!R$2-'FL Characterization'!R$3)*VLOOKUP($A3,'FL Ratio'!$A$2:$B$21,2,FALSE)</f>
        <v>8.2673493897844939</v>
      </c>
      <c r="S3" s="2">
        <f>('FL Characterization'!S$2-'FL Characterization'!S$3)*VLOOKUP($A3,'FL Ratio'!$A$2:$B$21,2,FALSE)</f>
        <v>7.9707765465701215</v>
      </c>
      <c r="T3" s="2">
        <f>('FL Characterization'!T$2-'FL Characterization'!T$3)*VLOOKUP($A3,'FL Ratio'!$A$2:$B$21,2,FALSE)</f>
        <v>5.0103971623213228</v>
      </c>
      <c r="U3" s="2">
        <f>('FL Characterization'!U$2-'FL Characterization'!U$3)*VLOOKUP($A3,'FL Ratio'!$A$2:$B$21,2,FALSE)</f>
        <v>5.3581625180608494</v>
      </c>
      <c r="V3" s="2">
        <f>('FL Characterization'!V$2-'FL Characterization'!V$3)*VLOOKUP($A3,'FL Ratio'!$A$2:$B$21,2,FALSE)</f>
        <v>5.8581922877048758</v>
      </c>
      <c r="W3" s="2">
        <f>('FL Characterization'!W$2-'FL Characterization'!W$3)*VLOOKUP($A3,'FL Ratio'!$A$2:$B$21,2,FALSE)</f>
        <v>5.9979820267352739</v>
      </c>
      <c r="X3" s="2">
        <f>('FL Characterization'!X$2-'FL Characterization'!X$3)*VLOOKUP($A3,'FL Ratio'!$A$2:$B$21,2,FALSE)</f>
        <v>6.2554894407386374</v>
      </c>
      <c r="Y3" s="2">
        <f>('FL Characterization'!Y$2-'FL Characterization'!Y$3)*VLOOKUP($A3,'FL Ratio'!$A$2:$B$21,2,FALSE)</f>
        <v>6.9049063385963914</v>
      </c>
    </row>
    <row r="4" spans="1:25" x14ac:dyDescent="0.3">
      <c r="A4">
        <v>3</v>
      </c>
      <c r="B4" s="2">
        <f>('FL Characterization'!B$2-'FL Characterization'!B$3)*VLOOKUP($A4,'FL Ratio'!$A$2:$B$21,2,FALSE)</f>
        <v>7.7321742513001128</v>
      </c>
      <c r="C4" s="2">
        <f>('FL Characterization'!C$2-'FL Characterization'!C$3)*VLOOKUP($A4,'FL Ratio'!$A$2:$B$21,2,FALSE)</f>
        <v>8.1828846407143239</v>
      </c>
      <c r="D4" s="2">
        <f>('FL Characterization'!D$2-'FL Characterization'!D$3)*VLOOKUP($A4,'FL Ratio'!$A$2:$B$21,2,FALSE)</f>
        <v>8.6409330741721266</v>
      </c>
      <c r="E4" s="2">
        <f>('FL Characterization'!E$2-'FL Characterization'!E$3)*VLOOKUP($A4,'FL Ratio'!$A$2:$B$21,2,FALSE)</f>
        <v>9.0337115369264147</v>
      </c>
      <c r="F4" s="2">
        <f>('FL Characterization'!F$2-'FL Characterization'!F$3)*VLOOKUP($A4,'FL Ratio'!$A$2:$B$21,2,FALSE)</f>
        <v>9.1362510471144809</v>
      </c>
      <c r="G4" s="2">
        <f>('FL Characterization'!G$2-'FL Characterization'!G$3)*VLOOKUP($A4,'FL Ratio'!$A$2:$B$21,2,FALSE)</f>
        <v>9.5570299410877304</v>
      </c>
      <c r="H4" s="2">
        <f>('FL Characterization'!H$2-'FL Characterization'!H$3)*VLOOKUP($A4,'FL Ratio'!$A$2:$B$21,2,FALSE)</f>
        <v>9.5081740162711945</v>
      </c>
      <c r="I4" s="2">
        <f>('FL Characterization'!I$2-'FL Characterization'!I$3)*VLOOKUP($A4,'FL Ratio'!$A$2:$B$21,2,FALSE)</f>
        <v>8.9874432381673532</v>
      </c>
      <c r="J4" s="2">
        <f>('FL Characterization'!J$2-'FL Characterization'!J$3)*VLOOKUP($A4,'FL Ratio'!$A$2:$B$21,2,FALSE)</f>
        <v>8.1429888538878554</v>
      </c>
      <c r="K4" s="2">
        <f>('FL Characterization'!K$2-'FL Characterization'!K$3)*VLOOKUP($A4,'FL Ratio'!$A$2:$B$21,2,FALSE)</f>
        <v>11.957748292517218</v>
      </c>
      <c r="L4" s="2">
        <f>('FL Characterization'!L$2-'FL Characterization'!L$3)*VLOOKUP($A4,'FL Ratio'!$A$2:$B$21,2,FALSE)</f>
        <v>11.677222592987647</v>
      </c>
      <c r="M4" s="2">
        <f>('FL Characterization'!M$2-'FL Characterization'!M$3)*VLOOKUP($A4,'FL Ratio'!$A$2:$B$21,2,FALSE)</f>
        <v>10.752629043495251</v>
      </c>
      <c r="N4" s="2">
        <f>('FL Characterization'!N$2-'FL Characterization'!N$3)*VLOOKUP($A4,'FL Ratio'!$A$2:$B$21,2,FALSE)</f>
        <v>10.491356054258992</v>
      </c>
      <c r="O4" s="2">
        <f>('FL Characterization'!O$2-'FL Characterization'!O$3)*VLOOKUP($A4,'FL Ratio'!$A$2:$B$21,2,FALSE)</f>
        <v>10.534476718336196</v>
      </c>
      <c r="P4" s="2">
        <f>('FL Characterization'!P$2-'FL Characterization'!P$3)*VLOOKUP($A4,'FL Ratio'!$A$2:$B$21,2,FALSE)</f>
        <v>10.035393170160948</v>
      </c>
      <c r="Q4" s="2">
        <f>('FL Characterization'!Q$2-'FL Characterization'!Q$3)*VLOOKUP($A4,'FL Ratio'!$A$2:$B$21,2,FALSE)</f>
        <v>9.1989333917605176</v>
      </c>
      <c r="R4" s="2">
        <f>('FL Characterization'!R$2-'FL Characterization'!R$3)*VLOOKUP($A4,'FL Ratio'!$A$2:$B$21,2,FALSE)</f>
        <v>8.2673493897844939</v>
      </c>
      <c r="S4" s="2">
        <f>('FL Characterization'!S$2-'FL Characterization'!S$3)*VLOOKUP($A4,'FL Ratio'!$A$2:$B$21,2,FALSE)</f>
        <v>7.9707765465701215</v>
      </c>
      <c r="T4" s="2">
        <f>('FL Characterization'!T$2-'FL Characterization'!T$3)*VLOOKUP($A4,'FL Ratio'!$A$2:$B$21,2,FALSE)</f>
        <v>5.0103971623213228</v>
      </c>
      <c r="U4" s="2">
        <f>('FL Characterization'!U$2-'FL Characterization'!U$3)*VLOOKUP($A4,'FL Ratio'!$A$2:$B$21,2,FALSE)</f>
        <v>5.3581625180608494</v>
      </c>
      <c r="V4" s="2">
        <f>('FL Characterization'!V$2-'FL Characterization'!V$3)*VLOOKUP($A4,'FL Ratio'!$A$2:$B$21,2,FALSE)</f>
        <v>5.8581922877048758</v>
      </c>
      <c r="W4" s="2">
        <f>('FL Characterization'!W$2-'FL Characterization'!W$3)*VLOOKUP($A4,'FL Ratio'!$A$2:$B$21,2,FALSE)</f>
        <v>5.9979820267352739</v>
      </c>
      <c r="X4" s="2">
        <f>('FL Characterization'!X$2-'FL Characterization'!X$3)*VLOOKUP($A4,'FL Ratio'!$A$2:$B$21,2,FALSE)</f>
        <v>6.2554894407386374</v>
      </c>
      <c r="Y4" s="2">
        <f>('FL Characterization'!Y$2-'FL Characterization'!Y$3)*VLOOKUP($A4,'FL Ratio'!$A$2:$B$21,2,FALSE)</f>
        <v>6.9049063385963914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C6C14-5D41-4BE0-A146-2AAE7ACE2474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Winter'!B$5</f>
        <v>24.396828582898433</v>
      </c>
      <c r="C5" s="9">
        <f>VLOOKUP($A5,'RES installed'!$A$2:$C$7,3,FALSE)*'[1]Profiles, RES, Winter'!C$5</f>
        <v>26.248494580489762</v>
      </c>
      <c r="D5" s="9">
        <f>VLOOKUP($A5,'RES installed'!$A$2:$C$7,3,FALSE)*'[1]Profiles, RES, Winter'!D$5</f>
        <v>26.113006824568448</v>
      </c>
      <c r="E5" s="9">
        <f>VLOOKUP($A5,'RES installed'!$A$2:$C$7,3,FALSE)*'[1]Profiles, RES, Winter'!E$5</f>
        <v>26.167201926936976</v>
      </c>
      <c r="F5" s="9">
        <f>VLOOKUP($A5,'RES installed'!$A$2:$C$7,3,FALSE)*'[1]Profiles, RES, Winter'!F$5</f>
        <v>27.088518667201928</v>
      </c>
      <c r="G5" s="9">
        <f>VLOOKUP($A5,'RES installed'!$A$2:$C$7,3,FALSE)*'[1]Profiles, RES, Winter'!G$5</f>
        <v>28.596949016459256</v>
      </c>
      <c r="H5" s="9">
        <f>VLOOKUP($A5,'RES installed'!$A$2:$C$7,3,FALSE)*'[1]Profiles, RES, Winter'!H$5</f>
        <v>30.466680048173423</v>
      </c>
      <c r="I5" s="9">
        <f>VLOOKUP($A5,'RES installed'!$A$2:$C$7,3,FALSE)*'[1]Profiles, RES, Winter'!I$5</f>
        <v>30.520875150541951</v>
      </c>
      <c r="J5" s="9">
        <f>VLOOKUP($A5,'RES installed'!$A$2:$C$7,3,FALSE)*'[1]Profiles, RES, Winter'!J$5</f>
        <v>30.249899638699318</v>
      </c>
      <c r="K5" s="9">
        <f>VLOOKUP($A5,'RES installed'!$A$2:$C$7,3,FALSE)*'[1]Profiles, RES, Winter'!K$5</f>
        <v>28.389201124046568</v>
      </c>
      <c r="L5" s="9">
        <f>VLOOKUP($A5,'RES installed'!$A$2:$C$7,3,FALSE)*'[1]Profiles, RES, Winter'!L$5</f>
        <v>24.758129265355279</v>
      </c>
      <c r="M5" s="9">
        <f>VLOOKUP($A5,'RES installed'!$A$2:$C$7,3,FALSE)*'[1]Profiles, RES, Winter'!M$5</f>
        <v>22.780008028904053</v>
      </c>
      <c r="N5" s="9">
        <f>VLOOKUP($A5,'RES installed'!$A$2:$C$7,3,FALSE)*'[1]Profiles, RES, Winter'!N$5</f>
        <v>21.885788839823366</v>
      </c>
      <c r="O5" s="9">
        <f>VLOOKUP($A5,'RES installed'!$A$2:$C$7,3,FALSE)*'[1]Profiles, RES, Winter'!O$5</f>
        <v>20.39542352468888</v>
      </c>
      <c r="P5" s="9">
        <f>VLOOKUP($A5,'RES installed'!$A$2:$C$7,3,FALSE)*'[1]Profiles, RES, Winter'!P$5</f>
        <v>18.643115214773182</v>
      </c>
      <c r="Q5" s="9">
        <f>VLOOKUP($A5,'RES installed'!$A$2:$C$7,3,FALSE)*'[1]Profiles, RES, Winter'!Q$5</f>
        <v>18.805700521878762</v>
      </c>
      <c r="R5" s="9">
        <f>VLOOKUP($A5,'RES installed'!$A$2:$C$7,3,FALSE)*'[1]Profiles, RES, Winter'!R$5</f>
        <v>19.51023685266961</v>
      </c>
      <c r="S5" s="9">
        <f>VLOOKUP($A5,'RES installed'!$A$2:$C$7,3,FALSE)*'[1]Profiles, RES, Winter'!S$5</f>
        <v>22.481934965877159</v>
      </c>
      <c r="T5" s="9">
        <f>VLOOKUP($A5,'RES installed'!$A$2:$C$7,3,FALSE)*'[1]Profiles, RES, Winter'!T$5</f>
        <v>24.342633480529908</v>
      </c>
      <c r="U5" s="9">
        <f>VLOOKUP($A5,'RES installed'!$A$2:$C$7,3,FALSE)*'[1]Profiles, RES, Winter'!U$5</f>
        <v>24.947812123645122</v>
      </c>
      <c r="V5" s="9">
        <f>VLOOKUP($A5,'RES installed'!$A$2:$C$7,3,FALSE)*'[1]Profiles, RES, Winter'!V$5</f>
        <v>24.125853071055801</v>
      </c>
      <c r="W5" s="9">
        <f>VLOOKUP($A5,'RES installed'!$A$2:$C$7,3,FALSE)*'[1]Profiles, RES, Winter'!W$5</f>
        <v>22.816138097149736</v>
      </c>
      <c r="X5" s="9">
        <f>VLOOKUP($A5,'RES installed'!$A$2:$C$7,3,FALSE)*'[1]Profiles, RES, Winter'!X$5</f>
        <v>23.060016057808109</v>
      </c>
      <c r="Y5" s="9">
        <f>VLOOKUP($A5,'RES installed'!$A$2:$C$7,3,FALSE)*'[1]Profiles, RES, Winter'!Y$5</f>
        <v>24.008430349257328</v>
      </c>
    </row>
    <row r="6" spans="1:25" x14ac:dyDescent="0.3">
      <c r="A6" s="8">
        <v>5</v>
      </c>
      <c r="B6" s="9">
        <f>VLOOKUP($A6,'RES installed'!$A$2:$C$7,3,FALSE)*'[1]Profiles, RES, Winter'!B$5</f>
        <v>32.529104777197915</v>
      </c>
      <c r="C6" s="9">
        <f>VLOOKUP($A6,'RES installed'!$A$2:$C$7,3,FALSE)*'[1]Profiles, RES, Winter'!C$5</f>
        <v>34.997992773986347</v>
      </c>
      <c r="D6" s="9">
        <f>VLOOKUP($A6,'RES installed'!$A$2:$C$7,3,FALSE)*'[1]Profiles, RES, Winter'!D$5</f>
        <v>34.817342432757933</v>
      </c>
      <c r="E6" s="9">
        <f>VLOOKUP($A6,'RES installed'!$A$2:$C$7,3,FALSE)*'[1]Profiles, RES, Winter'!E$5</f>
        <v>34.889602569249298</v>
      </c>
      <c r="F6" s="9">
        <f>VLOOKUP($A6,'RES installed'!$A$2:$C$7,3,FALSE)*'[1]Profiles, RES, Winter'!F$5</f>
        <v>36.118024889602573</v>
      </c>
      <c r="G6" s="9">
        <f>VLOOKUP($A6,'RES installed'!$A$2:$C$7,3,FALSE)*'[1]Profiles, RES, Winter'!G$5</f>
        <v>38.12926535527901</v>
      </c>
      <c r="H6" s="9">
        <f>VLOOKUP($A6,'RES installed'!$A$2:$C$7,3,FALSE)*'[1]Profiles, RES, Winter'!H$5</f>
        <v>40.622240064231228</v>
      </c>
      <c r="I6" s="9">
        <f>VLOOKUP($A6,'RES installed'!$A$2:$C$7,3,FALSE)*'[1]Profiles, RES, Winter'!I$5</f>
        <v>40.694500200722601</v>
      </c>
      <c r="J6" s="9">
        <f>VLOOKUP($A6,'RES installed'!$A$2:$C$7,3,FALSE)*'[1]Profiles, RES, Winter'!J$5</f>
        <v>40.333199518265758</v>
      </c>
      <c r="K6" s="9">
        <f>VLOOKUP($A6,'RES installed'!$A$2:$C$7,3,FALSE)*'[1]Profiles, RES, Winter'!K$5</f>
        <v>37.852268165395422</v>
      </c>
      <c r="L6" s="9">
        <f>VLOOKUP($A6,'RES installed'!$A$2:$C$7,3,FALSE)*'[1]Profiles, RES, Winter'!L$5</f>
        <v>33.010839020473703</v>
      </c>
      <c r="M6" s="9">
        <f>VLOOKUP($A6,'RES installed'!$A$2:$C$7,3,FALSE)*'[1]Profiles, RES, Winter'!M$5</f>
        <v>30.373344038538736</v>
      </c>
      <c r="N6" s="9">
        <f>VLOOKUP($A6,'RES installed'!$A$2:$C$7,3,FALSE)*'[1]Profiles, RES, Winter'!N$5</f>
        <v>29.181051786431155</v>
      </c>
      <c r="O6" s="9">
        <f>VLOOKUP($A6,'RES installed'!$A$2:$C$7,3,FALSE)*'[1]Profiles, RES, Winter'!O$5</f>
        <v>27.193898032918508</v>
      </c>
      <c r="P6" s="9">
        <f>VLOOKUP($A6,'RES installed'!$A$2:$C$7,3,FALSE)*'[1]Profiles, RES, Winter'!P$5</f>
        <v>24.857486953030911</v>
      </c>
      <c r="Q6" s="9">
        <f>VLOOKUP($A6,'RES installed'!$A$2:$C$7,3,FALSE)*'[1]Profiles, RES, Winter'!Q$5</f>
        <v>25.074267362505019</v>
      </c>
      <c r="R6" s="9">
        <f>VLOOKUP($A6,'RES installed'!$A$2:$C$7,3,FALSE)*'[1]Profiles, RES, Winter'!R$5</f>
        <v>26.013649136892816</v>
      </c>
      <c r="S6" s="9">
        <f>VLOOKUP($A6,'RES installed'!$A$2:$C$7,3,FALSE)*'[1]Profiles, RES, Winter'!S$5</f>
        <v>29.97591328783621</v>
      </c>
      <c r="T6" s="9">
        <f>VLOOKUP($A6,'RES installed'!$A$2:$C$7,3,FALSE)*'[1]Profiles, RES, Winter'!T$5</f>
        <v>32.456844640706549</v>
      </c>
      <c r="U6" s="9">
        <f>VLOOKUP($A6,'RES installed'!$A$2:$C$7,3,FALSE)*'[1]Profiles, RES, Winter'!U$5</f>
        <v>33.263749498193498</v>
      </c>
      <c r="V6" s="9">
        <f>VLOOKUP($A6,'RES installed'!$A$2:$C$7,3,FALSE)*'[1]Profiles, RES, Winter'!V$5</f>
        <v>32.167804094741065</v>
      </c>
      <c r="W6" s="9">
        <f>VLOOKUP($A6,'RES installed'!$A$2:$C$7,3,FALSE)*'[1]Profiles, RES, Winter'!W$5</f>
        <v>30.421517462866316</v>
      </c>
      <c r="X6" s="9">
        <f>VLOOKUP($A6,'RES installed'!$A$2:$C$7,3,FALSE)*'[1]Profiles, RES, Winter'!X$5</f>
        <v>30.746688077077479</v>
      </c>
      <c r="Y6" s="9">
        <f>VLOOKUP($A6,'RES installed'!$A$2:$C$7,3,FALSE)*'[1]Profiles, RES, Winter'!Y$5</f>
        <v>32.011240465676437</v>
      </c>
    </row>
    <row r="7" spans="1:25" x14ac:dyDescent="0.3">
      <c r="A7" s="8">
        <v>6</v>
      </c>
      <c r="B7" s="9">
        <f>VLOOKUP($A7,'RES installed'!$A$2:$C$7,3,FALSE)*'[1]Profiles, RES, Winter'!B$5</f>
        <v>24.396828582898433</v>
      </c>
      <c r="C7" s="9">
        <f>VLOOKUP($A7,'RES installed'!$A$2:$C$7,3,FALSE)*'[1]Profiles, RES, Winter'!C$5</f>
        <v>26.248494580489762</v>
      </c>
      <c r="D7" s="9">
        <f>VLOOKUP($A7,'RES installed'!$A$2:$C$7,3,FALSE)*'[1]Profiles, RES, Winter'!D$5</f>
        <v>26.113006824568448</v>
      </c>
      <c r="E7" s="9">
        <f>VLOOKUP($A7,'RES installed'!$A$2:$C$7,3,FALSE)*'[1]Profiles, RES, Winter'!E$5</f>
        <v>26.167201926936976</v>
      </c>
      <c r="F7" s="9">
        <f>VLOOKUP($A7,'RES installed'!$A$2:$C$7,3,FALSE)*'[1]Profiles, RES, Winter'!F$5</f>
        <v>27.088518667201928</v>
      </c>
      <c r="G7" s="9">
        <f>VLOOKUP($A7,'RES installed'!$A$2:$C$7,3,FALSE)*'[1]Profiles, RES, Winter'!G$5</f>
        <v>28.596949016459256</v>
      </c>
      <c r="H7" s="9">
        <f>VLOOKUP($A7,'RES installed'!$A$2:$C$7,3,FALSE)*'[1]Profiles, RES, Winter'!H$5</f>
        <v>30.466680048173423</v>
      </c>
      <c r="I7" s="9">
        <f>VLOOKUP($A7,'RES installed'!$A$2:$C$7,3,FALSE)*'[1]Profiles, RES, Winter'!I$5</f>
        <v>30.520875150541951</v>
      </c>
      <c r="J7" s="9">
        <f>VLOOKUP($A7,'RES installed'!$A$2:$C$7,3,FALSE)*'[1]Profiles, RES, Winter'!J$5</f>
        <v>30.249899638699318</v>
      </c>
      <c r="K7" s="9">
        <f>VLOOKUP($A7,'RES installed'!$A$2:$C$7,3,FALSE)*'[1]Profiles, RES, Winter'!K$5</f>
        <v>28.389201124046568</v>
      </c>
      <c r="L7" s="9">
        <f>VLOOKUP($A7,'RES installed'!$A$2:$C$7,3,FALSE)*'[1]Profiles, RES, Winter'!L$5</f>
        <v>24.758129265355279</v>
      </c>
      <c r="M7" s="9">
        <f>VLOOKUP($A7,'RES installed'!$A$2:$C$7,3,FALSE)*'[1]Profiles, RES, Winter'!M$5</f>
        <v>22.780008028904053</v>
      </c>
      <c r="N7" s="9">
        <f>VLOOKUP($A7,'RES installed'!$A$2:$C$7,3,FALSE)*'[1]Profiles, RES, Winter'!N$5</f>
        <v>21.885788839823366</v>
      </c>
      <c r="O7" s="9">
        <f>VLOOKUP($A7,'RES installed'!$A$2:$C$7,3,FALSE)*'[1]Profiles, RES, Winter'!O$5</f>
        <v>20.39542352468888</v>
      </c>
      <c r="P7" s="9">
        <f>VLOOKUP($A7,'RES installed'!$A$2:$C$7,3,FALSE)*'[1]Profiles, RES, Winter'!P$5</f>
        <v>18.643115214773182</v>
      </c>
      <c r="Q7" s="9">
        <f>VLOOKUP($A7,'RES installed'!$A$2:$C$7,3,FALSE)*'[1]Profiles, RES, Winter'!Q$5</f>
        <v>18.805700521878762</v>
      </c>
      <c r="R7" s="9">
        <f>VLOOKUP($A7,'RES installed'!$A$2:$C$7,3,FALSE)*'[1]Profiles, RES, Winter'!R$5</f>
        <v>19.51023685266961</v>
      </c>
      <c r="S7" s="9">
        <f>VLOOKUP($A7,'RES installed'!$A$2:$C$7,3,FALSE)*'[1]Profiles, RES, Winter'!S$5</f>
        <v>22.481934965877159</v>
      </c>
      <c r="T7" s="9">
        <f>VLOOKUP($A7,'RES installed'!$A$2:$C$7,3,FALSE)*'[1]Profiles, RES, Winter'!T$5</f>
        <v>24.342633480529908</v>
      </c>
      <c r="U7" s="9">
        <f>VLOOKUP($A7,'RES installed'!$A$2:$C$7,3,FALSE)*'[1]Profiles, RES, Winter'!U$5</f>
        <v>24.947812123645122</v>
      </c>
      <c r="V7" s="9">
        <f>VLOOKUP($A7,'RES installed'!$A$2:$C$7,3,FALSE)*'[1]Profiles, RES, Winter'!V$5</f>
        <v>24.125853071055801</v>
      </c>
      <c r="W7" s="9">
        <f>VLOOKUP($A7,'RES installed'!$A$2:$C$7,3,FALSE)*'[1]Profiles, RES, Winter'!W$5</f>
        <v>22.816138097149736</v>
      </c>
      <c r="X7" s="9">
        <f>VLOOKUP($A7,'RES installed'!$A$2:$C$7,3,FALSE)*'[1]Profiles, RES, Winter'!X$5</f>
        <v>23.060016057808109</v>
      </c>
      <c r="Y7" s="9">
        <f>VLOOKUP($A7,'RES installed'!$A$2:$C$7,3,FALSE)*'[1]Profiles, RES, Winter'!Y$5</f>
        <v>24.008430349257328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2.843062926459439E-2</v>
      </c>
      <c r="J8" s="6">
        <f>VLOOKUP($A8,'RES installed'!$A$2:$C$7,3,FALSE)*'[1]Profiles, RES, Winter'!J$2</f>
        <v>3.3263836239575437</v>
      </c>
      <c r="K8" s="6">
        <f>VLOOKUP($A8,'RES installed'!$A$2:$C$7,3,FALSE)*'[1]Profiles, RES, Winter'!K$2</f>
        <v>14.044730856709629</v>
      </c>
      <c r="L8" s="6">
        <f>VLOOKUP($A8,'RES installed'!$A$2:$C$7,3,FALSE)*'[1]Profiles, RES, Winter'!L$2</f>
        <v>24.706216830932526</v>
      </c>
      <c r="M8" s="6">
        <f>VLOOKUP($A8,'RES installed'!$A$2:$C$7,3,FALSE)*'[1]Profiles, RES, Winter'!M$2</f>
        <v>29.3972706595906</v>
      </c>
      <c r="N8" s="6">
        <f>VLOOKUP($A8,'RES installed'!$A$2:$C$7,3,FALSE)*'[1]Profiles, RES, Winter'!N$2</f>
        <v>28.288476118271419</v>
      </c>
      <c r="O8" s="6">
        <f>VLOOKUP($A8,'RES installed'!$A$2:$C$7,3,FALSE)*'[1]Profiles, RES, Winter'!O$2</f>
        <v>28.515921152388174</v>
      </c>
      <c r="P8" s="6">
        <f>VLOOKUP($A8,'RES installed'!$A$2:$C$7,3,FALSE)*'[1]Profiles, RES, Winter'!P$2</f>
        <v>26.923805913570888</v>
      </c>
      <c r="Q8" s="6">
        <f>VLOOKUP($A8,'RES installed'!$A$2:$C$7,3,FALSE)*'[1]Profiles, RES, Winter'!Q$2</f>
        <v>20.15731614859742</v>
      </c>
      <c r="R8" s="6">
        <f>VLOOKUP($A8,'RES installed'!$A$2:$C$7,3,FALSE)*'[1]Profiles, RES, Winter'!R$2</f>
        <v>7.5909780136467022</v>
      </c>
      <c r="S8" s="6">
        <f>VLOOKUP($A8,'RES installed'!$A$2:$C$7,3,FALSE)*'[1]Profiles, RES, Winter'!S$2</f>
        <v>0.3411675511751327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  <row r="9" spans="1:25" x14ac:dyDescent="0.3">
      <c r="A9" s="5">
        <v>8</v>
      </c>
      <c r="B9" s="6">
        <f>VLOOKUP($A9,'RES installed'!$A$2:$C$7,3,FALSE)*'[1]Profiles, RES, Winter'!B$2</f>
        <v>0</v>
      </c>
      <c r="C9" s="6">
        <f>VLOOKUP($A9,'RES installed'!$A$2:$C$7,3,FALSE)*'[1]Profiles, RES, Winter'!C$2</f>
        <v>0</v>
      </c>
      <c r="D9" s="6">
        <f>VLOOKUP($A9,'RES installed'!$A$2:$C$7,3,FALSE)*'[1]Profiles, RES, Winter'!D$2</f>
        <v>0</v>
      </c>
      <c r="E9" s="6">
        <f>VLOOKUP($A9,'RES installed'!$A$2:$C$7,3,FALSE)*'[1]Profiles, RES, Winter'!E$2</f>
        <v>0</v>
      </c>
      <c r="F9" s="6">
        <f>VLOOKUP($A9,'RES installed'!$A$2:$C$7,3,FALSE)*'[1]Profiles, RES, Winter'!F$2</f>
        <v>0</v>
      </c>
      <c r="G9" s="6">
        <f>VLOOKUP($A9,'RES installed'!$A$2:$C$7,3,FALSE)*'[1]Profiles, RES, Winter'!G$2</f>
        <v>0</v>
      </c>
      <c r="H9" s="6">
        <f>VLOOKUP($A9,'RES installed'!$A$2:$C$7,3,FALSE)*'[1]Profiles, RES, Winter'!H$2</f>
        <v>0</v>
      </c>
      <c r="I9" s="6">
        <f>VLOOKUP($A9,'RES installed'!$A$2:$C$7,3,FALSE)*'[1]Profiles, RES, Winter'!I$2</f>
        <v>1.8953752843062926E-2</v>
      </c>
      <c r="J9" s="6">
        <f>VLOOKUP($A9,'RES installed'!$A$2:$C$7,3,FALSE)*'[1]Profiles, RES, Winter'!J$2</f>
        <v>2.2175890826383626</v>
      </c>
      <c r="K9" s="6">
        <f>VLOOKUP($A9,'RES installed'!$A$2:$C$7,3,FALSE)*'[1]Profiles, RES, Winter'!K$2</f>
        <v>9.3631539044730854</v>
      </c>
      <c r="L9" s="6">
        <f>VLOOKUP($A9,'RES installed'!$A$2:$C$7,3,FALSE)*'[1]Profiles, RES, Winter'!L$2</f>
        <v>16.470811220621684</v>
      </c>
      <c r="M9" s="6">
        <f>VLOOKUP($A9,'RES installed'!$A$2:$C$7,3,FALSE)*'[1]Profiles, RES, Winter'!M$2</f>
        <v>19.598180439727066</v>
      </c>
      <c r="N9" s="6">
        <f>VLOOKUP($A9,'RES installed'!$A$2:$C$7,3,FALSE)*'[1]Profiles, RES, Winter'!N$2</f>
        <v>18.858984078847612</v>
      </c>
      <c r="O9" s="6">
        <f>VLOOKUP($A9,'RES installed'!$A$2:$C$7,3,FALSE)*'[1]Profiles, RES, Winter'!O$2</f>
        <v>19.010614101592115</v>
      </c>
      <c r="P9" s="6">
        <f>VLOOKUP($A9,'RES installed'!$A$2:$C$7,3,FALSE)*'[1]Profiles, RES, Winter'!P$2</f>
        <v>17.949203942380592</v>
      </c>
      <c r="Q9" s="6">
        <f>VLOOKUP($A9,'RES installed'!$A$2:$C$7,3,FALSE)*'[1]Profiles, RES, Winter'!Q$2</f>
        <v>13.438210765731615</v>
      </c>
      <c r="R9" s="6">
        <f>VLOOKUP($A9,'RES installed'!$A$2:$C$7,3,FALSE)*'[1]Profiles, RES, Winter'!R$2</f>
        <v>5.0606520090978009</v>
      </c>
      <c r="S9" s="6">
        <f>VLOOKUP($A9,'RES installed'!$A$2:$C$7,3,FALSE)*'[1]Profiles, RES, Winter'!S$2</f>
        <v>0.22744503411675512</v>
      </c>
      <c r="T9" s="6">
        <f>VLOOKUP($A9,'RES installed'!$A$2:$C$7,3,FALSE)*'[1]Profiles, RES, Winter'!T$2</f>
        <v>0</v>
      </c>
      <c r="U9" s="6">
        <f>VLOOKUP($A9,'RES installed'!$A$2:$C$7,3,FALSE)*'[1]Profiles, RES, Winter'!U$2</f>
        <v>0</v>
      </c>
      <c r="V9" s="6">
        <f>VLOOKUP($A9,'RES installed'!$A$2:$C$7,3,FALSE)*'[1]Profiles, RES, Winter'!V$2</f>
        <v>0</v>
      </c>
      <c r="W9" s="6">
        <f>VLOOKUP($A9,'RES installed'!$A$2:$C$7,3,FALSE)*'[1]Profiles, RES, Winter'!W$2</f>
        <v>0</v>
      </c>
      <c r="X9" s="6">
        <f>VLOOKUP($A9,'RES installed'!$A$2:$C$7,3,FALSE)*'[1]Profiles, RES, Winter'!X$2</f>
        <v>0</v>
      </c>
      <c r="Y9" s="6">
        <f>VLOOKUP($A9,'RES installed'!$A$2:$C$7,3,FALSE)*'[1]Profiles, RES, Winter'!Y$2</f>
        <v>0</v>
      </c>
    </row>
    <row r="10" spans="1:25" x14ac:dyDescent="0.3">
      <c r="A10" s="5">
        <v>9</v>
      </c>
      <c r="B10" s="6">
        <f>VLOOKUP($A10,'RES installed'!$A$2:$C$7,3,FALSE)*'[1]Profiles, RES, Winter'!B$2</f>
        <v>0</v>
      </c>
      <c r="C10" s="6">
        <f>VLOOKUP($A10,'RES installed'!$A$2:$C$7,3,FALSE)*'[1]Profiles, RES, Winter'!C$2</f>
        <v>0</v>
      </c>
      <c r="D10" s="6">
        <f>VLOOKUP($A10,'RES installed'!$A$2:$C$7,3,FALSE)*'[1]Profiles, RES, Winter'!D$2</f>
        <v>0</v>
      </c>
      <c r="E10" s="6">
        <f>VLOOKUP($A10,'RES installed'!$A$2:$C$7,3,FALSE)*'[1]Profiles, RES, Winter'!E$2</f>
        <v>0</v>
      </c>
      <c r="F10" s="6">
        <f>VLOOKUP($A10,'RES installed'!$A$2:$C$7,3,FALSE)*'[1]Profiles, RES, Winter'!F$2</f>
        <v>0</v>
      </c>
      <c r="G10" s="6">
        <f>VLOOKUP($A10,'RES installed'!$A$2:$C$7,3,FALSE)*'[1]Profiles, RES, Winter'!G$2</f>
        <v>0</v>
      </c>
      <c r="H10" s="6">
        <f>VLOOKUP($A10,'RES installed'!$A$2:$C$7,3,FALSE)*'[1]Profiles, RES, Winter'!H$2</f>
        <v>0</v>
      </c>
      <c r="I10" s="6">
        <f>VLOOKUP($A10,'RES installed'!$A$2:$C$7,3,FALSE)*'[1]Profiles, RES, Winter'!I$2</f>
        <v>2.2744503411675512E-2</v>
      </c>
      <c r="J10" s="6">
        <f>VLOOKUP($A10,'RES installed'!$A$2:$C$7,3,FALSE)*'[1]Profiles, RES, Winter'!J$2</f>
        <v>2.6611068991660352</v>
      </c>
      <c r="K10" s="6">
        <f>VLOOKUP($A10,'RES installed'!$A$2:$C$7,3,FALSE)*'[1]Profiles, RES, Winter'!K$2</f>
        <v>11.235784685367703</v>
      </c>
      <c r="L10" s="6">
        <f>VLOOKUP($A10,'RES installed'!$A$2:$C$7,3,FALSE)*'[1]Profiles, RES, Winter'!L$2</f>
        <v>19.764973464746021</v>
      </c>
      <c r="M10" s="6">
        <f>VLOOKUP($A10,'RES installed'!$A$2:$C$7,3,FALSE)*'[1]Profiles, RES, Winter'!M$2</f>
        <v>23.51781652767248</v>
      </c>
      <c r="N10" s="6">
        <f>VLOOKUP($A10,'RES installed'!$A$2:$C$7,3,FALSE)*'[1]Profiles, RES, Winter'!N$2</f>
        <v>22.630780894617136</v>
      </c>
      <c r="O10" s="6">
        <f>VLOOKUP($A10,'RES installed'!$A$2:$C$7,3,FALSE)*'[1]Profiles, RES, Winter'!O$2</f>
        <v>22.812736921910538</v>
      </c>
      <c r="P10" s="6">
        <f>VLOOKUP($A10,'RES installed'!$A$2:$C$7,3,FALSE)*'[1]Profiles, RES, Winter'!P$2</f>
        <v>21.539044730856713</v>
      </c>
      <c r="Q10" s="6">
        <f>VLOOKUP($A10,'RES installed'!$A$2:$C$7,3,FALSE)*'[1]Profiles, RES, Winter'!Q$2</f>
        <v>16.125852918877939</v>
      </c>
      <c r="R10" s="6">
        <f>VLOOKUP($A10,'RES installed'!$A$2:$C$7,3,FALSE)*'[1]Profiles, RES, Winter'!R$2</f>
        <v>6.0727824109173616</v>
      </c>
      <c r="S10" s="6">
        <f>VLOOKUP($A10,'RES installed'!$A$2:$C$7,3,FALSE)*'[1]Profiles, RES, Winter'!S$2</f>
        <v>0.27293404094010615</v>
      </c>
      <c r="T10" s="6">
        <f>VLOOKUP($A10,'RES installed'!$A$2:$C$7,3,FALSE)*'[1]Profiles, RES, Winter'!T$2</f>
        <v>0</v>
      </c>
      <c r="U10" s="6">
        <f>VLOOKUP($A10,'RES installed'!$A$2:$C$7,3,FALSE)*'[1]Profiles, RES, Winter'!U$2</f>
        <v>0</v>
      </c>
      <c r="V10" s="6">
        <f>VLOOKUP($A10,'RES installed'!$A$2:$C$7,3,FALSE)*'[1]Profiles, RES, Winter'!V$2</f>
        <v>0</v>
      </c>
      <c r="W10" s="6">
        <f>VLOOKUP($A10,'RES installed'!$A$2:$C$7,3,FALSE)*'[1]Profiles, RES, Winter'!W$2</f>
        <v>0</v>
      </c>
      <c r="X10" s="6">
        <f>VLOOKUP($A10,'RES installed'!$A$2:$C$7,3,FALSE)*'[1]Profiles, RES, Winter'!X$2</f>
        <v>0</v>
      </c>
      <c r="Y10" s="6">
        <f>VLOOKUP($A10,'RES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A1633-9A4E-4871-A42D-D700FE4E6E2E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Winter'!B$6</f>
        <v>23.610999598554798</v>
      </c>
      <c r="C5" s="9">
        <f>VLOOKUP($A5,'RES installed'!$A$2:$C$7,3,FALSE)*'[1]Profiles, RES, Winter'!C$6</f>
        <v>23.972300281011641</v>
      </c>
      <c r="D5" s="9">
        <f>VLOOKUP($A5,'RES installed'!$A$2:$C$7,3,FALSE)*'[1]Profiles, RES, Winter'!D$6</f>
        <v>24.053592934564428</v>
      </c>
      <c r="E5" s="9">
        <f>VLOOKUP($A5,'RES installed'!$A$2:$C$7,3,FALSE)*'[1]Profiles, RES, Winter'!E$6</f>
        <v>21.994179044560418</v>
      </c>
      <c r="F5" s="9">
        <f>VLOOKUP($A5,'RES installed'!$A$2:$C$7,3,FALSE)*'[1]Profiles, RES, Winter'!F$6</f>
        <v>22.698715375351266</v>
      </c>
      <c r="G5" s="9">
        <f>VLOOKUP($A5,'RES installed'!$A$2:$C$7,3,FALSE)*'[1]Profiles, RES, Winter'!G$6</f>
        <v>23.963267763950221</v>
      </c>
      <c r="H5" s="9">
        <f>VLOOKUP($A5,'RES installed'!$A$2:$C$7,3,FALSE)*'[1]Profiles, RES, Winter'!H$6</f>
        <v>24.532316338819751</v>
      </c>
      <c r="I5" s="9">
        <f>VLOOKUP($A5,'RES installed'!$A$2:$C$7,3,FALSE)*'[1]Profiles, RES, Winter'!I$6</f>
        <v>23.367121637896425</v>
      </c>
      <c r="J5" s="9">
        <f>VLOOKUP($A5,'RES installed'!$A$2:$C$7,3,FALSE)*'[1]Profiles, RES, Winter'!J$6</f>
        <v>22.238057005218788</v>
      </c>
      <c r="K5" s="9">
        <f>VLOOKUP($A5,'RES installed'!$A$2:$C$7,3,FALSE)*'[1]Profiles, RES, Winter'!K$6</f>
        <v>20.946407065435569</v>
      </c>
      <c r="L5" s="9">
        <f>VLOOKUP($A5,'RES installed'!$A$2:$C$7,3,FALSE)*'[1]Profiles, RES, Winter'!L$6</f>
        <v>19.681854676836611</v>
      </c>
      <c r="M5" s="9">
        <f>VLOOKUP($A5,'RES installed'!$A$2:$C$7,3,FALSE)*'[1]Profiles, RES, Winter'!M$6</f>
        <v>18.597952629466079</v>
      </c>
      <c r="N5" s="9">
        <f>VLOOKUP($A5,'RES installed'!$A$2:$C$7,3,FALSE)*'[1]Profiles, RES, Winter'!N$6</f>
        <v>17.143717382577279</v>
      </c>
      <c r="O5" s="9">
        <f>VLOOKUP($A5,'RES installed'!$A$2:$C$7,3,FALSE)*'[1]Profiles, RES, Winter'!O$6</f>
        <v>13.27780008028904</v>
      </c>
      <c r="P5" s="9">
        <f>VLOOKUP($A5,'RES installed'!$A$2:$C$7,3,FALSE)*'[1]Profiles, RES, Winter'!P$6</f>
        <v>12.988759534323565</v>
      </c>
      <c r="Q5" s="9">
        <f>VLOOKUP($A5,'RES installed'!$A$2:$C$7,3,FALSE)*'[1]Profiles, RES, Winter'!Q$6</f>
        <v>13.214572460859094</v>
      </c>
      <c r="R5" s="9">
        <f>VLOOKUP($A5,'RES installed'!$A$2:$C$7,3,FALSE)*'[1]Profiles, RES, Winter'!R$6</f>
        <v>16.764351665997591</v>
      </c>
      <c r="S5" s="9">
        <f>VLOOKUP($A5,'RES installed'!$A$2:$C$7,3,FALSE)*'[1]Profiles, RES, Winter'!S$6</f>
        <v>19.645724608590928</v>
      </c>
      <c r="T5" s="9">
        <f>VLOOKUP($A5,'RES installed'!$A$2:$C$7,3,FALSE)*'[1]Profiles, RES, Winter'!T$6</f>
        <v>20.928342031312724</v>
      </c>
      <c r="U5" s="9">
        <f>VLOOKUP($A5,'RES installed'!$A$2:$C$7,3,FALSE)*'[1]Profiles, RES, Winter'!U$6</f>
        <v>21.8586912886391</v>
      </c>
      <c r="V5" s="9">
        <f>VLOOKUP($A5,'RES installed'!$A$2:$C$7,3,FALSE)*'[1]Profiles, RES, Winter'!V$6</f>
        <v>22.590325170614211</v>
      </c>
      <c r="W5" s="9">
        <f>VLOOKUP($A5,'RES installed'!$A$2:$C$7,3,FALSE)*'[1]Profiles, RES, Winter'!W$6</f>
        <v>23.448414291449218</v>
      </c>
      <c r="X5" s="9">
        <f>VLOOKUP($A5,'RES installed'!$A$2:$C$7,3,FALSE)*'[1]Profiles, RES, Winter'!X$6</f>
        <v>23.005820955439585</v>
      </c>
      <c r="Y5" s="9">
        <f>VLOOKUP($A5,'RES installed'!$A$2:$C$7,3,FALSE)*'[1]Profiles, RES, Winter'!Y$6</f>
        <v>22.382577278201524</v>
      </c>
    </row>
    <row r="6" spans="1:25" x14ac:dyDescent="0.3">
      <c r="A6" s="8">
        <v>5</v>
      </c>
      <c r="B6" s="9">
        <f>VLOOKUP($A6,'RES installed'!$A$2:$C$7,3,FALSE)*'[1]Profiles, RES, Winter'!B$6</f>
        <v>31.481332798073062</v>
      </c>
      <c r="C6" s="9">
        <f>VLOOKUP($A6,'RES installed'!$A$2:$C$7,3,FALSE)*'[1]Profiles, RES, Winter'!C$6</f>
        <v>31.963067041348857</v>
      </c>
      <c r="D6" s="9">
        <f>VLOOKUP($A6,'RES installed'!$A$2:$C$7,3,FALSE)*'[1]Profiles, RES, Winter'!D$6</f>
        <v>32.071457246085906</v>
      </c>
      <c r="E6" s="9">
        <f>VLOOKUP($A6,'RES installed'!$A$2:$C$7,3,FALSE)*'[1]Profiles, RES, Winter'!E$6</f>
        <v>29.32557205941389</v>
      </c>
      <c r="F6" s="9">
        <f>VLOOKUP($A6,'RES installed'!$A$2:$C$7,3,FALSE)*'[1]Profiles, RES, Winter'!F$6</f>
        <v>30.264953833801687</v>
      </c>
      <c r="G6" s="9">
        <f>VLOOKUP($A6,'RES installed'!$A$2:$C$7,3,FALSE)*'[1]Profiles, RES, Winter'!G$6</f>
        <v>31.951023685266961</v>
      </c>
      <c r="H6" s="9">
        <f>VLOOKUP($A6,'RES installed'!$A$2:$C$7,3,FALSE)*'[1]Profiles, RES, Winter'!H$6</f>
        <v>32.709755118426337</v>
      </c>
      <c r="I6" s="9">
        <f>VLOOKUP($A6,'RES installed'!$A$2:$C$7,3,FALSE)*'[1]Profiles, RES, Winter'!I$6</f>
        <v>31.156162183861898</v>
      </c>
      <c r="J6" s="9">
        <f>VLOOKUP($A6,'RES installed'!$A$2:$C$7,3,FALSE)*'[1]Profiles, RES, Winter'!J$6</f>
        <v>29.65074267362505</v>
      </c>
      <c r="K6" s="9">
        <f>VLOOKUP($A6,'RES installed'!$A$2:$C$7,3,FALSE)*'[1]Profiles, RES, Winter'!K$6</f>
        <v>27.92854275391409</v>
      </c>
      <c r="L6" s="9">
        <f>VLOOKUP($A6,'RES installed'!$A$2:$C$7,3,FALSE)*'[1]Profiles, RES, Winter'!L$6</f>
        <v>26.242472902448814</v>
      </c>
      <c r="M6" s="9">
        <f>VLOOKUP($A6,'RES installed'!$A$2:$C$7,3,FALSE)*'[1]Profiles, RES, Winter'!M$6</f>
        <v>24.797270172621438</v>
      </c>
      <c r="N6" s="9">
        <f>VLOOKUP($A6,'RES installed'!$A$2:$C$7,3,FALSE)*'[1]Profiles, RES, Winter'!N$6</f>
        <v>22.858289843436374</v>
      </c>
      <c r="O6" s="9">
        <f>VLOOKUP($A6,'RES installed'!$A$2:$C$7,3,FALSE)*'[1]Profiles, RES, Winter'!O$6</f>
        <v>17.703733440385388</v>
      </c>
      <c r="P6" s="9">
        <f>VLOOKUP($A6,'RES installed'!$A$2:$C$7,3,FALSE)*'[1]Profiles, RES, Winter'!P$6</f>
        <v>17.318346045764756</v>
      </c>
      <c r="Q6" s="9">
        <f>VLOOKUP($A6,'RES installed'!$A$2:$C$7,3,FALSE)*'[1]Profiles, RES, Winter'!Q$6</f>
        <v>17.619429947812122</v>
      </c>
      <c r="R6" s="9">
        <f>VLOOKUP($A6,'RES installed'!$A$2:$C$7,3,FALSE)*'[1]Profiles, RES, Winter'!R$6</f>
        <v>22.352468887996789</v>
      </c>
      <c r="S6" s="9">
        <f>VLOOKUP($A6,'RES installed'!$A$2:$C$7,3,FALSE)*'[1]Profiles, RES, Winter'!S$6</f>
        <v>26.194299478121238</v>
      </c>
      <c r="T6" s="9">
        <f>VLOOKUP($A6,'RES installed'!$A$2:$C$7,3,FALSE)*'[1]Profiles, RES, Winter'!T$6</f>
        <v>27.904456041750301</v>
      </c>
      <c r="U6" s="9">
        <f>VLOOKUP($A6,'RES installed'!$A$2:$C$7,3,FALSE)*'[1]Profiles, RES, Winter'!U$6</f>
        <v>29.144921718185469</v>
      </c>
      <c r="V6" s="9">
        <f>VLOOKUP($A6,'RES installed'!$A$2:$C$7,3,FALSE)*'[1]Profiles, RES, Winter'!V$6</f>
        <v>30.120433560818945</v>
      </c>
      <c r="W6" s="9">
        <f>VLOOKUP($A6,'RES installed'!$A$2:$C$7,3,FALSE)*'[1]Profiles, RES, Winter'!W$6</f>
        <v>31.264552388598958</v>
      </c>
      <c r="X6" s="9">
        <f>VLOOKUP($A6,'RES installed'!$A$2:$C$7,3,FALSE)*'[1]Profiles, RES, Winter'!X$6</f>
        <v>30.674427940586114</v>
      </c>
      <c r="Y6" s="9">
        <f>VLOOKUP($A6,'RES installed'!$A$2:$C$7,3,FALSE)*'[1]Profiles, RES, Winter'!Y$6</f>
        <v>29.843436370935368</v>
      </c>
    </row>
    <row r="7" spans="1:25" x14ac:dyDescent="0.3">
      <c r="A7" s="8">
        <v>6</v>
      </c>
      <c r="B7" s="9">
        <f>VLOOKUP($A7,'RES installed'!$A$2:$C$7,3,FALSE)*'[1]Profiles, RES, Winter'!B$6</f>
        <v>23.610999598554798</v>
      </c>
      <c r="C7" s="9">
        <f>VLOOKUP($A7,'RES installed'!$A$2:$C$7,3,FALSE)*'[1]Profiles, RES, Winter'!C$6</f>
        <v>23.972300281011641</v>
      </c>
      <c r="D7" s="9">
        <f>VLOOKUP($A7,'RES installed'!$A$2:$C$7,3,FALSE)*'[1]Profiles, RES, Winter'!D$6</f>
        <v>24.053592934564428</v>
      </c>
      <c r="E7" s="9">
        <f>VLOOKUP($A7,'RES installed'!$A$2:$C$7,3,FALSE)*'[1]Profiles, RES, Winter'!E$6</f>
        <v>21.994179044560418</v>
      </c>
      <c r="F7" s="9">
        <f>VLOOKUP($A7,'RES installed'!$A$2:$C$7,3,FALSE)*'[1]Profiles, RES, Winter'!F$6</f>
        <v>22.698715375351266</v>
      </c>
      <c r="G7" s="9">
        <f>VLOOKUP($A7,'RES installed'!$A$2:$C$7,3,FALSE)*'[1]Profiles, RES, Winter'!G$6</f>
        <v>23.963267763950221</v>
      </c>
      <c r="H7" s="9">
        <f>VLOOKUP($A7,'RES installed'!$A$2:$C$7,3,FALSE)*'[1]Profiles, RES, Winter'!H$6</f>
        <v>24.532316338819751</v>
      </c>
      <c r="I7" s="9">
        <f>VLOOKUP($A7,'RES installed'!$A$2:$C$7,3,FALSE)*'[1]Profiles, RES, Winter'!I$6</f>
        <v>23.367121637896425</v>
      </c>
      <c r="J7" s="9">
        <f>VLOOKUP($A7,'RES installed'!$A$2:$C$7,3,FALSE)*'[1]Profiles, RES, Winter'!J$6</f>
        <v>22.238057005218788</v>
      </c>
      <c r="K7" s="9">
        <f>VLOOKUP($A7,'RES installed'!$A$2:$C$7,3,FALSE)*'[1]Profiles, RES, Winter'!K$6</f>
        <v>20.946407065435569</v>
      </c>
      <c r="L7" s="9">
        <f>VLOOKUP($A7,'RES installed'!$A$2:$C$7,3,FALSE)*'[1]Profiles, RES, Winter'!L$6</f>
        <v>19.681854676836611</v>
      </c>
      <c r="M7" s="9">
        <f>VLOOKUP($A7,'RES installed'!$A$2:$C$7,3,FALSE)*'[1]Profiles, RES, Winter'!M$6</f>
        <v>18.597952629466079</v>
      </c>
      <c r="N7" s="9">
        <f>VLOOKUP($A7,'RES installed'!$A$2:$C$7,3,FALSE)*'[1]Profiles, RES, Winter'!N$6</f>
        <v>17.143717382577279</v>
      </c>
      <c r="O7" s="9">
        <f>VLOOKUP($A7,'RES installed'!$A$2:$C$7,3,FALSE)*'[1]Profiles, RES, Winter'!O$6</f>
        <v>13.27780008028904</v>
      </c>
      <c r="P7" s="9">
        <f>VLOOKUP($A7,'RES installed'!$A$2:$C$7,3,FALSE)*'[1]Profiles, RES, Winter'!P$6</f>
        <v>12.988759534323565</v>
      </c>
      <c r="Q7" s="9">
        <f>VLOOKUP($A7,'RES installed'!$A$2:$C$7,3,FALSE)*'[1]Profiles, RES, Winter'!Q$6</f>
        <v>13.214572460859094</v>
      </c>
      <c r="R7" s="9">
        <f>VLOOKUP($A7,'RES installed'!$A$2:$C$7,3,FALSE)*'[1]Profiles, RES, Winter'!R$6</f>
        <v>16.764351665997591</v>
      </c>
      <c r="S7" s="9">
        <f>VLOOKUP($A7,'RES installed'!$A$2:$C$7,3,FALSE)*'[1]Profiles, RES, Winter'!S$6</f>
        <v>19.645724608590928</v>
      </c>
      <c r="T7" s="9">
        <f>VLOOKUP($A7,'RES installed'!$A$2:$C$7,3,FALSE)*'[1]Profiles, RES, Winter'!T$6</f>
        <v>20.928342031312724</v>
      </c>
      <c r="U7" s="9">
        <f>VLOOKUP($A7,'RES installed'!$A$2:$C$7,3,FALSE)*'[1]Profiles, RES, Winter'!U$6</f>
        <v>21.8586912886391</v>
      </c>
      <c r="V7" s="9">
        <f>VLOOKUP($A7,'RES installed'!$A$2:$C$7,3,FALSE)*'[1]Profiles, RES, Winter'!V$6</f>
        <v>22.590325170614211</v>
      </c>
      <c r="W7" s="9">
        <f>VLOOKUP($A7,'RES installed'!$A$2:$C$7,3,FALSE)*'[1]Profiles, RES, Winter'!W$6</f>
        <v>23.448414291449218</v>
      </c>
      <c r="X7" s="9">
        <f>VLOOKUP($A7,'RES installed'!$A$2:$C$7,3,FALSE)*'[1]Profiles, RES, Winter'!X$6</f>
        <v>23.005820955439585</v>
      </c>
      <c r="Y7" s="9">
        <f>VLOOKUP($A7,'RES installed'!$A$2:$C$7,3,FALSE)*'[1]Profiles, RES, Winter'!Y$6</f>
        <v>22.382577278201524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5.6861258529188781E-2</v>
      </c>
      <c r="J8" s="6">
        <f>VLOOKUP($A8,'RES installed'!$A$2:$C$7,3,FALSE)*'[1]Profiles, RES, Winter'!J$3</f>
        <v>4.8616376042456411</v>
      </c>
      <c r="K8" s="6">
        <f>VLOOKUP($A8,'RES installed'!$A$2:$C$7,3,FALSE)*'[1]Profiles, RES, Winter'!K$3</f>
        <v>16.717210007581503</v>
      </c>
      <c r="L8" s="6">
        <f>VLOOKUP($A8,'RES installed'!$A$2:$C$7,3,FALSE)*'[1]Profiles, RES, Winter'!L$3</f>
        <v>25.672858225928731</v>
      </c>
      <c r="M8" s="6">
        <f>VLOOKUP($A8,'RES installed'!$A$2:$C$7,3,FALSE)*'[1]Profiles, RES, Winter'!M$3</f>
        <v>25.473843821076574</v>
      </c>
      <c r="N8" s="6">
        <f>VLOOKUP($A8,'RES installed'!$A$2:$C$7,3,FALSE)*'[1]Profiles, RES, Winter'!N$3</f>
        <v>28.316906747536013</v>
      </c>
      <c r="O8" s="6">
        <f>VLOOKUP($A8,'RES installed'!$A$2:$C$7,3,FALSE)*'[1]Profiles, RES, Winter'!O$3</f>
        <v>27.691432903714933</v>
      </c>
      <c r="P8" s="6">
        <f>VLOOKUP($A8,'RES installed'!$A$2:$C$7,3,FALSE)*'[1]Profiles, RES, Winter'!P$3</f>
        <v>23.426838514025775</v>
      </c>
      <c r="Q8" s="6">
        <f>VLOOKUP($A8,'RES installed'!$A$2:$C$7,3,FALSE)*'[1]Profiles, RES, Winter'!Q$3</f>
        <v>15.068233510235027</v>
      </c>
      <c r="R8" s="6">
        <f>VLOOKUP($A8,'RES installed'!$A$2:$C$7,3,FALSE)*'[1]Profiles, RES, Winter'!R$3</f>
        <v>4.8047763457164523</v>
      </c>
      <c r="S8" s="6">
        <f>VLOOKUP($A8,'RES installed'!$A$2:$C$7,3,FALSE)*'[1]Profiles, RES, Winter'!S$3</f>
        <v>0.28430629264594387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  <row r="9" spans="1:25" x14ac:dyDescent="0.3">
      <c r="A9" s="5">
        <v>8</v>
      </c>
      <c r="B9" s="6">
        <f>VLOOKUP($A9,'RES installed'!$A$2:$C$7,3,FALSE)*'[1]Profiles, RES, Winter'!B$3</f>
        <v>0</v>
      </c>
      <c r="C9" s="6">
        <f>VLOOKUP($A9,'RES installed'!$A$2:$C$7,3,FALSE)*'[1]Profiles, RES, Winter'!C$3</f>
        <v>0</v>
      </c>
      <c r="D9" s="6">
        <f>VLOOKUP($A9,'RES installed'!$A$2:$C$7,3,FALSE)*'[1]Profiles, RES, Winter'!D$3</f>
        <v>0</v>
      </c>
      <c r="E9" s="6">
        <f>VLOOKUP($A9,'RES installed'!$A$2:$C$7,3,FALSE)*'[1]Profiles, RES, Winter'!E$3</f>
        <v>0</v>
      </c>
      <c r="F9" s="6">
        <f>VLOOKUP($A9,'RES installed'!$A$2:$C$7,3,FALSE)*'[1]Profiles, RES, Winter'!F$3</f>
        <v>0</v>
      </c>
      <c r="G9" s="6">
        <f>VLOOKUP($A9,'RES installed'!$A$2:$C$7,3,FALSE)*'[1]Profiles, RES, Winter'!G$3</f>
        <v>0</v>
      </c>
      <c r="H9" s="6">
        <f>VLOOKUP($A9,'RES installed'!$A$2:$C$7,3,FALSE)*'[1]Profiles, RES, Winter'!H$3</f>
        <v>0</v>
      </c>
      <c r="I9" s="6">
        <f>VLOOKUP($A9,'RES installed'!$A$2:$C$7,3,FALSE)*'[1]Profiles, RES, Winter'!I$3</f>
        <v>3.7907505686125852E-2</v>
      </c>
      <c r="J9" s="6">
        <f>VLOOKUP($A9,'RES installed'!$A$2:$C$7,3,FALSE)*'[1]Profiles, RES, Winter'!J$3</f>
        <v>3.2410917361637606</v>
      </c>
      <c r="K9" s="6">
        <f>VLOOKUP($A9,'RES installed'!$A$2:$C$7,3,FALSE)*'[1]Profiles, RES, Winter'!K$3</f>
        <v>11.144806671721001</v>
      </c>
      <c r="L9" s="6">
        <f>VLOOKUP($A9,'RES installed'!$A$2:$C$7,3,FALSE)*'[1]Profiles, RES, Winter'!L$3</f>
        <v>17.115238817285821</v>
      </c>
      <c r="M9" s="6">
        <f>VLOOKUP($A9,'RES installed'!$A$2:$C$7,3,FALSE)*'[1]Profiles, RES, Winter'!M$3</f>
        <v>16.982562547384383</v>
      </c>
      <c r="N9" s="6">
        <f>VLOOKUP($A9,'RES installed'!$A$2:$C$7,3,FALSE)*'[1]Profiles, RES, Winter'!N$3</f>
        <v>18.877937831690677</v>
      </c>
      <c r="O9" s="6">
        <f>VLOOKUP($A9,'RES installed'!$A$2:$C$7,3,FALSE)*'[1]Profiles, RES, Winter'!O$3</f>
        <v>18.460955269143291</v>
      </c>
      <c r="P9" s="6">
        <f>VLOOKUP($A9,'RES installed'!$A$2:$C$7,3,FALSE)*'[1]Profiles, RES, Winter'!P$3</f>
        <v>15.617892342683851</v>
      </c>
      <c r="Q9" s="6">
        <f>VLOOKUP($A9,'RES installed'!$A$2:$C$7,3,FALSE)*'[1]Profiles, RES, Winter'!Q$3</f>
        <v>10.045489006823351</v>
      </c>
      <c r="R9" s="6">
        <f>VLOOKUP($A9,'RES installed'!$A$2:$C$7,3,FALSE)*'[1]Profiles, RES, Winter'!R$3</f>
        <v>3.2031842304776346</v>
      </c>
      <c r="S9" s="6">
        <f>VLOOKUP($A9,'RES installed'!$A$2:$C$7,3,FALSE)*'[1]Profiles, RES, Winter'!S$3</f>
        <v>0.18953752843062927</v>
      </c>
      <c r="T9" s="6">
        <f>VLOOKUP($A9,'RES installed'!$A$2:$C$7,3,FALSE)*'[1]Profiles, RES, Winter'!T$3</f>
        <v>0</v>
      </c>
      <c r="U9" s="6">
        <f>VLOOKUP($A9,'RES installed'!$A$2:$C$7,3,FALSE)*'[1]Profiles, RES, Winter'!U$3</f>
        <v>0</v>
      </c>
      <c r="V9" s="6">
        <f>VLOOKUP($A9,'RES installed'!$A$2:$C$7,3,FALSE)*'[1]Profiles, RES, Winter'!V$3</f>
        <v>0</v>
      </c>
      <c r="W9" s="6">
        <f>VLOOKUP($A9,'RES installed'!$A$2:$C$7,3,FALSE)*'[1]Profiles, RES, Winter'!W$3</f>
        <v>0</v>
      </c>
      <c r="X9" s="6">
        <f>VLOOKUP($A9,'RES installed'!$A$2:$C$7,3,FALSE)*'[1]Profiles, RES, Winter'!X$3</f>
        <v>0</v>
      </c>
      <c r="Y9" s="6">
        <f>VLOOKUP($A9,'RES installed'!$A$2:$C$7,3,FALSE)*'[1]Profiles, RES, Winter'!Y$3</f>
        <v>0</v>
      </c>
    </row>
    <row r="10" spans="1:25" x14ac:dyDescent="0.3">
      <c r="A10" s="5">
        <v>9</v>
      </c>
      <c r="B10" s="6">
        <f>VLOOKUP($A10,'RES installed'!$A$2:$C$7,3,FALSE)*'[1]Profiles, RES, Winter'!B$3</f>
        <v>0</v>
      </c>
      <c r="C10" s="6">
        <f>VLOOKUP($A10,'RES installed'!$A$2:$C$7,3,FALSE)*'[1]Profiles, RES, Winter'!C$3</f>
        <v>0</v>
      </c>
      <c r="D10" s="6">
        <f>VLOOKUP($A10,'RES installed'!$A$2:$C$7,3,FALSE)*'[1]Profiles, RES, Winter'!D$3</f>
        <v>0</v>
      </c>
      <c r="E10" s="6">
        <f>VLOOKUP($A10,'RES installed'!$A$2:$C$7,3,FALSE)*'[1]Profiles, RES, Winter'!E$3</f>
        <v>0</v>
      </c>
      <c r="F10" s="6">
        <f>VLOOKUP($A10,'RES installed'!$A$2:$C$7,3,FALSE)*'[1]Profiles, RES, Winter'!F$3</f>
        <v>0</v>
      </c>
      <c r="G10" s="6">
        <f>VLOOKUP($A10,'RES installed'!$A$2:$C$7,3,FALSE)*'[1]Profiles, RES, Winter'!G$3</f>
        <v>0</v>
      </c>
      <c r="H10" s="6">
        <f>VLOOKUP($A10,'RES installed'!$A$2:$C$7,3,FALSE)*'[1]Profiles, RES, Winter'!H$3</f>
        <v>0</v>
      </c>
      <c r="I10" s="6">
        <f>VLOOKUP($A10,'RES installed'!$A$2:$C$7,3,FALSE)*'[1]Profiles, RES, Winter'!I$3</f>
        <v>4.5489006823351025E-2</v>
      </c>
      <c r="J10" s="6">
        <f>VLOOKUP($A10,'RES installed'!$A$2:$C$7,3,FALSE)*'[1]Profiles, RES, Winter'!J$3</f>
        <v>3.8893100833965129</v>
      </c>
      <c r="K10" s="6">
        <f>VLOOKUP($A10,'RES installed'!$A$2:$C$7,3,FALSE)*'[1]Profiles, RES, Winter'!K$3</f>
        <v>13.373768006065202</v>
      </c>
      <c r="L10" s="6">
        <f>VLOOKUP($A10,'RES installed'!$A$2:$C$7,3,FALSE)*'[1]Profiles, RES, Winter'!L$3</f>
        <v>20.538286580742987</v>
      </c>
      <c r="M10" s="6">
        <f>VLOOKUP($A10,'RES installed'!$A$2:$C$7,3,FALSE)*'[1]Profiles, RES, Winter'!M$3</f>
        <v>20.379075056861261</v>
      </c>
      <c r="N10" s="6">
        <f>VLOOKUP($A10,'RES installed'!$A$2:$C$7,3,FALSE)*'[1]Profiles, RES, Winter'!N$3</f>
        <v>22.653525398028808</v>
      </c>
      <c r="O10" s="6">
        <f>VLOOKUP($A10,'RES installed'!$A$2:$C$7,3,FALSE)*'[1]Profiles, RES, Winter'!O$3</f>
        <v>22.153146322971946</v>
      </c>
      <c r="P10" s="6">
        <f>VLOOKUP($A10,'RES installed'!$A$2:$C$7,3,FALSE)*'[1]Profiles, RES, Winter'!P$3</f>
        <v>18.741470811220619</v>
      </c>
      <c r="Q10" s="6">
        <f>VLOOKUP($A10,'RES installed'!$A$2:$C$7,3,FALSE)*'[1]Profiles, RES, Winter'!Q$3</f>
        <v>12.05458680818802</v>
      </c>
      <c r="R10" s="6">
        <f>VLOOKUP($A10,'RES installed'!$A$2:$C$7,3,FALSE)*'[1]Profiles, RES, Winter'!R$3</f>
        <v>3.8438210765731617</v>
      </c>
      <c r="S10" s="6">
        <f>VLOOKUP($A10,'RES installed'!$A$2:$C$7,3,FALSE)*'[1]Profiles, RES, Winter'!S$3</f>
        <v>0.22744503411675512</v>
      </c>
      <c r="T10" s="6">
        <f>VLOOKUP($A10,'RES installed'!$A$2:$C$7,3,FALSE)*'[1]Profiles, RES, Winter'!T$3</f>
        <v>0</v>
      </c>
      <c r="U10" s="6">
        <f>VLOOKUP($A10,'RES installed'!$A$2:$C$7,3,FALSE)*'[1]Profiles, RES, Winter'!U$3</f>
        <v>0</v>
      </c>
      <c r="V10" s="6">
        <f>VLOOKUP($A10,'RES installed'!$A$2:$C$7,3,FALSE)*'[1]Profiles, RES, Winter'!V$3</f>
        <v>0</v>
      </c>
      <c r="W10" s="6">
        <f>VLOOKUP($A10,'RES installed'!$A$2:$C$7,3,FALSE)*'[1]Profiles, RES, Winter'!W$3</f>
        <v>0</v>
      </c>
      <c r="X10" s="6">
        <f>VLOOKUP($A10,'RES installed'!$A$2:$C$7,3,FALSE)*'[1]Profiles, RES, Winter'!X$3</f>
        <v>0</v>
      </c>
      <c r="Y10" s="6">
        <f>VLOOKUP($A10,'RES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25EC8-2CC0-49B9-ACBB-FB81D5456BBA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Winter'!B$7</f>
        <v>22.608390204737056</v>
      </c>
      <c r="C5" s="9">
        <f>VLOOKUP($A5,'RES installed'!$A$2:$C$7,3,FALSE)*'[1]Profiles, RES, Winter'!C$7</f>
        <v>22.509032517061421</v>
      </c>
      <c r="D5" s="9">
        <f>VLOOKUP($A5,'RES installed'!$A$2:$C$7,3,FALSE)*'[1]Profiles, RES, Winter'!D$7</f>
        <v>21.939983942191891</v>
      </c>
      <c r="E5" s="9">
        <f>VLOOKUP($A5,'RES installed'!$A$2:$C$7,3,FALSE)*'[1]Profiles, RES, Winter'!E$7</f>
        <v>22.481934965877159</v>
      </c>
      <c r="F5" s="9">
        <f>VLOOKUP($A5,'RES installed'!$A$2:$C$7,3,FALSE)*'[1]Profiles, RES, Winter'!F$7</f>
        <v>21.84965877157768</v>
      </c>
      <c r="G5" s="9">
        <f>VLOOKUP($A5,'RES installed'!$A$2:$C$7,3,FALSE)*'[1]Profiles, RES, Winter'!G$7</f>
        <v>21.732236049779207</v>
      </c>
      <c r="H5" s="9">
        <f>VLOOKUP($A5,'RES installed'!$A$2:$C$7,3,FALSE)*'[1]Profiles, RES, Winter'!H$7</f>
        <v>22.518065034122841</v>
      </c>
      <c r="I5" s="9">
        <f>VLOOKUP($A5,'RES installed'!$A$2:$C$7,3,FALSE)*'[1]Profiles, RES, Winter'!I$7</f>
        <v>21.163187474909677</v>
      </c>
      <c r="J5" s="9">
        <f>VLOOKUP($A5,'RES installed'!$A$2:$C$7,3,FALSE)*'[1]Profiles, RES, Winter'!J$7</f>
        <v>19.483139301485345</v>
      </c>
      <c r="K5" s="9">
        <f>VLOOKUP($A5,'RES installed'!$A$2:$C$7,3,FALSE)*'[1]Profiles, RES, Winter'!K$7</f>
        <v>18.245684464070653</v>
      </c>
      <c r="L5" s="9">
        <f>VLOOKUP($A5,'RES installed'!$A$2:$C$7,3,FALSE)*'[1]Profiles, RES, Winter'!L$7</f>
        <v>16.502408671216379</v>
      </c>
      <c r="M5" s="9">
        <f>VLOOKUP($A5,'RES installed'!$A$2:$C$7,3,FALSE)*'[1]Profiles, RES, Winter'!M$7</f>
        <v>14.217181854676838</v>
      </c>
      <c r="N5" s="9">
        <f>VLOOKUP($A5,'RES installed'!$A$2:$C$7,3,FALSE)*'[1]Profiles, RES, Winter'!N$7</f>
        <v>12.817141710156562</v>
      </c>
      <c r="O5" s="9">
        <f>VLOOKUP($A5,'RES installed'!$A$2:$C$7,3,FALSE)*'[1]Profiles, RES, Winter'!O$7</f>
        <v>12.735849056603774</v>
      </c>
      <c r="P5" s="9">
        <f>VLOOKUP($A5,'RES installed'!$A$2:$C$7,3,FALSE)*'[1]Profiles, RES, Winter'!P$7</f>
        <v>14.452027298273785</v>
      </c>
      <c r="Q5" s="9">
        <f>VLOOKUP($A5,'RES installed'!$A$2:$C$7,3,FALSE)*'[1]Profiles, RES, Winter'!Q$7</f>
        <v>14.957848253713367</v>
      </c>
      <c r="R5" s="9">
        <f>VLOOKUP($A5,'RES installed'!$A$2:$C$7,3,FALSE)*'[1]Profiles, RES, Winter'!R$7</f>
        <v>16.538538739462066</v>
      </c>
      <c r="S5" s="9">
        <f>VLOOKUP($A5,'RES installed'!$A$2:$C$7,3,FALSE)*'[1]Profiles, RES, Winter'!S$7</f>
        <v>19.167001204335609</v>
      </c>
      <c r="T5" s="9">
        <f>VLOOKUP($A5,'RES installed'!$A$2:$C$7,3,FALSE)*'[1]Profiles, RES, Winter'!T$7</f>
        <v>20.847049377759937</v>
      </c>
      <c r="U5" s="9">
        <f>VLOOKUP($A5,'RES installed'!$A$2:$C$7,3,FALSE)*'[1]Profiles, RES, Winter'!U$7</f>
        <v>22.09353673223605</v>
      </c>
      <c r="V5" s="9">
        <f>VLOOKUP($A5,'RES installed'!$A$2:$C$7,3,FALSE)*'[1]Profiles, RES, Winter'!V$7</f>
        <v>22.274187073464471</v>
      </c>
      <c r="W5" s="9">
        <f>VLOOKUP($A5,'RES installed'!$A$2:$C$7,3,FALSE)*'[1]Profiles, RES, Winter'!W$7</f>
        <v>20.530911280610194</v>
      </c>
      <c r="X5" s="9">
        <f>VLOOKUP($A5,'RES installed'!$A$2:$C$7,3,FALSE)*'[1]Profiles, RES, Winter'!X$7</f>
        <v>18.932155760738659</v>
      </c>
      <c r="Y5" s="9">
        <f>VLOOKUP($A5,'RES installed'!$A$2:$C$7,3,FALSE)*'[1]Profiles, RES, Winter'!Y$7</f>
        <v>18.182456844640708</v>
      </c>
    </row>
    <row r="6" spans="1:25" x14ac:dyDescent="0.3">
      <c r="A6" s="8">
        <v>5</v>
      </c>
      <c r="B6" s="9">
        <f>VLOOKUP($A6,'RES installed'!$A$2:$C$7,3,FALSE)*'[1]Profiles, RES, Winter'!B$7</f>
        <v>30.144520272982739</v>
      </c>
      <c r="C6" s="9">
        <f>VLOOKUP($A6,'RES installed'!$A$2:$C$7,3,FALSE)*'[1]Profiles, RES, Winter'!C$7</f>
        <v>30.012043356081897</v>
      </c>
      <c r="D6" s="9">
        <f>VLOOKUP($A6,'RES installed'!$A$2:$C$7,3,FALSE)*'[1]Profiles, RES, Winter'!D$7</f>
        <v>29.253311922922521</v>
      </c>
      <c r="E6" s="9">
        <f>VLOOKUP($A6,'RES installed'!$A$2:$C$7,3,FALSE)*'[1]Profiles, RES, Winter'!E$7</f>
        <v>29.97591328783621</v>
      </c>
      <c r="F6" s="9">
        <f>VLOOKUP($A6,'RES installed'!$A$2:$C$7,3,FALSE)*'[1]Profiles, RES, Winter'!F$7</f>
        <v>29.132878362103575</v>
      </c>
      <c r="G6" s="9">
        <f>VLOOKUP($A6,'RES installed'!$A$2:$C$7,3,FALSE)*'[1]Profiles, RES, Winter'!G$7</f>
        <v>28.97631473303894</v>
      </c>
      <c r="H6" s="9">
        <f>VLOOKUP($A6,'RES installed'!$A$2:$C$7,3,FALSE)*'[1]Profiles, RES, Winter'!H$7</f>
        <v>30.024086712163786</v>
      </c>
      <c r="I6" s="9">
        <f>VLOOKUP($A6,'RES installed'!$A$2:$C$7,3,FALSE)*'[1]Profiles, RES, Winter'!I$7</f>
        <v>28.217583299879568</v>
      </c>
      <c r="J6" s="9">
        <f>VLOOKUP($A6,'RES installed'!$A$2:$C$7,3,FALSE)*'[1]Profiles, RES, Winter'!J$7</f>
        <v>25.977519068647126</v>
      </c>
      <c r="K6" s="9">
        <f>VLOOKUP($A6,'RES installed'!$A$2:$C$7,3,FALSE)*'[1]Profiles, RES, Winter'!K$7</f>
        <v>24.327579285427539</v>
      </c>
      <c r="L6" s="9">
        <f>VLOOKUP($A6,'RES installed'!$A$2:$C$7,3,FALSE)*'[1]Profiles, RES, Winter'!L$7</f>
        <v>22.003211561621839</v>
      </c>
      <c r="M6" s="9">
        <f>VLOOKUP($A6,'RES installed'!$A$2:$C$7,3,FALSE)*'[1]Profiles, RES, Winter'!M$7</f>
        <v>18.956242472902449</v>
      </c>
      <c r="N6" s="9">
        <f>VLOOKUP($A6,'RES installed'!$A$2:$C$7,3,FALSE)*'[1]Profiles, RES, Winter'!N$7</f>
        <v>17.089522280208751</v>
      </c>
      <c r="O6" s="9">
        <f>VLOOKUP($A6,'RES installed'!$A$2:$C$7,3,FALSE)*'[1]Profiles, RES, Winter'!O$7</f>
        <v>16.981132075471699</v>
      </c>
      <c r="P6" s="9">
        <f>VLOOKUP($A6,'RES installed'!$A$2:$C$7,3,FALSE)*'[1]Profiles, RES, Winter'!P$7</f>
        <v>19.269369731031713</v>
      </c>
      <c r="Q6" s="9">
        <f>VLOOKUP($A6,'RES installed'!$A$2:$C$7,3,FALSE)*'[1]Profiles, RES, Winter'!Q$7</f>
        <v>19.943797671617823</v>
      </c>
      <c r="R6" s="9">
        <f>VLOOKUP($A6,'RES installed'!$A$2:$C$7,3,FALSE)*'[1]Profiles, RES, Winter'!R$7</f>
        <v>22.051384985949419</v>
      </c>
      <c r="S6" s="9">
        <f>VLOOKUP($A6,'RES installed'!$A$2:$C$7,3,FALSE)*'[1]Profiles, RES, Winter'!S$7</f>
        <v>25.556001605780811</v>
      </c>
      <c r="T6" s="9">
        <f>VLOOKUP($A6,'RES installed'!$A$2:$C$7,3,FALSE)*'[1]Profiles, RES, Winter'!T$7</f>
        <v>27.796065837013249</v>
      </c>
      <c r="U6" s="9">
        <f>VLOOKUP($A6,'RES installed'!$A$2:$C$7,3,FALSE)*'[1]Profiles, RES, Winter'!U$7</f>
        <v>29.458048976314732</v>
      </c>
      <c r="V6" s="9">
        <f>VLOOKUP($A6,'RES installed'!$A$2:$C$7,3,FALSE)*'[1]Profiles, RES, Winter'!V$7</f>
        <v>29.69891609795263</v>
      </c>
      <c r="W6" s="9">
        <f>VLOOKUP($A6,'RES installed'!$A$2:$C$7,3,FALSE)*'[1]Profiles, RES, Winter'!W$7</f>
        <v>27.374548374146926</v>
      </c>
      <c r="X6" s="9">
        <f>VLOOKUP($A6,'RES installed'!$A$2:$C$7,3,FALSE)*'[1]Profiles, RES, Winter'!X$7</f>
        <v>25.242874347651544</v>
      </c>
      <c r="Y6" s="9">
        <f>VLOOKUP($A6,'RES installed'!$A$2:$C$7,3,FALSE)*'[1]Profiles, RES, Winter'!Y$7</f>
        <v>24.243275792854277</v>
      </c>
    </row>
    <row r="7" spans="1:25" x14ac:dyDescent="0.3">
      <c r="A7" s="8">
        <v>6</v>
      </c>
      <c r="B7" s="9">
        <f>VLOOKUP($A7,'RES installed'!$A$2:$C$7,3,FALSE)*'[1]Profiles, RES, Winter'!B$7</f>
        <v>22.608390204737056</v>
      </c>
      <c r="C7" s="9">
        <f>VLOOKUP($A7,'RES installed'!$A$2:$C$7,3,FALSE)*'[1]Profiles, RES, Winter'!C$7</f>
        <v>22.509032517061421</v>
      </c>
      <c r="D7" s="9">
        <f>VLOOKUP($A7,'RES installed'!$A$2:$C$7,3,FALSE)*'[1]Profiles, RES, Winter'!D$7</f>
        <v>21.939983942191891</v>
      </c>
      <c r="E7" s="9">
        <f>VLOOKUP($A7,'RES installed'!$A$2:$C$7,3,FALSE)*'[1]Profiles, RES, Winter'!E$7</f>
        <v>22.481934965877159</v>
      </c>
      <c r="F7" s="9">
        <f>VLOOKUP($A7,'RES installed'!$A$2:$C$7,3,FALSE)*'[1]Profiles, RES, Winter'!F$7</f>
        <v>21.84965877157768</v>
      </c>
      <c r="G7" s="9">
        <f>VLOOKUP($A7,'RES installed'!$A$2:$C$7,3,FALSE)*'[1]Profiles, RES, Winter'!G$7</f>
        <v>21.732236049779207</v>
      </c>
      <c r="H7" s="9">
        <f>VLOOKUP($A7,'RES installed'!$A$2:$C$7,3,FALSE)*'[1]Profiles, RES, Winter'!H$7</f>
        <v>22.518065034122841</v>
      </c>
      <c r="I7" s="9">
        <f>VLOOKUP($A7,'RES installed'!$A$2:$C$7,3,FALSE)*'[1]Profiles, RES, Winter'!I$7</f>
        <v>21.163187474909677</v>
      </c>
      <c r="J7" s="9">
        <f>VLOOKUP($A7,'RES installed'!$A$2:$C$7,3,FALSE)*'[1]Profiles, RES, Winter'!J$7</f>
        <v>19.483139301485345</v>
      </c>
      <c r="K7" s="9">
        <f>VLOOKUP($A7,'RES installed'!$A$2:$C$7,3,FALSE)*'[1]Profiles, RES, Winter'!K$7</f>
        <v>18.245684464070653</v>
      </c>
      <c r="L7" s="9">
        <f>VLOOKUP($A7,'RES installed'!$A$2:$C$7,3,FALSE)*'[1]Profiles, RES, Winter'!L$7</f>
        <v>16.502408671216379</v>
      </c>
      <c r="M7" s="9">
        <f>VLOOKUP($A7,'RES installed'!$A$2:$C$7,3,FALSE)*'[1]Profiles, RES, Winter'!M$7</f>
        <v>14.217181854676838</v>
      </c>
      <c r="N7" s="9">
        <f>VLOOKUP($A7,'RES installed'!$A$2:$C$7,3,FALSE)*'[1]Profiles, RES, Winter'!N$7</f>
        <v>12.817141710156562</v>
      </c>
      <c r="O7" s="9">
        <f>VLOOKUP($A7,'RES installed'!$A$2:$C$7,3,FALSE)*'[1]Profiles, RES, Winter'!O$7</f>
        <v>12.735849056603774</v>
      </c>
      <c r="P7" s="9">
        <f>VLOOKUP($A7,'RES installed'!$A$2:$C$7,3,FALSE)*'[1]Profiles, RES, Winter'!P$7</f>
        <v>14.452027298273785</v>
      </c>
      <c r="Q7" s="9">
        <f>VLOOKUP($A7,'RES installed'!$A$2:$C$7,3,FALSE)*'[1]Profiles, RES, Winter'!Q$7</f>
        <v>14.957848253713367</v>
      </c>
      <c r="R7" s="9">
        <f>VLOOKUP($A7,'RES installed'!$A$2:$C$7,3,FALSE)*'[1]Profiles, RES, Winter'!R$7</f>
        <v>16.538538739462066</v>
      </c>
      <c r="S7" s="9">
        <f>VLOOKUP($A7,'RES installed'!$A$2:$C$7,3,FALSE)*'[1]Profiles, RES, Winter'!S$7</f>
        <v>19.167001204335609</v>
      </c>
      <c r="T7" s="9">
        <f>VLOOKUP($A7,'RES installed'!$A$2:$C$7,3,FALSE)*'[1]Profiles, RES, Winter'!T$7</f>
        <v>20.847049377759937</v>
      </c>
      <c r="U7" s="9">
        <f>VLOOKUP($A7,'RES installed'!$A$2:$C$7,3,FALSE)*'[1]Profiles, RES, Winter'!U$7</f>
        <v>22.09353673223605</v>
      </c>
      <c r="V7" s="9">
        <f>VLOOKUP($A7,'RES installed'!$A$2:$C$7,3,FALSE)*'[1]Profiles, RES, Winter'!V$7</f>
        <v>22.274187073464471</v>
      </c>
      <c r="W7" s="9">
        <f>VLOOKUP($A7,'RES installed'!$A$2:$C$7,3,FALSE)*'[1]Profiles, RES, Winter'!W$7</f>
        <v>20.530911280610194</v>
      </c>
      <c r="X7" s="9">
        <f>VLOOKUP($A7,'RES installed'!$A$2:$C$7,3,FALSE)*'[1]Profiles, RES, Winter'!X$7</f>
        <v>18.932155760738659</v>
      </c>
      <c r="Y7" s="9">
        <f>VLOOKUP($A7,'RES installed'!$A$2:$C$7,3,FALSE)*'[1]Profiles, RES, Winter'!Y$7</f>
        <v>18.182456844640708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2.843062926459439E-2</v>
      </c>
      <c r="J8" s="6">
        <f>VLOOKUP($A8,'RES installed'!$A$2:$C$7,3,FALSE)*'[1]Profiles, RES, Winter'!J$4</f>
        <v>2.5303260045489009</v>
      </c>
      <c r="K8" s="6">
        <f>VLOOKUP($A8,'RES installed'!$A$2:$C$7,3,FALSE)*'[1]Profiles, RES, Winter'!K$4</f>
        <v>10.860500379075058</v>
      </c>
      <c r="L8" s="6">
        <f>VLOOKUP($A8,'RES installed'!$A$2:$C$7,3,FALSE)*'[1]Profiles, RES, Winter'!L$4</f>
        <v>17.911296436694464</v>
      </c>
      <c r="M8" s="6">
        <f>VLOOKUP($A8,'RES installed'!$A$2:$C$7,3,FALSE)*'[1]Profiles, RES, Winter'!M$4</f>
        <v>20.356330553449585</v>
      </c>
      <c r="N8" s="6">
        <f>VLOOKUP($A8,'RES installed'!$A$2:$C$7,3,FALSE)*'[1]Profiles, RES, Winter'!N$4</f>
        <v>19.446550416982564</v>
      </c>
      <c r="O8" s="6">
        <f>VLOOKUP($A8,'RES installed'!$A$2:$C$7,3,FALSE)*'[1]Profiles, RES, Winter'!O$4</f>
        <v>19.816148597422291</v>
      </c>
      <c r="P8" s="6">
        <f>VLOOKUP($A8,'RES installed'!$A$2:$C$7,3,FALSE)*'[1]Profiles, RES, Winter'!P$4</f>
        <v>21.436694465504171</v>
      </c>
      <c r="Q8" s="6">
        <f>VLOOKUP($A8,'RES installed'!$A$2:$C$7,3,FALSE)*'[1]Profiles, RES, Winter'!Q$4</f>
        <v>19.531842304776344</v>
      </c>
      <c r="R8" s="6">
        <f>VLOOKUP($A8,'RES installed'!$A$2:$C$7,3,FALSE)*'[1]Profiles, RES, Winter'!R$4</f>
        <v>8.8987869598180431</v>
      </c>
      <c r="S8" s="6">
        <f>VLOOKUP($A8,'RES installed'!$A$2:$C$7,3,FALSE)*'[1]Profiles, RES, Winter'!S$4</f>
        <v>0.45489006823351025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  <row r="9" spans="1:25" x14ac:dyDescent="0.3">
      <c r="A9" s="5">
        <v>8</v>
      </c>
      <c r="B9" s="6">
        <f>VLOOKUP($A9,'RES installed'!$A$2:$C$7,3,FALSE)*'[1]Profiles, RES, Winter'!B$4</f>
        <v>0</v>
      </c>
      <c r="C9" s="6">
        <f>VLOOKUP($A9,'RES installed'!$A$2:$C$7,3,FALSE)*'[1]Profiles, RES, Winter'!C$4</f>
        <v>0</v>
      </c>
      <c r="D9" s="6">
        <f>VLOOKUP($A9,'RES installed'!$A$2:$C$7,3,FALSE)*'[1]Profiles, RES, Winter'!D$4</f>
        <v>0</v>
      </c>
      <c r="E9" s="6">
        <f>VLOOKUP($A9,'RES installed'!$A$2:$C$7,3,FALSE)*'[1]Profiles, RES, Winter'!E$4</f>
        <v>0</v>
      </c>
      <c r="F9" s="6">
        <f>VLOOKUP($A9,'RES installed'!$A$2:$C$7,3,FALSE)*'[1]Profiles, RES, Winter'!F$4</f>
        <v>0</v>
      </c>
      <c r="G9" s="6">
        <f>VLOOKUP($A9,'RES installed'!$A$2:$C$7,3,FALSE)*'[1]Profiles, RES, Winter'!G$4</f>
        <v>0</v>
      </c>
      <c r="H9" s="6">
        <f>VLOOKUP($A9,'RES installed'!$A$2:$C$7,3,FALSE)*'[1]Profiles, RES, Winter'!H$4</f>
        <v>0</v>
      </c>
      <c r="I9" s="6">
        <f>VLOOKUP($A9,'RES installed'!$A$2:$C$7,3,FALSE)*'[1]Profiles, RES, Winter'!I$4</f>
        <v>1.8953752843062926E-2</v>
      </c>
      <c r="J9" s="6">
        <f>VLOOKUP($A9,'RES installed'!$A$2:$C$7,3,FALSE)*'[1]Profiles, RES, Winter'!J$4</f>
        <v>1.6868840030326004</v>
      </c>
      <c r="K9" s="6">
        <f>VLOOKUP($A9,'RES installed'!$A$2:$C$7,3,FALSE)*'[1]Profiles, RES, Winter'!K$4</f>
        <v>7.2403335860500375</v>
      </c>
      <c r="L9" s="6">
        <f>VLOOKUP($A9,'RES installed'!$A$2:$C$7,3,FALSE)*'[1]Profiles, RES, Winter'!L$4</f>
        <v>11.940864291129644</v>
      </c>
      <c r="M9" s="6">
        <f>VLOOKUP($A9,'RES installed'!$A$2:$C$7,3,FALSE)*'[1]Profiles, RES, Winter'!M$4</f>
        <v>13.570887035633056</v>
      </c>
      <c r="N9" s="6">
        <f>VLOOKUP($A9,'RES installed'!$A$2:$C$7,3,FALSE)*'[1]Profiles, RES, Winter'!N$4</f>
        <v>12.964366944655042</v>
      </c>
      <c r="O9" s="6">
        <f>VLOOKUP($A9,'RES installed'!$A$2:$C$7,3,FALSE)*'[1]Profiles, RES, Winter'!O$4</f>
        <v>13.21076573161486</v>
      </c>
      <c r="P9" s="6">
        <f>VLOOKUP($A9,'RES installed'!$A$2:$C$7,3,FALSE)*'[1]Profiles, RES, Winter'!P$4</f>
        <v>14.291129643669448</v>
      </c>
      <c r="Q9" s="6">
        <f>VLOOKUP($A9,'RES installed'!$A$2:$C$7,3,FALSE)*'[1]Profiles, RES, Winter'!Q$4</f>
        <v>13.021228203184229</v>
      </c>
      <c r="R9" s="6">
        <f>VLOOKUP($A9,'RES installed'!$A$2:$C$7,3,FALSE)*'[1]Profiles, RES, Winter'!R$4</f>
        <v>5.9325246398786957</v>
      </c>
      <c r="S9" s="6">
        <f>VLOOKUP($A9,'RES installed'!$A$2:$C$7,3,FALSE)*'[1]Profiles, RES, Winter'!S$4</f>
        <v>0.30326004548900681</v>
      </c>
      <c r="T9" s="6">
        <f>VLOOKUP($A9,'RES installed'!$A$2:$C$7,3,FALSE)*'[1]Profiles, RES, Winter'!T$4</f>
        <v>0</v>
      </c>
      <c r="U9" s="6">
        <f>VLOOKUP($A9,'RES installed'!$A$2:$C$7,3,FALSE)*'[1]Profiles, RES, Winter'!U$4</f>
        <v>0</v>
      </c>
      <c r="V9" s="6">
        <f>VLOOKUP($A9,'RES installed'!$A$2:$C$7,3,FALSE)*'[1]Profiles, RES, Winter'!V$4</f>
        <v>0</v>
      </c>
      <c r="W9" s="6">
        <f>VLOOKUP($A9,'RES installed'!$A$2:$C$7,3,FALSE)*'[1]Profiles, RES, Winter'!W$4</f>
        <v>0</v>
      </c>
      <c r="X9" s="6">
        <f>VLOOKUP($A9,'RES installed'!$A$2:$C$7,3,FALSE)*'[1]Profiles, RES, Winter'!X$4</f>
        <v>0</v>
      </c>
      <c r="Y9" s="6">
        <f>VLOOKUP($A9,'RES installed'!$A$2:$C$7,3,FALSE)*'[1]Profiles, RES, Winter'!Y$4</f>
        <v>0</v>
      </c>
    </row>
    <row r="10" spans="1:25" x14ac:dyDescent="0.3">
      <c r="A10" s="5">
        <v>9</v>
      </c>
      <c r="B10" s="6">
        <f>VLOOKUP($A10,'RES installed'!$A$2:$C$7,3,FALSE)*'[1]Profiles, RES, Winter'!B$4</f>
        <v>0</v>
      </c>
      <c r="C10" s="6">
        <f>VLOOKUP($A10,'RES installed'!$A$2:$C$7,3,FALSE)*'[1]Profiles, RES, Winter'!C$4</f>
        <v>0</v>
      </c>
      <c r="D10" s="6">
        <f>VLOOKUP($A10,'RES installed'!$A$2:$C$7,3,FALSE)*'[1]Profiles, RES, Winter'!D$4</f>
        <v>0</v>
      </c>
      <c r="E10" s="6">
        <f>VLOOKUP($A10,'RES installed'!$A$2:$C$7,3,FALSE)*'[1]Profiles, RES, Winter'!E$4</f>
        <v>0</v>
      </c>
      <c r="F10" s="6">
        <f>VLOOKUP($A10,'RES installed'!$A$2:$C$7,3,FALSE)*'[1]Profiles, RES, Winter'!F$4</f>
        <v>0</v>
      </c>
      <c r="G10" s="6">
        <f>VLOOKUP($A10,'RES installed'!$A$2:$C$7,3,FALSE)*'[1]Profiles, RES, Winter'!G$4</f>
        <v>0</v>
      </c>
      <c r="H10" s="6">
        <f>VLOOKUP($A10,'RES installed'!$A$2:$C$7,3,FALSE)*'[1]Profiles, RES, Winter'!H$4</f>
        <v>0</v>
      </c>
      <c r="I10" s="6">
        <f>VLOOKUP($A10,'RES installed'!$A$2:$C$7,3,FALSE)*'[1]Profiles, RES, Winter'!I$4</f>
        <v>2.2744503411675512E-2</v>
      </c>
      <c r="J10" s="6">
        <f>VLOOKUP($A10,'RES installed'!$A$2:$C$7,3,FALSE)*'[1]Profiles, RES, Winter'!J$4</f>
        <v>2.0242608036391205</v>
      </c>
      <c r="K10" s="6">
        <f>VLOOKUP($A10,'RES installed'!$A$2:$C$7,3,FALSE)*'[1]Profiles, RES, Winter'!K$4</f>
        <v>8.6884003032600461</v>
      </c>
      <c r="L10" s="6">
        <f>VLOOKUP($A10,'RES installed'!$A$2:$C$7,3,FALSE)*'[1]Profiles, RES, Winter'!L$4</f>
        <v>14.329037149355573</v>
      </c>
      <c r="M10" s="6">
        <f>VLOOKUP($A10,'RES installed'!$A$2:$C$7,3,FALSE)*'[1]Profiles, RES, Winter'!M$4</f>
        <v>16.285064442759666</v>
      </c>
      <c r="N10" s="6">
        <f>VLOOKUP($A10,'RES installed'!$A$2:$C$7,3,FALSE)*'[1]Profiles, RES, Winter'!N$4</f>
        <v>15.557240333586051</v>
      </c>
      <c r="O10" s="6">
        <f>VLOOKUP($A10,'RES installed'!$A$2:$C$7,3,FALSE)*'[1]Profiles, RES, Winter'!O$4</f>
        <v>15.852918877937832</v>
      </c>
      <c r="P10" s="6">
        <f>VLOOKUP($A10,'RES installed'!$A$2:$C$7,3,FALSE)*'[1]Profiles, RES, Winter'!P$4</f>
        <v>17.149355572403337</v>
      </c>
      <c r="Q10" s="6">
        <f>VLOOKUP($A10,'RES installed'!$A$2:$C$7,3,FALSE)*'[1]Profiles, RES, Winter'!Q$4</f>
        <v>15.625473843821075</v>
      </c>
      <c r="R10" s="6">
        <f>VLOOKUP($A10,'RES installed'!$A$2:$C$7,3,FALSE)*'[1]Profiles, RES, Winter'!R$4</f>
        <v>7.1190295678544349</v>
      </c>
      <c r="S10" s="6">
        <f>VLOOKUP($A10,'RES installed'!$A$2:$C$7,3,FALSE)*'[1]Profiles, RES, Winter'!S$4</f>
        <v>0.3639120545868082</v>
      </c>
      <c r="T10" s="6">
        <f>VLOOKUP($A10,'RES installed'!$A$2:$C$7,3,FALSE)*'[1]Profiles, RES, Winter'!T$4</f>
        <v>0</v>
      </c>
      <c r="U10" s="6">
        <f>VLOOKUP($A10,'RES installed'!$A$2:$C$7,3,FALSE)*'[1]Profiles, RES, Winter'!U$4</f>
        <v>0</v>
      </c>
      <c r="V10" s="6">
        <f>VLOOKUP($A10,'RES installed'!$A$2:$C$7,3,FALSE)*'[1]Profiles, RES, Winter'!V$4</f>
        <v>0</v>
      </c>
      <c r="W10" s="6">
        <f>VLOOKUP($A10,'RES installed'!$A$2:$C$7,3,FALSE)*'[1]Profiles, RES, Winter'!W$4</f>
        <v>0</v>
      </c>
      <c r="X10" s="6">
        <f>VLOOKUP($A10,'RES installed'!$A$2:$C$7,3,FALSE)*'[1]Profiles, RES, Winter'!X$4</f>
        <v>0</v>
      </c>
      <c r="Y10" s="6">
        <f>VLOOKUP($A10,'RES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1BFD42-4C76-4AC7-A518-39977CCB74F7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Winter'!B$5</f>
        <v>24.396828582898433</v>
      </c>
      <c r="C5" s="9">
        <f>VLOOKUP($A5,'RES installed'!$A$2:$C$7,3,FALSE)*'[1]Profiles, RES, Winter'!C$5</f>
        <v>26.248494580489762</v>
      </c>
      <c r="D5" s="9">
        <f>VLOOKUP($A5,'RES installed'!$A$2:$C$7,3,FALSE)*'[1]Profiles, RES, Winter'!D$5</f>
        <v>26.113006824568448</v>
      </c>
      <c r="E5" s="9">
        <f>VLOOKUP($A5,'RES installed'!$A$2:$C$7,3,FALSE)*'[1]Profiles, RES, Winter'!E$5</f>
        <v>26.167201926936976</v>
      </c>
      <c r="F5" s="9">
        <f>VLOOKUP($A5,'RES installed'!$A$2:$C$7,3,FALSE)*'[1]Profiles, RES, Winter'!F$5</f>
        <v>27.088518667201928</v>
      </c>
      <c r="G5" s="9">
        <f>VLOOKUP($A5,'RES installed'!$A$2:$C$7,3,FALSE)*'[1]Profiles, RES, Winter'!G$5</f>
        <v>28.596949016459256</v>
      </c>
      <c r="H5" s="9">
        <f>VLOOKUP($A5,'RES installed'!$A$2:$C$7,3,FALSE)*'[1]Profiles, RES, Winter'!H$5</f>
        <v>30.466680048173423</v>
      </c>
      <c r="I5" s="9">
        <f>VLOOKUP($A5,'RES installed'!$A$2:$C$7,3,FALSE)*'[1]Profiles, RES, Winter'!I$5</f>
        <v>30.520875150541951</v>
      </c>
      <c r="J5" s="9">
        <f>VLOOKUP($A5,'RES installed'!$A$2:$C$7,3,FALSE)*'[1]Profiles, RES, Winter'!J$5</f>
        <v>30.249899638699318</v>
      </c>
      <c r="K5" s="9">
        <f>VLOOKUP($A5,'RES installed'!$A$2:$C$7,3,FALSE)*'[1]Profiles, RES, Winter'!K$5</f>
        <v>28.389201124046568</v>
      </c>
      <c r="L5" s="9">
        <f>VLOOKUP($A5,'RES installed'!$A$2:$C$7,3,FALSE)*'[1]Profiles, RES, Winter'!L$5</f>
        <v>24.758129265355279</v>
      </c>
      <c r="M5" s="9">
        <f>VLOOKUP($A5,'RES installed'!$A$2:$C$7,3,FALSE)*'[1]Profiles, RES, Winter'!M$5</f>
        <v>22.780008028904053</v>
      </c>
      <c r="N5" s="9">
        <f>VLOOKUP($A5,'RES installed'!$A$2:$C$7,3,FALSE)*'[1]Profiles, RES, Winter'!N$5</f>
        <v>21.885788839823366</v>
      </c>
      <c r="O5" s="9">
        <f>VLOOKUP($A5,'RES installed'!$A$2:$C$7,3,FALSE)*'[1]Profiles, RES, Winter'!O$5</f>
        <v>20.39542352468888</v>
      </c>
      <c r="P5" s="9">
        <f>VLOOKUP($A5,'RES installed'!$A$2:$C$7,3,FALSE)*'[1]Profiles, RES, Winter'!P$5</f>
        <v>18.643115214773182</v>
      </c>
      <c r="Q5" s="9">
        <f>VLOOKUP($A5,'RES installed'!$A$2:$C$7,3,FALSE)*'[1]Profiles, RES, Winter'!Q$5</f>
        <v>18.805700521878762</v>
      </c>
      <c r="R5" s="9">
        <f>VLOOKUP($A5,'RES installed'!$A$2:$C$7,3,FALSE)*'[1]Profiles, RES, Winter'!R$5</f>
        <v>19.51023685266961</v>
      </c>
      <c r="S5" s="9">
        <f>VLOOKUP($A5,'RES installed'!$A$2:$C$7,3,FALSE)*'[1]Profiles, RES, Winter'!S$5</f>
        <v>22.481934965877159</v>
      </c>
      <c r="T5" s="9">
        <f>VLOOKUP($A5,'RES installed'!$A$2:$C$7,3,FALSE)*'[1]Profiles, RES, Winter'!T$5</f>
        <v>24.342633480529908</v>
      </c>
      <c r="U5" s="9">
        <f>VLOOKUP($A5,'RES installed'!$A$2:$C$7,3,FALSE)*'[1]Profiles, RES, Winter'!U$5</f>
        <v>24.947812123645122</v>
      </c>
      <c r="V5" s="9">
        <f>VLOOKUP($A5,'RES installed'!$A$2:$C$7,3,FALSE)*'[1]Profiles, RES, Winter'!V$5</f>
        <v>24.125853071055801</v>
      </c>
      <c r="W5" s="9">
        <f>VLOOKUP($A5,'RES installed'!$A$2:$C$7,3,FALSE)*'[1]Profiles, RES, Winter'!W$5</f>
        <v>22.816138097149736</v>
      </c>
      <c r="X5" s="9">
        <f>VLOOKUP($A5,'RES installed'!$A$2:$C$7,3,FALSE)*'[1]Profiles, RES, Winter'!X$5</f>
        <v>23.060016057808109</v>
      </c>
      <c r="Y5" s="9">
        <f>VLOOKUP($A5,'RES installed'!$A$2:$C$7,3,FALSE)*'[1]Profiles, RES, Winter'!Y$5</f>
        <v>24.008430349257328</v>
      </c>
    </row>
    <row r="6" spans="1:25" x14ac:dyDescent="0.3">
      <c r="A6" s="8">
        <v>5</v>
      </c>
      <c r="B6" s="9">
        <f>VLOOKUP($A6,'RES installed'!$A$2:$C$7,3,FALSE)*'[1]Profiles, RES, Winter'!B$5</f>
        <v>32.529104777197915</v>
      </c>
      <c r="C6" s="9">
        <f>VLOOKUP($A6,'RES installed'!$A$2:$C$7,3,FALSE)*'[1]Profiles, RES, Winter'!C$5</f>
        <v>34.997992773986347</v>
      </c>
      <c r="D6" s="9">
        <f>VLOOKUP($A6,'RES installed'!$A$2:$C$7,3,FALSE)*'[1]Profiles, RES, Winter'!D$5</f>
        <v>34.817342432757933</v>
      </c>
      <c r="E6" s="9">
        <f>VLOOKUP($A6,'RES installed'!$A$2:$C$7,3,FALSE)*'[1]Profiles, RES, Winter'!E$5</f>
        <v>34.889602569249298</v>
      </c>
      <c r="F6" s="9">
        <f>VLOOKUP($A6,'RES installed'!$A$2:$C$7,3,FALSE)*'[1]Profiles, RES, Winter'!F$5</f>
        <v>36.118024889602573</v>
      </c>
      <c r="G6" s="9">
        <f>VLOOKUP($A6,'RES installed'!$A$2:$C$7,3,FALSE)*'[1]Profiles, RES, Winter'!G$5</f>
        <v>38.12926535527901</v>
      </c>
      <c r="H6" s="9">
        <f>VLOOKUP($A6,'RES installed'!$A$2:$C$7,3,FALSE)*'[1]Profiles, RES, Winter'!H$5</f>
        <v>40.622240064231228</v>
      </c>
      <c r="I6" s="9">
        <f>VLOOKUP($A6,'RES installed'!$A$2:$C$7,3,FALSE)*'[1]Profiles, RES, Winter'!I$5</f>
        <v>40.694500200722601</v>
      </c>
      <c r="J6" s="9">
        <f>VLOOKUP($A6,'RES installed'!$A$2:$C$7,3,FALSE)*'[1]Profiles, RES, Winter'!J$5</f>
        <v>40.333199518265758</v>
      </c>
      <c r="K6" s="9">
        <f>VLOOKUP($A6,'RES installed'!$A$2:$C$7,3,FALSE)*'[1]Profiles, RES, Winter'!K$5</f>
        <v>37.852268165395422</v>
      </c>
      <c r="L6" s="9">
        <f>VLOOKUP($A6,'RES installed'!$A$2:$C$7,3,FALSE)*'[1]Profiles, RES, Winter'!L$5</f>
        <v>33.010839020473703</v>
      </c>
      <c r="M6" s="9">
        <f>VLOOKUP($A6,'RES installed'!$A$2:$C$7,3,FALSE)*'[1]Profiles, RES, Winter'!M$5</f>
        <v>30.373344038538736</v>
      </c>
      <c r="N6" s="9">
        <f>VLOOKUP($A6,'RES installed'!$A$2:$C$7,3,FALSE)*'[1]Profiles, RES, Winter'!N$5</f>
        <v>29.181051786431155</v>
      </c>
      <c r="O6" s="9">
        <f>VLOOKUP($A6,'RES installed'!$A$2:$C$7,3,FALSE)*'[1]Profiles, RES, Winter'!O$5</f>
        <v>27.193898032918508</v>
      </c>
      <c r="P6" s="9">
        <f>VLOOKUP($A6,'RES installed'!$A$2:$C$7,3,FALSE)*'[1]Profiles, RES, Winter'!P$5</f>
        <v>24.857486953030911</v>
      </c>
      <c r="Q6" s="9">
        <f>VLOOKUP($A6,'RES installed'!$A$2:$C$7,3,FALSE)*'[1]Profiles, RES, Winter'!Q$5</f>
        <v>25.074267362505019</v>
      </c>
      <c r="R6" s="9">
        <f>VLOOKUP($A6,'RES installed'!$A$2:$C$7,3,FALSE)*'[1]Profiles, RES, Winter'!R$5</f>
        <v>26.013649136892816</v>
      </c>
      <c r="S6" s="9">
        <f>VLOOKUP($A6,'RES installed'!$A$2:$C$7,3,FALSE)*'[1]Profiles, RES, Winter'!S$5</f>
        <v>29.97591328783621</v>
      </c>
      <c r="T6" s="9">
        <f>VLOOKUP($A6,'RES installed'!$A$2:$C$7,3,FALSE)*'[1]Profiles, RES, Winter'!T$5</f>
        <v>32.456844640706549</v>
      </c>
      <c r="U6" s="9">
        <f>VLOOKUP($A6,'RES installed'!$A$2:$C$7,3,FALSE)*'[1]Profiles, RES, Winter'!U$5</f>
        <v>33.263749498193498</v>
      </c>
      <c r="V6" s="9">
        <f>VLOOKUP($A6,'RES installed'!$A$2:$C$7,3,FALSE)*'[1]Profiles, RES, Winter'!V$5</f>
        <v>32.167804094741065</v>
      </c>
      <c r="W6" s="9">
        <f>VLOOKUP($A6,'RES installed'!$A$2:$C$7,3,FALSE)*'[1]Profiles, RES, Winter'!W$5</f>
        <v>30.421517462866316</v>
      </c>
      <c r="X6" s="9">
        <f>VLOOKUP($A6,'RES installed'!$A$2:$C$7,3,FALSE)*'[1]Profiles, RES, Winter'!X$5</f>
        <v>30.746688077077479</v>
      </c>
      <c r="Y6" s="9">
        <f>VLOOKUP($A6,'RES installed'!$A$2:$C$7,3,FALSE)*'[1]Profiles, RES, Winter'!Y$5</f>
        <v>32.011240465676437</v>
      </c>
    </row>
    <row r="7" spans="1:25" x14ac:dyDescent="0.3">
      <c r="A7" s="8">
        <v>6</v>
      </c>
      <c r="B7" s="9">
        <f>VLOOKUP($A7,'RES installed'!$A$2:$C$7,3,FALSE)*'[1]Profiles, RES, Winter'!B$5</f>
        <v>24.396828582898433</v>
      </c>
      <c r="C7" s="9">
        <f>VLOOKUP($A7,'RES installed'!$A$2:$C$7,3,FALSE)*'[1]Profiles, RES, Winter'!C$5</f>
        <v>26.248494580489762</v>
      </c>
      <c r="D7" s="9">
        <f>VLOOKUP($A7,'RES installed'!$A$2:$C$7,3,FALSE)*'[1]Profiles, RES, Winter'!D$5</f>
        <v>26.113006824568448</v>
      </c>
      <c r="E7" s="9">
        <f>VLOOKUP($A7,'RES installed'!$A$2:$C$7,3,FALSE)*'[1]Profiles, RES, Winter'!E$5</f>
        <v>26.167201926936976</v>
      </c>
      <c r="F7" s="9">
        <f>VLOOKUP($A7,'RES installed'!$A$2:$C$7,3,FALSE)*'[1]Profiles, RES, Winter'!F$5</f>
        <v>27.088518667201928</v>
      </c>
      <c r="G7" s="9">
        <f>VLOOKUP($A7,'RES installed'!$A$2:$C$7,3,FALSE)*'[1]Profiles, RES, Winter'!G$5</f>
        <v>28.596949016459256</v>
      </c>
      <c r="H7" s="9">
        <f>VLOOKUP($A7,'RES installed'!$A$2:$C$7,3,FALSE)*'[1]Profiles, RES, Winter'!H$5</f>
        <v>30.466680048173423</v>
      </c>
      <c r="I7" s="9">
        <f>VLOOKUP($A7,'RES installed'!$A$2:$C$7,3,FALSE)*'[1]Profiles, RES, Winter'!I$5</f>
        <v>30.520875150541951</v>
      </c>
      <c r="J7" s="9">
        <f>VLOOKUP($A7,'RES installed'!$A$2:$C$7,3,FALSE)*'[1]Profiles, RES, Winter'!J$5</f>
        <v>30.249899638699318</v>
      </c>
      <c r="K7" s="9">
        <f>VLOOKUP($A7,'RES installed'!$A$2:$C$7,3,FALSE)*'[1]Profiles, RES, Winter'!K$5</f>
        <v>28.389201124046568</v>
      </c>
      <c r="L7" s="9">
        <f>VLOOKUP($A7,'RES installed'!$A$2:$C$7,3,FALSE)*'[1]Profiles, RES, Winter'!L$5</f>
        <v>24.758129265355279</v>
      </c>
      <c r="M7" s="9">
        <f>VLOOKUP($A7,'RES installed'!$A$2:$C$7,3,FALSE)*'[1]Profiles, RES, Winter'!M$5</f>
        <v>22.780008028904053</v>
      </c>
      <c r="N7" s="9">
        <f>VLOOKUP($A7,'RES installed'!$A$2:$C$7,3,FALSE)*'[1]Profiles, RES, Winter'!N$5</f>
        <v>21.885788839823366</v>
      </c>
      <c r="O7" s="9">
        <f>VLOOKUP($A7,'RES installed'!$A$2:$C$7,3,FALSE)*'[1]Profiles, RES, Winter'!O$5</f>
        <v>20.39542352468888</v>
      </c>
      <c r="P7" s="9">
        <f>VLOOKUP($A7,'RES installed'!$A$2:$C$7,3,FALSE)*'[1]Profiles, RES, Winter'!P$5</f>
        <v>18.643115214773182</v>
      </c>
      <c r="Q7" s="9">
        <f>VLOOKUP($A7,'RES installed'!$A$2:$C$7,3,FALSE)*'[1]Profiles, RES, Winter'!Q$5</f>
        <v>18.805700521878762</v>
      </c>
      <c r="R7" s="9">
        <f>VLOOKUP($A7,'RES installed'!$A$2:$C$7,3,FALSE)*'[1]Profiles, RES, Winter'!R$5</f>
        <v>19.51023685266961</v>
      </c>
      <c r="S7" s="9">
        <f>VLOOKUP($A7,'RES installed'!$A$2:$C$7,3,FALSE)*'[1]Profiles, RES, Winter'!S$5</f>
        <v>22.481934965877159</v>
      </c>
      <c r="T7" s="9">
        <f>VLOOKUP($A7,'RES installed'!$A$2:$C$7,3,FALSE)*'[1]Profiles, RES, Winter'!T$5</f>
        <v>24.342633480529908</v>
      </c>
      <c r="U7" s="9">
        <f>VLOOKUP($A7,'RES installed'!$A$2:$C$7,3,FALSE)*'[1]Profiles, RES, Winter'!U$5</f>
        <v>24.947812123645122</v>
      </c>
      <c r="V7" s="9">
        <f>VLOOKUP($A7,'RES installed'!$A$2:$C$7,3,FALSE)*'[1]Profiles, RES, Winter'!V$5</f>
        <v>24.125853071055801</v>
      </c>
      <c r="W7" s="9">
        <f>VLOOKUP($A7,'RES installed'!$A$2:$C$7,3,FALSE)*'[1]Profiles, RES, Winter'!W$5</f>
        <v>22.816138097149736</v>
      </c>
      <c r="X7" s="9">
        <f>VLOOKUP($A7,'RES installed'!$A$2:$C$7,3,FALSE)*'[1]Profiles, RES, Winter'!X$5</f>
        <v>23.060016057808109</v>
      </c>
      <c r="Y7" s="9">
        <f>VLOOKUP($A7,'RES installed'!$A$2:$C$7,3,FALSE)*'[1]Profiles, RES, Winter'!Y$5</f>
        <v>24.008430349257328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2.843062926459439E-2</v>
      </c>
      <c r="J8" s="6">
        <f>VLOOKUP($A8,'RES installed'!$A$2:$C$7,3,FALSE)*'[1]Profiles, RES, Winter'!J$2</f>
        <v>3.3263836239575437</v>
      </c>
      <c r="K8" s="6">
        <f>VLOOKUP($A8,'RES installed'!$A$2:$C$7,3,FALSE)*'[1]Profiles, RES, Winter'!K$2</f>
        <v>14.044730856709629</v>
      </c>
      <c r="L8" s="6">
        <f>VLOOKUP($A8,'RES installed'!$A$2:$C$7,3,FALSE)*'[1]Profiles, RES, Winter'!L$2</f>
        <v>24.706216830932526</v>
      </c>
      <c r="M8" s="6">
        <f>VLOOKUP($A8,'RES installed'!$A$2:$C$7,3,FALSE)*'[1]Profiles, RES, Winter'!M$2</f>
        <v>29.3972706595906</v>
      </c>
      <c r="N8" s="6">
        <f>VLOOKUP($A8,'RES installed'!$A$2:$C$7,3,FALSE)*'[1]Profiles, RES, Winter'!N$2</f>
        <v>28.288476118271419</v>
      </c>
      <c r="O8" s="6">
        <f>VLOOKUP($A8,'RES installed'!$A$2:$C$7,3,FALSE)*'[1]Profiles, RES, Winter'!O$2</f>
        <v>28.515921152388174</v>
      </c>
      <c r="P8" s="6">
        <f>VLOOKUP($A8,'RES installed'!$A$2:$C$7,3,FALSE)*'[1]Profiles, RES, Winter'!P$2</f>
        <v>26.923805913570888</v>
      </c>
      <c r="Q8" s="6">
        <f>VLOOKUP($A8,'RES installed'!$A$2:$C$7,3,FALSE)*'[1]Profiles, RES, Winter'!Q$2</f>
        <v>20.15731614859742</v>
      </c>
      <c r="R8" s="6">
        <f>VLOOKUP($A8,'RES installed'!$A$2:$C$7,3,FALSE)*'[1]Profiles, RES, Winter'!R$2</f>
        <v>7.5909780136467022</v>
      </c>
      <c r="S8" s="6">
        <f>VLOOKUP($A8,'RES installed'!$A$2:$C$7,3,FALSE)*'[1]Profiles, RES, Winter'!S$2</f>
        <v>0.3411675511751327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  <row r="9" spans="1:25" x14ac:dyDescent="0.3">
      <c r="A9" s="5">
        <v>8</v>
      </c>
      <c r="B9" s="6">
        <f>VLOOKUP($A9,'RES installed'!$A$2:$C$7,3,FALSE)*'[1]Profiles, RES, Winter'!B$2</f>
        <v>0</v>
      </c>
      <c r="C9" s="6">
        <f>VLOOKUP($A9,'RES installed'!$A$2:$C$7,3,FALSE)*'[1]Profiles, RES, Winter'!C$2</f>
        <v>0</v>
      </c>
      <c r="D9" s="6">
        <f>VLOOKUP($A9,'RES installed'!$A$2:$C$7,3,FALSE)*'[1]Profiles, RES, Winter'!D$2</f>
        <v>0</v>
      </c>
      <c r="E9" s="6">
        <f>VLOOKUP($A9,'RES installed'!$A$2:$C$7,3,FALSE)*'[1]Profiles, RES, Winter'!E$2</f>
        <v>0</v>
      </c>
      <c r="F9" s="6">
        <f>VLOOKUP($A9,'RES installed'!$A$2:$C$7,3,FALSE)*'[1]Profiles, RES, Winter'!F$2</f>
        <v>0</v>
      </c>
      <c r="G9" s="6">
        <f>VLOOKUP($A9,'RES installed'!$A$2:$C$7,3,FALSE)*'[1]Profiles, RES, Winter'!G$2</f>
        <v>0</v>
      </c>
      <c r="H9" s="6">
        <f>VLOOKUP($A9,'RES installed'!$A$2:$C$7,3,FALSE)*'[1]Profiles, RES, Winter'!H$2</f>
        <v>0</v>
      </c>
      <c r="I9" s="6">
        <f>VLOOKUP($A9,'RES installed'!$A$2:$C$7,3,FALSE)*'[1]Profiles, RES, Winter'!I$2</f>
        <v>1.8953752843062926E-2</v>
      </c>
      <c r="J9" s="6">
        <f>VLOOKUP($A9,'RES installed'!$A$2:$C$7,3,FALSE)*'[1]Profiles, RES, Winter'!J$2</f>
        <v>2.2175890826383626</v>
      </c>
      <c r="K9" s="6">
        <f>VLOOKUP($A9,'RES installed'!$A$2:$C$7,3,FALSE)*'[1]Profiles, RES, Winter'!K$2</f>
        <v>9.3631539044730854</v>
      </c>
      <c r="L9" s="6">
        <f>VLOOKUP($A9,'RES installed'!$A$2:$C$7,3,FALSE)*'[1]Profiles, RES, Winter'!L$2</f>
        <v>16.470811220621684</v>
      </c>
      <c r="M9" s="6">
        <f>VLOOKUP($A9,'RES installed'!$A$2:$C$7,3,FALSE)*'[1]Profiles, RES, Winter'!M$2</f>
        <v>19.598180439727066</v>
      </c>
      <c r="N9" s="6">
        <f>VLOOKUP($A9,'RES installed'!$A$2:$C$7,3,FALSE)*'[1]Profiles, RES, Winter'!N$2</f>
        <v>18.858984078847612</v>
      </c>
      <c r="O9" s="6">
        <f>VLOOKUP($A9,'RES installed'!$A$2:$C$7,3,FALSE)*'[1]Profiles, RES, Winter'!O$2</f>
        <v>19.010614101592115</v>
      </c>
      <c r="P9" s="6">
        <f>VLOOKUP($A9,'RES installed'!$A$2:$C$7,3,FALSE)*'[1]Profiles, RES, Winter'!P$2</f>
        <v>17.949203942380592</v>
      </c>
      <c r="Q9" s="6">
        <f>VLOOKUP($A9,'RES installed'!$A$2:$C$7,3,FALSE)*'[1]Profiles, RES, Winter'!Q$2</f>
        <v>13.438210765731615</v>
      </c>
      <c r="R9" s="6">
        <f>VLOOKUP($A9,'RES installed'!$A$2:$C$7,3,FALSE)*'[1]Profiles, RES, Winter'!R$2</f>
        <v>5.0606520090978009</v>
      </c>
      <c r="S9" s="6">
        <f>VLOOKUP($A9,'RES installed'!$A$2:$C$7,3,FALSE)*'[1]Profiles, RES, Winter'!S$2</f>
        <v>0.22744503411675512</v>
      </c>
      <c r="T9" s="6">
        <f>VLOOKUP($A9,'RES installed'!$A$2:$C$7,3,FALSE)*'[1]Profiles, RES, Winter'!T$2</f>
        <v>0</v>
      </c>
      <c r="U9" s="6">
        <f>VLOOKUP($A9,'RES installed'!$A$2:$C$7,3,FALSE)*'[1]Profiles, RES, Winter'!U$2</f>
        <v>0</v>
      </c>
      <c r="V9" s="6">
        <f>VLOOKUP($A9,'RES installed'!$A$2:$C$7,3,FALSE)*'[1]Profiles, RES, Winter'!V$2</f>
        <v>0</v>
      </c>
      <c r="W9" s="6">
        <f>VLOOKUP($A9,'RES installed'!$A$2:$C$7,3,FALSE)*'[1]Profiles, RES, Winter'!W$2</f>
        <v>0</v>
      </c>
      <c r="X9" s="6">
        <f>VLOOKUP($A9,'RES installed'!$A$2:$C$7,3,FALSE)*'[1]Profiles, RES, Winter'!X$2</f>
        <v>0</v>
      </c>
      <c r="Y9" s="6">
        <f>VLOOKUP($A9,'RES installed'!$A$2:$C$7,3,FALSE)*'[1]Profiles, RES, Winter'!Y$2</f>
        <v>0</v>
      </c>
    </row>
    <row r="10" spans="1:25" x14ac:dyDescent="0.3">
      <c r="A10" s="5">
        <v>9</v>
      </c>
      <c r="B10" s="6">
        <f>VLOOKUP($A10,'RES installed'!$A$2:$C$7,3,FALSE)*'[1]Profiles, RES, Winter'!B$2</f>
        <v>0</v>
      </c>
      <c r="C10" s="6">
        <f>VLOOKUP($A10,'RES installed'!$A$2:$C$7,3,FALSE)*'[1]Profiles, RES, Winter'!C$2</f>
        <v>0</v>
      </c>
      <c r="D10" s="6">
        <f>VLOOKUP($A10,'RES installed'!$A$2:$C$7,3,FALSE)*'[1]Profiles, RES, Winter'!D$2</f>
        <v>0</v>
      </c>
      <c r="E10" s="6">
        <f>VLOOKUP($A10,'RES installed'!$A$2:$C$7,3,FALSE)*'[1]Profiles, RES, Winter'!E$2</f>
        <v>0</v>
      </c>
      <c r="F10" s="6">
        <f>VLOOKUP($A10,'RES installed'!$A$2:$C$7,3,FALSE)*'[1]Profiles, RES, Winter'!F$2</f>
        <v>0</v>
      </c>
      <c r="G10" s="6">
        <f>VLOOKUP($A10,'RES installed'!$A$2:$C$7,3,FALSE)*'[1]Profiles, RES, Winter'!G$2</f>
        <v>0</v>
      </c>
      <c r="H10" s="6">
        <f>VLOOKUP($A10,'RES installed'!$A$2:$C$7,3,FALSE)*'[1]Profiles, RES, Winter'!H$2</f>
        <v>0</v>
      </c>
      <c r="I10" s="6">
        <f>VLOOKUP($A10,'RES installed'!$A$2:$C$7,3,FALSE)*'[1]Profiles, RES, Winter'!I$2</f>
        <v>2.2744503411675512E-2</v>
      </c>
      <c r="J10" s="6">
        <f>VLOOKUP($A10,'RES installed'!$A$2:$C$7,3,FALSE)*'[1]Profiles, RES, Winter'!J$2</f>
        <v>2.6611068991660352</v>
      </c>
      <c r="K10" s="6">
        <f>VLOOKUP($A10,'RES installed'!$A$2:$C$7,3,FALSE)*'[1]Profiles, RES, Winter'!K$2</f>
        <v>11.235784685367703</v>
      </c>
      <c r="L10" s="6">
        <f>VLOOKUP($A10,'RES installed'!$A$2:$C$7,3,FALSE)*'[1]Profiles, RES, Winter'!L$2</f>
        <v>19.764973464746021</v>
      </c>
      <c r="M10" s="6">
        <f>VLOOKUP($A10,'RES installed'!$A$2:$C$7,3,FALSE)*'[1]Profiles, RES, Winter'!M$2</f>
        <v>23.51781652767248</v>
      </c>
      <c r="N10" s="6">
        <f>VLOOKUP($A10,'RES installed'!$A$2:$C$7,3,FALSE)*'[1]Profiles, RES, Winter'!N$2</f>
        <v>22.630780894617136</v>
      </c>
      <c r="O10" s="6">
        <f>VLOOKUP($A10,'RES installed'!$A$2:$C$7,3,FALSE)*'[1]Profiles, RES, Winter'!O$2</f>
        <v>22.812736921910538</v>
      </c>
      <c r="P10" s="6">
        <f>VLOOKUP($A10,'RES installed'!$A$2:$C$7,3,FALSE)*'[1]Profiles, RES, Winter'!P$2</f>
        <v>21.539044730856713</v>
      </c>
      <c r="Q10" s="6">
        <f>VLOOKUP($A10,'RES installed'!$A$2:$C$7,3,FALSE)*'[1]Profiles, RES, Winter'!Q$2</f>
        <v>16.125852918877939</v>
      </c>
      <c r="R10" s="6">
        <f>VLOOKUP($A10,'RES installed'!$A$2:$C$7,3,FALSE)*'[1]Profiles, RES, Winter'!R$2</f>
        <v>6.0727824109173616</v>
      </c>
      <c r="S10" s="6">
        <f>VLOOKUP($A10,'RES installed'!$A$2:$C$7,3,FALSE)*'[1]Profiles, RES, Winter'!S$2</f>
        <v>0.27293404094010615</v>
      </c>
      <c r="T10" s="6">
        <f>VLOOKUP($A10,'RES installed'!$A$2:$C$7,3,FALSE)*'[1]Profiles, RES, Winter'!T$2</f>
        <v>0</v>
      </c>
      <c r="U10" s="6">
        <f>VLOOKUP($A10,'RES installed'!$A$2:$C$7,3,FALSE)*'[1]Profiles, RES, Winter'!U$2</f>
        <v>0</v>
      </c>
      <c r="V10" s="6">
        <f>VLOOKUP($A10,'RES installed'!$A$2:$C$7,3,FALSE)*'[1]Profiles, RES, Winter'!V$2</f>
        <v>0</v>
      </c>
      <c r="W10" s="6">
        <f>VLOOKUP($A10,'RES installed'!$A$2:$C$7,3,FALSE)*'[1]Profiles, RES, Winter'!W$2</f>
        <v>0</v>
      </c>
      <c r="X10" s="6">
        <f>VLOOKUP($A10,'RES installed'!$A$2:$C$7,3,FALSE)*'[1]Profiles, RES, Winter'!X$2</f>
        <v>0</v>
      </c>
      <c r="Y10" s="6">
        <f>VLOOKUP($A10,'RES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F4C0DD-63EC-452B-B727-E7633F01A28A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Winter'!B$6</f>
        <v>23.610999598554798</v>
      </c>
      <c r="C5" s="9">
        <f>VLOOKUP($A5,'RES installed'!$A$2:$C$7,3,FALSE)*'[1]Profiles, RES, Winter'!C$6</f>
        <v>23.972300281011641</v>
      </c>
      <c r="D5" s="9">
        <f>VLOOKUP($A5,'RES installed'!$A$2:$C$7,3,FALSE)*'[1]Profiles, RES, Winter'!D$6</f>
        <v>24.053592934564428</v>
      </c>
      <c r="E5" s="9">
        <f>VLOOKUP($A5,'RES installed'!$A$2:$C$7,3,FALSE)*'[1]Profiles, RES, Winter'!E$6</f>
        <v>21.994179044560418</v>
      </c>
      <c r="F5" s="9">
        <f>VLOOKUP($A5,'RES installed'!$A$2:$C$7,3,FALSE)*'[1]Profiles, RES, Winter'!F$6</f>
        <v>22.698715375351266</v>
      </c>
      <c r="G5" s="9">
        <f>VLOOKUP($A5,'RES installed'!$A$2:$C$7,3,FALSE)*'[1]Profiles, RES, Winter'!G$6</f>
        <v>23.963267763950221</v>
      </c>
      <c r="H5" s="9">
        <f>VLOOKUP($A5,'RES installed'!$A$2:$C$7,3,FALSE)*'[1]Profiles, RES, Winter'!H$6</f>
        <v>24.532316338819751</v>
      </c>
      <c r="I5" s="9">
        <f>VLOOKUP($A5,'RES installed'!$A$2:$C$7,3,FALSE)*'[1]Profiles, RES, Winter'!I$6</f>
        <v>23.367121637896425</v>
      </c>
      <c r="J5" s="9">
        <f>VLOOKUP($A5,'RES installed'!$A$2:$C$7,3,FALSE)*'[1]Profiles, RES, Winter'!J$6</f>
        <v>22.238057005218788</v>
      </c>
      <c r="K5" s="9">
        <f>VLOOKUP($A5,'RES installed'!$A$2:$C$7,3,FALSE)*'[1]Profiles, RES, Winter'!K$6</f>
        <v>20.946407065435569</v>
      </c>
      <c r="L5" s="9">
        <f>VLOOKUP($A5,'RES installed'!$A$2:$C$7,3,FALSE)*'[1]Profiles, RES, Winter'!L$6</f>
        <v>19.681854676836611</v>
      </c>
      <c r="M5" s="9">
        <f>VLOOKUP($A5,'RES installed'!$A$2:$C$7,3,FALSE)*'[1]Profiles, RES, Winter'!M$6</f>
        <v>18.597952629466079</v>
      </c>
      <c r="N5" s="9">
        <f>VLOOKUP($A5,'RES installed'!$A$2:$C$7,3,FALSE)*'[1]Profiles, RES, Winter'!N$6</f>
        <v>17.143717382577279</v>
      </c>
      <c r="O5" s="9">
        <f>VLOOKUP($A5,'RES installed'!$A$2:$C$7,3,FALSE)*'[1]Profiles, RES, Winter'!O$6</f>
        <v>13.27780008028904</v>
      </c>
      <c r="P5" s="9">
        <f>VLOOKUP($A5,'RES installed'!$A$2:$C$7,3,FALSE)*'[1]Profiles, RES, Winter'!P$6</f>
        <v>12.988759534323565</v>
      </c>
      <c r="Q5" s="9">
        <f>VLOOKUP($A5,'RES installed'!$A$2:$C$7,3,FALSE)*'[1]Profiles, RES, Winter'!Q$6</f>
        <v>13.214572460859094</v>
      </c>
      <c r="R5" s="9">
        <f>VLOOKUP($A5,'RES installed'!$A$2:$C$7,3,FALSE)*'[1]Profiles, RES, Winter'!R$6</f>
        <v>16.764351665997591</v>
      </c>
      <c r="S5" s="9">
        <f>VLOOKUP($A5,'RES installed'!$A$2:$C$7,3,FALSE)*'[1]Profiles, RES, Winter'!S$6</f>
        <v>19.645724608590928</v>
      </c>
      <c r="T5" s="9">
        <f>VLOOKUP($A5,'RES installed'!$A$2:$C$7,3,FALSE)*'[1]Profiles, RES, Winter'!T$6</f>
        <v>20.928342031312724</v>
      </c>
      <c r="U5" s="9">
        <f>VLOOKUP($A5,'RES installed'!$A$2:$C$7,3,FALSE)*'[1]Profiles, RES, Winter'!U$6</f>
        <v>21.8586912886391</v>
      </c>
      <c r="V5" s="9">
        <f>VLOOKUP($A5,'RES installed'!$A$2:$C$7,3,FALSE)*'[1]Profiles, RES, Winter'!V$6</f>
        <v>22.590325170614211</v>
      </c>
      <c r="W5" s="9">
        <f>VLOOKUP($A5,'RES installed'!$A$2:$C$7,3,FALSE)*'[1]Profiles, RES, Winter'!W$6</f>
        <v>23.448414291449218</v>
      </c>
      <c r="X5" s="9">
        <f>VLOOKUP($A5,'RES installed'!$A$2:$C$7,3,FALSE)*'[1]Profiles, RES, Winter'!X$6</f>
        <v>23.005820955439585</v>
      </c>
      <c r="Y5" s="9">
        <f>VLOOKUP($A5,'RES installed'!$A$2:$C$7,3,FALSE)*'[1]Profiles, RES, Winter'!Y$6</f>
        <v>22.382577278201524</v>
      </c>
    </row>
    <row r="6" spans="1:25" x14ac:dyDescent="0.3">
      <c r="A6" s="8">
        <v>5</v>
      </c>
      <c r="B6" s="9">
        <f>VLOOKUP($A6,'RES installed'!$A$2:$C$7,3,FALSE)*'[1]Profiles, RES, Winter'!B$6</f>
        <v>31.481332798073062</v>
      </c>
      <c r="C6" s="9">
        <f>VLOOKUP($A6,'RES installed'!$A$2:$C$7,3,FALSE)*'[1]Profiles, RES, Winter'!C$6</f>
        <v>31.963067041348857</v>
      </c>
      <c r="D6" s="9">
        <f>VLOOKUP($A6,'RES installed'!$A$2:$C$7,3,FALSE)*'[1]Profiles, RES, Winter'!D$6</f>
        <v>32.071457246085906</v>
      </c>
      <c r="E6" s="9">
        <f>VLOOKUP($A6,'RES installed'!$A$2:$C$7,3,FALSE)*'[1]Profiles, RES, Winter'!E$6</f>
        <v>29.32557205941389</v>
      </c>
      <c r="F6" s="9">
        <f>VLOOKUP($A6,'RES installed'!$A$2:$C$7,3,FALSE)*'[1]Profiles, RES, Winter'!F$6</f>
        <v>30.264953833801687</v>
      </c>
      <c r="G6" s="9">
        <f>VLOOKUP($A6,'RES installed'!$A$2:$C$7,3,FALSE)*'[1]Profiles, RES, Winter'!G$6</f>
        <v>31.951023685266961</v>
      </c>
      <c r="H6" s="9">
        <f>VLOOKUP($A6,'RES installed'!$A$2:$C$7,3,FALSE)*'[1]Profiles, RES, Winter'!H$6</f>
        <v>32.709755118426337</v>
      </c>
      <c r="I6" s="9">
        <f>VLOOKUP($A6,'RES installed'!$A$2:$C$7,3,FALSE)*'[1]Profiles, RES, Winter'!I$6</f>
        <v>31.156162183861898</v>
      </c>
      <c r="J6" s="9">
        <f>VLOOKUP($A6,'RES installed'!$A$2:$C$7,3,FALSE)*'[1]Profiles, RES, Winter'!J$6</f>
        <v>29.65074267362505</v>
      </c>
      <c r="K6" s="9">
        <f>VLOOKUP($A6,'RES installed'!$A$2:$C$7,3,FALSE)*'[1]Profiles, RES, Winter'!K$6</f>
        <v>27.92854275391409</v>
      </c>
      <c r="L6" s="9">
        <f>VLOOKUP($A6,'RES installed'!$A$2:$C$7,3,FALSE)*'[1]Profiles, RES, Winter'!L$6</f>
        <v>26.242472902448814</v>
      </c>
      <c r="M6" s="9">
        <f>VLOOKUP($A6,'RES installed'!$A$2:$C$7,3,FALSE)*'[1]Profiles, RES, Winter'!M$6</f>
        <v>24.797270172621438</v>
      </c>
      <c r="N6" s="9">
        <f>VLOOKUP($A6,'RES installed'!$A$2:$C$7,3,FALSE)*'[1]Profiles, RES, Winter'!N$6</f>
        <v>22.858289843436374</v>
      </c>
      <c r="O6" s="9">
        <f>VLOOKUP($A6,'RES installed'!$A$2:$C$7,3,FALSE)*'[1]Profiles, RES, Winter'!O$6</f>
        <v>17.703733440385388</v>
      </c>
      <c r="P6" s="9">
        <f>VLOOKUP($A6,'RES installed'!$A$2:$C$7,3,FALSE)*'[1]Profiles, RES, Winter'!P$6</f>
        <v>17.318346045764756</v>
      </c>
      <c r="Q6" s="9">
        <f>VLOOKUP($A6,'RES installed'!$A$2:$C$7,3,FALSE)*'[1]Profiles, RES, Winter'!Q$6</f>
        <v>17.619429947812122</v>
      </c>
      <c r="R6" s="9">
        <f>VLOOKUP($A6,'RES installed'!$A$2:$C$7,3,FALSE)*'[1]Profiles, RES, Winter'!R$6</f>
        <v>22.352468887996789</v>
      </c>
      <c r="S6" s="9">
        <f>VLOOKUP($A6,'RES installed'!$A$2:$C$7,3,FALSE)*'[1]Profiles, RES, Winter'!S$6</f>
        <v>26.194299478121238</v>
      </c>
      <c r="T6" s="9">
        <f>VLOOKUP($A6,'RES installed'!$A$2:$C$7,3,FALSE)*'[1]Profiles, RES, Winter'!T$6</f>
        <v>27.904456041750301</v>
      </c>
      <c r="U6" s="9">
        <f>VLOOKUP($A6,'RES installed'!$A$2:$C$7,3,FALSE)*'[1]Profiles, RES, Winter'!U$6</f>
        <v>29.144921718185469</v>
      </c>
      <c r="V6" s="9">
        <f>VLOOKUP($A6,'RES installed'!$A$2:$C$7,3,FALSE)*'[1]Profiles, RES, Winter'!V$6</f>
        <v>30.120433560818945</v>
      </c>
      <c r="W6" s="9">
        <f>VLOOKUP($A6,'RES installed'!$A$2:$C$7,3,FALSE)*'[1]Profiles, RES, Winter'!W$6</f>
        <v>31.264552388598958</v>
      </c>
      <c r="X6" s="9">
        <f>VLOOKUP($A6,'RES installed'!$A$2:$C$7,3,FALSE)*'[1]Profiles, RES, Winter'!X$6</f>
        <v>30.674427940586114</v>
      </c>
      <c r="Y6" s="9">
        <f>VLOOKUP($A6,'RES installed'!$A$2:$C$7,3,FALSE)*'[1]Profiles, RES, Winter'!Y$6</f>
        <v>29.843436370935368</v>
      </c>
    </row>
    <row r="7" spans="1:25" x14ac:dyDescent="0.3">
      <c r="A7" s="8">
        <v>6</v>
      </c>
      <c r="B7" s="9">
        <f>VLOOKUP($A7,'RES installed'!$A$2:$C$7,3,FALSE)*'[1]Profiles, RES, Winter'!B$6</f>
        <v>23.610999598554798</v>
      </c>
      <c r="C7" s="9">
        <f>VLOOKUP($A7,'RES installed'!$A$2:$C$7,3,FALSE)*'[1]Profiles, RES, Winter'!C$6</f>
        <v>23.972300281011641</v>
      </c>
      <c r="D7" s="9">
        <f>VLOOKUP($A7,'RES installed'!$A$2:$C$7,3,FALSE)*'[1]Profiles, RES, Winter'!D$6</f>
        <v>24.053592934564428</v>
      </c>
      <c r="E7" s="9">
        <f>VLOOKUP($A7,'RES installed'!$A$2:$C$7,3,FALSE)*'[1]Profiles, RES, Winter'!E$6</f>
        <v>21.994179044560418</v>
      </c>
      <c r="F7" s="9">
        <f>VLOOKUP($A7,'RES installed'!$A$2:$C$7,3,FALSE)*'[1]Profiles, RES, Winter'!F$6</f>
        <v>22.698715375351266</v>
      </c>
      <c r="G7" s="9">
        <f>VLOOKUP($A7,'RES installed'!$A$2:$C$7,3,FALSE)*'[1]Profiles, RES, Winter'!G$6</f>
        <v>23.963267763950221</v>
      </c>
      <c r="H7" s="9">
        <f>VLOOKUP($A7,'RES installed'!$A$2:$C$7,3,FALSE)*'[1]Profiles, RES, Winter'!H$6</f>
        <v>24.532316338819751</v>
      </c>
      <c r="I7" s="9">
        <f>VLOOKUP($A7,'RES installed'!$A$2:$C$7,3,FALSE)*'[1]Profiles, RES, Winter'!I$6</f>
        <v>23.367121637896425</v>
      </c>
      <c r="J7" s="9">
        <f>VLOOKUP($A7,'RES installed'!$A$2:$C$7,3,FALSE)*'[1]Profiles, RES, Winter'!J$6</f>
        <v>22.238057005218788</v>
      </c>
      <c r="K7" s="9">
        <f>VLOOKUP($A7,'RES installed'!$A$2:$C$7,3,FALSE)*'[1]Profiles, RES, Winter'!K$6</f>
        <v>20.946407065435569</v>
      </c>
      <c r="L7" s="9">
        <f>VLOOKUP($A7,'RES installed'!$A$2:$C$7,3,FALSE)*'[1]Profiles, RES, Winter'!L$6</f>
        <v>19.681854676836611</v>
      </c>
      <c r="M7" s="9">
        <f>VLOOKUP($A7,'RES installed'!$A$2:$C$7,3,FALSE)*'[1]Profiles, RES, Winter'!M$6</f>
        <v>18.597952629466079</v>
      </c>
      <c r="N7" s="9">
        <f>VLOOKUP($A7,'RES installed'!$A$2:$C$7,3,FALSE)*'[1]Profiles, RES, Winter'!N$6</f>
        <v>17.143717382577279</v>
      </c>
      <c r="O7" s="9">
        <f>VLOOKUP($A7,'RES installed'!$A$2:$C$7,3,FALSE)*'[1]Profiles, RES, Winter'!O$6</f>
        <v>13.27780008028904</v>
      </c>
      <c r="P7" s="9">
        <f>VLOOKUP($A7,'RES installed'!$A$2:$C$7,3,FALSE)*'[1]Profiles, RES, Winter'!P$6</f>
        <v>12.988759534323565</v>
      </c>
      <c r="Q7" s="9">
        <f>VLOOKUP($A7,'RES installed'!$A$2:$C$7,3,FALSE)*'[1]Profiles, RES, Winter'!Q$6</f>
        <v>13.214572460859094</v>
      </c>
      <c r="R7" s="9">
        <f>VLOOKUP($A7,'RES installed'!$A$2:$C$7,3,FALSE)*'[1]Profiles, RES, Winter'!R$6</f>
        <v>16.764351665997591</v>
      </c>
      <c r="S7" s="9">
        <f>VLOOKUP($A7,'RES installed'!$A$2:$C$7,3,FALSE)*'[1]Profiles, RES, Winter'!S$6</f>
        <v>19.645724608590928</v>
      </c>
      <c r="T7" s="9">
        <f>VLOOKUP($A7,'RES installed'!$A$2:$C$7,3,FALSE)*'[1]Profiles, RES, Winter'!T$6</f>
        <v>20.928342031312724</v>
      </c>
      <c r="U7" s="9">
        <f>VLOOKUP($A7,'RES installed'!$A$2:$C$7,3,FALSE)*'[1]Profiles, RES, Winter'!U$6</f>
        <v>21.8586912886391</v>
      </c>
      <c r="V7" s="9">
        <f>VLOOKUP($A7,'RES installed'!$A$2:$C$7,3,FALSE)*'[1]Profiles, RES, Winter'!V$6</f>
        <v>22.590325170614211</v>
      </c>
      <c r="W7" s="9">
        <f>VLOOKUP($A7,'RES installed'!$A$2:$C$7,3,FALSE)*'[1]Profiles, RES, Winter'!W$6</f>
        <v>23.448414291449218</v>
      </c>
      <c r="X7" s="9">
        <f>VLOOKUP($A7,'RES installed'!$A$2:$C$7,3,FALSE)*'[1]Profiles, RES, Winter'!X$6</f>
        <v>23.005820955439585</v>
      </c>
      <c r="Y7" s="9">
        <f>VLOOKUP($A7,'RES installed'!$A$2:$C$7,3,FALSE)*'[1]Profiles, RES, Winter'!Y$6</f>
        <v>22.382577278201524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5.6861258529188781E-2</v>
      </c>
      <c r="J8" s="6">
        <f>VLOOKUP($A8,'RES installed'!$A$2:$C$7,3,FALSE)*'[1]Profiles, RES, Winter'!J$3</f>
        <v>4.8616376042456411</v>
      </c>
      <c r="K8" s="6">
        <f>VLOOKUP($A8,'RES installed'!$A$2:$C$7,3,FALSE)*'[1]Profiles, RES, Winter'!K$3</f>
        <v>16.717210007581503</v>
      </c>
      <c r="L8" s="6">
        <f>VLOOKUP($A8,'RES installed'!$A$2:$C$7,3,FALSE)*'[1]Profiles, RES, Winter'!L$3</f>
        <v>25.672858225928731</v>
      </c>
      <c r="M8" s="6">
        <f>VLOOKUP($A8,'RES installed'!$A$2:$C$7,3,FALSE)*'[1]Profiles, RES, Winter'!M$3</f>
        <v>25.473843821076574</v>
      </c>
      <c r="N8" s="6">
        <f>VLOOKUP($A8,'RES installed'!$A$2:$C$7,3,FALSE)*'[1]Profiles, RES, Winter'!N$3</f>
        <v>28.316906747536013</v>
      </c>
      <c r="O8" s="6">
        <f>VLOOKUP($A8,'RES installed'!$A$2:$C$7,3,FALSE)*'[1]Profiles, RES, Winter'!O$3</f>
        <v>27.691432903714933</v>
      </c>
      <c r="P8" s="6">
        <f>VLOOKUP($A8,'RES installed'!$A$2:$C$7,3,FALSE)*'[1]Profiles, RES, Winter'!P$3</f>
        <v>23.426838514025775</v>
      </c>
      <c r="Q8" s="6">
        <f>VLOOKUP($A8,'RES installed'!$A$2:$C$7,3,FALSE)*'[1]Profiles, RES, Winter'!Q$3</f>
        <v>15.068233510235027</v>
      </c>
      <c r="R8" s="6">
        <f>VLOOKUP($A8,'RES installed'!$A$2:$C$7,3,FALSE)*'[1]Profiles, RES, Winter'!R$3</f>
        <v>4.8047763457164523</v>
      </c>
      <c r="S8" s="6">
        <f>VLOOKUP($A8,'RES installed'!$A$2:$C$7,3,FALSE)*'[1]Profiles, RES, Winter'!S$3</f>
        <v>0.28430629264594387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  <row r="9" spans="1:25" x14ac:dyDescent="0.3">
      <c r="A9" s="5">
        <v>8</v>
      </c>
      <c r="B9" s="6">
        <f>VLOOKUP($A9,'RES installed'!$A$2:$C$7,3,FALSE)*'[1]Profiles, RES, Winter'!B$3</f>
        <v>0</v>
      </c>
      <c r="C9" s="6">
        <f>VLOOKUP($A9,'RES installed'!$A$2:$C$7,3,FALSE)*'[1]Profiles, RES, Winter'!C$3</f>
        <v>0</v>
      </c>
      <c r="D9" s="6">
        <f>VLOOKUP($A9,'RES installed'!$A$2:$C$7,3,FALSE)*'[1]Profiles, RES, Winter'!D$3</f>
        <v>0</v>
      </c>
      <c r="E9" s="6">
        <f>VLOOKUP($A9,'RES installed'!$A$2:$C$7,3,FALSE)*'[1]Profiles, RES, Winter'!E$3</f>
        <v>0</v>
      </c>
      <c r="F9" s="6">
        <f>VLOOKUP($A9,'RES installed'!$A$2:$C$7,3,FALSE)*'[1]Profiles, RES, Winter'!F$3</f>
        <v>0</v>
      </c>
      <c r="G9" s="6">
        <f>VLOOKUP($A9,'RES installed'!$A$2:$C$7,3,FALSE)*'[1]Profiles, RES, Winter'!G$3</f>
        <v>0</v>
      </c>
      <c r="H9" s="6">
        <f>VLOOKUP($A9,'RES installed'!$A$2:$C$7,3,FALSE)*'[1]Profiles, RES, Winter'!H$3</f>
        <v>0</v>
      </c>
      <c r="I9" s="6">
        <f>VLOOKUP($A9,'RES installed'!$A$2:$C$7,3,FALSE)*'[1]Profiles, RES, Winter'!I$3</f>
        <v>3.7907505686125852E-2</v>
      </c>
      <c r="J9" s="6">
        <f>VLOOKUP($A9,'RES installed'!$A$2:$C$7,3,FALSE)*'[1]Profiles, RES, Winter'!J$3</f>
        <v>3.2410917361637606</v>
      </c>
      <c r="K9" s="6">
        <f>VLOOKUP($A9,'RES installed'!$A$2:$C$7,3,FALSE)*'[1]Profiles, RES, Winter'!K$3</f>
        <v>11.144806671721001</v>
      </c>
      <c r="L9" s="6">
        <f>VLOOKUP($A9,'RES installed'!$A$2:$C$7,3,FALSE)*'[1]Profiles, RES, Winter'!L$3</f>
        <v>17.115238817285821</v>
      </c>
      <c r="M9" s="6">
        <f>VLOOKUP($A9,'RES installed'!$A$2:$C$7,3,FALSE)*'[1]Profiles, RES, Winter'!M$3</f>
        <v>16.982562547384383</v>
      </c>
      <c r="N9" s="6">
        <f>VLOOKUP($A9,'RES installed'!$A$2:$C$7,3,FALSE)*'[1]Profiles, RES, Winter'!N$3</f>
        <v>18.877937831690677</v>
      </c>
      <c r="O9" s="6">
        <f>VLOOKUP($A9,'RES installed'!$A$2:$C$7,3,FALSE)*'[1]Profiles, RES, Winter'!O$3</f>
        <v>18.460955269143291</v>
      </c>
      <c r="P9" s="6">
        <f>VLOOKUP($A9,'RES installed'!$A$2:$C$7,3,FALSE)*'[1]Profiles, RES, Winter'!P$3</f>
        <v>15.617892342683851</v>
      </c>
      <c r="Q9" s="6">
        <f>VLOOKUP($A9,'RES installed'!$A$2:$C$7,3,FALSE)*'[1]Profiles, RES, Winter'!Q$3</f>
        <v>10.045489006823351</v>
      </c>
      <c r="R9" s="6">
        <f>VLOOKUP($A9,'RES installed'!$A$2:$C$7,3,FALSE)*'[1]Profiles, RES, Winter'!R$3</f>
        <v>3.2031842304776346</v>
      </c>
      <c r="S9" s="6">
        <f>VLOOKUP($A9,'RES installed'!$A$2:$C$7,3,FALSE)*'[1]Profiles, RES, Winter'!S$3</f>
        <v>0.18953752843062927</v>
      </c>
      <c r="T9" s="6">
        <f>VLOOKUP($A9,'RES installed'!$A$2:$C$7,3,FALSE)*'[1]Profiles, RES, Winter'!T$3</f>
        <v>0</v>
      </c>
      <c r="U9" s="6">
        <f>VLOOKUP($A9,'RES installed'!$A$2:$C$7,3,FALSE)*'[1]Profiles, RES, Winter'!U$3</f>
        <v>0</v>
      </c>
      <c r="V9" s="6">
        <f>VLOOKUP($A9,'RES installed'!$A$2:$C$7,3,FALSE)*'[1]Profiles, RES, Winter'!V$3</f>
        <v>0</v>
      </c>
      <c r="W9" s="6">
        <f>VLOOKUP($A9,'RES installed'!$A$2:$C$7,3,FALSE)*'[1]Profiles, RES, Winter'!W$3</f>
        <v>0</v>
      </c>
      <c r="X9" s="6">
        <f>VLOOKUP($A9,'RES installed'!$A$2:$C$7,3,FALSE)*'[1]Profiles, RES, Winter'!X$3</f>
        <v>0</v>
      </c>
      <c r="Y9" s="6">
        <f>VLOOKUP($A9,'RES installed'!$A$2:$C$7,3,FALSE)*'[1]Profiles, RES, Winter'!Y$3</f>
        <v>0</v>
      </c>
    </row>
    <row r="10" spans="1:25" x14ac:dyDescent="0.3">
      <c r="A10" s="5">
        <v>9</v>
      </c>
      <c r="B10" s="6">
        <f>VLOOKUP($A10,'RES installed'!$A$2:$C$7,3,FALSE)*'[1]Profiles, RES, Winter'!B$3</f>
        <v>0</v>
      </c>
      <c r="C10" s="6">
        <f>VLOOKUP($A10,'RES installed'!$A$2:$C$7,3,FALSE)*'[1]Profiles, RES, Winter'!C$3</f>
        <v>0</v>
      </c>
      <c r="D10" s="6">
        <f>VLOOKUP($A10,'RES installed'!$A$2:$C$7,3,FALSE)*'[1]Profiles, RES, Winter'!D$3</f>
        <v>0</v>
      </c>
      <c r="E10" s="6">
        <f>VLOOKUP($A10,'RES installed'!$A$2:$C$7,3,FALSE)*'[1]Profiles, RES, Winter'!E$3</f>
        <v>0</v>
      </c>
      <c r="F10" s="6">
        <f>VLOOKUP($A10,'RES installed'!$A$2:$C$7,3,FALSE)*'[1]Profiles, RES, Winter'!F$3</f>
        <v>0</v>
      </c>
      <c r="G10" s="6">
        <f>VLOOKUP($A10,'RES installed'!$A$2:$C$7,3,FALSE)*'[1]Profiles, RES, Winter'!G$3</f>
        <v>0</v>
      </c>
      <c r="H10" s="6">
        <f>VLOOKUP($A10,'RES installed'!$A$2:$C$7,3,FALSE)*'[1]Profiles, RES, Winter'!H$3</f>
        <v>0</v>
      </c>
      <c r="I10" s="6">
        <f>VLOOKUP($A10,'RES installed'!$A$2:$C$7,3,FALSE)*'[1]Profiles, RES, Winter'!I$3</f>
        <v>4.5489006823351025E-2</v>
      </c>
      <c r="J10" s="6">
        <f>VLOOKUP($A10,'RES installed'!$A$2:$C$7,3,FALSE)*'[1]Profiles, RES, Winter'!J$3</f>
        <v>3.8893100833965129</v>
      </c>
      <c r="K10" s="6">
        <f>VLOOKUP($A10,'RES installed'!$A$2:$C$7,3,FALSE)*'[1]Profiles, RES, Winter'!K$3</f>
        <v>13.373768006065202</v>
      </c>
      <c r="L10" s="6">
        <f>VLOOKUP($A10,'RES installed'!$A$2:$C$7,3,FALSE)*'[1]Profiles, RES, Winter'!L$3</f>
        <v>20.538286580742987</v>
      </c>
      <c r="M10" s="6">
        <f>VLOOKUP($A10,'RES installed'!$A$2:$C$7,3,FALSE)*'[1]Profiles, RES, Winter'!M$3</f>
        <v>20.379075056861261</v>
      </c>
      <c r="N10" s="6">
        <f>VLOOKUP($A10,'RES installed'!$A$2:$C$7,3,FALSE)*'[1]Profiles, RES, Winter'!N$3</f>
        <v>22.653525398028808</v>
      </c>
      <c r="O10" s="6">
        <f>VLOOKUP($A10,'RES installed'!$A$2:$C$7,3,FALSE)*'[1]Profiles, RES, Winter'!O$3</f>
        <v>22.153146322971946</v>
      </c>
      <c r="P10" s="6">
        <f>VLOOKUP($A10,'RES installed'!$A$2:$C$7,3,FALSE)*'[1]Profiles, RES, Winter'!P$3</f>
        <v>18.741470811220619</v>
      </c>
      <c r="Q10" s="6">
        <f>VLOOKUP($A10,'RES installed'!$A$2:$C$7,3,FALSE)*'[1]Profiles, RES, Winter'!Q$3</f>
        <v>12.05458680818802</v>
      </c>
      <c r="R10" s="6">
        <f>VLOOKUP($A10,'RES installed'!$A$2:$C$7,3,FALSE)*'[1]Profiles, RES, Winter'!R$3</f>
        <v>3.8438210765731617</v>
      </c>
      <c r="S10" s="6">
        <f>VLOOKUP($A10,'RES installed'!$A$2:$C$7,3,FALSE)*'[1]Profiles, RES, Winter'!S$3</f>
        <v>0.22744503411675512</v>
      </c>
      <c r="T10" s="6">
        <f>VLOOKUP($A10,'RES installed'!$A$2:$C$7,3,FALSE)*'[1]Profiles, RES, Winter'!T$3</f>
        <v>0</v>
      </c>
      <c r="U10" s="6">
        <f>VLOOKUP($A10,'RES installed'!$A$2:$C$7,3,FALSE)*'[1]Profiles, RES, Winter'!U$3</f>
        <v>0</v>
      </c>
      <c r="V10" s="6">
        <f>VLOOKUP($A10,'RES installed'!$A$2:$C$7,3,FALSE)*'[1]Profiles, RES, Winter'!V$3</f>
        <v>0</v>
      </c>
      <c r="W10" s="6">
        <f>VLOOKUP($A10,'RES installed'!$A$2:$C$7,3,FALSE)*'[1]Profiles, RES, Winter'!W$3</f>
        <v>0</v>
      </c>
      <c r="X10" s="6">
        <f>VLOOKUP($A10,'RES installed'!$A$2:$C$7,3,FALSE)*'[1]Profiles, RES, Winter'!X$3</f>
        <v>0</v>
      </c>
      <c r="Y10" s="6">
        <f>VLOOKUP($A10,'RES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31AF3F-B272-458C-AA52-13D468BF343E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Winter'!B$7</f>
        <v>22.608390204737056</v>
      </c>
      <c r="C5" s="9">
        <f>VLOOKUP($A5,'RES installed'!$A$2:$C$7,3,FALSE)*'[1]Profiles, RES, Winter'!C$7</f>
        <v>22.509032517061421</v>
      </c>
      <c r="D5" s="9">
        <f>VLOOKUP($A5,'RES installed'!$A$2:$C$7,3,FALSE)*'[1]Profiles, RES, Winter'!D$7</f>
        <v>21.939983942191891</v>
      </c>
      <c r="E5" s="9">
        <f>VLOOKUP($A5,'RES installed'!$A$2:$C$7,3,FALSE)*'[1]Profiles, RES, Winter'!E$7</f>
        <v>22.481934965877159</v>
      </c>
      <c r="F5" s="9">
        <f>VLOOKUP($A5,'RES installed'!$A$2:$C$7,3,FALSE)*'[1]Profiles, RES, Winter'!F$7</f>
        <v>21.84965877157768</v>
      </c>
      <c r="G5" s="9">
        <f>VLOOKUP($A5,'RES installed'!$A$2:$C$7,3,FALSE)*'[1]Profiles, RES, Winter'!G$7</f>
        <v>21.732236049779207</v>
      </c>
      <c r="H5" s="9">
        <f>VLOOKUP($A5,'RES installed'!$A$2:$C$7,3,FALSE)*'[1]Profiles, RES, Winter'!H$7</f>
        <v>22.518065034122841</v>
      </c>
      <c r="I5" s="9">
        <f>VLOOKUP($A5,'RES installed'!$A$2:$C$7,3,FALSE)*'[1]Profiles, RES, Winter'!I$7</f>
        <v>21.163187474909677</v>
      </c>
      <c r="J5" s="9">
        <f>VLOOKUP($A5,'RES installed'!$A$2:$C$7,3,FALSE)*'[1]Profiles, RES, Winter'!J$7</f>
        <v>19.483139301485345</v>
      </c>
      <c r="K5" s="9">
        <f>VLOOKUP($A5,'RES installed'!$A$2:$C$7,3,FALSE)*'[1]Profiles, RES, Winter'!K$7</f>
        <v>18.245684464070653</v>
      </c>
      <c r="L5" s="9">
        <f>VLOOKUP($A5,'RES installed'!$A$2:$C$7,3,FALSE)*'[1]Profiles, RES, Winter'!L$7</f>
        <v>16.502408671216379</v>
      </c>
      <c r="M5" s="9">
        <f>VLOOKUP($A5,'RES installed'!$A$2:$C$7,3,FALSE)*'[1]Profiles, RES, Winter'!M$7</f>
        <v>14.217181854676838</v>
      </c>
      <c r="N5" s="9">
        <f>VLOOKUP($A5,'RES installed'!$A$2:$C$7,3,FALSE)*'[1]Profiles, RES, Winter'!N$7</f>
        <v>12.817141710156562</v>
      </c>
      <c r="O5" s="9">
        <f>VLOOKUP($A5,'RES installed'!$A$2:$C$7,3,FALSE)*'[1]Profiles, RES, Winter'!O$7</f>
        <v>12.735849056603774</v>
      </c>
      <c r="P5" s="9">
        <f>VLOOKUP($A5,'RES installed'!$A$2:$C$7,3,FALSE)*'[1]Profiles, RES, Winter'!P$7</f>
        <v>14.452027298273785</v>
      </c>
      <c r="Q5" s="9">
        <f>VLOOKUP($A5,'RES installed'!$A$2:$C$7,3,FALSE)*'[1]Profiles, RES, Winter'!Q$7</f>
        <v>14.957848253713367</v>
      </c>
      <c r="R5" s="9">
        <f>VLOOKUP($A5,'RES installed'!$A$2:$C$7,3,FALSE)*'[1]Profiles, RES, Winter'!R$7</f>
        <v>16.538538739462066</v>
      </c>
      <c r="S5" s="9">
        <f>VLOOKUP($A5,'RES installed'!$A$2:$C$7,3,FALSE)*'[1]Profiles, RES, Winter'!S$7</f>
        <v>19.167001204335609</v>
      </c>
      <c r="T5" s="9">
        <f>VLOOKUP($A5,'RES installed'!$A$2:$C$7,3,FALSE)*'[1]Profiles, RES, Winter'!T$7</f>
        <v>20.847049377759937</v>
      </c>
      <c r="U5" s="9">
        <f>VLOOKUP($A5,'RES installed'!$A$2:$C$7,3,FALSE)*'[1]Profiles, RES, Winter'!U$7</f>
        <v>22.09353673223605</v>
      </c>
      <c r="V5" s="9">
        <f>VLOOKUP($A5,'RES installed'!$A$2:$C$7,3,FALSE)*'[1]Profiles, RES, Winter'!V$7</f>
        <v>22.274187073464471</v>
      </c>
      <c r="W5" s="9">
        <f>VLOOKUP($A5,'RES installed'!$A$2:$C$7,3,FALSE)*'[1]Profiles, RES, Winter'!W$7</f>
        <v>20.530911280610194</v>
      </c>
      <c r="X5" s="9">
        <f>VLOOKUP($A5,'RES installed'!$A$2:$C$7,3,FALSE)*'[1]Profiles, RES, Winter'!X$7</f>
        <v>18.932155760738659</v>
      </c>
      <c r="Y5" s="9">
        <f>VLOOKUP($A5,'RES installed'!$A$2:$C$7,3,FALSE)*'[1]Profiles, RES, Winter'!Y$7</f>
        <v>18.182456844640708</v>
      </c>
    </row>
    <row r="6" spans="1:25" x14ac:dyDescent="0.3">
      <c r="A6" s="8">
        <v>5</v>
      </c>
      <c r="B6" s="9">
        <f>VLOOKUP($A6,'RES installed'!$A$2:$C$7,3,FALSE)*'[1]Profiles, RES, Winter'!B$7</f>
        <v>30.144520272982739</v>
      </c>
      <c r="C6" s="9">
        <f>VLOOKUP($A6,'RES installed'!$A$2:$C$7,3,FALSE)*'[1]Profiles, RES, Winter'!C$7</f>
        <v>30.012043356081897</v>
      </c>
      <c r="D6" s="9">
        <f>VLOOKUP($A6,'RES installed'!$A$2:$C$7,3,FALSE)*'[1]Profiles, RES, Winter'!D$7</f>
        <v>29.253311922922521</v>
      </c>
      <c r="E6" s="9">
        <f>VLOOKUP($A6,'RES installed'!$A$2:$C$7,3,FALSE)*'[1]Profiles, RES, Winter'!E$7</f>
        <v>29.97591328783621</v>
      </c>
      <c r="F6" s="9">
        <f>VLOOKUP($A6,'RES installed'!$A$2:$C$7,3,FALSE)*'[1]Profiles, RES, Winter'!F$7</f>
        <v>29.132878362103575</v>
      </c>
      <c r="G6" s="9">
        <f>VLOOKUP($A6,'RES installed'!$A$2:$C$7,3,FALSE)*'[1]Profiles, RES, Winter'!G$7</f>
        <v>28.97631473303894</v>
      </c>
      <c r="H6" s="9">
        <f>VLOOKUP($A6,'RES installed'!$A$2:$C$7,3,FALSE)*'[1]Profiles, RES, Winter'!H$7</f>
        <v>30.024086712163786</v>
      </c>
      <c r="I6" s="9">
        <f>VLOOKUP($A6,'RES installed'!$A$2:$C$7,3,FALSE)*'[1]Profiles, RES, Winter'!I$7</f>
        <v>28.217583299879568</v>
      </c>
      <c r="J6" s="9">
        <f>VLOOKUP($A6,'RES installed'!$A$2:$C$7,3,FALSE)*'[1]Profiles, RES, Winter'!J$7</f>
        <v>25.977519068647126</v>
      </c>
      <c r="K6" s="9">
        <f>VLOOKUP($A6,'RES installed'!$A$2:$C$7,3,FALSE)*'[1]Profiles, RES, Winter'!K$7</f>
        <v>24.327579285427539</v>
      </c>
      <c r="L6" s="9">
        <f>VLOOKUP($A6,'RES installed'!$A$2:$C$7,3,FALSE)*'[1]Profiles, RES, Winter'!L$7</f>
        <v>22.003211561621839</v>
      </c>
      <c r="M6" s="9">
        <f>VLOOKUP($A6,'RES installed'!$A$2:$C$7,3,FALSE)*'[1]Profiles, RES, Winter'!M$7</f>
        <v>18.956242472902449</v>
      </c>
      <c r="N6" s="9">
        <f>VLOOKUP($A6,'RES installed'!$A$2:$C$7,3,FALSE)*'[1]Profiles, RES, Winter'!N$7</f>
        <v>17.089522280208751</v>
      </c>
      <c r="O6" s="9">
        <f>VLOOKUP($A6,'RES installed'!$A$2:$C$7,3,FALSE)*'[1]Profiles, RES, Winter'!O$7</f>
        <v>16.981132075471699</v>
      </c>
      <c r="P6" s="9">
        <f>VLOOKUP($A6,'RES installed'!$A$2:$C$7,3,FALSE)*'[1]Profiles, RES, Winter'!P$7</f>
        <v>19.269369731031713</v>
      </c>
      <c r="Q6" s="9">
        <f>VLOOKUP($A6,'RES installed'!$A$2:$C$7,3,FALSE)*'[1]Profiles, RES, Winter'!Q$7</f>
        <v>19.943797671617823</v>
      </c>
      <c r="R6" s="9">
        <f>VLOOKUP($A6,'RES installed'!$A$2:$C$7,3,FALSE)*'[1]Profiles, RES, Winter'!R$7</f>
        <v>22.051384985949419</v>
      </c>
      <c r="S6" s="9">
        <f>VLOOKUP($A6,'RES installed'!$A$2:$C$7,3,FALSE)*'[1]Profiles, RES, Winter'!S$7</f>
        <v>25.556001605780811</v>
      </c>
      <c r="T6" s="9">
        <f>VLOOKUP($A6,'RES installed'!$A$2:$C$7,3,FALSE)*'[1]Profiles, RES, Winter'!T$7</f>
        <v>27.796065837013249</v>
      </c>
      <c r="U6" s="9">
        <f>VLOOKUP($A6,'RES installed'!$A$2:$C$7,3,FALSE)*'[1]Profiles, RES, Winter'!U$7</f>
        <v>29.458048976314732</v>
      </c>
      <c r="V6" s="9">
        <f>VLOOKUP($A6,'RES installed'!$A$2:$C$7,3,FALSE)*'[1]Profiles, RES, Winter'!V$7</f>
        <v>29.69891609795263</v>
      </c>
      <c r="W6" s="9">
        <f>VLOOKUP($A6,'RES installed'!$A$2:$C$7,3,FALSE)*'[1]Profiles, RES, Winter'!W$7</f>
        <v>27.374548374146926</v>
      </c>
      <c r="X6" s="9">
        <f>VLOOKUP($A6,'RES installed'!$A$2:$C$7,3,FALSE)*'[1]Profiles, RES, Winter'!X$7</f>
        <v>25.242874347651544</v>
      </c>
      <c r="Y6" s="9">
        <f>VLOOKUP($A6,'RES installed'!$A$2:$C$7,3,FALSE)*'[1]Profiles, RES, Winter'!Y$7</f>
        <v>24.243275792854277</v>
      </c>
    </row>
    <row r="7" spans="1:25" x14ac:dyDescent="0.3">
      <c r="A7" s="8">
        <v>6</v>
      </c>
      <c r="B7" s="9">
        <f>VLOOKUP($A7,'RES installed'!$A$2:$C$7,3,FALSE)*'[1]Profiles, RES, Winter'!B$7</f>
        <v>22.608390204737056</v>
      </c>
      <c r="C7" s="9">
        <f>VLOOKUP($A7,'RES installed'!$A$2:$C$7,3,FALSE)*'[1]Profiles, RES, Winter'!C$7</f>
        <v>22.509032517061421</v>
      </c>
      <c r="D7" s="9">
        <f>VLOOKUP($A7,'RES installed'!$A$2:$C$7,3,FALSE)*'[1]Profiles, RES, Winter'!D$7</f>
        <v>21.939983942191891</v>
      </c>
      <c r="E7" s="9">
        <f>VLOOKUP($A7,'RES installed'!$A$2:$C$7,3,FALSE)*'[1]Profiles, RES, Winter'!E$7</f>
        <v>22.481934965877159</v>
      </c>
      <c r="F7" s="9">
        <f>VLOOKUP($A7,'RES installed'!$A$2:$C$7,3,FALSE)*'[1]Profiles, RES, Winter'!F$7</f>
        <v>21.84965877157768</v>
      </c>
      <c r="G7" s="9">
        <f>VLOOKUP($A7,'RES installed'!$A$2:$C$7,3,FALSE)*'[1]Profiles, RES, Winter'!G$7</f>
        <v>21.732236049779207</v>
      </c>
      <c r="H7" s="9">
        <f>VLOOKUP($A7,'RES installed'!$A$2:$C$7,3,FALSE)*'[1]Profiles, RES, Winter'!H$7</f>
        <v>22.518065034122841</v>
      </c>
      <c r="I7" s="9">
        <f>VLOOKUP($A7,'RES installed'!$A$2:$C$7,3,FALSE)*'[1]Profiles, RES, Winter'!I$7</f>
        <v>21.163187474909677</v>
      </c>
      <c r="J7" s="9">
        <f>VLOOKUP($A7,'RES installed'!$A$2:$C$7,3,FALSE)*'[1]Profiles, RES, Winter'!J$7</f>
        <v>19.483139301485345</v>
      </c>
      <c r="K7" s="9">
        <f>VLOOKUP($A7,'RES installed'!$A$2:$C$7,3,FALSE)*'[1]Profiles, RES, Winter'!K$7</f>
        <v>18.245684464070653</v>
      </c>
      <c r="L7" s="9">
        <f>VLOOKUP($A7,'RES installed'!$A$2:$C$7,3,FALSE)*'[1]Profiles, RES, Winter'!L$7</f>
        <v>16.502408671216379</v>
      </c>
      <c r="M7" s="9">
        <f>VLOOKUP($A7,'RES installed'!$A$2:$C$7,3,FALSE)*'[1]Profiles, RES, Winter'!M$7</f>
        <v>14.217181854676838</v>
      </c>
      <c r="N7" s="9">
        <f>VLOOKUP($A7,'RES installed'!$A$2:$C$7,3,FALSE)*'[1]Profiles, RES, Winter'!N$7</f>
        <v>12.817141710156562</v>
      </c>
      <c r="O7" s="9">
        <f>VLOOKUP($A7,'RES installed'!$A$2:$C$7,3,FALSE)*'[1]Profiles, RES, Winter'!O$7</f>
        <v>12.735849056603774</v>
      </c>
      <c r="P7" s="9">
        <f>VLOOKUP($A7,'RES installed'!$A$2:$C$7,3,FALSE)*'[1]Profiles, RES, Winter'!P$7</f>
        <v>14.452027298273785</v>
      </c>
      <c r="Q7" s="9">
        <f>VLOOKUP($A7,'RES installed'!$A$2:$C$7,3,FALSE)*'[1]Profiles, RES, Winter'!Q$7</f>
        <v>14.957848253713367</v>
      </c>
      <c r="R7" s="9">
        <f>VLOOKUP($A7,'RES installed'!$A$2:$C$7,3,FALSE)*'[1]Profiles, RES, Winter'!R$7</f>
        <v>16.538538739462066</v>
      </c>
      <c r="S7" s="9">
        <f>VLOOKUP($A7,'RES installed'!$A$2:$C$7,3,FALSE)*'[1]Profiles, RES, Winter'!S$7</f>
        <v>19.167001204335609</v>
      </c>
      <c r="T7" s="9">
        <f>VLOOKUP($A7,'RES installed'!$A$2:$C$7,3,FALSE)*'[1]Profiles, RES, Winter'!T$7</f>
        <v>20.847049377759937</v>
      </c>
      <c r="U7" s="9">
        <f>VLOOKUP($A7,'RES installed'!$A$2:$C$7,3,FALSE)*'[1]Profiles, RES, Winter'!U$7</f>
        <v>22.09353673223605</v>
      </c>
      <c r="V7" s="9">
        <f>VLOOKUP($A7,'RES installed'!$A$2:$C$7,3,FALSE)*'[1]Profiles, RES, Winter'!V$7</f>
        <v>22.274187073464471</v>
      </c>
      <c r="W7" s="9">
        <f>VLOOKUP($A7,'RES installed'!$A$2:$C$7,3,FALSE)*'[1]Profiles, RES, Winter'!W$7</f>
        <v>20.530911280610194</v>
      </c>
      <c r="X7" s="9">
        <f>VLOOKUP($A7,'RES installed'!$A$2:$C$7,3,FALSE)*'[1]Profiles, RES, Winter'!X$7</f>
        <v>18.932155760738659</v>
      </c>
      <c r="Y7" s="9">
        <f>VLOOKUP($A7,'RES installed'!$A$2:$C$7,3,FALSE)*'[1]Profiles, RES, Winter'!Y$7</f>
        <v>18.182456844640708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2.843062926459439E-2</v>
      </c>
      <c r="J8" s="6">
        <f>VLOOKUP($A8,'RES installed'!$A$2:$C$7,3,FALSE)*'[1]Profiles, RES, Winter'!J$4</f>
        <v>2.5303260045489009</v>
      </c>
      <c r="K8" s="6">
        <f>VLOOKUP($A8,'RES installed'!$A$2:$C$7,3,FALSE)*'[1]Profiles, RES, Winter'!K$4</f>
        <v>10.860500379075058</v>
      </c>
      <c r="L8" s="6">
        <f>VLOOKUP($A8,'RES installed'!$A$2:$C$7,3,FALSE)*'[1]Profiles, RES, Winter'!L$4</f>
        <v>17.911296436694464</v>
      </c>
      <c r="M8" s="6">
        <f>VLOOKUP($A8,'RES installed'!$A$2:$C$7,3,FALSE)*'[1]Profiles, RES, Winter'!M$4</f>
        <v>20.356330553449585</v>
      </c>
      <c r="N8" s="6">
        <f>VLOOKUP($A8,'RES installed'!$A$2:$C$7,3,FALSE)*'[1]Profiles, RES, Winter'!N$4</f>
        <v>19.446550416982564</v>
      </c>
      <c r="O8" s="6">
        <f>VLOOKUP($A8,'RES installed'!$A$2:$C$7,3,FALSE)*'[1]Profiles, RES, Winter'!O$4</f>
        <v>19.816148597422291</v>
      </c>
      <c r="P8" s="6">
        <f>VLOOKUP($A8,'RES installed'!$A$2:$C$7,3,FALSE)*'[1]Profiles, RES, Winter'!P$4</f>
        <v>21.436694465504171</v>
      </c>
      <c r="Q8" s="6">
        <f>VLOOKUP($A8,'RES installed'!$A$2:$C$7,3,FALSE)*'[1]Profiles, RES, Winter'!Q$4</f>
        <v>19.531842304776344</v>
      </c>
      <c r="R8" s="6">
        <f>VLOOKUP($A8,'RES installed'!$A$2:$C$7,3,FALSE)*'[1]Profiles, RES, Winter'!R$4</f>
        <v>8.8987869598180431</v>
      </c>
      <c r="S8" s="6">
        <f>VLOOKUP($A8,'RES installed'!$A$2:$C$7,3,FALSE)*'[1]Profiles, RES, Winter'!S$4</f>
        <v>0.45489006823351025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  <row r="9" spans="1:25" x14ac:dyDescent="0.3">
      <c r="A9" s="5">
        <v>8</v>
      </c>
      <c r="B9" s="6">
        <f>VLOOKUP($A9,'RES installed'!$A$2:$C$7,3,FALSE)*'[1]Profiles, RES, Winter'!B$4</f>
        <v>0</v>
      </c>
      <c r="C9" s="6">
        <f>VLOOKUP($A9,'RES installed'!$A$2:$C$7,3,FALSE)*'[1]Profiles, RES, Winter'!C$4</f>
        <v>0</v>
      </c>
      <c r="D9" s="6">
        <f>VLOOKUP($A9,'RES installed'!$A$2:$C$7,3,FALSE)*'[1]Profiles, RES, Winter'!D$4</f>
        <v>0</v>
      </c>
      <c r="E9" s="6">
        <f>VLOOKUP($A9,'RES installed'!$A$2:$C$7,3,FALSE)*'[1]Profiles, RES, Winter'!E$4</f>
        <v>0</v>
      </c>
      <c r="F9" s="6">
        <f>VLOOKUP($A9,'RES installed'!$A$2:$C$7,3,FALSE)*'[1]Profiles, RES, Winter'!F$4</f>
        <v>0</v>
      </c>
      <c r="G9" s="6">
        <f>VLOOKUP($A9,'RES installed'!$A$2:$C$7,3,FALSE)*'[1]Profiles, RES, Winter'!G$4</f>
        <v>0</v>
      </c>
      <c r="H9" s="6">
        <f>VLOOKUP($A9,'RES installed'!$A$2:$C$7,3,FALSE)*'[1]Profiles, RES, Winter'!H$4</f>
        <v>0</v>
      </c>
      <c r="I9" s="6">
        <f>VLOOKUP($A9,'RES installed'!$A$2:$C$7,3,FALSE)*'[1]Profiles, RES, Winter'!I$4</f>
        <v>1.8953752843062926E-2</v>
      </c>
      <c r="J9" s="6">
        <f>VLOOKUP($A9,'RES installed'!$A$2:$C$7,3,FALSE)*'[1]Profiles, RES, Winter'!J$4</f>
        <v>1.6868840030326004</v>
      </c>
      <c r="K9" s="6">
        <f>VLOOKUP($A9,'RES installed'!$A$2:$C$7,3,FALSE)*'[1]Profiles, RES, Winter'!K$4</f>
        <v>7.2403335860500375</v>
      </c>
      <c r="L9" s="6">
        <f>VLOOKUP($A9,'RES installed'!$A$2:$C$7,3,FALSE)*'[1]Profiles, RES, Winter'!L$4</f>
        <v>11.940864291129644</v>
      </c>
      <c r="M9" s="6">
        <f>VLOOKUP($A9,'RES installed'!$A$2:$C$7,3,FALSE)*'[1]Profiles, RES, Winter'!M$4</f>
        <v>13.570887035633056</v>
      </c>
      <c r="N9" s="6">
        <f>VLOOKUP($A9,'RES installed'!$A$2:$C$7,3,FALSE)*'[1]Profiles, RES, Winter'!N$4</f>
        <v>12.964366944655042</v>
      </c>
      <c r="O9" s="6">
        <f>VLOOKUP($A9,'RES installed'!$A$2:$C$7,3,FALSE)*'[1]Profiles, RES, Winter'!O$4</f>
        <v>13.21076573161486</v>
      </c>
      <c r="P9" s="6">
        <f>VLOOKUP($A9,'RES installed'!$A$2:$C$7,3,FALSE)*'[1]Profiles, RES, Winter'!P$4</f>
        <v>14.291129643669448</v>
      </c>
      <c r="Q9" s="6">
        <f>VLOOKUP($A9,'RES installed'!$A$2:$C$7,3,FALSE)*'[1]Profiles, RES, Winter'!Q$4</f>
        <v>13.021228203184229</v>
      </c>
      <c r="R9" s="6">
        <f>VLOOKUP($A9,'RES installed'!$A$2:$C$7,3,FALSE)*'[1]Profiles, RES, Winter'!R$4</f>
        <v>5.9325246398786957</v>
      </c>
      <c r="S9" s="6">
        <f>VLOOKUP($A9,'RES installed'!$A$2:$C$7,3,FALSE)*'[1]Profiles, RES, Winter'!S$4</f>
        <v>0.30326004548900681</v>
      </c>
      <c r="T9" s="6">
        <f>VLOOKUP($A9,'RES installed'!$A$2:$C$7,3,FALSE)*'[1]Profiles, RES, Winter'!T$4</f>
        <v>0</v>
      </c>
      <c r="U9" s="6">
        <f>VLOOKUP($A9,'RES installed'!$A$2:$C$7,3,FALSE)*'[1]Profiles, RES, Winter'!U$4</f>
        <v>0</v>
      </c>
      <c r="V9" s="6">
        <f>VLOOKUP($A9,'RES installed'!$A$2:$C$7,3,FALSE)*'[1]Profiles, RES, Winter'!V$4</f>
        <v>0</v>
      </c>
      <c r="W9" s="6">
        <f>VLOOKUP($A9,'RES installed'!$A$2:$C$7,3,FALSE)*'[1]Profiles, RES, Winter'!W$4</f>
        <v>0</v>
      </c>
      <c r="X9" s="6">
        <f>VLOOKUP($A9,'RES installed'!$A$2:$C$7,3,FALSE)*'[1]Profiles, RES, Winter'!X$4</f>
        <v>0</v>
      </c>
      <c r="Y9" s="6">
        <f>VLOOKUP($A9,'RES installed'!$A$2:$C$7,3,FALSE)*'[1]Profiles, RES, Winter'!Y$4</f>
        <v>0</v>
      </c>
    </row>
    <row r="10" spans="1:25" x14ac:dyDescent="0.3">
      <c r="A10" s="5">
        <v>9</v>
      </c>
      <c r="B10" s="6">
        <f>VLOOKUP($A10,'RES installed'!$A$2:$C$7,3,FALSE)*'[1]Profiles, RES, Winter'!B$4</f>
        <v>0</v>
      </c>
      <c r="C10" s="6">
        <f>VLOOKUP($A10,'RES installed'!$A$2:$C$7,3,FALSE)*'[1]Profiles, RES, Winter'!C$4</f>
        <v>0</v>
      </c>
      <c r="D10" s="6">
        <f>VLOOKUP($A10,'RES installed'!$A$2:$C$7,3,FALSE)*'[1]Profiles, RES, Winter'!D$4</f>
        <v>0</v>
      </c>
      <c r="E10" s="6">
        <f>VLOOKUP($A10,'RES installed'!$A$2:$C$7,3,FALSE)*'[1]Profiles, RES, Winter'!E$4</f>
        <v>0</v>
      </c>
      <c r="F10" s="6">
        <f>VLOOKUP($A10,'RES installed'!$A$2:$C$7,3,FALSE)*'[1]Profiles, RES, Winter'!F$4</f>
        <v>0</v>
      </c>
      <c r="G10" s="6">
        <f>VLOOKUP($A10,'RES installed'!$A$2:$C$7,3,FALSE)*'[1]Profiles, RES, Winter'!G$4</f>
        <v>0</v>
      </c>
      <c r="H10" s="6">
        <f>VLOOKUP($A10,'RES installed'!$A$2:$C$7,3,FALSE)*'[1]Profiles, RES, Winter'!H$4</f>
        <v>0</v>
      </c>
      <c r="I10" s="6">
        <f>VLOOKUP($A10,'RES installed'!$A$2:$C$7,3,FALSE)*'[1]Profiles, RES, Winter'!I$4</f>
        <v>2.2744503411675512E-2</v>
      </c>
      <c r="J10" s="6">
        <f>VLOOKUP($A10,'RES installed'!$A$2:$C$7,3,FALSE)*'[1]Profiles, RES, Winter'!J$4</f>
        <v>2.0242608036391205</v>
      </c>
      <c r="K10" s="6">
        <f>VLOOKUP($A10,'RES installed'!$A$2:$C$7,3,FALSE)*'[1]Profiles, RES, Winter'!K$4</f>
        <v>8.6884003032600461</v>
      </c>
      <c r="L10" s="6">
        <f>VLOOKUP($A10,'RES installed'!$A$2:$C$7,3,FALSE)*'[1]Profiles, RES, Winter'!L$4</f>
        <v>14.329037149355573</v>
      </c>
      <c r="M10" s="6">
        <f>VLOOKUP($A10,'RES installed'!$A$2:$C$7,3,FALSE)*'[1]Profiles, RES, Winter'!M$4</f>
        <v>16.285064442759666</v>
      </c>
      <c r="N10" s="6">
        <f>VLOOKUP($A10,'RES installed'!$A$2:$C$7,3,FALSE)*'[1]Profiles, RES, Winter'!N$4</f>
        <v>15.557240333586051</v>
      </c>
      <c r="O10" s="6">
        <f>VLOOKUP($A10,'RES installed'!$A$2:$C$7,3,FALSE)*'[1]Profiles, RES, Winter'!O$4</f>
        <v>15.852918877937832</v>
      </c>
      <c r="P10" s="6">
        <f>VLOOKUP($A10,'RES installed'!$A$2:$C$7,3,FALSE)*'[1]Profiles, RES, Winter'!P$4</f>
        <v>17.149355572403337</v>
      </c>
      <c r="Q10" s="6">
        <f>VLOOKUP($A10,'RES installed'!$A$2:$C$7,3,FALSE)*'[1]Profiles, RES, Winter'!Q$4</f>
        <v>15.625473843821075</v>
      </c>
      <c r="R10" s="6">
        <f>VLOOKUP($A10,'RES installed'!$A$2:$C$7,3,FALSE)*'[1]Profiles, RES, Winter'!R$4</f>
        <v>7.1190295678544349</v>
      </c>
      <c r="S10" s="6">
        <f>VLOOKUP($A10,'RES installed'!$A$2:$C$7,3,FALSE)*'[1]Profiles, RES, Winter'!S$4</f>
        <v>0.3639120545868082</v>
      </c>
      <c r="T10" s="6">
        <f>VLOOKUP($A10,'RES installed'!$A$2:$C$7,3,FALSE)*'[1]Profiles, RES, Winter'!T$4</f>
        <v>0</v>
      </c>
      <c r="U10" s="6">
        <f>VLOOKUP($A10,'RES installed'!$A$2:$C$7,3,FALSE)*'[1]Profiles, RES, Winter'!U$4</f>
        <v>0</v>
      </c>
      <c r="V10" s="6">
        <f>VLOOKUP($A10,'RES installed'!$A$2:$C$7,3,FALSE)*'[1]Profiles, RES, Winter'!V$4</f>
        <v>0</v>
      </c>
      <c r="W10" s="6">
        <f>VLOOKUP($A10,'RES installed'!$A$2:$C$7,3,FALSE)*'[1]Profiles, RES, Winter'!W$4</f>
        <v>0</v>
      </c>
      <c r="X10" s="6">
        <f>VLOOKUP($A10,'RES installed'!$A$2:$C$7,3,FALSE)*'[1]Profiles, RES, Winter'!X$4</f>
        <v>0</v>
      </c>
      <c r="Y10" s="6">
        <f>VLOOKUP($A10,'RES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7FE1B-2682-4FFE-8108-DD927AA6BC0D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Winter'!B$5</f>
        <v>24.396828582898433</v>
      </c>
      <c r="C5" s="9">
        <f>VLOOKUP($A5,'RES installed'!$A$2:$C$7,3,FALSE)*'[1]Profiles, RES, Winter'!C$5</f>
        <v>26.248494580489762</v>
      </c>
      <c r="D5" s="9">
        <f>VLOOKUP($A5,'RES installed'!$A$2:$C$7,3,FALSE)*'[1]Profiles, RES, Winter'!D$5</f>
        <v>26.113006824568448</v>
      </c>
      <c r="E5" s="9">
        <f>VLOOKUP($A5,'RES installed'!$A$2:$C$7,3,FALSE)*'[1]Profiles, RES, Winter'!E$5</f>
        <v>26.167201926936976</v>
      </c>
      <c r="F5" s="9">
        <f>VLOOKUP($A5,'RES installed'!$A$2:$C$7,3,FALSE)*'[1]Profiles, RES, Winter'!F$5</f>
        <v>27.088518667201928</v>
      </c>
      <c r="G5" s="9">
        <f>VLOOKUP($A5,'RES installed'!$A$2:$C$7,3,FALSE)*'[1]Profiles, RES, Winter'!G$5</f>
        <v>28.596949016459256</v>
      </c>
      <c r="H5" s="9">
        <f>VLOOKUP($A5,'RES installed'!$A$2:$C$7,3,FALSE)*'[1]Profiles, RES, Winter'!H$5</f>
        <v>30.466680048173423</v>
      </c>
      <c r="I5" s="9">
        <f>VLOOKUP($A5,'RES installed'!$A$2:$C$7,3,FALSE)*'[1]Profiles, RES, Winter'!I$5</f>
        <v>30.520875150541951</v>
      </c>
      <c r="J5" s="9">
        <f>VLOOKUP($A5,'RES installed'!$A$2:$C$7,3,FALSE)*'[1]Profiles, RES, Winter'!J$5</f>
        <v>30.249899638699318</v>
      </c>
      <c r="K5" s="9">
        <f>VLOOKUP($A5,'RES installed'!$A$2:$C$7,3,FALSE)*'[1]Profiles, RES, Winter'!K$5</f>
        <v>28.389201124046568</v>
      </c>
      <c r="L5" s="9">
        <f>VLOOKUP($A5,'RES installed'!$A$2:$C$7,3,FALSE)*'[1]Profiles, RES, Winter'!L$5</f>
        <v>24.758129265355279</v>
      </c>
      <c r="M5" s="9">
        <f>VLOOKUP($A5,'RES installed'!$A$2:$C$7,3,FALSE)*'[1]Profiles, RES, Winter'!M$5</f>
        <v>22.780008028904053</v>
      </c>
      <c r="N5" s="9">
        <f>VLOOKUP($A5,'RES installed'!$A$2:$C$7,3,FALSE)*'[1]Profiles, RES, Winter'!N$5</f>
        <v>21.885788839823366</v>
      </c>
      <c r="O5" s="9">
        <f>VLOOKUP($A5,'RES installed'!$A$2:$C$7,3,FALSE)*'[1]Profiles, RES, Winter'!O$5</f>
        <v>20.39542352468888</v>
      </c>
      <c r="P5" s="9">
        <f>VLOOKUP($A5,'RES installed'!$A$2:$C$7,3,FALSE)*'[1]Profiles, RES, Winter'!P$5</f>
        <v>18.643115214773182</v>
      </c>
      <c r="Q5" s="9">
        <f>VLOOKUP($A5,'RES installed'!$A$2:$C$7,3,FALSE)*'[1]Profiles, RES, Winter'!Q$5</f>
        <v>18.805700521878762</v>
      </c>
      <c r="R5" s="9">
        <f>VLOOKUP($A5,'RES installed'!$A$2:$C$7,3,FALSE)*'[1]Profiles, RES, Winter'!R$5</f>
        <v>19.51023685266961</v>
      </c>
      <c r="S5" s="9">
        <f>VLOOKUP($A5,'RES installed'!$A$2:$C$7,3,FALSE)*'[1]Profiles, RES, Winter'!S$5</f>
        <v>22.481934965877159</v>
      </c>
      <c r="T5" s="9">
        <f>VLOOKUP($A5,'RES installed'!$A$2:$C$7,3,FALSE)*'[1]Profiles, RES, Winter'!T$5</f>
        <v>24.342633480529908</v>
      </c>
      <c r="U5" s="9">
        <f>VLOOKUP($A5,'RES installed'!$A$2:$C$7,3,FALSE)*'[1]Profiles, RES, Winter'!U$5</f>
        <v>24.947812123645122</v>
      </c>
      <c r="V5" s="9">
        <f>VLOOKUP($A5,'RES installed'!$A$2:$C$7,3,FALSE)*'[1]Profiles, RES, Winter'!V$5</f>
        <v>24.125853071055801</v>
      </c>
      <c r="W5" s="9">
        <f>VLOOKUP($A5,'RES installed'!$A$2:$C$7,3,FALSE)*'[1]Profiles, RES, Winter'!W$5</f>
        <v>22.816138097149736</v>
      </c>
      <c r="X5" s="9">
        <f>VLOOKUP($A5,'RES installed'!$A$2:$C$7,3,FALSE)*'[1]Profiles, RES, Winter'!X$5</f>
        <v>23.060016057808109</v>
      </c>
      <c r="Y5" s="9">
        <f>VLOOKUP($A5,'RES installed'!$A$2:$C$7,3,FALSE)*'[1]Profiles, RES, Winter'!Y$5</f>
        <v>24.008430349257328</v>
      </c>
    </row>
    <row r="6" spans="1:25" x14ac:dyDescent="0.3">
      <c r="A6" s="8">
        <v>5</v>
      </c>
      <c r="B6" s="9">
        <f>VLOOKUP($A6,'RES installed'!$A$2:$C$7,3,FALSE)*'[1]Profiles, RES, Winter'!B$5</f>
        <v>32.529104777197915</v>
      </c>
      <c r="C6" s="9">
        <f>VLOOKUP($A6,'RES installed'!$A$2:$C$7,3,FALSE)*'[1]Profiles, RES, Winter'!C$5</f>
        <v>34.997992773986347</v>
      </c>
      <c r="D6" s="9">
        <f>VLOOKUP($A6,'RES installed'!$A$2:$C$7,3,FALSE)*'[1]Profiles, RES, Winter'!D$5</f>
        <v>34.817342432757933</v>
      </c>
      <c r="E6" s="9">
        <f>VLOOKUP($A6,'RES installed'!$A$2:$C$7,3,FALSE)*'[1]Profiles, RES, Winter'!E$5</f>
        <v>34.889602569249298</v>
      </c>
      <c r="F6" s="9">
        <f>VLOOKUP($A6,'RES installed'!$A$2:$C$7,3,FALSE)*'[1]Profiles, RES, Winter'!F$5</f>
        <v>36.118024889602573</v>
      </c>
      <c r="G6" s="9">
        <f>VLOOKUP($A6,'RES installed'!$A$2:$C$7,3,FALSE)*'[1]Profiles, RES, Winter'!G$5</f>
        <v>38.12926535527901</v>
      </c>
      <c r="H6" s="9">
        <f>VLOOKUP($A6,'RES installed'!$A$2:$C$7,3,FALSE)*'[1]Profiles, RES, Winter'!H$5</f>
        <v>40.622240064231228</v>
      </c>
      <c r="I6" s="9">
        <f>VLOOKUP($A6,'RES installed'!$A$2:$C$7,3,FALSE)*'[1]Profiles, RES, Winter'!I$5</f>
        <v>40.694500200722601</v>
      </c>
      <c r="J6" s="9">
        <f>VLOOKUP($A6,'RES installed'!$A$2:$C$7,3,FALSE)*'[1]Profiles, RES, Winter'!J$5</f>
        <v>40.333199518265758</v>
      </c>
      <c r="K6" s="9">
        <f>VLOOKUP($A6,'RES installed'!$A$2:$C$7,3,FALSE)*'[1]Profiles, RES, Winter'!K$5</f>
        <v>37.852268165395422</v>
      </c>
      <c r="L6" s="9">
        <f>VLOOKUP($A6,'RES installed'!$A$2:$C$7,3,FALSE)*'[1]Profiles, RES, Winter'!L$5</f>
        <v>33.010839020473703</v>
      </c>
      <c r="M6" s="9">
        <f>VLOOKUP($A6,'RES installed'!$A$2:$C$7,3,FALSE)*'[1]Profiles, RES, Winter'!M$5</f>
        <v>30.373344038538736</v>
      </c>
      <c r="N6" s="9">
        <f>VLOOKUP($A6,'RES installed'!$A$2:$C$7,3,FALSE)*'[1]Profiles, RES, Winter'!N$5</f>
        <v>29.181051786431155</v>
      </c>
      <c r="O6" s="9">
        <f>VLOOKUP($A6,'RES installed'!$A$2:$C$7,3,FALSE)*'[1]Profiles, RES, Winter'!O$5</f>
        <v>27.193898032918508</v>
      </c>
      <c r="P6" s="9">
        <f>VLOOKUP($A6,'RES installed'!$A$2:$C$7,3,FALSE)*'[1]Profiles, RES, Winter'!P$5</f>
        <v>24.857486953030911</v>
      </c>
      <c r="Q6" s="9">
        <f>VLOOKUP($A6,'RES installed'!$A$2:$C$7,3,FALSE)*'[1]Profiles, RES, Winter'!Q$5</f>
        <v>25.074267362505019</v>
      </c>
      <c r="R6" s="9">
        <f>VLOOKUP($A6,'RES installed'!$A$2:$C$7,3,FALSE)*'[1]Profiles, RES, Winter'!R$5</f>
        <v>26.013649136892816</v>
      </c>
      <c r="S6" s="9">
        <f>VLOOKUP($A6,'RES installed'!$A$2:$C$7,3,FALSE)*'[1]Profiles, RES, Winter'!S$5</f>
        <v>29.97591328783621</v>
      </c>
      <c r="T6" s="9">
        <f>VLOOKUP($A6,'RES installed'!$A$2:$C$7,3,FALSE)*'[1]Profiles, RES, Winter'!T$5</f>
        <v>32.456844640706549</v>
      </c>
      <c r="U6" s="9">
        <f>VLOOKUP($A6,'RES installed'!$A$2:$C$7,3,FALSE)*'[1]Profiles, RES, Winter'!U$5</f>
        <v>33.263749498193498</v>
      </c>
      <c r="V6" s="9">
        <f>VLOOKUP($A6,'RES installed'!$A$2:$C$7,3,FALSE)*'[1]Profiles, RES, Winter'!V$5</f>
        <v>32.167804094741065</v>
      </c>
      <c r="W6" s="9">
        <f>VLOOKUP($A6,'RES installed'!$A$2:$C$7,3,FALSE)*'[1]Profiles, RES, Winter'!W$5</f>
        <v>30.421517462866316</v>
      </c>
      <c r="X6" s="9">
        <f>VLOOKUP($A6,'RES installed'!$A$2:$C$7,3,FALSE)*'[1]Profiles, RES, Winter'!X$5</f>
        <v>30.746688077077479</v>
      </c>
      <c r="Y6" s="9">
        <f>VLOOKUP($A6,'RES installed'!$A$2:$C$7,3,FALSE)*'[1]Profiles, RES, Winter'!Y$5</f>
        <v>32.011240465676437</v>
      </c>
    </row>
    <row r="7" spans="1:25" x14ac:dyDescent="0.3">
      <c r="A7" s="8">
        <v>6</v>
      </c>
      <c r="B7" s="9">
        <f>VLOOKUP($A7,'RES installed'!$A$2:$C$7,3,FALSE)*'[1]Profiles, RES, Winter'!B$5</f>
        <v>24.396828582898433</v>
      </c>
      <c r="C7" s="9">
        <f>VLOOKUP($A7,'RES installed'!$A$2:$C$7,3,FALSE)*'[1]Profiles, RES, Winter'!C$5</f>
        <v>26.248494580489762</v>
      </c>
      <c r="D7" s="9">
        <f>VLOOKUP($A7,'RES installed'!$A$2:$C$7,3,FALSE)*'[1]Profiles, RES, Winter'!D$5</f>
        <v>26.113006824568448</v>
      </c>
      <c r="E7" s="9">
        <f>VLOOKUP($A7,'RES installed'!$A$2:$C$7,3,FALSE)*'[1]Profiles, RES, Winter'!E$5</f>
        <v>26.167201926936976</v>
      </c>
      <c r="F7" s="9">
        <f>VLOOKUP($A7,'RES installed'!$A$2:$C$7,3,FALSE)*'[1]Profiles, RES, Winter'!F$5</f>
        <v>27.088518667201928</v>
      </c>
      <c r="G7" s="9">
        <f>VLOOKUP($A7,'RES installed'!$A$2:$C$7,3,FALSE)*'[1]Profiles, RES, Winter'!G$5</f>
        <v>28.596949016459256</v>
      </c>
      <c r="H7" s="9">
        <f>VLOOKUP($A7,'RES installed'!$A$2:$C$7,3,FALSE)*'[1]Profiles, RES, Winter'!H$5</f>
        <v>30.466680048173423</v>
      </c>
      <c r="I7" s="9">
        <f>VLOOKUP($A7,'RES installed'!$A$2:$C$7,3,FALSE)*'[1]Profiles, RES, Winter'!I$5</f>
        <v>30.520875150541951</v>
      </c>
      <c r="J7" s="9">
        <f>VLOOKUP($A7,'RES installed'!$A$2:$C$7,3,FALSE)*'[1]Profiles, RES, Winter'!J$5</f>
        <v>30.249899638699318</v>
      </c>
      <c r="K7" s="9">
        <f>VLOOKUP($A7,'RES installed'!$A$2:$C$7,3,FALSE)*'[1]Profiles, RES, Winter'!K$5</f>
        <v>28.389201124046568</v>
      </c>
      <c r="L7" s="9">
        <f>VLOOKUP($A7,'RES installed'!$A$2:$C$7,3,FALSE)*'[1]Profiles, RES, Winter'!L$5</f>
        <v>24.758129265355279</v>
      </c>
      <c r="M7" s="9">
        <f>VLOOKUP($A7,'RES installed'!$A$2:$C$7,3,FALSE)*'[1]Profiles, RES, Winter'!M$5</f>
        <v>22.780008028904053</v>
      </c>
      <c r="N7" s="9">
        <f>VLOOKUP($A7,'RES installed'!$A$2:$C$7,3,FALSE)*'[1]Profiles, RES, Winter'!N$5</f>
        <v>21.885788839823366</v>
      </c>
      <c r="O7" s="9">
        <f>VLOOKUP($A7,'RES installed'!$A$2:$C$7,3,FALSE)*'[1]Profiles, RES, Winter'!O$5</f>
        <v>20.39542352468888</v>
      </c>
      <c r="P7" s="9">
        <f>VLOOKUP($A7,'RES installed'!$A$2:$C$7,3,FALSE)*'[1]Profiles, RES, Winter'!P$5</f>
        <v>18.643115214773182</v>
      </c>
      <c r="Q7" s="9">
        <f>VLOOKUP($A7,'RES installed'!$A$2:$C$7,3,FALSE)*'[1]Profiles, RES, Winter'!Q$5</f>
        <v>18.805700521878762</v>
      </c>
      <c r="R7" s="9">
        <f>VLOOKUP($A7,'RES installed'!$A$2:$C$7,3,FALSE)*'[1]Profiles, RES, Winter'!R$5</f>
        <v>19.51023685266961</v>
      </c>
      <c r="S7" s="9">
        <f>VLOOKUP($A7,'RES installed'!$A$2:$C$7,3,FALSE)*'[1]Profiles, RES, Winter'!S$5</f>
        <v>22.481934965877159</v>
      </c>
      <c r="T7" s="9">
        <f>VLOOKUP($A7,'RES installed'!$A$2:$C$7,3,FALSE)*'[1]Profiles, RES, Winter'!T$5</f>
        <v>24.342633480529908</v>
      </c>
      <c r="U7" s="9">
        <f>VLOOKUP($A7,'RES installed'!$A$2:$C$7,3,FALSE)*'[1]Profiles, RES, Winter'!U$5</f>
        <v>24.947812123645122</v>
      </c>
      <c r="V7" s="9">
        <f>VLOOKUP($A7,'RES installed'!$A$2:$C$7,3,FALSE)*'[1]Profiles, RES, Winter'!V$5</f>
        <v>24.125853071055801</v>
      </c>
      <c r="W7" s="9">
        <f>VLOOKUP($A7,'RES installed'!$A$2:$C$7,3,FALSE)*'[1]Profiles, RES, Winter'!W$5</f>
        <v>22.816138097149736</v>
      </c>
      <c r="X7" s="9">
        <f>VLOOKUP($A7,'RES installed'!$A$2:$C$7,3,FALSE)*'[1]Profiles, RES, Winter'!X$5</f>
        <v>23.060016057808109</v>
      </c>
      <c r="Y7" s="9">
        <f>VLOOKUP($A7,'RES installed'!$A$2:$C$7,3,FALSE)*'[1]Profiles, RES, Winter'!Y$5</f>
        <v>24.008430349257328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2.843062926459439E-2</v>
      </c>
      <c r="J8" s="6">
        <f>VLOOKUP($A8,'RES installed'!$A$2:$C$7,3,FALSE)*'[1]Profiles, RES, Winter'!J$2</f>
        <v>3.3263836239575437</v>
      </c>
      <c r="K8" s="6">
        <f>VLOOKUP($A8,'RES installed'!$A$2:$C$7,3,FALSE)*'[1]Profiles, RES, Winter'!K$2</f>
        <v>14.044730856709629</v>
      </c>
      <c r="L8" s="6">
        <f>VLOOKUP($A8,'RES installed'!$A$2:$C$7,3,FALSE)*'[1]Profiles, RES, Winter'!L$2</f>
        <v>24.706216830932526</v>
      </c>
      <c r="M8" s="6">
        <f>VLOOKUP($A8,'RES installed'!$A$2:$C$7,3,FALSE)*'[1]Profiles, RES, Winter'!M$2</f>
        <v>29.3972706595906</v>
      </c>
      <c r="N8" s="6">
        <f>VLOOKUP($A8,'RES installed'!$A$2:$C$7,3,FALSE)*'[1]Profiles, RES, Winter'!N$2</f>
        <v>28.288476118271419</v>
      </c>
      <c r="O8" s="6">
        <f>VLOOKUP($A8,'RES installed'!$A$2:$C$7,3,FALSE)*'[1]Profiles, RES, Winter'!O$2</f>
        <v>28.515921152388174</v>
      </c>
      <c r="P8" s="6">
        <f>VLOOKUP($A8,'RES installed'!$A$2:$C$7,3,FALSE)*'[1]Profiles, RES, Winter'!P$2</f>
        <v>26.923805913570888</v>
      </c>
      <c r="Q8" s="6">
        <f>VLOOKUP($A8,'RES installed'!$A$2:$C$7,3,FALSE)*'[1]Profiles, RES, Winter'!Q$2</f>
        <v>20.15731614859742</v>
      </c>
      <c r="R8" s="6">
        <f>VLOOKUP($A8,'RES installed'!$A$2:$C$7,3,FALSE)*'[1]Profiles, RES, Winter'!R$2</f>
        <v>7.5909780136467022</v>
      </c>
      <c r="S8" s="6">
        <f>VLOOKUP($A8,'RES installed'!$A$2:$C$7,3,FALSE)*'[1]Profiles, RES, Winter'!S$2</f>
        <v>0.3411675511751327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  <row r="9" spans="1:25" x14ac:dyDescent="0.3">
      <c r="A9" s="5">
        <v>8</v>
      </c>
      <c r="B9" s="6">
        <f>VLOOKUP($A9,'RES installed'!$A$2:$C$7,3,FALSE)*'[1]Profiles, RES, Winter'!B$2</f>
        <v>0</v>
      </c>
      <c r="C9" s="6">
        <f>VLOOKUP($A9,'RES installed'!$A$2:$C$7,3,FALSE)*'[1]Profiles, RES, Winter'!C$2</f>
        <v>0</v>
      </c>
      <c r="D9" s="6">
        <f>VLOOKUP($A9,'RES installed'!$A$2:$C$7,3,FALSE)*'[1]Profiles, RES, Winter'!D$2</f>
        <v>0</v>
      </c>
      <c r="E9" s="6">
        <f>VLOOKUP($A9,'RES installed'!$A$2:$C$7,3,FALSE)*'[1]Profiles, RES, Winter'!E$2</f>
        <v>0</v>
      </c>
      <c r="F9" s="6">
        <f>VLOOKUP($A9,'RES installed'!$A$2:$C$7,3,FALSE)*'[1]Profiles, RES, Winter'!F$2</f>
        <v>0</v>
      </c>
      <c r="G9" s="6">
        <f>VLOOKUP($A9,'RES installed'!$A$2:$C$7,3,FALSE)*'[1]Profiles, RES, Winter'!G$2</f>
        <v>0</v>
      </c>
      <c r="H9" s="6">
        <f>VLOOKUP($A9,'RES installed'!$A$2:$C$7,3,FALSE)*'[1]Profiles, RES, Winter'!H$2</f>
        <v>0</v>
      </c>
      <c r="I9" s="6">
        <f>VLOOKUP($A9,'RES installed'!$A$2:$C$7,3,FALSE)*'[1]Profiles, RES, Winter'!I$2</f>
        <v>1.8953752843062926E-2</v>
      </c>
      <c r="J9" s="6">
        <f>VLOOKUP($A9,'RES installed'!$A$2:$C$7,3,FALSE)*'[1]Profiles, RES, Winter'!J$2</f>
        <v>2.2175890826383626</v>
      </c>
      <c r="K9" s="6">
        <f>VLOOKUP($A9,'RES installed'!$A$2:$C$7,3,FALSE)*'[1]Profiles, RES, Winter'!K$2</f>
        <v>9.3631539044730854</v>
      </c>
      <c r="L9" s="6">
        <f>VLOOKUP($A9,'RES installed'!$A$2:$C$7,3,FALSE)*'[1]Profiles, RES, Winter'!L$2</f>
        <v>16.470811220621684</v>
      </c>
      <c r="M9" s="6">
        <f>VLOOKUP($A9,'RES installed'!$A$2:$C$7,3,FALSE)*'[1]Profiles, RES, Winter'!M$2</f>
        <v>19.598180439727066</v>
      </c>
      <c r="N9" s="6">
        <f>VLOOKUP($A9,'RES installed'!$A$2:$C$7,3,FALSE)*'[1]Profiles, RES, Winter'!N$2</f>
        <v>18.858984078847612</v>
      </c>
      <c r="O9" s="6">
        <f>VLOOKUP($A9,'RES installed'!$A$2:$C$7,3,FALSE)*'[1]Profiles, RES, Winter'!O$2</f>
        <v>19.010614101592115</v>
      </c>
      <c r="P9" s="6">
        <f>VLOOKUP($A9,'RES installed'!$A$2:$C$7,3,FALSE)*'[1]Profiles, RES, Winter'!P$2</f>
        <v>17.949203942380592</v>
      </c>
      <c r="Q9" s="6">
        <f>VLOOKUP($A9,'RES installed'!$A$2:$C$7,3,FALSE)*'[1]Profiles, RES, Winter'!Q$2</f>
        <v>13.438210765731615</v>
      </c>
      <c r="R9" s="6">
        <f>VLOOKUP($A9,'RES installed'!$A$2:$C$7,3,FALSE)*'[1]Profiles, RES, Winter'!R$2</f>
        <v>5.0606520090978009</v>
      </c>
      <c r="S9" s="6">
        <f>VLOOKUP($A9,'RES installed'!$A$2:$C$7,3,FALSE)*'[1]Profiles, RES, Winter'!S$2</f>
        <v>0.22744503411675512</v>
      </c>
      <c r="T9" s="6">
        <f>VLOOKUP($A9,'RES installed'!$A$2:$C$7,3,FALSE)*'[1]Profiles, RES, Winter'!T$2</f>
        <v>0</v>
      </c>
      <c r="U9" s="6">
        <f>VLOOKUP($A9,'RES installed'!$A$2:$C$7,3,FALSE)*'[1]Profiles, RES, Winter'!U$2</f>
        <v>0</v>
      </c>
      <c r="V9" s="6">
        <f>VLOOKUP($A9,'RES installed'!$A$2:$C$7,3,FALSE)*'[1]Profiles, RES, Winter'!V$2</f>
        <v>0</v>
      </c>
      <c r="W9" s="6">
        <f>VLOOKUP($A9,'RES installed'!$A$2:$C$7,3,FALSE)*'[1]Profiles, RES, Winter'!W$2</f>
        <v>0</v>
      </c>
      <c r="X9" s="6">
        <f>VLOOKUP($A9,'RES installed'!$A$2:$C$7,3,FALSE)*'[1]Profiles, RES, Winter'!X$2</f>
        <v>0</v>
      </c>
      <c r="Y9" s="6">
        <f>VLOOKUP($A9,'RES installed'!$A$2:$C$7,3,FALSE)*'[1]Profiles, RES, Winter'!Y$2</f>
        <v>0</v>
      </c>
    </row>
    <row r="10" spans="1:25" x14ac:dyDescent="0.3">
      <c r="A10" s="5">
        <v>9</v>
      </c>
      <c r="B10" s="6">
        <f>VLOOKUP($A10,'RES installed'!$A$2:$C$7,3,FALSE)*'[1]Profiles, RES, Winter'!B$2</f>
        <v>0</v>
      </c>
      <c r="C10" s="6">
        <f>VLOOKUP($A10,'RES installed'!$A$2:$C$7,3,FALSE)*'[1]Profiles, RES, Winter'!C$2</f>
        <v>0</v>
      </c>
      <c r="D10" s="6">
        <f>VLOOKUP($A10,'RES installed'!$A$2:$C$7,3,FALSE)*'[1]Profiles, RES, Winter'!D$2</f>
        <v>0</v>
      </c>
      <c r="E10" s="6">
        <f>VLOOKUP($A10,'RES installed'!$A$2:$C$7,3,FALSE)*'[1]Profiles, RES, Winter'!E$2</f>
        <v>0</v>
      </c>
      <c r="F10" s="6">
        <f>VLOOKUP($A10,'RES installed'!$A$2:$C$7,3,FALSE)*'[1]Profiles, RES, Winter'!F$2</f>
        <v>0</v>
      </c>
      <c r="G10" s="6">
        <f>VLOOKUP($A10,'RES installed'!$A$2:$C$7,3,FALSE)*'[1]Profiles, RES, Winter'!G$2</f>
        <v>0</v>
      </c>
      <c r="H10" s="6">
        <f>VLOOKUP($A10,'RES installed'!$A$2:$C$7,3,FALSE)*'[1]Profiles, RES, Winter'!H$2</f>
        <v>0</v>
      </c>
      <c r="I10" s="6">
        <f>VLOOKUP($A10,'RES installed'!$A$2:$C$7,3,FALSE)*'[1]Profiles, RES, Winter'!I$2</f>
        <v>2.2744503411675512E-2</v>
      </c>
      <c r="J10" s="6">
        <f>VLOOKUP($A10,'RES installed'!$A$2:$C$7,3,FALSE)*'[1]Profiles, RES, Winter'!J$2</f>
        <v>2.6611068991660352</v>
      </c>
      <c r="K10" s="6">
        <f>VLOOKUP($A10,'RES installed'!$A$2:$C$7,3,FALSE)*'[1]Profiles, RES, Winter'!K$2</f>
        <v>11.235784685367703</v>
      </c>
      <c r="L10" s="6">
        <f>VLOOKUP($A10,'RES installed'!$A$2:$C$7,3,FALSE)*'[1]Profiles, RES, Winter'!L$2</f>
        <v>19.764973464746021</v>
      </c>
      <c r="M10" s="6">
        <f>VLOOKUP($A10,'RES installed'!$A$2:$C$7,3,FALSE)*'[1]Profiles, RES, Winter'!M$2</f>
        <v>23.51781652767248</v>
      </c>
      <c r="N10" s="6">
        <f>VLOOKUP($A10,'RES installed'!$A$2:$C$7,3,FALSE)*'[1]Profiles, RES, Winter'!N$2</f>
        <v>22.630780894617136</v>
      </c>
      <c r="O10" s="6">
        <f>VLOOKUP($A10,'RES installed'!$A$2:$C$7,3,FALSE)*'[1]Profiles, RES, Winter'!O$2</f>
        <v>22.812736921910538</v>
      </c>
      <c r="P10" s="6">
        <f>VLOOKUP($A10,'RES installed'!$A$2:$C$7,3,FALSE)*'[1]Profiles, RES, Winter'!P$2</f>
        <v>21.539044730856713</v>
      </c>
      <c r="Q10" s="6">
        <f>VLOOKUP($A10,'RES installed'!$A$2:$C$7,3,FALSE)*'[1]Profiles, RES, Winter'!Q$2</f>
        <v>16.125852918877939</v>
      </c>
      <c r="R10" s="6">
        <f>VLOOKUP($A10,'RES installed'!$A$2:$C$7,3,FALSE)*'[1]Profiles, RES, Winter'!R$2</f>
        <v>6.0727824109173616</v>
      </c>
      <c r="S10" s="6">
        <f>VLOOKUP($A10,'RES installed'!$A$2:$C$7,3,FALSE)*'[1]Profiles, RES, Winter'!S$2</f>
        <v>0.27293404094010615</v>
      </c>
      <c r="T10" s="6">
        <f>VLOOKUP($A10,'RES installed'!$A$2:$C$7,3,FALSE)*'[1]Profiles, RES, Winter'!T$2</f>
        <v>0</v>
      </c>
      <c r="U10" s="6">
        <f>VLOOKUP($A10,'RES installed'!$A$2:$C$7,3,FALSE)*'[1]Profiles, RES, Winter'!U$2</f>
        <v>0</v>
      </c>
      <c r="V10" s="6">
        <f>VLOOKUP($A10,'RES installed'!$A$2:$C$7,3,FALSE)*'[1]Profiles, RES, Winter'!V$2</f>
        <v>0</v>
      </c>
      <c r="W10" s="6">
        <f>VLOOKUP($A10,'RES installed'!$A$2:$C$7,3,FALSE)*'[1]Profiles, RES, Winter'!W$2</f>
        <v>0</v>
      </c>
      <c r="X10" s="6">
        <f>VLOOKUP($A10,'RES installed'!$A$2:$C$7,3,FALSE)*'[1]Profiles, RES, Winter'!X$2</f>
        <v>0</v>
      </c>
      <c r="Y10" s="6">
        <f>VLOOKUP($A10,'RES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F05BE9-F0D1-4445-8605-4F4CF3448268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Winter'!B$6</f>
        <v>23.610999598554798</v>
      </c>
      <c r="C5" s="9">
        <f>VLOOKUP($A5,'RES installed'!$A$2:$C$7,3,FALSE)*'[1]Profiles, RES, Winter'!C$6</f>
        <v>23.972300281011641</v>
      </c>
      <c r="D5" s="9">
        <f>VLOOKUP($A5,'RES installed'!$A$2:$C$7,3,FALSE)*'[1]Profiles, RES, Winter'!D$6</f>
        <v>24.053592934564428</v>
      </c>
      <c r="E5" s="9">
        <f>VLOOKUP($A5,'RES installed'!$A$2:$C$7,3,FALSE)*'[1]Profiles, RES, Winter'!E$6</f>
        <v>21.994179044560418</v>
      </c>
      <c r="F5" s="9">
        <f>VLOOKUP($A5,'RES installed'!$A$2:$C$7,3,FALSE)*'[1]Profiles, RES, Winter'!F$6</f>
        <v>22.698715375351266</v>
      </c>
      <c r="G5" s="9">
        <f>VLOOKUP($A5,'RES installed'!$A$2:$C$7,3,FALSE)*'[1]Profiles, RES, Winter'!G$6</f>
        <v>23.963267763950221</v>
      </c>
      <c r="H5" s="9">
        <f>VLOOKUP($A5,'RES installed'!$A$2:$C$7,3,FALSE)*'[1]Profiles, RES, Winter'!H$6</f>
        <v>24.532316338819751</v>
      </c>
      <c r="I5" s="9">
        <f>VLOOKUP($A5,'RES installed'!$A$2:$C$7,3,FALSE)*'[1]Profiles, RES, Winter'!I$6</f>
        <v>23.367121637896425</v>
      </c>
      <c r="J5" s="9">
        <f>VLOOKUP($A5,'RES installed'!$A$2:$C$7,3,FALSE)*'[1]Profiles, RES, Winter'!J$6</f>
        <v>22.238057005218788</v>
      </c>
      <c r="K5" s="9">
        <f>VLOOKUP($A5,'RES installed'!$A$2:$C$7,3,FALSE)*'[1]Profiles, RES, Winter'!K$6</f>
        <v>20.946407065435569</v>
      </c>
      <c r="L5" s="9">
        <f>VLOOKUP($A5,'RES installed'!$A$2:$C$7,3,FALSE)*'[1]Profiles, RES, Winter'!L$6</f>
        <v>19.681854676836611</v>
      </c>
      <c r="M5" s="9">
        <f>VLOOKUP($A5,'RES installed'!$A$2:$C$7,3,FALSE)*'[1]Profiles, RES, Winter'!M$6</f>
        <v>18.597952629466079</v>
      </c>
      <c r="N5" s="9">
        <f>VLOOKUP($A5,'RES installed'!$A$2:$C$7,3,FALSE)*'[1]Profiles, RES, Winter'!N$6</f>
        <v>17.143717382577279</v>
      </c>
      <c r="O5" s="9">
        <f>VLOOKUP($A5,'RES installed'!$A$2:$C$7,3,FALSE)*'[1]Profiles, RES, Winter'!O$6</f>
        <v>13.27780008028904</v>
      </c>
      <c r="P5" s="9">
        <f>VLOOKUP($A5,'RES installed'!$A$2:$C$7,3,FALSE)*'[1]Profiles, RES, Winter'!P$6</f>
        <v>12.988759534323565</v>
      </c>
      <c r="Q5" s="9">
        <f>VLOOKUP($A5,'RES installed'!$A$2:$C$7,3,FALSE)*'[1]Profiles, RES, Winter'!Q$6</f>
        <v>13.214572460859094</v>
      </c>
      <c r="R5" s="9">
        <f>VLOOKUP($A5,'RES installed'!$A$2:$C$7,3,FALSE)*'[1]Profiles, RES, Winter'!R$6</f>
        <v>16.764351665997591</v>
      </c>
      <c r="S5" s="9">
        <f>VLOOKUP($A5,'RES installed'!$A$2:$C$7,3,FALSE)*'[1]Profiles, RES, Winter'!S$6</f>
        <v>19.645724608590928</v>
      </c>
      <c r="T5" s="9">
        <f>VLOOKUP($A5,'RES installed'!$A$2:$C$7,3,FALSE)*'[1]Profiles, RES, Winter'!T$6</f>
        <v>20.928342031312724</v>
      </c>
      <c r="U5" s="9">
        <f>VLOOKUP($A5,'RES installed'!$A$2:$C$7,3,FALSE)*'[1]Profiles, RES, Winter'!U$6</f>
        <v>21.8586912886391</v>
      </c>
      <c r="V5" s="9">
        <f>VLOOKUP($A5,'RES installed'!$A$2:$C$7,3,FALSE)*'[1]Profiles, RES, Winter'!V$6</f>
        <v>22.590325170614211</v>
      </c>
      <c r="W5" s="9">
        <f>VLOOKUP($A5,'RES installed'!$A$2:$C$7,3,FALSE)*'[1]Profiles, RES, Winter'!W$6</f>
        <v>23.448414291449218</v>
      </c>
      <c r="X5" s="9">
        <f>VLOOKUP($A5,'RES installed'!$A$2:$C$7,3,FALSE)*'[1]Profiles, RES, Winter'!X$6</f>
        <v>23.005820955439585</v>
      </c>
      <c r="Y5" s="9">
        <f>VLOOKUP($A5,'RES installed'!$A$2:$C$7,3,FALSE)*'[1]Profiles, RES, Winter'!Y$6</f>
        <v>22.382577278201524</v>
      </c>
    </row>
    <row r="6" spans="1:25" x14ac:dyDescent="0.3">
      <c r="A6" s="8">
        <v>5</v>
      </c>
      <c r="B6" s="9">
        <f>VLOOKUP($A6,'RES installed'!$A$2:$C$7,3,FALSE)*'[1]Profiles, RES, Winter'!B$6</f>
        <v>31.481332798073062</v>
      </c>
      <c r="C6" s="9">
        <f>VLOOKUP($A6,'RES installed'!$A$2:$C$7,3,FALSE)*'[1]Profiles, RES, Winter'!C$6</f>
        <v>31.963067041348857</v>
      </c>
      <c r="D6" s="9">
        <f>VLOOKUP($A6,'RES installed'!$A$2:$C$7,3,FALSE)*'[1]Profiles, RES, Winter'!D$6</f>
        <v>32.071457246085906</v>
      </c>
      <c r="E6" s="9">
        <f>VLOOKUP($A6,'RES installed'!$A$2:$C$7,3,FALSE)*'[1]Profiles, RES, Winter'!E$6</f>
        <v>29.32557205941389</v>
      </c>
      <c r="F6" s="9">
        <f>VLOOKUP($A6,'RES installed'!$A$2:$C$7,3,FALSE)*'[1]Profiles, RES, Winter'!F$6</f>
        <v>30.264953833801687</v>
      </c>
      <c r="G6" s="9">
        <f>VLOOKUP($A6,'RES installed'!$A$2:$C$7,3,FALSE)*'[1]Profiles, RES, Winter'!G$6</f>
        <v>31.951023685266961</v>
      </c>
      <c r="H6" s="9">
        <f>VLOOKUP($A6,'RES installed'!$A$2:$C$7,3,FALSE)*'[1]Profiles, RES, Winter'!H$6</f>
        <v>32.709755118426337</v>
      </c>
      <c r="I6" s="9">
        <f>VLOOKUP($A6,'RES installed'!$A$2:$C$7,3,FALSE)*'[1]Profiles, RES, Winter'!I$6</f>
        <v>31.156162183861898</v>
      </c>
      <c r="J6" s="9">
        <f>VLOOKUP($A6,'RES installed'!$A$2:$C$7,3,FALSE)*'[1]Profiles, RES, Winter'!J$6</f>
        <v>29.65074267362505</v>
      </c>
      <c r="K6" s="9">
        <f>VLOOKUP($A6,'RES installed'!$A$2:$C$7,3,FALSE)*'[1]Profiles, RES, Winter'!K$6</f>
        <v>27.92854275391409</v>
      </c>
      <c r="L6" s="9">
        <f>VLOOKUP($A6,'RES installed'!$A$2:$C$7,3,FALSE)*'[1]Profiles, RES, Winter'!L$6</f>
        <v>26.242472902448814</v>
      </c>
      <c r="M6" s="9">
        <f>VLOOKUP($A6,'RES installed'!$A$2:$C$7,3,FALSE)*'[1]Profiles, RES, Winter'!M$6</f>
        <v>24.797270172621438</v>
      </c>
      <c r="N6" s="9">
        <f>VLOOKUP($A6,'RES installed'!$A$2:$C$7,3,FALSE)*'[1]Profiles, RES, Winter'!N$6</f>
        <v>22.858289843436374</v>
      </c>
      <c r="O6" s="9">
        <f>VLOOKUP($A6,'RES installed'!$A$2:$C$7,3,FALSE)*'[1]Profiles, RES, Winter'!O$6</f>
        <v>17.703733440385388</v>
      </c>
      <c r="P6" s="9">
        <f>VLOOKUP($A6,'RES installed'!$A$2:$C$7,3,FALSE)*'[1]Profiles, RES, Winter'!P$6</f>
        <v>17.318346045764756</v>
      </c>
      <c r="Q6" s="9">
        <f>VLOOKUP($A6,'RES installed'!$A$2:$C$7,3,FALSE)*'[1]Profiles, RES, Winter'!Q$6</f>
        <v>17.619429947812122</v>
      </c>
      <c r="R6" s="9">
        <f>VLOOKUP($A6,'RES installed'!$A$2:$C$7,3,FALSE)*'[1]Profiles, RES, Winter'!R$6</f>
        <v>22.352468887996789</v>
      </c>
      <c r="S6" s="9">
        <f>VLOOKUP($A6,'RES installed'!$A$2:$C$7,3,FALSE)*'[1]Profiles, RES, Winter'!S$6</f>
        <v>26.194299478121238</v>
      </c>
      <c r="T6" s="9">
        <f>VLOOKUP($A6,'RES installed'!$A$2:$C$7,3,FALSE)*'[1]Profiles, RES, Winter'!T$6</f>
        <v>27.904456041750301</v>
      </c>
      <c r="U6" s="9">
        <f>VLOOKUP($A6,'RES installed'!$A$2:$C$7,3,FALSE)*'[1]Profiles, RES, Winter'!U$6</f>
        <v>29.144921718185469</v>
      </c>
      <c r="V6" s="9">
        <f>VLOOKUP($A6,'RES installed'!$A$2:$C$7,3,FALSE)*'[1]Profiles, RES, Winter'!V$6</f>
        <v>30.120433560818945</v>
      </c>
      <c r="W6" s="9">
        <f>VLOOKUP($A6,'RES installed'!$A$2:$C$7,3,FALSE)*'[1]Profiles, RES, Winter'!W$6</f>
        <v>31.264552388598958</v>
      </c>
      <c r="X6" s="9">
        <f>VLOOKUP($A6,'RES installed'!$A$2:$C$7,3,FALSE)*'[1]Profiles, RES, Winter'!X$6</f>
        <v>30.674427940586114</v>
      </c>
      <c r="Y6" s="9">
        <f>VLOOKUP($A6,'RES installed'!$A$2:$C$7,3,FALSE)*'[1]Profiles, RES, Winter'!Y$6</f>
        <v>29.843436370935368</v>
      </c>
    </row>
    <row r="7" spans="1:25" x14ac:dyDescent="0.3">
      <c r="A7" s="8">
        <v>6</v>
      </c>
      <c r="B7" s="9">
        <f>VLOOKUP($A7,'RES installed'!$A$2:$C$7,3,FALSE)*'[1]Profiles, RES, Winter'!B$6</f>
        <v>23.610999598554798</v>
      </c>
      <c r="C7" s="9">
        <f>VLOOKUP($A7,'RES installed'!$A$2:$C$7,3,FALSE)*'[1]Profiles, RES, Winter'!C$6</f>
        <v>23.972300281011641</v>
      </c>
      <c r="D7" s="9">
        <f>VLOOKUP($A7,'RES installed'!$A$2:$C$7,3,FALSE)*'[1]Profiles, RES, Winter'!D$6</f>
        <v>24.053592934564428</v>
      </c>
      <c r="E7" s="9">
        <f>VLOOKUP($A7,'RES installed'!$A$2:$C$7,3,FALSE)*'[1]Profiles, RES, Winter'!E$6</f>
        <v>21.994179044560418</v>
      </c>
      <c r="F7" s="9">
        <f>VLOOKUP($A7,'RES installed'!$A$2:$C$7,3,FALSE)*'[1]Profiles, RES, Winter'!F$6</f>
        <v>22.698715375351266</v>
      </c>
      <c r="G7" s="9">
        <f>VLOOKUP($A7,'RES installed'!$A$2:$C$7,3,FALSE)*'[1]Profiles, RES, Winter'!G$6</f>
        <v>23.963267763950221</v>
      </c>
      <c r="H7" s="9">
        <f>VLOOKUP($A7,'RES installed'!$A$2:$C$7,3,FALSE)*'[1]Profiles, RES, Winter'!H$6</f>
        <v>24.532316338819751</v>
      </c>
      <c r="I7" s="9">
        <f>VLOOKUP($A7,'RES installed'!$A$2:$C$7,3,FALSE)*'[1]Profiles, RES, Winter'!I$6</f>
        <v>23.367121637896425</v>
      </c>
      <c r="J7" s="9">
        <f>VLOOKUP($A7,'RES installed'!$A$2:$C$7,3,FALSE)*'[1]Profiles, RES, Winter'!J$6</f>
        <v>22.238057005218788</v>
      </c>
      <c r="K7" s="9">
        <f>VLOOKUP($A7,'RES installed'!$A$2:$C$7,3,FALSE)*'[1]Profiles, RES, Winter'!K$6</f>
        <v>20.946407065435569</v>
      </c>
      <c r="L7" s="9">
        <f>VLOOKUP($A7,'RES installed'!$A$2:$C$7,3,FALSE)*'[1]Profiles, RES, Winter'!L$6</f>
        <v>19.681854676836611</v>
      </c>
      <c r="M7" s="9">
        <f>VLOOKUP($A7,'RES installed'!$A$2:$C$7,3,FALSE)*'[1]Profiles, RES, Winter'!M$6</f>
        <v>18.597952629466079</v>
      </c>
      <c r="N7" s="9">
        <f>VLOOKUP($A7,'RES installed'!$A$2:$C$7,3,FALSE)*'[1]Profiles, RES, Winter'!N$6</f>
        <v>17.143717382577279</v>
      </c>
      <c r="O7" s="9">
        <f>VLOOKUP($A7,'RES installed'!$A$2:$C$7,3,FALSE)*'[1]Profiles, RES, Winter'!O$6</f>
        <v>13.27780008028904</v>
      </c>
      <c r="P7" s="9">
        <f>VLOOKUP($A7,'RES installed'!$A$2:$C$7,3,FALSE)*'[1]Profiles, RES, Winter'!P$6</f>
        <v>12.988759534323565</v>
      </c>
      <c r="Q7" s="9">
        <f>VLOOKUP($A7,'RES installed'!$A$2:$C$7,3,FALSE)*'[1]Profiles, RES, Winter'!Q$6</f>
        <v>13.214572460859094</v>
      </c>
      <c r="R7" s="9">
        <f>VLOOKUP($A7,'RES installed'!$A$2:$C$7,3,FALSE)*'[1]Profiles, RES, Winter'!R$6</f>
        <v>16.764351665997591</v>
      </c>
      <c r="S7" s="9">
        <f>VLOOKUP($A7,'RES installed'!$A$2:$C$7,3,FALSE)*'[1]Profiles, RES, Winter'!S$6</f>
        <v>19.645724608590928</v>
      </c>
      <c r="T7" s="9">
        <f>VLOOKUP($A7,'RES installed'!$A$2:$C$7,3,FALSE)*'[1]Profiles, RES, Winter'!T$6</f>
        <v>20.928342031312724</v>
      </c>
      <c r="U7" s="9">
        <f>VLOOKUP($A7,'RES installed'!$A$2:$C$7,3,FALSE)*'[1]Profiles, RES, Winter'!U$6</f>
        <v>21.8586912886391</v>
      </c>
      <c r="V7" s="9">
        <f>VLOOKUP($A7,'RES installed'!$A$2:$C$7,3,FALSE)*'[1]Profiles, RES, Winter'!V$6</f>
        <v>22.590325170614211</v>
      </c>
      <c r="W7" s="9">
        <f>VLOOKUP($A7,'RES installed'!$A$2:$C$7,3,FALSE)*'[1]Profiles, RES, Winter'!W$6</f>
        <v>23.448414291449218</v>
      </c>
      <c r="X7" s="9">
        <f>VLOOKUP($A7,'RES installed'!$A$2:$C$7,3,FALSE)*'[1]Profiles, RES, Winter'!X$6</f>
        <v>23.005820955439585</v>
      </c>
      <c r="Y7" s="9">
        <f>VLOOKUP($A7,'RES installed'!$A$2:$C$7,3,FALSE)*'[1]Profiles, RES, Winter'!Y$6</f>
        <v>22.382577278201524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5.6861258529188781E-2</v>
      </c>
      <c r="J8" s="6">
        <f>VLOOKUP($A8,'RES installed'!$A$2:$C$7,3,FALSE)*'[1]Profiles, RES, Winter'!J$3</f>
        <v>4.8616376042456411</v>
      </c>
      <c r="K8" s="6">
        <f>VLOOKUP($A8,'RES installed'!$A$2:$C$7,3,FALSE)*'[1]Profiles, RES, Winter'!K$3</f>
        <v>16.717210007581503</v>
      </c>
      <c r="L8" s="6">
        <f>VLOOKUP($A8,'RES installed'!$A$2:$C$7,3,FALSE)*'[1]Profiles, RES, Winter'!L$3</f>
        <v>25.672858225928731</v>
      </c>
      <c r="M8" s="6">
        <f>VLOOKUP($A8,'RES installed'!$A$2:$C$7,3,FALSE)*'[1]Profiles, RES, Winter'!M$3</f>
        <v>25.473843821076574</v>
      </c>
      <c r="N8" s="6">
        <f>VLOOKUP($A8,'RES installed'!$A$2:$C$7,3,FALSE)*'[1]Profiles, RES, Winter'!N$3</f>
        <v>28.316906747536013</v>
      </c>
      <c r="O8" s="6">
        <f>VLOOKUP($A8,'RES installed'!$A$2:$C$7,3,FALSE)*'[1]Profiles, RES, Winter'!O$3</f>
        <v>27.691432903714933</v>
      </c>
      <c r="P8" s="6">
        <f>VLOOKUP($A8,'RES installed'!$A$2:$C$7,3,FALSE)*'[1]Profiles, RES, Winter'!P$3</f>
        <v>23.426838514025775</v>
      </c>
      <c r="Q8" s="6">
        <f>VLOOKUP($A8,'RES installed'!$A$2:$C$7,3,FALSE)*'[1]Profiles, RES, Winter'!Q$3</f>
        <v>15.068233510235027</v>
      </c>
      <c r="R8" s="6">
        <f>VLOOKUP($A8,'RES installed'!$A$2:$C$7,3,FALSE)*'[1]Profiles, RES, Winter'!R$3</f>
        <v>4.8047763457164523</v>
      </c>
      <c r="S8" s="6">
        <f>VLOOKUP($A8,'RES installed'!$A$2:$C$7,3,FALSE)*'[1]Profiles, RES, Winter'!S$3</f>
        <v>0.28430629264594387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  <row r="9" spans="1:25" x14ac:dyDescent="0.3">
      <c r="A9" s="5">
        <v>8</v>
      </c>
      <c r="B9" s="6">
        <f>VLOOKUP($A9,'RES installed'!$A$2:$C$7,3,FALSE)*'[1]Profiles, RES, Winter'!B$3</f>
        <v>0</v>
      </c>
      <c r="C9" s="6">
        <f>VLOOKUP($A9,'RES installed'!$A$2:$C$7,3,FALSE)*'[1]Profiles, RES, Winter'!C$3</f>
        <v>0</v>
      </c>
      <c r="D9" s="6">
        <f>VLOOKUP($A9,'RES installed'!$A$2:$C$7,3,FALSE)*'[1]Profiles, RES, Winter'!D$3</f>
        <v>0</v>
      </c>
      <c r="E9" s="6">
        <f>VLOOKUP($A9,'RES installed'!$A$2:$C$7,3,FALSE)*'[1]Profiles, RES, Winter'!E$3</f>
        <v>0</v>
      </c>
      <c r="F9" s="6">
        <f>VLOOKUP($A9,'RES installed'!$A$2:$C$7,3,FALSE)*'[1]Profiles, RES, Winter'!F$3</f>
        <v>0</v>
      </c>
      <c r="G9" s="6">
        <f>VLOOKUP($A9,'RES installed'!$A$2:$C$7,3,FALSE)*'[1]Profiles, RES, Winter'!G$3</f>
        <v>0</v>
      </c>
      <c r="H9" s="6">
        <f>VLOOKUP($A9,'RES installed'!$A$2:$C$7,3,FALSE)*'[1]Profiles, RES, Winter'!H$3</f>
        <v>0</v>
      </c>
      <c r="I9" s="6">
        <f>VLOOKUP($A9,'RES installed'!$A$2:$C$7,3,FALSE)*'[1]Profiles, RES, Winter'!I$3</f>
        <v>3.7907505686125852E-2</v>
      </c>
      <c r="J9" s="6">
        <f>VLOOKUP($A9,'RES installed'!$A$2:$C$7,3,FALSE)*'[1]Profiles, RES, Winter'!J$3</f>
        <v>3.2410917361637606</v>
      </c>
      <c r="K9" s="6">
        <f>VLOOKUP($A9,'RES installed'!$A$2:$C$7,3,FALSE)*'[1]Profiles, RES, Winter'!K$3</f>
        <v>11.144806671721001</v>
      </c>
      <c r="L9" s="6">
        <f>VLOOKUP($A9,'RES installed'!$A$2:$C$7,3,FALSE)*'[1]Profiles, RES, Winter'!L$3</f>
        <v>17.115238817285821</v>
      </c>
      <c r="M9" s="6">
        <f>VLOOKUP($A9,'RES installed'!$A$2:$C$7,3,FALSE)*'[1]Profiles, RES, Winter'!M$3</f>
        <v>16.982562547384383</v>
      </c>
      <c r="N9" s="6">
        <f>VLOOKUP($A9,'RES installed'!$A$2:$C$7,3,FALSE)*'[1]Profiles, RES, Winter'!N$3</f>
        <v>18.877937831690677</v>
      </c>
      <c r="O9" s="6">
        <f>VLOOKUP($A9,'RES installed'!$A$2:$C$7,3,FALSE)*'[1]Profiles, RES, Winter'!O$3</f>
        <v>18.460955269143291</v>
      </c>
      <c r="P9" s="6">
        <f>VLOOKUP($A9,'RES installed'!$A$2:$C$7,3,FALSE)*'[1]Profiles, RES, Winter'!P$3</f>
        <v>15.617892342683851</v>
      </c>
      <c r="Q9" s="6">
        <f>VLOOKUP($A9,'RES installed'!$A$2:$C$7,3,FALSE)*'[1]Profiles, RES, Winter'!Q$3</f>
        <v>10.045489006823351</v>
      </c>
      <c r="R9" s="6">
        <f>VLOOKUP($A9,'RES installed'!$A$2:$C$7,3,FALSE)*'[1]Profiles, RES, Winter'!R$3</f>
        <v>3.2031842304776346</v>
      </c>
      <c r="S9" s="6">
        <f>VLOOKUP($A9,'RES installed'!$A$2:$C$7,3,FALSE)*'[1]Profiles, RES, Winter'!S$3</f>
        <v>0.18953752843062927</v>
      </c>
      <c r="T9" s="6">
        <f>VLOOKUP($A9,'RES installed'!$A$2:$C$7,3,FALSE)*'[1]Profiles, RES, Winter'!T$3</f>
        <v>0</v>
      </c>
      <c r="U9" s="6">
        <f>VLOOKUP($A9,'RES installed'!$A$2:$C$7,3,FALSE)*'[1]Profiles, RES, Winter'!U$3</f>
        <v>0</v>
      </c>
      <c r="V9" s="6">
        <f>VLOOKUP($A9,'RES installed'!$A$2:$C$7,3,FALSE)*'[1]Profiles, RES, Winter'!V$3</f>
        <v>0</v>
      </c>
      <c r="W9" s="6">
        <f>VLOOKUP($A9,'RES installed'!$A$2:$C$7,3,FALSE)*'[1]Profiles, RES, Winter'!W$3</f>
        <v>0</v>
      </c>
      <c r="X9" s="6">
        <f>VLOOKUP($A9,'RES installed'!$A$2:$C$7,3,FALSE)*'[1]Profiles, RES, Winter'!X$3</f>
        <v>0</v>
      </c>
      <c r="Y9" s="6">
        <f>VLOOKUP($A9,'RES installed'!$A$2:$C$7,3,FALSE)*'[1]Profiles, RES, Winter'!Y$3</f>
        <v>0</v>
      </c>
    </row>
    <row r="10" spans="1:25" x14ac:dyDescent="0.3">
      <c r="A10" s="5">
        <v>9</v>
      </c>
      <c r="B10" s="6">
        <f>VLOOKUP($A10,'RES installed'!$A$2:$C$7,3,FALSE)*'[1]Profiles, RES, Winter'!B$3</f>
        <v>0</v>
      </c>
      <c r="C10" s="6">
        <f>VLOOKUP($A10,'RES installed'!$A$2:$C$7,3,FALSE)*'[1]Profiles, RES, Winter'!C$3</f>
        <v>0</v>
      </c>
      <c r="D10" s="6">
        <f>VLOOKUP($A10,'RES installed'!$A$2:$C$7,3,FALSE)*'[1]Profiles, RES, Winter'!D$3</f>
        <v>0</v>
      </c>
      <c r="E10" s="6">
        <f>VLOOKUP($A10,'RES installed'!$A$2:$C$7,3,FALSE)*'[1]Profiles, RES, Winter'!E$3</f>
        <v>0</v>
      </c>
      <c r="F10" s="6">
        <f>VLOOKUP($A10,'RES installed'!$A$2:$C$7,3,FALSE)*'[1]Profiles, RES, Winter'!F$3</f>
        <v>0</v>
      </c>
      <c r="G10" s="6">
        <f>VLOOKUP($A10,'RES installed'!$A$2:$C$7,3,FALSE)*'[1]Profiles, RES, Winter'!G$3</f>
        <v>0</v>
      </c>
      <c r="H10" s="6">
        <f>VLOOKUP($A10,'RES installed'!$A$2:$C$7,3,FALSE)*'[1]Profiles, RES, Winter'!H$3</f>
        <v>0</v>
      </c>
      <c r="I10" s="6">
        <f>VLOOKUP($A10,'RES installed'!$A$2:$C$7,3,FALSE)*'[1]Profiles, RES, Winter'!I$3</f>
        <v>4.5489006823351025E-2</v>
      </c>
      <c r="J10" s="6">
        <f>VLOOKUP($A10,'RES installed'!$A$2:$C$7,3,FALSE)*'[1]Profiles, RES, Winter'!J$3</f>
        <v>3.8893100833965129</v>
      </c>
      <c r="K10" s="6">
        <f>VLOOKUP($A10,'RES installed'!$A$2:$C$7,3,FALSE)*'[1]Profiles, RES, Winter'!K$3</f>
        <v>13.373768006065202</v>
      </c>
      <c r="L10" s="6">
        <f>VLOOKUP($A10,'RES installed'!$A$2:$C$7,3,FALSE)*'[1]Profiles, RES, Winter'!L$3</f>
        <v>20.538286580742987</v>
      </c>
      <c r="M10" s="6">
        <f>VLOOKUP($A10,'RES installed'!$A$2:$C$7,3,FALSE)*'[1]Profiles, RES, Winter'!M$3</f>
        <v>20.379075056861261</v>
      </c>
      <c r="N10" s="6">
        <f>VLOOKUP($A10,'RES installed'!$A$2:$C$7,3,FALSE)*'[1]Profiles, RES, Winter'!N$3</f>
        <v>22.653525398028808</v>
      </c>
      <c r="O10" s="6">
        <f>VLOOKUP($A10,'RES installed'!$A$2:$C$7,3,FALSE)*'[1]Profiles, RES, Winter'!O$3</f>
        <v>22.153146322971946</v>
      </c>
      <c r="P10" s="6">
        <f>VLOOKUP($A10,'RES installed'!$A$2:$C$7,3,FALSE)*'[1]Profiles, RES, Winter'!P$3</f>
        <v>18.741470811220619</v>
      </c>
      <c r="Q10" s="6">
        <f>VLOOKUP($A10,'RES installed'!$A$2:$C$7,3,FALSE)*'[1]Profiles, RES, Winter'!Q$3</f>
        <v>12.05458680818802</v>
      </c>
      <c r="R10" s="6">
        <f>VLOOKUP($A10,'RES installed'!$A$2:$C$7,3,FALSE)*'[1]Profiles, RES, Winter'!R$3</f>
        <v>3.8438210765731617</v>
      </c>
      <c r="S10" s="6">
        <f>VLOOKUP($A10,'RES installed'!$A$2:$C$7,3,FALSE)*'[1]Profiles, RES, Winter'!S$3</f>
        <v>0.22744503411675512</v>
      </c>
      <c r="T10" s="6">
        <f>VLOOKUP($A10,'RES installed'!$A$2:$C$7,3,FALSE)*'[1]Profiles, RES, Winter'!T$3</f>
        <v>0</v>
      </c>
      <c r="U10" s="6">
        <f>VLOOKUP($A10,'RES installed'!$A$2:$C$7,3,FALSE)*'[1]Profiles, RES, Winter'!U$3</f>
        <v>0</v>
      </c>
      <c r="V10" s="6">
        <f>VLOOKUP($A10,'RES installed'!$A$2:$C$7,3,FALSE)*'[1]Profiles, RES, Winter'!V$3</f>
        <v>0</v>
      </c>
      <c r="W10" s="6">
        <f>VLOOKUP($A10,'RES installed'!$A$2:$C$7,3,FALSE)*'[1]Profiles, RES, Winter'!W$3</f>
        <v>0</v>
      </c>
      <c r="X10" s="6">
        <f>VLOOKUP($A10,'RES installed'!$A$2:$C$7,3,FALSE)*'[1]Profiles, RES, Winter'!X$3</f>
        <v>0</v>
      </c>
      <c r="Y10" s="6">
        <f>VLOOKUP($A10,'RES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E82E7E-1977-4512-8AB6-AD858BA47043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Winter'!B$7</f>
        <v>22.608390204737056</v>
      </c>
      <c r="C5" s="9">
        <f>VLOOKUP($A5,'RES installed'!$A$2:$C$7,3,FALSE)*'[1]Profiles, RES, Winter'!C$7</f>
        <v>22.509032517061421</v>
      </c>
      <c r="D5" s="9">
        <f>VLOOKUP($A5,'RES installed'!$A$2:$C$7,3,FALSE)*'[1]Profiles, RES, Winter'!D$7</f>
        <v>21.939983942191891</v>
      </c>
      <c r="E5" s="9">
        <f>VLOOKUP($A5,'RES installed'!$A$2:$C$7,3,FALSE)*'[1]Profiles, RES, Winter'!E$7</f>
        <v>22.481934965877159</v>
      </c>
      <c r="F5" s="9">
        <f>VLOOKUP($A5,'RES installed'!$A$2:$C$7,3,FALSE)*'[1]Profiles, RES, Winter'!F$7</f>
        <v>21.84965877157768</v>
      </c>
      <c r="G5" s="9">
        <f>VLOOKUP($A5,'RES installed'!$A$2:$C$7,3,FALSE)*'[1]Profiles, RES, Winter'!G$7</f>
        <v>21.732236049779207</v>
      </c>
      <c r="H5" s="9">
        <f>VLOOKUP($A5,'RES installed'!$A$2:$C$7,3,FALSE)*'[1]Profiles, RES, Winter'!H$7</f>
        <v>22.518065034122841</v>
      </c>
      <c r="I5" s="9">
        <f>VLOOKUP($A5,'RES installed'!$A$2:$C$7,3,FALSE)*'[1]Profiles, RES, Winter'!I$7</f>
        <v>21.163187474909677</v>
      </c>
      <c r="J5" s="9">
        <f>VLOOKUP($A5,'RES installed'!$A$2:$C$7,3,FALSE)*'[1]Profiles, RES, Winter'!J$7</f>
        <v>19.483139301485345</v>
      </c>
      <c r="K5" s="9">
        <f>VLOOKUP($A5,'RES installed'!$A$2:$C$7,3,FALSE)*'[1]Profiles, RES, Winter'!K$7</f>
        <v>18.245684464070653</v>
      </c>
      <c r="L5" s="9">
        <f>VLOOKUP($A5,'RES installed'!$A$2:$C$7,3,FALSE)*'[1]Profiles, RES, Winter'!L$7</f>
        <v>16.502408671216379</v>
      </c>
      <c r="M5" s="9">
        <f>VLOOKUP($A5,'RES installed'!$A$2:$C$7,3,FALSE)*'[1]Profiles, RES, Winter'!M$7</f>
        <v>14.217181854676838</v>
      </c>
      <c r="N5" s="9">
        <f>VLOOKUP($A5,'RES installed'!$A$2:$C$7,3,FALSE)*'[1]Profiles, RES, Winter'!N$7</f>
        <v>12.817141710156562</v>
      </c>
      <c r="O5" s="9">
        <f>VLOOKUP($A5,'RES installed'!$A$2:$C$7,3,FALSE)*'[1]Profiles, RES, Winter'!O$7</f>
        <v>12.735849056603774</v>
      </c>
      <c r="P5" s="9">
        <f>VLOOKUP($A5,'RES installed'!$A$2:$C$7,3,FALSE)*'[1]Profiles, RES, Winter'!P$7</f>
        <v>14.452027298273785</v>
      </c>
      <c r="Q5" s="9">
        <f>VLOOKUP($A5,'RES installed'!$A$2:$C$7,3,FALSE)*'[1]Profiles, RES, Winter'!Q$7</f>
        <v>14.957848253713367</v>
      </c>
      <c r="R5" s="9">
        <f>VLOOKUP($A5,'RES installed'!$A$2:$C$7,3,FALSE)*'[1]Profiles, RES, Winter'!R$7</f>
        <v>16.538538739462066</v>
      </c>
      <c r="S5" s="9">
        <f>VLOOKUP($A5,'RES installed'!$A$2:$C$7,3,FALSE)*'[1]Profiles, RES, Winter'!S$7</f>
        <v>19.167001204335609</v>
      </c>
      <c r="T5" s="9">
        <f>VLOOKUP($A5,'RES installed'!$A$2:$C$7,3,FALSE)*'[1]Profiles, RES, Winter'!T$7</f>
        <v>20.847049377759937</v>
      </c>
      <c r="U5" s="9">
        <f>VLOOKUP($A5,'RES installed'!$A$2:$C$7,3,FALSE)*'[1]Profiles, RES, Winter'!U$7</f>
        <v>22.09353673223605</v>
      </c>
      <c r="V5" s="9">
        <f>VLOOKUP($A5,'RES installed'!$A$2:$C$7,3,FALSE)*'[1]Profiles, RES, Winter'!V$7</f>
        <v>22.274187073464471</v>
      </c>
      <c r="W5" s="9">
        <f>VLOOKUP($A5,'RES installed'!$A$2:$C$7,3,FALSE)*'[1]Profiles, RES, Winter'!W$7</f>
        <v>20.530911280610194</v>
      </c>
      <c r="X5" s="9">
        <f>VLOOKUP($A5,'RES installed'!$A$2:$C$7,3,FALSE)*'[1]Profiles, RES, Winter'!X$7</f>
        <v>18.932155760738659</v>
      </c>
      <c r="Y5" s="9">
        <f>VLOOKUP($A5,'RES installed'!$A$2:$C$7,3,FALSE)*'[1]Profiles, RES, Winter'!Y$7</f>
        <v>18.182456844640708</v>
      </c>
    </row>
    <row r="6" spans="1:25" x14ac:dyDescent="0.3">
      <c r="A6" s="8">
        <v>5</v>
      </c>
      <c r="B6" s="9">
        <f>VLOOKUP($A6,'RES installed'!$A$2:$C$7,3,FALSE)*'[1]Profiles, RES, Winter'!B$7</f>
        <v>30.144520272982739</v>
      </c>
      <c r="C6" s="9">
        <f>VLOOKUP($A6,'RES installed'!$A$2:$C$7,3,FALSE)*'[1]Profiles, RES, Winter'!C$7</f>
        <v>30.012043356081897</v>
      </c>
      <c r="D6" s="9">
        <f>VLOOKUP($A6,'RES installed'!$A$2:$C$7,3,FALSE)*'[1]Profiles, RES, Winter'!D$7</f>
        <v>29.253311922922521</v>
      </c>
      <c r="E6" s="9">
        <f>VLOOKUP($A6,'RES installed'!$A$2:$C$7,3,FALSE)*'[1]Profiles, RES, Winter'!E$7</f>
        <v>29.97591328783621</v>
      </c>
      <c r="F6" s="9">
        <f>VLOOKUP($A6,'RES installed'!$A$2:$C$7,3,FALSE)*'[1]Profiles, RES, Winter'!F$7</f>
        <v>29.132878362103575</v>
      </c>
      <c r="G6" s="9">
        <f>VLOOKUP($A6,'RES installed'!$A$2:$C$7,3,FALSE)*'[1]Profiles, RES, Winter'!G$7</f>
        <v>28.97631473303894</v>
      </c>
      <c r="H6" s="9">
        <f>VLOOKUP($A6,'RES installed'!$A$2:$C$7,3,FALSE)*'[1]Profiles, RES, Winter'!H$7</f>
        <v>30.024086712163786</v>
      </c>
      <c r="I6" s="9">
        <f>VLOOKUP($A6,'RES installed'!$A$2:$C$7,3,FALSE)*'[1]Profiles, RES, Winter'!I$7</f>
        <v>28.217583299879568</v>
      </c>
      <c r="J6" s="9">
        <f>VLOOKUP($A6,'RES installed'!$A$2:$C$7,3,FALSE)*'[1]Profiles, RES, Winter'!J$7</f>
        <v>25.977519068647126</v>
      </c>
      <c r="K6" s="9">
        <f>VLOOKUP($A6,'RES installed'!$A$2:$C$7,3,FALSE)*'[1]Profiles, RES, Winter'!K$7</f>
        <v>24.327579285427539</v>
      </c>
      <c r="L6" s="9">
        <f>VLOOKUP($A6,'RES installed'!$A$2:$C$7,3,FALSE)*'[1]Profiles, RES, Winter'!L$7</f>
        <v>22.003211561621839</v>
      </c>
      <c r="M6" s="9">
        <f>VLOOKUP($A6,'RES installed'!$A$2:$C$7,3,FALSE)*'[1]Profiles, RES, Winter'!M$7</f>
        <v>18.956242472902449</v>
      </c>
      <c r="N6" s="9">
        <f>VLOOKUP($A6,'RES installed'!$A$2:$C$7,3,FALSE)*'[1]Profiles, RES, Winter'!N$7</f>
        <v>17.089522280208751</v>
      </c>
      <c r="O6" s="9">
        <f>VLOOKUP($A6,'RES installed'!$A$2:$C$7,3,FALSE)*'[1]Profiles, RES, Winter'!O$7</f>
        <v>16.981132075471699</v>
      </c>
      <c r="P6" s="9">
        <f>VLOOKUP($A6,'RES installed'!$A$2:$C$7,3,FALSE)*'[1]Profiles, RES, Winter'!P$7</f>
        <v>19.269369731031713</v>
      </c>
      <c r="Q6" s="9">
        <f>VLOOKUP($A6,'RES installed'!$A$2:$C$7,3,FALSE)*'[1]Profiles, RES, Winter'!Q$7</f>
        <v>19.943797671617823</v>
      </c>
      <c r="R6" s="9">
        <f>VLOOKUP($A6,'RES installed'!$A$2:$C$7,3,FALSE)*'[1]Profiles, RES, Winter'!R$7</f>
        <v>22.051384985949419</v>
      </c>
      <c r="S6" s="9">
        <f>VLOOKUP($A6,'RES installed'!$A$2:$C$7,3,FALSE)*'[1]Profiles, RES, Winter'!S$7</f>
        <v>25.556001605780811</v>
      </c>
      <c r="T6" s="9">
        <f>VLOOKUP($A6,'RES installed'!$A$2:$C$7,3,FALSE)*'[1]Profiles, RES, Winter'!T$7</f>
        <v>27.796065837013249</v>
      </c>
      <c r="U6" s="9">
        <f>VLOOKUP($A6,'RES installed'!$A$2:$C$7,3,FALSE)*'[1]Profiles, RES, Winter'!U$7</f>
        <v>29.458048976314732</v>
      </c>
      <c r="V6" s="9">
        <f>VLOOKUP($A6,'RES installed'!$A$2:$C$7,3,FALSE)*'[1]Profiles, RES, Winter'!V$7</f>
        <v>29.69891609795263</v>
      </c>
      <c r="W6" s="9">
        <f>VLOOKUP($A6,'RES installed'!$A$2:$C$7,3,FALSE)*'[1]Profiles, RES, Winter'!W$7</f>
        <v>27.374548374146926</v>
      </c>
      <c r="X6" s="9">
        <f>VLOOKUP($A6,'RES installed'!$A$2:$C$7,3,FALSE)*'[1]Profiles, RES, Winter'!X$7</f>
        <v>25.242874347651544</v>
      </c>
      <c r="Y6" s="9">
        <f>VLOOKUP($A6,'RES installed'!$A$2:$C$7,3,FALSE)*'[1]Profiles, RES, Winter'!Y$7</f>
        <v>24.243275792854277</v>
      </c>
    </row>
    <row r="7" spans="1:25" x14ac:dyDescent="0.3">
      <c r="A7" s="8">
        <v>6</v>
      </c>
      <c r="B7" s="9">
        <f>VLOOKUP($A7,'RES installed'!$A$2:$C$7,3,FALSE)*'[1]Profiles, RES, Winter'!B$7</f>
        <v>22.608390204737056</v>
      </c>
      <c r="C7" s="9">
        <f>VLOOKUP($A7,'RES installed'!$A$2:$C$7,3,FALSE)*'[1]Profiles, RES, Winter'!C$7</f>
        <v>22.509032517061421</v>
      </c>
      <c r="D7" s="9">
        <f>VLOOKUP($A7,'RES installed'!$A$2:$C$7,3,FALSE)*'[1]Profiles, RES, Winter'!D$7</f>
        <v>21.939983942191891</v>
      </c>
      <c r="E7" s="9">
        <f>VLOOKUP($A7,'RES installed'!$A$2:$C$7,3,FALSE)*'[1]Profiles, RES, Winter'!E$7</f>
        <v>22.481934965877159</v>
      </c>
      <c r="F7" s="9">
        <f>VLOOKUP($A7,'RES installed'!$A$2:$C$7,3,FALSE)*'[1]Profiles, RES, Winter'!F$7</f>
        <v>21.84965877157768</v>
      </c>
      <c r="G7" s="9">
        <f>VLOOKUP($A7,'RES installed'!$A$2:$C$7,3,FALSE)*'[1]Profiles, RES, Winter'!G$7</f>
        <v>21.732236049779207</v>
      </c>
      <c r="H7" s="9">
        <f>VLOOKUP($A7,'RES installed'!$A$2:$C$7,3,FALSE)*'[1]Profiles, RES, Winter'!H$7</f>
        <v>22.518065034122841</v>
      </c>
      <c r="I7" s="9">
        <f>VLOOKUP($A7,'RES installed'!$A$2:$C$7,3,FALSE)*'[1]Profiles, RES, Winter'!I$7</f>
        <v>21.163187474909677</v>
      </c>
      <c r="J7" s="9">
        <f>VLOOKUP($A7,'RES installed'!$A$2:$C$7,3,FALSE)*'[1]Profiles, RES, Winter'!J$7</f>
        <v>19.483139301485345</v>
      </c>
      <c r="K7" s="9">
        <f>VLOOKUP($A7,'RES installed'!$A$2:$C$7,3,FALSE)*'[1]Profiles, RES, Winter'!K$7</f>
        <v>18.245684464070653</v>
      </c>
      <c r="L7" s="9">
        <f>VLOOKUP($A7,'RES installed'!$A$2:$C$7,3,FALSE)*'[1]Profiles, RES, Winter'!L$7</f>
        <v>16.502408671216379</v>
      </c>
      <c r="M7" s="9">
        <f>VLOOKUP($A7,'RES installed'!$A$2:$C$7,3,FALSE)*'[1]Profiles, RES, Winter'!M$7</f>
        <v>14.217181854676838</v>
      </c>
      <c r="N7" s="9">
        <f>VLOOKUP($A7,'RES installed'!$A$2:$C$7,3,FALSE)*'[1]Profiles, RES, Winter'!N$7</f>
        <v>12.817141710156562</v>
      </c>
      <c r="O7" s="9">
        <f>VLOOKUP($A7,'RES installed'!$A$2:$C$7,3,FALSE)*'[1]Profiles, RES, Winter'!O$7</f>
        <v>12.735849056603774</v>
      </c>
      <c r="P7" s="9">
        <f>VLOOKUP($A7,'RES installed'!$A$2:$C$7,3,FALSE)*'[1]Profiles, RES, Winter'!P$7</f>
        <v>14.452027298273785</v>
      </c>
      <c r="Q7" s="9">
        <f>VLOOKUP($A7,'RES installed'!$A$2:$C$7,3,FALSE)*'[1]Profiles, RES, Winter'!Q$7</f>
        <v>14.957848253713367</v>
      </c>
      <c r="R7" s="9">
        <f>VLOOKUP($A7,'RES installed'!$A$2:$C$7,3,FALSE)*'[1]Profiles, RES, Winter'!R$7</f>
        <v>16.538538739462066</v>
      </c>
      <c r="S7" s="9">
        <f>VLOOKUP($A7,'RES installed'!$A$2:$C$7,3,FALSE)*'[1]Profiles, RES, Winter'!S$7</f>
        <v>19.167001204335609</v>
      </c>
      <c r="T7" s="9">
        <f>VLOOKUP($A7,'RES installed'!$A$2:$C$7,3,FALSE)*'[1]Profiles, RES, Winter'!T$7</f>
        <v>20.847049377759937</v>
      </c>
      <c r="U7" s="9">
        <f>VLOOKUP($A7,'RES installed'!$A$2:$C$7,3,FALSE)*'[1]Profiles, RES, Winter'!U$7</f>
        <v>22.09353673223605</v>
      </c>
      <c r="V7" s="9">
        <f>VLOOKUP($A7,'RES installed'!$A$2:$C$7,3,FALSE)*'[1]Profiles, RES, Winter'!V$7</f>
        <v>22.274187073464471</v>
      </c>
      <c r="W7" s="9">
        <f>VLOOKUP($A7,'RES installed'!$A$2:$C$7,3,FALSE)*'[1]Profiles, RES, Winter'!W$7</f>
        <v>20.530911280610194</v>
      </c>
      <c r="X7" s="9">
        <f>VLOOKUP($A7,'RES installed'!$A$2:$C$7,3,FALSE)*'[1]Profiles, RES, Winter'!X$7</f>
        <v>18.932155760738659</v>
      </c>
      <c r="Y7" s="9">
        <f>VLOOKUP($A7,'RES installed'!$A$2:$C$7,3,FALSE)*'[1]Profiles, RES, Winter'!Y$7</f>
        <v>18.182456844640708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2.843062926459439E-2</v>
      </c>
      <c r="J8" s="6">
        <f>VLOOKUP($A8,'RES installed'!$A$2:$C$7,3,FALSE)*'[1]Profiles, RES, Winter'!J$4</f>
        <v>2.5303260045489009</v>
      </c>
      <c r="K8" s="6">
        <f>VLOOKUP($A8,'RES installed'!$A$2:$C$7,3,FALSE)*'[1]Profiles, RES, Winter'!K$4</f>
        <v>10.860500379075058</v>
      </c>
      <c r="L8" s="6">
        <f>VLOOKUP($A8,'RES installed'!$A$2:$C$7,3,FALSE)*'[1]Profiles, RES, Winter'!L$4</f>
        <v>17.911296436694464</v>
      </c>
      <c r="M8" s="6">
        <f>VLOOKUP($A8,'RES installed'!$A$2:$C$7,3,FALSE)*'[1]Profiles, RES, Winter'!M$4</f>
        <v>20.356330553449585</v>
      </c>
      <c r="N8" s="6">
        <f>VLOOKUP($A8,'RES installed'!$A$2:$C$7,3,FALSE)*'[1]Profiles, RES, Winter'!N$4</f>
        <v>19.446550416982564</v>
      </c>
      <c r="O8" s="6">
        <f>VLOOKUP($A8,'RES installed'!$A$2:$C$7,3,FALSE)*'[1]Profiles, RES, Winter'!O$4</f>
        <v>19.816148597422291</v>
      </c>
      <c r="P8" s="6">
        <f>VLOOKUP($A8,'RES installed'!$A$2:$C$7,3,FALSE)*'[1]Profiles, RES, Winter'!P$4</f>
        <v>21.436694465504171</v>
      </c>
      <c r="Q8" s="6">
        <f>VLOOKUP($A8,'RES installed'!$A$2:$C$7,3,FALSE)*'[1]Profiles, RES, Winter'!Q$4</f>
        <v>19.531842304776344</v>
      </c>
      <c r="R8" s="6">
        <f>VLOOKUP($A8,'RES installed'!$A$2:$C$7,3,FALSE)*'[1]Profiles, RES, Winter'!R$4</f>
        <v>8.8987869598180431</v>
      </c>
      <c r="S8" s="6">
        <f>VLOOKUP($A8,'RES installed'!$A$2:$C$7,3,FALSE)*'[1]Profiles, RES, Winter'!S$4</f>
        <v>0.45489006823351025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  <row r="9" spans="1:25" x14ac:dyDescent="0.3">
      <c r="A9" s="5">
        <v>8</v>
      </c>
      <c r="B9" s="6">
        <f>VLOOKUP($A9,'RES installed'!$A$2:$C$7,3,FALSE)*'[1]Profiles, RES, Winter'!B$4</f>
        <v>0</v>
      </c>
      <c r="C9" s="6">
        <f>VLOOKUP($A9,'RES installed'!$A$2:$C$7,3,FALSE)*'[1]Profiles, RES, Winter'!C$4</f>
        <v>0</v>
      </c>
      <c r="D9" s="6">
        <f>VLOOKUP($A9,'RES installed'!$A$2:$C$7,3,FALSE)*'[1]Profiles, RES, Winter'!D$4</f>
        <v>0</v>
      </c>
      <c r="E9" s="6">
        <f>VLOOKUP($A9,'RES installed'!$A$2:$C$7,3,FALSE)*'[1]Profiles, RES, Winter'!E$4</f>
        <v>0</v>
      </c>
      <c r="F9" s="6">
        <f>VLOOKUP($A9,'RES installed'!$A$2:$C$7,3,FALSE)*'[1]Profiles, RES, Winter'!F$4</f>
        <v>0</v>
      </c>
      <c r="G9" s="6">
        <f>VLOOKUP($A9,'RES installed'!$A$2:$C$7,3,FALSE)*'[1]Profiles, RES, Winter'!G$4</f>
        <v>0</v>
      </c>
      <c r="H9" s="6">
        <f>VLOOKUP($A9,'RES installed'!$A$2:$C$7,3,FALSE)*'[1]Profiles, RES, Winter'!H$4</f>
        <v>0</v>
      </c>
      <c r="I9" s="6">
        <f>VLOOKUP($A9,'RES installed'!$A$2:$C$7,3,FALSE)*'[1]Profiles, RES, Winter'!I$4</f>
        <v>1.8953752843062926E-2</v>
      </c>
      <c r="J9" s="6">
        <f>VLOOKUP($A9,'RES installed'!$A$2:$C$7,3,FALSE)*'[1]Profiles, RES, Winter'!J$4</f>
        <v>1.6868840030326004</v>
      </c>
      <c r="K9" s="6">
        <f>VLOOKUP($A9,'RES installed'!$A$2:$C$7,3,FALSE)*'[1]Profiles, RES, Winter'!K$4</f>
        <v>7.2403335860500375</v>
      </c>
      <c r="L9" s="6">
        <f>VLOOKUP($A9,'RES installed'!$A$2:$C$7,3,FALSE)*'[1]Profiles, RES, Winter'!L$4</f>
        <v>11.940864291129644</v>
      </c>
      <c r="M9" s="6">
        <f>VLOOKUP($A9,'RES installed'!$A$2:$C$7,3,FALSE)*'[1]Profiles, RES, Winter'!M$4</f>
        <v>13.570887035633056</v>
      </c>
      <c r="N9" s="6">
        <f>VLOOKUP($A9,'RES installed'!$A$2:$C$7,3,FALSE)*'[1]Profiles, RES, Winter'!N$4</f>
        <v>12.964366944655042</v>
      </c>
      <c r="O9" s="6">
        <f>VLOOKUP($A9,'RES installed'!$A$2:$C$7,3,FALSE)*'[1]Profiles, RES, Winter'!O$4</f>
        <v>13.21076573161486</v>
      </c>
      <c r="P9" s="6">
        <f>VLOOKUP($A9,'RES installed'!$A$2:$C$7,3,FALSE)*'[1]Profiles, RES, Winter'!P$4</f>
        <v>14.291129643669448</v>
      </c>
      <c r="Q9" s="6">
        <f>VLOOKUP($A9,'RES installed'!$A$2:$C$7,3,FALSE)*'[1]Profiles, RES, Winter'!Q$4</f>
        <v>13.021228203184229</v>
      </c>
      <c r="R9" s="6">
        <f>VLOOKUP($A9,'RES installed'!$A$2:$C$7,3,FALSE)*'[1]Profiles, RES, Winter'!R$4</f>
        <v>5.9325246398786957</v>
      </c>
      <c r="S9" s="6">
        <f>VLOOKUP($A9,'RES installed'!$A$2:$C$7,3,FALSE)*'[1]Profiles, RES, Winter'!S$4</f>
        <v>0.30326004548900681</v>
      </c>
      <c r="T9" s="6">
        <f>VLOOKUP($A9,'RES installed'!$A$2:$C$7,3,FALSE)*'[1]Profiles, RES, Winter'!T$4</f>
        <v>0</v>
      </c>
      <c r="U9" s="6">
        <f>VLOOKUP($A9,'RES installed'!$A$2:$C$7,3,FALSE)*'[1]Profiles, RES, Winter'!U$4</f>
        <v>0</v>
      </c>
      <c r="V9" s="6">
        <f>VLOOKUP($A9,'RES installed'!$A$2:$C$7,3,FALSE)*'[1]Profiles, RES, Winter'!V$4</f>
        <v>0</v>
      </c>
      <c r="W9" s="6">
        <f>VLOOKUP($A9,'RES installed'!$A$2:$C$7,3,FALSE)*'[1]Profiles, RES, Winter'!W$4</f>
        <v>0</v>
      </c>
      <c r="X9" s="6">
        <f>VLOOKUP($A9,'RES installed'!$A$2:$C$7,3,FALSE)*'[1]Profiles, RES, Winter'!X$4</f>
        <v>0</v>
      </c>
      <c r="Y9" s="6">
        <f>VLOOKUP($A9,'RES installed'!$A$2:$C$7,3,FALSE)*'[1]Profiles, RES, Winter'!Y$4</f>
        <v>0</v>
      </c>
    </row>
    <row r="10" spans="1:25" x14ac:dyDescent="0.3">
      <c r="A10" s="5">
        <v>9</v>
      </c>
      <c r="B10" s="6">
        <f>VLOOKUP($A10,'RES installed'!$A$2:$C$7,3,FALSE)*'[1]Profiles, RES, Winter'!B$4</f>
        <v>0</v>
      </c>
      <c r="C10" s="6">
        <f>VLOOKUP($A10,'RES installed'!$A$2:$C$7,3,FALSE)*'[1]Profiles, RES, Winter'!C$4</f>
        <v>0</v>
      </c>
      <c r="D10" s="6">
        <f>VLOOKUP($A10,'RES installed'!$A$2:$C$7,3,FALSE)*'[1]Profiles, RES, Winter'!D$4</f>
        <v>0</v>
      </c>
      <c r="E10" s="6">
        <f>VLOOKUP($A10,'RES installed'!$A$2:$C$7,3,FALSE)*'[1]Profiles, RES, Winter'!E$4</f>
        <v>0</v>
      </c>
      <c r="F10" s="6">
        <f>VLOOKUP($A10,'RES installed'!$A$2:$C$7,3,FALSE)*'[1]Profiles, RES, Winter'!F$4</f>
        <v>0</v>
      </c>
      <c r="G10" s="6">
        <f>VLOOKUP($A10,'RES installed'!$A$2:$C$7,3,FALSE)*'[1]Profiles, RES, Winter'!G$4</f>
        <v>0</v>
      </c>
      <c r="H10" s="6">
        <f>VLOOKUP($A10,'RES installed'!$A$2:$C$7,3,FALSE)*'[1]Profiles, RES, Winter'!H$4</f>
        <v>0</v>
      </c>
      <c r="I10" s="6">
        <f>VLOOKUP($A10,'RES installed'!$A$2:$C$7,3,FALSE)*'[1]Profiles, RES, Winter'!I$4</f>
        <v>2.2744503411675512E-2</v>
      </c>
      <c r="J10" s="6">
        <f>VLOOKUP($A10,'RES installed'!$A$2:$C$7,3,FALSE)*'[1]Profiles, RES, Winter'!J$4</f>
        <v>2.0242608036391205</v>
      </c>
      <c r="K10" s="6">
        <f>VLOOKUP($A10,'RES installed'!$A$2:$C$7,3,FALSE)*'[1]Profiles, RES, Winter'!K$4</f>
        <v>8.6884003032600461</v>
      </c>
      <c r="L10" s="6">
        <f>VLOOKUP($A10,'RES installed'!$A$2:$C$7,3,FALSE)*'[1]Profiles, RES, Winter'!L$4</f>
        <v>14.329037149355573</v>
      </c>
      <c r="M10" s="6">
        <f>VLOOKUP($A10,'RES installed'!$A$2:$C$7,3,FALSE)*'[1]Profiles, RES, Winter'!M$4</f>
        <v>16.285064442759666</v>
      </c>
      <c r="N10" s="6">
        <f>VLOOKUP($A10,'RES installed'!$A$2:$C$7,3,FALSE)*'[1]Profiles, RES, Winter'!N$4</f>
        <v>15.557240333586051</v>
      </c>
      <c r="O10" s="6">
        <f>VLOOKUP($A10,'RES installed'!$A$2:$C$7,3,FALSE)*'[1]Profiles, RES, Winter'!O$4</f>
        <v>15.852918877937832</v>
      </c>
      <c r="P10" s="6">
        <f>VLOOKUP($A10,'RES installed'!$A$2:$C$7,3,FALSE)*'[1]Profiles, RES, Winter'!P$4</f>
        <v>17.149355572403337</v>
      </c>
      <c r="Q10" s="6">
        <f>VLOOKUP($A10,'RES installed'!$A$2:$C$7,3,FALSE)*'[1]Profiles, RES, Winter'!Q$4</f>
        <v>15.625473843821075</v>
      </c>
      <c r="R10" s="6">
        <f>VLOOKUP($A10,'RES installed'!$A$2:$C$7,3,FALSE)*'[1]Profiles, RES, Winter'!R$4</f>
        <v>7.1190295678544349</v>
      </c>
      <c r="S10" s="6">
        <f>VLOOKUP($A10,'RES installed'!$A$2:$C$7,3,FALSE)*'[1]Profiles, RES, Winter'!S$4</f>
        <v>0.3639120545868082</v>
      </c>
      <c r="T10" s="6">
        <f>VLOOKUP($A10,'RES installed'!$A$2:$C$7,3,FALSE)*'[1]Profiles, RES, Winter'!T$4</f>
        <v>0</v>
      </c>
      <c r="U10" s="6">
        <f>VLOOKUP($A10,'RES installed'!$A$2:$C$7,3,FALSE)*'[1]Profiles, RES, Winter'!U$4</f>
        <v>0</v>
      </c>
      <c r="V10" s="6">
        <f>VLOOKUP($A10,'RES installed'!$A$2:$C$7,3,FALSE)*'[1]Profiles, RES, Winter'!V$4</f>
        <v>0</v>
      </c>
      <c r="W10" s="6">
        <f>VLOOKUP($A10,'RES installed'!$A$2:$C$7,3,FALSE)*'[1]Profiles, RES, Winter'!W$4</f>
        <v>0</v>
      </c>
      <c r="X10" s="6">
        <f>VLOOKUP($A10,'RES installed'!$A$2:$C$7,3,FALSE)*'[1]Profiles, RES, Winter'!X$4</f>
        <v>0</v>
      </c>
      <c r="Y10" s="6">
        <f>VLOOKUP($A10,'RES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D7102-EAD2-4881-BDED-A03D641C897B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3DA2B-5C0A-41B9-AFED-50FD25D0560C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E2395-DF57-4936-A586-D22BA6207182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E30A9-1751-4885-858B-66E541C25255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A0EC6-19FC-4B33-8444-28B5BC6963F7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F5041-3FFB-46CC-92F3-30F59F131FBC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F275A-B89F-4DBC-8FFA-13ABE3788667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2C341-4C98-40DD-BA66-59D6B3BA9EB2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8F0A7-505F-4E22-8E0E-426325E5C323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CD27A-91A8-4D31-B70E-255219E25912}">
  <dimension ref="A1:Y10"/>
  <sheetViews>
    <sheetView workbookViewId="0">
      <selection activeCell="O2" sqref="L2:O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0</v>
      </c>
      <c r="M2">
        <v>0</v>
      </c>
      <c r="N2">
        <v>0</v>
      </c>
      <c r="O2">
        <v>0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</row>
    <row r="4" spans="1:25" x14ac:dyDescent="0.3">
      <c r="A4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8">
        <v>5</v>
      </c>
      <c r="B6" s="8">
        <v>1</v>
      </c>
      <c r="C6" s="8">
        <v>1</v>
      </c>
      <c r="D6" s="8">
        <v>1</v>
      </c>
      <c r="E6" s="8">
        <v>1</v>
      </c>
      <c r="F6" s="8">
        <v>1</v>
      </c>
      <c r="G6" s="8">
        <v>1</v>
      </c>
      <c r="H6" s="8">
        <v>1</v>
      </c>
      <c r="I6" s="8">
        <v>1</v>
      </c>
      <c r="J6" s="8">
        <v>1</v>
      </c>
      <c r="K6" s="8">
        <v>1</v>
      </c>
      <c r="L6" s="8">
        <v>1</v>
      </c>
      <c r="M6" s="8">
        <v>1</v>
      </c>
      <c r="N6" s="8">
        <v>1</v>
      </c>
      <c r="O6" s="8">
        <v>1</v>
      </c>
      <c r="P6" s="8">
        <v>1</v>
      </c>
      <c r="Q6" s="8">
        <v>1</v>
      </c>
      <c r="R6" s="8">
        <v>1</v>
      </c>
      <c r="S6" s="8">
        <v>1</v>
      </c>
      <c r="T6" s="8">
        <v>1</v>
      </c>
      <c r="U6" s="8">
        <v>1</v>
      </c>
      <c r="V6" s="8">
        <v>1</v>
      </c>
      <c r="W6" s="8">
        <v>1</v>
      </c>
      <c r="X6" s="8">
        <v>1</v>
      </c>
      <c r="Y6" s="8">
        <v>1</v>
      </c>
    </row>
    <row r="7" spans="1:25" x14ac:dyDescent="0.3">
      <c r="A7" s="8">
        <v>6</v>
      </c>
      <c r="B7" s="8">
        <v>1</v>
      </c>
      <c r="C7" s="8">
        <v>1</v>
      </c>
      <c r="D7" s="8">
        <v>1</v>
      </c>
      <c r="E7" s="8">
        <v>1</v>
      </c>
      <c r="F7" s="8">
        <v>1</v>
      </c>
      <c r="G7" s="8">
        <v>1</v>
      </c>
      <c r="H7" s="8">
        <v>1</v>
      </c>
      <c r="I7" s="8">
        <v>1</v>
      </c>
      <c r="J7" s="8">
        <v>1</v>
      </c>
      <c r="K7" s="8">
        <v>1</v>
      </c>
      <c r="L7" s="8">
        <v>1</v>
      </c>
      <c r="M7" s="8">
        <v>1</v>
      </c>
      <c r="N7" s="8">
        <v>1</v>
      </c>
      <c r="O7" s="8">
        <v>1</v>
      </c>
      <c r="P7" s="8">
        <v>1</v>
      </c>
      <c r="Q7" s="8">
        <v>1</v>
      </c>
      <c r="R7" s="8">
        <v>1</v>
      </c>
      <c r="S7" s="8">
        <v>1</v>
      </c>
      <c r="T7" s="8">
        <v>1</v>
      </c>
      <c r="U7" s="8">
        <v>1</v>
      </c>
      <c r="V7" s="8">
        <v>1</v>
      </c>
      <c r="W7" s="8">
        <v>1</v>
      </c>
      <c r="X7" s="8">
        <v>1</v>
      </c>
      <c r="Y7" s="8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  <row r="9" spans="1:25" x14ac:dyDescent="0.3">
      <c r="A9" s="5">
        <v>8</v>
      </c>
      <c r="B9" s="5">
        <v>1</v>
      </c>
      <c r="C9" s="5">
        <v>1</v>
      </c>
      <c r="D9" s="5">
        <v>1</v>
      </c>
      <c r="E9" s="5">
        <v>1</v>
      </c>
      <c r="F9" s="5">
        <v>1</v>
      </c>
      <c r="G9" s="5">
        <v>1</v>
      </c>
      <c r="H9" s="5">
        <v>1</v>
      </c>
      <c r="I9" s="5">
        <v>1</v>
      </c>
      <c r="J9" s="5">
        <v>1</v>
      </c>
      <c r="K9" s="5">
        <v>1</v>
      </c>
      <c r="L9" s="5">
        <v>1</v>
      </c>
      <c r="M9" s="5">
        <v>1</v>
      </c>
      <c r="N9" s="5">
        <v>1</v>
      </c>
      <c r="O9" s="5">
        <v>1</v>
      </c>
      <c r="P9" s="5">
        <v>1</v>
      </c>
      <c r="Q9" s="5">
        <v>1</v>
      </c>
      <c r="R9" s="5">
        <v>1</v>
      </c>
      <c r="S9" s="5">
        <v>1</v>
      </c>
      <c r="T9" s="5">
        <v>1</v>
      </c>
      <c r="U9" s="5">
        <v>1</v>
      </c>
      <c r="V9" s="5">
        <v>1</v>
      </c>
      <c r="W9" s="5">
        <v>1</v>
      </c>
      <c r="X9" s="5">
        <v>1</v>
      </c>
      <c r="Y9" s="5">
        <v>1</v>
      </c>
    </row>
    <row r="10" spans="1:25" x14ac:dyDescent="0.3">
      <c r="A10" s="5">
        <v>9</v>
      </c>
      <c r="B10" s="5">
        <v>1</v>
      </c>
      <c r="C10" s="5">
        <v>1</v>
      </c>
      <c r="D10" s="5">
        <v>1</v>
      </c>
      <c r="E10" s="5">
        <v>1</v>
      </c>
      <c r="F10" s="5">
        <v>1</v>
      </c>
      <c r="G10" s="5">
        <v>1</v>
      </c>
      <c r="H10" s="5">
        <v>1</v>
      </c>
      <c r="I10" s="5">
        <v>1</v>
      </c>
      <c r="J10" s="5">
        <v>1</v>
      </c>
      <c r="K10" s="5">
        <v>1</v>
      </c>
      <c r="L10" s="5">
        <v>1</v>
      </c>
      <c r="M10" s="5">
        <v>1</v>
      </c>
      <c r="N10" s="5">
        <v>1</v>
      </c>
      <c r="O10" s="5">
        <v>1</v>
      </c>
      <c r="P10" s="5">
        <v>1</v>
      </c>
      <c r="Q10" s="5">
        <v>1</v>
      </c>
      <c r="R10" s="5">
        <v>1</v>
      </c>
      <c r="S10" s="5">
        <v>1</v>
      </c>
      <c r="T10" s="5">
        <v>1</v>
      </c>
      <c r="U10" s="5">
        <v>1</v>
      </c>
      <c r="V10" s="5">
        <v>1</v>
      </c>
      <c r="W10" s="5">
        <v>1</v>
      </c>
      <c r="X10" s="5">
        <v>1</v>
      </c>
      <c r="Y10" s="5">
        <v>1</v>
      </c>
    </row>
  </sheetData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082E8-6F48-4FD6-B495-96CE5FAE95CC}">
  <dimension ref="A1:Y28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Ratio'!$A$3:$B$10,2,FALSE),0)*'FL Characterization'!B$2)</f>
        <v>34.60172408561111</v>
      </c>
      <c r="C2" s="2">
        <f>('[1]Pc, Spring, S1'!C2*Main!$B$5)+(_xlfn.IFNA(VLOOKUP($A2,'FL Ratio'!$A$3:$B$10,2,FALSE),0)*'FL Characterization'!C$2)</f>
        <v>30.933809155786044</v>
      </c>
      <c r="D2" s="2">
        <f>('[1]Pc, Spring, S1'!D2*Main!$B$5)+(_xlfn.IFNA(VLOOKUP($A2,'FL Ratio'!$A$3:$B$10,2,FALSE),0)*'FL Characterization'!D$2)</f>
        <v>29.502073110863464</v>
      </c>
      <c r="E2" s="2">
        <f>('[1]Pc, Spring, S1'!E2*Main!$B$5)+(_xlfn.IFNA(VLOOKUP($A2,'FL Ratio'!$A$3:$B$10,2,FALSE),0)*'FL Characterization'!E$2)</f>
        <v>29.434217506797303</v>
      </c>
      <c r="F2" s="2">
        <f>('[1]Pc, Spring, S1'!F2*Main!$B$5)+(_xlfn.IFNA(VLOOKUP($A2,'FL Ratio'!$A$3:$B$10,2,FALSE),0)*'FL Characterization'!F$2)</f>
        <v>29.069865732734872</v>
      </c>
      <c r="G2" s="2">
        <f>('[1]Pc, Spring, S1'!G2*Main!$B$5)+(_xlfn.IFNA(VLOOKUP($A2,'FL Ratio'!$A$3:$B$10,2,FALSE),0)*'FL Characterization'!G$2)</f>
        <v>30.377883294255323</v>
      </c>
      <c r="H2" s="2">
        <f>('[1]Pc, Spring, S1'!H2*Main!$B$5)+(_xlfn.IFNA(VLOOKUP($A2,'FL Ratio'!$A$3:$B$10,2,FALSE),0)*'FL Characterization'!H$2)</f>
        <v>34.167754468414053</v>
      </c>
      <c r="I2" s="2">
        <f>('[1]Pc, Spring, S1'!I2*Main!$B$5)+(_xlfn.IFNA(VLOOKUP($A2,'FL Ratio'!$A$3:$B$10,2,FALSE),0)*'FL Characterization'!I$2)</f>
        <v>42.645100044697962</v>
      </c>
      <c r="J2" s="2">
        <f>('[1]Pc, Spring, S1'!J2*Main!$B$5)+(_xlfn.IFNA(VLOOKUP($A2,'FL Ratio'!$A$3:$B$10,2,FALSE),0)*'FL Characterization'!J$2)</f>
        <v>45.704008202165966</v>
      </c>
      <c r="K2" s="2">
        <f>('[1]Pc, Spring, S1'!K2*Main!$B$5)+(_xlfn.IFNA(VLOOKUP($A2,'FL Ratio'!$A$3:$B$10,2,FALSE),0)*'FL Characterization'!K$2)</f>
        <v>47.889729432401211</v>
      </c>
      <c r="L2" s="2">
        <f>('[1]Pc, Spring, S1'!L2*Main!$B$5)+(_xlfn.IFNA(VLOOKUP($A2,'FL Ratio'!$A$3:$B$10,2,FALSE),0)*'FL Characterization'!L$2)</f>
        <v>49.473139464993309</v>
      </c>
      <c r="M2" s="2">
        <f>('[1]Pc, Spring, S1'!M2*Main!$B$5)+(_xlfn.IFNA(VLOOKUP($A2,'FL Ratio'!$A$3:$B$10,2,FALSE),0)*'FL Characterization'!M$2)</f>
        <v>48.167429819039988</v>
      </c>
      <c r="N2" s="2">
        <f>('[1]Pc, Spring, S1'!N2*Main!$B$5)+(_xlfn.IFNA(VLOOKUP($A2,'FL Ratio'!$A$3:$B$10,2,FALSE),0)*'FL Characterization'!N$2)</f>
        <v>48.928020982966451</v>
      </c>
      <c r="O2" s="2">
        <f>('[1]Pc, Spring, S1'!O2*Main!$B$5)+(_xlfn.IFNA(VLOOKUP($A2,'FL Ratio'!$A$3:$B$10,2,FALSE),0)*'FL Characterization'!O$2)</f>
        <v>49.912490701632798</v>
      </c>
      <c r="P2" s="2">
        <f>('[1]Pc, Spring, S1'!P2*Main!$B$5)+(_xlfn.IFNA(VLOOKUP($A2,'FL Ratio'!$A$3:$B$10,2,FALSE),0)*'FL Characterization'!P$2)</f>
        <v>45.834288405402496</v>
      </c>
      <c r="Q2" s="2">
        <f>('[1]Pc, Spring, S1'!Q2*Main!$B$5)+(_xlfn.IFNA(VLOOKUP($A2,'FL Ratio'!$A$3:$B$10,2,FALSE),0)*'FL Characterization'!Q$2)</f>
        <v>42.29280033312768</v>
      </c>
      <c r="R2" s="2">
        <f>('[1]Pc, Spring, S1'!R2*Main!$B$5)+(_xlfn.IFNA(VLOOKUP($A2,'FL Ratio'!$A$3:$B$10,2,FALSE),0)*'FL Characterization'!R$2)</f>
        <v>43.891419704346681</v>
      </c>
      <c r="S2" s="2">
        <f>('[1]Pc, Spring, S1'!S2*Main!$B$5)+(_xlfn.IFNA(VLOOKUP($A2,'FL Ratio'!$A$3:$B$10,2,FALSE),0)*'FL Characterization'!S$2)</f>
        <v>46.130328194713364</v>
      </c>
      <c r="T2" s="2">
        <f>('[1]Pc, Spring, S1'!T2*Main!$B$5)+(_xlfn.IFNA(VLOOKUP($A2,'FL Ratio'!$A$3:$B$10,2,FALSE),0)*'FL Characterization'!T$2)</f>
        <v>48.889692733462574</v>
      </c>
      <c r="U2" s="2">
        <f>('[1]Pc, Spring, S1'!U2*Main!$B$5)+(_xlfn.IFNA(VLOOKUP($A2,'FL Ratio'!$A$3:$B$10,2,FALSE),0)*'FL Characterization'!U$2)</f>
        <v>48.03239360560594</v>
      </c>
      <c r="V2" s="2">
        <f>('[1]Pc, Spring, S1'!V2*Main!$B$5)+(_xlfn.IFNA(VLOOKUP($A2,'FL Ratio'!$A$3:$B$10,2,FALSE),0)*'FL Characterization'!V$2)</f>
        <v>46.273582622205666</v>
      </c>
      <c r="W2" s="2">
        <f>('[1]Pc, Spring, S1'!W2*Main!$B$5)+(_xlfn.IFNA(VLOOKUP($A2,'FL Ratio'!$A$3:$B$10,2,FALSE),0)*'FL Characterization'!W$2)</f>
        <v>47.956721951847214</v>
      </c>
      <c r="X2" s="2">
        <f>('[1]Pc, Spring, S1'!X2*Main!$B$5)+(_xlfn.IFNA(VLOOKUP($A2,'FL Ratio'!$A$3:$B$10,2,FALSE),0)*'FL Characterization'!X$2)</f>
        <v>40.183823199325708</v>
      </c>
      <c r="Y2" s="2">
        <f>('[1]Pc, Spring, S1'!Y2*Main!$B$5)+(_xlfn.IFNA(VLOOKUP($A2,'FL Ratio'!$A$3:$B$10,2,FALSE),0)*'FL Characterization'!Y$2)</f>
        <v>40.349730023809187</v>
      </c>
    </row>
    <row r="3" spans="1:25" x14ac:dyDescent="0.3">
      <c r="A3">
        <v>2</v>
      </c>
      <c r="B3" s="2">
        <f>('[1]Pc, Spring, S1'!B3*Main!$B$5)+(_xlfn.IFNA(VLOOKUP($A3,'FL Ratio'!$A$3:$B$10,2,FALSE),0)*'FL Characterization'!B$2)</f>
        <v>35.896857071969876</v>
      </c>
      <c r="C3" s="2">
        <f>('[1]Pc, Spring, S1'!C3*Main!$B$5)+(_xlfn.IFNA(VLOOKUP($A3,'FL Ratio'!$A$3:$B$10,2,FALSE),0)*'FL Characterization'!C$2)</f>
        <v>34.833642398648792</v>
      </c>
      <c r="D3" s="2">
        <f>('[1]Pc, Spring, S1'!D3*Main!$B$5)+(_xlfn.IFNA(VLOOKUP($A3,'FL Ratio'!$A$3:$B$10,2,FALSE),0)*'FL Characterization'!D$2)</f>
        <v>31.278839272454313</v>
      </c>
      <c r="E3" s="2">
        <f>('[1]Pc, Spring, S1'!E3*Main!$B$5)+(_xlfn.IFNA(VLOOKUP($A3,'FL Ratio'!$A$3:$B$10,2,FALSE),0)*'FL Characterization'!E$2)</f>
        <v>32.246646442181209</v>
      </c>
      <c r="F3" s="2">
        <f>('[1]Pc, Spring, S1'!F3*Main!$B$5)+(_xlfn.IFNA(VLOOKUP($A3,'FL Ratio'!$A$3:$B$10,2,FALSE),0)*'FL Characterization'!F$2)</f>
        <v>30.849609968925474</v>
      </c>
      <c r="G3" s="2">
        <f>('[1]Pc, Spring, S1'!G3*Main!$B$5)+(_xlfn.IFNA(VLOOKUP($A3,'FL Ratio'!$A$3:$B$10,2,FALSE),0)*'FL Characterization'!G$2)</f>
        <v>33.773775511836369</v>
      </c>
      <c r="H3" s="2">
        <f>('[1]Pc, Spring, S1'!H3*Main!$B$5)+(_xlfn.IFNA(VLOOKUP($A3,'FL Ratio'!$A$3:$B$10,2,FALSE),0)*'FL Characterization'!H$2)</f>
        <v>43.901203832760828</v>
      </c>
      <c r="I3" s="2">
        <f>('[1]Pc, Spring, S1'!I3*Main!$B$5)+(_xlfn.IFNA(VLOOKUP($A3,'FL Ratio'!$A$3:$B$10,2,FALSE),0)*'FL Characterization'!I$2)</f>
        <v>49.961822577244668</v>
      </c>
      <c r="J3" s="2">
        <f>('[1]Pc, Spring, S1'!J3*Main!$B$5)+(_xlfn.IFNA(VLOOKUP($A3,'FL Ratio'!$A$3:$B$10,2,FALSE),0)*'FL Characterization'!J$2)</f>
        <v>54.224998106466266</v>
      </c>
      <c r="K3" s="2">
        <f>('[1]Pc, Spring, S1'!K3*Main!$B$5)+(_xlfn.IFNA(VLOOKUP($A3,'FL Ratio'!$A$3:$B$10,2,FALSE),0)*'FL Characterization'!K$2)</f>
        <v>52.823396679713184</v>
      </c>
      <c r="L3" s="2">
        <f>('[1]Pc, Spring, S1'!L3*Main!$B$5)+(_xlfn.IFNA(VLOOKUP($A3,'FL Ratio'!$A$3:$B$10,2,FALSE),0)*'FL Characterization'!L$2)</f>
        <v>49.729556087612444</v>
      </c>
      <c r="M3" s="2">
        <f>('[1]Pc, Spring, S1'!M3*Main!$B$5)+(_xlfn.IFNA(VLOOKUP($A3,'FL Ratio'!$A$3:$B$10,2,FALSE),0)*'FL Characterization'!M$2)</f>
        <v>54.275102270848947</v>
      </c>
      <c r="N3" s="2">
        <f>('[1]Pc, Spring, S1'!N3*Main!$B$5)+(_xlfn.IFNA(VLOOKUP($A3,'FL Ratio'!$A$3:$B$10,2,FALSE),0)*'FL Characterization'!N$2)</f>
        <v>52.392244646195792</v>
      </c>
      <c r="O3" s="2">
        <f>('[1]Pc, Spring, S1'!O3*Main!$B$5)+(_xlfn.IFNA(VLOOKUP($A3,'FL Ratio'!$A$3:$B$10,2,FALSE),0)*'FL Characterization'!O$2)</f>
        <v>50.646919747020661</v>
      </c>
      <c r="P3" s="2">
        <f>('[1]Pc, Spring, S1'!P3*Main!$B$5)+(_xlfn.IFNA(VLOOKUP($A3,'FL Ratio'!$A$3:$B$10,2,FALSE),0)*'FL Characterization'!P$2)</f>
        <v>49.961035094066233</v>
      </c>
      <c r="Q3" s="2">
        <f>('[1]Pc, Spring, S1'!Q3*Main!$B$5)+(_xlfn.IFNA(VLOOKUP($A3,'FL Ratio'!$A$3:$B$10,2,FALSE),0)*'FL Characterization'!Q$2)</f>
        <v>47.966325008205146</v>
      </c>
      <c r="R3" s="2">
        <f>('[1]Pc, Spring, S1'!R3*Main!$B$5)+(_xlfn.IFNA(VLOOKUP($A3,'FL Ratio'!$A$3:$B$10,2,FALSE),0)*'FL Characterization'!R$2)</f>
        <v>44.254307501679897</v>
      </c>
      <c r="S3" s="2">
        <f>('[1]Pc, Spring, S1'!S3*Main!$B$5)+(_xlfn.IFNA(VLOOKUP($A3,'FL Ratio'!$A$3:$B$10,2,FALSE),0)*'FL Characterization'!S$2)</f>
        <v>48.887229477974451</v>
      </c>
      <c r="T3" s="2">
        <f>('[1]Pc, Spring, S1'!T3*Main!$B$5)+(_xlfn.IFNA(VLOOKUP($A3,'FL Ratio'!$A$3:$B$10,2,FALSE),0)*'FL Characterization'!T$2)</f>
        <v>48.669012946546253</v>
      </c>
      <c r="U3" s="2">
        <f>('[1]Pc, Spring, S1'!U3*Main!$B$5)+(_xlfn.IFNA(VLOOKUP($A3,'FL Ratio'!$A$3:$B$10,2,FALSE),0)*'FL Characterization'!U$2)</f>
        <v>47.186754226656831</v>
      </c>
      <c r="V3" s="2">
        <f>('[1]Pc, Spring, S1'!V3*Main!$B$5)+(_xlfn.IFNA(VLOOKUP($A3,'FL Ratio'!$A$3:$B$10,2,FALSE),0)*'FL Characterization'!V$2)</f>
        <v>45.35774009373106</v>
      </c>
      <c r="W3" s="2">
        <f>('[1]Pc, Spring, S1'!W3*Main!$B$5)+(_xlfn.IFNA(VLOOKUP($A3,'FL Ratio'!$A$3:$B$10,2,FALSE),0)*'FL Characterization'!W$2)</f>
        <v>44.44472235390856</v>
      </c>
      <c r="X3" s="2">
        <f>('[1]Pc, Spring, S1'!X3*Main!$B$5)+(_xlfn.IFNA(VLOOKUP($A3,'FL Ratio'!$A$3:$B$10,2,FALSE),0)*'FL Characterization'!X$2)</f>
        <v>42.351865563838118</v>
      </c>
      <c r="Y3" s="2">
        <f>('[1]Pc, Spring, S1'!Y3*Main!$B$5)+(_xlfn.IFNA(VLOOKUP($A3,'FL Ratio'!$A$3:$B$10,2,FALSE),0)*'FL Characterization'!Y$2)</f>
        <v>39.727459762024111</v>
      </c>
    </row>
    <row r="4" spans="1:25" x14ac:dyDescent="0.3">
      <c r="A4">
        <v>3</v>
      </c>
      <c r="B4" s="2">
        <f>('[1]Pc, Spring, S1'!B4*Main!$B$5)+(_xlfn.IFNA(VLOOKUP($A4,'FL Ratio'!$A$3:$B$10,2,FALSE),0)*'FL Characterization'!B$2)</f>
        <v>48.972783402536301</v>
      </c>
      <c r="C4" s="2">
        <f>('[1]Pc, Spring, S1'!C4*Main!$B$5)+(_xlfn.IFNA(VLOOKUP($A4,'FL Ratio'!$A$3:$B$10,2,FALSE),0)*'FL Characterization'!C$2)</f>
        <v>43.022874535141746</v>
      </c>
      <c r="D4" s="2">
        <f>('[1]Pc, Spring, S1'!D4*Main!$B$5)+(_xlfn.IFNA(VLOOKUP($A4,'FL Ratio'!$A$3:$B$10,2,FALSE),0)*'FL Characterization'!D$2)</f>
        <v>43.106816707932211</v>
      </c>
      <c r="E4" s="2">
        <f>('[1]Pc, Spring, S1'!E4*Main!$B$5)+(_xlfn.IFNA(VLOOKUP($A4,'FL Ratio'!$A$3:$B$10,2,FALSE),0)*'FL Characterization'!E$2)</f>
        <v>39.746503035421547</v>
      </c>
      <c r="F4" s="2">
        <f>('[1]Pc, Spring, S1'!F4*Main!$B$5)+(_xlfn.IFNA(VLOOKUP($A4,'FL Ratio'!$A$3:$B$10,2,FALSE),0)*'FL Characterization'!F$2)</f>
        <v>41.89162123383278</v>
      </c>
      <c r="G4" s="2">
        <f>('[1]Pc, Spring, S1'!G4*Main!$B$5)+(_xlfn.IFNA(VLOOKUP($A4,'FL Ratio'!$A$3:$B$10,2,FALSE),0)*'FL Characterization'!G$2)</f>
        <v>41.06025350968563</v>
      </c>
      <c r="H4" s="2">
        <f>('[1]Pc, Spring, S1'!H4*Main!$B$5)+(_xlfn.IFNA(VLOOKUP($A4,'FL Ratio'!$A$3:$B$10,2,FALSE),0)*'FL Characterization'!H$2)</f>
        <v>48.077864798218371</v>
      </c>
      <c r="I4" s="2">
        <f>('[1]Pc, Spring, S1'!I4*Main!$B$5)+(_xlfn.IFNA(VLOOKUP($A4,'FL Ratio'!$A$3:$B$10,2,FALSE),0)*'FL Characterization'!I$2)</f>
        <v>51.740901985803269</v>
      </c>
      <c r="J4" s="2">
        <f>('[1]Pc, Spring, S1'!J4*Main!$B$5)+(_xlfn.IFNA(VLOOKUP($A4,'FL Ratio'!$A$3:$B$10,2,FALSE),0)*'FL Characterization'!J$2)</f>
        <v>59.772773186996424</v>
      </c>
      <c r="K4" s="2">
        <f>('[1]Pc, Spring, S1'!K4*Main!$B$5)+(_xlfn.IFNA(VLOOKUP($A4,'FL Ratio'!$A$3:$B$10,2,FALSE),0)*'FL Characterization'!K$2)</f>
        <v>61.447814022150212</v>
      </c>
      <c r="L4" s="2">
        <f>('[1]Pc, Spring, S1'!L4*Main!$B$5)+(_xlfn.IFNA(VLOOKUP($A4,'FL Ratio'!$A$3:$B$10,2,FALSE),0)*'FL Characterization'!L$2)</f>
        <v>63.481119325455744</v>
      </c>
      <c r="M4" s="2">
        <f>('[1]Pc, Spring, S1'!M4*Main!$B$5)+(_xlfn.IFNA(VLOOKUP($A4,'FL Ratio'!$A$3:$B$10,2,FALSE),0)*'FL Characterization'!M$2)</f>
        <v>66.998556939680427</v>
      </c>
      <c r="N4" s="2">
        <f>('[1]Pc, Spring, S1'!N4*Main!$B$5)+(_xlfn.IFNA(VLOOKUP($A4,'FL Ratio'!$A$3:$B$10,2,FALSE),0)*'FL Characterization'!N$2)</f>
        <v>67.606112403814095</v>
      </c>
      <c r="O4" s="2">
        <f>('[1]Pc, Spring, S1'!O4*Main!$B$5)+(_xlfn.IFNA(VLOOKUP($A4,'FL Ratio'!$A$3:$B$10,2,FALSE),0)*'FL Characterization'!O$2)</f>
        <v>67.485698485391154</v>
      </c>
      <c r="P4" s="2">
        <f>('[1]Pc, Spring, S1'!P4*Main!$B$5)+(_xlfn.IFNA(VLOOKUP($A4,'FL Ratio'!$A$3:$B$10,2,FALSE),0)*'FL Characterization'!P$2)</f>
        <v>63.81963675664926</v>
      </c>
      <c r="Q4" s="2">
        <f>('[1]Pc, Spring, S1'!Q4*Main!$B$5)+(_xlfn.IFNA(VLOOKUP($A4,'FL Ratio'!$A$3:$B$10,2,FALSE),0)*'FL Characterization'!Q$2)</f>
        <v>64.4581314317264</v>
      </c>
      <c r="R4" s="2">
        <f>('[1]Pc, Spring, S1'!R4*Main!$B$5)+(_xlfn.IFNA(VLOOKUP($A4,'FL Ratio'!$A$3:$B$10,2,FALSE),0)*'FL Characterization'!R$2)</f>
        <v>63.816469430047412</v>
      </c>
      <c r="S4" s="2">
        <f>('[1]Pc, Spring, S1'!S4*Main!$B$5)+(_xlfn.IFNA(VLOOKUP($A4,'FL Ratio'!$A$3:$B$10,2,FALSE),0)*'FL Characterization'!S$2)</f>
        <v>66.377728340169611</v>
      </c>
      <c r="T4" s="2">
        <f>('[1]Pc, Spring, S1'!T4*Main!$B$5)+(_xlfn.IFNA(VLOOKUP($A4,'FL Ratio'!$A$3:$B$10,2,FALSE),0)*'FL Characterization'!T$2)</f>
        <v>65.901263178100777</v>
      </c>
      <c r="U4" s="2">
        <f>('[1]Pc, Spring, S1'!U4*Main!$B$5)+(_xlfn.IFNA(VLOOKUP($A4,'FL Ratio'!$A$3:$B$10,2,FALSE),0)*'FL Characterization'!U$2)</f>
        <v>64.393773531523095</v>
      </c>
      <c r="V4" s="2">
        <f>('[1]Pc, Spring, S1'!V4*Main!$B$5)+(_xlfn.IFNA(VLOOKUP($A4,'FL Ratio'!$A$3:$B$10,2,FALSE),0)*'FL Characterization'!V$2)</f>
        <v>63.113096958595513</v>
      </c>
      <c r="W4" s="2">
        <f>('[1]Pc, Spring, S1'!W4*Main!$B$5)+(_xlfn.IFNA(VLOOKUP($A4,'FL Ratio'!$A$3:$B$10,2,FALSE),0)*'FL Characterization'!W$2)</f>
        <v>65.856342257551589</v>
      </c>
      <c r="X4" s="2">
        <f>('[1]Pc, Spring, S1'!X4*Main!$B$5)+(_xlfn.IFNA(VLOOKUP($A4,'FL Ratio'!$A$3:$B$10,2,FALSE),0)*'FL Characterization'!X$2)</f>
        <v>61.964631291451497</v>
      </c>
      <c r="Y4" s="2">
        <f>('[1]Pc, Spring, S1'!Y4*Main!$B$5)+(_xlfn.IFNA(VLOOKUP($A4,'FL Ratio'!$A$3:$B$10,2,FALSE),0)*'FL Characterization'!Y$2)</f>
        <v>56.879234221339516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FCA6AE-8FD8-47E3-ACEB-AC17C2C6115E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Ratio'!$A$3:$B$10,2,FALSE),0)*'FL Characterization'!B$2)</f>
        <v>34.60172408561111</v>
      </c>
      <c r="C2" s="2">
        <f>('[1]Pc, Spring, S1'!C2*Main!$B$5)+(_xlfn.IFNA(VLOOKUP($A2,'FL Ratio'!$A$3:$B$10,2,FALSE),0)*'FL Characterization'!C$2)</f>
        <v>30.933809155786044</v>
      </c>
      <c r="D2" s="2">
        <f>('[1]Pc, Spring, S1'!D2*Main!$B$5)+(_xlfn.IFNA(VLOOKUP($A2,'FL Ratio'!$A$3:$B$10,2,FALSE),0)*'FL Characterization'!D$2)</f>
        <v>29.502073110863464</v>
      </c>
      <c r="E2" s="2">
        <f>('[1]Pc, Spring, S1'!E2*Main!$B$5)+(_xlfn.IFNA(VLOOKUP($A2,'FL Ratio'!$A$3:$B$10,2,FALSE),0)*'FL Characterization'!E$2)</f>
        <v>29.434217506797303</v>
      </c>
      <c r="F2" s="2">
        <f>('[1]Pc, Spring, S1'!F2*Main!$B$5)+(_xlfn.IFNA(VLOOKUP($A2,'FL Ratio'!$A$3:$B$10,2,FALSE),0)*'FL Characterization'!F$2)</f>
        <v>29.069865732734872</v>
      </c>
      <c r="G2" s="2">
        <f>('[1]Pc, Spring, S1'!G2*Main!$B$5)+(_xlfn.IFNA(VLOOKUP($A2,'FL Ratio'!$A$3:$B$10,2,FALSE),0)*'FL Characterization'!G$2)</f>
        <v>30.377883294255323</v>
      </c>
      <c r="H2" s="2">
        <f>('[1]Pc, Spring, S1'!H2*Main!$B$5)+(_xlfn.IFNA(VLOOKUP($A2,'FL Ratio'!$A$3:$B$10,2,FALSE),0)*'FL Characterization'!H$2)</f>
        <v>34.167754468414053</v>
      </c>
      <c r="I2" s="2">
        <f>('[1]Pc, Spring, S1'!I2*Main!$B$5)+(_xlfn.IFNA(VLOOKUP($A2,'FL Ratio'!$A$3:$B$10,2,FALSE),0)*'FL Characterization'!I$2)</f>
        <v>42.645100044697962</v>
      </c>
      <c r="J2" s="2">
        <f>('[1]Pc, Spring, S1'!J2*Main!$B$5)+(_xlfn.IFNA(VLOOKUP($A2,'FL Ratio'!$A$3:$B$10,2,FALSE),0)*'FL Characterization'!J$2)</f>
        <v>45.704008202165966</v>
      </c>
      <c r="K2" s="2">
        <f>('[1]Pc, Spring, S1'!K2*Main!$B$5)+(_xlfn.IFNA(VLOOKUP($A2,'FL Ratio'!$A$3:$B$10,2,FALSE),0)*'FL Characterization'!K$2)</f>
        <v>47.889729432401211</v>
      </c>
      <c r="L2" s="2">
        <f>('[1]Pc, Spring, S1'!L2*Main!$B$5)+(_xlfn.IFNA(VLOOKUP($A2,'FL Ratio'!$A$3:$B$10,2,FALSE),0)*'FL Characterization'!L$2)</f>
        <v>49.473139464993309</v>
      </c>
      <c r="M2" s="2">
        <f>('[1]Pc, Spring, S1'!M2*Main!$B$5)+(_xlfn.IFNA(VLOOKUP($A2,'FL Ratio'!$A$3:$B$10,2,FALSE),0)*'FL Characterization'!M$2)</f>
        <v>48.167429819039988</v>
      </c>
      <c r="N2" s="2">
        <f>('[1]Pc, Spring, S1'!N2*Main!$B$5)+(_xlfn.IFNA(VLOOKUP($A2,'FL Ratio'!$A$3:$B$10,2,FALSE),0)*'FL Characterization'!N$2)</f>
        <v>48.928020982966451</v>
      </c>
      <c r="O2" s="2">
        <f>('[1]Pc, Spring, S1'!O2*Main!$B$5)+(_xlfn.IFNA(VLOOKUP($A2,'FL Ratio'!$A$3:$B$10,2,FALSE),0)*'FL Characterization'!O$2)</f>
        <v>49.912490701632798</v>
      </c>
      <c r="P2" s="2">
        <f>('[1]Pc, Spring, S1'!P2*Main!$B$5)+(_xlfn.IFNA(VLOOKUP($A2,'FL Ratio'!$A$3:$B$10,2,FALSE),0)*'FL Characterization'!P$2)</f>
        <v>45.834288405402496</v>
      </c>
      <c r="Q2" s="2">
        <f>('[1]Pc, Spring, S1'!Q2*Main!$B$5)+(_xlfn.IFNA(VLOOKUP($A2,'FL Ratio'!$A$3:$B$10,2,FALSE),0)*'FL Characterization'!Q$2)</f>
        <v>42.29280033312768</v>
      </c>
      <c r="R2" s="2">
        <f>('[1]Pc, Spring, S1'!R2*Main!$B$5)+(_xlfn.IFNA(VLOOKUP($A2,'FL Ratio'!$A$3:$B$10,2,FALSE),0)*'FL Characterization'!R$2)</f>
        <v>43.891419704346681</v>
      </c>
      <c r="S2" s="2">
        <f>('[1]Pc, Spring, S1'!S2*Main!$B$5)+(_xlfn.IFNA(VLOOKUP($A2,'FL Ratio'!$A$3:$B$10,2,FALSE),0)*'FL Characterization'!S$2)</f>
        <v>46.130328194713364</v>
      </c>
      <c r="T2" s="2">
        <f>('[1]Pc, Spring, S1'!T2*Main!$B$5)+(_xlfn.IFNA(VLOOKUP($A2,'FL Ratio'!$A$3:$B$10,2,FALSE),0)*'FL Characterization'!T$2)</f>
        <v>48.889692733462574</v>
      </c>
      <c r="U2" s="2">
        <f>('[1]Pc, Spring, S1'!U2*Main!$B$5)+(_xlfn.IFNA(VLOOKUP($A2,'FL Ratio'!$A$3:$B$10,2,FALSE),0)*'FL Characterization'!U$2)</f>
        <v>48.03239360560594</v>
      </c>
      <c r="V2" s="2">
        <f>('[1]Pc, Spring, S1'!V2*Main!$B$5)+(_xlfn.IFNA(VLOOKUP($A2,'FL Ratio'!$A$3:$B$10,2,FALSE),0)*'FL Characterization'!V$2)</f>
        <v>46.273582622205666</v>
      </c>
      <c r="W2" s="2">
        <f>('[1]Pc, Spring, S1'!W2*Main!$B$5)+(_xlfn.IFNA(VLOOKUP($A2,'FL Ratio'!$A$3:$B$10,2,FALSE),0)*'FL Characterization'!W$2)</f>
        <v>47.956721951847214</v>
      </c>
      <c r="X2" s="2">
        <f>('[1]Pc, Spring, S1'!X2*Main!$B$5)+(_xlfn.IFNA(VLOOKUP($A2,'FL Ratio'!$A$3:$B$10,2,FALSE),0)*'FL Characterization'!X$2)</f>
        <v>40.183823199325708</v>
      </c>
      <c r="Y2" s="2">
        <f>('[1]Pc, Spring, S1'!Y2*Main!$B$5)+(_xlfn.IFNA(VLOOKUP($A2,'FL Ratio'!$A$3:$B$10,2,FALSE),0)*'FL Characterization'!Y$2)</f>
        <v>40.349730023809187</v>
      </c>
    </row>
    <row r="3" spans="1:25" x14ac:dyDescent="0.3">
      <c r="A3">
        <v>2</v>
      </c>
      <c r="B3" s="2">
        <f>('[1]Pc, Spring, S1'!B3*Main!$B$5)+(_xlfn.IFNA(VLOOKUP($A3,'FL Ratio'!$A$3:$B$10,2,FALSE),0)*'FL Characterization'!B$2)</f>
        <v>35.896857071969876</v>
      </c>
      <c r="C3" s="2">
        <f>('[1]Pc, Spring, S1'!C3*Main!$B$5)+(_xlfn.IFNA(VLOOKUP($A3,'FL Ratio'!$A$3:$B$10,2,FALSE),0)*'FL Characterization'!C$2)</f>
        <v>34.833642398648792</v>
      </c>
      <c r="D3" s="2">
        <f>('[1]Pc, Spring, S1'!D3*Main!$B$5)+(_xlfn.IFNA(VLOOKUP($A3,'FL Ratio'!$A$3:$B$10,2,FALSE),0)*'FL Characterization'!D$2)</f>
        <v>31.278839272454313</v>
      </c>
      <c r="E3" s="2">
        <f>('[1]Pc, Spring, S1'!E3*Main!$B$5)+(_xlfn.IFNA(VLOOKUP($A3,'FL Ratio'!$A$3:$B$10,2,FALSE),0)*'FL Characterization'!E$2)</f>
        <v>32.246646442181209</v>
      </c>
      <c r="F3" s="2">
        <f>('[1]Pc, Spring, S1'!F3*Main!$B$5)+(_xlfn.IFNA(VLOOKUP($A3,'FL Ratio'!$A$3:$B$10,2,FALSE),0)*'FL Characterization'!F$2)</f>
        <v>30.849609968925474</v>
      </c>
      <c r="G3" s="2">
        <f>('[1]Pc, Spring, S1'!G3*Main!$B$5)+(_xlfn.IFNA(VLOOKUP($A3,'FL Ratio'!$A$3:$B$10,2,FALSE),0)*'FL Characterization'!G$2)</f>
        <v>33.773775511836369</v>
      </c>
      <c r="H3" s="2">
        <f>('[1]Pc, Spring, S1'!H3*Main!$B$5)+(_xlfn.IFNA(VLOOKUP($A3,'FL Ratio'!$A$3:$B$10,2,FALSE),0)*'FL Characterization'!H$2)</f>
        <v>43.901203832760828</v>
      </c>
      <c r="I3" s="2">
        <f>('[1]Pc, Spring, S1'!I3*Main!$B$5)+(_xlfn.IFNA(VLOOKUP($A3,'FL Ratio'!$A$3:$B$10,2,FALSE),0)*'FL Characterization'!I$2)</f>
        <v>49.961822577244668</v>
      </c>
      <c r="J3" s="2">
        <f>('[1]Pc, Spring, S1'!J3*Main!$B$5)+(_xlfn.IFNA(VLOOKUP($A3,'FL Ratio'!$A$3:$B$10,2,FALSE),0)*'FL Characterization'!J$2)</f>
        <v>54.224998106466266</v>
      </c>
      <c r="K3" s="2">
        <f>('[1]Pc, Spring, S1'!K3*Main!$B$5)+(_xlfn.IFNA(VLOOKUP($A3,'FL Ratio'!$A$3:$B$10,2,FALSE),0)*'FL Characterization'!K$2)</f>
        <v>52.823396679713184</v>
      </c>
      <c r="L3" s="2">
        <f>('[1]Pc, Spring, S1'!L3*Main!$B$5)+(_xlfn.IFNA(VLOOKUP($A3,'FL Ratio'!$A$3:$B$10,2,FALSE),0)*'FL Characterization'!L$2)</f>
        <v>49.729556087612444</v>
      </c>
      <c r="M3" s="2">
        <f>('[1]Pc, Spring, S1'!M3*Main!$B$5)+(_xlfn.IFNA(VLOOKUP($A3,'FL Ratio'!$A$3:$B$10,2,FALSE),0)*'FL Characterization'!M$2)</f>
        <v>54.275102270848947</v>
      </c>
      <c r="N3" s="2">
        <f>('[1]Pc, Spring, S1'!N3*Main!$B$5)+(_xlfn.IFNA(VLOOKUP($A3,'FL Ratio'!$A$3:$B$10,2,FALSE),0)*'FL Characterization'!N$2)</f>
        <v>52.392244646195792</v>
      </c>
      <c r="O3" s="2">
        <f>('[1]Pc, Spring, S1'!O3*Main!$B$5)+(_xlfn.IFNA(VLOOKUP($A3,'FL Ratio'!$A$3:$B$10,2,FALSE),0)*'FL Characterization'!O$2)</f>
        <v>50.646919747020661</v>
      </c>
      <c r="P3" s="2">
        <f>('[1]Pc, Spring, S1'!P3*Main!$B$5)+(_xlfn.IFNA(VLOOKUP($A3,'FL Ratio'!$A$3:$B$10,2,FALSE),0)*'FL Characterization'!P$2)</f>
        <v>49.961035094066233</v>
      </c>
      <c r="Q3" s="2">
        <f>('[1]Pc, Spring, S1'!Q3*Main!$B$5)+(_xlfn.IFNA(VLOOKUP($A3,'FL Ratio'!$A$3:$B$10,2,FALSE),0)*'FL Characterization'!Q$2)</f>
        <v>47.966325008205146</v>
      </c>
      <c r="R3" s="2">
        <f>('[1]Pc, Spring, S1'!R3*Main!$B$5)+(_xlfn.IFNA(VLOOKUP($A3,'FL Ratio'!$A$3:$B$10,2,FALSE),0)*'FL Characterization'!R$2)</f>
        <v>44.254307501679897</v>
      </c>
      <c r="S3" s="2">
        <f>('[1]Pc, Spring, S1'!S3*Main!$B$5)+(_xlfn.IFNA(VLOOKUP($A3,'FL Ratio'!$A$3:$B$10,2,FALSE),0)*'FL Characterization'!S$2)</f>
        <v>48.887229477974451</v>
      </c>
      <c r="T3" s="2">
        <f>('[1]Pc, Spring, S1'!T3*Main!$B$5)+(_xlfn.IFNA(VLOOKUP($A3,'FL Ratio'!$A$3:$B$10,2,FALSE),0)*'FL Characterization'!T$2)</f>
        <v>48.669012946546253</v>
      </c>
      <c r="U3" s="2">
        <f>('[1]Pc, Spring, S1'!U3*Main!$B$5)+(_xlfn.IFNA(VLOOKUP($A3,'FL Ratio'!$A$3:$B$10,2,FALSE),0)*'FL Characterization'!U$2)</f>
        <v>47.186754226656831</v>
      </c>
      <c r="V3" s="2">
        <f>('[1]Pc, Spring, S1'!V3*Main!$B$5)+(_xlfn.IFNA(VLOOKUP($A3,'FL Ratio'!$A$3:$B$10,2,FALSE),0)*'FL Characterization'!V$2)</f>
        <v>45.35774009373106</v>
      </c>
      <c r="W3" s="2">
        <f>('[1]Pc, Spring, S1'!W3*Main!$B$5)+(_xlfn.IFNA(VLOOKUP($A3,'FL Ratio'!$A$3:$B$10,2,FALSE),0)*'FL Characterization'!W$2)</f>
        <v>44.44472235390856</v>
      </c>
      <c r="X3" s="2">
        <f>('[1]Pc, Spring, S1'!X3*Main!$B$5)+(_xlfn.IFNA(VLOOKUP($A3,'FL Ratio'!$A$3:$B$10,2,FALSE),0)*'FL Characterization'!X$2)</f>
        <v>42.351865563838118</v>
      </c>
      <c r="Y3" s="2">
        <f>('[1]Pc, Spring, S1'!Y3*Main!$B$5)+(_xlfn.IFNA(VLOOKUP($A3,'FL Ratio'!$A$3:$B$10,2,FALSE),0)*'FL Characterization'!Y$2)</f>
        <v>39.727459762024111</v>
      </c>
    </row>
    <row r="4" spans="1:25" x14ac:dyDescent="0.3">
      <c r="A4">
        <v>3</v>
      </c>
      <c r="B4" s="2">
        <f>('[1]Pc, Spring, S1'!B4*Main!$B$5)+(_xlfn.IFNA(VLOOKUP($A4,'FL Ratio'!$A$3:$B$10,2,FALSE),0)*'FL Characterization'!B$2)</f>
        <v>48.972783402536301</v>
      </c>
      <c r="C4" s="2">
        <f>('[1]Pc, Spring, S1'!C4*Main!$B$5)+(_xlfn.IFNA(VLOOKUP($A4,'FL Ratio'!$A$3:$B$10,2,FALSE),0)*'FL Characterization'!C$2)</f>
        <v>43.022874535141746</v>
      </c>
      <c r="D4" s="2">
        <f>('[1]Pc, Spring, S1'!D4*Main!$B$5)+(_xlfn.IFNA(VLOOKUP($A4,'FL Ratio'!$A$3:$B$10,2,FALSE),0)*'FL Characterization'!D$2)</f>
        <v>43.106816707932211</v>
      </c>
      <c r="E4" s="2">
        <f>('[1]Pc, Spring, S1'!E4*Main!$B$5)+(_xlfn.IFNA(VLOOKUP($A4,'FL Ratio'!$A$3:$B$10,2,FALSE),0)*'FL Characterization'!E$2)</f>
        <v>39.746503035421547</v>
      </c>
      <c r="F4" s="2">
        <f>('[1]Pc, Spring, S1'!F4*Main!$B$5)+(_xlfn.IFNA(VLOOKUP($A4,'FL Ratio'!$A$3:$B$10,2,FALSE),0)*'FL Characterization'!F$2)</f>
        <v>41.89162123383278</v>
      </c>
      <c r="G4" s="2">
        <f>('[1]Pc, Spring, S1'!G4*Main!$B$5)+(_xlfn.IFNA(VLOOKUP($A4,'FL Ratio'!$A$3:$B$10,2,FALSE),0)*'FL Characterization'!G$2)</f>
        <v>41.06025350968563</v>
      </c>
      <c r="H4" s="2">
        <f>('[1]Pc, Spring, S1'!H4*Main!$B$5)+(_xlfn.IFNA(VLOOKUP($A4,'FL Ratio'!$A$3:$B$10,2,FALSE),0)*'FL Characterization'!H$2)</f>
        <v>48.077864798218371</v>
      </c>
      <c r="I4" s="2">
        <f>('[1]Pc, Spring, S1'!I4*Main!$B$5)+(_xlfn.IFNA(VLOOKUP($A4,'FL Ratio'!$A$3:$B$10,2,FALSE),0)*'FL Characterization'!I$2)</f>
        <v>51.740901985803269</v>
      </c>
      <c r="J4" s="2">
        <f>('[1]Pc, Spring, S1'!J4*Main!$B$5)+(_xlfn.IFNA(VLOOKUP($A4,'FL Ratio'!$A$3:$B$10,2,FALSE),0)*'FL Characterization'!J$2)</f>
        <v>59.772773186996424</v>
      </c>
      <c r="K4" s="2">
        <f>('[1]Pc, Spring, S1'!K4*Main!$B$5)+(_xlfn.IFNA(VLOOKUP($A4,'FL Ratio'!$A$3:$B$10,2,FALSE),0)*'FL Characterization'!K$2)</f>
        <v>61.447814022150212</v>
      </c>
      <c r="L4" s="2">
        <f>('[1]Pc, Spring, S1'!L4*Main!$B$5)+(_xlfn.IFNA(VLOOKUP($A4,'FL Ratio'!$A$3:$B$10,2,FALSE),0)*'FL Characterization'!L$2)</f>
        <v>63.481119325455744</v>
      </c>
      <c r="M4" s="2">
        <f>('[1]Pc, Spring, S1'!M4*Main!$B$5)+(_xlfn.IFNA(VLOOKUP($A4,'FL Ratio'!$A$3:$B$10,2,FALSE),0)*'FL Characterization'!M$2)</f>
        <v>66.998556939680427</v>
      </c>
      <c r="N4" s="2">
        <f>('[1]Pc, Spring, S1'!N4*Main!$B$5)+(_xlfn.IFNA(VLOOKUP($A4,'FL Ratio'!$A$3:$B$10,2,FALSE),0)*'FL Characterization'!N$2)</f>
        <v>67.606112403814095</v>
      </c>
      <c r="O4" s="2">
        <f>('[1]Pc, Spring, S1'!O4*Main!$B$5)+(_xlfn.IFNA(VLOOKUP($A4,'FL Ratio'!$A$3:$B$10,2,FALSE),0)*'FL Characterization'!O$2)</f>
        <v>67.485698485391154</v>
      </c>
      <c r="P4" s="2">
        <f>('[1]Pc, Spring, S1'!P4*Main!$B$5)+(_xlfn.IFNA(VLOOKUP($A4,'FL Ratio'!$A$3:$B$10,2,FALSE),0)*'FL Characterization'!P$2)</f>
        <v>63.81963675664926</v>
      </c>
      <c r="Q4" s="2">
        <f>('[1]Pc, Spring, S1'!Q4*Main!$B$5)+(_xlfn.IFNA(VLOOKUP($A4,'FL Ratio'!$A$3:$B$10,2,FALSE),0)*'FL Characterization'!Q$2)</f>
        <v>64.4581314317264</v>
      </c>
      <c r="R4" s="2">
        <f>('[1]Pc, Spring, S1'!R4*Main!$B$5)+(_xlfn.IFNA(VLOOKUP($A4,'FL Ratio'!$A$3:$B$10,2,FALSE),0)*'FL Characterization'!R$2)</f>
        <v>63.816469430047412</v>
      </c>
      <c r="S4" s="2">
        <f>('[1]Pc, Spring, S1'!S4*Main!$B$5)+(_xlfn.IFNA(VLOOKUP($A4,'FL Ratio'!$A$3:$B$10,2,FALSE),0)*'FL Characterization'!S$2)</f>
        <v>66.377728340169611</v>
      </c>
      <c r="T4" s="2">
        <f>('[1]Pc, Spring, S1'!T4*Main!$B$5)+(_xlfn.IFNA(VLOOKUP($A4,'FL Ratio'!$A$3:$B$10,2,FALSE),0)*'FL Characterization'!T$2)</f>
        <v>65.901263178100777</v>
      </c>
      <c r="U4" s="2">
        <f>('[1]Pc, Spring, S1'!U4*Main!$B$5)+(_xlfn.IFNA(VLOOKUP($A4,'FL Ratio'!$A$3:$B$10,2,FALSE),0)*'FL Characterization'!U$2)</f>
        <v>64.393773531523095</v>
      </c>
      <c r="V4" s="2">
        <f>('[1]Pc, Spring, S1'!V4*Main!$B$5)+(_xlfn.IFNA(VLOOKUP($A4,'FL Ratio'!$A$3:$B$10,2,FALSE),0)*'FL Characterization'!V$2)</f>
        <v>63.113096958595513</v>
      </c>
      <c r="W4" s="2">
        <f>('[1]Pc, Spring, S1'!W4*Main!$B$5)+(_xlfn.IFNA(VLOOKUP($A4,'FL Ratio'!$A$3:$B$10,2,FALSE),0)*'FL Characterization'!W$2)</f>
        <v>65.856342257551589</v>
      </c>
      <c r="X4" s="2">
        <f>('[1]Pc, Spring, S1'!X4*Main!$B$5)+(_xlfn.IFNA(VLOOKUP($A4,'FL Ratio'!$A$3:$B$10,2,FALSE),0)*'FL Characterization'!X$2)</f>
        <v>61.964631291451497</v>
      </c>
      <c r="Y4" s="2">
        <f>('[1]Pc, Spring, S1'!Y4*Main!$B$5)+(_xlfn.IFNA(VLOOKUP($A4,'FL Ratio'!$A$3:$B$10,2,FALSE),0)*'FL Characterization'!Y$2)</f>
        <v>56.879234221339516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114B1F-CBF1-423B-9907-DFEE7C9E44C5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Ratio'!$A$3:$B$10,2,FALSE),0)*'FL Characterization'!B$2)</f>
        <v>34.60172408561111</v>
      </c>
      <c r="C2" s="2">
        <f>('[1]Pc, Spring, S1'!C2*Main!$B$5)+(_xlfn.IFNA(VLOOKUP($A2,'FL Ratio'!$A$3:$B$10,2,FALSE),0)*'FL Characterization'!C$2)</f>
        <v>30.933809155786044</v>
      </c>
      <c r="D2" s="2">
        <f>('[1]Pc, Spring, S1'!D2*Main!$B$5)+(_xlfn.IFNA(VLOOKUP($A2,'FL Ratio'!$A$3:$B$10,2,FALSE),0)*'FL Characterization'!D$2)</f>
        <v>29.502073110863464</v>
      </c>
      <c r="E2" s="2">
        <f>('[1]Pc, Spring, S1'!E2*Main!$B$5)+(_xlfn.IFNA(VLOOKUP($A2,'FL Ratio'!$A$3:$B$10,2,FALSE),0)*'FL Characterization'!E$2)</f>
        <v>29.434217506797303</v>
      </c>
      <c r="F2" s="2">
        <f>('[1]Pc, Spring, S1'!F2*Main!$B$5)+(_xlfn.IFNA(VLOOKUP($A2,'FL Ratio'!$A$3:$B$10,2,FALSE),0)*'FL Characterization'!F$2)</f>
        <v>29.069865732734872</v>
      </c>
      <c r="G2" s="2">
        <f>('[1]Pc, Spring, S1'!G2*Main!$B$5)+(_xlfn.IFNA(VLOOKUP($A2,'FL Ratio'!$A$3:$B$10,2,FALSE),0)*'FL Characterization'!G$2)</f>
        <v>30.377883294255323</v>
      </c>
      <c r="H2" s="2">
        <f>('[1]Pc, Spring, S1'!H2*Main!$B$5)+(_xlfn.IFNA(VLOOKUP($A2,'FL Ratio'!$A$3:$B$10,2,FALSE),0)*'FL Characterization'!H$2)</f>
        <v>34.167754468414053</v>
      </c>
      <c r="I2" s="2">
        <f>('[1]Pc, Spring, S1'!I2*Main!$B$5)+(_xlfn.IFNA(VLOOKUP($A2,'FL Ratio'!$A$3:$B$10,2,FALSE),0)*'FL Characterization'!I$2)</f>
        <v>42.645100044697962</v>
      </c>
      <c r="J2" s="2">
        <f>('[1]Pc, Spring, S1'!J2*Main!$B$5)+(_xlfn.IFNA(VLOOKUP($A2,'FL Ratio'!$A$3:$B$10,2,FALSE),0)*'FL Characterization'!J$2)</f>
        <v>45.704008202165966</v>
      </c>
      <c r="K2" s="2">
        <f>('[1]Pc, Spring, S1'!K2*Main!$B$5)+(_xlfn.IFNA(VLOOKUP($A2,'FL Ratio'!$A$3:$B$10,2,FALSE),0)*'FL Characterization'!K$2)</f>
        <v>47.889729432401211</v>
      </c>
      <c r="L2" s="2">
        <f>('[1]Pc, Spring, S1'!L2*Main!$B$5)+(_xlfn.IFNA(VLOOKUP($A2,'FL Ratio'!$A$3:$B$10,2,FALSE),0)*'FL Characterization'!L$2)</f>
        <v>49.473139464993309</v>
      </c>
      <c r="M2" s="2">
        <f>('[1]Pc, Spring, S1'!M2*Main!$B$5)+(_xlfn.IFNA(VLOOKUP($A2,'FL Ratio'!$A$3:$B$10,2,FALSE),0)*'FL Characterization'!M$2)</f>
        <v>48.167429819039988</v>
      </c>
      <c r="N2" s="2">
        <f>('[1]Pc, Spring, S1'!N2*Main!$B$5)+(_xlfn.IFNA(VLOOKUP($A2,'FL Ratio'!$A$3:$B$10,2,FALSE),0)*'FL Characterization'!N$2)</f>
        <v>48.928020982966451</v>
      </c>
      <c r="O2" s="2">
        <f>('[1]Pc, Spring, S1'!O2*Main!$B$5)+(_xlfn.IFNA(VLOOKUP($A2,'FL Ratio'!$A$3:$B$10,2,FALSE),0)*'FL Characterization'!O$2)</f>
        <v>49.912490701632798</v>
      </c>
      <c r="P2" s="2">
        <f>('[1]Pc, Spring, S1'!P2*Main!$B$5)+(_xlfn.IFNA(VLOOKUP($A2,'FL Ratio'!$A$3:$B$10,2,FALSE),0)*'FL Characterization'!P$2)</f>
        <v>45.834288405402496</v>
      </c>
      <c r="Q2" s="2">
        <f>('[1]Pc, Spring, S1'!Q2*Main!$B$5)+(_xlfn.IFNA(VLOOKUP($A2,'FL Ratio'!$A$3:$B$10,2,FALSE),0)*'FL Characterization'!Q$2)</f>
        <v>42.29280033312768</v>
      </c>
      <c r="R2" s="2">
        <f>('[1]Pc, Spring, S1'!R2*Main!$B$5)+(_xlfn.IFNA(VLOOKUP($A2,'FL Ratio'!$A$3:$B$10,2,FALSE),0)*'FL Characterization'!R$2)</f>
        <v>43.891419704346681</v>
      </c>
      <c r="S2" s="2">
        <f>('[1]Pc, Spring, S1'!S2*Main!$B$5)+(_xlfn.IFNA(VLOOKUP($A2,'FL Ratio'!$A$3:$B$10,2,FALSE),0)*'FL Characterization'!S$2)</f>
        <v>46.130328194713364</v>
      </c>
      <c r="T2" s="2">
        <f>('[1]Pc, Spring, S1'!T2*Main!$B$5)+(_xlfn.IFNA(VLOOKUP($A2,'FL Ratio'!$A$3:$B$10,2,FALSE),0)*'FL Characterization'!T$2)</f>
        <v>48.889692733462574</v>
      </c>
      <c r="U2" s="2">
        <f>('[1]Pc, Spring, S1'!U2*Main!$B$5)+(_xlfn.IFNA(VLOOKUP($A2,'FL Ratio'!$A$3:$B$10,2,FALSE),0)*'FL Characterization'!U$2)</f>
        <v>48.03239360560594</v>
      </c>
      <c r="V2" s="2">
        <f>('[1]Pc, Spring, S1'!V2*Main!$B$5)+(_xlfn.IFNA(VLOOKUP($A2,'FL Ratio'!$A$3:$B$10,2,FALSE),0)*'FL Characterization'!V$2)</f>
        <v>46.273582622205666</v>
      </c>
      <c r="W2" s="2">
        <f>('[1]Pc, Spring, S1'!W2*Main!$B$5)+(_xlfn.IFNA(VLOOKUP($A2,'FL Ratio'!$A$3:$B$10,2,FALSE),0)*'FL Characterization'!W$2)</f>
        <v>47.956721951847214</v>
      </c>
      <c r="X2" s="2">
        <f>('[1]Pc, Spring, S1'!X2*Main!$B$5)+(_xlfn.IFNA(VLOOKUP($A2,'FL Ratio'!$A$3:$B$10,2,FALSE),0)*'FL Characterization'!X$2)</f>
        <v>40.183823199325708</v>
      </c>
      <c r="Y2" s="2">
        <f>('[1]Pc, Spring, S1'!Y2*Main!$B$5)+(_xlfn.IFNA(VLOOKUP($A2,'FL Ratio'!$A$3:$B$10,2,FALSE),0)*'FL Characterization'!Y$2)</f>
        <v>40.349730023809187</v>
      </c>
    </row>
    <row r="3" spans="1:25" x14ac:dyDescent="0.3">
      <c r="A3">
        <v>2</v>
      </c>
      <c r="B3" s="2">
        <f>('[1]Pc, Spring, S1'!B3*Main!$B$5)+(_xlfn.IFNA(VLOOKUP($A3,'FL Ratio'!$A$3:$B$10,2,FALSE),0)*'FL Characterization'!B$2)</f>
        <v>35.896857071969876</v>
      </c>
      <c r="C3" s="2">
        <f>('[1]Pc, Spring, S1'!C3*Main!$B$5)+(_xlfn.IFNA(VLOOKUP($A3,'FL Ratio'!$A$3:$B$10,2,FALSE),0)*'FL Characterization'!C$2)</f>
        <v>34.833642398648792</v>
      </c>
      <c r="D3" s="2">
        <f>('[1]Pc, Spring, S1'!D3*Main!$B$5)+(_xlfn.IFNA(VLOOKUP($A3,'FL Ratio'!$A$3:$B$10,2,FALSE),0)*'FL Characterization'!D$2)</f>
        <v>31.278839272454313</v>
      </c>
      <c r="E3" s="2">
        <f>('[1]Pc, Spring, S1'!E3*Main!$B$5)+(_xlfn.IFNA(VLOOKUP($A3,'FL Ratio'!$A$3:$B$10,2,FALSE),0)*'FL Characterization'!E$2)</f>
        <v>32.246646442181209</v>
      </c>
      <c r="F3" s="2">
        <f>('[1]Pc, Spring, S1'!F3*Main!$B$5)+(_xlfn.IFNA(VLOOKUP($A3,'FL Ratio'!$A$3:$B$10,2,FALSE),0)*'FL Characterization'!F$2)</f>
        <v>30.849609968925474</v>
      </c>
      <c r="G3" s="2">
        <f>('[1]Pc, Spring, S1'!G3*Main!$B$5)+(_xlfn.IFNA(VLOOKUP($A3,'FL Ratio'!$A$3:$B$10,2,FALSE),0)*'FL Characterization'!G$2)</f>
        <v>33.773775511836369</v>
      </c>
      <c r="H3" s="2">
        <f>('[1]Pc, Spring, S1'!H3*Main!$B$5)+(_xlfn.IFNA(VLOOKUP($A3,'FL Ratio'!$A$3:$B$10,2,FALSE),0)*'FL Characterization'!H$2)</f>
        <v>43.901203832760828</v>
      </c>
      <c r="I3" s="2">
        <f>('[1]Pc, Spring, S1'!I3*Main!$B$5)+(_xlfn.IFNA(VLOOKUP($A3,'FL Ratio'!$A$3:$B$10,2,FALSE),0)*'FL Characterization'!I$2)</f>
        <v>49.961822577244668</v>
      </c>
      <c r="J3" s="2">
        <f>('[1]Pc, Spring, S1'!J3*Main!$B$5)+(_xlfn.IFNA(VLOOKUP($A3,'FL Ratio'!$A$3:$B$10,2,FALSE),0)*'FL Characterization'!J$2)</f>
        <v>54.224998106466266</v>
      </c>
      <c r="K3" s="2">
        <f>('[1]Pc, Spring, S1'!K3*Main!$B$5)+(_xlfn.IFNA(VLOOKUP($A3,'FL Ratio'!$A$3:$B$10,2,FALSE),0)*'FL Characterization'!K$2)</f>
        <v>52.823396679713184</v>
      </c>
      <c r="L3" s="2">
        <f>('[1]Pc, Spring, S1'!L3*Main!$B$5)+(_xlfn.IFNA(VLOOKUP($A3,'FL Ratio'!$A$3:$B$10,2,FALSE),0)*'FL Characterization'!L$2)</f>
        <v>49.729556087612444</v>
      </c>
      <c r="M3" s="2">
        <f>('[1]Pc, Spring, S1'!M3*Main!$B$5)+(_xlfn.IFNA(VLOOKUP($A3,'FL Ratio'!$A$3:$B$10,2,FALSE),0)*'FL Characterization'!M$2)</f>
        <v>54.275102270848947</v>
      </c>
      <c r="N3" s="2">
        <f>('[1]Pc, Spring, S1'!N3*Main!$B$5)+(_xlfn.IFNA(VLOOKUP($A3,'FL Ratio'!$A$3:$B$10,2,FALSE),0)*'FL Characterization'!N$2)</f>
        <v>52.392244646195792</v>
      </c>
      <c r="O3" s="2">
        <f>('[1]Pc, Spring, S1'!O3*Main!$B$5)+(_xlfn.IFNA(VLOOKUP($A3,'FL Ratio'!$A$3:$B$10,2,FALSE),0)*'FL Characterization'!O$2)</f>
        <v>50.646919747020661</v>
      </c>
      <c r="P3" s="2">
        <f>('[1]Pc, Spring, S1'!P3*Main!$B$5)+(_xlfn.IFNA(VLOOKUP($A3,'FL Ratio'!$A$3:$B$10,2,FALSE),0)*'FL Characterization'!P$2)</f>
        <v>49.961035094066233</v>
      </c>
      <c r="Q3" s="2">
        <f>('[1]Pc, Spring, S1'!Q3*Main!$B$5)+(_xlfn.IFNA(VLOOKUP($A3,'FL Ratio'!$A$3:$B$10,2,FALSE),0)*'FL Characterization'!Q$2)</f>
        <v>47.966325008205146</v>
      </c>
      <c r="R3" s="2">
        <f>('[1]Pc, Spring, S1'!R3*Main!$B$5)+(_xlfn.IFNA(VLOOKUP($A3,'FL Ratio'!$A$3:$B$10,2,FALSE),0)*'FL Characterization'!R$2)</f>
        <v>44.254307501679897</v>
      </c>
      <c r="S3" s="2">
        <f>('[1]Pc, Spring, S1'!S3*Main!$B$5)+(_xlfn.IFNA(VLOOKUP($A3,'FL Ratio'!$A$3:$B$10,2,FALSE),0)*'FL Characterization'!S$2)</f>
        <v>48.887229477974451</v>
      </c>
      <c r="T3" s="2">
        <f>('[1]Pc, Spring, S1'!T3*Main!$B$5)+(_xlfn.IFNA(VLOOKUP($A3,'FL Ratio'!$A$3:$B$10,2,FALSE),0)*'FL Characterization'!T$2)</f>
        <v>48.669012946546253</v>
      </c>
      <c r="U3" s="2">
        <f>('[1]Pc, Spring, S1'!U3*Main!$B$5)+(_xlfn.IFNA(VLOOKUP($A3,'FL Ratio'!$A$3:$B$10,2,FALSE),0)*'FL Characterization'!U$2)</f>
        <v>47.186754226656831</v>
      </c>
      <c r="V3" s="2">
        <f>('[1]Pc, Spring, S1'!V3*Main!$B$5)+(_xlfn.IFNA(VLOOKUP($A3,'FL Ratio'!$A$3:$B$10,2,FALSE),0)*'FL Characterization'!V$2)</f>
        <v>45.35774009373106</v>
      </c>
      <c r="W3" s="2">
        <f>('[1]Pc, Spring, S1'!W3*Main!$B$5)+(_xlfn.IFNA(VLOOKUP($A3,'FL Ratio'!$A$3:$B$10,2,FALSE),0)*'FL Characterization'!W$2)</f>
        <v>44.44472235390856</v>
      </c>
      <c r="X3" s="2">
        <f>('[1]Pc, Spring, S1'!X3*Main!$B$5)+(_xlfn.IFNA(VLOOKUP($A3,'FL Ratio'!$A$3:$B$10,2,FALSE),0)*'FL Characterization'!X$2)</f>
        <v>42.351865563838118</v>
      </c>
      <c r="Y3" s="2">
        <f>('[1]Pc, Spring, S1'!Y3*Main!$B$5)+(_xlfn.IFNA(VLOOKUP($A3,'FL Ratio'!$A$3:$B$10,2,FALSE),0)*'FL Characterization'!Y$2)</f>
        <v>39.727459762024111</v>
      </c>
    </row>
    <row r="4" spans="1:25" x14ac:dyDescent="0.3">
      <c r="A4">
        <v>3</v>
      </c>
      <c r="B4" s="2">
        <f>('[1]Pc, Spring, S1'!B4*Main!$B$5)+(_xlfn.IFNA(VLOOKUP($A4,'FL Ratio'!$A$3:$B$10,2,FALSE),0)*'FL Characterization'!B$2)</f>
        <v>48.972783402536301</v>
      </c>
      <c r="C4" s="2">
        <f>('[1]Pc, Spring, S1'!C4*Main!$B$5)+(_xlfn.IFNA(VLOOKUP($A4,'FL Ratio'!$A$3:$B$10,2,FALSE),0)*'FL Characterization'!C$2)</f>
        <v>43.022874535141746</v>
      </c>
      <c r="D4" s="2">
        <f>('[1]Pc, Spring, S1'!D4*Main!$B$5)+(_xlfn.IFNA(VLOOKUP($A4,'FL Ratio'!$A$3:$B$10,2,FALSE),0)*'FL Characterization'!D$2)</f>
        <v>43.106816707932211</v>
      </c>
      <c r="E4" s="2">
        <f>('[1]Pc, Spring, S1'!E4*Main!$B$5)+(_xlfn.IFNA(VLOOKUP($A4,'FL Ratio'!$A$3:$B$10,2,FALSE),0)*'FL Characterization'!E$2)</f>
        <v>39.746503035421547</v>
      </c>
      <c r="F4" s="2">
        <f>('[1]Pc, Spring, S1'!F4*Main!$B$5)+(_xlfn.IFNA(VLOOKUP($A4,'FL Ratio'!$A$3:$B$10,2,FALSE),0)*'FL Characterization'!F$2)</f>
        <v>41.89162123383278</v>
      </c>
      <c r="G4" s="2">
        <f>('[1]Pc, Spring, S1'!G4*Main!$B$5)+(_xlfn.IFNA(VLOOKUP($A4,'FL Ratio'!$A$3:$B$10,2,FALSE),0)*'FL Characterization'!G$2)</f>
        <v>41.06025350968563</v>
      </c>
      <c r="H4" s="2">
        <f>('[1]Pc, Spring, S1'!H4*Main!$B$5)+(_xlfn.IFNA(VLOOKUP($A4,'FL Ratio'!$A$3:$B$10,2,FALSE),0)*'FL Characterization'!H$2)</f>
        <v>48.077864798218371</v>
      </c>
      <c r="I4" s="2">
        <f>('[1]Pc, Spring, S1'!I4*Main!$B$5)+(_xlfn.IFNA(VLOOKUP($A4,'FL Ratio'!$A$3:$B$10,2,FALSE),0)*'FL Characterization'!I$2)</f>
        <v>51.740901985803269</v>
      </c>
      <c r="J4" s="2">
        <f>('[1]Pc, Spring, S1'!J4*Main!$B$5)+(_xlfn.IFNA(VLOOKUP($A4,'FL Ratio'!$A$3:$B$10,2,FALSE),0)*'FL Characterization'!J$2)</f>
        <v>59.772773186996424</v>
      </c>
      <c r="K4" s="2">
        <f>('[1]Pc, Spring, S1'!K4*Main!$B$5)+(_xlfn.IFNA(VLOOKUP($A4,'FL Ratio'!$A$3:$B$10,2,FALSE),0)*'FL Characterization'!K$2)</f>
        <v>61.447814022150212</v>
      </c>
      <c r="L4" s="2">
        <f>('[1]Pc, Spring, S1'!L4*Main!$B$5)+(_xlfn.IFNA(VLOOKUP($A4,'FL Ratio'!$A$3:$B$10,2,FALSE),0)*'FL Characterization'!L$2)</f>
        <v>63.481119325455744</v>
      </c>
      <c r="M4" s="2">
        <f>('[1]Pc, Spring, S1'!M4*Main!$B$5)+(_xlfn.IFNA(VLOOKUP($A4,'FL Ratio'!$A$3:$B$10,2,FALSE),0)*'FL Characterization'!M$2)</f>
        <v>66.998556939680427</v>
      </c>
      <c r="N4" s="2">
        <f>('[1]Pc, Spring, S1'!N4*Main!$B$5)+(_xlfn.IFNA(VLOOKUP($A4,'FL Ratio'!$A$3:$B$10,2,FALSE),0)*'FL Characterization'!N$2)</f>
        <v>67.606112403814095</v>
      </c>
      <c r="O4" s="2">
        <f>('[1]Pc, Spring, S1'!O4*Main!$B$5)+(_xlfn.IFNA(VLOOKUP($A4,'FL Ratio'!$A$3:$B$10,2,FALSE),0)*'FL Characterization'!O$2)</f>
        <v>67.485698485391154</v>
      </c>
      <c r="P4" s="2">
        <f>('[1]Pc, Spring, S1'!P4*Main!$B$5)+(_xlfn.IFNA(VLOOKUP($A4,'FL Ratio'!$A$3:$B$10,2,FALSE),0)*'FL Characterization'!P$2)</f>
        <v>63.81963675664926</v>
      </c>
      <c r="Q4" s="2">
        <f>('[1]Pc, Spring, S1'!Q4*Main!$B$5)+(_xlfn.IFNA(VLOOKUP($A4,'FL Ratio'!$A$3:$B$10,2,FALSE),0)*'FL Characterization'!Q$2)</f>
        <v>64.4581314317264</v>
      </c>
      <c r="R4" s="2">
        <f>('[1]Pc, Spring, S1'!R4*Main!$B$5)+(_xlfn.IFNA(VLOOKUP($A4,'FL Ratio'!$A$3:$B$10,2,FALSE),0)*'FL Characterization'!R$2)</f>
        <v>63.816469430047412</v>
      </c>
      <c r="S4" s="2">
        <f>('[1]Pc, Spring, S1'!S4*Main!$B$5)+(_xlfn.IFNA(VLOOKUP($A4,'FL Ratio'!$A$3:$B$10,2,FALSE),0)*'FL Characterization'!S$2)</f>
        <v>66.377728340169611</v>
      </c>
      <c r="T4" s="2">
        <f>('[1]Pc, Spring, S1'!T4*Main!$B$5)+(_xlfn.IFNA(VLOOKUP($A4,'FL Ratio'!$A$3:$B$10,2,FALSE),0)*'FL Characterization'!T$2)</f>
        <v>65.901263178100777</v>
      </c>
      <c r="U4" s="2">
        <f>('[1]Pc, Spring, S1'!U4*Main!$B$5)+(_xlfn.IFNA(VLOOKUP($A4,'FL Ratio'!$A$3:$B$10,2,FALSE),0)*'FL Characterization'!U$2)</f>
        <v>64.393773531523095</v>
      </c>
      <c r="V4" s="2">
        <f>('[1]Pc, Spring, S1'!V4*Main!$B$5)+(_xlfn.IFNA(VLOOKUP($A4,'FL Ratio'!$A$3:$B$10,2,FALSE),0)*'FL Characterization'!V$2)</f>
        <v>63.113096958595513</v>
      </c>
      <c r="W4" s="2">
        <f>('[1]Pc, Spring, S1'!W4*Main!$B$5)+(_xlfn.IFNA(VLOOKUP($A4,'FL Ratio'!$A$3:$B$10,2,FALSE),0)*'FL Characterization'!W$2)</f>
        <v>65.856342257551589</v>
      </c>
      <c r="X4" s="2">
        <f>('[1]Pc, Spring, S1'!X4*Main!$B$5)+(_xlfn.IFNA(VLOOKUP($A4,'FL Ratio'!$A$3:$B$10,2,FALSE),0)*'FL Characterization'!X$2)</f>
        <v>61.964631291451497</v>
      </c>
      <c r="Y4" s="2">
        <f>('[1]Pc, Spring, S1'!Y4*Main!$B$5)+(_xlfn.IFNA(VLOOKUP($A4,'FL Ratio'!$A$3:$B$10,2,FALSE),0)*'FL Characterization'!Y$2)</f>
        <v>56.879234221339516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E6CD5-359B-48BB-A2E5-55802D9FB142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Ratio'!$A$3:$B$10,2,FALSE),0)*'FL Characterization'!B$2)</f>
        <v>35.639775808179436</v>
      </c>
      <c r="C2" s="2">
        <f>('[1]Pc, Spring, S2'!C2*Main!$B$5)+(_xlfn.IFNA(VLOOKUP($A2,'FL Ratio'!$A$3:$B$10,2,FALSE),0)*'FL Characterization'!C$2)</f>
        <v>31.861823430459626</v>
      </c>
      <c r="D2" s="2">
        <f>('[1]Pc, Spring, S2'!D2*Main!$B$5)+(_xlfn.IFNA(VLOOKUP($A2,'FL Ratio'!$A$3:$B$10,2,FALSE),0)*'FL Characterization'!D$2)</f>
        <v>30.387135304189368</v>
      </c>
      <c r="E2" s="2">
        <f>('[1]Pc, Spring, S2'!E2*Main!$B$5)+(_xlfn.IFNA(VLOOKUP($A2,'FL Ratio'!$A$3:$B$10,2,FALSE),0)*'FL Characterization'!E$2)</f>
        <v>30.317244032001224</v>
      </c>
      <c r="F2" s="2">
        <f>('[1]Pc, Spring, S2'!F2*Main!$B$5)+(_xlfn.IFNA(VLOOKUP($A2,'FL Ratio'!$A$3:$B$10,2,FALSE),0)*'FL Characterization'!F$2)</f>
        <v>29.941961704716924</v>
      </c>
      <c r="G2" s="2">
        <f>('[1]Pc, Spring, S2'!G2*Main!$B$5)+(_xlfn.IFNA(VLOOKUP($A2,'FL Ratio'!$A$3:$B$10,2,FALSE),0)*'FL Characterization'!G$2)</f>
        <v>31.289219793082982</v>
      </c>
      <c r="H2" s="2">
        <f>('[1]Pc, Spring, S2'!H2*Main!$B$5)+(_xlfn.IFNA(VLOOKUP($A2,'FL Ratio'!$A$3:$B$10,2,FALSE),0)*'FL Characterization'!H$2)</f>
        <v>35.192787102466475</v>
      </c>
      <c r="I2" s="2">
        <f>('[1]Pc, Spring, S2'!I2*Main!$B$5)+(_xlfn.IFNA(VLOOKUP($A2,'FL Ratio'!$A$3:$B$10,2,FALSE),0)*'FL Characterization'!I$2)</f>
        <v>43.924453046038892</v>
      </c>
      <c r="J2" s="2">
        <f>('[1]Pc, Spring, S2'!J2*Main!$B$5)+(_xlfn.IFNA(VLOOKUP($A2,'FL Ratio'!$A$3:$B$10,2,FALSE),0)*'FL Characterization'!J$2)</f>
        <v>47.075128448230942</v>
      </c>
      <c r="K2" s="2">
        <f>('[1]Pc, Spring, S2'!K2*Main!$B$5)+(_xlfn.IFNA(VLOOKUP($A2,'FL Ratio'!$A$3:$B$10,2,FALSE),0)*'FL Characterization'!K$2)</f>
        <v>49.326421315373253</v>
      </c>
      <c r="L2" s="2">
        <f>('[1]Pc, Spring, S2'!L2*Main!$B$5)+(_xlfn.IFNA(VLOOKUP($A2,'FL Ratio'!$A$3:$B$10,2,FALSE),0)*'FL Characterization'!L$2)</f>
        <v>50.957333648943113</v>
      </c>
      <c r="M2" s="2">
        <f>('[1]Pc, Spring, S2'!M2*Main!$B$5)+(_xlfn.IFNA(VLOOKUP($A2,'FL Ratio'!$A$3:$B$10,2,FALSE),0)*'FL Characterization'!M$2)</f>
        <v>49.612452713611198</v>
      </c>
      <c r="N2" s="2">
        <f>('[1]Pc, Spring, S2'!N2*Main!$B$5)+(_xlfn.IFNA(VLOOKUP($A2,'FL Ratio'!$A$3:$B$10,2,FALSE),0)*'FL Characterization'!N$2)</f>
        <v>50.395861612455448</v>
      </c>
      <c r="O2" s="2">
        <f>('[1]Pc, Spring, S2'!O2*Main!$B$5)+(_xlfn.IFNA(VLOOKUP($A2,'FL Ratio'!$A$3:$B$10,2,FALSE),0)*'FL Characterization'!O$2)</f>
        <v>51.409865422681783</v>
      </c>
      <c r="P2" s="2">
        <f>('[1]Pc, Spring, S2'!P2*Main!$B$5)+(_xlfn.IFNA(VLOOKUP($A2,'FL Ratio'!$A$3:$B$10,2,FALSE),0)*'FL Characterization'!P$2)</f>
        <v>47.209317057564576</v>
      </c>
      <c r="Q2" s="2">
        <f>('[1]Pc, Spring, S2'!Q2*Main!$B$5)+(_xlfn.IFNA(VLOOKUP($A2,'FL Ratio'!$A$3:$B$10,2,FALSE),0)*'FL Characterization'!Q$2)</f>
        <v>43.561584343121517</v>
      </c>
      <c r="R2" s="2">
        <f>('[1]Pc, Spring, S2'!R2*Main!$B$5)+(_xlfn.IFNA(VLOOKUP($A2,'FL Ratio'!$A$3:$B$10,2,FALSE),0)*'FL Characterization'!R$2)</f>
        <v>45.208162295477081</v>
      </c>
      <c r="S2" s="2">
        <f>('[1]Pc, Spring, S2'!S2*Main!$B$5)+(_xlfn.IFNA(VLOOKUP($A2,'FL Ratio'!$A$3:$B$10,2,FALSE),0)*'FL Characterization'!S$2)</f>
        <v>47.514238040554773</v>
      </c>
      <c r="T2" s="2">
        <f>('[1]Pc, Spring, S2'!T2*Main!$B$5)+(_xlfn.IFNA(VLOOKUP($A2,'FL Ratio'!$A$3:$B$10,2,FALSE),0)*'FL Characterization'!T$2)</f>
        <v>50.356383515466462</v>
      </c>
      <c r="U2" s="2">
        <f>('[1]Pc, Spring, S2'!U2*Main!$B$5)+(_xlfn.IFNA(VLOOKUP($A2,'FL Ratio'!$A$3:$B$10,2,FALSE),0)*'FL Characterization'!U$2)</f>
        <v>49.473365413774111</v>
      </c>
      <c r="V2" s="2">
        <f>('[1]Pc, Spring, S2'!V2*Main!$B$5)+(_xlfn.IFNA(VLOOKUP($A2,'FL Ratio'!$A$3:$B$10,2,FALSE),0)*'FL Characterization'!V$2)</f>
        <v>47.661790100871841</v>
      </c>
      <c r="W2" s="2">
        <f>('[1]Pc, Spring, S2'!W2*Main!$B$5)+(_xlfn.IFNA(VLOOKUP($A2,'FL Ratio'!$A$3:$B$10,2,FALSE),0)*'FL Characterization'!W$2)</f>
        <v>49.395423610402631</v>
      </c>
      <c r="X2" s="2">
        <f>('[1]Pc, Spring, S2'!X2*Main!$B$5)+(_xlfn.IFNA(VLOOKUP($A2,'FL Ratio'!$A$3:$B$10,2,FALSE),0)*'FL Characterization'!X$2)</f>
        <v>41.389337895305474</v>
      </c>
      <c r="Y2" s="2">
        <f>('[1]Pc, Spring, S2'!Y2*Main!$B$5)+(_xlfn.IFNA(VLOOKUP($A2,'FL Ratio'!$A$3:$B$10,2,FALSE),0)*'FL Characterization'!Y$2)</f>
        <v>41.560221924523468</v>
      </c>
    </row>
    <row r="3" spans="1:25" x14ac:dyDescent="0.3">
      <c r="A3">
        <v>2</v>
      </c>
      <c r="B3" s="2">
        <f>('[1]Pc, Spring, S2'!B3*Main!$B$5)+(_xlfn.IFNA(VLOOKUP($A3,'FL Ratio'!$A$3:$B$10,2,FALSE),0)*'FL Characterization'!B$2)</f>
        <v>36.90255865307126</v>
      </c>
      <c r="C3" s="2">
        <f>('[1]Pc, Spring, S2'!C3*Main!$B$5)+(_xlfn.IFNA(VLOOKUP($A3,'FL Ratio'!$A$3:$B$10,2,FALSE),0)*'FL Characterization'!C$2)</f>
        <v>35.805072330557493</v>
      </c>
      <c r="D3" s="2">
        <f>('[1]Pc, Spring, S2'!D3*Main!$B$5)+(_xlfn.IFNA(VLOOKUP($A3,'FL Ratio'!$A$3:$B$10,2,FALSE),0)*'FL Characterization'!D$2)</f>
        <v>32.151318470437609</v>
      </c>
      <c r="E3" s="2">
        <f>('[1]Pc, Spring, S2'!E3*Main!$B$5)+(_xlfn.IFNA(VLOOKUP($A3,'FL Ratio'!$A$3:$B$10,2,FALSE),0)*'FL Characterization'!E$2)</f>
        <v>33.151595218507246</v>
      </c>
      <c r="F3" s="2">
        <f>('[1]Pc, Spring, S2'!F3*Main!$B$5)+(_xlfn.IFNA(VLOOKUP($A3,'FL Ratio'!$A$3:$B$10,2,FALSE),0)*'FL Characterization'!F$2)</f>
        <v>31.723932790367193</v>
      </c>
      <c r="G3" s="2">
        <f>('[1]Pc, Spring, S2'!G3*Main!$B$5)+(_xlfn.IFNA(VLOOKUP($A3,'FL Ratio'!$A$3:$B$10,2,FALSE),0)*'FL Characterization'!G$2)</f>
        <v>34.743563004967179</v>
      </c>
      <c r="H3" s="2">
        <f>('[1]Pc, Spring, S2'!H3*Main!$B$5)+(_xlfn.IFNA(VLOOKUP($A3,'FL Ratio'!$A$3:$B$10,2,FALSE),0)*'FL Characterization'!H$2)</f>
        <v>45.165133750574491</v>
      </c>
      <c r="I3" s="2">
        <f>('[1]Pc, Spring, S2'!I3*Main!$B$5)+(_xlfn.IFNA(VLOOKUP($A3,'FL Ratio'!$A$3:$B$10,2,FALSE),0)*'FL Characterization'!I$2)</f>
        <v>51.451454491837744</v>
      </c>
      <c r="J3" s="2">
        <f>('[1]Pc, Spring, S2'!J3*Main!$B$5)+(_xlfn.IFNA(VLOOKUP($A3,'FL Ratio'!$A$3:$B$10,2,FALSE),0)*'FL Characterization'!J$2)</f>
        <v>55.843637579927865</v>
      </c>
      <c r="K3" s="2">
        <f>('[1]Pc, Spring, S2'!K3*Main!$B$5)+(_xlfn.IFNA(VLOOKUP($A3,'FL Ratio'!$A$3:$B$10,2,FALSE),0)*'FL Characterization'!K$2)</f>
        <v>54.396274673873293</v>
      </c>
      <c r="L3" s="2">
        <f>('[1]Pc, Spring, S2'!L3*Main!$B$5)+(_xlfn.IFNA(VLOOKUP($A3,'FL Ratio'!$A$3:$B$10,2,FALSE),0)*'FL Characterization'!L$2)</f>
        <v>51.214479352656298</v>
      </c>
      <c r="M3" s="2">
        <f>('[1]Pc, Spring, S2'!M3*Main!$B$5)+(_xlfn.IFNA(VLOOKUP($A3,'FL Ratio'!$A$3:$B$10,2,FALSE),0)*'FL Characterization'!M$2)</f>
        <v>55.894653963590095</v>
      </c>
      <c r="N3" s="2">
        <f>('[1]Pc, Spring, S2'!N3*Main!$B$5)+(_xlfn.IFNA(VLOOKUP($A3,'FL Ratio'!$A$3:$B$10,2,FALSE),0)*'FL Characterization'!N$2)</f>
        <v>53.950148875531944</v>
      </c>
      <c r="O3" s="2">
        <f>('[1]Pc, Spring, S2'!O3*Main!$B$5)+(_xlfn.IFNA(VLOOKUP($A3,'FL Ratio'!$A$3:$B$10,2,FALSE),0)*'FL Characterization'!O$2)</f>
        <v>52.14078515296692</v>
      </c>
      <c r="P3" s="2">
        <f>('[1]Pc, Spring, S2'!P3*Main!$B$5)+(_xlfn.IFNA(VLOOKUP($A3,'FL Ratio'!$A$3:$B$10,2,FALSE),0)*'FL Characterization'!P$2)</f>
        <v>51.432614968587387</v>
      </c>
      <c r="Q3" s="2">
        <f>('[1]Pc, Spring, S2'!Q3*Main!$B$5)+(_xlfn.IFNA(VLOOKUP($A3,'FL Ratio'!$A$3:$B$10,2,FALSE),0)*'FL Characterization'!Q$2)</f>
        <v>49.378515449178416</v>
      </c>
      <c r="R3" s="2">
        <f>('[1]Pc, Spring, S2'!R3*Main!$B$5)+(_xlfn.IFNA(VLOOKUP($A3,'FL Ratio'!$A$3:$B$10,2,FALSE),0)*'FL Characterization'!R$2)</f>
        <v>45.566903391762047</v>
      </c>
      <c r="S3" s="2">
        <f>('[1]Pc, Spring, S2'!S3*Main!$B$5)+(_xlfn.IFNA(VLOOKUP($A3,'FL Ratio'!$A$3:$B$10,2,FALSE),0)*'FL Characterization'!S$2)</f>
        <v>50.323223545881255</v>
      </c>
      <c r="T3" s="2">
        <f>('[1]Pc, Spring, S2'!T3*Main!$B$5)+(_xlfn.IFNA(VLOOKUP($A3,'FL Ratio'!$A$3:$B$10,2,FALSE),0)*'FL Characterization'!T$2)</f>
        <v>50.111112851292738</v>
      </c>
      <c r="U3" s="2">
        <f>('[1]Pc, Spring, S2'!U3*Main!$B$5)+(_xlfn.IFNA(VLOOKUP($A3,'FL Ratio'!$A$3:$B$10,2,FALSE),0)*'FL Characterization'!U$2)</f>
        <v>48.589721900252009</v>
      </c>
      <c r="V3" s="2">
        <f>('[1]Pc, Spring, S2'!V3*Main!$B$5)+(_xlfn.IFNA(VLOOKUP($A3,'FL Ratio'!$A$3:$B$10,2,FALSE),0)*'FL Characterization'!V$2)</f>
        <v>46.699285242433234</v>
      </c>
      <c r="W3" s="2">
        <f>('[1]Pc, Spring, S2'!W3*Main!$B$5)+(_xlfn.IFNA(VLOOKUP($A3,'FL Ratio'!$A$3:$B$10,2,FALSE),0)*'FL Characterization'!W$2)</f>
        <v>45.766205359138532</v>
      </c>
      <c r="X3" s="2">
        <f>('[1]Pc, Spring, S2'!X3*Main!$B$5)+(_xlfn.IFNA(VLOOKUP($A3,'FL Ratio'!$A$3:$B$10,2,FALSE),0)*'FL Characterization'!X$2)</f>
        <v>43.568295731674894</v>
      </c>
      <c r="Y3" s="2">
        <f>('[1]Pc, Spring, S2'!Y3*Main!$B$5)+(_xlfn.IFNA(VLOOKUP($A3,'FL Ratio'!$A$3:$B$10,2,FALSE),0)*'FL Characterization'!Y$2)</f>
        <v>40.854034825887751</v>
      </c>
    </row>
    <row r="4" spans="1:25" x14ac:dyDescent="0.3">
      <c r="A4">
        <v>3</v>
      </c>
      <c r="B4" s="2">
        <f>('[1]Pc, Spring, S2'!B4*Main!$B$5)+(_xlfn.IFNA(VLOOKUP($A4,'FL Ratio'!$A$3:$B$10,2,FALSE),0)*'FL Characterization'!B$2)</f>
        <v>50.370762773554674</v>
      </c>
      <c r="C4" s="2">
        <f>('[1]Pc, Spring, S2'!C4*Main!$B$5)+(_xlfn.IFNA(VLOOKUP($A4,'FL Ratio'!$A$3:$B$10,2,FALSE),0)*'FL Characterization'!C$2)</f>
        <v>44.239981431145225</v>
      </c>
      <c r="D4" s="2">
        <f>('[1]Pc, Spring, S2'!D4*Main!$B$5)+(_xlfn.IFNA(VLOOKUP($A4,'FL Ratio'!$A$3:$B$10,2,FALSE),0)*'FL Characterization'!D$2)</f>
        <v>44.334135228979846</v>
      </c>
      <c r="E4" s="2">
        <f>('[1]Pc, Spring, S2'!E4*Main!$B$5)+(_xlfn.IFNA(VLOOKUP($A4,'FL Ratio'!$A$3:$B$10,2,FALSE),0)*'FL Characterization'!E$2)</f>
        <v>40.876447509544803</v>
      </c>
      <c r="F4" s="2">
        <f>('[1]Pc, Spring, S2'!F4*Main!$B$5)+(_xlfn.IFNA(VLOOKUP($A4,'FL Ratio'!$A$3:$B$10,2,FALSE),0)*'FL Characterization'!F$2)</f>
        <v>43.097204393221716</v>
      </c>
      <c r="G4" s="2">
        <f>('[1]Pc, Spring, S2'!G4*Main!$B$5)+(_xlfn.IFNA(VLOOKUP($A4,'FL Ratio'!$A$3:$B$10,2,FALSE),0)*'FL Characterization'!G$2)</f>
        <v>42.248635342751918</v>
      </c>
      <c r="H4" s="2">
        <f>('[1]Pc, Spring, S2'!H4*Main!$B$5)+(_xlfn.IFNA(VLOOKUP($A4,'FL Ratio'!$A$3:$B$10,2,FALSE),0)*'FL Characterization'!H$2)</f>
        <v>49.467094544995767</v>
      </c>
      <c r="I4" s="2">
        <f>('[1]Pc, Spring, S2'!I4*Main!$B$5)+(_xlfn.IFNA(VLOOKUP($A4,'FL Ratio'!$A$3:$B$10,2,FALSE),0)*'FL Characterization'!I$2)</f>
        <v>53.283906282653113</v>
      </c>
      <c r="J4" s="2">
        <f>('[1]Pc, Spring, S2'!J4*Main!$B$5)+(_xlfn.IFNA(VLOOKUP($A4,'FL Ratio'!$A$3:$B$10,2,FALSE),0)*'FL Characterization'!J$2)</f>
        <v>61.55784591287393</v>
      </c>
      <c r="K4" s="2">
        <f>('[1]Pc, Spring, S2'!K4*Main!$B$5)+(_xlfn.IFNA(VLOOKUP($A4,'FL Ratio'!$A$3:$B$10,2,FALSE),0)*'FL Characterization'!K$2)</f>
        <v>63.279424536583427</v>
      </c>
      <c r="L4" s="2">
        <f>('[1]Pc, Spring, S2'!L4*Main!$B$5)+(_xlfn.IFNA(VLOOKUP($A4,'FL Ratio'!$A$3:$B$10,2,FALSE),0)*'FL Characterization'!L$2)</f>
        <v>65.378589487634898</v>
      </c>
      <c r="M4" s="2">
        <f>('[1]Pc, Spring, S2'!M4*Main!$B$5)+(_xlfn.IFNA(VLOOKUP($A4,'FL Ratio'!$A$3:$B$10,2,FALSE),0)*'FL Characterization'!M$2)</f>
        <v>68.999812272486523</v>
      </c>
      <c r="N4" s="2">
        <f>('[1]Pc, Spring, S2'!N4*Main!$B$5)+(_xlfn.IFNA(VLOOKUP($A4,'FL Ratio'!$A$3:$B$10,2,FALSE),0)*'FL Characterization'!N$2)</f>
        <v>69.620432665878809</v>
      </c>
      <c r="O4" s="2">
        <f>('[1]Pc, Spring, S2'!O4*Main!$B$5)+(_xlfn.IFNA(VLOOKUP($A4,'FL Ratio'!$A$3:$B$10,2,FALSE),0)*'FL Characterization'!O$2)</f>
        <v>69.484727253488515</v>
      </c>
      <c r="P4" s="2">
        <f>('[1]Pc, Spring, S2'!P4*Main!$B$5)+(_xlfn.IFNA(VLOOKUP($A4,'FL Ratio'!$A$3:$B$10,2,FALSE),0)*'FL Characterization'!P$2)</f>
        <v>65.70697468104791</v>
      </c>
      <c r="Q4" s="2">
        <f>('[1]Pc, Spring, S2'!Q4*Main!$B$5)+(_xlfn.IFNA(VLOOKUP($A4,'FL Ratio'!$A$3:$B$10,2,FALSE),0)*'FL Characterization'!Q$2)</f>
        <v>66.365076065405319</v>
      </c>
      <c r="R4" s="2">
        <f>('[1]Pc, Spring, S2'!R4*Main!$B$5)+(_xlfn.IFNA(VLOOKUP($A4,'FL Ratio'!$A$3:$B$10,2,FALSE),0)*'FL Characterization'!R$2)</f>
        <v>65.715930177980596</v>
      </c>
      <c r="S4" s="2">
        <f>('[1]Pc, Spring, S2'!S4*Main!$B$5)+(_xlfn.IFNA(VLOOKUP($A4,'FL Ratio'!$A$3:$B$10,2,FALSE),0)*'FL Characterization'!S$2)</f>
        <v>68.338437373942256</v>
      </c>
      <c r="T4" s="2">
        <f>('[1]Pc, Spring, S2'!T4*Main!$B$5)+(_xlfn.IFNA(VLOOKUP($A4,'FL Ratio'!$A$3:$B$10,2,FALSE),0)*'FL Characterization'!T$2)</f>
        <v>67.86033058979389</v>
      </c>
      <c r="U4" s="2">
        <f>('[1]Pc, Spring, S2'!U4*Main!$B$5)+(_xlfn.IFNA(VLOOKUP($A4,'FL Ratio'!$A$3:$B$10,2,FALSE),0)*'FL Characterization'!U$2)</f>
        <v>66.312951784264271</v>
      </c>
      <c r="V4" s="2">
        <f>('[1]Pc, Spring, S2'!V4*Main!$B$5)+(_xlfn.IFNA(VLOOKUP($A4,'FL Ratio'!$A$3:$B$10,2,FALSE),0)*'FL Characterization'!V$2)</f>
        <v>64.987302813243616</v>
      </c>
      <c r="W4" s="2">
        <f>('[1]Pc, Spring, S2'!W4*Main!$B$5)+(_xlfn.IFNA(VLOOKUP($A4,'FL Ratio'!$A$3:$B$10,2,FALSE),0)*'FL Characterization'!W$2)</f>
        <v>67.820173859890843</v>
      </c>
      <c r="X4" s="2">
        <f>('[1]Pc, Spring, S2'!X4*Main!$B$5)+(_xlfn.IFNA(VLOOKUP($A4,'FL Ratio'!$A$3:$B$10,2,FALSE),0)*'FL Characterization'!X$2)</f>
        <v>63.769444431116668</v>
      </c>
      <c r="Y4" s="2">
        <f>('[1]Pc, Spring, S2'!Y4*Main!$B$5)+(_xlfn.IFNA(VLOOKUP($A4,'FL Ratio'!$A$3:$B$10,2,FALSE),0)*'FL Characterization'!Y$2)</f>
        <v>58.52036251898263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6A5F3B-A6BB-4568-9E99-BFA17EFF7F46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Ratio'!$A$3:$B$10,2,FALSE),0)*'FL Characterization'!B$2)</f>
        <v>35.639775808179436</v>
      </c>
      <c r="C2" s="2">
        <f>('[1]Pc, Spring, S2'!C2*Main!$B$5)+(_xlfn.IFNA(VLOOKUP($A2,'FL Ratio'!$A$3:$B$10,2,FALSE),0)*'FL Characterization'!C$2)</f>
        <v>31.861823430459626</v>
      </c>
      <c r="D2" s="2">
        <f>('[1]Pc, Spring, S2'!D2*Main!$B$5)+(_xlfn.IFNA(VLOOKUP($A2,'FL Ratio'!$A$3:$B$10,2,FALSE),0)*'FL Characterization'!D$2)</f>
        <v>30.387135304189368</v>
      </c>
      <c r="E2" s="2">
        <f>('[1]Pc, Spring, S2'!E2*Main!$B$5)+(_xlfn.IFNA(VLOOKUP($A2,'FL Ratio'!$A$3:$B$10,2,FALSE),0)*'FL Characterization'!E$2)</f>
        <v>30.317244032001224</v>
      </c>
      <c r="F2" s="2">
        <f>('[1]Pc, Spring, S2'!F2*Main!$B$5)+(_xlfn.IFNA(VLOOKUP($A2,'FL Ratio'!$A$3:$B$10,2,FALSE),0)*'FL Characterization'!F$2)</f>
        <v>29.941961704716924</v>
      </c>
      <c r="G2" s="2">
        <f>('[1]Pc, Spring, S2'!G2*Main!$B$5)+(_xlfn.IFNA(VLOOKUP($A2,'FL Ratio'!$A$3:$B$10,2,FALSE),0)*'FL Characterization'!G$2)</f>
        <v>31.289219793082982</v>
      </c>
      <c r="H2" s="2">
        <f>('[1]Pc, Spring, S2'!H2*Main!$B$5)+(_xlfn.IFNA(VLOOKUP($A2,'FL Ratio'!$A$3:$B$10,2,FALSE),0)*'FL Characterization'!H$2)</f>
        <v>35.192787102466475</v>
      </c>
      <c r="I2" s="2">
        <f>('[1]Pc, Spring, S2'!I2*Main!$B$5)+(_xlfn.IFNA(VLOOKUP($A2,'FL Ratio'!$A$3:$B$10,2,FALSE),0)*'FL Characterization'!I$2)</f>
        <v>43.924453046038892</v>
      </c>
      <c r="J2" s="2">
        <f>('[1]Pc, Spring, S2'!J2*Main!$B$5)+(_xlfn.IFNA(VLOOKUP($A2,'FL Ratio'!$A$3:$B$10,2,FALSE),0)*'FL Characterization'!J$2)</f>
        <v>47.075128448230942</v>
      </c>
      <c r="K2" s="2">
        <f>('[1]Pc, Spring, S2'!K2*Main!$B$5)+(_xlfn.IFNA(VLOOKUP($A2,'FL Ratio'!$A$3:$B$10,2,FALSE),0)*'FL Characterization'!K$2)</f>
        <v>49.326421315373253</v>
      </c>
      <c r="L2" s="2">
        <f>('[1]Pc, Spring, S2'!L2*Main!$B$5)+(_xlfn.IFNA(VLOOKUP($A2,'FL Ratio'!$A$3:$B$10,2,FALSE),0)*'FL Characterization'!L$2)</f>
        <v>50.957333648943113</v>
      </c>
      <c r="M2" s="2">
        <f>('[1]Pc, Spring, S2'!M2*Main!$B$5)+(_xlfn.IFNA(VLOOKUP($A2,'FL Ratio'!$A$3:$B$10,2,FALSE),0)*'FL Characterization'!M$2)</f>
        <v>49.612452713611198</v>
      </c>
      <c r="N2" s="2">
        <f>('[1]Pc, Spring, S2'!N2*Main!$B$5)+(_xlfn.IFNA(VLOOKUP($A2,'FL Ratio'!$A$3:$B$10,2,FALSE),0)*'FL Characterization'!N$2)</f>
        <v>50.395861612455448</v>
      </c>
      <c r="O2" s="2">
        <f>('[1]Pc, Spring, S2'!O2*Main!$B$5)+(_xlfn.IFNA(VLOOKUP($A2,'FL Ratio'!$A$3:$B$10,2,FALSE),0)*'FL Characterization'!O$2)</f>
        <v>51.409865422681783</v>
      </c>
      <c r="P2" s="2">
        <f>('[1]Pc, Spring, S2'!P2*Main!$B$5)+(_xlfn.IFNA(VLOOKUP($A2,'FL Ratio'!$A$3:$B$10,2,FALSE),0)*'FL Characterization'!P$2)</f>
        <v>47.209317057564576</v>
      </c>
      <c r="Q2" s="2">
        <f>('[1]Pc, Spring, S2'!Q2*Main!$B$5)+(_xlfn.IFNA(VLOOKUP($A2,'FL Ratio'!$A$3:$B$10,2,FALSE),0)*'FL Characterization'!Q$2)</f>
        <v>43.561584343121517</v>
      </c>
      <c r="R2" s="2">
        <f>('[1]Pc, Spring, S2'!R2*Main!$B$5)+(_xlfn.IFNA(VLOOKUP($A2,'FL Ratio'!$A$3:$B$10,2,FALSE),0)*'FL Characterization'!R$2)</f>
        <v>45.208162295477081</v>
      </c>
      <c r="S2" s="2">
        <f>('[1]Pc, Spring, S2'!S2*Main!$B$5)+(_xlfn.IFNA(VLOOKUP($A2,'FL Ratio'!$A$3:$B$10,2,FALSE),0)*'FL Characterization'!S$2)</f>
        <v>47.514238040554773</v>
      </c>
      <c r="T2" s="2">
        <f>('[1]Pc, Spring, S2'!T2*Main!$B$5)+(_xlfn.IFNA(VLOOKUP($A2,'FL Ratio'!$A$3:$B$10,2,FALSE),0)*'FL Characterization'!T$2)</f>
        <v>50.356383515466462</v>
      </c>
      <c r="U2" s="2">
        <f>('[1]Pc, Spring, S2'!U2*Main!$B$5)+(_xlfn.IFNA(VLOOKUP($A2,'FL Ratio'!$A$3:$B$10,2,FALSE),0)*'FL Characterization'!U$2)</f>
        <v>49.473365413774111</v>
      </c>
      <c r="V2" s="2">
        <f>('[1]Pc, Spring, S2'!V2*Main!$B$5)+(_xlfn.IFNA(VLOOKUP($A2,'FL Ratio'!$A$3:$B$10,2,FALSE),0)*'FL Characterization'!V$2)</f>
        <v>47.661790100871841</v>
      </c>
      <c r="W2" s="2">
        <f>('[1]Pc, Spring, S2'!W2*Main!$B$5)+(_xlfn.IFNA(VLOOKUP($A2,'FL Ratio'!$A$3:$B$10,2,FALSE),0)*'FL Characterization'!W$2)</f>
        <v>49.395423610402631</v>
      </c>
      <c r="X2" s="2">
        <f>('[1]Pc, Spring, S2'!X2*Main!$B$5)+(_xlfn.IFNA(VLOOKUP($A2,'FL Ratio'!$A$3:$B$10,2,FALSE),0)*'FL Characterization'!X$2)</f>
        <v>41.389337895305474</v>
      </c>
      <c r="Y2" s="2">
        <f>('[1]Pc, Spring, S2'!Y2*Main!$B$5)+(_xlfn.IFNA(VLOOKUP($A2,'FL Ratio'!$A$3:$B$10,2,FALSE),0)*'FL Characterization'!Y$2)</f>
        <v>41.560221924523468</v>
      </c>
    </row>
    <row r="3" spans="1:25" x14ac:dyDescent="0.3">
      <c r="A3">
        <v>2</v>
      </c>
      <c r="B3" s="2">
        <f>('[1]Pc, Spring, S2'!B3*Main!$B$5)+(_xlfn.IFNA(VLOOKUP($A3,'FL Ratio'!$A$3:$B$10,2,FALSE),0)*'FL Characterization'!B$2)</f>
        <v>36.90255865307126</v>
      </c>
      <c r="C3" s="2">
        <f>('[1]Pc, Spring, S2'!C3*Main!$B$5)+(_xlfn.IFNA(VLOOKUP($A3,'FL Ratio'!$A$3:$B$10,2,FALSE),0)*'FL Characterization'!C$2)</f>
        <v>35.805072330557493</v>
      </c>
      <c r="D3" s="2">
        <f>('[1]Pc, Spring, S2'!D3*Main!$B$5)+(_xlfn.IFNA(VLOOKUP($A3,'FL Ratio'!$A$3:$B$10,2,FALSE),0)*'FL Characterization'!D$2)</f>
        <v>32.151318470437609</v>
      </c>
      <c r="E3" s="2">
        <f>('[1]Pc, Spring, S2'!E3*Main!$B$5)+(_xlfn.IFNA(VLOOKUP($A3,'FL Ratio'!$A$3:$B$10,2,FALSE),0)*'FL Characterization'!E$2)</f>
        <v>33.151595218507246</v>
      </c>
      <c r="F3" s="2">
        <f>('[1]Pc, Spring, S2'!F3*Main!$B$5)+(_xlfn.IFNA(VLOOKUP($A3,'FL Ratio'!$A$3:$B$10,2,FALSE),0)*'FL Characterization'!F$2)</f>
        <v>31.723932790367193</v>
      </c>
      <c r="G3" s="2">
        <f>('[1]Pc, Spring, S2'!G3*Main!$B$5)+(_xlfn.IFNA(VLOOKUP($A3,'FL Ratio'!$A$3:$B$10,2,FALSE),0)*'FL Characterization'!G$2)</f>
        <v>34.743563004967179</v>
      </c>
      <c r="H3" s="2">
        <f>('[1]Pc, Spring, S2'!H3*Main!$B$5)+(_xlfn.IFNA(VLOOKUP($A3,'FL Ratio'!$A$3:$B$10,2,FALSE),0)*'FL Characterization'!H$2)</f>
        <v>45.165133750574491</v>
      </c>
      <c r="I3" s="2">
        <f>('[1]Pc, Spring, S2'!I3*Main!$B$5)+(_xlfn.IFNA(VLOOKUP($A3,'FL Ratio'!$A$3:$B$10,2,FALSE),0)*'FL Characterization'!I$2)</f>
        <v>51.451454491837744</v>
      </c>
      <c r="J3" s="2">
        <f>('[1]Pc, Spring, S2'!J3*Main!$B$5)+(_xlfn.IFNA(VLOOKUP($A3,'FL Ratio'!$A$3:$B$10,2,FALSE),0)*'FL Characterization'!J$2)</f>
        <v>55.843637579927865</v>
      </c>
      <c r="K3" s="2">
        <f>('[1]Pc, Spring, S2'!K3*Main!$B$5)+(_xlfn.IFNA(VLOOKUP($A3,'FL Ratio'!$A$3:$B$10,2,FALSE),0)*'FL Characterization'!K$2)</f>
        <v>54.396274673873293</v>
      </c>
      <c r="L3" s="2">
        <f>('[1]Pc, Spring, S2'!L3*Main!$B$5)+(_xlfn.IFNA(VLOOKUP($A3,'FL Ratio'!$A$3:$B$10,2,FALSE),0)*'FL Characterization'!L$2)</f>
        <v>51.214479352656298</v>
      </c>
      <c r="M3" s="2">
        <f>('[1]Pc, Spring, S2'!M3*Main!$B$5)+(_xlfn.IFNA(VLOOKUP($A3,'FL Ratio'!$A$3:$B$10,2,FALSE),0)*'FL Characterization'!M$2)</f>
        <v>55.894653963590095</v>
      </c>
      <c r="N3" s="2">
        <f>('[1]Pc, Spring, S2'!N3*Main!$B$5)+(_xlfn.IFNA(VLOOKUP($A3,'FL Ratio'!$A$3:$B$10,2,FALSE),0)*'FL Characterization'!N$2)</f>
        <v>53.950148875531944</v>
      </c>
      <c r="O3" s="2">
        <f>('[1]Pc, Spring, S2'!O3*Main!$B$5)+(_xlfn.IFNA(VLOOKUP($A3,'FL Ratio'!$A$3:$B$10,2,FALSE),0)*'FL Characterization'!O$2)</f>
        <v>52.14078515296692</v>
      </c>
      <c r="P3" s="2">
        <f>('[1]Pc, Spring, S2'!P3*Main!$B$5)+(_xlfn.IFNA(VLOOKUP($A3,'FL Ratio'!$A$3:$B$10,2,FALSE),0)*'FL Characterization'!P$2)</f>
        <v>51.432614968587387</v>
      </c>
      <c r="Q3" s="2">
        <f>('[1]Pc, Spring, S2'!Q3*Main!$B$5)+(_xlfn.IFNA(VLOOKUP($A3,'FL Ratio'!$A$3:$B$10,2,FALSE),0)*'FL Characterization'!Q$2)</f>
        <v>49.378515449178416</v>
      </c>
      <c r="R3" s="2">
        <f>('[1]Pc, Spring, S2'!R3*Main!$B$5)+(_xlfn.IFNA(VLOOKUP($A3,'FL Ratio'!$A$3:$B$10,2,FALSE),0)*'FL Characterization'!R$2)</f>
        <v>45.566903391762047</v>
      </c>
      <c r="S3" s="2">
        <f>('[1]Pc, Spring, S2'!S3*Main!$B$5)+(_xlfn.IFNA(VLOOKUP($A3,'FL Ratio'!$A$3:$B$10,2,FALSE),0)*'FL Characterization'!S$2)</f>
        <v>50.323223545881255</v>
      </c>
      <c r="T3" s="2">
        <f>('[1]Pc, Spring, S2'!T3*Main!$B$5)+(_xlfn.IFNA(VLOOKUP($A3,'FL Ratio'!$A$3:$B$10,2,FALSE),0)*'FL Characterization'!T$2)</f>
        <v>50.111112851292738</v>
      </c>
      <c r="U3" s="2">
        <f>('[1]Pc, Spring, S2'!U3*Main!$B$5)+(_xlfn.IFNA(VLOOKUP($A3,'FL Ratio'!$A$3:$B$10,2,FALSE),0)*'FL Characterization'!U$2)</f>
        <v>48.589721900252009</v>
      </c>
      <c r="V3" s="2">
        <f>('[1]Pc, Spring, S2'!V3*Main!$B$5)+(_xlfn.IFNA(VLOOKUP($A3,'FL Ratio'!$A$3:$B$10,2,FALSE),0)*'FL Characterization'!V$2)</f>
        <v>46.699285242433234</v>
      </c>
      <c r="W3" s="2">
        <f>('[1]Pc, Spring, S2'!W3*Main!$B$5)+(_xlfn.IFNA(VLOOKUP($A3,'FL Ratio'!$A$3:$B$10,2,FALSE),0)*'FL Characterization'!W$2)</f>
        <v>45.766205359138532</v>
      </c>
      <c r="X3" s="2">
        <f>('[1]Pc, Spring, S2'!X3*Main!$B$5)+(_xlfn.IFNA(VLOOKUP($A3,'FL Ratio'!$A$3:$B$10,2,FALSE),0)*'FL Characterization'!X$2)</f>
        <v>43.568295731674894</v>
      </c>
      <c r="Y3" s="2">
        <f>('[1]Pc, Spring, S2'!Y3*Main!$B$5)+(_xlfn.IFNA(VLOOKUP($A3,'FL Ratio'!$A$3:$B$10,2,FALSE),0)*'FL Characterization'!Y$2)</f>
        <v>40.854034825887751</v>
      </c>
    </row>
    <row r="4" spans="1:25" x14ac:dyDescent="0.3">
      <c r="A4">
        <v>3</v>
      </c>
      <c r="B4" s="2">
        <f>('[1]Pc, Spring, S2'!B4*Main!$B$5)+(_xlfn.IFNA(VLOOKUP($A4,'FL Ratio'!$A$3:$B$10,2,FALSE),0)*'FL Characterization'!B$2)</f>
        <v>50.370762773554674</v>
      </c>
      <c r="C4" s="2">
        <f>('[1]Pc, Spring, S2'!C4*Main!$B$5)+(_xlfn.IFNA(VLOOKUP($A4,'FL Ratio'!$A$3:$B$10,2,FALSE),0)*'FL Characterization'!C$2)</f>
        <v>44.239981431145225</v>
      </c>
      <c r="D4" s="2">
        <f>('[1]Pc, Spring, S2'!D4*Main!$B$5)+(_xlfn.IFNA(VLOOKUP($A4,'FL Ratio'!$A$3:$B$10,2,FALSE),0)*'FL Characterization'!D$2)</f>
        <v>44.334135228979846</v>
      </c>
      <c r="E4" s="2">
        <f>('[1]Pc, Spring, S2'!E4*Main!$B$5)+(_xlfn.IFNA(VLOOKUP($A4,'FL Ratio'!$A$3:$B$10,2,FALSE),0)*'FL Characterization'!E$2)</f>
        <v>40.876447509544803</v>
      </c>
      <c r="F4" s="2">
        <f>('[1]Pc, Spring, S2'!F4*Main!$B$5)+(_xlfn.IFNA(VLOOKUP($A4,'FL Ratio'!$A$3:$B$10,2,FALSE),0)*'FL Characterization'!F$2)</f>
        <v>43.097204393221716</v>
      </c>
      <c r="G4" s="2">
        <f>('[1]Pc, Spring, S2'!G4*Main!$B$5)+(_xlfn.IFNA(VLOOKUP($A4,'FL Ratio'!$A$3:$B$10,2,FALSE),0)*'FL Characterization'!G$2)</f>
        <v>42.248635342751918</v>
      </c>
      <c r="H4" s="2">
        <f>('[1]Pc, Spring, S2'!H4*Main!$B$5)+(_xlfn.IFNA(VLOOKUP($A4,'FL Ratio'!$A$3:$B$10,2,FALSE),0)*'FL Characterization'!H$2)</f>
        <v>49.467094544995767</v>
      </c>
      <c r="I4" s="2">
        <f>('[1]Pc, Spring, S2'!I4*Main!$B$5)+(_xlfn.IFNA(VLOOKUP($A4,'FL Ratio'!$A$3:$B$10,2,FALSE),0)*'FL Characterization'!I$2)</f>
        <v>53.283906282653113</v>
      </c>
      <c r="J4" s="2">
        <f>('[1]Pc, Spring, S2'!J4*Main!$B$5)+(_xlfn.IFNA(VLOOKUP($A4,'FL Ratio'!$A$3:$B$10,2,FALSE),0)*'FL Characterization'!J$2)</f>
        <v>61.55784591287393</v>
      </c>
      <c r="K4" s="2">
        <f>('[1]Pc, Spring, S2'!K4*Main!$B$5)+(_xlfn.IFNA(VLOOKUP($A4,'FL Ratio'!$A$3:$B$10,2,FALSE),0)*'FL Characterization'!K$2)</f>
        <v>63.279424536583427</v>
      </c>
      <c r="L4" s="2">
        <f>('[1]Pc, Spring, S2'!L4*Main!$B$5)+(_xlfn.IFNA(VLOOKUP($A4,'FL Ratio'!$A$3:$B$10,2,FALSE),0)*'FL Characterization'!L$2)</f>
        <v>65.378589487634898</v>
      </c>
      <c r="M4" s="2">
        <f>('[1]Pc, Spring, S2'!M4*Main!$B$5)+(_xlfn.IFNA(VLOOKUP($A4,'FL Ratio'!$A$3:$B$10,2,FALSE),0)*'FL Characterization'!M$2)</f>
        <v>68.999812272486523</v>
      </c>
      <c r="N4" s="2">
        <f>('[1]Pc, Spring, S2'!N4*Main!$B$5)+(_xlfn.IFNA(VLOOKUP($A4,'FL Ratio'!$A$3:$B$10,2,FALSE),0)*'FL Characterization'!N$2)</f>
        <v>69.620432665878809</v>
      </c>
      <c r="O4" s="2">
        <f>('[1]Pc, Spring, S2'!O4*Main!$B$5)+(_xlfn.IFNA(VLOOKUP($A4,'FL Ratio'!$A$3:$B$10,2,FALSE),0)*'FL Characterization'!O$2)</f>
        <v>69.484727253488515</v>
      </c>
      <c r="P4" s="2">
        <f>('[1]Pc, Spring, S2'!P4*Main!$B$5)+(_xlfn.IFNA(VLOOKUP($A4,'FL Ratio'!$A$3:$B$10,2,FALSE),0)*'FL Characterization'!P$2)</f>
        <v>65.70697468104791</v>
      </c>
      <c r="Q4" s="2">
        <f>('[1]Pc, Spring, S2'!Q4*Main!$B$5)+(_xlfn.IFNA(VLOOKUP($A4,'FL Ratio'!$A$3:$B$10,2,FALSE),0)*'FL Characterization'!Q$2)</f>
        <v>66.365076065405319</v>
      </c>
      <c r="R4" s="2">
        <f>('[1]Pc, Spring, S2'!R4*Main!$B$5)+(_xlfn.IFNA(VLOOKUP($A4,'FL Ratio'!$A$3:$B$10,2,FALSE),0)*'FL Characterization'!R$2)</f>
        <v>65.715930177980596</v>
      </c>
      <c r="S4" s="2">
        <f>('[1]Pc, Spring, S2'!S4*Main!$B$5)+(_xlfn.IFNA(VLOOKUP($A4,'FL Ratio'!$A$3:$B$10,2,FALSE),0)*'FL Characterization'!S$2)</f>
        <v>68.338437373942256</v>
      </c>
      <c r="T4" s="2">
        <f>('[1]Pc, Spring, S2'!T4*Main!$B$5)+(_xlfn.IFNA(VLOOKUP($A4,'FL Ratio'!$A$3:$B$10,2,FALSE),0)*'FL Characterization'!T$2)</f>
        <v>67.86033058979389</v>
      </c>
      <c r="U4" s="2">
        <f>('[1]Pc, Spring, S2'!U4*Main!$B$5)+(_xlfn.IFNA(VLOOKUP($A4,'FL Ratio'!$A$3:$B$10,2,FALSE),0)*'FL Characterization'!U$2)</f>
        <v>66.312951784264271</v>
      </c>
      <c r="V4" s="2">
        <f>('[1]Pc, Spring, S2'!V4*Main!$B$5)+(_xlfn.IFNA(VLOOKUP($A4,'FL Ratio'!$A$3:$B$10,2,FALSE),0)*'FL Characterization'!V$2)</f>
        <v>64.987302813243616</v>
      </c>
      <c r="W4" s="2">
        <f>('[1]Pc, Spring, S2'!W4*Main!$B$5)+(_xlfn.IFNA(VLOOKUP($A4,'FL Ratio'!$A$3:$B$10,2,FALSE),0)*'FL Characterization'!W$2)</f>
        <v>67.820173859890843</v>
      </c>
      <c r="X4" s="2">
        <f>('[1]Pc, Spring, S2'!X4*Main!$B$5)+(_xlfn.IFNA(VLOOKUP($A4,'FL Ratio'!$A$3:$B$10,2,FALSE),0)*'FL Characterization'!X$2)</f>
        <v>63.769444431116668</v>
      </c>
      <c r="Y4" s="2">
        <f>('[1]Pc, Spring, S2'!Y4*Main!$B$5)+(_xlfn.IFNA(VLOOKUP($A4,'FL Ratio'!$A$3:$B$10,2,FALSE),0)*'FL Characterization'!Y$2)</f>
        <v>58.52036251898263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54355B-28E7-4651-81FC-2564B66FAF14}">
  <dimension ref="A1:Y28"/>
  <sheetViews>
    <sheetView workbookViewId="0">
      <selection activeCell="E17" sqref="E17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Ratio'!$A$3:$B$10,2,FALSE),0)*'FL Characterization'!B$2)</f>
        <v>35.639775808179436</v>
      </c>
      <c r="C2" s="2">
        <f>('[1]Pc, Spring, S2'!C2*Main!$B$5)+(_xlfn.IFNA(VLOOKUP($A2,'FL Ratio'!$A$3:$B$10,2,FALSE),0)*'FL Characterization'!C$2)</f>
        <v>31.861823430459626</v>
      </c>
      <c r="D2" s="2">
        <f>('[1]Pc, Spring, S2'!D2*Main!$B$5)+(_xlfn.IFNA(VLOOKUP($A2,'FL Ratio'!$A$3:$B$10,2,FALSE),0)*'FL Characterization'!D$2)</f>
        <v>30.387135304189368</v>
      </c>
      <c r="E2" s="2">
        <f>('[1]Pc, Spring, S2'!E2*Main!$B$5)+(_xlfn.IFNA(VLOOKUP($A2,'FL Ratio'!$A$3:$B$10,2,FALSE),0)*'FL Characterization'!E$2)</f>
        <v>30.317244032001224</v>
      </c>
      <c r="F2" s="2">
        <f>('[1]Pc, Spring, S2'!F2*Main!$B$5)+(_xlfn.IFNA(VLOOKUP($A2,'FL Ratio'!$A$3:$B$10,2,FALSE),0)*'FL Characterization'!F$2)</f>
        <v>29.941961704716924</v>
      </c>
      <c r="G2" s="2">
        <f>('[1]Pc, Spring, S2'!G2*Main!$B$5)+(_xlfn.IFNA(VLOOKUP($A2,'FL Ratio'!$A$3:$B$10,2,FALSE),0)*'FL Characterization'!G$2)</f>
        <v>31.289219793082982</v>
      </c>
      <c r="H2" s="2">
        <f>('[1]Pc, Spring, S2'!H2*Main!$B$5)+(_xlfn.IFNA(VLOOKUP($A2,'FL Ratio'!$A$3:$B$10,2,FALSE),0)*'FL Characterization'!H$2)</f>
        <v>35.192787102466475</v>
      </c>
      <c r="I2" s="2">
        <f>('[1]Pc, Spring, S2'!I2*Main!$B$5)+(_xlfn.IFNA(VLOOKUP($A2,'FL Ratio'!$A$3:$B$10,2,FALSE),0)*'FL Characterization'!I$2)</f>
        <v>43.924453046038892</v>
      </c>
      <c r="J2" s="2">
        <f>('[1]Pc, Spring, S2'!J2*Main!$B$5)+(_xlfn.IFNA(VLOOKUP($A2,'FL Ratio'!$A$3:$B$10,2,FALSE),0)*'FL Characterization'!J$2)</f>
        <v>47.075128448230942</v>
      </c>
      <c r="K2" s="2">
        <f>('[1]Pc, Spring, S2'!K2*Main!$B$5)+(_xlfn.IFNA(VLOOKUP($A2,'FL Ratio'!$A$3:$B$10,2,FALSE),0)*'FL Characterization'!K$2)</f>
        <v>49.326421315373253</v>
      </c>
      <c r="L2" s="2">
        <f>('[1]Pc, Spring, S2'!L2*Main!$B$5)+(_xlfn.IFNA(VLOOKUP($A2,'FL Ratio'!$A$3:$B$10,2,FALSE),0)*'FL Characterization'!L$2)</f>
        <v>50.957333648943113</v>
      </c>
      <c r="M2" s="2">
        <f>('[1]Pc, Spring, S2'!M2*Main!$B$5)+(_xlfn.IFNA(VLOOKUP($A2,'FL Ratio'!$A$3:$B$10,2,FALSE),0)*'FL Characterization'!M$2)</f>
        <v>49.612452713611198</v>
      </c>
      <c r="N2" s="2">
        <f>('[1]Pc, Spring, S2'!N2*Main!$B$5)+(_xlfn.IFNA(VLOOKUP($A2,'FL Ratio'!$A$3:$B$10,2,FALSE),0)*'FL Characterization'!N$2)</f>
        <v>50.395861612455448</v>
      </c>
      <c r="O2" s="2">
        <f>('[1]Pc, Spring, S2'!O2*Main!$B$5)+(_xlfn.IFNA(VLOOKUP($A2,'FL Ratio'!$A$3:$B$10,2,FALSE),0)*'FL Characterization'!O$2)</f>
        <v>51.409865422681783</v>
      </c>
      <c r="P2" s="2">
        <f>('[1]Pc, Spring, S2'!P2*Main!$B$5)+(_xlfn.IFNA(VLOOKUP($A2,'FL Ratio'!$A$3:$B$10,2,FALSE),0)*'FL Characterization'!P$2)</f>
        <v>47.209317057564576</v>
      </c>
      <c r="Q2" s="2">
        <f>('[1]Pc, Spring, S2'!Q2*Main!$B$5)+(_xlfn.IFNA(VLOOKUP($A2,'FL Ratio'!$A$3:$B$10,2,FALSE),0)*'FL Characterization'!Q$2)</f>
        <v>43.561584343121517</v>
      </c>
      <c r="R2" s="2">
        <f>('[1]Pc, Spring, S2'!R2*Main!$B$5)+(_xlfn.IFNA(VLOOKUP($A2,'FL Ratio'!$A$3:$B$10,2,FALSE),0)*'FL Characterization'!R$2)</f>
        <v>45.208162295477081</v>
      </c>
      <c r="S2" s="2">
        <f>('[1]Pc, Spring, S2'!S2*Main!$B$5)+(_xlfn.IFNA(VLOOKUP($A2,'FL Ratio'!$A$3:$B$10,2,FALSE),0)*'FL Characterization'!S$2)</f>
        <v>47.514238040554773</v>
      </c>
      <c r="T2" s="2">
        <f>('[1]Pc, Spring, S2'!T2*Main!$B$5)+(_xlfn.IFNA(VLOOKUP($A2,'FL Ratio'!$A$3:$B$10,2,FALSE),0)*'FL Characterization'!T$2)</f>
        <v>50.356383515466462</v>
      </c>
      <c r="U2" s="2">
        <f>('[1]Pc, Spring, S2'!U2*Main!$B$5)+(_xlfn.IFNA(VLOOKUP($A2,'FL Ratio'!$A$3:$B$10,2,FALSE),0)*'FL Characterization'!U$2)</f>
        <v>49.473365413774111</v>
      </c>
      <c r="V2" s="2">
        <f>('[1]Pc, Spring, S2'!V2*Main!$B$5)+(_xlfn.IFNA(VLOOKUP($A2,'FL Ratio'!$A$3:$B$10,2,FALSE),0)*'FL Characterization'!V$2)</f>
        <v>47.661790100871841</v>
      </c>
      <c r="W2" s="2">
        <f>('[1]Pc, Spring, S2'!W2*Main!$B$5)+(_xlfn.IFNA(VLOOKUP($A2,'FL Ratio'!$A$3:$B$10,2,FALSE),0)*'FL Characterization'!W$2)</f>
        <v>49.395423610402631</v>
      </c>
      <c r="X2" s="2">
        <f>('[1]Pc, Spring, S2'!X2*Main!$B$5)+(_xlfn.IFNA(VLOOKUP($A2,'FL Ratio'!$A$3:$B$10,2,FALSE),0)*'FL Characterization'!X$2)</f>
        <v>41.389337895305474</v>
      </c>
      <c r="Y2" s="2">
        <f>('[1]Pc, Spring, S2'!Y2*Main!$B$5)+(_xlfn.IFNA(VLOOKUP($A2,'FL Ratio'!$A$3:$B$10,2,FALSE),0)*'FL Characterization'!Y$2)</f>
        <v>41.560221924523468</v>
      </c>
    </row>
    <row r="3" spans="1:25" x14ac:dyDescent="0.3">
      <c r="A3">
        <v>2</v>
      </c>
      <c r="B3" s="2">
        <f>('[1]Pc, Spring, S2'!B3*Main!$B$5)+(_xlfn.IFNA(VLOOKUP($A3,'FL Ratio'!$A$3:$B$10,2,FALSE),0)*'FL Characterization'!B$2)</f>
        <v>36.90255865307126</v>
      </c>
      <c r="C3" s="2">
        <f>('[1]Pc, Spring, S2'!C3*Main!$B$5)+(_xlfn.IFNA(VLOOKUP($A3,'FL Ratio'!$A$3:$B$10,2,FALSE),0)*'FL Characterization'!C$2)</f>
        <v>35.805072330557493</v>
      </c>
      <c r="D3" s="2">
        <f>('[1]Pc, Spring, S2'!D3*Main!$B$5)+(_xlfn.IFNA(VLOOKUP($A3,'FL Ratio'!$A$3:$B$10,2,FALSE),0)*'FL Characterization'!D$2)</f>
        <v>32.151318470437609</v>
      </c>
      <c r="E3" s="2">
        <f>('[1]Pc, Spring, S2'!E3*Main!$B$5)+(_xlfn.IFNA(VLOOKUP($A3,'FL Ratio'!$A$3:$B$10,2,FALSE),0)*'FL Characterization'!E$2)</f>
        <v>33.151595218507246</v>
      </c>
      <c r="F3" s="2">
        <f>('[1]Pc, Spring, S2'!F3*Main!$B$5)+(_xlfn.IFNA(VLOOKUP($A3,'FL Ratio'!$A$3:$B$10,2,FALSE),0)*'FL Characterization'!F$2)</f>
        <v>31.723932790367193</v>
      </c>
      <c r="G3" s="2">
        <f>('[1]Pc, Spring, S2'!G3*Main!$B$5)+(_xlfn.IFNA(VLOOKUP($A3,'FL Ratio'!$A$3:$B$10,2,FALSE),0)*'FL Characterization'!G$2)</f>
        <v>34.743563004967179</v>
      </c>
      <c r="H3" s="2">
        <f>('[1]Pc, Spring, S2'!H3*Main!$B$5)+(_xlfn.IFNA(VLOOKUP($A3,'FL Ratio'!$A$3:$B$10,2,FALSE),0)*'FL Characterization'!H$2)</f>
        <v>45.165133750574491</v>
      </c>
      <c r="I3" s="2">
        <f>('[1]Pc, Spring, S2'!I3*Main!$B$5)+(_xlfn.IFNA(VLOOKUP($A3,'FL Ratio'!$A$3:$B$10,2,FALSE),0)*'FL Characterization'!I$2)</f>
        <v>51.451454491837744</v>
      </c>
      <c r="J3" s="2">
        <f>('[1]Pc, Spring, S2'!J3*Main!$B$5)+(_xlfn.IFNA(VLOOKUP($A3,'FL Ratio'!$A$3:$B$10,2,FALSE),0)*'FL Characterization'!J$2)</f>
        <v>55.843637579927865</v>
      </c>
      <c r="K3" s="2">
        <f>('[1]Pc, Spring, S2'!K3*Main!$B$5)+(_xlfn.IFNA(VLOOKUP($A3,'FL Ratio'!$A$3:$B$10,2,FALSE),0)*'FL Characterization'!K$2)</f>
        <v>54.396274673873293</v>
      </c>
      <c r="L3" s="2">
        <f>('[1]Pc, Spring, S2'!L3*Main!$B$5)+(_xlfn.IFNA(VLOOKUP($A3,'FL Ratio'!$A$3:$B$10,2,FALSE),0)*'FL Characterization'!L$2)</f>
        <v>51.214479352656298</v>
      </c>
      <c r="M3" s="2">
        <f>('[1]Pc, Spring, S2'!M3*Main!$B$5)+(_xlfn.IFNA(VLOOKUP($A3,'FL Ratio'!$A$3:$B$10,2,FALSE),0)*'FL Characterization'!M$2)</f>
        <v>55.894653963590095</v>
      </c>
      <c r="N3" s="2">
        <f>('[1]Pc, Spring, S2'!N3*Main!$B$5)+(_xlfn.IFNA(VLOOKUP($A3,'FL Ratio'!$A$3:$B$10,2,FALSE),0)*'FL Characterization'!N$2)</f>
        <v>53.950148875531944</v>
      </c>
      <c r="O3" s="2">
        <f>('[1]Pc, Spring, S2'!O3*Main!$B$5)+(_xlfn.IFNA(VLOOKUP($A3,'FL Ratio'!$A$3:$B$10,2,FALSE),0)*'FL Characterization'!O$2)</f>
        <v>52.14078515296692</v>
      </c>
      <c r="P3" s="2">
        <f>('[1]Pc, Spring, S2'!P3*Main!$B$5)+(_xlfn.IFNA(VLOOKUP($A3,'FL Ratio'!$A$3:$B$10,2,FALSE),0)*'FL Characterization'!P$2)</f>
        <v>51.432614968587387</v>
      </c>
      <c r="Q3" s="2">
        <f>('[1]Pc, Spring, S2'!Q3*Main!$B$5)+(_xlfn.IFNA(VLOOKUP($A3,'FL Ratio'!$A$3:$B$10,2,FALSE),0)*'FL Characterization'!Q$2)</f>
        <v>49.378515449178416</v>
      </c>
      <c r="R3" s="2">
        <f>('[1]Pc, Spring, S2'!R3*Main!$B$5)+(_xlfn.IFNA(VLOOKUP($A3,'FL Ratio'!$A$3:$B$10,2,FALSE),0)*'FL Characterization'!R$2)</f>
        <v>45.566903391762047</v>
      </c>
      <c r="S3" s="2">
        <f>('[1]Pc, Spring, S2'!S3*Main!$B$5)+(_xlfn.IFNA(VLOOKUP($A3,'FL Ratio'!$A$3:$B$10,2,FALSE),0)*'FL Characterization'!S$2)</f>
        <v>50.323223545881255</v>
      </c>
      <c r="T3" s="2">
        <f>('[1]Pc, Spring, S2'!T3*Main!$B$5)+(_xlfn.IFNA(VLOOKUP($A3,'FL Ratio'!$A$3:$B$10,2,FALSE),0)*'FL Characterization'!T$2)</f>
        <v>50.111112851292738</v>
      </c>
      <c r="U3" s="2">
        <f>('[1]Pc, Spring, S2'!U3*Main!$B$5)+(_xlfn.IFNA(VLOOKUP($A3,'FL Ratio'!$A$3:$B$10,2,FALSE),0)*'FL Characterization'!U$2)</f>
        <v>48.589721900252009</v>
      </c>
      <c r="V3" s="2">
        <f>('[1]Pc, Spring, S2'!V3*Main!$B$5)+(_xlfn.IFNA(VLOOKUP($A3,'FL Ratio'!$A$3:$B$10,2,FALSE),0)*'FL Characterization'!V$2)</f>
        <v>46.699285242433234</v>
      </c>
      <c r="W3" s="2">
        <f>('[1]Pc, Spring, S2'!W3*Main!$B$5)+(_xlfn.IFNA(VLOOKUP($A3,'FL Ratio'!$A$3:$B$10,2,FALSE),0)*'FL Characterization'!W$2)</f>
        <v>45.766205359138532</v>
      </c>
      <c r="X3" s="2">
        <f>('[1]Pc, Spring, S2'!X3*Main!$B$5)+(_xlfn.IFNA(VLOOKUP($A3,'FL Ratio'!$A$3:$B$10,2,FALSE),0)*'FL Characterization'!X$2)</f>
        <v>43.568295731674894</v>
      </c>
      <c r="Y3" s="2">
        <f>('[1]Pc, Spring, S2'!Y3*Main!$B$5)+(_xlfn.IFNA(VLOOKUP($A3,'FL Ratio'!$A$3:$B$10,2,FALSE),0)*'FL Characterization'!Y$2)</f>
        <v>40.854034825887751</v>
      </c>
    </row>
    <row r="4" spans="1:25" x14ac:dyDescent="0.3">
      <c r="A4">
        <v>3</v>
      </c>
      <c r="B4" s="2">
        <f>('[1]Pc, Spring, S2'!B4*Main!$B$5)+(_xlfn.IFNA(VLOOKUP($A4,'FL Ratio'!$A$3:$B$10,2,FALSE),0)*'FL Characterization'!B$2)</f>
        <v>50.370762773554674</v>
      </c>
      <c r="C4" s="2">
        <f>('[1]Pc, Spring, S2'!C4*Main!$B$5)+(_xlfn.IFNA(VLOOKUP($A4,'FL Ratio'!$A$3:$B$10,2,FALSE),0)*'FL Characterization'!C$2)</f>
        <v>44.239981431145225</v>
      </c>
      <c r="D4" s="2">
        <f>('[1]Pc, Spring, S2'!D4*Main!$B$5)+(_xlfn.IFNA(VLOOKUP($A4,'FL Ratio'!$A$3:$B$10,2,FALSE),0)*'FL Characterization'!D$2)</f>
        <v>44.334135228979846</v>
      </c>
      <c r="E4" s="2">
        <f>('[1]Pc, Spring, S2'!E4*Main!$B$5)+(_xlfn.IFNA(VLOOKUP($A4,'FL Ratio'!$A$3:$B$10,2,FALSE),0)*'FL Characterization'!E$2)</f>
        <v>40.876447509544803</v>
      </c>
      <c r="F4" s="2">
        <f>('[1]Pc, Spring, S2'!F4*Main!$B$5)+(_xlfn.IFNA(VLOOKUP($A4,'FL Ratio'!$A$3:$B$10,2,FALSE),0)*'FL Characterization'!F$2)</f>
        <v>43.097204393221716</v>
      </c>
      <c r="G4" s="2">
        <f>('[1]Pc, Spring, S2'!G4*Main!$B$5)+(_xlfn.IFNA(VLOOKUP($A4,'FL Ratio'!$A$3:$B$10,2,FALSE),0)*'FL Characterization'!G$2)</f>
        <v>42.248635342751918</v>
      </c>
      <c r="H4" s="2">
        <f>('[1]Pc, Spring, S2'!H4*Main!$B$5)+(_xlfn.IFNA(VLOOKUP($A4,'FL Ratio'!$A$3:$B$10,2,FALSE),0)*'FL Characterization'!H$2)</f>
        <v>49.467094544995767</v>
      </c>
      <c r="I4" s="2">
        <f>('[1]Pc, Spring, S2'!I4*Main!$B$5)+(_xlfn.IFNA(VLOOKUP($A4,'FL Ratio'!$A$3:$B$10,2,FALSE),0)*'FL Characterization'!I$2)</f>
        <v>53.283906282653113</v>
      </c>
      <c r="J4" s="2">
        <f>('[1]Pc, Spring, S2'!J4*Main!$B$5)+(_xlfn.IFNA(VLOOKUP($A4,'FL Ratio'!$A$3:$B$10,2,FALSE),0)*'FL Characterization'!J$2)</f>
        <v>61.55784591287393</v>
      </c>
      <c r="K4" s="2">
        <f>('[1]Pc, Spring, S2'!K4*Main!$B$5)+(_xlfn.IFNA(VLOOKUP($A4,'FL Ratio'!$A$3:$B$10,2,FALSE),0)*'FL Characterization'!K$2)</f>
        <v>63.279424536583427</v>
      </c>
      <c r="L4" s="2">
        <f>('[1]Pc, Spring, S2'!L4*Main!$B$5)+(_xlfn.IFNA(VLOOKUP($A4,'FL Ratio'!$A$3:$B$10,2,FALSE),0)*'FL Characterization'!L$2)</f>
        <v>65.378589487634898</v>
      </c>
      <c r="M4" s="2">
        <f>('[1]Pc, Spring, S2'!M4*Main!$B$5)+(_xlfn.IFNA(VLOOKUP($A4,'FL Ratio'!$A$3:$B$10,2,FALSE),0)*'FL Characterization'!M$2)</f>
        <v>68.999812272486523</v>
      </c>
      <c r="N4" s="2">
        <f>('[1]Pc, Spring, S2'!N4*Main!$B$5)+(_xlfn.IFNA(VLOOKUP($A4,'FL Ratio'!$A$3:$B$10,2,FALSE),0)*'FL Characterization'!N$2)</f>
        <v>69.620432665878809</v>
      </c>
      <c r="O4" s="2">
        <f>('[1]Pc, Spring, S2'!O4*Main!$B$5)+(_xlfn.IFNA(VLOOKUP($A4,'FL Ratio'!$A$3:$B$10,2,FALSE),0)*'FL Characterization'!O$2)</f>
        <v>69.484727253488515</v>
      </c>
      <c r="P4" s="2">
        <f>('[1]Pc, Spring, S2'!P4*Main!$B$5)+(_xlfn.IFNA(VLOOKUP($A4,'FL Ratio'!$A$3:$B$10,2,FALSE),0)*'FL Characterization'!P$2)</f>
        <v>65.70697468104791</v>
      </c>
      <c r="Q4" s="2">
        <f>('[1]Pc, Spring, S2'!Q4*Main!$B$5)+(_xlfn.IFNA(VLOOKUP($A4,'FL Ratio'!$A$3:$B$10,2,FALSE),0)*'FL Characterization'!Q$2)</f>
        <v>66.365076065405319</v>
      </c>
      <c r="R4" s="2">
        <f>('[1]Pc, Spring, S2'!R4*Main!$B$5)+(_xlfn.IFNA(VLOOKUP($A4,'FL Ratio'!$A$3:$B$10,2,FALSE),0)*'FL Characterization'!R$2)</f>
        <v>65.715930177980596</v>
      </c>
      <c r="S4" s="2">
        <f>('[1]Pc, Spring, S2'!S4*Main!$B$5)+(_xlfn.IFNA(VLOOKUP($A4,'FL Ratio'!$A$3:$B$10,2,FALSE),0)*'FL Characterization'!S$2)</f>
        <v>68.338437373942256</v>
      </c>
      <c r="T4" s="2">
        <f>('[1]Pc, Spring, S2'!T4*Main!$B$5)+(_xlfn.IFNA(VLOOKUP($A4,'FL Ratio'!$A$3:$B$10,2,FALSE),0)*'FL Characterization'!T$2)</f>
        <v>67.86033058979389</v>
      </c>
      <c r="U4" s="2">
        <f>('[1]Pc, Spring, S2'!U4*Main!$B$5)+(_xlfn.IFNA(VLOOKUP($A4,'FL Ratio'!$A$3:$B$10,2,FALSE),0)*'FL Characterization'!U$2)</f>
        <v>66.312951784264271</v>
      </c>
      <c r="V4" s="2">
        <f>('[1]Pc, Spring, S2'!V4*Main!$B$5)+(_xlfn.IFNA(VLOOKUP($A4,'FL Ratio'!$A$3:$B$10,2,FALSE),0)*'FL Characterization'!V$2)</f>
        <v>64.987302813243616</v>
      </c>
      <c r="W4" s="2">
        <f>('[1]Pc, Spring, S2'!W4*Main!$B$5)+(_xlfn.IFNA(VLOOKUP($A4,'FL Ratio'!$A$3:$B$10,2,FALSE),0)*'FL Characterization'!W$2)</f>
        <v>67.820173859890843</v>
      </c>
      <c r="X4" s="2">
        <f>('[1]Pc, Spring, S2'!X4*Main!$B$5)+(_xlfn.IFNA(VLOOKUP($A4,'FL Ratio'!$A$3:$B$10,2,FALSE),0)*'FL Characterization'!X$2)</f>
        <v>63.769444431116668</v>
      </c>
      <c r="Y4" s="2">
        <f>('[1]Pc, Spring, S2'!Y4*Main!$B$5)+(_xlfn.IFNA(VLOOKUP($A4,'FL Ratio'!$A$3:$B$10,2,FALSE),0)*'FL Characterization'!Y$2)</f>
        <v>58.52036251898263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3C3171-7D56-4100-BF8F-9607196E6BB9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Ratio'!$A$3:$B$10,2,FALSE),0)*'FL Characterization'!B$2)</f>
        <v>33.909689603898883</v>
      </c>
      <c r="C2" s="2">
        <f>('[1]Pc, Spring, S3'!C2*Main!$B$5)+(_xlfn.IFNA(VLOOKUP($A2,'FL Ratio'!$A$3:$B$10,2,FALSE),0)*'FL Characterization'!C$2)</f>
        <v>30.31513297267032</v>
      </c>
      <c r="D2" s="2">
        <f>('[1]Pc, Spring, S3'!D2*Main!$B$5)+(_xlfn.IFNA(VLOOKUP($A2,'FL Ratio'!$A$3:$B$10,2,FALSE),0)*'FL Characterization'!D$2)</f>
        <v>28.912031648646199</v>
      </c>
      <c r="E2" s="2">
        <f>('[1]Pc, Spring, S3'!E2*Main!$B$5)+(_xlfn.IFNA(VLOOKUP($A2,'FL Ratio'!$A$3:$B$10,2,FALSE),0)*'FL Characterization'!E$2)</f>
        <v>28.845533156661357</v>
      </c>
      <c r="F2" s="2">
        <f>('[1]Pc, Spring, S3'!F2*Main!$B$5)+(_xlfn.IFNA(VLOOKUP($A2,'FL Ratio'!$A$3:$B$10,2,FALSE),0)*'FL Characterization'!F$2)</f>
        <v>28.488468418080171</v>
      </c>
      <c r="G2" s="2">
        <f>('[1]Pc, Spring, S3'!G2*Main!$B$5)+(_xlfn.IFNA(VLOOKUP($A2,'FL Ratio'!$A$3:$B$10,2,FALSE),0)*'FL Characterization'!G$2)</f>
        <v>29.770325628370216</v>
      </c>
      <c r="H2" s="2">
        <f>('[1]Pc, Spring, S3'!H2*Main!$B$5)+(_xlfn.IFNA(VLOOKUP($A2,'FL Ratio'!$A$3:$B$10,2,FALSE),0)*'FL Characterization'!H$2)</f>
        <v>33.484399379045776</v>
      </c>
      <c r="I2" s="2">
        <f>('[1]Pc, Spring, S3'!I2*Main!$B$5)+(_xlfn.IFNA(VLOOKUP($A2,'FL Ratio'!$A$3:$B$10,2,FALSE),0)*'FL Characterization'!I$2)</f>
        <v>41.792198043803992</v>
      </c>
      <c r="J2" s="2">
        <f>('[1]Pc, Spring, S3'!J2*Main!$B$5)+(_xlfn.IFNA(VLOOKUP($A2,'FL Ratio'!$A$3:$B$10,2,FALSE),0)*'FL Characterization'!J$2)</f>
        <v>44.789928038122639</v>
      </c>
      <c r="K2" s="2">
        <f>('[1]Pc, Spring, S3'!K2*Main!$B$5)+(_xlfn.IFNA(VLOOKUP($A2,'FL Ratio'!$A$3:$B$10,2,FALSE),0)*'FL Characterization'!K$2)</f>
        <v>46.93193484375319</v>
      </c>
      <c r="L2" s="2">
        <f>('[1]Pc, Spring, S3'!L2*Main!$B$5)+(_xlfn.IFNA(VLOOKUP($A2,'FL Ratio'!$A$3:$B$10,2,FALSE),0)*'FL Characterization'!L$2)</f>
        <v>48.483676675693452</v>
      </c>
      <c r="M2" s="2">
        <f>('[1]Pc, Spring, S3'!M2*Main!$B$5)+(_xlfn.IFNA(VLOOKUP($A2,'FL Ratio'!$A$3:$B$10,2,FALSE),0)*'FL Characterization'!M$2)</f>
        <v>47.204081222659198</v>
      </c>
      <c r="N2" s="2">
        <f>('[1]Pc, Spring, S3'!N2*Main!$B$5)+(_xlfn.IFNA(VLOOKUP($A2,'FL Ratio'!$A$3:$B$10,2,FALSE),0)*'FL Characterization'!N$2)</f>
        <v>47.949460563307127</v>
      </c>
      <c r="O2" s="2">
        <f>('[1]Pc, Spring, S3'!O2*Main!$B$5)+(_xlfn.IFNA(VLOOKUP($A2,'FL Ratio'!$A$3:$B$10,2,FALSE),0)*'FL Characterization'!O$2)</f>
        <v>48.914240887600137</v>
      </c>
      <c r="P2" s="2">
        <f>('[1]Pc, Spring, S3'!P2*Main!$B$5)+(_xlfn.IFNA(VLOOKUP($A2,'FL Ratio'!$A$3:$B$10,2,FALSE),0)*'FL Characterization'!P$2)</f>
        <v>44.917602637294451</v>
      </c>
      <c r="Q2" s="2">
        <f>('[1]Pc, Spring, S3'!Q2*Main!$B$5)+(_xlfn.IFNA(VLOOKUP($A2,'FL Ratio'!$A$3:$B$10,2,FALSE),0)*'FL Characterization'!Q$2)</f>
        <v>41.446944326465129</v>
      </c>
      <c r="R2" s="2">
        <f>('[1]Pc, Spring, S3'!R2*Main!$B$5)+(_xlfn.IFNA(VLOOKUP($A2,'FL Ratio'!$A$3:$B$10,2,FALSE),0)*'FL Characterization'!R$2)</f>
        <v>43.013591310259748</v>
      </c>
      <c r="S2" s="2">
        <f>('[1]Pc, Spring, S3'!S2*Main!$B$5)+(_xlfn.IFNA(VLOOKUP($A2,'FL Ratio'!$A$3:$B$10,2,FALSE),0)*'FL Characterization'!S$2)</f>
        <v>45.207721630819094</v>
      </c>
      <c r="T2" s="2">
        <f>('[1]Pc, Spring, S3'!T2*Main!$B$5)+(_xlfn.IFNA(VLOOKUP($A2,'FL Ratio'!$A$3:$B$10,2,FALSE),0)*'FL Characterization'!T$2)</f>
        <v>47.911898878793323</v>
      </c>
      <c r="U2" s="2">
        <f>('[1]Pc, Spring, S3'!U2*Main!$B$5)+(_xlfn.IFNA(VLOOKUP($A2,'FL Ratio'!$A$3:$B$10,2,FALSE),0)*'FL Characterization'!U$2)</f>
        <v>47.071745733493813</v>
      </c>
      <c r="V2" s="2">
        <f>('[1]Pc, Spring, S3'!V2*Main!$B$5)+(_xlfn.IFNA(VLOOKUP($A2,'FL Ratio'!$A$3:$B$10,2,FALSE),0)*'FL Characterization'!V$2)</f>
        <v>45.348110969761557</v>
      </c>
      <c r="W2" s="2">
        <f>('[1]Pc, Spring, S3'!W2*Main!$B$5)+(_xlfn.IFNA(VLOOKUP($A2,'FL Ratio'!$A$3:$B$10,2,FALSE),0)*'FL Characterization'!W$2)</f>
        <v>46.997587512810277</v>
      </c>
      <c r="X2" s="2">
        <f>('[1]Pc, Spring, S3'!X2*Main!$B$5)+(_xlfn.IFNA(VLOOKUP($A2,'FL Ratio'!$A$3:$B$10,2,FALSE),0)*'FL Characterization'!X$2)</f>
        <v>39.380146735339189</v>
      </c>
      <c r="Y2" s="2">
        <f>('[1]Pc, Spring, S3'!Y2*Main!$B$5)+(_xlfn.IFNA(VLOOKUP($A2,'FL Ratio'!$A$3:$B$10,2,FALSE),0)*'FL Characterization'!Y$2)</f>
        <v>39.542735423333006</v>
      </c>
    </row>
    <row r="3" spans="1:25" x14ac:dyDescent="0.3">
      <c r="A3">
        <v>2</v>
      </c>
      <c r="B3" s="2">
        <f>('[1]Pc, Spring, S3'!B3*Main!$B$5)+(_xlfn.IFNA(VLOOKUP($A3,'FL Ratio'!$A$3:$B$10,2,FALSE),0)*'FL Characterization'!B$2)</f>
        <v>35.226389351235625</v>
      </c>
      <c r="C3" s="2">
        <f>('[1]Pc, Spring, S3'!C3*Main!$B$5)+(_xlfn.IFNA(VLOOKUP($A3,'FL Ratio'!$A$3:$B$10,2,FALSE),0)*'FL Characterization'!C$2)</f>
        <v>34.186022444042997</v>
      </c>
      <c r="D3" s="2">
        <f>('[1]Pc, Spring, S3'!D3*Main!$B$5)+(_xlfn.IFNA(VLOOKUP($A3,'FL Ratio'!$A$3:$B$10,2,FALSE),0)*'FL Characterization'!D$2)</f>
        <v>30.69718647379878</v>
      </c>
      <c r="E3" s="2">
        <f>('[1]Pc, Spring, S3'!E3*Main!$B$5)+(_xlfn.IFNA(VLOOKUP($A3,'FL Ratio'!$A$3:$B$10,2,FALSE),0)*'FL Characterization'!E$2)</f>
        <v>31.643347257963853</v>
      </c>
      <c r="F3" s="2">
        <f>('[1]Pc, Spring, S3'!F3*Main!$B$5)+(_xlfn.IFNA(VLOOKUP($A3,'FL Ratio'!$A$3:$B$10,2,FALSE),0)*'FL Characterization'!F$2)</f>
        <v>30.266728087964331</v>
      </c>
      <c r="G3" s="2">
        <f>('[1]Pc, Spring, S3'!G3*Main!$B$5)+(_xlfn.IFNA(VLOOKUP($A3,'FL Ratio'!$A$3:$B$10,2,FALSE),0)*'FL Characterization'!G$2)</f>
        <v>33.12725051641582</v>
      </c>
      <c r="H3" s="2">
        <f>('[1]Pc, Spring, S3'!H3*Main!$B$5)+(_xlfn.IFNA(VLOOKUP($A3,'FL Ratio'!$A$3:$B$10,2,FALSE),0)*'FL Characterization'!H$2)</f>
        <v>43.058583887551713</v>
      </c>
      <c r="I3" s="2">
        <f>('[1]Pc, Spring, S3'!I3*Main!$B$5)+(_xlfn.IFNA(VLOOKUP($A3,'FL Ratio'!$A$3:$B$10,2,FALSE),0)*'FL Characterization'!I$2)</f>
        <v>48.96873463418261</v>
      </c>
      <c r="J3" s="2">
        <f>('[1]Pc, Spring, S3'!J3*Main!$B$5)+(_xlfn.IFNA(VLOOKUP($A3,'FL Ratio'!$A$3:$B$10,2,FALSE),0)*'FL Characterization'!J$2)</f>
        <v>53.145905124158531</v>
      </c>
      <c r="K3" s="2">
        <f>('[1]Pc, Spring, S3'!K3*Main!$B$5)+(_xlfn.IFNA(VLOOKUP($A3,'FL Ratio'!$A$3:$B$10,2,FALSE),0)*'FL Characterization'!K$2)</f>
        <v>51.774811350273119</v>
      </c>
      <c r="L3" s="2">
        <f>('[1]Pc, Spring, S3'!L3*Main!$B$5)+(_xlfn.IFNA(VLOOKUP($A3,'FL Ratio'!$A$3:$B$10,2,FALSE),0)*'FL Characterization'!L$2)</f>
        <v>48.739607244249882</v>
      </c>
      <c r="M3" s="2">
        <f>('[1]Pc, Spring, S3'!M3*Main!$B$5)+(_xlfn.IFNA(VLOOKUP($A3,'FL Ratio'!$A$3:$B$10,2,FALSE),0)*'FL Characterization'!M$2)</f>
        <v>53.195401142354847</v>
      </c>
      <c r="N3" s="2">
        <f>('[1]Pc, Spring, S3'!N3*Main!$B$5)+(_xlfn.IFNA(VLOOKUP($A3,'FL Ratio'!$A$3:$B$10,2,FALSE),0)*'FL Characterization'!N$2)</f>
        <v>51.353641826638352</v>
      </c>
      <c r="O3" s="2">
        <f>('[1]Pc, Spring, S3'!O3*Main!$B$5)+(_xlfn.IFNA(VLOOKUP($A3,'FL Ratio'!$A$3:$B$10,2,FALSE),0)*'FL Characterization'!O$2)</f>
        <v>49.651009476389824</v>
      </c>
      <c r="P3" s="2">
        <f>('[1]Pc, Spring, S3'!P3*Main!$B$5)+(_xlfn.IFNA(VLOOKUP($A3,'FL Ratio'!$A$3:$B$10,2,FALSE),0)*'FL Characterization'!P$2)</f>
        <v>48.979981844385463</v>
      </c>
      <c r="Q3" s="2">
        <f>('[1]Pc, Spring, S3'!Q3*Main!$B$5)+(_xlfn.IFNA(VLOOKUP($A3,'FL Ratio'!$A$3:$B$10,2,FALSE),0)*'FL Characterization'!Q$2)</f>
        <v>47.024864714222957</v>
      </c>
      <c r="R3" s="2">
        <f>('[1]Pc, Spring, S3'!R3*Main!$B$5)+(_xlfn.IFNA(VLOOKUP($A3,'FL Ratio'!$A$3:$B$10,2,FALSE),0)*'FL Characterization'!R$2)</f>
        <v>43.379243574958473</v>
      </c>
      <c r="S3" s="2">
        <f>('[1]Pc, Spring, S3'!S3*Main!$B$5)+(_xlfn.IFNA(VLOOKUP($A3,'FL Ratio'!$A$3:$B$10,2,FALSE),0)*'FL Characterization'!S$2)</f>
        <v>47.929900099369917</v>
      </c>
      <c r="T3" s="2">
        <f>('[1]Pc, Spring, S3'!T3*Main!$B$5)+(_xlfn.IFNA(VLOOKUP($A3,'FL Ratio'!$A$3:$B$10,2,FALSE),0)*'FL Characterization'!T$2)</f>
        <v>47.707613010048604</v>
      </c>
      <c r="U3" s="2">
        <f>('[1]Pc, Spring, S3'!U3*Main!$B$5)+(_xlfn.IFNA(VLOOKUP($A3,'FL Ratio'!$A$3:$B$10,2,FALSE),0)*'FL Characterization'!U$2)</f>
        <v>46.25144244426005</v>
      </c>
      <c r="V3" s="2">
        <f>('[1]Pc, Spring, S3'!V3*Main!$B$5)+(_xlfn.IFNA(VLOOKUP($A3,'FL Ratio'!$A$3:$B$10,2,FALSE),0)*'FL Characterization'!V$2)</f>
        <v>44.463376661262956</v>
      </c>
      <c r="W3" s="2">
        <f>('[1]Pc, Spring, S3'!W3*Main!$B$5)+(_xlfn.IFNA(VLOOKUP($A3,'FL Ratio'!$A$3:$B$10,2,FALSE),0)*'FL Characterization'!W$2)</f>
        <v>43.563733683755245</v>
      </c>
      <c r="X3" s="2">
        <f>('[1]Pc, Spring, S3'!X3*Main!$B$5)+(_xlfn.IFNA(VLOOKUP($A3,'FL Ratio'!$A$3:$B$10,2,FALSE),0)*'FL Characterization'!X$2)</f>
        <v>41.540912118613598</v>
      </c>
      <c r="Y3" s="2">
        <f>('[1]Pc, Spring, S3'!Y3*Main!$B$5)+(_xlfn.IFNA(VLOOKUP($A3,'FL Ratio'!$A$3:$B$10,2,FALSE),0)*'FL Characterization'!Y$2)</f>
        <v>38.976409719448341</v>
      </c>
    </row>
    <row r="4" spans="1:25" x14ac:dyDescent="0.3">
      <c r="A4">
        <v>3</v>
      </c>
      <c r="B4" s="2">
        <f>('[1]Pc, Spring, S3'!B4*Main!$B$5)+(_xlfn.IFNA(VLOOKUP($A4,'FL Ratio'!$A$3:$B$10,2,FALSE),0)*'FL Characterization'!B$2)</f>
        <v>48.04079715519071</v>
      </c>
      <c r="C4" s="2">
        <f>('[1]Pc, Spring, S3'!C4*Main!$B$5)+(_xlfn.IFNA(VLOOKUP($A4,'FL Ratio'!$A$3:$B$10,2,FALSE),0)*'FL Characterization'!C$2)</f>
        <v>42.211469937806086</v>
      </c>
      <c r="D4" s="2">
        <f>('[1]Pc, Spring, S3'!D4*Main!$B$5)+(_xlfn.IFNA(VLOOKUP($A4,'FL Ratio'!$A$3:$B$10,2,FALSE),0)*'FL Characterization'!D$2)</f>
        <v>42.28860436056712</v>
      </c>
      <c r="E4" s="2">
        <f>('[1]Pc, Spring, S3'!E4*Main!$B$5)+(_xlfn.IFNA(VLOOKUP($A4,'FL Ratio'!$A$3:$B$10,2,FALSE),0)*'FL Characterization'!E$2)</f>
        <v>38.993206719339383</v>
      </c>
      <c r="F4" s="2">
        <f>('[1]Pc, Spring, S3'!F4*Main!$B$5)+(_xlfn.IFNA(VLOOKUP($A4,'FL Ratio'!$A$3:$B$10,2,FALSE),0)*'FL Characterization'!F$2)</f>
        <v>41.087899127573479</v>
      </c>
      <c r="G4" s="2">
        <f>('[1]Pc, Spring, S3'!G4*Main!$B$5)+(_xlfn.IFNA(VLOOKUP($A4,'FL Ratio'!$A$3:$B$10,2,FALSE),0)*'FL Characterization'!G$2)</f>
        <v>40.267998954308105</v>
      </c>
      <c r="H4" s="2">
        <f>('[1]Pc, Spring, S3'!H4*Main!$B$5)+(_xlfn.IFNA(VLOOKUP($A4,'FL Ratio'!$A$3:$B$10,2,FALSE),0)*'FL Characterization'!H$2)</f>
        <v>47.15171163370011</v>
      </c>
      <c r="I4" s="2">
        <f>('[1]Pc, Spring, S3'!I4*Main!$B$5)+(_xlfn.IFNA(VLOOKUP($A4,'FL Ratio'!$A$3:$B$10,2,FALSE),0)*'FL Characterization'!I$2)</f>
        <v>50.712232454570042</v>
      </c>
      <c r="J4" s="2">
        <f>('[1]Pc, Spring, S3'!J4*Main!$B$5)+(_xlfn.IFNA(VLOOKUP($A4,'FL Ratio'!$A$3:$B$10,2,FALSE),0)*'FL Characterization'!J$2)</f>
        <v>58.582724703078085</v>
      </c>
      <c r="K4" s="2">
        <f>('[1]Pc, Spring, S3'!K4*Main!$B$5)+(_xlfn.IFNA(VLOOKUP($A4,'FL Ratio'!$A$3:$B$10,2,FALSE),0)*'FL Characterization'!K$2)</f>
        <v>60.226740345861401</v>
      </c>
      <c r="L4" s="2">
        <f>('[1]Pc, Spring, S3'!L4*Main!$B$5)+(_xlfn.IFNA(VLOOKUP($A4,'FL Ratio'!$A$3:$B$10,2,FALSE),0)*'FL Characterization'!L$2)</f>
        <v>62.21613921733632</v>
      </c>
      <c r="M4" s="2">
        <f>('[1]Pc, Spring, S3'!M4*Main!$B$5)+(_xlfn.IFNA(VLOOKUP($A4,'FL Ratio'!$A$3:$B$10,2,FALSE),0)*'FL Characterization'!M$2)</f>
        <v>65.664386717809705</v>
      </c>
      <c r="N4" s="2">
        <f>('[1]Pc, Spring, S3'!N4*Main!$B$5)+(_xlfn.IFNA(VLOOKUP($A4,'FL Ratio'!$A$3:$B$10,2,FALSE),0)*'FL Characterization'!N$2)</f>
        <v>66.26323222910429</v>
      </c>
      <c r="O4" s="2">
        <f>('[1]Pc, Spring, S3'!O4*Main!$B$5)+(_xlfn.IFNA(VLOOKUP($A4,'FL Ratio'!$A$3:$B$10,2,FALSE),0)*'FL Characterization'!O$2)</f>
        <v>66.153012639992909</v>
      </c>
      <c r="P4" s="2">
        <f>('[1]Pc, Spring, S3'!P4*Main!$B$5)+(_xlfn.IFNA(VLOOKUP($A4,'FL Ratio'!$A$3:$B$10,2,FALSE),0)*'FL Characterization'!P$2)</f>
        <v>62.561411473716824</v>
      </c>
      <c r="Q4" s="2">
        <f>('[1]Pc, Spring, S3'!Q4*Main!$B$5)+(_xlfn.IFNA(VLOOKUP($A4,'FL Ratio'!$A$3:$B$10,2,FALSE),0)*'FL Characterization'!Q$2)</f>
        <v>63.1868350092738</v>
      </c>
      <c r="R4" s="2">
        <f>('[1]Pc, Spring, S3'!R4*Main!$B$5)+(_xlfn.IFNA(VLOOKUP($A4,'FL Ratio'!$A$3:$B$10,2,FALSE),0)*'FL Characterization'!R$2)</f>
        <v>62.550162264758633</v>
      </c>
      <c r="S4" s="2">
        <f>('[1]Pc, Spring, S3'!S4*Main!$B$5)+(_xlfn.IFNA(VLOOKUP($A4,'FL Ratio'!$A$3:$B$10,2,FALSE),0)*'FL Characterization'!S$2)</f>
        <v>65.070588984321162</v>
      </c>
      <c r="T4" s="2">
        <f>('[1]Pc, Spring, S3'!T4*Main!$B$5)+(_xlfn.IFNA(VLOOKUP($A4,'FL Ratio'!$A$3:$B$10,2,FALSE),0)*'FL Characterization'!T$2)</f>
        <v>64.59521823697203</v>
      </c>
      <c r="U4" s="2">
        <f>('[1]Pc, Spring, S3'!U4*Main!$B$5)+(_xlfn.IFNA(VLOOKUP($A4,'FL Ratio'!$A$3:$B$10,2,FALSE),0)*'FL Characterization'!U$2)</f>
        <v>63.114321363028992</v>
      </c>
      <c r="V4" s="2">
        <f>('[1]Pc, Spring, S3'!V4*Main!$B$5)+(_xlfn.IFNA(VLOOKUP($A4,'FL Ratio'!$A$3:$B$10,2,FALSE),0)*'FL Characterization'!V$2)</f>
        <v>61.863626388830113</v>
      </c>
      <c r="W4" s="2">
        <f>('[1]Pc, Spring, S3'!W4*Main!$B$5)+(_xlfn.IFNA(VLOOKUP($A4,'FL Ratio'!$A$3:$B$10,2,FALSE),0)*'FL Characterization'!W$2)</f>
        <v>64.547121189325409</v>
      </c>
      <c r="X4" s="2">
        <f>('[1]Pc, Spring, S3'!X4*Main!$B$5)+(_xlfn.IFNA(VLOOKUP($A4,'FL Ratio'!$A$3:$B$10,2,FALSE),0)*'FL Characterization'!X$2)</f>
        <v>60.761422531674711</v>
      </c>
      <c r="Y4" s="2">
        <f>('[1]Pc, Spring, S3'!Y4*Main!$B$5)+(_xlfn.IFNA(VLOOKUP($A4,'FL Ratio'!$A$3:$B$10,2,FALSE),0)*'FL Characterization'!Y$2)</f>
        <v>55.78514868957744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53E46-6D7A-469F-8A04-3A5E4D10568A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Ratio'!$A$3:$B$10,2,FALSE),0)*'FL Characterization'!B$2)</f>
        <v>33.909689603898883</v>
      </c>
      <c r="C2" s="2">
        <f>('[1]Pc, Spring, S3'!C2*Main!$B$5)+(_xlfn.IFNA(VLOOKUP($A2,'FL Ratio'!$A$3:$B$10,2,FALSE),0)*'FL Characterization'!C$2)</f>
        <v>30.31513297267032</v>
      </c>
      <c r="D2" s="2">
        <f>('[1]Pc, Spring, S3'!D2*Main!$B$5)+(_xlfn.IFNA(VLOOKUP($A2,'FL Ratio'!$A$3:$B$10,2,FALSE),0)*'FL Characterization'!D$2)</f>
        <v>28.912031648646199</v>
      </c>
      <c r="E2" s="2">
        <f>('[1]Pc, Spring, S3'!E2*Main!$B$5)+(_xlfn.IFNA(VLOOKUP($A2,'FL Ratio'!$A$3:$B$10,2,FALSE),0)*'FL Characterization'!E$2)</f>
        <v>28.845533156661357</v>
      </c>
      <c r="F2" s="2">
        <f>('[1]Pc, Spring, S3'!F2*Main!$B$5)+(_xlfn.IFNA(VLOOKUP($A2,'FL Ratio'!$A$3:$B$10,2,FALSE),0)*'FL Characterization'!F$2)</f>
        <v>28.488468418080171</v>
      </c>
      <c r="G2" s="2">
        <f>('[1]Pc, Spring, S3'!G2*Main!$B$5)+(_xlfn.IFNA(VLOOKUP($A2,'FL Ratio'!$A$3:$B$10,2,FALSE),0)*'FL Characterization'!G$2)</f>
        <v>29.770325628370216</v>
      </c>
      <c r="H2" s="2">
        <f>('[1]Pc, Spring, S3'!H2*Main!$B$5)+(_xlfn.IFNA(VLOOKUP($A2,'FL Ratio'!$A$3:$B$10,2,FALSE),0)*'FL Characterization'!H$2)</f>
        <v>33.484399379045776</v>
      </c>
      <c r="I2" s="2">
        <f>('[1]Pc, Spring, S3'!I2*Main!$B$5)+(_xlfn.IFNA(VLOOKUP($A2,'FL Ratio'!$A$3:$B$10,2,FALSE),0)*'FL Characterization'!I$2)</f>
        <v>41.792198043803992</v>
      </c>
      <c r="J2" s="2">
        <f>('[1]Pc, Spring, S3'!J2*Main!$B$5)+(_xlfn.IFNA(VLOOKUP($A2,'FL Ratio'!$A$3:$B$10,2,FALSE),0)*'FL Characterization'!J$2)</f>
        <v>44.789928038122639</v>
      </c>
      <c r="K2" s="2">
        <f>('[1]Pc, Spring, S3'!K2*Main!$B$5)+(_xlfn.IFNA(VLOOKUP($A2,'FL Ratio'!$A$3:$B$10,2,FALSE),0)*'FL Characterization'!K$2)</f>
        <v>46.93193484375319</v>
      </c>
      <c r="L2" s="2">
        <f>('[1]Pc, Spring, S3'!L2*Main!$B$5)+(_xlfn.IFNA(VLOOKUP($A2,'FL Ratio'!$A$3:$B$10,2,FALSE),0)*'FL Characterization'!L$2)</f>
        <v>48.483676675693452</v>
      </c>
      <c r="M2" s="2">
        <f>('[1]Pc, Spring, S3'!M2*Main!$B$5)+(_xlfn.IFNA(VLOOKUP($A2,'FL Ratio'!$A$3:$B$10,2,FALSE),0)*'FL Characterization'!M$2)</f>
        <v>47.204081222659198</v>
      </c>
      <c r="N2" s="2">
        <f>('[1]Pc, Spring, S3'!N2*Main!$B$5)+(_xlfn.IFNA(VLOOKUP($A2,'FL Ratio'!$A$3:$B$10,2,FALSE),0)*'FL Characterization'!N$2)</f>
        <v>47.949460563307127</v>
      </c>
      <c r="O2" s="2">
        <f>('[1]Pc, Spring, S3'!O2*Main!$B$5)+(_xlfn.IFNA(VLOOKUP($A2,'FL Ratio'!$A$3:$B$10,2,FALSE),0)*'FL Characterization'!O$2)</f>
        <v>48.914240887600137</v>
      </c>
      <c r="P2" s="2">
        <f>('[1]Pc, Spring, S3'!P2*Main!$B$5)+(_xlfn.IFNA(VLOOKUP($A2,'FL Ratio'!$A$3:$B$10,2,FALSE),0)*'FL Characterization'!P$2)</f>
        <v>44.917602637294451</v>
      </c>
      <c r="Q2" s="2">
        <f>('[1]Pc, Spring, S3'!Q2*Main!$B$5)+(_xlfn.IFNA(VLOOKUP($A2,'FL Ratio'!$A$3:$B$10,2,FALSE),0)*'FL Characterization'!Q$2)</f>
        <v>41.446944326465129</v>
      </c>
      <c r="R2" s="2">
        <f>('[1]Pc, Spring, S3'!R2*Main!$B$5)+(_xlfn.IFNA(VLOOKUP($A2,'FL Ratio'!$A$3:$B$10,2,FALSE),0)*'FL Characterization'!R$2)</f>
        <v>43.013591310259748</v>
      </c>
      <c r="S2" s="2">
        <f>('[1]Pc, Spring, S3'!S2*Main!$B$5)+(_xlfn.IFNA(VLOOKUP($A2,'FL Ratio'!$A$3:$B$10,2,FALSE),0)*'FL Characterization'!S$2)</f>
        <v>45.207721630819094</v>
      </c>
      <c r="T2" s="2">
        <f>('[1]Pc, Spring, S3'!T2*Main!$B$5)+(_xlfn.IFNA(VLOOKUP($A2,'FL Ratio'!$A$3:$B$10,2,FALSE),0)*'FL Characterization'!T$2)</f>
        <v>47.911898878793323</v>
      </c>
      <c r="U2" s="2">
        <f>('[1]Pc, Spring, S3'!U2*Main!$B$5)+(_xlfn.IFNA(VLOOKUP($A2,'FL Ratio'!$A$3:$B$10,2,FALSE),0)*'FL Characterization'!U$2)</f>
        <v>47.071745733493813</v>
      </c>
      <c r="V2" s="2">
        <f>('[1]Pc, Spring, S3'!V2*Main!$B$5)+(_xlfn.IFNA(VLOOKUP($A2,'FL Ratio'!$A$3:$B$10,2,FALSE),0)*'FL Characterization'!V$2)</f>
        <v>45.348110969761557</v>
      </c>
      <c r="W2" s="2">
        <f>('[1]Pc, Spring, S3'!W2*Main!$B$5)+(_xlfn.IFNA(VLOOKUP($A2,'FL Ratio'!$A$3:$B$10,2,FALSE),0)*'FL Characterization'!W$2)</f>
        <v>46.997587512810277</v>
      </c>
      <c r="X2" s="2">
        <f>('[1]Pc, Spring, S3'!X2*Main!$B$5)+(_xlfn.IFNA(VLOOKUP($A2,'FL Ratio'!$A$3:$B$10,2,FALSE),0)*'FL Characterization'!X$2)</f>
        <v>39.380146735339189</v>
      </c>
      <c r="Y2" s="2">
        <f>('[1]Pc, Spring, S3'!Y2*Main!$B$5)+(_xlfn.IFNA(VLOOKUP($A2,'FL Ratio'!$A$3:$B$10,2,FALSE),0)*'FL Characterization'!Y$2)</f>
        <v>39.542735423333006</v>
      </c>
    </row>
    <row r="3" spans="1:25" x14ac:dyDescent="0.3">
      <c r="A3">
        <v>2</v>
      </c>
      <c r="B3" s="2">
        <f>('[1]Pc, Spring, S3'!B3*Main!$B$5)+(_xlfn.IFNA(VLOOKUP($A3,'FL Ratio'!$A$3:$B$10,2,FALSE),0)*'FL Characterization'!B$2)</f>
        <v>35.226389351235625</v>
      </c>
      <c r="C3" s="2">
        <f>('[1]Pc, Spring, S3'!C3*Main!$B$5)+(_xlfn.IFNA(VLOOKUP($A3,'FL Ratio'!$A$3:$B$10,2,FALSE),0)*'FL Characterization'!C$2)</f>
        <v>34.186022444042997</v>
      </c>
      <c r="D3" s="2">
        <f>('[1]Pc, Spring, S3'!D3*Main!$B$5)+(_xlfn.IFNA(VLOOKUP($A3,'FL Ratio'!$A$3:$B$10,2,FALSE),0)*'FL Characterization'!D$2)</f>
        <v>30.69718647379878</v>
      </c>
      <c r="E3" s="2">
        <f>('[1]Pc, Spring, S3'!E3*Main!$B$5)+(_xlfn.IFNA(VLOOKUP($A3,'FL Ratio'!$A$3:$B$10,2,FALSE),0)*'FL Characterization'!E$2)</f>
        <v>31.643347257963853</v>
      </c>
      <c r="F3" s="2">
        <f>('[1]Pc, Spring, S3'!F3*Main!$B$5)+(_xlfn.IFNA(VLOOKUP($A3,'FL Ratio'!$A$3:$B$10,2,FALSE),0)*'FL Characterization'!F$2)</f>
        <v>30.266728087964331</v>
      </c>
      <c r="G3" s="2">
        <f>('[1]Pc, Spring, S3'!G3*Main!$B$5)+(_xlfn.IFNA(VLOOKUP($A3,'FL Ratio'!$A$3:$B$10,2,FALSE),0)*'FL Characterization'!G$2)</f>
        <v>33.12725051641582</v>
      </c>
      <c r="H3" s="2">
        <f>('[1]Pc, Spring, S3'!H3*Main!$B$5)+(_xlfn.IFNA(VLOOKUP($A3,'FL Ratio'!$A$3:$B$10,2,FALSE),0)*'FL Characterization'!H$2)</f>
        <v>43.058583887551713</v>
      </c>
      <c r="I3" s="2">
        <f>('[1]Pc, Spring, S3'!I3*Main!$B$5)+(_xlfn.IFNA(VLOOKUP($A3,'FL Ratio'!$A$3:$B$10,2,FALSE),0)*'FL Characterization'!I$2)</f>
        <v>48.96873463418261</v>
      </c>
      <c r="J3" s="2">
        <f>('[1]Pc, Spring, S3'!J3*Main!$B$5)+(_xlfn.IFNA(VLOOKUP($A3,'FL Ratio'!$A$3:$B$10,2,FALSE),0)*'FL Characterization'!J$2)</f>
        <v>53.145905124158531</v>
      </c>
      <c r="K3" s="2">
        <f>('[1]Pc, Spring, S3'!K3*Main!$B$5)+(_xlfn.IFNA(VLOOKUP($A3,'FL Ratio'!$A$3:$B$10,2,FALSE),0)*'FL Characterization'!K$2)</f>
        <v>51.774811350273119</v>
      </c>
      <c r="L3" s="2">
        <f>('[1]Pc, Spring, S3'!L3*Main!$B$5)+(_xlfn.IFNA(VLOOKUP($A3,'FL Ratio'!$A$3:$B$10,2,FALSE),0)*'FL Characterization'!L$2)</f>
        <v>48.739607244249882</v>
      </c>
      <c r="M3" s="2">
        <f>('[1]Pc, Spring, S3'!M3*Main!$B$5)+(_xlfn.IFNA(VLOOKUP($A3,'FL Ratio'!$A$3:$B$10,2,FALSE),0)*'FL Characterization'!M$2)</f>
        <v>53.195401142354847</v>
      </c>
      <c r="N3" s="2">
        <f>('[1]Pc, Spring, S3'!N3*Main!$B$5)+(_xlfn.IFNA(VLOOKUP($A3,'FL Ratio'!$A$3:$B$10,2,FALSE),0)*'FL Characterization'!N$2)</f>
        <v>51.353641826638352</v>
      </c>
      <c r="O3" s="2">
        <f>('[1]Pc, Spring, S3'!O3*Main!$B$5)+(_xlfn.IFNA(VLOOKUP($A3,'FL Ratio'!$A$3:$B$10,2,FALSE),0)*'FL Characterization'!O$2)</f>
        <v>49.651009476389824</v>
      </c>
      <c r="P3" s="2">
        <f>('[1]Pc, Spring, S3'!P3*Main!$B$5)+(_xlfn.IFNA(VLOOKUP($A3,'FL Ratio'!$A$3:$B$10,2,FALSE),0)*'FL Characterization'!P$2)</f>
        <v>48.979981844385463</v>
      </c>
      <c r="Q3" s="2">
        <f>('[1]Pc, Spring, S3'!Q3*Main!$B$5)+(_xlfn.IFNA(VLOOKUP($A3,'FL Ratio'!$A$3:$B$10,2,FALSE),0)*'FL Characterization'!Q$2)</f>
        <v>47.024864714222957</v>
      </c>
      <c r="R3" s="2">
        <f>('[1]Pc, Spring, S3'!R3*Main!$B$5)+(_xlfn.IFNA(VLOOKUP($A3,'FL Ratio'!$A$3:$B$10,2,FALSE),0)*'FL Characterization'!R$2)</f>
        <v>43.379243574958473</v>
      </c>
      <c r="S3" s="2">
        <f>('[1]Pc, Spring, S3'!S3*Main!$B$5)+(_xlfn.IFNA(VLOOKUP($A3,'FL Ratio'!$A$3:$B$10,2,FALSE),0)*'FL Characterization'!S$2)</f>
        <v>47.929900099369917</v>
      </c>
      <c r="T3" s="2">
        <f>('[1]Pc, Spring, S3'!T3*Main!$B$5)+(_xlfn.IFNA(VLOOKUP($A3,'FL Ratio'!$A$3:$B$10,2,FALSE),0)*'FL Characterization'!T$2)</f>
        <v>47.707613010048604</v>
      </c>
      <c r="U3" s="2">
        <f>('[1]Pc, Spring, S3'!U3*Main!$B$5)+(_xlfn.IFNA(VLOOKUP($A3,'FL Ratio'!$A$3:$B$10,2,FALSE),0)*'FL Characterization'!U$2)</f>
        <v>46.25144244426005</v>
      </c>
      <c r="V3" s="2">
        <f>('[1]Pc, Spring, S3'!V3*Main!$B$5)+(_xlfn.IFNA(VLOOKUP($A3,'FL Ratio'!$A$3:$B$10,2,FALSE),0)*'FL Characterization'!V$2)</f>
        <v>44.463376661262956</v>
      </c>
      <c r="W3" s="2">
        <f>('[1]Pc, Spring, S3'!W3*Main!$B$5)+(_xlfn.IFNA(VLOOKUP($A3,'FL Ratio'!$A$3:$B$10,2,FALSE),0)*'FL Characterization'!W$2)</f>
        <v>43.563733683755245</v>
      </c>
      <c r="X3" s="2">
        <f>('[1]Pc, Spring, S3'!X3*Main!$B$5)+(_xlfn.IFNA(VLOOKUP($A3,'FL Ratio'!$A$3:$B$10,2,FALSE),0)*'FL Characterization'!X$2)</f>
        <v>41.540912118613598</v>
      </c>
      <c r="Y3" s="2">
        <f>('[1]Pc, Spring, S3'!Y3*Main!$B$5)+(_xlfn.IFNA(VLOOKUP($A3,'FL Ratio'!$A$3:$B$10,2,FALSE),0)*'FL Characterization'!Y$2)</f>
        <v>38.976409719448341</v>
      </c>
    </row>
    <row r="4" spans="1:25" x14ac:dyDescent="0.3">
      <c r="A4">
        <v>3</v>
      </c>
      <c r="B4" s="2">
        <f>('[1]Pc, Spring, S3'!B4*Main!$B$5)+(_xlfn.IFNA(VLOOKUP($A4,'FL Ratio'!$A$3:$B$10,2,FALSE),0)*'FL Characterization'!B$2)</f>
        <v>48.04079715519071</v>
      </c>
      <c r="C4" s="2">
        <f>('[1]Pc, Spring, S3'!C4*Main!$B$5)+(_xlfn.IFNA(VLOOKUP($A4,'FL Ratio'!$A$3:$B$10,2,FALSE),0)*'FL Characterization'!C$2)</f>
        <v>42.211469937806086</v>
      </c>
      <c r="D4" s="2">
        <f>('[1]Pc, Spring, S3'!D4*Main!$B$5)+(_xlfn.IFNA(VLOOKUP($A4,'FL Ratio'!$A$3:$B$10,2,FALSE),0)*'FL Characterization'!D$2)</f>
        <v>42.28860436056712</v>
      </c>
      <c r="E4" s="2">
        <f>('[1]Pc, Spring, S3'!E4*Main!$B$5)+(_xlfn.IFNA(VLOOKUP($A4,'FL Ratio'!$A$3:$B$10,2,FALSE),0)*'FL Characterization'!E$2)</f>
        <v>38.993206719339383</v>
      </c>
      <c r="F4" s="2">
        <f>('[1]Pc, Spring, S3'!F4*Main!$B$5)+(_xlfn.IFNA(VLOOKUP($A4,'FL Ratio'!$A$3:$B$10,2,FALSE),0)*'FL Characterization'!F$2)</f>
        <v>41.087899127573479</v>
      </c>
      <c r="G4" s="2">
        <f>('[1]Pc, Spring, S3'!G4*Main!$B$5)+(_xlfn.IFNA(VLOOKUP($A4,'FL Ratio'!$A$3:$B$10,2,FALSE),0)*'FL Characterization'!G$2)</f>
        <v>40.267998954308105</v>
      </c>
      <c r="H4" s="2">
        <f>('[1]Pc, Spring, S3'!H4*Main!$B$5)+(_xlfn.IFNA(VLOOKUP($A4,'FL Ratio'!$A$3:$B$10,2,FALSE),0)*'FL Characterization'!H$2)</f>
        <v>47.15171163370011</v>
      </c>
      <c r="I4" s="2">
        <f>('[1]Pc, Spring, S3'!I4*Main!$B$5)+(_xlfn.IFNA(VLOOKUP($A4,'FL Ratio'!$A$3:$B$10,2,FALSE),0)*'FL Characterization'!I$2)</f>
        <v>50.712232454570042</v>
      </c>
      <c r="J4" s="2">
        <f>('[1]Pc, Spring, S3'!J4*Main!$B$5)+(_xlfn.IFNA(VLOOKUP($A4,'FL Ratio'!$A$3:$B$10,2,FALSE),0)*'FL Characterization'!J$2)</f>
        <v>58.582724703078085</v>
      </c>
      <c r="K4" s="2">
        <f>('[1]Pc, Spring, S3'!K4*Main!$B$5)+(_xlfn.IFNA(VLOOKUP($A4,'FL Ratio'!$A$3:$B$10,2,FALSE),0)*'FL Characterization'!K$2)</f>
        <v>60.226740345861401</v>
      </c>
      <c r="L4" s="2">
        <f>('[1]Pc, Spring, S3'!L4*Main!$B$5)+(_xlfn.IFNA(VLOOKUP($A4,'FL Ratio'!$A$3:$B$10,2,FALSE),0)*'FL Characterization'!L$2)</f>
        <v>62.21613921733632</v>
      </c>
      <c r="M4" s="2">
        <f>('[1]Pc, Spring, S3'!M4*Main!$B$5)+(_xlfn.IFNA(VLOOKUP($A4,'FL Ratio'!$A$3:$B$10,2,FALSE),0)*'FL Characterization'!M$2)</f>
        <v>65.664386717809705</v>
      </c>
      <c r="N4" s="2">
        <f>('[1]Pc, Spring, S3'!N4*Main!$B$5)+(_xlfn.IFNA(VLOOKUP($A4,'FL Ratio'!$A$3:$B$10,2,FALSE),0)*'FL Characterization'!N$2)</f>
        <v>66.26323222910429</v>
      </c>
      <c r="O4" s="2">
        <f>('[1]Pc, Spring, S3'!O4*Main!$B$5)+(_xlfn.IFNA(VLOOKUP($A4,'FL Ratio'!$A$3:$B$10,2,FALSE),0)*'FL Characterization'!O$2)</f>
        <v>66.153012639992909</v>
      </c>
      <c r="P4" s="2">
        <f>('[1]Pc, Spring, S3'!P4*Main!$B$5)+(_xlfn.IFNA(VLOOKUP($A4,'FL Ratio'!$A$3:$B$10,2,FALSE),0)*'FL Characterization'!P$2)</f>
        <v>62.561411473716824</v>
      </c>
      <c r="Q4" s="2">
        <f>('[1]Pc, Spring, S3'!Q4*Main!$B$5)+(_xlfn.IFNA(VLOOKUP($A4,'FL Ratio'!$A$3:$B$10,2,FALSE),0)*'FL Characterization'!Q$2)</f>
        <v>63.1868350092738</v>
      </c>
      <c r="R4" s="2">
        <f>('[1]Pc, Spring, S3'!R4*Main!$B$5)+(_xlfn.IFNA(VLOOKUP($A4,'FL Ratio'!$A$3:$B$10,2,FALSE),0)*'FL Characterization'!R$2)</f>
        <v>62.550162264758633</v>
      </c>
      <c r="S4" s="2">
        <f>('[1]Pc, Spring, S3'!S4*Main!$B$5)+(_xlfn.IFNA(VLOOKUP($A4,'FL Ratio'!$A$3:$B$10,2,FALSE),0)*'FL Characterization'!S$2)</f>
        <v>65.070588984321162</v>
      </c>
      <c r="T4" s="2">
        <f>('[1]Pc, Spring, S3'!T4*Main!$B$5)+(_xlfn.IFNA(VLOOKUP($A4,'FL Ratio'!$A$3:$B$10,2,FALSE),0)*'FL Characterization'!T$2)</f>
        <v>64.59521823697203</v>
      </c>
      <c r="U4" s="2">
        <f>('[1]Pc, Spring, S3'!U4*Main!$B$5)+(_xlfn.IFNA(VLOOKUP($A4,'FL Ratio'!$A$3:$B$10,2,FALSE),0)*'FL Characterization'!U$2)</f>
        <v>63.114321363028992</v>
      </c>
      <c r="V4" s="2">
        <f>('[1]Pc, Spring, S3'!V4*Main!$B$5)+(_xlfn.IFNA(VLOOKUP($A4,'FL Ratio'!$A$3:$B$10,2,FALSE),0)*'FL Characterization'!V$2)</f>
        <v>61.863626388830113</v>
      </c>
      <c r="W4" s="2">
        <f>('[1]Pc, Spring, S3'!W4*Main!$B$5)+(_xlfn.IFNA(VLOOKUP($A4,'FL Ratio'!$A$3:$B$10,2,FALSE),0)*'FL Characterization'!W$2)</f>
        <v>64.547121189325409</v>
      </c>
      <c r="X4" s="2">
        <f>('[1]Pc, Spring, S3'!X4*Main!$B$5)+(_xlfn.IFNA(VLOOKUP($A4,'FL Ratio'!$A$3:$B$10,2,FALSE),0)*'FL Characterization'!X$2)</f>
        <v>60.761422531674711</v>
      </c>
      <c r="Y4" s="2">
        <f>('[1]Pc, Spring, S3'!Y4*Main!$B$5)+(_xlfn.IFNA(VLOOKUP($A4,'FL Ratio'!$A$3:$B$10,2,FALSE),0)*'FL Characterization'!Y$2)</f>
        <v>55.78514868957744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215FD7-DA4E-4F62-8BFF-59F914C0DD2D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Ratio'!$A$3:$B$10,2,FALSE),0)*'FL Characterization'!B$2)</f>
        <v>33.909689603898883</v>
      </c>
      <c r="C2" s="2">
        <f>('[1]Pc, Spring, S3'!C2*Main!$B$5)+(_xlfn.IFNA(VLOOKUP($A2,'FL Ratio'!$A$3:$B$10,2,FALSE),0)*'FL Characterization'!C$2)</f>
        <v>30.31513297267032</v>
      </c>
      <c r="D2" s="2">
        <f>('[1]Pc, Spring, S3'!D2*Main!$B$5)+(_xlfn.IFNA(VLOOKUP($A2,'FL Ratio'!$A$3:$B$10,2,FALSE),0)*'FL Characterization'!D$2)</f>
        <v>28.912031648646199</v>
      </c>
      <c r="E2" s="2">
        <f>('[1]Pc, Spring, S3'!E2*Main!$B$5)+(_xlfn.IFNA(VLOOKUP($A2,'FL Ratio'!$A$3:$B$10,2,FALSE),0)*'FL Characterization'!E$2)</f>
        <v>28.845533156661357</v>
      </c>
      <c r="F2" s="2">
        <f>('[1]Pc, Spring, S3'!F2*Main!$B$5)+(_xlfn.IFNA(VLOOKUP($A2,'FL Ratio'!$A$3:$B$10,2,FALSE),0)*'FL Characterization'!F$2)</f>
        <v>28.488468418080171</v>
      </c>
      <c r="G2" s="2">
        <f>('[1]Pc, Spring, S3'!G2*Main!$B$5)+(_xlfn.IFNA(VLOOKUP($A2,'FL Ratio'!$A$3:$B$10,2,FALSE),0)*'FL Characterization'!G$2)</f>
        <v>29.770325628370216</v>
      </c>
      <c r="H2" s="2">
        <f>('[1]Pc, Spring, S3'!H2*Main!$B$5)+(_xlfn.IFNA(VLOOKUP($A2,'FL Ratio'!$A$3:$B$10,2,FALSE),0)*'FL Characterization'!H$2)</f>
        <v>33.484399379045776</v>
      </c>
      <c r="I2" s="2">
        <f>('[1]Pc, Spring, S3'!I2*Main!$B$5)+(_xlfn.IFNA(VLOOKUP($A2,'FL Ratio'!$A$3:$B$10,2,FALSE),0)*'FL Characterization'!I$2)</f>
        <v>41.792198043803992</v>
      </c>
      <c r="J2" s="2">
        <f>('[1]Pc, Spring, S3'!J2*Main!$B$5)+(_xlfn.IFNA(VLOOKUP($A2,'FL Ratio'!$A$3:$B$10,2,FALSE),0)*'FL Characterization'!J$2)</f>
        <v>44.789928038122639</v>
      </c>
      <c r="K2" s="2">
        <f>('[1]Pc, Spring, S3'!K2*Main!$B$5)+(_xlfn.IFNA(VLOOKUP($A2,'FL Ratio'!$A$3:$B$10,2,FALSE),0)*'FL Characterization'!K$2)</f>
        <v>46.93193484375319</v>
      </c>
      <c r="L2" s="2">
        <f>('[1]Pc, Spring, S3'!L2*Main!$B$5)+(_xlfn.IFNA(VLOOKUP($A2,'FL Ratio'!$A$3:$B$10,2,FALSE),0)*'FL Characterization'!L$2)</f>
        <v>48.483676675693452</v>
      </c>
      <c r="M2" s="2">
        <f>('[1]Pc, Spring, S3'!M2*Main!$B$5)+(_xlfn.IFNA(VLOOKUP($A2,'FL Ratio'!$A$3:$B$10,2,FALSE),0)*'FL Characterization'!M$2)</f>
        <v>47.204081222659198</v>
      </c>
      <c r="N2" s="2">
        <f>('[1]Pc, Spring, S3'!N2*Main!$B$5)+(_xlfn.IFNA(VLOOKUP($A2,'FL Ratio'!$A$3:$B$10,2,FALSE),0)*'FL Characterization'!N$2)</f>
        <v>47.949460563307127</v>
      </c>
      <c r="O2" s="2">
        <f>('[1]Pc, Spring, S3'!O2*Main!$B$5)+(_xlfn.IFNA(VLOOKUP($A2,'FL Ratio'!$A$3:$B$10,2,FALSE),0)*'FL Characterization'!O$2)</f>
        <v>48.914240887600137</v>
      </c>
      <c r="P2" s="2">
        <f>('[1]Pc, Spring, S3'!P2*Main!$B$5)+(_xlfn.IFNA(VLOOKUP($A2,'FL Ratio'!$A$3:$B$10,2,FALSE),0)*'FL Characterization'!P$2)</f>
        <v>44.917602637294451</v>
      </c>
      <c r="Q2" s="2">
        <f>('[1]Pc, Spring, S3'!Q2*Main!$B$5)+(_xlfn.IFNA(VLOOKUP($A2,'FL Ratio'!$A$3:$B$10,2,FALSE),0)*'FL Characterization'!Q$2)</f>
        <v>41.446944326465129</v>
      </c>
      <c r="R2" s="2">
        <f>('[1]Pc, Spring, S3'!R2*Main!$B$5)+(_xlfn.IFNA(VLOOKUP($A2,'FL Ratio'!$A$3:$B$10,2,FALSE),0)*'FL Characterization'!R$2)</f>
        <v>43.013591310259748</v>
      </c>
      <c r="S2" s="2">
        <f>('[1]Pc, Spring, S3'!S2*Main!$B$5)+(_xlfn.IFNA(VLOOKUP($A2,'FL Ratio'!$A$3:$B$10,2,FALSE),0)*'FL Characterization'!S$2)</f>
        <v>45.207721630819094</v>
      </c>
      <c r="T2" s="2">
        <f>('[1]Pc, Spring, S3'!T2*Main!$B$5)+(_xlfn.IFNA(VLOOKUP($A2,'FL Ratio'!$A$3:$B$10,2,FALSE),0)*'FL Characterization'!T$2)</f>
        <v>47.911898878793323</v>
      </c>
      <c r="U2" s="2">
        <f>('[1]Pc, Spring, S3'!U2*Main!$B$5)+(_xlfn.IFNA(VLOOKUP($A2,'FL Ratio'!$A$3:$B$10,2,FALSE),0)*'FL Characterization'!U$2)</f>
        <v>47.071745733493813</v>
      </c>
      <c r="V2" s="2">
        <f>('[1]Pc, Spring, S3'!V2*Main!$B$5)+(_xlfn.IFNA(VLOOKUP($A2,'FL Ratio'!$A$3:$B$10,2,FALSE),0)*'FL Characterization'!V$2)</f>
        <v>45.348110969761557</v>
      </c>
      <c r="W2" s="2">
        <f>('[1]Pc, Spring, S3'!W2*Main!$B$5)+(_xlfn.IFNA(VLOOKUP($A2,'FL Ratio'!$A$3:$B$10,2,FALSE),0)*'FL Characterization'!W$2)</f>
        <v>46.997587512810277</v>
      </c>
      <c r="X2" s="2">
        <f>('[1]Pc, Spring, S3'!X2*Main!$B$5)+(_xlfn.IFNA(VLOOKUP($A2,'FL Ratio'!$A$3:$B$10,2,FALSE),0)*'FL Characterization'!X$2)</f>
        <v>39.380146735339189</v>
      </c>
      <c r="Y2" s="2">
        <f>('[1]Pc, Spring, S3'!Y2*Main!$B$5)+(_xlfn.IFNA(VLOOKUP($A2,'FL Ratio'!$A$3:$B$10,2,FALSE),0)*'FL Characterization'!Y$2)</f>
        <v>39.542735423333006</v>
      </c>
    </row>
    <row r="3" spans="1:25" x14ac:dyDescent="0.3">
      <c r="A3">
        <v>2</v>
      </c>
      <c r="B3" s="2">
        <f>('[1]Pc, Spring, S3'!B3*Main!$B$5)+(_xlfn.IFNA(VLOOKUP($A3,'FL Ratio'!$A$3:$B$10,2,FALSE),0)*'FL Characterization'!B$2)</f>
        <v>35.226389351235625</v>
      </c>
      <c r="C3" s="2">
        <f>('[1]Pc, Spring, S3'!C3*Main!$B$5)+(_xlfn.IFNA(VLOOKUP($A3,'FL Ratio'!$A$3:$B$10,2,FALSE),0)*'FL Characterization'!C$2)</f>
        <v>34.186022444042997</v>
      </c>
      <c r="D3" s="2">
        <f>('[1]Pc, Spring, S3'!D3*Main!$B$5)+(_xlfn.IFNA(VLOOKUP($A3,'FL Ratio'!$A$3:$B$10,2,FALSE),0)*'FL Characterization'!D$2)</f>
        <v>30.69718647379878</v>
      </c>
      <c r="E3" s="2">
        <f>('[1]Pc, Spring, S3'!E3*Main!$B$5)+(_xlfn.IFNA(VLOOKUP($A3,'FL Ratio'!$A$3:$B$10,2,FALSE),0)*'FL Characterization'!E$2)</f>
        <v>31.643347257963853</v>
      </c>
      <c r="F3" s="2">
        <f>('[1]Pc, Spring, S3'!F3*Main!$B$5)+(_xlfn.IFNA(VLOOKUP($A3,'FL Ratio'!$A$3:$B$10,2,FALSE),0)*'FL Characterization'!F$2)</f>
        <v>30.266728087964331</v>
      </c>
      <c r="G3" s="2">
        <f>('[1]Pc, Spring, S3'!G3*Main!$B$5)+(_xlfn.IFNA(VLOOKUP($A3,'FL Ratio'!$A$3:$B$10,2,FALSE),0)*'FL Characterization'!G$2)</f>
        <v>33.12725051641582</v>
      </c>
      <c r="H3" s="2">
        <f>('[1]Pc, Spring, S3'!H3*Main!$B$5)+(_xlfn.IFNA(VLOOKUP($A3,'FL Ratio'!$A$3:$B$10,2,FALSE),0)*'FL Characterization'!H$2)</f>
        <v>43.058583887551713</v>
      </c>
      <c r="I3" s="2">
        <f>('[1]Pc, Spring, S3'!I3*Main!$B$5)+(_xlfn.IFNA(VLOOKUP($A3,'FL Ratio'!$A$3:$B$10,2,FALSE),0)*'FL Characterization'!I$2)</f>
        <v>48.96873463418261</v>
      </c>
      <c r="J3" s="2">
        <f>('[1]Pc, Spring, S3'!J3*Main!$B$5)+(_xlfn.IFNA(VLOOKUP($A3,'FL Ratio'!$A$3:$B$10,2,FALSE),0)*'FL Characterization'!J$2)</f>
        <v>53.145905124158531</v>
      </c>
      <c r="K3" s="2">
        <f>('[1]Pc, Spring, S3'!K3*Main!$B$5)+(_xlfn.IFNA(VLOOKUP($A3,'FL Ratio'!$A$3:$B$10,2,FALSE),0)*'FL Characterization'!K$2)</f>
        <v>51.774811350273119</v>
      </c>
      <c r="L3" s="2">
        <f>('[1]Pc, Spring, S3'!L3*Main!$B$5)+(_xlfn.IFNA(VLOOKUP($A3,'FL Ratio'!$A$3:$B$10,2,FALSE),0)*'FL Characterization'!L$2)</f>
        <v>48.739607244249882</v>
      </c>
      <c r="M3" s="2">
        <f>('[1]Pc, Spring, S3'!M3*Main!$B$5)+(_xlfn.IFNA(VLOOKUP($A3,'FL Ratio'!$A$3:$B$10,2,FALSE),0)*'FL Characterization'!M$2)</f>
        <v>53.195401142354847</v>
      </c>
      <c r="N3" s="2">
        <f>('[1]Pc, Spring, S3'!N3*Main!$B$5)+(_xlfn.IFNA(VLOOKUP($A3,'FL Ratio'!$A$3:$B$10,2,FALSE),0)*'FL Characterization'!N$2)</f>
        <v>51.353641826638352</v>
      </c>
      <c r="O3" s="2">
        <f>('[1]Pc, Spring, S3'!O3*Main!$B$5)+(_xlfn.IFNA(VLOOKUP($A3,'FL Ratio'!$A$3:$B$10,2,FALSE),0)*'FL Characterization'!O$2)</f>
        <v>49.651009476389824</v>
      </c>
      <c r="P3" s="2">
        <f>('[1]Pc, Spring, S3'!P3*Main!$B$5)+(_xlfn.IFNA(VLOOKUP($A3,'FL Ratio'!$A$3:$B$10,2,FALSE),0)*'FL Characterization'!P$2)</f>
        <v>48.979981844385463</v>
      </c>
      <c r="Q3" s="2">
        <f>('[1]Pc, Spring, S3'!Q3*Main!$B$5)+(_xlfn.IFNA(VLOOKUP($A3,'FL Ratio'!$A$3:$B$10,2,FALSE),0)*'FL Characterization'!Q$2)</f>
        <v>47.024864714222957</v>
      </c>
      <c r="R3" s="2">
        <f>('[1]Pc, Spring, S3'!R3*Main!$B$5)+(_xlfn.IFNA(VLOOKUP($A3,'FL Ratio'!$A$3:$B$10,2,FALSE),0)*'FL Characterization'!R$2)</f>
        <v>43.379243574958473</v>
      </c>
      <c r="S3" s="2">
        <f>('[1]Pc, Spring, S3'!S3*Main!$B$5)+(_xlfn.IFNA(VLOOKUP($A3,'FL Ratio'!$A$3:$B$10,2,FALSE),0)*'FL Characterization'!S$2)</f>
        <v>47.929900099369917</v>
      </c>
      <c r="T3" s="2">
        <f>('[1]Pc, Spring, S3'!T3*Main!$B$5)+(_xlfn.IFNA(VLOOKUP($A3,'FL Ratio'!$A$3:$B$10,2,FALSE),0)*'FL Characterization'!T$2)</f>
        <v>47.707613010048604</v>
      </c>
      <c r="U3" s="2">
        <f>('[1]Pc, Spring, S3'!U3*Main!$B$5)+(_xlfn.IFNA(VLOOKUP($A3,'FL Ratio'!$A$3:$B$10,2,FALSE),0)*'FL Characterization'!U$2)</f>
        <v>46.25144244426005</v>
      </c>
      <c r="V3" s="2">
        <f>('[1]Pc, Spring, S3'!V3*Main!$B$5)+(_xlfn.IFNA(VLOOKUP($A3,'FL Ratio'!$A$3:$B$10,2,FALSE),0)*'FL Characterization'!V$2)</f>
        <v>44.463376661262956</v>
      </c>
      <c r="W3" s="2">
        <f>('[1]Pc, Spring, S3'!W3*Main!$B$5)+(_xlfn.IFNA(VLOOKUP($A3,'FL Ratio'!$A$3:$B$10,2,FALSE),0)*'FL Characterization'!W$2)</f>
        <v>43.563733683755245</v>
      </c>
      <c r="X3" s="2">
        <f>('[1]Pc, Spring, S3'!X3*Main!$B$5)+(_xlfn.IFNA(VLOOKUP($A3,'FL Ratio'!$A$3:$B$10,2,FALSE),0)*'FL Characterization'!X$2)</f>
        <v>41.540912118613598</v>
      </c>
      <c r="Y3" s="2">
        <f>('[1]Pc, Spring, S3'!Y3*Main!$B$5)+(_xlfn.IFNA(VLOOKUP($A3,'FL Ratio'!$A$3:$B$10,2,FALSE),0)*'FL Characterization'!Y$2)</f>
        <v>38.976409719448341</v>
      </c>
    </row>
    <row r="4" spans="1:25" x14ac:dyDescent="0.3">
      <c r="A4">
        <v>3</v>
      </c>
      <c r="B4" s="2">
        <f>('[1]Pc, Spring, S3'!B4*Main!$B$5)+(_xlfn.IFNA(VLOOKUP($A4,'FL Ratio'!$A$3:$B$10,2,FALSE),0)*'FL Characterization'!B$2)</f>
        <v>48.04079715519071</v>
      </c>
      <c r="C4" s="2">
        <f>('[1]Pc, Spring, S3'!C4*Main!$B$5)+(_xlfn.IFNA(VLOOKUP($A4,'FL Ratio'!$A$3:$B$10,2,FALSE),0)*'FL Characterization'!C$2)</f>
        <v>42.211469937806086</v>
      </c>
      <c r="D4" s="2">
        <f>('[1]Pc, Spring, S3'!D4*Main!$B$5)+(_xlfn.IFNA(VLOOKUP($A4,'FL Ratio'!$A$3:$B$10,2,FALSE),0)*'FL Characterization'!D$2)</f>
        <v>42.28860436056712</v>
      </c>
      <c r="E4" s="2">
        <f>('[1]Pc, Spring, S3'!E4*Main!$B$5)+(_xlfn.IFNA(VLOOKUP($A4,'FL Ratio'!$A$3:$B$10,2,FALSE),0)*'FL Characterization'!E$2)</f>
        <v>38.993206719339383</v>
      </c>
      <c r="F4" s="2">
        <f>('[1]Pc, Spring, S3'!F4*Main!$B$5)+(_xlfn.IFNA(VLOOKUP($A4,'FL Ratio'!$A$3:$B$10,2,FALSE),0)*'FL Characterization'!F$2)</f>
        <v>41.087899127573479</v>
      </c>
      <c r="G4" s="2">
        <f>('[1]Pc, Spring, S3'!G4*Main!$B$5)+(_xlfn.IFNA(VLOOKUP($A4,'FL Ratio'!$A$3:$B$10,2,FALSE),0)*'FL Characterization'!G$2)</f>
        <v>40.267998954308105</v>
      </c>
      <c r="H4" s="2">
        <f>('[1]Pc, Spring, S3'!H4*Main!$B$5)+(_xlfn.IFNA(VLOOKUP($A4,'FL Ratio'!$A$3:$B$10,2,FALSE),0)*'FL Characterization'!H$2)</f>
        <v>47.15171163370011</v>
      </c>
      <c r="I4" s="2">
        <f>('[1]Pc, Spring, S3'!I4*Main!$B$5)+(_xlfn.IFNA(VLOOKUP($A4,'FL Ratio'!$A$3:$B$10,2,FALSE),0)*'FL Characterization'!I$2)</f>
        <v>50.712232454570042</v>
      </c>
      <c r="J4" s="2">
        <f>('[1]Pc, Spring, S3'!J4*Main!$B$5)+(_xlfn.IFNA(VLOOKUP($A4,'FL Ratio'!$A$3:$B$10,2,FALSE),0)*'FL Characterization'!J$2)</f>
        <v>58.582724703078085</v>
      </c>
      <c r="K4" s="2">
        <f>('[1]Pc, Spring, S3'!K4*Main!$B$5)+(_xlfn.IFNA(VLOOKUP($A4,'FL Ratio'!$A$3:$B$10,2,FALSE),0)*'FL Characterization'!K$2)</f>
        <v>60.226740345861401</v>
      </c>
      <c r="L4" s="2">
        <f>('[1]Pc, Spring, S3'!L4*Main!$B$5)+(_xlfn.IFNA(VLOOKUP($A4,'FL Ratio'!$A$3:$B$10,2,FALSE),0)*'FL Characterization'!L$2)</f>
        <v>62.21613921733632</v>
      </c>
      <c r="M4" s="2">
        <f>('[1]Pc, Spring, S3'!M4*Main!$B$5)+(_xlfn.IFNA(VLOOKUP($A4,'FL Ratio'!$A$3:$B$10,2,FALSE),0)*'FL Characterization'!M$2)</f>
        <v>65.664386717809705</v>
      </c>
      <c r="N4" s="2">
        <f>('[1]Pc, Spring, S3'!N4*Main!$B$5)+(_xlfn.IFNA(VLOOKUP($A4,'FL Ratio'!$A$3:$B$10,2,FALSE),0)*'FL Characterization'!N$2)</f>
        <v>66.26323222910429</v>
      </c>
      <c r="O4" s="2">
        <f>('[1]Pc, Spring, S3'!O4*Main!$B$5)+(_xlfn.IFNA(VLOOKUP($A4,'FL Ratio'!$A$3:$B$10,2,FALSE),0)*'FL Characterization'!O$2)</f>
        <v>66.153012639992909</v>
      </c>
      <c r="P4" s="2">
        <f>('[1]Pc, Spring, S3'!P4*Main!$B$5)+(_xlfn.IFNA(VLOOKUP($A4,'FL Ratio'!$A$3:$B$10,2,FALSE),0)*'FL Characterization'!P$2)</f>
        <v>62.561411473716824</v>
      </c>
      <c r="Q4" s="2">
        <f>('[1]Pc, Spring, S3'!Q4*Main!$B$5)+(_xlfn.IFNA(VLOOKUP($A4,'FL Ratio'!$A$3:$B$10,2,FALSE),0)*'FL Characterization'!Q$2)</f>
        <v>63.1868350092738</v>
      </c>
      <c r="R4" s="2">
        <f>('[1]Pc, Spring, S3'!R4*Main!$B$5)+(_xlfn.IFNA(VLOOKUP($A4,'FL Ratio'!$A$3:$B$10,2,FALSE),0)*'FL Characterization'!R$2)</f>
        <v>62.550162264758633</v>
      </c>
      <c r="S4" s="2">
        <f>('[1]Pc, Spring, S3'!S4*Main!$B$5)+(_xlfn.IFNA(VLOOKUP($A4,'FL Ratio'!$A$3:$B$10,2,FALSE),0)*'FL Characterization'!S$2)</f>
        <v>65.070588984321162</v>
      </c>
      <c r="T4" s="2">
        <f>('[1]Pc, Spring, S3'!T4*Main!$B$5)+(_xlfn.IFNA(VLOOKUP($A4,'FL Ratio'!$A$3:$B$10,2,FALSE),0)*'FL Characterization'!T$2)</f>
        <v>64.59521823697203</v>
      </c>
      <c r="U4" s="2">
        <f>('[1]Pc, Spring, S3'!U4*Main!$B$5)+(_xlfn.IFNA(VLOOKUP($A4,'FL Ratio'!$A$3:$B$10,2,FALSE),0)*'FL Characterization'!U$2)</f>
        <v>63.114321363028992</v>
      </c>
      <c r="V4" s="2">
        <f>('[1]Pc, Spring, S3'!V4*Main!$B$5)+(_xlfn.IFNA(VLOOKUP($A4,'FL Ratio'!$A$3:$B$10,2,FALSE),0)*'FL Characterization'!V$2)</f>
        <v>61.863626388830113</v>
      </c>
      <c r="W4" s="2">
        <f>('[1]Pc, Spring, S3'!W4*Main!$B$5)+(_xlfn.IFNA(VLOOKUP($A4,'FL Ratio'!$A$3:$B$10,2,FALSE),0)*'FL Characterization'!W$2)</f>
        <v>64.547121189325409</v>
      </c>
      <c r="X4" s="2">
        <f>('[1]Pc, Spring, S3'!X4*Main!$B$5)+(_xlfn.IFNA(VLOOKUP($A4,'FL Ratio'!$A$3:$B$10,2,FALSE),0)*'FL Characterization'!X$2)</f>
        <v>60.761422531674711</v>
      </c>
      <c r="Y4" s="2">
        <f>('[1]Pc, Spring, S3'!Y4*Main!$B$5)+(_xlfn.IFNA(VLOOKUP($A4,'FL Ratio'!$A$3:$B$10,2,FALSE),0)*'FL Characterization'!Y$2)</f>
        <v>55.78514868957744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5064D-398A-4E65-BE27-04F7B80F51C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-12.873801227072439</v>
      </c>
      <c r="C2" s="2">
        <f>('[1]Qc, Spring, S1'!C2*Main!$B$5)</f>
        <v>-15.168434433244395</v>
      </c>
      <c r="D2" s="2">
        <f>('[1]Qc, Spring, S1'!D2*Main!$B$5)</f>
        <v>-17.048740874633175</v>
      </c>
      <c r="E2" s="2">
        <f>('[1]Qc, Spring, S1'!E2*Main!$B$5)</f>
        <v>-16.056603616860865</v>
      </c>
      <c r="F2" s="2">
        <f>('[1]Qc, Spring, S1'!F2*Main!$B$5)</f>
        <v>-16.218038967145041</v>
      </c>
      <c r="G2" s="2">
        <f>('[1]Qc, Spring, S1'!G2*Main!$B$5)</f>
        <v>-15.944560814373309</v>
      </c>
      <c r="H2" s="2">
        <f>('[1]Qc, Spring, S1'!H2*Main!$B$5)</f>
        <v>-13.26330916778374</v>
      </c>
      <c r="I2" s="2">
        <f>('[1]Qc, Spring, S1'!I2*Main!$B$5)</f>
        <v>-3.1779032590135574</v>
      </c>
      <c r="J2" s="2">
        <f>('[1]Qc, Spring, S1'!J2*Main!$B$5)</f>
        <v>3.5612244785418228</v>
      </c>
      <c r="K2" s="2">
        <f>('[1]Qc, Spring, S1'!K2*Main!$B$5)</f>
        <v>6.501424964738824</v>
      </c>
      <c r="L2" s="2">
        <f>('[1]Qc, Spring, S1'!L2*Main!$B$5)</f>
        <v>4.2608931612209124</v>
      </c>
      <c r="M2" s="2">
        <f>('[1]Qc, Spring, S1'!M2*Main!$B$5)</f>
        <v>5.8564039665043222</v>
      </c>
      <c r="N2" s="2">
        <f>('[1]Qc, Spring, S1'!N2*Main!$B$5)</f>
        <v>5.1342145413931011</v>
      </c>
      <c r="O2" s="2">
        <f>('[1]Qc, Spring, S1'!O2*Main!$B$5)</f>
        <v>5.1329529186563674</v>
      </c>
      <c r="P2" s="2">
        <f>('[1]Qc, Spring, S1'!P2*Main!$B$5)</f>
        <v>1.1796551503257129</v>
      </c>
      <c r="Q2" s="2">
        <f>('[1]Qc, Spring, S1'!Q2*Main!$B$5)</f>
        <v>-2.1358184546112629</v>
      </c>
      <c r="R2" s="2">
        <f>('[1]Qc, Spring, S1'!R2*Main!$B$5)</f>
        <v>-0.92249885698177281</v>
      </c>
      <c r="S2" s="2">
        <f>('[1]Qc, Spring, S1'!S2*Main!$B$5)</f>
        <v>1.3207755033914101</v>
      </c>
      <c r="T2" s="2">
        <f>('[1]Qc, Spring, S1'!T2*Main!$B$5)</f>
        <v>7.9781260790658198E-2</v>
      </c>
      <c r="U2" s="2">
        <f>('[1]Qc, Spring, S1'!U2*Main!$B$5)</f>
        <v>-1.7087172236957442</v>
      </c>
      <c r="V2" s="2">
        <f>('[1]Qc, Spring, S1'!V2*Main!$B$5)</f>
        <v>-3.4680492325976582</v>
      </c>
      <c r="W2" s="2">
        <f>('[1]Qc, Spring, S1'!W2*Main!$B$5)</f>
        <v>-3.8234755547147401</v>
      </c>
      <c r="X2" s="2">
        <f>('[1]Qc, Spring, S1'!X2*Main!$B$5)</f>
        <v>-7.3234811120396222</v>
      </c>
      <c r="Y2" s="2">
        <f>('[1]Qc, Spring, S1'!Y2*Main!$B$5)</f>
        <v>-9.2282155629773364</v>
      </c>
    </row>
    <row r="3" spans="1:25" x14ac:dyDescent="0.3">
      <c r="A3">
        <v>2</v>
      </c>
      <c r="B3" s="2">
        <f>('[1]Qc, Spring, S1'!B3*Main!$B$5)</f>
        <v>-2.3702913410940476</v>
      </c>
      <c r="C3" s="2">
        <f>('[1]Qc, Spring, S1'!C3*Main!$B$5)</f>
        <v>-0.72617589279821282</v>
      </c>
      <c r="D3" s="2">
        <f>('[1]Qc, Spring, S1'!D3*Main!$B$5)</f>
        <v>-3.041035014089541</v>
      </c>
      <c r="E3" s="2">
        <f>('[1]Qc, Spring, S1'!E3*Main!$B$5)</f>
        <v>-4.4290965647365432</v>
      </c>
      <c r="F3" s="2">
        <f>('[1]Qc, Spring, S1'!F3*Main!$B$5)</f>
        <v>-3.2507130750359963</v>
      </c>
      <c r="G3" s="2">
        <f>('[1]Qc, Spring, S1'!G3*Main!$B$5)</f>
        <v>-4.9692390126061401</v>
      </c>
      <c r="H3" s="2">
        <f>('[1]Qc, Spring, S1'!H3*Main!$B$5)</f>
        <v>-1.7018030085073721</v>
      </c>
      <c r="I3" s="2">
        <f>('[1]Qc, Spring, S1'!I3*Main!$B$5)</f>
        <v>1.3517315867070612</v>
      </c>
      <c r="J3" s="2">
        <f>('[1]Qc, Spring, S1'!J3*Main!$B$5)</f>
        <v>0.77427456656031746</v>
      </c>
      <c r="K3" s="2">
        <f>('[1]Qc, Spring, S1'!K3*Main!$B$5)</f>
        <v>0.93074841582545875</v>
      </c>
      <c r="L3" s="2">
        <f>('[1]Qc, Spring, S1'!L3*Main!$B$5)</f>
        <v>2.4820431926451865</v>
      </c>
      <c r="M3" s="2">
        <f>('[1]Qc, Spring, S1'!M3*Main!$B$5)</f>
        <v>1.4961720831037819</v>
      </c>
      <c r="N3" s="2">
        <f>('[1]Qc, Spring, S1'!N3*Main!$B$5)</f>
        <v>2.7409899646075853</v>
      </c>
      <c r="O3" s="2">
        <f>('[1]Qc, Spring, S1'!O3*Main!$B$5)</f>
        <v>3.8811470832408075</v>
      </c>
      <c r="P3" s="2">
        <f>('[1]Qc, Spring, S1'!P3*Main!$B$5)</f>
        <v>2.7912525476825558</v>
      </c>
      <c r="Q3" s="2">
        <f>('[1]Qc, Spring, S1'!Q3*Main!$B$5)</f>
        <v>3.7991471226575144</v>
      </c>
      <c r="R3" s="2">
        <f>('[1]Qc, Spring, S1'!R3*Main!$B$5)</f>
        <v>1.4323579291967787</v>
      </c>
      <c r="S3" s="2">
        <f>('[1]Qc, Spring, S1'!S3*Main!$B$5)</f>
        <v>1.3376376147482882</v>
      </c>
      <c r="T3" s="2">
        <f>('[1]Qc, Spring, S1'!T3*Main!$B$5)</f>
        <v>1.4323579291967787</v>
      </c>
      <c r="U3" s="2">
        <f>('[1]Qc, Spring, S1'!U3*Main!$B$5)</f>
        <v>1.3198488731055327</v>
      </c>
      <c r="V3" s="2">
        <f>('[1]Qc, Spring, S1'!V3*Main!$B$5)</f>
        <v>-0.68234776336424996</v>
      </c>
      <c r="W3" s="2">
        <f>('[1]Qc, Spring, S1'!W3*Main!$B$5)</f>
        <v>0.61575238230632467</v>
      </c>
      <c r="X3" s="2">
        <f>('[1]Qc, Spring, S1'!X3*Main!$B$5)</f>
        <v>-3.4127475853514255</v>
      </c>
      <c r="Y3" s="2">
        <f>('[1]Qc, Spring, S1'!Y3*Main!$B$5)</f>
        <v>-3.0780713979215406</v>
      </c>
    </row>
    <row r="4" spans="1:25" x14ac:dyDescent="0.3">
      <c r="A4">
        <v>3</v>
      </c>
      <c r="B4" s="2">
        <f>('[1]Qc, Spring, S1'!B4*Main!$B$5)</f>
        <v>10.95875643615658</v>
      </c>
      <c r="C4" s="2">
        <f>('[1]Qc, Spring, S1'!C4*Main!$B$5)</f>
        <v>8.7033834586150611</v>
      </c>
      <c r="D4" s="2">
        <f>('[1]Qc, Spring, S1'!D4*Main!$B$5)</f>
        <v>8.0801010603650489</v>
      </c>
      <c r="E4" s="2">
        <f>('[1]Qc, Spring, S1'!E4*Main!$B$5)</f>
        <v>7.4637368240356201</v>
      </c>
      <c r="F4" s="2">
        <f>('[1]Qc, Spring, S1'!F4*Main!$B$5)</f>
        <v>7.9642190350147919</v>
      </c>
      <c r="G4" s="2">
        <f>('[1]Qc, Spring, S1'!G4*Main!$B$5)</f>
        <v>6.1658555625886482</v>
      </c>
      <c r="H4" s="2">
        <f>('[1]Qc, Spring, S1'!H4*Main!$B$5)</f>
        <v>10.547922938317811</v>
      </c>
      <c r="I4" s="2">
        <f>('[1]Qc, Spring, S1'!I4*Main!$B$5)</f>
        <v>15.199617594918372</v>
      </c>
      <c r="J4" s="2">
        <f>('[1]Qc, Spring, S1'!J4*Main!$B$5)</f>
        <v>20.56983774540107</v>
      </c>
      <c r="K4" s="2">
        <f>('[1]Qc, Spring, S1'!K4*Main!$B$5)</f>
        <v>24.204199996786819</v>
      </c>
      <c r="L4" s="2">
        <f>('[1]Qc, Spring, S1'!L4*Main!$B$5)</f>
        <v>24.607017649241072</v>
      </c>
      <c r="M4" s="2">
        <f>('[1]Qc, Spring, S1'!M4*Main!$B$5)</f>
        <v>24.973714337158484</v>
      </c>
      <c r="N4" s="2">
        <f>('[1]Qc, Spring, S1'!N4*Main!$B$5)</f>
        <v>26.818573963298196</v>
      </c>
      <c r="O4" s="2">
        <f>('[1]Qc, Spring, S1'!O4*Main!$B$5)</f>
        <v>25.825629396504027</v>
      </c>
      <c r="P4" s="2">
        <f>('[1]Qc, Spring, S1'!P4*Main!$B$5)</f>
        <v>23.986161942645158</v>
      </c>
      <c r="Q4" s="2">
        <f>('[1]Qc, Spring, S1'!Q4*Main!$B$5)</f>
        <v>23.803293625039156</v>
      </c>
      <c r="R4" s="2">
        <f>('[1]Qc, Spring, S1'!R4*Main!$B$5)</f>
        <v>23.107603001418415</v>
      </c>
      <c r="S4" s="2">
        <f>('[1]Qc, Spring, S1'!S4*Main!$B$5)</f>
        <v>24.298193888785555</v>
      </c>
      <c r="T4" s="2">
        <f>('[1]Qc, Spring, S1'!T4*Main!$B$5)</f>
        <v>24.129443170119398</v>
      </c>
      <c r="U4" s="2">
        <f>('[1]Qc, Spring, S1'!U4*Main!$B$5)</f>
        <v>23.846037377844016</v>
      </c>
      <c r="V4" s="2">
        <f>('[1]Qc, Spring, S1'!V4*Main!$B$5)</f>
        <v>20.51834563961599</v>
      </c>
      <c r="W4" s="2">
        <f>('[1]Qc, Spring, S1'!W4*Main!$B$5)</f>
        <v>22.262374929248551</v>
      </c>
      <c r="X4" s="2">
        <f>('[1]Qc, Spring, S1'!X4*Main!$B$5)</f>
        <v>18.795002400352814</v>
      </c>
      <c r="Y4" s="2">
        <f>('[1]Qc, Spring, S1'!Y4*Main!$B$5)</f>
        <v>15.614157994800147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8594AD-079E-420B-872E-C5172D7B66A6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-12.873801227072439</v>
      </c>
      <c r="C2" s="2">
        <f>('[1]Qc, Spring, S1'!C2*Main!$B$5)</f>
        <v>-15.168434433244395</v>
      </c>
      <c r="D2" s="2">
        <f>('[1]Qc, Spring, S1'!D2*Main!$B$5)</f>
        <v>-17.048740874633175</v>
      </c>
      <c r="E2" s="2">
        <f>('[1]Qc, Spring, S1'!E2*Main!$B$5)</f>
        <v>-16.056603616860865</v>
      </c>
      <c r="F2" s="2">
        <f>('[1]Qc, Spring, S1'!F2*Main!$B$5)</f>
        <v>-16.218038967145041</v>
      </c>
      <c r="G2" s="2">
        <f>('[1]Qc, Spring, S1'!G2*Main!$B$5)</f>
        <v>-15.944560814373309</v>
      </c>
      <c r="H2" s="2">
        <f>('[1]Qc, Spring, S1'!H2*Main!$B$5)</f>
        <v>-13.26330916778374</v>
      </c>
      <c r="I2" s="2">
        <f>('[1]Qc, Spring, S1'!I2*Main!$B$5)</f>
        <v>-3.1779032590135574</v>
      </c>
      <c r="J2" s="2">
        <f>('[1]Qc, Spring, S1'!J2*Main!$B$5)</f>
        <v>3.5612244785418228</v>
      </c>
      <c r="K2" s="2">
        <f>('[1]Qc, Spring, S1'!K2*Main!$B$5)</f>
        <v>6.501424964738824</v>
      </c>
      <c r="L2" s="2">
        <f>('[1]Qc, Spring, S1'!L2*Main!$B$5)</f>
        <v>4.2608931612209124</v>
      </c>
      <c r="M2" s="2">
        <f>('[1]Qc, Spring, S1'!M2*Main!$B$5)</f>
        <v>5.8564039665043222</v>
      </c>
      <c r="N2" s="2">
        <f>('[1]Qc, Spring, S1'!N2*Main!$B$5)</f>
        <v>5.1342145413931011</v>
      </c>
      <c r="O2" s="2">
        <f>('[1]Qc, Spring, S1'!O2*Main!$B$5)</f>
        <v>5.1329529186563674</v>
      </c>
      <c r="P2" s="2">
        <f>('[1]Qc, Spring, S1'!P2*Main!$B$5)</f>
        <v>1.1796551503257129</v>
      </c>
      <c r="Q2" s="2">
        <f>('[1]Qc, Spring, S1'!Q2*Main!$B$5)</f>
        <v>-2.1358184546112629</v>
      </c>
      <c r="R2" s="2">
        <f>('[1]Qc, Spring, S1'!R2*Main!$B$5)</f>
        <v>-0.92249885698177281</v>
      </c>
      <c r="S2" s="2">
        <f>('[1]Qc, Spring, S1'!S2*Main!$B$5)</f>
        <v>1.3207755033914101</v>
      </c>
      <c r="T2" s="2">
        <f>('[1]Qc, Spring, S1'!T2*Main!$B$5)</f>
        <v>7.9781260790658198E-2</v>
      </c>
      <c r="U2" s="2">
        <f>('[1]Qc, Spring, S1'!U2*Main!$B$5)</f>
        <v>-1.7087172236957442</v>
      </c>
      <c r="V2" s="2">
        <f>('[1]Qc, Spring, S1'!V2*Main!$B$5)</f>
        <v>-3.4680492325976582</v>
      </c>
      <c r="W2" s="2">
        <f>('[1]Qc, Spring, S1'!W2*Main!$B$5)</f>
        <v>-3.8234755547147401</v>
      </c>
      <c r="X2" s="2">
        <f>('[1]Qc, Spring, S1'!X2*Main!$B$5)</f>
        <v>-7.3234811120396222</v>
      </c>
      <c r="Y2" s="2">
        <f>('[1]Qc, Spring, S1'!Y2*Main!$B$5)</f>
        <v>-9.2282155629773364</v>
      </c>
    </row>
    <row r="3" spans="1:25" x14ac:dyDescent="0.3">
      <c r="A3">
        <v>2</v>
      </c>
      <c r="B3" s="2">
        <f>('[1]Qc, Spring, S1'!B3*Main!$B$5)</f>
        <v>-2.3702913410940476</v>
      </c>
      <c r="C3" s="2">
        <f>('[1]Qc, Spring, S1'!C3*Main!$B$5)</f>
        <v>-0.72617589279821282</v>
      </c>
      <c r="D3" s="2">
        <f>('[1]Qc, Spring, S1'!D3*Main!$B$5)</f>
        <v>-3.041035014089541</v>
      </c>
      <c r="E3" s="2">
        <f>('[1]Qc, Spring, S1'!E3*Main!$B$5)</f>
        <v>-4.4290965647365432</v>
      </c>
      <c r="F3" s="2">
        <f>('[1]Qc, Spring, S1'!F3*Main!$B$5)</f>
        <v>-3.2507130750359963</v>
      </c>
      <c r="G3" s="2">
        <f>('[1]Qc, Spring, S1'!G3*Main!$B$5)</f>
        <v>-4.9692390126061401</v>
      </c>
      <c r="H3" s="2">
        <f>('[1]Qc, Spring, S1'!H3*Main!$B$5)</f>
        <v>-1.7018030085073721</v>
      </c>
      <c r="I3" s="2">
        <f>('[1]Qc, Spring, S1'!I3*Main!$B$5)</f>
        <v>1.3517315867070612</v>
      </c>
      <c r="J3" s="2">
        <f>('[1]Qc, Spring, S1'!J3*Main!$B$5)</f>
        <v>0.77427456656031746</v>
      </c>
      <c r="K3" s="2">
        <f>('[1]Qc, Spring, S1'!K3*Main!$B$5)</f>
        <v>0.93074841582545875</v>
      </c>
      <c r="L3" s="2">
        <f>('[1]Qc, Spring, S1'!L3*Main!$B$5)</f>
        <v>2.4820431926451865</v>
      </c>
      <c r="M3" s="2">
        <f>('[1]Qc, Spring, S1'!M3*Main!$B$5)</f>
        <v>1.4961720831037819</v>
      </c>
      <c r="N3" s="2">
        <f>('[1]Qc, Spring, S1'!N3*Main!$B$5)</f>
        <v>2.7409899646075853</v>
      </c>
      <c r="O3" s="2">
        <f>('[1]Qc, Spring, S1'!O3*Main!$B$5)</f>
        <v>3.8811470832408075</v>
      </c>
      <c r="P3" s="2">
        <f>('[1]Qc, Spring, S1'!P3*Main!$B$5)</f>
        <v>2.7912525476825558</v>
      </c>
      <c r="Q3" s="2">
        <f>('[1]Qc, Spring, S1'!Q3*Main!$B$5)</f>
        <v>3.7991471226575144</v>
      </c>
      <c r="R3" s="2">
        <f>('[1]Qc, Spring, S1'!R3*Main!$B$5)</f>
        <v>1.4323579291967787</v>
      </c>
      <c r="S3" s="2">
        <f>('[1]Qc, Spring, S1'!S3*Main!$B$5)</f>
        <v>1.3376376147482882</v>
      </c>
      <c r="T3" s="2">
        <f>('[1]Qc, Spring, S1'!T3*Main!$B$5)</f>
        <v>1.4323579291967787</v>
      </c>
      <c r="U3" s="2">
        <f>('[1]Qc, Spring, S1'!U3*Main!$B$5)</f>
        <v>1.3198488731055327</v>
      </c>
      <c r="V3" s="2">
        <f>('[1]Qc, Spring, S1'!V3*Main!$B$5)</f>
        <v>-0.68234776336424996</v>
      </c>
      <c r="W3" s="2">
        <f>('[1]Qc, Spring, S1'!W3*Main!$B$5)</f>
        <v>0.61575238230632467</v>
      </c>
      <c r="X3" s="2">
        <f>('[1]Qc, Spring, S1'!X3*Main!$B$5)</f>
        <v>-3.4127475853514255</v>
      </c>
      <c r="Y3" s="2">
        <f>('[1]Qc, Spring, S1'!Y3*Main!$B$5)</f>
        <v>-3.0780713979215406</v>
      </c>
    </row>
    <row r="4" spans="1:25" x14ac:dyDescent="0.3">
      <c r="A4">
        <v>3</v>
      </c>
      <c r="B4" s="2">
        <f>('[1]Qc, Spring, S1'!B4*Main!$B$5)</f>
        <v>10.95875643615658</v>
      </c>
      <c r="C4" s="2">
        <f>('[1]Qc, Spring, S1'!C4*Main!$B$5)</f>
        <v>8.7033834586150611</v>
      </c>
      <c r="D4" s="2">
        <f>('[1]Qc, Spring, S1'!D4*Main!$B$5)</f>
        <v>8.0801010603650489</v>
      </c>
      <c r="E4" s="2">
        <f>('[1]Qc, Spring, S1'!E4*Main!$B$5)</f>
        <v>7.4637368240356201</v>
      </c>
      <c r="F4" s="2">
        <f>('[1]Qc, Spring, S1'!F4*Main!$B$5)</f>
        <v>7.9642190350147919</v>
      </c>
      <c r="G4" s="2">
        <f>('[1]Qc, Spring, S1'!G4*Main!$B$5)</f>
        <v>6.1658555625886482</v>
      </c>
      <c r="H4" s="2">
        <f>('[1]Qc, Spring, S1'!H4*Main!$B$5)</f>
        <v>10.547922938317811</v>
      </c>
      <c r="I4" s="2">
        <f>('[1]Qc, Spring, S1'!I4*Main!$B$5)</f>
        <v>15.199617594918372</v>
      </c>
      <c r="J4" s="2">
        <f>('[1]Qc, Spring, S1'!J4*Main!$B$5)</f>
        <v>20.56983774540107</v>
      </c>
      <c r="K4" s="2">
        <f>('[1]Qc, Spring, S1'!K4*Main!$B$5)</f>
        <v>24.204199996786819</v>
      </c>
      <c r="L4" s="2">
        <f>('[1]Qc, Spring, S1'!L4*Main!$B$5)</f>
        <v>24.607017649241072</v>
      </c>
      <c r="M4" s="2">
        <f>('[1]Qc, Spring, S1'!M4*Main!$B$5)</f>
        <v>24.973714337158484</v>
      </c>
      <c r="N4" s="2">
        <f>('[1]Qc, Spring, S1'!N4*Main!$B$5)</f>
        <v>26.818573963298196</v>
      </c>
      <c r="O4" s="2">
        <f>('[1]Qc, Spring, S1'!O4*Main!$B$5)</f>
        <v>25.825629396504027</v>
      </c>
      <c r="P4" s="2">
        <f>('[1]Qc, Spring, S1'!P4*Main!$B$5)</f>
        <v>23.986161942645158</v>
      </c>
      <c r="Q4" s="2">
        <f>('[1]Qc, Spring, S1'!Q4*Main!$B$5)</f>
        <v>23.803293625039156</v>
      </c>
      <c r="R4" s="2">
        <f>('[1]Qc, Spring, S1'!R4*Main!$B$5)</f>
        <v>23.107603001418415</v>
      </c>
      <c r="S4" s="2">
        <f>('[1]Qc, Spring, S1'!S4*Main!$B$5)</f>
        <v>24.298193888785555</v>
      </c>
      <c r="T4" s="2">
        <f>('[1]Qc, Spring, S1'!T4*Main!$B$5)</f>
        <v>24.129443170119398</v>
      </c>
      <c r="U4" s="2">
        <f>('[1]Qc, Spring, S1'!U4*Main!$B$5)</f>
        <v>23.846037377844016</v>
      </c>
      <c r="V4" s="2">
        <f>('[1]Qc, Spring, S1'!V4*Main!$B$5)</f>
        <v>20.51834563961599</v>
      </c>
      <c r="W4" s="2">
        <f>('[1]Qc, Spring, S1'!W4*Main!$B$5)</f>
        <v>22.262374929248551</v>
      </c>
      <c r="X4" s="2">
        <f>('[1]Qc, Spring, S1'!X4*Main!$B$5)</f>
        <v>18.795002400352814</v>
      </c>
      <c r="Y4" s="2">
        <f>('[1]Qc, Spring, S1'!Y4*Main!$B$5)</f>
        <v>15.614157994800147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0EA5EA-0B6A-47A3-A1C6-41E65EF57CD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-12.873801227072439</v>
      </c>
      <c r="C2" s="2">
        <f>('[1]Qc, Spring, S1'!C2*Main!$B$5)</f>
        <v>-15.168434433244395</v>
      </c>
      <c r="D2" s="2">
        <f>('[1]Qc, Spring, S1'!D2*Main!$B$5)</f>
        <v>-17.048740874633175</v>
      </c>
      <c r="E2" s="2">
        <f>('[1]Qc, Spring, S1'!E2*Main!$B$5)</f>
        <v>-16.056603616860865</v>
      </c>
      <c r="F2" s="2">
        <f>('[1]Qc, Spring, S1'!F2*Main!$B$5)</f>
        <v>-16.218038967145041</v>
      </c>
      <c r="G2" s="2">
        <f>('[1]Qc, Spring, S1'!G2*Main!$B$5)</f>
        <v>-15.944560814373309</v>
      </c>
      <c r="H2" s="2">
        <f>('[1]Qc, Spring, S1'!H2*Main!$B$5)</f>
        <v>-13.26330916778374</v>
      </c>
      <c r="I2" s="2">
        <f>('[1]Qc, Spring, S1'!I2*Main!$B$5)</f>
        <v>-3.1779032590135574</v>
      </c>
      <c r="J2" s="2">
        <f>('[1]Qc, Spring, S1'!J2*Main!$B$5)</f>
        <v>3.5612244785418228</v>
      </c>
      <c r="K2" s="2">
        <f>('[1]Qc, Spring, S1'!K2*Main!$B$5)</f>
        <v>6.501424964738824</v>
      </c>
      <c r="L2" s="2">
        <f>('[1]Qc, Spring, S1'!L2*Main!$B$5)</f>
        <v>4.2608931612209124</v>
      </c>
      <c r="M2" s="2">
        <f>('[1]Qc, Spring, S1'!M2*Main!$B$5)</f>
        <v>5.8564039665043222</v>
      </c>
      <c r="N2" s="2">
        <f>('[1]Qc, Spring, S1'!N2*Main!$B$5)</f>
        <v>5.1342145413931011</v>
      </c>
      <c r="O2" s="2">
        <f>('[1]Qc, Spring, S1'!O2*Main!$B$5)</f>
        <v>5.1329529186563674</v>
      </c>
      <c r="P2" s="2">
        <f>('[1]Qc, Spring, S1'!P2*Main!$B$5)</f>
        <v>1.1796551503257129</v>
      </c>
      <c r="Q2" s="2">
        <f>('[1]Qc, Spring, S1'!Q2*Main!$B$5)</f>
        <v>-2.1358184546112629</v>
      </c>
      <c r="R2" s="2">
        <f>('[1]Qc, Spring, S1'!R2*Main!$B$5)</f>
        <v>-0.92249885698177281</v>
      </c>
      <c r="S2" s="2">
        <f>('[1]Qc, Spring, S1'!S2*Main!$B$5)</f>
        <v>1.3207755033914101</v>
      </c>
      <c r="T2" s="2">
        <f>('[1]Qc, Spring, S1'!T2*Main!$B$5)</f>
        <v>7.9781260790658198E-2</v>
      </c>
      <c r="U2" s="2">
        <f>('[1]Qc, Spring, S1'!U2*Main!$B$5)</f>
        <v>-1.7087172236957442</v>
      </c>
      <c r="V2" s="2">
        <f>('[1]Qc, Spring, S1'!V2*Main!$B$5)</f>
        <v>-3.4680492325976582</v>
      </c>
      <c r="W2" s="2">
        <f>('[1]Qc, Spring, S1'!W2*Main!$B$5)</f>
        <v>-3.8234755547147401</v>
      </c>
      <c r="X2" s="2">
        <f>('[1]Qc, Spring, S1'!X2*Main!$B$5)</f>
        <v>-7.3234811120396222</v>
      </c>
      <c r="Y2" s="2">
        <f>('[1]Qc, Spring, S1'!Y2*Main!$B$5)</f>
        <v>-9.2282155629773364</v>
      </c>
    </row>
    <row r="3" spans="1:25" x14ac:dyDescent="0.3">
      <c r="A3">
        <v>2</v>
      </c>
      <c r="B3" s="2">
        <f>('[1]Qc, Spring, S1'!B3*Main!$B$5)</f>
        <v>-2.3702913410940476</v>
      </c>
      <c r="C3" s="2">
        <f>('[1]Qc, Spring, S1'!C3*Main!$B$5)</f>
        <v>-0.72617589279821282</v>
      </c>
      <c r="D3" s="2">
        <f>('[1]Qc, Spring, S1'!D3*Main!$B$5)</f>
        <v>-3.041035014089541</v>
      </c>
      <c r="E3" s="2">
        <f>('[1]Qc, Spring, S1'!E3*Main!$B$5)</f>
        <v>-4.4290965647365432</v>
      </c>
      <c r="F3" s="2">
        <f>('[1]Qc, Spring, S1'!F3*Main!$B$5)</f>
        <v>-3.2507130750359963</v>
      </c>
      <c r="G3" s="2">
        <f>('[1]Qc, Spring, S1'!G3*Main!$B$5)</f>
        <v>-4.9692390126061401</v>
      </c>
      <c r="H3" s="2">
        <f>('[1]Qc, Spring, S1'!H3*Main!$B$5)</f>
        <v>-1.7018030085073721</v>
      </c>
      <c r="I3" s="2">
        <f>('[1]Qc, Spring, S1'!I3*Main!$B$5)</f>
        <v>1.3517315867070612</v>
      </c>
      <c r="J3" s="2">
        <f>('[1]Qc, Spring, S1'!J3*Main!$B$5)</f>
        <v>0.77427456656031746</v>
      </c>
      <c r="K3" s="2">
        <f>('[1]Qc, Spring, S1'!K3*Main!$B$5)</f>
        <v>0.93074841582545875</v>
      </c>
      <c r="L3" s="2">
        <f>('[1]Qc, Spring, S1'!L3*Main!$B$5)</f>
        <v>2.4820431926451865</v>
      </c>
      <c r="M3" s="2">
        <f>('[1]Qc, Spring, S1'!M3*Main!$B$5)</f>
        <v>1.4961720831037819</v>
      </c>
      <c r="N3" s="2">
        <f>('[1]Qc, Spring, S1'!N3*Main!$B$5)</f>
        <v>2.7409899646075853</v>
      </c>
      <c r="O3" s="2">
        <f>('[1]Qc, Spring, S1'!O3*Main!$B$5)</f>
        <v>3.8811470832408075</v>
      </c>
      <c r="P3" s="2">
        <f>('[1]Qc, Spring, S1'!P3*Main!$B$5)</f>
        <v>2.7912525476825558</v>
      </c>
      <c r="Q3" s="2">
        <f>('[1]Qc, Spring, S1'!Q3*Main!$B$5)</f>
        <v>3.7991471226575144</v>
      </c>
      <c r="R3" s="2">
        <f>('[1]Qc, Spring, S1'!R3*Main!$B$5)</f>
        <v>1.4323579291967787</v>
      </c>
      <c r="S3" s="2">
        <f>('[1]Qc, Spring, S1'!S3*Main!$B$5)</f>
        <v>1.3376376147482882</v>
      </c>
      <c r="T3" s="2">
        <f>('[1]Qc, Spring, S1'!T3*Main!$B$5)</f>
        <v>1.4323579291967787</v>
      </c>
      <c r="U3" s="2">
        <f>('[1]Qc, Spring, S1'!U3*Main!$B$5)</f>
        <v>1.3198488731055327</v>
      </c>
      <c r="V3" s="2">
        <f>('[1]Qc, Spring, S1'!V3*Main!$B$5)</f>
        <v>-0.68234776336424996</v>
      </c>
      <c r="W3" s="2">
        <f>('[1]Qc, Spring, S1'!W3*Main!$B$5)</f>
        <v>0.61575238230632467</v>
      </c>
      <c r="X3" s="2">
        <f>('[1]Qc, Spring, S1'!X3*Main!$B$5)</f>
        <v>-3.4127475853514255</v>
      </c>
      <c r="Y3" s="2">
        <f>('[1]Qc, Spring, S1'!Y3*Main!$B$5)</f>
        <v>-3.0780713979215406</v>
      </c>
    </row>
    <row r="4" spans="1:25" x14ac:dyDescent="0.3">
      <c r="A4">
        <v>3</v>
      </c>
      <c r="B4" s="2">
        <f>('[1]Qc, Spring, S1'!B4*Main!$B$5)</f>
        <v>10.95875643615658</v>
      </c>
      <c r="C4" s="2">
        <f>('[1]Qc, Spring, S1'!C4*Main!$B$5)</f>
        <v>8.7033834586150611</v>
      </c>
      <c r="D4" s="2">
        <f>('[1]Qc, Spring, S1'!D4*Main!$B$5)</f>
        <v>8.0801010603650489</v>
      </c>
      <c r="E4" s="2">
        <f>('[1]Qc, Spring, S1'!E4*Main!$B$5)</f>
        <v>7.4637368240356201</v>
      </c>
      <c r="F4" s="2">
        <f>('[1]Qc, Spring, S1'!F4*Main!$B$5)</f>
        <v>7.9642190350147919</v>
      </c>
      <c r="G4" s="2">
        <f>('[1]Qc, Spring, S1'!G4*Main!$B$5)</f>
        <v>6.1658555625886482</v>
      </c>
      <c r="H4" s="2">
        <f>('[1]Qc, Spring, S1'!H4*Main!$B$5)</f>
        <v>10.547922938317811</v>
      </c>
      <c r="I4" s="2">
        <f>('[1]Qc, Spring, S1'!I4*Main!$B$5)</f>
        <v>15.199617594918372</v>
      </c>
      <c r="J4" s="2">
        <f>('[1]Qc, Spring, S1'!J4*Main!$B$5)</f>
        <v>20.56983774540107</v>
      </c>
      <c r="K4" s="2">
        <f>('[1]Qc, Spring, S1'!K4*Main!$B$5)</f>
        <v>24.204199996786819</v>
      </c>
      <c r="L4" s="2">
        <f>('[1]Qc, Spring, S1'!L4*Main!$B$5)</f>
        <v>24.607017649241072</v>
      </c>
      <c r="M4" s="2">
        <f>('[1]Qc, Spring, S1'!M4*Main!$B$5)</f>
        <v>24.973714337158484</v>
      </c>
      <c r="N4" s="2">
        <f>('[1]Qc, Spring, S1'!N4*Main!$B$5)</f>
        <v>26.818573963298196</v>
      </c>
      <c r="O4" s="2">
        <f>('[1]Qc, Spring, S1'!O4*Main!$B$5)</f>
        <v>25.825629396504027</v>
      </c>
      <c r="P4" s="2">
        <f>('[1]Qc, Spring, S1'!P4*Main!$B$5)</f>
        <v>23.986161942645158</v>
      </c>
      <c r="Q4" s="2">
        <f>('[1]Qc, Spring, S1'!Q4*Main!$B$5)</f>
        <v>23.803293625039156</v>
      </c>
      <c r="R4" s="2">
        <f>('[1]Qc, Spring, S1'!R4*Main!$B$5)</f>
        <v>23.107603001418415</v>
      </c>
      <c r="S4" s="2">
        <f>('[1]Qc, Spring, S1'!S4*Main!$B$5)</f>
        <v>24.298193888785555</v>
      </c>
      <c r="T4" s="2">
        <f>('[1]Qc, Spring, S1'!T4*Main!$B$5)</f>
        <v>24.129443170119398</v>
      </c>
      <c r="U4" s="2">
        <f>('[1]Qc, Spring, S1'!U4*Main!$B$5)</f>
        <v>23.846037377844016</v>
      </c>
      <c r="V4" s="2">
        <f>('[1]Qc, Spring, S1'!V4*Main!$B$5)</f>
        <v>20.51834563961599</v>
      </c>
      <c r="W4" s="2">
        <f>('[1]Qc, Spring, S1'!W4*Main!$B$5)</f>
        <v>22.262374929248551</v>
      </c>
      <c r="X4" s="2">
        <f>('[1]Qc, Spring, S1'!X4*Main!$B$5)</f>
        <v>18.795002400352814</v>
      </c>
      <c r="Y4" s="2">
        <f>('[1]Qc, Spring, S1'!Y4*Main!$B$5)</f>
        <v>15.614157994800147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54F07-C1AD-4D86-B5D4-DA6C81A87E64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-13.260015263884613</v>
      </c>
      <c r="C2" s="2">
        <f>('[1]Qc, Spring, S2'!C2*Main!$B$5)</f>
        <v>-15.623487466241725</v>
      </c>
      <c r="D2" s="2">
        <f>('[1]Qc, Spring, S2'!D2*Main!$B$5)</f>
        <v>-17.560203100872172</v>
      </c>
      <c r="E2" s="2">
        <f>('[1]Qc, Spring, S2'!E2*Main!$B$5)</f>
        <v>-16.538301725366694</v>
      </c>
      <c r="F2" s="2">
        <f>('[1]Qc, Spring, S2'!F2*Main!$B$5)</f>
        <v>-16.704580136159393</v>
      </c>
      <c r="G2" s="2">
        <f>('[1]Qc, Spring, S2'!G2*Main!$B$5)</f>
        <v>-16.42289763880451</v>
      </c>
      <c r="H2" s="2">
        <f>('[1]Qc, Spring, S2'!H2*Main!$B$5)</f>
        <v>-13.661208442817253</v>
      </c>
      <c r="I2" s="2">
        <f>('[1]Qc, Spring, S2'!I2*Main!$B$5)</f>
        <v>-3.2732403567839645</v>
      </c>
      <c r="J2" s="2">
        <f>('[1]Qc, Spring, S2'!J2*Main!$B$5)</f>
        <v>3.6680612128980772</v>
      </c>
      <c r="K2" s="2">
        <f>('[1]Qc, Spring, S2'!K2*Main!$B$5)</f>
        <v>6.6964677136809883</v>
      </c>
      <c r="L2" s="2">
        <f>('[1]Qc, Spring, S2'!L2*Main!$B$5)</f>
        <v>4.3887199560575398</v>
      </c>
      <c r="M2" s="2">
        <f>('[1]Qc, Spring, S2'!M2*Main!$B$5)</f>
        <v>6.032096085499453</v>
      </c>
      <c r="N2" s="2">
        <f>('[1]Qc, Spring, S2'!N2*Main!$B$5)</f>
        <v>5.2882409776348949</v>
      </c>
      <c r="O2" s="2">
        <f>('[1]Qc, Spring, S2'!O2*Main!$B$5)</f>
        <v>5.2869415062160598</v>
      </c>
      <c r="P2" s="2">
        <f>('[1]Qc, Spring, S2'!P2*Main!$B$5)</f>
        <v>1.2150448048354843</v>
      </c>
      <c r="Q2" s="2">
        <f>('[1]Qc, Spring, S2'!Q2*Main!$B$5)</f>
        <v>-2.1998930082496009</v>
      </c>
      <c r="R2" s="2">
        <f>('[1]Qc, Spring, S2'!R2*Main!$B$5)</f>
        <v>-0.95017382269122608</v>
      </c>
      <c r="S2" s="2">
        <f>('[1]Qc, Spring, S2'!S2*Main!$B$5)</f>
        <v>1.3603987684931522</v>
      </c>
      <c r="T2" s="2">
        <f>('[1]Qc, Spring, S2'!T2*Main!$B$5)</f>
        <v>8.2174698614377956E-2</v>
      </c>
      <c r="U2" s="2">
        <f>('[1]Qc, Spring, S2'!U2*Main!$B$5)</f>
        <v>-1.7599787404066163</v>
      </c>
      <c r="V2" s="2">
        <f>('[1]Qc, Spring, S2'!V2*Main!$B$5)</f>
        <v>-3.5720907095755883</v>
      </c>
      <c r="W2" s="2">
        <f>('[1]Qc, Spring, S2'!W2*Main!$B$5)</f>
        <v>-3.9381798213561825</v>
      </c>
      <c r="X2" s="2">
        <f>('[1]Qc, Spring, S2'!X2*Main!$B$5)</f>
        <v>-7.543185545400811</v>
      </c>
      <c r="Y2" s="2">
        <f>('[1]Qc, Spring, S2'!Y2*Main!$B$5)</f>
        <v>-9.5050620298666555</v>
      </c>
    </row>
    <row r="3" spans="1:25" x14ac:dyDescent="0.3">
      <c r="A3">
        <v>2</v>
      </c>
      <c r="B3" s="2">
        <f>('[1]Qc, Spring, S2'!B3*Main!$B$5)</f>
        <v>-2.441400081326869</v>
      </c>
      <c r="C3" s="2">
        <f>('[1]Qc, Spring, S2'!C3*Main!$B$5)</f>
        <v>-0.7479611695821593</v>
      </c>
      <c r="D3" s="2">
        <f>('[1]Qc, Spring, S2'!D3*Main!$B$5)</f>
        <v>-3.1322660645122271</v>
      </c>
      <c r="E3" s="2">
        <f>('[1]Qc, Spring, S2'!E3*Main!$B$5)</f>
        <v>-4.5619694616786397</v>
      </c>
      <c r="F3" s="2">
        <f>('[1]Qc, Spring, S2'!F3*Main!$B$5)</f>
        <v>-3.3482344672870759</v>
      </c>
      <c r="G3" s="2">
        <f>('[1]Qc, Spring, S2'!G3*Main!$B$5)</f>
        <v>-5.1183161829843247</v>
      </c>
      <c r="H3" s="2">
        <f>('[1]Qc, Spring, S2'!H3*Main!$B$5)</f>
        <v>-1.7528570987625931</v>
      </c>
      <c r="I3" s="2">
        <f>('[1]Qc, Spring, S2'!I3*Main!$B$5)</f>
        <v>1.3922835343082731</v>
      </c>
      <c r="J3" s="2">
        <f>('[1]Qc, Spring, S2'!J3*Main!$B$5)</f>
        <v>0.79750280355712699</v>
      </c>
      <c r="K3" s="2">
        <f>('[1]Qc, Spring, S2'!K3*Main!$B$5)</f>
        <v>0.95867086830022252</v>
      </c>
      <c r="L3" s="2">
        <f>('[1]Qc, Spring, S2'!L3*Main!$B$5)</f>
        <v>2.556504488424542</v>
      </c>
      <c r="M3" s="2">
        <f>('[1]Qc, Spring, S2'!M3*Main!$B$5)</f>
        <v>1.5410572455968954</v>
      </c>
      <c r="N3" s="2">
        <f>('[1]Qc, Spring, S2'!N3*Main!$B$5)</f>
        <v>2.8232196635458133</v>
      </c>
      <c r="O3" s="2">
        <f>('[1]Qc, Spring, S2'!O3*Main!$B$5)</f>
        <v>3.9975814957380313</v>
      </c>
      <c r="P3" s="2">
        <f>('[1]Qc, Spring, S2'!P3*Main!$B$5)</f>
        <v>2.8749901241130331</v>
      </c>
      <c r="Q3" s="2">
        <f>('[1]Qc, Spring, S2'!Q3*Main!$B$5)</f>
        <v>3.9131215363372402</v>
      </c>
      <c r="R3" s="2">
        <f>('[1]Qc, Spring, S2'!R3*Main!$B$5)</f>
        <v>1.475328667072682</v>
      </c>
      <c r="S3" s="2">
        <f>('[1]Qc, Spring, S2'!S3*Main!$B$5)</f>
        <v>1.377766743190737</v>
      </c>
      <c r="T3" s="2">
        <f>('[1]Qc, Spring, S2'!T3*Main!$B$5)</f>
        <v>1.475328667072682</v>
      </c>
      <c r="U3" s="2">
        <f>('[1]Qc, Spring, S2'!U3*Main!$B$5)</f>
        <v>1.3594443392986986</v>
      </c>
      <c r="V3" s="2">
        <f>('[1]Qc, Spring, S2'!V3*Main!$B$5)</f>
        <v>-0.7028181962651775</v>
      </c>
      <c r="W3" s="2">
        <f>('[1]Qc, Spring, S2'!W3*Main!$B$5)</f>
        <v>0.63422495377551447</v>
      </c>
      <c r="X3" s="2">
        <f>('[1]Qc, Spring, S2'!X3*Main!$B$5)</f>
        <v>-3.5151300129119685</v>
      </c>
      <c r="Y3" s="2">
        <f>('[1]Qc, Spring, S2'!Y3*Main!$B$5)</f>
        <v>-3.1704135398591862</v>
      </c>
    </row>
    <row r="4" spans="1:25" x14ac:dyDescent="0.3">
      <c r="A4">
        <v>3</v>
      </c>
      <c r="B4" s="2">
        <f>('[1]Qc, Spring, S2'!B4*Main!$B$5)</f>
        <v>11.287519129241277</v>
      </c>
      <c r="C4" s="2">
        <f>('[1]Qc, Spring, S2'!C4*Main!$B$5)</f>
        <v>8.964484962373513</v>
      </c>
      <c r="D4" s="2">
        <f>('[1]Qc, Spring, S2'!D4*Main!$B$5)</f>
        <v>8.3225040921760005</v>
      </c>
      <c r="E4" s="2">
        <f>('[1]Qc, Spring, S2'!E4*Main!$B$5)</f>
        <v>7.6876489287566887</v>
      </c>
      <c r="F4" s="2">
        <f>('[1]Qc, Spring, S2'!F4*Main!$B$5)</f>
        <v>8.2031456060652364</v>
      </c>
      <c r="G4" s="2">
        <f>('[1]Qc, Spring, S2'!G4*Main!$B$5)</f>
        <v>6.3508312294663076</v>
      </c>
      <c r="H4" s="2">
        <f>('[1]Qc, Spring, S2'!H4*Main!$B$5)</f>
        <v>10.864360626467347</v>
      </c>
      <c r="I4" s="2">
        <f>('[1]Qc, Spring, S2'!I4*Main!$B$5)</f>
        <v>15.655606122765924</v>
      </c>
      <c r="J4" s="2">
        <f>('[1]Qc, Spring, S2'!J4*Main!$B$5)</f>
        <v>21.186932877763102</v>
      </c>
      <c r="K4" s="2">
        <f>('[1]Qc, Spring, S2'!K4*Main!$B$5)</f>
        <v>24.930325996690428</v>
      </c>
      <c r="L4" s="2">
        <f>('[1]Qc, Spring, S2'!L4*Main!$B$5)</f>
        <v>25.345228178718305</v>
      </c>
      <c r="M4" s="2">
        <f>('[1]Qc, Spring, S2'!M4*Main!$B$5)</f>
        <v>25.722925767273239</v>
      </c>
      <c r="N4" s="2">
        <f>('[1]Qc, Spring, S2'!N4*Main!$B$5)</f>
        <v>27.623131182197145</v>
      </c>
      <c r="O4" s="2">
        <f>('[1]Qc, Spring, S2'!O4*Main!$B$5)</f>
        <v>26.600398278399148</v>
      </c>
      <c r="P4" s="2">
        <f>('[1]Qc, Spring, S2'!P4*Main!$B$5)</f>
        <v>24.705746800924512</v>
      </c>
      <c r="Q4" s="2">
        <f>('[1]Qc, Spring, S2'!Q4*Main!$B$5)</f>
        <v>24.517392433790331</v>
      </c>
      <c r="R4" s="2">
        <f>('[1]Qc, Spring, S2'!R4*Main!$B$5)</f>
        <v>23.800831091460964</v>
      </c>
      <c r="S4" s="2">
        <f>('[1]Qc, Spring, S2'!S4*Main!$B$5)</f>
        <v>25.02713970544912</v>
      </c>
      <c r="T4" s="2">
        <f>('[1]Qc, Spring, S2'!T4*Main!$B$5)</f>
        <v>24.853326465222985</v>
      </c>
      <c r="U4" s="2">
        <f>('[1]Qc, Spring, S2'!U4*Main!$B$5)</f>
        <v>24.561418499179336</v>
      </c>
      <c r="V4" s="2">
        <f>('[1]Qc, Spring, S2'!V4*Main!$B$5)</f>
        <v>21.13389600880447</v>
      </c>
      <c r="W4" s="2">
        <f>('[1]Qc, Spring, S2'!W4*Main!$B$5)</f>
        <v>22.930246177126008</v>
      </c>
      <c r="X4" s="2">
        <f>('[1]Qc, Spring, S2'!X4*Main!$B$5)</f>
        <v>19.358852472363395</v>
      </c>
      <c r="Y4" s="2">
        <f>('[1]Qc, Spring, S2'!Y4*Main!$B$5)</f>
        <v>16.082582734644152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0A6530-5877-4027-8363-AD7F85A7384A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-13.260015263884613</v>
      </c>
      <c r="C2" s="2">
        <f>('[1]Qc, Spring, S2'!C2*Main!$B$5)</f>
        <v>-15.623487466241725</v>
      </c>
      <c r="D2" s="2">
        <f>('[1]Qc, Spring, S2'!D2*Main!$B$5)</f>
        <v>-17.560203100872172</v>
      </c>
      <c r="E2" s="2">
        <f>('[1]Qc, Spring, S2'!E2*Main!$B$5)</f>
        <v>-16.538301725366694</v>
      </c>
      <c r="F2" s="2">
        <f>('[1]Qc, Spring, S2'!F2*Main!$B$5)</f>
        <v>-16.704580136159393</v>
      </c>
      <c r="G2" s="2">
        <f>('[1]Qc, Spring, S2'!G2*Main!$B$5)</f>
        <v>-16.42289763880451</v>
      </c>
      <c r="H2" s="2">
        <f>('[1]Qc, Spring, S2'!H2*Main!$B$5)</f>
        <v>-13.661208442817253</v>
      </c>
      <c r="I2" s="2">
        <f>('[1]Qc, Spring, S2'!I2*Main!$B$5)</f>
        <v>-3.2732403567839645</v>
      </c>
      <c r="J2" s="2">
        <f>('[1]Qc, Spring, S2'!J2*Main!$B$5)</f>
        <v>3.6680612128980772</v>
      </c>
      <c r="K2" s="2">
        <f>('[1]Qc, Spring, S2'!K2*Main!$B$5)</f>
        <v>6.6964677136809883</v>
      </c>
      <c r="L2" s="2">
        <f>('[1]Qc, Spring, S2'!L2*Main!$B$5)</f>
        <v>4.3887199560575398</v>
      </c>
      <c r="M2" s="2">
        <f>('[1]Qc, Spring, S2'!M2*Main!$B$5)</f>
        <v>6.032096085499453</v>
      </c>
      <c r="N2" s="2">
        <f>('[1]Qc, Spring, S2'!N2*Main!$B$5)</f>
        <v>5.2882409776348949</v>
      </c>
      <c r="O2" s="2">
        <f>('[1]Qc, Spring, S2'!O2*Main!$B$5)</f>
        <v>5.2869415062160598</v>
      </c>
      <c r="P2" s="2">
        <f>('[1]Qc, Spring, S2'!P2*Main!$B$5)</f>
        <v>1.2150448048354843</v>
      </c>
      <c r="Q2" s="2">
        <f>('[1]Qc, Spring, S2'!Q2*Main!$B$5)</f>
        <v>-2.1998930082496009</v>
      </c>
      <c r="R2" s="2">
        <f>('[1]Qc, Spring, S2'!R2*Main!$B$5)</f>
        <v>-0.95017382269122608</v>
      </c>
      <c r="S2" s="2">
        <f>('[1]Qc, Spring, S2'!S2*Main!$B$5)</f>
        <v>1.3603987684931522</v>
      </c>
      <c r="T2" s="2">
        <f>('[1]Qc, Spring, S2'!T2*Main!$B$5)</f>
        <v>8.2174698614377956E-2</v>
      </c>
      <c r="U2" s="2">
        <f>('[1]Qc, Spring, S2'!U2*Main!$B$5)</f>
        <v>-1.7599787404066163</v>
      </c>
      <c r="V2" s="2">
        <f>('[1]Qc, Spring, S2'!V2*Main!$B$5)</f>
        <v>-3.5720907095755883</v>
      </c>
      <c r="W2" s="2">
        <f>('[1]Qc, Spring, S2'!W2*Main!$B$5)</f>
        <v>-3.9381798213561825</v>
      </c>
      <c r="X2" s="2">
        <f>('[1]Qc, Spring, S2'!X2*Main!$B$5)</f>
        <v>-7.543185545400811</v>
      </c>
      <c r="Y2" s="2">
        <f>('[1]Qc, Spring, S2'!Y2*Main!$B$5)</f>
        <v>-9.5050620298666555</v>
      </c>
    </row>
    <row r="3" spans="1:25" x14ac:dyDescent="0.3">
      <c r="A3">
        <v>2</v>
      </c>
      <c r="B3" s="2">
        <f>('[1]Qc, Spring, S2'!B3*Main!$B$5)</f>
        <v>-2.441400081326869</v>
      </c>
      <c r="C3" s="2">
        <f>('[1]Qc, Spring, S2'!C3*Main!$B$5)</f>
        <v>-0.7479611695821593</v>
      </c>
      <c r="D3" s="2">
        <f>('[1]Qc, Spring, S2'!D3*Main!$B$5)</f>
        <v>-3.1322660645122271</v>
      </c>
      <c r="E3" s="2">
        <f>('[1]Qc, Spring, S2'!E3*Main!$B$5)</f>
        <v>-4.5619694616786397</v>
      </c>
      <c r="F3" s="2">
        <f>('[1]Qc, Spring, S2'!F3*Main!$B$5)</f>
        <v>-3.3482344672870759</v>
      </c>
      <c r="G3" s="2">
        <f>('[1]Qc, Spring, S2'!G3*Main!$B$5)</f>
        <v>-5.1183161829843247</v>
      </c>
      <c r="H3" s="2">
        <f>('[1]Qc, Spring, S2'!H3*Main!$B$5)</f>
        <v>-1.7528570987625931</v>
      </c>
      <c r="I3" s="2">
        <f>('[1]Qc, Spring, S2'!I3*Main!$B$5)</f>
        <v>1.3922835343082731</v>
      </c>
      <c r="J3" s="2">
        <f>('[1]Qc, Spring, S2'!J3*Main!$B$5)</f>
        <v>0.79750280355712699</v>
      </c>
      <c r="K3" s="2">
        <f>('[1]Qc, Spring, S2'!K3*Main!$B$5)</f>
        <v>0.95867086830022252</v>
      </c>
      <c r="L3" s="2">
        <f>('[1]Qc, Spring, S2'!L3*Main!$B$5)</f>
        <v>2.556504488424542</v>
      </c>
      <c r="M3" s="2">
        <f>('[1]Qc, Spring, S2'!M3*Main!$B$5)</f>
        <v>1.5410572455968954</v>
      </c>
      <c r="N3" s="2">
        <f>('[1]Qc, Spring, S2'!N3*Main!$B$5)</f>
        <v>2.8232196635458133</v>
      </c>
      <c r="O3" s="2">
        <f>('[1]Qc, Spring, S2'!O3*Main!$B$5)</f>
        <v>3.9975814957380313</v>
      </c>
      <c r="P3" s="2">
        <f>('[1]Qc, Spring, S2'!P3*Main!$B$5)</f>
        <v>2.8749901241130331</v>
      </c>
      <c r="Q3" s="2">
        <f>('[1]Qc, Spring, S2'!Q3*Main!$B$5)</f>
        <v>3.9131215363372402</v>
      </c>
      <c r="R3" s="2">
        <f>('[1]Qc, Spring, S2'!R3*Main!$B$5)</f>
        <v>1.475328667072682</v>
      </c>
      <c r="S3" s="2">
        <f>('[1]Qc, Spring, S2'!S3*Main!$B$5)</f>
        <v>1.377766743190737</v>
      </c>
      <c r="T3" s="2">
        <f>('[1]Qc, Spring, S2'!T3*Main!$B$5)</f>
        <v>1.475328667072682</v>
      </c>
      <c r="U3" s="2">
        <f>('[1]Qc, Spring, S2'!U3*Main!$B$5)</f>
        <v>1.3594443392986986</v>
      </c>
      <c r="V3" s="2">
        <f>('[1]Qc, Spring, S2'!V3*Main!$B$5)</f>
        <v>-0.7028181962651775</v>
      </c>
      <c r="W3" s="2">
        <f>('[1]Qc, Spring, S2'!W3*Main!$B$5)</f>
        <v>0.63422495377551447</v>
      </c>
      <c r="X3" s="2">
        <f>('[1]Qc, Spring, S2'!X3*Main!$B$5)</f>
        <v>-3.5151300129119685</v>
      </c>
      <c r="Y3" s="2">
        <f>('[1]Qc, Spring, S2'!Y3*Main!$B$5)</f>
        <v>-3.1704135398591862</v>
      </c>
    </row>
    <row r="4" spans="1:25" x14ac:dyDescent="0.3">
      <c r="A4">
        <v>3</v>
      </c>
      <c r="B4" s="2">
        <f>('[1]Qc, Spring, S2'!B4*Main!$B$5)</f>
        <v>11.287519129241277</v>
      </c>
      <c r="C4" s="2">
        <f>('[1]Qc, Spring, S2'!C4*Main!$B$5)</f>
        <v>8.964484962373513</v>
      </c>
      <c r="D4" s="2">
        <f>('[1]Qc, Spring, S2'!D4*Main!$B$5)</f>
        <v>8.3225040921760005</v>
      </c>
      <c r="E4" s="2">
        <f>('[1]Qc, Spring, S2'!E4*Main!$B$5)</f>
        <v>7.6876489287566887</v>
      </c>
      <c r="F4" s="2">
        <f>('[1]Qc, Spring, S2'!F4*Main!$B$5)</f>
        <v>8.2031456060652364</v>
      </c>
      <c r="G4" s="2">
        <f>('[1]Qc, Spring, S2'!G4*Main!$B$5)</f>
        <v>6.3508312294663076</v>
      </c>
      <c r="H4" s="2">
        <f>('[1]Qc, Spring, S2'!H4*Main!$B$5)</f>
        <v>10.864360626467347</v>
      </c>
      <c r="I4" s="2">
        <f>('[1]Qc, Spring, S2'!I4*Main!$B$5)</f>
        <v>15.655606122765924</v>
      </c>
      <c r="J4" s="2">
        <f>('[1]Qc, Spring, S2'!J4*Main!$B$5)</f>
        <v>21.186932877763102</v>
      </c>
      <c r="K4" s="2">
        <f>('[1]Qc, Spring, S2'!K4*Main!$B$5)</f>
        <v>24.930325996690428</v>
      </c>
      <c r="L4" s="2">
        <f>('[1]Qc, Spring, S2'!L4*Main!$B$5)</f>
        <v>25.345228178718305</v>
      </c>
      <c r="M4" s="2">
        <f>('[1]Qc, Spring, S2'!M4*Main!$B$5)</f>
        <v>25.722925767273239</v>
      </c>
      <c r="N4" s="2">
        <f>('[1]Qc, Spring, S2'!N4*Main!$B$5)</f>
        <v>27.623131182197145</v>
      </c>
      <c r="O4" s="2">
        <f>('[1]Qc, Spring, S2'!O4*Main!$B$5)</f>
        <v>26.600398278399148</v>
      </c>
      <c r="P4" s="2">
        <f>('[1]Qc, Spring, S2'!P4*Main!$B$5)</f>
        <v>24.705746800924512</v>
      </c>
      <c r="Q4" s="2">
        <f>('[1]Qc, Spring, S2'!Q4*Main!$B$5)</f>
        <v>24.517392433790331</v>
      </c>
      <c r="R4" s="2">
        <f>('[1]Qc, Spring, S2'!R4*Main!$B$5)</f>
        <v>23.800831091460964</v>
      </c>
      <c r="S4" s="2">
        <f>('[1]Qc, Spring, S2'!S4*Main!$B$5)</f>
        <v>25.02713970544912</v>
      </c>
      <c r="T4" s="2">
        <f>('[1]Qc, Spring, S2'!T4*Main!$B$5)</f>
        <v>24.853326465222985</v>
      </c>
      <c r="U4" s="2">
        <f>('[1]Qc, Spring, S2'!U4*Main!$B$5)</f>
        <v>24.561418499179336</v>
      </c>
      <c r="V4" s="2">
        <f>('[1]Qc, Spring, S2'!V4*Main!$B$5)</f>
        <v>21.13389600880447</v>
      </c>
      <c r="W4" s="2">
        <f>('[1]Qc, Spring, S2'!W4*Main!$B$5)</f>
        <v>22.930246177126008</v>
      </c>
      <c r="X4" s="2">
        <f>('[1]Qc, Spring, S2'!X4*Main!$B$5)</f>
        <v>19.358852472363395</v>
      </c>
      <c r="Y4" s="2">
        <f>('[1]Qc, Spring, S2'!Y4*Main!$B$5)</f>
        <v>16.082582734644152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F449A7-1C83-42B0-A3E1-8713694E41CD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-13.260015263884613</v>
      </c>
      <c r="C2" s="2">
        <f>('[1]Qc, Spring, S2'!C2*Main!$B$5)</f>
        <v>-15.623487466241725</v>
      </c>
      <c r="D2" s="2">
        <f>('[1]Qc, Spring, S2'!D2*Main!$B$5)</f>
        <v>-17.560203100872172</v>
      </c>
      <c r="E2" s="2">
        <f>('[1]Qc, Spring, S2'!E2*Main!$B$5)</f>
        <v>-16.538301725366694</v>
      </c>
      <c r="F2" s="2">
        <f>('[1]Qc, Spring, S2'!F2*Main!$B$5)</f>
        <v>-16.704580136159393</v>
      </c>
      <c r="G2" s="2">
        <f>('[1]Qc, Spring, S2'!G2*Main!$B$5)</f>
        <v>-16.42289763880451</v>
      </c>
      <c r="H2" s="2">
        <f>('[1]Qc, Spring, S2'!H2*Main!$B$5)</f>
        <v>-13.661208442817253</v>
      </c>
      <c r="I2" s="2">
        <f>('[1]Qc, Spring, S2'!I2*Main!$B$5)</f>
        <v>-3.2732403567839645</v>
      </c>
      <c r="J2" s="2">
        <f>('[1]Qc, Spring, S2'!J2*Main!$B$5)</f>
        <v>3.6680612128980772</v>
      </c>
      <c r="K2" s="2">
        <f>('[1]Qc, Spring, S2'!K2*Main!$B$5)</f>
        <v>6.6964677136809883</v>
      </c>
      <c r="L2" s="2">
        <f>('[1]Qc, Spring, S2'!L2*Main!$B$5)</f>
        <v>4.3887199560575398</v>
      </c>
      <c r="M2" s="2">
        <f>('[1]Qc, Spring, S2'!M2*Main!$B$5)</f>
        <v>6.032096085499453</v>
      </c>
      <c r="N2" s="2">
        <f>('[1]Qc, Spring, S2'!N2*Main!$B$5)</f>
        <v>5.2882409776348949</v>
      </c>
      <c r="O2" s="2">
        <f>('[1]Qc, Spring, S2'!O2*Main!$B$5)</f>
        <v>5.2869415062160598</v>
      </c>
      <c r="P2" s="2">
        <f>('[1]Qc, Spring, S2'!P2*Main!$B$5)</f>
        <v>1.2150448048354843</v>
      </c>
      <c r="Q2" s="2">
        <f>('[1]Qc, Spring, S2'!Q2*Main!$B$5)</f>
        <v>-2.1998930082496009</v>
      </c>
      <c r="R2" s="2">
        <f>('[1]Qc, Spring, S2'!R2*Main!$B$5)</f>
        <v>-0.95017382269122608</v>
      </c>
      <c r="S2" s="2">
        <f>('[1]Qc, Spring, S2'!S2*Main!$B$5)</f>
        <v>1.3603987684931522</v>
      </c>
      <c r="T2" s="2">
        <f>('[1]Qc, Spring, S2'!T2*Main!$B$5)</f>
        <v>8.2174698614377956E-2</v>
      </c>
      <c r="U2" s="2">
        <f>('[1]Qc, Spring, S2'!U2*Main!$B$5)</f>
        <v>-1.7599787404066163</v>
      </c>
      <c r="V2" s="2">
        <f>('[1]Qc, Spring, S2'!V2*Main!$B$5)</f>
        <v>-3.5720907095755883</v>
      </c>
      <c r="W2" s="2">
        <f>('[1]Qc, Spring, S2'!W2*Main!$B$5)</f>
        <v>-3.9381798213561825</v>
      </c>
      <c r="X2" s="2">
        <f>('[1]Qc, Spring, S2'!X2*Main!$B$5)</f>
        <v>-7.543185545400811</v>
      </c>
      <c r="Y2" s="2">
        <f>('[1]Qc, Spring, S2'!Y2*Main!$B$5)</f>
        <v>-9.5050620298666555</v>
      </c>
    </row>
    <row r="3" spans="1:25" x14ac:dyDescent="0.3">
      <c r="A3">
        <v>2</v>
      </c>
      <c r="B3" s="2">
        <f>('[1]Qc, Spring, S2'!B3*Main!$B$5)</f>
        <v>-2.441400081326869</v>
      </c>
      <c r="C3" s="2">
        <f>('[1]Qc, Spring, S2'!C3*Main!$B$5)</f>
        <v>-0.7479611695821593</v>
      </c>
      <c r="D3" s="2">
        <f>('[1]Qc, Spring, S2'!D3*Main!$B$5)</f>
        <v>-3.1322660645122271</v>
      </c>
      <c r="E3" s="2">
        <f>('[1]Qc, Spring, S2'!E3*Main!$B$5)</f>
        <v>-4.5619694616786397</v>
      </c>
      <c r="F3" s="2">
        <f>('[1]Qc, Spring, S2'!F3*Main!$B$5)</f>
        <v>-3.3482344672870759</v>
      </c>
      <c r="G3" s="2">
        <f>('[1]Qc, Spring, S2'!G3*Main!$B$5)</f>
        <v>-5.1183161829843247</v>
      </c>
      <c r="H3" s="2">
        <f>('[1]Qc, Spring, S2'!H3*Main!$B$5)</f>
        <v>-1.7528570987625931</v>
      </c>
      <c r="I3" s="2">
        <f>('[1]Qc, Spring, S2'!I3*Main!$B$5)</f>
        <v>1.3922835343082731</v>
      </c>
      <c r="J3" s="2">
        <f>('[1]Qc, Spring, S2'!J3*Main!$B$5)</f>
        <v>0.79750280355712699</v>
      </c>
      <c r="K3" s="2">
        <f>('[1]Qc, Spring, S2'!K3*Main!$B$5)</f>
        <v>0.95867086830022252</v>
      </c>
      <c r="L3" s="2">
        <f>('[1]Qc, Spring, S2'!L3*Main!$B$5)</f>
        <v>2.556504488424542</v>
      </c>
      <c r="M3" s="2">
        <f>('[1]Qc, Spring, S2'!M3*Main!$B$5)</f>
        <v>1.5410572455968954</v>
      </c>
      <c r="N3" s="2">
        <f>('[1]Qc, Spring, S2'!N3*Main!$B$5)</f>
        <v>2.8232196635458133</v>
      </c>
      <c r="O3" s="2">
        <f>('[1]Qc, Spring, S2'!O3*Main!$B$5)</f>
        <v>3.9975814957380313</v>
      </c>
      <c r="P3" s="2">
        <f>('[1]Qc, Spring, S2'!P3*Main!$B$5)</f>
        <v>2.8749901241130331</v>
      </c>
      <c r="Q3" s="2">
        <f>('[1]Qc, Spring, S2'!Q3*Main!$B$5)</f>
        <v>3.9131215363372402</v>
      </c>
      <c r="R3" s="2">
        <f>('[1]Qc, Spring, S2'!R3*Main!$B$5)</f>
        <v>1.475328667072682</v>
      </c>
      <c r="S3" s="2">
        <f>('[1]Qc, Spring, S2'!S3*Main!$B$5)</f>
        <v>1.377766743190737</v>
      </c>
      <c r="T3" s="2">
        <f>('[1]Qc, Spring, S2'!T3*Main!$B$5)</f>
        <v>1.475328667072682</v>
      </c>
      <c r="U3" s="2">
        <f>('[1]Qc, Spring, S2'!U3*Main!$B$5)</f>
        <v>1.3594443392986986</v>
      </c>
      <c r="V3" s="2">
        <f>('[1]Qc, Spring, S2'!V3*Main!$B$5)</f>
        <v>-0.7028181962651775</v>
      </c>
      <c r="W3" s="2">
        <f>('[1]Qc, Spring, S2'!W3*Main!$B$5)</f>
        <v>0.63422495377551447</v>
      </c>
      <c r="X3" s="2">
        <f>('[1]Qc, Spring, S2'!X3*Main!$B$5)</f>
        <v>-3.5151300129119685</v>
      </c>
      <c r="Y3" s="2">
        <f>('[1]Qc, Spring, S2'!Y3*Main!$B$5)</f>
        <v>-3.1704135398591862</v>
      </c>
    </row>
    <row r="4" spans="1:25" x14ac:dyDescent="0.3">
      <c r="A4">
        <v>3</v>
      </c>
      <c r="B4" s="2">
        <f>('[1]Qc, Spring, S2'!B4*Main!$B$5)</f>
        <v>11.287519129241277</v>
      </c>
      <c r="C4" s="2">
        <f>('[1]Qc, Spring, S2'!C4*Main!$B$5)</f>
        <v>8.964484962373513</v>
      </c>
      <c r="D4" s="2">
        <f>('[1]Qc, Spring, S2'!D4*Main!$B$5)</f>
        <v>8.3225040921760005</v>
      </c>
      <c r="E4" s="2">
        <f>('[1]Qc, Spring, S2'!E4*Main!$B$5)</f>
        <v>7.6876489287566887</v>
      </c>
      <c r="F4" s="2">
        <f>('[1]Qc, Spring, S2'!F4*Main!$B$5)</f>
        <v>8.2031456060652364</v>
      </c>
      <c r="G4" s="2">
        <f>('[1]Qc, Spring, S2'!G4*Main!$B$5)</f>
        <v>6.3508312294663076</v>
      </c>
      <c r="H4" s="2">
        <f>('[1]Qc, Spring, S2'!H4*Main!$B$5)</f>
        <v>10.864360626467347</v>
      </c>
      <c r="I4" s="2">
        <f>('[1]Qc, Spring, S2'!I4*Main!$B$5)</f>
        <v>15.655606122765924</v>
      </c>
      <c r="J4" s="2">
        <f>('[1]Qc, Spring, S2'!J4*Main!$B$5)</f>
        <v>21.186932877763102</v>
      </c>
      <c r="K4" s="2">
        <f>('[1]Qc, Spring, S2'!K4*Main!$B$5)</f>
        <v>24.930325996690428</v>
      </c>
      <c r="L4" s="2">
        <f>('[1]Qc, Spring, S2'!L4*Main!$B$5)</f>
        <v>25.345228178718305</v>
      </c>
      <c r="M4" s="2">
        <f>('[1]Qc, Spring, S2'!M4*Main!$B$5)</f>
        <v>25.722925767273239</v>
      </c>
      <c r="N4" s="2">
        <f>('[1]Qc, Spring, S2'!N4*Main!$B$5)</f>
        <v>27.623131182197145</v>
      </c>
      <c r="O4" s="2">
        <f>('[1]Qc, Spring, S2'!O4*Main!$B$5)</f>
        <v>26.600398278399148</v>
      </c>
      <c r="P4" s="2">
        <f>('[1]Qc, Spring, S2'!P4*Main!$B$5)</f>
        <v>24.705746800924512</v>
      </c>
      <c r="Q4" s="2">
        <f>('[1]Qc, Spring, S2'!Q4*Main!$B$5)</f>
        <v>24.517392433790331</v>
      </c>
      <c r="R4" s="2">
        <f>('[1]Qc, Spring, S2'!R4*Main!$B$5)</f>
        <v>23.800831091460964</v>
      </c>
      <c r="S4" s="2">
        <f>('[1]Qc, Spring, S2'!S4*Main!$B$5)</f>
        <v>25.02713970544912</v>
      </c>
      <c r="T4" s="2">
        <f>('[1]Qc, Spring, S2'!T4*Main!$B$5)</f>
        <v>24.853326465222985</v>
      </c>
      <c r="U4" s="2">
        <f>('[1]Qc, Spring, S2'!U4*Main!$B$5)</f>
        <v>24.561418499179336</v>
      </c>
      <c r="V4" s="2">
        <f>('[1]Qc, Spring, S2'!V4*Main!$B$5)</f>
        <v>21.13389600880447</v>
      </c>
      <c r="W4" s="2">
        <f>('[1]Qc, Spring, S2'!W4*Main!$B$5)</f>
        <v>22.930246177126008</v>
      </c>
      <c r="X4" s="2">
        <f>('[1]Qc, Spring, S2'!X4*Main!$B$5)</f>
        <v>19.358852472363395</v>
      </c>
      <c r="Y4" s="2">
        <f>('[1]Qc, Spring, S2'!Y4*Main!$B$5)</f>
        <v>16.082582734644152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0270E4-9B43-4938-B307-FF5A33680FEB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-12.616325202530991</v>
      </c>
      <c r="C2" s="2">
        <f>('[1]Qc, Spring, S3'!C2*Main!$B$5)</f>
        <v>-14.865065744579505</v>
      </c>
      <c r="D2" s="2">
        <f>('[1]Qc, Spring, S3'!D2*Main!$B$5)</f>
        <v>-16.70776605714051</v>
      </c>
      <c r="E2" s="2">
        <f>('[1]Qc, Spring, S3'!E2*Main!$B$5)</f>
        <v>-15.735471544523648</v>
      </c>
      <c r="F2" s="2">
        <f>('[1]Qc, Spring, S3'!F2*Main!$B$5)</f>
        <v>-15.893678187802143</v>
      </c>
      <c r="G2" s="2">
        <f>('[1]Qc, Spring, S3'!G2*Main!$B$5)</f>
        <v>-15.625669598085844</v>
      </c>
      <c r="H2" s="2">
        <f>('[1]Qc, Spring, S3'!H2*Main!$B$5)</f>
        <v>-12.998042984428064</v>
      </c>
      <c r="I2" s="2">
        <f>('[1]Qc, Spring, S3'!I2*Main!$B$5)</f>
        <v>-3.1143451938332865</v>
      </c>
      <c r="J2" s="2">
        <f>('[1]Qc, Spring, S3'!J2*Main!$B$5)</f>
        <v>3.4899999889709861</v>
      </c>
      <c r="K2" s="2">
        <f>('[1]Qc, Spring, S3'!K2*Main!$B$5)</f>
        <v>6.3713964654440467</v>
      </c>
      <c r="L2" s="2">
        <f>('[1]Qc, Spring, S3'!L2*Main!$B$5)</f>
        <v>4.1756752979964942</v>
      </c>
      <c r="M2" s="2">
        <f>('[1]Qc, Spring, S3'!M2*Main!$B$5)</f>
        <v>5.7392758871742346</v>
      </c>
      <c r="N2" s="2">
        <f>('[1]Qc, Spring, S3'!N2*Main!$B$5)</f>
        <v>5.0315302505652379</v>
      </c>
      <c r="O2" s="2">
        <f>('[1]Qc, Spring, S3'!O2*Main!$B$5)</f>
        <v>5.0302938602832414</v>
      </c>
      <c r="P2" s="2">
        <f>('[1]Qc, Spring, S3'!P2*Main!$B$5)</f>
        <v>1.1560620473191987</v>
      </c>
      <c r="Q2" s="2">
        <f>('[1]Qc, Spring, S3'!Q2*Main!$B$5)</f>
        <v>-2.0931020855190376</v>
      </c>
      <c r="R2" s="2">
        <f>('[1]Qc, Spring, S3'!R2*Main!$B$5)</f>
        <v>-0.90404887984213733</v>
      </c>
      <c r="S2" s="2">
        <f>('[1]Qc, Spring, S3'!S2*Main!$B$5)</f>
        <v>1.2943599933235819</v>
      </c>
      <c r="T2" s="2">
        <f>('[1]Qc, Spring, S3'!T2*Main!$B$5)</f>
        <v>7.8185635574845036E-2</v>
      </c>
      <c r="U2" s="2">
        <f>('[1]Qc, Spring, S3'!U2*Main!$B$5)</f>
        <v>-1.6745428792218291</v>
      </c>
      <c r="V2" s="2">
        <f>('[1]Qc, Spring, S3'!V2*Main!$B$5)</f>
        <v>-3.3986882479457048</v>
      </c>
      <c r="W2" s="2">
        <f>('[1]Qc, Spring, S3'!W2*Main!$B$5)</f>
        <v>-3.7470060436204453</v>
      </c>
      <c r="X2" s="2">
        <f>('[1]Qc, Spring, S3'!X2*Main!$B$5)</f>
        <v>-7.1770114897988293</v>
      </c>
      <c r="Y2" s="2">
        <f>('[1]Qc, Spring, S3'!Y2*Main!$B$5)</f>
        <v>-9.0436512517177903</v>
      </c>
    </row>
    <row r="3" spans="1:25" x14ac:dyDescent="0.3">
      <c r="A3">
        <v>2</v>
      </c>
      <c r="B3" s="2">
        <f>('[1]Qc, Spring, S3'!B3*Main!$B$5)</f>
        <v>-2.3228855142721665</v>
      </c>
      <c r="C3" s="2">
        <f>('[1]Qc, Spring, S3'!C3*Main!$B$5)</f>
        <v>-0.71165237494224853</v>
      </c>
      <c r="D3" s="2">
        <f>('[1]Qc, Spring, S3'!D3*Main!$B$5)</f>
        <v>-2.9802143138077501</v>
      </c>
      <c r="E3" s="2">
        <f>('[1]Qc, Spring, S3'!E3*Main!$B$5)</f>
        <v>-4.3405146334418125</v>
      </c>
      <c r="F3" s="2">
        <f>('[1]Qc, Spring, S3'!F3*Main!$B$5)</f>
        <v>-3.185698813535276</v>
      </c>
      <c r="G3" s="2">
        <f>('[1]Qc, Spring, S3'!G3*Main!$B$5)</f>
        <v>-4.8698542323540179</v>
      </c>
      <c r="H3" s="2">
        <f>('[1]Qc, Spring, S3'!H3*Main!$B$5)</f>
        <v>-1.6677669483372246</v>
      </c>
      <c r="I3" s="2">
        <f>('[1]Qc, Spring, S3'!I3*Main!$B$5)</f>
        <v>1.3246969549729202</v>
      </c>
      <c r="J3" s="2">
        <f>('[1]Qc, Spring, S3'!J3*Main!$B$5)</f>
        <v>0.7587890752291111</v>
      </c>
      <c r="K3" s="2">
        <f>('[1]Qc, Spring, S3'!K3*Main!$B$5)</f>
        <v>0.91213344750894942</v>
      </c>
      <c r="L3" s="2">
        <f>('[1]Qc, Spring, S3'!L3*Main!$B$5)</f>
        <v>2.4324023287922834</v>
      </c>
      <c r="M3" s="2">
        <f>('[1]Qc, Spring, S3'!M3*Main!$B$5)</f>
        <v>1.4662486414417062</v>
      </c>
      <c r="N3" s="2">
        <f>('[1]Qc, Spring, S3'!N3*Main!$B$5)</f>
        <v>2.686170165315434</v>
      </c>
      <c r="O3" s="2">
        <f>('[1]Qc, Spring, S3'!O3*Main!$B$5)</f>
        <v>3.8035241415759917</v>
      </c>
      <c r="P3" s="2">
        <f>('[1]Qc, Spring, S3'!P3*Main!$B$5)</f>
        <v>2.7354274967289052</v>
      </c>
      <c r="Q3" s="2">
        <f>('[1]Qc, Spring, S3'!Q3*Main!$B$5)</f>
        <v>3.723164180204364</v>
      </c>
      <c r="R3" s="2">
        <f>('[1]Qc, Spring, S3'!R3*Main!$B$5)</f>
        <v>1.4037107706128431</v>
      </c>
      <c r="S3" s="2">
        <f>('[1]Qc, Spring, S3'!S3*Main!$B$5)</f>
        <v>1.3108848624533227</v>
      </c>
      <c r="T3" s="2">
        <f>('[1]Qc, Spring, S3'!T3*Main!$B$5)</f>
        <v>1.4037107706128431</v>
      </c>
      <c r="U3" s="2">
        <f>('[1]Qc, Spring, S3'!U3*Main!$B$5)</f>
        <v>1.293451895643422</v>
      </c>
      <c r="V3" s="2">
        <f>('[1]Qc, Spring, S3'!V3*Main!$B$5)</f>
        <v>-0.66870080809696497</v>
      </c>
      <c r="W3" s="2">
        <f>('[1]Qc, Spring, S3'!W3*Main!$B$5)</f>
        <v>0.60343733466019822</v>
      </c>
      <c r="X3" s="2">
        <f>('[1]Qc, Spring, S3'!X3*Main!$B$5)</f>
        <v>-3.3444926336443968</v>
      </c>
      <c r="Y3" s="2">
        <f>('[1]Qc, Spring, S3'!Y3*Main!$B$5)</f>
        <v>-3.0165099699631095</v>
      </c>
    </row>
    <row r="4" spans="1:25" x14ac:dyDescent="0.3">
      <c r="A4">
        <v>3</v>
      </c>
      <c r="B4" s="2">
        <f>('[1]Qc, Spring, S3'!B4*Main!$B$5)</f>
        <v>10.739581307433447</v>
      </c>
      <c r="C4" s="2">
        <f>('[1]Qc, Spring, S3'!C4*Main!$B$5)</f>
        <v>8.5293157894427587</v>
      </c>
      <c r="D4" s="2">
        <f>('[1]Qc, Spring, S3'!D4*Main!$B$5)</f>
        <v>7.9184990391577479</v>
      </c>
      <c r="E4" s="2">
        <f>('[1]Qc, Spring, S3'!E4*Main!$B$5)</f>
        <v>7.314462087554908</v>
      </c>
      <c r="F4" s="2">
        <f>('[1]Qc, Spring, S3'!F4*Main!$B$5)</f>
        <v>7.8049346543144971</v>
      </c>
      <c r="G4" s="2">
        <f>('[1]Qc, Spring, S3'!G4*Main!$B$5)</f>
        <v>6.0425384513368749</v>
      </c>
      <c r="H4" s="2">
        <f>('[1]Qc, Spring, S3'!H4*Main!$B$5)</f>
        <v>10.336964479551456</v>
      </c>
      <c r="I4" s="2">
        <f>('[1]Qc, Spring, S3'!I4*Main!$B$5)</f>
        <v>14.895625243020007</v>
      </c>
      <c r="J4" s="2">
        <f>('[1]Qc, Spring, S3'!J4*Main!$B$5)</f>
        <v>20.158440990493048</v>
      </c>
      <c r="K4" s="2">
        <f>('[1]Qc, Spring, S3'!K4*Main!$B$5)</f>
        <v>23.720115996851085</v>
      </c>
      <c r="L4" s="2">
        <f>('[1]Qc, Spring, S3'!L4*Main!$B$5)</f>
        <v>24.114877296256253</v>
      </c>
      <c r="M4" s="2">
        <f>('[1]Qc, Spring, S3'!M4*Main!$B$5)</f>
        <v>24.474240050415318</v>
      </c>
      <c r="N4" s="2">
        <f>('[1]Qc, Spring, S3'!N4*Main!$B$5)</f>
        <v>26.282202484032229</v>
      </c>
      <c r="O4" s="2">
        <f>('[1]Qc, Spring, S3'!O4*Main!$B$5)</f>
        <v>25.309116808573947</v>
      </c>
      <c r="P4" s="2">
        <f>('[1]Qc, Spring, S3'!P4*Main!$B$5)</f>
        <v>23.506438703792252</v>
      </c>
      <c r="Q4" s="2">
        <f>('[1]Qc, Spring, S3'!Q4*Main!$B$5)</f>
        <v>23.327227752538377</v>
      </c>
      <c r="R4" s="2">
        <f>('[1]Qc, Spring, S3'!R4*Main!$B$5)</f>
        <v>22.645450941390045</v>
      </c>
      <c r="S4" s="2">
        <f>('[1]Qc, Spring, S3'!S4*Main!$B$5)</f>
        <v>23.812230011009845</v>
      </c>
      <c r="T4" s="2">
        <f>('[1]Qc, Spring, S3'!T4*Main!$B$5)</f>
        <v>23.64685430671701</v>
      </c>
      <c r="U4" s="2">
        <f>('[1]Qc, Spring, S3'!U4*Main!$B$5)</f>
        <v>23.369116630287134</v>
      </c>
      <c r="V4" s="2">
        <f>('[1]Qc, Spring, S3'!V4*Main!$B$5)</f>
        <v>20.107978726823674</v>
      </c>
      <c r="W4" s="2">
        <f>('[1]Qc, Spring, S3'!W4*Main!$B$5)</f>
        <v>21.817127430663582</v>
      </c>
      <c r="X4" s="2">
        <f>('[1]Qc, Spring, S3'!X4*Main!$B$5)</f>
        <v>18.419102352345757</v>
      </c>
      <c r="Y4" s="2">
        <f>('[1]Qc, Spring, S3'!Y4*Main!$B$5)</f>
        <v>15.301874834904144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5855EC-B3D7-4687-8F9B-F40946549B6E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-12.616325202530991</v>
      </c>
      <c r="C2" s="2">
        <f>('[1]Qc, Spring, S3'!C2*Main!$B$5)</f>
        <v>-14.865065744579505</v>
      </c>
      <c r="D2" s="2">
        <f>('[1]Qc, Spring, S3'!D2*Main!$B$5)</f>
        <v>-16.70776605714051</v>
      </c>
      <c r="E2" s="2">
        <f>('[1]Qc, Spring, S3'!E2*Main!$B$5)</f>
        <v>-15.735471544523648</v>
      </c>
      <c r="F2" s="2">
        <f>('[1]Qc, Spring, S3'!F2*Main!$B$5)</f>
        <v>-15.893678187802143</v>
      </c>
      <c r="G2" s="2">
        <f>('[1]Qc, Spring, S3'!G2*Main!$B$5)</f>
        <v>-15.625669598085844</v>
      </c>
      <c r="H2" s="2">
        <f>('[1]Qc, Spring, S3'!H2*Main!$B$5)</f>
        <v>-12.998042984428064</v>
      </c>
      <c r="I2" s="2">
        <f>('[1]Qc, Spring, S3'!I2*Main!$B$5)</f>
        <v>-3.1143451938332865</v>
      </c>
      <c r="J2" s="2">
        <f>('[1]Qc, Spring, S3'!J2*Main!$B$5)</f>
        <v>3.4899999889709861</v>
      </c>
      <c r="K2" s="2">
        <f>('[1]Qc, Spring, S3'!K2*Main!$B$5)</f>
        <v>6.3713964654440467</v>
      </c>
      <c r="L2" s="2">
        <f>('[1]Qc, Spring, S3'!L2*Main!$B$5)</f>
        <v>4.1756752979964942</v>
      </c>
      <c r="M2" s="2">
        <f>('[1]Qc, Spring, S3'!M2*Main!$B$5)</f>
        <v>5.7392758871742346</v>
      </c>
      <c r="N2" s="2">
        <f>('[1]Qc, Spring, S3'!N2*Main!$B$5)</f>
        <v>5.0315302505652379</v>
      </c>
      <c r="O2" s="2">
        <f>('[1]Qc, Spring, S3'!O2*Main!$B$5)</f>
        <v>5.0302938602832414</v>
      </c>
      <c r="P2" s="2">
        <f>('[1]Qc, Spring, S3'!P2*Main!$B$5)</f>
        <v>1.1560620473191987</v>
      </c>
      <c r="Q2" s="2">
        <f>('[1]Qc, Spring, S3'!Q2*Main!$B$5)</f>
        <v>-2.0931020855190376</v>
      </c>
      <c r="R2" s="2">
        <f>('[1]Qc, Spring, S3'!R2*Main!$B$5)</f>
        <v>-0.90404887984213733</v>
      </c>
      <c r="S2" s="2">
        <f>('[1]Qc, Spring, S3'!S2*Main!$B$5)</f>
        <v>1.2943599933235819</v>
      </c>
      <c r="T2" s="2">
        <f>('[1]Qc, Spring, S3'!T2*Main!$B$5)</f>
        <v>7.8185635574845036E-2</v>
      </c>
      <c r="U2" s="2">
        <f>('[1]Qc, Spring, S3'!U2*Main!$B$5)</f>
        <v>-1.6745428792218291</v>
      </c>
      <c r="V2" s="2">
        <f>('[1]Qc, Spring, S3'!V2*Main!$B$5)</f>
        <v>-3.3986882479457048</v>
      </c>
      <c r="W2" s="2">
        <f>('[1]Qc, Spring, S3'!W2*Main!$B$5)</f>
        <v>-3.7470060436204453</v>
      </c>
      <c r="X2" s="2">
        <f>('[1]Qc, Spring, S3'!X2*Main!$B$5)</f>
        <v>-7.1770114897988293</v>
      </c>
      <c r="Y2" s="2">
        <f>('[1]Qc, Spring, S3'!Y2*Main!$B$5)</f>
        <v>-9.0436512517177903</v>
      </c>
    </row>
    <row r="3" spans="1:25" x14ac:dyDescent="0.3">
      <c r="A3">
        <v>2</v>
      </c>
      <c r="B3" s="2">
        <f>('[1]Qc, Spring, S3'!B3*Main!$B$5)</f>
        <v>-2.3228855142721665</v>
      </c>
      <c r="C3" s="2">
        <f>('[1]Qc, Spring, S3'!C3*Main!$B$5)</f>
        <v>-0.71165237494224853</v>
      </c>
      <c r="D3" s="2">
        <f>('[1]Qc, Spring, S3'!D3*Main!$B$5)</f>
        <v>-2.9802143138077501</v>
      </c>
      <c r="E3" s="2">
        <f>('[1]Qc, Spring, S3'!E3*Main!$B$5)</f>
        <v>-4.3405146334418125</v>
      </c>
      <c r="F3" s="2">
        <f>('[1]Qc, Spring, S3'!F3*Main!$B$5)</f>
        <v>-3.185698813535276</v>
      </c>
      <c r="G3" s="2">
        <f>('[1]Qc, Spring, S3'!G3*Main!$B$5)</f>
        <v>-4.8698542323540179</v>
      </c>
      <c r="H3" s="2">
        <f>('[1]Qc, Spring, S3'!H3*Main!$B$5)</f>
        <v>-1.6677669483372246</v>
      </c>
      <c r="I3" s="2">
        <f>('[1]Qc, Spring, S3'!I3*Main!$B$5)</f>
        <v>1.3246969549729202</v>
      </c>
      <c r="J3" s="2">
        <f>('[1]Qc, Spring, S3'!J3*Main!$B$5)</f>
        <v>0.7587890752291111</v>
      </c>
      <c r="K3" s="2">
        <f>('[1]Qc, Spring, S3'!K3*Main!$B$5)</f>
        <v>0.91213344750894942</v>
      </c>
      <c r="L3" s="2">
        <f>('[1]Qc, Spring, S3'!L3*Main!$B$5)</f>
        <v>2.4324023287922834</v>
      </c>
      <c r="M3" s="2">
        <f>('[1]Qc, Spring, S3'!M3*Main!$B$5)</f>
        <v>1.4662486414417062</v>
      </c>
      <c r="N3" s="2">
        <f>('[1]Qc, Spring, S3'!N3*Main!$B$5)</f>
        <v>2.686170165315434</v>
      </c>
      <c r="O3" s="2">
        <f>('[1]Qc, Spring, S3'!O3*Main!$B$5)</f>
        <v>3.8035241415759917</v>
      </c>
      <c r="P3" s="2">
        <f>('[1]Qc, Spring, S3'!P3*Main!$B$5)</f>
        <v>2.7354274967289052</v>
      </c>
      <c r="Q3" s="2">
        <f>('[1]Qc, Spring, S3'!Q3*Main!$B$5)</f>
        <v>3.723164180204364</v>
      </c>
      <c r="R3" s="2">
        <f>('[1]Qc, Spring, S3'!R3*Main!$B$5)</f>
        <v>1.4037107706128431</v>
      </c>
      <c r="S3" s="2">
        <f>('[1]Qc, Spring, S3'!S3*Main!$B$5)</f>
        <v>1.3108848624533227</v>
      </c>
      <c r="T3" s="2">
        <f>('[1]Qc, Spring, S3'!T3*Main!$B$5)</f>
        <v>1.4037107706128431</v>
      </c>
      <c r="U3" s="2">
        <f>('[1]Qc, Spring, S3'!U3*Main!$B$5)</f>
        <v>1.293451895643422</v>
      </c>
      <c r="V3" s="2">
        <f>('[1]Qc, Spring, S3'!V3*Main!$B$5)</f>
        <v>-0.66870080809696497</v>
      </c>
      <c r="W3" s="2">
        <f>('[1]Qc, Spring, S3'!W3*Main!$B$5)</f>
        <v>0.60343733466019822</v>
      </c>
      <c r="X3" s="2">
        <f>('[1]Qc, Spring, S3'!X3*Main!$B$5)</f>
        <v>-3.3444926336443968</v>
      </c>
      <c r="Y3" s="2">
        <f>('[1]Qc, Spring, S3'!Y3*Main!$B$5)</f>
        <v>-3.0165099699631095</v>
      </c>
    </row>
    <row r="4" spans="1:25" x14ac:dyDescent="0.3">
      <c r="A4">
        <v>3</v>
      </c>
      <c r="B4" s="2">
        <f>('[1]Qc, Spring, S3'!B4*Main!$B$5)</f>
        <v>10.739581307433447</v>
      </c>
      <c r="C4" s="2">
        <f>('[1]Qc, Spring, S3'!C4*Main!$B$5)</f>
        <v>8.5293157894427587</v>
      </c>
      <c r="D4" s="2">
        <f>('[1]Qc, Spring, S3'!D4*Main!$B$5)</f>
        <v>7.9184990391577479</v>
      </c>
      <c r="E4" s="2">
        <f>('[1]Qc, Spring, S3'!E4*Main!$B$5)</f>
        <v>7.314462087554908</v>
      </c>
      <c r="F4" s="2">
        <f>('[1]Qc, Spring, S3'!F4*Main!$B$5)</f>
        <v>7.8049346543144971</v>
      </c>
      <c r="G4" s="2">
        <f>('[1]Qc, Spring, S3'!G4*Main!$B$5)</f>
        <v>6.0425384513368749</v>
      </c>
      <c r="H4" s="2">
        <f>('[1]Qc, Spring, S3'!H4*Main!$B$5)</f>
        <v>10.336964479551456</v>
      </c>
      <c r="I4" s="2">
        <f>('[1]Qc, Spring, S3'!I4*Main!$B$5)</f>
        <v>14.895625243020007</v>
      </c>
      <c r="J4" s="2">
        <f>('[1]Qc, Spring, S3'!J4*Main!$B$5)</f>
        <v>20.158440990493048</v>
      </c>
      <c r="K4" s="2">
        <f>('[1]Qc, Spring, S3'!K4*Main!$B$5)</f>
        <v>23.720115996851085</v>
      </c>
      <c r="L4" s="2">
        <f>('[1]Qc, Spring, S3'!L4*Main!$B$5)</f>
        <v>24.114877296256253</v>
      </c>
      <c r="M4" s="2">
        <f>('[1]Qc, Spring, S3'!M4*Main!$B$5)</f>
        <v>24.474240050415318</v>
      </c>
      <c r="N4" s="2">
        <f>('[1]Qc, Spring, S3'!N4*Main!$B$5)</f>
        <v>26.282202484032229</v>
      </c>
      <c r="O4" s="2">
        <f>('[1]Qc, Spring, S3'!O4*Main!$B$5)</f>
        <v>25.309116808573947</v>
      </c>
      <c r="P4" s="2">
        <f>('[1]Qc, Spring, S3'!P4*Main!$B$5)</f>
        <v>23.506438703792252</v>
      </c>
      <c r="Q4" s="2">
        <f>('[1]Qc, Spring, S3'!Q4*Main!$B$5)</f>
        <v>23.327227752538377</v>
      </c>
      <c r="R4" s="2">
        <f>('[1]Qc, Spring, S3'!R4*Main!$B$5)</f>
        <v>22.645450941390045</v>
      </c>
      <c r="S4" s="2">
        <f>('[1]Qc, Spring, S3'!S4*Main!$B$5)</f>
        <v>23.812230011009845</v>
      </c>
      <c r="T4" s="2">
        <f>('[1]Qc, Spring, S3'!T4*Main!$B$5)</f>
        <v>23.64685430671701</v>
      </c>
      <c r="U4" s="2">
        <f>('[1]Qc, Spring, S3'!U4*Main!$B$5)</f>
        <v>23.369116630287134</v>
      </c>
      <c r="V4" s="2">
        <f>('[1]Qc, Spring, S3'!V4*Main!$B$5)</f>
        <v>20.107978726823674</v>
      </c>
      <c r="W4" s="2">
        <f>('[1]Qc, Spring, S3'!W4*Main!$B$5)</f>
        <v>21.817127430663582</v>
      </c>
      <c r="X4" s="2">
        <f>('[1]Qc, Spring, S3'!X4*Main!$B$5)</f>
        <v>18.419102352345757</v>
      </c>
      <c r="Y4" s="2">
        <f>('[1]Qc, Spring, S3'!Y4*Main!$B$5)</f>
        <v>15.301874834904144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ED014-69BC-498C-8ED1-58EA159F995E}">
  <dimension ref="A1:Y10"/>
  <sheetViews>
    <sheetView workbookViewId="0">
      <selection activeCell="T53" sqref="T5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-12.616325202530991</v>
      </c>
      <c r="C2" s="2">
        <f>('[1]Qc, Spring, S3'!C2*Main!$B$5)</f>
        <v>-14.865065744579505</v>
      </c>
      <c r="D2" s="2">
        <f>('[1]Qc, Spring, S3'!D2*Main!$B$5)</f>
        <v>-16.70776605714051</v>
      </c>
      <c r="E2" s="2">
        <f>('[1]Qc, Spring, S3'!E2*Main!$B$5)</f>
        <v>-15.735471544523648</v>
      </c>
      <c r="F2" s="2">
        <f>('[1]Qc, Spring, S3'!F2*Main!$B$5)</f>
        <v>-15.893678187802143</v>
      </c>
      <c r="G2" s="2">
        <f>('[1]Qc, Spring, S3'!G2*Main!$B$5)</f>
        <v>-15.625669598085844</v>
      </c>
      <c r="H2" s="2">
        <f>('[1]Qc, Spring, S3'!H2*Main!$B$5)</f>
        <v>-12.998042984428064</v>
      </c>
      <c r="I2" s="2">
        <f>('[1]Qc, Spring, S3'!I2*Main!$B$5)</f>
        <v>-3.1143451938332865</v>
      </c>
      <c r="J2" s="2">
        <f>('[1]Qc, Spring, S3'!J2*Main!$B$5)</f>
        <v>3.4899999889709861</v>
      </c>
      <c r="K2" s="2">
        <f>('[1]Qc, Spring, S3'!K2*Main!$B$5)</f>
        <v>6.3713964654440467</v>
      </c>
      <c r="L2" s="2">
        <f>('[1]Qc, Spring, S3'!L2*Main!$B$5)</f>
        <v>4.1756752979964942</v>
      </c>
      <c r="M2" s="2">
        <f>('[1]Qc, Spring, S3'!M2*Main!$B$5)</f>
        <v>5.7392758871742346</v>
      </c>
      <c r="N2" s="2">
        <f>('[1]Qc, Spring, S3'!N2*Main!$B$5)</f>
        <v>5.0315302505652379</v>
      </c>
      <c r="O2" s="2">
        <f>('[1]Qc, Spring, S3'!O2*Main!$B$5)</f>
        <v>5.0302938602832414</v>
      </c>
      <c r="P2" s="2">
        <f>('[1]Qc, Spring, S3'!P2*Main!$B$5)</f>
        <v>1.1560620473191987</v>
      </c>
      <c r="Q2" s="2">
        <f>('[1]Qc, Spring, S3'!Q2*Main!$B$5)</f>
        <v>-2.0931020855190376</v>
      </c>
      <c r="R2" s="2">
        <f>('[1]Qc, Spring, S3'!R2*Main!$B$5)</f>
        <v>-0.90404887984213733</v>
      </c>
      <c r="S2" s="2">
        <f>('[1]Qc, Spring, S3'!S2*Main!$B$5)</f>
        <v>1.2943599933235819</v>
      </c>
      <c r="T2" s="2">
        <f>('[1]Qc, Spring, S3'!T2*Main!$B$5)</f>
        <v>7.8185635574845036E-2</v>
      </c>
      <c r="U2" s="2">
        <f>('[1]Qc, Spring, S3'!U2*Main!$B$5)</f>
        <v>-1.6745428792218291</v>
      </c>
      <c r="V2" s="2">
        <f>('[1]Qc, Spring, S3'!V2*Main!$B$5)</f>
        <v>-3.3986882479457048</v>
      </c>
      <c r="W2" s="2">
        <f>('[1]Qc, Spring, S3'!W2*Main!$B$5)</f>
        <v>-3.7470060436204453</v>
      </c>
      <c r="X2" s="2">
        <f>('[1]Qc, Spring, S3'!X2*Main!$B$5)</f>
        <v>-7.1770114897988293</v>
      </c>
      <c r="Y2" s="2">
        <f>('[1]Qc, Spring, S3'!Y2*Main!$B$5)</f>
        <v>-9.0436512517177903</v>
      </c>
    </row>
    <row r="3" spans="1:25" x14ac:dyDescent="0.3">
      <c r="A3">
        <v>2</v>
      </c>
      <c r="B3" s="2">
        <f>('[1]Qc, Spring, S3'!B3*Main!$B$5)</f>
        <v>-2.3228855142721665</v>
      </c>
      <c r="C3" s="2">
        <f>('[1]Qc, Spring, S3'!C3*Main!$B$5)</f>
        <v>-0.71165237494224853</v>
      </c>
      <c r="D3" s="2">
        <f>('[1]Qc, Spring, S3'!D3*Main!$B$5)</f>
        <v>-2.9802143138077501</v>
      </c>
      <c r="E3" s="2">
        <f>('[1]Qc, Spring, S3'!E3*Main!$B$5)</f>
        <v>-4.3405146334418125</v>
      </c>
      <c r="F3" s="2">
        <f>('[1]Qc, Spring, S3'!F3*Main!$B$5)</f>
        <v>-3.185698813535276</v>
      </c>
      <c r="G3" s="2">
        <f>('[1]Qc, Spring, S3'!G3*Main!$B$5)</f>
        <v>-4.8698542323540179</v>
      </c>
      <c r="H3" s="2">
        <f>('[1]Qc, Spring, S3'!H3*Main!$B$5)</f>
        <v>-1.6677669483372246</v>
      </c>
      <c r="I3" s="2">
        <f>('[1]Qc, Spring, S3'!I3*Main!$B$5)</f>
        <v>1.3246969549729202</v>
      </c>
      <c r="J3" s="2">
        <f>('[1]Qc, Spring, S3'!J3*Main!$B$5)</f>
        <v>0.7587890752291111</v>
      </c>
      <c r="K3" s="2">
        <f>('[1]Qc, Spring, S3'!K3*Main!$B$5)</f>
        <v>0.91213344750894942</v>
      </c>
      <c r="L3" s="2">
        <f>('[1]Qc, Spring, S3'!L3*Main!$B$5)</f>
        <v>2.4324023287922834</v>
      </c>
      <c r="M3" s="2">
        <f>('[1]Qc, Spring, S3'!M3*Main!$B$5)</f>
        <v>1.4662486414417062</v>
      </c>
      <c r="N3" s="2">
        <f>('[1]Qc, Spring, S3'!N3*Main!$B$5)</f>
        <v>2.686170165315434</v>
      </c>
      <c r="O3" s="2">
        <f>('[1]Qc, Spring, S3'!O3*Main!$B$5)</f>
        <v>3.8035241415759917</v>
      </c>
      <c r="P3" s="2">
        <f>('[1]Qc, Spring, S3'!P3*Main!$B$5)</f>
        <v>2.7354274967289052</v>
      </c>
      <c r="Q3" s="2">
        <f>('[1]Qc, Spring, S3'!Q3*Main!$B$5)</f>
        <v>3.723164180204364</v>
      </c>
      <c r="R3" s="2">
        <f>('[1]Qc, Spring, S3'!R3*Main!$B$5)</f>
        <v>1.4037107706128431</v>
      </c>
      <c r="S3" s="2">
        <f>('[1]Qc, Spring, S3'!S3*Main!$B$5)</f>
        <v>1.3108848624533227</v>
      </c>
      <c r="T3" s="2">
        <f>('[1]Qc, Spring, S3'!T3*Main!$B$5)</f>
        <v>1.4037107706128431</v>
      </c>
      <c r="U3" s="2">
        <f>('[1]Qc, Spring, S3'!U3*Main!$B$5)</f>
        <v>1.293451895643422</v>
      </c>
      <c r="V3" s="2">
        <f>('[1]Qc, Spring, S3'!V3*Main!$B$5)</f>
        <v>-0.66870080809696497</v>
      </c>
      <c r="W3" s="2">
        <f>('[1]Qc, Spring, S3'!W3*Main!$B$5)</f>
        <v>0.60343733466019822</v>
      </c>
      <c r="X3" s="2">
        <f>('[1]Qc, Spring, S3'!X3*Main!$B$5)</f>
        <v>-3.3444926336443968</v>
      </c>
      <c r="Y3" s="2">
        <f>('[1]Qc, Spring, S3'!Y3*Main!$B$5)</f>
        <v>-3.0165099699631095</v>
      </c>
    </row>
    <row r="4" spans="1:25" x14ac:dyDescent="0.3">
      <c r="A4">
        <v>3</v>
      </c>
      <c r="B4" s="2">
        <f>('[1]Qc, Spring, S3'!B4*Main!$B$5)</f>
        <v>10.739581307433447</v>
      </c>
      <c r="C4" s="2">
        <f>('[1]Qc, Spring, S3'!C4*Main!$B$5)</f>
        <v>8.5293157894427587</v>
      </c>
      <c r="D4" s="2">
        <f>('[1]Qc, Spring, S3'!D4*Main!$B$5)</f>
        <v>7.9184990391577479</v>
      </c>
      <c r="E4" s="2">
        <f>('[1]Qc, Spring, S3'!E4*Main!$B$5)</f>
        <v>7.314462087554908</v>
      </c>
      <c r="F4" s="2">
        <f>('[1]Qc, Spring, S3'!F4*Main!$B$5)</f>
        <v>7.8049346543144971</v>
      </c>
      <c r="G4" s="2">
        <f>('[1]Qc, Spring, S3'!G4*Main!$B$5)</f>
        <v>6.0425384513368749</v>
      </c>
      <c r="H4" s="2">
        <f>('[1]Qc, Spring, S3'!H4*Main!$B$5)</f>
        <v>10.336964479551456</v>
      </c>
      <c r="I4" s="2">
        <f>('[1]Qc, Spring, S3'!I4*Main!$B$5)</f>
        <v>14.895625243020007</v>
      </c>
      <c r="J4" s="2">
        <f>('[1]Qc, Spring, S3'!J4*Main!$B$5)</f>
        <v>20.158440990493048</v>
      </c>
      <c r="K4" s="2">
        <f>('[1]Qc, Spring, S3'!K4*Main!$B$5)</f>
        <v>23.720115996851085</v>
      </c>
      <c r="L4" s="2">
        <f>('[1]Qc, Spring, S3'!L4*Main!$B$5)</f>
        <v>24.114877296256253</v>
      </c>
      <c r="M4" s="2">
        <f>('[1]Qc, Spring, S3'!M4*Main!$B$5)</f>
        <v>24.474240050415318</v>
      </c>
      <c r="N4" s="2">
        <f>('[1]Qc, Spring, S3'!N4*Main!$B$5)</f>
        <v>26.282202484032229</v>
      </c>
      <c r="O4" s="2">
        <f>('[1]Qc, Spring, S3'!O4*Main!$B$5)</f>
        <v>25.309116808573947</v>
      </c>
      <c r="P4" s="2">
        <f>('[1]Qc, Spring, S3'!P4*Main!$B$5)</f>
        <v>23.506438703792252</v>
      </c>
      <c r="Q4" s="2">
        <f>('[1]Qc, Spring, S3'!Q4*Main!$B$5)</f>
        <v>23.327227752538377</v>
      </c>
      <c r="R4" s="2">
        <f>('[1]Qc, Spring, S3'!R4*Main!$B$5)</f>
        <v>22.645450941390045</v>
      </c>
      <c r="S4" s="2">
        <f>('[1]Qc, Spring, S3'!S4*Main!$B$5)</f>
        <v>23.812230011009845</v>
      </c>
      <c r="T4" s="2">
        <f>('[1]Qc, Spring, S3'!T4*Main!$B$5)</f>
        <v>23.64685430671701</v>
      </c>
      <c r="U4" s="2">
        <f>('[1]Qc, Spring, S3'!U4*Main!$B$5)</f>
        <v>23.369116630287134</v>
      </c>
      <c r="V4" s="2">
        <f>('[1]Qc, Spring, S3'!V4*Main!$B$5)</f>
        <v>20.107978726823674</v>
      </c>
      <c r="W4" s="2">
        <f>('[1]Qc, Spring, S3'!W4*Main!$B$5)</f>
        <v>21.817127430663582</v>
      </c>
      <c r="X4" s="2">
        <f>('[1]Qc, Spring, S3'!X4*Main!$B$5)</f>
        <v>18.419102352345757</v>
      </c>
      <c r="Y4" s="2">
        <f>('[1]Qc, Spring, S3'!Y4*Main!$B$5)</f>
        <v>15.301874834904144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273252-224E-42D0-AEF3-875AB7F1DC39}">
  <dimension ref="A1:Y4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Ratio'!$A$2:$B$21,2,FALSE)</f>
        <v>2.7890167451887411</v>
      </c>
      <c r="C2" s="2">
        <f>('FL Characterization'!C$4-'FL Characterization'!C$2)*VLOOKUP($A2,'FL Ratio'!$A$2:$B$21,2,FALSE)</f>
        <v>3.070353491691554</v>
      </c>
      <c r="D2" s="2">
        <f>('FL Characterization'!D$4-'FL Characterization'!D$2)*VLOOKUP($A2,'FL Ratio'!$A$2:$B$21,2,FALSE)</f>
        <v>3.9963567180660062</v>
      </c>
      <c r="E2" s="2">
        <f>('FL Characterization'!E$4-'FL Characterization'!E$2)*VLOOKUP($A2,'FL Ratio'!$A$2:$B$21,2,FALSE)</f>
        <v>4.5816622837534426</v>
      </c>
      <c r="F2" s="2">
        <f>('FL Characterization'!F$4-'FL Characterization'!F$2)*VLOOKUP($A2,'FL Ratio'!$A$2:$B$21,2,FALSE)</f>
        <v>5.3869933068952713</v>
      </c>
      <c r="G2" s="2">
        <f>('FL Characterization'!G$4-'FL Characterization'!G$2)*VLOOKUP($A2,'FL Ratio'!$A$2:$B$21,2,FALSE)</f>
        <v>6.297007321511586</v>
      </c>
      <c r="H2" s="2">
        <f>('FL Characterization'!H$4-'FL Characterization'!H$2)*VLOOKUP($A2,'FL Ratio'!$A$2:$B$21,2,FALSE)</f>
        <v>5.6132174805022759</v>
      </c>
      <c r="I2" s="2">
        <f>('FL Characterization'!I$4-'FL Characterization'!I$2)*VLOOKUP($A2,'FL Ratio'!$A$2:$B$21,2,FALSE)</f>
        <v>8.0247111702905105</v>
      </c>
      <c r="J2" s="2">
        <f>('FL Characterization'!J$4-'FL Characterization'!J$2)*VLOOKUP($A2,'FL Ratio'!$A$2:$B$21,2,FALSE)</f>
        <v>7.3617768228787757</v>
      </c>
      <c r="K2" s="2">
        <f>('FL Characterization'!K$4-'FL Characterization'!K$2)*VLOOKUP($A2,'FL Ratio'!$A$2:$B$21,2,FALSE)</f>
        <v>8.3146990845078719</v>
      </c>
      <c r="L2" s="2">
        <f>('FL Characterization'!L$4-'FL Characterization'!L$2)*VLOOKUP($A2,'FL Ratio'!$A$2:$B$21,2,FALSE)</f>
        <v>8.5452874632565923</v>
      </c>
      <c r="M2" s="2">
        <f>('FL Characterization'!M$4-'FL Characterization'!M$2)*VLOOKUP($A2,'FL Ratio'!$A$2:$B$21,2,FALSE)</f>
        <v>7.9264586226752778</v>
      </c>
      <c r="N2" s="2">
        <f>('FL Characterization'!N$4-'FL Characterization'!N$2)*VLOOKUP($A2,'FL Ratio'!$A$2:$B$21,2,FALSE)</f>
        <v>7.4774668804186462</v>
      </c>
      <c r="O2" s="2">
        <f>('FL Characterization'!O$4-'FL Characterization'!O$2)*VLOOKUP($A2,'FL Ratio'!$A$2:$B$21,2,FALSE)</f>
        <v>6.8840894662832586</v>
      </c>
      <c r="P2" s="2">
        <f>('FL Characterization'!P$4-'FL Characterization'!P$2)*VLOOKUP($A2,'FL Ratio'!$A$2:$B$21,2,FALSE)</f>
        <v>6.3409969644886868</v>
      </c>
      <c r="Q2" s="2">
        <f>('FL Characterization'!Q$4-'FL Characterization'!Q$2)*VLOOKUP($A2,'FL Ratio'!$A$2:$B$21,2,FALSE)</f>
        <v>5.706816163342495</v>
      </c>
      <c r="R2" s="2">
        <f>('FL Characterization'!R$4-'FL Characterization'!R$2)*VLOOKUP($A2,'FL Ratio'!$A$2:$B$21,2,FALSE)</f>
        <v>5.6474166278738505</v>
      </c>
      <c r="S2" s="2">
        <f>('FL Characterization'!S$4-'FL Characterization'!S$2)*VLOOKUP($A2,'FL Ratio'!$A$2:$B$21,2,FALSE)</f>
        <v>4.4745075300748027</v>
      </c>
      <c r="T2" s="2">
        <f>('FL Characterization'!T$4-'FL Characterization'!T$2)*VLOOKUP($A2,'FL Ratio'!$A$2:$B$21,2,FALSE)</f>
        <v>3.7021204625602495</v>
      </c>
      <c r="U2" s="2">
        <f>('FL Characterization'!U$4-'FL Characterization'!U$2)*VLOOKUP($A2,'FL Ratio'!$A$2:$B$21,2,FALSE)</f>
        <v>4.3930552411909485</v>
      </c>
      <c r="V2" s="2">
        <f>('FL Characterization'!V$4-'FL Characterization'!V$2)*VLOOKUP($A2,'FL Ratio'!$A$2:$B$21,2,FALSE)</f>
        <v>4.4760910027368404</v>
      </c>
      <c r="W2" s="2">
        <f>('FL Characterization'!W$4-'FL Characterization'!W$2)*VLOOKUP($A2,'FL Ratio'!$A$2:$B$21,2,FALSE)</f>
        <v>5.1152732602180055</v>
      </c>
      <c r="X2" s="2">
        <f>('FL Characterization'!X$4-'FL Characterization'!X$2)*VLOOKUP($A2,'FL Ratio'!$A$2:$B$21,2,FALSE)</f>
        <v>2.4837348023331591</v>
      </c>
      <c r="Y2" s="2">
        <f>('FL Characterization'!Y$4-'FL Characterization'!Y$2)*VLOOKUP($A2,'FL Ratio'!$A$2:$B$21,2,FALSE)</f>
        <v>2.384671207744689</v>
      </c>
    </row>
    <row r="3" spans="1:25" x14ac:dyDescent="0.3">
      <c r="A3">
        <v>2</v>
      </c>
      <c r="B3" s="2">
        <f>('FL Characterization'!B$4-'FL Characterization'!B$2)*VLOOKUP($A3,'FL Ratio'!$A$2:$B$21,2,FALSE)</f>
        <v>2.7890167451887411</v>
      </c>
      <c r="C3" s="2">
        <f>('FL Characterization'!C$4-'FL Characterization'!C$2)*VLOOKUP($A3,'FL Ratio'!$A$2:$B$21,2,FALSE)</f>
        <v>3.070353491691554</v>
      </c>
      <c r="D3" s="2">
        <f>('FL Characterization'!D$4-'FL Characterization'!D$2)*VLOOKUP($A3,'FL Ratio'!$A$2:$B$21,2,FALSE)</f>
        <v>3.9963567180660062</v>
      </c>
      <c r="E3" s="2">
        <f>('FL Characterization'!E$4-'FL Characterization'!E$2)*VLOOKUP($A3,'FL Ratio'!$A$2:$B$21,2,FALSE)</f>
        <v>4.5816622837534426</v>
      </c>
      <c r="F3" s="2">
        <f>('FL Characterization'!F$4-'FL Characterization'!F$2)*VLOOKUP($A3,'FL Ratio'!$A$2:$B$21,2,FALSE)</f>
        <v>5.3869933068952713</v>
      </c>
      <c r="G3" s="2">
        <f>('FL Characterization'!G$4-'FL Characterization'!G$2)*VLOOKUP($A3,'FL Ratio'!$A$2:$B$21,2,FALSE)</f>
        <v>6.297007321511586</v>
      </c>
      <c r="H3" s="2">
        <f>('FL Characterization'!H$4-'FL Characterization'!H$2)*VLOOKUP($A3,'FL Ratio'!$A$2:$B$21,2,FALSE)</f>
        <v>5.6132174805022759</v>
      </c>
      <c r="I3" s="2">
        <f>('FL Characterization'!I$4-'FL Characterization'!I$2)*VLOOKUP($A3,'FL Ratio'!$A$2:$B$21,2,FALSE)</f>
        <v>8.0247111702905105</v>
      </c>
      <c r="J3" s="2">
        <f>('FL Characterization'!J$4-'FL Characterization'!J$2)*VLOOKUP($A3,'FL Ratio'!$A$2:$B$21,2,FALSE)</f>
        <v>7.3617768228787757</v>
      </c>
      <c r="K3" s="2">
        <f>('FL Characterization'!K$4-'FL Characterization'!K$2)*VLOOKUP($A3,'FL Ratio'!$A$2:$B$21,2,FALSE)</f>
        <v>8.3146990845078719</v>
      </c>
      <c r="L3" s="2">
        <f>('FL Characterization'!L$4-'FL Characterization'!L$2)*VLOOKUP($A3,'FL Ratio'!$A$2:$B$21,2,FALSE)</f>
        <v>8.5452874632565923</v>
      </c>
      <c r="M3" s="2">
        <f>('FL Characterization'!M$4-'FL Characterization'!M$2)*VLOOKUP($A3,'FL Ratio'!$A$2:$B$21,2,FALSE)</f>
        <v>7.9264586226752778</v>
      </c>
      <c r="N3" s="2">
        <f>('FL Characterization'!N$4-'FL Characterization'!N$2)*VLOOKUP($A3,'FL Ratio'!$A$2:$B$21,2,FALSE)</f>
        <v>7.4774668804186462</v>
      </c>
      <c r="O3" s="2">
        <f>('FL Characterization'!O$4-'FL Characterization'!O$2)*VLOOKUP($A3,'FL Ratio'!$A$2:$B$21,2,FALSE)</f>
        <v>6.8840894662832586</v>
      </c>
      <c r="P3" s="2">
        <f>('FL Characterization'!P$4-'FL Characterization'!P$2)*VLOOKUP($A3,'FL Ratio'!$A$2:$B$21,2,FALSE)</f>
        <v>6.3409969644886868</v>
      </c>
      <c r="Q3" s="2">
        <f>('FL Characterization'!Q$4-'FL Characterization'!Q$2)*VLOOKUP($A3,'FL Ratio'!$A$2:$B$21,2,FALSE)</f>
        <v>5.706816163342495</v>
      </c>
      <c r="R3" s="2">
        <f>('FL Characterization'!R$4-'FL Characterization'!R$2)*VLOOKUP($A3,'FL Ratio'!$A$2:$B$21,2,FALSE)</f>
        <v>5.6474166278738505</v>
      </c>
      <c r="S3" s="2">
        <f>('FL Characterization'!S$4-'FL Characterization'!S$2)*VLOOKUP($A3,'FL Ratio'!$A$2:$B$21,2,FALSE)</f>
        <v>4.4745075300748027</v>
      </c>
      <c r="T3" s="2">
        <f>('FL Characterization'!T$4-'FL Characterization'!T$2)*VLOOKUP($A3,'FL Ratio'!$A$2:$B$21,2,FALSE)</f>
        <v>3.7021204625602495</v>
      </c>
      <c r="U3" s="2">
        <f>('FL Characterization'!U$4-'FL Characterization'!U$2)*VLOOKUP($A3,'FL Ratio'!$A$2:$B$21,2,FALSE)</f>
        <v>4.3930552411909485</v>
      </c>
      <c r="V3" s="2">
        <f>('FL Characterization'!V$4-'FL Characterization'!V$2)*VLOOKUP($A3,'FL Ratio'!$A$2:$B$21,2,FALSE)</f>
        <v>4.4760910027368404</v>
      </c>
      <c r="W3" s="2">
        <f>('FL Characterization'!W$4-'FL Characterization'!W$2)*VLOOKUP($A3,'FL Ratio'!$A$2:$B$21,2,FALSE)</f>
        <v>5.1152732602180055</v>
      </c>
      <c r="X3" s="2">
        <f>('FL Characterization'!X$4-'FL Characterization'!X$2)*VLOOKUP($A3,'FL Ratio'!$A$2:$B$21,2,FALSE)</f>
        <v>2.4837348023331591</v>
      </c>
      <c r="Y3" s="2">
        <f>('FL Characterization'!Y$4-'FL Characterization'!Y$2)*VLOOKUP($A3,'FL Ratio'!$A$2:$B$21,2,FALSE)</f>
        <v>2.384671207744689</v>
      </c>
    </row>
    <row r="4" spans="1:25" x14ac:dyDescent="0.3">
      <c r="A4">
        <v>3</v>
      </c>
      <c r="B4" s="2">
        <f>('FL Characterization'!B$4-'FL Characterization'!B$2)*VLOOKUP($A4,'FL Ratio'!$A$2:$B$21,2,FALSE)</f>
        <v>2.7890167451887411</v>
      </c>
      <c r="C4" s="2">
        <f>('FL Characterization'!C$4-'FL Characterization'!C$2)*VLOOKUP($A4,'FL Ratio'!$A$2:$B$21,2,FALSE)</f>
        <v>3.070353491691554</v>
      </c>
      <c r="D4" s="2">
        <f>('FL Characterization'!D$4-'FL Characterization'!D$2)*VLOOKUP($A4,'FL Ratio'!$A$2:$B$21,2,FALSE)</f>
        <v>3.9963567180660062</v>
      </c>
      <c r="E4" s="2">
        <f>('FL Characterization'!E$4-'FL Characterization'!E$2)*VLOOKUP($A4,'FL Ratio'!$A$2:$B$21,2,FALSE)</f>
        <v>4.5816622837534426</v>
      </c>
      <c r="F4" s="2">
        <f>('FL Characterization'!F$4-'FL Characterization'!F$2)*VLOOKUP($A4,'FL Ratio'!$A$2:$B$21,2,FALSE)</f>
        <v>5.3869933068952713</v>
      </c>
      <c r="G4" s="2">
        <f>('FL Characterization'!G$4-'FL Characterization'!G$2)*VLOOKUP($A4,'FL Ratio'!$A$2:$B$21,2,FALSE)</f>
        <v>6.297007321511586</v>
      </c>
      <c r="H4" s="2">
        <f>('FL Characterization'!H$4-'FL Characterization'!H$2)*VLOOKUP($A4,'FL Ratio'!$A$2:$B$21,2,FALSE)</f>
        <v>5.6132174805022759</v>
      </c>
      <c r="I4" s="2">
        <f>('FL Characterization'!I$4-'FL Characterization'!I$2)*VLOOKUP($A4,'FL Ratio'!$A$2:$B$21,2,FALSE)</f>
        <v>8.0247111702905105</v>
      </c>
      <c r="J4" s="2">
        <f>('FL Characterization'!J$4-'FL Characterization'!J$2)*VLOOKUP($A4,'FL Ratio'!$A$2:$B$21,2,FALSE)</f>
        <v>7.3617768228787757</v>
      </c>
      <c r="K4" s="2">
        <f>('FL Characterization'!K$4-'FL Characterization'!K$2)*VLOOKUP($A4,'FL Ratio'!$A$2:$B$21,2,FALSE)</f>
        <v>8.3146990845078719</v>
      </c>
      <c r="L4" s="2">
        <f>('FL Characterization'!L$4-'FL Characterization'!L$2)*VLOOKUP($A4,'FL Ratio'!$A$2:$B$21,2,FALSE)</f>
        <v>8.5452874632565923</v>
      </c>
      <c r="M4" s="2">
        <f>('FL Characterization'!M$4-'FL Characterization'!M$2)*VLOOKUP($A4,'FL Ratio'!$A$2:$B$21,2,FALSE)</f>
        <v>7.9264586226752778</v>
      </c>
      <c r="N4" s="2">
        <f>('FL Characterization'!N$4-'FL Characterization'!N$2)*VLOOKUP($A4,'FL Ratio'!$A$2:$B$21,2,FALSE)</f>
        <v>7.4774668804186462</v>
      </c>
      <c r="O4" s="2">
        <f>('FL Characterization'!O$4-'FL Characterization'!O$2)*VLOOKUP($A4,'FL Ratio'!$A$2:$B$21,2,FALSE)</f>
        <v>6.8840894662832586</v>
      </c>
      <c r="P4" s="2">
        <f>('FL Characterization'!P$4-'FL Characterization'!P$2)*VLOOKUP($A4,'FL Ratio'!$A$2:$B$21,2,FALSE)</f>
        <v>6.3409969644886868</v>
      </c>
      <c r="Q4" s="2">
        <f>('FL Characterization'!Q$4-'FL Characterization'!Q$2)*VLOOKUP($A4,'FL Ratio'!$A$2:$B$21,2,FALSE)</f>
        <v>5.706816163342495</v>
      </c>
      <c r="R4" s="2">
        <f>('FL Characterization'!R$4-'FL Characterization'!R$2)*VLOOKUP($A4,'FL Ratio'!$A$2:$B$21,2,FALSE)</f>
        <v>5.6474166278738505</v>
      </c>
      <c r="S4" s="2">
        <f>('FL Characterization'!S$4-'FL Characterization'!S$2)*VLOOKUP($A4,'FL Ratio'!$A$2:$B$21,2,FALSE)</f>
        <v>4.4745075300748027</v>
      </c>
      <c r="T4" s="2">
        <f>('FL Characterization'!T$4-'FL Characterization'!T$2)*VLOOKUP($A4,'FL Ratio'!$A$2:$B$21,2,FALSE)</f>
        <v>3.7021204625602495</v>
      </c>
      <c r="U4" s="2">
        <f>('FL Characterization'!U$4-'FL Characterization'!U$2)*VLOOKUP($A4,'FL Ratio'!$A$2:$B$21,2,FALSE)</f>
        <v>4.3930552411909485</v>
      </c>
      <c r="V4" s="2">
        <f>('FL Characterization'!V$4-'FL Characterization'!V$2)*VLOOKUP($A4,'FL Ratio'!$A$2:$B$21,2,FALSE)</f>
        <v>4.4760910027368404</v>
      </c>
      <c r="W4" s="2">
        <f>('FL Characterization'!W$4-'FL Characterization'!W$2)*VLOOKUP($A4,'FL Ratio'!$A$2:$B$21,2,FALSE)</f>
        <v>5.1152732602180055</v>
      </c>
      <c r="X4" s="2">
        <f>('FL Characterization'!X$4-'FL Characterization'!X$2)*VLOOKUP($A4,'FL Ratio'!$A$2:$B$21,2,FALSE)</f>
        <v>2.4837348023331591</v>
      </c>
      <c r="Y4" s="2">
        <f>('FL Characterization'!Y$4-'FL Characterization'!Y$2)*VLOOKUP($A4,'FL Ratio'!$A$2:$B$21,2,FALSE)</f>
        <v>2.384671207744689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5FC90F-E5D8-4B0C-962A-1D3E48794422}">
  <dimension ref="A1:Y4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Ratio'!$A$2:$B$21,2,FALSE)</f>
        <v>7.7321742513001128</v>
      </c>
      <c r="C2" s="2">
        <f>('FL Characterization'!C$2-'FL Characterization'!C$3)*VLOOKUP($A2,'FL Ratio'!$A$2:$B$21,2,FALSE)</f>
        <v>8.1828846407143239</v>
      </c>
      <c r="D2" s="2">
        <f>('FL Characterization'!D$2-'FL Characterization'!D$3)*VLOOKUP($A2,'FL Ratio'!$A$2:$B$21,2,FALSE)</f>
        <v>8.6409330741721266</v>
      </c>
      <c r="E2" s="2">
        <f>('FL Characterization'!E$2-'FL Characterization'!E$3)*VLOOKUP($A2,'FL Ratio'!$A$2:$B$21,2,FALSE)</f>
        <v>9.0337115369264147</v>
      </c>
      <c r="F2" s="2">
        <f>('FL Characterization'!F$2-'FL Characterization'!F$3)*VLOOKUP($A2,'FL Ratio'!$A$2:$B$21,2,FALSE)</f>
        <v>9.1362510471144809</v>
      </c>
      <c r="G2" s="2">
        <f>('FL Characterization'!G$2-'FL Characterization'!G$3)*VLOOKUP($A2,'FL Ratio'!$A$2:$B$21,2,FALSE)</f>
        <v>9.5570299410877304</v>
      </c>
      <c r="H2" s="2">
        <f>('FL Characterization'!H$2-'FL Characterization'!H$3)*VLOOKUP($A2,'FL Ratio'!$A$2:$B$21,2,FALSE)</f>
        <v>9.5081740162711945</v>
      </c>
      <c r="I2" s="2">
        <f>('FL Characterization'!I$2-'FL Characterization'!I$3)*VLOOKUP($A2,'FL Ratio'!$A$2:$B$21,2,FALSE)</f>
        <v>8.9874432381673532</v>
      </c>
      <c r="J2" s="2">
        <f>('FL Characterization'!J$2-'FL Characterization'!J$3)*VLOOKUP($A2,'FL Ratio'!$A$2:$B$21,2,FALSE)</f>
        <v>8.1429888538878554</v>
      </c>
      <c r="K2" s="2">
        <f>('FL Characterization'!K$2-'FL Characterization'!K$3)*VLOOKUP($A2,'FL Ratio'!$A$2:$B$21,2,FALSE)</f>
        <v>11.957748292517218</v>
      </c>
      <c r="L2" s="2">
        <f>('FL Characterization'!L$2-'FL Characterization'!L$3)*VLOOKUP($A2,'FL Ratio'!$A$2:$B$21,2,FALSE)</f>
        <v>11.677222592987647</v>
      </c>
      <c r="M2" s="2">
        <f>('FL Characterization'!M$2-'FL Characterization'!M$3)*VLOOKUP($A2,'FL Ratio'!$A$2:$B$21,2,FALSE)</f>
        <v>10.752629043495251</v>
      </c>
      <c r="N2" s="2">
        <f>('FL Characterization'!N$2-'FL Characterization'!N$3)*VLOOKUP($A2,'FL Ratio'!$A$2:$B$21,2,FALSE)</f>
        <v>10.491356054258992</v>
      </c>
      <c r="O2" s="2">
        <f>('FL Characterization'!O$2-'FL Characterization'!O$3)*VLOOKUP($A2,'FL Ratio'!$A$2:$B$21,2,FALSE)</f>
        <v>10.534476718336196</v>
      </c>
      <c r="P2" s="2">
        <f>('FL Characterization'!P$2-'FL Characterization'!P$3)*VLOOKUP($A2,'FL Ratio'!$A$2:$B$21,2,FALSE)</f>
        <v>10.035393170160948</v>
      </c>
      <c r="Q2" s="2">
        <f>('FL Characterization'!Q$2-'FL Characterization'!Q$3)*VLOOKUP($A2,'FL Ratio'!$A$2:$B$21,2,FALSE)</f>
        <v>9.1989333917605176</v>
      </c>
      <c r="R2" s="2">
        <f>('FL Characterization'!R$2-'FL Characterization'!R$3)*VLOOKUP($A2,'FL Ratio'!$A$2:$B$21,2,FALSE)</f>
        <v>8.2673493897844939</v>
      </c>
      <c r="S2" s="2">
        <f>('FL Characterization'!S$2-'FL Characterization'!S$3)*VLOOKUP($A2,'FL Ratio'!$A$2:$B$21,2,FALSE)</f>
        <v>7.9707765465701215</v>
      </c>
      <c r="T2" s="2">
        <f>('FL Characterization'!T$2-'FL Characterization'!T$3)*VLOOKUP($A2,'FL Ratio'!$A$2:$B$21,2,FALSE)</f>
        <v>5.0103971623213228</v>
      </c>
      <c r="U2" s="2">
        <f>('FL Characterization'!U$2-'FL Characterization'!U$3)*VLOOKUP($A2,'FL Ratio'!$A$2:$B$21,2,FALSE)</f>
        <v>5.3581625180608494</v>
      </c>
      <c r="V2" s="2">
        <f>('FL Characterization'!V$2-'FL Characterization'!V$3)*VLOOKUP($A2,'FL Ratio'!$A$2:$B$21,2,FALSE)</f>
        <v>5.8581922877048758</v>
      </c>
      <c r="W2" s="2">
        <f>('FL Characterization'!W$2-'FL Characterization'!W$3)*VLOOKUP($A2,'FL Ratio'!$A$2:$B$21,2,FALSE)</f>
        <v>5.9979820267352739</v>
      </c>
      <c r="X2" s="2">
        <f>('FL Characterization'!X$2-'FL Characterization'!X$3)*VLOOKUP($A2,'FL Ratio'!$A$2:$B$21,2,FALSE)</f>
        <v>6.2554894407386374</v>
      </c>
      <c r="Y2" s="2">
        <f>('FL Characterization'!Y$2-'FL Characterization'!Y$3)*VLOOKUP($A2,'FL Ratio'!$A$2:$B$21,2,FALSE)</f>
        <v>6.9049063385963914</v>
      </c>
    </row>
    <row r="3" spans="1:25" x14ac:dyDescent="0.3">
      <c r="A3">
        <v>2</v>
      </c>
      <c r="B3" s="2">
        <f>('FL Characterization'!B$2-'FL Characterization'!B$3)*VLOOKUP($A3,'FL Ratio'!$A$2:$B$21,2,FALSE)</f>
        <v>7.7321742513001128</v>
      </c>
      <c r="C3" s="2">
        <f>('FL Characterization'!C$2-'FL Characterization'!C$3)*VLOOKUP($A3,'FL Ratio'!$A$2:$B$21,2,FALSE)</f>
        <v>8.1828846407143239</v>
      </c>
      <c r="D3" s="2">
        <f>('FL Characterization'!D$2-'FL Characterization'!D$3)*VLOOKUP($A3,'FL Ratio'!$A$2:$B$21,2,FALSE)</f>
        <v>8.6409330741721266</v>
      </c>
      <c r="E3" s="2">
        <f>('FL Characterization'!E$2-'FL Characterization'!E$3)*VLOOKUP($A3,'FL Ratio'!$A$2:$B$21,2,FALSE)</f>
        <v>9.0337115369264147</v>
      </c>
      <c r="F3" s="2">
        <f>('FL Characterization'!F$2-'FL Characterization'!F$3)*VLOOKUP($A3,'FL Ratio'!$A$2:$B$21,2,FALSE)</f>
        <v>9.1362510471144809</v>
      </c>
      <c r="G3" s="2">
        <f>('FL Characterization'!G$2-'FL Characterization'!G$3)*VLOOKUP($A3,'FL Ratio'!$A$2:$B$21,2,FALSE)</f>
        <v>9.5570299410877304</v>
      </c>
      <c r="H3" s="2">
        <f>('FL Characterization'!H$2-'FL Characterization'!H$3)*VLOOKUP($A3,'FL Ratio'!$A$2:$B$21,2,FALSE)</f>
        <v>9.5081740162711945</v>
      </c>
      <c r="I3" s="2">
        <f>('FL Characterization'!I$2-'FL Characterization'!I$3)*VLOOKUP($A3,'FL Ratio'!$A$2:$B$21,2,FALSE)</f>
        <v>8.9874432381673532</v>
      </c>
      <c r="J3" s="2">
        <f>('FL Characterization'!J$2-'FL Characterization'!J$3)*VLOOKUP($A3,'FL Ratio'!$A$2:$B$21,2,FALSE)</f>
        <v>8.1429888538878554</v>
      </c>
      <c r="K3" s="2">
        <f>('FL Characterization'!K$2-'FL Characterization'!K$3)*VLOOKUP($A3,'FL Ratio'!$A$2:$B$21,2,FALSE)</f>
        <v>11.957748292517218</v>
      </c>
      <c r="L3" s="2">
        <f>('FL Characterization'!L$2-'FL Characterization'!L$3)*VLOOKUP($A3,'FL Ratio'!$A$2:$B$21,2,FALSE)</f>
        <v>11.677222592987647</v>
      </c>
      <c r="M3" s="2">
        <f>('FL Characterization'!M$2-'FL Characterization'!M$3)*VLOOKUP($A3,'FL Ratio'!$A$2:$B$21,2,FALSE)</f>
        <v>10.752629043495251</v>
      </c>
      <c r="N3" s="2">
        <f>('FL Characterization'!N$2-'FL Characterization'!N$3)*VLOOKUP($A3,'FL Ratio'!$A$2:$B$21,2,FALSE)</f>
        <v>10.491356054258992</v>
      </c>
      <c r="O3" s="2">
        <f>('FL Characterization'!O$2-'FL Characterization'!O$3)*VLOOKUP($A3,'FL Ratio'!$A$2:$B$21,2,FALSE)</f>
        <v>10.534476718336196</v>
      </c>
      <c r="P3" s="2">
        <f>('FL Characterization'!P$2-'FL Characterization'!P$3)*VLOOKUP($A3,'FL Ratio'!$A$2:$B$21,2,FALSE)</f>
        <v>10.035393170160948</v>
      </c>
      <c r="Q3" s="2">
        <f>('FL Characterization'!Q$2-'FL Characterization'!Q$3)*VLOOKUP($A3,'FL Ratio'!$A$2:$B$21,2,FALSE)</f>
        <v>9.1989333917605176</v>
      </c>
      <c r="R3" s="2">
        <f>('FL Characterization'!R$2-'FL Characterization'!R$3)*VLOOKUP($A3,'FL Ratio'!$A$2:$B$21,2,FALSE)</f>
        <v>8.2673493897844939</v>
      </c>
      <c r="S3" s="2">
        <f>('FL Characterization'!S$2-'FL Characterization'!S$3)*VLOOKUP($A3,'FL Ratio'!$A$2:$B$21,2,FALSE)</f>
        <v>7.9707765465701215</v>
      </c>
      <c r="T3" s="2">
        <f>('FL Characterization'!T$2-'FL Characterization'!T$3)*VLOOKUP($A3,'FL Ratio'!$A$2:$B$21,2,FALSE)</f>
        <v>5.0103971623213228</v>
      </c>
      <c r="U3" s="2">
        <f>('FL Characterization'!U$2-'FL Characterization'!U$3)*VLOOKUP($A3,'FL Ratio'!$A$2:$B$21,2,FALSE)</f>
        <v>5.3581625180608494</v>
      </c>
      <c r="V3" s="2">
        <f>('FL Characterization'!V$2-'FL Characterization'!V$3)*VLOOKUP($A3,'FL Ratio'!$A$2:$B$21,2,FALSE)</f>
        <v>5.8581922877048758</v>
      </c>
      <c r="W3" s="2">
        <f>('FL Characterization'!W$2-'FL Characterization'!W$3)*VLOOKUP($A3,'FL Ratio'!$A$2:$B$21,2,FALSE)</f>
        <v>5.9979820267352739</v>
      </c>
      <c r="X3" s="2">
        <f>('FL Characterization'!X$2-'FL Characterization'!X$3)*VLOOKUP($A3,'FL Ratio'!$A$2:$B$21,2,FALSE)</f>
        <v>6.2554894407386374</v>
      </c>
      <c r="Y3" s="2">
        <f>('FL Characterization'!Y$2-'FL Characterization'!Y$3)*VLOOKUP($A3,'FL Ratio'!$A$2:$B$21,2,FALSE)</f>
        <v>6.9049063385963914</v>
      </c>
    </row>
    <row r="4" spans="1:25" x14ac:dyDescent="0.3">
      <c r="A4">
        <v>3</v>
      </c>
      <c r="B4" s="2">
        <f>('FL Characterization'!B$2-'FL Characterization'!B$3)*VLOOKUP($A4,'FL Ratio'!$A$2:$B$21,2,FALSE)</f>
        <v>7.7321742513001128</v>
      </c>
      <c r="C4" s="2">
        <f>('FL Characterization'!C$2-'FL Characterization'!C$3)*VLOOKUP($A4,'FL Ratio'!$A$2:$B$21,2,FALSE)</f>
        <v>8.1828846407143239</v>
      </c>
      <c r="D4" s="2">
        <f>('FL Characterization'!D$2-'FL Characterization'!D$3)*VLOOKUP($A4,'FL Ratio'!$A$2:$B$21,2,FALSE)</f>
        <v>8.6409330741721266</v>
      </c>
      <c r="E4" s="2">
        <f>('FL Characterization'!E$2-'FL Characterization'!E$3)*VLOOKUP($A4,'FL Ratio'!$A$2:$B$21,2,FALSE)</f>
        <v>9.0337115369264147</v>
      </c>
      <c r="F4" s="2">
        <f>('FL Characterization'!F$2-'FL Characterization'!F$3)*VLOOKUP($A4,'FL Ratio'!$A$2:$B$21,2,FALSE)</f>
        <v>9.1362510471144809</v>
      </c>
      <c r="G4" s="2">
        <f>('FL Characterization'!G$2-'FL Characterization'!G$3)*VLOOKUP($A4,'FL Ratio'!$A$2:$B$21,2,FALSE)</f>
        <v>9.5570299410877304</v>
      </c>
      <c r="H4" s="2">
        <f>('FL Characterization'!H$2-'FL Characterization'!H$3)*VLOOKUP($A4,'FL Ratio'!$A$2:$B$21,2,FALSE)</f>
        <v>9.5081740162711945</v>
      </c>
      <c r="I4" s="2">
        <f>('FL Characterization'!I$2-'FL Characterization'!I$3)*VLOOKUP($A4,'FL Ratio'!$A$2:$B$21,2,FALSE)</f>
        <v>8.9874432381673532</v>
      </c>
      <c r="J4" s="2">
        <f>('FL Characterization'!J$2-'FL Characterization'!J$3)*VLOOKUP($A4,'FL Ratio'!$A$2:$B$21,2,FALSE)</f>
        <v>8.1429888538878554</v>
      </c>
      <c r="K4" s="2">
        <f>('FL Characterization'!K$2-'FL Characterization'!K$3)*VLOOKUP($A4,'FL Ratio'!$A$2:$B$21,2,FALSE)</f>
        <v>11.957748292517218</v>
      </c>
      <c r="L4" s="2">
        <f>('FL Characterization'!L$2-'FL Characterization'!L$3)*VLOOKUP($A4,'FL Ratio'!$A$2:$B$21,2,FALSE)</f>
        <v>11.677222592987647</v>
      </c>
      <c r="M4" s="2">
        <f>('FL Characterization'!M$2-'FL Characterization'!M$3)*VLOOKUP($A4,'FL Ratio'!$A$2:$B$21,2,FALSE)</f>
        <v>10.752629043495251</v>
      </c>
      <c r="N4" s="2">
        <f>('FL Characterization'!N$2-'FL Characterization'!N$3)*VLOOKUP($A4,'FL Ratio'!$A$2:$B$21,2,FALSE)</f>
        <v>10.491356054258992</v>
      </c>
      <c r="O4" s="2">
        <f>('FL Characterization'!O$2-'FL Characterization'!O$3)*VLOOKUP($A4,'FL Ratio'!$A$2:$B$21,2,FALSE)</f>
        <v>10.534476718336196</v>
      </c>
      <c r="P4" s="2">
        <f>('FL Characterization'!P$2-'FL Characterization'!P$3)*VLOOKUP($A4,'FL Ratio'!$A$2:$B$21,2,FALSE)</f>
        <v>10.035393170160948</v>
      </c>
      <c r="Q4" s="2">
        <f>('FL Characterization'!Q$2-'FL Characterization'!Q$3)*VLOOKUP($A4,'FL Ratio'!$A$2:$B$21,2,FALSE)</f>
        <v>9.1989333917605176</v>
      </c>
      <c r="R4" s="2">
        <f>('FL Characterization'!R$2-'FL Characterization'!R$3)*VLOOKUP($A4,'FL Ratio'!$A$2:$B$21,2,FALSE)</f>
        <v>8.2673493897844939</v>
      </c>
      <c r="S4" s="2">
        <f>('FL Characterization'!S$2-'FL Characterization'!S$3)*VLOOKUP($A4,'FL Ratio'!$A$2:$B$21,2,FALSE)</f>
        <v>7.9707765465701215</v>
      </c>
      <c r="T4" s="2">
        <f>('FL Characterization'!T$2-'FL Characterization'!T$3)*VLOOKUP($A4,'FL Ratio'!$A$2:$B$21,2,FALSE)</f>
        <v>5.0103971623213228</v>
      </c>
      <c r="U4" s="2">
        <f>('FL Characterization'!U$2-'FL Characterization'!U$3)*VLOOKUP($A4,'FL Ratio'!$A$2:$B$21,2,FALSE)</f>
        <v>5.3581625180608494</v>
      </c>
      <c r="V4" s="2">
        <f>('FL Characterization'!V$2-'FL Characterization'!V$3)*VLOOKUP($A4,'FL Ratio'!$A$2:$B$21,2,FALSE)</f>
        <v>5.8581922877048758</v>
      </c>
      <c r="W4" s="2">
        <f>('FL Characterization'!W$2-'FL Characterization'!W$3)*VLOOKUP($A4,'FL Ratio'!$A$2:$B$21,2,FALSE)</f>
        <v>5.9979820267352739</v>
      </c>
      <c r="X4" s="2">
        <f>('FL Characterization'!X$2-'FL Characterization'!X$3)*VLOOKUP($A4,'FL Ratio'!$A$2:$B$21,2,FALSE)</f>
        <v>6.2554894407386374</v>
      </c>
      <c r="Y4" s="2">
        <f>('FL Characterization'!Y$2-'FL Characterization'!Y$3)*VLOOKUP($A4,'FL Ratio'!$A$2:$B$21,2,FALSE)</f>
        <v>6.9049063385963914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7BEDA-3CED-4A36-B8B5-3C997C5803E9}">
  <dimension ref="A1:Y10"/>
  <sheetViews>
    <sheetView workbookViewId="0">
      <selection activeCell="B5" sqref="B5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Spring'!B$5</f>
        <v>11.615816940987557</v>
      </c>
      <c r="C5" s="9">
        <f>VLOOKUP($A5,'RES installed'!$A$2:$C$7,3,FALSE)*'[1]Profiles, RES, Spring'!C$5</f>
        <v>10.784825371336813</v>
      </c>
      <c r="D5" s="9">
        <f>VLOOKUP($A5,'RES installed'!$A$2:$C$7,3,FALSE)*'[1]Profiles, RES, Spring'!D$5</f>
        <v>10.839020473705339</v>
      </c>
      <c r="E5" s="9">
        <f>VLOOKUP($A5,'RES installed'!$A$2:$C$7,3,FALSE)*'[1]Profiles, RES, Spring'!E$5</f>
        <v>10.405459654757125</v>
      </c>
      <c r="F5" s="9">
        <f>VLOOKUP($A5,'RES installed'!$A$2:$C$7,3,FALSE)*'[1]Profiles, RES, Spring'!F$5</f>
        <v>10.306101967081492</v>
      </c>
      <c r="G5" s="9">
        <f>VLOOKUP($A5,'RES installed'!$A$2:$C$7,3,FALSE)*'[1]Profiles, RES, Spring'!G$5</f>
        <v>10.486752308309915</v>
      </c>
      <c r="H5" s="9">
        <f>VLOOKUP($A5,'RES installed'!$A$2:$C$7,3,FALSE)*'[1]Profiles, RES, Spring'!H$5</f>
        <v>9.4118827780008036</v>
      </c>
      <c r="I5" s="9">
        <f>VLOOKUP($A5,'RES installed'!$A$2:$C$7,3,FALSE)*'[1]Profiles, RES, Spring'!I$5</f>
        <v>7.5511842633480528</v>
      </c>
      <c r="J5" s="9">
        <f>VLOOKUP($A5,'RES installed'!$A$2:$C$7,3,FALSE)*'[1]Profiles, RES, Spring'!J$5</f>
        <v>5.9524287434765153</v>
      </c>
      <c r="K5" s="9">
        <f>VLOOKUP($A5,'RES installed'!$A$2:$C$7,3,FALSE)*'[1]Profiles, RES, Spring'!K$5</f>
        <v>4.4981934965877164</v>
      </c>
      <c r="L5" s="9">
        <f>VLOOKUP($A5,'RES installed'!$A$2:$C$7,3,FALSE)*'[1]Profiles, RES, Spring'!L$5</f>
        <v>4.2723805700521877</v>
      </c>
      <c r="M5" s="9">
        <f>VLOOKUP($A5,'RES installed'!$A$2:$C$7,3,FALSE)*'[1]Profiles, RES, Spring'!M$5</f>
        <v>5.2027298273785627</v>
      </c>
      <c r="N5" s="9">
        <f>VLOOKUP($A5,'RES installed'!$A$2:$C$7,3,FALSE)*'[1]Profiles, RES, Spring'!N$5</f>
        <v>6.8737454837414687</v>
      </c>
      <c r="O5" s="9">
        <f>VLOOKUP($A5,'RES installed'!$A$2:$C$7,3,FALSE)*'[1]Profiles, RES, Spring'!O$5</f>
        <v>9.5022079486150144</v>
      </c>
      <c r="P5" s="9">
        <f>VLOOKUP($A5,'RES installed'!$A$2:$C$7,3,FALSE)*'[1]Profiles, RES, Spring'!P$5</f>
        <v>12.401645925331193</v>
      </c>
      <c r="Q5" s="9">
        <f>VLOOKUP($A5,'RES installed'!$A$2:$C$7,3,FALSE)*'[1]Profiles, RES, Spring'!Q$5</f>
        <v>15.472701726214373</v>
      </c>
      <c r="R5" s="9">
        <f>VLOOKUP($A5,'RES installed'!$A$2:$C$7,3,FALSE)*'[1]Profiles, RES, Spring'!R$5</f>
        <v>19.26635889201124</v>
      </c>
      <c r="S5" s="9">
        <f>VLOOKUP($A5,'RES installed'!$A$2:$C$7,3,FALSE)*'[1]Profiles, RES, Spring'!S$5</f>
        <v>21.389000401445202</v>
      </c>
      <c r="T5" s="9">
        <f>VLOOKUP($A5,'RES installed'!$A$2:$C$7,3,FALSE)*'[1]Profiles, RES, Spring'!T$5</f>
        <v>21.461260537936575</v>
      </c>
      <c r="U5" s="9">
        <f>VLOOKUP($A5,'RES installed'!$A$2:$C$7,3,FALSE)*'[1]Profiles, RES, Spring'!U$5</f>
        <v>20.901244480128462</v>
      </c>
      <c r="V5" s="9">
        <f>VLOOKUP($A5,'RES installed'!$A$2:$C$7,3,FALSE)*'[1]Profiles, RES, Spring'!V$5</f>
        <v>18.950220794861501</v>
      </c>
      <c r="W5" s="9">
        <f>VLOOKUP($A5,'RES installed'!$A$2:$C$7,3,FALSE)*'[1]Profiles, RES, Spring'!W$5</f>
        <v>17.514050582095543</v>
      </c>
      <c r="X5" s="9">
        <f>VLOOKUP($A5,'RES installed'!$A$2:$C$7,3,FALSE)*'[1]Profiles, RES, Spring'!X$5</f>
        <v>17.48695303091128</v>
      </c>
      <c r="Y5" s="9">
        <f>VLOOKUP($A5,'RES installed'!$A$2:$C$7,3,FALSE)*'[1]Profiles, RES, Spring'!Y$5</f>
        <v>16.583701324769169</v>
      </c>
    </row>
    <row r="6" spans="1:25" x14ac:dyDescent="0.3">
      <c r="A6" s="8">
        <v>5</v>
      </c>
      <c r="B6" s="9">
        <f>VLOOKUP($A6,'RES installed'!$A$2:$C$7,3,FALSE)*'[1]Profiles, RES, Spring'!B$5</f>
        <v>15.487755921316742</v>
      </c>
      <c r="C6" s="9">
        <f>VLOOKUP($A6,'RES installed'!$A$2:$C$7,3,FALSE)*'[1]Profiles, RES, Spring'!C$5</f>
        <v>14.379767161782416</v>
      </c>
      <c r="D6" s="9">
        <f>VLOOKUP($A6,'RES installed'!$A$2:$C$7,3,FALSE)*'[1]Profiles, RES, Spring'!D$5</f>
        <v>14.452027298273785</v>
      </c>
      <c r="E6" s="9">
        <f>VLOOKUP($A6,'RES installed'!$A$2:$C$7,3,FALSE)*'[1]Profiles, RES, Spring'!E$5</f>
        <v>13.873946206342834</v>
      </c>
      <c r="F6" s="9">
        <f>VLOOKUP($A6,'RES installed'!$A$2:$C$7,3,FALSE)*'[1]Profiles, RES, Spring'!F$5</f>
        <v>13.741469289441991</v>
      </c>
      <c r="G6" s="9">
        <f>VLOOKUP($A6,'RES installed'!$A$2:$C$7,3,FALSE)*'[1]Profiles, RES, Spring'!G$5</f>
        <v>13.982336411079887</v>
      </c>
      <c r="H6" s="9">
        <f>VLOOKUP($A6,'RES installed'!$A$2:$C$7,3,FALSE)*'[1]Profiles, RES, Spring'!H$5</f>
        <v>12.549177037334404</v>
      </c>
      <c r="I6" s="9">
        <f>VLOOKUP($A6,'RES installed'!$A$2:$C$7,3,FALSE)*'[1]Profiles, RES, Spring'!I$5</f>
        <v>10.06824568446407</v>
      </c>
      <c r="J6" s="9">
        <f>VLOOKUP($A6,'RES installed'!$A$2:$C$7,3,FALSE)*'[1]Profiles, RES, Spring'!J$5</f>
        <v>7.9365716579686874</v>
      </c>
      <c r="K6" s="9">
        <f>VLOOKUP($A6,'RES installed'!$A$2:$C$7,3,FALSE)*'[1]Profiles, RES, Spring'!K$5</f>
        <v>5.9975913287836216</v>
      </c>
      <c r="L6" s="9">
        <f>VLOOKUP($A6,'RES installed'!$A$2:$C$7,3,FALSE)*'[1]Profiles, RES, Spring'!L$5</f>
        <v>5.6965074267362503</v>
      </c>
      <c r="M6" s="9">
        <f>VLOOKUP($A6,'RES installed'!$A$2:$C$7,3,FALSE)*'[1]Profiles, RES, Spring'!M$5</f>
        <v>6.9369731031714172</v>
      </c>
      <c r="N6" s="9">
        <f>VLOOKUP($A6,'RES installed'!$A$2:$C$7,3,FALSE)*'[1]Profiles, RES, Spring'!N$5</f>
        <v>9.1649939783219594</v>
      </c>
      <c r="O6" s="9">
        <f>VLOOKUP($A6,'RES installed'!$A$2:$C$7,3,FALSE)*'[1]Profiles, RES, Spring'!O$5</f>
        <v>12.669610598153353</v>
      </c>
      <c r="P6" s="9">
        <f>VLOOKUP($A6,'RES installed'!$A$2:$C$7,3,FALSE)*'[1]Profiles, RES, Spring'!P$5</f>
        <v>16.53552790044159</v>
      </c>
      <c r="Q6" s="9">
        <f>VLOOKUP($A6,'RES installed'!$A$2:$C$7,3,FALSE)*'[1]Profiles, RES, Spring'!Q$5</f>
        <v>20.630268968285829</v>
      </c>
      <c r="R6" s="9">
        <f>VLOOKUP($A6,'RES installed'!$A$2:$C$7,3,FALSE)*'[1]Profiles, RES, Spring'!R$5</f>
        <v>25.688478522681656</v>
      </c>
      <c r="S6" s="9">
        <f>VLOOKUP($A6,'RES installed'!$A$2:$C$7,3,FALSE)*'[1]Profiles, RES, Spring'!S$5</f>
        <v>28.518667201926938</v>
      </c>
      <c r="T6" s="9">
        <f>VLOOKUP($A6,'RES installed'!$A$2:$C$7,3,FALSE)*'[1]Profiles, RES, Spring'!T$5</f>
        <v>28.615014050582097</v>
      </c>
      <c r="U6" s="9">
        <f>VLOOKUP($A6,'RES installed'!$A$2:$C$7,3,FALSE)*'[1]Profiles, RES, Spring'!U$5</f>
        <v>27.868325973504618</v>
      </c>
      <c r="V6" s="9">
        <f>VLOOKUP($A6,'RES installed'!$A$2:$C$7,3,FALSE)*'[1]Profiles, RES, Spring'!V$5</f>
        <v>25.266961059815333</v>
      </c>
      <c r="W6" s="9">
        <f>VLOOKUP($A6,'RES installed'!$A$2:$C$7,3,FALSE)*'[1]Profiles, RES, Spring'!W$5</f>
        <v>23.352067442794059</v>
      </c>
      <c r="X6" s="9">
        <f>VLOOKUP($A6,'RES installed'!$A$2:$C$7,3,FALSE)*'[1]Profiles, RES, Spring'!X$5</f>
        <v>23.315937374548376</v>
      </c>
      <c r="Y6" s="9">
        <f>VLOOKUP($A6,'RES installed'!$A$2:$C$7,3,FALSE)*'[1]Profiles, RES, Spring'!Y$5</f>
        <v>22.111601766358891</v>
      </c>
    </row>
    <row r="7" spans="1:25" x14ac:dyDescent="0.3">
      <c r="A7" s="8">
        <v>6</v>
      </c>
      <c r="B7" s="9">
        <f>VLOOKUP($A7,'RES installed'!$A$2:$C$7,3,FALSE)*'[1]Profiles, RES, Spring'!B$5</f>
        <v>11.615816940987557</v>
      </c>
      <c r="C7" s="9">
        <f>VLOOKUP($A7,'RES installed'!$A$2:$C$7,3,FALSE)*'[1]Profiles, RES, Spring'!C$5</f>
        <v>10.784825371336813</v>
      </c>
      <c r="D7" s="9">
        <f>VLOOKUP($A7,'RES installed'!$A$2:$C$7,3,FALSE)*'[1]Profiles, RES, Spring'!D$5</f>
        <v>10.839020473705339</v>
      </c>
      <c r="E7" s="9">
        <f>VLOOKUP($A7,'RES installed'!$A$2:$C$7,3,FALSE)*'[1]Profiles, RES, Spring'!E$5</f>
        <v>10.405459654757125</v>
      </c>
      <c r="F7" s="9">
        <f>VLOOKUP($A7,'RES installed'!$A$2:$C$7,3,FALSE)*'[1]Profiles, RES, Spring'!F$5</f>
        <v>10.306101967081492</v>
      </c>
      <c r="G7" s="9">
        <f>VLOOKUP($A7,'RES installed'!$A$2:$C$7,3,FALSE)*'[1]Profiles, RES, Spring'!G$5</f>
        <v>10.486752308309915</v>
      </c>
      <c r="H7" s="9">
        <f>VLOOKUP($A7,'RES installed'!$A$2:$C$7,3,FALSE)*'[1]Profiles, RES, Spring'!H$5</f>
        <v>9.4118827780008036</v>
      </c>
      <c r="I7" s="9">
        <f>VLOOKUP($A7,'RES installed'!$A$2:$C$7,3,FALSE)*'[1]Profiles, RES, Spring'!I$5</f>
        <v>7.5511842633480528</v>
      </c>
      <c r="J7" s="9">
        <f>VLOOKUP($A7,'RES installed'!$A$2:$C$7,3,FALSE)*'[1]Profiles, RES, Spring'!J$5</f>
        <v>5.9524287434765153</v>
      </c>
      <c r="K7" s="9">
        <f>VLOOKUP($A7,'RES installed'!$A$2:$C$7,3,FALSE)*'[1]Profiles, RES, Spring'!K$5</f>
        <v>4.4981934965877164</v>
      </c>
      <c r="L7" s="9">
        <f>VLOOKUP($A7,'RES installed'!$A$2:$C$7,3,FALSE)*'[1]Profiles, RES, Spring'!L$5</f>
        <v>4.2723805700521877</v>
      </c>
      <c r="M7" s="9">
        <f>VLOOKUP($A7,'RES installed'!$A$2:$C$7,3,FALSE)*'[1]Profiles, RES, Spring'!M$5</f>
        <v>5.2027298273785627</v>
      </c>
      <c r="N7" s="9">
        <f>VLOOKUP($A7,'RES installed'!$A$2:$C$7,3,FALSE)*'[1]Profiles, RES, Spring'!N$5</f>
        <v>6.8737454837414687</v>
      </c>
      <c r="O7" s="9">
        <f>VLOOKUP($A7,'RES installed'!$A$2:$C$7,3,FALSE)*'[1]Profiles, RES, Spring'!O$5</f>
        <v>9.5022079486150144</v>
      </c>
      <c r="P7" s="9">
        <f>VLOOKUP($A7,'RES installed'!$A$2:$C$7,3,FALSE)*'[1]Profiles, RES, Spring'!P$5</f>
        <v>12.401645925331193</v>
      </c>
      <c r="Q7" s="9">
        <f>VLOOKUP($A7,'RES installed'!$A$2:$C$7,3,FALSE)*'[1]Profiles, RES, Spring'!Q$5</f>
        <v>15.472701726214373</v>
      </c>
      <c r="R7" s="9">
        <f>VLOOKUP($A7,'RES installed'!$A$2:$C$7,3,FALSE)*'[1]Profiles, RES, Spring'!R$5</f>
        <v>19.26635889201124</v>
      </c>
      <c r="S7" s="9">
        <f>VLOOKUP($A7,'RES installed'!$A$2:$C$7,3,FALSE)*'[1]Profiles, RES, Spring'!S$5</f>
        <v>21.389000401445202</v>
      </c>
      <c r="T7" s="9">
        <f>VLOOKUP($A7,'RES installed'!$A$2:$C$7,3,FALSE)*'[1]Profiles, RES, Spring'!T$5</f>
        <v>21.461260537936575</v>
      </c>
      <c r="U7" s="9">
        <f>VLOOKUP($A7,'RES installed'!$A$2:$C$7,3,FALSE)*'[1]Profiles, RES, Spring'!U$5</f>
        <v>20.901244480128462</v>
      </c>
      <c r="V7" s="9">
        <f>VLOOKUP($A7,'RES installed'!$A$2:$C$7,3,FALSE)*'[1]Profiles, RES, Spring'!V$5</f>
        <v>18.950220794861501</v>
      </c>
      <c r="W7" s="9">
        <f>VLOOKUP($A7,'RES installed'!$A$2:$C$7,3,FALSE)*'[1]Profiles, RES, Spring'!W$5</f>
        <v>17.514050582095543</v>
      </c>
      <c r="X7" s="9">
        <f>VLOOKUP($A7,'RES installed'!$A$2:$C$7,3,FALSE)*'[1]Profiles, RES, Spring'!X$5</f>
        <v>17.48695303091128</v>
      </c>
      <c r="Y7" s="9">
        <f>VLOOKUP($A7,'RES installed'!$A$2:$C$7,3,FALSE)*'[1]Profiles, RES, Spring'!Y$5</f>
        <v>16.583701324769169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0.71076573161485967</v>
      </c>
      <c r="H8" s="6">
        <f>VLOOKUP($A8,'RES installed'!$A$2:$C$7,3,FALSE)*'[1]Profiles, RES, Spring'!H$2</f>
        <v>7.136087945413192</v>
      </c>
      <c r="I8" s="6">
        <f>VLOOKUP($A8,'RES installed'!$A$2:$C$7,3,FALSE)*'[1]Profiles, RES, Spring'!I$2</f>
        <v>19.929871114480665</v>
      </c>
      <c r="J8" s="6">
        <f>VLOOKUP($A8,'RES installed'!$A$2:$C$7,3,FALSE)*'[1]Profiles, RES, Spring'!J$2</f>
        <v>30.790371493555725</v>
      </c>
      <c r="K8" s="6">
        <f>VLOOKUP($A8,'RES installed'!$A$2:$C$7,3,FALSE)*'[1]Profiles, RES, Spring'!K$2</f>
        <v>36.021607278241092</v>
      </c>
      <c r="L8" s="6">
        <f>VLOOKUP($A8,'RES installed'!$A$2:$C$7,3,FALSE)*'[1]Profiles, RES, Spring'!L$2</f>
        <v>41.167551175132679</v>
      </c>
      <c r="M8" s="6">
        <f>VLOOKUP($A8,'RES installed'!$A$2:$C$7,3,FALSE)*'[1]Profiles, RES, Spring'!M$2</f>
        <v>43.385140257771042</v>
      </c>
      <c r="N8" s="6">
        <f>VLOOKUP($A8,'RES installed'!$A$2:$C$7,3,FALSE)*'[1]Profiles, RES, Spring'!N$2</f>
        <v>46.796815769522368</v>
      </c>
      <c r="O8" s="6">
        <f>VLOOKUP($A8,'RES installed'!$A$2:$C$7,3,FALSE)*'[1]Profiles, RES, Spring'!O$2</f>
        <v>47.052691432903721</v>
      </c>
      <c r="P8" s="6">
        <f>VLOOKUP($A8,'RES installed'!$A$2:$C$7,3,FALSE)*'[1]Profiles, RES, Spring'!P$2</f>
        <v>47.30856709628506</v>
      </c>
      <c r="Q8" s="6">
        <f>VLOOKUP($A8,'RES installed'!$A$2:$C$7,3,FALSE)*'[1]Profiles, RES, Spring'!Q$2</f>
        <v>43.271417740712657</v>
      </c>
      <c r="R8" s="6">
        <f>VLOOKUP($A8,'RES installed'!$A$2:$C$7,3,FALSE)*'[1]Profiles, RES, Spring'!R$2</f>
        <v>34.429492039423806</v>
      </c>
      <c r="S8" s="6">
        <f>VLOOKUP($A8,'RES installed'!$A$2:$C$7,3,FALSE)*'[1]Profiles, RES, Spring'!S$2</f>
        <v>22.687642153146324</v>
      </c>
      <c r="T8" s="6">
        <f>VLOOKUP($A8,'RES installed'!$A$2:$C$7,3,FALSE)*'[1]Profiles, RES, Spring'!T$2</f>
        <v>8.3586050037907516</v>
      </c>
      <c r="U8" s="6">
        <f>VLOOKUP($A8,'RES installed'!$A$2:$C$7,3,FALSE)*'[1]Profiles, RES, Spring'!U$2</f>
        <v>0.73919636087945406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  <row r="9" spans="1:25" x14ac:dyDescent="0.3">
      <c r="A9" s="5">
        <v>8</v>
      </c>
      <c r="B9" s="6">
        <f>VLOOKUP($A9,'RES installed'!$A$2:$C$7,3,FALSE)*'[1]Profiles, RES, Spring'!B$2</f>
        <v>0</v>
      </c>
      <c r="C9" s="6">
        <f>VLOOKUP($A9,'RES installed'!$A$2:$C$7,3,FALSE)*'[1]Profiles, RES, Spring'!C$2</f>
        <v>0</v>
      </c>
      <c r="D9" s="6">
        <f>VLOOKUP($A9,'RES installed'!$A$2:$C$7,3,FALSE)*'[1]Profiles, RES, Spring'!D$2</f>
        <v>0</v>
      </c>
      <c r="E9" s="6">
        <f>VLOOKUP($A9,'RES installed'!$A$2:$C$7,3,FALSE)*'[1]Profiles, RES, Spring'!E$2</f>
        <v>0</v>
      </c>
      <c r="F9" s="6">
        <f>VLOOKUP($A9,'RES installed'!$A$2:$C$7,3,FALSE)*'[1]Profiles, RES, Spring'!F$2</f>
        <v>0</v>
      </c>
      <c r="G9" s="6">
        <f>VLOOKUP($A9,'RES installed'!$A$2:$C$7,3,FALSE)*'[1]Profiles, RES, Spring'!G$2</f>
        <v>0.47384382107657314</v>
      </c>
      <c r="H9" s="6">
        <f>VLOOKUP($A9,'RES installed'!$A$2:$C$7,3,FALSE)*'[1]Profiles, RES, Spring'!H$2</f>
        <v>4.7573919636087947</v>
      </c>
      <c r="I9" s="6">
        <f>VLOOKUP($A9,'RES installed'!$A$2:$C$7,3,FALSE)*'[1]Profiles, RES, Spring'!I$2</f>
        <v>13.286580742987111</v>
      </c>
      <c r="J9" s="6">
        <f>VLOOKUP($A9,'RES installed'!$A$2:$C$7,3,FALSE)*'[1]Profiles, RES, Spring'!J$2</f>
        <v>20.526914329037147</v>
      </c>
      <c r="K9" s="6">
        <f>VLOOKUP($A9,'RES installed'!$A$2:$C$7,3,FALSE)*'[1]Profiles, RES, Spring'!K$2</f>
        <v>24.014404852160727</v>
      </c>
      <c r="L9" s="6">
        <f>VLOOKUP($A9,'RES installed'!$A$2:$C$7,3,FALSE)*'[1]Profiles, RES, Spring'!L$2</f>
        <v>27.445034116755117</v>
      </c>
      <c r="M9" s="6">
        <f>VLOOKUP($A9,'RES installed'!$A$2:$C$7,3,FALSE)*'[1]Profiles, RES, Spring'!M$2</f>
        <v>28.923426838514025</v>
      </c>
      <c r="N9" s="6">
        <f>VLOOKUP($A9,'RES installed'!$A$2:$C$7,3,FALSE)*'[1]Profiles, RES, Spring'!N$2</f>
        <v>31.197877179681576</v>
      </c>
      <c r="O9" s="6">
        <f>VLOOKUP($A9,'RES installed'!$A$2:$C$7,3,FALSE)*'[1]Profiles, RES, Spring'!O$2</f>
        <v>31.368460955269146</v>
      </c>
      <c r="P9" s="6">
        <f>VLOOKUP($A9,'RES installed'!$A$2:$C$7,3,FALSE)*'[1]Profiles, RES, Spring'!P$2</f>
        <v>31.539044730856709</v>
      </c>
      <c r="Q9" s="6">
        <f>VLOOKUP($A9,'RES installed'!$A$2:$C$7,3,FALSE)*'[1]Profiles, RES, Spring'!Q$2</f>
        <v>28.847611827141773</v>
      </c>
      <c r="R9" s="6">
        <f>VLOOKUP($A9,'RES installed'!$A$2:$C$7,3,FALSE)*'[1]Profiles, RES, Spring'!R$2</f>
        <v>22.952994692949204</v>
      </c>
      <c r="S9" s="6">
        <f>VLOOKUP($A9,'RES installed'!$A$2:$C$7,3,FALSE)*'[1]Profiles, RES, Spring'!S$2</f>
        <v>15.125094768764216</v>
      </c>
      <c r="T9" s="6">
        <f>VLOOKUP($A9,'RES installed'!$A$2:$C$7,3,FALSE)*'[1]Profiles, RES, Spring'!T$2</f>
        <v>5.5724033358605007</v>
      </c>
      <c r="U9" s="6">
        <f>VLOOKUP($A9,'RES installed'!$A$2:$C$7,3,FALSE)*'[1]Profiles, RES, Spring'!U$2</f>
        <v>0.49279757391963608</v>
      </c>
      <c r="V9" s="6">
        <f>VLOOKUP($A9,'RES installed'!$A$2:$C$7,3,FALSE)*'[1]Profiles, RES, Spring'!V$2</f>
        <v>0</v>
      </c>
      <c r="W9" s="6">
        <f>VLOOKUP($A9,'RES installed'!$A$2:$C$7,3,FALSE)*'[1]Profiles, RES, Spring'!W$2</f>
        <v>0</v>
      </c>
      <c r="X9" s="6">
        <f>VLOOKUP($A9,'RES installed'!$A$2:$C$7,3,FALSE)*'[1]Profiles, RES, Spring'!X$2</f>
        <v>0</v>
      </c>
      <c r="Y9" s="6">
        <f>VLOOKUP($A9,'RES installed'!$A$2:$C$7,3,FALSE)*'[1]Profiles, RES, Spring'!Y$2</f>
        <v>0</v>
      </c>
    </row>
    <row r="10" spans="1:25" x14ac:dyDescent="0.3">
      <c r="A10" s="5">
        <v>9</v>
      </c>
      <c r="B10" s="6">
        <f>VLOOKUP($A10,'RES installed'!$A$2:$C$7,3,FALSE)*'[1]Profiles, RES, Spring'!B$2</f>
        <v>0</v>
      </c>
      <c r="C10" s="6">
        <f>VLOOKUP($A10,'RES installed'!$A$2:$C$7,3,FALSE)*'[1]Profiles, RES, Spring'!C$2</f>
        <v>0</v>
      </c>
      <c r="D10" s="6">
        <f>VLOOKUP($A10,'RES installed'!$A$2:$C$7,3,FALSE)*'[1]Profiles, RES, Spring'!D$2</f>
        <v>0</v>
      </c>
      <c r="E10" s="6">
        <f>VLOOKUP($A10,'RES installed'!$A$2:$C$7,3,FALSE)*'[1]Profiles, RES, Spring'!E$2</f>
        <v>0</v>
      </c>
      <c r="F10" s="6">
        <f>VLOOKUP($A10,'RES installed'!$A$2:$C$7,3,FALSE)*'[1]Profiles, RES, Spring'!F$2</f>
        <v>0</v>
      </c>
      <c r="G10" s="6">
        <f>VLOOKUP($A10,'RES installed'!$A$2:$C$7,3,FALSE)*'[1]Profiles, RES, Spring'!G$2</f>
        <v>0.56861258529188774</v>
      </c>
      <c r="H10" s="6">
        <f>VLOOKUP($A10,'RES installed'!$A$2:$C$7,3,FALSE)*'[1]Profiles, RES, Spring'!H$2</f>
        <v>5.7088703563305536</v>
      </c>
      <c r="I10" s="6">
        <f>VLOOKUP($A10,'RES installed'!$A$2:$C$7,3,FALSE)*'[1]Profiles, RES, Spring'!I$2</f>
        <v>15.943896891584533</v>
      </c>
      <c r="J10" s="6">
        <f>VLOOKUP($A10,'RES installed'!$A$2:$C$7,3,FALSE)*'[1]Profiles, RES, Spring'!J$2</f>
        <v>24.632297194844579</v>
      </c>
      <c r="K10" s="6">
        <f>VLOOKUP($A10,'RES installed'!$A$2:$C$7,3,FALSE)*'[1]Profiles, RES, Spring'!K$2</f>
        <v>28.817285822592876</v>
      </c>
      <c r="L10" s="6">
        <f>VLOOKUP($A10,'RES installed'!$A$2:$C$7,3,FALSE)*'[1]Profiles, RES, Spring'!L$2</f>
        <v>32.934040940106144</v>
      </c>
      <c r="M10" s="6">
        <f>VLOOKUP($A10,'RES installed'!$A$2:$C$7,3,FALSE)*'[1]Profiles, RES, Spring'!M$2</f>
        <v>34.708112206216832</v>
      </c>
      <c r="N10" s="6">
        <f>VLOOKUP($A10,'RES installed'!$A$2:$C$7,3,FALSE)*'[1]Profiles, RES, Spring'!N$2</f>
        <v>37.437452615617893</v>
      </c>
      <c r="O10" s="6">
        <f>VLOOKUP($A10,'RES installed'!$A$2:$C$7,3,FALSE)*'[1]Profiles, RES, Spring'!O$2</f>
        <v>37.642153146322975</v>
      </c>
      <c r="P10" s="6">
        <f>VLOOKUP($A10,'RES installed'!$A$2:$C$7,3,FALSE)*'[1]Profiles, RES, Spring'!P$2</f>
        <v>37.846853677028051</v>
      </c>
      <c r="Q10" s="6">
        <f>VLOOKUP($A10,'RES installed'!$A$2:$C$7,3,FALSE)*'[1]Profiles, RES, Spring'!Q$2</f>
        <v>34.617134192570127</v>
      </c>
      <c r="R10" s="6">
        <f>VLOOKUP($A10,'RES installed'!$A$2:$C$7,3,FALSE)*'[1]Profiles, RES, Spring'!R$2</f>
        <v>27.543593631539046</v>
      </c>
      <c r="S10" s="6">
        <f>VLOOKUP($A10,'RES installed'!$A$2:$C$7,3,FALSE)*'[1]Profiles, RES, Spring'!S$2</f>
        <v>18.150113722517059</v>
      </c>
      <c r="T10" s="6">
        <f>VLOOKUP($A10,'RES installed'!$A$2:$C$7,3,FALSE)*'[1]Profiles, RES, Spring'!T$2</f>
        <v>6.6868840030326009</v>
      </c>
      <c r="U10" s="6">
        <f>VLOOKUP($A10,'RES installed'!$A$2:$C$7,3,FALSE)*'[1]Profiles, RES, Spring'!U$2</f>
        <v>0.59135708870356329</v>
      </c>
      <c r="V10" s="6">
        <f>VLOOKUP($A10,'RES installed'!$A$2:$C$7,3,FALSE)*'[1]Profiles, RES, Spring'!V$2</f>
        <v>0</v>
      </c>
      <c r="W10" s="6">
        <f>VLOOKUP($A10,'RES installed'!$A$2:$C$7,3,FALSE)*'[1]Profiles, RES, Spring'!W$2</f>
        <v>0</v>
      </c>
      <c r="X10" s="6">
        <f>VLOOKUP($A10,'RES installed'!$A$2:$C$7,3,FALSE)*'[1]Profiles, RES, Spring'!X$2</f>
        <v>0</v>
      </c>
      <c r="Y10" s="6">
        <f>VLOOKUP($A10,'RES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88DCCF-8843-49E7-A2BE-F57333158CF0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Spring'!B$6</f>
        <v>15.228823765556003</v>
      </c>
      <c r="C5" s="9">
        <f>VLOOKUP($A5,'RES installed'!$A$2:$C$7,3,FALSE)*'[1]Profiles, RES, Spring'!C$6</f>
        <v>13.819751103974308</v>
      </c>
      <c r="D5" s="9">
        <f>VLOOKUP($A5,'RES installed'!$A$2:$C$7,3,FALSE)*'[1]Profiles, RES, Spring'!D$6</f>
        <v>12.058410276997192</v>
      </c>
      <c r="E5" s="9">
        <f>VLOOKUP($A5,'RES installed'!$A$2:$C$7,3,FALSE)*'[1]Profiles, RES, Spring'!E$6</f>
        <v>10.857085507828181</v>
      </c>
      <c r="F5" s="9">
        <f>VLOOKUP($A5,'RES installed'!$A$2:$C$7,3,FALSE)*'[1]Profiles, RES, Spring'!F$6</f>
        <v>10.613207547169811</v>
      </c>
      <c r="G5" s="9">
        <f>VLOOKUP($A5,'RES installed'!$A$2:$C$7,3,FALSE)*'[1]Profiles, RES, Spring'!G$6</f>
        <v>10.730630268968287</v>
      </c>
      <c r="H5" s="9">
        <f>VLOOKUP($A5,'RES installed'!$A$2:$C$7,3,FALSE)*'[1]Profiles, RES, Spring'!H$6</f>
        <v>9.1589723002810111</v>
      </c>
      <c r="I5" s="9">
        <f>VLOOKUP($A5,'RES installed'!$A$2:$C$7,3,FALSE)*'[1]Profiles, RES, Spring'!I$6</f>
        <v>6.8918105178643119</v>
      </c>
      <c r="J5" s="9">
        <f>VLOOKUP($A5,'RES installed'!$A$2:$C$7,3,FALSE)*'[1]Profiles, RES, Spring'!J$6</f>
        <v>6.2775993576876754</v>
      </c>
      <c r="K5" s="9">
        <f>VLOOKUP($A5,'RES installed'!$A$2:$C$7,3,FALSE)*'[1]Profiles, RES, Spring'!K$6</f>
        <v>6.5395423524688878</v>
      </c>
      <c r="L5" s="9">
        <f>VLOOKUP($A5,'RES installed'!$A$2:$C$7,3,FALSE)*'[1]Profiles, RES, Spring'!L$6</f>
        <v>7.3253713368125251</v>
      </c>
      <c r="M5" s="9">
        <f>VLOOKUP($A5,'RES installed'!$A$2:$C$7,3,FALSE)*'[1]Profiles, RES, Spring'!M$6</f>
        <v>8.4002408671216386</v>
      </c>
      <c r="N5" s="9">
        <f>VLOOKUP($A5,'RES installed'!$A$2:$C$7,3,FALSE)*'[1]Profiles, RES, Spring'!N$6</f>
        <v>10.92031312725813</v>
      </c>
      <c r="O5" s="9">
        <f>VLOOKUP($A5,'RES installed'!$A$2:$C$7,3,FALSE)*'[1]Profiles, RES, Spring'!O$6</f>
        <v>13.557808109193095</v>
      </c>
      <c r="P5" s="9">
        <f>VLOOKUP($A5,'RES installed'!$A$2:$C$7,3,FALSE)*'[1]Profiles, RES, Spring'!P$6</f>
        <v>15.400441589723002</v>
      </c>
      <c r="Q5" s="9">
        <f>VLOOKUP($A5,'RES installed'!$A$2:$C$7,3,FALSE)*'[1]Profiles, RES, Spring'!Q$6</f>
        <v>16.945002007226016</v>
      </c>
      <c r="R5" s="9">
        <f>VLOOKUP($A5,'RES installed'!$A$2:$C$7,3,FALSE)*'[1]Profiles, RES, Spring'!R$6</f>
        <v>18.570855078281813</v>
      </c>
      <c r="S5" s="9">
        <f>VLOOKUP($A5,'RES installed'!$A$2:$C$7,3,FALSE)*'[1]Profiles, RES, Spring'!S$6</f>
        <v>17.766961059815333</v>
      </c>
      <c r="T5" s="9">
        <f>VLOOKUP($A5,'RES installed'!$A$2:$C$7,3,FALSE)*'[1]Profiles, RES, Spring'!T$6</f>
        <v>15.716579686872743</v>
      </c>
      <c r="U5" s="9">
        <f>VLOOKUP($A5,'RES installed'!$A$2:$C$7,3,FALSE)*'[1]Profiles, RES, Spring'!U$6</f>
        <v>15.120433560818947</v>
      </c>
      <c r="V5" s="9">
        <f>VLOOKUP($A5,'RES installed'!$A$2:$C$7,3,FALSE)*'[1]Profiles, RES, Spring'!V$6</f>
        <v>14.063629064632678</v>
      </c>
      <c r="W5" s="9">
        <f>VLOOKUP($A5,'RES installed'!$A$2:$C$7,3,FALSE)*'[1]Profiles, RES, Spring'!W$6</f>
        <v>13.341027699718989</v>
      </c>
      <c r="X5" s="9">
        <f>VLOOKUP($A5,'RES installed'!$A$2:$C$7,3,FALSE)*'[1]Profiles, RES, Spring'!X$6</f>
        <v>12.094540345242873</v>
      </c>
      <c r="Y5" s="9">
        <f>VLOOKUP($A5,'RES installed'!$A$2:$C$7,3,FALSE)*'[1]Profiles, RES, Spring'!Y$6</f>
        <v>10.784825371336813</v>
      </c>
    </row>
    <row r="6" spans="1:25" x14ac:dyDescent="0.3">
      <c r="A6" s="8">
        <v>5</v>
      </c>
      <c r="B6" s="9">
        <f>VLOOKUP($A6,'RES installed'!$A$2:$C$7,3,FALSE)*'[1]Profiles, RES, Spring'!B$6</f>
        <v>20.305098354074669</v>
      </c>
      <c r="C6" s="9">
        <f>VLOOKUP($A6,'RES installed'!$A$2:$C$7,3,FALSE)*'[1]Profiles, RES, Spring'!C$6</f>
        <v>18.426334805299078</v>
      </c>
      <c r="D6" s="9">
        <f>VLOOKUP($A6,'RES installed'!$A$2:$C$7,3,FALSE)*'[1]Profiles, RES, Spring'!D$6</f>
        <v>16.077880369329588</v>
      </c>
      <c r="E6" s="9">
        <f>VLOOKUP($A6,'RES installed'!$A$2:$C$7,3,FALSE)*'[1]Profiles, RES, Spring'!E$6</f>
        <v>14.476114010437575</v>
      </c>
      <c r="F6" s="9">
        <f>VLOOKUP($A6,'RES installed'!$A$2:$C$7,3,FALSE)*'[1]Profiles, RES, Spring'!F$6</f>
        <v>14.150943396226415</v>
      </c>
      <c r="G6" s="9">
        <f>VLOOKUP($A6,'RES installed'!$A$2:$C$7,3,FALSE)*'[1]Profiles, RES, Spring'!G$6</f>
        <v>14.307507025291049</v>
      </c>
      <c r="H6" s="9">
        <f>VLOOKUP($A6,'RES installed'!$A$2:$C$7,3,FALSE)*'[1]Profiles, RES, Spring'!H$6</f>
        <v>12.211963067041349</v>
      </c>
      <c r="I6" s="9">
        <f>VLOOKUP($A6,'RES installed'!$A$2:$C$7,3,FALSE)*'[1]Profiles, RES, Spring'!I$6</f>
        <v>9.1890806904857492</v>
      </c>
      <c r="J6" s="9">
        <f>VLOOKUP($A6,'RES installed'!$A$2:$C$7,3,FALSE)*'[1]Profiles, RES, Spring'!J$6</f>
        <v>8.3701324769169005</v>
      </c>
      <c r="K6" s="9">
        <f>VLOOKUP($A6,'RES installed'!$A$2:$C$7,3,FALSE)*'[1]Profiles, RES, Spring'!K$6</f>
        <v>8.7193898032918504</v>
      </c>
      <c r="L6" s="9">
        <f>VLOOKUP($A6,'RES installed'!$A$2:$C$7,3,FALSE)*'[1]Profiles, RES, Spring'!L$6</f>
        <v>9.7671617824167001</v>
      </c>
      <c r="M6" s="9">
        <f>VLOOKUP($A6,'RES installed'!$A$2:$C$7,3,FALSE)*'[1]Profiles, RES, Spring'!M$6</f>
        <v>11.200321156162184</v>
      </c>
      <c r="N6" s="9">
        <f>VLOOKUP($A6,'RES installed'!$A$2:$C$7,3,FALSE)*'[1]Profiles, RES, Spring'!N$6</f>
        <v>14.560417503010839</v>
      </c>
      <c r="O6" s="9">
        <f>VLOOKUP($A6,'RES installed'!$A$2:$C$7,3,FALSE)*'[1]Profiles, RES, Spring'!O$6</f>
        <v>18.077077478924128</v>
      </c>
      <c r="P6" s="9">
        <f>VLOOKUP($A6,'RES installed'!$A$2:$C$7,3,FALSE)*'[1]Profiles, RES, Spring'!P$6</f>
        <v>20.53392211963067</v>
      </c>
      <c r="Q6" s="9">
        <f>VLOOKUP($A6,'RES installed'!$A$2:$C$7,3,FALSE)*'[1]Profiles, RES, Spring'!Q$6</f>
        <v>22.593336009634687</v>
      </c>
      <c r="R6" s="9">
        <f>VLOOKUP($A6,'RES installed'!$A$2:$C$7,3,FALSE)*'[1]Profiles, RES, Spring'!R$6</f>
        <v>24.761140104375752</v>
      </c>
      <c r="S6" s="9">
        <f>VLOOKUP($A6,'RES installed'!$A$2:$C$7,3,FALSE)*'[1]Profiles, RES, Spring'!S$6</f>
        <v>23.689281413087112</v>
      </c>
      <c r="T6" s="9">
        <f>VLOOKUP($A6,'RES installed'!$A$2:$C$7,3,FALSE)*'[1]Profiles, RES, Spring'!T$6</f>
        <v>20.955439582496989</v>
      </c>
      <c r="U6" s="9">
        <f>VLOOKUP($A6,'RES installed'!$A$2:$C$7,3,FALSE)*'[1]Profiles, RES, Spring'!U$6</f>
        <v>20.160578081091931</v>
      </c>
      <c r="V6" s="9">
        <f>VLOOKUP($A6,'RES installed'!$A$2:$C$7,3,FALSE)*'[1]Profiles, RES, Spring'!V$6</f>
        <v>18.751505419510238</v>
      </c>
      <c r="W6" s="9">
        <f>VLOOKUP($A6,'RES installed'!$A$2:$C$7,3,FALSE)*'[1]Profiles, RES, Spring'!W$6</f>
        <v>17.788036932958651</v>
      </c>
      <c r="X6" s="9">
        <f>VLOOKUP($A6,'RES installed'!$A$2:$C$7,3,FALSE)*'[1]Profiles, RES, Spring'!X$6</f>
        <v>16.126053793657164</v>
      </c>
      <c r="Y6" s="9">
        <f>VLOOKUP($A6,'RES installed'!$A$2:$C$7,3,FALSE)*'[1]Profiles, RES, Spring'!Y$6</f>
        <v>14.379767161782416</v>
      </c>
    </row>
    <row r="7" spans="1:25" x14ac:dyDescent="0.3">
      <c r="A7" s="8">
        <v>6</v>
      </c>
      <c r="B7" s="9">
        <f>VLOOKUP($A7,'RES installed'!$A$2:$C$7,3,FALSE)*'[1]Profiles, RES, Spring'!B$6</f>
        <v>15.228823765556003</v>
      </c>
      <c r="C7" s="9">
        <f>VLOOKUP($A7,'RES installed'!$A$2:$C$7,3,FALSE)*'[1]Profiles, RES, Spring'!C$6</f>
        <v>13.819751103974308</v>
      </c>
      <c r="D7" s="9">
        <f>VLOOKUP($A7,'RES installed'!$A$2:$C$7,3,FALSE)*'[1]Profiles, RES, Spring'!D$6</f>
        <v>12.058410276997192</v>
      </c>
      <c r="E7" s="9">
        <f>VLOOKUP($A7,'RES installed'!$A$2:$C$7,3,FALSE)*'[1]Profiles, RES, Spring'!E$6</f>
        <v>10.857085507828181</v>
      </c>
      <c r="F7" s="9">
        <f>VLOOKUP($A7,'RES installed'!$A$2:$C$7,3,FALSE)*'[1]Profiles, RES, Spring'!F$6</f>
        <v>10.613207547169811</v>
      </c>
      <c r="G7" s="9">
        <f>VLOOKUP($A7,'RES installed'!$A$2:$C$7,3,FALSE)*'[1]Profiles, RES, Spring'!G$6</f>
        <v>10.730630268968287</v>
      </c>
      <c r="H7" s="9">
        <f>VLOOKUP($A7,'RES installed'!$A$2:$C$7,3,FALSE)*'[1]Profiles, RES, Spring'!H$6</f>
        <v>9.1589723002810111</v>
      </c>
      <c r="I7" s="9">
        <f>VLOOKUP($A7,'RES installed'!$A$2:$C$7,3,FALSE)*'[1]Profiles, RES, Spring'!I$6</f>
        <v>6.8918105178643119</v>
      </c>
      <c r="J7" s="9">
        <f>VLOOKUP($A7,'RES installed'!$A$2:$C$7,3,FALSE)*'[1]Profiles, RES, Spring'!J$6</f>
        <v>6.2775993576876754</v>
      </c>
      <c r="K7" s="9">
        <f>VLOOKUP($A7,'RES installed'!$A$2:$C$7,3,FALSE)*'[1]Profiles, RES, Spring'!K$6</f>
        <v>6.5395423524688878</v>
      </c>
      <c r="L7" s="9">
        <f>VLOOKUP($A7,'RES installed'!$A$2:$C$7,3,FALSE)*'[1]Profiles, RES, Spring'!L$6</f>
        <v>7.3253713368125251</v>
      </c>
      <c r="M7" s="9">
        <f>VLOOKUP($A7,'RES installed'!$A$2:$C$7,3,FALSE)*'[1]Profiles, RES, Spring'!M$6</f>
        <v>8.4002408671216386</v>
      </c>
      <c r="N7" s="9">
        <f>VLOOKUP($A7,'RES installed'!$A$2:$C$7,3,FALSE)*'[1]Profiles, RES, Spring'!N$6</f>
        <v>10.92031312725813</v>
      </c>
      <c r="O7" s="9">
        <f>VLOOKUP($A7,'RES installed'!$A$2:$C$7,3,FALSE)*'[1]Profiles, RES, Spring'!O$6</f>
        <v>13.557808109193095</v>
      </c>
      <c r="P7" s="9">
        <f>VLOOKUP($A7,'RES installed'!$A$2:$C$7,3,FALSE)*'[1]Profiles, RES, Spring'!P$6</f>
        <v>15.400441589723002</v>
      </c>
      <c r="Q7" s="9">
        <f>VLOOKUP($A7,'RES installed'!$A$2:$C$7,3,FALSE)*'[1]Profiles, RES, Spring'!Q$6</f>
        <v>16.945002007226016</v>
      </c>
      <c r="R7" s="9">
        <f>VLOOKUP($A7,'RES installed'!$A$2:$C$7,3,FALSE)*'[1]Profiles, RES, Spring'!R$6</f>
        <v>18.570855078281813</v>
      </c>
      <c r="S7" s="9">
        <f>VLOOKUP($A7,'RES installed'!$A$2:$C$7,3,FALSE)*'[1]Profiles, RES, Spring'!S$6</f>
        <v>17.766961059815333</v>
      </c>
      <c r="T7" s="9">
        <f>VLOOKUP($A7,'RES installed'!$A$2:$C$7,3,FALSE)*'[1]Profiles, RES, Spring'!T$6</f>
        <v>15.716579686872743</v>
      </c>
      <c r="U7" s="9">
        <f>VLOOKUP($A7,'RES installed'!$A$2:$C$7,3,FALSE)*'[1]Profiles, RES, Spring'!U$6</f>
        <v>15.120433560818947</v>
      </c>
      <c r="V7" s="9">
        <f>VLOOKUP($A7,'RES installed'!$A$2:$C$7,3,FALSE)*'[1]Profiles, RES, Spring'!V$6</f>
        <v>14.063629064632678</v>
      </c>
      <c r="W7" s="9">
        <f>VLOOKUP($A7,'RES installed'!$A$2:$C$7,3,FALSE)*'[1]Profiles, RES, Spring'!W$6</f>
        <v>13.341027699718989</v>
      </c>
      <c r="X7" s="9">
        <f>VLOOKUP($A7,'RES installed'!$A$2:$C$7,3,FALSE)*'[1]Profiles, RES, Spring'!X$6</f>
        <v>12.094540345242873</v>
      </c>
      <c r="Y7" s="9">
        <f>VLOOKUP($A7,'RES installed'!$A$2:$C$7,3,FALSE)*'[1]Profiles, RES, Spring'!Y$6</f>
        <v>10.784825371336813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0.85291887793783172</v>
      </c>
      <c r="H8" s="6">
        <f>VLOOKUP($A8,'RES installed'!$A$2:$C$7,3,FALSE)*'[1]Profiles, RES, Spring'!H$3</f>
        <v>7.4772554965883247</v>
      </c>
      <c r="I8" s="6">
        <f>VLOOKUP($A8,'RES installed'!$A$2:$C$7,3,FALSE)*'[1]Profiles, RES, Spring'!I$3</f>
        <v>17.996588324488251</v>
      </c>
      <c r="J8" s="6">
        <f>VLOOKUP($A8,'RES installed'!$A$2:$C$7,3,FALSE)*'[1]Profiles, RES, Spring'!J$3</f>
        <v>27.151250947687643</v>
      </c>
      <c r="K8" s="6">
        <f>VLOOKUP($A8,'RES installed'!$A$2:$C$7,3,FALSE)*'[1]Profiles, RES, Spring'!K$3</f>
        <v>37.812736921910542</v>
      </c>
      <c r="L8" s="6">
        <f>VLOOKUP($A8,'RES installed'!$A$2:$C$7,3,FALSE)*'[1]Profiles, RES, Spring'!L$3</f>
        <v>44.749810462471572</v>
      </c>
      <c r="M8" s="6">
        <f>VLOOKUP($A8,'RES installed'!$A$2:$C$7,3,FALSE)*'[1]Profiles, RES, Spring'!M$3</f>
        <v>45.801743745261561</v>
      </c>
      <c r="N8" s="6">
        <f>VLOOKUP($A8,'RES installed'!$A$2:$C$7,3,FALSE)*'[1]Profiles, RES, Spring'!N$3</f>
        <v>46.882107657316148</v>
      </c>
      <c r="O8" s="6">
        <f>VLOOKUP($A8,'RES installed'!$A$2:$C$7,3,FALSE)*'[1]Profiles, RES, Spring'!O$3</f>
        <v>45.23313115996968</v>
      </c>
      <c r="P8" s="6">
        <f>VLOOKUP($A8,'RES installed'!$A$2:$C$7,3,FALSE)*'[1]Profiles, RES, Spring'!P$3</f>
        <v>48.076194086429112</v>
      </c>
      <c r="Q8" s="6">
        <f>VLOOKUP($A8,'RES installed'!$A$2:$C$7,3,FALSE)*'[1]Profiles, RES, Spring'!Q$3</f>
        <v>42.674374526156178</v>
      </c>
      <c r="R8" s="6">
        <f>VLOOKUP($A8,'RES installed'!$A$2:$C$7,3,FALSE)*'[1]Profiles, RES, Spring'!R$3</f>
        <v>35.794162244124337</v>
      </c>
      <c r="S8" s="6">
        <f>VLOOKUP($A8,'RES installed'!$A$2:$C$7,3,FALSE)*'[1]Profiles, RES, Spring'!S$3</f>
        <v>23.398407884761184</v>
      </c>
      <c r="T8" s="6">
        <f>VLOOKUP($A8,'RES installed'!$A$2:$C$7,3,FALSE)*'[1]Profiles, RES, Spring'!T$3</f>
        <v>8.5291887793783179</v>
      </c>
      <c r="U8" s="6">
        <f>VLOOKUP($A8,'RES installed'!$A$2:$C$7,3,FALSE)*'[1]Profiles, RES, Spring'!U$3</f>
        <v>0.76762699014404845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  <row r="9" spans="1:25" x14ac:dyDescent="0.3">
      <c r="A9" s="5">
        <v>8</v>
      </c>
      <c r="B9" s="6">
        <f>VLOOKUP($A9,'RES installed'!$A$2:$C$7,3,FALSE)*'[1]Profiles, RES, Spring'!B$3</f>
        <v>0</v>
      </c>
      <c r="C9" s="6">
        <f>VLOOKUP($A9,'RES installed'!$A$2:$C$7,3,FALSE)*'[1]Profiles, RES, Spring'!C$3</f>
        <v>0</v>
      </c>
      <c r="D9" s="6">
        <f>VLOOKUP($A9,'RES installed'!$A$2:$C$7,3,FALSE)*'[1]Profiles, RES, Spring'!D$3</f>
        <v>0</v>
      </c>
      <c r="E9" s="6">
        <f>VLOOKUP($A9,'RES installed'!$A$2:$C$7,3,FALSE)*'[1]Profiles, RES, Spring'!E$3</f>
        <v>0</v>
      </c>
      <c r="F9" s="6">
        <f>VLOOKUP($A9,'RES installed'!$A$2:$C$7,3,FALSE)*'[1]Profiles, RES, Spring'!F$3</f>
        <v>0</v>
      </c>
      <c r="G9" s="6">
        <f>VLOOKUP($A9,'RES installed'!$A$2:$C$7,3,FALSE)*'[1]Profiles, RES, Spring'!G$3</f>
        <v>0.56861258529188785</v>
      </c>
      <c r="H9" s="6">
        <f>VLOOKUP($A9,'RES installed'!$A$2:$C$7,3,FALSE)*'[1]Profiles, RES, Spring'!H$3</f>
        <v>4.9848369977255498</v>
      </c>
      <c r="I9" s="6">
        <f>VLOOKUP($A9,'RES installed'!$A$2:$C$7,3,FALSE)*'[1]Profiles, RES, Spring'!I$3</f>
        <v>11.997725549658833</v>
      </c>
      <c r="J9" s="6">
        <f>VLOOKUP($A9,'RES installed'!$A$2:$C$7,3,FALSE)*'[1]Profiles, RES, Spring'!J$3</f>
        <v>18.100833965125098</v>
      </c>
      <c r="K9" s="6">
        <f>VLOOKUP($A9,'RES installed'!$A$2:$C$7,3,FALSE)*'[1]Profiles, RES, Spring'!K$3</f>
        <v>25.208491281273695</v>
      </c>
      <c r="L9" s="6">
        <f>VLOOKUP($A9,'RES installed'!$A$2:$C$7,3,FALSE)*'[1]Profiles, RES, Spring'!L$3</f>
        <v>29.833206974981046</v>
      </c>
      <c r="M9" s="6">
        <f>VLOOKUP($A9,'RES installed'!$A$2:$C$7,3,FALSE)*'[1]Profiles, RES, Spring'!M$3</f>
        <v>30.534495830174375</v>
      </c>
      <c r="N9" s="6">
        <f>VLOOKUP($A9,'RES installed'!$A$2:$C$7,3,FALSE)*'[1]Profiles, RES, Spring'!N$3</f>
        <v>31.254738438210765</v>
      </c>
      <c r="O9" s="6">
        <f>VLOOKUP($A9,'RES installed'!$A$2:$C$7,3,FALSE)*'[1]Profiles, RES, Spring'!O$3</f>
        <v>30.155420773313118</v>
      </c>
      <c r="P9" s="6">
        <f>VLOOKUP($A9,'RES installed'!$A$2:$C$7,3,FALSE)*'[1]Profiles, RES, Spring'!P$3</f>
        <v>32.050796057619408</v>
      </c>
      <c r="Q9" s="6">
        <f>VLOOKUP($A9,'RES installed'!$A$2:$C$7,3,FALSE)*'[1]Profiles, RES, Spring'!Q$3</f>
        <v>28.449583017437451</v>
      </c>
      <c r="R9" s="6">
        <f>VLOOKUP($A9,'RES installed'!$A$2:$C$7,3,FALSE)*'[1]Profiles, RES, Spring'!R$3</f>
        <v>23.862774829416225</v>
      </c>
      <c r="S9" s="6">
        <f>VLOOKUP($A9,'RES installed'!$A$2:$C$7,3,FALSE)*'[1]Profiles, RES, Spring'!S$3</f>
        <v>15.598938589840788</v>
      </c>
      <c r="T9" s="6">
        <f>VLOOKUP($A9,'RES installed'!$A$2:$C$7,3,FALSE)*'[1]Profiles, RES, Spring'!T$3</f>
        <v>5.6861258529188783</v>
      </c>
      <c r="U9" s="6">
        <f>VLOOKUP($A9,'RES installed'!$A$2:$C$7,3,FALSE)*'[1]Profiles, RES, Spring'!U$3</f>
        <v>0.51175132676269897</v>
      </c>
      <c r="V9" s="6">
        <f>VLOOKUP($A9,'RES installed'!$A$2:$C$7,3,FALSE)*'[1]Profiles, RES, Spring'!V$3</f>
        <v>0</v>
      </c>
      <c r="W9" s="6">
        <f>VLOOKUP($A9,'RES installed'!$A$2:$C$7,3,FALSE)*'[1]Profiles, RES, Spring'!W$3</f>
        <v>0</v>
      </c>
      <c r="X9" s="6">
        <f>VLOOKUP($A9,'RES installed'!$A$2:$C$7,3,FALSE)*'[1]Profiles, RES, Spring'!X$3</f>
        <v>0</v>
      </c>
      <c r="Y9" s="6">
        <f>VLOOKUP($A9,'RES installed'!$A$2:$C$7,3,FALSE)*'[1]Profiles, RES, Spring'!Y$3</f>
        <v>0</v>
      </c>
    </row>
    <row r="10" spans="1:25" x14ac:dyDescent="0.3">
      <c r="A10" s="5">
        <v>9</v>
      </c>
      <c r="B10" s="6">
        <f>VLOOKUP($A10,'RES installed'!$A$2:$C$7,3,FALSE)*'[1]Profiles, RES, Spring'!B$3</f>
        <v>0</v>
      </c>
      <c r="C10" s="6">
        <f>VLOOKUP($A10,'RES installed'!$A$2:$C$7,3,FALSE)*'[1]Profiles, RES, Spring'!C$3</f>
        <v>0</v>
      </c>
      <c r="D10" s="6">
        <f>VLOOKUP($A10,'RES installed'!$A$2:$C$7,3,FALSE)*'[1]Profiles, RES, Spring'!D$3</f>
        <v>0</v>
      </c>
      <c r="E10" s="6">
        <f>VLOOKUP($A10,'RES installed'!$A$2:$C$7,3,FALSE)*'[1]Profiles, RES, Spring'!E$3</f>
        <v>0</v>
      </c>
      <c r="F10" s="6">
        <f>VLOOKUP($A10,'RES installed'!$A$2:$C$7,3,FALSE)*'[1]Profiles, RES, Spring'!F$3</f>
        <v>0</v>
      </c>
      <c r="G10" s="6">
        <f>VLOOKUP($A10,'RES installed'!$A$2:$C$7,3,FALSE)*'[1]Profiles, RES, Spring'!G$3</f>
        <v>0.6823351023502654</v>
      </c>
      <c r="H10" s="6">
        <f>VLOOKUP($A10,'RES installed'!$A$2:$C$7,3,FALSE)*'[1]Profiles, RES, Spring'!H$3</f>
        <v>5.9818043972706594</v>
      </c>
      <c r="I10" s="6">
        <f>VLOOKUP($A10,'RES installed'!$A$2:$C$7,3,FALSE)*'[1]Profiles, RES, Spring'!I$3</f>
        <v>14.3972706595906</v>
      </c>
      <c r="J10" s="6">
        <f>VLOOKUP($A10,'RES installed'!$A$2:$C$7,3,FALSE)*'[1]Profiles, RES, Spring'!J$3</f>
        <v>21.721000758150115</v>
      </c>
      <c r="K10" s="6">
        <f>VLOOKUP($A10,'RES installed'!$A$2:$C$7,3,FALSE)*'[1]Profiles, RES, Spring'!K$3</f>
        <v>30.250189537528431</v>
      </c>
      <c r="L10" s="6">
        <f>VLOOKUP($A10,'RES installed'!$A$2:$C$7,3,FALSE)*'[1]Profiles, RES, Spring'!L$3</f>
        <v>35.799848369977255</v>
      </c>
      <c r="M10" s="6">
        <f>VLOOKUP($A10,'RES installed'!$A$2:$C$7,3,FALSE)*'[1]Profiles, RES, Spring'!M$3</f>
        <v>36.64139499620925</v>
      </c>
      <c r="N10" s="6">
        <f>VLOOKUP($A10,'RES installed'!$A$2:$C$7,3,FALSE)*'[1]Profiles, RES, Spring'!N$3</f>
        <v>37.505686125852918</v>
      </c>
      <c r="O10" s="6">
        <f>VLOOKUP($A10,'RES installed'!$A$2:$C$7,3,FALSE)*'[1]Profiles, RES, Spring'!O$3</f>
        <v>36.18650492797574</v>
      </c>
      <c r="P10" s="6">
        <f>VLOOKUP($A10,'RES installed'!$A$2:$C$7,3,FALSE)*'[1]Profiles, RES, Spring'!P$3</f>
        <v>38.460955269143291</v>
      </c>
      <c r="Q10" s="6">
        <f>VLOOKUP($A10,'RES installed'!$A$2:$C$7,3,FALSE)*'[1]Profiles, RES, Spring'!Q$3</f>
        <v>34.139499620924944</v>
      </c>
      <c r="R10" s="6">
        <f>VLOOKUP($A10,'RES installed'!$A$2:$C$7,3,FALSE)*'[1]Profiles, RES, Spring'!R$3</f>
        <v>28.635329795299469</v>
      </c>
      <c r="S10" s="6">
        <f>VLOOKUP($A10,'RES installed'!$A$2:$C$7,3,FALSE)*'[1]Profiles, RES, Spring'!S$3</f>
        <v>18.718726307808947</v>
      </c>
      <c r="T10" s="6">
        <f>VLOOKUP($A10,'RES installed'!$A$2:$C$7,3,FALSE)*'[1]Profiles, RES, Spring'!T$3</f>
        <v>6.8233510235026538</v>
      </c>
      <c r="U10" s="6">
        <f>VLOOKUP($A10,'RES installed'!$A$2:$C$7,3,FALSE)*'[1]Profiles, RES, Spring'!U$3</f>
        <v>0.61410159211523874</v>
      </c>
      <c r="V10" s="6">
        <f>VLOOKUP($A10,'RES installed'!$A$2:$C$7,3,FALSE)*'[1]Profiles, RES, Spring'!V$3</f>
        <v>0</v>
      </c>
      <c r="W10" s="6">
        <f>VLOOKUP($A10,'RES installed'!$A$2:$C$7,3,FALSE)*'[1]Profiles, RES, Spring'!W$3</f>
        <v>0</v>
      </c>
      <c r="X10" s="6">
        <f>VLOOKUP($A10,'RES installed'!$A$2:$C$7,3,FALSE)*'[1]Profiles, RES, Spring'!X$3</f>
        <v>0</v>
      </c>
      <c r="Y10" s="6">
        <f>VLOOKUP($A10,'RES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E612B-8B1B-4085-8089-2EC67F7C85E9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Spring'!B$7</f>
        <v>11.146126053793658</v>
      </c>
      <c r="C5" s="9">
        <f>VLOOKUP($A5,'RES installed'!$A$2:$C$7,3,FALSE)*'[1]Profiles, RES, Spring'!C$7</f>
        <v>10.568044961862705</v>
      </c>
      <c r="D5" s="9">
        <f>VLOOKUP($A5,'RES installed'!$A$2:$C$7,3,FALSE)*'[1]Profiles, RES, Spring'!D$7</f>
        <v>10.27900441589723</v>
      </c>
      <c r="E5" s="9">
        <f>VLOOKUP($A5,'RES installed'!$A$2:$C$7,3,FALSE)*'[1]Profiles, RES, Spring'!E$7</f>
        <v>10.820955439582496</v>
      </c>
      <c r="F5" s="9">
        <f>VLOOKUP($A5,'RES installed'!$A$2:$C$7,3,FALSE)*'[1]Profiles, RES, Spring'!F$7</f>
        <v>10.84805299076676</v>
      </c>
      <c r="G5" s="9">
        <f>VLOOKUP($A5,'RES installed'!$A$2:$C$7,3,FALSE)*'[1]Profiles, RES, Spring'!G$7</f>
        <v>9.6467282215977512</v>
      </c>
      <c r="H5" s="9">
        <f>VLOOKUP($A5,'RES installed'!$A$2:$C$7,3,FALSE)*'[1]Profiles, RES, Spring'!H$7</f>
        <v>8.2105580088317947</v>
      </c>
      <c r="I5" s="9">
        <f>VLOOKUP($A5,'RES installed'!$A$2:$C$7,3,FALSE)*'[1]Profiles, RES, Spring'!I$7</f>
        <v>6.1872741870734638</v>
      </c>
      <c r="J5" s="9">
        <f>VLOOKUP($A5,'RES installed'!$A$2:$C$7,3,FALSE)*'[1]Profiles, RES, Spring'!J$7</f>
        <v>5.2117623444399843</v>
      </c>
      <c r="K5" s="9">
        <f>VLOOKUP($A5,'RES installed'!$A$2:$C$7,3,FALSE)*'[1]Profiles, RES, Spring'!K$7</f>
        <v>5.6633881975110389</v>
      </c>
      <c r="L5" s="9">
        <f>VLOOKUP($A5,'RES installed'!$A$2:$C$7,3,FALSE)*'[1]Profiles, RES, Spring'!L$7</f>
        <v>6.6930951425130463</v>
      </c>
      <c r="M5" s="9">
        <f>VLOOKUP($A5,'RES installed'!$A$2:$C$7,3,FALSE)*'[1]Profiles, RES, Spring'!M$7</f>
        <v>6.6208350060216778</v>
      </c>
      <c r="N5" s="9">
        <f>VLOOKUP($A5,'RES installed'!$A$2:$C$7,3,FALSE)*'[1]Profiles, RES, Spring'!N$7</f>
        <v>7.6053793657165798</v>
      </c>
      <c r="O5" s="9">
        <f>VLOOKUP($A5,'RES installed'!$A$2:$C$7,3,FALSE)*'[1]Profiles, RES, Spring'!O$7</f>
        <v>9.7009233239662773</v>
      </c>
      <c r="P5" s="9">
        <f>VLOOKUP($A5,'RES installed'!$A$2:$C$7,3,FALSE)*'[1]Profiles, RES, Spring'!P$7</f>
        <v>11.326776395022078</v>
      </c>
      <c r="Q5" s="9">
        <f>VLOOKUP($A5,'RES installed'!$A$2:$C$7,3,FALSE)*'[1]Profiles, RES, Spring'!Q$7</f>
        <v>12.762946607788036</v>
      </c>
      <c r="R5" s="9">
        <f>VLOOKUP($A5,'RES installed'!$A$2:$C$7,3,FALSE)*'[1]Profiles, RES, Spring'!R$7</f>
        <v>14.343637093536733</v>
      </c>
      <c r="S5" s="9">
        <f>VLOOKUP($A5,'RES installed'!$A$2:$C$7,3,FALSE)*'[1]Profiles, RES, Spring'!S$7</f>
        <v>14.930750702529105</v>
      </c>
      <c r="T5" s="9">
        <f>VLOOKUP($A5,'RES installed'!$A$2:$C$7,3,FALSE)*'[1]Profiles, RES, Spring'!T$7</f>
        <v>14.939783219590526</v>
      </c>
      <c r="U5" s="9">
        <f>VLOOKUP($A5,'RES installed'!$A$2:$C$7,3,FALSE)*'[1]Profiles, RES, Spring'!U$7</f>
        <v>13.35909273384183</v>
      </c>
      <c r="V5" s="9">
        <f>VLOOKUP($A5,'RES installed'!$A$2:$C$7,3,FALSE)*'[1]Profiles, RES, Spring'!V$7</f>
        <v>12.753914090726616</v>
      </c>
      <c r="W5" s="9">
        <f>VLOOKUP($A5,'RES installed'!$A$2:$C$7,3,FALSE)*'[1]Profiles, RES, Spring'!W$7</f>
        <v>12.681653954235246</v>
      </c>
      <c r="X5" s="9">
        <f>VLOOKUP($A5,'RES installed'!$A$2:$C$7,3,FALSE)*'[1]Profiles, RES, Spring'!X$7</f>
        <v>12.889401846647933</v>
      </c>
      <c r="Y5" s="9">
        <f>VLOOKUP($A5,'RES installed'!$A$2:$C$7,3,FALSE)*'[1]Profiles, RES, Spring'!Y$7</f>
        <v>13.91910879164994</v>
      </c>
    </row>
    <row r="6" spans="1:25" x14ac:dyDescent="0.3">
      <c r="A6" s="8">
        <v>5</v>
      </c>
      <c r="B6" s="9">
        <f>VLOOKUP($A6,'RES installed'!$A$2:$C$7,3,FALSE)*'[1]Profiles, RES, Spring'!B$7</f>
        <v>14.86150140505821</v>
      </c>
      <c r="C6" s="9">
        <f>VLOOKUP($A6,'RES installed'!$A$2:$C$7,3,FALSE)*'[1]Profiles, RES, Spring'!C$7</f>
        <v>14.090726615816941</v>
      </c>
      <c r="D6" s="9">
        <f>VLOOKUP($A6,'RES installed'!$A$2:$C$7,3,FALSE)*'[1]Profiles, RES, Spring'!D$7</f>
        <v>13.705339221196308</v>
      </c>
      <c r="E6" s="9">
        <f>VLOOKUP($A6,'RES installed'!$A$2:$C$7,3,FALSE)*'[1]Profiles, RES, Spring'!E$7</f>
        <v>14.427940586109996</v>
      </c>
      <c r="F6" s="9">
        <f>VLOOKUP($A6,'RES installed'!$A$2:$C$7,3,FALSE)*'[1]Profiles, RES, Spring'!F$7</f>
        <v>14.46407065435568</v>
      </c>
      <c r="G6" s="9">
        <f>VLOOKUP($A6,'RES installed'!$A$2:$C$7,3,FALSE)*'[1]Profiles, RES, Spring'!G$7</f>
        <v>12.862304295463669</v>
      </c>
      <c r="H6" s="9">
        <f>VLOOKUP($A6,'RES installed'!$A$2:$C$7,3,FALSE)*'[1]Profiles, RES, Spring'!H$7</f>
        <v>10.947410678442393</v>
      </c>
      <c r="I6" s="9">
        <f>VLOOKUP($A6,'RES installed'!$A$2:$C$7,3,FALSE)*'[1]Profiles, RES, Spring'!I$7</f>
        <v>8.2496989160979517</v>
      </c>
      <c r="J6" s="9">
        <f>VLOOKUP($A6,'RES installed'!$A$2:$C$7,3,FALSE)*'[1]Profiles, RES, Spring'!J$7</f>
        <v>6.9490164592533121</v>
      </c>
      <c r="K6" s="9">
        <f>VLOOKUP($A6,'RES installed'!$A$2:$C$7,3,FALSE)*'[1]Profiles, RES, Spring'!K$7</f>
        <v>7.5511842633480528</v>
      </c>
      <c r="L6" s="9">
        <f>VLOOKUP($A6,'RES installed'!$A$2:$C$7,3,FALSE)*'[1]Profiles, RES, Spring'!L$7</f>
        <v>8.9241268566840617</v>
      </c>
      <c r="M6" s="9">
        <f>VLOOKUP($A6,'RES installed'!$A$2:$C$7,3,FALSE)*'[1]Profiles, RES, Spring'!M$7</f>
        <v>8.8277800080289044</v>
      </c>
      <c r="N6" s="9">
        <f>VLOOKUP($A6,'RES installed'!$A$2:$C$7,3,FALSE)*'[1]Profiles, RES, Spring'!N$7</f>
        <v>10.14050582095544</v>
      </c>
      <c r="O6" s="9">
        <f>VLOOKUP($A6,'RES installed'!$A$2:$C$7,3,FALSE)*'[1]Profiles, RES, Spring'!O$7</f>
        <v>12.934564431955037</v>
      </c>
      <c r="P6" s="9">
        <f>VLOOKUP($A6,'RES installed'!$A$2:$C$7,3,FALSE)*'[1]Profiles, RES, Spring'!P$7</f>
        <v>15.102368526696106</v>
      </c>
      <c r="Q6" s="9">
        <f>VLOOKUP($A6,'RES installed'!$A$2:$C$7,3,FALSE)*'[1]Profiles, RES, Spring'!Q$7</f>
        <v>17.017262143717382</v>
      </c>
      <c r="R6" s="9">
        <f>VLOOKUP($A6,'RES installed'!$A$2:$C$7,3,FALSE)*'[1]Profiles, RES, Spring'!R$7</f>
        <v>19.124849458048978</v>
      </c>
      <c r="S6" s="9">
        <f>VLOOKUP($A6,'RES installed'!$A$2:$C$7,3,FALSE)*'[1]Profiles, RES, Spring'!S$7</f>
        <v>19.90766760337214</v>
      </c>
      <c r="T6" s="9">
        <f>VLOOKUP($A6,'RES installed'!$A$2:$C$7,3,FALSE)*'[1]Profiles, RES, Spring'!T$7</f>
        <v>19.919710959454033</v>
      </c>
      <c r="U6" s="9">
        <f>VLOOKUP($A6,'RES installed'!$A$2:$C$7,3,FALSE)*'[1]Profiles, RES, Spring'!U$7</f>
        <v>17.812123645122441</v>
      </c>
      <c r="V6" s="9">
        <f>VLOOKUP($A6,'RES installed'!$A$2:$C$7,3,FALSE)*'[1]Profiles, RES, Spring'!V$7</f>
        <v>17.005218787635489</v>
      </c>
      <c r="W6" s="9">
        <f>VLOOKUP($A6,'RES installed'!$A$2:$C$7,3,FALSE)*'[1]Profiles, RES, Spring'!W$7</f>
        <v>16.908871938980326</v>
      </c>
      <c r="X6" s="9">
        <f>VLOOKUP($A6,'RES installed'!$A$2:$C$7,3,FALSE)*'[1]Profiles, RES, Spring'!X$7</f>
        <v>17.18586912886391</v>
      </c>
      <c r="Y6" s="9">
        <f>VLOOKUP($A6,'RES installed'!$A$2:$C$7,3,FALSE)*'[1]Profiles, RES, Spring'!Y$7</f>
        <v>18.55881172219992</v>
      </c>
    </row>
    <row r="7" spans="1:25" x14ac:dyDescent="0.3">
      <c r="A7" s="8">
        <v>6</v>
      </c>
      <c r="B7" s="9">
        <f>VLOOKUP($A7,'RES installed'!$A$2:$C$7,3,FALSE)*'[1]Profiles, RES, Spring'!B$7</f>
        <v>11.146126053793658</v>
      </c>
      <c r="C7" s="9">
        <f>VLOOKUP($A7,'RES installed'!$A$2:$C$7,3,FALSE)*'[1]Profiles, RES, Spring'!C$7</f>
        <v>10.568044961862705</v>
      </c>
      <c r="D7" s="9">
        <f>VLOOKUP($A7,'RES installed'!$A$2:$C$7,3,FALSE)*'[1]Profiles, RES, Spring'!D$7</f>
        <v>10.27900441589723</v>
      </c>
      <c r="E7" s="9">
        <f>VLOOKUP($A7,'RES installed'!$A$2:$C$7,3,FALSE)*'[1]Profiles, RES, Spring'!E$7</f>
        <v>10.820955439582496</v>
      </c>
      <c r="F7" s="9">
        <f>VLOOKUP($A7,'RES installed'!$A$2:$C$7,3,FALSE)*'[1]Profiles, RES, Spring'!F$7</f>
        <v>10.84805299076676</v>
      </c>
      <c r="G7" s="9">
        <f>VLOOKUP($A7,'RES installed'!$A$2:$C$7,3,FALSE)*'[1]Profiles, RES, Spring'!G$7</f>
        <v>9.6467282215977512</v>
      </c>
      <c r="H7" s="9">
        <f>VLOOKUP($A7,'RES installed'!$A$2:$C$7,3,FALSE)*'[1]Profiles, RES, Spring'!H$7</f>
        <v>8.2105580088317947</v>
      </c>
      <c r="I7" s="9">
        <f>VLOOKUP($A7,'RES installed'!$A$2:$C$7,3,FALSE)*'[1]Profiles, RES, Spring'!I$7</f>
        <v>6.1872741870734638</v>
      </c>
      <c r="J7" s="9">
        <f>VLOOKUP($A7,'RES installed'!$A$2:$C$7,3,FALSE)*'[1]Profiles, RES, Spring'!J$7</f>
        <v>5.2117623444399843</v>
      </c>
      <c r="K7" s="9">
        <f>VLOOKUP($A7,'RES installed'!$A$2:$C$7,3,FALSE)*'[1]Profiles, RES, Spring'!K$7</f>
        <v>5.6633881975110389</v>
      </c>
      <c r="L7" s="9">
        <f>VLOOKUP($A7,'RES installed'!$A$2:$C$7,3,FALSE)*'[1]Profiles, RES, Spring'!L$7</f>
        <v>6.6930951425130463</v>
      </c>
      <c r="M7" s="9">
        <f>VLOOKUP($A7,'RES installed'!$A$2:$C$7,3,FALSE)*'[1]Profiles, RES, Spring'!M$7</f>
        <v>6.6208350060216778</v>
      </c>
      <c r="N7" s="9">
        <f>VLOOKUP($A7,'RES installed'!$A$2:$C$7,3,FALSE)*'[1]Profiles, RES, Spring'!N$7</f>
        <v>7.6053793657165798</v>
      </c>
      <c r="O7" s="9">
        <f>VLOOKUP($A7,'RES installed'!$A$2:$C$7,3,FALSE)*'[1]Profiles, RES, Spring'!O$7</f>
        <v>9.7009233239662773</v>
      </c>
      <c r="P7" s="9">
        <f>VLOOKUP($A7,'RES installed'!$A$2:$C$7,3,FALSE)*'[1]Profiles, RES, Spring'!P$7</f>
        <v>11.326776395022078</v>
      </c>
      <c r="Q7" s="9">
        <f>VLOOKUP($A7,'RES installed'!$A$2:$C$7,3,FALSE)*'[1]Profiles, RES, Spring'!Q$7</f>
        <v>12.762946607788036</v>
      </c>
      <c r="R7" s="9">
        <f>VLOOKUP($A7,'RES installed'!$A$2:$C$7,3,FALSE)*'[1]Profiles, RES, Spring'!R$7</f>
        <v>14.343637093536733</v>
      </c>
      <c r="S7" s="9">
        <f>VLOOKUP($A7,'RES installed'!$A$2:$C$7,3,FALSE)*'[1]Profiles, RES, Spring'!S$7</f>
        <v>14.930750702529105</v>
      </c>
      <c r="T7" s="9">
        <f>VLOOKUP($A7,'RES installed'!$A$2:$C$7,3,FALSE)*'[1]Profiles, RES, Spring'!T$7</f>
        <v>14.939783219590526</v>
      </c>
      <c r="U7" s="9">
        <f>VLOOKUP($A7,'RES installed'!$A$2:$C$7,3,FALSE)*'[1]Profiles, RES, Spring'!U$7</f>
        <v>13.35909273384183</v>
      </c>
      <c r="V7" s="9">
        <f>VLOOKUP($A7,'RES installed'!$A$2:$C$7,3,FALSE)*'[1]Profiles, RES, Spring'!V$7</f>
        <v>12.753914090726616</v>
      </c>
      <c r="W7" s="9">
        <f>VLOOKUP($A7,'RES installed'!$A$2:$C$7,3,FALSE)*'[1]Profiles, RES, Spring'!W$7</f>
        <v>12.681653954235246</v>
      </c>
      <c r="X7" s="9">
        <f>VLOOKUP($A7,'RES installed'!$A$2:$C$7,3,FALSE)*'[1]Profiles, RES, Spring'!X$7</f>
        <v>12.889401846647933</v>
      </c>
      <c r="Y7" s="9">
        <f>VLOOKUP($A7,'RES installed'!$A$2:$C$7,3,FALSE)*'[1]Profiles, RES, Spring'!Y$7</f>
        <v>13.91910879164994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0.82448824867323733</v>
      </c>
      <c r="H8" s="6">
        <f>VLOOKUP($A8,'RES installed'!$A$2:$C$7,3,FALSE)*'[1]Profiles, RES, Spring'!H$4</f>
        <v>7.9037149355572396</v>
      </c>
      <c r="I8" s="6">
        <f>VLOOKUP($A8,'RES installed'!$A$2:$C$7,3,FALSE)*'[1]Profiles, RES, Spring'!I$4</f>
        <v>21.948445792266867</v>
      </c>
      <c r="J8" s="6">
        <f>VLOOKUP($A8,'RES installed'!$A$2:$C$7,3,FALSE)*'[1]Profiles, RES, Spring'!J$4</f>
        <v>35.225549658832449</v>
      </c>
      <c r="K8" s="6">
        <f>VLOOKUP($A8,'RES installed'!$A$2:$C$7,3,FALSE)*'[1]Profiles, RES, Spring'!K$4</f>
        <v>41.764594389689158</v>
      </c>
      <c r="L8" s="6">
        <f>VLOOKUP($A8,'RES installed'!$A$2:$C$7,3,FALSE)*'[1]Profiles, RES, Spring'!L$4</f>
        <v>46.171341925701284</v>
      </c>
      <c r="M8" s="6">
        <f>VLOOKUP($A8,'RES installed'!$A$2:$C$7,3,FALSE)*'[1]Profiles, RES, Spring'!M$4</f>
        <v>51.345716451857463</v>
      </c>
      <c r="N8" s="6">
        <f>VLOOKUP($A8,'RES installed'!$A$2:$C$7,3,FALSE)*'[1]Profiles, RES, Spring'!N$4</f>
        <v>50.123199393479908</v>
      </c>
      <c r="O8" s="6">
        <f>VLOOKUP($A8,'RES installed'!$A$2:$C$7,3,FALSE)*'[1]Profiles, RES, Spring'!O$4</f>
        <v>49.867323730098562</v>
      </c>
      <c r="P8" s="6">
        <f>VLOOKUP($A8,'RES installed'!$A$2:$C$7,3,FALSE)*'[1]Profiles, RES, Spring'!P$4</f>
        <v>50.208491281273687</v>
      </c>
      <c r="Q8" s="6">
        <f>VLOOKUP($A8,'RES installed'!$A$2:$C$7,3,FALSE)*'[1]Profiles, RES, Spring'!Q$4</f>
        <v>46.39878695981804</v>
      </c>
      <c r="R8" s="6">
        <f>VLOOKUP($A8,'RES installed'!$A$2:$C$7,3,FALSE)*'[1]Profiles, RES, Spring'!R$4</f>
        <v>37.727445034116755</v>
      </c>
      <c r="S8" s="6">
        <f>VLOOKUP($A8,'RES installed'!$A$2:$C$7,3,FALSE)*'[1]Profiles, RES, Spring'!S$4</f>
        <v>24.73464746019712</v>
      </c>
      <c r="T8" s="6">
        <f>VLOOKUP($A8,'RES installed'!$A$2:$C$7,3,FALSE)*'[1]Profiles, RES, Spring'!T$4</f>
        <v>8.7850644427596674</v>
      </c>
      <c r="U8" s="6">
        <f>VLOOKUP($A8,'RES installed'!$A$2:$C$7,3,FALSE)*'[1]Profiles, RES, Spring'!U$4</f>
        <v>0.90978013646702049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  <row r="9" spans="1:25" x14ac:dyDescent="0.3">
      <c r="A9" s="5">
        <v>8</v>
      </c>
      <c r="B9" s="6">
        <f>VLOOKUP($A9,'RES installed'!$A$2:$C$7,3,FALSE)*'[1]Profiles, RES, Spring'!B$4</f>
        <v>0</v>
      </c>
      <c r="C9" s="6">
        <f>VLOOKUP($A9,'RES installed'!$A$2:$C$7,3,FALSE)*'[1]Profiles, RES, Spring'!C$4</f>
        <v>0</v>
      </c>
      <c r="D9" s="6">
        <f>VLOOKUP($A9,'RES installed'!$A$2:$C$7,3,FALSE)*'[1]Profiles, RES, Spring'!D$4</f>
        <v>0</v>
      </c>
      <c r="E9" s="6">
        <f>VLOOKUP($A9,'RES installed'!$A$2:$C$7,3,FALSE)*'[1]Profiles, RES, Spring'!E$4</f>
        <v>0</v>
      </c>
      <c r="F9" s="6">
        <f>VLOOKUP($A9,'RES installed'!$A$2:$C$7,3,FALSE)*'[1]Profiles, RES, Spring'!F$4</f>
        <v>0</v>
      </c>
      <c r="G9" s="6">
        <f>VLOOKUP($A9,'RES installed'!$A$2:$C$7,3,FALSE)*'[1]Profiles, RES, Spring'!G$4</f>
        <v>0.54965883244882485</v>
      </c>
      <c r="H9" s="6">
        <f>VLOOKUP($A9,'RES installed'!$A$2:$C$7,3,FALSE)*'[1]Profiles, RES, Spring'!H$4</f>
        <v>5.2691432903714936</v>
      </c>
      <c r="I9" s="6">
        <f>VLOOKUP($A9,'RES installed'!$A$2:$C$7,3,FALSE)*'[1]Profiles, RES, Spring'!I$4</f>
        <v>14.632297194844579</v>
      </c>
      <c r="J9" s="6">
        <f>VLOOKUP($A9,'RES installed'!$A$2:$C$7,3,FALSE)*'[1]Profiles, RES, Spring'!J$4</f>
        <v>23.483699772554967</v>
      </c>
      <c r="K9" s="6">
        <f>VLOOKUP($A9,'RES installed'!$A$2:$C$7,3,FALSE)*'[1]Profiles, RES, Spring'!K$4</f>
        <v>27.843062926459439</v>
      </c>
      <c r="L9" s="6">
        <f>VLOOKUP($A9,'RES installed'!$A$2:$C$7,3,FALSE)*'[1]Profiles, RES, Spring'!L$4</f>
        <v>30.780894617134191</v>
      </c>
      <c r="M9" s="6">
        <f>VLOOKUP($A9,'RES installed'!$A$2:$C$7,3,FALSE)*'[1]Profiles, RES, Spring'!M$4</f>
        <v>34.230477634571642</v>
      </c>
      <c r="N9" s="6">
        <f>VLOOKUP($A9,'RES installed'!$A$2:$C$7,3,FALSE)*'[1]Profiles, RES, Spring'!N$4</f>
        <v>33.415466262319939</v>
      </c>
      <c r="O9" s="6">
        <f>VLOOKUP($A9,'RES installed'!$A$2:$C$7,3,FALSE)*'[1]Profiles, RES, Spring'!O$4</f>
        <v>33.244882486732372</v>
      </c>
      <c r="P9" s="6">
        <f>VLOOKUP($A9,'RES installed'!$A$2:$C$7,3,FALSE)*'[1]Profiles, RES, Spring'!P$4</f>
        <v>33.472327520849127</v>
      </c>
      <c r="Q9" s="6">
        <f>VLOOKUP($A9,'RES installed'!$A$2:$C$7,3,FALSE)*'[1]Profiles, RES, Spring'!Q$4</f>
        <v>30.932524639878693</v>
      </c>
      <c r="R9" s="6">
        <f>VLOOKUP($A9,'RES installed'!$A$2:$C$7,3,FALSE)*'[1]Profiles, RES, Spring'!R$4</f>
        <v>25.151630022744502</v>
      </c>
      <c r="S9" s="6">
        <f>VLOOKUP($A9,'RES installed'!$A$2:$C$7,3,FALSE)*'[1]Profiles, RES, Spring'!S$4</f>
        <v>16.489764973464744</v>
      </c>
      <c r="T9" s="6">
        <f>VLOOKUP($A9,'RES installed'!$A$2:$C$7,3,FALSE)*'[1]Profiles, RES, Spring'!T$4</f>
        <v>5.8567096285064446</v>
      </c>
      <c r="U9" s="6">
        <f>VLOOKUP($A9,'RES installed'!$A$2:$C$7,3,FALSE)*'[1]Profiles, RES, Spring'!U$4</f>
        <v>0.60652009097801363</v>
      </c>
      <c r="V9" s="6">
        <f>VLOOKUP($A9,'RES installed'!$A$2:$C$7,3,FALSE)*'[1]Profiles, RES, Spring'!V$4</f>
        <v>0</v>
      </c>
      <c r="W9" s="6">
        <f>VLOOKUP($A9,'RES installed'!$A$2:$C$7,3,FALSE)*'[1]Profiles, RES, Spring'!W$4</f>
        <v>0</v>
      </c>
      <c r="X9" s="6">
        <f>VLOOKUP($A9,'RES installed'!$A$2:$C$7,3,FALSE)*'[1]Profiles, RES, Spring'!X$4</f>
        <v>0</v>
      </c>
      <c r="Y9" s="6">
        <f>VLOOKUP($A9,'RES installed'!$A$2:$C$7,3,FALSE)*'[1]Profiles, RES, Spring'!Y$4</f>
        <v>0</v>
      </c>
    </row>
    <row r="10" spans="1:25" x14ac:dyDescent="0.3">
      <c r="A10" s="5">
        <v>9</v>
      </c>
      <c r="B10" s="6">
        <f>VLOOKUP($A10,'RES installed'!$A$2:$C$7,3,FALSE)*'[1]Profiles, RES, Spring'!B$4</f>
        <v>0</v>
      </c>
      <c r="C10" s="6">
        <f>VLOOKUP($A10,'RES installed'!$A$2:$C$7,3,FALSE)*'[1]Profiles, RES, Spring'!C$4</f>
        <v>0</v>
      </c>
      <c r="D10" s="6">
        <f>VLOOKUP($A10,'RES installed'!$A$2:$C$7,3,FALSE)*'[1]Profiles, RES, Spring'!D$4</f>
        <v>0</v>
      </c>
      <c r="E10" s="6">
        <f>VLOOKUP($A10,'RES installed'!$A$2:$C$7,3,FALSE)*'[1]Profiles, RES, Spring'!E$4</f>
        <v>0</v>
      </c>
      <c r="F10" s="6">
        <f>VLOOKUP($A10,'RES installed'!$A$2:$C$7,3,FALSE)*'[1]Profiles, RES, Spring'!F$4</f>
        <v>0</v>
      </c>
      <c r="G10" s="6">
        <f>VLOOKUP($A10,'RES installed'!$A$2:$C$7,3,FALSE)*'[1]Profiles, RES, Spring'!G$4</f>
        <v>0.65959059893858984</v>
      </c>
      <c r="H10" s="6">
        <f>VLOOKUP($A10,'RES installed'!$A$2:$C$7,3,FALSE)*'[1]Profiles, RES, Spring'!H$4</f>
        <v>6.322971948445792</v>
      </c>
      <c r="I10" s="6">
        <f>VLOOKUP($A10,'RES installed'!$A$2:$C$7,3,FALSE)*'[1]Profiles, RES, Spring'!I$4</f>
        <v>17.558756633813495</v>
      </c>
      <c r="J10" s="6">
        <f>VLOOKUP($A10,'RES installed'!$A$2:$C$7,3,FALSE)*'[1]Profiles, RES, Spring'!J$4</f>
        <v>28.180439727065959</v>
      </c>
      <c r="K10" s="6">
        <f>VLOOKUP($A10,'RES installed'!$A$2:$C$7,3,FALSE)*'[1]Profiles, RES, Spring'!K$4</f>
        <v>33.411675511751326</v>
      </c>
      <c r="L10" s="6">
        <f>VLOOKUP($A10,'RES installed'!$A$2:$C$7,3,FALSE)*'[1]Profiles, RES, Spring'!L$4</f>
        <v>36.93707354056103</v>
      </c>
      <c r="M10" s="6">
        <f>VLOOKUP($A10,'RES installed'!$A$2:$C$7,3,FALSE)*'[1]Profiles, RES, Spring'!M$4</f>
        <v>41.076573161485975</v>
      </c>
      <c r="N10" s="6">
        <f>VLOOKUP($A10,'RES installed'!$A$2:$C$7,3,FALSE)*'[1]Profiles, RES, Spring'!N$4</f>
        <v>40.098559514783922</v>
      </c>
      <c r="O10" s="6">
        <f>VLOOKUP($A10,'RES installed'!$A$2:$C$7,3,FALSE)*'[1]Profiles, RES, Spring'!O$4</f>
        <v>39.893858984078847</v>
      </c>
      <c r="P10" s="6">
        <f>VLOOKUP($A10,'RES installed'!$A$2:$C$7,3,FALSE)*'[1]Profiles, RES, Spring'!P$4</f>
        <v>40.166793025018954</v>
      </c>
      <c r="Q10" s="6">
        <f>VLOOKUP($A10,'RES installed'!$A$2:$C$7,3,FALSE)*'[1]Profiles, RES, Spring'!Q$4</f>
        <v>37.119029567854433</v>
      </c>
      <c r="R10" s="6">
        <f>VLOOKUP($A10,'RES installed'!$A$2:$C$7,3,FALSE)*'[1]Profiles, RES, Spring'!R$4</f>
        <v>30.181956027293403</v>
      </c>
      <c r="S10" s="6">
        <f>VLOOKUP($A10,'RES installed'!$A$2:$C$7,3,FALSE)*'[1]Profiles, RES, Spring'!S$4</f>
        <v>19.787717968157697</v>
      </c>
      <c r="T10" s="6">
        <f>VLOOKUP($A10,'RES installed'!$A$2:$C$7,3,FALSE)*'[1]Profiles, RES, Spring'!T$4</f>
        <v>7.0280515542077335</v>
      </c>
      <c r="U10" s="6">
        <f>VLOOKUP($A10,'RES installed'!$A$2:$C$7,3,FALSE)*'[1]Profiles, RES, Spring'!U$4</f>
        <v>0.7278241091736164</v>
      </c>
      <c r="V10" s="6">
        <f>VLOOKUP($A10,'RES installed'!$A$2:$C$7,3,FALSE)*'[1]Profiles, RES, Spring'!V$4</f>
        <v>0</v>
      </c>
      <c r="W10" s="6">
        <f>VLOOKUP($A10,'RES installed'!$A$2:$C$7,3,FALSE)*'[1]Profiles, RES, Spring'!W$4</f>
        <v>0</v>
      </c>
      <c r="X10" s="6">
        <f>VLOOKUP($A10,'RES installed'!$A$2:$C$7,3,FALSE)*'[1]Profiles, RES, Spring'!X$4</f>
        <v>0</v>
      </c>
      <c r="Y10" s="6">
        <f>VLOOKUP($A10,'RES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4AEBAD-52D5-4B74-B4F0-0AD05103540C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Spring'!B$5</f>
        <v>11.615816940987557</v>
      </c>
      <c r="C5" s="9">
        <f>VLOOKUP($A5,'RES installed'!$A$2:$C$7,3,FALSE)*'[1]Profiles, RES, Spring'!C$5</f>
        <v>10.784825371336813</v>
      </c>
      <c r="D5" s="9">
        <f>VLOOKUP($A5,'RES installed'!$A$2:$C$7,3,FALSE)*'[1]Profiles, RES, Spring'!D$5</f>
        <v>10.839020473705339</v>
      </c>
      <c r="E5" s="9">
        <f>VLOOKUP($A5,'RES installed'!$A$2:$C$7,3,FALSE)*'[1]Profiles, RES, Spring'!E$5</f>
        <v>10.405459654757125</v>
      </c>
      <c r="F5" s="9">
        <f>VLOOKUP($A5,'RES installed'!$A$2:$C$7,3,FALSE)*'[1]Profiles, RES, Spring'!F$5</f>
        <v>10.306101967081492</v>
      </c>
      <c r="G5" s="9">
        <f>VLOOKUP($A5,'RES installed'!$A$2:$C$7,3,FALSE)*'[1]Profiles, RES, Spring'!G$5</f>
        <v>10.486752308309915</v>
      </c>
      <c r="H5" s="9">
        <f>VLOOKUP($A5,'RES installed'!$A$2:$C$7,3,FALSE)*'[1]Profiles, RES, Spring'!H$5</f>
        <v>9.4118827780008036</v>
      </c>
      <c r="I5" s="9">
        <f>VLOOKUP($A5,'RES installed'!$A$2:$C$7,3,FALSE)*'[1]Profiles, RES, Spring'!I$5</f>
        <v>7.5511842633480528</v>
      </c>
      <c r="J5" s="9">
        <f>VLOOKUP($A5,'RES installed'!$A$2:$C$7,3,FALSE)*'[1]Profiles, RES, Spring'!J$5</f>
        <v>5.9524287434765153</v>
      </c>
      <c r="K5" s="9">
        <f>VLOOKUP($A5,'RES installed'!$A$2:$C$7,3,FALSE)*'[1]Profiles, RES, Spring'!K$5</f>
        <v>4.4981934965877164</v>
      </c>
      <c r="L5" s="9">
        <f>VLOOKUP($A5,'RES installed'!$A$2:$C$7,3,FALSE)*'[1]Profiles, RES, Spring'!L$5</f>
        <v>4.2723805700521877</v>
      </c>
      <c r="M5" s="9">
        <f>VLOOKUP($A5,'RES installed'!$A$2:$C$7,3,FALSE)*'[1]Profiles, RES, Spring'!M$5</f>
        <v>5.2027298273785627</v>
      </c>
      <c r="N5" s="9">
        <f>VLOOKUP($A5,'RES installed'!$A$2:$C$7,3,FALSE)*'[1]Profiles, RES, Spring'!N$5</f>
        <v>6.8737454837414687</v>
      </c>
      <c r="O5" s="9">
        <f>VLOOKUP($A5,'RES installed'!$A$2:$C$7,3,FALSE)*'[1]Profiles, RES, Spring'!O$5</f>
        <v>9.5022079486150144</v>
      </c>
      <c r="P5" s="9">
        <f>VLOOKUP($A5,'RES installed'!$A$2:$C$7,3,FALSE)*'[1]Profiles, RES, Spring'!P$5</f>
        <v>12.401645925331193</v>
      </c>
      <c r="Q5" s="9">
        <f>VLOOKUP($A5,'RES installed'!$A$2:$C$7,3,FALSE)*'[1]Profiles, RES, Spring'!Q$5</f>
        <v>15.472701726214373</v>
      </c>
      <c r="R5" s="9">
        <f>VLOOKUP($A5,'RES installed'!$A$2:$C$7,3,FALSE)*'[1]Profiles, RES, Spring'!R$5</f>
        <v>19.26635889201124</v>
      </c>
      <c r="S5" s="9">
        <f>VLOOKUP($A5,'RES installed'!$A$2:$C$7,3,FALSE)*'[1]Profiles, RES, Spring'!S$5</f>
        <v>21.389000401445202</v>
      </c>
      <c r="T5" s="9">
        <f>VLOOKUP($A5,'RES installed'!$A$2:$C$7,3,FALSE)*'[1]Profiles, RES, Spring'!T$5</f>
        <v>21.461260537936575</v>
      </c>
      <c r="U5" s="9">
        <f>VLOOKUP($A5,'RES installed'!$A$2:$C$7,3,FALSE)*'[1]Profiles, RES, Spring'!U$5</f>
        <v>20.901244480128462</v>
      </c>
      <c r="V5" s="9">
        <f>VLOOKUP($A5,'RES installed'!$A$2:$C$7,3,FALSE)*'[1]Profiles, RES, Spring'!V$5</f>
        <v>18.950220794861501</v>
      </c>
      <c r="W5" s="9">
        <f>VLOOKUP($A5,'RES installed'!$A$2:$C$7,3,FALSE)*'[1]Profiles, RES, Spring'!W$5</f>
        <v>17.514050582095543</v>
      </c>
      <c r="X5" s="9">
        <f>VLOOKUP($A5,'RES installed'!$A$2:$C$7,3,FALSE)*'[1]Profiles, RES, Spring'!X$5</f>
        <v>17.48695303091128</v>
      </c>
      <c r="Y5" s="9">
        <f>VLOOKUP($A5,'RES installed'!$A$2:$C$7,3,FALSE)*'[1]Profiles, RES, Spring'!Y$5</f>
        <v>16.583701324769169</v>
      </c>
    </row>
    <row r="6" spans="1:25" x14ac:dyDescent="0.3">
      <c r="A6" s="8">
        <v>5</v>
      </c>
      <c r="B6" s="9">
        <f>VLOOKUP($A6,'RES installed'!$A$2:$C$7,3,FALSE)*'[1]Profiles, RES, Spring'!B$5</f>
        <v>15.487755921316742</v>
      </c>
      <c r="C6" s="9">
        <f>VLOOKUP($A6,'RES installed'!$A$2:$C$7,3,FALSE)*'[1]Profiles, RES, Spring'!C$5</f>
        <v>14.379767161782416</v>
      </c>
      <c r="D6" s="9">
        <f>VLOOKUP($A6,'RES installed'!$A$2:$C$7,3,FALSE)*'[1]Profiles, RES, Spring'!D$5</f>
        <v>14.452027298273785</v>
      </c>
      <c r="E6" s="9">
        <f>VLOOKUP($A6,'RES installed'!$A$2:$C$7,3,FALSE)*'[1]Profiles, RES, Spring'!E$5</f>
        <v>13.873946206342834</v>
      </c>
      <c r="F6" s="9">
        <f>VLOOKUP($A6,'RES installed'!$A$2:$C$7,3,FALSE)*'[1]Profiles, RES, Spring'!F$5</f>
        <v>13.741469289441991</v>
      </c>
      <c r="G6" s="9">
        <f>VLOOKUP($A6,'RES installed'!$A$2:$C$7,3,FALSE)*'[1]Profiles, RES, Spring'!G$5</f>
        <v>13.982336411079887</v>
      </c>
      <c r="H6" s="9">
        <f>VLOOKUP($A6,'RES installed'!$A$2:$C$7,3,FALSE)*'[1]Profiles, RES, Spring'!H$5</f>
        <v>12.549177037334404</v>
      </c>
      <c r="I6" s="9">
        <f>VLOOKUP($A6,'RES installed'!$A$2:$C$7,3,FALSE)*'[1]Profiles, RES, Spring'!I$5</f>
        <v>10.06824568446407</v>
      </c>
      <c r="J6" s="9">
        <f>VLOOKUP($A6,'RES installed'!$A$2:$C$7,3,FALSE)*'[1]Profiles, RES, Spring'!J$5</f>
        <v>7.9365716579686874</v>
      </c>
      <c r="K6" s="9">
        <f>VLOOKUP($A6,'RES installed'!$A$2:$C$7,3,FALSE)*'[1]Profiles, RES, Spring'!K$5</f>
        <v>5.9975913287836216</v>
      </c>
      <c r="L6" s="9">
        <f>VLOOKUP($A6,'RES installed'!$A$2:$C$7,3,FALSE)*'[1]Profiles, RES, Spring'!L$5</f>
        <v>5.6965074267362503</v>
      </c>
      <c r="M6" s="9">
        <f>VLOOKUP($A6,'RES installed'!$A$2:$C$7,3,FALSE)*'[1]Profiles, RES, Spring'!M$5</f>
        <v>6.9369731031714172</v>
      </c>
      <c r="N6" s="9">
        <f>VLOOKUP($A6,'RES installed'!$A$2:$C$7,3,FALSE)*'[1]Profiles, RES, Spring'!N$5</f>
        <v>9.1649939783219594</v>
      </c>
      <c r="O6" s="9">
        <f>VLOOKUP($A6,'RES installed'!$A$2:$C$7,3,FALSE)*'[1]Profiles, RES, Spring'!O$5</f>
        <v>12.669610598153353</v>
      </c>
      <c r="P6" s="9">
        <f>VLOOKUP($A6,'RES installed'!$A$2:$C$7,3,FALSE)*'[1]Profiles, RES, Spring'!P$5</f>
        <v>16.53552790044159</v>
      </c>
      <c r="Q6" s="9">
        <f>VLOOKUP($A6,'RES installed'!$A$2:$C$7,3,FALSE)*'[1]Profiles, RES, Spring'!Q$5</f>
        <v>20.630268968285829</v>
      </c>
      <c r="R6" s="9">
        <f>VLOOKUP($A6,'RES installed'!$A$2:$C$7,3,FALSE)*'[1]Profiles, RES, Spring'!R$5</f>
        <v>25.688478522681656</v>
      </c>
      <c r="S6" s="9">
        <f>VLOOKUP($A6,'RES installed'!$A$2:$C$7,3,FALSE)*'[1]Profiles, RES, Spring'!S$5</f>
        <v>28.518667201926938</v>
      </c>
      <c r="T6" s="9">
        <f>VLOOKUP($A6,'RES installed'!$A$2:$C$7,3,FALSE)*'[1]Profiles, RES, Spring'!T$5</f>
        <v>28.615014050582097</v>
      </c>
      <c r="U6" s="9">
        <f>VLOOKUP($A6,'RES installed'!$A$2:$C$7,3,FALSE)*'[1]Profiles, RES, Spring'!U$5</f>
        <v>27.868325973504618</v>
      </c>
      <c r="V6" s="9">
        <f>VLOOKUP($A6,'RES installed'!$A$2:$C$7,3,FALSE)*'[1]Profiles, RES, Spring'!V$5</f>
        <v>25.266961059815333</v>
      </c>
      <c r="W6" s="9">
        <f>VLOOKUP($A6,'RES installed'!$A$2:$C$7,3,FALSE)*'[1]Profiles, RES, Spring'!W$5</f>
        <v>23.352067442794059</v>
      </c>
      <c r="X6" s="9">
        <f>VLOOKUP($A6,'RES installed'!$A$2:$C$7,3,FALSE)*'[1]Profiles, RES, Spring'!X$5</f>
        <v>23.315937374548376</v>
      </c>
      <c r="Y6" s="9">
        <f>VLOOKUP($A6,'RES installed'!$A$2:$C$7,3,FALSE)*'[1]Profiles, RES, Spring'!Y$5</f>
        <v>22.111601766358891</v>
      </c>
    </row>
    <row r="7" spans="1:25" x14ac:dyDescent="0.3">
      <c r="A7" s="8">
        <v>6</v>
      </c>
      <c r="B7" s="9">
        <f>VLOOKUP($A7,'RES installed'!$A$2:$C$7,3,FALSE)*'[1]Profiles, RES, Spring'!B$5</f>
        <v>11.615816940987557</v>
      </c>
      <c r="C7" s="9">
        <f>VLOOKUP($A7,'RES installed'!$A$2:$C$7,3,FALSE)*'[1]Profiles, RES, Spring'!C$5</f>
        <v>10.784825371336813</v>
      </c>
      <c r="D7" s="9">
        <f>VLOOKUP($A7,'RES installed'!$A$2:$C$7,3,FALSE)*'[1]Profiles, RES, Spring'!D$5</f>
        <v>10.839020473705339</v>
      </c>
      <c r="E7" s="9">
        <f>VLOOKUP($A7,'RES installed'!$A$2:$C$7,3,FALSE)*'[1]Profiles, RES, Spring'!E$5</f>
        <v>10.405459654757125</v>
      </c>
      <c r="F7" s="9">
        <f>VLOOKUP($A7,'RES installed'!$A$2:$C$7,3,FALSE)*'[1]Profiles, RES, Spring'!F$5</f>
        <v>10.306101967081492</v>
      </c>
      <c r="G7" s="9">
        <f>VLOOKUP($A7,'RES installed'!$A$2:$C$7,3,FALSE)*'[1]Profiles, RES, Spring'!G$5</f>
        <v>10.486752308309915</v>
      </c>
      <c r="H7" s="9">
        <f>VLOOKUP($A7,'RES installed'!$A$2:$C$7,3,FALSE)*'[1]Profiles, RES, Spring'!H$5</f>
        <v>9.4118827780008036</v>
      </c>
      <c r="I7" s="9">
        <f>VLOOKUP($A7,'RES installed'!$A$2:$C$7,3,FALSE)*'[1]Profiles, RES, Spring'!I$5</f>
        <v>7.5511842633480528</v>
      </c>
      <c r="J7" s="9">
        <f>VLOOKUP($A7,'RES installed'!$A$2:$C$7,3,FALSE)*'[1]Profiles, RES, Spring'!J$5</f>
        <v>5.9524287434765153</v>
      </c>
      <c r="K7" s="9">
        <f>VLOOKUP($A7,'RES installed'!$A$2:$C$7,3,FALSE)*'[1]Profiles, RES, Spring'!K$5</f>
        <v>4.4981934965877164</v>
      </c>
      <c r="L7" s="9">
        <f>VLOOKUP($A7,'RES installed'!$A$2:$C$7,3,FALSE)*'[1]Profiles, RES, Spring'!L$5</f>
        <v>4.2723805700521877</v>
      </c>
      <c r="M7" s="9">
        <f>VLOOKUP($A7,'RES installed'!$A$2:$C$7,3,FALSE)*'[1]Profiles, RES, Spring'!M$5</f>
        <v>5.2027298273785627</v>
      </c>
      <c r="N7" s="9">
        <f>VLOOKUP($A7,'RES installed'!$A$2:$C$7,3,FALSE)*'[1]Profiles, RES, Spring'!N$5</f>
        <v>6.8737454837414687</v>
      </c>
      <c r="O7" s="9">
        <f>VLOOKUP($A7,'RES installed'!$A$2:$C$7,3,FALSE)*'[1]Profiles, RES, Spring'!O$5</f>
        <v>9.5022079486150144</v>
      </c>
      <c r="P7" s="9">
        <f>VLOOKUP($A7,'RES installed'!$A$2:$C$7,3,FALSE)*'[1]Profiles, RES, Spring'!P$5</f>
        <v>12.401645925331193</v>
      </c>
      <c r="Q7" s="9">
        <f>VLOOKUP($A7,'RES installed'!$A$2:$C$7,3,FALSE)*'[1]Profiles, RES, Spring'!Q$5</f>
        <v>15.472701726214373</v>
      </c>
      <c r="R7" s="9">
        <f>VLOOKUP($A7,'RES installed'!$A$2:$C$7,3,FALSE)*'[1]Profiles, RES, Spring'!R$5</f>
        <v>19.26635889201124</v>
      </c>
      <c r="S7" s="9">
        <f>VLOOKUP($A7,'RES installed'!$A$2:$C$7,3,FALSE)*'[1]Profiles, RES, Spring'!S$5</f>
        <v>21.389000401445202</v>
      </c>
      <c r="T7" s="9">
        <f>VLOOKUP($A7,'RES installed'!$A$2:$C$7,3,FALSE)*'[1]Profiles, RES, Spring'!T$5</f>
        <v>21.461260537936575</v>
      </c>
      <c r="U7" s="9">
        <f>VLOOKUP($A7,'RES installed'!$A$2:$C$7,3,FALSE)*'[1]Profiles, RES, Spring'!U$5</f>
        <v>20.901244480128462</v>
      </c>
      <c r="V7" s="9">
        <f>VLOOKUP($A7,'RES installed'!$A$2:$C$7,3,FALSE)*'[1]Profiles, RES, Spring'!V$5</f>
        <v>18.950220794861501</v>
      </c>
      <c r="W7" s="9">
        <f>VLOOKUP($A7,'RES installed'!$A$2:$C$7,3,FALSE)*'[1]Profiles, RES, Spring'!W$5</f>
        <v>17.514050582095543</v>
      </c>
      <c r="X7" s="9">
        <f>VLOOKUP($A7,'RES installed'!$A$2:$C$7,3,FALSE)*'[1]Profiles, RES, Spring'!X$5</f>
        <v>17.48695303091128</v>
      </c>
      <c r="Y7" s="9">
        <f>VLOOKUP($A7,'RES installed'!$A$2:$C$7,3,FALSE)*'[1]Profiles, RES, Spring'!Y$5</f>
        <v>16.583701324769169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0.71076573161485967</v>
      </c>
      <c r="H8" s="6">
        <f>VLOOKUP($A8,'RES installed'!$A$2:$C$7,3,FALSE)*'[1]Profiles, RES, Spring'!H$2</f>
        <v>7.136087945413192</v>
      </c>
      <c r="I8" s="6">
        <f>VLOOKUP($A8,'RES installed'!$A$2:$C$7,3,FALSE)*'[1]Profiles, RES, Spring'!I$2</f>
        <v>19.929871114480665</v>
      </c>
      <c r="J8" s="6">
        <f>VLOOKUP($A8,'RES installed'!$A$2:$C$7,3,FALSE)*'[1]Profiles, RES, Spring'!J$2</f>
        <v>30.790371493555725</v>
      </c>
      <c r="K8" s="6">
        <f>VLOOKUP($A8,'RES installed'!$A$2:$C$7,3,FALSE)*'[1]Profiles, RES, Spring'!K$2</f>
        <v>36.021607278241092</v>
      </c>
      <c r="L8" s="6">
        <f>VLOOKUP($A8,'RES installed'!$A$2:$C$7,3,FALSE)*'[1]Profiles, RES, Spring'!L$2</f>
        <v>41.167551175132679</v>
      </c>
      <c r="M8" s="6">
        <f>VLOOKUP($A8,'RES installed'!$A$2:$C$7,3,FALSE)*'[1]Profiles, RES, Spring'!M$2</f>
        <v>43.385140257771042</v>
      </c>
      <c r="N8" s="6">
        <f>VLOOKUP($A8,'RES installed'!$A$2:$C$7,3,FALSE)*'[1]Profiles, RES, Spring'!N$2</f>
        <v>46.796815769522368</v>
      </c>
      <c r="O8" s="6">
        <f>VLOOKUP($A8,'RES installed'!$A$2:$C$7,3,FALSE)*'[1]Profiles, RES, Spring'!O$2</f>
        <v>47.052691432903721</v>
      </c>
      <c r="P8" s="6">
        <f>VLOOKUP($A8,'RES installed'!$A$2:$C$7,3,FALSE)*'[1]Profiles, RES, Spring'!P$2</f>
        <v>47.30856709628506</v>
      </c>
      <c r="Q8" s="6">
        <f>VLOOKUP($A8,'RES installed'!$A$2:$C$7,3,FALSE)*'[1]Profiles, RES, Spring'!Q$2</f>
        <v>43.271417740712657</v>
      </c>
      <c r="R8" s="6">
        <f>VLOOKUP($A8,'RES installed'!$A$2:$C$7,3,FALSE)*'[1]Profiles, RES, Spring'!R$2</f>
        <v>34.429492039423806</v>
      </c>
      <c r="S8" s="6">
        <f>VLOOKUP($A8,'RES installed'!$A$2:$C$7,3,FALSE)*'[1]Profiles, RES, Spring'!S$2</f>
        <v>22.687642153146324</v>
      </c>
      <c r="T8" s="6">
        <f>VLOOKUP($A8,'RES installed'!$A$2:$C$7,3,FALSE)*'[1]Profiles, RES, Spring'!T$2</f>
        <v>8.3586050037907516</v>
      </c>
      <c r="U8" s="6">
        <f>VLOOKUP($A8,'RES installed'!$A$2:$C$7,3,FALSE)*'[1]Profiles, RES, Spring'!U$2</f>
        <v>0.73919636087945406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  <row r="9" spans="1:25" x14ac:dyDescent="0.3">
      <c r="A9" s="5">
        <v>8</v>
      </c>
      <c r="B9" s="6">
        <f>VLOOKUP($A9,'RES installed'!$A$2:$C$7,3,FALSE)*'[1]Profiles, RES, Spring'!B$2</f>
        <v>0</v>
      </c>
      <c r="C9" s="6">
        <f>VLOOKUP($A9,'RES installed'!$A$2:$C$7,3,FALSE)*'[1]Profiles, RES, Spring'!C$2</f>
        <v>0</v>
      </c>
      <c r="D9" s="6">
        <f>VLOOKUP($A9,'RES installed'!$A$2:$C$7,3,FALSE)*'[1]Profiles, RES, Spring'!D$2</f>
        <v>0</v>
      </c>
      <c r="E9" s="6">
        <f>VLOOKUP($A9,'RES installed'!$A$2:$C$7,3,FALSE)*'[1]Profiles, RES, Spring'!E$2</f>
        <v>0</v>
      </c>
      <c r="F9" s="6">
        <f>VLOOKUP($A9,'RES installed'!$A$2:$C$7,3,FALSE)*'[1]Profiles, RES, Spring'!F$2</f>
        <v>0</v>
      </c>
      <c r="G9" s="6">
        <f>VLOOKUP($A9,'RES installed'!$A$2:$C$7,3,FALSE)*'[1]Profiles, RES, Spring'!G$2</f>
        <v>0.47384382107657314</v>
      </c>
      <c r="H9" s="6">
        <f>VLOOKUP($A9,'RES installed'!$A$2:$C$7,3,FALSE)*'[1]Profiles, RES, Spring'!H$2</f>
        <v>4.7573919636087947</v>
      </c>
      <c r="I9" s="6">
        <f>VLOOKUP($A9,'RES installed'!$A$2:$C$7,3,FALSE)*'[1]Profiles, RES, Spring'!I$2</f>
        <v>13.286580742987111</v>
      </c>
      <c r="J9" s="6">
        <f>VLOOKUP($A9,'RES installed'!$A$2:$C$7,3,FALSE)*'[1]Profiles, RES, Spring'!J$2</f>
        <v>20.526914329037147</v>
      </c>
      <c r="K9" s="6">
        <f>VLOOKUP($A9,'RES installed'!$A$2:$C$7,3,FALSE)*'[1]Profiles, RES, Spring'!K$2</f>
        <v>24.014404852160727</v>
      </c>
      <c r="L9" s="6">
        <f>VLOOKUP($A9,'RES installed'!$A$2:$C$7,3,FALSE)*'[1]Profiles, RES, Spring'!L$2</f>
        <v>27.445034116755117</v>
      </c>
      <c r="M9" s="6">
        <f>VLOOKUP($A9,'RES installed'!$A$2:$C$7,3,FALSE)*'[1]Profiles, RES, Spring'!M$2</f>
        <v>28.923426838514025</v>
      </c>
      <c r="N9" s="6">
        <f>VLOOKUP($A9,'RES installed'!$A$2:$C$7,3,FALSE)*'[1]Profiles, RES, Spring'!N$2</f>
        <v>31.197877179681576</v>
      </c>
      <c r="O9" s="6">
        <f>VLOOKUP($A9,'RES installed'!$A$2:$C$7,3,FALSE)*'[1]Profiles, RES, Spring'!O$2</f>
        <v>31.368460955269146</v>
      </c>
      <c r="P9" s="6">
        <f>VLOOKUP($A9,'RES installed'!$A$2:$C$7,3,FALSE)*'[1]Profiles, RES, Spring'!P$2</f>
        <v>31.539044730856709</v>
      </c>
      <c r="Q9" s="6">
        <f>VLOOKUP($A9,'RES installed'!$A$2:$C$7,3,FALSE)*'[1]Profiles, RES, Spring'!Q$2</f>
        <v>28.847611827141773</v>
      </c>
      <c r="R9" s="6">
        <f>VLOOKUP($A9,'RES installed'!$A$2:$C$7,3,FALSE)*'[1]Profiles, RES, Spring'!R$2</f>
        <v>22.952994692949204</v>
      </c>
      <c r="S9" s="6">
        <f>VLOOKUP($A9,'RES installed'!$A$2:$C$7,3,FALSE)*'[1]Profiles, RES, Spring'!S$2</f>
        <v>15.125094768764216</v>
      </c>
      <c r="T9" s="6">
        <f>VLOOKUP($A9,'RES installed'!$A$2:$C$7,3,FALSE)*'[1]Profiles, RES, Spring'!T$2</f>
        <v>5.5724033358605007</v>
      </c>
      <c r="U9" s="6">
        <f>VLOOKUP($A9,'RES installed'!$A$2:$C$7,3,FALSE)*'[1]Profiles, RES, Spring'!U$2</f>
        <v>0.49279757391963608</v>
      </c>
      <c r="V9" s="6">
        <f>VLOOKUP($A9,'RES installed'!$A$2:$C$7,3,FALSE)*'[1]Profiles, RES, Spring'!V$2</f>
        <v>0</v>
      </c>
      <c r="W9" s="6">
        <f>VLOOKUP($A9,'RES installed'!$A$2:$C$7,3,FALSE)*'[1]Profiles, RES, Spring'!W$2</f>
        <v>0</v>
      </c>
      <c r="X9" s="6">
        <f>VLOOKUP($A9,'RES installed'!$A$2:$C$7,3,FALSE)*'[1]Profiles, RES, Spring'!X$2</f>
        <v>0</v>
      </c>
      <c r="Y9" s="6">
        <f>VLOOKUP($A9,'RES installed'!$A$2:$C$7,3,FALSE)*'[1]Profiles, RES, Spring'!Y$2</f>
        <v>0</v>
      </c>
    </row>
    <row r="10" spans="1:25" x14ac:dyDescent="0.3">
      <c r="A10" s="5">
        <v>9</v>
      </c>
      <c r="B10" s="6">
        <f>VLOOKUP($A10,'RES installed'!$A$2:$C$7,3,FALSE)*'[1]Profiles, RES, Spring'!B$2</f>
        <v>0</v>
      </c>
      <c r="C10" s="6">
        <f>VLOOKUP($A10,'RES installed'!$A$2:$C$7,3,FALSE)*'[1]Profiles, RES, Spring'!C$2</f>
        <v>0</v>
      </c>
      <c r="D10" s="6">
        <f>VLOOKUP($A10,'RES installed'!$A$2:$C$7,3,FALSE)*'[1]Profiles, RES, Spring'!D$2</f>
        <v>0</v>
      </c>
      <c r="E10" s="6">
        <f>VLOOKUP($A10,'RES installed'!$A$2:$C$7,3,FALSE)*'[1]Profiles, RES, Spring'!E$2</f>
        <v>0</v>
      </c>
      <c r="F10" s="6">
        <f>VLOOKUP($A10,'RES installed'!$A$2:$C$7,3,FALSE)*'[1]Profiles, RES, Spring'!F$2</f>
        <v>0</v>
      </c>
      <c r="G10" s="6">
        <f>VLOOKUP($A10,'RES installed'!$A$2:$C$7,3,FALSE)*'[1]Profiles, RES, Spring'!G$2</f>
        <v>0.56861258529188774</v>
      </c>
      <c r="H10" s="6">
        <f>VLOOKUP($A10,'RES installed'!$A$2:$C$7,3,FALSE)*'[1]Profiles, RES, Spring'!H$2</f>
        <v>5.7088703563305536</v>
      </c>
      <c r="I10" s="6">
        <f>VLOOKUP($A10,'RES installed'!$A$2:$C$7,3,FALSE)*'[1]Profiles, RES, Spring'!I$2</f>
        <v>15.943896891584533</v>
      </c>
      <c r="J10" s="6">
        <f>VLOOKUP($A10,'RES installed'!$A$2:$C$7,3,FALSE)*'[1]Profiles, RES, Spring'!J$2</f>
        <v>24.632297194844579</v>
      </c>
      <c r="K10" s="6">
        <f>VLOOKUP($A10,'RES installed'!$A$2:$C$7,3,FALSE)*'[1]Profiles, RES, Spring'!K$2</f>
        <v>28.817285822592876</v>
      </c>
      <c r="L10" s="6">
        <f>VLOOKUP($A10,'RES installed'!$A$2:$C$7,3,FALSE)*'[1]Profiles, RES, Spring'!L$2</f>
        <v>32.934040940106144</v>
      </c>
      <c r="M10" s="6">
        <f>VLOOKUP($A10,'RES installed'!$A$2:$C$7,3,FALSE)*'[1]Profiles, RES, Spring'!M$2</f>
        <v>34.708112206216832</v>
      </c>
      <c r="N10" s="6">
        <f>VLOOKUP($A10,'RES installed'!$A$2:$C$7,3,FALSE)*'[1]Profiles, RES, Spring'!N$2</f>
        <v>37.437452615617893</v>
      </c>
      <c r="O10" s="6">
        <f>VLOOKUP($A10,'RES installed'!$A$2:$C$7,3,FALSE)*'[1]Profiles, RES, Spring'!O$2</f>
        <v>37.642153146322975</v>
      </c>
      <c r="P10" s="6">
        <f>VLOOKUP($A10,'RES installed'!$A$2:$C$7,3,FALSE)*'[1]Profiles, RES, Spring'!P$2</f>
        <v>37.846853677028051</v>
      </c>
      <c r="Q10" s="6">
        <f>VLOOKUP($A10,'RES installed'!$A$2:$C$7,3,FALSE)*'[1]Profiles, RES, Spring'!Q$2</f>
        <v>34.617134192570127</v>
      </c>
      <c r="R10" s="6">
        <f>VLOOKUP($A10,'RES installed'!$A$2:$C$7,3,FALSE)*'[1]Profiles, RES, Spring'!R$2</f>
        <v>27.543593631539046</v>
      </c>
      <c r="S10" s="6">
        <f>VLOOKUP($A10,'RES installed'!$A$2:$C$7,3,FALSE)*'[1]Profiles, RES, Spring'!S$2</f>
        <v>18.150113722517059</v>
      </c>
      <c r="T10" s="6">
        <f>VLOOKUP($A10,'RES installed'!$A$2:$C$7,3,FALSE)*'[1]Profiles, RES, Spring'!T$2</f>
        <v>6.6868840030326009</v>
      </c>
      <c r="U10" s="6">
        <f>VLOOKUP($A10,'RES installed'!$A$2:$C$7,3,FALSE)*'[1]Profiles, RES, Spring'!U$2</f>
        <v>0.59135708870356329</v>
      </c>
      <c r="V10" s="6">
        <f>VLOOKUP($A10,'RES installed'!$A$2:$C$7,3,FALSE)*'[1]Profiles, RES, Spring'!V$2</f>
        <v>0</v>
      </c>
      <c r="W10" s="6">
        <f>VLOOKUP($A10,'RES installed'!$A$2:$C$7,3,FALSE)*'[1]Profiles, RES, Spring'!W$2</f>
        <v>0</v>
      </c>
      <c r="X10" s="6">
        <f>VLOOKUP($A10,'RES installed'!$A$2:$C$7,3,FALSE)*'[1]Profiles, RES, Spring'!X$2</f>
        <v>0</v>
      </c>
      <c r="Y10" s="6">
        <f>VLOOKUP($A10,'RES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6B76AB-CAAD-4D01-A6E3-BD56703B3D63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Spring'!B$6</f>
        <v>15.228823765556003</v>
      </c>
      <c r="C5" s="9">
        <f>VLOOKUP($A5,'RES installed'!$A$2:$C$7,3,FALSE)*'[1]Profiles, RES, Spring'!C$6</f>
        <v>13.819751103974308</v>
      </c>
      <c r="D5" s="9">
        <f>VLOOKUP($A5,'RES installed'!$A$2:$C$7,3,FALSE)*'[1]Profiles, RES, Spring'!D$6</f>
        <v>12.058410276997192</v>
      </c>
      <c r="E5" s="9">
        <f>VLOOKUP($A5,'RES installed'!$A$2:$C$7,3,FALSE)*'[1]Profiles, RES, Spring'!E$6</f>
        <v>10.857085507828181</v>
      </c>
      <c r="F5" s="9">
        <f>VLOOKUP($A5,'RES installed'!$A$2:$C$7,3,FALSE)*'[1]Profiles, RES, Spring'!F$6</f>
        <v>10.613207547169811</v>
      </c>
      <c r="G5" s="9">
        <f>VLOOKUP($A5,'RES installed'!$A$2:$C$7,3,FALSE)*'[1]Profiles, RES, Spring'!G$6</f>
        <v>10.730630268968287</v>
      </c>
      <c r="H5" s="9">
        <f>VLOOKUP($A5,'RES installed'!$A$2:$C$7,3,FALSE)*'[1]Profiles, RES, Spring'!H$6</f>
        <v>9.1589723002810111</v>
      </c>
      <c r="I5" s="9">
        <f>VLOOKUP($A5,'RES installed'!$A$2:$C$7,3,FALSE)*'[1]Profiles, RES, Spring'!I$6</f>
        <v>6.8918105178643119</v>
      </c>
      <c r="J5" s="9">
        <f>VLOOKUP($A5,'RES installed'!$A$2:$C$7,3,FALSE)*'[1]Profiles, RES, Spring'!J$6</f>
        <v>6.2775993576876754</v>
      </c>
      <c r="K5" s="9">
        <f>VLOOKUP($A5,'RES installed'!$A$2:$C$7,3,FALSE)*'[1]Profiles, RES, Spring'!K$6</f>
        <v>6.5395423524688878</v>
      </c>
      <c r="L5" s="9">
        <f>VLOOKUP($A5,'RES installed'!$A$2:$C$7,3,FALSE)*'[1]Profiles, RES, Spring'!L$6</f>
        <v>7.3253713368125251</v>
      </c>
      <c r="M5" s="9">
        <f>VLOOKUP($A5,'RES installed'!$A$2:$C$7,3,FALSE)*'[1]Profiles, RES, Spring'!M$6</f>
        <v>8.4002408671216386</v>
      </c>
      <c r="N5" s="9">
        <f>VLOOKUP($A5,'RES installed'!$A$2:$C$7,3,FALSE)*'[1]Profiles, RES, Spring'!N$6</f>
        <v>10.92031312725813</v>
      </c>
      <c r="O5" s="9">
        <f>VLOOKUP($A5,'RES installed'!$A$2:$C$7,3,FALSE)*'[1]Profiles, RES, Spring'!O$6</f>
        <v>13.557808109193095</v>
      </c>
      <c r="P5" s="9">
        <f>VLOOKUP($A5,'RES installed'!$A$2:$C$7,3,FALSE)*'[1]Profiles, RES, Spring'!P$6</f>
        <v>15.400441589723002</v>
      </c>
      <c r="Q5" s="9">
        <f>VLOOKUP($A5,'RES installed'!$A$2:$C$7,3,FALSE)*'[1]Profiles, RES, Spring'!Q$6</f>
        <v>16.945002007226016</v>
      </c>
      <c r="R5" s="9">
        <f>VLOOKUP($A5,'RES installed'!$A$2:$C$7,3,FALSE)*'[1]Profiles, RES, Spring'!R$6</f>
        <v>18.570855078281813</v>
      </c>
      <c r="S5" s="9">
        <f>VLOOKUP($A5,'RES installed'!$A$2:$C$7,3,FALSE)*'[1]Profiles, RES, Spring'!S$6</f>
        <v>17.766961059815333</v>
      </c>
      <c r="T5" s="9">
        <f>VLOOKUP($A5,'RES installed'!$A$2:$C$7,3,FALSE)*'[1]Profiles, RES, Spring'!T$6</f>
        <v>15.716579686872743</v>
      </c>
      <c r="U5" s="9">
        <f>VLOOKUP($A5,'RES installed'!$A$2:$C$7,3,FALSE)*'[1]Profiles, RES, Spring'!U$6</f>
        <v>15.120433560818947</v>
      </c>
      <c r="V5" s="9">
        <f>VLOOKUP($A5,'RES installed'!$A$2:$C$7,3,FALSE)*'[1]Profiles, RES, Spring'!V$6</f>
        <v>14.063629064632678</v>
      </c>
      <c r="W5" s="9">
        <f>VLOOKUP($A5,'RES installed'!$A$2:$C$7,3,FALSE)*'[1]Profiles, RES, Spring'!W$6</f>
        <v>13.341027699718989</v>
      </c>
      <c r="X5" s="9">
        <f>VLOOKUP($A5,'RES installed'!$A$2:$C$7,3,FALSE)*'[1]Profiles, RES, Spring'!X$6</f>
        <v>12.094540345242873</v>
      </c>
      <c r="Y5" s="9">
        <f>VLOOKUP($A5,'RES installed'!$A$2:$C$7,3,FALSE)*'[1]Profiles, RES, Spring'!Y$6</f>
        <v>10.784825371336813</v>
      </c>
    </row>
    <row r="6" spans="1:25" x14ac:dyDescent="0.3">
      <c r="A6" s="8">
        <v>5</v>
      </c>
      <c r="B6" s="9">
        <f>VLOOKUP($A6,'RES installed'!$A$2:$C$7,3,FALSE)*'[1]Profiles, RES, Spring'!B$6</f>
        <v>20.305098354074669</v>
      </c>
      <c r="C6" s="9">
        <f>VLOOKUP($A6,'RES installed'!$A$2:$C$7,3,FALSE)*'[1]Profiles, RES, Spring'!C$6</f>
        <v>18.426334805299078</v>
      </c>
      <c r="D6" s="9">
        <f>VLOOKUP($A6,'RES installed'!$A$2:$C$7,3,FALSE)*'[1]Profiles, RES, Spring'!D$6</f>
        <v>16.077880369329588</v>
      </c>
      <c r="E6" s="9">
        <f>VLOOKUP($A6,'RES installed'!$A$2:$C$7,3,FALSE)*'[1]Profiles, RES, Spring'!E$6</f>
        <v>14.476114010437575</v>
      </c>
      <c r="F6" s="9">
        <f>VLOOKUP($A6,'RES installed'!$A$2:$C$7,3,FALSE)*'[1]Profiles, RES, Spring'!F$6</f>
        <v>14.150943396226415</v>
      </c>
      <c r="G6" s="9">
        <f>VLOOKUP($A6,'RES installed'!$A$2:$C$7,3,FALSE)*'[1]Profiles, RES, Spring'!G$6</f>
        <v>14.307507025291049</v>
      </c>
      <c r="H6" s="9">
        <f>VLOOKUP($A6,'RES installed'!$A$2:$C$7,3,FALSE)*'[1]Profiles, RES, Spring'!H$6</f>
        <v>12.211963067041349</v>
      </c>
      <c r="I6" s="9">
        <f>VLOOKUP($A6,'RES installed'!$A$2:$C$7,3,FALSE)*'[1]Profiles, RES, Spring'!I$6</f>
        <v>9.1890806904857492</v>
      </c>
      <c r="J6" s="9">
        <f>VLOOKUP($A6,'RES installed'!$A$2:$C$7,3,FALSE)*'[1]Profiles, RES, Spring'!J$6</f>
        <v>8.3701324769169005</v>
      </c>
      <c r="K6" s="9">
        <f>VLOOKUP($A6,'RES installed'!$A$2:$C$7,3,FALSE)*'[1]Profiles, RES, Spring'!K$6</f>
        <v>8.7193898032918504</v>
      </c>
      <c r="L6" s="9">
        <f>VLOOKUP($A6,'RES installed'!$A$2:$C$7,3,FALSE)*'[1]Profiles, RES, Spring'!L$6</f>
        <v>9.7671617824167001</v>
      </c>
      <c r="M6" s="9">
        <f>VLOOKUP($A6,'RES installed'!$A$2:$C$7,3,FALSE)*'[1]Profiles, RES, Spring'!M$6</f>
        <v>11.200321156162184</v>
      </c>
      <c r="N6" s="9">
        <f>VLOOKUP($A6,'RES installed'!$A$2:$C$7,3,FALSE)*'[1]Profiles, RES, Spring'!N$6</f>
        <v>14.560417503010839</v>
      </c>
      <c r="O6" s="9">
        <f>VLOOKUP($A6,'RES installed'!$A$2:$C$7,3,FALSE)*'[1]Profiles, RES, Spring'!O$6</f>
        <v>18.077077478924128</v>
      </c>
      <c r="P6" s="9">
        <f>VLOOKUP($A6,'RES installed'!$A$2:$C$7,3,FALSE)*'[1]Profiles, RES, Spring'!P$6</f>
        <v>20.53392211963067</v>
      </c>
      <c r="Q6" s="9">
        <f>VLOOKUP($A6,'RES installed'!$A$2:$C$7,3,FALSE)*'[1]Profiles, RES, Spring'!Q$6</f>
        <v>22.593336009634687</v>
      </c>
      <c r="R6" s="9">
        <f>VLOOKUP($A6,'RES installed'!$A$2:$C$7,3,FALSE)*'[1]Profiles, RES, Spring'!R$6</f>
        <v>24.761140104375752</v>
      </c>
      <c r="S6" s="9">
        <f>VLOOKUP($A6,'RES installed'!$A$2:$C$7,3,FALSE)*'[1]Profiles, RES, Spring'!S$6</f>
        <v>23.689281413087112</v>
      </c>
      <c r="T6" s="9">
        <f>VLOOKUP($A6,'RES installed'!$A$2:$C$7,3,FALSE)*'[1]Profiles, RES, Spring'!T$6</f>
        <v>20.955439582496989</v>
      </c>
      <c r="U6" s="9">
        <f>VLOOKUP($A6,'RES installed'!$A$2:$C$7,3,FALSE)*'[1]Profiles, RES, Spring'!U$6</f>
        <v>20.160578081091931</v>
      </c>
      <c r="V6" s="9">
        <f>VLOOKUP($A6,'RES installed'!$A$2:$C$7,3,FALSE)*'[1]Profiles, RES, Spring'!V$6</f>
        <v>18.751505419510238</v>
      </c>
      <c r="W6" s="9">
        <f>VLOOKUP($A6,'RES installed'!$A$2:$C$7,3,FALSE)*'[1]Profiles, RES, Spring'!W$6</f>
        <v>17.788036932958651</v>
      </c>
      <c r="X6" s="9">
        <f>VLOOKUP($A6,'RES installed'!$A$2:$C$7,3,FALSE)*'[1]Profiles, RES, Spring'!X$6</f>
        <v>16.126053793657164</v>
      </c>
      <c r="Y6" s="9">
        <f>VLOOKUP($A6,'RES installed'!$A$2:$C$7,3,FALSE)*'[1]Profiles, RES, Spring'!Y$6</f>
        <v>14.379767161782416</v>
      </c>
    </row>
    <row r="7" spans="1:25" x14ac:dyDescent="0.3">
      <c r="A7" s="8">
        <v>6</v>
      </c>
      <c r="B7" s="9">
        <f>VLOOKUP($A7,'RES installed'!$A$2:$C$7,3,FALSE)*'[1]Profiles, RES, Spring'!B$6</f>
        <v>15.228823765556003</v>
      </c>
      <c r="C7" s="9">
        <f>VLOOKUP($A7,'RES installed'!$A$2:$C$7,3,FALSE)*'[1]Profiles, RES, Spring'!C$6</f>
        <v>13.819751103974308</v>
      </c>
      <c r="D7" s="9">
        <f>VLOOKUP($A7,'RES installed'!$A$2:$C$7,3,FALSE)*'[1]Profiles, RES, Spring'!D$6</f>
        <v>12.058410276997192</v>
      </c>
      <c r="E7" s="9">
        <f>VLOOKUP($A7,'RES installed'!$A$2:$C$7,3,FALSE)*'[1]Profiles, RES, Spring'!E$6</f>
        <v>10.857085507828181</v>
      </c>
      <c r="F7" s="9">
        <f>VLOOKUP($A7,'RES installed'!$A$2:$C$7,3,FALSE)*'[1]Profiles, RES, Spring'!F$6</f>
        <v>10.613207547169811</v>
      </c>
      <c r="G7" s="9">
        <f>VLOOKUP($A7,'RES installed'!$A$2:$C$7,3,FALSE)*'[1]Profiles, RES, Spring'!G$6</f>
        <v>10.730630268968287</v>
      </c>
      <c r="H7" s="9">
        <f>VLOOKUP($A7,'RES installed'!$A$2:$C$7,3,FALSE)*'[1]Profiles, RES, Spring'!H$6</f>
        <v>9.1589723002810111</v>
      </c>
      <c r="I7" s="9">
        <f>VLOOKUP($A7,'RES installed'!$A$2:$C$7,3,FALSE)*'[1]Profiles, RES, Spring'!I$6</f>
        <v>6.8918105178643119</v>
      </c>
      <c r="J7" s="9">
        <f>VLOOKUP($A7,'RES installed'!$A$2:$C$7,3,FALSE)*'[1]Profiles, RES, Spring'!J$6</f>
        <v>6.2775993576876754</v>
      </c>
      <c r="K7" s="9">
        <f>VLOOKUP($A7,'RES installed'!$A$2:$C$7,3,FALSE)*'[1]Profiles, RES, Spring'!K$6</f>
        <v>6.5395423524688878</v>
      </c>
      <c r="L7" s="9">
        <f>VLOOKUP($A7,'RES installed'!$A$2:$C$7,3,FALSE)*'[1]Profiles, RES, Spring'!L$6</f>
        <v>7.3253713368125251</v>
      </c>
      <c r="M7" s="9">
        <f>VLOOKUP($A7,'RES installed'!$A$2:$C$7,3,FALSE)*'[1]Profiles, RES, Spring'!M$6</f>
        <v>8.4002408671216386</v>
      </c>
      <c r="N7" s="9">
        <f>VLOOKUP($A7,'RES installed'!$A$2:$C$7,3,FALSE)*'[1]Profiles, RES, Spring'!N$6</f>
        <v>10.92031312725813</v>
      </c>
      <c r="O7" s="9">
        <f>VLOOKUP($A7,'RES installed'!$A$2:$C$7,3,FALSE)*'[1]Profiles, RES, Spring'!O$6</f>
        <v>13.557808109193095</v>
      </c>
      <c r="P7" s="9">
        <f>VLOOKUP($A7,'RES installed'!$A$2:$C$7,3,FALSE)*'[1]Profiles, RES, Spring'!P$6</f>
        <v>15.400441589723002</v>
      </c>
      <c r="Q7" s="9">
        <f>VLOOKUP($A7,'RES installed'!$A$2:$C$7,3,FALSE)*'[1]Profiles, RES, Spring'!Q$6</f>
        <v>16.945002007226016</v>
      </c>
      <c r="R7" s="9">
        <f>VLOOKUP($A7,'RES installed'!$A$2:$C$7,3,FALSE)*'[1]Profiles, RES, Spring'!R$6</f>
        <v>18.570855078281813</v>
      </c>
      <c r="S7" s="9">
        <f>VLOOKUP($A7,'RES installed'!$A$2:$C$7,3,FALSE)*'[1]Profiles, RES, Spring'!S$6</f>
        <v>17.766961059815333</v>
      </c>
      <c r="T7" s="9">
        <f>VLOOKUP($A7,'RES installed'!$A$2:$C$7,3,FALSE)*'[1]Profiles, RES, Spring'!T$6</f>
        <v>15.716579686872743</v>
      </c>
      <c r="U7" s="9">
        <f>VLOOKUP($A7,'RES installed'!$A$2:$C$7,3,FALSE)*'[1]Profiles, RES, Spring'!U$6</f>
        <v>15.120433560818947</v>
      </c>
      <c r="V7" s="9">
        <f>VLOOKUP($A7,'RES installed'!$A$2:$C$7,3,FALSE)*'[1]Profiles, RES, Spring'!V$6</f>
        <v>14.063629064632678</v>
      </c>
      <c r="W7" s="9">
        <f>VLOOKUP($A7,'RES installed'!$A$2:$C$7,3,FALSE)*'[1]Profiles, RES, Spring'!W$6</f>
        <v>13.341027699718989</v>
      </c>
      <c r="X7" s="9">
        <f>VLOOKUP($A7,'RES installed'!$A$2:$C$7,3,FALSE)*'[1]Profiles, RES, Spring'!X$6</f>
        <v>12.094540345242873</v>
      </c>
      <c r="Y7" s="9">
        <f>VLOOKUP($A7,'RES installed'!$A$2:$C$7,3,FALSE)*'[1]Profiles, RES, Spring'!Y$6</f>
        <v>10.784825371336813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0.85291887793783172</v>
      </c>
      <c r="H8" s="6">
        <f>VLOOKUP($A8,'RES installed'!$A$2:$C$7,3,FALSE)*'[1]Profiles, RES, Spring'!H$3</f>
        <v>7.4772554965883247</v>
      </c>
      <c r="I8" s="6">
        <f>VLOOKUP($A8,'RES installed'!$A$2:$C$7,3,FALSE)*'[1]Profiles, RES, Spring'!I$3</f>
        <v>17.996588324488251</v>
      </c>
      <c r="J8" s="6">
        <f>VLOOKUP($A8,'RES installed'!$A$2:$C$7,3,FALSE)*'[1]Profiles, RES, Spring'!J$3</f>
        <v>27.151250947687643</v>
      </c>
      <c r="K8" s="6">
        <f>VLOOKUP($A8,'RES installed'!$A$2:$C$7,3,FALSE)*'[1]Profiles, RES, Spring'!K$3</f>
        <v>37.812736921910542</v>
      </c>
      <c r="L8" s="6">
        <f>VLOOKUP($A8,'RES installed'!$A$2:$C$7,3,FALSE)*'[1]Profiles, RES, Spring'!L$3</f>
        <v>44.749810462471572</v>
      </c>
      <c r="M8" s="6">
        <f>VLOOKUP($A8,'RES installed'!$A$2:$C$7,3,FALSE)*'[1]Profiles, RES, Spring'!M$3</f>
        <v>45.801743745261561</v>
      </c>
      <c r="N8" s="6">
        <f>VLOOKUP($A8,'RES installed'!$A$2:$C$7,3,FALSE)*'[1]Profiles, RES, Spring'!N$3</f>
        <v>46.882107657316148</v>
      </c>
      <c r="O8" s="6">
        <f>VLOOKUP($A8,'RES installed'!$A$2:$C$7,3,FALSE)*'[1]Profiles, RES, Spring'!O$3</f>
        <v>45.23313115996968</v>
      </c>
      <c r="P8" s="6">
        <f>VLOOKUP($A8,'RES installed'!$A$2:$C$7,3,FALSE)*'[1]Profiles, RES, Spring'!P$3</f>
        <v>48.076194086429112</v>
      </c>
      <c r="Q8" s="6">
        <f>VLOOKUP($A8,'RES installed'!$A$2:$C$7,3,FALSE)*'[1]Profiles, RES, Spring'!Q$3</f>
        <v>42.674374526156178</v>
      </c>
      <c r="R8" s="6">
        <f>VLOOKUP($A8,'RES installed'!$A$2:$C$7,3,FALSE)*'[1]Profiles, RES, Spring'!R$3</f>
        <v>35.794162244124337</v>
      </c>
      <c r="S8" s="6">
        <f>VLOOKUP($A8,'RES installed'!$A$2:$C$7,3,FALSE)*'[1]Profiles, RES, Spring'!S$3</f>
        <v>23.398407884761184</v>
      </c>
      <c r="T8" s="6">
        <f>VLOOKUP($A8,'RES installed'!$A$2:$C$7,3,FALSE)*'[1]Profiles, RES, Spring'!T$3</f>
        <v>8.5291887793783179</v>
      </c>
      <c r="U8" s="6">
        <f>VLOOKUP($A8,'RES installed'!$A$2:$C$7,3,FALSE)*'[1]Profiles, RES, Spring'!U$3</f>
        <v>0.76762699014404845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  <row r="9" spans="1:25" x14ac:dyDescent="0.3">
      <c r="A9" s="5">
        <v>8</v>
      </c>
      <c r="B9" s="6">
        <f>VLOOKUP($A9,'RES installed'!$A$2:$C$7,3,FALSE)*'[1]Profiles, RES, Spring'!B$3</f>
        <v>0</v>
      </c>
      <c r="C9" s="6">
        <f>VLOOKUP($A9,'RES installed'!$A$2:$C$7,3,FALSE)*'[1]Profiles, RES, Spring'!C$3</f>
        <v>0</v>
      </c>
      <c r="D9" s="6">
        <f>VLOOKUP($A9,'RES installed'!$A$2:$C$7,3,FALSE)*'[1]Profiles, RES, Spring'!D$3</f>
        <v>0</v>
      </c>
      <c r="E9" s="6">
        <f>VLOOKUP($A9,'RES installed'!$A$2:$C$7,3,FALSE)*'[1]Profiles, RES, Spring'!E$3</f>
        <v>0</v>
      </c>
      <c r="F9" s="6">
        <f>VLOOKUP($A9,'RES installed'!$A$2:$C$7,3,FALSE)*'[1]Profiles, RES, Spring'!F$3</f>
        <v>0</v>
      </c>
      <c r="G9" s="6">
        <f>VLOOKUP($A9,'RES installed'!$A$2:$C$7,3,FALSE)*'[1]Profiles, RES, Spring'!G$3</f>
        <v>0.56861258529188785</v>
      </c>
      <c r="H9" s="6">
        <f>VLOOKUP($A9,'RES installed'!$A$2:$C$7,3,FALSE)*'[1]Profiles, RES, Spring'!H$3</f>
        <v>4.9848369977255498</v>
      </c>
      <c r="I9" s="6">
        <f>VLOOKUP($A9,'RES installed'!$A$2:$C$7,3,FALSE)*'[1]Profiles, RES, Spring'!I$3</f>
        <v>11.997725549658833</v>
      </c>
      <c r="J9" s="6">
        <f>VLOOKUP($A9,'RES installed'!$A$2:$C$7,3,FALSE)*'[1]Profiles, RES, Spring'!J$3</f>
        <v>18.100833965125098</v>
      </c>
      <c r="K9" s="6">
        <f>VLOOKUP($A9,'RES installed'!$A$2:$C$7,3,FALSE)*'[1]Profiles, RES, Spring'!K$3</f>
        <v>25.208491281273695</v>
      </c>
      <c r="L9" s="6">
        <f>VLOOKUP($A9,'RES installed'!$A$2:$C$7,3,FALSE)*'[1]Profiles, RES, Spring'!L$3</f>
        <v>29.833206974981046</v>
      </c>
      <c r="M9" s="6">
        <f>VLOOKUP($A9,'RES installed'!$A$2:$C$7,3,FALSE)*'[1]Profiles, RES, Spring'!M$3</f>
        <v>30.534495830174375</v>
      </c>
      <c r="N9" s="6">
        <f>VLOOKUP($A9,'RES installed'!$A$2:$C$7,3,FALSE)*'[1]Profiles, RES, Spring'!N$3</f>
        <v>31.254738438210765</v>
      </c>
      <c r="O9" s="6">
        <f>VLOOKUP($A9,'RES installed'!$A$2:$C$7,3,FALSE)*'[1]Profiles, RES, Spring'!O$3</f>
        <v>30.155420773313118</v>
      </c>
      <c r="P9" s="6">
        <f>VLOOKUP($A9,'RES installed'!$A$2:$C$7,3,FALSE)*'[1]Profiles, RES, Spring'!P$3</f>
        <v>32.050796057619408</v>
      </c>
      <c r="Q9" s="6">
        <f>VLOOKUP($A9,'RES installed'!$A$2:$C$7,3,FALSE)*'[1]Profiles, RES, Spring'!Q$3</f>
        <v>28.449583017437451</v>
      </c>
      <c r="R9" s="6">
        <f>VLOOKUP($A9,'RES installed'!$A$2:$C$7,3,FALSE)*'[1]Profiles, RES, Spring'!R$3</f>
        <v>23.862774829416225</v>
      </c>
      <c r="S9" s="6">
        <f>VLOOKUP($A9,'RES installed'!$A$2:$C$7,3,FALSE)*'[1]Profiles, RES, Spring'!S$3</f>
        <v>15.598938589840788</v>
      </c>
      <c r="T9" s="6">
        <f>VLOOKUP($A9,'RES installed'!$A$2:$C$7,3,FALSE)*'[1]Profiles, RES, Spring'!T$3</f>
        <v>5.6861258529188783</v>
      </c>
      <c r="U9" s="6">
        <f>VLOOKUP($A9,'RES installed'!$A$2:$C$7,3,FALSE)*'[1]Profiles, RES, Spring'!U$3</f>
        <v>0.51175132676269897</v>
      </c>
      <c r="V9" s="6">
        <f>VLOOKUP($A9,'RES installed'!$A$2:$C$7,3,FALSE)*'[1]Profiles, RES, Spring'!V$3</f>
        <v>0</v>
      </c>
      <c r="W9" s="6">
        <f>VLOOKUP($A9,'RES installed'!$A$2:$C$7,3,FALSE)*'[1]Profiles, RES, Spring'!W$3</f>
        <v>0</v>
      </c>
      <c r="X9" s="6">
        <f>VLOOKUP($A9,'RES installed'!$A$2:$C$7,3,FALSE)*'[1]Profiles, RES, Spring'!X$3</f>
        <v>0</v>
      </c>
      <c r="Y9" s="6">
        <f>VLOOKUP($A9,'RES installed'!$A$2:$C$7,3,FALSE)*'[1]Profiles, RES, Spring'!Y$3</f>
        <v>0</v>
      </c>
    </row>
    <row r="10" spans="1:25" x14ac:dyDescent="0.3">
      <c r="A10" s="5">
        <v>9</v>
      </c>
      <c r="B10" s="6">
        <f>VLOOKUP($A10,'RES installed'!$A$2:$C$7,3,FALSE)*'[1]Profiles, RES, Spring'!B$3</f>
        <v>0</v>
      </c>
      <c r="C10" s="6">
        <f>VLOOKUP($A10,'RES installed'!$A$2:$C$7,3,FALSE)*'[1]Profiles, RES, Spring'!C$3</f>
        <v>0</v>
      </c>
      <c r="D10" s="6">
        <f>VLOOKUP($A10,'RES installed'!$A$2:$C$7,3,FALSE)*'[1]Profiles, RES, Spring'!D$3</f>
        <v>0</v>
      </c>
      <c r="E10" s="6">
        <f>VLOOKUP($A10,'RES installed'!$A$2:$C$7,3,FALSE)*'[1]Profiles, RES, Spring'!E$3</f>
        <v>0</v>
      </c>
      <c r="F10" s="6">
        <f>VLOOKUP($A10,'RES installed'!$A$2:$C$7,3,FALSE)*'[1]Profiles, RES, Spring'!F$3</f>
        <v>0</v>
      </c>
      <c r="G10" s="6">
        <f>VLOOKUP($A10,'RES installed'!$A$2:$C$7,3,FALSE)*'[1]Profiles, RES, Spring'!G$3</f>
        <v>0.6823351023502654</v>
      </c>
      <c r="H10" s="6">
        <f>VLOOKUP($A10,'RES installed'!$A$2:$C$7,3,FALSE)*'[1]Profiles, RES, Spring'!H$3</f>
        <v>5.9818043972706594</v>
      </c>
      <c r="I10" s="6">
        <f>VLOOKUP($A10,'RES installed'!$A$2:$C$7,3,FALSE)*'[1]Profiles, RES, Spring'!I$3</f>
        <v>14.3972706595906</v>
      </c>
      <c r="J10" s="6">
        <f>VLOOKUP($A10,'RES installed'!$A$2:$C$7,3,FALSE)*'[1]Profiles, RES, Spring'!J$3</f>
        <v>21.721000758150115</v>
      </c>
      <c r="K10" s="6">
        <f>VLOOKUP($A10,'RES installed'!$A$2:$C$7,3,FALSE)*'[1]Profiles, RES, Spring'!K$3</f>
        <v>30.250189537528431</v>
      </c>
      <c r="L10" s="6">
        <f>VLOOKUP($A10,'RES installed'!$A$2:$C$7,3,FALSE)*'[1]Profiles, RES, Spring'!L$3</f>
        <v>35.799848369977255</v>
      </c>
      <c r="M10" s="6">
        <f>VLOOKUP($A10,'RES installed'!$A$2:$C$7,3,FALSE)*'[1]Profiles, RES, Spring'!M$3</f>
        <v>36.64139499620925</v>
      </c>
      <c r="N10" s="6">
        <f>VLOOKUP($A10,'RES installed'!$A$2:$C$7,3,FALSE)*'[1]Profiles, RES, Spring'!N$3</f>
        <v>37.505686125852918</v>
      </c>
      <c r="O10" s="6">
        <f>VLOOKUP($A10,'RES installed'!$A$2:$C$7,3,FALSE)*'[1]Profiles, RES, Spring'!O$3</f>
        <v>36.18650492797574</v>
      </c>
      <c r="P10" s="6">
        <f>VLOOKUP($A10,'RES installed'!$A$2:$C$7,3,FALSE)*'[1]Profiles, RES, Spring'!P$3</f>
        <v>38.460955269143291</v>
      </c>
      <c r="Q10" s="6">
        <f>VLOOKUP($A10,'RES installed'!$A$2:$C$7,3,FALSE)*'[1]Profiles, RES, Spring'!Q$3</f>
        <v>34.139499620924944</v>
      </c>
      <c r="R10" s="6">
        <f>VLOOKUP($A10,'RES installed'!$A$2:$C$7,3,FALSE)*'[1]Profiles, RES, Spring'!R$3</f>
        <v>28.635329795299469</v>
      </c>
      <c r="S10" s="6">
        <f>VLOOKUP($A10,'RES installed'!$A$2:$C$7,3,FALSE)*'[1]Profiles, RES, Spring'!S$3</f>
        <v>18.718726307808947</v>
      </c>
      <c r="T10" s="6">
        <f>VLOOKUP($A10,'RES installed'!$A$2:$C$7,3,FALSE)*'[1]Profiles, RES, Spring'!T$3</f>
        <v>6.8233510235026538</v>
      </c>
      <c r="U10" s="6">
        <f>VLOOKUP($A10,'RES installed'!$A$2:$C$7,3,FALSE)*'[1]Profiles, RES, Spring'!U$3</f>
        <v>0.61410159211523874</v>
      </c>
      <c r="V10" s="6">
        <f>VLOOKUP($A10,'RES installed'!$A$2:$C$7,3,FALSE)*'[1]Profiles, RES, Spring'!V$3</f>
        <v>0</v>
      </c>
      <c r="W10" s="6">
        <f>VLOOKUP($A10,'RES installed'!$A$2:$C$7,3,FALSE)*'[1]Profiles, RES, Spring'!W$3</f>
        <v>0</v>
      </c>
      <c r="X10" s="6">
        <f>VLOOKUP($A10,'RES installed'!$A$2:$C$7,3,FALSE)*'[1]Profiles, RES, Spring'!X$3</f>
        <v>0</v>
      </c>
      <c r="Y10" s="6">
        <f>VLOOKUP($A10,'RES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47D921-D097-4973-885E-7DCB80C972A8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Spring'!B$7</f>
        <v>11.146126053793658</v>
      </c>
      <c r="C5" s="9">
        <f>VLOOKUP($A5,'RES installed'!$A$2:$C$7,3,FALSE)*'[1]Profiles, RES, Spring'!C$7</f>
        <v>10.568044961862705</v>
      </c>
      <c r="D5" s="9">
        <f>VLOOKUP($A5,'RES installed'!$A$2:$C$7,3,FALSE)*'[1]Profiles, RES, Spring'!D$7</f>
        <v>10.27900441589723</v>
      </c>
      <c r="E5" s="9">
        <f>VLOOKUP($A5,'RES installed'!$A$2:$C$7,3,FALSE)*'[1]Profiles, RES, Spring'!E$7</f>
        <v>10.820955439582496</v>
      </c>
      <c r="F5" s="9">
        <f>VLOOKUP($A5,'RES installed'!$A$2:$C$7,3,FALSE)*'[1]Profiles, RES, Spring'!F$7</f>
        <v>10.84805299076676</v>
      </c>
      <c r="G5" s="9">
        <f>VLOOKUP($A5,'RES installed'!$A$2:$C$7,3,FALSE)*'[1]Profiles, RES, Spring'!G$7</f>
        <v>9.6467282215977512</v>
      </c>
      <c r="H5" s="9">
        <f>VLOOKUP($A5,'RES installed'!$A$2:$C$7,3,FALSE)*'[1]Profiles, RES, Spring'!H$7</f>
        <v>8.2105580088317947</v>
      </c>
      <c r="I5" s="9">
        <f>VLOOKUP($A5,'RES installed'!$A$2:$C$7,3,FALSE)*'[1]Profiles, RES, Spring'!I$7</f>
        <v>6.1872741870734638</v>
      </c>
      <c r="J5" s="9">
        <f>VLOOKUP($A5,'RES installed'!$A$2:$C$7,3,FALSE)*'[1]Profiles, RES, Spring'!J$7</f>
        <v>5.2117623444399843</v>
      </c>
      <c r="K5" s="9">
        <f>VLOOKUP($A5,'RES installed'!$A$2:$C$7,3,FALSE)*'[1]Profiles, RES, Spring'!K$7</f>
        <v>5.6633881975110389</v>
      </c>
      <c r="L5" s="9">
        <f>VLOOKUP($A5,'RES installed'!$A$2:$C$7,3,FALSE)*'[1]Profiles, RES, Spring'!L$7</f>
        <v>6.6930951425130463</v>
      </c>
      <c r="M5" s="9">
        <f>VLOOKUP($A5,'RES installed'!$A$2:$C$7,3,FALSE)*'[1]Profiles, RES, Spring'!M$7</f>
        <v>6.6208350060216778</v>
      </c>
      <c r="N5" s="9">
        <f>VLOOKUP($A5,'RES installed'!$A$2:$C$7,3,FALSE)*'[1]Profiles, RES, Spring'!N$7</f>
        <v>7.6053793657165798</v>
      </c>
      <c r="O5" s="9">
        <f>VLOOKUP($A5,'RES installed'!$A$2:$C$7,3,FALSE)*'[1]Profiles, RES, Spring'!O$7</f>
        <v>9.7009233239662773</v>
      </c>
      <c r="P5" s="9">
        <f>VLOOKUP($A5,'RES installed'!$A$2:$C$7,3,FALSE)*'[1]Profiles, RES, Spring'!P$7</f>
        <v>11.326776395022078</v>
      </c>
      <c r="Q5" s="9">
        <f>VLOOKUP($A5,'RES installed'!$A$2:$C$7,3,FALSE)*'[1]Profiles, RES, Spring'!Q$7</f>
        <v>12.762946607788036</v>
      </c>
      <c r="R5" s="9">
        <f>VLOOKUP($A5,'RES installed'!$A$2:$C$7,3,FALSE)*'[1]Profiles, RES, Spring'!R$7</f>
        <v>14.343637093536733</v>
      </c>
      <c r="S5" s="9">
        <f>VLOOKUP($A5,'RES installed'!$A$2:$C$7,3,FALSE)*'[1]Profiles, RES, Spring'!S$7</f>
        <v>14.930750702529105</v>
      </c>
      <c r="T5" s="9">
        <f>VLOOKUP($A5,'RES installed'!$A$2:$C$7,3,FALSE)*'[1]Profiles, RES, Spring'!T$7</f>
        <v>14.939783219590526</v>
      </c>
      <c r="U5" s="9">
        <f>VLOOKUP($A5,'RES installed'!$A$2:$C$7,3,FALSE)*'[1]Profiles, RES, Spring'!U$7</f>
        <v>13.35909273384183</v>
      </c>
      <c r="V5" s="9">
        <f>VLOOKUP($A5,'RES installed'!$A$2:$C$7,3,FALSE)*'[1]Profiles, RES, Spring'!V$7</f>
        <v>12.753914090726616</v>
      </c>
      <c r="W5" s="9">
        <f>VLOOKUP($A5,'RES installed'!$A$2:$C$7,3,FALSE)*'[1]Profiles, RES, Spring'!W$7</f>
        <v>12.681653954235246</v>
      </c>
      <c r="X5" s="9">
        <f>VLOOKUP($A5,'RES installed'!$A$2:$C$7,3,FALSE)*'[1]Profiles, RES, Spring'!X$7</f>
        <v>12.889401846647933</v>
      </c>
      <c r="Y5" s="9">
        <f>VLOOKUP($A5,'RES installed'!$A$2:$C$7,3,FALSE)*'[1]Profiles, RES, Spring'!Y$7</f>
        <v>13.91910879164994</v>
      </c>
    </row>
    <row r="6" spans="1:25" x14ac:dyDescent="0.3">
      <c r="A6" s="8">
        <v>5</v>
      </c>
      <c r="B6" s="9">
        <f>VLOOKUP($A6,'RES installed'!$A$2:$C$7,3,FALSE)*'[1]Profiles, RES, Spring'!B$7</f>
        <v>14.86150140505821</v>
      </c>
      <c r="C6" s="9">
        <f>VLOOKUP($A6,'RES installed'!$A$2:$C$7,3,FALSE)*'[1]Profiles, RES, Spring'!C$7</f>
        <v>14.090726615816941</v>
      </c>
      <c r="D6" s="9">
        <f>VLOOKUP($A6,'RES installed'!$A$2:$C$7,3,FALSE)*'[1]Profiles, RES, Spring'!D$7</f>
        <v>13.705339221196308</v>
      </c>
      <c r="E6" s="9">
        <f>VLOOKUP($A6,'RES installed'!$A$2:$C$7,3,FALSE)*'[1]Profiles, RES, Spring'!E$7</f>
        <v>14.427940586109996</v>
      </c>
      <c r="F6" s="9">
        <f>VLOOKUP($A6,'RES installed'!$A$2:$C$7,3,FALSE)*'[1]Profiles, RES, Spring'!F$7</f>
        <v>14.46407065435568</v>
      </c>
      <c r="G6" s="9">
        <f>VLOOKUP($A6,'RES installed'!$A$2:$C$7,3,FALSE)*'[1]Profiles, RES, Spring'!G$7</f>
        <v>12.862304295463669</v>
      </c>
      <c r="H6" s="9">
        <f>VLOOKUP($A6,'RES installed'!$A$2:$C$7,3,FALSE)*'[1]Profiles, RES, Spring'!H$7</f>
        <v>10.947410678442393</v>
      </c>
      <c r="I6" s="9">
        <f>VLOOKUP($A6,'RES installed'!$A$2:$C$7,3,FALSE)*'[1]Profiles, RES, Spring'!I$7</f>
        <v>8.2496989160979517</v>
      </c>
      <c r="J6" s="9">
        <f>VLOOKUP($A6,'RES installed'!$A$2:$C$7,3,FALSE)*'[1]Profiles, RES, Spring'!J$7</f>
        <v>6.9490164592533121</v>
      </c>
      <c r="K6" s="9">
        <f>VLOOKUP($A6,'RES installed'!$A$2:$C$7,3,FALSE)*'[1]Profiles, RES, Spring'!K$7</f>
        <v>7.5511842633480528</v>
      </c>
      <c r="L6" s="9">
        <f>VLOOKUP($A6,'RES installed'!$A$2:$C$7,3,FALSE)*'[1]Profiles, RES, Spring'!L$7</f>
        <v>8.9241268566840617</v>
      </c>
      <c r="M6" s="9">
        <f>VLOOKUP($A6,'RES installed'!$A$2:$C$7,3,FALSE)*'[1]Profiles, RES, Spring'!M$7</f>
        <v>8.8277800080289044</v>
      </c>
      <c r="N6" s="9">
        <f>VLOOKUP($A6,'RES installed'!$A$2:$C$7,3,FALSE)*'[1]Profiles, RES, Spring'!N$7</f>
        <v>10.14050582095544</v>
      </c>
      <c r="O6" s="9">
        <f>VLOOKUP($A6,'RES installed'!$A$2:$C$7,3,FALSE)*'[1]Profiles, RES, Spring'!O$7</f>
        <v>12.934564431955037</v>
      </c>
      <c r="P6" s="9">
        <f>VLOOKUP($A6,'RES installed'!$A$2:$C$7,3,FALSE)*'[1]Profiles, RES, Spring'!P$7</f>
        <v>15.102368526696106</v>
      </c>
      <c r="Q6" s="9">
        <f>VLOOKUP($A6,'RES installed'!$A$2:$C$7,3,FALSE)*'[1]Profiles, RES, Spring'!Q$7</f>
        <v>17.017262143717382</v>
      </c>
      <c r="R6" s="9">
        <f>VLOOKUP($A6,'RES installed'!$A$2:$C$7,3,FALSE)*'[1]Profiles, RES, Spring'!R$7</f>
        <v>19.124849458048978</v>
      </c>
      <c r="S6" s="9">
        <f>VLOOKUP($A6,'RES installed'!$A$2:$C$7,3,FALSE)*'[1]Profiles, RES, Spring'!S$7</f>
        <v>19.90766760337214</v>
      </c>
      <c r="T6" s="9">
        <f>VLOOKUP($A6,'RES installed'!$A$2:$C$7,3,FALSE)*'[1]Profiles, RES, Spring'!T$7</f>
        <v>19.919710959454033</v>
      </c>
      <c r="U6" s="9">
        <f>VLOOKUP($A6,'RES installed'!$A$2:$C$7,3,FALSE)*'[1]Profiles, RES, Spring'!U$7</f>
        <v>17.812123645122441</v>
      </c>
      <c r="V6" s="9">
        <f>VLOOKUP($A6,'RES installed'!$A$2:$C$7,3,FALSE)*'[1]Profiles, RES, Spring'!V$7</f>
        <v>17.005218787635489</v>
      </c>
      <c r="W6" s="9">
        <f>VLOOKUP($A6,'RES installed'!$A$2:$C$7,3,FALSE)*'[1]Profiles, RES, Spring'!W$7</f>
        <v>16.908871938980326</v>
      </c>
      <c r="X6" s="9">
        <f>VLOOKUP($A6,'RES installed'!$A$2:$C$7,3,FALSE)*'[1]Profiles, RES, Spring'!X$7</f>
        <v>17.18586912886391</v>
      </c>
      <c r="Y6" s="9">
        <f>VLOOKUP($A6,'RES installed'!$A$2:$C$7,3,FALSE)*'[1]Profiles, RES, Spring'!Y$7</f>
        <v>18.55881172219992</v>
      </c>
    </row>
    <row r="7" spans="1:25" x14ac:dyDescent="0.3">
      <c r="A7" s="8">
        <v>6</v>
      </c>
      <c r="B7" s="9">
        <f>VLOOKUP($A7,'RES installed'!$A$2:$C$7,3,FALSE)*'[1]Profiles, RES, Spring'!B$7</f>
        <v>11.146126053793658</v>
      </c>
      <c r="C7" s="9">
        <f>VLOOKUP($A7,'RES installed'!$A$2:$C$7,3,FALSE)*'[1]Profiles, RES, Spring'!C$7</f>
        <v>10.568044961862705</v>
      </c>
      <c r="D7" s="9">
        <f>VLOOKUP($A7,'RES installed'!$A$2:$C$7,3,FALSE)*'[1]Profiles, RES, Spring'!D$7</f>
        <v>10.27900441589723</v>
      </c>
      <c r="E7" s="9">
        <f>VLOOKUP($A7,'RES installed'!$A$2:$C$7,3,FALSE)*'[1]Profiles, RES, Spring'!E$7</f>
        <v>10.820955439582496</v>
      </c>
      <c r="F7" s="9">
        <f>VLOOKUP($A7,'RES installed'!$A$2:$C$7,3,FALSE)*'[1]Profiles, RES, Spring'!F$7</f>
        <v>10.84805299076676</v>
      </c>
      <c r="G7" s="9">
        <f>VLOOKUP($A7,'RES installed'!$A$2:$C$7,3,FALSE)*'[1]Profiles, RES, Spring'!G$7</f>
        <v>9.6467282215977512</v>
      </c>
      <c r="H7" s="9">
        <f>VLOOKUP($A7,'RES installed'!$A$2:$C$7,3,FALSE)*'[1]Profiles, RES, Spring'!H$7</f>
        <v>8.2105580088317947</v>
      </c>
      <c r="I7" s="9">
        <f>VLOOKUP($A7,'RES installed'!$A$2:$C$7,3,FALSE)*'[1]Profiles, RES, Spring'!I$7</f>
        <v>6.1872741870734638</v>
      </c>
      <c r="J7" s="9">
        <f>VLOOKUP($A7,'RES installed'!$A$2:$C$7,3,FALSE)*'[1]Profiles, RES, Spring'!J$7</f>
        <v>5.2117623444399843</v>
      </c>
      <c r="K7" s="9">
        <f>VLOOKUP($A7,'RES installed'!$A$2:$C$7,3,FALSE)*'[1]Profiles, RES, Spring'!K$7</f>
        <v>5.6633881975110389</v>
      </c>
      <c r="L7" s="9">
        <f>VLOOKUP($A7,'RES installed'!$A$2:$C$7,3,FALSE)*'[1]Profiles, RES, Spring'!L$7</f>
        <v>6.6930951425130463</v>
      </c>
      <c r="M7" s="9">
        <f>VLOOKUP($A7,'RES installed'!$A$2:$C$7,3,FALSE)*'[1]Profiles, RES, Spring'!M$7</f>
        <v>6.6208350060216778</v>
      </c>
      <c r="N7" s="9">
        <f>VLOOKUP($A7,'RES installed'!$A$2:$C$7,3,FALSE)*'[1]Profiles, RES, Spring'!N$7</f>
        <v>7.6053793657165798</v>
      </c>
      <c r="O7" s="9">
        <f>VLOOKUP($A7,'RES installed'!$A$2:$C$7,3,FALSE)*'[1]Profiles, RES, Spring'!O$7</f>
        <v>9.7009233239662773</v>
      </c>
      <c r="P7" s="9">
        <f>VLOOKUP($A7,'RES installed'!$A$2:$C$7,3,FALSE)*'[1]Profiles, RES, Spring'!P$7</f>
        <v>11.326776395022078</v>
      </c>
      <c r="Q7" s="9">
        <f>VLOOKUP($A7,'RES installed'!$A$2:$C$7,3,FALSE)*'[1]Profiles, RES, Spring'!Q$7</f>
        <v>12.762946607788036</v>
      </c>
      <c r="R7" s="9">
        <f>VLOOKUP($A7,'RES installed'!$A$2:$C$7,3,FALSE)*'[1]Profiles, RES, Spring'!R$7</f>
        <v>14.343637093536733</v>
      </c>
      <c r="S7" s="9">
        <f>VLOOKUP($A7,'RES installed'!$A$2:$C$7,3,FALSE)*'[1]Profiles, RES, Spring'!S$7</f>
        <v>14.930750702529105</v>
      </c>
      <c r="T7" s="9">
        <f>VLOOKUP($A7,'RES installed'!$A$2:$C$7,3,FALSE)*'[1]Profiles, RES, Spring'!T$7</f>
        <v>14.939783219590526</v>
      </c>
      <c r="U7" s="9">
        <f>VLOOKUP($A7,'RES installed'!$A$2:$C$7,3,FALSE)*'[1]Profiles, RES, Spring'!U$7</f>
        <v>13.35909273384183</v>
      </c>
      <c r="V7" s="9">
        <f>VLOOKUP($A7,'RES installed'!$A$2:$C$7,3,FALSE)*'[1]Profiles, RES, Spring'!V$7</f>
        <v>12.753914090726616</v>
      </c>
      <c r="W7" s="9">
        <f>VLOOKUP($A7,'RES installed'!$A$2:$C$7,3,FALSE)*'[1]Profiles, RES, Spring'!W$7</f>
        <v>12.681653954235246</v>
      </c>
      <c r="X7" s="9">
        <f>VLOOKUP($A7,'RES installed'!$A$2:$C$7,3,FALSE)*'[1]Profiles, RES, Spring'!X$7</f>
        <v>12.889401846647933</v>
      </c>
      <c r="Y7" s="9">
        <f>VLOOKUP($A7,'RES installed'!$A$2:$C$7,3,FALSE)*'[1]Profiles, RES, Spring'!Y$7</f>
        <v>13.91910879164994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0.82448824867323733</v>
      </c>
      <c r="H8" s="6">
        <f>VLOOKUP($A8,'RES installed'!$A$2:$C$7,3,FALSE)*'[1]Profiles, RES, Spring'!H$4</f>
        <v>7.9037149355572396</v>
      </c>
      <c r="I8" s="6">
        <f>VLOOKUP($A8,'RES installed'!$A$2:$C$7,3,FALSE)*'[1]Profiles, RES, Spring'!I$4</f>
        <v>21.948445792266867</v>
      </c>
      <c r="J8" s="6">
        <f>VLOOKUP($A8,'RES installed'!$A$2:$C$7,3,FALSE)*'[1]Profiles, RES, Spring'!J$4</f>
        <v>35.225549658832449</v>
      </c>
      <c r="K8" s="6">
        <f>VLOOKUP($A8,'RES installed'!$A$2:$C$7,3,FALSE)*'[1]Profiles, RES, Spring'!K$4</f>
        <v>41.764594389689158</v>
      </c>
      <c r="L8" s="6">
        <f>VLOOKUP($A8,'RES installed'!$A$2:$C$7,3,FALSE)*'[1]Profiles, RES, Spring'!L$4</f>
        <v>46.171341925701284</v>
      </c>
      <c r="M8" s="6">
        <f>VLOOKUP($A8,'RES installed'!$A$2:$C$7,3,FALSE)*'[1]Profiles, RES, Spring'!M$4</f>
        <v>51.345716451857463</v>
      </c>
      <c r="N8" s="6">
        <f>VLOOKUP($A8,'RES installed'!$A$2:$C$7,3,FALSE)*'[1]Profiles, RES, Spring'!N$4</f>
        <v>50.123199393479908</v>
      </c>
      <c r="O8" s="6">
        <f>VLOOKUP($A8,'RES installed'!$A$2:$C$7,3,FALSE)*'[1]Profiles, RES, Spring'!O$4</f>
        <v>49.867323730098562</v>
      </c>
      <c r="P8" s="6">
        <f>VLOOKUP($A8,'RES installed'!$A$2:$C$7,3,FALSE)*'[1]Profiles, RES, Spring'!P$4</f>
        <v>50.208491281273687</v>
      </c>
      <c r="Q8" s="6">
        <f>VLOOKUP($A8,'RES installed'!$A$2:$C$7,3,FALSE)*'[1]Profiles, RES, Spring'!Q$4</f>
        <v>46.39878695981804</v>
      </c>
      <c r="R8" s="6">
        <f>VLOOKUP($A8,'RES installed'!$A$2:$C$7,3,FALSE)*'[1]Profiles, RES, Spring'!R$4</f>
        <v>37.727445034116755</v>
      </c>
      <c r="S8" s="6">
        <f>VLOOKUP($A8,'RES installed'!$A$2:$C$7,3,FALSE)*'[1]Profiles, RES, Spring'!S$4</f>
        <v>24.73464746019712</v>
      </c>
      <c r="T8" s="6">
        <f>VLOOKUP($A8,'RES installed'!$A$2:$C$7,3,FALSE)*'[1]Profiles, RES, Spring'!T$4</f>
        <v>8.7850644427596674</v>
      </c>
      <c r="U8" s="6">
        <f>VLOOKUP($A8,'RES installed'!$A$2:$C$7,3,FALSE)*'[1]Profiles, RES, Spring'!U$4</f>
        <v>0.90978013646702049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  <row r="9" spans="1:25" x14ac:dyDescent="0.3">
      <c r="A9" s="5">
        <v>8</v>
      </c>
      <c r="B9" s="6">
        <f>VLOOKUP($A9,'RES installed'!$A$2:$C$7,3,FALSE)*'[1]Profiles, RES, Spring'!B$4</f>
        <v>0</v>
      </c>
      <c r="C9" s="6">
        <f>VLOOKUP($A9,'RES installed'!$A$2:$C$7,3,FALSE)*'[1]Profiles, RES, Spring'!C$4</f>
        <v>0</v>
      </c>
      <c r="D9" s="6">
        <f>VLOOKUP($A9,'RES installed'!$A$2:$C$7,3,FALSE)*'[1]Profiles, RES, Spring'!D$4</f>
        <v>0</v>
      </c>
      <c r="E9" s="6">
        <f>VLOOKUP($A9,'RES installed'!$A$2:$C$7,3,FALSE)*'[1]Profiles, RES, Spring'!E$4</f>
        <v>0</v>
      </c>
      <c r="F9" s="6">
        <f>VLOOKUP($A9,'RES installed'!$A$2:$C$7,3,FALSE)*'[1]Profiles, RES, Spring'!F$4</f>
        <v>0</v>
      </c>
      <c r="G9" s="6">
        <f>VLOOKUP($A9,'RES installed'!$A$2:$C$7,3,FALSE)*'[1]Profiles, RES, Spring'!G$4</f>
        <v>0.54965883244882485</v>
      </c>
      <c r="H9" s="6">
        <f>VLOOKUP($A9,'RES installed'!$A$2:$C$7,3,FALSE)*'[1]Profiles, RES, Spring'!H$4</f>
        <v>5.2691432903714936</v>
      </c>
      <c r="I9" s="6">
        <f>VLOOKUP($A9,'RES installed'!$A$2:$C$7,3,FALSE)*'[1]Profiles, RES, Spring'!I$4</f>
        <v>14.632297194844579</v>
      </c>
      <c r="J9" s="6">
        <f>VLOOKUP($A9,'RES installed'!$A$2:$C$7,3,FALSE)*'[1]Profiles, RES, Spring'!J$4</f>
        <v>23.483699772554967</v>
      </c>
      <c r="K9" s="6">
        <f>VLOOKUP($A9,'RES installed'!$A$2:$C$7,3,FALSE)*'[1]Profiles, RES, Spring'!K$4</f>
        <v>27.843062926459439</v>
      </c>
      <c r="L9" s="6">
        <f>VLOOKUP($A9,'RES installed'!$A$2:$C$7,3,FALSE)*'[1]Profiles, RES, Spring'!L$4</f>
        <v>30.780894617134191</v>
      </c>
      <c r="M9" s="6">
        <f>VLOOKUP($A9,'RES installed'!$A$2:$C$7,3,FALSE)*'[1]Profiles, RES, Spring'!M$4</f>
        <v>34.230477634571642</v>
      </c>
      <c r="N9" s="6">
        <f>VLOOKUP($A9,'RES installed'!$A$2:$C$7,3,FALSE)*'[1]Profiles, RES, Spring'!N$4</f>
        <v>33.415466262319939</v>
      </c>
      <c r="O9" s="6">
        <f>VLOOKUP($A9,'RES installed'!$A$2:$C$7,3,FALSE)*'[1]Profiles, RES, Spring'!O$4</f>
        <v>33.244882486732372</v>
      </c>
      <c r="P9" s="6">
        <f>VLOOKUP($A9,'RES installed'!$A$2:$C$7,3,FALSE)*'[1]Profiles, RES, Spring'!P$4</f>
        <v>33.472327520849127</v>
      </c>
      <c r="Q9" s="6">
        <f>VLOOKUP($A9,'RES installed'!$A$2:$C$7,3,FALSE)*'[1]Profiles, RES, Spring'!Q$4</f>
        <v>30.932524639878693</v>
      </c>
      <c r="R9" s="6">
        <f>VLOOKUP($A9,'RES installed'!$A$2:$C$7,3,FALSE)*'[1]Profiles, RES, Spring'!R$4</f>
        <v>25.151630022744502</v>
      </c>
      <c r="S9" s="6">
        <f>VLOOKUP($A9,'RES installed'!$A$2:$C$7,3,FALSE)*'[1]Profiles, RES, Spring'!S$4</f>
        <v>16.489764973464744</v>
      </c>
      <c r="T9" s="6">
        <f>VLOOKUP($A9,'RES installed'!$A$2:$C$7,3,FALSE)*'[1]Profiles, RES, Spring'!T$4</f>
        <v>5.8567096285064446</v>
      </c>
      <c r="U9" s="6">
        <f>VLOOKUP($A9,'RES installed'!$A$2:$C$7,3,FALSE)*'[1]Profiles, RES, Spring'!U$4</f>
        <v>0.60652009097801363</v>
      </c>
      <c r="V9" s="6">
        <f>VLOOKUP($A9,'RES installed'!$A$2:$C$7,3,FALSE)*'[1]Profiles, RES, Spring'!V$4</f>
        <v>0</v>
      </c>
      <c r="W9" s="6">
        <f>VLOOKUP($A9,'RES installed'!$A$2:$C$7,3,FALSE)*'[1]Profiles, RES, Spring'!W$4</f>
        <v>0</v>
      </c>
      <c r="X9" s="6">
        <f>VLOOKUP($A9,'RES installed'!$A$2:$C$7,3,FALSE)*'[1]Profiles, RES, Spring'!X$4</f>
        <v>0</v>
      </c>
      <c r="Y9" s="6">
        <f>VLOOKUP($A9,'RES installed'!$A$2:$C$7,3,FALSE)*'[1]Profiles, RES, Spring'!Y$4</f>
        <v>0</v>
      </c>
    </row>
    <row r="10" spans="1:25" x14ac:dyDescent="0.3">
      <c r="A10" s="5">
        <v>9</v>
      </c>
      <c r="B10" s="6">
        <f>VLOOKUP($A10,'RES installed'!$A$2:$C$7,3,FALSE)*'[1]Profiles, RES, Spring'!B$4</f>
        <v>0</v>
      </c>
      <c r="C10" s="6">
        <f>VLOOKUP($A10,'RES installed'!$A$2:$C$7,3,FALSE)*'[1]Profiles, RES, Spring'!C$4</f>
        <v>0</v>
      </c>
      <c r="D10" s="6">
        <f>VLOOKUP($A10,'RES installed'!$A$2:$C$7,3,FALSE)*'[1]Profiles, RES, Spring'!D$4</f>
        <v>0</v>
      </c>
      <c r="E10" s="6">
        <f>VLOOKUP($A10,'RES installed'!$A$2:$C$7,3,FALSE)*'[1]Profiles, RES, Spring'!E$4</f>
        <v>0</v>
      </c>
      <c r="F10" s="6">
        <f>VLOOKUP($A10,'RES installed'!$A$2:$C$7,3,FALSE)*'[1]Profiles, RES, Spring'!F$4</f>
        <v>0</v>
      </c>
      <c r="G10" s="6">
        <f>VLOOKUP($A10,'RES installed'!$A$2:$C$7,3,FALSE)*'[1]Profiles, RES, Spring'!G$4</f>
        <v>0.65959059893858984</v>
      </c>
      <c r="H10" s="6">
        <f>VLOOKUP($A10,'RES installed'!$A$2:$C$7,3,FALSE)*'[1]Profiles, RES, Spring'!H$4</f>
        <v>6.322971948445792</v>
      </c>
      <c r="I10" s="6">
        <f>VLOOKUP($A10,'RES installed'!$A$2:$C$7,3,FALSE)*'[1]Profiles, RES, Spring'!I$4</f>
        <v>17.558756633813495</v>
      </c>
      <c r="J10" s="6">
        <f>VLOOKUP($A10,'RES installed'!$A$2:$C$7,3,FALSE)*'[1]Profiles, RES, Spring'!J$4</f>
        <v>28.180439727065959</v>
      </c>
      <c r="K10" s="6">
        <f>VLOOKUP($A10,'RES installed'!$A$2:$C$7,3,FALSE)*'[1]Profiles, RES, Spring'!K$4</f>
        <v>33.411675511751326</v>
      </c>
      <c r="L10" s="6">
        <f>VLOOKUP($A10,'RES installed'!$A$2:$C$7,3,FALSE)*'[1]Profiles, RES, Spring'!L$4</f>
        <v>36.93707354056103</v>
      </c>
      <c r="M10" s="6">
        <f>VLOOKUP($A10,'RES installed'!$A$2:$C$7,3,FALSE)*'[1]Profiles, RES, Spring'!M$4</f>
        <v>41.076573161485975</v>
      </c>
      <c r="N10" s="6">
        <f>VLOOKUP($A10,'RES installed'!$A$2:$C$7,3,FALSE)*'[1]Profiles, RES, Spring'!N$4</f>
        <v>40.098559514783922</v>
      </c>
      <c r="O10" s="6">
        <f>VLOOKUP($A10,'RES installed'!$A$2:$C$7,3,FALSE)*'[1]Profiles, RES, Spring'!O$4</f>
        <v>39.893858984078847</v>
      </c>
      <c r="P10" s="6">
        <f>VLOOKUP($A10,'RES installed'!$A$2:$C$7,3,FALSE)*'[1]Profiles, RES, Spring'!P$4</f>
        <v>40.166793025018954</v>
      </c>
      <c r="Q10" s="6">
        <f>VLOOKUP($A10,'RES installed'!$A$2:$C$7,3,FALSE)*'[1]Profiles, RES, Spring'!Q$4</f>
        <v>37.119029567854433</v>
      </c>
      <c r="R10" s="6">
        <f>VLOOKUP($A10,'RES installed'!$A$2:$C$7,3,FALSE)*'[1]Profiles, RES, Spring'!R$4</f>
        <v>30.181956027293403</v>
      </c>
      <c r="S10" s="6">
        <f>VLOOKUP($A10,'RES installed'!$A$2:$C$7,3,FALSE)*'[1]Profiles, RES, Spring'!S$4</f>
        <v>19.787717968157697</v>
      </c>
      <c r="T10" s="6">
        <f>VLOOKUP($A10,'RES installed'!$A$2:$C$7,3,FALSE)*'[1]Profiles, RES, Spring'!T$4</f>
        <v>7.0280515542077335</v>
      </c>
      <c r="U10" s="6">
        <f>VLOOKUP($A10,'RES installed'!$A$2:$C$7,3,FALSE)*'[1]Profiles, RES, Spring'!U$4</f>
        <v>0.7278241091736164</v>
      </c>
      <c r="V10" s="6">
        <f>VLOOKUP($A10,'RES installed'!$A$2:$C$7,3,FALSE)*'[1]Profiles, RES, Spring'!V$4</f>
        <v>0</v>
      </c>
      <c r="W10" s="6">
        <f>VLOOKUP($A10,'RES installed'!$A$2:$C$7,3,FALSE)*'[1]Profiles, RES, Spring'!W$4</f>
        <v>0</v>
      </c>
      <c r="X10" s="6">
        <f>VLOOKUP($A10,'RES installed'!$A$2:$C$7,3,FALSE)*'[1]Profiles, RES, Spring'!X$4</f>
        <v>0</v>
      </c>
      <c r="Y10" s="6">
        <f>VLOOKUP($A10,'RES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0B5C99-6CFD-4194-9CB5-EC46C97B209A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Spring'!B$5</f>
        <v>11.615816940987557</v>
      </c>
      <c r="C5" s="9">
        <f>VLOOKUP($A5,'RES installed'!$A$2:$C$7,3,FALSE)*'[1]Profiles, RES, Spring'!C$5</f>
        <v>10.784825371336813</v>
      </c>
      <c r="D5" s="9">
        <f>VLOOKUP($A5,'RES installed'!$A$2:$C$7,3,FALSE)*'[1]Profiles, RES, Spring'!D$5</f>
        <v>10.839020473705339</v>
      </c>
      <c r="E5" s="9">
        <f>VLOOKUP($A5,'RES installed'!$A$2:$C$7,3,FALSE)*'[1]Profiles, RES, Spring'!E$5</f>
        <v>10.405459654757125</v>
      </c>
      <c r="F5" s="9">
        <f>VLOOKUP($A5,'RES installed'!$A$2:$C$7,3,FALSE)*'[1]Profiles, RES, Spring'!F$5</f>
        <v>10.306101967081492</v>
      </c>
      <c r="G5" s="9">
        <f>VLOOKUP($A5,'RES installed'!$A$2:$C$7,3,FALSE)*'[1]Profiles, RES, Spring'!G$5</f>
        <v>10.486752308309915</v>
      </c>
      <c r="H5" s="9">
        <f>VLOOKUP($A5,'RES installed'!$A$2:$C$7,3,FALSE)*'[1]Profiles, RES, Spring'!H$5</f>
        <v>9.4118827780008036</v>
      </c>
      <c r="I5" s="9">
        <f>VLOOKUP($A5,'RES installed'!$A$2:$C$7,3,FALSE)*'[1]Profiles, RES, Spring'!I$5</f>
        <v>7.5511842633480528</v>
      </c>
      <c r="J5" s="9">
        <f>VLOOKUP($A5,'RES installed'!$A$2:$C$7,3,FALSE)*'[1]Profiles, RES, Spring'!J$5</f>
        <v>5.9524287434765153</v>
      </c>
      <c r="K5" s="9">
        <f>VLOOKUP($A5,'RES installed'!$A$2:$C$7,3,FALSE)*'[1]Profiles, RES, Spring'!K$5</f>
        <v>4.4981934965877164</v>
      </c>
      <c r="L5" s="9">
        <f>VLOOKUP($A5,'RES installed'!$A$2:$C$7,3,FALSE)*'[1]Profiles, RES, Spring'!L$5</f>
        <v>4.2723805700521877</v>
      </c>
      <c r="M5" s="9">
        <f>VLOOKUP($A5,'RES installed'!$A$2:$C$7,3,FALSE)*'[1]Profiles, RES, Spring'!M$5</f>
        <v>5.2027298273785627</v>
      </c>
      <c r="N5" s="9">
        <f>VLOOKUP($A5,'RES installed'!$A$2:$C$7,3,FALSE)*'[1]Profiles, RES, Spring'!N$5</f>
        <v>6.8737454837414687</v>
      </c>
      <c r="O5" s="9">
        <f>VLOOKUP($A5,'RES installed'!$A$2:$C$7,3,FALSE)*'[1]Profiles, RES, Spring'!O$5</f>
        <v>9.5022079486150144</v>
      </c>
      <c r="P5" s="9">
        <f>VLOOKUP($A5,'RES installed'!$A$2:$C$7,3,FALSE)*'[1]Profiles, RES, Spring'!P$5</f>
        <v>12.401645925331193</v>
      </c>
      <c r="Q5" s="9">
        <f>VLOOKUP($A5,'RES installed'!$A$2:$C$7,3,FALSE)*'[1]Profiles, RES, Spring'!Q$5</f>
        <v>15.472701726214373</v>
      </c>
      <c r="R5" s="9">
        <f>VLOOKUP($A5,'RES installed'!$A$2:$C$7,3,FALSE)*'[1]Profiles, RES, Spring'!R$5</f>
        <v>19.26635889201124</v>
      </c>
      <c r="S5" s="9">
        <f>VLOOKUP($A5,'RES installed'!$A$2:$C$7,3,FALSE)*'[1]Profiles, RES, Spring'!S$5</f>
        <v>21.389000401445202</v>
      </c>
      <c r="T5" s="9">
        <f>VLOOKUP($A5,'RES installed'!$A$2:$C$7,3,FALSE)*'[1]Profiles, RES, Spring'!T$5</f>
        <v>21.461260537936575</v>
      </c>
      <c r="U5" s="9">
        <f>VLOOKUP($A5,'RES installed'!$A$2:$C$7,3,FALSE)*'[1]Profiles, RES, Spring'!U$5</f>
        <v>20.901244480128462</v>
      </c>
      <c r="V5" s="9">
        <f>VLOOKUP($A5,'RES installed'!$A$2:$C$7,3,FALSE)*'[1]Profiles, RES, Spring'!V$5</f>
        <v>18.950220794861501</v>
      </c>
      <c r="W5" s="9">
        <f>VLOOKUP($A5,'RES installed'!$A$2:$C$7,3,FALSE)*'[1]Profiles, RES, Spring'!W$5</f>
        <v>17.514050582095543</v>
      </c>
      <c r="X5" s="9">
        <f>VLOOKUP($A5,'RES installed'!$A$2:$C$7,3,FALSE)*'[1]Profiles, RES, Spring'!X$5</f>
        <v>17.48695303091128</v>
      </c>
      <c r="Y5" s="9">
        <f>VLOOKUP($A5,'RES installed'!$A$2:$C$7,3,FALSE)*'[1]Profiles, RES, Spring'!Y$5</f>
        <v>16.583701324769169</v>
      </c>
    </row>
    <row r="6" spans="1:25" x14ac:dyDescent="0.3">
      <c r="A6" s="8">
        <v>5</v>
      </c>
      <c r="B6" s="9">
        <f>VLOOKUP($A6,'RES installed'!$A$2:$C$7,3,FALSE)*'[1]Profiles, RES, Spring'!B$5</f>
        <v>15.487755921316742</v>
      </c>
      <c r="C6" s="9">
        <f>VLOOKUP($A6,'RES installed'!$A$2:$C$7,3,FALSE)*'[1]Profiles, RES, Spring'!C$5</f>
        <v>14.379767161782416</v>
      </c>
      <c r="D6" s="9">
        <f>VLOOKUP($A6,'RES installed'!$A$2:$C$7,3,FALSE)*'[1]Profiles, RES, Spring'!D$5</f>
        <v>14.452027298273785</v>
      </c>
      <c r="E6" s="9">
        <f>VLOOKUP($A6,'RES installed'!$A$2:$C$7,3,FALSE)*'[1]Profiles, RES, Spring'!E$5</f>
        <v>13.873946206342834</v>
      </c>
      <c r="F6" s="9">
        <f>VLOOKUP($A6,'RES installed'!$A$2:$C$7,3,FALSE)*'[1]Profiles, RES, Spring'!F$5</f>
        <v>13.741469289441991</v>
      </c>
      <c r="G6" s="9">
        <f>VLOOKUP($A6,'RES installed'!$A$2:$C$7,3,FALSE)*'[1]Profiles, RES, Spring'!G$5</f>
        <v>13.982336411079887</v>
      </c>
      <c r="H6" s="9">
        <f>VLOOKUP($A6,'RES installed'!$A$2:$C$7,3,FALSE)*'[1]Profiles, RES, Spring'!H$5</f>
        <v>12.549177037334404</v>
      </c>
      <c r="I6" s="9">
        <f>VLOOKUP($A6,'RES installed'!$A$2:$C$7,3,FALSE)*'[1]Profiles, RES, Spring'!I$5</f>
        <v>10.06824568446407</v>
      </c>
      <c r="J6" s="9">
        <f>VLOOKUP($A6,'RES installed'!$A$2:$C$7,3,FALSE)*'[1]Profiles, RES, Spring'!J$5</f>
        <v>7.9365716579686874</v>
      </c>
      <c r="K6" s="9">
        <f>VLOOKUP($A6,'RES installed'!$A$2:$C$7,3,FALSE)*'[1]Profiles, RES, Spring'!K$5</f>
        <v>5.9975913287836216</v>
      </c>
      <c r="L6" s="9">
        <f>VLOOKUP($A6,'RES installed'!$A$2:$C$7,3,FALSE)*'[1]Profiles, RES, Spring'!L$5</f>
        <v>5.6965074267362503</v>
      </c>
      <c r="M6" s="9">
        <f>VLOOKUP($A6,'RES installed'!$A$2:$C$7,3,FALSE)*'[1]Profiles, RES, Spring'!M$5</f>
        <v>6.9369731031714172</v>
      </c>
      <c r="N6" s="9">
        <f>VLOOKUP($A6,'RES installed'!$A$2:$C$7,3,FALSE)*'[1]Profiles, RES, Spring'!N$5</f>
        <v>9.1649939783219594</v>
      </c>
      <c r="O6" s="9">
        <f>VLOOKUP($A6,'RES installed'!$A$2:$C$7,3,FALSE)*'[1]Profiles, RES, Spring'!O$5</f>
        <v>12.669610598153353</v>
      </c>
      <c r="P6" s="9">
        <f>VLOOKUP($A6,'RES installed'!$A$2:$C$7,3,FALSE)*'[1]Profiles, RES, Spring'!P$5</f>
        <v>16.53552790044159</v>
      </c>
      <c r="Q6" s="9">
        <f>VLOOKUP($A6,'RES installed'!$A$2:$C$7,3,FALSE)*'[1]Profiles, RES, Spring'!Q$5</f>
        <v>20.630268968285829</v>
      </c>
      <c r="R6" s="9">
        <f>VLOOKUP($A6,'RES installed'!$A$2:$C$7,3,FALSE)*'[1]Profiles, RES, Spring'!R$5</f>
        <v>25.688478522681656</v>
      </c>
      <c r="S6" s="9">
        <f>VLOOKUP($A6,'RES installed'!$A$2:$C$7,3,FALSE)*'[1]Profiles, RES, Spring'!S$5</f>
        <v>28.518667201926938</v>
      </c>
      <c r="T6" s="9">
        <f>VLOOKUP($A6,'RES installed'!$A$2:$C$7,3,FALSE)*'[1]Profiles, RES, Spring'!T$5</f>
        <v>28.615014050582097</v>
      </c>
      <c r="U6" s="9">
        <f>VLOOKUP($A6,'RES installed'!$A$2:$C$7,3,FALSE)*'[1]Profiles, RES, Spring'!U$5</f>
        <v>27.868325973504618</v>
      </c>
      <c r="V6" s="9">
        <f>VLOOKUP($A6,'RES installed'!$A$2:$C$7,3,FALSE)*'[1]Profiles, RES, Spring'!V$5</f>
        <v>25.266961059815333</v>
      </c>
      <c r="W6" s="9">
        <f>VLOOKUP($A6,'RES installed'!$A$2:$C$7,3,FALSE)*'[1]Profiles, RES, Spring'!W$5</f>
        <v>23.352067442794059</v>
      </c>
      <c r="X6" s="9">
        <f>VLOOKUP($A6,'RES installed'!$A$2:$C$7,3,FALSE)*'[1]Profiles, RES, Spring'!X$5</f>
        <v>23.315937374548376</v>
      </c>
      <c r="Y6" s="9">
        <f>VLOOKUP($A6,'RES installed'!$A$2:$C$7,3,FALSE)*'[1]Profiles, RES, Spring'!Y$5</f>
        <v>22.111601766358891</v>
      </c>
    </row>
    <row r="7" spans="1:25" x14ac:dyDescent="0.3">
      <c r="A7" s="8">
        <v>6</v>
      </c>
      <c r="B7" s="9">
        <f>VLOOKUP($A7,'RES installed'!$A$2:$C$7,3,FALSE)*'[1]Profiles, RES, Spring'!B$5</f>
        <v>11.615816940987557</v>
      </c>
      <c r="C7" s="9">
        <f>VLOOKUP($A7,'RES installed'!$A$2:$C$7,3,FALSE)*'[1]Profiles, RES, Spring'!C$5</f>
        <v>10.784825371336813</v>
      </c>
      <c r="D7" s="9">
        <f>VLOOKUP($A7,'RES installed'!$A$2:$C$7,3,FALSE)*'[1]Profiles, RES, Spring'!D$5</f>
        <v>10.839020473705339</v>
      </c>
      <c r="E7" s="9">
        <f>VLOOKUP($A7,'RES installed'!$A$2:$C$7,3,FALSE)*'[1]Profiles, RES, Spring'!E$5</f>
        <v>10.405459654757125</v>
      </c>
      <c r="F7" s="9">
        <f>VLOOKUP($A7,'RES installed'!$A$2:$C$7,3,FALSE)*'[1]Profiles, RES, Spring'!F$5</f>
        <v>10.306101967081492</v>
      </c>
      <c r="G7" s="9">
        <f>VLOOKUP($A7,'RES installed'!$A$2:$C$7,3,FALSE)*'[1]Profiles, RES, Spring'!G$5</f>
        <v>10.486752308309915</v>
      </c>
      <c r="H7" s="9">
        <f>VLOOKUP($A7,'RES installed'!$A$2:$C$7,3,FALSE)*'[1]Profiles, RES, Spring'!H$5</f>
        <v>9.4118827780008036</v>
      </c>
      <c r="I7" s="9">
        <f>VLOOKUP($A7,'RES installed'!$A$2:$C$7,3,FALSE)*'[1]Profiles, RES, Spring'!I$5</f>
        <v>7.5511842633480528</v>
      </c>
      <c r="J7" s="9">
        <f>VLOOKUP($A7,'RES installed'!$A$2:$C$7,3,FALSE)*'[1]Profiles, RES, Spring'!J$5</f>
        <v>5.9524287434765153</v>
      </c>
      <c r="K7" s="9">
        <f>VLOOKUP($A7,'RES installed'!$A$2:$C$7,3,FALSE)*'[1]Profiles, RES, Spring'!K$5</f>
        <v>4.4981934965877164</v>
      </c>
      <c r="L7" s="9">
        <f>VLOOKUP($A7,'RES installed'!$A$2:$C$7,3,FALSE)*'[1]Profiles, RES, Spring'!L$5</f>
        <v>4.2723805700521877</v>
      </c>
      <c r="M7" s="9">
        <f>VLOOKUP($A7,'RES installed'!$A$2:$C$7,3,FALSE)*'[1]Profiles, RES, Spring'!M$5</f>
        <v>5.2027298273785627</v>
      </c>
      <c r="N7" s="9">
        <f>VLOOKUP($A7,'RES installed'!$A$2:$C$7,3,FALSE)*'[1]Profiles, RES, Spring'!N$5</f>
        <v>6.8737454837414687</v>
      </c>
      <c r="O7" s="9">
        <f>VLOOKUP($A7,'RES installed'!$A$2:$C$7,3,FALSE)*'[1]Profiles, RES, Spring'!O$5</f>
        <v>9.5022079486150144</v>
      </c>
      <c r="P7" s="9">
        <f>VLOOKUP($A7,'RES installed'!$A$2:$C$7,3,FALSE)*'[1]Profiles, RES, Spring'!P$5</f>
        <v>12.401645925331193</v>
      </c>
      <c r="Q7" s="9">
        <f>VLOOKUP($A7,'RES installed'!$A$2:$C$7,3,FALSE)*'[1]Profiles, RES, Spring'!Q$5</f>
        <v>15.472701726214373</v>
      </c>
      <c r="R7" s="9">
        <f>VLOOKUP($A7,'RES installed'!$A$2:$C$7,3,FALSE)*'[1]Profiles, RES, Spring'!R$5</f>
        <v>19.26635889201124</v>
      </c>
      <c r="S7" s="9">
        <f>VLOOKUP($A7,'RES installed'!$A$2:$C$7,3,FALSE)*'[1]Profiles, RES, Spring'!S$5</f>
        <v>21.389000401445202</v>
      </c>
      <c r="T7" s="9">
        <f>VLOOKUP($A7,'RES installed'!$A$2:$C$7,3,FALSE)*'[1]Profiles, RES, Spring'!T$5</f>
        <v>21.461260537936575</v>
      </c>
      <c r="U7" s="9">
        <f>VLOOKUP($A7,'RES installed'!$A$2:$C$7,3,FALSE)*'[1]Profiles, RES, Spring'!U$5</f>
        <v>20.901244480128462</v>
      </c>
      <c r="V7" s="9">
        <f>VLOOKUP($A7,'RES installed'!$A$2:$C$7,3,FALSE)*'[1]Profiles, RES, Spring'!V$5</f>
        <v>18.950220794861501</v>
      </c>
      <c r="W7" s="9">
        <f>VLOOKUP($A7,'RES installed'!$A$2:$C$7,3,FALSE)*'[1]Profiles, RES, Spring'!W$5</f>
        <v>17.514050582095543</v>
      </c>
      <c r="X7" s="9">
        <f>VLOOKUP($A7,'RES installed'!$A$2:$C$7,3,FALSE)*'[1]Profiles, RES, Spring'!X$5</f>
        <v>17.48695303091128</v>
      </c>
      <c r="Y7" s="9">
        <f>VLOOKUP($A7,'RES installed'!$A$2:$C$7,3,FALSE)*'[1]Profiles, RES, Spring'!Y$5</f>
        <v>16.583701324769169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0.71076573161485967</v>
      </c>
      <c r="H8" s="6">
        <f>VLOOKUP($A8,'RES installed'!$A$2:$C$7,3,FALSE)*'[1]Profiles, RES, Spring'!H$2</f>
        <v>7.136087945413192</v>
      </c>
      <c r="I8" s="6">
        <f>VLOOKUP($A8,'RES installed'!$A$2:$C$7,3,FALSE)*'[1]Profiles, RES, Spring'!I$2</f>
        <v>19.929871114480665</v>
      </c>
      <c r="J8" s="6">
        <f>VLOOKUP($A8,'RES installed'!$A$2:$C$7,3,FALSE)*'[1]Profiles, RES, Spring'!J$2</f>
        <v>30.790371493555725</v>
      </c>
      <c r="K8" s="6">
        <f>VLOOKUP($A8,'RES installed'!$A$2:$C$7,3,FALSE)*'[1]Profiles, RES, Spring'!K$2</f>
        <v>36.021607278241092</v>
      </c>
      <c r="L8" s="6">
        <f>VLOOKUP($A8,'RES installed'!$A$2:$C$7,3,FALSE)*'[1]Profiles, RES, Spring'!L$2</f>
        <v>41.167551175132679</v>
      </c>
      <c r="M8" s="6">
        <f>VLOOKUP($A8,'RES installed'!$A$2:$C$7,3,FALSE)*'[1]Profiles, RES, Spring'!M$2</f>
        <v>43.385140257771042</v>
      </c>
      <c r="N8" s="6">
        <f>VLOOKUP($A8,'RES installed'!$A$2:$C$7,3,FALSE)*'[1]Profiles, RES, Spring'!N$2</f>
        <v>46.796815769522368</v>
      </c>
      <c r="O8" s="6">
        <f>VLOOKUP($A8,'RES installed'!$A$2:$C$7,3,FALSE)*'[1]Profiles, RES, Spring'!O$2</f>
        <v>47.052691432903721</v>
      </c>
      <c r="P8" s="6">
        <f>VLOOKUP($A8,'RES installed'!$A$2:$C$7,3,FALSE)*'[1]Profiles, RES, Spring'!P$2</f>
        <v>47.30856709628506</v>
      </c>
      <c r="Q8" s="6">
        <f>VLOOKUP($A8,'RES installed'!$A$2:$C$7,3,FALSE)*'[1]Profiles, RES, Spring'!Q$2</f>
        <v>43.271417740712657</v>
      </c>
      <c r="R8" s="6">
        <f>VLOOKUP($A8,'RES installed'!$A$2:$C$7,3,FALSE)*'[1]Profiles, RES, Spring'!R$2</f>
        <v>34.429492039423806</v>
      </c>
      <c r="S8" s="6">
        <f>VLOOKUP($A8,'RES installed'!$A$2:$C$7,3,FALSE)*'[1]Profiles, RES, Spring'!S$2</f>
        <v>22.687642153146324</v>
      </c>
      <c r="T8" s="6">
        <f>VLOOKUP($A8,'RES installed'!$A$2:$C$7,3,FALSE)*'[1]Profiles, RES, Spring'!T$2</f>
        <v>8.3586050037907516</v>
      </c>
      <c r="U8" s="6">
        <f>VLOOKUP($A8,'RES installed'!$A$2:$C$7,3,FALSE)*'[1]Profiles, RES, Spring'!U$2</f>
        <v>0.73919636087945406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  <row r="9" spans="1:25" x14ac:dyDescent="0.3">
      <c r="A9" s="5">
        <v>8</v>
      </c>
      <c r="B9" s="6">
        <f>VLOOKUP($A9,'RES installed'!$A$2:$C$7,3,FALSE)*'[1]Profiles, RES, Spring'!B$2</f>
        <v>0</v>
      </c>
      <c r="C9" s="6">
        <f>VLOOKUP($A9,'RES installed'!$A$2:$C$7,3,FALSE)*'[1]Profiles, RES, Spring'!C$2</f>
        <v>0</v>
      </c>
      <c r="D9" s="6">
        <f>VLOOKUP($A9,'RES installed'!$A$2:$C$7,3,FALSE)*'[1]Profiles, RES, Spring'!D$2</f>
        <v>0</v>
      </c>
      <c r="E9" s="6">
        <f>VLOOKUP($A9,'RES installed'!$A$2:$C$7,3,FALSE)*'[1]Profiles, RES, Spring'!E$2</f>
        <v>0</v>
      </c>
      <c r="F9" s="6">
        <f>VLOOKUP($A9,'RES installed'!$A$2:$C$7,3,FALSE)*'[1]Profiles, RES, Spring'!F$2</f>
        <v>0</v>
      </c>
      <c r="G9" s="6">
        <f>VLOOKUP($A9,'RES installed'!$A$2:$C$7,3,FALSE)*'[1]Profiles, RES, Spring'!G$2</f>
        <v>0.47384382107657314</v>
      </c>
      <c r="H9" s="6">
        <f>VLOOKUP($A9,'RES installed'!$A$2:$C$7,3,FALSE)*'[1]Profiles, RES, Spring'!H$2</f>
        <v>4.7573919636087947</v>
      </c>
      <c r="I9" s="6">
        <f>VLOOKUP($A9,'RES installed'!$A$2:$C$7,3,FALSE)*'[1]Profiles, RES, Spring'!I$2</f>
        <v>13.286580742987111</v>
      </c>
      <c r="J9" s="6">
        <f>VLOOKUP($A9,'RES installed'!$A$2:$C$7,3,FALSE)*'[1]Profiles, RES, Spring'!J$2</f>
        <v>20.526914329037147</v>
      </c>
      <c r="K9" s="6">
        <f>VLOOKUP($A9,'RES installed'!$A$2:$C$7,3,FALSE)*'[1]Profiles, RES, Spring'!K$2</f>
        <v>24.014404852160727</v>
      </c>
      <c r="L9" s="6">
        <f>VLOOKUP($A9,'RES installed'!$A$2:$C$7,3,FALSE)*'[1]Profiles, RES, Spring'!L$2</f>
        <v>27.445034116755117</v>
      </c>
      <c r="M9" s="6">
        <f>VLOOKUP($A9,'RES installed'!$A$2:$C$7,3,FALSE)*'[1]Profiles, RES, Spring'!M$2</f>
        <v>28.923426838514025</v>
      </c>
      <c r="N9" s="6">
        <f>VLOOKUP($A9,'RES installed'!$A$2:$C$7,3,FALSE)*'[1]Profiles, RES, Spring'!N$2</f>
        <v>31.197877179681576</v>
      </c>
      <c r="O9" s="6">
        <f>VLOOKUP($A9,'RES installed'!$A$2:$C$7,3,FALSE)*'[1]Profiles, RES, Spring'!O$2</f>
        <v>31.368460955269146</v>
      </c>
      <c r="P9" s="6">
        <f>VLOOKUP($A9,'RES installed'!$A$2:$C$7,3,FALSE)*'[1]Profiles, RES, Spring'!P$2</f>
        <v>31.539044730856709</v>
      </c>
      <c r="Q9" s="6">
        <f>VLOOKUP($A9,'RES installed'!$A$2:$C$7,3,FALSE)*'[1]Profiles, RES, Spring'!Q$2</f>
        <v>28.847611827141773</v>
      </c>
      <c r="R9" s="6">
        <f>VLOOKUP($A9,'RES installed'!$A$2:$C$7,3,FALSE)*'[1]Profiles, RES, Spring'!R$2</f>
        <v>22.952994692949204</v>
      </c>
      <c r="S9" s="6">
        <f>VLOOKUP($A9,'RES installed'!$A$2:$C$7,3,FALSE)*'[1]Profiles, RES, Spring'!S$2</f>
        <v>15.125094768764216</v>
      </c>
      <c r="T9" s="6">
        <f>VLOOKUP($A9,'RES installed'!$A$2:$C$7,3,FALSE)*'[1]Profiles, RES, Spring'!T$2</f>
        <v>5.5724033358605007</v>
      </c>
      <c r="U9" s="6">
        <f>VLOOKUP($A9,'RES installed'!$A$2:$C$7,3,FALSE)*'[1]Profiles, RES, Spring'!U$2</f>
        <v>0.49279757391963608</v>
      </c>
      <c r="V9" s="6">
        <f>VLOOKUP($A9,'RES installed'!$A$2:$C$7,3,FALSE)*'[1]Profiles, RES, Spring'!V$2</f>
        <v>0</v>
      </c>
      <c r="W9" s="6">
        <f>VLOOKUP($A9,'RES installed'!$A$2:$C$7,3,FALSE)*'[1]Profiles, RES, Spring'!W$2</f>
        <v>0</v>
      </c>
      <c r="X9" s="6">
        <f>VLOOKUP($A9,'RES installed'!$A$2:$C$7,3,FALSE)*'[1]Profiles, RES, Spring'!X$2</f>
        <v>0</v>
      </c>
      <c r="Y9" s="6">
        <f>VLOOKUP($A9,'RES installed'!$A$2:$C$7,3,FALSE)*'[1]Profiles, RES, Spring'!Y$2</f>
        <v>0</v>
      </c>
    </row>
    <row r="10" spans="1:25" x14ac:dyDescent="0.3">
      <c r="A10" s="5">
        <v>9</v>
      </c>
      <c r="B10" s="6">
        <f>VLOOKUP($A10,'RES installed'!$A$2:$C$7,3,FALSE)*'[1]Profiles, RES, Spring'!B$2</f>
        <v>0</v>
      </c>
      <c r="C10" s="6">
        <f>VLOOKUP($A10,'RES installed'!$A$2:$C$7,3,FALSE)*'[1]Profiles, RES, Spring'!C$2</f>
        <v>0</v>
      </c>
      <c r="D10" s="6">
        <f>VLOOKUP($A10,'RES installed'!$A$2:$C$7,3,FALSE)*'[1]Profiles, RES, Spring'!D$2</f>
        <v>0</v>
      </c>
      <c r="E10" s="6">
        <f>VLOOKUP($A10,'RES installed'!$A$2:$C$7,3,FALSE)*'[1]Profiles, RES, Spring'!E$2</f>
        <v>0</v>
      </c>
      <c r="F10" s="6">
        <f>VLOOKUP($A10,'RES installed'!$A$2:$C$7,3,FALSE)*'[1]Profiles, RES, Spring'!F$2</f>
        <v>0</v>
      </c>
      <c r="G10" s="6">
        <f>VLOOKUP($A10,'RES installed'!$A$2:$C$7,3,FALSE)*'[1]Profiles, RES, Spring'!G$2</f>
        <v>0.56861258529188774</v>
      </c>
      <c r="H10" s="6">
        <f>VLOOKUP($A10,'RES installed'!$A$2:$C$7,3,FALSE)*'[1]Profiles, RES, Spring'!H$2</f>
        <v>5.7088703563305536</v>
      </c>
      <c r="I10" s="6">
        <f>VLOOKUP($A10,'RES installed'!$A$2:$C$7,3,FALSE)*'[1]Profiles, RES, Spring'!I$2</f>
        <v>15.943896891584533</v>
      </c>
      <c r="J10" s="6">
        <f>VLOOKUP($A10,'RES installed'!$A$2:$C$7,3,FALSE)*'[1]Profiles, RES, Spring'!J$2</f>
        <v>24.632297194844579</v>
      </c>
      <c r="K10" s="6">
        <f>VLOOKUP($A10,'RES installed'!$A$2:$C$7,3,FALSE)*'[1]Profiles, RES, Spring'!K$2</f>
        <v>28.817285822592876</v>
      </c>
      <c r="L10" s="6">
        <f>VLOOKUP($A10,'RES installed'!$A$2:$C$7,3,FALSE)*'[1]Profiles, RES, Spring'!L$2</f>
        <v>32.934040940106144</v>
      </c>
      <c r="M10" s="6">
        <f>VLOOKUP($A10,'RES installed'!$A$2:$C$7,3,FALSE)*'[1]Profiles, RES, Spring'!M$2</f>
        <v>34.708112206216832</v>
      </c>
      <c r="N10" s="6">
        <f>VLOOKUP($A10,'RES installed'!$A$2:$C$7,3,FALSE)*'[1]Profiles, RES, Spring'!N$2</f>
        <v>37.437452615617893</v>
      </c>
      <c r="O10" s="6">
        <f>VLOOKUP($A10,'RES installed'!$A$2:$C$7,3,FALSE)*'[1]Profiles, RES, Spring'!O$2</f>
        <v>37.642153146322975</v>
      </c>
      <c r="P10" s="6">
        <f>VLOOKUP($A10,'RES installed'!$A$2:$C$7,3,FALSE)*'[1]Profiles, RES, Spring'!P$2</f>
        <v>37.846853677028051</v>
      </c>
      <c r="Q10" s="6">
        <f>VLOOKUP($A10,'RES installed'!$A$2:$C$7,3,FALSE)*'[1]Profiles, RES, Spring'!Q$2</f>
        <v>34.617134192570127</v>
      </c>
      <c r="R10" s="6">
        <f>VLOOKUP($A10,'RES installed'!$A$2:$C$7,3,FALSE)*'[1]Profiles, RES, Spring'!R$2</f>
        <v>27.543593631539046</v>
      </c>
      <c r="S10" s="6">
        <f>VLOOKUP($A10,'RES installed'!$A$2:$C$7,3,FALSE)*'[1]Profiles, RES, Spring'!S$2</f>
        <v>18.150113722517059</v>
      </c>
      <c r="T10" s="6">
        <f>VLOOKUP($A10,'RES installed'!$A$2:$C$7,3,FALSE)*'[1]Profiles, RES, Spring'!T$2</f>
        <v>6.6868840030326009</v>
      </c>
      <c r="U10" s="6">
        <f>VLOOKUP($A10,'RES installed'!$A$2:$C$7,3,FALSE)*'[1]Profiles, RES, Spring'!U$2</f>
        <v>0.59135708870356329</v>
      </c>
      <c r="V10" s="6">
        <f>VLOOKUP($A10,'RES installed'!$A$2:$C$7,3,FALSE)*'[1]Profiles, RES, Spring'!V$2</f>
        <v>0</v>
      </c>
      <c r="W10" s="6">
        <f>VLOOKUP($A10,'RES installed'!$A$2:$C$7,3,FALSE)*'[1]Profiles, RES, Spring'!W$2</f>
        <v>0</v>
      </c>
      <c r="X10" s="6">
        <f>VLOOKUP($A10,'RES installed'!$A$2:$C$7,3,FALSE)*'[1]Profiles, RES, Spring'!X$2</f>
        <v>0</v>
      </c>
      <c r="Y10" s="6">
        <f>VLOOKUP($A10,'RES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F42AE-FA04-479C-87E0-280EEE6608D5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Spring'!B$6</f>
        <v>15.228823765556003</v>
      </c>
      <c r="C5" s="9">
        <f>VLOOKUP($A5,'RES installed'!$A$2:$C$7,3,FALSE)*'[1]Profiles, RES, Spring'!C$6</f>
        <v>13.819751103974308</v>
      </c>
      <c r="D5" s="9">
        <f>VLOOKUP($A5,'RES installed'!$A$2:$C$7,3,FALSE)*'[1]Profiles, RES, Spring'!D$6</f>
        <v>12.058410276997192</v>
      </c>
      <c r="E5" s="9">
        <f>VLOOKUP($A5,'RES installed'!$A$2:$C$7,3,FALSE)*'[1]Profiles, RES, Spring'!E$6</f>
        <v>10.857085507828181</v>
      </c>
      <c r="F5" s="9">
        <f>VLOOKUP($A5,'RES installed'!$A$2:$C$7,3,FALSE)*'[1]Profiles, RES, Spring'!F$6</f>
        <v>10.613207547169811</v>
      </c>
      <c r="G5" s="9">
        <f>VLOOKUP($A5,'RES installed'!$A$2:$C$7,3,FALSE)*'[1]Profiles, RES, Spring'!G$6</f>
        <v>10.730630268968287</v>
      </c>
      <c r="H5" s="9">
        <f>VLOOKUP($A5,'RES installed'!$A$2:$C$7,3,FALSE)*'[1]Profiles, RES, Spring'!H$6</f>
        <v>9.1589723002810111</v>
      </c>
      <c r="I5" s="9">
        <f>VLOOKUP($A5,'RES installed'!$A$2:$C$7,3,FALSE)*'[1]Profiles, RES, Spring'!I$6</f>
        <v>6.8918105178643119</v>
      </c>
      <c r="J5" s="9">
        <f>VLOOKUP($A5,'RES installed'!$A$2:$C$7,3,FALSE)*'[1]Profiles, RES, Spring'!J$6</f>
        <v>6.2775993576876754</v>
      </c>
      <c r="K5" s="9">
        <f>VLOOKUP($A5,'RES installed'!$A$2:$C$7,3,FALSE)*'[1]Profiles, RES, Spring'!K$6</f>
        <v>6.5395423524688878</v>
      </c>
      <c r="L5" s="9">
        <f>VLOOKUP($A5,'RES installed'!$A$2:$C$7,3,FALSE)*'[1]Profiles, RES, Spring'!L$6</f>
        <v>7.3253713368125251</v>
      </c>
      <c r="M5" s="9">
        <f>VLOOKUP($A5,'RES installed'!$A$2:$C$7,3,FALSE)*'[1]Profiles, RES, Spring'!M$6</f>
        <v>8.4002408671216386</v>
      </c>
      <c r="N5" s="9">
        <f>VLOOKUP($A5,'RES installed'!$A$2:$C$7,3,FALSE)*'[1]Profiles, RES, Spring'!N$6</f>
        <v>10.92031312725813</v>
      </c>
      <c r="O5" s="9">
        <f>VLOOKUP($A5,'RES installed'!$A$2:$C$7,3,FALSE)*'[1]Profiles, RES, Spring'!O$6</f>
        <v>13.557808109193095</v>
      </c>
      <c r="P5" s="9">
        <f>VLOOKUP($A5,'RES installed'!$A$2:$C$7,3,FALSE)*'[1]Profiles, RES, Spring'!P$6</f>
        <v>15.400441589723002</v>
      </c>
      <c r="Q5" s="9">
        <f>VLOOKUP($A5,'RES installed'!$A$2:$C$7,3,FALSE)*'[1]Profiles, RES, Spring'!Q$6</f>
        <v>16.945002007226016</v>
      </c>
      <c r="R5" s="9">
        <f>VLOOKUP($A5,'RES installed'!$A$2:$C$7,3,FALSE)*'[1]Profiles, RES, Spring'!R$6</f>
        <v>18.570855078281813</v>
      </c>
      <c r="S5" s="9">
        <f>VLOOKUP($A5,'RES installed'!$A$2:$C$7,3,FALSE)*'[1]Profiles, RES, Spring'!S$6</f>
        <v>17.766961059815333</v>
      </c>
      <c r="T5" s="9">
        <f>VLOOKUP($A5,'RES installed'!$A$2:$C$7,3,FALSE)*'[1]Profiles, RES, Spring'!T$6</f>
        <v>15.716579686872743</v>
      </c>
      <c r="U5" s="9">
        <f>VLOOKUP($A5,'RES installed'!$A$2:$C$7,3,FALSE)*'[1]Profiles, RES, Spring'!U$6</f>
        <v>15.120433560818947</v>
      </c>
      <c r="V5" s="9">
        <f>VLOOKUP($A5,'RES installed'!$A$2:$C$7,3,FALSE)*'[1]Profiles, RES, Spring'!V$6</f>
        <v>14.063629064632678</v>
      </c>
      <c r="W5" s="9">
        <f>VLOOKUP($A5,'RES installed'!$A$2:$C$7,3,FALSE)*'[1]Profiles, RES, Spring'!W$6</f>
        <v>13.341027699718989</v>
      </c>
      <c r="X5" s="9">
        <f>VLOOKUP($A5,'RES installed'!$A$2:$C$7,3,FALSE)*'[1]Profiles, RES, Spring'!X$6</f>
        <v>12.094540345242873</v>
      </c>
      <c r="Y5" s="9">
        <f>VLOOKUP($A5,'RES installed'!$A$2:$C$7,3,FALSE)*'[1]Profiles, RES, Spring'!Y$6</f>
        <v>10.784825371336813</v>
      </c>
    </row>
    <row r="6" spans="1:25" x14ac:dyDescent="0.3">
      <c r="A6" s="8">
        <v>5</v>
      </c>
      <c r="B6" s="9">
        <f>VLOOKUP($A6,'RES installed'!$A$2:$C$7,3,FALSE)*'[1]Profiles, RES, Spring'!B$6</f>
        <v>20.305098354074669</v>
      </c>
      <c r="C6" s="9">
        <f>VLOOKUP($A6,'RES installed'!$A$2:$C$7,3,FALSE)*'[1]Profiles, RES, Spring'!C$6</f>
        <v>18.426334805299078</v>
      </c>
      <c r="D6" s="9">
        <f>VLOOKUP($A6,'RES installed'!$A$2:$C$7,3,FALSE)*'[1]Profiles, RES, Spring'!D$6</f>
        <v>16.077880369329588</v>
      </c>
      <c r="E6" s="9">
        <f>VLOOKUP($A6,'RES installed'!$A$2:$C$7,3,FALSE)*'[1]Profiles, RES, Spring'!E$6</f>
        <v>14.476114010437575</v>
      </c>
      <c r="F6" s="9">
        <f>VLOOKUP($A6,'RES installed'!$A$2:$C$7,3,FALSE)*'[1]Profiles, RES, Spring'!F$6</f>
        <v>14.150943396226415</v>
      </c>
      <c r="G6" s="9">
        <f>VLOOKUP($A6,'RES installed'!$A$2:$C$7,3,FALSE)*'[1]Profiles, RES, Spring'!G$6</f>
        <v>14.307507025291049</v>
      </c>
      <c r="H6" s="9">
        <f>VLOOKUP($A6,'RES installed'!$A$2:$C$7,3,FALSE)*'[1]Profiles, RES, Spring'!H$6</f>
        <v>12.211963067041349</v>
      </c>
      <c r="I6" s="9">
        <f>VLOOKUP($A6,'RES installed'!$A$2:$C$7,3,FALSE)*'[1]Profiles, RES, Spring'!I$6</f>
        <v>9.1890806904857492</v>
      </c>
      <c r="J6" s="9">
        <f>VLOOKUP($A6,'RES installed'!$A$2:$C$7,3,FALSE)*'[1]Profiles, RES, Spring'!J$6</f>
        <v>8.3701324769169005</v>
      </c>
      <c r="K6" s="9">
        <f>VLOOKUP($A6,'RES installed'!$A$2:$C$7,3,FALSE)*'[1]Profiles, RES, Spring'!K$6</f>
        <v>8.7193898032918504</v>
      </c>
      <c r="L6" s="9">
        <f>VLOOKUP($A6,'RES installed'!$A$2:$C$7,3,FALSE)*'[1]Profiles, RES, Spring'!L$6</f>
        <v>9.7671617824167001</v>
      </c>
      <c r="M6" s="9">
        <f>VLOOKUP($A6,'RES installed'!$A$2:$C$7,3,FALSE)*'[1]Profiles, RES, Spring'!M$6</f>
        <v>11.200321156162184</v>
      </c>
      <c r="N6" s="9">
        <f>VLOOKUP($A6,'RES installed'!$A$2:$C$7,3,FALSE)*'[1]Profiles, RES, Spring'!N$6</f>
        <v>14.560417503010839</v>
      </c>
      <c r="O6" s="9">
        <f>VLOOKUP($A6,'RES installed'!$A$2:$C$7,3,FALSE)*'[1]Profiles, RES, Spring'!O$6</f>
        <v>18.077077478924128</v>
      </c>
      <c r="P6" s="9">
        <f>VLOOKUP($A6,'RES installed'!$A$2:$C$7,3,FALSE)*'[1]Profiles, RES, Spring'!P$6</f>
        <v>20.53392211963067</v>
      </c>
      <c r="Q6" s="9">
        <f>VLOOKUP($A6,'RES installed'!$A$2:$C$7,3,FALSE)*'[1]Profiles, RES, Spring'!Q$6</f>
        <v>22.593336009634687</v>
      </c>
      <c r="R6" s="9">
        <f>VLOOKUP($A6,'RES installed'!$A$2:$C$7,3,FALSE)*'[1]Profiles, RES, Spring'!R$6</f>
        <v>24.761140104375752</v>
      </c>
      <c r="S6" s="9">
        <f>VLOOKUP($A6,'RES installed'!$A$2:$C$7,3,FALSE)*'[1]Profiles, RES, Spring'!S$6</f>
        <v>23.689281413087112</v>
      </c>
      <c r="T6" s="9">
        <f>VLOOKUP($A6,'RES installed'!$A$2:$C$7,3,FALSE)*'[1]Profiles, RES, Spring'!T$6</f>
        <v>20.955439582496989</v>
      </c>
      <c r="U6" s="9">
        <f>VLOOKUP($A6,'RES installed'!$A$2:$C$7,3,FALSE)*'[1]Profiles, RES, Spring'!U$6</f>
        <v>20.160578081091931</v>
      </c>
      <c r="V6" s="9">
        <f>VLOOKUP($A6,'RES installed'!$A$2:$C$7,3,FALSE)*'[1]Profiles, RES, Spring'!V$6</f>
        <v>18.751505419510238</v>
      </c>
      <c r="W6" s="9">
        <f>VLOOKUP($A6,'RES installed'!$A$2:$C$7,3,FALSE)*'[1]Profiles, RES, Spring'!W$6</f>
        <v>17.788036932958651</v>
      </c>
      <c r="X6" s="9">
        <f>VLOOKUP($A6,'RES installed'!$A$2:$C$7,3,FALSE)*'[1]Profiles, RES, Spring'!X$6</f>
        <v>16.126053793657164</v>
      </c>
      <c r="Y6" s="9">
        <f>VLOOKUP($A6,'RES installed'!$A$2:$C$7,3,FALSE)*'[1]Profiles, RES, Spring'!Y$6</f>
        <v>14.379767161782416</v>
      </c>
    </row>
    <row r="7" spans="1:25" x14ac:dyDescent="0.3">
      <c r="A7" s="8">
        <v>6</v>
      </c>
      <c r="B7" s="9">
        <f>VLOOKUP($A7,'RES installed'!$A$2:$C$7,3,FALSE)*'[1]Profiles, RES, Spring'!B$6</f>
        <v>15.228823765556003</v>
      </c>
      <c r="C7" s="9">
        <f>VLOOKUP($A7,'RES installed'!$A$2:$C$7,3,FALSE)*'[1]Profiles, RES, Spring'!C$6</f>
        <v>13.819751103974308</v>
      </c>
      <c r="D7" s="9">
        <f>VLOOKUP($A7,'RES installed'!$A$2:$C$7,3,FALSE)*'[1]Profiles, RES, Spring'!D$6</f>
        <v>12.058410276997192</v>
      </c>
      <c r="E7" s="9">
        <f>VLOOKUP($A7,'RES installed'!$A$2:$C$7,3,FALSE)*'[1]Profiles, RES, Spring'!E$6</f>
        <v>10.857085507828181</v>
      </c>
      <c r="F7" s="9">
        <f>VLOOKUP($A7,'RES installed'!$A$2:$C$7,3,FALSE)*'[1]Profiles, RES, Spring'!F$6</f>
        <v>10.613207547169811</v>
      </c>
      <c r="G7" s="9">
        <f>VLOOKUP($A7,'RES installed'!$A$2:$C$7,3,FALSE)*'[1]Profiles, RES, Spring'!G$6</f>
        <v>10.730630268968287</v>
      </c>
      <c r="H7" s="9">
        <f>VLOOKUP($A7,'RES installed'!$A$2:$C$7,3,FALSE)*'[1]Profiles, RES, Spring'!H$6</f>
        <v>9.1589723002810111</v>
      </c>
      <c r="I7" s="9">
        <f>VLOOKUP($A7,'RES installed'!$A$2:$C$7,3,FALSE)*'[1]Profiles, RES, Spring'!I$6</f>
        <v>6.8918105178643119</v>
      </c>
      <c r="J7" s="9">
        <f>VLOOKUP($A7,'RES installed'!$A$2:$C$7,3,FALSE)*'[1]Profiles, RES, Spring'!J$6</f>
        <v>6.2775993576876754</v>
      </c>
      <c r="K7" s="9">
        <f>VLOOKUP($A7,'RES installed'!$A$2:$C$7,3,FALSE)*'[1]Profiles, RES, Spring'!K$6</f>
        <v>6.5395423524688878</v>
      </c>
      <c r="L7" s="9">
        <f>VLOOKUP($A7,'RES installed'!$A$2:$C$7,3,FALSE)*'[1]Profiles, RES, Spring'!L$6</f>
        <v>7.3253713368125251</v>
      </c>
      <c r="M7" s="9">
        <f>VLOOKUP($A7,'RES installed'!$A$2:$C$7,3,FALSE)*'[1]Profiles, RES, Spring'!M$6</f>
        <v>8.4002408671216386</v>
      </c>
      <c r="N7" s="9">
        <f>VLOOKUP($A7,'RES installed'!$A$2:$C$7,3,FALSE)*'[1]Profiles, RES, Spring'!N$6</f>
        <v>10.92031312725813</v>
      </c>
      <c r="O7" s="9">
        <f>VLOOKUP($A7,'RES installed'!$A$2:$C$7,3,FALSE)*'[1]Profiles, RES, Spring'!O$6</f>
        <v>13.557808109193095</v>
      </c>
      <c r="P7" s="9">
        <f>VLOOKUP($A7,'RES installed'!$A$2:$C$7,3,FALSE)*'[1]Profiles, RES, Spring'!P$6</f>
        <v>15.400441589723002</v>
      </c>
      <c r="Q7" s="9">
        <f>VLOOKUP($A7,'RES installed'!$A$2:$C$7,3,FALSE)*'[1]Profiles, RES, Spring'!Q$6</f>
        <v>16.945002007226016</v>
      </c>
      <c r="R7" s="9">
        <f>VLOOKUP($A7,'RES installed'!$A$2:$C$7,3,FALSE)*'[1]Profiles, RES, Spring'!R$6</f>
        <v>18.570855078281813</v>
      </c>
      <c r="S7" s="9">
        <f>VLOOKUP($A7,'RES installed'!$A$2:$C$7,3,FALSE)*'[1]Profiles, RES, Spring'!S$6</f>
        <v>17.766961059815333</v>
      </c>
      <c r="T7" s="9">
        <f>VLOOKUP($A7,'RES installed'!$A$2:$C$7,3,FALSE)*'[1]Profiles, RES, Spring'!T$6</f>
        <v>15.716579686872743</v>
      </c>
      <c r="U7" s="9">
        <f>VLOOKUP($A7,'RES installed'!$A$2:$C$7,3,FALSE)*'[1]Profiles, RES, Spring'!U$6</f>
        <v>15.120433560818947</v>
      </c>
      <c r="V7" s="9">
        <f>VLOOKUP($A7,'RES installed'!$A$2:$C$7,3,FALSE)*'[1]Profiles, RES, Spring'!V$6</f>
        <v>14.063629064632678</v>
      </c>
      <c r="W7" s="9">
        <f>VLOOKUP($A7,'RES installed'!$A$2:$C$7,3,FALSE)*'[1]Profiles, RES, Spring'!W$6</f>
        <v>13.341027699718989</v>
      </c>
      <c r="X7" s="9">
        <f>VLOOKUP($A7,'RES installed'!$A$2:$C$7,3,FALSE)*'[1]Profiles, RES, Spring'!X$6</f>
        <v>12.094540345242873</v>
      </c>
      <c r="Y7" s="9">
        <f>VLOOKUP($A7,'RES installed'!$A$2:$C$7,3,FALSE)*'[1]Profiles, RES, Spring'!Y$6</f>
        <v>10.784825371336813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0.85291887793783172</v>
      </c>
      <c r="H8" s="6">
        <f>VLOOKUP($A8,'RES installed'!$A$2:$C$7,3,FALSE)*'[1]Profiles, RES, Spring'!H$3</f>
        <v>7.4772554965883247</v>
      </c>
      <c r="I8" s="6">
        <f>VLOOKUP($A8,'RES installed'!$A$2:$C$7,3,FALSE)*'[1]Profiles, RES, Spring'!I$3</f>
        <v>17.996588324488251</v>
      </c>
      <c r="J8" s="6">
        <f>VLOOKUP($A8,'RES installed'!$A$2:$C$7,3,FALSE)*'[1]Profiles, RES, Spring'!J$3</f>
        <v>27.151250947687643</v>
      </c>
      <c r="K8" s="6">
        <f>VLOOKUP($A8,'RES installed'!$A$2:$C$7,3,FALSE)*'[1]Profiles, RES, Spring'!K$3</f>
        <v>37.812736921910542</v>
      </c>
      <c r="L8" s="6">
        <f>VLOOKUP($A8,'RES installed'!$A$2:$C$7,3,FALSE)*'[1]Profiles, RES, Spring'!L$3</f>
        <v>44.749810462471572</v>
      </c>
      <c r="M8" s="6">
        <f>VLOOKUP($A8,'RES installed'!$A$2:$C$7,3,FALSE)*'[1]Profiles, RES, Spring'!M$3</f>
        <v>45.801743745261561</v>
      </c>
      <c r="N8" s="6">
        <f>VLOOKUP($A8,'RES installed'!$A$2:$C$7,3,FALSE)*'[1]Profiles, RES, Spring'!N$3</f>
        <v>46.882107657316148</v>
      </c>
      <c r="O8" s="6">
        <f>VLOOKUP($A8,'RES installed'!$A$2:$C$7,3,FALSE)*'[1]Profiles, RES, Spring'!O$3</f>
        <v>45.23313115996968</v>
      </c>
      <c r="P8" s="6">
        <f>VLOOKUP($A8,'RES installed'!$A$2:$C$7,3,FALSE)*'[1]Profiles, RES, Spring'!P$3</f>
        <v>48.076194086429112</v>
      </c>
      <c r="Q8" s="6">
        <f>VLOOKUP($A8,'RES installed'!$A$2:$C$7,3,FALSE)*'[1]Profiles, RES, Spring'!Q$3</f>
        <v>42.674374526156178</v>
      </c>
      <c r="R8" s="6">
        <f>VLOOKUP($A8,'RES installed'!$A$2:$C$7,3,FALSE)*'[1]Profiles, RES, Spring'!R$3</f>
        <v>35.794162244124337</v>
      </c>
      <c r="S8" s="6">
        <f>VLOOKUP($A8,'RES installed'!$A$2:$C$7,3,FALSE)*'[1]Profiles, RES, Spring'!S$3</f>
        <v>23.398407884761184</v>
      </c>
      <c r="T8" s="6">
        <f>VLOOKUP($A8,'RES installed'!$A$2:$C$7,3,FALSE)*'[1]Profiles, RES, Spring'!T$3</f>
        <v>8.5291887793783179</v>
      </c>
      <c r="U8" s="6">
        <f>VLOOKUP($A8,'RES installed'!$A$2:$C$7,3,FALSE)*'[1]Profiles, RES, Spring'!U$3</f>
        <v>0.76762699014404845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  <row r="9" spans="1:25" x14ac:dyDescent="0.3">
      <c r="A9" s="5">
        <v>8</v>
      </c>
      <c r="B9" s="6">
        <f>VLOOKUP($A9,'RES installed'!$A$2:$C$7,3,FALSE)*'[1]Profiles, RES, Spring'!B$3</f>
        <v>0</v>
      </c>
      <c r="C9" s="6">
        <f>VLOOKUP($A9,'RES installed'!$A$2:$C$7,3,FALSE)*'[1]Profiles, RES, Spring'!C$3</f>
        <v>0</v>
      </c>
      <c r="D9" s="6">
        <f>VLOOKUP($A9,'RES installed'!$A$2:$C$7,3,FALSE)*'[1]Profiles, RES, Spring'!D$3</f>
        <v>0</v>
      </c>
      <c r="E9" s="6">
        <f>VLOOKUP($A9,'RES installed'!$A$2:$C$7,3,FALSE)*'[1]Profiles, RES, Spring'!E$3</f>
        <v>0</v>
      </c>
      <c r="F9" s="6">
        <f>VLOOKUP($A9,'RES installed'!$A$2:$C$7,3,FALSE)*'[1]Profiles, RES, Spring'!F$3</f>
        <v>0</v>
      </c>
      <c r="G9" s="6">
        <f>VLOOKUP($A9,'RES installed'!$A$2:$C$7,3,FALSE)*'[1]Profiles, RES, Spring'!G$3</f>
        <v>0.56861258529188785</v>
      </c>
      <c r="H9" s="6">
        <f>VLOOKUP($A9,'RES installed'!$A$2:$C$7,3,FALSE)*'[1]Profiles, RES, Spring'!H$3</f>
        <v>4.9848369977255498</v>
      </c>
      <c r="I9" s="6">
        <f>VLOOKUP($A9,'RES installed'!$A$2:$C$7,3,FALSE)*'[1]Profiles, RES, Spring'!I$3</f>
        <v>11.997725549658833</v>
      </c>
      <c r="J9" s="6">
        <f>VLOOKUP($A9,'RES installed'!$A$2:$C$7,3,FALSE)*'[1]Profiles, RES, Spring'!J$3</f>
        <v>18.100833965125098</v>
      </c>
      <c r="K9" s="6">
        <f>VLOOKUP($A9,'RES installed'!$A$2:$C$7,3,FALSE)*'[1]Profiles, RES, Spring'!K$3</f>
        <v>25.208491281273695</v>
      </c>
      <c r="L9" s="6">
        <f>VLOOKUP($A9,'RES installed'!$A$2:$C$7,3,FALSE)*'[1]Profiles, RES, Spring'!L$3</f>
        <v>29.833206974981046</v>
      </c>
      <c r="M9" s="6">
        <f>VLOOKUP($A9,'RES installed'!$A$2:$C$7,3,FALSE)*'[1]Profiles, RES, Spring'!M$3</f>
        <v>30.534495830174375</v>
      </c>
      <c r="N9" s="6">
        <f>VLOOKUP($A9,'RES installed'!$A$2:$C$7,3,FALSE)*'[1]Profiles, RES, Spring'!N$3</f>
        <v>31.254738438210765</v>
      </c>
      <c r="O9" s="6">
        <f>VLOOKUP($A9,'RES installed'!$A$2:$C$7,3,FALSE)*'[1]Profiles, RES, Spring'!O$3</f>
        <v>30.155420773313118</v>
      </c>
      <c r="P9" s="6">
        <f>VLOOKUP($A9,'RES installed'!$A$2:$C$7,3,FALSE)*'[1]Profiles, RES, Spring'!P$3</f>
        <v>32.050796057619408</v>
      </c>
      <c r="Q9" s="6">
        <f>VLOOKUP($A9,'RES installed'!$A$2:$C$7,3,FALSE)*'[1]Profiles, RES, Spring'!Q$3</f>
        <v>28.449583017437451</v>
      </c>
      <c r="R9" s="6">
        <f>VLOOKUP($A9,'RES installed'!$A$2:$C$7,3,FALSE)*'[1]Profiles, RES, Spring'!R$3</f>
        <v>23.862774829416225</v>
      </c>
      <c r="S9" s="6">
        <f>VLOOKUP($A9,'RES installed'!$A$2:$C$7,3,FALSE)*'[1]Profiles, RES, Spring'!S$3</f>
        <v>15.598938589840788</v>
      </c>
      <c r="T9" s="6">
        <f>VLOOKUP($A9,'RES installed'!$A$2:$C$7,3,FALSE)*'[1]Profiles, RES, Spring'!T$3</f>
        <v>5.6861258529188783</v>
      </c>
      <c r="U9" s="6">
        <f>VLOOKUP($A9,'RES installed'!$A$2:$C$7,3,FALSE)*'[1]Profiles, RES, Spring'!U$3</f>
        <v>0.51175132676269897</v>
      </c>
      <c r="V9" s="6">
        <f>VLOOKUP($A9,'RES installed'!$A$2:$C$7,3,FALSE)*'[1]Profiles, RES, Spring'!V$3</f>
        <v>0</v>
      </c>
      <c r="W9" s="6">
        <f>VLOOKUP($A9,'RES installed'!$A$2:$C$7,3,FALSE)*'[1]Profiles, RES, Spring'!W$3</f>
        <v>0</v>
      </c>
      <c r="X9" s="6">
        <f>VLOOKUP($A9,'RES installed'!$A$2:$C$7,3,FALSE)*'[1]Profiles, RES, Spring'!X$3</f>
        <v>0</v>
      </c>
      <c r="Y9" s="6">
        <f>VLOOKUP($A9,'RES installed'!$A$2:$C$7,3,FALSE)*'[1]Profiles, RES, Spring'!Y$3</f>
        <v>0</v>
      </c>
    </row>
    <row r="10" spans="1:25" x14ac:dyDescent="0.3">
      <c r="A10" s="5">
        <v>9</v>
      </c>
      <c r="B10" s="6">
        <f>VLOOKUP($A10,'RES installed'!$A$2:$C$7,3,FALSE)*'[1]Profiles, RES, Spring'!B$3</f>
        <v>0</v>
      </c>
      <c r="C10" s="6">
        <f>VLOOKUP($A10,'RES installed'!$A$2:$C$7,3,FALSE)*'[1]Profiles, RES, Spring'!C$3</f>
        <v>0</v>
      </c>
      <c r="D10" s="6">
        <f>VLOOKUP($A10,'RES installed'!$A$2:$C$7,3,FALSE)*'[1]Profiles, RES, Spring'!D$3</f>
        <v>0</v>
      </c>
      <c r="E10" s="6">
        <f>VLOOKUP($A10,'RES installed'!$A$2:$C$7,3,FALSE)*'[1]Profiles, RES, Spring'!E$3</f>
        <v>0</v>
      </c>
      <c r="F10" s="6">
        <f>VLOOKUP($A10,'RES installed'!$A$2:$C$7,3,FALSE)*'[1]Profiles, RES, Spring'!F$3</f>
        <v>0</v>
      </c>
      <c r="G10" s="6">
        <f>VLOOKUP($A10,'RES installed'!$A$2:$C$7,3,FALSE)*'[1]Profiles, RES, Spring'!G$3</f>
        <v>0.6823351023502654</v>
      </c>
      <c r="H10" s="6">
        <f>VLOOKUP($A10,'RES installed'!$A$2:$C$7,3,FALSE)*'[1]Profiles, RES, Spring'!H$3</f>
        <v>5.9818043972706594</v>
      </c>
      <c r="I10" s="6">
        <f>VLOOKUP($A10,'RES installed'!$A$2:$C$7,3,FALSE)*'[1]Profiles, RES, Spring'!I$3</f>
        <v>14.3972706595906</v>
      </c>
      <c r="J10" s="6">
        <f>VLOOKUP($A10,'RES installed'!$A$2:$C$7,3,FALSE)*'[1]Profiles, RES, Spring'!J$3</f>
        <v>21.721000758150115</v>
      </c>
      <c r="K10" s="6">
        <f>VLOOKUP($A10,'RES installed'!$A$2:$C$7,3,FALSE)*'[1]Profiles, RES, Spring'!K$3</f>
        <v>30.250189537528431</v>
      </c>
      <c r="L10" s="6">
        <f>VLOOKUP($A10,'RES installed'!$A$2:$C$7,3,FALSE)*'[1]Profiles, RES, Spring'!L$3</f>
        <v>35.799848369977255</v>
      </c>
      <c r="M10" s="6">
        <f>VLOOKUP($A10,'RES installed'!$A$2:$C$7,3,FALSE)*'[1]Profiles, RES, Spring'!M$3</f>
        <v>36.64139499620925</v>
      </c>
      <c r="N10" s="6">
        <f>VLOOKUP($A10,'RES installed'!$A$2:$C$7,3,FALSE)*'[1]Profiles, RES, Spring'!N$3</f>
        <v>37.505686125852918</v>
      </c>
      <c r="O10" s="6">
        <f>VLOOKUP($A10,'RES installed'!$A$2:$C$7,3,FALSE)*'[1]Profiles, RES, Spring'!O$3</f>
        <v>36.18650492797574</v>
      </c>
      <c r="P10" s="6">
        <f>VLOOKUP($A10,'RES installed'!$A$2:$C$7,3,FALSE)*'[1]Profiles, RES, Spring'!P$3</f>
        <v>38.460955269143291</v>
      </c>
      <c r="Q10" s="6">
        <f>VLOOKUP($A10,'RES installed'!$A$2:$C$7,3,FALSE)*'[1]Profiles, RES, Spring'!Q$3</f>
        <v>34.139499620924944</v>
      </c>
      <c r="R10" s="6">
        <f>VLOOKUP($A10,'RES installed'!$A$2:$C$7,3,FALSE)*'[1]Profiles, RES, Spring'!R$3</f>
        <v>28.635329795299469</v>
      </c>
      <c r="S10" s="6">
        <f>VLOOKUP($A10,'RES installed'!$A$2:$C$7,3,FALSE)*'[1]Profiles, RES, Spring'!S$3</f>
        <v>18.718726307808947</v>
      </c>
      <c r="T10" s="6">
        <f>VLOOKUP($A10,'RES installed'!$A$2:$C$7,3,FALSE)*'[1]Profiles, RES, Spring'!T$3</f>
        <v>6.8233510235026538</v>
      </c>
      <c r="U10" s="6">
        <f>VLOOKUP($A10,'RES installed'!$A$2:$C$7,3,FALSE)*'[1]Profiles, RES, Spring'!U$3</f>
        <v>0.61410159211523874</v>
      </c>
      <c r="V10" s="6">
        <f>VLOOKUP($A10,'RES installed'!$A$2:$C$7,3,FALSE)*'[1]Profiles, RES, Spring'!V$3</f>
        <v>0</v>
      </c>
      <c r="W10" s="6">
        <f>VLOOKUP($A10,'RES installed'!$A$2:$C$7,3,FALSE)*'[1]Profiles, RES, Spring'!W$3</f>
        <v>0</v>
      </c>
      <c r="X10" s="6">
        <f>VLOOKUP($A10,'RES installed'!$A$2:$C$7,3,FALSE)*'[1]Profiles, RES, Spring'!X$3</f>
        <v>0</v>
      </c>
      <c r="Y10" s="6">
        <f>VLOOKUP($A10,'RES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94C291-8F02-4CFD-8967-9A87F45EB76F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Spring'!B$7</f>
        <v>11.146126053793658</v>
      </c>
      <c r="C5" s="9">
        <f>VLOOKUP($A5,'RES installed'!$A$2:$C$7,3,FALSE)*'[1]Profiles, RES, Spring'!C$7</f>
        <v>10.568044961862705</v>
      </c>
      <c r="D5" s="9">
        <f>VLOOKUP($A5,'RES installed'!$A$2:$C$7,3,FALSE)*'[1]Profiles, RES, Spring'!D$7</f>
        <v>10.27900441589723</v>
      </c>
      <c r="E5" s="9">
        <f>VLOOKUP($A5,'RES installed'!$A$2:$C$7,3,FALSE)*'[1]Profiles, RES, Spring'!E$7</f>
        <v>10.820955439582496</v>
      </c>
      <c r="F5" s="9">
        <f>VLOOKUP($A5,'RES installed'!$A$2:$C$7,3,FALSE)*'[1]Profiles, RES, Spring'!F$7</f>
        <v>10.84805299076676</v>
      </c>
      <c r="G5" s="9">
        <f>VLOOKUP($A5,'RES installed'!$A$2:$C$7,3,FALSE)*'[1]Profiles, RES, Spring'!G$7</f>
        <v>9.6467282215977512</v>
      </c>
      <c r="H5" s="9">
        <f>VLOOKUP($A5,'RES installed'!$A$2:$C$7,3,FALSE)*'[1]Profiles, RES, Spring'!H$7</f>
        <v>8.2105580088317947</v>
      </c>
      <c r="I5" s="9">
        <f>VLOOKUP($A5,'RES installed'!$A$2:$C$7,3,FALSE)*'[1]Profiles, RES, Spring'!I$7</f>
        <v>6.1872741870734638</v>
      </c>
      <c r="J5" s="9">
        <f>VLOOKUP($A5,'RES installed'!$A$2:$C$7,3,FALSE)*'[1]Profiles, RES, Spring'!J$7</f>
        <v>5.2117623444399843</v>
      </c>
      <c r="K5" s="9">
        <f>VLOOKUP($A5,'RES installed'!$A$2:$C$7,3,FALSE)*'[1]Profiles, RES, Spring'!K$7</f>
        <v>5.6633881975110389</v>
      </c>
      <c r="L5" s="9">
        <f>VLOOKUP($A5,'RES installed'!$A$2:$C$7,3,FALSE)*'[1]Profiles, RES, Spring'!L$7</f>
        <v>6.6930951425130463</v>
      </c>
      <c r="M5" s="9">
        <f>VLOOKUP($A5,'RES installed'!$A$2:$C$7,3,FALSE)*'[1]Profiles, RES, Spring'!M$7</f>
        <v>6.6208350060216778</v>
      </c>
      <c r="N5" s="9">
        <f>VLOOKUP($A5,'RES installed'!$A$2:$C$7,3,FALSE)*'[1]Profiles, RES, Spring'!N$7</f>
        <v>7.6053793657165798</v>
      </c>
      <c r="O5" s="9">
        <f>VLOOKUP($A5,'RES installed'!$A$2:$C$7,3,FALSE)*'[1]Profiles, RES, Spring'!O$7</f>
        <v>9.7009233239662773</v>
      </c>
      <c r="P5" s="9">
        <f>VLOOKUP($A5,'RES installed'!$A$2:$C$7,3,FALSE)*'[1]Profiles, RES, Spring'!P$7</f>
        <v>11.326776395022078</v>
      </c>
      <c r="Q5" s="9">
        <f>VLOOKUP($A5,'RES installed'!$A$2:$C$7,3,FALSE)*'[1]Profiles, RES, Spring'!Q$7</f>
        <v>12.762946607788036</v>
      </c>
      <c r="R5" s="9">
        <f>VLOOKUP($A5,'RES installed'!$A$2:$C$7,3,FALSE)*'[1]Profiles, RES, Spring'!R$7</f>
        <v>14.343637093536733</v>
      </c>
      <c r="S5" s="9">
        <f>VLOOKUP($A5,'RES installed'!$A$2:$C$7,3,FALSE)*'[1]Profiles, RES, Spring'!S$7</f>
        <v>14.930750702529105</v>
      </c>
      <c r="T5" s="9">
        <f>VLOOKUP($A5,'RES installed'!$A$2:$C$7,3,FALSE)*'[1]Profiles, RES, Spring'!T$7</f>
        <v>14.939783219590526</v>
      </c>
      <c r="U5" s="9">
        <f>VLOOKUP($A5,'RES installed'!$A$2:$C$7,3,FALSE)*'[1]Profiles, RES, Spring'!U$7</f>
        <v>13.35909273384183</v>
      </c>
      <c r="V5" s="9">
        <f>VLOOKUP($A5,'RES installed'!$A$2:$C$7,3,FALSE)*'[1]Profiles, RES, Spring'!V$7</f>
        <v>12.753914090726616</v>
      </c>
      <c r="W5" s="9">
        <f>VLOOKUP($A5,'RES installed'!$A$2:$C$7,3,FALSE)*'[1]Profiles, RES, Spring'!W$7</f>
        <v>12.681653954235246</v>
      </c>
      <c r="X5" s="9">
        <f>VLOOKUP($A5,'RES installed'!$A$2:$C$7,3,FALSE)*'[1]Profiles, RES, Spring'!X$7</f>
        <v>12.889401846647933</v>
      </c>
      <c r="Y5" s="9">
        <f>VLOOKUP($A5,'RES installed'!$A$2:$C$7,3,FALSE)*'[1]Profiles, RES, Spring'!Y$7</f>
        <v>13.91910879164994</v>
      </c>
    </row>
    <row r="6" spans="1:25" x14ac:dyDescent="0.3">
      <c r="A6" s="8">
        <v>5</v>
      </c>
      <c r="B6" s="9">
        <f>VLOOKUP($A6,'RES installed'!$A$2:$C$7,3,FALSE)*'[1]Profiles, RES, Spring'!B$7</f>
        <v>14.86150140505821</v>
      </c>
      <c r="C6" s="9">
        <f>VLOOKUP($A6,'RES installed'!$A$2:$C$7,3,FALSE)*'[1]Profiles, RES, Spring'!C$7</f>
        <v>14.090726615816941</v>
      </c>
      <c r="D6" s="9">
        <f>VLOOKUP($A6,'RES installed'!$A$2:$C$7,3,FALSE)*'[1]Profiles, RES, Spring'!D$7</f>
        <v>13.705339221196308</v>
      </c>
      <c r="E6" s="9">
        <f>VLOOKUP($A6,'RES installed'!$A$2:$C$7,3,FALSE)*'[1]Profiles, RES, Spring'!E$7</f>
        <v>14.427940586109996</v>
      </c>
      <c r="F6" s="9">
        <f>VLOOKUP($A6,'RES installed'!$A$2:$C$7,3,FALSE)*'[1]Profiles, RES, Spring'!F$7</f>
        <v>14.46407065435568</v>
      </c>
      <c r="G6" s="9">
        <f>VLOOKUP($A6,'RES installed'!$A$2:$C$7,3,FALSE)*'[1]Profiles, RES, Spring'!G$7</f>
        <v>12.862304295463669</v>
      </c>
      <c r="H6" s="9">
        <f>VLOOKUP($A6,'RES installed'!$A$2:$C$7,3,FALSE)*'[1]Profiles, RES, Spring'!H$7</f>
        <v>10.947410678442393</v>
      </c>
      <c r="I6" s="9">
        <f>VLOOKUP($A6,'RES installed'!$A$2:$C$7,3,FALSE)*'[1]Profiles, RES, Spring'!I$7</f>
        <v>8.2496989160979517</v>
      </c>
      <c r="J6" s="9">
        <f>VLOOKUP($A6,'RES installed'!$A$2:$C$7,3,FALSE)*'[1]Profiles, RES, Spring'!J$7</f>
        <v>6.9490164592533121</v>
      </c>
      <c r="K6" s="9">
        <f>VLOOKUP($A6,'RES installed'!$A$2:$C$7,3,FALSE)*'[1]Profiles, RES, Spring'!K$7</f>
        <v>7.5511842633480528</v>
      </c>
      <c r="L6" s="9">
        <f>VLOOKUP($A6,'RES installed'!$A$2:$C$7,3,FALSE)*'[1]Profiles, RES, Spring'!L$7</f>
        <v>8.9241268566840617</v>
      </c>
      <c r="M6" s="9">
        <f>VLOOKUP($A6,'RES installed'!$A$2:$C$7,3,FALSE)*'[1]Profiles, RES, Spring'!M$7</f>
        <v>8.8277800080289044</v>
      </c>
      <c r="N6" s="9">
        <f>VLOOKUP($A6,'RES installed'!$A$2:$C$7,3,FALSE)*'[1]Profiles, RES, Spring'!N$7</f>
        <v>10.14050582095544</v>
      </c>
      <c r="O6" s="9">
        <f>VLOOKUP($A6,'RES installed'!$A$2:$C$7,3,FALSE)*'[1]Profiles, RES, Spring'!O$7</f>
        <v>12.934564431955037</v>
      </c>
      <c r="P6" s="9">
        <f>VLOOKUP($A6,'RES installed'!$A$2:$C$7,3,FALSE)*'[1]Profiles, RES, Spring'!P$7</f>
        <v>15.102368526696106</v>
      </c>
      <c r="Q6" s="9">
        <f>VLOOKUP($A6,'RES installed'!$A$2:$C$7,3,FALSE)*'[1]Profiles, RES, Spring'!Q$7</f>
        <v>17.017262143717382</v>
      </c>
      <c r="R6" s="9">
        <f>VLOOKUP($A6,'RES installed'!$A$2:$C$7,3,FALSE)*'[1]Profiles, RES, Spring'!R$7</f>
        <v>19.124849458048978</v>
      </c>
      <c r="S6" s="9">
        <f>VLOOKUP($A6,'RES installed'!$A$2:$C$7,3,FALSE)*'[1]Profiles, RES, Spring'!S$7</f>
        <v>19.90766760337214</v>
      </c>
      <c r="T6" s="9">
        <f>VLOOKUP($A6,'RES installed'!$A$2:$C$7,3,FALSE)*'[1]Profiles, RES, Spring'!T$7</f>
        <v>19.919710959454033</v>
      </c>
      <c r="U6" s="9">
        <f>VLOOKUP($A6,'RES installed'!$A$2:$C$7,3,FALSE)*'[1]Profiles, RES, Spring'!U$7</f>
        <v>17.812123645122441</v>
      </c>
      <c r="V6" s="9">
        <f>VLOOKUP($A6,'RES installed'!$A$2:$C$7,3,FALSE)*'[1]Profiles, RES, Spring'!V$7</f>
        <v>17.005218787635489</v>
      </c>
      <c r="W6" s="9">
        <f>VLOOKUP($A6,'RES installed'!$A$2:$C$7,3,FALSE)*'[1]Profiles, RES, Spring'!W$7</f>
        <v>16.908871938980326</v>
      </c>
      <c r="X6" s="9">
        <f>VLOOKUP($A6,'RES installed'!$A$2:$C$7,3,FALSE)*'[1]Profiles, RES, Spring'!X$7</f>
        <v>17.18586912886391</v>
      </c>
      <c r="Y6" s="9">
        <f>VLOOKUP($A6,'RES installed'!$A$2:$C$7,3,FALSE)*'[1]Profiles, RES, Spring'!Y$7</f>
        <v>18.55881172219992</v>
      </c>
    </row>
    <row r="7" spans="1:25" x14ac:dyDescent="0.3">
      <c r="A7" s="8">
        <v>6</v>
      </c>
      <c r="B7" s="9">
        <f>VLOOKUP($A7,'RES installed'!$A$2:$C$7,3,FALSE)*'[1]Profiles, RES, Spring'!B$7</f>
        <v>11.146126053793658</v>
      </c>
      <c r="C7" s="9">
        <f>VLOOKUP($A7,'RES installed'!$A$2:$C$7,3,FALSE)*'[1]Profiles, RES, Spring'!C$7</f>
        <v>10.568044961862705</v>
      </c>
      <c r="D7" s="9">
        <f>VLOOKUP($A7,'RES installed'!$A$2:$C$7,3,FALSE)*'[1]Profiles, RES, Spring'!D$7</f>
        <v>10.27900441589723</v>
      </c>
      <c r="E7" s="9">
        <f>VLOOKUP($A7,'RES installed'!$A$2:$C$7,3,FALSE)*'[1]Profiles, RES, Spring'!E$7</f>
        <v>10.820955439582496</v>
      </c>
      <c r="F7" s="9">
        <f>VLOOKUP($A7,'RES installed'!$A$2:$C$7,3,FALSE)*'[1]Profiles, RES, Spring'!F$7</f>
        <v>10.84805299076676</v>
      </c>
      <c r="G7" s="9">
        <f>VLOOKUP($A7,'RES installed'!$A$2:$C$7,3,FALSE)*'[1]Profiles, RES, Spring'!G$7</f>
        <v>9.6467282215977512</v>
      </c>
      <c r="H7" s="9">
        <f>VLOOKUP($A7,'RES installed'!$A$2:$C$7,3,FALSE)*'[1]Profiles, RES, Spring'!H$7</f>
        <v>8.2105580088317947</v>
      </c>
      <c r="I7" s="9">
        <f>VLOOKUP($A7,'RES installed'!$A$2:$C$7,3,FALSE)*'[1]Profiles, RES, Spring'!I$7</f>
        <v>6.1872741870734638</v>
      </c>
      <c r="J7" s="9">
        <f>VLOOKUP($A7,'RES installed'!$A$2:$C$7,3,FALSE)*'[1]Profiles, RES, Spring'!J$7</f>
        <v>5.2117623444399843</v>
      </c>
      <c r="K7" s="9">
        <f>VLOOKUP($A7,'RES installed'!$A$2:$C$7,3,FALSE)*'[1]Profiles, RES, Spring'!K$7</f>
        <v>5.6633881975110389</v>
      </c>
      <c r="L7" s="9">
        <f>VLOOKUP($A7,'RES installed'!$A$2:$C$7,3,FALSE)*'[1]Profiles, RES, Spring'!L$7</f>
        <v>6.6930951425130463</v>
      </c>
      <c r="M7" s="9">
        <f>VLOOKUP($A7,'RES installed'!$A$2:$C$7,3,FALSE)*'[1]Profiles, RES, Spring'!M$7</f>
        <v>6.6208350060216778</v>
      </c>
      <c r="N7" s="9">
        <f>VLOOKUP($A7,'RES installed'!$A$2:$C$7,3,FALSE)*'[1]Profiles, RES, Spring'!N$7</f>
        <v>7.6053793657165798</v>
      </c>
      <c r="O7" s="9">
        <f>VLOOKUP($A7,'RES installed'!$A$2:$C$7,3,FALSE)*'[1]Profiles, RES, Spring'!O$7</f>
        <v>9.7009233239662773</v>
      </c>
      <c r="P7" s="9">
        <f>VLOOKUP($A7,'RES installed'!$A$2:$C$7,3,FALSE)*'[1]Profiles, RES, Spring'!P$7</f>
        <v>11.326776395022078</v>
      </c>
      <c r="Q7" s="9">
        <f>VLOOKUP($A7,'RES installed'!$A$2:$C$7,3,FALSE)*'[1]Profiles, RES, Spring'!Q$7</f>
        <v>12.762946607788036</v>
      </c>
      <c r="R7" s="9">
        <f>VLOOKUP($A7,'RES installed'!$A$2:$C$7,3,FALSE)*'[1]Profiles, RES, Spring'!R$7</f>
        <v>14.343637093536733</v>
      </c>
      <c r="S7" s="9">
        <f>VLOOKUP($A7,'RES installed'!$A$2:$C$7,3,FALSE)*'[1]Profiles, RES, Spring'!S$7</f>
        <v>14.930750702529105</v>
      </c>
      <c r="T7" s="9">
        <f>VLOOKUP($A7,'RES installed'!$A$2:$C$7,3,FALSE)*'[1]Profiles, RES, Spring'!T$7</f>
        <v>14.939783219590526</v>
      </c>
      <c r="U7" s="9">
        <f>VLOOKUP($A7,'RES installed'!$A$2:$C$7,3,FALSE)*'[1]Profiles, RES, Spring'!U$7</f>
        <v>13.35909273384183</v>
      </c>
      <c r="V7" s="9">
        <f>VLOOKUP($A7,'RES installed'!$A$2:$C$7,3,FALSE)*'[1]Profiles, RES, Spring'!V$7</f>
        <v>12.753914090726616</v>
      </c>
      <c r="W7" s="9">
        <f>VLOOKUP($A7,'RES installed'!$A$2:$C$7,3,FALSE)*'[1]Profiles, RES, Spring'!W$7</f>
        <v>12.681653954235246</v>
      </c>
      <c r="X7" s="9">
        <f>VLOOKUP($A7,'RES installed'!$A$2:$C$7,3,FALSE)*'[1]Profiles, RES, Spring'!X$7</f>
        <v>12.889401846647933</v>
      </c>
      <c r="Y7" s="9">
        <f>VLOOKUP($A7,'RES installed'!$A$2:$C$7,3,FALSE)*'[1]Profiles, RES, Spring'!Y$7</f>
        <v>13.91910879164994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0.82448824867323733</v>
      </c>
      <c r="H8" s="6">
        <f>VLOOKUP($A8,'RES installed'!$A$2:$C$7,3,FALSE)*'[1]Profiles, RES, Spring'!H$4</f>
        <v>7.9037149355572396</v>
      </c>
      <c r="I8" s="6">
        <f>VLOOKUP($A8,'RES installed'!$A$2:$C$7,3,FALSE)*'[1]Profiles, RES, Spring'!I$4</f>
        <v>21.948445792266867</v>
      </c>
      <c r="J8" s="6">
        <f>VLOOKUP($A8,'RES installed'!$A$2:$C$7,3,FALSE)*'[1]Profiles, RES, Spring'!J$4</f>
        <v>35.225549658832449</v>
      </c>
      <c r="K8" s="6">
        <f>VLOOKUP($A8,'RES installed'!$A$2:$C$7,3,FALSE)*'[1]Profiles, RES, Spring'!K$4</f>
        <v>41.764594389689158</v>
      </c>
      <c r="L8" s="6">
        <f>VLOOKUP($A8,'RES installed'!$A$2:$C$7,3,FALSE)*'[1]Profiles, RES, Spring'!L$4</f>
        <v>46.171341925701284</v>
      </c>
      <c r="M8" s="6">
        <f>VLOOKUP($A8,'RES installed'!$A$2:$C$7,3,FALSE)*'[1]Profiles, RES, Spring'!M$4</f>
        <v>51.345716451857463</v>
      </c>
      <c r="N8" s="6">
        <f>VLOOKUP($A8,'RES installed'!$A$2:$C$7,3,FALSE)*'[1]Profiles, RES, Spring'!N$4</f>
        <v>50.123199393479908</v>
      </c>
      <c r="O8" s="6">
        <f>VLOOKUP($A8,'RES installed'!$A$2:$C$7,3,FALSE)*'[1]Profiles, RES, Spring'!O$4</f>
        <v>49.867323730098562</v>
      </c>
      <c r="P8" s="6">
        <f>VLOOKUP($A8,'RES installed'!$A$2:$C$7,3,FALSE)*'[1]Profiles, RES, Spring'!P$4</f>
        <v>50.208491281273687</v>
      </c>
      <c r="Q8" s="6">
        <f>VLOOKUP($A8,'RES installed'!$A$2:$C$7,3,FALSE)*'[1]Profiles, RES, Spring'!Q$4</f>
        <v>46.39878695981804</v>
      </c>
      <c r="R8" s="6">
        <f>VLOOKUP($A8,'RES installed'!$A$2:$C$7,3,FALSE)*'[1]Profiles, RES, Spring'!R$4</f>
        <v>37.727445034116755</v>
      </c>
      <c r="S8" s="6">
        <f>VLOOKUP($A8,'RES installed'!$A$2:$C$7,3,FALSE)*'[1]Profiles, RES, Spring'!S$4</f>
        <v>24.73464746019712</v>
      </c>
      <c r="T8" s="6">
        <f>VLOOKUP($A8,'RES installed'!$A$2:$C$7,3,FALSE)*'[1]Profiles, RES, Spring'!T$4</f>
        <v>8.7850644427596674</v>
      </c>
      <c r="U8" s="6">
        <f>VLOOKUP($A8,'RES installed'!$A$2:$C$7,3,FALSE)*'[1]Profiles, RES, Spring'!U$4</f>
        <v>0.90978013646702049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  <row r="9" spans="1:25" x14ac:dyDescent="0.3">
      <c r="A9" s="5">
        <v>8</v>
      </c>
      <c r="B9" s="6">
        <f>VLOOKUP($A9,'RES installed'!$A$2:$C$7,3,FALSE)*'[1]Profiles, RES, Spring'!B$4</f>
        <v>0</v>
      </c>
      <c r="C9" s="6">
        <f>VLOOKUP($A9,'RES installed'!$A$2:$C$7,3,FALSE)*'[1]Profiles, RES, Spring'!C$4</f>
        <v>0</v>
      </c>
      <c r="D9" s="6">
        <f>VLOOKUP($A9,'RES installed'!$A$2:$C$7,3,FALSE)*'[1]Profiles, RES, Spring'!D$4</f>
        <v>0</v>
      </c>
      <c r="E9" s="6">
        <f>VLOOKUP($A9,'RES installed'!$A$2:$C$7,3,FALSE)*'[1]Profiles, RES, Spring'!E$4</f>
        <v>0</v>
      </c>
      <c r="F9" s="6">
        <f>VLOOKUP($A9,'RES installed'!$A$2:$C$7,3,FALSE)*'[1]Profiles, RES, Spring'!F$4</f>
        <v>0</v>
      </c>
      <c r="G9" s="6">
        <f>VLOOKUP($A9,'RES installed'!$A$2:$C$7,3,FALSE)*'[1]Profiles, RES, Spring'!G$4</f>
        <v>0.54965883244882485</v>
      </c>
      <c r="H9" s="6">
        <f>VLOOKUP($A9,'RES installed'!$A$2:$C$7,3,FALSE)*'[1]Profiles, RES, Spring'!H$4</f>
        <v>5.2691432903714936</v>
      </c>
      <c r="I9" s="6">
        <f>VLOOKUP($A9,'RES installed'!$A$2:$C$7,3,FALSE)*'[1]Profiles, RES, Spring'!I$4</f>
        <v>14.632297194844579</v>
      </c>
      <c r="J9" s="6">
        <f>VLOOKUP($A9,'RES installed'!$A$2:$C$7,3,FALSE)*'[1]Profiles, RES, Spring'!J$4</f>
        <v>23.483699772554967</v>
      </c>
      <c r="K9" s="6">
        <f>VLOOKUP($A9,'RES installed'!$A$2:$C$7,3,FALSE)*'[1]Profiles, RES, Spring'!K$4</f>
        <v>27.843062926459439</v>
      </c>
      <c r="L9" s="6">
        <f>VLOOKUP($A9,'RES installed'!$A$2:$C$7,3,FALSE)*'[1]Profiles, RES, Spring'!L$4</f>
        <v>30.780894617134191</v>
      </c>
      <c r="M9" s="6">
        <f>VLOOKUP($A9,'RES installed'!$A$2:$C$7,3,FALSE)*'[1]Profiles, RES, Spring'!M$4</f>
        <v>34.230477634571642</v>
      </c>
      <c r="N9" s="6">
        <f>VLOOKUP($A9,'RES installed'!$A$2:$C$7,3,FALSE)*'[1]Profiles, RES, Spring'!N$4</f>
        <v>33.415466262319939</v>
      </c>
      <c r="O9" s="6">
        <f>VLOOKUP($A9,'RES installed'!$A$2:$C$7,3,FALSE)*'[1]Profiles, RES, Spring'!O$4</f>
        <v>33.244882486732372</v>
      </c>
      <c r="P9" s="6">
        <f>VLOOKUP($A9,'RES installed'!$A$2:$C$7,3,FALSE)*'[1]Profiles, RES, Spring'!P$4</f>
        <v>33.472327520849127</v>
      </c>
      <c r="Q9" s="6">
        <f>VLOOKUP($A9,'RES installed'!$A$2:$C$7,3,FALSE)*'[1]Profiles, RES, Spring'!Q$4</f>
        <v>30.932524639878693</v>
      </c>
      <c r="R9" s="6">
        <f>VLOOKUP($A9,'RES installed'!$A$2:$C$7,3,FALSE)*'[1]Profiles, RES, Spring'!R$4</f>
        <v>25.151630022744502</v>
      </c>
      <c r="S9" s="6">
        <f>VLOOKUP($A9,'RES installed'!$A$2:$C$7,3,FALSE)*'[1]Profiles, RES, Spring'!S$4</f>
        <v>16.489764973464744</v>
      </c>
      <c r="T9" s="6">
        <f>VLOOKUP($A9,'RES installed'!$A$2:$C$7,3,FALSE)*'[1]Profiles, RES, Spring'!T$4</f>
        <v>5.8567096285064446</v>
      </c>
      <c r="U9" s="6">
        <f>VLOOKUP($A9,'RES installed'!$A$2:$C$7,3,FALSE)*'[1]Profiles, RES, Spring'!U$4</f>
        <v>0.60652009097801363</v>
      </c>
      <c r="V9" s="6">
        <f>VLOOKUP($A9,'RES installed'!$A$2:$C$7,3,FALSE)*'[1]Profiles, RES, Spring'!V$4</f>
        <v>0</v>
      </c>
      <c r="W9" s="6">
        <f>VLOOKUP($A9,'RES installed'!$A$2:$C$7,3,FALSE)*'[1]Profiles, RES, Spring'!W$4</f>
        <v>0</v>
      </c>
      <c r="X9" s="6">
        <f>VLOOKUP($A9,'RES installed'!$A$2:$C$7,3,FALSE)*'[1]Profiles, RES, Spring'!X$4</f>
        <v>0</v>
      </c>
      <c r="Y9" s="6">
        <f>VLOOKUP($A9,'RES installed'!$A$2:$C$7,3,FALSE)*'[1]Profiles, RES, Spring'!Y$4</f>
        <v>0</v>
      </c>
    </row>
    <row r="10" spans="1:25" x14ac:dyDescent="0.3">
      <c r="A10" s="5">
        <v>9</v>
      </c>
      <c r="B10" s="6">
        <f>VLOOKUP($A10,'RES installed'!$A$2:$C$7,3,FALSE)*'[1]Profiles, RES, Spring'!B$4</f>
        <v>0</v>
      </c>
      <c r="C10" s="6">
        <f>VLOOKUP($A10,'RES installed'!$A$2:$C$7,3,FALSE)*'[1]Profiles, RES, Spring'!C$4</f>
        <v>0</v>
      </c>
      <c r="D10" s="6">
        <f>VLOOKUP($A10,'RES installed'!$A$2:$C$7,3,FALSE)*'[1]Profiles, RES, Spring'!D$4</f>
        <v>0</v>
      </c>
      <c r="E10" s="6">
        <f>VLOOKUP($A10,'RES installed'!$A$2:$C$7,3,FALSE)*'[1]Profiles, RES, Spring'!E$4</f>
        <v>0</v>
      </c>
      <c r="F10" s="6">
        <f>VLOOKUP($A10,'RES installed'!$A$2:$C$7,3,FALSE)*'[1]Profiles, RES, Spring'!F$4</f>
        <v>0</v>
      </c>
      <c r="G10" s="6">
        <f>VLOOKUP($A10,'RES installed'!$A$2:$C$7,3,FALSE)*'[1]Profiles, RES, Spring'!G$4</f>
        <v>0.65959059893858984</v>
      </c>
      <c r="H10" s="6">
        <f>VLOOKUP($A10,'RES installed'!$A$2:$C$7,3,FALSE)*'[1]Profiles, RES, Spring'!H$4</f>
        <v>6.322971948445792</v>
      </c>
      <c r="I10" s="6">
        <f>VLOOKUP($A10,'RES installed'!$A$2:$C$7,3,FALSE)*'[1]Profiles, RES, Spring'!I$4</f>
        <v>17.558756633813495</v>
      </c>
      <c r="J10" s="6">
        <f>VLOOKUP($A10,'RES installed'!$A$2:$C$7,3,FALSE)*'[1]Profiles, RES, Spring'!J$4</f>
        <v>28.180439727065959</v>
      </c>
      <c r="K10" s="6">
        <f>VLOOKUP($A10,'RES installed'!$A$2:$C$7,3,FALSE)*'[1]Profiles, RES, Spring'!K$4</f>
        <v>33.411675511751326</v>
      </c>
      <c r="L10" s="6">
        <f>VLOOKUP($A10,'RES installed'!$A$2:$C$7,3,FALSE)*'[1]Profiles, RES, Spring'!L$4</f>
        <v>36.93707354056103</v>
      </c>
      <c r="M10" s="6">
        <f>VLOOKUP($A10,'RES installed'!$A$2:$C$7,3,FALSE)*'[1]Profiles, RES, Spring'!M$4</f>
        <v>41.076573161485975</v>
      </c>
      <c r="N10" s="6">
        <f>VLOOKUP($A10,'RES installed'!$A$2:$C$7,3,FALSE)*'[1]Profiles, RES, Spring'!N$4</f>
        <v>40.098559514783922</v>
      </c>
      <c r="O10" s="6">
        <f>VLOOKUP($A10,'RES installed'!$A$2:$C$7,3,FALSE)*'[1]Profiles, RES, Spring'!O$4</f>
        <v>39.893858984078847</v>
      </c>
      <c r="P10" s="6">
        <f>VLOOKUP($A10,'RES installed'!$A$2:$C$7,3,FALSE)*'[1]Profiles, RES, Spring'!P$4</f>
        <v>40.166793025018954</v>
      </c>
      <c r="Q10" s="6">
        <f>VLOOKUP($A10,'RES installed'!$A$2:$C$7,3,FALSE)*'[1]Profiles, RES, Spring'!Q$4</f>
        <v>37.119029567854433</v>
      </c>
      <c r="R10" s="6">
        <f>VLOOKUP($A10,'RES installed'!$A$2:$C$7,3,FALSE)*'[1]Profiles, RES, Spring'!R$4</f>
        <v>30.181956027293403</v>
      </c>
      <c r="S10" s="6">
        <f>VLOOKUP($A10,'RES installed'!$A$2:$C$7,3,FALSE)*'[1]Profiles, RES, Spring'!S$4</f>
        <v>19.787717968157697</v>
      </c>
      <c r="T10" s="6">
        <f>VLOOKUP($A10,'RES installed'!$A$2:$C$7,3,FALSE)*'[1]Profiles, RES, Spring'!T$4</f>
        <v>7.0280515542077335</v>
      </c>
      <c r="U10" s="6">
        <f>VLOOKUP($A10,'RES installed'!$A$2:$C$7,3,FALSE)*'[1]Profiles, RES, Spring'!U$4</f>
        <v>0.7278241091736164</v>
      </c>
      <c r="V10" s="6">
        <f>VLOOKUP($A10,'RES installed'!$A$2:$C$7,3,FALSE)*'[1]Profiles, RES, Spring'!V$4</f>
        <v>0</v>
      </c>
      <c r="W10" s="6">
        <f>VLOOKUP($A10,'RES installed'!$A$2:$C$7,3,FALSE)*'[1]Profiles, RES, Spring'!W$4</f>
        <v>0</v>
      </c>
      <c r="X10" s="6">
        <f>VLOOKUP($A10,'RES installed'!$A$2:$C$7,3,FALSE)*'[1]Profiles, RES, Spring'!X$4</f>
        <v>0</v>
      </c>
      <c r="Y10" s="6">
        <f>VLOOKUP($A10,'RES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1504A-A722-4235-A916-8500BF5DCFDD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D2B266-9AF9-4D1C-8001-16512D48BE25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36446D-A4B7-4C21-9AB7-EEB0420E813A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1F037-2461-4625-B59F-B0FEB5F9D263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1FB5D3-9FFF-47C8-A462-6DD6471A1662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A0660-12AF-4198-BF2A-456BAD655B28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7CBB4-4605-4586-A136-29D57872046D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87C91-FD0F-41E9-AAF2-509FDA627147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7D011-67AD-4857-A72E-FFBE2D347BCB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9BB815-0429-42A9-92EF-4B1286E2BDE5}">
  <dimension ref="A1:Y10"/>
  <sheetViews>
    <sheetView topLeftCell="G1" workbookViewId="0">
      <selection activeCell="J27" sqref="J27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</row>
    <row r="4" spans="1:25" x14ac:dyDescent="0.3">
      <c r="A4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8">
        <v>5</v>
      </c>
      <c r="B6" s="8">
        <v>1</v>
      </c>
      <c r="C6" s="8">
        <v>1</v>
      </c>
      <c r="D6" s="8">
        <v>1</v>
      </c>
      <c r="E6" s="8">
        <v>1</v>
      </c>
      <c r="F6" s="8">
        <v>1</v>
      </c>
      <c r="G6" s="8">
        <v>1</v>
      </c>
      <c r="H6" s="8">
        <v>1</v>
      </c>
      <c r="I6" s="8">
        <v>1</v>
      </c>
      <c r="J6" s="8">
        <v>1</v>
      </c>
      <c r="K6" s="8">
        <v>1</v>
      </c>
      <c r="L6" s="8">
        <v>1</v>
      </c>
      <c r="M6" s="8">
        <v>1</v>
      </c>
      <c r="N6" s="8">
        <v>1</v>
      </c>
      <c r="O6" s="8">
        <v>1</v>
      </c>
      <c r="P6" s="8">
        <v>1</v>
      </c>
      <c r="Q6" s="8">
        <v>1</v>
      </c>
      <c r="R6" s="8">
        <v>1</v>
      </c>
      <c r="S6" s="8">
        <v>1</v>
      </c>
      <c r="T6" s="8">
        <v>1</v>
      </c>
      <c r="U6" s="8">
        <v>1</v>
      </c>
      <c r="V6" s="8">
        <v>1</v>
      </c>
      <c r="W6" s="8">
        <v>1</v>
      </c>
      <c r="X6" s="8">
        <v>1</v>
      </c>
      <c r="Y6" s="8">
        <v>1</v>
      </c>
    </row>
    <row r="7" spans="1:25" x14ac:dyDescent="0.3">
      <c r="A7" s="8">
        <v>6</v>
      </c>
      <c r="B7" s="8">
        <v>1</v>
      </c>
      <c r="C7" s="8">
        <v>1</v>
      </c>
      <c r="D7" s="8">
        <v>1</v>
      </c>
      <c r="E7" s="8">
        <v>1</v>
      </c>
      <c r="F7" s="8">
        <v>1</v>
      </c>
      <c r="G7" s="8">
        <v>1</v>
      </c>
      <c r="H7" s="8">
        <v>1</v>
      </c>
      <c r="I7" s="8">
        <v>1</v>
      </c>
      <c r="J7" s="8">
        <v>1</v>
      </c>
      <c r="K7" s="8">
        <v>1</v>
      </c>
      <c r="L7" s="8">
        <v>1</v>
      </c>
      <c r="M7" s="8">
        <v>1</v>
      </c>
      <c r="N7" s="8">
        <v>1</v>
      </c>
      <c r="O7" s="8">
        <v>1</v>
      </c>
      <c r="P7" s="8">
        <v>1</v>
      </c>
      <c r="Q7" s="8">
        <v>1</v>
      </c>
      <c r="R7" s="8">
        <v>1</v>
      </c>
      <c r="S7" s="8">
        <v>1</v>
      </c>
      <c r="T7" s="8">
        <v>1</v>
      </c>
      <c r="U7" s="8">
        <v>1</v>
      </c>
      <c r="V7" s="8">
        <v>1</v>
      </c>
      <c r="W7" s="8">
        <v>1</v>
      </c>
      <c r="X7" s="8">
        <v>1</v>
      </c>
      <c r="Y7" s="8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  <row r="9" spans="1:25" x14ac:dyDescent="0.3">
      <c r="A9" s="5">
        <v>8</v>
      </c>
      <c r="B9" s="5">
        <v>1</v>
      </c>
      <c r="C9" s="5">
        <v>1</v>
      </c>
      <c r="D9" s="5">
        <v>1</v>
      </c>
      <c r="E9" s="5">
        <v>1</v>
      </c>
      <c r="F9" s="5">
        <v>1</v>
      </c>
      <c r="G9" s="5">
        <v>1</v>
      </c>
      <c r="H9" s="5">
        <v>1</v>
      </c>
      <c r="I9" s="5">
        <v>1</v>
      </c>
      <c r="J9" s="5">
        <v>1</v>
      </c>
      <c r="K9" s="5">
        <v>1</v>
      </c>
      <c r="L9" s="5">
        <v>1</v>
      </c>
      <c r="M9" s="5">
        <v>1</v>
      </c>
      <c r="N9" s="5">
        <v>1</v>
      </c>
      <c r="O9" s="5">
        <v>1</v>
      </c>
      <c r="P9" s="5">
        <v>1</v>
      </c>
      <c r="Q9" s="5">
        <v>1</v>
      </c>
      <c r="R9" s="5">
        <v>1</v>
      </c>
      <c r="S9" s="5">
        <v>1</v>
      </c>
      <c r="T9" s="5">
        <v>1</v>
      </c>
      <c r="U9" s="5">
        <v>1</v>
      </c>
      <c r="V9" s="5">
        <v>1</v>
      </c>
      <c r="W9" s="5">
        <v>1</v>
      </c>
      <c r="X9" s="5">
        <v>1</v>
      </c>
      <c r="Y9" s="5">
        <v>1</v>
      </c>
    </row>
    <row r="10" spans="1:25" x14ac:dyDescent="0.3">
      <c r="A10" s="5">
        <v>9</v>
      </c>
      <c r="B10" s="5">
        <v>1</v>
      </c>
      <c r="C10" s="5">
        <v>1</v>
      </c>
      <c r="D10" s="5">
        <v>1</v>
      </c>
      <c r="E10" s="5">
        <v>1</v>
      </c>
      <c r="F10" s="5">
        <v>1</v>
      </c>
      <c r="G10" s="5">
        <v>1</v>
      </c>
      <c r="H10" s="5">
        <v>1</v>
      </c>
      <c r="I10" s="5">
        <v>1</v>
      </c>
      <c r="J10" s="5">
        <v>1</v>
      </c>
      <c r="K10" s="5">
        <v>1</v>
      </c>
      <c r="L10" s="5">
        <v>1</v>
      </c>
      <c r="M10" s="5">
        <v>1</v>
      </c>
      <c r="N10" s="5">
        <v>1</v>
      </c>
      <c r="O10" s="5">
        <v>1</v>
      </c>
      <c r="P10" s="5">
        <v>1</v>
      </c>
      <c r="Q10" s="5">
        <v>1</v>
      </c>
      <c r="R10" s="5">
        <v>1</v>
      </c>
      <c r="S10" s="5">
        <v>1</v>
      </c>
      <c r="T10" s="5">
        <v>1</v>
      </c>
      <c r="U10" s="5">
        <v>1</v>
      </c>
      <c r="V10" s="5">
        <v>1</v>
      </c>
      <c r="W10" s="5">
        <v>1</v>
      </c>
      <c r="X10" s="5">
        <v>1</v>
      </c>
      <c r="Y10" s="5">
        <v>1</v>
      </c>
    </row>
  </sheetData>
  <pageMargins left="0.7" right="0.7" top="0.75" bottom="0.75" header="0.3" footer="0.3"/>
  <pageSetup paperSize="9" orientation="portrait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A06B0-43DA-4FC5-93A6-096C66183003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38.09995466906016</v>
      </c>
      <c r="C2" s="2">
        <f>('[1]Pc, Summer, S1'!C2*Main!$B$5)+(_xlfn.IFNA(VLOOKUP($A2,'FL Ratio'!$A$3:$B$10,2,FALSE),0)*'FL Characterization'!C$2)</f>
        <v>34.615513817474088</v>
      </c>
      <c r="D2" s="2">
        <f>('[1]Pc, Summer, S1'!D2*Main!$B$5)+(_xlfn.IFNA(VLOOKUP($A2,'FL Ratio'!$A$3:$B$10,2,FALSE),0)*'FL Characterization'!D$2)</f>
        <v>34.010870756661696</v>
      </c>
      <c r="E2" s="2">
        <f>('[1]Pc, Summer, S1'!E2*Main!$B$5)+(_xlfn.IFNA(VLOOKUP($A2,'FL Ratio'!$A$3:$B$10,2,FALSE),0)*'FL Characterization'!E$2)</f>
        <v>33.923987808969699</v>
      </c>
      <c r="F2" s="2">
        <f>('[1]Pc, Summer, S1'!F2*Main!$B$5)+(_xlfn.IFNA(VLOOKUP($A2,'FL Ratio'!$A$3:$B$10,2,FALSE),0)*'FL Characterization'!F$2)</f>
        <v>33.926662379912791</v>
      </c>
      <c r="G2" s="2">
        <f>('[1]Pc, Summer, S1'!G2*Main!$B$5)+(_xlfn.IFNA(VLOOKUP($A2,'FL Ratio'!$A$3:$B$10,2,FALSE),0)*'FL Characterization'!G$2)</f>
        <v>33.62662489098075</v>
      </c>
      <c r="H2" s="2">
        <f>('[1]Pc, Summer, S1'!H2*Main!$B$5)+(_xlfn.IFNA(VLOOKUP($A2,'FL Ratio'!$A$3:$B$10,2,FALSE),0)*'FL Characterization'!H$2)</f>
        <v>36.302943313608537</v>
      </c>
      <c r="I2" s="2">
        <f>('[1]Pc, Summer, S1'!I2*Main!$B$5)+(_xlfn.IFNA(VLOOKUP($A2,'FL Ratio'!$A$3:$B$10,2,FALSE),0)*'FL Characterization'!I$2)</f>
        <v>43.100462809925148</v>
      </c>
      <c r="J2" s="2">
        <f>('[1]Pc, Summer, S1'!J2*Main!$B$5)+(_xlfn.IFNA(VLOOKUP($A2,'FL Ratio'!$A$3:$B$10,2,FALSE),0)*'FL Characterization'!J$2)</f>
        <v>49.122272124698263</v>
      </c>
      <c r="K2" s="2">
        <f>('[1]Pc, Summer, S1'!K2*Main!$B$5)+(_xlfn.IFNA(VLOOKUP($A2,'FL Ratio'!$A$3:$B$10,2,FALSE),0)*'FL Characterization'!K$2)</f>
        <v>50.631703722163621</v>
      </c>
      <c r="L2" s="2">
        <f>('[1]Pc, Summer, S1'!L2*Main!$B$5)+(_xlfn.IFNA(VLOOKUP($A2,'FL Ratio'!$A$3:$B$10,2,FALSE),0)*'FL Characterization'!L$2)</f>
        <v>50.119324388043118</v>
      </c>
      <c r="M2" s="2">
        <f>('[1]Pc, Summer, S1'!M2*Main!$B$5)+(_xlfn.IFNA(VLOOKUP($A2,'FL Ratio'!$A$3:$B$10,2,FALSE),0)*'FL Characterization'!M$2)</f>
        <v>51.536629105684</v>
      </c>
      <c r="N2" s="2">
        <f>('[1]Pc, Summer, S1'!N2*Main!$B$5)+(_xlfn.IFNA(VLOOKUP($A2,'FL Ratio'!$A$3:$B$10,2,FALSE),0)*'FL Characterization'!N$2)</f>
        <v>52.243602991649929</v>
      </c>
      <c r="O2" s="2">
        <f>('[1]Pc, Summer, S1'!O2*Main!$B$5)+(_xlfn.IFNA(VLOOKUP($A2,'FL Ratio'!$A$3:$B$10,2,FALSE),0)*'FL Characterization'!O$2)</f>
        <v>51.277194211167526</v>
      </c>
      <c r="P2" s="2">
        <f>('[1]Pc, Summer, S1'!P2*Main!$B$5)+(_xlfn.IFNA(VLOOKUP($A2,'FL Ratio'!$A$3:$B$10,2,FALSE),0)*'FL Characterization'!P$2)</f>
        <v>49.273527144779756</v>
      </c>
      <c r="Q2" s="2">
        <f>('[1]Pc, Summer, S1'!Q2*Main!$B$5)+(_xlfn.IFNA(VLOOKUP($A2,'FL Ratio'!$A$3:$B$10,2,FALSE),0)*'FL Characterization'!Q$2)</f>
        <v>47.290352684474804</v>
      </c>
      <c r="R2" s="2">
        <f>('[1]Pc, Summer, S1'!R2*Main!$B$5)+(_xlfn.IFNA(VLOOKUP($A2,'FL Ratio'!$A$3:$B$10,2,FALSE),0)*'FL Characterization'!R$2)</f>
        <v>48.115414352331314</v>
      </c>
      <c r="S2" s="2">
        <f>('[1]Pc, Summer, S1'!S2*Main!$B$5)+(_xlfn.IFNA(VLOOKUP($A2,'FL Ratio'!$A$3:$B$10,2,FALSE),0)*'FL Characterization'!S$2)</f>
        <v>48.590782626797115</v>
      </c>
      <c r="T2" s="2">
        <f>('[1]Pc, Summer, S1'!T2*Main!$B$5)+(_xlfn.IFNA(VLOOKUP($A2,'FL Ratio'!$A$3:$B$10,2,FALSE),0)*'FL Characterization'!T$2)</f>
        <v>48.797032448499344</v>
      </c>
      <c r="U2" s="2">
        <f>('[1]Pc, Summer, S1'!U2*Main!$B$5)+(_xlfn.IFNA(VLOOKUP($A2,'FL Ratio'!$A$3:$B$10,2,FALSE),0)*'FL Characterization'!U$2)</f>
        <v>47.989217224603095</v>
      </c>
      <c r="V2" s="2">
        <f>('[1]Pc, Summer, S1'!V2*Main!$B$5)+(_xlfn.IFNA(VLOOKUP($A2,'FL Ratio'!$A$3:$B$10,2,FALSE),0)*'FL Characterization'!V$2)</f>
        <v>48.133403682772411</v>
      </c>
      <c r="W2" s="2">
        <f>('[1]Pc, Summer, S1'!W2*Main!$B$5)+(_xlfn.IFNA(VLOOKUP($A2,'FL Ratio'!$A$3:$B$10,2,FALSE),0)*'FL Characterization'!W$2)</f>
        <v>50.126991546403254</v>
      </c>
      <c r="X2" s="2">
        <f>('[1]Pc, Summer, S1'!X2*Main!$B$5)+(_xlfn.IFNA(VLOOKUP($A2,'FL Ratio'!$A$3:$B$10,2,FALSE),0)*'FL Characterization'!X$2)</f>
        <v>46.724423352560279</v>
      </c>
      <c r="Y2" s="2">
        <f>('[1]Pc, Summer, S1'!Y2*Main!$B$5)+(_xlfn.IFNA(VLOOKUP($A2,'FL Ratio'!$A$3:$B$10,2,FALSE),0)*'FL Characterization'!Y$2)</f>
        <v>42.832018356536096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41.004484606611122</v>
      </c>
      <c r="C3" s="2">
        <f>('[1]Pc, Summer, S1'!C3*Main!$B$5)+(_xlfn.IFNA(VLOOKUP($A3,'FL Ratio'!$A$3:$B$10,2,FALSE),0)*'FL Characterization'!C$2)</f>
        <v>37.627343178514558</v>
      </c>
      <c r="D3" s="2">
        <f>('[1]Pc, Summer, S1'!D3*Main!$B$5)+(_xlfn.IFNA(VLOOKUP($A3,'FL Ratio'!$A$3:$B$10,2,FALSE),0)*'FL Characterization'!D$2)</f>
        <v>35.649215827071856</v>
      </c>
      <c r="E3" s="2">
        <f>('[1]Pc, Summer, S1'!E3*Main!$B$5)+(_xlfn.IFNA(VLOOKUP($A3,'FL Ratio'!$A$3:$B$10,2,FALSE),0)*'FL Characterization'!E$2)</f>
        <v>34.343771586565595</v>
      </c>
      <c r="F3" s="2">
        <f>('[1]Pc, Summer, S1'!F3*Main!$B$5)+(_xlfn.IFNA(VLOOKUP($A3,'FL Ratio'!$A$3:$B$10,2,FALSE),0)*'FL Characterization'!F$2)</f>
        <v>33.967600276120486</v>
      </c>
      <c r="G3" s="2">
        <f>('[1]Pc, Summer, S1'!G3*Main!$B$5)+(_xlfn.IFNA(VLOOKUP($A3,'FL Ratio'!$A$3:$B$10,2,FALSE),0)*'FL Characterization'!G$2)</f>
        <v>36.039703635720002</v>
      </c>
      <c r="H3" s="2">
        <f>('[1]Pc, Summer, S1'!H3*Main!$B$5)+(_xlfn.IFNA(VLOOKUP($A3,'FL Ratio'!$A$3:$B$10,2,FALSE),0)*'FL Characterization'!H$2)</f>
        <v>45.113180735492321</v>
      </c>
      <c r="I3" s="2">
        <f>('[1]Pc, Summer, S1'!I3*Main!$B$5)+(_xlfn.IFNA(VLOOKUP($A3,'FL Ratio'!$A$3:$B$10,2,FALSE),0)*'FL Characterization'!I$2)</f>
        <v>53.643893143878955</v>
      </c>
      <c r="J3" s="2">
        <f>('[1]Pc, Summer, S1'!J3*Main!$B$5)+(_xlfn.IFNA(VLOOKUP($A3,'FL Ratio'!$A$3:$B$10,2,FALSE),0)*'FL Characterization'!J$2)</f>
        <v>55.936913042010509</v>
      </c>
      <c r="K3" s="2">
        <f>('[1]Pc, Summer, S1'!K3*Main!$B$5)+(_xlfn.IFNA(VLOOKUP($A3,'FL Ratio'!$A$3:$B$10,2,FALSE),0)*'FL Characterization'!K$2)</f>
        <v>54.89564470456444</v>
      </c>
      <c r="L3" s="2">
        <f>('[1]Pc, Summer, S1'!L3*Main!$B$5)+(_xlfn.IFNA(VLOOKUP($A3,'FL Ratio'!$A$3:$B$10,2,FALSE),0)*'FL Characterization'!L$2)</f>
        <v>54.707743061314837</v>
      </c>
      <c r="M3" s="2">
        <f>('[1]Pc, Summer, S1'!M3*Main!$B$5)+(_xlfn.IFNA(VLOOKUP($A3,'FL Ratio'!$A$3:$B$10,2,FALSE),0)*'FL Characterization'!M$2)</f>
        <v>58.338493614643937</v>
      </c>
      <c r="N3" s="2">
        <f>('[1]Pc, Summer, S1'!N3*Main!$B$5)+(_xlfn.IFNA(VLOOKUP($A3,'FL Ratio'!$A$3:$B$10,2,FALSE),0)*'FL Characterization'!N$2)</f>
        <v>58.510551436823917</v>
      </c>
      <c r="O3" s="2">
        <f>('[1]Pc, Summer, S1'!O3*Main!$B$5)+(_xlfn.IFNA(VLOOKUP($A3,'FL Ratio'!$A$3:$B$10,2,FALSE),0)*'FL Characterization'!O$2)</f>
        <v>58.899853983978609</v>
      </c>
      <c r="P3" s="2">
        <f>('[1]Pc, Summer, S1'!P3*Main!$B$5)+(_xlfn.IFNA(VLOOKUP($A3,'FL Ratio'!$A$3:$B$10,2,FALSE),0)*'FL Characterization'!P$2)</f>
        <v>56.044197881816416</v>
      </c>
      <c r="Q3" s="2">
        <f>('[1]Pc, Summer, S1'!Q3*Main!$B$5)+(_xlfn.IFNA(VLOOKUP($A3,'FL Ratio'!$A$3:$B$10,2,FALSE),0)*'FL Characterization'!Q$2)</f>
        <v>53.09062217158877</v>
      </c>
      <c r="R3" s="2">
        <f>('[1]Pc, Summer, S1'!R3*Main!$B$5)+(_xlfn.IFNA(VLOOKUP($A3,'FL Ratio'!$A$3:$B$10,2,FALSE),0)*'FL Characterization'!R$2)</f>
        <v>49.12560995899284</v>
      </c>
      <c r="S3" s="2">
        <f>('[1]Pc, Summer, S1'!S3*Main!$B$5)+(_xlfn.IFNA(VLOOKUP($A3,'FL Ratio'!$A$3:$B$10,2,FALSE),0)*'FL Characterization'!S$2)</f>
        <v>49.645259341132366</v>
      </c>
      <c r="T3" s="2">
        <f>('[1]Pc, Summer, S1'!T3*Main!$B$5)+(_xlfn.IFNA(VLOOKUP($A3,'FL Ratio'!$A$3:$B$10,2,FALSE),0)*'FL Characterization'!T$2)</f>
        <v>49.223514915048113</v>
      </c>
      <c r="U3" s="2">
        <f>('[1]Pc, Summer, S1'!U3*Main!$B$5)+(_xlfn.IFNA(VLOOKUP($A3,'FL Ratio'!$A$3:$B$10,2,FALSE),0)*'FL Characterization'!U$2)</f>
        <v>49.04566390020215</v>
      </c>
      <c r="V3" s="2">
        <f>('[1]Pc, Summer, S1'!V3*Main!$B$5)+(_xlfn.IFNA(VLOOKUP($A3,'FL Ratio'!$A$3:$B$10,2,FALSE),0)*'FL Characterization'!V$2)</f>
        <v>49.264067263710061</v>
      </c>
      <c r="W3" s="2">
        <f>('[1]Pc, Summer, S1'!W3*Main!$B$5)+(_xlfn.IFNA(VLOOKUP($A3,'FL Ratio'!$A$3:$B$10,2,FALSE),0)*'FL Characterization'!W$2)</f>
        <v>49.019787639627381</v>
      </c>
      <c r="X3" s="2">
        <f>('[1]Pc, Summer, S1'!X3*Main!$B$5)+(_xlfn.IFNA(VLOOKUP($A3,'FL Ratio'!$A$3:$B$10,2,FALSE),0)*'FL Characterization'!X$2)</f>
        <v>48.681130272127923</v>
      </c>
      <c r="Y3" s="2">
        <f>('[1]Pc, Summer, S1'!Y3*Main!$B$5)+(_xlfn.IFNA(VLOOKUP($A3,'FL Ratio'!$A$3:$B$10,2,FALSE),0)*'FL Characterization'!Y$2)</f>
        <v>46.035722336847797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54.461347441435279</v>
      </c>
      <c r="C4" s="2">
        <f>('[1]Pc, Summer, S1'!C4*Main!$B$5)+(_xlfn.IFNA(VLOOKUP($A4,'FL Ratio'!$A$3:$B$10,2,FALSE),0)*'FL Characterization'!C$2)</f>
        <v>48.305720759468599</v>
      </c>
      <c r="D4" s="2">
        <f>('[1]Pc, Summer, S1'!D4*Main!$B$5)+(_xlfn.IFNA(VLOOKUP($A4,'FL Ratio'!$A$3:$B$10,2,FALSE),0)*'FL Characterization'!D$2)</f>
        <v>45.555199317233885</v>
      </c>
      <c r="E4" s="2">
        <f>('[1]Pc, Summer, S1'!E4*Main!$B$5)+(_xlfn.IFNA(VLOOKUP($A4,'FL Ratio'!$A$3:$B$10,2,FALSE),0)*'FL Characterization'!E$2)</f>
        <v>44.065506514003857</v>
      </c>
      <c r="F4" s="2">
        <f>('[1]Pc, Summer, S1'!F4*Main!$B$5)+(_xlfn.IFNA(VLOOKUP($A4,'FL Ratio'!$A$3:$B$10,2,FALSE),0)*'FL Characterization'!F$2)</f>
        <v>46.212294267110281</v>
      </c>
      <c r="G4" s="2">
        <f>('[1]Pc, Summer, S1'!G4*Main!$B$5)+(_xlfn.IFNA(VLOOKUP($A4,'FL Ratio'!$A$3:$B$10,2,FALSE),0)*'FL Characterization'!G$2)</f>
        <v>42.212874747580607</v>
      </c>
      <c r="H4" s="2">
        <f>('[1]Pc, Summer, S1'!H4*Main!$B$5)+(_xlfn.IFNA(VLOOKUP($A4,'FL Ratio'!$A$3:$B$10,2,FALSE),0)*'FL Characterization'!H$2)</f>
        <v>49.580522915207581</v>
      </c>
      <c r="I4" s="2">
        <f>('[1]Pc, Summer, S1'!I4*Main!$B$5)+(_xlfn.IFNA(VLOOKUP($A4,'FL Ratio'!$A$3:$B$10,2,FALSE),0)*'FL Characterization'!I$2)</f>
        <v>55.800041264378137</v>
      </c>
      <c r="J4" s="2">
        <f>('[1]Pc, Summer, S1'!J4*Main!$B$5)+(_xlfn.IFNA(VLOOKUP($A4,'FL Ratio'!$A$3:$B$10,2,FALSE),0)*'FL Characterization'!J$2)</f>
        <v>62.78652669959601</v>
      </c>
      <c r="K4" s="2">
        <f>('[1]Pc, Summer, S1'!K4*Main!$B$5)+(_xlfn.IFNA(VLOOKUP($A4,'FL Ratio'!$A$3:$B$10,2,FALSE),0)*'FL Characterization'!K$2)</f>
        <v>67.490629643023453</v>
      </c>
      <c r="L4" s="2">
        <f>('[1]Pc, Summer, S1'!L4*Main!$B$5)+(_xlfn.IFNA(VLOOKUP($A4,'FL Ratio'!$A$3:$B$10,2,FALSE),0)*'FL Characterization'!L$2)</f>
        <v>69.475846458773347</v>
      </c>
      <c r="M4" s="2">
        <f>('[1]Pc, Summer, S1'!M4*Main!$B$5)+(_xlfn.IFNA(VLOOKUP($A4,'FL Ratio'!$A$3:$B$10,2,FALSE),0)*'FL Characterization'!M$2)</f>
        <v>70.629662019784732</v>
      </c>
      <c r="N4" s="2">
        <f>('[1]Pc, Summer, S1'!N4*Main!$B$5)+(_xlfn.IFNA(VLOOKUP($A4,'FL Ratio'!$A$3:$B$10,2,FALSE),0)*'FL Characterization'!N$2)</f>
        <v>72.182849713314155</v>
      </c>
      <c r="O4" s="2">
        <f>('[1]Pc, Summer, S1'!O4*Main!$B$5)+(_xlfn.IFNA(VLOOKUP($A4,'FL Ratio'!$A$3:$B$10,2,FALSE),0)*'FL Characterization'!O$2)</f>
        <v>73.159571463935592</v>
      </c>
      <c r="P4" s="2">
        <f>('[1]Pc, Summer, S1'!P4*Main!$B$5)+(_xlfn.IFNA(VLOOKUP($A4,'FL Ratio'!$A$3:$B$10,2,FALSE),0)*'FL Characterization'!P$2)</f>
        <v>73.468932320652513</v>
      </c>
      <c r="Q4" s="2">
        <f>('[1]Pc, Summer, S1'!Q4*Main!$B$5)+(_xlfn.IFNA(VLOOKUP($A4,'FL Ratio'!$A$3:$B$10,2,FALSE),0)*'FL Characterization'!Q$2)</f>
        <v>70.718394695093721</v>
      </c>
      <c r="R4" s="2">
        <f>('[1]Pc, Summer, S1'!R4*Main!$B$5)+(_xlfn.IFNA(VLOOKUP($A4,'FL Ratio'!$A$3:$B$10,2,FALSE),0)*'FL Characterization'!R$2)</f>
        <v>70.361144430070624</v>
      </c>
      <c r="S4" s="2">
        <f>('[1]Pc, Summer, S1'!S4*Main!$B$5)+(_xlfn.IFNA(VLOOKUP($A4,'FL Ratio'!$A$3:$B$10,2,FALSE),0)*'FL Characterization'!S$2)</f>
        <v>68.157138675860892</v>
      </c>
      <c r="T4" s="2">
        <f>('[1]Pc, Summer, S1'!T4*Main!$B$5)+(_xlfn.IFNA(VLOOKUP($A4,'FL Ratio'!$A$3:$B$10,2,FALSE),0)*'FL Characterization'!T$2)</f>
        <v>68.088636698971271</v>
      </c>
      <c r="U4" s="2">
        <f>('[1]Pc, Summer, S1'!U4*Main!$B$5)+(_xlfn.IFNA(VLOOKUP($A4,'FL Ratio'!$A$3:$B$10,2,FALSE),0)*'FL Characterization'!U$2)</f>
        <v>68.465666356886459</v>
      </c>
      <c r="V4" s="2">
        <f>('[1]Pc, Summer, S1'!V4*Main!$B$5)+(_xlfn.IFNA(VLOOKUP($A4,'FL Ratio'!$A$3:$B$10,2,FALSE),0)*'FL Characterization'!V$2)</f>
        <v>68.124729763456813</v>
      </c>
      <c r="W4" s="2">
        <f>('[1]Pc, Summer, S1'!W4*Main!$B$5)+(_xlfn.IFNA(VLOOKUP($A4,'FL Ratio'!$A$3:$B$10,2,FALSE),0)*'FL Characterization'!W$2)</f>
        <v>70.299660402105758</v>
      </c>
      <c r="X4" s="2">
        <f>('[1]Pc, Summer, S1'!X4*Main!$B$5)+(_xlfn.IFNA(VLOOKUP($A4,'FL Ratio'!$A$3:$B$10,2,FALSE),0)*'FL Characterization'!X$2)</f>
        <v>70.101746473949575</v>
      </c>
      <c r="Y4" s="2">
        <f>('[1]Pc, Summer, S1'!Y4*Main!$B$5)+(_xlfn.IFNA(VLOOKUP($A4,'FL Ratio'!$A$3:$B$10,2,FALSE),0)*'FL Characterization'!Y$2)</f>
        <v>63.214694027365773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FBAC3-A7D7-487D-BAA9-4CD30B536E09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38.09995466906016</v>
      </c>
      <c r="C2" s="2">
        <f>('[1]Pc, Summer, S1'!C2*Main!$B$5)+(_xlfn.IFNA(VLOOKUP($A2,'FL Ratio'!$A$3:$B$10,2,FALSE),0)*'FL Characterization'!C$2)</f>
        <v>34.615513817474088</v>
      </c>
      <c r="D2" s="2">
        <f>('[1]Pc, Summer, S1'!D2*Main!$B$5)+(_xlfn.IFNA(VLOOKUP($A2,'FL Ratio'!$A$3:$B$10,2,FALSE),0)*'FL Characterization'!D$2)</f>
        <v>34.010870756661696</v>
      </c>
      <c r="E2" s="2">
        <f>('[1]Pc, Summer, S1'!E2*Main!$B$5)+(_xlfn.IFNA(VLOOKUP($A2,'FL Ratio'!$A$3:$B$10,2,FALSE),0)*'FL Characterization'!E$2)</f>
        <v>33.923987808969699</v>
      </c>
      <c r="F2" s="2">
        <f>('[1]Pc, Summer, S1'!F2*Main!$B$5)+(_xlfn.IFNA(VLOOKUP($A2,'FL Ratio'!$A$3:$B$10,2,FALSE),0)*'FL Characterization'!F$2)</f>
        <v>33.926662379912791</v>
      </c>
      <c r="G2" s="2">
        <f>('[1]Pc, Summer, S1'!G2*Main!$B$5)+(_xlfn.IFNA(VLOOKUP($A2,'FL Ratio'!$A$3:$B$10,2,FALSE),0)*'FL Characterization'!G$2)</f>
        <v>33.62662489098075</v>
      </c>
      <c r="H2" s="2">
        <f>('[1]Pc, Summer, S1'!H2*Main!$B$5)+(_xlfn.IFNA(VLOOKUP($A2,'FL Ratio'!$A$3:$B$10,2,FALSE),0)*'FL Characterization'!H$2)</f>
        <v>36.302943313608537</v>
      </c>
      <c r="I2" s="2">
        <f>('[1]Pc, Summer, S1'!I2*Main!$B$5)+(_xlfn.IFNA(VLOOKUP($A2,'FL Ratio'!$A$3:$B$10,2,FALSE),0)*'FL Characterization'!I$2)</f>
        <v>43.100462809925148</v>
      </c>
      <c r="J2" s="2">
        <f>('[1]Pc, Summer, S1'!J2*Main!$B$5)+(_xlfn.IFNA(VLOOKUP($A2,'FL Ratio'!$A$3:$B$10,2,FALSE),0)*'FL Characterization'!J$2)</f>
        <v>49.122272124698263</v>
      </c>
      <c r="K2" s="2">
        <f>('[1]Pc, Summer, S1'!K2*Main!$B$5)+(_xlfn.IFNA(VLOOKUP($A2,'FL Ratio'!$A$3:$B$10,2,FALSE),0)*'FL Characterization'!K$2)</f>
        <v>50.631703722163621</v>
      </c>
      <c r="L2" s="2">
        <f>('[1]Pc, Summer, S1'!L2*Main!$B$5)+(_xlfn.IFNA(VLOOKUP($A2,'FL Ratio'!$A$3:$B$10,2,FALSE),0)*'FL Characterization'!L$2)</f>
        <v>50.119324388043118</v>
      </c>
      <c r="M2" s="2">
        <f>('[1]Pc, Summer, S1'!M2*Main!$B$5)+(_xlfn.IFNA(VLOOKUP($A2,'FL Ratio'!$A$3:$B$10,2,FALSE),0)*'FL Characterization'!M$2)</f>
        <v>51.536629105684</v>
      </c>
      <c r="N2" s="2">
        <f>('[1]Pc, Summer, S1'!N2*Main!$B$5)+(_xlfn.IFNA(VLOOKUP($A2,'FL Ratio'!$A$3:$B$10,2,FALSE),0)*'FL Characterization'!N$2)</f>
        <v>52.243602991649929</v>
      </c>
      <c r="O2" s="2">
        <f>('[1]Pc, Summer, S1'!O2*Main!$B$5)+(_xlfn.IFNA(VLOOKUP($A2,'FL Ratio'!$A$3:$B$10,2,FALSE),0)*'FL Characterization'!O$2)</f>
        <v>51.277194211167526</v>
      </c>
      <c r="P2" s="2">
        <f>('[1]Pc, Summer, S1'!P2*Main!$B$5)+(_xlfn.IFNA(VLOOKUP($A2,'FL Ratio'!$A$3:$B$10,2,FALSE),0)*'FL Characterization'!P$2)</f>
        <v>49.273527144779756</v>
      </c>
      <c r="Q2" s="2">
        <f>('[1]Pc, Summer, S1'!Q2*Main!$B$5)+(_xlfn.IFNA(VLOOKUP($A2,'FL Ratio'!$A$3:$B$10,2,FALSE),0)*'FL Characterization'!Q$2)</f>
        <v>47.290352684474804</v>
      </c>
      <c r="R2" s="2">
        <f>('[1]Pc, Summer, S1'!R2*Main!$B$5)+(_xlfn.IFNA(VLOOKUP($A2,'FL Ratio'!$A$3:$B$10,2,FALSE),0)*'FL Characterization'!R$2)</f>
        <v>48.115414352331314</v>
      </c>
      <c r="S2" s="2">
        <f>('[1]Pc, Summer, S1'!S2*Main!$B$5)+(_xlfn.IFNA(VLOOKUP($A2,'FL Ratio'!$A$3:$B$10,2,FALSE),0)*'FL Characterization'!S$2)</f>
        <v>48.590782626797115</v>
      </c>
      <c r="T2" s="2">
        <f>('[1]Pc, Summer, S1'!T2*Main!$B$5)+(_xlfn.IFNA(VLOOKUP($A2,'FL Ratio'!$A$3:$B$10,2,FALSE),0)*'FL Characterization'!T$2)</f>
        <v>48.797032448499344</v>
      </c>
      <c r="U2" s="2">
        <f>('[1]Pc, Summer, S1'!U2*Main!$B$5)+(_xlfn.IFNA(VLOOKUP($A2,'FL Ratio'!$A$3:$B$10,2,FALSE),0)*'FL Characterization'!U$2)</f>
        <v>47.989217224603095</v>
      </c>
      <c r="V2" s="2">
        <f>('[1]Pc, Summer, S1'!V2*Main!$B$5)+(_xlfn.IFNA(VLOOKUP($A2,'FL Ratio'!$A$3:$B$10,2,FALSE),0)*'FL Characterization'!V$2)</f>
        <v>48.133403682772411</v>
      </c>
      <c r="W2" s="2">
        <f>('[1]Pc, Summer, S1'!W2*Main!$B$5)+(_xlfn.IFNA(VLOOKUP($A2,'FL Ratio'!$A$3:$B$10,2,FALSE),0)*'FL Characterization'!W$2)</f>
        <v>50.126991546403254</v>
      </c>
      <c r="X2" s="2">
        <f>('[1]Pc, Summer, S1'!X2*Main!$B$5)+(_xlfn.IFNA(VLOOKUP($A2,'FL Ratio'!$A$3:$B$10,2,FALSE),0)*'FL Characterization'!X$2)</f>
        <v>46.724423352560279</v>
      </c>
      <c r="Y2" s="2">
        <f>('[1]Pc, Summer, S1'!Y2*Main!$B$5)+(_xlfn.IFNA(VLOOKUP($A2,'FL Ratio'!$A$3:$B$10,2,FALSE),0)*'FL Characterization'!Y$2)</f>
        <v>42.832018356536096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41.004484606611122</v>
      </c>
      <c r="C3" s="2">
        <f>('[1]Pc, Summer, S1'!C3*Main!$B$5)+(_xlfn.IFNA(VLOOKUP($A3,'FL Ratio'!$A$3:$B$10,2,FALSE),0)*'FL Characterization'!C$2)</f>
        <v>37.627343178514558</v>
      </c>
      <c r="D3" s="2">
        <f>('[1]Pc, Summer, S1'!D3*Main!$B$5)+(_xlfn.IFNA(VLOOKUP($A3,'FL Ratio'!$A$3:$B$10,2,FALSE),0)*'FL Characterization'!D$2)</f>
        <v>35.649215827071856</v>
      </c>
      <c r="E3" s="2">
        <f>('[1]Pc, Summer, S1'!E3*Main!$B$5)+(_xlfn.IFNA(VLOOKUP($A3,'FL Ratio'!$A$3:$B$10,2,FALSE),0)*'FL Characterization'!E$2)</f>
        <v>34.343771586565595</v>
      </c>
      <c r="F3" s="2">
        <f>('[1]Pc, Summer, S1'!F3*Main!$B$5)+(_xlfn.IFNA(VLOOKUP($A3,'FL Ratio'!$A$3:$B$10,2,FALSE),0)*'FL Characterization'!F$2)</f>
        <v>33.967600276120486</v>
      </c>
      <c r="G3" s="2">
        <f>('[1]Pc, Summer, S1'!G3*Main!$B$5)+(_xlfn.IFNA(VLOOKUP($A3,'FL Ratio'!$A$3:$B$10,2,FALSE),0)*'FL Characterization'!G$2)</f>
        <v>36.039703635720002</v>
      </c>
      <c r="H3" s="2">
        <f>('[1]Pc, Summer, S1'!H3*Main!$B$5)+(_xlfn.IFNA(VLOOKUP($A3,'FL Ratio'!$A$3:$B$10,2,FALSE),0)*'FL Characterization'!H$2)</f>
        <v>45.113180735492321</v>
      </c>
      <c r="I3" s="2">
        <f>('[1]Pc, Summer, S1'!I3*Main!$B$5)+(_xlfn.IFNA(VLOOKUP($A3,'FL Ratio'!$A$3:$B$10,2,FALSE),0)*'FL Characterization'!I$2)</f>
        <v>53.643893143878955</v>
      </c>
      <c r="J3" s="2">
        <f>('[1]Pc, Summer, S1'!J3*Main!$B$5)+(_xlfn.IFNA(VLOOKUP($A3,'FL Ratio'!$A$3:$B$10,2,FALSE),0)*'FL Characterization'!J$2)</f>
        <v>55.936913042010509</v>
      </c>
      <c r="K3" s="2">
        <f>('[1]Pc, Summer, S1'!K3*Main!$B$5)+(_xlfn.IFNA(VLOOKUP($A3,'FL Ratio'!$A$3:$B$10,2,FALSE),0)*'FL Characterization'!K$2)</f>
        <v>54.89564470456444</v>
      </c>
      <c r="L3" s="2">
        <f>('[1]Pc, Summer, S1'!L3*Main!$B$5)+(_xlfn.IFNA(VLOOKUP($A3,'FL Ratio'!$A$3:$B$10,2,FALSE),0)*'FL Characterization'!L$2)</f>
        <v>54.707743061314837</v>
      </c>
      <c r="M3" s="2">
        <f>('[1]Pc, Summer, S1'!M3*Main!$B$5)+(_xlfn.IFNA(VLOOKUP($A3,'FL Ratio'!$A$3:$B$10,2,FALSE),0)*'FL Characterization'!M$2)</f>
        <v>58.338493614643937</v>
      </c>
      <c r="N3" s="2">
        <f>('[1]Pc, Summer, S1'!N3*Main!$B$5)+(_xlfn.IFNA(VLOOKUP($A3,'FL Ratio'!$A$3:$B$10,2,FALSE),0)*'FL Characterization'!N$2)</f>
        <v>58.510551436823917</v>
      </c>
      <c r="O3" s="2">
        <f>('[1]Pc, Summer, S1'!O3*Main!$B$5)+(_xlfn.IFNA(VLOOKUP($A3,'FL Ratio'!$A$3:$B$10,2,FALSE),0)*'FL Characterization'!O$2)</f>
        <v>58.899853983978609</v>
      </c>
      <c r="P3" s="2">
        <f>('[1]Pc, Summer, S1'!P3*Main!$B$5)+(_xlfn.IFNA(VLOOKUP($A3,'FL Ratio'!$A$3:$B$10,2,FALSE),0)*'FL Characterization'!P$2)</f>
        <v>56.044197881816416</v>
      </c>
      <c r="Q3" s="2">
        <f>('[1]Pc, Summer, S1'!Q3*Main!$B$5)+(_xlfn.IFNA(VLOOKUP($A3,'FL Ratio'!$A$3:$B$10,2,FALSE),0)*'FL Characterization'!Q$2)</f>
        <v>53.09062217158877</v>
      </c>
      <c r="R3" s="2">
        <f>('[1]Pc, Summer, S1'!R3*Main!$B$5)+(_xlfn.IFNA(VLOOKUP($A3,'FL Ratio'!$A$3:$B$10,2,FALSE),0)*'FL Characterization'!R$2)</f>
        <v>49.12560995899284</v>
      </c>
      <c r="S3" s="2">
        <f>('[1]Pc, Summer, S1'!S3*Main!$B$5)+(_xlfn.IFNA(VLOOKUP($A3,'FL Ratio'!$A$3:$B$10,2,FALSE),0)*'FL Characterization'!S$2)</f>
        <v>49.645259341132366</v>
      </c>
      <c r="T3" s="2">
        <f>('[1]Pc, Summer, S1'!T3*Main!$B$5)+(_xlfn.IFNA(VLOOKUP($A3,'FL Ratio'!$A$3:$B$10,2,FALSE),0)*'FL Characterization'!T$2)</f>
        <v>49.223514915048113</v>
      </c>
      <c r="U3" s="2">
        <f>('[1]Pc, Summer, S1'!U3*Main!$B$5)+(_xlfn.IFNA(VLOOKUP($A3,'FL Ratio'!$A$3:$B$10,2,FALSE),0)*'FL Characterization'!U$2)</f>
        <v>49.04566390020215</v>
      </c>
      <c r="V3" s="2">
        <f>('[1]Pc, Summer, S1'!V3*Main!$B$5)+(_xlfn.IFNA(VLOOKUP($A3,'FL Ratio'!$A$3:$B$10,2,FALSE),0)*'FL Characterization'!V$2)</f>
        <v>49.264067263710061</v>
      </c>
      <c r="W3" s="2">
        <f>('[1]Pc, Summer, S1'!W3*Main!$B$5)+(_xlfn.IFNA(VLOOKUP($A3,'FL Ratio'!$A$3:$B$10,2,FALSE),0)*'FL Characterization'!W$2)</f>
        <v>49.019787639627381</v>
      </c>
      <c r="X3" s="2">
        <f>('[1]Pc, Summer, S1'!X3*Main!$B$5)+(_xlfn.IFNA(VLOOKUP($A3,'FL Ratio'!$A$3:$B$10,2,FALSE),0)*'FL Characterization'!X$2)</f>
        <v>48.681130272127923</v>
      </c>
      <c r="Y3" s="2">
        <f>('[1]Pc, Summer, S1'!Y3*Main!$B$5)+(_xlfn.IFNA(VLOOKUP($A3,'FL Ratio'!$A$3:$B$10,2,FALSE),0)*'FL Characterization'!Y$2)</f>
        <v>46.035722336847797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54.461347441435279</v>
      </c>
      <c r="C4" s="2">
        <f>('[1]Pc, Summer, S1'!C4*Main!$B$5)+(_xlfn.IFNA(VLOOKUP($A4,'FL Ratio'!$A$3:$B$10,2,FALSE),0)*'FL Characterization'!C$2)</f>
        <v>48.305720759468599</v>
      </c>
      <c r="D4" s="2">
        <f>('[1]Pc, Summer, S1'!D4*Main!$B$5)+(_xlfn.IFNA(VLOOKUP($A4,'FL Ratio'!$A$3:$B$10,2,FALSE),0)*'FL Characterization'!D$2)</f>
        <v>45.555199317233885</v>
      </c>
      <c r="E4" s="2">
        <f>('[1]Pc, Summer, S1'!E4*Main!$B$5)+(_xlfn.IFNA(VLOOKUP($A4,'FL Ratio'!$A$3:$B$10,2,FALSE),0)*'FL Characterization'!E$2)</f>
        <v>44.065506514003857</v>
      </c>
      <c r="F4" s="2">
        <f>('[1]Pc, Summer, S1'!F4*Main!$B$5)+(_xlfn.IFNA(VLOOKUP($A4,'FL Ratio'!$A$3:$B$10,2,FALSE),0)*'FL Characterization'!F$2)</f>
        <v>46.212294267110281</v>
      </c>
      <c r="G4" s="2">
        <f>('[1]Pc, Summer, S1'!G4*Main!$B$5)+(_xlfn.IFNA(VLOOKUP($A4,'FL Ratio'!$A$3:$B$10,2,FALSE),0)*'FL Characterization'!G$2)</f>
        <v>42.212874747580607</v>
      </c>
      <c r="H4" s="2">
        <f>('[1]Pc, Summer, S1'!H4*Main!$B$5)+(_xlfn.IFNA(VLOOKUP($A4,'FL Ratio'!$A$3:$B$10,2,FALSE),0)*'FL Characterization'!H$2)</f>
        <v>49.580522915207581</v>
      </c>
      <c r="I4" s="2">
        <f>('[1]Pc, Summer, S1'!I4*Main!$B$5)+(_xlfn.IFNA(VLOOKUP($A4,'FL Ratio'!$A$3:$B$10,2,FALSE),0)*'FL Characterization'!I$2)</f>
        <v>55.800041264378137</v>
      </c>
      <c r="J4" s="2">
        <f>('[1]Pc, Summer, S1'!J4*Main!$B$5)+(_xlfn.IFNA(VLOOKUP($A4,'FL Ratio'!$A$3:$B$10,2,FALSE),0)*'FL Characterization'!J$2)</f>
        <v>62.78652669959601</v>
      </c>
      <c r="K4" s="2">
        <f>('[1]Pc, Summer, S1'!K4*Main!$B$5)+(_xlfn.IFNA(VLOOKUP($A4,'FL Ratio'!$A$3:$B$10,2,FALSE),0)*'FL Characterization'!K$2)</f>
        <v>67.490629643023453</v>
      </c>
      <c r="L4" s="2">
        <f>('[1]Pc, Summer, S1'!L4*Main!$B$5)+(_xlfn.IFNA(VLOOKUP($A4,'FL Ratio'!$A$3:$B$10,2,FALSE),0)*'FL Characterization'!L$2)</f>
        <v>69.475846458773347</v>
      </c>
      <c r="M4" s="2">
        <f>('[1]Pc, Summer, S1'!M4*Main!$B$5)+(_xlfn.IFNA(VLOOKUP($A4,'FL Ratio'!$A$3:$B$10,2,FALSE),0)*'FL Characterization'!M$2)</f>
        <v>70.629662019784732</v>
      </c>
      <c r="N4" s="2">
        <f>('[1]Pc, Summer, S1'!N4*Main!$B$5)+(_xlfn.IFNA(VLOOKUP($A4,'FL Ratio'!$A$3:$B$10,2,FALSE),0)*'FL Characterization'!N$2)</f>
        <v>72.182849713314155</v>
      </c>
      <c r="O4" s="2">
        <f>('[1]Pc, Summer, S1'!O4*Main!$B$5)+(_xlfn.IFNA(VLOOKUP($A4,'FL Ratio'!$A$3:$B$10,2,FALSE),0)*'FL Characterization'!O$2)</f>
        <v>73.159571463935592</v>
      </c>
      <c r="P4" s="2">
        <f>('[1]Pc, Summer, S1'!P4*Main!$B$5)+(_xlfn.IFNA(VLOOKUP($A4,'FL Ratio'!$A$3:$B$10,2,FALSE),0)*'FL Characterization'!P$2)</f>
        <v>73.468932320652513</v>
      </c>
      <c r="Q4" s="2">
        <f>('[1]Pc, Summer, S1'!Q4*Main!$B$5)+(_xlfn.IFNA(VLOOKUP($A4,'FL Ratio'!$A$3:$B$10,2,FALSE),0)*'FL Characterization'!Q$2)</f>
        <v>70.718394695093721</v>
      </c>
      <c r="R4" s="2">
        <f>('[1]Pc, Summer, S1'!R4*Main!$B$5)+(_xlfn.IFNA(VLOOKUP($A4,'FL Ratio'!$A$3:$B$10,2,FALSE),0)*'FL Characterization'!R$2)</f>
        <v>70.361144430070624</v>
      </c>
      <c r="S4" s="2">
        <f>('[1]Pc, Summer, S1'!S4*Main!$B$5)+(_xlfn.IFNA(VLOOKUP($A4,'FL Ratio'!$A$3:$B$10,2,FALSE),0)*'FL Characterization'!S$2)</f>
        <v>68.157138675860892</v>
      </c>
      <c r="T4" s="2">
        <f>('[1]Pc, Summer, S1'!T4*Main!$B$5)+(_xlfn.IFNA(VLOOKUP($A4,'FL Ratio'!$A$3:$B$10,2,FALSE),0)*'FL Characterization'!T$2)</f>
        <v>68.088636698971271</v>
      </c>
      <c r="U4" s="2">
        <f>('[1]Pc, Summer, S1'!U4*Main!$B$5)+(_xlfn.IFNA(VLOOKUP($A4,'FL Ratio'!$A$3:$B$10,2,FALSE),0)*'FL Characterization'!U$2)</f>
        <v>68.465666356886459</v>
      </c>
      <c r="V4" s="2">
        <f>('[1]Pc, Summer, S1'!V4*Main!$B$5)+(_xlfn.IFNA(VLOOKUP($A4,'FL Ratio'!$A$3:$B$10,2,FALSE),0)*'FL Characterization'!V$2)</f>
        <v>68.124729763456813</v>
      </c>
      <c r="W4" s="2">
        <f>('[1]Pc, Summer, S1'!W4*Main!$B$5)+(_xlfn.IFNA(VLOOKUP($A4,'FL Ratio'!$A$3:$B$10,2,FALSE),0)*'FL Characterization'!W$2)</f>
        <v>70.299660402105758</v>
      </c>
      <c r="X4" s="2">
        <f>('[1]Pc, Summer, S1'!X4*Main!$B$5)+(_xlfn.IFNA(VLOOKUP($A4,'FL Ratio'!$A$3:$B$10,2,FALSE),0)*'FL Characterization'!X$2)</f>
        <v>70.101746473949575</v>
      </c>
      <c r="Y4" s="2">
        <f>('[1]Pc, Summer, S1'!Y4*Main!$B$5)+(_xlfn.IFNA(VLOOKUP($A4,'FL Ratio'!$A$3:$B$10,2,FALSE),0)*'FL Characterization'!Y$2)</f>
        <v>63.214694027365773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9110E-3EC0-4EFF-8770-1EE4F619D840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38.09995466906016</v>
      </c>
      <c r="C2" s="2">
        <f>('[1]Pc, Summer, S1'!C2*Main!$B$5)+(_xlfn.IFNA(VLOOKUP($A2,'FL Ratio'!$A$3:$B$10,2,FALSE),0)*'FL Characterization'!C$2)</f>
        <v>34.615513817474088</v>
      </c>
      <c r="D2" s="2">
        <f>('[1]Pc, Summer, S1'!D2*Main!$B$5)+(_xlfn.IFNA(VLOOKUP($A2,'FL Ratio'!$A$3:$B$10,2,FALSE),0)*'FL Characterization'!D$2)</f>
        <v>34.010870756661696</v>
      </c>
      <c r="E2" s="2">
        <f>('[1]Pc, Summer, S1'!E2*Main!$B$5)+(_xlfn.IFNA(VLOOKUP($A2,'FL Ratio'!$A$3:$B$10,2,FALSE),0)*'FL Characterization'!E$2)</f>
        <v>33.923987808969699</v>
      </c>
      <c r="F2" s="2">
        <f>('[1]Pc, Summer, S1'!F2*Main!$B$5)+(_xlfn.IFNA(VLOOKUP($A2,'FL Ratio'!$A$3:$B$10,2,FALSE),0)*'FL Characterization'!F$2)</f>
        <v>33.926662379912791</v>
      </c>
      <c r="G2" s="2">
        <f>('[1]Pc, Summer, S1'!G2*Main!$B$5)+(_xlfn.IFNA(VLOOKUP($A2,'FL Ratio'!$A$3:$B$10,2,FALSE),0)*'FL Characterization'!G$2)</f>
        <v>33.62662489098075</v>
      </c>
      <c r="H2" s="2">
        <f>('[1]Pc, Summer, S1'!H2*Main!$B$5)+(_xlfn.IFNA(VLOOKUP($A2,'FL Ratio'!$A$3:$B$10,2,FALSE),0)*'FL Characterization'!H$2)</f>
        <v>36.302943313608537</v>
      </c>
      <c r="I2" s="2">
        <f>('[1]Pc, Summer, S1'!I2*Main!$B$5)+(_xlfn.IFNA(VLOOKUP($A2,'FL Ratio'!$A$3:$B$10,2,FALSE),0)*'FL Characterization'!I$2)</f>
        <v>43.100462809925148</v>
      </c>
      <c r="J2" s="2">
        <f>('[1]Pc, Summer, S1'!J2*Main!$B$5)+(_xlfn.IFNA(VLOOKUP($A2,'FL Ratio'!$A$3:$B$10,2,FALSE),0)*'FL Characterization'!J$2)</f>
        <v>49.122272124698263</v>
      </c>
      <c r="K2" s="2">
        <f>('[1]Pc, Summer, S1'!K2*Main!$B$5)+(_xlfn.IFNA(VLOOKUP($A2,'FL Ratio'!$A$3:$B$10,2,FALSE),0)*'FL Characterization'!K$2)</f>
        <v>50.631703722163621</v>
      </c>
      <c r="L2" s="2">
        <f>('[1]Pc, Summer, S1'!L2*Main!$B$5)+(_xlfn.IFNA(VLOOKUP($A2,'FL Ratio'!$A$3:$B$10,2,FALSE),0)*'FL Characterization'!L$2)</f>
        <v>50.119324388043118</v>
      </c>
      <c r="M2" s="2">
        <f>('[1]Pc, Summer, S1'!M2*Main!$B$5)+(_xlfn.IFNA(VLOOKUP($A2,'FL Ratio'!$A$3:$B$10,2,FALSE),0)*'FL Characterization'!M$2)</f>
        <v>51.536629105684</v>
      </c>
      <c r="N2" s="2">
        <f>('[1]Pc, Summer, S1'!N2*Main!$B$5)+(_xlfn.IFNA(VLOOKUP($A2,'FL Ratio'!$A$3:$B$10,2,FALSE),0)*'FL Characterization'!N$2)</f>
        <v>52.243602991649929</v>
      </c>
      <c r="O2" s="2">
        <f>('[1]Pc, Summer, S1'!O2*Main!$B$5)+(_xlfn.IFNA(VLOOKUP($A2,'FL Ratio'!$A$3:$B$10,2,FALSE),0)*'FL Characterization'!O$2)</f>
        <v>51.277194211167526</v>
      </c>
      <c r="P2" s="2">
        <f>('[1]Pc, Summer, S1'!P2*Main!$B$5)+(_xlfn.IFNA(VLOOKUP($A2,'FL Ratio'!$A$3:$B$10,2,FALSE),0)*'FL Characterization'!P$2)</f>
        <v>49.273527144779756</v>
      </c>
      <c r="Q2" s="2">
        <f>('[1]Pc, Summer, S1'!Q2*Main!$B$5)+(_xlfn.IFNA(VLOOKUP($A2,'FL Ratio'!$A$3:$B$10,2,FALSE),0)*'FL Characterization'!Q$2)</f>
        <v>47.290352684474804</v>
      </c>
      <c r="R2" s="2">
        <f>('[1]Pc, Summer, S1'!R2*Main!$B$5)+(_xlfn.IFNA(VLOOKUP($A2,'FL Ratio'!$A$3:$B$10,2,FALSE),0)*'FL Characterization'!R$2)</f>
        <v>48.115414352331314</v>
      </c>
      <c r="S2" s="2">
        <f>('[1]Pc, Summer, S1'!S2*Main!$B$5)+(_xlfn.IFNA(VLOOKUP($A2,'FL Ratio'!$A$3:$B$10,2,FALSE),0)*'FL Characterization'!S$2)</f>
        <v>48.590782626797115</v>
      </c>
      <c r="T2" s="2">
        <f>('[1]Pc, Summer, S1'!T2*Main!$B$5)+(_xlfn.IFNA(VLOOKUP($A2,'FL Ratio'!$A$3:$B$10,2,FALSE),0)*'FL Characterization'!T$2)</f>
        <v>48.797032448499344</v>
      </c>
      <c r="U2" s="2">
        <f>('[1]Pc, Summer, S1'!U2*Main!$B$5)+(_xlfn.IFNA(VLOOKUP($A2,'FL Ratio'!$A$3:$B$10,2,FALSE),0)*'FL Characterization'!U$2)</f>
        <v>47.989217224603095</v>
      </c>
      <c r="V2" s="2">
        <f>('[1]Pc, Summer, S1'!V2*Main!$B$5)+(_xlfn.IFNA(VLOOKUP($A2,'FL Ratio'!$A$3:$B$10,2,FALSE),0)*'FL Characterization'!V$2)</f>
        <v>48.133403682772411</v>
      </c>
      <c r="W2" s="2">
        <f>('[1]Pc, Summer, S1'!W2*Main!$B$5)+(_xlfn.IFNA(VLOOKUP($A2,'FL Ratio'!$A$3:$B$10,2,FALSE),0)*'FL Characterization'!W$2)</f>
        <v>50.126991546403254</v>
      </c>
      <c r="X2" s="2">
        <f>('[1]Pc, Summer, S1'!X2*Main!$B$5)+(_xlfn.IFNA(VLOOKUP($A2,'FL Ratio'!$A$3:$B$10,2,FALSE),0)*'FL Characterization'!X$2)</f>
        <v>46.724423352560279</v>
      </c>
      <c r="Y2" s="2">
        <f>('[1]Pc, Summer, S1'!Y2*Main!$B$5)+(_xlfn.IFNA(VLOOKUP($A2,'FL Ratio'!$A$3:$B$10,2,FALSE),0)*'FL Characterization'!Y$2)</f>
        <v>42.832018356536096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41.004484606611122</v>
      </c>
      <c r="C3" s="2">
        <f>('[1]Pc, Summer, S1'!C3*Main!$B$5)+(_xlfn.IFNA(VLOOKUP($A3,'FL Ratio'!$A$3:$B$10,2,FALSE),0)*'FL Characterization'!C$2)</f>
        <v>37.627343178514558</v>
      </c>
      <c r="D3" s="2">
        <f>('[1]Pc, Summer, S1'!D3*Main!$B$5)+(_xlfn.IFNA(VLOOKUP($A3,'FL Ratio'!$A$3:$B$10,2,FALSE),0)*'FL Characterization'!D$2)</f>
        <v>35.649215827071856</v>
      </c>
      <c r="E3" s="2">
        <f>('[1]Pc, Summer, S1'!E3*Main!$B$5)+(_xlfn.IFNA(VLOOKUP($A3,'FL Ratio'!$A$3:$B$10,2,FALSE),0)*'FL Characterization'!E$2)</f>
        <v>34.343771586565595</v>
      </c>
      <c r="F3" s="2">
        <f>('[1]Pc, Summer, S1'!F3*Main!$B$5)+(_xlfn.IFNA(VLOOKUP($A3,'FL Ratio'!$A$3:$B$10,2,FALSE),0)*'FL Characterization'!F$2)</f>
        <v>33.967600276120486</v>
      </c>
      <c r="G3" s="2">
        <f>('[1]Pc, Summer, S1'!G3*Main!$B$5)+(_xlfn.IFNA(VLOOKUP($A3,'FL Ratio'!$A$3:$B$10,2,FALSE),0)*'FL Characterization'!G$2)</f>
        <v>36.039703635720002</v>
      </c>
      <c r="H3" s="2">
        <f>('[1]Pc, Summer, S1'!H3*Main!$B$5)+(_xlfn.IFNA(VLOOKUP($A3,'FL Ratio'!$A$3:$B$10,2,FALSE),0)*'FL Characterization'!H$2)</f>
        <v>45.113180735492321</v>
      </c>
      <c r="I3" s="2">
        <f>('[1]Pc, Summer, S1'!I3*Main!$B$5)+(_xlfn.IFNA(VLOOKUP($A3,'FL Ratio'!$A$3:$B$10,2,FALSE),0)*'FL Characterization'!I$2)</f>
        <v>53.643893143878955</v>
      </c>
      <c r="J3" s="2">
        <f>('[1]Pc, Summer, S1'!J3*Main!$B$5)+(_xlfn.IFNA(VLOOKUP($A3,'FL Ratio'!$A$3:$B$10,2,FALSE),0)*'FL Characterization'!J$2)</f>
        <v>55.936913042010509</v>
      </c>
      <c r="K3" s="2">
        <f>('[1]Pc, Summer, S1'!K3*Main!$B$5)+(_xlfn.IFNA(VLOOKUP($A3,'FL Ratio'!$A$3:$B$10,2,FALSE),0)*'FL Characterization'!K$2)</f>
        <v>54.89564470456444</v>
      </c>
      <c r="L3" s="2">
        <f>('[1]Pc, Summer, S1'!L3*Main!$B$5)+(_xlfn.IFNA(VLOOKUP($A3,'FL Ratio'!$A$3:$B$10,2,FALSE),0)*'FL Characterization'!L$2)</f>
        <v>54.707743061314837</v>
      </c>
      <c r="M3" s="2">
        <f>('[1]Pc, Summer, S1'!M3*Main!$B$5)+(_xlfn.IFNA(VLOOKUP($A3,'FL Ratio'!$A$3:$B$10,2,FALSE),0)*'FL Characterization'!M$2)</f>
        <v>58.338493614643937</v>
      </c>
      <c r="N3" s="2">
        <f>('[1]Pc, Summer, S1'!N3*Main!$B$5)+(_xlfn.IFNA(VLOOKUP($A3,'FL Ratio'!$A$3:$B$10,2,FALSE),0)*'FL Characterization'!N$2)</f>
        <v>58.510551436823917</v>
      </c>
      <c r="O3" s="2">
        <f>('[1]Pc, Summer, S1'!O3*Main!$B$5)+(_xlfn.IFNA(VLOOKUP($A3,'FL Ratio'!$A$3:$B$10,2,FALSE),0)*'FL Characterization'!O$2)</f>
        <v>58.899853983978609</v>
      </c>
      <c r="P3" s="2">
        <f>('[1]Pc, Summer, S1'!P3*Main!$B$5)+(_xlfn.IFNA(VLOOKUP($A3,'FL Ratio'!$A$3:$B$10,2,FALSE),0)*'FL Characterization'!P$2)</f>
        <v>56.044197881816416</v>
      </c>
      <c r="Q3" s="2">
        <f>('[1]Pc, Summer, S1'!Q3*Main!$B$5)+(_xlfn.IFNA(VLOOKUP($A3,'FL Ratio'!$A$3:$B$10,2,FALSE),0)*'FL Characterization'!Q$2)</f>
        <v>53.09062217158877</v>
      </c>
      <c r="R3" s="2">
        <f>('[1]Pc, Summer, S1'!R3*Main!$B$5)+(_xlfn.IFNA(VLOOKUP($A3,'FL Ratio'!$A$3:$B$10,2,FALSE),0)*'FL Characterization'!R$2)</f>
        <v>49.12560995899284</v>
      </c>
      <c r="S3" s="2">
        <f>('[1]Pc, Summer, S1'!S3*Main!$B$5)+(_xlfn.IFNA(VLOOKUP($A3,'FL Ratio'!$A$3:$B$10,2,FALSE),0)*'FL Characterization'!S$2)</f>
        <v>49.645259341132366</v>
      </c>
      <c r="T3" s="2">
        <f>('[1]Pc, Summer, S1'!T3*Main!$B$5)+(_xlfn.IFNA(VLOOKUP($A3,'FL Ratio'!$A$3:$B$10,2,FALSE),0)*'FL Characterization'!T$2)</f>
        <v>49.223514915048113</v>
      </c>
      <c r="U3" s="2">
        <f>('[1]Pc, Summer, S1'!U3*Main!$B$5)+(_xlfn.IFNA(VLOOKUP($A3,'FL Ratio'!$A$3:$B$10,2,FALSE),0)*'FL Characterization'!U$2)</f>
        <v>49.04566390020215</v>
      </c>
      <c r="V3" s="2">
        <f>('[1]Pc, Summer, S1'!V3*Main!$B$5)+(_xlfn.IFNA(VLOOKUP($A3,'FL Ratio'!$A$3:$B$10,2,FALSE),0)*'FL Characterization'!V$2)</f>
        <v>49.264067263710061</v>
      </c>
      <c r="W3" s="2">
        <f>('[1]Pc, Summer, S1'!W3*Main!$B$5)+(_xlfn.IFNA(VLOOKUP($A3,'FL Ratio'!$A$3:$B$10,2,FALSE),0)*'FL Characterization'!W$2)</f>
        <v>49.019787639627381</v>
      </c>
      <c r="X3" s="2">
        <f>('[1]Pc, Summer, S1'!X3*Main!$B$5)+(_xlfn.IFNA(VLOOKUP($A3,'FL Ratio'!$A$3:$B$10,2,FALSE),0)*'FL Characterization'!X$2)</f>
        <v>48.681130272127923</v>
      </c>
      <c r="Y3" s="2">
        <f>('[1]Pc, Summer, S1'!Y3*Main!$B$5)+(_xlfn.IFNA(VLOOKUP($A3,'FL Ratio'!$A$3:$B$10,2,FALSE),0)*'FL Characterization'!Y$2)</f>
        <v>46.035722336847797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54.461347441435279</v>
      </c>
      <c r="C4" s="2">
        <f>('[1]Pc, Summer, S1'!C4*Main!$B$5)+(_xlfn.IFNA(VLOOKUP($A4,'FL Ratio'!$A$3:$B$10,2,FALSE),0)*'FL Characterization'!C$2)</f>
        <v>48.305720759468599</v>
      </c>
      <c r="D4" s="2">
        <f>('[1]Pc, Summer, S1'!D4*Main!$B$5)+(_xlfn.IFNA(VLOOKUP($A4,'FL Ratio'!$A$3:$B$10,2,FALSE),0)*'FL Characterization'!D$2)</f>
        <v>45.555199317233885</v>
      </c>
      <c r="E4" s="2">
        <f>('[1]Pc, Summer, S1'!E4*Main!$B$5)+(_xlfn.IFNA(VLOOKUP($A4,'FL Ratio'!$A$3:$B$10,2,FALSE),0)*'FL Characterization'!E$2)</f>
        <v>44.065506514003857</v>
      </c>
      <c r="F4" s="2">
        <f>('[1]Pc, Summer, S1'!F4*Main!$B$5)+(_xlfn.IFNA(VLOOKUP($A4,'FL Ratio'!$A$3:$B$10,2,FALSE),0)*'FL Characterization'!F$2)</f>
        <v>46.212294267110281</v>
      </c>
      <c r="G4" s="2">
        <f>('[1]Pc, Summer, S1'!G4*Main!$B$5)+(_xlfn.IFNA(VLOOKUP($A4,'FL Ratio'!$A$3:$B$10,2,FALSE),0)*'FL Characterization'!G$2)</f>
        <v>42.212874747580607</v>
      </c>
      <c r="H4" s="2">
        <f>('[1]Pc, Summer, S1'!H4*Main!$B$5)+(_xlfn.IFNA(VLOOKUP($A4,'FL Ratio'!$A$3:$B$10,2,FALSE),0)*'FL Characterization'!H$2)</f>
        <v>49.580522915207581</v>
      </c>
      <c r="I4" s="2">
        <f>('[1]Pc, Summer, S1'!I4*Main!$B$5)+(_xlfn.IFNA(VLOOKUP($A4,'FL Ratio'!$A$3:$B$10,2,FALSE),0)*'FL Characterization'!I$2)</f>
        <v>55.800041264378137</v>
      </c>
      <c r="J4" s="2">
        <f>('[1]Pc, Summer, S1'!J4*Main!$B$5)+(_xlfn.IFNA(VLOOKUP($A4,'FL Ratio'!$A$3:$B$10,2,FALSE),0)*'FL Characterization'!J$2)</f>
        <v>62.78652669959601</v>
      </c>
      <c r="K4" s="2">
        <f>('[1]Pc, Summer, S1'!K4*Main!$B$5)+(_xlfn.IFNA(VLOOKUP($A4,'FL Ratio'!$A$3:$B$10,2,FALSE),0)*'FL Characterization'!K$2)</f>
        <v>67.490629643023453</v>
      </c>
      <c r="L4" s="2">
        <f>('[1]Pc, Summer, S1'!L4*Main!$B$5)+(_xlfn.IFNA(VLOOKUP($A4,'FL Ratio'!$A$3:$B$10,2,FALSE),0)*'FL Characterization'!L$2)</f>
        <v>69.475846458773347</v>
      </c>
      <c r="M4" s="2">
        <f>('[1]Pc, Summer, S1'!M4*Main!$B$5)+(_xlfn.IFNA(VLOOKUP($A4,'FL Ratio'!$A$3:$B$10,2,FALSE),0)*'FL Characterization'!M$2)</f>
        <v>70.629662019784732</v>
      </c>
      <c r="N4" s="2">
        <f>('[1]Pc, Summer, S1'!N4*Main!$B$5)+(_xlfn.IFNA(VLOOKUP($A4,'FL Ratio'!$A$3:$B$10,2,FALSE),0)*'FL Characterization'!N$2)</f>
        <v>72.182849713314155</v>
      </c>
      <c r="O4" s="2">
        <f>('[1]Pc, Summer, S1'!O4*Main!$B$5)+(_xlfn.IFNA(VLOOKUP($A4,'FL Ratio'!$A$3:$B$10,2,FALSE),0)*'FL Characterization'!O$2)</f>
        <v>73.159571463935592</v>
      </c>
      <c r="P4" s="2">
        <f>('[1]Pc, Summer, S1'!P4*Main!$B$5)+(_xlfn.IFNA(VLOOKUP($A4,'FL Ratio'!$A$3:$B$10,2,FALSE),0)*'FL Characterization'!P$2)</f>
        <v>73.468932320652513</v>
      </c>
      <c r="Q4" s="2">
        <f>('[1]Pc, Summer, S1'!Q4*Main!$B$5)+(_xlfn.IFNA(VLOOKUP($A4,'FL Ratio'!$A$3:$B$10,2,FALSE),0)*'FL Characterization'!Q$2)</f>
        <v>70.718394695093721</v>
      </c>
      <c r="R4" s="2">
        <f>('[1]Pc, Summer, S1'!R4*Main!$B$5)+(_xlfn.IFNA(VLOOKUP($A4,'FL Ratio'!$A$3:$B$10,2,FALSE),0)*'FL Characterization'!R$2)</f>
        <v>70.361144430070624</v>
      </c>
      <c r="S4" s="2">
        <f>('[1]Pc, Summer, S1'!S4*Main!$B$5)+(_xlfn.IFNA(VLOOKUP($A4,'FL Ratio'!$A$3:$B$10,2,FALSE),0)*'FL Characterization'!S$2)</f>
        <v>68.157138675860892</v>
      </c>
      <c r="T4" s="2">
        <f>('[1]Pc, Summer, S1'!T4*Main!$B$5)+(_xlfn.IFNA(VLOOKUP($A4,'FL Ratio'!$A$3:$B$10,2,FALSE),0)*'FL Characterization'!T$2)</f>
        <v>68.088636698971271</v>
      </c>
      <c r="U4" s="2">
        <f>('[1]Pc, Summer, S1'!U4*Main!$B$5)+(_xlfn.IFNA(VLOOKUP($A4,'FL Ratio'!$A$3:$B$10,2,FALSE),0)*'FL Characterization'!U$2)</f>
        <v>68.465666356886459</v>
      </c>
      <c r="V4" s="2">
        <f>('[1]Pc, Summer, S1'!V4*Main!$B$5)+(_xlfn.IFNA(VLOOKUP($A4,'FL Ratio'!$A$3:$B$10,2,FALSE),0)*'FL Characterization'!V$2)</f>
        <v>68.124729763456813</v>
      </c>
      <c r="W4" s="2">
        <f>('[1]Pc, Summer, S1'!W4*Main!$B$5)+(_xlfn.IFNA(VLOOKUP($A4,'FL Ratio'!$A$3:$B$10,2,FALSE),0)*'FL Characterization'!W$2)</f>
        <v>70.299660402105758</v>
      </c>
      <c r="X4" s="2">
        <f>('[1]Pc, Summer, S1'!X4*Main!$B$5)+(_xlfn.IFNA(VLOOKUP($A4,'FL Ratio'!$A$3:$B$10,2,FALSE),0)*'FL Characterization'!X$2)</f>
        <v>70.101746473949575</v>
      </c>
      <c r="Y4" s="2">
        <f>('[1]Pc, Summer, S1'!Y4*Main!$B$5)+(_xlfn.IFNA(VLOOKUP($A4,'FL Ratio'!$A$3:$B$10,2,FALSE),0)*'FL Characterization'!Y$2)</f>
        <v>63.214694027365773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14B3-ED13-40FF-A1FC-35B5286A2EEB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39.24295330913197</v>
      </c>
      <c r="C2" s="2">
        <f>('[1]Pc, Summer, S2'!C2*Main!$B$5)+(_xlfn.IFNA(VLOOKUP($A2,'FL Ratio'!$A$3:$B$10,2,FALSE),0)*'FL Characterization'!C$2)</f>
        <v>35.653979231998314</v>
      </c>
      <c r="D2" s="2">
        <f>('[1]Pc, Summer, S2'!D2*Main!$B$5)+(_xlfn.IFNA(VLOOKUP($A2,'FL Ratio'!$A$3:$B$10,2,FALSE),0)*'FL Characterization'!D$2)</f>
        <v>35.031196879361552</v>
      </c>
      <c r="E2" s="2">
        <f>('[1]Pc, Summer, S2'!E2*Main!$B$5)+(_xlfn.IFNA(VLOOKUP($A2,'FL Ratio'!$A$3:$B$10,2,FALSE),0)*'FL Characterization'!E$2)</f>
        <v>34.941707443238791</v>
      </c>
      <c r="F2" s="2">
        <f>('[1]Pc, Summer, S2'!F2*Main!$B$5)+(_xlfn.IFNA(VLOOKUP($A2,'FL Ratio'!$A$3:$B$10,2,FALSE),0)*'FL Characterization'!F$2)</f>
        <v>34.944462251310178</v>
      </c>
      <c r="G2" s="2">
        <f>('[1]Pc, Summer, S2'!G2*Main!$B$5)+(_xlfn.IFNA(VLOOKUP($A2,'FL Ratio'!$A$3:$B$10,2,FALSE),0)*'FL Characterization'!G$2)</f>
        <v>34.635423637710176</v>
      </c>
      <c r="H2" s="2">
        <f>('[1]Pc, Summer, S2'!H2*Main!$B$5)+(_xlfn.IFNA(VLOOKUP($A2,'FL Ratio'!$A$3:$B$10,2,FALSE),0)*'FL Characterization'!H$2)</f>
        <v>37.392031613016798</v>
      </c>
      <c r="I2" s="2">
        <f>('[1]Pc, Summer, S2'!I2*Main!$B$5)+(_xlfn.IFNA(VLOOKUP($A2,'FL Ratio'!$A$3:$B$10,2,FALSE),0)*'FL Characterization'!I$2)</f>
        <v>44.393476694222905</v>
      </c>
      <c r="J2" s="2">
        <f>('[1]Pc, Summer, S2'!J2*Main!$B$5)+(_xlfn.IFNA(VLOOKUP($A2,'FL Ratio'!$A$3:$B$10,2,FALSE),0)*'FL Characterization'!J$2)</f>
        <v>50.595940288439209</v>
      </c>
      <c r="K2" s="2">
        <f>('[1]Pc, Summer, S2'!K2*Main!$B$5)+(_xlfn.IFNA(VLOOKUP($A2,'FL Ratio'!$A$3:$B$10,2,FALSE),0)*'FL Characterization'!K$2)</f>
        <v>52.150654833828533</v>
      </c>
      <c r="L2" s="2">
        <f>('[1]Pc, Summer, S2'!L2*Main!$B$5)+(_xlfn.IFNA(VLOOKUP($A2,'FL Ratio'!$A$3:$B$10,2,FALSE),0)*'FL Characterization'!L$2)</f>
        <v>51.622904119684407</v>
      </c>
      <c r="M2" s="2">
        <f>('[1]Pc, Summer, S2'!M2*Main!$B$5)+(_xlfn.IFNA(VLOOKUP($A2,'FL Ratio'!$A$3:$B$10,2,FALSE),0)*'FL Characterization'!M$2)</f>
        <v>53.082727978854521</v>
      </c>
      <c r="N2" s="2">
        <f>('[1]Pc, Summer, S2'!N2*Main!$B$5)+(_xlfn.IFNA(VLOOKUP($A2,'FL Ratio'!$A$3:$B$10,2,FALSE),0)*'FL Characterization'!N$2)</f>
        <v>53.810911081399432</v>
      </c>
      <c r="O2" s="2">
        <f>('[1]Pc, Summer, S2'!O2*Main!$B$5)+(_xlfn.IFNA(VLOOKUP($A2,'FL Ratio'!$A$3:$B$10,2,FALSE),0)*'FL Characterization'!O$2)</f>
        <v>52.815510037502548</v>
      </c>
      <c r="P2" s="2">
        <f>('[1]Pc, Summer, S2'!P2*Main!$B$5)+(_xlfn.IFNA(VLOOKUP($A2,'FL Ratio'!$A$3:$B$10,2,FALSE),0)*'FL Characterization'!P$2)</f>
        <v>50.751732959123146</v>
      </c>
      <c r="Q2" s="2">
        <f>('[1]Pc, Summer, S2'!Q2*Main!$B$5)+(_xlfn.IFNA(VLOOKUP($A2,'FL Ratio'!$A$3:$B$10,2,FALSE),0)*'FL Characterization'!Q$2)</f>
        <v>48.70906326500905</v>
      </c>
      <c r="R2" s="2">
        <f>('[1]Pc, Summer, S2'!R2*Main!$B$5)+(_xlfn.IFNA(VLOOKUP($A2,'FL Ratio'!$A$3:$B$10,2,FALSE),0)*'FL Characterization'!R$2)</f>
        <v>49.558876782901251</v>
      </c>
      <c r="S2" s="2">
        <f>('[1]Pc, Summer, S2'!S2*Main!$B$5)+(_xlfn.IFNA(VLOOKUP($A2,'FL Ratio'!$A$3:$B$10,2,FALSE),0)*'FL Characterization'!S$2)</f>
        <v>50.048506105601035</v>
      </c>
      <c r="T2" s="2">
        <f>('[1]Pc, Summer, S2'!T2*Main!$B$5)+(_xlfn.IFNA(VLOOKUP($A2,'FL Ratio'!$A$3:$B$10,2,FALSE),0)*'FL Characterization'!T$2)</f>
        <v>50.260943421954323</v>
      </c>
      <c r="U2" s="2">
        <f>('[1]Pc, Summer, S2'!U2*Main!$B$5)+(_xlfn.IFNA(VLOOKUP($A2,'FL Ratio'!$A$3:$B$10,2,FALSE),0)*'FL Characterization'!U$2)</f>
        <v>49.428893741341184</v>
      </c>
      <c r="V2" s="2">
        <f>('[1]Pc, Summer, S2'!V2*Main!$B$5)+(_xlfn.IFNA(VLOOKUP($A2,'FL Ratio'!$A$3:$B$10,2,FALSE),0)*'FL Characterization'!V$2)</f>
        <v>49.577405793255579</v>
      </c>
      <c r="W2" s="2">
        <f>('[1]Pc, Summer, S2'!W2*Main!$B$5)+(_xlfn.IFNA(VLOOKUP($A2,'FL Ratio'!$A$3:$B$10,2,FALSE),0)*'FL Characterization'!W$2)</f>
        <v>51.630801292795347</v>
      </c>
      <c r="X2" s="2">
        <f>('[1]Pc, Summer, S2'!X2*Main!$B$5)+(_xlfn.IFNA(VLOOKUP($A2,'FL Ratio'!$A$3:$B$10,2,FALSE),0)*'FL Characterization'!X$2)</f>
        <v>48.126156053137095</v>
      </c>
      <c r="Y2" s="2">
        <f>('[1]Pc, Summer, S2'!Y2*Main!$B$5)+(_xlfn.IFNA(VLOOKUP($A2,'FL Ratio'!$A$3:$B$10,2,FALSE),0)*'FL Characterization'!Y$2)</f>
        <v>44.116978907232173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42.163415013751745</v>
      </c>
      <c r="C3" s="2">
        <f>('[1]Pc, Summer, S2'!C3*Main!$B$5)+(_xlfn.IFNA(VLOOKUP($A3,'FL Ratio'!$A$3:$B$10,2,FALSE),0)*'FL Characterization'!C$2)</f>
        <v>38.682584133819226</v>
      </c>
      <c r="D3" s="2">
        <f>('[1]Pc, Summer, S2'!D3*Main!$B$5)+(_xlfn.IFNA(VLOOKUP($A3,'FL Ratio'!$A$3:$B$10,2,FALSE),0)*'FL Characterization'!D$2)</f>
        <v>36.652806321693681</v>
      </c>
      <c r="E3" s="2">
        <f>('[1]Pc, Summer, S2'!E3*Main!$B$5)+(_xlfn.IFNA(VLOOKUP($A3,'FL Ratio'!$A$3:$B$10,2,FALSE),0)*'FL Characterization'!E$2)</f>
        <v>35.311634117223171</v>
      </c>
      <c r="F3" s="2">
        <f>('[1]Pc, Summer, S2'!F3*Main!$B$5)+(_xlfn.IFNA(VLOOKUP($A3,'FL Ratio'!$A$3:$B$10,2,FALSE),0)*'FL Characterization'!F$2)</f>
        <v>34.935462806778062</v>
      </c>
      <c r="G3" s="2">
        <f>('[1]Pc, Summer, S2'!G3*Main!$B$5)+(_xlfn.IFNA(VLOOKUP($A3,'FL Ratio'!$A$3:$B$10,2,FALSE),0)*'FL Characterization'!G$2)</f>
        <v>37.077468972567324</v>
      </c>
      <c r="H3" s="2">
        <f>('[1]Pc, Summer, S2'!H3*Main!$B$5)+(_xlfn.IFNA(VLOOKUP($A3,'FL Ratio'!$A$3:$B$10,2,FALSE),0)*'FL Characterization'!H$2)</f>
        <v>46.413469960387935</v>
      </c>
      <c r="I3" s="2">
        <f>('[1]Pc, Summer, S2'!I3*Main!$B$5)+(_xlfn.IFNA(VLOOKUP($A3,'FL Ratio'!$A$3:$B$10,2,FALSE),0)*'FL Characterization'!I$2)</f>
        <v>55.243987175471077</v>
      </c>
      <c r="J3" s="2">
        <f>('[1]Pc, Summer, S2'!J3*Main!$B$5)+(_xlfn.IFNA(VLOOKUP($A3,'FL Ratio'!$A$3:$B$10,2,FALSE),0)*'FL Characterization'!J$2)</f>
        <v>57.606909963538442</v>
      </c>
      <c r="K3" s="2">
        <f>('[1]Pc, Summer, S2'!K3*Main!$B$5)+(_xlfn.IFNA(VLOOKUP($A3,'FL Ratio'!$A$3:$B$10,2,FALSE),0)*'FL Characterization'!K$2)</f>
        <v>56.530690139470089</v>
      </c>
      <c r="L3" s="2">
        <f>('[1]Pc, Summer, S2'!L3*Main!$B$5)+(_xlfn.IFNA(VLOOKUP($A3,'FL Ratio'!$A$3:$B$10,2,FALSE),0)*'FL Characterization'!L$2)</f>
        <v>56.342011935569765</v>
      </c>
      <c r="M3" s="2">
        <f>('[1]Pc, Summer, S2'!M3*Main!$B$5)+(_xlfn.IFNA(VLOOKUP($A3,'FL Ratio'!$A$3:$B$10,2,FALSE),0)*'FL Characterization'!M$2)</f>
        <v>60.079947047698937</v>
      </c>
      <c r="N3" s="2">
        <f>('[1]Pc, Summer, S2'!N3*Main!$B$5)+(_xlfn.IFNA(VLOOKUP($A3,'FL Ratio'!$A$3:$B$10,2,FALSE),0)*'FL Characterization'!N$2)</f>
        <v>60.252004869878917</v>
      </c>
      <c r="O3" s="2">
        <f>('[1]Pc, Summer, S2'!O3*Main!$B$5)+(_xlfn.IFNA(VLOOKUP($A3,'FL Ratio'!$A$3:$B$10,2,FALSE),0)*'FL Characterization'!O$2)</f>
        <v>60.641307417033609</v>
      </c>
      <c r="P3" s="2">
        <f>('[1]Pc, Summer, S2'!P3*Main!$B$5)+(_xlfn.IFNA(VLOOKUP($A3,'FL Ratio'!$A$3:$B$10,2,FALSE),0)*'FL Characterization'!P$2)</f>
        <v>57.698272639970085</v>
      </c>
      <c r="Q3" s="2">
        <f>('[1]Pc, Summer, S2'!Q3*Main!$B$5)+(_xlfn.IFNA(VLOOKUP($A3,'FL Ratio'!$A$3:$B$10,2,FALSE),0)*'FL Characterization'!Q$2)</f>
        <v>54.656541527463553</v>
      </c>
      <c r="R3" s="2">
        <f>('[1]Pc, Summer, S2'!R3*Main!$B$5)+(_xlfn.IFNA(VLOOKUP($A3,'FL Ratio'!$A$3:$B$10,2,FALSE),0)*'FL Characterization'!R$2)</f>
        <v>50.584344922794372</v>
      </c>
      <c r="S3" s="2">
        <f>('[1]Pc, Summer, S2'!S3*Main!$B$5)+(_xlfn.IFNA(VLOOKUP($A3,'FL Ratio'!$A$3:$B$10,2,FALSE),0)*'FL Characterization'!S$2)</f>
        <v>51.103994304933899</v>
      </c>
      <c r="T3" s="2">
        <f>('[1]Pc, Summer, S2'!T3*Main!$B$5)+(_xlfn.IFNA(VLOOKUP($A3,'FL Ratio'!$A$3:$B$10,2,FALSE),0)*'FL Characterization'!T$2)</f>
        <v>50.682249878849646</v>
      </c>
      <c r="U3" s="2">
        <f>('[1]Pc, Summer, S2'!U3*Main!$B$5)+(_xlfn.IFNA(VLOOKUP($A3,'FL Ratio'!$A$3:$B$10,2,FALSE),0)*'FL Characterization'!U$2)</f>
        <v>50.504398864003683</v>
      </c>
      <c r="V3" s="2">
        <f>('[1]Pc, Summer, S2'!V3*Main!$B$5)+(_xlfn.IFNA(VLOOKUP($A3,'FL Ratio'!$A$3:$B$10,2,FALSE),0)*'FL Characterization'!V$2)</f>
        <v>50.722802227511593</v>
      </c>
      <c r="W3" s="2">
        <f>('[1]Pc, Summer, S2'!W3*Main!$B$5)+(_xlfn.IFNA(VLOOKUP($A3,'FL Ratio'!$A$3:$B$10,2,FALSE),0)*'FL Characterization'!W$2)</f>
        <v>50.478522603428914</v>
      </c>
      <c r="X3" s="2">
        <f>('[1]Pc, Summer, S2'!X3*Main!$B$5)+(_xlfn.IFNA(VLOOKUP($A3,'FL Ratio'!$A$3:$B$10,2,FALSE),0)*'FL Characterization'!X$2)</f>
        <v>50.087438381213396</v>
      </c>
      <c r="Y3" s="2">
        <f>('[1]Pc, Summer, S2'!Y3*Main!$B$5)+(_xlfn.IFNA(VLOOKUP($A3,'FL Ratio'!$A$3:$B$10,2,FALSE),0)*'FL Characterization'!Y$2)</f>
        <v>47.351545277956156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56.023983733620625</v>
      </c>
      <c r="C4" s="2">
        <f>('[1]Pc, Summer, S2'!C4*Main!$B$5)+(_xlfn.IFNA(VLOOKUP($A4,'FL Ratio'!$A$3:$B$10,2,FALSE),0)*'FL Characterization'!C$2)</f>
        <v>49.681313042201886</v>
      </c>
      <c r="D4" s="2">
        <f>('[1]Pc, Summer, S2'!D4*Main!$B$5)+(_xlfn.IFNA(VLOOKUP($A4,'FL Ratio'!$A$3:$B$10,2,FALSE),0)*'FL Characterization'!D$2)</f>
        <v>46.855969316560575</v>
      </c>
      <c r="E4" s="2">
        <f>('[1]Pc, Summer, S2'!E4*Main!$B$5)+(_xlfn.IFNA(VLOOKUP($A4,'FL Ratio'!$A$3:$B$10,2,FALSE),0)*'FL Characterization'!E$2)</f>
        <v>45.325021092484576</v>
      </c>
      <c r="F4" s="2">
        <f>('[1]Pc, Summer, S2'!F4*Main!$B$5)+(_xlfn.IFNA(VLOOKUP($A4,'FL Ratio'!$A$3:$B$10,2,FALSE),0)*'FL Characterization'!F$2)</f>
        <v>47.547497617497541</v>
      </c>
      <c r="G4" s="2">
        <f>('[1]Pc, Summer, S2'!G4*Main!$B$5)+(_xlfn.IFNA(VLOOKUP($A4,'FL Ratio'!$A$3:$B$10,2,FALSE),0)*'FL Characterization'!G$2)</f>
        <v>43.435835217783755</v>
      </c>
      <c r="H4" s="2">
        <f>('[1]Pc, Summer, S2'!H4*Main!$B$5)+(_xlfn.IFNA(VLOOKUP($A4,'FL Ratio'!$A$3:$B$10,2,FALSE),0)*'FL Characterization'!H$2)</f>
        <v>51.014832405494651</v>
      </c>
      <c r="I4" s="2">
        <f>('[1]Pc, Summer, S2'!I4*Main!$B$5)+(_xlfn.IFNA(VLOOKUP($A4,'FL Ratio'!$A$3:$B$10,2,FALSE),0)*'FL Characterization'!I$2)</f>
        <v>57.464819739585224</v>
      </c>
      <c r="J4" s="2">
        <f>('[1]Pc, Summer, S2'!J4*Main!$B$5)+(_xlfn.IFNA(VLOOKUP($A4,'FL Ratio'!$A$3:$B$10,2,FALSE),0)*'FL Characterization'!J$2)</f>
        <v>64.6620120308515</v>
      </c>
      <c r="K4" s="2">
        <f>('[1]Pc, Summer, S2'!K4*Main!$B$5)+(_xlfn.IFNA(VLOOKUP($A4,'FL Ratio'!$A$3:$B$10,2,FALSE),0)*'FL Characterization'!K$2)</f>
        <v>69.503524626082864</v>
      </c>
      <c r="L4" s="2">
        <f>('[1]Pc, Summer, S2'!L4*Main!$B$5)+(_xlfn.IFNA(VLOOKUP($A4,'FL Ratio'!$A$3:$B$10,2,FALSE),0)*'FL Characterization'!L$2)</f>
        <v>71.553158434952039</v>
      </c>
      <c r="M4" s="2">
        <f>('[1]Pc, Summer, S2'!M4*Main!$B$5)+(_xlfn.IFNA(VLOOKUP($A4,'FL Ratio'!$A$3:$B$10,2,FALSE),0)*'FL Characterization'!M$2)</f>
        <v>72.739850504993939</v>
      </c>
      <c r="N4" s="2">
        <f>('[1]Pc, Summer, S2'!N4*Main!$B$5)+(_xlfn.IFNA(VLOOKUP($A4,'FL Ratio'!$A$3:$B$10,2,FALSE),0)*'FL Characterization'!N$2)</f>
        <v>74.334472094663866</v>
      </c>
      <c r="O4" s="2">
        <f>('[1]Pc, Summer, S2'!O4*Main!$B$5)+(_xlfn.IFNA(VLOOKUP($A4,'FL Ratio'!$A$3:$B$10,2,FALSE),0)*'FL Characterization'!O$2)</f>
        <v>75.328816421389305</v>
      </c>
      <c r="P4" s="2">
        <f>('[1]Pc, Summer, S2'!P4*Main!$B$5)+(_xlfn.IFNA(VLOOKUP($A4,'FL Ratio'!$A$3:$B$10,2,FALSE),0)*'FL Characterization'!P$2)</f>
        <v>75.645749111971256</v>
      </c>
      <c r="Q4" s="2">
        <f>('[1]Pc, Summer, S2'!Q4*Main!$B$5)+(_xlfn.IFNA(VLOOKUP($A4,'FL Ratio'!$A$3:$B$10,2,FALSE),0)*'FL Characterization'!Q$2)</f>
        <v>72.813147226673649</v>
      </c>
      <c r="R4" s="2">
        <f>('[1]Pc, Summer, S2'!R4*Main!$B$5)+(_xlfn.IFNA(VLOOKUP($A4,'FL Ratio'!$A$3:$B$10,2,FALSE),0)*'FL Characterization'!R$2)</f>
        <v>72.456945428004502</v>
      </c>
      <c r="S4" s="2">
        <f>('[1]Pc, Summer, S2'!S4*Main!$B$5)+(_xlfn.IFNA(VLOOKUP($A4,'FL Ratio'!$A$3:$B$10,2,FALSE),0)*'FL Characterization'!S$2)</f>
        <v>70.171230019704282</v>
      </c>
      <c r="T4" s="2">
        <f>('[1]Pc, Summer, S2'!T4*Main!$B$5)+(_xlfn.IFNA(VLOOKUP($A4,'FL Ratio'!$A$3:$B$10,2,FALSE),0)*'FL Characterization'!T$2)</f>
        <v>70.113325316290499</v>
      </c>
      <c r="U4" s="2">
        <f>('[1]Pc, Summer, S2'!U4*Main!$B$5)+(_xlfn.IFNA(VLOOKUP($A4,'FL Ratio'!$A$3:$B$10,2,FALSE),0)*'FL Characterization'!U$2)</f>
        <v>70.507001394388524</v>
      </c>
      <c r="V4" s="2">
        <f>('[1]Pc, Summer, S2'!V4*Main!$B$5)+(_xlfn.IFNA(VLOOKUP($A4,'FL Ratio'!$A$3:$B$10,2,FALSE),0)*'FL Characterization'!V$2)</f>
        <v>70.149284602250745</v>
      </c>
      <c r="W4" s="2">
        <f>('[1]Pc, Summer, S2'!W4*Main!$B$5)+(_xlfn.IFNA(VLOOKUP($A4,'FL Ratio'!$A$3:$B$10,2,FALSE),0)*'FL Characterization'!W$2)</f>
        <v>72.396791548781636</v>
      </c>
      <c r="X4" s="2">
        <f>('[1]Pc, Summer, S2'!X4*Main!$B$5)+(_xlfn.IFNA(VLOOKUP($A4,'FL Ratio'!$A$3:$B$10,2,FALSE),0)*'FL Characterization'!X$2)</f>
        <v>72.150673069089692</v>
      </c>
      <c r="Y4" s="2">
        <f>('[1]Pc, Summer, S2'!Y4*Main!$B$5)+(_xlfn.IFNA(VLOOKUP($A4,'FL Ratio'!$A$3:$B$10,2,FALSE),0)*'FL Characterization'!Y$2)</f>
        <v>65.045886119189674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EA07D-0A76-4D97-AF2F-59AB9E2854EA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39.24295330913197</v>
      </c>
      <c r="C2" s="2">
        <f>('[1]Pc, Summer, S2'!C2*Main!$B$5)+(_xlfn.IFNA(VLOOKUP($A2,'FL Ratio'!$A$3:$B$10,2,FALSE),0)*'FL Characterization'!C$2)</f>
        <v>35.653979231998314</v>
      </c>
      <c r="D2" s="2">
        <f>('[1]Pc, Summer, S2'!D2*Main!$B$5)+(_xlfn.IFNA(VLOOKUP($A2,'FL Ratio'!$A$3:$B$10,2,FALSE),0)*'FL Characterization'!D$2)</f>
        <v>35.031196879361552</v>
      </c>
      <c r="E2" s="2">
        <f>('[1]Pc, Summer, S2'!E2*Main!$B$5)+(_xlfn.IFNA(VLOOKUP($A2,'FL Ratio'!$A$3:$B$10,2,FALSE),0)*'FL Characterization'!E$2)</f>
        <v>34.941707443238791</v>
      </c>
      <c r="F2" s="2">
        <f>('[1]Pc, Summer, S2'!F2*Main!$B$5)+(_xlfn.IFNA(VLOOKUP($A2,'FL Ratio'!$A$3:$B$10,2,FALSE),0)*'FL Characterization'!F$2)</f>
        <v>34.944462251310178</v>
      </c>
      <c r="G2" s="2">
        <f>('[1]Pc, Summer, S2'!G2*Main!$B$5)+(_xlfn.IFNA(VLOOKUP($A2,'FL Ratio'!$A$3:$B$10,2,FALSE),0)*'FL Characterization'!G$2)</f>
        <v>34.635423637710176</v>
      </c>
      <c r="H2" s="2">
        <f>('[1]Pc, Summer, S2'!H2*Main!$B$5)+(_xlfn.IFNA(VLOOKUP($A2,'FL Ratio'!$A$3:$B$10,2,FALSE),0)*'FL Characterization'!H$2)</f>
        <v>37.392031613016798</v>
      </c>
      <c r="I2" s="2">
        <f>('[1]Pc, Summer, S2'!I2*Main!$B$5)+(_xlfn.IFNA(VLOOKUP($A2,'FL Ratio'!$A$3:$B$10,2,FALSE),0)*'FL Characterization'!I$2)</f>
        <v>44.393476694222905</v>
      </c>
      <c r="J2" s="2">
        <f>('[1]Pc, Summer, S2'!J2*Main!$B$5)+(_xlfn.IFNA(VLOOKUP($A2,'FL Ratio'!$A$3:$B$10,2,FALSE),0)*'FL Characterization'!J$2)</f>
        <v>50.595940288439209</v>
      </c>
      <c r="K2" s="2">
        <f>('[1]Pc, Summer, S2'!K2*Main!$B$5)+(_xlfn.IFNA(VLOOKUP($A2,'FL Ratio'!$A$3:$B$10,2,FALSE),0)*'FL Characterization'!K$2)</f>
        <v>52.150654833828533</v>
      </c>
      <c r="L2" s="2">
        <f>('[1]Pc, Summer, S2'!L2*Main!$B$5)+(_xlfn.IFNA(VLOOKUP($A2,'FL Ratio'!$A$3:$B$10,2,FALSE),0)*'FL Characterization'!L$2)</f>
        <v>51.622904119684407</v>
      </c>
      <c r="M2" s="2">
        <f>('[1]Pc, Summer, S2'!M2*Main!$B$5)+(_xlfn.IFNA(VLOOKUP($A2,'FL Ratio'!$A$3:$B$10,2,FALSE),0)*'FL Characterization'!M$2)</f>
        <v>53.082727978854521</v>
      </c>
      <c r="N2" s="2">
        <f>('[1]Pc, Summer, S2'!N2*Main!$B$5)+(_xlfn.IFNA(VLOOKUP($A2,'FL Ratio'!$A$3:$B$10,2,FALSE),0)*'FL Characterization'!N$2)</f>
        <v>53.810911081399432</v>
      </c>
      <c r="O2" s="2">
        <f>('[1]Pc, Summer, S2'!O2*Main!$B$5)+(_xlfn.IFNA(VLOOKUP($A2,'FL Ratio'!$A$3:$B$10,2,FALSE),0)*'FL Characterization'!O$2)</f>
        <v>52.815510037502548</v>
      </c>
      <c r="P2" s="2">
        <f>('[1]Pc, Summer, S2'!P2*Main!$B$5)+(_xlfn.IFNA(VLOOKUP($A2,'FL Ratio'!$A$3:$B$10,2,FALSE),0)*'FL Characterization'!P$2)</f>
        <v>50.751732959123146</v>
      </c>
      <c r="Q2" s="2">
        <f>('[1]Pc, Summer, S2'!Q2*Main!$B$5)+(_xlfn.IFNA(VLOOKUP($A2,'FL Ratio'!$A$3:$B$10,2,FALSE),0)*'FL Characterization'!Q$2)</f>
        <v>48.70906326500905</v>
      </c>
      <c r="R2" s="2">
        <f>('[1]Pc, Summer, S2'!R2*Main!$B$5)+(_xlfn.IFNA(VLOOKUP($A2,'FL Ratio'!$A$3:$B$10,2,FALSE),0)*'FL Characterization'!R$2)</f>
        <v>49.558876782901251</v>
      </c>
      <c r="S2" s="2">
        <f>('[1]Pc, Summer, S2'!S2*Main!$B$5)+(_xlfn.IFNA(VLOOKUP($A2,'FL Ratio'!$A$3:$B$10,2,FALSE),0)*'FL Characterization'!S$2)</f>
        <v>50.048506105601035</v>
      </c>
      <c r="T2" s="2">
        <f>('[1]Pc, Summer, S2'!T2*Main!$B$5)+(_xlfn.IFNA(VLOOKUP($A2,'FL Ratio'!$A$3:$B$10,2,FALSE),0)*'FL Characterization'!T$2)</f>
        <v>50.260943421954323</v>
      </c>
      <c r="U2" s="2">
        <f>('[1]Pc, Summer, S2'!U2*Main!$B$5)+(_xlfn.IFNA(VLOOKUP($A2,'FL Ratio'!$A$3:$B$10,2,FALSE),0)*'FL Characterization'!U$2)</f>
        <v>49.428893741341184</v>
      </c>
      <c r="V2" s="2">
        <f>('[1]Pc, Summer, S2'!V2*Main!$B$5)+(_xlfn.IFNA(VLOOKUP($A2,'FL Ratio'!$A$3:$B$10,2,FALSE),0)*'FL Characterization'!V$2)</f>
        <v>49.577405793255579</v>
      </c>
      <c r="W2" s="2">
        <f>('[1]Pc, Summer, S2'!W2*Main!$B$5)+(_xlfn.IFNA(VLOOKUP($A2,'FL Ratio'!$A$3:$B$10,2,FALSE),0)*'FL Characterization'!W$2)</f>
        <v>51.630801292795347</v>
      </c>
      <c r="X2" s="2">
        <f>('[1]Pc, Summer, S2'!X2*Main!$B$5)+(_xlfn.IFNA(VLOOKUP($A2,'FL Ratio'!$A$3:$B$10,2,FALSE),0)*'FL Characterization'!X$2)</f>
        <v>48.126156053137095</v>
      </c>
      <c r="Y2" s="2">
        <f>('[1]Pc, Summer, S2'!Y2*Main!$B$5)+(_xlfn.IFNA(VLOOKUP($A2,'FL Ratio'!$A$3:$B$10,2,FALSE),0)*'FL Characterization'!Y$2)</f>
        <v>44.116978907232173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42.163415013751745</v>
      </c>
      <c r="C3" s="2">
        <f>('[1]Pc, Summer, S2'!C3*Main!$B$5)+(_xlfn.IFNA(VLOOKUP($A3,'FL Ratio'!$A$3:$B$10,2,FALSE),0)*'FL Characterization'!C$2)</f>
        <v>38.682584133819226</v>
      </c>
      <c r="D3" s="2">
        <f>('[1]Pc, Summer, S2'!D3*Main!$B$5)+(_xlfn.IFNA(VLOOKUP($A3,'FL Ratio'!$A$3:$B$10,2,FALSE),0)*'FL Characterization'!D$2)</f>
        <v>36.652806321693681</v>
      </c>
      <c r="E3" s="2">
        <f>('[1]Pc, Summer, S2'!E3*Main!$B$5)+(_xlfn.IFNA(VLOOKUP($A3,'FL Ratio'!$A$3:$B$10,2,FALSE),0)*'FL Characterization'!E$2)</f>
        <v>35.311634117223171</v>
      </c>
      <c r="F3" s="2">
        <f>('[1]Pc, Summer, S2'!F3*Main!$B$5)+(_xlfn.IFNA(VLOOKUP($A3,'FL Ratio'!$A$3:$B$10,2,FALSE),0)*'FL Characterization'!F$2)</f>
        <v>34.935462806778062</v>
      </c>
      <c r="G3" s="2">
        <f>('[1]Pc, Summer, S2'!G3*Main!$B$5)+(_xlfn.IFNA(VLOOKUP($A3,'FL Ratio'!$A$3:$B$10,2,FALSE),0)*'FL Characterization'!G$2)</f>
        <v>37.077468972567324</v>
      </c>
      <c r="H3" s="2">
        <f>('[1]Pc, Summer, S2'!H3*Main!$B$5)+(_xlfn.IFNA(VLOOKUP($A3,'FL Ratio'!$A$3:$B$10,2,FALSE),0)*'FL Characterization'!H$2)</f>
        <v>46.413469960387935</v>
      </c>
      <c r="I3" s="2">
        <f>('[1]Pc, Summer, S2'!I3*Main!$B$5)+(_xlfn.IFNA(VLOOKUP($A3,'FL Ratio'!$A$3:$B$10,2,FALSE),0)*'FL Characterization'!I$2)</f>
        <v>55.243987175471077</v>
      </c>
      <c r="J3" s="2">
        <f>('[1]Pc, Summer, S2'!J3*Main!$B$5)+(_xlfn.IFNA(VLOOKUP($A3,'FL Ratio'!$A$3:$B$10,2,FALSE),0)*'FL Characterization'!J$2)</f>
        <v>57.606909963538442</v>
      </c>
      <c r="K3" s="2">
        <f>('[1]Pc, Summer, S2'!K3*Main!$B$5)+(_xlfn.IFNA(VLOOKUP($A3,'FL Ratio'!$A$3:$B$10,2,FALSE),0)*'FL Characterization'!K$2)</f>
        <v>56.530690139470089</v>
      </c>
      <c r="L3" s="2">
        <f>('[1]Pc, Summer, S2'!L3*Main!$B$5)+(_xlfn.IFNA(VLOOKUP($A3,'FL Ratio'!$A$3:$B$10,2,FALSE),0)*'FL Characterization'!L$2)</f>
        <v>56.342011935569765</v>
      </c>
      <c r="M3" s="2">
        <f>('[1]Pc, Summer, S2'!M3*Main!$B$5)+(_xlfn.IFNA(VLOOKUP($A3,'FL Ratio'!$A$3:$B$10,2,FALSE),0)*'FL Characterization'!M$2)</f>
        <v>60.079947047698937</v>
      </c>
      <c r="N3" s="2">
        <f>('[1]Pc, Summer, S2'!N3*Main!$B$5)+(_xlfn.IFNA(VLOOKUP($A3,'FL Ratio'!$A$3:$B$10,2,FALSE),0)*'FL Characterization'!N$2)</f>
        <v>60.252004869878917</v>
      </c>
      <c r="O3" s="2">
        <f>('[1]Pc, Summer, S2'!O3*Main!$B$5)+(_xlfn.IFNA(VLOOKUP($A3,'FL Ratio'!$A$3:$B$10,2,FALSE),0)*'FL Characterization'!O$2)</f>
        <v>60.641307417033609</v>
      </c>
      <c r="P3" s="2">
        <f>('[1]Pc, Summer, S2'!P3*Main!$B$5)+(_xlfn.IFNA(VLOOKUP($A3,'FL Ratio'!$A$3:$B$10,2,FALSE),0)*'FL Characterization'!P$2)</f>
        <v>57.698272639970085</v>
      </c>
      <c r="Q3" s="2">
        <f>('[1]Pc, Summer, S2'!Q3*Main!$B$5)+(_xlfn.IFNA(VLOOKUP($A3,'FL Ratio'!$A$3:$B$10,2,FALSE),0)*'FL Characterization'!Q$2)</f>
        <v>54.656541527463553</v>
      </c>
      <c r="R3" s="2">
        <f>('[1]Pc, Summer, S2'!R3*Main!$B$5)+(_xlfn.IFNA(VLOOKUP($A3,'FL Ratio'!$A$3:$B$10,2,FALSE),0)*'FL Characterization'!R$2)</f>
        <v>50.584344922794372</v>
      </c>
      <c r="S3" s="2">
        <f>('[1]Pc, Summer, S2'!S3*Main!$B$5)+(_xlfn.IFNA(VLOOKUP($A3,'FL Ratio'!$A$3:$B$10,2,FALSE),0)*'FL Characterization'!S$2)</f>
        <v>51.103994304933899</v>
      </c>
      <c r="T3" s="2">
        <f>('[1]Pc, Summer, S2'!T3*Main!$B$5)+(_xlfn.IFNA(VLOOKUP($A3,'FL Ratio'!$A$3:$B$10,2,FALSE),0)*'FL Characterization'!T$2)</f>
        <v>50.682249878849646</v>
      </c>
      <c r="U3" s="2">
        <f>('[1]Pc, Summer, S2'!U3*Main!$B$5)+(_xlfn.IFNA(VLOOKUP($A3,'FL Ratio'!$A$3:$B$10,2,FALSE),0)*'FL Characterization'!U$2)</f>
        <v>50.504398864003683</v>
      </c>
      <c r="V3" s="2">
        <f>('[1]Pc, Summer, S2'!V3*Main!$B$5)+(_xlfn.IFNA(VLOOKUP($A3,'FL Ratio'!$A$3:$B$10,2,FALSE),0)*'FL Characterization'!V$2)</f>
        <v>50.722802227511593</v>
      </c>
      <c r="W3" s="2">
        <f>('[1]Pc, Summer, S2'!W3*Main!$B$5)+(_xlfn.IFNA(VLOOKUP($A3,'FL Ratio'!$A$3:$B$10,2,FALSE),0)*'FL Characterization'!W$2)</f>
        <v>50.478522603428914</v>
      </c>
      <c r="X3" s="2">
        <f>('[1]Pc, Summer, S2'!X3*Main!$B$5)+(_xlfn.IFNA(VLOOKUP($A3,'FL Ratio'!$A$3:$B$10,2,FALSE),0)*'FL Characterization'!X$2)</f>
        <v>50.087438381213396</v>
      </c>
      <c r="Y3" s="2">
        <f>('[1]Pc, Summer, S2'!Y3*Main!$B$5)+(_xlfn.IFNA(VLOOKUP($A3,'FL Ratio'!$A$3:$B$10,2,FALSE),0)*'FL Characterization'!Y$2)</f>
        <v>47.351545277956156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56.023983733620625</v>
      </c>
      <c r="C4" s="2">
        <f>('[1]Pc, Summer, S2'!C4*Main!$B$5)+(_xlfn.IFNA(VLOOKUP($A4,'FL Ratio'!$A$3:$B$10,2,FALSE),0)*'FL Characterization'!C$2)</f>
        <v>49.681313042201886</v>
      </c>
      <c r="D4" s="2">
        <f>('[1]Pc, Summer, S2'!D4*Main!$B$5)+(_xlfn.IFNA(VLOOKUP($A4,'FL Ratio'!$A$3:$B$10,2,FALSE),0)*'FL Characterization'!D$2)</f>
        <v>46.855969316560575</v>
      </c>
      <c r="E4" s="2">
        <f>('[1]Pc, Summer, S2'!E4*Main!$B$5)+(_xlfn.IFNA(VLOOKUP($A4,'FL Ratio'!$A$3:$B$10,2,FALSE),0)*'FL Characterization'!E$2)</f>
        <v>45.325021092484576</v>
      </c>
      <c r="F4" s="2">
        <f>('[1]Pc, Summer, S2'!F4*Main!$B$5)+(_xlfn.IFNA(VLOOKUP($A4,'FL Ratio'!$A$3:$B$10,2,FALSE),0)*'FL Characterization'!F$2)</f>
        <v>47.547497617497541</v>
      </c>
      <c r="G4" s="2">
        <f>('[1]Pc, Summer, S2'!G4*Main!$B$5)+(_xlfn.IFNA(VLOOKUP($A4,'FL Ratio'!$A$3:$B$10,2,FALSE),0)*'FL Characterization'!G$2)</f>
        <v>43.435835217783755</v>
      </c>
      <c r="H4" s="2">
        <f>('[1]Pc, Summer, S2'!H4*Main!$B$5)+(_xlfn.IFNA(VLOOKUP($A4,'FL Ratio'!$A$3:$B$10,2,FALSE),0)*'FL Characterization'!H$2)</f>
        <v>51.014832405494651</v>
      </c>
      <c r="I4" s="2">
        <f>('[1]Pc, Summer, S2'!I4*Main!$B$5)+(_xlfn.IFNA(VLOOKUP($A4,'FL Ratio'!$A$3:$B$10,2,FALSE),0)*'FL Characterization'!I$2)</f>
        <v>57.464819739585224</v>
      </c>
      <c r="J4" s="2">
        <f>('[1]Pc, Summer, S2'!J4*Main!$B$5)+(_xlfn.IFNA(VLOOKUP($A4,'FL Ratio'!$A$3:$B$10,2,FALSE),0)*'FL Characterization'!J$2)</f>
        <v>64.6620120308515</v>
      </c>
      <c r="K4" s="2">
        <f>('[1]Pc, Summer, S2'!K4*Main!$B$5)+(_xlfn.IFNA(VLOOKUP($A4,'FL Ratio'!$A$3:$B$10,2,FALSE),0)*'FL Characterization'!K$2)</f>
        <v>69.503524626082864</v>
      </c>
      <c r="L4" s="2">
        <f>('[1]Pc, Summer, S2'!L4*Main!$B$5)+(_xlfn.IFNA(VLOOKUP($A4,'FL Ratio'!$A$3:$B$10,2,FALSE),0)*'FL Characterization'!L$2)</f>
        <v>71.553158434952039</v>
      </c>
      <c r="M4" s="2">
        <f>('[1]Pc, Summer, S2'!M4*Main!$B$5)+(_xlfn.IFNA(VLOOKUP($A4,'FL Ratio'!$A$3:$B$10,2,FALSE),0)*'FL Characterization'!M$2)</f>
        <v>72.739850504993939</v>
      </c>
      <c r="N4" s="2">
        <f>('[1]Pc, Summer, S2'!N4*Main!$B$5)+(_xlfn.IFNA(VLOOKUP($A4,'FL Ratio'!$A$3:$B$10,2,FALSE),0)*'FL Characterization'!N$2)</f>
        <v>74.334472094663866</v>
      </c>
      <c r="O4" s="2">
        <f>('[1]Pc, Summer, S2'!O4*Main!$B$5)+(_xlfn.IFNA(VLOOKUP($A4,'FL Ratio'!$A$3:$B$10,2,FALSE),0)*'FL Characterization'!O$2)</f>
        <v>75.328816421389305</v>
      </c>
      <c r="P4" s="2">
        <f>('[1]Pc, Summer, S2'!P4*Main!$B$5)+(_xlfn.IFNA(VLOOKUP($A4,'FL Ratio'!$A$3:$B$10,2,FALSE),0)*'FL Characterization'!P$2)</f>
        <v>75.645749111971256</v>
      </c>
      <c r="Q4" s="2">
        <f>('[1]Pc, Summer, S2'!Q4*Main!$B$5)+(_xlfn.IFNA(VLOOKUP($A4,'FL Ratio'!$A$3:$B$10,2,FALSE),0)*'FL Characterization'!Q$2)</f>
        <v>72.813147226673649</v>
      </c>
      <c r="R4" s="2">
        <f>('[1]Pc, Summer, S2'!R4*Main!$B$5)+(_xlfn.IFNA(VLOOKUP($A4,'FL Ratio'!$A$3:$B$10,2,FALSE),0)*'FL Characterization'!R$2)</f>
        <v>72.456945428004502</v>
      </c>
      <c r="S4" s="2">
        <f>('[1]Pc, Summer, S2'!S4*Main!$B$5)+(_xlfn.IFNA(VLOOKUP($A4,'FL Ratio'!$A$3:$B$10,2,FALSE),0)*'FL Characterization'!S$2)</f>
        <v>70.171230019704282</v>
      </c>
      <c r="T4" s="2">
        <f>('[1]Pc, Summer, S2'!T4*Main!$B$5)+(_xlfn.IFNA(VLOOKUP($A4,'FL Ratio'!$A$3:$B$10,2,FALSE),0)*'FL Characterization'!T$2)</f>
        <v>70.113325316290499</v>
      </c>
      <c r="U4" s="2">
        <f>('[1]Pc, Summer, S2'!U4*Main!$B$5)+(_xlfn.IFNA(VLOOKUP($A4,'FL Ratio'!$A$3:$B$10,2,FALSE),0)*'FL Characterization'!U$2)</f>
        <v>70.507001394388524</v>
      </c>
      <c r="V4" s="2">
        <f>('[1]Pc, Summer, S2'!V4*Main!$B$5)+(_xlfn.IFNA(VLOOKUP($A4,'FL Ratio'!$A$3:$B$10,2,FALSE),0)*'FL Characterization'!V$2)</f>
        <v>70.149284602250745</v>
      </c>
      <c r="W4" s="2">
        <f>('[1]Pc, Summer, S2'!W4*Main!$B$5)+(_xlfn.IFNA(VLOOKUP($A4,'FL Ratio'!$A$3:$B$10,2,FALSE),0)*'FL Characterization'!W$2)</f>
        <v>72.396791548781636</v>
      </c>
      <c r="X4" s="2">
        <f>('[1]Pc, Summer, S2'!X4*Main!$B$5)+(_xlfn.IFNA(VLOOKUP($A4,'FL Ratio'!$A$3:$B$10,2,FALSE),0)*'FL Characterization'!X$2)</f>
        <v>72.150673069089692</v>
      </c>
      <c r="Y4" s="2">
        <f>('[1]Pc, Summer, S2'!Y4*Main!$B$5)+(_xlfn.IFNA(VLOOKUP($A4,'FL Ratio'!$A$3:$B$10,2,FALSE),0)*'FL Characterization'!Y$2)</f>
        <v>65.045886119189674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52950-9564-4F28-9D1A-239901636696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39.24295330913197</v>
      </c>
      <c r="C2" s="2">
        <f>('[1]Pc, Summer, S2'!C2*Main!$B$5)+(_xlfn.IFNA(VLOOKUP($A2,'FL Ratio'!$A$3:$B$10,2,FALSE),0)*'FL Characterization'!C$2)</f>
        <v>35.653979231998314</v>
      </c>
      <c r="D2" s="2">
        <f>('[1]Pc, Summer, S2'!D2*Main!$B$5)+(_xlfn.IFNA(VLOOKUP($A2,'FL Ratio'!$A$3:$B$10,2,FALSE),0)*'FL Characterization'!D$2)</f>
        <v>35.031196879361552</v>
      </c>
      <c r="E2" s="2">
        <f>('[1]Pc, Summer, S2'!E2*Main!$B$5)+(_xlfn.IFNA(VLOOKUP($A2,'FL Ratio'!$A$3:$B$10,2,FALSE),0)*'FL Characterization'!E$2)</f>
        <v>34.941707443238791</v>
      </c>
      <c r="F2" s="2">
        <f>('[1]Pc, Summer, S2'!F2*Main!$B$5)+(_xlfn.IFNA(VLOOKUP($A2,'FL Ratio'!$A$3:$B$10,2,FALSE),0)*'FL Characterization'!F$2)</f>
        <v>34.944462251310178</v>
      </c>
      <c r="G2" s="2">
        <f>('[1]Pc, Summer, S2'!G2*Main!$B$5)+(_xlfn.IFNA(VLOOKUP($A2,'FL Ratio'!$A$3:$B$10,2,FALSE),0)*'FL Characterization'!G$2)</f>
        <v>34.635423637710176</v>
      </c>
      <c r="H2" s="2">
        <f>('[1]Pc, Summer, S2'!H2*Main!$B$5)+(_xlfn.IFNA(VLOOKUP($A2,'FL Ratio'!$A$3:$B$10,2,FALSE),0)*'FL Characterization'!H$2)</f>
        <v>37.392031613016798</v>
      </c>
      <c r="I2" s="2">
        <f>('[1]Pc, Summer, S2'!I2*Main!$B$5)+(_xlfn.IFNA(VLOOKUP($A2,'FL Ratio'!$A$3:$B$10,2,FALSE),0)*'FL Characterization'!I$2)</f>
        <v>44.393476694222905</v>
      </c>
      <c r="J2" s="2">
        <f>('[1]Pc, Summer, S2'!J2*Main!$B$5)+(_xlfn.IFNA(VLOOKUP($A2,'FL Ratio'!$A$3:$B$10,2,FALSE),0)*'FL Characterization'!J$2)</f>
        <v>50.595940288439209</v>
      </c>
      <c r="K2" s="2">
        <f>('[1]Pc, Summer, S2'!K2*Main!$B$5)+(_xlfn.IFNA(VLOOKUP($A2,'FL Ratio'!$A$3:$B$10,2,FALSE),0)*'FL Characterization'!K$2)</f>
        <v>52.150654833828533</v>
      </c>
      <c r="L2" s="2">
        <f>('[1]Pc, Summer, S2'!L2*Main!$B$5)+(_xlfn.IFNA(VLOOKUP($A2,'FL Ratio'!$A$3:$B$10,2,FALSE),0)*'FL Characterization'!L$2)</f>
        <v>51.622904119684407</v>
      </c>
      <c r="M2" s="2">
        <f>('[1]Pc, Summer, S2'!M2*Main!$B$5)+(_xlfn.IFNA(VLOOKUP($A2,'FL Ratio'!$A$3:$B$10,2,FALSE),0)*'FL Characterization'!M$2)</f>
        <v>53.082727978854521</v>
      </c>
      <c r="N2" s="2">
        <f>('[1]Pc, Summer, S2'!N2*Main!$B$5)+(_xlfn.IFNA(VLOOKUP($A2,'FL Ratio'!$A$3:$B$10,2,FALSE),0)*'FL Characterization'!N$2)</f>
        <v>53.810911081399432</v>
      </c>
      <c r="O2" s="2">
        <f>('[1]Pc, Summer, S2'!O2*Main!$B$5)+(_xlfn.IFNA(VLOOKUP($A2,'FL Ratio'!$A$3:$B$10,2,FALSE),0)*'FL Characterization'!O$2)</f>
        <v>52.815510037502548</v>
      </c>
      <c r="P2" s="2">
        <f>('[1]Pc, Summer, S2'!P2*Main!$B$5)+(_xlfn.IFNA(VLOOKUP($A2,'FL Ratio'!$A$3:$B$10,2,FALSE),0)*'FL Characterization'!P$2)</f>
        <v>50.751732959123146</v>
      </c>
      <c r="Q2" s="2">
        <f>('[1]Pc, Summer, S2'!Q2*Main!$B$5)+(_xlfn.IFNA(VLOOKUP($A2,'FL Ratio'!$A$3:$B$10,2,FALSE),0)*'FL Characterization'!Q$2)</f>
        <v>48.70906326500905</v>
      </c>
      <c r="R2" s="2">
        <f>('[1]Pc, Summer, S2'!R2*Main!$B$5)+(_xlfn.IFNA(VLOOKUP($A2,'FL Ratio'!$A$3:$B$10,2,FALSE),0)*'FL Characterization'!R$2)</f>
        <v>49.558876782901251</v>
      </c>
      <c r="S2" s="2">
        <f>('[1]Pc, Summer, S2'!S2*Main!$B$5)+(_xlfn.IFNA(VLOOKUP($A2,'FL Ratio'!$A$3:$B$10,2,FALSE),0)*'FL Characterization'!S$2)</f>
        <v>50.048506105601035</v>
      </c>
      <c r="T2" s="2">
        <f>('[1]Pc, Summer, S2'!T2*Main!$B$5)+(_xlfn.IFNA(VLOOKUP($A2,'FL Ratio'!$A$3:$B$10,2,FALSE),0)*'FL Characterization'!T$2)</f>
        <v>50.260943421954323</v>
      </c>
      <c r="U2" s="2">
        <f>('[1]Pc, Summer, S2'!U2*Main!$B$5)+(_xlfn.IFNA(VLOOKUP($A2,'FL Ratio'!$A$3:$B$10,2,FALSE),0)*'FL Characterization'!U$2)</f>
        <v>49.428893741341184</v>
      </c>
      <c r="V2" s="2">
        <f>('[1]Pc, Summer, S2'!V2*Main!$B$5)+(_xlfn.IFNA(VLOOKUP($A2,'FL Ratio'!$A$3:$B$10,2,FALSE),0)*'FL Characterization'!V$2)</f>
        <v>49.577405793255579</v>
      </c>
      <c r="W2" s="2">
        <f>('[1]Pc, Summer, S2'!W2*Main!$B$5)+(_xlfn.IFNA(VLOOKUP($A2,'FL Ratio'!$A$3:$B$10,2,FALSE),0)*'FL Characterization'!W$2)</f>
        <v>51.630801292795347</v>
      </c>
      <c r="X2" s="2">
        <f>('[1]Pc, Summer, S2'!X2*Main!$B$5)+(_xlfn.IFNA(VLOOKUP($A2,'FL Ratio'!$A$3:$B$10,2,FALSE),0)*'FL Characterization'!X$2)</f>
        <v>48.126156053137095</v>
      </c>
      <c r="Y2" s="2">
        <f>('[1]Pc, Summer, S2'!Y2*Main!$B$5)+(_xlfn.IFNA(VLOOKUP($A2,'FL Ratio'!$A$3:$B$10,2,FALSE),0)*'FL Characterization'!Y$2)</f>
        <v>44.116978907232173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42.163415013751745</v>
      </c>
      <c r="C3" s="2">
        <f>('[1]Pc, Summer, S2'!C3*Main!$B$5)+(_xlfn.IFNA(VLOOKUP($A3,'FL Ratio'!$A$3:$B$10,2,FALSE),0)*'FL Characterization'!C$2)</f>
        <v>38.682584133819226</v>
      </c>
      <c r="D3" s="2">
        <f>('[1]Pc, Summer, S2'!D3*Main!$B$5)+(_xlfn.IFNA(VLOOKUP($A3,'FL Ratio'!$A$3:$B$10,2,FALSE),0)*'FL Characterization'!D$2)</f>
        <v>36.652806321693681</v>
      </c>
      <c r="E3" s="2">
        <f>('[1]Pc, Summer, S2'!E3*Main!$B$5)+(_xlfn.IFNA(VLOOKUP($A3,'FL Ratio'!$A$3:$B$10,2,FALSE),0)*'FL Characterization'!E$2)</f>
        <v>35.311634117223171</v>
      </c>
      <c r="F3" s="2">
        <f>('[1]Pc, Summer, S2'!F3*Main!$B$5)+(_xlfn.IFNA(VLOOKUP($A3,'FL Ratio'!$A$3:$B$10,2,FALSE),0)*'FL Characterization'!F$2)</f>
        <v>34.935462806778062</v>
      </c>
      <c r="G3" s="2">
        <f>('[1]Pc, Summer, S2'!G3*Main!$B$5)+(_xlfn.IFNA(VLOOKUP($A3,'FL Ratio'!$A$3:$B$10,2,FALSE),0)*'FL Characterization'!G$2)</f>
        <v>37.077468972567324</v>
      </c>
      <c r="H3" s="2">
        <f>('[1]Pc, Summer, S2'!H3*Main!$B$5)+(_xlfn.IFNA(VLOOKUP($A3,'FL Ratio'!$A$3:$B$10,2,FALSE),0)*'FL Characterization'!H$2)</f>
        <v>46.413469960387935</v>
      </c>
      <c r="I3" s="2">
        <f>('[1]Pc, Summer, S2'!I3*Main!$B$5)+(_xlfn.IFNA(VLOOKUP($A3,'FL Ratio'!$A$3:$B$10,2,FALSE),0)*'FL Characterization'!I$2)</f>
        <v>55.243987175471077</v>
      </c>
      <c r="J3" s="2">
        <f>('[1]Pc, Summer, S2'!J3*Main!$B$5)+(_xlfn.IFNA(VLOOKUP($A3,'FL Ratio'!$A$3:$B$10,2,FALSE),0)*'FL Characterization'!J$2)</f>
        <v>57.606909963538442</v>
      </c>
      <c r="K3" s="2">
        <f>('[1]Pc, Summer, S2'!K3*Main!$B$5)+(_xlfn.IFNA(VLOOKUP($A3,'FL Ratio'!$A$3:$B$10,2,FALSE),0)*'FL Characterization'!K$2)</f>
        <v>56.530690139470089</v>
      </c>
      <c r="L3" s="2">
        <f>('[1]Pc, Summer, S2'!L3*Main!$B$5)+(_xlfn.IFNA(VLOOKUP($A3,'FL Ratio'!$A$3:$B$10,2,FALSE),0)*'FL Characterization'!L$2)</f>
        <v>56.342011935569765</v>
      </c>
      <c r="M3" s="2">
        <f>('[1]Pc, Summer, S2'!M3*Main!$B$5)+(_xlfn.IFNA(VLOOKUP($A3,'FL Ratio'!$A$3:$B$10,2,FALSE),0)*'FL Characterization'!M$2)</f>
        <v>60.079947047698937</v>
      </c>
      <c r="N3" s="2">
        <f>('[1]Pc, Summer, S2'!N3*Main!$B$5)+(_xlfn.IFNA(VLOOKUP($A3,'FL Ratio'!$A$3:$B$10,2,FALSE),0)*'FL Characterization'!N$2)</f>
        <v>60.252004869878917</v>
      </c>
      <c r="O3" s="2">
        <f>('[1]Pc, Summer, S2'!O3*Main!$B$5)+(_xlfn.IFNA(VLOOKUP($A3,'FL Ratio'!$A$3:$B$10,2,FALSE),0)*'FL Characterization'!O$2)</f>
        <v>60.641307417033609</v>
      </c>
      <c r="P3" s="2">
        <f>('[1]Pc, Summer, S2'!P3*Main!$B$5)+(_xlfn.IFNA(VLOOKUP($A3,'FL Ratio'!$A$3:$B$10,2,FALSE),0)*'FL Characterization'!P$2)</f>
        <v>57.698272639970085</v>
      </c>
      <c r="Q3" s="2">
        <f>('[1]Pc, Summer, S2'!Q3*Main!$B$5)+(_xlfn.IFNA(VLOOKUP($A3,'FL Ratio'!$A$3:$B$10,2,FALSE),0)*'FL Characterization'!Q$2)</f>
        <v>54.656541527463553</v>
      </c>
      <c r="R3" s="2">
        <f>('[1]Pc, Summer, S2'!R3*Main!$B$5)+(_xlfn.IFNA(VLOOKUP($A3,'FL Ratio'!$A$3:$B$10,2,FALSE),0)*'FL Characterization'!R$2)</f>
        <v>50.584344922794372</v>
      </c>
      <c r="S3" s="2">
        <f>('[1]Pc, Summer, S2'!S3*Main!$B$5)+(_xlfn.IFNA(VLOOKUP($A3,'FL Ratio'!$A$3:$B$10,2,FALSE),0)*'FL Characterization'!S$2)</f>
        <v>51.103994304933899</v>
      </c>
      <c r="T3" s="2">
        <f>('[1]Pc, Summer, S2'!T3*Main!$B$5)+(_xlfn.IFNA(VLOOKUP($A3,'FL Ratio'!$A$3:$B$10,2,FALSE),0)*'FL Characterization'!T$2)</f>
        <v>50.682249878849646</v>
      </c>
      <c r="U3" s="2">
        <f>('[1]Pc, Summer, S2'!U3*Main!$B$5)+(_xlfn.IFNA(VLOOKUP($A3,'FL Ratio'!$A$3:$B$10,2,FALSE),0)*'FL Characterization'!U$2)</f>
        <v>50.504398864003683</v>
      </c>
      <c r="V3" s="2">
        <f>('[1]Pc, Summer, S2'!V3*Main!$B$5)+(_xlfn.IFNA(VLOOKUP($A3,'FL Ratio'!$A$3:$B$10,2,FALSE),0)*'FL Characterization'!V$2)</f>
        <v>50.722802227511593</v>
      </c>
      <c r="W3" s="2">
        <f>('[1]Pc, Summer, S2'!W3*Main!$B$5)+(_xlfn.IFNA(VLOOKUP($A3,'FL Ratio'!$A$3:$B$10,2,FALSE),0)*'FL Characterization'!W$2)</f>
        <v>50.478522603428914</v>
      </c>
      <c r="X3" s="2">
        <f>('[1]Pc, Summer, S2'!X3*Main!$B$5)+(_xlfn.IFNA(VLOOKUP($A3,'FL Ratio'!$A$3:$B$10,2,FALSE),0)*'FL Characterization'!X$2)</f>
        <v>50.087438381213396</v>
      </c>
      <c r="Y3" s="2">
        <f>('[1]Pc, Summer, S2'!Y3*Main!$B$5)+(_xlfn.IFNA(VLOOKUP($A3,'FL Ratio'!$A$3:$B$10,2,FALSE),0)*'FL Characterization'!Y$2)</f>
        <v>47.351545277956156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56.023983733620625</v>
      </c>
      <c r="C4" s="2">
        <f>('[1]Pc, Summer, S2'!C4*Main!$B$5)+(_xlfn.IFNA(VLOOKUP($A4,'FL Ratio'!$A$3:$B$10,2,FALSE),0)*'FL Characterization'!C$2)</f>
        <v>49.681313042201886</v>
      </c>
      <c r="D4" s="2">
        <f>('[1]Pc, Summer, S2'!D4*Main!$B$5)+(_xlfn.IFNA(VLOOKUP($A4,'FL Ratio'!$A$3:$B$10,2,FALSE),0)*'FL Characterization'!D$2)</f>
        <v>46.855969316560575</v>
      </c>
      <c r="E4" s="2">
        <f>('[1]Pc, Summer, S2'!E4*Main!$B$5)+(_xlfn.IFNA(VLOOKUP($A4,'FL Ratio'!$A$3:$B$10,2,FALSE),0)*'FL Characterization'!E$2)</f>
        <v>45.325021092484576</v>
      </c>
      <c r="F4" s="2">
        <f>('[1]Pc, Summer, S2'!F4*Main!$B$5)+(_xlfn.IFNA(VLOOKUP($A4,'FL Ratio'!$A$3:$B$10,2,FALSE),0)*'FL Characterization'!F$2)</f>
        <v>47.547497617497541</v>
      </c>
      <c r="G4" s="2">
        <f>('[1]Pc, Summer, S2'!G4*Main!$B$5)+(_xlfn.IFNA(VLOOKUP($A4,'FL Ratio'!$A$3:$B$10,2,FALSE),0)*'FL Characterization'!G$2)</f>
        <v>43.435835217783755</v>
      </c>
      <c r="H4" s="2">
        <f>('[1]Pc, Summer, S2'!H4*Main!$B$5)+(_xlfn.IFNA(VLOOKUP($A4,'FL Ratio'!$A$3:$B$10,2,FALSE),0)*'FL Characterization'!H$2)</f>
        <v>51.014832405494651</v>
      </c>
      <c r="I4" s="2">
        <f>('[1]Pc, Summer, S2'!I4*Main!$B$5)+(_xlfn.IFNA(VLOOKUP($A4,'FL Ratio'!$A$3:$B$10,2,FALSE),0)*'FL Characterization'!I$2)</f>
        <v>57.464819739585224</v>
      </c>
      <c r="J4" s="2">
        <f>('[1]Pc, Summer, S2'!J4*Main!$B$5)+(_xlfn.IFNA(VLOOKUP($A4,'FL Ratio'!$A$3:$B$10,2,FALSE),0)*'FL Characterization'!J$2)</f>
        <v>64.6620120308515</v>
      </c>
      <c r="K4" s="2">
        <f>('[1]Pc, Summer, S2'!K4*Main!$B$5)+(_xlfn.IFNA(VLOOKUP($A4,'FL Ratio'!$A$3:$B$10,2,FALSE),0)*'FL Characterization'!K$2)</f>
        <v>69.503524626082864</v>
      </c>
      <c r="L4" s="2">
        <f>('[1]Pc, Summer, S2'!L4*Main!$B$5)+(_xlfn.IFNA(VLOOKUP($A4,'FL Ratio'!$A$3:$B$10,2,FALSE),0)*'FL Characterization'!L$2)</f>
        <v>71.553158434952039</v>
      </c>
      <c r="M4" s="2">
        <f>('[1]Pc, Summer, S2'!M4*Main!$B$5)+(_xlfn.IFNA(VLOOKUP($A4,'FL Ratio'!$A$3:$B$10,2,FALSE),0)*'FL Characterization'!M$2)</f>
        <v>72.739850504993939</v>
      </c>
      <c r="N4" s="2">
        <f>('[1]Pc, Summer, S2'!N4*Main!$B$5)+(_xlfn.IFNA(VLOOKUP($A4,'FL Ratio'!$A$3:$B$10,2,FALSE),0)*'FL Characterization'!N$2)</f>
        <v>74.334472094663866</v>
      </c>
      <c r="O4" s="2">
        <f>('[1]Pc, Summer, S2'!O4*Main!$B$5)+(_xlfn.IFNA(VLOOKUP($A4,'FL Ratio'!$A$3:$B$10,2,FALSE),0)*'FL Characterization'!O$2)</f>
        <v>75.328816421389305</v>
      </c>
      <c r="P4" s="2">
        <f>('[1]Pc, Summer, S2'!P4*Main!$B$5)+(_xlfn.IFNA(VLOOKUP($A4,'FL Ratio'!$A$3:$B$10,2,FALSE),0)*'FL Characterization'!P$2)</f>
        <v>75.645749111971256</v>
      </c>
      <c r="Q4" s="2">
        <f>('[1]Pc, Summer, S2'!Q4*Main!$B$5)+(_xlfn.IFNA(VLOOKUP($A4,'FL Ratio'!$A$3:$B$10,2,FALSE),0)*'FL Characterization'!Q$2)</f>
        <v>72.813147226673649</v>
      </c>
      <c r="R4" s="2">
        <f>('[1]Pc, Summer, S2'!R4*Main!$B$5)+(_xlfn.IFNA(VLOOKUP($A4,'FL Ratio'!$A$3:$B$10,2,FALSE),0)*'FL Characterization'!R$2)</f>
        <v>72.456945428004502</v>
      </c>
      <c r="S4" s="2">
        <f>('[1]Pc, Summer, S2'!S4*Main!$B$5)+(_xlfn.IFNA(VLOOKUP($A4,'FL Ratio'!$A$3:$B$10,2,FALSE),0)*'FL Characterization'!S$2)</f>
        <v>70.171230019704282</v>
      </c>
      <c r="T4" s="2">
        <f>('[1]Pc, Summer, S2'!T4*Main!$B$5)+(_xlfn.IFNA(VLOOKUP($A4,'FL Ratio'!$A$3:$B$10,2,FALSE),0)*'FL Characterization'!T$2)</f>
        <v>70.113325316290499</v>
      </c>
      <c r="U4" s="2">
        <f>('[1]Pc, Summer, S2'!U4*Main!$B$5)+(_xlfn.IFNA(VLOOKUP($A4,'FL Ratio'!$A$3:$B$10,2,FALSE),0)*'FL Characterization'!U$2)</f>
        <v>70.507001394388524</v>
      </c>
      <c r="V4" s="2">
        <f>('[1]Pc, Summer, S2'!V4*Main!$B$5)+(_xlfn.IFNA(VLOOKUP($A4,'FL Ratio'!$A$3:$B$10,2,FALSE),0)*'FL Characterization'!V$2)</f>
        <v>70.149284602250745</v>
      </c>
      <c r="W4" s="2">
        <f>('[1]Pc, Summer, S2'!W4*Main!$B$5)+(_xlfn.IFNA(VLOOKUP($A4,'FL Ratio'!$A$3:$B$10,2,FALSE),0)*'FL Characterization'!W$2)</f>
        <v>72.396791548781636</v>
      </c>
      <c r="X4" s="2">
        <f>('[1]Pc, Summer, S2'!X4*Main!$B$5)+(_xlfn.IFNA(VLOOKUP($A4,'FL Ratio'!$A$3:$B$10,2,FALSE),0)*'FL Characterization'!X$2)</f>
        <v>72.150673069089692</v>
      </c>
      <c r="Y4" s="2">
        <f>('[1]Pc, Summer, S2'!Y4*Main!$B$5)+(_xlfn.IFNA(VLOOKUP($A4,'FL Ratio'!$A$3:$B$10,2,FALSE),0)*'FL Characterization'!Y$2)</f>
        <v>65.045886119189674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90A78-CB14-4A8D-8A27-27E14EA32DC1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37.337955575678954</v>
      </c>
      <c r="C2" s="2">
        <f>('[1]Pc, Summer, S3'!C2*Main!$B$5)+(_xlfn.IFNA(VLOOKUP($A2,'FL Ratio'!$A$3:$B$10,2,FALSE),0)*'FL Characterization'!C$2)</f>
        <v>33.923203541124607</v>
      </c>
      <c r="D2" s="2">
        <f>('[1]Pc, Summer, S3'!D2*Main!$B$5)+(_xlfn.IFNA(VLOOKUP($A2,'FL Ratio'!$A$3:$B$10,2,FALSE),0)*'FL Characterization'!D$2)</f>
        <v>33.330653341528468</v>
      </c>
      <c r="E2" s="2">
        <f>('[1]Pc, Summer, S3'!E2*Main!$B$5)+(_xlfn.IFNA(VLOOKUP($A2,'FL Ratio'!$A$3:$B$10,2,FALSE),0)*'FL Characterization'!E$2)</f>
        <v>33.245508052790299</v>
      </c>
      <c r="F2" s="2">
        <f>('[1]Pc, Summer, S3'!F2*Main!$B$5)+(_xlfn.IFNA(VLOOKUP($A2,'FL Ratio'!$A$3:$B$10,2,FALSE),0)*'FL Characterization'!F$2)</f>
        <v>33.248129132314538</v>
      </c>
      <c r="G2" s="2">
        <f>('[1]Pc, Summer, S3'!G2*Main!$B$5)+(_xlfn.IFNA(VLOOKUP($A2,'FL Ratio'!$A$3:$B$10,2,FALSE),0)*'FL Characterization'!G$2)</f>
        <v>32.95409239316114</v>
      </c>
      <c r="H2" s="2">
        <f>('[1]Pc, Summer, S3'!H2*Main!$B$5)+(_xlfn.IFNA(VLOOKUP($A2,'FL Ratio'!$A$3:$B$10,2,FALSE),0)*'FL Characterization'!H$2)</f>
        <v>35.576884447336376</v>
      </c>
      <c r="I2" s="2">
        <f>('[1]Pc, Summer, S3'!I2*Main!$B$5)+(_xlfn.IFNA(VLOOKUP($A2,'FL Ratio'!$A$3:$B$10,2,FALSE),0)*'FL Characterization'!I$2)</f>
        <v>42.23845355372665</v>
      </c>
      <c r="J2" s="2">
        <f>('[1]Pc, Summer, S3'!J2*Main!$B$5)+(_xlfn.IFNA(VLOOKUP($A2,'FL Ratio'!$A$3:$B$10,2,FALSE),0)*'FL Characterization'!J$2)</f>
        <v>48.139826682204301</v>
      </c>
      <c r="K2" s="2">
        <f>('[1]Pc, Summer, S3'!K2*Main!$B$5)+(_xlfn.IFNA(VLOOKUP($A2,'FL Ratio'!$A$3:$B$10,2,FALSE),0)*'FL Characterization'!K$2)</f>
        <v>49.619069647720337</v>
      </c>
      <c r="L2" s="2">
        <f>('[1]Pc, Summer, S3'!L2*Main!$B$5)+(_xlfn.IFNA(VLOOKUP($A2,'FL Ratio'!$A$3:$B$10,2,FALSE),0)*'FL Characterization'!L$2)</f>
        <v>49.116937900282259</v>
      </c>
      <c r="M2" s="2">
        <f>('[1]Pc, Summer, S3'!M2*Main!$B$5)+(_xlfn.IFNA(VLOOKUP($A2,'FL Ratio'!$A$3:$B$10,2,FALSE),0)*'FL Characterization'!M$2)</f>
        <v>50.505896523570321</v>
      </c>
      <c r="N2" s="2">
        <f>('[1]Pc, Summer, S3'!N2*Main!$B$5)+(_xlfn.IFNA(VLOOKUP($A2,'FL Ratio'!$A$3:$B$10,2,FALSE),0)*'FL Characterization'!N$2)</f>
        <v>51.198730931816932</v>
      </c>
      <c r="O2" s="2">
        <f>('[1]Pc, Summer, S3'!O2*Main!$B$5)+(_xlfn.IFNA(VLOOKUP($A2,'FL Ratio'!$A$3:$B$10,2,FALSE),0)*'FL Characterization'!O$2)</f>
        <v>50.251650326944173</v>
      </c>
      <c r="P2" s="2">
        <f>('[1]Pc, Summer, S3'!P2*Main!$B$5)+(_xlfn.IFNA(VLOOKUP($A2,'FL Ratio'!$A$3:$B$10,2,FALSE),0)*'FL Characterization'!P$2)</f>
        <v>48.288056601884158</v>
      </c>
      <c r="Q2" s="2">
        <f>('[1]Pc, Summer, S3'!Q2*Main!$B$5)+(_xlfn.IFNA(VLOOKUP($A2,'FL Ratio'!$A$3:$B$10,2,FALSE),0)*'FL Characterization'!Q$2)</f>
        <v>46.344545630785312</v>
      </c>
      <c r="R2" s="2">
        <f>('[1]Pc, Summer, S3'!R2*Main!$B$5)+(_xlfn.IFNA(VLOOKUP($A2,'FL Ratio'!$A$3:$B$10,2,FALSE),0)*'FL Characterization'!R$2)</f>
        <v>47.153106065284675</v>
      </c>
      <c r="S2" s="2">
        <f>('[1]Pc, Summer, S3'!S2*Main!$B$5)+(_xlfn.IFNA(VLOOKUP($A2,'FL Ratio'!$A$3:$B$10,2,FALSE),0)*'FL Characterization'!S$2)</f>
        <v>47.618966974261177</v>
      </c>
      <c r="T2" s="2">
        <f>('[1]Pc, Summer, S3'!T2*Main!$B$5)+(_xlfn.IFNA(VLOOKUP($A2,'FL Ratio'!$A$3:$B$10,2,FALSE),0)*'FL Characterization'!T$2)</f>
        <v>47.821091799529356</v>
      </c>
      <c r="U2" s="2">
        <f>('[1]Pc, Summer, S3'!U2*Main!$B$5)+(_xlfn.IFNA(VLOOKUP($A2,'FL Ratio'!$A$3:$B$10,2,FALSE),0)*'FL Characterization'!U$2)</f>
        <v>47.029432880111031</v>
      </c>
      <c r="V2" s="2">
        <f>('[1]Pc, Summer, S3'!V2*Main!$B$5)+(_xlfn.IFNA(VLOOKUP($A2,'FL Ratio'!$A$3:$B$10,2,FALSE),0)*'FL Characterization'!V$2)</f>
        <v>47.17073560911696</v>
      </c>
      <c r="W2" s="2">
        <f>('[1]Pc, Summer, S3'!W2*Main!$B$5)+(_xlfn.IFNA(VLOOKUP($A2,'FL Ratio'!$A$3:$B$10,2,FALSE),0)*'FL Characterization'!W$2)</f>
        <v>49.124451715475189</v>
      </c>
      <c r="X2" s="2">
        <f>('[1]Pc, Summer, S3'!X2*Main!$B$5)+(_xlfn.IFNA(VLOOKUP($A2,'FL Ratio'!$A$3:$B$10,2,FALSE),0)*'FL Characterization'!X$2)</f>
        <v>45.789934885509084</v>
      </c>
      <c r="Y2" s="2">
        <f>('[1]Pc, Summer, S3'!Y2*Main!$B$5)+(_xlfn.IFNA(VLOOKUP($A2,'FL Ratio'!$A$3:$B$10,2,FALSE),0)*'FL Characterization'!Y$2)</f>
        <v>41.975377989405366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40.231864335184042</v>
      </c>
      <c r="C3" s="2">
        <f>('[1]Pc, Summer, S3'!C3*Main!$B$5)+(_xlfn.IFNA(VLOOKUP($A3,'FL Ratio'!$A$3:$B$10,2,FALSE),0)*'FL Characterization'!C$2)</f>
        <v>36.923849208311452</v>
      </c>
      <c r="D3" s="2">
        <f>('[1]Pc, Summer, S3'!D3*Main!$B$5)+(_xlfn.IFNA(VLOOKUP($A3,'FL Ratio'!$A$3:$B$10,2,FALSE),0)*'FL Characterization'!D$2)</f>
        <v>34.980155497323977</v>
      </c>
      <c r="E3" s="2">
        <f>('[1]Pc, Summer, S3'!E3*Main!$B$5)+(_xlfn.IFNA(VLOOKUP($A3,'FL Ratio'!$A$3:$B$10,2,FALSE),0)*'FL Characterization'!E$2)</f>
        <v>33.698529899460546</v>
      </c>
      <c r="F3" s="2">
        <f>('[1]Pc, Summer, S3'!F3*Main!$B$5)+(_xlfn.IFNA(VLOOKUP($A3,'FL Ratio'!$A$3:$B$10,2,FALSE),0)*'FL Characterization'!F$2)</f>
        <v>33.322358589015437</v>
      </c>
      <c r="G3" s="2">
        <f>('[1]Pc, Summer, S3'!G3*Main!$B$5)+(_xlfn.IFNA(VLOOKUP($A3,'FL Ratio'!$A$3:$B$10,2,FALSE),0)*'FL Characterization'!G$2)</f>
        <v>35.347860077821792</v>
      </c>
      <c r="H3" s="2">
        <f>('[1]Pc, Summer, S3'!H3*Main!$B$5)+(_xlfn.IFNA(VLOOKUP($A3,'FL Ratio'!$A$3:$B$10,2,FALSE),0)*'FL Characterization'!H$2)</f>
        <v>44.246321252228576</v>
      </c>
      <c r="I3" s="2">
        <f>('[1]Pc, Summer, S3'!I3*Main!$B$5)+(_xlfn.IFNA(VLOOKUP($A3,'FL Ratio'!$A$3:$B$10,2,FALSE),0)*'FL Characterization'!I$2)</f>
        <v>52.577163789484217</v>
      </c>
      <c r="J3" s="2">
        <f>('[1]Pc, Summer, S3'!J3*Main!$B$5)+(_xlfn.IFNA(VLOOKUP($A3,'FL Ratio'!$A$3:$B$10,2,FALSE),0)*'FL Characterization'!J$2)</f>
        <v>54.8235817609919</v>
      </c>
      <c r="K3" s="2">
        <f>('[1]Pc, Summer, S3'!K3*Main!$B$5)+(_xlfn.IFNA(VLOOKUP($A3,'FL Ratio'!$A$3:$B$10,2,FALSE),0)*'FL Characterization'!K$2)</f>
        <v>53.805614414627343</v>
      </c>
      <c r="L3" s="2">
        <f>('[1]Pc, Summer, S3'!L3*Main!$B$5)+(_xlfn.IFNA(VLOOKUP($A3,'FL Ratio'!$A$3:$B$10,2,FALSE),0)*'FL Characterization'!L$2)</f>
        <v>53.618230478478225</v>
      </c>
      <c r="M3" s="2">
        <f>('[1]Pc, Summer, S3'!M3*Main!$B$5)+(_xlfn.IFNA(VLOOKUP($A3,'FL Ratio'!$A$3:$B$10,2,FALSE),0)*'FL Characterization'!M$2)</f>
        <v>57.177524659273942</v>
      </c>
      <c r="N3" s="2">
        <f>('[1]Pc, Summer, S3'!N3*Main!$B$5)+(_xlfn.IFNA(VLOOKUP($A3,'FL Ratio'!$A$3:$B$10,2,FALSE),0)*'FL Characterization'!N$2)</f>
        <v>57.349582481453922</v>
      </c>
      <c r="O3" s="2">
        <f>('[1]Pc, Summer, S3'!O3*Main!$B$5)+(_xlfn.IFNA(VLOOKUP($A3,'FL Ratio'!$A$3:$B$10,2,FALSE),0)*'FL Characterization'!O$2)</f>
        <v>57.738885028608614</v>
      </c>
      <c r="P3" s="2">
        <f>('[1]Pc, Summer, S3'!P3*Main!$B$5)+(_xlfn.IFNA(VLOOKUP($A3,'FL Ratio'!$A$3:$B$10,2,FALSE),0)*'FL Characterization'!P$2)</f>
        <v>54.941481376380636</v>
      </c>
      <c r="Q3" s="2">
        <f>('[1]Pc, Summer, S3'!Q3*Main!$B$5)+(_xlfn.IFNA(VLOOKUP($A3,'FL Ratio'!$A$3:$B$10,2,FALSE),0)*'FL Characterization'!Q$2)</f>
        <v>52.046675934338914</v>
      </c>
      <c r="R3" s="2">
        <f>('[1]Pc, Summer, S3'!R3*Main!$B$5)+(_xlfn.IFNA(VLOOKUP($A3,'FL Ratio'!$A$3:$B$10,2,FALSE),0)*'FL Characterization'!R$2)</f>
        <v>48.153119983125151</v>
      </c>
      <c r="S3" s="2">
        <f>('[1]Pc, Summer, S3'!S3*Main!$B$5)+(_xlfn.IFNA(VLOOKUP($A3,'FL Ratio'!$A$3:$B$10,2,FALSE),0)*'FL Characterization'!S$2)</f>
        <v>48.672769365264678</v>
      </c>
      <c r="T3" s="2">
        <f>('[1]Pc, Summer, S3'!T3*Main!$B$5)+(_xlfn.IFNA(VLOOKUP($A3,'FL Ratio'!$A$3:$B$10,2,FALSE),0)*'FL Characterization'!T$2)</f>
        <v>48.251024939180425</v>
      </c>
      <c r="U3" s="2">
        <f>('[1]Pc, Summer, S3'!U3*Main!$B$5)+(_xlfn.IFNA(VLOOKUP($A3,'FL Ratio'!$A$3:$B$10,2,FALSE),0)*'FL Characterization'!U$2)</f>
        <v>48.073173924334462</v>
      </c>
      <c r="V3" s="2">
        <f>('[1]Pc, Summer, S3'!V3*Main!$B$5)+(_xlfn.IFNA(VLOOKUP($A3,'FL Ratio'!$A$3:$B$10,2,FALSE),0)*'FL Characterization'!V$2)</f>
        <v>48.291577287842372</v>
      </c>
      <c r="W3" s="2">
        <f>('[1]Pc, Summer, S3'!W3*Main!$B$5)+(_xlfn.IFNA(VLOOKUP($A3,'FL Ratio'!$A$3:$B$10,2,FALSE),0)*'FL Characterization'!W$2)</f>
        <v>48.047297663759693</v>
      </c>
      <c r="X3" s="2">
        <f>('[1]Pc, Summer, S3'!X3*Main!$B$5)+(_xlfn.IFNA(VLOOKUP($A3,'FL Ratio'!$A$3:$B$10,2,FALSE),0)*'FL Characterization'!X$2)</f>
        <v>47.743591532737611</v>
      </c>
      <c r="Y3" s="2">
        <f>('[1]Pc, Summer, S3'!Y3*Main!$B$5)+(_xlfn.IFNA(VLOOKUP($A3,'FL Ratio'!$A$3:$B$10,2,FALSE),0)*'FL Characterization'!Y$2)</f>
        <v>45.158507042775554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53.419589913311711</v>
      </c>
      <c r="C4" s="2">
        <f>('[1]Pc, Summer, S3'!C4*Main!$B$5)+(_xlfn.IFNA(VLOOKUP($A4,'FL Ratio'!$A$3:$B$10,2,FALSE),0)*'FL Characterization'!C$2)</f>
        <v>47.388659237646415</v>
      </c>
      <c r="D4" s="2">
        <f>('[1]Pc, Summer, S3'!D4*Main!$B$5)+(_xlfn.IFNA(VLOOKUP($A4,'FL Ratio'!$A$3:$B$10,2,FALSE),0)*'FL Characterization'!D$2)</f>
        <v>44.688019317682759</v>
      </c>
      <c r="E4" s="2">
        <f>('[1]Pc, Summer, S3'!E4*Main!$B$5)+(_xlfn.IFNA(VLOOKUP($A4,'FL Ratio'!$A$3:$B$10,2,FALSE),0)*'FL Characterization'!E$2)</f>
        <v>43.225830128350054</v>
      </c>
      <c r="F4" s="2">
        <f>('[1]Pc, Summer, S3'!F4*Main!$B$5)+(_xlfn.IFNA(VLOOKUP($A4,'FL Ratio'!$A$3:$B$10,2,FALSE),0)*'FL Characterization'!F$2)</f>
        <v>45.32215870018544</v>
      </c>
      <c r="G4" s="2">
        <f>('[1]Pc, Summer, S3'!G4*Main!$B$5)+(_xlfn.IFNA(VLOOKUP($A4,'FL Ratio'!$A$3:$B$10,2,FALSE),0)*'FL Characterization'!G$2)</f>
        <v>41.397567767445189</v>
      </c>
      <c r="H4" s="2">
        <f>('[1]Pc, Summer, S3'!H4*Main!$B$5)+(_xlfn.IFNA(VLOOKUP($A4,'FL Ratio'!$A$3:$B$10,2,FALSE),0)*'FL Characterization'!H$2)</f>
        <v>48.624316588349537</v>
      </c>
      <c r="I4" s="2">
        <f>('[1]Pc, Summer, S3'!I4*Main!$B$5)+(_xlfn.IFNA(VLOOKUP($A4,'FL Ratio'!$A$3:$B$10,2,FALSE),0)*'FL Characterization'!I$2)</f>
        <v>54.690188947573411</v>
      </c>
      <c r="J4" s="2">
        <f>('[1]Pc, Summer, S3'!J4*Main!$B$5)+(_xlfn.IFNA(VLOOKUP($A4,'FL Ratio'!$A$3:$B$10,2,FALSE),0)*'FL Characterization'!J$2)</f>
        <v>61.536203145425674</v>
      </c>
      <c r="K4" s="2">
        <f>('[1]Pc, Summer, S3'!K4*Main!$B$5)+(_xlfn.IFNA(VLOOKUP($A4,'FL Ratio'!$A$3:$B$10,2,FALSE),0)*'FL Characterization'!K$2)</f>
        <v>66.14869965431717</v>
      </c>
      <c r="L4" s="2">
        <f>('[1]Pc, Summer, S3'!L4*Main!$B$5)+(_xlfn.IFNA(VLOOKUP($A4,'FL Ratio'!$A$3:$B$10,2,FALSE),0)*'FL Characterization'!L$2)</f>
        <v>68.090971807987557</v>
      </c>
      <c r="M4" s="2">
        <f>('[1]Pc, Summer, S3'!M4*Main!$B$5)+(_xlfn.IFNA(VLOOKUP($A4,'FL Ratio'!$A$3:$B$10,2,FALSE),0)*'FL Characterization'!M$2)</f>
        <v>69.222869696311903</v>
      </c>
      <c r="N4" s="2">
        <f>('[1]Pc, Summer, S3'!N4*Main!$B$5)+(_xlfn.IFNA(VLOOKUP($A4,'FL Ratio'!$A$3:$B$10,2,FALSE),0)*'FL Characterization'!N$2)</f>
        <v>70.748434792414358</v>
      </c>
      <c r="O4" s="2">
        <f>('[1]Pc, Summer, S3'!O4*Main!$B$5)+(_xlfn.IFNA(VLOOKUP($A4,'FL Ratio'!$A$3:$B$10,2,FALSE),0)*'FL Characterization'!O$2)</f>
        <v>71.713408158966459</v>
      </c>
      <c r="P4" s="2">
        <f>('[1]Pc, Summer, S3'!P4*Main!$B$5)+(_xlfn.IFNA(VLOOKUP($A4,'FL Ratio'!$A$3:$B$10,2,FALSE),0)*'FL Characterization'!P$2)</f>
        <v>72.017721126440023</v>
      </c>
      <c r="Q4" s="2">
        <f>('[1]Pc, Summer, S3'!Q4*Main!$B$5)+(_xlfn.IFNA(VLOOKUP($A4,'FL Ratio'!$A$3:$B$10,2,FALSE),0)*'FL Characterization'!Q$2)</f>
        <v>69.32189300737376</v>
      </c>
      <c r="R4" s="2">
        <f>('[1]Pc, Summer, S3'!R4*Main!$B$5)+(_xlfn.IFNA(VLOOKUP($A4,'FL Ratio'!$A$3:$B$10,2,FALSE),0)*'FL Characterization'!R$2)</f>
        <v>68.963943764781376</v>
      </c>
      <c r="S4" s="2">
        <f>('[1]Pc, Summer, S3'!S4*Main!$B$5)+(_xlfn.IFNA(VLOOKUP($A4,'FL Ratio'!$A$3:$B$10,2,FALSE),0)*'FL Characterization'!S$2)</f>
        <v>66.814411113298632</v>
      </c>
      <c r="T4" s="2">
        <f>('[1]Pc, Summer, S3'!T4*Main!$B$5)+(_xlfn.IFNA(VLOOKUP($A4,'FL Ratio'!$A$3:$B$10,2,FALSE),0)*'FL Characterization'!T$2)</f>
        <v>66.73884428742511</v>
      </c>
      <c r="U4" s="2">
        <f>('[1]Pc, Summer, S3'!U4*Main!$B$5)+(_xlfn.IFNA(VLOOKUP($A4,'FL Ratio'!$A$3:$B$10,2,FALSE),0)*'FL Characterization'!U$2)</f>
        <v>67.104776331885077</v>
      </c>
      <c r="V4" s="2">
        <f>('[1]Pc, Summer, S3'!V4*Main!$B$5)+(_xlfn.IFNA(VLOOKUP($A4,'FL Ratio'!$A$3:$B$10,2,FALSE),0)*'FL Characterization'!V$2)</f>
        <v>66.775026537594186</v>
      </c>
      <c r="W4" s="2">
        <f>('[1]Pc, Summer, S3'!W4*Main!$B$5)+(_xlfn.IFNA(VLOOKUP($A4,'FL Ratio'!$A$3:$B$10,2,FALSE),0)*'FL Characterization'!W$2)</f>
        <v>68.901572970988497</v>
      </c>
      <c r="X4" s="2">
        <f>('[1]Pc, Summer, S3'!X4*Main!$B$5)+(_xlfn.IFNA(VLOOKUP($A4,'FL Ratio'!$A$3:$B$10,2,FALSE),0)*'FL Characterization'!X$2)</f>
        <v>68.735795410522826</v>
      </c>
      <c r="Y4" s="2">
        <f>('[1]Pc, Summer, S3'!Y4*Main!$B$5)+(_xlfn.IFNA(VLOOKUP($A4,'FL Ratio'!$A$3:$B$10,2,FALSE),0)*'FL Characterization'!Y$2)</f>
        <v>61.993899299483182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FEBAA-0CFB-48D0-8531-A56B667A7245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37.337955575678954</v>
      </c>
      <c r="C2" s="2">
        <f>('[1]Pc, Summer, S3'!C2*Main!$B$5)+(_xlfn.IFNA(VLOOKUP($A2,'FL Ratio'!$A$3:$B$10,2,FALSE),0)*'FL Characterization'!C$2)</f>
        <v>33.923203541124607</v>
      </c>
      <c r="D2" s="2">
        <f>('[1]Pc, Summer, S3'!D2*Main!$B$5)+(_xlfn.IFNA(VLOOKUP($A2,'FL Ratio'!$A$3:$B$10,2,FALSE),0)*'FL Characterization'!D$2)</f>
        <v>33.330653341528468</v>
      </c>
      <c r="E2" s="2">
        <f>('[1]Pc, Summer, S3'!E2*Main!$B$5)+(_xlfn.IFNA(VLOOKUP($A2,'FL Ratio'!$A$3:$B$10,2,FALSE),0)*'FL Characterization'!E$2)</f>
        <v>33.245508052790299</v>
      </c>
      <c r="F2" s="2">
        <f>('[1]Pc, Summer, S3'!F2*Main!$B$5)+(_xlfn.IFNA(VLOOKUP($A2,'FL Ratio'!$A$3:$B$10,2,FALSE),0)*'FL Characterization'!F$2)</f>
        <v>33.248129132314538</v>
      </c>
      <c r="G2" s="2">
        <f>('[1]Pc, Summer, S3'!G2*Main!$B$5)+(_xlfn.IFNA(VLOOKUP($A2,'FL Ratio'!$A$3:$B$10,2,FALSE),0)*'FL Characterization'!G$2)</f>
        <v>32.95409239316114</v>
      </c>
      <c r="H2" s="2">
        <f>('[1]Pc, Summer, S3'!H2*Main!$B$5)+(_xlfn.IFNA(VLOOKUP($A2,'FL Ratio'!$A$3:$B$10,2,FALSE),0)*'FL Characterization'!H$2)</f>
        <v>35.576884447336376</v>
      </c>
      <c r="I2" s="2">
        <f>('[1]Pc, Summer, S3'!I2*Main!$B$5)+(_xlfn.IFNA(VLOOKUP($A2,'FL Ratio'!$A$3:$B$10,2,FALSE),0)*'FL Characterization'!I$2)</f>
        <v>42.23845355372665</v>
      </c>
      <c r="J2" s="2">
        <f>('[1]Pc, Summer, S3'!J2*Main!$B$5)+(_xlfn.IFNA(VLOOKUP($A2,'FL Ratio'!$A$3:$B$10,2,FALSE),0)*'FL Characterization'!J$2)</f>
        <v>48.139826682204301</v>
      </c>
      <c r="K2" s="2">
        <f>('[1]Pc, Summer, S3'!K2*Main!$B$5)+(_xlfn.IFNA(VLOOKUP($A2,'FL Ratio'!$A$3:$B$10,2,FALSE),0)*'FL Characterization'!K$2)</f>
        <v>49.619069647720337</v>
      </c>
      <c r="L2" s="2">
        <f>('[1]Pc, Summer, S3'!L2*Main!$B$5)+(_xlfn.IFNA(VLOOKUP($A2,'FL Ratio'!$A$3:$B$10,2,FALSE),0)*'FL Characterization'!L$2)</f>
        <v>49.116937900282259</v>
      </c>
      <c r="M2" s="2">
        <f>('[1]Pc, Summer, S3'!M2*Main!$B$5)+(_xlfn.IFNA(VLOOKUP($A2,'FL Ratio'!$A$3:$B$10,2,FALSE),0)*'FL Characterization'!M$2)</f>
        <v>50.505896523570321</v>
      </c>
      <c r="N2" s="2">
        <f>('[1]Pc, Summer, S3'!N2*Main!$B$5)+(_xlfn.IFNA(VLOOKUP($A2,'FL Ratio'!$A$3:$B$10,2,FALSE),0)*'FL Characterization'!N$2)</f>
        <v>51.198730931816932</v>
      </c>
      <c r="O2" s="2">
        <f>('[1]Pc, Summer, S3'!O2*Main!$B$5)+(_xlfn.IFNA(VLOOKUP($A2,'FL Ratio'!$A$3:$B$10,2,FALSE),0)*'FL Characterization'!O$2)</f>
        <v>50.251650326944173</v>
      </c>
      <c r="P2" s="2">
        <f>('[1]Pc, Summer, S3'!P2*Main!$B$5)+(_xlfn.IFNA(VLOOKUP($A2,'FL Ratio'!$A$3:$B$10,2,FALSE),0)*'FL Characterization'!P$2)</f>
        <v>48.288056601884158</v>
      </c>
      <c r="Q2" s="2">
        <f>('[1]Pc, Summer, S3'!Q2*Main!$B$5)+(_xlfn.IFNA(VLOOKUP($A2,'FL Ratio'!$A$3:$B$10,2,FALSE),0)*'FL Characterization'!Q$2)</f>
        <v>46.344545630785312</v>
      </c>
      <c r="R2" s="2">
        <f>('[1]Pc, Summer, S3'!R2*Main!$B$5)+(_xlfn.IFNA(VLOOKUP($A2,'FL Ratio'!$A$3:$B$10,2,FALSE),0)*'FL Characterization'!R$2)</f>
        <v>47.153106065284675</v>
      </c>
      <c r="S2" s="2">
        <f>('[1]Pc, Summer, S3'!S2*Main!$B$5)+(_xlfn.IFNA(VLOOKUP($A2,'FL Ratio'!$A$3:$B$10,2,FALSE),0)*'FL Characterization'!S$2)</f>
        <v>47.618966974261177</v>
      </c>
      <c r="T2" s="2">
        <f>('[1]Pc, Summer, S3'!T2*Main!$B$5)+(_xlfn.IFNA(VLOOKUP($A2,'FL Ratio'!$A$3:$B$10,2,FALSE),0)*'FL Characterization'!T$2)</f>
        <v>47.821091799529356</v>
      </c>
      <c r="U2" s="2">
        <f>('[1]Pc, Summer, S3'!U2*Main!$B$5)+(_xlfn.IFNA(VLOOKUP($A2,'FL Ratio'!$A$3:$B$10,2,FALSE),0)*'FL Characterization'!U$2)</f>
        <v>47.029432880111031</v>
      </c>
      <c r="V2" s="2">
        <f>('[1]Pc, Summer, S3'!V2*Main!$B$5)+(_xlfn.IFNA(VLOOKUP($A2,'FL Ratio'!$A$3:$B$10,2,FALSE),0)*'FL Characterization'!V$2)</f>
        <v>47.17073560911696</v>
      </c>
      <c r="W2" s="2">
        <f>('[1]Pc, Summer, S3'!W2*Main!$B$5)+(_xlfn.IFNA(VLOOKUP($A2,'FL Ratio'!$A$3:$B$10,2,FALSE),0)*'FL Characterization'!W$2)</f>
        <v>49.124451715475189</v>
      </c>
      <c r="X2" s="2">
        <f>('[1]Pc, Summer, S3'!X2*Main!$B$5)+(_xlfn.IFNA(VLOOKUP($A2,'FL Ratio'!$A$3:$B$10,2,FALSE),0)*'FL Characterization'!X$2)</f>
        <v>45.789934885509084</v>
      </c>
      <c r="Y2" s="2">
        <f>('[1]Pc, Summer, S3'!Y2*Main!$B$5)+(_xlfn.IFNA(VLOOKUP($A2,'FL Ratio'!$A$3:$B$10,2,FALSE),0)*'FL Characterization'!Y$2)</f>
        <v>41.975377989405366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40.231864335184042</v>
      </c>
      <c r="C3" s="2">
        <f>('[1]Pc, Summer, S3'!C3*Main!$B$5)+(_xlfn.IFNA(VLOOKUP($A3,'FL Ratio'!$A$3:$B$10,2,FALSE),0)*'FL Characterization'!C$2)</f>
        <v>36.923849208311452</v>
      </c>
      <c r="D3" s="2">
        <f>('[1]Pc, Summer, S3'!D3*Main!$B$5)+(_xlfn.IFNA(VLOOKUP($A3,'FL Ratio'!$A$3:$B$10,2,FALSE),0)*'FL Characterization'!D$2)</f>
        <v>34.980155497323977</v>
      </c>
      <c r="E3" s="2">
        <f>('[1]Pc, Summer, S3'!E3*Main!$B$5)+(_xlfn.IFNA(VLOOKUP($A3,'FL Ratio'!$A$3:$B$10,2,FALSE),0)*'FL Characterization'!E$2)</f>
        <v>33.698529899460546</v>
      </c>
      <c r="F3" s="2">
        <f>('[1]Pc, Summer, S3'!F3*Main!$B$5)+(_xlfn.IFNA(VLOOKUP($A3,'FL Ratio'!$A$3:$B$10,2,FALSE),0)*'FL Characterization'!F$2)</f>
        <v>33.322358589015437</v>
      </c>
      <c r="G3" s="2">
        <f>('[1]Pc, Summer, S3'!G3*Main!$B$5)+(_xlfn.IFNA(VLOOKUP($A3,'FL Ratio'!$A$3:$B$10,2,FALSE),0)*'FL Characterization'!G$2)</f>
        <v>35.347860077821792</v>
      </c>
      <c r="H3" s="2">
        <f>('[1]Pc, Summer, S3'!H3*Main!$B$5)+(_xlfn.IFNA(VLOOKUP($A3,'FL Ratio'!$A$3:$B$10,2,FALSE),0)*'FL Characterization'!H$2)</f>
        <v>44.246321252228576</v>
      </c>
      <c r="I3" s="2">
        <f>('[1]Pc, Summer, S3'!I3*Main!$B$5)+(_xlfn.IFNA(VLOOKUP($A3,'FL Ratio'!$A$3:$B$10,2,FALSE),0)*'FL Characterization'!I$2)</f>
        <v>52.577163789484217</v>
      </c>
      <c r="J3" s="2">
        <f>('[1]Pc, Summer, S3'!J3*Main!$B$5)+(_xlfn.IFNA(VLOOKUP($A3,'FL Ratio'!$A$3:$B$10,2,FALSE),0)*'FL Characterization'!J$2)</f>
        <v>54.8235817609919</v>
      </c>
      <c r="K3" s="2">
        <f>('[1]Pc, Summer, S3'!K3*Main!$B$5)+(_xlfn.IFNA(VLOOKUP($A3,'FL Ratio'!$A$3:$B$10,2,FALSE),0)*'FL Characterization'!K$2)</f>
        <v>53.805614414627343</v>
      </c>
      <c r="L3" s="2">
        <f>('[1]Pc, Summer, S3'!L3*Main!$B$5)+(_xlfn.IFNA(VLOOKUP($A3,'FL Ratio'!$A$3:$B$10,2,FALSE),0)*'FL Characterization'!L$2)</f>
        <v>53.618230478478225</v>
      </c>
      <c r="M3" s="2">
        <f>('[1]Pc, Summer, S3'!M3*Main!$B$5)+(_xlfn.IFNA(VLOOKUP($A3,'FL Ratio'!$A$3:$B$10,2,FALSE),0)*'FL Characterization'!M$2)</f>
        <v>57.177524659273942</v>
      </c>
      <c r="N3" s="2">
        <f>('[1]Pc, Summer, S3'!N3*Main!$B$5)+(_xlfn.IFNA(VLOOKUP($A3,'FL Ratio'!$A$3:$B$10,2,FALSE),0)*'FL Characterization'!N$2)</f>
        <v>57.349582481453922</v>
      </c>
      <c r="O3" s="2">
        <f>('[1]Pc, Summer, S3'!O3*Main!$B$5)+(_xlfn.IFNA(VLOOKUP($A3,'FL Ratio'!$A$3:$B$10,2,FALSE),0)*'FL Characterization'!O$2)</f>
        <v>57.738885028608614</v>
      </c>
      <c r="P3" s="2">
        <f>('[1]Pc, Summer, S3'!P3*Main!$B$5)+(_xlfn.IFNA(VLOOKUP($A3,'FL Ratio'!$A$3:$B$10,2,FALSE),0)*'FL Characterization'!P$2)</f>
        <v>54.941481376380636</v>
      </c>
      <c r="Q3" s="2">
        <f>('[1]Pc, Summer, S3'!Q3*Main!$B$5)+(_xlfn.IFNA(VLOOKUP($A3,'FL Ratio'!$A$3:$B$10,2,FALSE),0)*'FL Characterization'!Q$2)</f>
        <v>52.046675934338914</v>
      </c>
      <c r="R3" s="2">
        <f>('[1]Pc, Summer, S3'!R3*Main!$B$5)+(_xlfn.IFNA(VLOOKUP($A3,'FL Ratio'!$A$3:$B$10,2,FALSE),0)*'FL Characterization'!R$2)</f>
        <v>48.153119983125151</v>
      </c>
      <c r="S3" s="2">
        <f>('[1]Pc, Summer, S3'!S3*Main!$B$5)+(_xlfn.IFNA(VLOOKUP($A3,'FL Ratio'!$A$3:$B$10,2,FALSE),0)*'FL Characterization'!S$2)</f>
        <v>48.672769365264678</v>
      </c>
      <c r="T3" s="2">
        <f>('[1]Pc, Summer, S3'!T3*Main!$B$5)+(_xlfn.IFNA(VLOOKUP($A3,'FL Ratio'!$A$3:$B$10,2,FALSE),0)*'FL Characterization'!T$2)</f>
        <v>48.251024939180425</v>
      </c>
      <c r="U3" s="2">
        <f>('[1]Pc, Summer, S3'!U3*Main!$B$5)+(_xlfn.IFNA(VLOOKUP($A3,'FL Ratio'!$A$3:$B$10,2,FALSE),0)*'FL Characterization'!U$2)</f>
        <v>48.073173924334462</v>
      </c>
      <c r="V3" s="2">
        <f>('[1]Pc, Summer, S3'!V3*Main!$B$5)+(_xlfn.IFNA(VLOOKUP($A3,'FL Ratio'!$A$3:$B$10,2,FALSE),0)*'FL Characterization'!V$2)</f>
        <v>48.291577287842372</v>
      </c>
      <c r="W3" s="2">
        <f>('[1]Pc, Summer, S3'!W3*Main!$B$5)+(_xlfn.IFNA(VLOOKUP($A3,'FL Ratio'!$A$3:$B$10,2,FALSE),0)*'FL Characterization'!W$2)</f>
        <v>48.047297663759693</v>
      </c>
      <c r="X3" s="2">
        <f>('[1]Pc, Summer, S3'!X3*Main!$B$5)+(_xlfn.IFNA(VLOOKUP($A3,'FL Ratio'!$A$3:$B$10,2,FALSE),0)*'FL Characterization'!X$2)</f>
        <v>47.743591532737611</v>
      </c>
      <c r="Y3" s="2">
        <f>('[1]Pc, Summer, S3'!Y3*Main!$B$5)+(_xlfn.IFNA(VLOOKUP($A3,'FL Ratio'!$A$3:$B$10,2,FALSE),0)*'FL Characterization'!Y$2)</f>
        <v>45.158507042775554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53.419589913311711</v>
      </c>
      <c r="C4" s="2">
        <f>('[1]Pc, Summer, S3'!C4*Main!$B$5)+(_xlfn.IFNA(VLOOKUP($A4,'FL Ratio'!$A$3:$B$10,2,FALSE),0)*'FL Characterization'!C$2)</f>
        <v>47.388659237646415</v>
      </c>
      <c r="D4" s="2">
        <f>('[1]Pc, Summer, S3'!D4*Main!$B$5)+(_xlfn.IFNA(VLOOKUP($A4,'FL Ratio'!$A$3:$B$10,2,FALSE),0)*'FL Characterization'!D$2)</f>
        <v>44.688019317682759</v>
      </c>
      <c r="E4" s="2">
        <f>('[1]Pc, Summer, S3'!E4*Main!$B$5)+(_xlfn.IFNA(VLOOKUP($A4,'FL Ratio'!$A$3:$B$10,2,FALSE),0)*'FL Characterization'!E$2)</f>
        <v>43.225830128350054</v>
      </c>
      <c r="F4" s="2">
        <f>('[1]Pc, Summer, S3'!F4*Main!$B$5)+(_xlfn.IFNA(VLOOKUP($A4,'FL Ratio'!$A$3:$B$10,2,FALSE),0)*'FL Characterization'!F$2)</f>
        <v>45.32215870018544</v>
      </c>
      <c r="G4" s="2">
        <f>('[1]Pc, Summer, S3'!G4*Main!$B$5)+(_xlfn.IFNA(VLOOKUP($A4,'FL Ratio'!$A$3:$B$10,2,FALSE),0)*'FL Characterization'!G$2)</f>
        <v>41.397567767445189</v>
      </c>
      <c r="H4" s="2">
        <f>('[1]Pc, Summer, S3'!H4*Main!$B$5)+(_xlfn.IFNA(VLOOKUP($A4,'FL Ratio'!$A$3:$B$10,2,FALSE),0)*'FL Characterization'!H$2)</f>
        <v>48.624316588349537</v>
      </c>
      <c r="I4" s="2">
        <f>('[1]Pc, Summer, S3'!I4*Main!$B$5)+(_xlfn.IFNA(VLOOKUP($A4,'FL Ratio'!$A$3:$B$10,2,FALSE),0)*'FL Characterization'!I$2)</f>
        <v>54.690188947573411</v>
      </c>
      <c r="J4" s="2">
        <f>('[1]Pc, Summer, S3'!J4*Main!$B$5)+(_xlfn.IFNA(VLOOKUP($A4,'FL Ratio'!$A$3:$B$10,2,FALSE),0)*'FL Characterization'!J$2)</f>
        <v>61.536203145425674</v>
      </c>
      <c r="K4" s="2">
        <f>('[1]Pc, Summer, S3'!K4*Main!$B$5)+(_xlfn.IFNA(VLOOKUP($A4,'FL Ratio'!$A$3:$B$10,2,FALSE),0)*'FL Characterization'!K$2)</f>
        <v>66.14869965431717</v>
      </c>
      <c r="L4" s="2">
        <f>('[1]Pc, Summer, S3'!L4*Main!$B$5)+(_xlfn.IFNA(VLOOKUP($A4,'FL Ratio'!$A$3:$B$10,2,FALSE),0)*'FL Characterization'!L$2)</f>
        <v>68.090971807987557</v>
      </c>
      <c r="M4" s="2">
        <f>('[1]Pc, Summer, S3'!M4*Main!$B$5)+(_xlfn.IFNA(VLOOKUP($A4,'FL Ratio'!$A$3:$B$10,2,FALSE),0)*'FL Characterization'!M$2)</f>
        <v>69.222869696311903</v>
      </c>
      <c r="N4" s="2">
        <f>('[1]Pc, Summer, S3'!N4*Main!$B$5)+(_xlfn.IFNA(VLOOKUP($A4,'FL Ratio'!$A$3:$B$10,2,FALSE),0)*'FL Characterization'!N$2)</f>
        <v>70.748434792414358</v>
      </c>
      <c r="O4" s="2">
        <f>('[1]Pc, Summer, S3'!O4*Main!$B$5)+(_xlfn.IFNA(VLOOKUP($A4,'FL Ratio'!$A$3:$B$10,2,FALSE),0)*'FL Characterization'!O$2)</f>
        <v>71.713408158966459</v>
      </c>
      <c r="P4" s="2">
        <f>('[1]Pc, Summer, S3'!P4*Main!$B$5)+(_xlfn.IFNA(VLOOKUP($A4,'FL Ratio'!$A$3:$B$10,2,FALSE),0)*'FL Characterization'!P$2)</f>
        <v>72.017721126440023</v>
      </c>
      <c r="Q4" s="2">
        <f>('[1]Pc, Summer, S3'!Q4*Main!$B$5)+(_xlfn.IFNA(VLOOKUP($A4,'FL Ratio'!$A$3:$B$10,2,FALSE),0)*'FL Characterization'!Q$2)</f>
        <v>69.32189300737376</v>
      </c>
      <c r="R4" s="2">
        <f>('[1]Pc, Summer, S3'!R4*Main!$B$5)+(_xlfn.IFNA(VLOOKUP($A4,'FL Ratio'!$A$3:$B$10,2,FALSE),0)*'FL Characterization'!R$2)</f>
        <v>68.963943764781376</v>
      </c>
      <c r="S4" s="2">
        <f>('[1]Pc, Summer, S3'!S4*Main!$B$5)+(_xlfn.IFNA(VLOOKUP($A4,'FL Ratio'!$A$3:$B$10,2,FALSE),0)*'FL Characterization'!S$2)</f>
        <v>66.814411113298632</v>
      </c>
      <c r="T4" s="2">
        <f>('[1]Pc, Summer, S3'!T4*Main!$B$5)+(_xlfn.IFNA(VLOOKUP($A4,'FL Ratio'!$A$3:$B$10,2,FALSE),0)*'FL Characterization'!T$2)</f>
        <v>66.73884428742511</v>
      </c>
      <c r="U4" s="2">
        <f>('[1]Pc, Summer, S3'!U4*Main!$B$5)+(_xlfn.IFNA(VLOOKUP($A4,'FL Ratio'!$A$3:$B$10,2,FALSE),0)*'FL Characterization'!U$2)</f>
        <v>67.104776331885077</v>
      </c>
      <c r="V4" s="2">
        <f>('[1]Pc, Summer, S3'!V4*Main!$B$5)+(_xlfn.IFNA(VLOOKUP($A4,'FL Ratio'!$A$3:$B$10,2,FALSE),0)*'FL Characterization'!V$2)</f>
        <v>66.775026537594186</v>
      </c>
      <c r="W4" s="2">
        <f>('[1]Pc, Summer, S3'!W4*Main!$B$5)+(_xlfn.IFNA(VLOOKUP($A4,'FL Ratio'!$A$3:$B$10,2,FALSE),0)*'FL Characterization'!W$2)</f>
        <v>68.901572970988497</v>
      </c>
      <c r="X4" s="2">
        <f>('[1]Pc, Summer, S3'!X4*Main!$B$5)+(_xlfn.IFNA(VLOOKUP($A4,'FL Ratio'!$A$3:$B$10,2,FALSE),0)*'FL Characterization'!X$2)</f>
        <v>68.735795410522826</v>
      </c>
      <c r="Y4" s="2">
        <f>('[1]Pc, Summer, S3'!Y4*Main!$B$5)+(_xlfn.IFNA(VLOOKUP($A4,'FL Ratio'!$A$3:$B$10,2,FALSE),0)*'FL Characterization'!Y$2)</f>
        <v>61.993899299483182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D639B-7138-4369-A2F8-5B7066B0FB9A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37.337955575678954</v>
      </c>
      <c r="C2" s="2">
        <f>('[1]Pc, Summer, S3'!C2*Main!$B$5)+(_xlfn.IFNA(VLOOKUP($A2,'FL Ratio'!$A$3:$B$10,2,FALSE),0)*'FL Characterization'!C$2)</f>
        <v>33.923203541124607</v>
      </c>
      <c r="D2" s="2">
        <f>('[1]Pc, Summer, S3'!D2*Main!$B$5)+(_xlfn.IFNA(VLOOKUP($A2,'FL Ratio'!$A$3:$B$10,2,FALSE),0)*'FL Characterization'!D$2)</f>
        <v>33.330653341528468</v>
      </c>
      <c r="E2" s="2">
        <f>('[1]Pc, Summer, S3'!E2*Main!$B$5)+(_xlfn.IFNA(VLOOKUP($A2,'FL Ratio'!$A$3:$B$10,2,FALSE),0)*'FL Characterization'!E$2)</f>
        <v>33.245508052790299</v>
      </c>
      <c r="F2" s="2">
        <f>('[1]Pc, Summer, S3'!F2*Main!$B$5)+(_xlfn.IFNA(VLOOKUP($A2,'FL Ratio'!$A$3:$B$10,2,FALSE),0)*'FL Characterization'!F$2)</f>
        <v>33.248129132314538</v>
      </c>
      <c r="G2" s="2">
        <f>('[1]Pc, Summer, S3'!G2*Main!$B$5)+(_xlfn.IFNA(VLOOKUP($A2,'FL Ratio'!$A$3:$B$10,2,FALSE),0)*'FL Characterization'!G$2)</f>
        <v>32.95409239316114</v>
      </c>
      <c r="H2" s="2">
        <f>('[1]Pc, Summer, S3'!H2*Main!$B$5)+(_xlfn.IFNA(VLOOKUP($A2,'FL Ratio'!$A$3:$B$10,2,FALSE),0)*'FL Characterization'!H$2)</f>
        <v>35.576884447336376</v>
      </c>
      <c r="I2" s="2">
        <f>('[1]Pc, Summer, S3'!I2*Main!$B$5)+(_xlfn.IFNA(VLOOKUP($A2,'FL Ratio'!$A$3:$B$10,2,FALSE),0)*'FL Characterization'!I$2)</f>
        <v>42.23845355372665</v>
      </c>
      <c r="J2" s="2">
        <f>('[1]Pc, Summer, S3'!J2*Main!$B$5)+(_xlfn.IFNA(VLOOKUP($A2,'FL Ratio'!$A$3:$B$10,2,FALSE),0)*'FL Characterization'!J$2)</f>
        <v>48.139826682204301</v>
      </c>
      <c r="K2" s="2">
        <f>('[1]Pc, Summer, S3'!K2*Main!$B$5)+(_xlfn.IFNA(VLOOKUP($A2,'FL Ratio'!$A$3:$B$10,2,FALSE),0)*'FL Characterization'!K$2)</f>
        <v>49.619069647720337</v>
      </c>
      <c r="L2" s="2">
        <f>('[1]Pc, Summer, S3'!L2*Main!$B$5)+(_xlfn.IFNA(VLOOKUP($A2,'FL Ratio'!$A$3:$B$10,2,FALSE),0)*'FL Characterization'!L$2)</f>
        <v>49.116937900282259</v>
      </c>
      <c r="M2" s="2">
        <f>('[1]Pc, Summer, S3'!M2*Main!$B$5)+(_xlfn.IFNA(VLOOKUP($A2,'FL Ratio'!$A$3:$B$10,2,FALSE),0)*'FL Characterization'!M$2)</f>
        <v>50.505896523570321</v>
      </c>
      <c r="N2" s="2">
        <f>('[1]Pc, Summer, S3'!N2*Main!$B$5)+(_xlfn.IFNA(VLOOKUP($A2,'FL Ratio'!$A$3:$B$10,2,FALSE),0)*'FL Characterization'!N$2)</f>
        <v>51.198730931816932</v>
      </c>
      <c r="O2" s="2">
        <f>('[1]Pc, Summer, S3'!O2*Main!$B$5)+(_xlfn.IFNA(VLOOKUP($A2,'FL Ratio'!$A$3:$B$10,2,FALSE),0)*'FL Characterization'!O$2)</f>
        <v>50.251650326944173</v>
      </c>
      <c r="P2" s="2">
        <f>('[1]Pc, Summer, S3'!P2*Main!$B$5)+(_xlfn.IFNA(VLOOKUP($A2,'FL Ratio'!$A$3:$B$10,2,FALSE),0)*'FL Characterization'!P$2)</f>
        <v>48.288056601884158</v>
      </c>
      <c r="Q2" s="2">
        <f>('[1]Pc, Summer, S3'!Q2*Main!$B$5)+(_xlfn.IFNA(VLOOKUP($A2,'FL Ratio'!$A$3:$B$10,2,FALSE),0)*'FL Characterization'!Q$2)</f>
        <v>46.344545630785312</v>
      </c>
      <c r="R2" s="2">
        <f>('[1]Pc, Summer, S3'!R2*Main!$B$5)+(_xlfn.IFNA(VLOOKUP($A2,'FL Ratio'!$A$3:$B$10,2,FALSE),0)*'FL Characterization'!R$2)</f>
        <v>47.153106065284675</v>
      </c>
      <c r="S2" s="2">
        <f>('[1]Pc, Summer, S3'!S2*Main!$B$5)+(_xlfn.IFNA(VLOOKUP($A2,'FL Ratio'!$A$3:$B$10,2,FALSE),0)*'FL Characterization'!S$2)</f>
        <v>47.618966974261177</v>
      </c>
      <c r="T2" s="2">
        <f>('[1]Pc, Summer, S3'!T2*Main!$B$5)+(_xlfn.IFNA(VLOOKUP($A2,'FL Ratio'!$A$3:$B$10,2,FALSE),0)*'FL Characterization'!T$2)</f>
        <v>47.821091799529356</v>
      </c>
      <c r="U2" s="2">
        <f>('[1]Pc, Summer, S3'!U2*Main!$B$5)+(_xlfn.IFNA(VLOOKUP($A2,'FL Ratio'!$A$3:$B$10,2,FALSE),0)*'FL Characterization'!U$2)</f>
        <v>47.029432880111031</v>
      </c>
      <c r="V2" s="2">
        <f>('[1]Pc, Summer, S3'!V2*Main!$B$5)+(_xlfn.IFNA(VLOOKUP($A2,'FL Ratio'!$A$3:$B$10,2,FALSE),0)*'FL Characterization'!V$2)</f>
        <v>47.17073560911696</v>
      </c>
      <c r="W2" s="2">
        <f>('[1]Pc, Summer, S3'!W2*Main!$B$5)+(_xlfn.IFNA(VLOOKUP($A2,'FL Ratio'!$A$3:$B$10,2,FALSE),0)*'FL Characterization'!W$2)</f>
        <v>49.124451715475189</v>
      </c>
      <c r="X2" s="2">
        <f>('[1]Pc, Summer, S3'!X2*Main!$B$5)+(_xlfn.IFNA(VLOOKUP($A2,'FL Ratio'!$A$3:$B$10,2,FALSE),0)*'FL Characterization'!X$2)</f>
        <v>45.789934885509084</v>
      </c>
      <c r="Y2" s="2">
        <f>('[1]Pc, Summer, S3'!Y2*Main!$B$5)+(_xlfn.IFNA(VLOOKUP($A2,'FL Ratio'!$A$3:$B$10,2,FALSE),0)*'FL Characterization'!Y$2)</f>
        <v>41.975377989405366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40.231864335184042</v>
      </c>
      <c r="C3" s="2">
        <f>('[1]Pc, Summer, S3'!C3*Main!$B$5)+(_xlfn.IFNA(VLOOKUP($A3,'FL Ratio'!$A$3:$B$10,2,FALSE),0)*'FL Characterization'!C$2)</f>
        <v>36.923849208311452</v>
      </c>
      <c r="D3" s="2">
        <f>('[1]Pc, Summer, S3'!D3*Main!$B$5)+(_xlfn.IFNA(VLOOKUP($A3,'FL Ratio'!$A$3:$B$10,2,FALSE),0)*'FL Characterization'!D$2)</f>
        <v>34.980155497323977</v>
      </c>
      <c r="E3" s="2">
        <f>('[1]Pc, Summer, S3'!E3*Main!$B$5)+(_xlfn.IFNA(VLOOKUP($A3,'FL Ratio'!$A$3:$B$10,2,FALSE),0)*'FL Characterization'!E$2)</f>
        <v>33.698529899460546</v>
      </c>
      <c r="F3" s="2">
        <f>('[1]Pc, Summer, S3'!F3*Main!$B$5)+(_xlfn.IFNA(VLOOKUP($A3,'FL Ratio'!$A$3:$B$10,2,FALSE),0)*'FL Characterization'!F$2)</f>
        <v>33.322358589015437</v>
      </c>
      <c r="G3" s="2">
        <f>('[1]Pc, Summer, S3'!G3*Main!$B$5)+(_xlfn.IFNA(VLOOKUP($A3,'FL Ratio'!$A$3:$B$10,2,FALSE),0)*'FL Characterization'!G$2)</f>
        <v>35.347860077821792</v>
      </c>
      <c r="H3" s="2">
        <f>('[1]Pc, Summer, S3'!H3*Main!$B$5)+(_xlfn.IFNA(VLOOKUP($A3,'FL Ratio'!$A$3:$B$10,2,FALSE),0)*'FL Characterization'!H$2)</f>
        <v>44.246321252228576</v>
      </c>
      <c r="I3" s="2">
        <f>('[1]Pc, Summer, S3'!I3*Main!$B$5)+(_xlfn.IFNA(VLOOKUP($A3,'FL Ratio'!$A$3:$B$10,2,FALSE),0)*'FL Characterization'!I$2)</f>
        <v>52.577163789484217</v>
      </c>
      <c r="J3" s="2">
        <f>('[1]Pc, Summer, S3'!J3*Main!$B$5)+(_xlfn.IFNA(VLOOKUP($A3,'FL Ratio'!$A$3:$B$10,2,FALSE),0)*'FL Characterization'!J$2)</f>
        <v>54.8235817609919</v>
      </c>
      <c r="K3" s="2">
        <f>('[1]Pc, Summer, S3'!K3*Main!$B$5)+(_xlfn.IFNA(VLOOKUP($A3,'FL Ratio'!$A$3:$B$10,2,FALSE),0)*'FL Characterization'!K$2)</f>
        <v>53.805614414627343</v>
      </c>
      <c r="L3" s="2">
        <f>('[1]Pc, Summer, S3'!L3*Main!$B$5)+(_xlfn.IFNA(VLOOKUP($A3,'FL Ratio'!$A$3:$B$10,2,FALSE),0)*'FL Characterization'!L$2)</f>
        <v>53.618230478478225</v>
      </c>
      <c r="M3" s="2">
        <f>('[1]Pc, Summer, S3'!M3*Main!$B$5)+(_xlfn.IFNA(VLOOKUP($A3,'FL Ratio'!$A$3:$B$10,2,FALSE),0)*'FL Characterization'!M$2)</f>
        <v>57.177524659273942</v>
      </c>
      <c r="N3" s="2">
        <f>('[1]Pc, Summer, S3'!N3*Main!$B$5)+(_xlfn.IFNA(VLOOKUP($A3,'FL Ratio'!$A$3:$B$10,2,FALSE),0)*'FL Characterization'!N$2)</f>
        <v>57.349582481453922</v>
      </c>
      <c r="O3" s="2">
        <f>('[1]Pc, Summer, S3'!O3*Main!$B$5)+(_xlfn.IFNA(VLOOKUP($A3,'FL Ratio'!$A$3:$B$10,2,FALSE),0)*'FL Characterization'!O$2)</f>
        <v>57.738885028608614</v>
      </c>
      <c r="P3" s="2">
        <f>('[1]Pc, Summer, S3'!P3*Main!$B$5)+(_xlfn.IFNA(VLOOKUP($A3,'FL Ratio'!$A$3:$B$10,2,FALSE),0)*'FL Characterization'!P$2)</f>
        <v>54.941481376380636</v>
      </c>
      <c r="Q3" s="2">
        <f>('[1]Pc, Summer, S3'!Q3*Main!$B$5)+(_xlfn.IFNA(VLOOKUP($A3,'FL Ratio'!$A$3:$B$10,2,FALSE),0)*'FL Characterization'!Q$2)</f>
        <v>52.046675934338914</v>
      </c>
      <c r="R3" s="2">
        <f>('[1]Pc, Summer, S3'!R3*Main!$B$5)+(_xlfn.IFNA(VLOOKUP($A3,'FL Ratio'!$A$3:$B$10,2,FALSE),0)*'FL Characterization'!R$2)</f>
        <v>48.153119983125151</v>
      </c>
      <c r="S3" s="2">
        <f>('[1]Pc, Summer, S3'!S3*Main!$B$5)+(_xlfn.IFNA(VLOOKUP($A3,'FL Ratio'!$A$3:$B$10,2,FALSE),0)*'FL Characterization'!S$2)</f>
        <v>48.672769365264678</v>
      </c>
      <c r="T3" s="2">
        <f>('[1]Pc, Summer, S3'!T3*Main!$B$5)+(_xlfn.IFNA(VLOOKUP($A3,'FL Ratio'!$A$3:$B$10,2,FALSE),0)*'FL Characterization'!T$2)</f>
        <v>48.251024939180425</v>
      </c>
      <c r="U3" s="2">
        <f>('[1]Pc, Summer, S3'!U3*Main!$B$5)+(_xlfn.IFNA(VLOOKUP($A3,'FL Ratio'!$A$3:$B$10,2,FALSE),0)*'FL Characterization'!U$2)</f>
        <v>48.073173924334462</v>
      </c>
      <c r="V3" s="2">
        <f>('[1]Pc, Summer, S3'!V3*Main!$B$5)+(_xlfn.IFNA(VLOOKUP($A3,'FL Ratio'!$A$3:$B$10,2,FALSE),0)*'FL Characterization'!V$2)</f>
        <v>48.291577287842372</v>
      </c>
      <c r="W3" s="2">
        <f>('[1]Pc, Summer, S3'!W3*Main!$B$5)+(_xlfn.IFNA(VLOOKUP($A3,'FL Ratio'!$A$3:$B$10,2,FALSE),0)*'FL Characterization'!W$2)</f>
        <v>48.047297663759693</v>
      </c>
      <c r="X3" s="2">
        <f>('[1]Pc, Summer, S3'!X3*Main!$B$5)+(_xlfn.IFNA(VLOOKUP($A3,'FL Ratio'!$A$3:$B$10,2,FALSE),0)*'FL Characterization'!X$2)</f>
        <v>47.743591532737611</v>
      </c>
      <c r="Y3" s="2">
        <f>('[1]Pc, Summer, S3'!Y3*Main!$B$5)+(_xlfn.IFNA(VLOOKUP($A3,'FL Ratio'!$A$3:$B$10,2,FALSE),0)*'FL Characterization'!Y$2)</f>
        <v>45.158507042775554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53.419589913311711</v>
      </c>
      <c r="C4" s="2">
        <f>('[1]Pc, Summer, S3'!C4*Main!$B$5)+(_xlfn.IFNA(VLOOKUP($A4,'FL Ratio'!$A$3:$B$10,2,FALSE),0)*'FL Characterization'!C$2)</f>
        <v>47.388659237646415</v>
      </c>
      <c r="D4" s="2">
        <f>('[1]Pc, Summer, S3'!D4*Main!$B$5)+(_xlfn.IFNA(VLOOKUP($A4,'FL Ratio'!$A$3:$B$10,2,FALSE),0)*'FL Characterization'!D$2)</f>
        <v>44.688019317682759</v>
      </c>
      <c r="E4" s="2">
        <f>('[1]Pc, Summer, S3'!E4*Main!$B$5)+(_xlfn.IFNA(VLOOKUP($A4,'FL Ratio'!$A$3:$B$10,2,FALSE),0)*'FL Characterization'!E$2)</f>
        <v>43.225830128350054</v>
      </c>
      <c r="F4" s="2">
        <f>('[1]Pc, Summer, S3'!F4*Main!$B$5)+(_xlfn.IFNA(VLOOKUP($A4,'FL Ratio'!$A$3:$B$10,2,FALSE),0)*'FL Characterization'!F$2)</f>
        <v>45.32215870018544</v>
      </c>
      <c r="G4" s="2">
        <f>('[1]Pc, Summer, S3'!G4*Main!$B$5)+(_xlfn.IFNA(VLOOKUP($A4,'FL Ratio'!$A$3:$B$10,2,FALSE),0)*'FL Characterization'!G$2)</f>
        <v>41.397567767445189</v>
      </c>
      <c r="H4" s="2">
        <f>('[1]Pc, Summer, S3'!H4*Main!$B$5)+(_xlfn.IFNA(VLOOKUP($A4,'FL Ratio'!$A$3:$B$10,2,FALSE),0)*'FL Characterization'!H$2)</f>
        <v>48.624316588349537</v>
      </c>
      <c r="I4" s="2">
        <f>('[1]Pc, Summer, S3'!I4*Main!$B$5)+(_xlfn.IFNA(VLOOKUP($A4,'FL Ratio'!$A$3:$B$10,2,FALSE),0)*'FL Characterization'!I$2)</f>
        <v>54.690188947573411</v>
      </c>
      <c r="J4" s="2">
        <f>('[1]Pc, Summer, S3'!J4*Main!$B$5)+(_xlfn.IFNA(VLOOKUP($A4,'FL Ratio'!$A$3:$B$10,2,FALSE),0)*'FL Characterization'!J$2)</f>
        <v>61.536203145425674</v>
      </c>
      <c r="K4" s="2">
        <f>('[1]Pc, Summer, S3'!K4*Main!$B$5)+(_xlfn.IFNA(VLOOKUP($A4,'FL Ratio'!$A$3:$B$10,2,FALSE),0)*'FL Characterization'!K$2)</f>
        <v>66.14869965431717</v>
      </c>
      <c r="L4" s="2">
        <f>('[1]Pc, Summer, S3'!L4*Main!$B$5)+(_xlfn.IFNA(VLOOKUP($A4,'FL Ratio'!$A$3:$B$10,2,FALSE),0)*'FL Characterization'!L$2)</f>
        <v>68.090971807987557</v>
      </c>
      <c r="M4" s="2">
        <f>('[1]Pc, Summer, S3'!M4*Main!$B$5)+(_xlfn.IFNA(VLOOKUP($A4,'FL Ratio'!$A$3:$B$10,2,FALSE),0)*'FL Characterization'!M$2)</f>
        <v>69.222869696311903</v>
      </c>
      <c r="N4" s="2">
        <f>('[1]Pc, Summer, S3'!N4*Main!$B$5)+(_xlfn.IFNA(VLOOKUP($A4,'FL Ratio'!$A$3:$B$10,2,FALSE),0)*'FL Characterization'!N$2)</f>
        <v>70.748434792414358</v>
      </c>
      <c r="O4" s="2">
        <f>('[1]Pc, Summer, S3'!O4*Main!$B$5)+(_xlfn.IFNA(VLOOKUP($A4,'FL Ratio'!$A$3:$B$10,2,FALSE),0)*'FL Characterization'!O$2)</f>
        <v>71.713408158966459</v>
      </c>
      <c r="P4" s="2">
        <f>('[1]Pc, Summer, S3'!P4*Main!$B$5)+(_xlfn.IFNA(VLOOKUP($A4,'FL Ratio'!$A$3:$B$10,2,FALSE),0)*'FL Characterization'!P$2)</f>
        <v>72.017721126440023</v>
      </c>
      <c r="Q4" s="2">
        <f>('[1]Pc, Summer, S3'!Q4*Main!$B$5)+(_xlfn.IFNA(VLOOKUP($A4,'FL Ratio'!$A$3:$B$10,2,FALSE),0)*'FL Characterization'!Q$2)</f>
        <v>69.32189300737376</v>
      </c>
      <c r="R4" s="2">
        <f>('[1]Pc, Summer, S3'!R4*Main!$B$5)+(_xlfn.IFNA(VLOOKUP($A4,'FL Ratio'!$A$3:$B$10,2,FALSE),0)*'FL Characterization'!R$2)</f>
        <v>68.963943764781376</v>
      </c>
      <c r="S4" s="2">
        <f>('[1]Pc, Summer, S3'!S4*Main!$B$5)+(_xlfn.IFNA(VLOOKUP($A4,'FL Ratio'!$A$3:$B$10,2,FALSE),0)*'FL Characterization'!S$2)</f>
        <v>66.814411113298632</v>
      </c>
      <c r="T4" s="2">
        <f>('[1]Pc, Summer, S3'!T4*Main!$B$5)+(_xlfn.IFNA(VLOOKUP($A4,'FL Ratio'!$A$3:$B$10,2,FALSE),0)*'FL Characterization'!T$2)</f>
        <v>66.73884428742511</v>
      </c>
      <c r="U4" s="2">
        <f>('[1]Pc, Summer, S3'!U4*Main!$B$5)+(_xlfn.IFNA(VLOOKUP($A4,'FL Ratio'!$A$3:$B$10,2,FALSE),0)*'FL Characterization'!U$2)</f>
        <v>67.104776331885077</v>
      </c>
      <c r="V4" s="2">
        <f>('[1]Pc, Summer, S3'!V4*Main!$B$5)+(_xlfn.IFNA(VLOOKUP($A4,'FL Ratio'!$A$3:$B$10,2,FALSE),0)*'FL Characterization'!V$2)</f>
        <v>66.775026537594186</v>
      </c>
      <c r="W4" s="2">
        <f>('[1]Pc, Summer, S3'!W4*Main!$B$5)+(_xlfn.IFNA(VLOOKUP($A4,'FL Ratio'!$A$3:$B$10,2,FALSE),0)*'FL Characterization'!W$2)</f>
        <v>68.901572970988497</v>
      </c>
      <c r="X4" s="2">
        <f>('[1]Pc, Summer, S3'!X4*Main!$B$5)+(_xlfn.IFNA(VLOOKUP($A4,'FL Ratio'!$A$3:$B$10,2,FALSE),0)*'FL Characterization'!X$2)</f>
        <v>68.735795410522826</v>
      </c>
      <c r="Y4" s="2">
        <f>('[1]Pc, Summer, S3'!Y4*Main!$B$5)+(_xlfn.IFNA(VLOOKUP($A4,'FL Ratio'!$A$3:$B$10,2,FALSE),0)*'FL Characterization'!Y$2)</f>
        <v>61.993899299483182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05990-1696-4982-9770-62D200FA28D1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-12.144380643184002</v>
      </c>
      <c r="C2" s="2">
        <f>('[1]Qc, Summer, S1'!C2*Main!$B$5)</f>
        <v>-15.789186049117561</v>
      </c>
      <c r="D2" s="2">
        <f>('[1]Qc, Summer, S1'!D2*Main!$B$5)</f>
        <v>-17.402730107229637</v>
      </c>
      <c r="E2" s="2">
        <f>('[1]Qc, Summer, S1'!E2*Main!$B$5)</f>
        <v>-15.880902963817677</v>
      </c>
      <c r="F2" s="2">
        <f>('[1]Qc, Summer, S1'!F2*Main!$B$5)</f>
        <v>-17.022191350241229</v>
      </c>
      <c r="G2" s="2">
        <f>('[1]Qc, Summer, S1'!G2*Main!$B$5)</f>
        <v>-17.414534330549976</v>
      </c>
      <c r="H2" s="2">
        <f>('[1]Qc, Summer, S1'!H2*Main!$B$5)</f>
        <v>-15.093007724799921</v>
      </c>
      <c r="I2" s="2">
        <f>('[1]Qc, Summer, S1'!I2*Main!$B$5)</f>
        <v>-2.3481329110304294</v>
      </c>
      <c r="J2" s="2">
        <f>('[1]Qc, Summer, S1'!J2*Main!$B$5)</f>
        <v>7.5373338601290572</v>
      </c>
      <c r="K2" s="2">
        <f>('[1]Qc, Summer, S1'!K2*Main!$B$5)</f>
        <v>10.972893014981789</v>
      </c>
      <c r="L2" s="2">
        <f>('[1]Qc, Summer, S1'!L2*Main!$B$5)</f>
        <v>8.6256749102186632</v>
      </c>
      <c r="M2" s="2">
        <f>('[1]Qc, Summer, S1'!M2*Main!$B$5)</f>
        <v>11.489635814202391</v>
      </c>
      <c r="N2" s="2">
        <f>('[1]Qc, Summer, S1'!N2*Main!$B$5)</f>
        <v>10.196131177337957</v>
      </c>
      <c r="O2" s="2">
        <f>('[1]Qc, Summer, S1'!O2*Main!$B$5)</f>
        <v>10.503124304162458</v>
      </c>
      <c r="P2" s="2">
        <f>('[1]Qc, Summer, S1'!P2*Main!$B$5)</f>
        <v>5.4192266881007347</v>
      </c>
      <c r="Q2" s="2">
        <f>('[1]Qc, Summer, S1'!Q2*Main!$B$5)</f>
        <v>1.3700461066253129</v>
      </c>
      <c r="R2" s="2">
        <f>('[1]Qc, Summer, S1'!R2*Main!$B$5)</f>
        <v>3.0478066780706126</v>
      </c>
      <c r="S2" s="2">
        <f>('[1]Qc, Summer, S1'!S2*Main!$B$5)</f>
        <v>3.702031333679523</v>
      </c>
      <c r="T2" s="2">
        <f>('[1]Qc, Summer, S1'!T2*Main!$B$5)</f>
        <v>2.230334462242693</v>
      </c>
      <c r="U2" s="2">
        <f>('[1]Qc, Summer, S1'!U2*Main!$B$5)</f>
        <v>-0.41606101499097853</v>
      </c>
      <c r="V2" s="2">
        <f>('[1]Qc, Summer, S1'!V2*Main!$B$5)</f>
        <v>-1.6242353690921942</v>
      </c>
      <c r="W2" s="2">
        <f>('[1]Qc, Summer, S1'!W2*Main!$B$5)</f>
        <v>-1.1300226278035277</v>
      </c>
      <c r="X2" s="2">
        <f>('[1]Qc, Summer, S1'!X2*Main!$B$5)</f>
        <v>-5.4192976944348432</v>
      </c>
      <c r="Y2" s="2">
        <f>('[1]Qc, Summer, S1'!Y2*Main!$B$5)</f>
        <v>-7.3354606732927223</v>
      </c>
    </row>
    <row r="3" spans="1:25" x14ac:dyDescent="0.3">
      <c r="A3">
        <v>2</v>
      </c>
      <c r="B3" s="2">
        <f>('[1]Qc, Summer, S1'!B3*Main!$B$5)</f>
        <v>-15.369719757618411</v>
      </c>
      <c r="C3" s="2">
        <f>('[1]Qc, Summer, S1'!C3*Main!$B$5)</f>
        <v>-15.369719757618411</v>
      </c>
      <c r="D3" s="2">
        <f>('[1]Qc, Summer, S1'!D3*Main!$B$5)</f>
        <v>-17.843338238296688</v>
      </c>
      <c r="E3" s="2">
        <f>('[1]Qc, Summer, S1'!E3*Main!$B$5)</f>
        <v>-20.316956718974971</v>
      </c>
      <c r="F3" s="2">
        <f>('[1]Qc, Summer, S1'!F3*Main!$B$5)</f>
        <v>-20.316956718974971</v>
      </c>
      <c r="G3" s="2">
        <f>('[1]Qc, Summer, S1'!G3*Main!$B$5)</f>
        <v>-20.316956718974971</v>
      </c>
      <c r="H3" s="2">
        <f>('[1]Qc, Summer, S1'!H3*Main!$B$5)</f>
        <v>-8.1010925308656621</v>
      </c>
      <c r="I3" s="2">
        <f>('[1]Qc, Summer, S1'!I3*Main!$B$5)</f>
        <v>1.6792143095578358</v>
      </c>
      <c r="J3" s="2">
        <f>('[1]Qc, Summer, S1'!J3*Main!$B$5)</f>
        <v>5.3325646175626877</v>
      </c>
      <c r="K3" s="2">
        <f>('[1]Qc, Summer, S1'!K3*Main!$B$5)</f>
        <v>5.3325646175626877</v>
      </c>
      <c r="L3" s="2">
        <f>('[1]Qc, Summer, S1'!L3*Main!$B$5)</f>
        <v>4.8758881675575863</v>
      </c>
      <c r="M3" s="2">
        <f>('[1]Qc, Summer, S1'!M3*Main!$B$5)</f>
        <v>6.8547731256615849</v>
      </c>
      <c r="N3" s="2">
        <f>('[1]Qc, Summer, S1'!N3*Main!$B$5)</f>
        <v>9.290334533770686</v>
      </c>
      <c r="O3" s="2">
        <f>('[1]Qc, Summer, S1'!O3*Main!$B$5)</f>
        <v>9.5757624494773346</v>
      </c>
      <c r="P3" s="2">
        <f>('[1]Qc, Summer, S1'!P3*Main!$B$5)</f>
        <v>5.3706175868545101</v>
      </c>
      <c r="Q3" s="2">
        <f>('[1]Qc, Summer, S1'!Q3*Main!$B$5)</f>
        <v>4.1908857381009046</v>
      </c>
      <c r="R3" s="2">
        <f>('[1]Qc, Summer, S1'!R3*Main!$B$5)</f>
        <v>-0.68023712097136868</v>
      </c>
      <c r="S3" s="2">
        <f>('[1]Qc, Summer, S1'!S3*Main!$B$5)</f>
        <v>-0.68023712097136868</v>
      </c>
      <c r="T3" s="2">
        <f>('[1]Qc, Summer, S1'!T3*Main!$B$5)</f>
        <v>-0.68023712097136868</v>
      </c>
      <c r="U3" s="2">
        <f>('[1]Qc, Summer, S1'!U3*Main!$B$5)</f>
        <v>-0.68023712097136868</v>
      </c>
      <c r="V3" s="2">
        <f>('[1]Qc, Summer, S1'!V3*Main!$B$5)</f>
        <v>-4.3335915108265448</v>
      </c>
      <c r="W3" s="2">
        <f>('[1]Qc, Summer, S1'!W3*Main!$B$5)</f>
        <v>-5.5513763074449356</v>
      </c>
      <c r="X3" s="2">
        <f>('[1]Qc, Summer, S1'!X3*Main!$B$5)</f>
        <v>-15.521931634785698</v>
      </c>
      <c r="Y3" s="2">
        <f>('[1]Qc, Summer, S1'!Y3*Main!$B$5)</f>
        <v>-15.521931634785698</v>
      </c>
    </row>
    <row r="4" spans="1:25" x14ac:dyDescent="0.3">
      <c r="A4">
        <v>3</v>
      </c>
      <c r="B4" s="2">
        <f>('[1]Qc, Summer, S1'!B4*Main!$B$5)</f>
        <v>12.40684224949737</v>
      </c>
      <c r="C4" s="2">
        <f>('[1]Qc, Summer, S1'!C4*Main!$B$5)</f>
        <v>9.5060453202203963</v>
      </c>
      <c r="D4" s="2">
        <f>('[1]Qc, Summer, S1'!D4*Main!$B$5)</f>
        <v>9.0084018345920924</v>
      </c>
      <c r="E4" s="2">
        <f>('[1]Qc, Summer, S1'!E4*Main!$B$5)</f>
        <v>7.8677031878734605</v>
      </c>
      <c r="F4" s="2">
        <f>('[1]Qc, Summer, S1'!F4*Main!$B$5)</f>
        <v>9.0572835100872044</v>
      </c>
      <c r="G4" s="2">
        <f>('[1]Qc, Summer, S1'!G4*Main!$B$5)</f>
        <v>4.2036256572641948</v>
      </c>
      <c r="H4" s="2">
        <f>('[1]Qc, Summer, S1'!H4*Main!$B$5)</f>
        <v>7.334345040809982</v>
      </c>
      <c r="I4" s="2">
        <f>('[1]Qc, Summer, S1'!I4*Main!$B$5)</f>
        <v>14.093810566335428</v>
      </c>
      <c r="J4" s="2">
        <f>('[1]Qc, Summer, S1'!J4*Main!$B$5)</f>
        <v>20.50219200199523</v>
      </c>
      <c r="K4" s="2">
        <f>('[1]Qc, Summer, S1'!K4*Main!$B$5)</f>
        <v>24.362306483341275</v>
      </c>
      <c r="L4" s="2">
        <f>('[1]Qc, Summer, S1'!L4*Main!$B$5)</f>
        <v>26.596139689125302</v>
      </c>
      <c r="M4" s="2">
        <f>('[1]Qc, Summer, S1'!M4*Main!$B$5)</f>
        <v>27.567135456786524</v>
      </c>
      <c r="N4" s="2">
        <f>('[1]Qc, Summer, S1'!N4*Main!$B$5)</f>
        <v>28.806277527233448</v>
      </c>
      <c r="O4" s="2">
        <f>('[1]Qc, Summer, S1'!O4*Main!$B$5)</f>
        <v>29.02422388424996</v>
      </c>
      <c r="P4" s="2">
        <f>('[1]Qc, Summer, S1'!P4*Main!$B$5)</f>
        <v>28.818210529617623</v>
      </c>
      <c r="Q4" s="2">
        <f>('[1]Qc, Summer, S1'!Q4*Main!$B$5)</f>
        <v>27.858893543822084</v>
      </c>
      <c r="R4" s="2">
        <f>('[1]Qc, Summer, S1'!R4*Main!$B$5)</f>
        <v>26.512181527951277</v>
      </c>
      <c r="S4" s="2">
        <f>('[1]Qc, Summer, S1'!S4*Main!$B$5)</f>
        <v>23.526575909167683</v>
      </c>
      <c r="T4" s="2">
        <f>('[1]Qc, Summer, S1'!T4*Main!$B$5)</f>
        <v>23.417729597711443</v>
      </c>
      <c r="U4" s="2">
        <f>('[1]Qc, Summer, S1'!U4*Main!$B$5)</f>
        <v>22.277329747402543</v>
      </c>
      <c r="V4" s="2">
        <f>('[1]Qc, Summer, S1'!V4*Main!$B$5)</f>
        <v>20.080742442997074</v>
      </c>
      <c r="W4" s="2">
        <f>('[1]Qc, Summer, S1'!W4*Main!$B$5)</f>
        <v>24.072888608815997</v>
      </c>
      <c r="X4" s="2">
        <f>('[1]Qc, Summer, S1'!X4*Main!$B$5)</f>
        <v>21.570184422577281</v>
      </c>
      <c r="Y4" s="2">
        <f>('[1]Qc, Summer, S1'!Y4*Main!$B$5)</f>
        <v>17.358815998344191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348DE-128A-46EA-B64C-74905BA11785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-12.144380643184002</v>
      </c>
      <c r="C2" s="2">
        <f>('[1]Qc, Summer, S1'!C2*Main!$B$5)</f>
        <v>-15.789186049117561</v>
      </c>
      <c r="D2" s="2">
        <f>('[1]Qc, Summer, S1'!D2*Main!$B$5)</f>
        <v>-17.402730107229637</v>
      </c>
      <c r="E2" s="2">
        <f>('[1]Qc, Summer, S1'!E2*Main!$B$5)</f>
        <v>-15.880902963817677</v>
      </c>
      <c r="F2" s="2">
        <f>('[1]Qc, Summer, S1'!F2*Main!$B$5)</f>
        <v>-17.022191350241229</v>
      </c>
      <c r="G2" s="2">
        <f>('[1]Qc, Summer, S1'!G2*Main!$B$5)</f>
        <v>-17.414534330549976</v>
      </c>
      <c r="H2" s="2">
        <f>('[1]Qc, Summer, S1'!H2*Main!$B$5)</f>
        <v>-15.093007724799921</v>
      </c>
      <c r="I2" s="2">
        <f>('[1]Qc, Summer, S1'!I2*Main!$B$5)</f>
        <v>-2.3481329110304294</v>
      </c>
      <c r="J2" s="2">
        <f>('[1]Qc, Summer, S1'!J2*Main!$B$5)</f>
        <v>7.5373338601290572</v>
      </c>
      <c r="K2" s="2">
        <f>('[1]Qc, Summer, S1'!K2*Main!$B$5)</f>
        <v>10.972893014981789</v>
      </c>
      <c r="L2" s="2">
        <f>('[1]Qc, Summer, S1'!L2*Main!$B$5)</f>
        <v>8.6256749102186632</v>
      </c>
      <c r="M2" s="2">
        <f>('[1]Qc, Summer, S1'!M2*Main!$B$5)</f>
        <v>11.489635814202391</v>
      </c>
      <c r="N2" s="2">
        <f>('[1]Qc, Summer, S1'!N2*Main!$B$5)</f>
        <v>10.196131177337957</v>
      </c>
      <c r="O2" s="2">
        <f>('[1]Qc, Summer, S1'!O2*Main!$B$5)</f>
        <v>10.503124304162458</v>
      </c>
      <c r="P2" s="2">
        <f>('[1]Qc, Summer, S1'!P2*Main!$B$5)</f>
        <v>5.4192266881007347</v>
      </c>
      <c r="Q2" s="2">
        <f>('[1]Qc, Summer, S1'!Q2*Main!$B$5)</f>
        <v>1.3700461066253129</v>
      </c>
      <c r="R2" s="2">
        <f>('[1]Qc, Summer, S1'!R2*Main!$B$5)</f>
        <v>3.0478066780706126</v>
      </c>
      <c r="S2" s="2">
        <f>('[1]Qc, Summer, S1'!S2*Main!$B$5)</f>
        <v>3.702031333679523</v>
      </c>
      <c r="T2" s="2">
        <f>('[1]Qc, Summer, S1'!T2*Main!$B$5)</f>
        <v>2.230334462242693</v>
      </c>
      <c r="U2" s="2">
        <f>('[1]Qc, Summer, S1'!U2*Main!$B$5)</f>
        <v>-0.41606101499097853</v>
      </c>
      <c r="V2" s="2">
        <f>('[1]Qc, Summer, S1'!V2*Main!$B$5)</f>
        <v>-1.6242353690921942</v>
      </c>
      <c r="W2" s="2">
        <f>('[1]Qc, Summer, S1'!W2*Main!$B$5)</f>
        <v>-1.1300226278035277</v>
      </c>
      <c r="X2" s="2">
        <f>('[1]Qc, Summer, S1'!X2*Main!$B$5)</f>
        <v>-5.4192976944348432</v>
      </c>
      <c r="Y2" s="2">
        <f>('[1]Qc, Summer, S1'!Y2*Main!$B$5)</f>
        <v>-7.3354606732927223</v>
      </c>
    </row>
    <row r="3" spans="1:25" x14ac:dyDescent="0.3">
      <c r="A3">
        <v>2</v>
      </c>
      <c r="B3" s="2">
        <f>('[1]Qc, Summer, S1'!B3*Main!$B$5)</f>
        <v>-15.369719757618411</v>
      </c>
      <c r="C3" s="2">
        <f>('[1]Qc, Summer, S1'!C3*Main!$B$5)</f>
        <v>-15.369719757618411</v>
      </c>
      <c r="D3" s="2">
        <f>('[1]Qc, Summer, S1'!D3*Main!$B$5)</f>
        <v>-17.843338238296688</v>
      </c>
      <c r="E3" s="2">
        <f>('[1]Qc, Summer, S1'!E3*Main!$B$5)</f>
        <v>-20.316956718974971</v>
      </c>
      <c r="F3" s="2">
        <f>('[1]Qc, Summer, S1'!F3*Main!$B$5)</f>
        <v>-20.316956718974971</v>
      </c>
      <c r="G3" s="2">
        <f>('[1]Qc, Summer, S1'!G3*Main!$B$5)</f>
        <v>-20.316956718974971</v>
      </c>
      <c r="H3" s="2">
        <f>('[1]Qc, Summer, S1'!H3*Main!$B$5)</f>
        <v>-8.1010925308656621</v>
      </c>
      <c r="I3" s="2">
        <f>('[1]Qc, Summer, S1'!I3*Main!$B$5)</f>
        <v>1.6792143095578358</v>
      </c>
      <c r="J3" s="2">
        <f>('[1]Qc, Summer, S1'!J3*Main!$B$5)</f>
        <v>5.3325646175626877</v>
      </c>
      <c r="K3" s="2">
        <f>('[1]Qc, Summer, S1'!K3*Main!$B$5)</f>
        <v>5.3325646175626877</v>
      </c>
      <c r="L3" s="2">
        <f>('[1]Qc, Summer, S1'!L3*Main!$B$5)</f>
        <v>4.8758881675575863</v>
      </c>
      <c r="M3" s="2">
        <f>('[1]Qc, Summer, S1'!M3*Main!$B$5)</f>
        <v>6.8547731256615849</v>
      </c>
      <c r="N3" s="2">
        <f>('[1]Qc, Summer, S1'!N3*Main!$B$5)</f>
        <v>9.290334533770686</v>
      </c>
      <c r="O3" s="2">
        <f>('[1]Qc, Summer, S1'!O3*Main!$B$5)</f>
        <v>9.5757624494773346</v>
      </c>
      <c r="P3" s="2">
        <f>('[1]Qc, Summer, S1'!P3*Main!$B$5)</f>
        <v>5.3706175868545101</v>
      </c>
      <c r="Q3" s="2">
        <f>('[1]Qc, Summer, S1'!Q3*Main!$B$5)</f>
        <v>4.1908857381009046</v>
      </c>
      <c r="R3" s="2">
        <f>('[1]Qc, Summer, S1'!R3*Main!$B$5)</f>
        <v>-0.68023712097136868</v>
      </c>
      <c r="S3" s="2">
        <f>('[1]Qc, Summer, S1'!S3*Main!$B$5)</f>
        <v>-0.68023712097136868</v>
      </c>
      <c r="T3" s="2">
        <f>('[1]Qc, Summer, S1'!T3*Main!$B$5)</f>
        <v>-0.68023712097136868</v>
      </c>
      <c r="U3" s="2">
        <f>('[1]Qc, Summer, S1'!U3*Main!$B$5)</f>
        <v>-0.68023712097136868</v>
      </c>
      <c r="V3" s="2">
        <f>('[1]Qc, Summer, S1'!V3*Main!$B$5)</f>
        <v>-4.3335915108265448</v>
      </c>
      <c r="W3" s="2">
        <f>('[1]Qc, Summer, S1'!W3*Main!$B$5)</f>
        <v>-5.5513763074449356</v>
      </c>
      <c r="X3" s="2">
        <f>('[1]Qc, Summer, S1'!X3*Main!$B$5)</f>
        <v>-15.521931634785698</v>
      </c>
      <c r="Y3" s="2">
        <f>('[1]Qc, Summer, S1'!Y3*Main!$B$5)</f>
        <v>-15.521931634785698</v>
      </c>
    </row>
    <row r="4" spans="1:25" x14ac:dyDescent="0.3">
      <c r="A4">
        <v>3</v>
      </c>
      <c r="B4" s="2">
        <f>('[1]Qc, Summer, S1'!B4*Main!$B$5)</f>
        <v>12.40684224949737</v>
      </c>
      <c r="C4" s="2">
        <f>('[1]Qc, Summer, S1'!C4*Main!$B$5)</f>
        <v>9.5060453202203963</v>
      </c>
      <c r="D4" s="2">
        <f>('[1]Qc, Summer, S1'!D4*Main!$B$5)</f>
        <v>9.0084018345920924</v>
      </c>
      <c r="E4" s="2">
        <f>('[1]Qc, Summer, S1'!E4*Main!$B$5)</f>
        <v>7.8677031878734605</v>
      </c>
      <c r="F4" s="2">
        <f>('[1]Qc, Summer, S1'!F4*Main!$B$5)</f>
        <v>9.0572835100872044</v>
      </c>
      <c r="G4" s="2">
        <f>('[1]Qc, Summer, S1'!G4*Main!$B$5)</f>
        <v>4.2036256572641948</v>
      </c>
      <c r="H4" s="2">
        <f>('[1]Qc, Summer, S1'!H4*Main!$B$5)</f>
        <v>7.334345040809982</v>
      </c>
      <c r="I4" s="2">
        <f>('[1]Qc, Summer, S1'!I4*Main!$B$5)</f>
        <v>14.093810566335428</v>
      </c>
      <c r="J4" s="2">
        <f>('[1]Qc, Summer, S1'!J4*Main!$B$5)</f>
        <v>20.50219200199523</v>
      </c>
      <c r="K4" s="2">
        <f>('[1]Qc, Summer, S1'!K4*Main!$B$5)</f>
        <v>24.362306483341275</v>
      </c>
      <c r="L4" s="2">
        <f>('[1]Qc, Summer, S1'!L4*Main!$B$5)</f>
        <v>26.596139689125302</v>
      </c>
      <c r="M4" s="2">
        <f>('[1]Qc, Summer, S1'!M4*Main!$B$5)</f>
        <v>27.567135456786524</v>
      </c>
      <c r="N4" s="2">
        <f>('[1]Qc, Summer, S1'!N4*Main!$B$5)</f>
        <v>28.806277527233448</v>
      </c>
      <c r="O4" s="2">
        <f>('[1]Qc, Summer, S1'!O4*Main!$B$5)</f>
        <v>29.02422388424996</v>
      </c>
      <c r="P4" s="2">
        <f>('[1]Qc, Summer, S1'!P4*Main!$B$5)</f>
        <v>28.818210529617623</v>
      </c>
      <c r="Q4" s="2">
        <f>('[1]Qc, Summer, S1'!Q4*Main!$B$5)</f>
        <v>27.858893543822084</v>
      </c>
      <c r="R4" s="2">
        <f>('[1]Qc, Summer, S1'!R4*Main!$B$5)</f>
        <v>26.512181527951277</v>
      </c>
      <c r="S4" s="2">
        <f>('[1]Qc, Summer, S1'!S4*Main!$B$5)</f>
        <v>23.526575909167683</v>
      </c>
      <c r="T4" s="2">
        <f>('[1]Qc, Summer, S1'!T4*Main!$B$5)</f>
        <v>23.417729597711443</v>
      </c>
      <c r="U4" s="2">
        <f>('[1]Qc, Summer, S1'!U4*Main!$B$5)</f>
        <v>22.277329747402543</v>
      </c>
      <c r="V4" s="2">
        <f>('[1]Qc, Summer, S1'!V4*Main!$B$5)</f>
        <v>20.080742442997074</v>
      </c>
      <c r="W4" s="2">
        <f>('[1]Qc, Summer, S1'!W4*Main!$B$5)</f>
        <v>24.072888608815997</v>
      </c>
      <c r="X4" s="2">
        <f>('[1]Qc, Summer, S1'!X4*Main!$B$5)</f>
        <v>21.570184422577281</v>
      </c>
      <c r="Y4" s="2">
        <f>('[1]Qc, Summer, S1'!Y4*Main!$B$5)</f>
        <v>17.358815998344191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42518-CA6C-4303-A527-28A9B617D953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-12.144380643184002</v>
      </c>
      <c r="C2" s="2">
        <f>('[1]Qc, Summer, S1'!C2*Main!$B$5)</f>
        <v>-15.789186049117561</v>
      </c>
      <c r="D2" s="2">
        <f>('[1]Qc, Summer, S1'!D2*Main!$B$5)</f>
        <v>-17.402730107229637</v>
      </c>
      <c r="E2" s="2">
        <f>('[1]Qc, Summer, S1'!E2*Main!$B$5)</f>
        <v>-15.880902963817677</v>
      </c>
      <c r="F2" s="2">
        <f>('[1]Qc, Summer, S1'!F2*Main!$B$5)</f>
        <v>-17.022191350241229</v>
      </c>
      <c r="G2" s="2">
        <f>('[1]Qc, Summer, S1'!G2*Main!$B$5)</f>
        <v>-17.414534330549976</v>
      </c>
      <c r="H2" s="2">
        <f>('[1]Qc, Summer, S1'!H2*Main!$B$5)</f>
        <v>-15.093007724799921</v>
      </c>
      <c r="I2" s="2">
        <f>('[1]Qc, Summer, S1'!I2*Main!$B$5)</f>
        <v>-2.3481329110304294</v>
      </c>
      <c r="J2" s="2">
        <f>('[1]Qc, Summer, S1'!J2*Main!$B$5)</f>
        <v>7.5373338601290572</v>
      </c>
      <c r="K2" s="2">
        <f>('[1]Qc, Summer, S1'!K2*Main!$B$5)</f>
        <v>10.972893014981789</v>
      </c>
      <c r="L2" s="2">
        <f>('[1]Qc, Summer, S1'!L2*Main!$B$5)</f>
        <v>8.6256749102186632</v>
      </c>
      <c r="M2" s="2">
        <f>('[1]Qc, Summer, S1'!M2*Main!$B$5)</f>
        <v>11.489635814202391</v>
      </c>
      <c r="N2" s="2">
        <f>('[1]Qc, Summer, S1'!N2*Main!$B$5)</f>
        <v>10.196131177337957</v>
      </c>
      <c r="O2" s="2">
        <f>('[1]Qc, Summer, S1'!O2*Main!$B$5)</f>
        <v>10.503124304162458</v>
      </c>
      <c r="P2" s="2">
        <f>('[1]Qc, Summer, S1'!P2*Main!$B$5)</f>
        <v>5.4192266881007347</v>
      </c>
      <c r="Q2" s="2">
        <f>('[1]Qc, Summer, S1'!Q2*Main!$B$5)</f>
        <v>1.3700461066253129</v>
      </c>
      <c r="R2" s="2">
        <f>('[1]Qc, Summer, S1'!R2*Main!$B$5)</f>
        <v>3.0478066780706126</v>
      </c>
      <c r="S2" s="2">
        <f>('[1]Qc, Summer, S1'!S2*Main!$B$5)</f>
        <v>3.702031333679523</v>
      </c>
      <c r="T2" s="2">
        <f>('[1]Qc, Summer, S1'!T2*Main!$B$5)</f>
        <v>2.230334462242693</v>
      </c>
      <c r="U2" s="2">
        <f>('[1]Qc, Summer, S1'!U2*Main!$B$5)</f>
        <v>-0.41606101499097853</v>
      </c>
      <c r="V2" s="2">
        <f>('[1]Qc, Summer, S1'!V2*Main!$B$5)</f>
        <v>-1.6242353690921942</v>
      </c>
      <c r="W2" s="2">
        <f>('[1]Qc, Summer, S1'!W2*Main!$B$5)</f>
        <v>-1.1300226278035277</v>
      </c>
      <c r="X2" s="2">
        <f>('[1]Qc, Summer, S1'!X2*Main!$B$5)</f>
        <v>-5.4192976944348432</v>
      </c>
      <c r="Y2" s="2">
        <f>('[1]Qc, Summer, S1'!Y2*Main!$B$5)</f>
        <v>-7.3354606732927223</v>
      </c>
    </row>
    <row r="3" spans="1:25" x14ac:dyDescent="0.3">
      <c r="A3">
        <v>2</v>
      </c>
      <c r="B3" s="2">
        <f>('[1]Qc, Summer, S1'!B3*Main!$B$5)</f>
        <v>-15.369719757618411</v>
      </c>
      <c r="C3" s="2">
        <f>('[1]Qc, Summer, S1'!C3*Main!$B$5)</f>
        <v>-15.369719757618411</v>
      </c>
      <c r="D3" s="2">
        <f>('[1]Qc, Summer, S1'!D3*Main!$B$5)</f>
        <v>-17.843338238296688</v>
      </c>
      <c r="E3" s="2">
        <f>('[1]Qc, Summer, S1'!E3*Main!$B$5)</f>
        <v>-20.316956718974971</v>
      </c>
      <c r="F3" s="2">
        <f>('[1]Qc, Summer, S1'!F3*Main!$B$5)</f>
        <v>-20.316956718974971</v>
      </c>
      <c r="G3" s="2">
        <f>('[1]Qc, Summer, S1'!G3*Main!$B$5)</f>
        <v>-20.316956718974971</v>
      </c>
      <c r="H3" s="2">
        <f>('[1]Qc, Summer, S1'!H3*Main!$B$5)</f>
        <v>-8.1010925308656621</v>
      </c>
      <c r="I3" s="2">
        <f>('[1]Qc, Summer, S1'!I3*Main!$B$5)</f>
        <v>1.6792143095578358</v>
      </c>
      <c r="J3" s="2">
        <f>('[1]Qc, Summer, S1'!J3*Main!$B$5)</f>
        <v>5.3325646175626877</v>
      </c>
      <c r="K3" s="2">
        <f>('[1]Qc, Summer, S1'!K3*Main!$B$5)</f>
        <v>5.3325646175626877</v>
      </c>
      <c r="L3" s="2">
        <f>('[1]Qc, Summer, S1'!L3*Main!$B$5)</f>
        <v>4.8758881675575863</v>
      </c>
      <c r="M3" s="2">
        <f>('[1]Qc, Summer, S1'!M3*Main!$B$5)</f>
        <v>6.8547731256615849</v>
      </c>
      <c r="N3" s="2">
        <f>('[1]Qc, Summer, S1'!N3*Main!$B$5)</f>
        <v>9.290334533770686</v>
      </c>
      <c r="O3" s="2">
        <f>('[1]Qc, Summer, S1'!O3*Main!$B$5)</f>
        <v>9.5757624494773346</v>
      </c>
      <c r="P3" s="2">
        <f>('[1]Qc, Summer, S1'!P3*Main!$B$5)</f>
        <v>5.3706175868545101</v>
      </c>
      <c r="Q3" s="2">
        <f>('[1]Qc, Summer, S1'!Q3*Main!$B$5)</f>
        <v>4.1908857381009046</v>
      </c>
      <c r="R3" s="2">
        <f>('[1]Qc, Summer, S1'!R3*Main!$B$5)</f>
        <v>-0.68023712097136868</v>
      </c>
      <c r="S3" s="2">
        <f>('[1]Qc, Summer, S1'!S3*Main!$B$5)</f>
        <v>-0.68023712097136868</v>
      </c>
      <c r="T3" s="2">
        <f>('[1]Qc, Summer, S1'!T3*Main!$B$5)</f>
        <v>-0.68023712097136868</v>
      </c>
      <c r="U3" s="2">
        <f>('[1]Qc, Summer, S1'!U3*Main!$B$5)</f>
        <v>-0.68023712097136868</v>
      </c>
      <c r="V3" s="2">
        <f>('[1]Qc, Summer, S1'!V3*Main!$B$5)</f>
        <v>-4.3335915108265448</v>
      </c>
      <c r="W3" s="2">
        <f>('[1]Qc, Summer, S1'!W3*Main!$B$5)</f>
        <v>-5.5513763074449356</v>
      </c>
      <c r="X3" s="2">
        <f>('[1]Qc, Summer, S1'!X3*Main!$B$5)</f>
        <v>-15.521931634785698</v>
      </c>
      <c r="Y3" s="2">
        <f>('[1]Qc, Summer, S1'!Y3*Main!$B$5)</f>
        <v>-15.521931634785698</v>
      </c>
    </row>
    <row r="4" spans="1:25" x14ac:dyDescent="0.3">
      <c r="A4">
        <v>3</v>
      </c>
      <c r="B4" s="2">
        <f>('[1]Qc, Summer, S1'!B4*Main!$B$5)</f>
        <v>12.40684224949737</v>
      </c>
      <c r="C4" s="2">
        <f>('[1]Qc, Summer, S1'!C4*Main!$B$5)</f>
        <v>9.5060453202203963</v>
      </c>
      <c r="D4" s="2">
        <f>('[1]Qc, Summer, S1'!D4*Main!$B$5)</f>
        <v>9.0084018345920924</v>
      </c>
      <c r="E4" s="2">
        <f>('[1]Qc, Summer, S1'!E4*Main!$B$5)</f>
        <v>7.8677031878734605</v>
      </c>
      <c r="F4" s="2">
        <f>('[1]Qc, Summer, S1'!F4*Main!$B$5)</f>
        <v>9.0572835100872044</v>
      </c>
      <c r="G4" s="2">
        <f>('[1]Qc, Summer, S1'!G4*Main!$B$5)</f>
        <v>4.2036256572641948</v>
      </c>
      <c r="H4" s="2">
        <f>('[1]Qc, Summer, S1'!H4*Main!$B$5)</f>
        <v>7.334345040809982</v>
      </c>
      <c r="I4" s="2">
        <f>('[1]Qc, Summer, S1'!I4*Main!$B$5)</f>
        <v>14.093810566335428</v>
      </c>
      <c r="J4" s="2">
        <f>('[1]Qc, Summer, S1'!J4*Main!$B$5)</f>
        <v>20.50219200199523</v>
      </c>
      <c r="K4" s="2">
        <f>('[1]Qc, Summer, S1'!K4*Main!$B$5)</f>
        <v>24.362306483341275</v>
      </c>
      <c r="L4" s="2">
        <f>('[1]Qc, Summer, S1'!L4*Main!$B$5)</f>
        <v>26.596139689125302</v>
      </c>
      <c r="M4" s="2">
        <f>('[1]Qc, Summer, S1'!M4*Main!$B$5)</f>
        <v>27.567135456786524</v>
      </c>
      <c r="N4" s="2">
        <f>('[1]Qc, Summer, S1'!N4*Main!$B$5)</f>
        <v>28.806277527233448</v>
      </c>
      <c r="O4" s="2">
        <f>('[1]Qc, Summer, S1'!O4*Main!$B$5)</f>
        <v>29.02422388424996</v>
      </c>
      <c r="P4" s="2">
        <f>('[1]Qc, Summer, S1'!P4*Main!$B$5)</f>
        <v>28.818210529617623</v>
      </c>
      <c r="Q4" s="2">
        <f>('[1]Qc, Summer, S1'!Q4*Main!$B$5)</f>
        <v>27.858893543822084</v>
      </c>
      <c r="R4" s="2">
        <f>('[1]Qc, Summer, S1'!R4*Main!$B$5)</f>
        <v>26.512181527951277</v>
      </c>
      <c r="S4" s="2">
        <f>('[1]Qc, Summer, S1'!S4*Main!$B$5)</f>
        <v>23.526575909167683</v>
      </c>
      <c r="T4" s="2">
        <f>('[1]Qc, Summer, S1'!T4*Main!$B$5)</f>
        <v>23.417729597711443</v>
      </c>
      <c r="U4" s="2">
        <f>('[1]Qc, Summer, S1'!U4*Main!$B$5)</f>
        <v>22.277329747402543</v>
      </c>
      <c r="V4" s="2">
        <f>('[1]Qc, Summer, S1'!V4*Main!$B$5)</f>
        <v>20.080742442997074</v>
      </c>
      <c r="W4" s="2">
        <f>('[1]Qc, Summer, S1'!W4*Main!$B$5)</f>
        <v>24.072888608815997</v>
      </c>
      <c r="X4" s="2">
        <f>('[1]Qc, Summer, S1'!X4*Main!$B$5)</f>
        <v>21.570184422577281</v>
      </c>
      <c r="Y4" s="2">
        <f>('[1]Qc, Summer, S1'!Y4*Main!$B$5)</f>
        <v>17.358815998344191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3FCBB-52F5-41BB-8DE7-B65E1EDFCA38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-12.508712062479521</v>
      </c>
      <c r="C2" s="2">
        <f>('[1]Qc, Summer, S2'!C2*Main!$B$5)</f>
        <v>-16.26286163059109</v>
      </c>
      <c r="D2" s="2">
        <f>('[1]Qc, Summer, S2'!D2*Main!$B$5)</f>
        <v>-17.924812010446527</v>
      </c>
      <c r="E2" s="2">
        <f>('[1]Qc, Summer, S2'!E2*Main!$B$5)</f>
        <v>-16.357330052732209</v>
      </c>
      <c r="F2" s="2">
        <f>('[1]Qc, Summer, S2'!F2*Main!$B$5)</f>
        <v>-17.532857090748465</v>
      </c>
      <c r="G2" s="2">
        <f>('[1]Qc, Summer, S2'!G2*Main!$B$5)</f>
        <v>-17.936970360466479</v>
      </c>
      <c r="H2" s="2">
        <f>('[1]Qc, Summer, S2'!H2*Main!$B$5)</f>
        <v>-15.54579795654392</v>
      </c>
      <c r="I2" s="2">
        <f>('[1]Qc, Summer, S2'!I2*Main!$B$5)</f>
        <v>-2.4185768983613425</v>
      </c>
      <c r="J2" s="2">
        <f>('[1]Qc, Summer, S2'!J2*Main!$B$5)</f>
        <v>7.763453875932929</v>
      </c>
      <c r="K2" s="2">
        <f>('[1]Qc, Summer, S2'!K2*Main!$B$5)</f>
        <v>11.302079805431243</v>
      </c>
      <c r="L2" s="2">
        <f>('[1]Qc, Summer, S2'!L2*Main!$B$5)</f>
        <v>8.8844451575252226</v>
      </c>
      <c r="M2" s="2">
        <f>('[1]Qc, Summer, S2'!M2*Main!$B$5)</f>
        <v>11.834324888628462</v>
      </c>
      <c r="N2" s="2">
        <f>('[1]Qc, Summer, S2'!N2*Main!$B$5)</f>
        <v>10.502015112658095</v>
      </c>
      <c r="O2" s="2">
        <f>('[1]Qc, Summer, S2'!O2*Main!$B$5)</f>
        <v>10.818218033287332</v>
      </c>
      <c r="P2" s="2">
        <f>('[1]Qc, Summer, S2'!P2*Main!$B$5)</f>
        <v>5.5818034887437573</v>
      </c>
      <c r="Q2" s="2">
        <f>('[1]Qc, Summer, S2'!Q2*Main!$B$5)</f>
        <v>1.4111474898240721</v>
      </c>
      <c r="R2" s="2">
        <f>('[1]Qc, Summer, S2'!R2*Main!$B$5)</f>
        <v>3.139240878412731</v>
      </c>
      <c r="S2" s="2">
        <f>('[1]Qc, Summer, S2'!S2*Main!$B$5)</f>
        <v>3.8130922736899091</v>
      </c>
      <c r="T2" s="2">
        <f>('[1]Qc, Summer, S2'!T2*Main!$B$5)</f>
        <v>2.2972444961099736</v>
      </c>
      <c r="U2" s="2">
        <f>('[1]Qc, Summer, S2'!U2*Main!$B$5)</f>
        <v>-0.42854284544070798</v>
      </c>
      <c r="V2" s="2">
        <f>('[1]Qc, Summer, S2'!V2*Main!$B$5)</f>
        <v>-1.6729624301649602</v>
      </c>
      <c r="W2" s="2">
        <f>('[1]Qc, Summer, S2'!W2*Main!$B$5)</f>
        <v>-1.1639233066376335</v>
      </c>
      <c r="X2" s="2">
        <f>('[1]Qc, Summer, S2'!X2*Main!$B$5)</f>
        <v>-5.5818766252678893</v>
      </c>
      <c r="Y2" s="2">
        <f>('[1]Qc, Summer, S2'!Y2*Main!$B$5)</f>
        <v>-7.5555244934915038</v>
      </c>
    </row>
    <row r="3" spans="1:25" x14ac:dyDescent="0.3">
      <c r="A3">
        <v>2</v>
      </c>
      <c r="B3" s="2">
        <f>('[1]Qc, Summer, S2'!B3*Main!$B$5)</f>
        <v>-15.830811350346961</v>
      </c>
      <c r="C3" s="2">
        <f>('[1]Qc, Summer, S2'!C3*Main!$B$5)</f>
        <v>-15.830811350346961</v>
      </c>
      <c r="D3" s="2">
        <f>('[1]Qc, Summer, S2'!D3*Main!$B$5)</f>
        <v>-18.378638385445591</v>
      </c>
      <c r="E3" s="2">
        <f>('[1]Qc, Summer, S2'!E3*Main!$B$5)</f>
        <v>-20.926465420544226</v>
      </c>
      <c r="F3" s="2">
        <f>('[1]Qc, Summer, S2'!F3*Main!$B$5)</f>
        <v>-20.926465420544226</v>
      </c>
      <c r="G3" s="2">
        <f>('[1]Qc, Summer, S2'!G3*Main!$B$5)</f>
        <v>-20.926465420544226</v>
      </c>
      <c r="H3" s="2">
        <f>('[1]Qc, Summer, S2'!H3*Main!$B$5)</f>
        <v>-8.3441253067916321</v>
      </c>
      <c r="I3" s="2">
        <f>('[1]Qc, Summer, S2'!I3*Main!$B$5)</f>
        <v>1.7295907388445713</v>
      </c>
      <c r="J3" s="2">
        <f>('[1]Qc, Summer, S2'!J3*Main!$B$5)</f>
        <v>5.4925415560895692</v>
      </c>
      <c r="K3" s="2">
        <f>('[1]Qc, Summer, S2'!K3*Main!$B$5)</f>
        <v>5.4925415560895692</v>
      </c>
      <c r="L3" s="2">
        <f>('[1]Qc, Summer, S2'!L3*Main!$B$5)</f>
        <v>5.0221648125843137</v>
      </c>
      <c r="M3" s="2">
        <f>('[1]Qc, Summer, S2'!M3*Main!$B$5)</f>
        <v>7.0604163194314316</v>
      </c>
      <c r="N3" s="2">
        <f>('[1]Qc, Summer, S2'!N3*Main!$B$5)</f>
        <v>9.5690445697838058</v>
      </c>
      <c r="O3" s="2">
        <f>('[1]Qc, Summer, S2'!O3*Main!$B$5)</f>
        <v>9.8630353229616539</v>
      </c>
      <c r="P3" s="2">
        <f>('[1]Qc, Summer, S2'!P3*Main!$B$5)</f>
        <v>5.5317361144601458</v>
      </c>
      <c r="Q3" s="2">
        <f>('[1]Qc, Summer, S2'!Q3*Main!$B$5)</f>
        <v>4.316612310243932</v>
      </c>
      <c r="R3" s="2">
        <f>('[1]Qc, Summer, S2'!R3*Main!$B$5)</f>
        <v>-0.70064423460050962</v>
      </c>
      <c r="S3" s="2">
        <f>('[1]Qc, Summer, S2'!S3*Main!$B$5)</f>
        <v>-0.70064423460050962</v>
      </c>
      <c r="T3" s="2">
        <f>('[1]Qc, Summer, S2'!T3*Main!$B$5)</f>
        <v>-0.70064423460050962</v>
      </c>
      <c r="U3" s="2">
        <f>('[1]Qc, Summer, S2'!U3*Main!$B$5)</f>
        <v>-0.70064423460050962</v>
      </c>
      <c r="V3" s="2">
        <f>('[1]Qc, Summer, S2'!V3*Main!$B$5)</f>
        <v>-4.4635992561513413</v>
      </c>
      <c r="W3" s="2">
        <f>('[1]Qc, Summer, S2'!W3*Main!$B$5)</f>
        <v>-5.7179175966682845</v>
      </c>
      <c r="X3" s="2">
        <f>('[1]Qc, Summer, S2'!X3*Main!$B$5)</f>
        <v>-15.987589583829271</v>
      </c>
      <c r="Y3" s="2">
        <f>('[1]Qc, Summer, S2'!Y3*Main!$B$5)</f>
        <v>-15.987589583829271</v>
      </c>
    </row>
    <row r="4" spans="1:25" x14ac:dyDescent="0.3">
      <c r="A4">
        <v>3</v>
      </c>
      <c r="B4" s="2">
        <f>('[1]Qc, Summer, S2'!B4*Main!$B$5)</f>
        <v>12.77904751698229</v>
      </c>
      <c r="C4" s="2">
        <f>('[1]Qc, Summer, S2'!C4*Main!$B$5)</f>
        <v>9.7912266798270071</v>
      </c>
      <c r="D4" s="2">
        <f>('[1]Qc, Summer, S2'!D4*Main!$B$5)</f>
        <v>9.2786538896298563</v>
      </c>
      <c r="E4" s="2">
        <f>('[1]Qc, Summer, S2'!E4*Main!$B$5)</f>
        <v>8.1037342835096631</v>
      </c>
      <c r="F4" s="2">
        <f>('[1]Qc, Summer, S2'!F4*Main!$B$5)</f>
        <v>9.3290020153898201</v>
      </c>
      <c r="G4" s="2">
        <f>('[1]Qc, Summer, S2'!G4*Main!$B$5)</f>
        <v>4.3297344269821201</v>
      </c>
      <c r="H4" s="2">
        <f>('[1]Qc, Summer, S2'!H4*Main!$B$5)</f>
        <v>7.5543753920342809</v>
      </c>
      <c r="I4" s="2">
        <f>('[1]Qc, Summer, S2'!I4*Main!$B$5)</f>
        <v>14.516624883325491</v>
      </c>
      <c r="J4" s="2">
        <f>('[1]Qc, Summer, S2'!J4*Main!$B$5)</f>
        <v>21.11725776205509</v>
      </c>
      <c r="K4" s="2">
        <f>('[1]Qc, Summer, S2'!K4*Main!$B$5)</f>
        <v>25.093175677841515</v>
      </c>
      <c r="L4" s="2">
        <f>('[1]Qc, Summer, S2'!L4*Main!$B$5)</f>
        <v>27.394023879799061</v>
      </c>
      <c r="M4" s="2">
        <f>('[1]Qc, Summer, S2'!M4*Main!$B$5)</f>
        <v>28.394149520490121</v>
      </c>
      <c r="N4" s="2">
        <f>('[1]Qc, Summer, S2'!N4*Main!$B$5)</f>
        <v>29.670465853050452</v>
      </c>
      <c r="O4" s="2">
        <f>('[1]Qc, Summer, S2'!O4*Main!$B$5)</f>
        <v>29.894950600777459</v>
      </c>
      <c r="P4" s="2">
        <f>('[1]Qc, Summer, S2'!P4*Main!$B$5)</f>
        <v>29.682756845506155</v>
      </c>
      <c r="Q4" s="2">
        <f>('[1]Qc, Summer, S2'!Q4*Main!$B$5)</f>
        <v>28.694660350136747</v>
      </c>
      <c r="R4" s="2">
        <f>('[1]Qc, Summer, S2'!R4*Main!$B$5)</f>
        <v>27.307546973789815</v>
      </c>
      <c r="S4" s="2">
        <f>('[1]Qc, Summer, S2'!S4*Main!$B$5)</f>
        <v>24.232373186442715</v>
      </c>
      <c r="T4" s="2">
        <f>('[1]Qc, Summer, S2'!T4*Main!$B$5)</f>
        <v>24.120261485642789</v>
      </c>
      <c r="U4" s="2">
        <f>('[1]Qc, Summer, S2'!U4*Main!$B$5)</f>
        <v>22.945649639824619</v>
      </c>
      <c r="V4" s="2">
        <f>('[1]Qc, Summer, S2'!V4*Main!$B$5)</f>
        <v>20.683164716286985</v>
      </c>
      <c r="W4" s="2">
        <f>('[1]Qc, Summer, S2'!W4*Main!$B$5)</f>
        <v>24.795075267080477</v>
      </c>
      <c r="X4" s="2">
        <f>('[1]Qc, Summer, S2'!X4*Main!$B$5)</f>
        <v>22.2172899552546</v>
      </c>
      <c r="Y4" s="2">
        <f>('[1]Qc, Summer, S2'!Y4*Main!$B$5)</f>
        <v>17.879580478294518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C6C65-6AD5-40D1-B2BC-779153DBC309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-12.508712062479521</v>
      </c>
      <c r="C2" s="2">
        <f>('[1]Qc, Summer, S2'!C2*Main!$B$5)</f>
        <v>-16.26286163059109</v>
      </c>
      <c r="D2" s="2">
        <f>('[1]Qc, Summer, S2'!D2*Main!$B$5)</f>
        <v>-17.924812010446527</v>
      </c>
      <c r="E2" s="2">
        <f>('[1]Qc, Summer, S2'!E2*Main!$B$5)</f>
        <v>-16.357330052732209</v>
      </c>
      <c r="F2" s="2">
        <f>('[1]Qc, Summer, S2'!F2*Main!$B$5)</f>
        <v>-17.532857090748465</v>
      </c>
      <c r="G2" s="2">
        <f>('[1]Qc, Summer, S2'!G2*Main!$B$5)</f>
        <v>-17.936970360466479</v>
      </c>
      <c r="H2" s="2">
        <f>('[1]Qc, Summer, S2'!H2*Main!$B$5)</f>
        <v>-15.54579795654392</v>
      </c>
      <c r="I2" s="2">
        <f>('[1]Qc, Summer, S2'!I2*Main!$B$5)</f>
        <v>-2.4185768983613425</v>
      </c>
      <c r="J2" s="2">
        <f>('[1]Qc, Summer, S2'!J2*Main!$B$5)</f>
        <v>7.763453875932929</v>
      </c>
      <c r="K2" s="2">
        <f>('[1]Qc, Summer, S2'!K2*Main!$B$5)</f>
        <v>11.302079805431243</v>
      </c>
      <c r="L2" s="2">
        <f>('[1]Qc, Summer, S2'!L2*Main!$B$5)</f>
        <v>8.8844451575252226</v>
      </c>
      <c r="M2" s="2">
        <f>('[1]Qc, Summer, S2'!M2*Main!$B$5)</f>
        <v>11.834324888628462</v>
      </c>
      <c r="N2" s="2">
        <f>('[1]Qc, Summer, S2'!N2*Main!$B$5)</f>
        <v>10.502015112658095</v>
      </c>
      <c r="O2" s="2">
        <f>('[1]Qc, Summer, S2'!O2*Main!$B$5)</f>
        <v>10.818218033287332</v>
      </c>
      <c r="P2" s="2">
        <f>('[1]Qc, Summer, S2'!P2*Main!$B$5)</f>
        <v>5.5818034887437573</v>
      </c>
      <c r="Q2" s="2">
        <f>('[1]Qc, Summer, S2'!Q2*Main!$B$5)</f>
        <v>1.4111474898240721</v>
      </c>
      <c r="R2" s="2">
        <f>('[1]Qc, Summer, S2'!R2*Main!$B$5)</f>
        <v>3.139240878412731</v>
      </c>
      <c r="S2" s="2">
        <f>('[1]Qc, Summer, S2'!S2*Main!$B$5)</f>
        <v>3.8130922736899091</v>
      </c>
      <c r="T2" s="2">
        <f>('[1]Qc, Summer, S2'!T2*Main!$B$5)</f>
        <v>2.2972444961099736</v>
      </c>
      <c r="U2" s="2">
        <f>('[1]Qc, Summer, S2'!U2*Main!$B$5)</f>
        <v>-0.42854284544070798</v>
      </c>
      <c r="V2" s="2">
        <f>('[1]Qc, Summer, S2'!V2*Main!$B$5)</f>
        <v>-1.6729624301649602</v>
      </c>
      <c r="W2" s="2">
        <f>('[1]Qc, Summer, S2'!W2*Main!$B$5)</f>
        <v>-1.1639233066376335</v>
      </c>
      <c r="X2" s="2">
        <f>('[1]Qc, Summer, S2'!X2*Main!$B$5)</f>
        <v>-5.5818766252678893</v>
      </c>
      <c r="Y2" s="2">
        <f>('[1]Qc, Summer, S2'!Y2*Main!$B$5)</f>
        <v>-7.5555244934915038</v>
      </c>
    </row>
    <row r="3" spans="1:25" x14ac:dyDescent="0.3">
      <c r="A3">
        <v>2</v>
      </c>
      <c r="B3" s="2">
        <f>('[1]Qc, Summer, S2'!B3*Main!$B$5)</f>
        <v>-15.830811350346961</v>
      </c>
      <c r="C3" s="2">
        <f>('[1]Qc, Summer, S2'!C3*Main!$B$5)</f>
        <v>-15.830811350346961</v>
      </c>
      <c r="D3" s="2">
        <f>('[1]Qc, Summer, S2'!D3*Main!$B$5)</f>
        <v>-18.378638385445591</v>
      </c>
      <c r="E3" s="2">
        <f>('[1]Qc, Summer, S2'!E3*Main!$B$5)</f>
        <v>-20.926465420544226</v>
      </c>
      <c r="F3" s="2">
        <f>('[1]Qc, Summer, S2'!F3*Main!$B$5)</f>
        <v>-20.926465420544226</v>
      </c>
      <c r="G3" s="2">
        <f>('[1]Qc, Summer, S2'!G3*Main!$B$5)</f>
        <v>-20.926465420544226</v>
      </c>
      <c r="H3" s="2">
        <f>('[1]Qc, Summer, S2'!H3*Main!$B$5)</f>
        <v>-8.3441253067916321</v>
      </c>
      <c r="I3" s="2">
        <f>('[1]Qc, Summer, S2'!I3*Main!$B$5)</f>
        <v>1.7295907388445713</v>
      </c>
      <c r="J3" s="2">
        <f>('[1]Qc, Summer, S2'!J3*Main!$B$5)</f>
        <v>5.4925415560895692</v>
      </c>
      <c r="K3" s="2">
        <f>('[1]Qc, Summer, S2'!K3*Main!$B$5)</f>
        <v>5.4925415560895692</v>
      </c>
      <c r="L3" s="2">
        <f>('[1]Qc, Summer, S2'!L3*Main!$B$5)</f>
        <v>5.0221648125843137</v>
      </c>
      <c r="M3" s="2">
        <f>('[1]Qc, Summer, S2'!M3*Main!$B$5)</f>
        <v>7.0604163194314316</v>
      </c>
      <c r="N3" s="2">
        <f>('[1]Qc, Summer, S2'!N3*Main!$B$5)</f>
        <v>9.5690445697838058</v>
      </c>
      <c r="O3" s="2">
        <f>('[1]Qc, Summer, S2'!O3*Main!$B$5)</f>
        <v>9.8630353229616539</v>
      </c>
      <c r="P3" s="2">
        <f>('[1]Qc, Summer, S2'!P3*Main!$B$5)</f>
        <v>5.5317361144601458</v>
      </c>
      <c r="Q3" s="2">
        <f>('[1]Qc, Summer, S2'!Q3*Main!$B$5)</f>
        <v>4.316612310243932</v>
      </c>
      <c r="R3" s="2">
        <f>('[1]Qc, Summer, S2'!R3*Main!$B$5)</f>
        <v>-0.70064423460050962</v>
      </c>
      <c r="S3" s="2">
        <f>('[1]Qc, Summer, S2'!S3*Main!$B$5)</f>
        <v>-0.70064423460050962</v>
      </c>
      <c r="T3" s="2">
        <f>('[1]Qc, Summer, S2'!T3*Main!$B$5)</f>
        <v>-0.70064423460050962</v>
      </c>
      <c r="U3" s="2">
        <f>('[1]Qc, Summer, S2'!U3*Main!$B$5)</f>
        <v>-0.70064423460050962</v>
      </c>
      <c r="V3" s="2">
        <f>('[1]Qc, Summer, S2'!V3*Main!$B$5)</f>
        <v>-4.4635992561513413</v>
      </c>
      <c r="W3" s="2">
        <f>('[1]Qc, Summer, S2'!W3*Main!$B$5)</f>
        <v>-5.7179175966682845</v>
      </c>
      <c r="X3" s="2">
        <f>('[1]Qc, Summer, S2'!X3*Main!$B$5)</f>
        <v>-15.987589583829271</v>
      </c>
      <c r="Y3" s="2">
        <f>('[1]Qc, Summer, S2'!Y3*Main!$B$5)</f>
        <v>-15.987589583829271</v>
      </c>
    </row>
    <row r="4" spans="1:25" x14ac:dyDescent="0.3">
      <c r="A4">
        <v>3</v>
      </c>
      <c r="B4" s="2">
        <f>('[1]Qc, Summer, S2'!B4*Main!$B$5)</f>
        <v>12.77904751698229</v>
      </c>
      <c r="C4" s="2">
        <f>('[1]Qc, Summer, S2'!C4*Main!$B$5)</f>
        <v>9.7912266798270071</v>
      </c>
      <c r="D4" s="2">
        <f>('[1]Qc, Summer, S2'!D4*Main!$B$5)</f>
        <v>9.2786538896298563</v>
      </c>
      <c r="E4" s="2">
        <f>('[1]Qc, Summer, S2'!E4*Main!$B$5)</f>
        <v>8.1037342835096631</v>
      </c>
      <c r="F4" s="2">
        <f>('[1]Qc, Summer, S2'!F4*Main!$B$5)</f>
        <v>9.3290020153898201</v>
      </c>
      <c r="G4" s="2">
        <f>('[1]Qc, Summer, S2'!G4*Main!$B$5)</f>
        <v>4.3297344269821201</v>
      </c>
      <c r="H4" s="2">
        <f>('[1]Qc, Summer, S2'!H4*Main!$B$5)</f>
        <v>7.5543753920342809</v>
      </c>
      <c r="I4" s="2">
        <f>('[1]Qc, Summer, S2'!I4*Main!$B$5)</f>
        <v>14.516624883325491</v>
      </c>
      <c r="J4" s="2">
        <f>('[1]Qc, Summer, S2'!J4*Main!$B$5)</f>
        <v>21.11725776205509</v>
      </c>
      <c r="K4" s="2">
        <f>('[1]Qc, Summer, S2'!K4*Main!$B$5)</f>
        <v>25.093175677841515</v>
      </c>
      <c r="L4" s="2">
        <f>('[1]Qc, Summer, S2'!L4*Main!$B$5)</f>
        <v>27.394023879799061</v>
      </c>
      <c r="M4" s="2">
        <f>('[1]Qc, Summer, S2'!M4*Main!$B$5)</f>
        <v>28.394149520490121</v>
      </c>
      <c r="N4" s="2">
        <f>('[1]Qc, Summer, S2'!N4*Main!$B$5)</f>
        <v>29.670465853050452</v>
      </c>
      <c r="O4" s="2">
        <f>('[1]Qc, Summer, S2'!O4*Main!$B$5)</f>
        <v>29.894950600777459</v>
      </c>
      <c r="P4" s="2">
        <f>('[1]Qc, Summer, S2'!P4*Main!$B$5)</f>
        <v>29.682756845506155</v>
      </c>
      <c r="Q4" s="2">
        <f>('[1]Qc, Summer, S2'!Q4*Main!$B$5)</f>
        <v>28.694660350136747</v>
      </c>
      <c r="R4" s="2">
        <f>('[1]Qc, Summer, S2'!R4*Main!$B$5)</f>
        <v>27.307546973789815</v>
      </c>
      <c r="S4" s="2">
        <f>('[1]Qc, Summer, S2'!S4*Main!$B$5)</f>
        <v>24.232373186442715</v>
      </c>
      <c r="T4" s="2">
        <f>('[1]Qc, Summer, S2'!T4*Main!$B$5)</f>
        <v>24.120261485642789</v>
      </c>
      <c r="U4" s="2">
        <f>('[1]Qc, Summer, S2'!U4*Main!$B$5)</f>
        <v>22.945649639824619</v>
      </c>
      <c r="V4" s="2">
        <f>('[1]Qc, Summer, S2'!V4*Main!$B$5)</f>
        <v>20.683164716286985</v>
      </c>
      <c r="W4" s="2">
        <f>('[1]Qc, Summer, S2'!W4*Main!$B$5)</f>
        <v>24.795075267080477</v>
      </c>
      <c r="X4" s="2">
        <f>('[1]Qc, Summer, S2'!X4*Main!$B$5)</f>
        <v>22.2172899552546</v>
      </c>
      <c r="Y4" s="2">
        <f>('[1]Qc, Summer, S2'!Y4*Main!$B$5)</f>
        <v>17.879580478294518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54F7-4A4C-4FD4-99A4-806C18C20FF2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-12.508712062479521</v>
      </c>
      <c r="C2" s="2">
        <f>('[1]Qc, Summer, S2'!C2*Main!$B$5)</f>
        <v>-16.26286163059109</v>
      </c>
      <c r="D2" s="2">
        <f>('[1]Qc, Summer, S2'!D2*Main!$B$5)</f>
        <v>-17.924812010446527</v>
      </c>
      <c r="E2" s="2">
        <f>('[1]Qc, Summer, S2'!E2*Main!$B$5)</f>
        <v>-16.357330052732209</v>
      </c>
      <c r="F2" s="2">
        <f>('[1]Qc, Summer, S2'!F2*Main!$B$5)</f>
        <v>-17.532857090748465</v>
      </c>
      <c r="G2" s="2">
        <f>('[1]Qc, Summer, S2'!G2*Main!$B$5)</f>
        <v>-17.936970360466479</v>
      </c>
      <c r="H2" s="2">
        <f>('[1]Qc, Summer, S2'!H2*Main!$B$5)</f>
        <v>-15.54579795654392</v>
      </c>
      <c r="I2" s="2">
        <f>('[1]Qc, Summer, S2'!I2*Main!$B$5)</f>
        <v>-2.4185768983613425</v>
      </c>
      <c r="J2" s="2">
        <f>('[1]Qc, Summer, S2'!J2*Main!$B$5)</f>
        <v>7.763453875932929</v>
      </c>
      <c r="K2" s="2">
        <f>('[1]Qc, Summer, S2'!K2*Main!$B$5)</f>
        <v>11.302079805431243</v>
      </c>
      <c r="L2" s="2">
        <f>('[1]Qc, Summer, S2'!L2*Main!$B$5)</f>
        <v>8.8844451575252226</v>
      </c>
      <c r="M2" s="2">
        <f>('[1]Qc, Summer, S2'!M2*Main!$B$5)</f>
        <v>11.834324888628462</v>
      </c>
      <c r="N2" s="2">
        <f>('[1]Qc, Summer, S2'!N2*Main!$B$5)</f>
        <v>10.502015112658095</v>
      </c>
      <c r="O2" s="2">
        <f>('[1]Qc, Summer, S2'!O2*Main!$B$5)</f>
        <v>10.818218033287332</v>
      </c>
      <c r="P2" s="2">
        <f>('[1]Qc, Summer, S2'!P2*Main!$B$5)</f>
        <v>5.5818034887437573</v>
      </c>
      <c r="Q2" s="2">
        <f>('[1]Qc, Summer, S2'!Q2*Main!$B$5)</f>
        <v>1.4111474898240721</v>
      </c>
      <c r="R2" s="2">
        <f>('[1]Qc, Summer, S2'!R2*Main!$B$5)</f>
        <v>3.139240878412731</v>
      </c>
      <c r="S2" s="2">
        <f>('[1]Qc, Summer, S2'!S2*Main!$B$5)</f>
        <v>3.8130922736899091</v>
      </c>
      <c r="T2" s="2">
        <f>('[1]Qc, Summer, S2'!T2*Main!$B$5)</f>
        <v>2.2972444961099736</v>
      </c>
      <c r="U2" s="2">
        <f>('[1]Qc, Summer, S2'!U2*Main!$B$5)</f>
        <v>-0.42854284544070798</v>
      </c>
      <c r="V2" s="2">
        <f>('[1]Qc, Summer, S2'!V2*Main!$B$5)</f>
        <v>-1.6729624301649602</v>
      </c>
      <c r="W2" s="2">
        <f>('[1]Qc, Summer, S2'!W2*Main!$B$5)</f>
        <v>-1.1639233066376335</v>
      </c>
      <c r="X2" s="2">
        <f>('[1]Qc, Summer, S2'!X2*Main!$B$5)</f>
        <v>-5.5818766252678893</v>
      </c>
      <c r="Y2" s="2">
        <f>('[1]Qc, Summer, S2'!Y2*Main!$B$5)</f>
        <v>-7.5555244934915038</v>
      </c>
    </row>
    <row r="3" spans="1:25" x14ac:dyDescent="0.3">
      <c r="A3">
        <v>2</v>
      </c>
      <c r="B3" s="2">
        <f>('[1]Qc, Summer, S2'!B3*Main!$B$5)</f>
        <v>-15.830811350346961</v>
      </c>
      <c r="C3" s="2">
        <f>('[1]Qc, Summer, S2'!C3*Main!$B$5)</f>
        <v>-15.830811350346961</v>
      </c>
      <c r="D3" s="2">
        <f>('[1]Qc, Summer, S2'!D3*Main!$B$5)</f>
        <v>-18.378638385445591</v>
      </c>
      <c r="E3" s="2">
        <f>('[1]Qc, Summer, S2'!E3*Main!$B$5)</f>
        <v>-20.926465420544226</v>
      </c>
      <c r="F3" s="2">
        <f>('[1]Qc, Summer, S2'!F3*Main!$B$5)</f>
        <v>-20.926465420544226</v>
      </c>
      <c r="G3" s="2">
        <f>('[1]Qc, Summer, S2'!G3*Main!$B$5)</f>
        <v>-20.926465420544226</v>
      </c>
      <c r="H3" s="2">
        <f>('[1]Qc, Summer, S2'!H3*Main!$B$5)</f>
        <v>-8.3441253067916321</v>
      </c>
      <c r="I3" s="2">
        <f>('[1]Qc, Summer, S2'!I3*Main!$B$5)</f>
        <v>1.7295907388445713</v>
      </c>
      <c r="J3" s="2">
        <f>('[1]Qc, Summer, S2'!J3*Main!$B$5)</f>
        <v>5.4925415560895692</v>
      </c>
      <c r="K3" s="2">
        <f>('[1]Qc, Summer, S2'!K3*Main!$B$5)</f>
        <v>5.4925415560895692</v>
      </c>
      <c r="L3" s="2">
        <f>('[1]Qc, Summer, S2'!L3*Main!$B$5)</f>
        <v>5.0221648125843137</v>
      </c>
      <c r="M3" s="2">
        <f>('[1]Qc, Summer, S2'!M3*Main!$B$5)</f>
        <v>7.0604163194314316</v>
      </c>
      <c r="N3" s="2">
        <f>('[1]Qc, Summer, S2'!N3*Main!$B$5)</f>
        <v>9.5690445697838058</v>
      </c>
      <c r="O3" s="2">
        <f>('[1]Qc, Summer, S2'!O3*Main!$B$5)</f>
        <v>9.8630353229616539</v>
      </c>
      <c r="P3" s="2">
        <f>('[1]Qc, Summer, S2'!P3*Main!$B$5)</f>
        <v>5.5317361144601458</v>
      </c>
      <c r="Q3" s="2">
        <f>('[1]Qc, Summer, S2'!Q3*Main!$B$5)</f>
        <v>4.316612310243932</v>
      </c>
      <c r="R3" s="2">
        <f>('[1]Qc, Summer, S2'!R3*Main!$B$5)</f>
        <v>-0.70064423460050962</v>
      </c>
      <c r="S3" s="2">
        <f>('[1]Qc, Summer, S2'!S3*Main!$B$5)</f>
        <v>-0.70064423460050962</v>
      </c>
      <c r="T3" s="2">
        <f>('[1]Qc, Summer, S2'!T3*Main!$B$5)</f>
        <v>-0.70064423460050962</v>
      </c>
      <c r="U3" s="2">
        <f>('[1]Qc, Summer, S2'!U3*Main!$B$5)</f>
        <v>-0.70064423460050962</v>
      </c>
      <c r="V3" s="2">
        <f>('[1]Qc, Summer, S2'!V3*Main!$B$5)</f>
        <v>-4.4635992561513413</v>
      </c>
      <c r="W3" s="2">
        <f>('[1]Qc, Summer, S2'!W3*Main!$B$5)</f>
        <v>-5.7179175966682845</v>
      </c>
      <c r="X3" s="2">
        <f>('[1]Qc, Summer, S2'!X3*Main!$B$5)</f>
        <v>-15.987589583829271</v>
      </c>
      <c r="Y3" s="2">
        <f>('[1]Qc, Summer, S2'!Y3*Main!$B$5)</f>
        <v>-15.987589583829271</v>
      </c>
    </row>
    <row r="4" spans="1:25" x14ac:dyDescent="0.3">
      <c r="A4">
        <v>3</v>
      </c>
      <c r="B4" s="2">
        <f>('[1]Qc, Summer, S2'!B4*Main!$B$5)</f>
        <v>12.77904751698229</v>
      </c>
      <c r="C4" s="2">
        <f>('[1]Qc, Summer, S2'!C4*Main!$B$5)</f>
        <v>9.7912266798270071</v>
      </c>
      <c r="D4" s="2">
        <f>('[1]Qc, Summer, S2'!D4*Main!$B$5)</f>
        <v>9.2786538896298563</v>
      </c>
      <c r="E4" s="2">
        <f>('[1]Qc, Summer, S2'!E4*Main!$B$5)</f>
        <v>8.1037342835096631</v>
      </c>
      <c r="F4" s="2">
        <f>('[1]Qc, Summer, S2'!F4*Main!$B$5)</f>
        <v>9.3290020153898201</v>
      </c>
      <c r="G4" s="2">
        <f>('[1]Qc, Summer, S2'!G4*Main!$B$5)</f>
        <v>4.3297344269821201</v>
      </c>
      <c r="H4" s="2">
        <f>('[1]Qc, Summer, S2'!H4*Main!$B$5)</f>
        <v>7.5543753920342809</v>
      </c>
      <c r="I4" s="2">
        <f>('[1]Qc, Summer, S2'!I4*Main!$B$5)</f>
        <v>14.516624883325491</v>
      </c>
      <c r="J4" s="2">
        <f>('[1]Qc, Summer, S2'!J4*Main!$B$5)</f>
        <v>21.11725776205509</v>
      </c>
      <c r="K4" s="2">
        <f>('[1]Qc, Summer, S2'!K4*Main!$B$5)</f>
        <v>25.093175677841515</v>
      </c>
      <c r="L4" s="2">
        <f>('[1]Qc, Summer, S2'!L4*Main!$B$5)</f>
        <v>27.394023879799061</v>
      </c>
      <c r="M4" s="2">
        <f>('[1]Qc, Summer, S2'!M4*Main!$B$5)</f>
        <v>28.394149520490121</v>
      </c>
      <c r="N4" s="2">
        <f>('[1]Qc, Summer, S2'!N4*Main!$B$5)</f>
        <v>29.670465853050452</v>
      </c>
      <c r="O4" s="2">
        <f>('[1]Qc, Summer, S2'!O4*Main!$B$5)</f>
        <v>29.894950600777459</v>
      </c>
      <c r="P4" s="2">
        <f>('[1]Qc, Summer, S2'!P4*Main!$B$5)</f>
        <v>29.682756845506155</v>
      </c>
      <c r="Q4" s="2">
        <f>('[1]Qc, Summer, S2'!Q4*Main!$B$5)</f>
        <v>28.694660350136747</v>
      </c>
      <c r="R4" s="2">
        <f>('[1]Qc, Summer, S2'!R4*Main!$B$5)</f>
        <v>27.307546973789815</v>
      </c>
      <c r="S4" s="2">
        <f>('[1]Qc, Summer, S2'!S4*Main!$B$5)</f>
        <v>24.232373186442715</v>
      </c>
      <c r="T4" s="2">
        <f>('[1]Qc, Summer, S2'!T4*Main!$B$5)</f>
        <v>24.120261485642789</v>
      </c>
      <c r="U4" s="2">
        <f>('[1]Qc, Summer, S2'!U4*Main!$B$5)</f>
        <v>22.945649639824619</v>
      </c>
      <c r="V4" s="2">
        <f>('[1]Qc, Summer, S2'!V4*Main!$B$5)</f>
        <v>20.683164716286985</v>
      </c>
      <c r="W4" s="2">
        <f>('[1]Qc, Summer, S2'!W4*Main!$B$5)</f>
        <v>24.795075267080477</v>
      </c>
      <c r="X4" s="2">
        <f>('[1]Qc, Summer, S2'!X4*Main!$B$5)</f>
        <v>22.2172899552546</v>
      </c>
      <c r="Y4" s="2">
        <f>('[1]Qc, Summer, S2'!Y4*Main!$B$5)</f>
        <v>17.879580478294518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2F1C1-7ED8-49F9-AA45-64CF74869C8E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-11.901493030320321</v>
      </c>
      <c r="C2" s="2">
        <f>('[1]Qc, Summer, S3'!C2*Main!$B$5)</f>
        <v>-15.47340232813521</v>
      </c>
      <c r="D2" s="2">
        <f>('[1]Qc, Summer, S3'!D2*Main!$B$5)</f>
        <v>-17.054675505085044</v>
      </c>
      <c r="E2" s="2">
        <f>('[1]Qc, Summer, S3'!E2*Main!$B$5)</f>
        <v>-15.563284904541325</v>
      </c>
      <c r="F2" s="2">
        <f>('[1]Qc, Summer, S3'!F2*Main!$B$5)</f>
        <v>-16.681747523236403</v>
      </c>
      <c r="G2" s="2">
        <f>('[1]Qc, Summer, S3'!G2*Main!$B$5)</f>
        <v>-17.066243643938975</v>
      </c>
      <c r="H2" s="2">
        <f>('[1]Qc, Summer, S3'!H2*Main!$B$5)</f>
        <v>-14.791147570303922</v>
      </c>
      <c r="I2" s="2">
        <f>('[1]Qc, Summer, S3'!I2*Main!$B$5)</f>
        <v>-2.301170252809821</v>
      </c>
      <c r="J2" s="2">
        <f>('[1]Qc, Summer, S3'!J2*Main!$B$5)</f>
        <v>7.3865871829264762</v>
      </c>
      <c r="K2" s="2">
        <f>('[1]Qc, Summer, S3'!K2*Main!$B$5)</f>
        <v>10.753435154682153</v>
      </c>
      <c r="L2" s="2">
        <f>('[1]Qc, Summer, S3'!L2*Main!$B$5)</f>
        <v>8.4531614120142891</v>
      </c>
      <c r="M2" s="2">
        <f>('[1]Qc, Summer, S3'!M2*Main!$B$5)</f>
        <v>11.259843097918344</v>
      </c>
      <c r="N2" s="2">
        <f>('[1]Qc, Summer, S3'!N2*Main!$B$5)</f>
        <v>9.9922085537911975</v>
      </c>
      <c r="O2" s="2">
        <f>('[1]Qc, Summer, S3'!O2*Main!$B$5)</f>
        <v>10.29306181807921</v>
      </c>
      <c r="P2" s="2">
        <f>('[1]Qc, Summer, S3'!P2*Main!$B$5)</f>
        <v>5.3108421543387205</v>
      </c>
      <c r="Q2" s="2">
        <f>('[1]Qc, Summer, S3'!Q2*Main!$B$5)</f>
        <v>1.3426451844928065</v>
      </c>
      <c r="R2" s="2">
        <f>('[1]Qc, Summer, S3'!R2*Main!$B$5)</f>
        <v>2.9868505445092004</v>
      </c>
      <c r="S2" s="2">
        <f>('[1]Qc, Summer, S3'!S2*Main!$B$5)</f>
        <v>3.6279907070059325</v>
      </c>
      <c r="T2" s="2">
        <f>('[1]Qc, Summer, S3'!T2*Main!$B$5)</f>
        <v>2.1857277729978395</v>
      </c>
      <c r="U2" s="2">
        <f>('[1]Qc, Summer, S3'!U2*Main!$B$5)</f>
        <v>-0.40773979469115901</v>
      </c>
      <c r="V2" s="2">
        <f>('[1]Qc, Summer, S3'!V2*Main!$B$5)</f>
        <v>-1.5917506617103503</v>
      </c>
      <c r="W2" s="2">
        <f>('[1]Qc, Summer, S3'!W2*Main!$B$5)</f>
        <v>-1.1074221752474571</v>
      </c>
      <c r="X2" s="2">
        <f>('[1]Qc, Summer, S3'!X2*Main!$B$5)</f>
        <v>-5.3109117405461461</v>
      </c>
      <c r="Y2" s="2">
        <f>('[1]Qc, Summer, S3'!Y2*Main!$B$5)</f>
        <v>-7.1887514598268689</v>
      </c>
    </row>
    <row r="3" spans="1:25" x14ac:dyDescent="0.3">
      <c r="A3">
        <v>2</v>
      </c>
      <c r="B3" s="2">
        <f>('[1]Qc, Summer, S3'!B3*Main!$B$5)</f>
        <v>-15.062325362466041</v>
      </c>
      <c r="C3" s="2">
        <f>('[1]Qc, Summer, S3'!C3*Main!$B$5)</f>
        <v>-15.062325362466041</v>
      </c>
      <c r="D3" s="2">
        <f>('[1]Qc, Summer, S3'!D3*Main!$B$5)</f>
        <v>-17.486471473530756</v>
      </c>
      <c r="E3" s="2">
        <f>('[1]Qc, Summer, S3'!E3*Main!$B$5)</f>
        <v>-19.910617584595471</v>
      </c>
      <c r="F3" s="2">
        <f>('[1]Qc, Summer, S3'!F3*Main!$B$5)</f>
        <v>-19.910617584595471</v>
      </c>
      <c r="G3" s="2">
        <f>('[1]Qc, Summer, S3'!G3*Main!$B$5)</f>
        <v>-19.910617584595471</v>
      </c>
      <c r="H3" s="2">
        <f>('[1]Qc, Summer, S3'!H3*Main!$B$5)</f>
        <v>-7.9390706802483493</v>
      </c>
      <c r="I3" s="2">
        <f>('[1]Qc, Summer, S3'!I3*Main!$B$5)</f>
        <v>1.6456300233666792</v>
      </c>
      <c r="J3" s="2">
        <f>('[1]Qc, Summer, S3'!J3*Main!$B$5)</f>
        <v>5.225913325211434</v>
      </c>
      <c r="K3" s="2">
        <f>('[1]Qc, Summer, S3'!K3*Main!$B$5)</f>
        <v>5.225913325211434</v>
      </c>
      <c r="L3" s="2">
        <f>('[1]Qc, Summer, S3'!L3*Main!$B$5)</f>
        <v>4.7783704042064343</v>
      </c>
      <c r="M3" s="2">
        <f>('[1]Qc, Summer, S3'!M3*Main!$B$5)</f>
        <v>6.7176776631483532</v>
      </c>
      <c r="N3" s="2">
        <f>('[1]Qc, Summer, S3'!N3*Main!$B$5)</f>
        <v>9.104527843095271</v>
      </c>
      <c r="O3" s="2">
        <f>('[1]Qc, Summer, S3'!O3*Main!$B$5)</f>
        <v>9.3842472004877866</v>
      </c>
      <c r="P3" s="2">
        <f>('[1]Qc, Summer, S3'!P3*Main!$B$5)</f>
        <v>5.2632052351174199</v>
      </c>
      <c r="Q3" s="2">
        <f>('[1]Qc, Summer, S3'!Q3*Main!$B$5)</f>
        <v>4.1070680233388863</v>
      </c>
      <c r="R3" s="2">
        <f>('[1]Qc, Summer, S3'!R3*Main!$B$5)</f>
        <v>-0.66663237855194124</v>
      </c>
      <c r="S3" s="2">
        <f>('[1]Qc, Summer, S3'!S3*Main!$B$5)</f>
        <v>-0.66663237855194124</v>
      </c>
      <c r="T3" s="2">
        <f>('[1]Qc, Summer, S3'!T3*Main!$B$5)</f>
        <v>-0.66663237855194124</v>
      </c>
      <c r="U3" s="2">
        <f>('[1]Qc, Summer, S3'!U3*Main!$B$5)</f>
        <v>-0.66663237855194124</v>
      </c>
      <c r="V3" s="2">
        <f>('[1]Qc, Summer, S3'!V3*Main!$B$5)</f>
        <v>-4.2469196806100138</v>
      </c>
      <c r="W3" s="2">
        <f>('[1]Qc, Summer, S3'!W3*Main!$B$5)</f>
        <v>-5.4403487812960369</v>
      </c>
      <c r="X3" s="2">
        <f>('[1]Qc, Summer, S3'!X3*Main!$B$5)</f>
        <v>-15.211493002089986</v>
      </c>
      <c r="Y3" s="2">
        <f>('[1]Qc, Summer, S3'!Y3*Main!$B$5)</f>
        <v>-15.211493002089986</v>
      </c>
    </row>
    <row r="4" spans="1:25" x14ac:dyDescent="0.3">
      <c r="A4">
        <v>3</v>
      </c>
      <c r="B4" s="2">
        <f>('[1]Qc, Summer, S3'!B4*Main!$B$5)</f>
        <v>12.158705404507423</v>
      </c>
      <c r="C4" s="2">
        <f>('[1]Qc, Summer, S3'!C4*Main!$B$5)</f>
        <v>9.3159244138159885</v>
      </c>
      <c r="D4" s="2">
        <f>('[1]Qc, Summer, S3'!D4*Main!$B$5)</f>
        <v>8.8282337979002499</v>
      </c>
      <c r="E4" s="2">
        <f>('[1]Qc, Summer, S3'!E4*Main!$B$5)</f>
        <v>7.7103491241159903</v>
      </c>
      <c r="F4" s="2">
        <f>('[1]Qc, Summer, S3'!F4*Main!$B$5)</f>
        <v>8.8761378398854607</v>
      </c>
      <c r="G4" s="2">
        <f>('[1]Qc, Summer, S3'!G4*Main!$B$5)</f>
        <v>4.1195531441189104</v>
      </c>
      <c r="H4" s="2">
        <f>('[1]Qc, Summer, S3'!H4*Main!$B$5)</f>
        <v>7.1876581399937818</v>
      </c>
      <c r="I4" s="2">
        <f>('[1]Qc, Summer, S3'!I4*Main!$B$5)</f>
        <v>13.811934355008718</v>
      </c>
      <c r="J4" s="2">
        <f>('[1]Qc, Summer, S3'!J4*Main!$B$5)</f>
        <v>20.092148161955325</v>
      </c>
      <c r="K4" s="2">
        <f>('[1]Qc, Summer, S3'!K4*Main!$B$5)</f>
        <v>23.875060353674449</v>
      </c>
      <c r="L4" s="2">
        <f>('[1]Qc, Summer, S3'!L4*Main!$B$5)</f>
        <v>26.064216895342799</v>
      </c>
      <c r="M4" s="2">
        <f>('[1]Qc, Summer, S3'!M4*Main!$B$5)</f>
        <v>27.015792747650796</v>
      </c>
      <c r="N4" s="2">
        <f>('[1]Qc, Summer, S3'!N4*Main!$B$5)</f>
        <v>28.230151976688777</v>
      </c>
      <c r="O4" s="2">
        <f>('[1]Qc, Summer, S3'!O4*Main!$B$5)</f>
        <v>28.443739406564962</v>
      </c>
      <c r="P4" s="2">
        <f>('[1]Qc, Summer, S3'!P4*Main!$B$5)</f>
        <v>28.241846319025271</v>
      </c>
      <c r="Q4" s="2">
        <f>('[1]Qc, Summer, S3'!Q4*Main!$B$5)</f>
        <v>27.30171567294564</v>
      </c>
      <c r="R4" s="2">
        <f>('[1]Qc, Summer, S3'!R4*Main!$B$5)</f>
        <v>25.981937897392253</v>
      </c>
      <c r="S4" s="2">
        <f>('[1]Qc, Summer, S3'!S4*Main!$B$5)</f>
        <v>23.056044390984329</v>
      </c>
      <c r="T4" s="2">
        <f>('[1]Qc, Summer, S3'!T4*Main!$B$5)</f>
        <v>22.949375005757215</v>
      </c>
      <c r="U4" s="2">
        <f>('[1]Qc, Summer, S3'!U4*Main!$B$5)</f>
        <v>21.831783152454495</v>
      </c>
      <c r="V4" s="2">
        <f>('[1]Qc, Summer, S3'!V4*Main!$B$5)</f>
        <v>19.679127594137132</v>
      </c>
      <c r="W4" s="2">
        <f>('[1]Qc, Summer, S3'!W4*Main!$B$5)</f>
        <v>23.591430836639677</v>
      </c>
      <c r="X4" s="2">
        <f>('[1]Qc, Summer, S3'!X4*Main!$B$5)</f>
        <v>21.138780734125739</v>
      </c>
      <c r="Y4" s="2">
        <f>('[1]Qc, Summer, S3'!Y4*Main!$B$5)</f>
        <v>17.011639678377307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26A48-2DFF-4EC4-A667-3A915A0E6E00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-11.901493030320321</v>
      </c>
      <c r="C2" s="2">
        <f>('[1]Qc, Summer, S3'!C2*Main!$B$5)</f>
        <v>-15.47340232813521</v>
      </c>
      <c r="D2" s="2">
        <f>('[1]Qc, Summer, S3'!D2*Main!$B$5)</f>
        <v>-17.054675505085044</v>
      </c>
      <c r="E2" s="2">
        <f>('[1]Qc, Summer, S3'!E2*Main!$B$5)</f>
        <v>-15.563284904541325</v>
      </c>
      <c r="F2" s="2">
        <f>('[1]Qc, Summer, S3'!F2*Main!$B$5)</f>
        <v>-16.681747523236403</v>
      </c>
      <c r="G2" s="2">
        <f>('[1]Qc, Summer, S3'!G2*Main!$B$5)</f>
        <v>-17.066243643938975</v>
      </c>
      <c r="H2" s="2">
        <f>('[1]Qc, Summer, S3'!H2*Main!$B$5)</f>
        <v>-14.791147570303922</v>
      </c>
      <c r="I2" s="2">
        <f>('[1]Qc, Summer, S3'!I2*Main!$B$5)</f>
        <v>-2.301170252809821</v>
      </c>
      <c r="J2" s="2">
        <f>('[1]Qc, Summer, S3'!J2*Main!$B$5)</f>
        <v>7.3865871829264762</v>
      </c>
      <c r="K2" s="2">
        <f>('[1]Qc, Summer, S3'!K2*Main!$B$5)</f>
        <v>10.753435154682153</v>
      </c>
      <c r="L2" s="2">
        <f>('[1]Qc, Summer, S3'!L2*Main!$B$5)</f>
        <v>8.4531614120142891</v>
      </c>
      <c r="M2" s="2">
        <f>('[1]Qc, Summer, S3'!M2*Main!$B$5)</f>
        <v>11.259843097918344</v>
      </c>
      <c r="N2" s="2">
        <f>('[1]Qc, Summer, S3'!N2*Main!$B$5)</f>
        <v>9.9922085537911975</v>
      </c>
      <c r="O2" s="2">
        <f>('[1]Qc, Summer, S3'!O2*Main!$B$5)</f>
        <v>10.29306181807921</v>
      </c>
      <c r="P2" s="2">
        <f>('[1]Qc, Summer, S3'!P2*Main!$B$5)</f>
        <v>5.3108421543387205</v>
      </c>
      <c r="Q2" s="2">
        <f>('[1]Qc, Summer, S3'!Q2*Main!$B$5)</f>
        <v>1.3426451844928065</v>
      </c>
      <c r="R2" s="2">
        <f>('[1]Qc, Summer, S3'!R2*Main!$B$5)</f>
        <v>2.9868505445092004</v>
      </c>
      <c r="S2" s="2">
        <f>('[1]Qc, Summer, S3'!S2*Main!$B$5)</f>
        <v>3.6279907070059325</v>
      </c>
      <c r="T2" s="2">
        <f>('[1]Qc, Summer, S3'!T2*Main!$B$5)</f>
        <v>2.1857277729978395</v>
      </c>
      <c r="U2" s="2">
        <f>('[1]Qc, Summer, S3'!U2*Main!$B$5)</f>
        <v>-0.40773979469115901</v>
      </c>
      <c r="V2" s="2">
        <f>('[1]Qc, Summer, S3'!V2*Main!$B$5)</f>
        <v>-1.5917506617103503</v>
      </c>
      <c r="W2" s="2">
        <f>('[1]Qc, Summer, S3'!W2*Main!$B$5)</f>
        <v>-1.1074221752474571</v>
      </c>
      <c r="X2" s="2">
        <f>('[1]Qc, Summer, S3'!X2*Main!$B$5)</f>
        <v>-5.3109117405461461</v>
      </c>
      <c r="Y2" s="2">
        <f>('[1]Qc, Summer, S3'!Y2*Main!$B$5)</f>
        <v>-7.1887514598268689</v>
      </c>
    </row>
    <row r="3" spans="1:25" x14ac:dyDescent="0.3">
      <c r="A3">
        <v>2</v>
      </c>
      <c r="B3" s="2">
        <f>('[1]Qc, Summer, S3'!B3*Main!$B$5)</f>
        <v>-15.062325362466041</v>
      </c>
      <c r="C3" s="2">
        <f>('[1]Qc, Summer, S3'!C3*Main!$B$5)</f>
        <v>-15.062325362466041</v>
      </c>
      <c r="D3" s="2">
        <f>('[1]Qc, Summer, S3'!D3*Main!$B$5)</f>
        <v>-17.486471473530756</v>
      </c>
      <c r="E3" s="2">
        <f>('[1]Qc, Summer, S3'!E3*Main!$B$5)</f>
        <v>-19.910617584595471</v>
      </c>
      <c r="F3" s="2">
        <f>('[1]Qc, Summer, S3'!F3*Main!$B$5)</f>
        <v>-19.910617584595471</v>
      </c>
      <c r="G3" s="2">
        <f>('[1]Qc, Summer, S3'!G3*Main!$B$5)</f>
        <v>-19.910617584595471</v>
      </c>
      <c r="H3" s="2">
        <f>('[1]Qc, Summer, S3'!H3*Main!$B$5)</f>
        <v>-7.9390706802483493</v>
      </c>
      <c r="I3" s="2">
        <f>('[1]Qc, Summer, S3'!I3*Main!$B$5)</f>
        <v>1.6456300233666792</v>
      </c>
      <c r="J3" s="2">
        <f>('[1]Qc, Summer, S3'!J3*Main!$B$5)</f>
        <v>5.225913325211434</v>
      </c>
      <c r="K3" s="2">
        <f>('[1]Qc, Summer, S3'!K3*Main!$B$5)</f>
        <v>5.225913325211434</v>
      </c>
      <c r="L3" s="2">
        <f>('[1]Qc, Summer, S3'!L3*Main!$B$5)</f>
        <v>4.7783704042064343</v>
      </c>
      <c r="M3" s="2">
        <f>('[1]Qc, Summer, S3'!M3*Main!$B$5)</f>
        <v>6.7176776631483532</v>
      </c>
      <c r="N3" s="2">
        <f>('[1]Qc, Summer, S3'!N3*Main!$B$5)</f>
        <v>9.104527843095271</v>
      </c>
      <c r="O3" s="2">
        <f>('[1]Qc, Summer, S3'!O3*Main!$B$5)</f>
        <v>9.3842472004877866</v>
      </c>
      <c r="P3" s="2">
        <f>('[1]Qc, Summer, S3'!P3*Main!$B$5)</f>
        <v>5.2632052351174199</v>
      </c>
      <c r="Q3" s="2">
        <f>('[1]Qc, Summer, S3'!Q3*Main!$B$5)</f>
        <v>4.1070680233388863</v>
      </c>
      <c r="R3" s="2">
        <f>('[1]Qc, Summer, S3'!R3*Main!$B$5)</f>
        <v>-0.66663237855194124</v>
      </c>
      <c r="S3" s="2">
        <f>('[1]Qc, Summer, S3'!S3*Main!$B$5)</f>
        <v>-0.66663237855194124</v>
      </c>
      <c r="T3" s="2">
        <f>('[1]Qc, Summer, S3'!T3*Main!$B$5)</f>
        <v>-0.66663237855194124</v>
      </c>
      <c r="U3" s="2">
        <f>('[1]Qc, Summer, S3'!U3*Main!$B$5)</f>
        <v>-0.66663237855194124</v>
      </c>
      <c r="V3" s="2">
        <f>('[1]Qc, Summer, S3'!V3*Main!$B$5)</f>
        <v>-4.2469196806100138</v>
      </c>
      <c r="W3" s="2">
        <f>('[1]Qc, Summer, S3'!W3*Main!$B$5)</f>
        <v>-5.4403487812960369</v>
      </c>
      <c r="X3" s="2">
        <f>('[1]Qc, Summer, S3'!X3*Main!$B$5)</f>
        <v>-15.211493002089986</v>
      </c>
      <c r="Y3" s="2">
        <f>('[1]Qc, Summer, S3'!Y3*Main!$B$5)</f>
        <v>-15.211493002089986</v>
      </c>
    </row>
    <row r="4" spans="1:25" x14ac:dyDescent="0.3">
      <c r="A4">
        <v>3</v>
      </c>
      <c r="B4" s="2">
        <f>('[1]Qc, Summer, S3'!B4*Main!$B$5)</f>
        <v>12.158705404507423</v>
      </c>
      <c r="C4" s="2">
        <f>('[1]Qc, Summer, S3'!C4*Main!$B$5)</f>
        <v>9.3159244138159885</v>
      </c>
      <c r="D4" s="2">
        <f>('[1]Qc, Summer, S3'!D4*Main!$B$5)</f>
        <v>8.8282337979002499</v>
      </c>
      <c r="E4" s="2">
        <f>('[1]Qc, Summer, S3'!E4*Main!$B$5)</f>
        <v>7.7103491241159903</v>
      </c>
      <c r="F4" s="2">
        <f>('[1]Qc, Summer, S3'!F4*Main!$B$5)</f>
        <v>8.8761378398854607</v>
      </c>
      <c r="G4" s="2">
        <f>('[1]Qc, Summer, S3'!G4*Main!$B$5)</f>
        <v>4.1195531441189104</v>
      </c>
      <c r="H4" s="2">
        <f>('[1]Qc, Summer, S3'!H4*Main!$B$5)</f>
        <v>7.1876581399937818</v>
      </c>
      <c r="I4" s="2">
        <f>('[1]Qc, Summer, S3'!I4*Main!$B$5)</f>
        <v>13.811934355008718</v>
      </c>
      <c r="J4" s="2">
        <f>('[1]Qc, Summer, S3'!J4*Main!$B$5)</f>
        <v>20.092148161955325</v>
      </c>
      <c r="K4" s="2">
        <f>('[1]Qc, Summer, S3'!K4*Main!$B$5)</f>
        <v>23.875060353674449</v>
      </c>
      <c r="L4" s="2">
        <f>('[1]Qc, Summer, S3'!L4*Main!$B$5)</f>
        <v>26.064216895342799</v>
      </c>
      <c r="M4" s="2">
        <f>('[1]Qc, Summer, S3'!M4*Main!$B$5)</f>
        <v>27.015792747650796</v>
      </c>
      <c r="N4" s="2">
        <f>('[1]Qc, Summer, S3'!N4*Main!$B$5)</f>
        <v>28.230151976688777</v>
      </c>
      <c r="O4" s="2">
        <f>('[1]Qc, Summer, S3'!O4*Main!$B$5)</f>
        <v>28.443739406564962</v>
      </c>
      <c r="P4" s="2">
        <f>('[1]Qc, Summer, S3'!P4*Main!$B$5)</f>
        <v>28.241846319025271</v>
      </c>
      <c r="Q4" s="2">
        <f>('[1]Qc, Summer, S3'!Q4*Main!$B$5)</f>
        <v>27.30171567294564</v>
      </c>
      <c r="R4" s="2">
        <f>('[1]Qc, Summer, S3'!R4*Main!$B$5)</f>
        <v>25.981937897392253</v>
      </c>
      <c r="S4" s="2">
        <f>('[1]Qc, Summer, S3'!S4*Main!$B$5)</f>
        <v>23.056044390984329</v>
      </c>
      <c r="T4" s="2">
        <f>('[1]Qc, Summer, S3'!T4*Main!$B$5)</f>
        <v>22.949375005757215</v>
      </c>
      <c r="U4" s="2">
        <f>('[1]Qc, Summer, S3'!U4*Main!$B$5)</f>
        <v>21.831783152454495</v>
      </c>
      <c r="V4" s="2">
        <f>('[1]Qc, Summer, S3'!V4*Main!$B$5)</f>
        <v>19.679127594137132</v>
      </c>
      <c r="W4" s="2">
        <f>('[1]Qc, Summer, S3'!W4*Main!$B$5)</f>
        <v>23.591430836639677</v>
      </c>
      <c r="X4" s="2">
        <f>('[1]Qc, Summer, S3'!X4*Main!$B$5)</f>
        <v>21.138780734125739</v>
      </c>
      <c r="Y4" s="2">
        <f>('[1]Qc, Summer, S3'!Y4*Main!$B$5)</f>
        <v>17.011639678377307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802DA-9959-4345-9A7F-5BF7CCD7EDB6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-11.901493030320321</v>
      </c>
      <c r="C2" s="2">
        <f>('[1]Qc, Summer, S3'!C2*Main!$B$5)</f>
        <v>-15.47340232813521</v>
      </c>
      <c r="D2" s="2">
        <f>('[1]Qc, Summer, S3'!D2*Main!$B$5)</f>
        <v>-17.054675505085044</v>
      </c>
      <c r="E2" s="2">
        <f>('[1]Qc, Summer, S3'!E2*Main!$B$5)</f>
        <v>-15.563284904541325</v>
      </c>
      <c r="F2" s="2">
        <f>('[1]Qc, Summer, S3'!F2*Main!$B$5)</f>
        <v>-16.681747523236403</v>
      </c>
      <c r="G2" s="2">
        <f>('[1]Qc, Summer, S3'!G2*Main!$B$5)</f>
        <v>-17.066243643938975</v>
      </c>
      <c r="H2" s="2">
        <f>('[1]Qc, Summer, S3'!H2*Main!$B$5)</f>
        <v>-14.791147570303922</v>
      </c>
      <c r="I2" s="2">
        <f>('[1]Qc, Summer, S3'!I2*Main!$B$5)</f>
        <v>-2.301170252809821</v>
      </c>
      <c r="J2" s="2">
        <f>('[1]Qc, Summer, S3'!J2*Main!$B$5)</f>
        <v>7.3865871829264762</v>
      </c>
      <c r="K2" s="2">
        <f>('[1]Qc, Summer, S3'!K2*Main!$B$5)</f>
        <v>10.753435154682153</v>
      </c>
      <c r="L2" s="2">
        <f>('[1]Qc, Summer, S3'!L2*Main!$B$5)</f>
        <v>8.4531614120142891</v>
      </c>
      <c r="M2" s="2">
        <f>('[1]Qc, Summer, S3'!M2*Main!$B$5)</f>
        <v>11.259843097918344</v>
      </c>
      <c r="N2" s="2">
        <f>('[1]Qc, Summer, S3'!N2*Main!$B$5)</f>
        <v>9.9922085537911975</v>
      </c>
      <c r="O2" s="2">
        <f>('[1]Qc, Summer, S3'!O2*Main!$B$5)</f>
        <v>10.29306181807921</v>
      </c>
      <c r="P2" s="2">
        <f>('[1]Qc, Summer, S3'!P2*Main!$B$5)</f>
        <v>5.3108421543387205</v>
      </c>
      <c r="Q2" s="2">
        <f>('[1]Qc, Summer, S3'!Q2*Main!$B$5)</f>
        <v>1.3426451844928065</v>
      </c>
      <c r="R2" s="2">
        <f>('[1]Qc, Summer, S3'!R2*Main!$B$5)</f>
        <v>2.9868505445092004</v>
      </c>
      <c r="S2" s="2">
        <f>('[1]Qc, Summer, S3'!S2*Main!$B$5)</f>
        <v>3.6279907070059325</v>
      </c>
      <c r="T2" s="2">
        <f>('[1]Qc, Summer, S3'!T2*Main!$B$5)</f>
        <v>2.1857277729978395</v>
      </c>
      <c r="U2" s="2">
        <f>('[1]Qc, Summer, S3'!U2*Main!$B$5)</f>
        <v>-0.40773979469115901</v>
      </c>
      <c r="V2" s="2">
        <f>('[1]Qc, Summer, S3'!V2*Main!$B$5)</f>
        <v>-1.5917506617103503</v>
      </c>
      <c r="W2" s="2">
        <f>('[1]Qc, Summer, S3'!W2*Main!$B$5)</f>
        <v>-1.1074221752474571</v>
      </c>
      <c r="X2" s="2">
        <f>('[1]Qc, Summer, S3'!X2*Main!$B$5)</f>
        <v>-5.3109117405461461</v>
      </c>
      <c r="Y2" s="2">
        <f>('[1]Qc, Summer, S3'!Y2*Main!$B$5)</f>
        <v>-7.1887514598268689</v>
      </c>
    </row>
    <row r="3" spans="1:25" x14ac:dyDescent="0.3">
      <c r="A3">
        <v>2</v>
      </c>
      <c r="B3" s="2">
        <f>('[1]Qc, Summer, S3'!B3*Main!$B$5)</f>
        <v>-15.062325362466041</v>
      </c>
      <c r="C3" s="2">
        <f>('[1]Qc, Summer, S3'!C3*Main!$B$5)</f>
        <v>-15.062325362466041</v>
      </c>
      <c r="D3" s="2">
        <f>('[1]Qc, Summer, S3'!D3*Main!$B$5)</f>
        <v>-17.486471473530756</v>
      </c>
      <c r="E3" s="2">
        <f>('[1]Qc, Summer, S3'!E3*Main!$B$5)</f>
        <v>-19.910617584595471</v>
      </c>
      <c r="F3" s="2">
        <f>('[1]Qc, Summer, S3'!F3*Main!$B$5)</f>
        <v>-19.910617584595471</v>
      </c>
      <c r="G3" s="2">
        <f>('[1]Qc, Summer, S3'!G3*Main!$B$5)</f>
        <v>-19.910617584595471</v>
      </c>
      <c r="H3" s="2">
        <f>('[1]Qc, Summer, S3'!H3*Main!$B$5)</f>
        <v>-7.9390706802483493</v>
      </c>
      <c r="I3" s="2">
        <f>('[1]Qc, Summer, S3'!I3*Main!$B$5)</f>
        <v>1.6456300233666792</v>
      </c>
      <c r="J3" s="2">
        <f>('[1]Qc, Summer, S3'!J3*Main!$B$5)</f>
        <v>5.225913325211434</v>
      </c>
      <c r="K3" s="2">
        <f>('[1]Qc, Summer, S3'!K3*Main!$B$5)</f>
        <v>5.225913325211434</v>
      </c>
      <c r="L3" s="2">
        <f>('[1]Qc, Summer, S3'!L3*Main!$B$5)</f>
        <v>4.7783704042064343</v>
      </c>
      <c r="M3" s="2">
        <f>('[1]Qc, Summer, S3'!M3*Main!$B$5)</f>
        <v>6.7176776631483532</v>
      </c>
      <c r="N3" s="2">
        <f>('[1]Qc, Summer, S3'!N3*Main!$B$5)</f>
        <v>9.104527843095271</v>
      </c>
      <c r="O3" s="2">
        <f>('[1]Qc, Summer, S3'!O3*Main!$B$5)</f>
        <v>9.3842472004877866</v>
      </c>
      <c r="P3" s="2">
        <f>('[1]Qc, Summer, S3'!P3*Main!$B$5)</f>
        <v>5.2632052351174199</v>
      </c>
      <c r="Q3" s="2">
        <f>('[1]Qc, Summer, S3'!Q3*Main!$B$5)</f>
        <v>4.1070680233388863</v>
      </c>
      <c r="R3" s="2">
        <f>('[1]Qc, Summer, S3'!R3*Main!$B$5)</f>
        <v>-0.66663237855194124</v>
      </c>
      <c r="S3" s="2">
        <f>('[1]Qc, Summer, S3'!S3*Main!$B$5)</f>
        <v>-0.66663237855194124</v>
      </c>
      <c r="T3" s="2">
        <f>('[1]Qc, Summer, S3'!T3*Main!$B$5)</f>
        <v>-0.66663237855194124</v>
      </c>
      <c r="U3" s="2">
        <f>('[1]Qc, Summer, S3'!U3*Main!$B$5)</f>
        <v>-0.66663237855194124</v>
      </c>
      <c r="V3" s="2">
        <f>('[1]Qc, Summer, S3'!V3*Main!$B$5)</f>
        <v>-4.2469196806100138</v>
      </c>
      <c r="W3" s="2">
        <f>('[1]Qc, Summer, S3'!W3*Main!$B$5)</f>
        <v>-5.4403487812960369</v>
      </c>
      <c r="X3" s="2">
        <f>('[1]Qc, Summer, S3'!X3*Main!$B$5)</f>
        <v>-15.211493002089986</v>
      </c>
      <c r="Y3" s="2">
        <f>('[1]Qc, Summer, S3'!Y3*Main!$B$5)</f>
        <v>-15.211493002089986</v>
      </c>
    </row>
    <row r="4" spans="1:25" x14ac:dyDescent="0.3">
      <c r="A4">
        <v>3</v>
      </c>
      <c r="B4" s="2">
        <f>('[1]Qc, Summer, S3'!B4*Main!$B$5)</f>
        <v>12.158705404507423</v>
      </c>
      <c r="C4" s="2">
        <f>('[1]Qc, Summer, S3'!C4*Main!$B$5)</f>
        <v>9.3159244138159885</v>
      </c>
      <c r="D4" s="2">
        <f>('[1]Qc, Summer, S3'!D4*Main!$B$5)</f>
        <v>8.8282337979002499</v>
      </c>
      <c r="E4" s="2">
        <f>('[1]Qc, Summer, S3'!E4*Main!$B$5)</f>
        <v>7.7103491241159903</v>
      </c>
      <c r="F4" s="2">
        <f>('[1]Qc, Summer, S3'!F4*Main!$B$5)</f>
        <v>8.8761378398854607</v>
      </c>
      <c r="G4" s="2">
        <f>('[1]Qc, Summer, S3'!G4*Main!$B$5)</f>
        <v>4.1195531441189104</v>
      </c>
      <c r="H4" s="2">
        <f>('[1]Qc, Summer, S3'!H4*Main!$B$5)</f>
        <v>7.1876581399937818</v>
      </c>
      <c r="I4" s="2">
        <f>('[1]Qc, Summer, S3'!I4*Main!$B$5)</f>
        <v>13.811934355008718</v>
      </c>
      <c r="J4" s="2">
        <f>('[1]Qc, Summer, S3'!J4*Main!$B$5)</f>
        <v>20.092148161955325</v>
      </c>
      <c r="K4" s="2">
        <f>('[1]Qc, Summer, S3'!K4*Main!$B$5)</f>
        <v>23.875060353674449</v>
      </c>
      <c r="L4" s="2">
        <f>('[1]Qc, Summer, S3'!L4*Main!$B$5)</f>
        <v>26.064216895342799</v>
      </c>
      <c r="M4" s="2">
        <f>('[1]Qc, Summer, S3'!M4*Main!$B$5)</f>
        <v>27.015792747650796</v>
      </c>
      <c r="N4" s="2">
        <f>('[1]Qc, Summer, S3'!N4*Main!$B$5)</f>
        <v>28.230151976688777</v>
      </c>
      <c r="O4" s="2">
        <f>('[1]Qc, Summer, S3'!O4*Main!$B$5)</f>
        <v>28.443739406564962</v>
      </c>
      <c r="P4" s="2">
        <f>('[1]Qc, Summer, S3'!P4*Main!$B$5)</f>
        <v>28.241846319025271</v>
      </c>
      <c r="Q4" s="2">
        <f>('[1]Qc, Summer, S3'!Q4*Main!$B$5)</f>
        <v>27.30171567294564</v>
      </c>
      <c r="R4" s="2">
        <f>('[1]Qc, Summer, S3'!R4*Main!$B$5)</f>
        <v>25.981937897392253</v>
      </c>
      <c r="S4" s="2">
        <f>('[1]Qc, Summer, S3'!S4*Main!$B$5)</f>
        <v>23.056044390984329</v>
      </c>
      <c r="T4" s="2">
        <f>('[1]Qc, Summer, S3'!T4*Main!$B$5)</f>
        <v>22.949375005757215</v>
      </c>
      <c r="U4" s="2">
        <f>('[1]Qc, Summer, S3'!U4*Main!$B$5)</f>
        <v>21.831783152454495</v>
      </c>
      <c r="V4" s="2">
        <f>('[1]Qc, Summer, S3'!V4*Main!$B$5)</f>
        <v>19.679127594137132</v>
      </c>
      <c r="W4" s="2">
        <f>('[1]Qc, Summer, S3'!W4*Main!$B$5)</f>
        <v>23.591430836639677</v>
      </c>
      <c r="X4" s="2">
        <f>('[1]Qc, Summer, S3'!X4*Main!$B$5)</f>
        <v>21.138780734125739</v>
      </c>
      <c r="Y4" s="2">
        <f>('[1]Qc, Summer, S3'!Y4*Main!$B$5)</f>
        <v>17.011639678377307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DBED1-3709-414F-B01F-CDEDEA185E02}">
  <dimension ref="A1:Y4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Ratio'!$A$2:$B$21,2,FALSE)</f>
        <v>2.7890167451887411</v>
      </c>
      <c r="C2" s="2">
        <f>('FL Characterization'!C$4-'FL Characterization'!C$2)*VLOOKUP($A2,'FL Ratio'!$A$2:$B$21,2,FALSE)</f>
        <v>3.070353491691554</v>
      </c>
      <c r="D2" s="2">
        <f>('FL Characterization'!D$4-'FL Characterization'!D$2)*VLOOKUP($A2,'FL Ratio'!$A$2:$B$21,2,FALSE)</f>
        <v>3.9963567180660062</v>
      </c>
      <c r="E2" s="2">
        <f>('FL Characterization'!E$4-'FL Characterization'!E$2)*VLOOKUP($A2,'FL Ratio'!$A$2:$B$21,2,FALSE)</f>
        <v>4.5816622837534426</v>
      </c>
      <c r="F2" s="2">
        <f>('FL Characterization'!F$4-'FL Characterization'!F$2)*VLOOKUP($A2,'FL Ratio'!$A$2:$B$21,2,FALSE)</f>
        <v>5.3869933068952713</v>
      </c>
      <c r="G2" s="2">
        <f>('FL Characterization'!G$4-'FL Characterization'!G$2)*VLOOKUP($A2,'FL Ratio'!$A$2:$B$21,2,FALSE)</f>
        <v>6.297007321511586</v>
      </c>
      <c r="H2" s="2">
        <f>('FL Characterization'!H$4-'FL Characterization'!H$2)*VLOOKUP($A2,'FL Ratio'!$A$2:$B$21,2,FALSE)</f>
        <v>5.6132174805022759</v>
      </c>
      <c r="I2" s="2">
        <f>('FL Characterization'!I$4-'FL Characterization'!I$2)*VLOOKUP($A2,'FL Ratio'!$A$2:$B$21,2,FALSE)</f>
        <v>8.0247111702905105</v>
      </c>
      <c r="J2" s="2">
        <f>('FL Characterization'!J$4-'FL Characterization'!J$2)*VLOOKUP($A2,'FL Ratio'!$A$2:$B$21,2,FALSE)</f>
        <v>7.3617768228787757</v>
      </c>
      <c r="K2" s="2">
        <f>('FL Characterization'!K$4-'FL Characterization'!K$2)*VLOOKUP($A2,'FL Ratio'!$A$2:$B$21,2,FALSE)</f>
        <v>8.3146990845078719</v>
      </c>
      <c r="L2" s="2">
        <f>('FL Characterization'!L$4-'FL Characterization'!L$2)*VLOOKUP($A2,'FL Ratio'!$A$2:$B$21,2,FALSE)</f>
        <v>8.5452874632565923</v>
      </c>
      <c r="M2" s="2">
        <f>('FL Characterization'!M$4-'FL Characterization'!M$2)*VLOOKUP($A2,'FL Ratio'!$A$2:$B$21,2,FALSE)</f>
        <v>7.9264586226752778</v>
      </c>
      <c r="N2" s="2">
        <f>('FL Characterization'!N$4-'FL Characterization'!N$2)*VLOOKUP($A2,'FL Ratio'!$A$2:$B$21,2,FALSE)</f>
        <v>7.4774668804186462</v>
      </c>
      <c r="O2" s="2">
        <f>('FL Characterization'!O$4-'FL Characterization'!O$2)*VLOOKUP($A2,'FL Ratio'!$A$2:$B$21,2,FALSE)</f>
        <v>6.8840894662832586</v>
      </c>
      <c r="P2" s="2">
        <f>('FL Characterization'!P$4-'FL Characterization'!P$2)*VLOOKUP($A2,'FL Ratio'!$A$2:$B$21,2,FALSE)</f>
        <v>6.3409969644886868</v>
      </c>
      <c r="Q2" s="2">
        <f>('FL Characterization'!Q$4-'FL Characterization'!Q$2)*VLOOKUP($A2,'FL Ratio'!$A$2:$B$21,2,FALSE)</f>
        <v>5.706816163342495</v>
      </c>
      <c r="R2" s="2">
        <f>('FL Characterization'!R$4-'FL Characterization'!R$2)*VLOOKUP($A2,'FL Ratio'!$A$2:$B$21,2,FALSE)</f>
        <v>5.6474166278738505</v>
      </c>
      <c r="S2" s="2">
        <f>('FL Characterization'!S$4-'FL Characterization'!S$2)*VLOOKUP($A2,'FL Ratio'!$A$2:$B$21,2,FALSE)</f>
        <v>4.4745075300748027</v>
      </c>
      <c r="T2" s="2">
        <f>('FL Characterization'!T$4-'FL Characterization'!T$2)*VLOOKUP($A2,'FL Ratio'!$A$2:$B$21,2,FALSE)</f>
        <v>3.7021204625602495</v>
      </c>
      <c r="U2" s="2">
        <f>('FL Characterization'!U$4-'FL Characterization'!U$2)*VLOOKUP($A2,'FL Ratio'!$A$2:$B$21,2,FALSE)</f>
        <v>4.3930552411909485</v>
      </c>
      <c r="V2" s="2">
        <f>('FL Characterization'!V$4-'FL Characterization'!V$2)*VLOOKUP($A2,'FL Ratio'!$A$2:$B$21,2,FALSE)</f>
        <v>4.4760910027368404</v>
      </c>
      <c r="W2" s="2">
        <f>('FL Characterization'!W$4-'FL Characterization'!W$2)*VLOOKUP($A2,'FL Ratio'!$A$2:$B$21,2,FALSE)</f>
        <v>5.1152732602180055</v>
      </c>
      <c r="X2" s="2">
        <f>('FL Characterization'!X$4-'FL Characterization'!X$2)*VLOOKUP($A2,'FL Ratio'!$A$2:$B$21,2,FALSE)</f>
        <v>2.4837348023331591</v>
      </c>
      <c r="Y2" s="2">
        <f>('FL Characterization'!Y$4-'FL Characterization'!Y$2)*VLOOKUP($A2,'FL Ratio'!$A$2:$B$21,2,FALSE)</f>
        <v>2.384671207744689</v>
      </c>
    </row>
    <row r="3" spans="1:25" x14ac:dyDescent="0.3">
      <c r="A3">
        <v>2</v>
      </c>
      <c r="B3" s="2">
        <f>('FL Characterization'!B$4-'FL Characterization'!B$2)*VLOOKUP($A3,'FL Ratio'!$A$2:$B$21,2,FALSE)</f>
        <v>2.7890167451887411</v>
      </c>
      <c r="C3" s="2">
        <f>('FL Characterization'!C$4-'FL Characterization'!C$2)*VLOOKUP($A3,'FL Ratio'!$A$2:$B$21,2,FALSE)</f>
        <v>3.070353491691554</v>
      </c>
      <c r="D3" s="2">
        <f>('FL Characterization'!D$4-'FL Characterization'!D$2)*VLOOKUP($A3,'FL Ratio'!$A$2:$B$21,2,FALSE)</f>
        <v>3.9963567180660062</v>
      </c>
      <c r="E3" s="2">
        <f>('FL Characterization'!E$4-'FL Characterization'!E$2)*VLOOKUP($A3,'FL Ratio'!$A$2:$B$21,2,FALSE)</f>
        <v>4.5816622837534426</v>
      </c>
      <c r="F3" s="2">
        <f>('FL Characterization'!F$4-'FL Characterization'!F$2)*VLOOKUP($A3,'FL Ratio'!$A$2:$B$21,2,FALSE)</f>
        <v>5.3869933068952713</v>
      </c>
      <c r="G3" s="2">
        <f>('FL Characterization'!G$4-'FL Characterization'!G$2)*VLOOKUP($A3,'FL Ratio'!$A$2:$B$21,2,FALSE)</f>
        <v>6.297007321511586</v>
      </c>
      <c r="H3" s="2">
        <f>('FL Characterization'!H$4-'FL Characterization'!H$2)*VLOOKUP($A3,'FL Ratio'!$A$2:$B$21,2,FALSE)</f>
        <v>5.6132174805022759</v>
      </c>
      <c r="I3" s="2">
        <f>('FL Characterization'!I$4-'FL Characterization'!I$2)*VLOOKUP($A3,'FL Ratio'!$A$2:$B$21,2,FALSE)</f>
        <v>8.0247111702905105</v>
      </c>
      <c r="J3" s="2">
        <f>('FL Characterization'!J$4-'FL Characterization'!J$2)*VLOOKUP($A3,'FL Ratio'!$A$2:$B$21,2,FALSE)</f>
        <v>7.3617768228787757</v>
      </c>
      <c r="K3" s="2">
        <f>('FL Characterization'!K$4-'FL Characterization'!K$2)*VLOOKUP($A3,'FL Ratio'!$A$2:$B$21,2,FALSE)</f>
        <v>8.3146990845078719</v>
      </c>
      <c r="L3" s="2">
        <f>('FL Characterization'!L$4-'FL Characterization'!L$2)*VLOOKUP($A3,'FL Ratio'!$A$2:$B$21,2,FALSE)</f>
        <v>8.5452874632565923</v>
      </c>
      <c r="M3" s="2">
        <f>('FL Characterization'!M$4-'FL Characterization'!M$2)*VLOOKUP($A3,'FL Ratio'!$A$2:$B$21,2,FALSE)</f>
        <v>7.9264586226752778</v>
      </c>
      <c r="N3" s="2">
        <f>('FL Characterization'!N$4-'FL Characterization'!N$2)*VLOOKUP($A3,'FL Ratio'!$A$2:$B$21,2,FALSE)</f>
        <v>7.4774668804186462</v>
      </c>
      <c r="O3" s="2">
        <f>('FL Characterization'!O$4-'FL Characterization'!O$2)*VLOOKUP($A3,'FL Ratio'!$A$2:$B$21,2,FALSE)</f>
        <v>6.8840894662832586</v>
      </c>
      <c r="P3" s="2">
        <f>('FL Characterization'!P$4-'FL Characterization'!P$2)*VLOOKUP($A3,'FL Ratio'!$A$2:$B$21,2,FALSE)</f>
        <v>6.3409969644886868</v>
      </c>
      <c r="Q3" s="2">
        <f>('FL Characterization'!Q$4-'FL Characterization'!Q$2)*VLOOKUP($A3,'FL Ratio'!$A$2:$B$21,2,FALSE)</f>
        <v>5.706816163342495</v>
      </c>
      <c r="R3" s="2">
        <f>('FL Characterization'!R$4-'FL Characterization'!R$2)*VLOOKUP($A3,'FL Ratio'!$A$2:$B$21,2,FALSE)</f>
        <v>5.6474166278738505</v>
      </c>
      <c r="S3" s="2">
        <f>('FL Characterization'!S$4-'FL Characterization'!S$2)*VLOOKUP($A3,'FL Ratio'!$A$2:$B$21,2,FALSE)</f>
        <v>4.4745075300748027</v>
      </c>
      <c r="T3" s="2">
        <f>('FL Characterization'!T$4-'FL Characterization'!T$2)*VLOOKUP($A3,'FL Ratio'!$A$2:$B$21,2,FALSE)</f>
        <v>3.7021204625602495</v>
      </c>
      <c r="U3" s="2">
        <f>('FL Characterization'!U$4-'FL Characterization'!U$2)*VLOOKUP($A3,'FL Ratio'!$A$2:$B$21,2,FALSE)</f>
        <v>4.3930552411909485</v>
      </c>
      <c r="V3" s="2">
        <f>('FL Characterization'!V$4-'FL Characterization'!V$2)*VLOOKUP($A3,'FL Ratio'!$A$2:$B$21,2,FALSE)</f>
        <v>4.4760910027368404</v>
      </c>
      <c r="W3" s="2">
        <f>('FL Characterization'!W$4-'FL Characterization'!W$2)*VLOOKUP($A3,'FL Ratio'!$A$2:$B$21,2,FALSE)</f>
        <v>5.1152732602180055</v>
      </c>
      <c r="X3" s="2">
        <f>('FL Characterization'!X$4-'FL Characterization'!X$2)*VLOOKUP($A3,'FL Ratio'!$A$2:$B$21,2,FALSE)</f>
        <v>2.4837348023331591</v>
      </c>
      <c r="Y3" s="2">
        <f>('FL Characterization'!Y$4-'FL Characterization'!Y$2)*VLOOKUP($A3,'FL Ratio'!$A$2:$B$21,2,FALSE)</f>
        <v>2.384671207744689</v>
      </c>
    </row>
    <row r="4" spans="1:25" x14ac:dyDescent="0.3">
      <c r="A4">
        <v>3</v>
      </c>
      <c r="B4" s="2">
        <f>('FL Characterization'!B$4-'FL Characterization'!B$2)*VLOOKUP($A4,'FL Ratio'!$A$2:$B$21,2,FALSE)</f>
        <v>2.7890167451887411</v>
      </c>
      <c r="C4" s="2">
        <f>('FL Characterization'!C$4-'FL Characterization'!C$2)*VLOOKUP($A4,'FL Ratio'!$A$2:$B$21,2,FALSE)</f>
        <v>3.070353491691554</v>
      </c>
      <c r="D4" s="2">
        <f>('FL Characterization'!D$4-'FL Characterization'!D$2)*VLOOKUP($A4,'FL Ratio'!$A$2:$B$21,2,FALSE)</f>
        <v>3.9963567180660062</v>
      </c>
      <c r="E4" s="2">
        <f>('FL Characterization'!E$4-'FL Characterization'!E$2)*VLOOKUP($A4,'FL Ratio'!$A$2:$B$21,2,FALSE)</f>
        <v>4.5816622837534426</v>
      </c>
      <c r="F4" s="2">
        <f>('FL Characterization'!F$4-'FL Characterization'!F$2)*VLOOKUP($A4,'FL Ratio'!$A$2:$B$21,2,FALSE)</f>
        <v>5.3869933068952713</v>
      </c>
      <c r="G4" s="2">
        <f>('FL Characterization'!G$4-'FL Characterization'!G$2)*VLOOKUP($A4,'FL Ratio'!$A$2:$B$21,2,FALSE)</f>
        <v>6.297007321511586</v>
      </c>
      <c r="H4" s="2">
        <f>('FL Characterization'!H$4-'FL Characterization'!H$2)*VLOOKUP($A4,'FL Ratio'!$A$2:$B$21,2,FALSE)</f>
        <v>5.6132174805022759</v>
      </c>
      <c r="I4" s="2">
        <f>('FL Characterization'!I$4-'FL Characterization'!I$2)*VLOOKUP($A4,'FL Ratio'!$A$2:$B$21,2,FALSE)</f>
        <v>8.0247111702905105</v>
      </c>
      <c r="J4" s="2">
        <f>('FL Characterization'!J$4-'FL Characterization'!J$2)*VLOOKUP($A4,'FL Ratio'!$A$2:$B$21,2,FALSE)</f>
        <v>7.3617768228787757</v>
      </c>
      <c r="K4" s="2">
        <f>('FL Characterization'!K$4-'FL Characterization'!K$2)*VLOOKUP($A4,'FL Ratio'!$A$2:$B$21,2,FALSE)</f>
        <v>8.3146990845078719</v>
      </c>
      <c r="L4" s="2">
        <f>('FL Characterization'!L$4-'FL Characterization'!L$2)*VLOOKUP($A4,'FL Ratio'!$A$2:$B$21,2,FALSE)</f>
        <v>8.5452874632565923</v>
      </c>
      <c r="M4" s="2">
        <f>('FL Characterization'!M$4-'FL Characterization'!M$2)*VLOOKUP($A4,'FL Ratio'!$A$2:$B$21,2,FALSE)</f>
        <v>7.9264586226752778</v>
      </c>
      <c r="N4" s="2">
        <f>('FL Characterization'!N$4-'FL Characterization'!N$2)*VLOOKUP($A4,'FL Ratio'!$A$2:$B$21,2,FALSE)</f>
        <v>7.4774668804186462</v>
      </c>
      <c r="O4" s="2">
        <f>('FL Characterization'!O$4-'FL Characterization'!O$2)*VLOOKUP($A4,'FL Ratio'!$A$2:$B$21,2,FALSE)</f>
        <v>6.8840894662832586</v>
      </c>
      <c r="P4" s="2">
        <f>('FL Characterization'!P$4-'FL Characterization'!P$2)*VLOOKUP($A4,'FL Ratio'!$A$2:$B$21,2,FALSE)</f>
        <v>6.3409969644886868</v>
      </c>
      <c r="Q4" s="2">
        <f>('FL Characterization'!Q$4-'FL Characterization'!Q$2)*VLOOKUP($A4,'FL Ratio'!$A$2:$B$21,2,FALSE)</f>
        <v>5.706816163342495</v>
      </c>
      <c r="R4" s="2">
        <f>('FL Characterization'!R$4-'FL Characterization'!R$2)*VLOOKUP($A4,'FL Ratio'!$A$2:$B$21,2,FALSE)</f>
        <v>5.6474166278738505</v>
      </c>
      <c r="S4" s="2">
        <f>('FL Characterization'!S$4-'FL Characterization'!S$2)*VLOOKUP($A4,'FL Ratio'!$A$2:$B$21,2,FALSE)</f>
        <v>4.4745075300748027</v>
      </c>
      <c r="T4" s="2">
        <f>('FL Characterization'!T$4-'FL Characterization'!T$2)*VLOOKUP($A4,'FL Ratio'!$A$2:$B$21,2,FALSE)</f>
        <v>3.7021204625602495</v>
      </c>
      <c r="U4" s="2">
        <f>('FL Characterization'!U$4-'FL Characterization'!U$2)*VLOOKUP($A4,'FL Ratio'!$A$2:$B$21,2,FALSE)</f>
        <v>4.3930552411909485</v>
      </c>
      <c r="V4" s="2">
        <f>('FL Characterization'!V$4-'FL Characterization'!V$2)*VLOOKUP($A4,'FL Ratio'!$A$2:$B$21,2,FALSE)</f>
        <v>4.4760910027368404</v>
      </c>
      <c r="W4" s="2">
        <f>('FL Characterization'!W$4-'FL Characterization'!W$2)*VLOOKUP($A4,'FL Ratio'!$A$2:$B$21,2,FALSE)</f>
        <v>5.1152732602180055</v>
      </c>
      <c r="X4" s="2">
        <f>('FL Characterization'!X$4-'FL Characterization'!X$2)*VLOOKUP($A4,'FL Ratio'!$A$2:$B$21,2,FALSE)</f>
        <v>2.4837348023331591</v>
      </c>
      <c r="Y4" s="2">
        <f>('FL Characterization'!Y$4-'FL Characterization'!Y$2)*VLOOKUP($A4,'FL Ratio'!$A$2:$B$21,2,FALSE)</f>
        <v>2.384671207744689</v>
      </c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51605-0FA2-4D9C-B2F9-32640E18CEF0}">
  <dimension ref="A1:Y4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Ratio'!$A$2:$B$21,2,FALSE)</f>
        <v>7.7321742513001128</v>
      </c>
      <c r="C2" s="2">
        <f>('FL Characterization'!C$2-'FL Characterization'!C$3)*VLOOKUP($A2,'FL Ratio'!$A$2:$B$21,2,FALSE)</f>
        <v>8.1828846407143239</v>
      </c>
      <c r="D2" s="2">
        <f>('FL Characterization'!D$2-'FL Characterization'!D$3)*VLOOKUP($A2,'FL Ratio'!$A$2:$B$21,2,FALSE)</f>
        <v>8.6409330741721266</v>
      </c>
      <c r="E2" s="2">
        <f>('FL Characterization'!E$2-'FL Characterization'!E$3)*VLOOKUP($A2,'FL Ratio'!$A$2:$B$21,2,FALSE)</f>
        <v>9.0337115369264147</v>
      </c>
      <c r="F2" s="2">
        <f>('FL Characterization'!F$2-'FL Characterization'!F$3)*VLOOKUP($A2,'FL Ratio'!$A$2:$B$21,2,FALSE)</f>
        <v>9.1362510471144809</v>
      </c>
      <c r="G2" s="2">
        <f>('FL Characterization'!G$2-'FL Characterization'!G$3)*VLOOKUP($A2,'FL Ratio'!$A$2:$B$21,2,FALSE)</f>
        <v>9.5570299410877304</v>
      </c>
      <c r="H2" s="2">
        <f>('FL Characterization'!H$2-'FL Characterization'!H$3)*VLOOKUP($A2,'FL Ratio'!$A$2:$B$21,2,FALSE)</f>
        <v>9.5081740162711945</v>
      </c>
      <c r="I2" s="2">
        <f>('FL Characterization'!I$2-'FL Characterization'!I$3)*VLOOKUP($A2,'FL Ratio'!$A$2:$B$21,2,FALSE)</f>
        <v>8.9874432381673532</v>
      </c>
      <c r="J2" s="2">
        <f>('FL Characterization'!J$2-'FL Characterization'!J$3)*VLOOKUP($A2,'FL Ratio'!$A$2:$B$21,2,FALSE)</f>
        <v>8.1429888538878554</v>
      </c>
      <c r="K2" s="2">
        <f>('FL Characterization'!K$2-'FL Characterization'!K$3)*VLOOKUP($A2,'FL Ratio'!$A$2:$B$21,2,FALSE)</f>
        <v>11.957748292517218</v>
      </c>
      <c r="L2" s="2">
        <f>('FL Characterization'!L$2-'FL Characterization'!L$3)*VLOOKUP($A2,'FL Ratio'!$A$2:$B$21,2,FALSE)</f>
        <v>11.677222592987647</v>
      </c>
      <c r="M2" s="2">
        <f>('FL Characterization'!M$2-'FL Characterization'!M$3)*VLOOKUP($A2,'FL Ratio'!$A$2:$B$21,2,FALSE)</f>
        <v>10.752629043495251</v>
      </c>
      <c r="N2" s="2">
        <f>('FL Characterization'!N$2-'FL Characterization'!N$3)*VLOOKUP($A2,'FL Ratio'!$A$2:$B$21,2,FALSE)</f>
        <v>10.491356054258992</v>
      </c>
      <c r="O2" s="2">
        <f>('FL Characterization'!O$2-'FL Characterization'!O$3)*VLOOKUP($A2,'FL Ratio'!$A$2:$B$21,2,FALSE)</f>
        <v>10.534476718336196</v>
      </c>
      <c r="P2" s="2">
        <f>('FL Characterization'!P$2-'FL Characterization'!P$3)*VLOOKUP($A2,'FL Ratio'!$A$2:$B$21,2,FALSE)</f>
        <v>10.035393170160948</v>
      </c>
      <c r="Q2" s="2">
        <f>('FL Characterization'!Q$2-'FL Characterization'!Q$3)*VLOOKUP($A2,'FL Ratio'!$A$2:$B$21,2,FALSE)</f>
        <v>9.1989333917605176</v>
      </c>
      <c r="R2" s="2">
        <f>('FL Characterization'!R$2-'FL Characterization'!R$3)*VLOOKUP($A2,'FL Ratio'!$A$2:$B$21,2,FALSE)</f>
        <v>8.2673493897844939</v>
      </c>
      <c r="S2" s="2">
        <f>('FL Characterization'!S$2-'FL Characterization'!S$3)*VLOOKUP($A2,'FL Ratio'!$A$2:$B$21,2,FALSE)</f>
        <v>7.9707765465701215</v>
      </c>
      <c r="T2" s="2">
        <f>('FL Characterization'!T$2-'FL Characterization'!T$3)*VLOOKUP($A2,'FL Ratio'!$A$2:$B$21,2,FALSE)</f>
        <v>5.0103971623213228</v>
      </c>
      <c r="U2" s="2">
        <f>('FL Characterization'!U$2-'FL Characterization'!U$3)*VLOOKUP($A2,'FL Ratio'!$A$2:$B$21,2,FALSE)</f>
        <v>5.3581625180608494</v>
      </c>
      <c r="V2" s="2">
        <f>('FL Characterization'!V$2-'FL Characterization'!V$3)*VLOOKUP($A2,'FL Ratio'!$A$2:$B$21,2,FALSE)</f>
        <v>5.8581922877048758</v>
      </c>
      <c r="W2" s="2">
        <f>('FL Characterization'!W$2-'FL Characterization'!W$3)*VLOOKUP($A2,'FL Ratio'!$A$2:$B$21,2,FALSE)</f>
        <v>5.9979820267352739</v>
      </c>
      <c r="X2" s="2">
        <f>('FL Characterization'!X$2-'FL Characterization'!X$3)*VLOOKUP($A2,'FL Ratio'!$A$2:$B$21,2,FALSE)</f>
        <v>6.2554894407386374</v>
      </c>
      <c r="Y2" s="2">
        <f>('FL Characterization'!Y$2-'FL Characterization'!Y$3)*VLOOKUP($A2,'FL Ratio'!$A$2:$B$21,2,FALSE)</f>
        <v>6.9049063385963914</v>
      </c>
    </row>
    <row r="3" spans="1:25" x14ac:dyDescent="0.3">
      <c r="A3">
        <v>2</v>
      </c>
      <c r="B3" s="2">
        <f>('FL Characterization'!B$2-'FL Characterization'!B$3)*VLOOKUP($A3,'FL Ratio'!$A$2:$B$21,2,FALSE)</f>
        <v>7.7321742513001128</v>
      </c>
      <c r="C3" s="2">
        <f>('FL Characterization'!C$2-'FL Characterization'!C$3)*VLOOKUP($A3,'FL Ratio'!$A$2:$B$21,2,FALSE)</f>
        <v>8.1828846407143239</v>
      </c>
      <c r="D3" s="2">
        <f>('FL Characterization'!D$2-'FL Characterization'!D$3)*VLOOKUP($A3,'FL Ratio'!$A$2:$B$21,2,FALSE)</f>
        <v>8.6409330741721266</v>
      </c>
      <c r="E3" s="2">
        <f>('FL Characterization'!E$2-'FL Characterization'!E$3)*VLOOKUP($A3,'FL Ratio'!$A$2:$B$21,2,FALSE)</f>
        <v>9.0337115369264147</v>
      </c>
      <c r="F3" s="2">
        <f>('FL Characterization'!F$2-'FL Characterization'!F$3)*VLOOKUP($A3,'FL Ratio'!$A$2:$B$21,2,FALSE)</f>
        <v>9.1362510471144809</v>
      </c>
      <c r="G3" s="2">
        <f>('FL Characterization'!G$2-'FL Characterization'!G$3)*VLOOKUP($A3,'FL Ratio'!$A$2:$B$21,2,FALSE)</f>
        <v>9.5570299410877304</v>
      </c>
      <c r="H3" s="2">
        <f>('FL Characterization'!H$2-'FL Characterization'!H$3)*VLOOKUP($A3,'FL Ratio'!$A$2:$B$21,2,FALSE)</f>
        <v>9.5081740162711945</v>
      </c>
      <c r="I3" s="2">
        <f>('FL Characterization'!I$2-'FL Characterization'!I$3)*VLOOKUP($A3,'FL Ratio'!$A$2:$B$21,2,FALSE)</f>
        <v>8.9874432381673532</v>
      </c>
      <c r="J3" s="2">
        <f>('FL Characterization'!J$2-'FL Characterization'!J$3)*VLOOKUP($A3,'FL Ratio'!$A$2:$B$21,2,FALSE)</f>
        <v>8.1429888538878554</v>
      </c>
      <c r="K3" s="2">
        <f>('FL Characterization'!K$2-'FL Characterization'!K$3)*VLOOKUP($A3,'FL Ratio'!$A$2:$B$21,2,FALSE)</f>
        <v>11.957748292517218</v>
      </c>
      <c r="L3" s="2">
        <f>('FL Characterization'!L$2-'FL Characterization'!L$3)*VLOOKUP($A3,'FL Ratio'!$A$2:$B$21,2,FALSE)</f>
        <v>11.677222592987647</v>
      </c>
      <c r="M3" s="2">
        <f>('FL Characterization'!M$2-'FL Characterization'!M$3)*VLOOKUP($A3,'FL Ratio'!$A$2:$B$21,2,FALSE)</f>
        <v>10.752629043495251</v>
      </c>
      <c r="N3" s="2">
        <f>('FL Characterization'!N$2-'FL Characterization'!N$3)*VLOOKUP($A3,'FL Ratio'!$A$2:$B$21,2,FALSE)</f>
        <v>10.491356054258992</v>
      </c>
      <c r="O3" s="2">
        <f>('FL Characterization'!O$2-'FL Characterization'!O$3)*VLOOKUP($A3,'FL Ratio'!$A$2:$B$21,2,FALSE)</f>
        <v>10.534476718336196</v>
      </c>
      <c r="P3" s="2">
        <f>('FL Characterization'!P$2-'FL Characterization'!P$3)*VLOOKUP($A3,'FL Ratio'!$A$2:$B$21,2,FALSE)</f>
        <v>10.035393170160948</v>
      </c>
      <c r="Q3" s="2">
        <f>('FL Characterization'!Q$2-'FL Characterization'!Q$3)*VLOOKUP($A3,'FL Ratio'!$A$2:$B$21,2,FALSE)</f>
        <v>9.1989333917605176</v>
      </c>
      <c r="R3" s="2">
        <f>('FL Characterization'!R$2-'FL Characterization'!R$3)*VLOOKUP($A3,'FL Ratio'!$A$2:$B$21,2,FALSE)</f>
        <v>8.2673493897844939</v>
      </c>
      <c r="S3" s="2">
        <f>('FL Characterization'!S$2-'FL Characterization'!S$3)*VLOOKUP($A3,'FL Ratio'!$A$2:$B$21,2,FALSE)</f>
        <v>7.9707765465701215</v>
      </c>
      <c r="T3" s="2">
        <f>('FL Characterization'!T$2-'FL Characterization'!T$3)*VLOOKUP($A3,'FL Ratio'!$A$2:$B$21,2,FALSE)</f>
        <v>5.0103971623213228</v>
      </c>
      <c r="U3" s="2">
        <f>('FL Characterization'!U$2-'FL Characterization'!U$3)*VLOOKUP($A3,'FL Ratio'!$A$2:$B$21,2,FALSE)</f>
        <v>5.3581625180608494</v>
      </c>
      <c r="V3" s="2">
        <f>('FL Characterization'!V$2-'FL Characterization'!V$3)*VLOOKUP($A3,'FL Ratio'!$A$2:$B$21,2,FALSE)</f>
        <v>5.8581922877048758</v>
      </c>
      <c r="W3" s="2">
        <f>('FL Characterization'!W$2-'FL Characterization'!W$3)*VLOOKUP($A3,'FL Ratio'!$A$2:$B$21,2,FALSE)</f>
        <v>5.9979820267352739</v>
      </c>
      <c r="X3" s="2">
        <f>('FL Characterization'!X$2-'FL Characterization'!X$3)*VLOOKUP($A3,'FL Ratio'!$A$2:$B$21,2,FALSE)</f>
        <v>6.2554894407386374</v>
      </c>
      <c r="Y3" s="2">
        <f>('FL Characterization'!Y$2-'FL Characterization'!Y$3)*VLOOKUP($A3,'FL Ratio'!$A$2:$B$21,2,FALSE)</f>
        <v>6.9049063385963914</v>
      </c>
    </row>
    <row r="4" spans="1:25" x14ac:dyDescent="0.3">
      <c r="A4">
        <v>3</v>
      </c>
      <c r="B4" s="2">
        <f>('FL Characterization'!B$2-'FL Characterization'!B$3)*VLOOKUP($A4,'FL Ratio'!$A$2:$B$21,2,FALSE)</f>
        <v>7.7321742513001128</v>
      </c>
      <c r="C4" s="2">
        <f>('FL Characterization'!C$2-'FL Characterization'!C$3)*VLOOKUP($A4,'FL Ratio'!$A$2:$B$21,2,FALSE)</f>
        <v>8.1828846407143239</v>
      </c>
      <c r="D4" s="2">
        <f>('FL Characterization'!D$2-'FL Characterization'!D$3)*VLOOKUP($A4,'FL Ratio'!$A$2:$B$21,2,FALSE)</f>
        <v>8.6409330741721266</v>
      </c>
      <c r="E4" s="2">
        <f>('FL Characterization'!E$2-'FL Characterization'!E$3)*VLOOKUP($A4,'FL Ratio'!$A$2:$B$21,2,FALSE)</f>
        <v>9.0337115369264147</v>
      </c>
      <c r="F4" s="2">
        <f>('FL Characterization'!F$2-'FL Characterization'!F$3)*VLOOKUP($A4,'FL Ratio'!$A$2:$B$21,2,FALSE)</f>
        <v>9.1362510471144809</v>
      </c>
      <c r="G4" s="2">
        <f>('FL Characterization'!G$2-'FL Characterization'!G$3)*VLOOKUP($A4,'FL Ratio'!$A$2:$B$21,2,FALSE)</f>
        <v>9.5570299410877304</v>
      </c>
      <c r="H4" s="2">
        <f>('FL Characterization'!H$2-'FL Characterization'!H$3)*VLOOKUP($A4,'FL Ratio'!$A$2:$B$21,2,FALSE)</f>
        <v>9.5081740162711945</v>
      </c>
      <c r="I4" s="2">
        <f>('FL Characterization'!I$2-'FL Characterization'!I$3)*VLOOKUP($A4,'FL Ratio'!$A$2:$B$21,2,FALSE)</f>
        <v>8.9874432381673532</v>
      </c>
      <c r="J4" s="2">
        <f>('FL Characterization'!J$2-'FL Characterization'!J$3)*VLOOKUP($A4,'FL Ratio'!$A$2:$B$21,2,FALSE)</f>
        <v>8.1429888538878554</v>
      </c>
      <c r="K4" s="2">
        <f>('FL Characterization'!K$2-'FL Characterization'!K$3)*VLOOKUP($A4,'FL Ratio'!$A$2:$B$21,2,FALSE)</f>
        <v>11.957748292517218</v>
      </c>
      <c r="L4" s="2">
        <f>('FL Characterization'!L$2-'FL Characterization'!L$3)*VLOOKUP($A4,'FL Ratio'!$A$2:$B$21,2,FALSE)</f>
        <v>11.677222592987647</v>
      </c>
      <c r="M4" s="2">
        <f>('FL Characterization'!M$2-'FL Characterization'!M$3)*VLOOKUP($A4,'FL Ratio'!$A$2:$B$21,2,FALSE)</f>
        <v>10.752629043495251</v>
      </c>
      <c r="N4" s="2">
        <f>('FL Characterization'!N$2-'FL Characterization'!N$3)*VLOOKUP($A4,'FL Ratio'!$A$2:$B$21,2,FALSE)</f>
        <v>10.491356054258992</v>
      </c>
      <c r="O4" s="2">
        <f>('FL Characterization'!O$2-'FL Characterization'!O$3)*VLOOKUP($A4,'FL Ratio'!$A$2:$B$21,2,FALSE)</f>
        <v>10.534476718336196</v>
      </c>
      <c r="P4" s="2">
        <f>('FL Characterization'!P$2-'FL Characterization'!P$3)*VLOOKUP($A4,'FL Ratio'!$A$2:$B$21,2,FALSE)</f>
        <v>10.035393170160948</v>
      </c>
      <c r="Q4" s="2">
        <f>('FL Characterization'!Q$2-'FL Characterization'!Q$3)*VLOOKUP($A4,'FL Ratio'!$A$2:$B$21,2,FALSE)</f>
        <v>9.1989333917605176</v>
      </c>
      <c r="R4" s="2">
        <f>('FL Characterization'!R$2-'FL Characterization'!R$3)*VLOOKUP($A4,'FL Ratio'!$A$2:$B$21,2,FALSE)</f>
        <v>8.2673493897844939</v>
      </c>
      <c r="S4" s="2">
        <f>('FL Characterization'!S$2-'FL Characterization'!S$3)*VLOOKUP($A4,'FL Ratio'!$A$2:$B$21,2,FALSE)</f>
        <v>7.9707765465701215</v>
      </c>
      <c r="T4" s="2">
        <f>('FL Characterization'!T$2-'FL Characterization'!T$3)*VLOOKUP($A4,'FL Ratio'!$A$2:$B$21,2,FALSE)</f>
        <v>5.0103971623213228</v>
      </c>
      <c r="U4" s="2">
        <f>('FL Characterization'!U$2-'FL Characterization'!U$3)*VLOOKUP($A4,'FL Ratio'!$A$2:$B$21,2,FALSE)</f>
        <v>5.3581625180608494</v>
      </c>
      <c r="V4" s="2">
        <f>('FL Characterization'!V$2-'FL Characterization'!V$3)*VLOOKUP($A4,'FL Ratio'!$A$2:$B$21,2,FALSE)</f>
        <v>5.8581922877048758</v>
      </c>
      <c r="W4" s="2">
        <f>('FL Characterization'!W$2-'FL Characterization'!W$3)*VLOOKUP($A4,'FL Ratio'!$A$2:$B$21,2,FALSE)</f>
        <v>5.9979820267352739</v>
      </c>
      <c r="X4" s="2">
        <f>('FL Characterization'!X$2-'FL Characterization'!X$3)*VLOOKUP($A4,'FL Ratio'!$A$2:$B$21,2,FALSE)</f>
        <v>6.2554894407386374</v>
      </c>
      <c r="Y4" s="2">
        <f>('FL Characterization'!Y$2-'FL Characterization'!Y$3)*VLOOKUP($A4,'FL Ratio'!$A$2:$B$21,2,FALSE)</f>
        <v>6.9049063385963914</v>
      </c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AD65C-DBC9-40DA-ABEE-816149CE725D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12.157767964672821</v>
      </c>
      <c r="C5" s="9">
        <f>VLOOKUP($A5,'RES installed'!$A$2:$C$7,3,FALSE)*'[1]Profiles, RES, Summer'!C$5</f>
        <v>11.119028502609394</v>
      </c>
      <c r="D5" s="9">
        <f>VLOOKUP($A5,'RES installed'!$A$2:$C$7,3,FALSE)*'[1]Profiles, RES, Summer'!D$5</f>
        <v>9.7280208751505413</v>
      </c>
      <c r="E5" s="9">
        <f>VLOOKUP($A5,'RES installed'!$A$2:$C$7,3,FALSE)*'[1]Profiles, RES, Summer'!E$5</f>
        <v>9.6918908069048584</v>
      </c>
      <c r="F5" s="9">
        <f>VLOOKUP($A5,'RES installed'!$A$2:$C$7,3,FALSE)*'[1]Profiles, RES, Summer'!F$5</f>
        <v>9.1770373344038543</v>
      </c>
      <c r="G5" s="9">
        <f>VLOOKUP($A5,'RES installed'!$A$2:$C$7,3,FALSE)*'[1]Profiles, RES, Summer'!G$5</f>
        <v>8.4544359694901647</v>
      </c>
      <c r="H5" s="9">
        <f>VLOOKUP($A5,'RES installed'!$A$2:$C$7,3,FALSE)*'[1]Profiles, RES, Summer'!H$5</f>
        <v>7.433761541549579</v>
      </c>
      <c r="I5" s="9">
        <f>VLOOKUP($A5,'RES installed'!$A$2:$C$7,3,FALSE)*'[1]Profiles, RES, Summer'!I$5</f>
        <v>5.8440385387394622</v>
      </c>
      <c r="J5" s="9">
        <f>VLOOKUP($A5,'RES installed'!$A$2:$C$7,3,FALSE)*'[1]Profiles, RES, Summer'!J$5</f>
        <v>4.8594941790445603</v>
      </c>
      <c r="K5" s="9">
        <f>VLOOKUP($A5,'RES installed'!$A$2:$C$7,3,FALSE)*'[1]Profiles, RES, Summer'!K$5</f>
        <v>4.5433560818948218</v>
      </c>
      <c r="L5" s="9">
        <f>VLOOKUP($A5,'RES installed'!$A$2:$C$7,3,FALSE)*'[1]Profiles, RES, Summer'!L$5</f>
        <v>4.182055399437977</v>
      </c>
      <c r="M5" s="9">
        <f>VLOOKUP($A5,'RES installed'!$A$2:$C$7,3,FALSE)*'[1]Profiles, RES, Summer'!M$5</f>
        <v>4.7059413890004018</v>
      </c>
      <c r="N5" s="9">
        <f>VLOOKUP($A5,'RES installed'!$A$2:$C$7,3,FALSE)*'[1]Profiles, RES, Summer'!N$5</f>
        <v>5.9162986752308306</v>
      </c>
      <c r="O5" s="9">
        <f>VLOOKUP($A5,'RES installed'!$A$2:$C$7,3,FALSE)*'[1]Profiles, RES, Summer'!O$5</f>
        <v>7.3434363709353674</v>
      </c>
      <c r="P5" s="9">
        <f>VLOOKUP($A5,'RES installed'!$A$2:$C$7,3,FALSE)*'[1]Profiles, RES, Summer'!P$5</f>
        <v>9.8002810116419106</v>
      </c>
      <c r="Q5" s="9">
        <f>VLOOKUP($A5,'RES installed'!$A$2:$C$7,3,FALSE)*'[1]Profiles, RES, Summer'!Q$5</f>
        <v>12.510036130068245</v>
      </c>
      <c r="R5" s="9">
        <f>VLOOKUP($A5,'RES installed'!$A$2:$C$7,3,FALSE)*'[1]Profiles, RES, Summer'!R$5</f>
        <v>14.786230429546368</v>
      </c>
      <c r="S5" s="9">
        <f>VLOOKUP($A5,'RES installed'!$A$2:$C$7,3,FALSE)*'[1]Profiles, RES, Summer'!S$5</f>
        <v>15.77980730630269</v>
      </c>
      <c r="T5" s="9">
        <f>VLOOKUP($A5,'RES installed'!$A$2:$C$7,3,FALSE)*'[1]Profiles, RES, Summer'!T$5</f>
        <v>16.981132075471699</v>
      </c>
      <c r="U5" s="9">
        <f>VLOOKUP($A5,'RES installed'!$A$2:$C$7,3,FALSE)*'[1]Profiles, RES, Summer'!U$5</f>
        <v>18.914090726615814</v>
      </c>
      <c r="V5" s="9">
        <f>VLOOKUP($A5,'RES installed'!$A$2:$C$7,3,FALSE)*'[1]Profiles, RES, Summer'!V$5</f>
        <v>20.856081894821358</v>
      </c>
      <c r="W5" s="9">
        <f>VLOOKUP($A5,'RES installed'!$A$2:$C$7,3,FALSE)*'[1]Profiles, RES, Summer'!W$5</f>
        <v>21.723203532717786</v>
      </c>
      <c r="X5" s="9">
        <f>VLOOKUP($A5,'RES installed'!$A$2:$C$7,3,FALSE)*'[1]Profiles, RES, Summer'!X$5</f>
        <v>21.822561220393414</v>
      </c>
      <c r="Y5" s="9">
        <f>VLOOKUP($A5,'RES installed'!$A$2:$C$7,3,FALSE)*'[1]Profiles, RES, Summer'!Y$5</f>
        <v>21.0457647531112</v>
      </c>
    </row>
    <row r="6" spans="1:25" x14ac:dyDescent="0.3">
      <c r="A6" s="8">
        <v>5</v>
      </c>
      <c r="B6" s="9">
        <f>VLOOKUP($A6,'RES installed'!$A$2:$C$7,3,FALSE)*'[1]Profiles, RES, Summer'!B$5</f>
        <v>16.210357286230426</v>
      </c>
      <c r="C6" s="9">
        <f>VLOOKUP($A6,'RES installed'!$A$2:$C$7,3,FALSE)*'[1]Profiles, RES, Summer'!C$5</f>
        <v>14.825371336812525</v>
      </c>
      <c r="D6" s="9">
        <f>VLOOKUP($A6,'RES installed'!$A$2:$C$7,3,FALSE)*'[1]Profiles, RES, Summer'!D$5</f>
        <v>12.970694500200722</v>
      </c>
      <c r="E6" s="9">
        <f>VLOOKUP($A6,'RES installed'!$A$2:$C$7,3,FALSE)*'[1]Profiles, RES, Summer'!E$5</f>
        <v>12.922521075873144</v>
      </c>
      <c r="F6" s="9">
        <f>VLOOKUP($A6,'RES installed'!$A$2:$C$7,3,FALSE)*'[1]Profiles, RES, Summer'!F$5</f>
        <v>12.236049779205139</v>
      </c>
      <c r="G6" s="9">
        <f>VLOOKUP($A6,'RES installed'!$A$2:$C$7,3,FALSE)*'[1]Profiles, RES, Summer'!G$5</f>
        <v>11.272581292653554</v>
      </c>
      <c r="H6" s="9">
        <f>VLOOKUP($A6,'RES installed'!$A$2:$C$7,3,FALSE)*'[1]Profiles, RES, Summer'!H$5</f>
        <v>9.9116820553994387</v>
      </c>
      <c r="I6" s="9">
        <f>VLOOKUP($A6,'RES installed'!$A$2:$C$7,3,FALSE)*'[1]Profiles, RES, Summer'!I$5</f>
        <v>7.7920513849859487</v>
      </c>
      <c r="J6" s="9">
        <f>VLOOKUP($A6,'RES installed'!$A$2:$C$7,3,FALSE)*'[1]Profiles, RES, Summer'!J$5</f>
        <v>6.4793255720594134</v>
      </c>
      <c r="K6" s="9">
        <f>VLOOKUP($A6,'RES installed'!$A$2:$C$7,3,FALSE)*'[1]Profiles, RES, Summer'!K$5</f>
        <v>6.0578081091930951</v>
      </c>
      <c r="L6" s="9">
        <f>VLOOKUP($A6,'RES installed'!$A$2:$C$7,3,FALSE)*'[1]Profiles, RES, Summer'!L$5</f>
        <v>5.5760738659173024</v>
      </c>
      <c r="M6" s="9">
        <f>VLOOKUP($A6,'RES installed'!$A$2:$C$7,3,FALSE)*'[1]Profiles, RES, Summer'!M$5</f>
        <v>6.2745885186672021</v>
      </c>
      <c r="N6" s="9">
        <f>VLOOKUP($A6,'RES installed'!$A$2:$C$7,3,FALSE)*'[1]Profiles, RES, Summer'!N$5</f>
        <v>7.8883982336411069</v>
      </c>
      <c r="O6" s="9">
        <f>VLOOKUP($A6,'RES installed'!$A$2:$C$7,3,FALSE)*'[1]Profiles, RES, Summer'!O$5</f>
        <v>9.7912484945804898</v>
      </c>
      <c r="P6" s="9">
        <f>VLOOKUP($A6,'RES installed'!$A$2:$C$7,3,FALSE)*'[1]Profiles, RES, Summer'!P$5</f>
        <v>13.067041348855881</v>
      </c>
      <c r="Q6" s="9">
        <f>VLOOKUP($A6,'RES installed'!$A$2:$C$7,3,FALSE)*'[1]Profiles, RES, Summer'!Q$5</f>
        <v>16.680048173424328</v>
      </c>
      <c r="R6" s="9">
        <f>VLOOKUP($A6,'RES installed'!$A$2:$C$7,3,FALSE)*'[1]Profiles, RES, Summer'!R$5</f>
        <v>19.714973906061822</v>
      </c>
      <c r="S6" s="9">
        <f>VLOOKUP($A6,'RES installed'!$A$2:$C$7,3,FALSE)*'[1]Profiles, RES, Summer'!S$5</f>
        <v>21.039743075070252</v>
      </c>
      <c r="T6" s="9">
        <f>VLOOKUP($A6,'RES installed'!$A$2:$C$7,3,FALSE)*'[1]Profiles, RES, Summer'!T$5</f>
        <v>22.641509433962266</v>
      </c>
      <c r="U6" s="9">
        <f>VLOOKUP($A6,'RES installed'!$A$2:$C$7,3,FALSE)*'[1]Profiles, RES, Summer'!U$5</f>
        <v>25.218787635487754</v>
      </c>
      <c r="V6" s="9">
        <f>VLOOKUP($A6,'RES installed'!$A$2:$C$7,3,FALSE)*'[1]Profiles, RES, Summer'!V$5</f>
        <v>27.808109193095145</v>
      </c>
      <c r="W6" s="9">
        <f>VLOOKUP($A6,'RES installed'!$A$2:$C$7,3,FALSE)*'[1]Profiles, RES, Summer'!W$5</f>
        <v>28.964271376957047</v>
      </c>
      <c r="X6" s="9">
        <f>VLOOKUP($A6,'RES installed'!$A$2:$C$7,3,FALSE)*'[1]Profiles, RES, Summer'!X$5</f>
        <v>29.096748293857885</v>
      </c>
      <c r="Y6" s="9">
        <f>VLOOKUP($A6,'RES installed'!$A$2:$C$7,3,FALSE)*'[1]Profiles, RES, Summer'!Y$5</f>
        <v>28.061019670814932</v>
      </c>
    </row>
    <row r="7" spans="1:25" x14ac:dyDescent="0.3">
      <c r="A7" s="8">
        <v>6</v>
      </c>
      <c r="B7" s="9">
        <f>VLOOKUP($A7,'RES installed'!$A$2:$C$7,3,FALSE)*'[1]Profiles, RES, Summer'!B$5</f>
        <v>12.157767964672821</v>
      </c>
      <c r="C7" s="9">
        <f>VLOOKUP($A7,'RES installed'!$A$2:$C$7,3,FALSE)*'[1]Profiles, RES, Summer'!C$5</f>
        <v>11.119028502609394</v>
      </c>
      <c r="D7" s="9">
        <f>VLOOKUP($A7,'RES installed'!$A$2:$C$7,3,FALSE)*'[1]Profiles, RES, Summer'!D$5</f>
        <v>9.7280208751505413</v>
      </c>
      <c r="E7" s="9">
        <f>VLOOKUP($A7,'RES installed'!$A$2:$C$7,3,FALSE)*'[1]Profiles, RES, Summer'!E$5</f>
        <v>9.6918908069048584</v>
      </c>
      <c r="F7" s="9">
        <f>VLOOKUP($A7,'RES installed'!$A$2:$C$7,3,FALSE)*'[1]Profiles, RES, Summer'!F$5</f>
        <v>9.1770373344038543</v>
      </c>
      <c r="G7" s="9">
        <f>VLOOKUP($A7,'RES installed'!$A$2:$C$7,3,FALSE)*'[1]Profiles, RES, Summer'!G$5</f>
        <v>8.4544359694901647</v>
      </c>
      <c r="H7" s="9">
        <f>VLOOKUP($A7,'RES installed'!$A$2:$C$7,3,FALSE)*'[1]Profiles, RES, Summer'!H$5</f>
        <v>7.433761541549579</v>
      </c>
      <c r="I7" s="9">
        <f>VLOOKUP($A7,'RES installed'!$A$2:$C$7,3,FALSE)*'[1]Profiles, RES, Summer'!I$5</f>
        <v>5.8440385387394622</v>
      </c>
      <c r="J7" s="9">
        <f>VLOOKUP($A7,'RES installed'!$A$2:$C$7,3,FALSE)*'[1]Profiles, RES, Summer'!J$5</f>
        <v>4.8594941790445603</v>
      </c>
      <c r="K7" s="9">
        <f>VLOOKUP($A7,'RES installed'!$A$2:$C$7,3,FALSE)*'[1]Profiles, RES, Summer'!K$5</f>
        <v>4.5433560818948218</v>
      </c>
      <c r="L7" s="9">
        <f>VLOOKUP($A7,'RES installed'!$A$2:$C$7,3,FALSE)*'[1]Profiles, RES, Summer'!L$5</f>
        <v>4.182055399437977</v>
      </c>
      <c r="M7" s="9">
        <f>VLOOKUP($A7,'RES installed'!$A$2:$C$7,3,FALSE)*'[1]Profiles, RES, Summer'!M$5</f>
        <v>4.7059413890004018</v>
      </c>
      <c r="N7" s="9">
        <f>VLOOKUP($A7,'RES installed'!$A$2:$C$7,3,FALSE)*'[1]Profiles, RES, Summer'!N$5</f>
        <v>5.9162986752308306</v>
      </c>
      <c r="O7" s="9">
        <f>VLOOKUP($A7,'RES installed'!$A$2:$C$7,3,FALSE)*'[1]Profiles, RES, Summer'!O$5</f>
        <v>7.3434363709353674</v>
      </c>
      <c r="P7" s="9">
        <f>VLOOKUP($A7,'RES installed'!$A$2:$C$7,3,FALSE)*'[1]Profiles, RES, Summer'!P$5</f>
        <v>9.8002810116419106</v>
      </c>
      <c r="Q7" s="9">
        <f>VLOOKUP($A7,'RES installed'!$A$2:$C$7,3,FALSE)*'[1]Profiles, RES, Summer'!Q$5</f>
        <v>12.510036130068245</v>
      </c>
      <c r="R7" s="9">
        <f>VLOOKUP($A7,'RES installed'!$A$2:$C$7,3,FALSE)*'[1]Profiles, RES, Summer'!R$5</f>
        <v>14.786230429546368</v>
      </c>
      <c r="S7" s="9">
        <f>VLOOKUP($A7,'RES installed'!$A$2:$C$7,3,FALSE)*'[1]Profiles, RES, Summer'!S$5</f>
        <v>15.77980730630269</v>
      </c>
      <c r="T7" s="9">
        <f>VLOOKUP($A7,'RES installed'!$A$2:$C$7,3,FALSE)*'[1]Profiles, RES, Summer'!T$5</f>
        <v>16.981132075471699</v>
      </c>
      <c r="U7" s="9">
        <f>VLOOKUP($A7,'RES installed'!$A$2:$C$7,3,FALSE)*'[1]Profiles, RES, Summer'!U$5</f>
        <v>18.914090726615814</v>
      </c>
      <c r="V7" s="9">
        <f>VLOOKUP($A7,'RES installed'!$A$2:$C$7,3,FALSE)*'[1]Profiles, RES, Summer'!V$5</f>
        <v>20.856081894821358</v>
      </c>
      <c r="W7" s="9">
        <f>VLOOKUP($A7,'RES installed'!$A$2:$C$7,3,FALSE)*'[1]Profiles, RES, Summer'!W$5</f>
        <v>21.723203532717786</v>
      </c>
      <c r="X7" s="9">
        <f>VLOOKUP($A7,'RES installed'!$A$2:$C$7,3,FALSE)*'[1]Profiles, RES, Summer'!X$5</f>
        <v>21.822561220393414</v>
      </c>
      <c r="Y7" s="9">
        <f>VLOOKUP($A7,'RES installed'!$A$2:$C$7,3,FALSE)*'[1]Profiles, RES, Summer'!Y$5</f>
        <v>21.0457647531112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0.17058377558756635</v>
      </c>
      <c r="H8" s="6">
        <f>VLOOKUP($A8,'RES installed'!$A$2:$C$7,3,FALSE)*'[1]Profiles, RES, Summer'!H$2</f>
        <v>5.003790750568613</v>
      </c>
      <c r="I8" s="6">
        <f>VLOOKUP($A8,'RES installed'!$A$2:$C$7,3,FALSE)*'[1]Profiles, RES, Summer'!I$2</f>
        <v>20.811220621683095</v>
      </c>
      <c r="J8" s="6">
        <f>VLOOKUP($A8,'RES installed'!$A$2:$C$7,3,FALSE)*'[1]Profiles, RES, Summer'!J$2</f>
        <v>43.100833965125098</v>
      </c>
      <c r="K8" s="6">
        <f>VLOOKUP($A8,'RES installed'!$A$2:$C$7,3,FALSE)*'[1]Profiles, RES, Summer'!K$2</f>
        <v>56.719105382865806</v>
      </c>
      <c r="L8" s="6">
        <f>VLOOKUP($A8,'RES installed'!$A$2:$C$7,3,FALSE)*'[1]Profiles, RES, Summer'!L$2</f>
        <v>65.163002274450335</v>
      </c>
      <c r="M8" s="6">
        <f>VLOOKUP($A8,'RES installed'!$A$2:$C$7,3,FALSE)*'[1]Profiles, RES, Summer'!M$2</f>
        <v>68.97270659590599</v>
      </c>
      <c r="N8" s="6">
        <f>VLOOKUP($A8,'RES installed'!$A$2:$C$7,3,FALSE)*'[1]Profiles, RES, Summer'!N$2</f>
        <v>70.507960576194094</v>
      </c>
      <c r="O8" s="6">
        <f>VLOOKUP($A8,'RES installed'!$A$2:$C$7,3,FALSE)*'[1]Profiles, RES, Summer'!O$2</f>
        <v>70.536391205458685</v>
      </c>
      <c r="P8" s="6">
        <f>VLOOKUP($A8,'RES installed'!$A$2:$C$7,3,FALSE)*'[1]Profiles, RES, Summer'!P$2</f>
        <v>68.119787717968151</v>
      </c>
      <c r="Q8" s="6">
        <f>VLOOKUP($A8,'RES installed'!$A$2:$C$7,3,FALSE)*'[1]Profiles, RES, Summer'!Q$2</f>
        <v>60.585670962850642</v>
      </c>
      <c r="R8" s="6">
        <f>VLOOKUP($A8,'RES installed'!$A$2:$C$7,3,FALSE)*'[1]Profiles, RES, Summer'!R$2</f>
        <v>48.55951478392722</v>
      </c>
      <c r="S8" s="6">
        <f>VLOOKUP($A8,'RES installed'!$A$2:$C$7,3,FALSE)*'[1]Profiles, RES, Summer'!S$2</f>
        <v>31.415845337376801</v>
      </c>
      <c r="T8" s="6">
        <f>VLOOKUP($A8,'RES installed'!$A$2:$C$7,3,FALSE)*'[1]Profiles, RES, Summer'!T$2</f>
        <v>10.945792266868841</v>
      </c>
      <c r="U8" s="6">
        <f>VLOOKUP($A8,'RES installed'!$A$2:$C$7,3,FALSE)*'[1]Profiles, RES, Summer'!U$2</f>
        <v>0.90978013646702049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0.11372251705837756</v>
      </c>
      <c r="H9" s="6">
        <f>VLOOKUP($A9,'RES installed'!$A$2:$C$7,3,FALSE)*'[1]Profiles, RES, Summer'!H$2</f>
        <v>3.3358605003790753</v>
      </c>
      <c r="I9" s="6">
        <f>VLOOKUP($A9,'RES installed'!$A$2:$C$7,3,FALSE)*'[1]Profiles, RES, Summer'!I$2</f>
        <v>13.874147081122063</v>
      </c>
      <c r="J9" s="6">
        <f>VLOOKUP($A9,'RES installed'!$A$2:$C$7,3,FALSE)*'[1]Profiles, RES, Summer'!J$2</f>
        <v>28.733889310083399</v>
      </c>
      <c r="K9" s="6">
        <f>VLOOKUP($A9,'RES installed'!$A$2:$C$7,3,FALSE)*'[1]Profiles, RES, Summer'!K$2</f>
        <v>37.812736921910542</v>
      </c>
      <c r="L9" s="6">
        <f>VLOOKUP($A9,'RES installed'!$A$2:$C$7,3,FALSE)*'[1]Profiles, RES, Summer'!L$2</f>
        <v>43.44200151630023</v>
      </c>
      <c r="M9" s="6">
        <f>VLOOKUP($A9,'RES installed'!$A$2:$C$7,3,FALSE)*'[1]Profiles, RES, Summer'!M$2</f>
        <v>45.981804397270658</v>
      </c>
      <c r="N9" s="6">
        <f>VLOOKUP($A9,'RES installed'!$A$2:$C$7,3,FALSE)*'[1]Profiles, RES, Summer'!N$2</f>
        <v>47.005307050796056</v>
      </c>
      <c r="O9" s="6">
        <f>VLOOKUP($A9,'RES installed'!$A$2:$C$7,3,FALSE)*'[1]Profiles, RES, Summer'!O$2</f>
        <v>47.024260803639123</v>
      </c>
      <c r="P9" s="6">
        <f>VLOOKUP($A9,'RES installed'!$A$2:$C$7,3,FALSE)*'[1]Profiles, RES, Summer'!P$2</f>
        <v>45.41319181197877</v>
      </c>
      <c r="Q9" s="6">
        <f>VLOOKUP($A9,'RES installed'!$A$2:$C$7,3,FALSE)*'[1]Profiles, RES, Summer'!Q$2</f>
        <v>40.390447308567097</v>
      </c>
      <c r="R9" s="6">
        <f>VLOOKUP($A9,'RES installed'!$A$2:$C$7,3,FALSE)*'[1]Profiles, RES, Summer'!R$2</f>
        <v>32.37300985595148</v>
      </c>
      <c r="S9" s="6">
        <f>VLOOKUP($A9,'RES installed'!$A$2:$C$7,3,FALSE)*'[1]Profiles, RES, Summer'!S$2</f>
        <v>20.943896891584536</v>
      </c>
      <c r="T9" s="6">
        <f>VLOOKUP($A9,'RES installed'!$A$2:$C$7,3,FALSE)*'[1]Profiles, RES, Summer'!T$2</f>
        <v>7.2971948445792272</v>
      </c>
      <c r="U9" s="6">
        <f>VLOOKUP($A9,'RES installed'!$A$2:$C$7,3,FALSE)*'[1]Profiles, RES, Summer'!U$2</f>
        <v>0.60652009097801363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0.13646702047005307</v>
      </c>
      <c r="H10" s="6">
        <f>VLOOKUP($A10,'RES installed'!$A$2:$C$7,3,FALSE)*'[1]Profiles, RES, Summer'!H$2</f>
        <v>4.0030326004548904</v>
      </c>
      <c r="I10" s="6">
        <f>VLOOKUP($A10,'RES installed'!$A$2:$C$7,3,FALSE)*'[1]Profiles, RES, Summer'!I$2</f>
        <v>16.648976497346474</v>
      </c>
      <c r="J10" s="6">
        <f>VLOOKUP($A10,'RES installed'!$A$2:$C$7,3,FALSE)*'[1]Profiles, RES, Summer'!J$2</f>
        <v>34.480667172100077</v>
      </c>
      <c r="K10" s="6">
        <f>VLOOKUP($A10,'RES installed'!$A$2:$C$7,3,FALSE)*'[1]Profiles, RES, Summer'!K$2</f>
        <v>45.375284306292649</v>
      </c>
      <c r="L10" s="6">
        <f>VLOOKUP($A10,'RES installed'!$A$2:$C$7,3,FALSE)*'[1]Profiles, RES, Summer'!L$2</f>
        <v>52.130401819560269</v>
      </c>
      <c r="M10" s="6">
        <f>VLOOKUP($A10,'RES installed'!$A$2:$C$7,3,FALSE)*'[1]Profiles, RES, Summer'!M$2</f>
        <v>55.178165276724791</v>
      </c>
      <c r="N10" s="6">
        <f>VLOOKUP($A10,'RES installed'!$A$2:$C$7,3,FALSE)*'[1]Profiles, RES, Summer'!N$2</f>
        <v>56.406368460955271</v>
      </c>
      <c r="O10" s="6">
        <f>VLOOKUP($A10,'RES installed'!$A$2:$C$7,3,FALSE)*'[1]Profiles, RES, Summer'!O$2</f>
        <v>56.429112964366951</v>
      </c>
      <c r="P10" s="6">
        <f>VLOOKUP($A10,'RES installed'!$A$2:$C$7,3,FALSE)*'[1]Profiles, RES, Summer'!P$2</f>
        <v>54.495830174374525</v>
      </c>
      <c r="Q10" s="6">
        <f>VLOOKUP($A10,'RES installed'!$A$2:$C$7,3,FALSE)*'[1]Profiles, RES, Summer'!Q$2</f>
        <v>48.468536770280515</v>
      </c>
      <c r="R10" s="6">
        <f>VLOOKUP($A10,'RES installed'!$A$2:$C$7,3,FALSE)*'[1]Profiles, RES, Summer'!R$2</f>
        <v>38.847611827141776</v>
      </c>
      <c r="S10" s="6">
        <f>VLOOKUP($A10,'RES installed'!$A$2:$C$7,3,FALSE)*'[1]Profiles, RES, Summer'!S$2</f>
        <v>25.132676269901442</v>
      </c>
      <c r="T10" s="6">
        <f>VLOOKUP($A10,'RES installed'!$A$2:$C$7,3,FALSE)*'[1]Profiles, RES, Summer'!T$2</f>
        <v>8.756633813495073</v>
      </c>
      <c r="U10" s="6">
        <f>VLOOKUP($A10,'RES installed'!$A$2:$C$7,3,FALSE)*'[1]Profiles, RES, Summer'!U$2</f>
        <v>0.7278241091736164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A788BB-74A3-477E-9B6F-19351CC6CB93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12.826174227217987</v>
      </c>
      <c r="C5" s="9">
        <f>VLOOKUP($A5,'RES installed'!$A$2:$C$7,3,FALSE)*'[1]Profiles, RES, Summer'!C$6</f>
        <v>11.913890004014451</v>
      </c>
      <c r="D5" s="9">
        <f>VLOOKUP($A5,'RES installed'!$A$2:$C$7,3,FALSE)*'[1]Profiles, RES, Summer'!D$6</f>
        <v>12.112605379365716</v>
      </c>
      <c r="E5" s="9">
        <f>VLOOKUP($A5,'RES installed'!$A$2:$C$7,3,FALSE)*'[1]Profiles, RES, Summer'!E$6</f>
        <v>10.947410678442393</v>
      </c>
      <c r="F5" s="9">
        <f>VLOOKUP($A5,'RES installed'!$A$2:$C$7,3,FALSE)*'[1]Profiles, RES, Summer'!F$6</f>
        <v>10.242874347651545</v>
      </c>
      <c r="G5" s="9">
        <f>VLOOKUP($A5,'RES installed'!$A$2:$C$7,3,FALSE)*'[1]Profiles, RES, Summer'!G$6</f>
        <v>10.875150541951024</v>
      </c>
      <c r="H5" s="9">
        <f>VLOOKUP($A5,'RES installed'!$A$2:$C$7,3,FALSE)*'[1]Profiles, RES, Summer'!H$6</f>
        <v>10.757727820152549</v>
      </c>
      <c r="I5" s="9">
        <f>VLOOKUP($A5,'RES installed'!$A$2:$C$7,3,FALSE)*'[1]Profiles, RES, Summer'!I$6</f>
        <v>7.9305499799277399</v>
      </c>
      <c r="J5" s="9">
        <f>VLOOKUP($A5,'RES installed'!$A$2:$C$7,3,FALSE)*'[1]Profiles, RES, Summer'!J$6</f>
        <v>5.0762745885186673</v>
      </c>
      <c r="K5" s="9">
        <f>VLOOKUP($A5,'RES installed'!$A$2:$C$7,3,FALSE)*'[1]Profiles, RES, Summer'!K$6</f>
        <v>3.6942994781212364</v>
      </c>
      <c r="L5" s="9">
        <f>VLOOKUP($A5,'RES installed'!$A$2:$C$7,3,FALSE)*'[1]Profiles, RES, Summer'!L$6</f>
        <v>2.7910477719791249</v>
      </c>
      <c r="M5" s="9">
        <f>VLOOKUP($A5,'RES installed'!$A$2:$C$7,3,FALSE)*'[1]Profiles, RES, Summer'!M$6</f>
        <v>2.6194299478121237</v>
      </c>
      <c r="N5" s="9">
        <f>VLOOKUP($A5,'RES installed'!$A$2:$C$7,3,FALSE)*'[1]Profiles, RES, Summer'!N$6</f>
        <v>3.2788036932958651</v>
      </c>
      <c r="O5" s="9">
        <f>VLOOKUP($A5,'RES installed'!$A$2:$C$7,3,FALSE)*'[1]Profiles, RES, Summer'!O$6</f>
        <v>4.2543155359293454</v>
      </c>
      <c r="P5" s="9">
        <f>VLOOKUP($A5,'RES installed'!$A$2:$C$7,3,FALSE)*'[1]Profiles, RES, Summer'!P$6</f>
        <v>6.0608189482135693</v>
      </c>
      <c r="Q5" s="9">
        <f>VLOOKUP($A5,'RES installed'!$A$2:$C$7,3,FALSE)*'[1]Profiles, RES, Summer'!Q$6</f>
        <v>7.6505419510236852</v>
      </c>
      <c r="R5" s="9">
        <f>VLOOKUP($A5,'RES installed'!$A$2:$C$7,3,FALSE)*'[1]Profiles, RES, Summer'!R$6</f>
        <v>9.1589723002810111</v>
      </c>
      <c r="S5" s="9">
        <f>VLOOKUP($A5,'RES installed'!$A$2:$C$7,3,FALSE)*'[1]Profiles, RES, Summer'!S$6</f>
        <v>9.7822159775190691</v>
      </c>
      <c r="T5" s="9">
        <f>VLOOKUP($A5,'RES installed'!$A$2:$C$7,3,FALSE)*'[1]Profiles, RES, Summer'!T$6</f>
        <v>9.3034925732637497</v>
      </c>
      <c r="U5" s="9">
        <f>VLOOKUP($A5,'RES installed'!$A$2:$C$7,3,FALSE)*'[1]Profiles, RES, Summer'!U$6</f>
        <v>9.0234845443596949</v>
      </c>
      <c r="V5" s="9">
        <f>VLOOKUP($A5,'RES installed'!$A$2:$C$7,3,FALSE)*'[1]Profiles, RES, Summer'!V$6</f>
        <v>9.0505820955439589</v>
      </c>
      <c r="W5" s="9">
        <f>VLOOKUP($A5,'RES installed'!$A$2:$C$7,3,FALSE)*'[1]Profiles, RES, Summer'!W$6</f>
        <v>8.3189482135688468</v>
      </c>
      <c r="X5" s="9">
        <f>VLOOKUP($A5,'RES installed'!$A$2:$C$7,3,FALSE)*'[1]Profiles, RES, Summer'!X$6</f>
        <v>7.7137695704536338</v>
      </c>
      <c r="Y5" s="9">
        <f>VLOOKUP($A5,'RES installed'!$A$2:$C$7,3,FALSE)*'[1]Profiles, RES, Summer'!Y$6</f>
        <v>7.8492573263749499</v>
      </c>
    </row>
    <row r="6" spans="1:25" x14ac:dyDescent="0.3">
      <c r="A6" s="8">
        <v>5</v>
      </c>
      <c r="B6" s="9">
        <f>VLOOKUP($A6,'RES installed'!$A$2:$C$7,3,FALSE)*'[1]Profiles, RES, Summer'!B$6</f>
        <v>17.101565636290648</v>
      </c>
      <c r="C6" s="9">
        <f>VLOOKUP($A6,'RES installed'!$A$2:$C$7,3,FALSE)*'[1]Profiles, RES, Summer'!C$6</f>
        <v>15.885186672019268</v>
      </c>
      <c r="D6" s="9">
        <f>VLOOKUP($A6,'RES installed'!$A$2:$C$7,3,FALSE)*'[1]Profiles, RES, Summer'!D$6</f>
        <v>16.150140505820954</v>
      </c>
      <c r="E6" s="9">
        <f>VLOOKUP($A6,'RES installed'!$A$2:$C$7,3,FALSE)*'[1]Profiles, RES, Summer'!E$6</f>
        <v>14.596547571256524</v>
      </c>
      <c r="F6" s="9">
        <f>VLOOKUP($A6,'RES installed'!$A$2:$C$7,3,FALSE)*'[1]Profiles, RES, Summer'!F$6</f>
        <v>13.657165796868727</v>
      </c>
      <c r="G6" s="9">
        <f>VLOOKUP($A6,'RES installed'!$A$2:$C$7,3,FALSE)*'[1]Profiles, RES, Summer'!G$6</f>
        <v>14.500200722601365</v>
      </c>
      <c r="H6" s="9">
        <f>VLOOKUP($A6,'RES installed'!$A$2:$C$7,3,FALSE)*'[1]Profiles, RES, Summer'!H$6</f>
        <v>14.343637093536731</v>
      </c>
      <c r="I6" s="9">
        <f>VLOOKUP($A6,'RES installed'!$A$2:$C$7,3,FALSE)*'[1]Profiles, RES, Summer'!I$6</f>
        <v>10.574066639903654</v>
      </c>
      <c r="J6" s="9">
        <f>VLOOKUP($A6,'RES installed'!$A$2:$C$7,3,FALSE)*'[1]Profiles, RES, Summer'!J$6</f>
        <v>6.7683661180248897</v>
      </c>
      <c r="K6" s="9">
        <f>VLOOKUP($A6,'RES installed'!$A$2:$C$7,3,FALSE)*'[1]Profiles, RES, Summer'!K$6</f>
        <v>4.9257326374949812</v>
      </c>
      <c r="L6" s="9">
        <f>VLOOKUP($A6,'RES installed'!$A$2:$C$7,3,FALSE)*'[1]Profiles, RES, Summer'!L$6</f>
        <v>3.7213970293054994</v>
      </c>
      <c r="M6" s="9">
        <f>VLOOKUP($A6,'RES installed'!$A$2:$C$7,3,FALSE)*'[1]Profiles, RES, Summer'!M$6</f>
        <v>3.4925732637494979</v>
      </c>
      <c r="N6" s="9">
        <f>VLOOKUP($A6,'RES installed'!$A$2:$C$7,3,FALSE)*'[1]Profiles, RES, Summer'!N$6</f>
        <v>4.3717382577278201</v>
      </c>
      <c r="O6" s="9">
        <f>VLOOKUP($A6,'RES installed'!$A$2:$C$7,3,FALSE)*'[1]Profiles, RES, Summer'!O$6</f>
        <v>5.6724207145724606</v>
      </c>
      <c r="P6" s="9">
        <f>VLOOKUP($A6,'RES installed'!$A$2:$C$7,3,FALSE)*'[1]Profiles, RES, Summer'!P$6</f>
        <v>8.0810919309514251</v>
      </c>
      <c r="Q6" s="9">
        <f>VLOOKUP($A6,'RES installed'!$A$2:$C$7,3,FALSE)*'[1]Profiles, RES, Summer'!Q$6</f>
        <v>10.200722601364912</v>
      </c>
      <c r="R6" s="9">
        <f>VLOOKUP($A6,'RES installed'!$A$2:$C$7,3,FALSE)*'[1]Profiles, RES, Summer'!R$6</f>
        <v>12.211963067041349</v>
      </c>
      <c r="S6" s="9">
        <f>VLOOKUP($A6,'RES installed'!$A$2:$C$7,3,FALSE)*'[1]Profiles, RES, Summer'!S$6</f>
        <v>13.042954636692093</v>
      </c>
      <c r="T6" s="9">
        <f>VLOOKUP($A6,'RES installed'!$A$2:$C$7,3,FALSE)*'[1]Profiles, RES, Summer'!T$6</f>
        <v>12.404656764351666</v>
      </c>
      <c r="U6" s="9">
        <f>VLOOKUP($A6,'RES installed'!$A$2:$C$7,3,FALSE)*'[1]Profiles, RES, Summer'!U$6</f>
        <v>12.031312725812926</v>
      </c>
      <c r="V6" s="9">
        <f>VLOOKUP($A6,'RES installed'!$A$2:$C$7,3,FALSE)*'[1]Profiles, RES, Summer'!V$6</f>
        <v>12.067442794058611</v>
      </c>
      <c r="W6" s="9">
        <f>VLOOKUP($A6,'RES installed'!$A$2:$C$7,3,FALSE)*'[1]Profiles, RES, Summer'!W$6</f>
        <v>11.09193095142513</v>
      </c>
      <c r="X6" s="9">
        <f>VLOOKUP($A6,'RES installed'!$A$2:$C$7,3,FALSE)*'[1]Profiles, RES, Summer'!X$6</f>
        <v>10.285026093938178</v>
      </c>
      <c r="Y6" s="9">
        <f>VLOOKUP($A6,'RES installed'!$A$2:$C$7,3,FALSE)*'[1]Profiles, RES, Summer'!Y$6</f>
        <v>10.4656764351666</v>
      </c>
    </row>
    <row r="7" spans="1:25" x14ac:dyDescent="0.3">
      <c r="A7" s="8">
        <v>6</v>
      </c>
      <c r="B7" s="9">
        <f>VLOOKUP($A7,'RES installed'!$A$2:$C$7,3,FALSE)*'[1]Profiles, RES, Summer'!B$6</f>
        <v>12.826174227217987</v>
      </c>
      <c r="C7" s="9">
        <f>VLOOKUP($A7,'RES installed'!$A$2:$C$7,3,FALSE)*'[1]Profiles, RES, Summer'!C$6</f>
        <v>11.913890004014451</v>
      </c>
      <c r="D7" s="9">
        <f>VLOOKUP($A7,'RES installed'!$A$2:$C$7,3,FALSE)*'[1]Profiles, RES, Summer'!D$6</f>
        <v>12.112605379365716</v>
      </c>
      <c r="E7" s="9">
        <f>VLOOKUP($A7,'RES installed'!$A$2:$C$7,3,FALSE)*'[1]Profiles, RES, Summer'!E$6</f>
        <v>10.947410678442393</v>
      </c>
      <c r="F7" s="9">
        <f>VLOOKUP($A7,'RES installed'!$A$2:$C$7,3,FALSE)*'[1]Profiles, RES, Summer'!F$6</f>
        <v>10.242874347651545</v>
      </c>
      <c r="G7" s="9">
        <f>VLOOKUP($A7,'RES installed'!$A$2:$C$7,3,FALSE)*'[1]Profiles, RES, Summer'!G$6</f>
        <v>10.875150541951024</v>
      </c>
      <c r="H7" s="9">
        <f>VLOOKUP($A7,'RES installed'!$A$2:$C$7,3,FALSE)*'[1]Profiles, RES, Summer'!H$6</f>
        <v>10.757727820152549</v>
      </c>
      <c r="I7" s="9">
        <f>VLOOKUP($A7,'RES installed'!$A$2:$C$7,3,FALSE)*'[1]Profiles, RES, Summer'!I$6</f>
        <v>7.9305499799277399</v>
      </c>
      <c r="J7" s="9">
        <f>VLOOKUP($A7,'RES installed'!$A$2:$C$7,3,FALSE)*'[1]Profiles, RES, Summer'!J$6</f>
        <v>5.0762745885186673</v>
      </c>
      <c r="K7" s="9">
        <f>VLOOKUP($A7,'RES installed'!$A$2:$C$7,3,FALSE)*'[1]Profiles, RES, Summer'!K$6</f>
        <v>3.6942994781212364</v>
      </c>
      <c r="L7" s="9">
        <f>VLOOKUP($A7,'RES installed'!$A$2:$C$7,3,FALSE)*'[1]Profiles, RES, Summer'!L$6</f>
        <v>2.7910477719791249</v>
      </c>
      <c r="M7" s="9">
        <f>VLOOKUP($A7,'RES installed'!$A$2:$C$7,3,FALSE)*'[1]Profiles, RES, Summer'!M$6</f>
        <v>2.6194299478121237</v>
      </c>
      <c r="N7" s="9">
        <f>VLOOKUP($A7,'RES installed'!$A$2:$C$7,3,FALSE)*'[1]Profiles, RES, Summer'!N$6</f>
        <v>3.2788036932958651</v>
      </c>
      <c r="O7" s="9">
        <f>VLOOKUP($A7,'RES installed'!$A$2:$C$7,3,FALSE)*'[1]Profiles, RES, Summer'!O$6</f>
        <v>4.2543155359293454</v>
      </c>
      <c r="P7" s="9">
        <f>VLOOKUP($A7,'RES installed'!$A$2:$C$7,3,FALSE)*'[1]Profiles, RES, Summer'!P$6</f>
        <v>6.0608189482135693</v>
      </c>
      <c r="Q7" s="9">
        <f>VLOOKUP($A7,'RES installed'!$A$2:$C$7,3,FALSE)*'[1]Profiles, RES, Summer'!Q$6</f>
        <v>7.6505419510236852</v>
      </c>
      <c r="R7" s="9">
        <f>VLOOKUP($A7,'RES installed'!$A$2:$C$7,3,FALSE)*'[1]Profiles, RES, Summer'!R$6</f>
        <v>9.1589723002810111</v>
      </c>
      <c r="S7" s="9">
        <f>VLOOKUP($A7,'RES installed'!$A$2:$C$7,3,FALSE)*'[1]Profiles, RES, Summer'!S$6</f>
        <v>9.7822159775190691</v>
      </c>
      <c r="T7" s="9">
        <f>VLOOKUP($A7,'RES installed'!$A$2:$C$7,3,FALSE)*'[1]Profiles, RES, Summer'!T$6</f>
        <v>9.3034925732637497</v>
      </c>
      <c r="U7" s="9">
        <f>VLOOKUP($A7,'RES installed'!$A$2:$C$7,3,FALSE)*'[1]Profiles, RES, Summer'!U$6</f>
        <v>9.0234845443596949</v>
      </c>
      <c r="V7" s="9">
        <f>VLOOKUP($A7,'RES installed'!$A$2:$C$7,3,FALSE)*'[1]Profiles, RES, Summer'!V$6</f>
        <v>9.0505820955439589</v>
      </c>
      <c r="W7" s="9">
        <f>VLOOKUP($A7,'RES installed'!$A$2:$C$7,3,FALSE)*'[1]Profiles, RES, Summer'!W$6</f>
        <v>8.3189482135688468</v>
      </c>
      <c r="X7" s="9">
        <f>VLOOKUP($A7,'RES installed'!$A$2:$C$7,3,FALSE)*'[1]Profiles, RES, Summer'!X$6</f>
        <v>7.7137695704536338</v>
      </c>
      <c r="Y7" s="9">
        <f>VLOOKUP($A7,'RES installed'!$A$2:$C$7,3,FALSE)*'[1]Profiles, RES, Summer'!Y$6</f>
        <v>7.8492573263749499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0.14215314632297193</v>
      </c>
      <c r="H8" s="6">
        <f>VLOOKUP($A8,'RES installed'!$A$2:$C$7,3,FALSE)*'[1]Profiles, RES, Summer'!H$3</f>
        <v>5.9988627748294157</v>
      </c>
      <c r="I8" s="6">
        <f>VLOOKUP($A8,'RES installed'!$A$2:$C$7,3,FALSE)*'[1]Profiles, RES, Summer'!I$3</f>
        <v>24.137604245640638</v>
      </c>
      <c r="J8" s="6">
        <f>VLOOKUP($A8,'RES installed'!$A$2:$C$7,3,FALSE)*'[1]Profiles, RES, Summer'!J$3</f>
        <v>44.124336618650489</v>
      </c>
      <c r="K8" s="6">
        <f>VLOOKUP($A8,'RES installed'!$A$2:$C$7,3,FALSE)*'[1]Profiles, RES, Summer'!K$3</f>
        <v>58.026914329037155</v>
      </c>
      <c r="L8" s="6">
        <f>VLOOKUP($A8,'RES installed'!$A$2:$C$7,3,FALSE)*'[1]Profiles, RES, Summer'!L$3</f>
        <v>67.494313874147082</v>
      </c>
      <c r="M8" s="6">
        <f>VLOOKUP($A8,'RES installed'!$A$2:$C$7,3,FALSE)*'[1]Profiles, RES, Summer'!M$3</f>
        <v>70.991281273692195</v>
      </c>
      <c r="N8" s="6">
        <f>VLOOKUP($A8,'RES installed'!$A$2:$C$7,3,FALSE)*'[1]Profiles, RES, Summer'!N$3</f>
        <v>71.190295678544345</v>
      </c>
      <c r="O8" s="6">
        <f>VLOOKUP($A8,'RES installed'!$A$2:$C$7,3,FALSE)*'[1]Profiles, RES, Summer'!O$3</f>
        <v>69.683472327520846</v>
      </c>
      <c r="P8" s="6">
        <f>VLOOKUP($A8,'RES installed'!$A$2:$C$7,3,FALSE)*'[1]Profiles, RES, Summer'!P$3</f>
        <v>67.465883244882491</v>
      </c>
      <c r="Q8" s="6">
        <f>VLOOKUP($A8,'RES installed'!$A$2:$C$7,3,FALSE)*'[1]Profiles, RES, Summer'!Q$3</f>
        <v>60.187642153146321</v>
      </c>
      <c r="R8" s="6">
        <f>VLOOKUP($A8,'RES installed'!$A$2:$C$7,3,FALSE)*'[1]Profiles, RES, Summer'!R$3</f>
        <v>48.332069749810465</v>
      </c>
      <c r="S8" s="6">
        <f>VLOOKUP($A8,'RES installed'!$A$2:$C$7,3,FALSE)*'[1]Profiles, RES, Summer'!S$3</f>
        <v>30.30705079605762</v>
      </c>
      <c r="T8" s="6">
        <f>VLOOKUP($A8,'RES installed'!$A$2:$C$7,3,FALSE)*'[1]Profiles, RES, Summer'!T$3</f>
        <v>9.8654283548142523</v>
      </c>
      <c r="U8" s="6">
        <f>VLOOKUP($A8,'RES installed'!$A$2:$C$7,3,FALSE)*'[1]Profiles, RES, Summer'!U$3</f>
        <v>0.65390447308567101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9.4768764215314633E-2</v>
      </c>
      <c r="H9" s="6">
        <f>VLOOKUP($A9,'RES installed'!$A$2:$C$7,3,FALSE)*'[1]Profiles, RES, Summer'!H$3</f>
        <v>3.9992418498862774</v>
      </c>
      <c r="I9" s="6">
        <f>VLOOKUP($A9,'RES installed'!$A$2:$C$7,3,FALSE)*'[1]Profiles, RES, Summer'!I$3</f>
        <v>16.091736163760427</v>
      </c>
      <c r="J9" s="6">
        <f>VLOOKUP($A9,'RES installed'!$A$2:$C$7,3,FALSE)*'[1]Profiles, RES, Summer'!J$3</f>
        <v>29.41622441243366</v>
      </c>
      <c r="K9" s="6">
        <f>VLOOKUP($A9,'RES installed'!$A$2:$C$7,3,FALSE)*'[1]Profiles, RES, Summer'!K$3</f>
        <v>38.684609552691434</v>
      </c>
      <c r="L9" s="6">
        <f>VLOOKUP($A9,'RES installed'!$A$2:$C$7,3,FALSE)*'[1]Profiles, RES, Summer'!L$3</f>
        <v>44.996209249431388</v>
      </c>
      <c r="M9" s="6">
        <f>VLOOKUP($A9,'RES installed'!$A$2:$C$7,3,FALSE)*'[1]Profiles, RES, Summer'!M$3</f>
        <v>47.327520849128128</v>
      </c>
      <c r="N9" s="6">
        <f>VLOOKUP($A9,'RES installed'!$A$2:$C$7,3,FALSE)*'[1]Profiles, RES, Summer'!N$3</f>
        <v>47.460197119029566</v>
      </c>
      <c r="O9" s="6">
        <f>VLOOKUP($A9,'RES installed'!$A$2:$C$7,3,FALSE)*'[1]Profiles, RES, Summer'!O$3</f>
        <v>46.455648218347235</v>
      </c>
      <c r="P9" s="6">
        <f>VLOOKUP($A9,'RES installed'!$A$2:$C$7,3,FALSE)*'[1]Profiles, RES, Summer'!P$3</f>
        <v>44.977255496588327</v>
      </c>
      <c r="Q9" s="6">
        <f>VLOOKUP($A9,'RES installed'!$A$2:$C$7,3,FALSE)*'[1]Profiles, RES, Summer'!Q$3</f>
        <v>40.125094768764214</v>
      </c>
      <c r="R9" s="6">
        <f>VLOOKUP($A9,'RES installed'!$A$2:$C$7,3,FALSE)*'[1]Profiles, RES, Summer'!R$3</f>
        <v>32.221379833206974</v>
      </c>
      <c r="S9" s="6">
        <f>VLOOKUP($A9,'RES installed'!$A$2:$C$7,3,FALSE)*'[1]Profiles, RES, Summer'!S$3</f>
        <v>20.204700530705079</v>
      </c>
      <c r="T9" s="6">
        <f>VLOOKUP($A9,'RES installed'!$A$2:$C$7,3,FALSE)*'[1]Profiles, RES, Summer'!T$3</f>
        <v>6.5769522365428355</v>
      </c>
      <c r="U9" s="6">
        <f>VLOOKUP($A9,'RES installed'!$A$2:$C$7,3,FALSE)*'[1]Profiles, RES, Summer'!U$3</f>
        <v>0.4359363153904473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0.11372251705837756</v>
      </c>
      <c r="H10" s="6">
        <f>VLOOKUP($A10,'RES installed'!$A$2:$C$7,3,FALSE)*'[1]Profiles, RES, Summer'!H$3</f>
        <v>4.7990902198635323</v>
      </c>
      <c r="I10" s="6">
        <f>VLOOKUP($A10,'RES installed'!$A$2:$C$7,3,FALSE)*'[1]Profiles, RES, Summer'!I$3</f>
        <v>19.31008339651251</v>
      </c>
      <c r="J10" s="6">
        <f>VLOOKUP($A10,'RES installed'!$A$2:$C$7,3,FALSE)*'[1]Profiles, RES, Summer'!J$3</f>
        <v>35.299469294920392</v>
      </c>
      <c r="K10" s="6">
        <f>VLOOKUP($A10,'RES installed'!$A$2:$C$7,3,FALSE)*'[1]Profiles, RES, Summer'!K$3</f>
        <v>46.421531463229719</v>
      </c>
      <c r="L10" s="6">
        <f>VLOOKUP($A10,'RES installed'!$A$2:$C$7,3,FALSE)*'[1]Profiles, RES, Summer'!L$3</f>
        <v>53.995451099317663</v>
      </c>
      <c r="M10" s="6">
        <f>VLOOKUP($A10,'RES installed'!$A$2:$C$7,3,FALSE)*'[1]Profiles, RES, Summer'!M$3</f>
        <v>56.793025018953756</v>
      </c>
      <c r="N10" s="6">
        <f>VLOOKUP($A10,'RES installed'!$A$2:$C$7,3,FALSE)*'[1]Profiles, RES, Summer'!N$3</f>
        <v>56.952236542835479</v>
      </c>
      <c r="O10" s="6">
        <f>VLOOKUP($A10,'RES installed'!$A$2:$C$7,3,FALSE)*'[1]Profiles, RES, Summer'!O$3</f>
        <v>55.746777862016678</v>
      </c>
      <c r="P10" s="6">
        <f>VLOOKUP($A10,'RES installed'!$A$2:$C$7,3,FALSE)*'[1]Profiles, RES, Summer'!P$3</f>
        <v>53.97270659590599</v>
      </c>
      <c r="Q10" s="6">
        <f>VLOOKUP($A10,'RES installed'!$A$2:$C$7,3,FALSE)*'[1]Profiles, RES, Summer'!Q$3</f>
        <v>48.150113722517055</v>
      </c>
      <c r="R10" s="6">
        <f>VLOOKUP($A10,'RES installed'!$A$2:$C$7,3,FALSE)*'[1]Profiles, RES, Summer'!R$3</f>
        <v>38.665655799848373</v>
      </c>
      <c r="S10" s="6">
        <f>VLOOKUP($A10,'RES installed'!$A$2:$C$7,3,FALSE)*'[1]Profiles, RES, Summer'!S$3</f>
        <v>24.245640636846097</v>
      </c>
      <c r="T10" s="6">
        <f>VLOOKUP($A10,'RES installed'!$A$2:$C$7,3,FALSE)*'[1]Profiles, RES, Summer'!T$3</f>
        <v>7.8923426838514024</v>
      </c>
      <c r="U10" s="6">
        <f>VLOOKUP($A10,'RES installed'!$A$2:$C$7,3,FALSE)*'[1]Profiles, RES, Summer'!U$3</f>
        <v>0.52312357846853674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4C5497-56F8-42F6-A945-D4621CE2E97A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13.395222802087515</v>
      </c>
      <c r="C5" s="9">
        <f>VLOOKUP($A5,'RES installed'!$A$2:$C$7,3,FALSE)*'[1]Profiles, RES, Summer'!C$7</f>
        <v>12.049377759935769</v>
      </c>
      <c r="D5" s="9">
        <f>VLOOKUP($A5,'RES installed'!$A$2:$C$7,3,FALSE)*'[1]Profiles, RES, Summer'!D$7</f>
        <v>10.062224006423122</v>
      </c>
      <c r="E5" s="9">
        <f>VLOOKUP($A5,'RES installed'!$A$2:$C$7,3,FALSE)*'[1]Profiles, RES, Summer'!E$7</f>
        <v>9.5112404656764351</v>
      </c>
      <c r="F5" s="9">
        <f>VLOOKUP($A5,'RES installed'!$A$2:$C$7,3,FALSE)*'[1]Profiles, RES, Summer'!F$7</f>
        <v>9.3576876756322758</v>
      </c>
      <c r="G5" s="9">
        <f>VLOOKUP($A5,'RES installed'!$A$2:$C$7,3,FALSE)*'[1]Profiles, RES, Summer'!G$7</f>
        <v>10.495784825371336</v>
      </c>
      <c r="H5" s="9">
        <f>VLOOKUP($A5,'RES installed'!$A$2:$C$7,3,FALSE)*'[1]Profiles, RES, Summer'!H$7</f>
        <v>11.570654355680448</v>
      </c>
      <c r="I5" s="9">
        <f>VLOOKUP($A5,'RES installed'!$A$2:$C$7,3,FALSE)*'[1]Profiles, RES, Summer'!I$7</f>
        <v>11.968085106382979</v>
      </c>
      <c r="J5" s="9">
        <f>VLOOKUP($A5,'RES installed'!$A$2:$C$7,3,FALSE)*'[1]Profiles, RES, Summer'!J$7</f>
        <v>9.7280208751505413</v>
      </c>
      <c r="K5" s="9">
        <f>VLOOKUP($A5,'RES installed'!$A$2:$C$7,3,FALSE)*'[1]Profiles, RES, Summer'!K$7</f>
        <v>7.5692492974708951</v>
      </c>
      <c r="L5" s="9">
        <f>VLOOKUP($A5,'RES installed'!$A$2:$C$7,3,FALSE)*'[1]Profiles, RES, Summer'!L$7</f>
        <v>6.8105178643115218</v>
      </c>
      <c r="M5" s="9">
        <f>VLOOKUP($A5,'RES installed'!$A$2:$C$7,3,FALSE)*'[1]Profiles, RES, Summer'!M$7</f>
        <v>6.0788839823364107</v>
      </c>
      <c r="N5" s="9">
        <f>VLOOKUP($A5,'RES installed'!$A$2:$C$7,3,FALSE)*'[1]Profiles, RES, Summer'!N$7</f>
        <v>6.5847049377759941</v>
      </c>
      <c r="O5" s="9">
        <f>VLOOKUP($A5,'RES installed'!$A$2:$C$7,3,FALSE)*'[1]Profiles, RES, Summer'!O$7</f>
        <v>8.7615415495784816</v>
      </c>
      <c r="P5" s="9">
        <f>VLOOKUP($A5,'RES installed'!$A$2:$C$7,3,FALSE)*'[1]Profiles, RES, Summer'!P$7</f>
        <v>11.019670814933761</v>
      </c>
      <c r="Q5" s="9">
        <f>VLOOKUP($A5,'RES installed'!$A$2:$C$7,3,FALSE)*'[1]Profiles, RES, Summer'!Q$7</f>
        <v>11.561621838619029</v>
      </c>
      <c r="R5" s="9">
        <f>VLOOKUP($A5,'RES installed'!$A$2:$C$7,3,FALSE)*'[1]Profiles, RES, Summer'!R$7</f>
        <v>12.482938578883983</v>
      </c>
      <c r="S5" s="9">
        <f>VLOOKUP($A5,'RES installed'!$A$2:$C$7,3,FALSE)*'[1]Profiles, RES, Summer'!S$7</f>
        <v>12.988759534323565</v>
      </c>
      <c r="T5" s="9">
        <f>VLOOKUP($A5,'RES installed'!$A$2:$C$7,3,FALSE)*'[1]Profiles, RES, Summer'!T$7</f>
        <v>13.313930148534725</v>
      </c>
      <c r="U5" s="9">
        <f>VLOOKUP($A5,'RES installed'!$A$2:$C$7,3,FALSE)*'[1]Profiles, RES, Summer'!U$7</f>
        <v>15.255921316740265</v>
      </c>
      <c r="V5" s="9">
        <f>VLOOKUP($A5,'RES installed'!$A$2:$C$7,3,FALSE)*'[1]Profiles, RES, Summer'!V$7</f>
        <v>17.16178241670012</v>
      </c>
      <c r="W5" s="9">
        <f>VLOOKUP($A5,'RES installed'!$A$2:$C$7,3,FALSE)*'[1]Profiles, RES, Summer'!W$7</f>
        <v>16.574668807707749</v>
      </c>
      <c r="X5" s="9">
        <f>VLOOKUP($A5,'RES installed'!$A$2:$C$7,3,FALSE)*'[1]Profiles, RES, Summer'!X$7</f>
        <v>15.6985146527499</v>
      </c>
      <c r="Y5" s="9">
        <f>VLOOKUP($A5,'RES installed'!$A$2:$C$7,3,FALSE)*'[1]Profiles, RES, Summer'!Y$7</f>
        <v>15.418506623845845</v>
      </c>
    </row>
    <row r="6" spans="1:25" x14ac:dyDescent="0.3">
      <c r="A6" s="8">
        <v>5</v>
      </c>
      <c r="B6" s="9">
        <f>VLOOKUP($A6,'RES installed'!$A$2:$C$7,3,FALSE)*'[1]Profiles, RES, Summer'!B$7</f>
        <v>17.86029706945002</v>
      </c>
      <c r="C6" s="9">
        <f>VLOOKUP($A6,'RES installed'!$A$2:$C$7,3,FALSE)*'[1]Profiles, RES, Summer'!C$7</f>
        <v>16.065837013247691</v>
      </c>
      <c r="D6" s="9">
        <f>VLOOKUP($A6,'RES installed'!$A$2:$C$7,3,FALSE)*'[1]Profiles, RES, Summer'!D$7</f>
        <v>13.416298675230831</v>
      </c>
      <c r="E6" s="9">
        <f>VLOOKUP($A6,'RES installed'!$A$2:$C$7,3,FALSE)*'[1]Profiles, RES, Summer'!E$7</f>
        <v>12.681653954235248</v>
      </c>
      <c r="F6" s="9">
        <f>VLOOKUP($A6,'RES installed'!$A$2:$C$7,3,FALSE)*'[1]Profiles, RES, Summer'!F$7</f>
        <v>12.476916900843035</v>
      </c>
      <c r="G6" s="9">
        <f>VLOOKUP($A6,'RES installed'!$A$2:$C$7,3,FALSE)*'[1]Profiles, RES, Summer'!G$7</f>
        <v>13.994379767161782</v>
      </c>
      <c r="H6" s="9">
        <f>VLOOKUP($A6,'RES installed'!$A$2:$C$7,3,FALSE)*'[1]Profiles, RES, Summer'!H$7</f>
        <v>15.427539140907264</v>
      </c>
      <c r="I6" s="9">
        <f>VLOOKUP($A6,'RES installed'!$A$2:$C$7,3,FALSE)*'[1]Profiles, RES, Summer'!I$7</f>
        <v>15.957446808510639</v>
      </c>
      <c r="J6" s="9">
        <f>VLOOKUP($A6,'RES installed'!$A$2:$C$7,3,FALSE)*'[1]Profiles, RES, Summer'!J$7</f>
        <v>12.970694500200722</v>
      </c>
      <c r="K6" s="9">
        <f>VLOOKUP($A6,'RES installed'!$A$2:$C$7,3,FALSE)*'[1]Profiles, RES, Summer'!K$7</f>
        <v>10.09233239662786</v>
      </c>
      <c r="L6" s="9">
        <f>VLOOKUP($A6,'RES installed'!$A$2:$C$7,3,FALSE)*'[1]Profiles, RES, Summer'!L$7</f>
        <v>9.0806904857486952</v>
      </c>
      <c r="M6" s="9">
        <f>VLOOKUP($A6,'RES installed'!$A$2:$C$7,3,FALSE)*'[1]Profiles, RES, Summer'!M$7</f>
        <v>8.1051786431152131</v>
      </c>
      <c r="N6" s="9">
        <f>VLOOKUP($A6,'RES installed'!$A$2:$C$7,3,FALSE)*'[1]Profiles, RES, Summer'!N$7</f>
        <v>8.7796065837013249</v>
      </c>
      <c r="O6" s="9">
        <f>VLOOKUP($A6,'RES installed'!$A$2:$C$7,3,FALSE)*'[1]Profiles, RES, Summer'!O$7</f>
        <v>11.682055399437976</v>
      </c>
      <c r="P6" s="9">
        <f>VLOOKUP($A6,'RES installed'!$A$2:$C$7,3,FALSE)*'[1]Profiles, RES, Summer'!P$7</f>
        <v>14.692894419911681</v>
      </c>
      <c r="Q6" s="9">
        <f>VLOOKUP($A6,'RES installed'!$A$2:$C$7,3,FALSE)*'[1]Profiles, RES, Summer'!Q$7</f>
        <v>15.415495784825371</v>
      </c>
      <c r="R6" s="9">
        <f>VLOOKUP($A6,'RES installed'!$A$2:$C$7,3,FALSE)*'[1]Profiles, RES, Summer'!R$7</f>
        <v>16.643918105178646</v>
      </c>
      <c r="S6" s="9">
        <f>VLOOKUP($A6,'RES installed'!$A$2:$C$7,3,FALSE)*'[1]Profiles, RES, Summer'!S$7</f>
        <v>17.318346045764756</v>
      </c>
      <c r="T6" s="9">
        <f>VLOOKUP($A6,'RES installed'!$A$2:$C$7,3,FALSE)*'[1]Profiles, RES, Summer'!T$7</f>
        <v>17.751906864712968</v>
      </c>
      <c r="U6" s="9">
        <f>VLOOKUP($A6,'RES installed'!$A$2:$C$7,3,FALSE)*'[1]Profiles, RES, Summer'!U$7</f>
        <v>20.341228422320352</v>
      </c>
      <c r="V6" s="9">
        <f>VLOOKUP($A6,'RES installed'!$A$2:$C$7,3,FALSE)*'[1]Profiles, RES, Summer'!V$7</f>
        <v>22.88237655560016</v>
      </c>
      <c r="W6" s="9">
        <f>VLOOKUP($A6,'RES installed'!$A$2:$C$7,3,FALSE)*'[1]Profiles, RES, Summer'!W$7</f>
        <v>22.099558410276995</v>
      </c>
      <c r="X6" s="9">
        <f>VLOOKUP($A6,'RES installed'!$A$2:$C$7,3,FALSE)*'[1]Profiles, RES, Summer'!X$7</f>
        <v>20.9313528703332</v>
      </c>
      <c r="Y6" s="9">
        <f>VLOOKUP($A6,'RES installed'!$A$2:$C$7,3,FALSE)*'[1]Profiles, RES, Summer'!Y$7</f>
        <v>20.55800883179446</v>
      </c>
    </row>
    <row r="7" spans="1:25" x14ac:dyDescent="0.3">
      <c r="A7" s="8">
        <v>6</v>
      </c>
      <c r="B7" s="9">
        <f>VLOOKUP($A7,'RES installed'!$A$2:$C$7,3,FALSE)*'[1]Profiles, RES, Summer'!B$7</f>
        <v>13.395222802087515</v>
      </c>
      <c r="C7" s="9">
        <f>VLOOKUP($A7,'RES installed'!$A$2:$C$7,3,FALSE)*'[1]Profiles, RES, Summer'!C$7</f>
        <v>12.049377759935769</v>
      </c>
      <c r="D7" s="9">
        <f>VLOOKUP($A7,'RES installed'!$A$2:$C$7,3,FALSE)*'[1]Profiles, RES, Summer'!D$7</f>
        <v>10.062224006423122</v>
      </c>
      <c r="E7" s="9">
        <f>VLOOKUP($A7,'RES installed'!$A$2:$C$7,3,FALSE)*'[1]Profiles, RES, Summer'!E$7</f>
        <v>9.5112404656764351</v>
      </c>
      <c r="F7" s="9">
        <f>VLOOKUP($A7,'RES installed'!$A$2:$C$7,3,FALSE)*'[1]Profiles, RES, Summer'!F$7</f>
        <v>9.3576876756322758</v>
      </c>
      <c r="G7" s="9">
        <f>VLOOKUP($A7,'RES installed'!$A$2:$C$7,3,FALSE)*'[1]Profiles, RES, Summer'!G$7</f>
        <v>10.495784825371336</v>
      </c>
      <c r="H7" s="9">
        <f>VLOOKUP($A7,'RES installed'!$A$2:$C$7,3,FALSE)*'[1]Profiles, RES, Summer'!H$7</f>
        <v>11.570654355680448</v>
      </c>
      <c r="I7" s="9">
        <f>VLOOKUP($A7,'RES installed'!$A$2:$C$7,3,FALSE)*'[1]Profiles, RES, Summer'!I$7</f>
        <v>11.968085106382979</v>
      </c>
      <c r="J7" s="9">
        <f>VLOOKUP($A7,'RES installed'!$A$2:$C$7,3,FALSE)*'[1]Profiles, RES, Summer'!J$7</f>
        <v>9.7280208751505413</v>
      </c>
      <c r="K7" s="9">
        <f>VLOOKUP($A7,'RES installed'!$A$2:$C$7,3,FALSE)*'[1]Profiles, RES, Summer'!K$7</f>
        <v>7.5692492974708951</v>
      </c>
      <c r="L7" s="9">
        <f>VLOOKUP($A7,'RES installed'!$A$2:$C$7,3,FALSE)*'[1]Profiles, RES, Summer'!L$7</f>
        <v>6.8105178643115218</v>
      </c>
      <c r="M7" s="9">
        <f>VLOOKUP($A7,'RES installed'!$A$2:$C$7,3,FALSE)*'[1]Profiles, RES, Summer'!M$7</f>
        <v>6.0788839823364107</v>
      </c>
      <c r="N7" s="9">
        <f>VLOOKUP($A7,'RES installed'!$A$2:$C$7,3,FALSE)*'[1]Profiles, RES, Summer'!N$7</f>
        <v>6.5847049377759941</v>
      </c>
      <c r="O7" s="9">
        <f>VLOOKUP($A7,'RES installed'!$A$2:$C$7,3,FALSE)*'[1]Profiles, RES, Summer'!O$7</f>
        <v>8.7615415495784816</v>
      </c>
      <c r="P7" s="9">
        <f>VLOOKUP($A7,'RES installed'!$A$2:$C$7,3,FALSE)*'[1]Profiles, RES, Summer'!P$7</f>
        <v>11.019670814933761</v>
      </c>
      <c r="Q7" s="9">
        <f>VLOOKUP($A7,'RES installed'!$A$2:$C$7,3,FALSE)*'[1]Profiles, RES, Summer'!Q$7</f>
        <v>11.561621838619029</v>
      </c>
      <c r="R7" s="9">
        <f>VLOOKUP($A7,'RES installed'!$A$2:$C$7,3,FALSE)*'[1]Profiles, RES, Summer'!R$7</f>
        <v>12.482938578883983</v>
      </c>
      <c r="S7" s="9">
        <f>VLOOKUP($A7,'RES installed'!$A$2:$C$7,3,FALSE)*'[1]Profiles, RES, Summer'!S$7</f>
        <v>12.988759534323565</v>
      </c>
      <c r="T7" s="9">
        <f>VLOOKUP($A7,'RES installed'!$A$2:$C$7,3,FALSE)*'[1]Profiles, RES, Summer'!T$7</f>
        <v>13.313930148534725</v>
      </c>
      <c r="U7" s="9">
        <f>VLOOKUP($A7,'RES installed'!$A$2:$C$7,3,FALSE)*'[1]Profiles, RES, Summer'!U$7</f>
        <v>15.255921316740265</v>
      </c>
      <c r="V7" s="9">
        <f>VLOOKUP($A7,'RES installed'!$A$2:$C$7,3,FALSE)*'[1]Profiles, RES, Summer'!V$7</f>
        <v>17.16178241670012</v>
      </c>
      <c r="W7" s="9">
        <f>VLOOKUP($A7,'RES installed'!$A$2:$C$7,3,FALSE)*'[1]Profiles, RES, Summer'!W$7</f>
        <v>16.574668807707749</v>
      </c>
      <c r="X7" s="9">
        <f>VLOOKUP($A7,'RES installed'!$A$2:$C$7,3,FALSE)*'[1]Profiles, RES, Summer'!X$7</f>
        <v>15.6985146527499</v>
      </c>
      <c r="Y7" s="9">
        <f>VLOOKUP($A7,'RES installed'!$A$2:$C$7,3,FALSE)*'[1]Profiles, RES, Summer'!Y$7</f>
        <v>15.418506623845845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2.843062926459439E-2</v>
      </c>
      <c r="H8" s="6">
        <f>VLOOKUP($A8,'RES installed'!$A$2:$C$7,3,FALSE)*'[1]Profiles, RES, Summer'!H$4</f>
        <v>3.49696739954511</v>
      </c>
      <c r="I8" s="6">
        <f>VLOOKUP($A8,'RES installed'!$A$2:$C$7,3,FALSE)*'[1]Profiles, RES, Summer'!I$4</f>
        <v>16.546626231993937</v>
      </c>
      <c r="J8" s="6">
        <f>VLOOKUP($A8,'RES installed'!$A$2:$C$7,3,FALSE)*'[1]Profiles, RES, Summer'!J$4</f>
        <v>36.021607278241092</v>
      </c>
      <c r="K8" s="6">
        <f>VLOOKUP($A8,'RES installed'!$A$2:$C$7,3,FALSE)*'[1]Profiles, RES, Summer'!K$4</f>
        <v>55.610310841546621</v>
      </c>
      <c r="L8" s="6">
        <f>VLOOKUP($A8,'RES installed'!$A$2:$C$7,3,FALSE)*'[1]Profiles, RES, Summer'!L$4</f>
        <v>68.26194086429112</v>
      </c>
      <c r="M8" s="6">
        <f>VLOOKUP($A8,'RES installed'!$A$2:$C$7,3,FALSE)*'[1]Profiles, RES, Summer'!M$4</f>
        <v>73.009855951478386</v>
      </c>
      <c r="N8" s="6">
        <f>VLOOKUP($A8,'RES installed'!$A$2:$C$7,3,FALSE)*'[1]Profiles, RES, Summer'!N$4</f>
        <v>75</v>
      </c>
      <c r="O8" s="6">
        <f>VLOOKUP($A8,'RES installed'!$A$2:$C$7,3,FALSE)*'[1]Profiles, RES, Summer'!O$4</f>
        <v>73.692191053828651</v>
      </c>
      <c r="P8" s="6">
        <f>VLOOKUP($A8,'RES installed'!$A$2:$C$7,3,FALSE)*'[1]Profiles, RES, Summer'!P$4</f>
        <v>69.967778620166797</v>
      </c>
      <c r="Q8" s="6">
        <f>VLOOKUP($A8,'RES installed'!$A$2:$C$7,3,FALSE)*'[1]Profiles, RES, Summer'!Q$4</f>
        <v>61.921910538286582</v>
      </c>
      <c r="R8" s="6">
        <f>VLOOKUP($A8,'RES installed'!$A$2:$C$7,3,FALSE)*'[1]Profiles, RES, Summer'!R$4</f>
        <v>48.644806671721</v>
      </c>
      <c r="S8" s="6">
        <f>VLOOKUP($A8,'RES installed'!$A$2:$C$7,3,FALSE)*'[1]Profiles, RES, Summer'!S$4</f>
        <v>28.94238059135709</v>
      </c>
      <c r="T8" s="6">
        <f>VLOOKUP($A8,'RES installed'!$A$2:$C$7,3,FALSE)*'[1]Profiles, RES, Summer'!T$4</f>
        <v>8.8419257012888544</v>
      </c>
      <c r="U8" s="6">
        <f>VLOOKUP($A8,'RES installed'!$A$2:$C$7,3,FALSE)*'[1]Profiles, RES, Summer'!U$4</f>
        <v>0.39802880970432147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1.8953752843062926E-2</v>
      </c>
      <c r="H9" s="6">
        <f>VLOOKUP($A9,'RES installed'!$A$2:$C$7,3,FALSE)*'[1]Profiles, RES, Summer'!H$4</f>
        <v>2.3313115996967402</v>
      </c>
      <c r="I9" s="6">
        <f>VLOOKUP($A9,'RES installed'!$A$2:$C$7,3,FALSE)*'[1]Profiles, RES, Summer'!I$4</f>
        <v>11.031084154662624</v>
      </c>
      <c r="J9" s="6">
        <f>VLOOKUP($A9,'RES installed'!$A$2:$C$7,3,FALSE)*'[1]Profiles, RES, Summer'!J$4</f>
        <v>24.014404852160727</v>
      </c>
      <c r="K9" s="6">
        <f>VLOOKUP($A9,'RES installed'!$A$2:$C$7,3,FALSE)*'[1]Profiles, RES, Summer'!K$4</f>
        <v>37.073540561031081</v>
      </c>
      <c r="L9" s="6">
        <f>VLOOKUP($A9,'RES installed'!$A$2:$C$7,3,FALSE)*'[1]Profiles, RES, Summer'!L$4</f>
        <v>45.507960576194087</v>
      </c>
      <c r="M9" s="6">
        <f>VLOOKUP($A9,'RES installed'!$A$2:$C$7,3,FALSE)*'[1]Profiles, RES, Summer'!M$4</f>
        <v>48.673237300985598</v>
      </c>
      <c r="N9" s="6">
        <f>VLOOKUP($A9,'RES installed'!$A$2:$C$7,3,FALSE)*'[1]Profiles, RES, Summer'!N$4</f>
        <v>50</v>
      </c>
      <c r="O9" s="6">
        <f>VLOOKUP($A9,'RES installed'!$A$2:$C$7,3,FALSE)*'[1]Profiles, RES, Summer'!O$4</f>
        <v>49.128127369219108</v>
      </c>
      <c r="P9" s="6">
        <f>VLOOKUP($A9,'RES installed'!$A$2:$C$7,3,FALSE)*'[1]Profiles, RES, Summer'!P$4</f>
        <v>46.645185746777862</v>
      </c>
      <c r="Q9" s="6">
        <f>VLOOKUP($A9,'RES installed'!$A$2:$C$7,3,FALSE)*'[1]Profiles, RES, Summer'!Q$4</f>
        <v>41.281273692191057</v>
      </c>
      <c r="R9" s="6">
        <f>VLOOKUP($A9,'RES installed'!$A$2:$C$7,3,FALSE)*'[1]Profiles, RES, Summer'!R$4</f>
        <v>32.429871114480669</v>
      </c>
      <c r="S9" s="6">
        <f>VLOOKUP($A9,'RES installed'!$A$2:$C$7,3,FALSE)*'[1]Profiles, RES, Summer'!S$4</f>
        <v>19.294920394238062</v>
      </c>
      <c r="T9" s="6">
        <f>VLOOKUP($A9,'RES installed'!$A$2:$C$7,3,FALSE)*'[1]Profiles, RES, Summer'!T$4</f>
        <v>5.8946171341925702</v>
      </c>
      <c r="U9" s="6">
        <f>VLOOKUP($A9,'RES installed'!$A$2:$C$7,3,FALSE)*'[1]Profiles, RES, Summer'!U$4</f>
        <v>0.26535253980288098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2.2744503411675512E-2</v>
      </c>
      <c r="H10" s="6">
        <f>VLOOKUP($A10,'RES installed'!$A$2:$C$7,3,FALSE)*'[1]Profiles, RES, Summer'!H$4</f>
        <v>2.797573919636088</v>
      </c>
      <c r="I10" s="6">
        <f>VLOOKUP($A10,'RES installed'!$A$2:$C$7,3,FALSE)*'[1]Profiles, RES, Summer'!I$4</f>
        <v>13.237300985595148</v>
      </c>
      <c r="J10" s="6">
        <f>VLOOKUP($A10,'RES installed'!$A$2:$C$7,3,FALSE)*'[1]Profiles, RES, Summer'!J$4</f>
        <v>28.817285822592876</v>
      </c>
      <c r="K10" s="6">
        <f>VLOOKUP($A10,'RES installed'!$A$2:$C$7,3,FALSE)*'[1]Profiles, RES, Summer'!K$4</f>
        <v>44.488248673237301</v>
      </c>
      <c r="L10" s="6">
        <f>VLOOKUP($A10,'RES installed'!$A$2:$C$7,3,FALSE)*'[1]Profiles, RES, Summer'!L$4</f>
        <v>54.609552691432903</v>
      </c>
      <c r="M10" s="6">
        <f>VLOOKUP($A10,'RES installed'!$A$2:$C$7,3,FALSE)*'[1]Profiles, RES, Summer'!M$4</f>
        <v>58.407884761182714</v>
      </c>
      <c r="N10" s="6">
        <f>VLOOKUP($A10,'RES installed'!$A$2:$C$7,3,FALSE)*'[1]Profiles, RES, Summer'!N$4</f>
        <v>60</v>
      </c>
      <c r="O10" s="6">
        <f>VLOOKUP($A10,'RES installed'!$A$2:$C$7,3,FALSE)*'[1]Profiles, RES, Summer'!O$4</f>
        <v>58.953752843062922</v>
      </c>
      <c r="P10" s="6">
        <f>VLOOKUP($A10,'RES installed'!$A$2:$C$7,3,FALSE)*'[1]Profiles, RES, Summer'!P$4</f>
        <v>55.974222896133433</v>
      </c>
      <c r="Q10" s="6">
        <f>VLOOKUP($A10,'RES installed'!$A$2:$C$7,3,FALSE)*'[1]Profiles, RES, Summer'!Q$4</f>
        <v>49.537528430629266</v>
      </c>
      <c r="R10" s="6">
        <f>VLOOKUP($A10,'RES installed'!$A$2:$C$7,3,FALSE)*'[1]Profiles, RES, Summer'!R$4</f>
        <v>38.915845337376801</v>
      </c>
      <c r="S10" s="6">
        <f>VLOOKUP($A10,'RES installed'!$A$2:$C$7,3,FALSE)*'[1]Profiles, RES, Summer'!S$4</f>
        <v>23.153904473085671</v>
      </c>
      <c r="T10" s="6">
        <f>VLOOKUP($A10,'RES installed'!$A$2:$C$7,3,FALSE)*'[1]Profiles, RES, Summer'!T$4</f>
        <v>7.0735405610310842</v>
      </c>
      <c r="U10" s="6">
        <f>VLOOKUP($A10,'RES installed'!$A$2:$C$7,3,FALSE)*'[1]Profiles, RES, Summer'!U$4</f>
        <v>0.3184230477634572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B6CB5B-1DB1-4676-8A26-9AF5B04E0EB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12.157767964672821</v>
      </c>
      <c r="C5" s="9">
        <f>VLOOKUP($A5,'RES installed'!$A$2:$C$7,3,FALSE)*'[1]Profiles, RES, Summer'!C$5</f>
        <v>11.119028502609394</v>
      </c>
      <c r="D5" s="9">
        <f>VLOOKUP($A5,'RES installed'!$A$2:$C$7,3,FALSE)*'[1]Profiles, RES, Summer'!D$5</f>
        <v>9.7280208751505413</v>
      </c>
      <c r="E5" s="9">
        <f>VLOOKUP($A5,'RES installed'!$A$2:$C$7,3,FALSE)*'[1]Profiles, RES, Summer'!E$5</f>
        <v>9.6918908069048584</v>
      </c>
      <c r="F5" s="9">
        <f>VLOOKUP($A5,'RES installed'!$A$2:$C$7,3,FALSE)*'[1]Profiles, RES, Summer'!F$5</f>
        <v>9.1770373344038543</v>
      </c>
      <c r="G5" s="9">
        <f>VLOOKUP($A5,'RES installed'!$A$2:$C$7,3,FALSE)*'[1]Profiles, RES, Summer'!G$5</f>
        <v>8.4544359694901647</v>
      </c>
      <c r="H5" s="9">
        <f>VLOOKUP($A5,'RES installed'!$A$2:$C$7,3,FALSE)*'[1]Profiles, RES, Summer'!H$5</f>
        <v>7.433761541549579</v>
      </c>
      <c r="I5" s="9">
        <f>VLOOKUP($A5,'RES installed'!$A$2:$C$7,3,FALSE)*'[1]Profiles, RES, Summer'!I$5</f>
        <v>5.8440385387394622</v>
      </c>
      <c r="J5" s="9">
        <f>VLOOKUP($A5,'RES installed'!$A$2:$C$7,3,FALSE)*'[1]Profiles, RES, Summer'!J$5</f>
        <v>4.8594941790445603</v>
      </c>
      <c r="K5" s="9">
        <f>VLOOKUP($A5,'RES installed'!$A$2:$C$7,3,FALSE)*'[1]Profiles, RES, Summer'!K$5</f>
        <v>4.5433560818948218</v>
      </c>
      <c r="L5" s="9">
        <f>VLOOKUP($A5,'RES installed'!$A$2:$C$7,3,FALSE)*'[1]Profiles, RES, Summer'!L$5</f>
        <v>4.182055399437977</v>
      </c>
      <c r="M5" s="9">
        <f>VLOOKUP($A5,'RES installed'!$A$2:$C$7,3,FALSE)*'[1]Profiles, RES, Summer'!M$5</f>
        <v>4.7059413890004018</v>
      </c>
      <c r="N5" s="9">
        <f>VLOOKUP($A5,'RES installed'!$A$2:$C$7,3,FALSE)*'[1]Profiles, RES, Summer'!N$5</f>
        <v>5.9162986752308306</v>
      </c>
      <c r="O5" s="9">
        <f>VLOOKUP($A5,'RES installed'!$A$2:$C$7,3,FALSE)*'[1]Profiles, RES, Summer'!O$5</f>
        <v>7.3434363709353674</v>
      </c>
      <c r="P5" s="9">
        <f>VLOOKUP($A5,'RES installed'!$A$2:$C$7,3,FALSE)*'[1]Profiles, RES, Summer'!P$5</f>
        <v>9.8002810116419106</v>
      </c>
      <c r="Q5" s="9">
        <f>VLOOKUP($A5,'RES installed'!$A$2:$C$7,3,FALSE)*'[1]Profiles, RES, Summer'!Q$5</f>
        <v>12.510036130068245</v>
      </c>
      <c r="R5" s="9">
        <f>VLOOKUP($A5,'RES installed'!$A$2:$C$7,3,FALSE)*'[1]Profiles, RES, Summer'!R$5</f>
        <v>14.786230429546368</v>
      </c>
      <c r="S5" s="9">
        <f>VLOOKUP($A5,'RES installed'!$A$2:$C$7,3,FALSE)*'[1]Profiles, RES, Summer'!S$5</f>
        <v>15.77980730630269</v>
      </c>
      <c r="T5" s="9">
        <f>VLOOKUP($A5,'RES installed'!$A$2:$C$7,3,FALSE)*'[1]Profiles, RES, Summer'!T$5</f>
        <v>16.981132075471699</v>
      </c>
      <c r="U5" s="9">
        <f>VLOOKUP($A5,'RES installed'!$A$2:$C$7,3,FALSE)*'[1]Profiles, RES, Summer'!U$5</f>
        <v>18.914090726615814</v>
      </c>
      <c r="V5" s="9">
        <f>VLOOKUP($A5,'RES installed'!$A$2:$C$7,3,FALSE)*'[1]Profiles, RES, Summer'!V$5</f>
        <v>20.856081894821358</v>
      </c>
      <c r="W5" s="9">
        <f>VLOOKUP($A5,'RES installed'!$A$2:$C$7,3,FALSE)*'[1]Profiles, RES, Summer'!W$5</f>
        <v>21.723203532717786</v>
      </c>
      <c r="X5" s="9">
        <f>VLOOKUP($A5,'RES installed'!$A$2:$C$7,3,FALSE)*'[1]Profiles, RES, Summer'!X$5</f>
        <v>21.822561220393414</v>
      </c>
      <c r="Y5" s="9">
        <f>VLOOKUP($A5,'RES installed'!$A$2:$C$7,3,FALSE)*'[1]Profiles, RES, Summer'!Y$5</f>
        <v>21.0457647531112</v>
      </c>
    </row>
    <row r="6" spans="1:25" x14ac:dyDescent="0.3">
      <c r="A6" s="8">
        <v>5</v>
      </c>
      <c r="B6" s="9">
        <f>VLOOKUP($A6,'RES installed'!$A$2:$C$7,3,FALSE)*'[1]Profiles, RES, Summer'!B$5</f>
        <v>16.210357286230426</v>
      </c>
      <c r="C6" s="9">
        <f>VLOOKUP($A6,'RES installed'!$A$2:$C$7,3,FALSE)*'[1]Profiles, RES, Summer'!C$5</f>
        <v>14.825371336812525</v>
      </c>
      <c r="D6" s="9">
        <f>VLOOKUP($A6,'RES installed'!$A$2:$C$7,3,FALSE)*'[1]Profiles, RES, Summer'!D$5</f>
        <v>12.970694500200722</v>
      </c>
      <c r="E6" s="9">
        <f>VLOOKUP($A6,'RES installed'!$A$2:$C$7,3,FALSE)*'[1]Profiles, RES, Summer'!E$5</f>
        <v>12.922521075873144</v>
      </c>
      <c r="F6" s="9">
        <f>VLOOKUP($A6,'RES installed'!$A$2:$C$7,3,FALSE)*'[1]Profiles, RES, Summer'!F$5</f>
        <v>12.236049779205139</v>
      </c>
      <c r="G6" s="9">
        <f>VLOOKUP($A6,'RES installed'!$A$2:$C$7,3,FALSE)*'[1]Profiles, RES, Summer'!G$5</f>
        <v>11.272581292653554</v>
      </c>
      <c r="H6" s="9">
        <f>VLOOKUP($A6,'RES installed'!$A$2:$C$7,3,FALSE)*'[1]Profiles, RES, Summer'!H$5</f>
        <v>9.9116820553994387</v>
      </c>
      <c r="I6" s="9">
        <f>VLOOKUP($A6,'RES installed'!$A$2:$C$7,3,FALSE)*'[1]Profiles, RES, Summer'!I$5</f>
        <v>7.7920513849859487</v>
      </c>
      <c r="J6" s="9">
        <f>VLOOKUP($A6,'RES installed'!$A$2:$C$7,3,FALSE)*'[1]Profiles, RES, Summer'!J$5</f>
        <v>6.4793255720594134</v>
      </c>
      <c r="K6" s="9">
        <f>VLOOKUP($A6,'RES installed'!$A$2:$C$7,3,FALSE)*'[1]Profiles, RES, Summer'!K$5</f>
        <v>6.0578081091930951</v>
      </c>
      <c r="L6" s="9">
        <f>VLOOKUP($A6,'RES installed'!$A$2:$C$7,3,FALSE)*'[1]Profiles, RES, Summer'!L$5</f>
        <v>5.5760738659173024</v>
      </c>
      <c r="M6" s="9">
        <f>VLOOKUP($A6,'RES installed'!$A$2:$C$7,3,FALSE)*'[1]Profiles, RES, Summer'!M$5</f>
        <v>6.2745885186672021</v>
      </c>
      <c r="N6" s="9">
        <f>VLOOKUP($A6,'RES installed'!$A$2:$C$7,3,FALSE)*'[1]Profiles, RES, Summer'!N$5</f>
        <v>7.8883982336411069</v>
      </c>
      <c r="O6" s="9">
        <f>VLOOKUP($A6,'RES installed'!$A$2:$C$7,3,FALSE)*'[1]Profiles, RES, Summer'!O$5</f>
        <v>9.7912484945804898</v>
      </c>
      <c r="P6" s="9">
        <f>VLOOKUP($A6,'RES installed'!$A$2:$C$7,3,FALSE)*'[1]Profiles, RES, Summer'!P$5</f>
        <v>13.067041348855881</v>
      </c>
      <c r="Q6" s="9">
        <f>VLOOKUP($A6,'RES installed'!$A$2:$C$7,3,FALSE)*'[1]Profiles, RES, Summer'!Q$5</f>
        <v>16.680048173424328</v>
      </c>
      <c r="R6" s="9">
        <f>VLOOKUP($A6,'RES installed'!$A$2:$C$7,3,FALSE)*'[1]Profiles, RES, Summer'!R$5</f>
        <v>19.714973906061822</v>
      </c>
      <c r="S6" s="9">
        <f>VLOOKUP($A6,'RES installed'!$A$2:$C$7,3,FALSE)*'[1]Profiles, RES, Summer'!S$5</f>
        <v>21.039743075070252</v>
      </c>
      <c r="T6" s="9">
        <f>VLOOKUP($A6,'RES installed'!$A$2:$C$7,3,FALSE)*'[1]Profiles, RES, Summer'!T$5</f>
        <v>22.641509433962266</v>
      </c>
      <c r="U6" s="9">
        <f>VLOOKUP($A6,'RES installed'!$A$2:$C$7,3,FALSE)*'[1]Profiles, RES, Summer'!U$5</f>
        <v>25.218787635487754</v>
      </c>
      <c r="V6" s="9">
        <f>VLOOKUP($A6,'RES installed'!$A$2:$C$7,3,FALSE)*'[1]Profiles, RES, Summer'!V$5</f>
        <v>27.808109193095145</v>
      </c>
      <c r="W6" s="9">
        <f>VLOOKUP($A6,'RES installed'!$A$2:$C$7,3,FALSE)*'[1]Profiles, RES, Summer'!W$5</f>
        <v>28.964271376957047</v>
      </c>
      <c r="X6" s="9">
        <f>VLOOKUP($A6,'RES installed'!$A$2:$C$7,3,FALSE)*'[1]Profiles, RES, Summer'!X$5</f>
        <v>29.096748293857885</v>
      </c>
      <c r="Y6" s="9">
        <f>VLOOKUP($A6,'RES installed'!$A$2:$C$7,3,FALSE)*'[1]Profiles, RES, Summer'!Y$5</f>
        <v>28.061019670814932</v>
      </c>
    </row>
    <row r="7" spans="1:25" x14ac:dyDescent="0.3">
      <c r="A7" s="8">
        <v>6</v>
      </c>
      <c r="B7" s="9">
        <f>VLOOKUP($A7,'RES installed'!$A$2:$C$7,3,FALSE)*'[1]Profiles, RES, Summer'!B$5</f>
        <v>12.157767964672821</v>
      </c>
      <c r="C7" s="9">
        <f>VLOOKUP($A7,'RES installed'!$A$2:$C$7,3,FALSE)*'[1]Profiles, RES, Summer'!C$5</f>
        <v>11.119028502609394</v>
      </c>
      <c r="D7" s="9">
        <f>VLOOKUP($A7,'RES installed'!$A$2:$C$7,3,FALSE)*'[1]Profiles, RES, Summer'!D$5</f>
        <v>9.7280208751505413</v>
      </c>
      <c r="E7" s="9">
        <f>VLOOKUP($A7,'RES installed'!$A$2:$C$7,3,FALSE)*'[1]Profiles, RES, Summer'!E$5</f>
        <v>9.6918908069048584</v>
      </c>
      <c r="F7" s="9">
        <f>VLOOKUP($A7,'RES installed'!$A$2:$C$7,3,FALSE)*'[1]Profiles, RES, Summer'!F$5</f>
        <v>9.1770373344038543</v>
      </c>
      <c r="G7" s="9">
        <f>VLOOKUP($A7,'RES installed'!$A$2:$C$7,3,FALSE)*'[1]Profiles, RES, Summer'!G$5</f>
        <v>8.4544359694901647</v>
      </c>
      <c r="H7" s="9">
        <f>VLOOKUP($A7,'RES installed'!$A$2:$C$7,3,FALSE)*'[1]Profiles, RES, Summer'!H$5</f>
        <v>7.433761541549579</v>
      </c>
      <c r="I7" s="9">
        <f>VLOOKUP($A7,'RES installed'!$A$2:$C$7,3,FALSE)*'[1]Profiles, RES, Summer'!I$5</f>
        <v>5.8440385387394622</v>
      </c>
      <c r="J7" s="9">
        <f>VLOOKUP($A7,'RES installed'!$A$2:$C$7,3,FALSE)*'[1]Profiles, RES, Summer'!J$5</f>
        <v>4.8594941790445603</v>
      </c>
      <c r="K7" s="9">
        <f>VLOOKUP($A7,'RES installed'!$A$2:$C$7,3,FALSE)*'[1]Profiles, RES, Summer'!K$5</f>
        <v>4.5433560818948218</v>
      </c>
      <c r="L7" s="9">
        <f>VLOOKUP($A7,'RES installed'!$A$2:$C$7,3,FALSE)*'[1]Profiles, RES, Summer'!L$5</f>
        <v>4.182055399437977</v>
      </c>
      <c r="M7" s="9">
        <f>VLOOKUP($A7,'RES installed'!$A$2:$C$7,3,FALSE)*'[1]Profiles, RES, Summer'!M$5</f>
        <v>4.7059413890004018</v>
      </c>
      <c r="N7" s="9">
        <f>VLOOKUP($A7,'RES installed'!$A$2:$C$7,3,FALSE)*'[1]Profiles, RES, Summer'!N$5</f>
        <v>5.9162986752308306</v>
      </c>
      <c r="O7" s="9">
        <f>VLOOKUP($A7,'RES installed'!$A$2:$C$7,3,FALSE)*'[1]Profiles, RES, Summer'!O$5</f>
        <v>7.3434363709353674</v>
      </c>
      <c r="P7" s="9">
        <f>VLOOKUP($A7,'RES installed'!$A$2:$C$7,3,FALSE)*'[1]Profiles, RES, Summer'!P$5</f>
        <v>9.8002810116419106</v>
      </c>
      <c r="Q7" s="9">
        <f>VLOOKUP($A7,'RES installed'!$A$2:$C$7,3,FALSE)*'[1]Profiles, RES, Summer'!Q$5</f>
        <v>12.510036130068245</v>
      </c>
      <c r="R7" s="9">
        <f>VLOOKUP($A7,'RES installed'!$A$2:$C$7,3,FALSE)*'[1]Profiles, RES, Summer'!R$5</f>
        <v>14.786230429546368</v>
      </c>
      <c r="S7" s="9">
        <f>VLOOKUP($A7,'RES installed'!$A$2:$C$7,3,FALSE)*'[1]Profiles, RES, Summer'!S$5</f>
        <v>15.77980730630269</v>
      </c>
      <c r="T7" s="9">
        <f>VLOOKUP($A7,'RES installed'!$A$2:$C$7,3,FALSE)*'[1]Profiles, RES, Summer'!T$5</f>
        <v>16.981132075471699</v>
      </c>
      <c r="U7" s="9">
        <f>VLOOKUP($A7,'RES installed'!$A$2:$C$7,3,FALSE)*'[1]Profiles, RES, Summer'!U$5</f>
        <v>18.914090726615814</v>
      </c>
      <c r="V7" s="9">
        <f>VLOOKUP($A7,'RES installed'!$A$2:$C$7,3,FALSE)*'[1]Profiles, RES, Summer'!V$5</f>
        <v>20.856081894821358</v>
      </c>
      <c r="W7" s="9">
        <f>VLOOKUP($A7,'RES installed'!$A$2:$C$7,3,FALSE)*'[1]Profiles, RES, Summer'!W$5</f>
        <v>21.723203532717786</v>
      </c>
      <c r="X7" s="9">
        <f>VLOOKUP($A7,'RES installed'!$A$2:$C$7,3,FALSE)*'[1]Profiles, RES, Summer'!X$5</f>
        <v>21.822561220393414</v>
      </c>
      <c r="Y7" s="9">
        <f>VLOOKUP($A7,'RES installed'!$A$2:$C$7,3,FALSE)*'[1]Profiles, RES, Summer'!Y$5</f>
        <v>21.0457647531112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0.17058377558756635</v>
      </c>
      <c r="H8" s="6">
        <f>VLOOKUP($A8,'RES installed'!$A$2:$C$7,3,FALSE)*'[1]Profiles, RES, Summer'!H$2</f>
        <v>5.003790750568613</v>
      </c>
      <c r="I8" s="6">
        <f>VLOOKUP($A8,'RES installed'!$A$2:$C$7,3,FALSE)*'[1]Profiles, RES, Summer'!I$2</f>
        <v>20.811220621683095</v>
      </c>
      <c r="J8" s="6">
        <f>VLOOKUP($A8,'RES installed'!$A$2:$C$7,3,FALSE)*'[1]Profiles, RES, Summer'!J$2</f>
        <v>43.100833965125098</v>
      </c>
      <c r="K8" s="6">
        <f>VLOOKUP($A8,'RES installed'!$A$2:$C$7,3,FALSE)*'[1]Profiles, RES, Summer'!K$2</f>
        <v>56.719105382865806</v>
      </c>
      <c r="L8" s="6">
        <f>VLOOKUP($A8,'RES installed'!$A$2:$C$7,3,FALSE)*'[1]Profiles, RES, Summer'!L$2</f>
        <v>65.163002274450335</v>
      </c>
      <c r="M8" s="6">
        <f>VLOOKUP($A8,'RES installed'!$A$2:$C$7,3,FALSE)*'[1]Profiles, RES, Summer'!M$2</f>
        <v>68.97270659590599</v>
      </c>
      <c r="N8" s="6">
        <f>VLOOKUP($A8,'RES installed'!$A$2:$C$7,3,FALSE)*'[1]Profiles, RES, Summer'!N$2</f>
        <v>70.507960576194094</v>
      </c>
      <c r="O8" s="6">
        <f>VLOOKUP($A8,'RES installed'!$A$2:$C$7,3,FALSE)*'[1]Profiles, RES, Summer'!O$2</f>
        <v>70.536391205458685</v>
      </c>
      <c r="P8" s="6">
        <f>VLOOKUP($A8,'RES installed'!$A$2:$C$7,3,FALSE)*'[1]Profiles, RES, Summer'!P$2</f>
        <v>68.119787717968151</v>
      </c>
      <c r="Q8" s="6">
        <f>VLOOKUP($A8,'RES installed'!$A$2:$C$7,3,FALSE)*'[1]Profiles, RES, Summer'!Q$2</f>
        <v>60.585670962850642</v>
      </c>
      <c r="R8" s="6">
        <f>VLOOKUP($A8,'RES installed'!$A$2:$C$7,3,FALSE)*'[1]Profiles, RES, Summer'!R$2</f>
        <v>48.55951478392722</v>
      </c>
      <c r="S8" s="6">
        <f>VLOOKUP($A8,'RES installed'!$A$2:$C$7,3,FALSE)*'[1]Profiles, RES, Summer'!S$2</f>
        <v>31.415845337376801</v>
      </c>
      <c r="T8" s="6">
        <f>VLOOKUP($A8,'RES installed'!$A$2:$C$7,3,FALSE)*'[1]Profiles, RES, Summer'!T$2</f>
        <v>10.945792266868841</v>
      </c>
      <c r="U8" s="6">
        <f>VLOOKUP($A8,'RES installed'!$A$2:$C$7,3,FALSE)*'[1]Profiles, RES, Summer'!U$2</f>
        <v>0.90978013646702049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0.11372251705837756</v>
      </c>
      <c r="H9" s="6">
        <f>VLOOKUP($A9,'RES installed'!$A$2:$C$7,3,FALSE)*'[1]Profiles, RES, Summer'!H$2</f>
        <v>3.3358605003790753</v>
      </c>
      <c r="I9" s="6">
        <f>VLOOKUP($A9,'RES installed'!$A$2:$C$7,3,FALSE)*'[1]Profiles, RES, Summer'!I$2</f>
        <v>13.874147081122063</v>
      </c>
      <c r="J9" s="6">
        <f>VLOOKUP($A9,'RES installed'!$A$2:$C$7,3,FALSE)*'[1]Profiles, RES, Summer'!J$2</f>
        <v>28.733889310083399</v>
      </c>
      <c r="K9" s="6">
        <f>VLOOKUP($A9,'RES installed'!$A$2:$C$7,3,FALSE)*'[1]Profiles, RES, Summer'!K$2</f>
        <v>37.812736921910542</v>
      </c>
      <c r="L9" s="6">
        <f>VLOOKUP($A9,'RES installed'!$A$2:$C$7,3,FALSE)*'[1]Profiles, RES, Summer'!L$2</f>
        <v>43.44200151630023</v>
      </c>
      <c r="M9" s="6">
        <f>VLOOKUP($A9,'RES installed'!$A$2:$C$7,3,FALSE)*'[1]Profiles, RES, Summer'!M$2</f>
        <v>45.981804397270658</v>
      </c>
      <c r="N9" s="6">
        <f>VLOOKUP($A9,'RES installed'!$A$2:$C$7,3,FALSE)*'[1]Profiles, RES, Summer'!N$2</f>
        <v>47.005307050796056</v>
      </c>
      <c r="O9" s="6">
        <f>VLOOKUP($A9,'RES installed'!$A$2:$C$7,3,FALSE)*'[1]Profiles, RES, Summer'!O$2</f>
        <v>47.024260803639123</v>
      </c>
      <c r="P9" s="6">
        <f>VLOOKUP($A9,'RES installed'!$A$2:$C$7,3,FALSE)*'[1]Profiles, RES, Summer'!P$2</f>
        <v>45.41319181197877</v>
      </c>
      <c r="Q9" s="6">
        <f>VLOOKUP($A9,'RES installed'!$A$2:$C$7,3,FALSE)*'[1]Profiles, RES, Summer'!Q$2</f>
        <v>40.390447308567097</v>
      </c>
      <c r="R9" s="6">
        <f>VLOOKUP($A9,'RES installed'!$A$2:$C$7,3,FALSE)*'[1]Profiles, RES, Summer'!R$2</f>
        <v>32.37300985595148</v>
      </c>
      <c r="S9" s="6">
        <f>VLOOKUP($A9,'RES installed'!$A$2:$C$7,3,FALSE)*'[1]Profiles, RES, Summer'!S$2</f>
        <v>20.943896891584536</v>
      </c>
      <c r="T9" s="6">
        <f>VLOOKUP($A9,'RES installed'!$A$2:$C$7,3,FALSE)*'[1]Profiles, RES, Summer'!T$2</f>
        <v>7.2971948445792272</v>
      </c>
      <c r="U9" s="6">
        <f>VLOOKUP($A9,'RES installed'!$A$2:$C$7,3,FALSE)*'[1]Profiles, RES, Summer'!U$2</f>
        <v>0.60652009097801363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0.13646702047005307</v>
      </c>
      <c r="H10" s="6">
        <f>VLOOKUP($A10,'RES installed'!$A$2:$C$7,3,FALSE)*'[1]Profiles, RES, Summer'!H$2</f>
        <v>4.0030326004548904</v>
      </c>
      <c r="I10" s="6">
        <f>VLOOKUP($A10,'RES installed'!$A$2:$C$7,3,FALSE)*'[1]Profiles, RES, Summer'!I$2</f>
        <v>16.648976497346474</v>
      </c>
      <c r="J10" s="6">
        <f>VLOOKUP($A10,'RES installed'!$A$2:$C$7,3,FALSE)*'[1]Profiles, RES, Summer'!J$2</f>
        <v>34.480667172100077</v>
      </c>
      <c r="K10" s="6">
        <f>VLOOKUP($A10,'RES installed'!$A$2:$C$7,3,FALSE)*'[1]Profiles, RES, Summer'!K$2</f>
        <v>45.375284306292649</v>
      </c>
      <c r="L10" s="6">
        <f>VLOOKUP($A10,'RES installed'!$A$2:$C$7,3,FALSE)*'[1]Profiles, RES, Summer'!L$2</f>
        <v>52.130401819560269</v>
      </c>
      <c r="M10" s="6">
        <f>VLOOKUP($A10,'RES installed'!$A$2:$C$7,3,FALSE)*'[1]Profiles, RES, Summer'!M$2</f>
        <v>55.178165276724791</v>
      </c>
      <c r="N10" s="6">
        <f>VLOOKUP($A10,'RES installed'!$A$2:$C$7,3,FALSE)*'[1]Profiles, RES, Summer'!N$2</f>
        <v>56.406368460955271</v>
      </c>
      <c r="O10" s="6">
        <f>VLOOKUP($A10,'RES installed'!$A$2:$C$7,3,FALSE)*'[1]Profiles, RES, Summer'!O$2</f>
        <v>56.429112964366951</v>
      </c>
      <c r="P10" s="6">
        <f>VLOOKUP($A10,'RES installed'!$A$2:$C$7,3,FALSE)*'[1]Profiles, RES, Summer'!P$2</f>
        <v>54.495830174374525</v>
      </c>
      <c r="Q10" s="6">
        <f>VLOOKUP($A10,'RES installed'!$A$2:$C$7,3,FALSE)*'[1]Profiles, RES, Summer'!Q$2</f>
        <v>48.468536770280515</v>
      </c>
      <c r="R10" s="6">
        <f>VLOOKUP($A10,'RES installed'!$A$2:$C$7,3,FALSE)*'[1]Profiles, RES, Summer'!R$2</f>
        <v>38.847611827141776</v>
      </c>
      <c r="S10" s="6">
        <f>VLOOKUP($A10,'RES installed'!$A$2:$C$7,3,FALSE)*'[1]Profiles, RES, Summer'!S$2</f>
        <v>25.132676269901442</v>
      </c>
      <c r="T10" s="6">
        <f>VLOOKUP($A10,'RES installed'!$A$2:$C$7,3,FALSE)*'[1]Profiles, RES, Summer'!T$2</f>
        <v>8.756633813495073</v>
      </c>
      <c r="U10" s="6">
        <f>VLOOKUP($A10,'RES installed'!$A$2:$C$7,3,FALSE)*'[1]Profiles, RES, Summer'!U$2</f>
        <v>0.7278241091736164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5C413D-0BEB-471A-B6EA-DAA8F8928291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12.826174227217987</v>
      </c>
      <c r="C5" s="9">
        <f>VLOOKUP($A5,'RES installed'!$A$2:$C$7,3,FALSE)*'[1]Profiles, RES, Summer'!C$6</f>
        <v>11.913890004014451</v>
      </c>
      <c r="D5" s="9">
        <f>VLOOKUP($A5,'RES installed'!$A$2:$C$7,3,FALSE)*'[1]Profiles, RES, Summer'!D$6</f>
        <v>12.112605379365716</v>
      </c>
      <c r="E5" s="9">
        <f>VLOOKUP($A5,'RES installed'!$A$2:$C$7,3,FALSE)*'[1]Profiles, RES, Summer'!E$6</f>
        <v>10.947410678442393</v>
      </c>
      <c r="F5" s="9">
        <f>VLOOKUP($A5,'RES installed'!$A$2:$C$7,3,FALSE)*'[1]Profiles, RES, Summer'!F$6</f>
        <v>10.242874347651545</v>
      </c>
      <c r="G5" s="9">
        <f>VLOOKUP($A5,'RES installed'!$A$2:$C$7,3,FALSE)*'[1]Profiles, RES, Summer'!G$6</f>
        <v>10.875150541951024</v>
      </c>
      <c r="H5" s="9">
        <f>VLOOKUP($A5,'RES installed'!$A$2:$C$7,3,FALSE)*'[1]Profiles, RES, Summer'!H$6</f>
        <v>10.757727820152549</v>
      </c>
      <c r="I5" s="9">
        <f>VLOOKUP($A5,'RES installed'!$A$2:$C$7,3,FALSE)*'[1]Profiles, RES, Summer'!I$6</f>
        <v>7.9305499799277399</v>
      </c>
      <c r="J5" s="9">
        <f>VLOOKUP($A5,'RES installed'!$A$2:$C$7,3,FALSE)*'[1]Profiles, RES, Summer'!J$6</f>
        <v>5.0762745885186673</v>
      </c>
      <c r="K5" s="9">
        <f>VLOOKUP($A5,'RES installed'!$A$2:$C$7,3,FALSE)*'[1]Profiles, RES, Summer'!K$6</f>
        <v>3.6942994781212364</v>
      </c>
      <c r="L5" s="9">
        <f>VLOOKUP($A5,'RES installed'!$A$2:$C$7,3,FALSE)*'[1]Profiles, RES, Summer'!L$6</f>
        <v>2.7910477719791249</v>
      </c>
      <c r="M5" s="9">
        <f>VLOOKUP($A5,'RES installed'!$A$2:$C$7,3,FALSE)*'[1]Profiles, RES, Summer'!M$6</f>
        <v>2.6194299478121237</v>
      </c>
      <c r="N5" s="9">
        <f>VLOOKUP($A5,'RES installed'!$A$2:$C$7,3,FALSE)*'[1]Profiles, RES, Summer'!N$6</f>
        <v>3.2788036932958651</v>
      </c>
      <c r="O5" s="9">
        <f>VLOOKUP($A5,'RES installed'!$A$2:$C$7,3,FALSE)*'[1]Profiles, RES, Summer'!O$6</f>
        <v>4.2543155359293454</v>
      </c>
      <c r="P5" s="9">
        <f>VLOOKUP($A5,'RES installed'!$A$2:$C$7,3,FALSE)*'[1]Profiles, RES, Summer'!P$6</f>
        <v>6.0608189482135693</v>
      </c>
      <c r="Q5" s="9">
        <f>VLOOKUP($A5,'RES installed'!$A$2:$C$7,3,FALSE)*'[1]Profiles, RES, Summer'!Q$6</f>
        <v>7.6505419510236852</v>
      </c>
      <c r="R5" s="9">
        <f>VLOOKUP($A5,'RES installed'!$A$2:$C$7,3,FALSE)*'[1]Profiles, RES, Summer'!R$6</f>
        <v>9.1589723002810111</v>
      </c>
      <c r="S5" s="9">
        <f>VLOOKUP($A5,'RES installed'!$A$2:$C$7,3,FALSE)*'[1]Profiles, RES, Summer'!S$6</f>
        <v>9.7822159775190691</v>
      </c>
      <c r="T5" s="9">
        <f>VLOOKUP($A5,'RES installed'!$A$2:$C$7,3,FALSE)*'[1]Profiles, RES, Summer'!T$6</f>
        <v>9.3034925732637497</v>
      </c>
      <c r="U5" s="9">
        <f>VLOOKUP($A5,'RES installed'!$A$2:$C$7,3,FALSE)*'[1]Profiles, RES, Summer'!U$6</f>
        <v>9.0234845443596949</v>
      </c>
      <c r="V5" s="9">
        <f>VLOOKUP($A5,'RES installed'!$A$2:$C$7,3,FALSE)*'[1]Profiles, RES, Summer'!V$6</f>
        <v>9.0505820955439589</v>
      </c>
      <c r="W5" s="9">
        <f>VLOOKUP($A5,'RES installed'!$A$2:$C$7,3,FALSE)*'[1]Profiles, RES, Summer'!W$6</f>
        <v>8.3189482135688468</v>
      </c>
      <c r="X5" s="9">
        <f>VLOOKUP($A5,'RES installed'!$A$2:$C$7,3,FALSE)*'[1]Profiles, RES, Summer'!X$6</f>
        <v>7.7137695704536338</v>
      </c>
      <c r="Y5" s="9">
        <f>VLOOKUP($A5,'RES installed'!$A$2:$C$7,3,FALSE)*'[1]Profiles, RES, Summer'!Y$6</f>
        <v>7.8492573263749499</v>
      </c>
    </row>
    <row r="6" spans="1:25" x14ac:dyDescent="0.3">
      <c r="A6" s="8">
        <v>5</v>
      </c>
      <c r="B6" s="9">
        <f>VLOOKUP($A6,'RES installed'!$A$2:$C$7,3,FALSE)*'[1]Profiles, RES, Summer'!B$6</f>
        <v>17.101565636290648</v>
      </c>
      <c r="C6" s="9">
        <f>VLOOKUP($A6,'RES installed'!$A$2:$C$7,3,FALSE)*'[1]Profiles, RES, Summer'!C$6</f>
        <v>15.885186672019268</v>
      </c>
      <c r="D6" s="9">
        <f>VLOOKUP($A6,'RES installed'!$A$2:$C$7,3,FALSE)*'[1]Profiles, RES, Summer'!D$6</f>
        <v>16.150140505820954</v>
      </c>
      <c r="E6" s="9">
        <f>VLOOKUP($A6,'RES installed'!$A$2:$C$7,3,FALSE)*'[1]Profiles, RES, Summer'!E$6</f>
        <v>14.596547571256524</v>
      </c>
      <c r="F6" s="9">
        <f>VLOOKUP($A6,'RES installed'!$A$2:$C$7,3,FALSE)*'[1]Profiles, RES, Summer'!F$6</f>
        <v>13.657165796868727</v>
      </c>
      <c r="G6" s="9">
        <f>VLOOKUP($A6,'RES installed'!$A$2:$C$7,3,FALSE)*'[1]Profiles, RES, Summer'!G$6</f>
        <v>14.500200722601365</v>
      </c>
      <c r="H6" s="9">
        <f>VLOOKUP($A6,'RES installed'!$A$2:$C$7,3,FALSE)*'[1]Profiles, RES, Summer'!H$6</f>
        <v>14.343637093536731</v>
      </c>
      <c r="I6" s="9">
        <f>VLOOKUP($A6,'RES installed'!$A$2:$C$7,3,FALSE)*'[1]Profiles, RES, Summer'!I$6</f>
        <v>10.574066639903654</v>
      </c>
      <c r="J6" s="9">
        <f>VLOOKUP($A6,'RES installed'!$A$2:$C$7,3,FALSE)*'[1]Profiles, RES, Summer'!J$6</f>
        <v>6.7683661180248897</v>
      </c>
      <c r="K6" s="9">
        <f>VLOOKUP($A6,'RES installed'!$A$2:$C$7,3,FALSE)*'[1]Profiles, RES, Summer'!K$6</f>
        <v>4.9257326374949812</v>
      </c>
      <c r="L6" s="9">
        <f>VLOOKUP($A6,'RES installed'!$A$2:$C$7,3,FALSE)*'[1]Profiles, RES, Summer'!L$6</f>
        <v>3.7213970293054994</v>
      </c>
      <c r="M6" s="9">
        <f>VLOOKUP($A6,'RES installed'!$A$2:$C$7,3,FALSE)*'[1]Profiles, RES, Summer'!M$6</f>
        <v>3.4925732637494979</v>
      </c>
      <c r="N6" s="9">
        <f>VLOOKUP($A6,'RES installed'!$A$2:$C$7,3,FALSE)*'[1]Profiles, RES, Summer'!N$6</f>
        <v>4.3717382577278201</v>
      </c>
      <c r="O6" s="9">
        <f>VLOOKUP($A6,'RES installed'!$A$2:$C$7,3,FALSE)*'[1]Profiles, RES, Summer'!O$6</f>
        <v>5.6724207145724606</v>
      </c>
      <c r="P6" s="9">
        <f>VLOOKUP($A6,'RES installed'!$A$2:$C$7,3,FALSE)*'[1]Profiles, RES, Summer'!P$6</f>
        <v>8.0810919309514251</v>
      </c>
      <c r="Q6" s="9">
        <f>VLOOKUP($A6,'RES installed'!$A$2:$C$7,3,FALSE)*'[1]Profiles, RES, Summer'!Q$6</f>
        <v>10.200722601364912</v>
      </c>
      <c r="R6" s="9">
        <f>VLOOKUP($A6,'RES installed'!$A$2:$C$7,3,FALSE)*'[1]Profiles, RES, Summer'!R$6</f>
        <v>12.211963067041349</v>
      </c>
      <c r="S6" s="9">
        <f>VLOOKUP($A6,'RES installed'!$A$2:$C$7,3,FALSE)*'[1]Profiles, RES, Summer'!S$6</f>
        <v>13.042954636692093</v>
      </c>
      <c r="T6" s="9">
        <f>VLOOKUP($A6,'RES installed'!$A$2:$C$7,3,FALSE)*'[1]Profiles, RES, Summer'!T$6</f>
        <v>12.404656764351666</v>
      </c>
      <c r="U6" s="9">
        <f>VLOOKUP($A6,'RES installed'!$A$2:$C$7,3,FALSE)*'[1]Profiles, RES, Summer'!U$6</f>
        <v>12.031312725812926</v>
      </c>
      <c r="V6" s="9">
        <f>VLOOKUP($A6,'RES installed'!$A$2:$C$7,3,FALSE)*'[1]Profiles, RES, Summer'!V$6</f>
        <v>12.067442794058611</v>
      </c>
      <c r="W6" s="9">
        <f>VLOOKUP($A6,'RES installed'!$A$2:$C$7,3,FALSE)*'[1]Profiles, RES, Summer'!W$6</f>
        <v>11.09193095142513</v>
      </c>
      <c r="X6" s="9">
        <f>VLOOKUP($A6,'RES installed'!$A$2:$C$7,3,FALSE)*'[1]Profiles, RES, Summer'!X$6</f>
        <v>10.285026093938178</v>
      </c>
      <c r="Y6" s="9">
        <f>VLOOKUP($A6,'RES installed'!$A$2:$C$7,3,FALSE)*'[1]Profiles, RES, Summer'!Y$6</f>
        <v>10.4656764351666</v>
      </c>
    </row>
    <row r="7" spans="1:25" x14ac:dyDescent="0.3">
      <c r="A7" s="8">
        <v>6</v>
      </c>
      <c r="B7" s="9">
        <f>VLOOKUP($A7,'RES installed'!$A$2:$C$7,3,FALSE)*'[1]Profiles, RES, Summer'!B$6</f>
        <v>12.826174227217987</v>
      </c>
      <c r="C7" s="9">
        <f>VLOOKUP($A7,'RES installed'!$A$2:$C$7,3,FALSE)*'[1]Profiles, RES, Summer'!C$6</f>
        <v>11.913890004014451</v>
      </c>
      <c r="D7" s="9">
        <f>VLOOKUP($A7,'RES installed'!$A$2:$C$7,3,FALSE)*'[1]Profiles, RES, Summer'!D$6</f>
        <v>12.112605379365716</v>
      </c>
      <c r="E7" s="9">
        <f>VLOOKUP($A7,'RES installed'!$A$2:$C$7,3,FALSE)*'[1]Profiles, RES, Summer'!E$6</f>
        <v>10.947410678442393</v>
      </c>
      <c r="F7" s="9">
        <f>VLOOKUP($A7,'RES installed'!$A$2:$C$7,3,FALSE)*'[1]Profiles, RES, Summer'!F$6</f>
        <v>10.242874347651545</v>
      </c>
      <c r="G7" s="9">
        <f>VLOOKUP($A7,'RES installed'!$A$2:$C$7,3,FALSE)*'[1]Profiles, RES, Summer'!G$6</f>
        <v>10.875150541951024</v>
      </c>
      <c r="H7" s="9">
        <f>VLOOKUP($A7,'RES installed'!$A$2:$C$7,3,FALSE)*'[1]Profiles, RES, Summer'!H$6</f>
        <v>10.757727820152549</v>
      </c>
      <c r="I7" s="9">
        <f>VLOOKUP($A7,'RES installed'!$A$2:$C$7,3,FALSE)*'[1]Profiles, RES, Summer'!I$6</f>
        <v>7.9305499799277399</v>
      </c>
      <c r="J7" s="9">
        <f>VLOOKUP($A7,'RES installed'!$A$2:$C$7,3,FALSE)*'[1]Profiles, RES, Summer'!J$6</f>
        <v>5.0762745885186673</v>
      </c>
      <c r="K7" s="9">
        <f>VLOOKUP($A7,'RES installed'!$A$2:$C$7,3,FALSE)*'[1]Profiles, RES, Summer'!K$6</f>
        <v>3.6942994781212364</v>
      </c>
      <c r="L7" s="9">
        <f>VLOOKUP($A7,'RES installed'!$A$2:$C$7,3,FALSE)*'[1]Profiles, RES, Summer'!L$6</f>
        <v>2.7910477719791249</v>
      </c>
      <c r="M7" s="9">
        <f>VLOOKUP($A7,'RES installed'!$A$2:$C$7,3,FALSE)*'[1]Profiles, RES, Summer'!M$6</f>
        <v>2.6194299478121237</v>
      </c>
      <c r="N7" s="9">
        <f>VLOOKUP($A7,'RES installed'!$A$2:$C$7,3,FALSE)*'[1]Profiles, RES, Summer'!N$6</f>
        <v>3.2788036932958651</v>
      </c>
      <c r="O7" s="9">
        <f>VLOOKUP($A7,'RES installed'!$A$2:$C$7,3,FALSE)*'[1]Profiles, RES, Summer'!O$6</f>
        <v>4.2543155359293454</v>
      </c>
      <c r="P7" s="9">
        <f>VLOOKUP($A7,'RES installed'!$A$2:$C$7,3,FALSE)*'[1]Profiles, RES, Summer'!P$6</f>
        <v>6.0608189482135693</v>
      </c>
      <c r="Q7" s="9">
        <f>VLOOKUP($A7,'RES installed'!$A$2:$C$7,3,FALSE)*'[1]Profiles, RES, Summer'!Q$6</f>
        <v>7.6505419510236852</v>
      </c>
      <c r="R7" s="9">
        <f>VLOOKUP($A7,'RES installed'!$A$2:$C$7,3,FALSE)*'[1]Profiles, RES, Summer'!R$6</f>
        <v>9.1589723002810111</v>
      </c>
      <c r="S7" s="9">
        <f>VLOOKUP($A7,'RES installed'!$A$2:$C$7,3,FALSE)*'[1]Profiles, RES, Summer'!S$6</f>
        <v>9.7822159775190691</v>
      </c>
      <c r="T7" s="9">
        <f>VLOOKUP($A7,'RES installed'!$A$2:$C$7,3,FALSE)*'[1]Profiles, RES, Summer'!T$6</f>
        <v>9.3034925732637497</v>
      </c>
      <c r="U7" s="9">
        <f>VLOOKUP($A7,'RES installed'!$A$2:$C$7,3,FALSE)*'[1]Profiles, RES, Summer'!U$6</f>
        <v>9.0234845443596949</v>
      </c>
      <c r="V7" s="9">
        <f>VLOOKUP($A7,'RES installed'!$A$2:$C$7,3,FALSE)*'[1]Profiles, RES, Summer'!V$6</f>
        <v>9.0505820955439589</v>
      </c>
      <c r="W7" s="9">
        <f>VLOOKUP($A7,'RES installed'!$A$2:$C$7,3,FALSE)*'[1]Profiles, RES, Summer'!W$6</f>
        <v>8.3189482135688468</v>
      </c>
      <c r="X7" s="9">
        <f>VLOOKUP($A7,'RES installed'!$A$2:$C$7,3,FALSE)*'[1]Profiles, RES, Summer'!X$6</f>
        <v>7.7137695704536338</v>
      </c>
      <c r="Y7" s="9">
        <f>VLOOKUP($A7,'RES installed'!$A$2:$C$7,3,FALSE)*'[1]Profiles, RES, Summer'!Y$6</f>
        <v>7.8492573263749499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0.14215314632297193</v>
      </c>
      <c r="H8" s="6">
        <f>VLOOKUP($A8,'RES installed'!$A$2:$C$7,3,FALSE)*'[1]Profiles, RES, Summer'!H$3</f>
        <v>5.9988627748294157</v>
      </c>
      <c r="I8" s="6">
        <f>VLOOKUP($A8,'RES installed'!$A$2:$C$7,3,FALSE)*'[1]Profiles, RES, Summer'!I$3</f>
        <v>24.137604245640638</v>
      </c>
      <c r="J8" s="6">
        <f>VLOOKUP($A8,'RES installed'!$A$2:$C$7,3,FALSE)*'[1]Profiles, RES, Summer'!J$3</f>
        <v>44.124336618650489</v>
      </c>
      <c r="K8" s="6">
        <f>VLOOKUP($A8,'RES installed'!$A$2:$C$7,3,FALSE)*'[1]Profiles, RES, Summer'!K$3</f>
        <v>58.026914329037155</v>
      </c>
      <c r="L8" s="6">
        <f>VLOOKUP($A8,'RES installed'!$A$2:$C$7,3,FALSE)*'[1]Profiles, RES, Summer'!L$3</f>
        <v>67.494313874147082</v>
      </c>
      <c r="M8" s="6">
        <f>VLOOKUP($A8,'RES installed'!$A$2:$C$7,3,FALSE)*'[1]Profiles, RES, Summer'!M$3</f>
        <v>70.991281273692195</v>
      </c>
      <c r="N8" s="6">
        <f>VLOOKUP($A8,'RES installed'!$A$2:$C$7,3,FALSE)*'[1]Profiles, RES, Summer'!N$3</f>
        <v>71.190295678544345</v>
      </c>
      <c r="O8" s="6">
        <f>VLOOKUP($A8,'RES installed'!$A$2:$C$7,3,FALSE)*'[1]Profiles, RES, Summer'!O$3</f>
        <v>69.683472327520846</v>
      </c>
      <c r="P8" s="6">
        <f>VLOOKUP($A8,'RES installed'!$A$2:$C$7,3,FALSE)*'[1]Profiles, RES, Summer'!P$3</f>
        <v>67.465883244882491</v>
      </c>
      <c r="Q8" s="6">
        <f>VLOOKUP($A8,'RES installed'!$A$2:$C$7,3,FALSE)*'[1]Profiles, RES, Summer'!Q$3</f>
        <v>60.187642153146321</v>
      </c>
      <c r="R8" s="6">
        <f>VLOOKUP($A8,'RES installed'!$A$2:$C$7,3,FALSE)*'[1]Profiles, RES, Summer'!R$3</f>
        <v>48.332069749810465</v>
      </c>
      <c r="S8" s="6">
        <f>VLOOKUP($A8,'RES installed'!$A$2:$C$7,3,FALSE)*'[1]Profiles, RES, Summer'!S$3</f>
        <v>30.30705079605762</v>
      </c>
      <c r="T8" s="6">
        <f>VLOOKUP($A8,'RES installed'!$A$2:$C$7,3,FALSE)*'[1]Profiles, RES, Summer'!T$3</f>
        <v>9.8654283548142523</v>
      </c>
      <c r="U8" s="6">
        <f>VLOOKUP($A8,'RES installed'!$A$2:$C$7,3,FALSE)*'[1]Profiles, RES, Summer'!U$3</f>
        <v>0.65390447308567101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9.4768764215314633E-2</v>
      </c>
      <c r="H9" s="6">
        <f>VLOOKUP($A9,'RES installed'!$A$2:$C$7,3,FALSE)*'[1]Profiles, RES, Summer'!H$3</f>
        <v>3.9992418498862774</v>
      </c>
      <c r="I9" s="6">
        <f>VLOOKUP($A9,'RES installed'!$A$2:$C$7,3,FALSE)*'[1]Profiles, RES, Summer'!I$3</f>
        <v>16.091736163760427</v>
      </c>
      <c r="J9" s="6">
        <f>VLOOKUP($A9,'RES installed'!$A$2:$C$7,3,FALSE)*'[1]Profiles, RES, Summer'!J$3</f>
        <v>29.41622441243366</v>
      </c>
      <c r="K9" s="6">
        <f>VLOOKUP($A9,'RES installed'!$A$2:$C$7,3,FALSE)*'[1]Profiles, RES, Summer'!K$3</f>
        <v>38.684609552691434</v>
      </c>
      <c r="L9" s="6">
        <f>VLOOKUP($A9,'RES installed'!$A$2:$C$7,3,FALSE)*'[1]Profiles, RES, Summer'!L$3</f>
        <v>44.996209249431388</v>
      </c>
      <c r="M9" s="6">
        <f>VLOOKUP($A9,'RES installed'!$A$2:$C$7,3,FALSE)*'[1]Profiles, RES, Summer'!M$3</f>
        <v>47.327520849128128</v>
      </c>
      <c r="N9" s="6">
        <f>VLOOKUP($A9,'RES installed'!$A$2:$C$7,3,FALSE)*'[1]Profiles, RES, Summer'!N$3</f>
        <v>47.460197119029566</v>
      </c>
      <c r="O9" s="6">
        <f>VLOOKUP($A9,'RES installed'!$A$2:$C$7,3,FALSE)*'[1]Profiles, RES, Summer'!O$3</f>
        <v>46.455648218347235</v>
      </c>
      <c r="P9" s="6">
        <f>VLOOKUP($A9,'RES installed'!$A$2:$C$7,3,FALSE)*'[1]Profiles, RES, Summer'!P$3</f>
        <v>44.977255496588327</v>
      </c>
      <c r="Q9" s="6">
        <f>VLOOKUP($A9,'RES installed'!$A$2:$C$7,3,FALSE)*'[1]Profiles, RES, Summer'!Q$3</f>
        <v>40.125094768764214</v>
      </c>
      <c r="R9" s="6">
        <f>VLOOKUP($A9,'RES installed'!$A$2:$C$7,3,FALSE)*'[1]Profiles, RES, Summer'!R$3</f>
        <v>32.221379833206974</v>
      </c>
      <c r="S9" s="6">
        <f>VLOOKUP($A9,'RES installed'!$A$2:$C$7,3,FALSE)*'[1]Profiles, RES, Summer'!S$3</f>
        <v>20.204700530705079</v>
      </c>
      <c r="T9" s="6">
        <f>VLOOKUP($A9,'RES installed'!$A$2:$C$7,3,FALSE)*'[1]Profiles, RES, Summer'!T$3</f>
        <v>6.5769522365428355</v>
      </c>
      <c r="U9" s="6">
        <f>VLOOKUP($A9,'RES installed'!$A$2:$C$7,3,FALSE)*'[1]Profiles, RES, Summer'!U$3</f>
        <v>0.4359363153904473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0.11372251705837756</v>
      </c>
      <c r="H10" s="6">
        <f>VLOOKUP($A10,'RES installed'!$A$2:$C$7,3,FALSE)*'[1]Profiles, RES, Summer'!H$3</f>
        <v>4.7990902198635323</v>
      </c>
      <c r="I10" s="6">
        <f>VLOOKUP($A10,'RES installed'!$A$2:$C$7,3,FALSE)*'[1]Profiles, RES, Summer'!I$3</f>
        <v>19.31008339651251</v>
      </c>
      <c r="J10" s="6">
        <f>VLOOKUP($A10,'RES installed'!$A$2:$C$7,3,FALSE)*'[1]Profiles, RES, Summer'!J$3</f>
        <v>35.299469294920392</v>
      </c>
      <c r="K10" s="6">
        <f>VLOOKUP($A10,'RES installed'!$A$2:$C$7,3,FALSE)*'[1]Profiles, RES, Summer'!K$3</f>
        <v>46.421531463229719</v>
      </c>
      <c r="L10" s="6">
        <f>VLOOKUP($A10,'RES installed'!$A$2:$C$7,3,FALSE)*'[1]Profiles, RES, Summer'!L$3</f>
        <v>53.995451099317663</v>
      </c>
      <c r="M10" s="6">
        <f>VLOOKUP($A10,'RES installed'!$A$2:$C$7,3,FALSE)*'[1]Profiles, RES, Summer'!M$3</f>
        <v>56.793025018953756</v>
      </c>
      <c r="N10" s="6">
        <f>VLOOKUP($A10,'RES installed'!$A$2:$C$7,3,FALSE)*'[1]Profiles, RES, Summer'!N$3</f>
        <v>56.952236542835479</v>
      </c>
      <c r="O10" s="6">
        <f>VLOOKUP($A10,'RES installed'!$A$2:$C$7,3,FALSE)*'[1]Profiles, RES, Summer'!O$3</f>
        <v>55.746777862016678</v>
      </c>
      <c r="P10" s="6">
        <f>VLOOKUP($A10,'RES installed'!$A$2:$C$7,3,FALSE)*'[1]Profiles, RES, Summer'!P$3</f>
        <v>53.97270659590599</v>
      </c>
      <c r="Q10" s="6">
        <f>VLOOKUP($A10,'RES installed'!$A$2:$C$7,3,FALSE)*'[1]Profiles, RES, Summer'!Q$3</f>
        <v>48.150113722517055</v>
      </c>
      <c r="R10" s="6">
        <f>VLOOKUP($A10,'RES installed'!$A$2:$C$7,3,FALSE)*'[1]Profiles, RES, Summer'!R$3</f>
        <v>38.665655799848373</v>
      </c>
      <c r="S10" s="6">
        <f>VLOOKUP($A10,'RES installed'!$A$2:$C$7,3,FALSE)*'[1]Profiles, RES, Summer'!S$3</f>
        <v>24.245640636846097</v>
      </c>
      <c r="T10" s="6">
        <f>VLOOKUP($A10,'RES installed'!$A$2:$C$7,3,FALSE)*'[1]Profiles, RES, Summer'!T$3</f>
        <v>7.8923426838514024</v>
      </c>
      <c r="U10" s="6">
        <f>VLOOKUP($A10,'RES installed'!$A$2:$C$7,3,FALSE)*'[1]Profiles, RES, Summer'!U$3</f>
        <v>0.52312357846853674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E476F-F11C-4FAD-8739-487008AFFD05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13.395222802087515</v>
      </c>
      <c r="C5" s="9">
        <f>VLOOKUP($A5,'RES installed'!$A$2:$C$7,3,FALSE)*'[1]Profiles, RES, Summer'!C$7</f>
        <v>12.049377759935769</v>
      </c>
      <c r="D5" s="9">
        <f>VLOOKUP($A5,'RES installed'!$A$2:$C$7,3,FALSE)*'[1]Profiles, RES, Summer'!D$7</f>
        <v>10.062224006423122</v>
      </c>
      <c r="E5" s="9">
        <f>VLOOKUP($A5,'RES installed'!$A$2:$C$7,3,FALSE)*'[1]Profiles, RES, Summer'!E$7</f>
        <v>9.5112404656764351</v>
      </c>
      <c r="F5" s="9">
        <f>VLOOKUP($A5,'RES installed'!$A$2:$C$7,3,FALSE)*'[1]Profiles, RES, Summer'!F$7</f>
        <v>9.3576876756322758</v>
      </c>
      <c r="G5" s="9">
        <f>VLOOKUP($A5,'RES installed'!$A$2:$C$7,3,FALSE)*'[1]Profiles, RES, Summer'!G$7</f>
        <v>10.495784825371336</v>
      </c>
      <c r="H5" s="9">
        <f>VLOOKUP($A5,'RES installed'!$A$2:$C$7,3,FALSE)*'[1]Profiles, RES, Summer'!H$7</f>
        <v>11.570654355680448</v>
      </c>
      <c r="I5" s="9">
        <f>VLOOKUP($A5,'RES installed'!$A$2:$C$7,3,FALSE)*'[1]Profiles, RES, Summer'!I$7</f>
        <v>11.968085106382979</v>
      </c>
      <c r="J5" s="9">
        <f>VLOOKUP($A5,'RES installed'!$A$2:$C$7,3,FALSE)*'[1]Profiles, RES, Summer'!J$7</f>
        <v>9.7280208751505413</v>
      </c>
      <c r="K5" s="9">
        <f>VLOOKUP($A5,'RES installed'!$A$2:$C$7,3,FALSE)*'[1]Profiles, RES, Summer'!K$7</f>
        <v>7.5692492974708951</v>
      </c>
      <c r="L5" s="9">
        <f>VLOOKUP($A5,'RES installed'!$A$2:$C$7,3,FALSE)*'[1]Profiles, RES, Summer'!L$7</f>
        <v>6.8105178643115218</v>
      </c>
      <c r="M5" s="9">
        <f>VLOOKUP($A5,'RES installed'!$A$2:$C$7,3,FALSE)*'[1]Profiles, RES, Summer'!M$7</f>
        <v>6.0788839823364107</v>
      </c>
      <c r="N5" s="9">
        <f>VLOOKUP($A5,'RES installed'!$A$2:$C$7,3,FALSE)*'[1]Profiles, RES, Summer'!N$7</f>
        <v>6.5847049377759941</v>
      </c>
      <c r="O5" s="9">
        <f>VLOOKUP($A5,'RES installed'!$A$2:$C$7,3,FALSE)*'[1]Profiles, RES, Summer'!O$7</f>
        <v>8.7615415495784816</v>
      </c>
      <c r="P5" s="9">
        <f>VLOOKUP($A5,'RES installed'!$A$2:$C$7,3,FALSE)*'[1]Profiles, RES, Summer'!P$7</f>
        <v>11.019670814933761</v>
      </c>
      <c r="Q5" s="9">
        <f>VLOOKUP($A5,'RES installed'!$A$2:$C$7,3,FALSE)*'[1]Profiles, RES, Summer'!Q$7</f>
        <v>11.561621838619029</v>
      </c>
      <c r="R5" s="9">
        <f>VLOOKUP($A5,'RES installed'!$A$2:$C$7,3,FALSE)*'[1]Profiles, RES, Summer'!R$7</f>
        <v>12.482938578883983</v>
      </c>
      <c r="S5" s="9">
        <f>VLOOKUP($A5,'RES installed'!$A$2:$C$7,3,FALSE)*'[1]Profiles, RES, Summer'!S$7</f>
        <v>12.988759534323565</v>
      </c>
      <c r="T5" s="9">
        <f>VLOOKUP($A5,'RES installed'!$A$2:$C$7,3,FALSE)*'[1]Profiles, RES, Summer'!T$7</f>
        <v>13.313930148534725</v>
      </c>
      <c r="U5" s="9">
        <f>VLOOKUP($A5,'RES installed'!$A$2:$C$7,3,FALSE)*'[1]Profiles, RES, Summer'!U$7</f>
        <v>15.255921316740265</v>
      </c>
      <c r="V5" s="9">
        <f>VLOOKUP($A5,'RES installed'!$A$2:$C$7,3,FALSE)*'[1]Profiles, RES, Summer'!V$7</f>
        <v>17.16178241670012</v>
      </c>
      <c r="W5" s="9">
        <f>VLOOKUP($A5,'RES installed'!$A$2:$C$7,3,FALSE)*'[1]Profiles, RES, Summer'!W$7</f>
        <v>16.574668807707749</v>
      </c>
      <c r="X5" s="9">
        <f>VLOOKUP($A5,'RES installed'!$A$2:$C$7,3,FALSE)*'[1]Profiles, RES, Summer'!X$7</f>
        <v>15.6985146527499</v>
      </c>
      <c r="Y5" s="9">
        <f>VLOOKUP($A5,'RES installed'!$A$2:$C$7,3,FALSE)*'[1]Profiles, RES, Summer'!Y$7</f>
        <v>15.418506623845845</v>
      </c>
    </row>
    <row r="6" spans="1:25" x14ac:dyDescent="0.3">
      <c r="A6" s="8">
        <v>5</v>
      </c>
      <c r="B6" s="9">
        <f>VLOOKUP($A6,'RES installed'!$A$2:$C$7,3,FALSE)*'[1]Profiles, RES, Summer'!B$7</f>
        <v>17.86029706945002</v>
      </c>
      <c r="C6" s="9">
        <f>VLOOKUP($A6,'RES installed'!$A$2:$C$7,3,FALSE)*'[1]Profiles, RES, Summer'!C$7</f>
        <v>16.065837013247691</v>
      </c>
      <c r="D6" s="9">
        <f>VLOOKUP($A6,'RES installed'!$A$2:$C$7,3,FALSE)*'[1]Profiles, RES, Summer'!D$7</f>
        <v>13.416298675230831</v>
      </c>
      <c r="E6" s="9">
        <f>VLOOKUP($A6,'RES installed'!$A$2:$C$7,3,FALSE)*'[1]Profiles, RES, Summer'!E$7</f>
        <v>12.681653954235248</v>
      </c>
      <c r="F6" s="9">
        <f>VLOOKUP($A6,'RES installed'!$A$2:$C$7,3,FALSE)*'[1]Profiles, RES, Summer'!F$7</f>
        <v>12.476916900843035</v>
      </c>
      <c r="G6" s="9">
        <f>VLOOKUP($A6,'RES installed'!$A$2:$C$7,3,FALSE)*'[1]Profiles, RES, Summer'!G$7</f>
        <v>13.994379767161782</v>
      </c>
      <c r="H6" s="9">
        <f>VLOOKUP($A6,'RES installed'!$A$2:$C$7,3,FALSE)*'[1]Profiles, RES, Summer'!H$7</f>
        <v>15.427539140907264</v>
      </c>
      <c r="I6" s="9">
        <f>VLOOKUP($A6,'RES installed'!$A$2:$C$7,3,FALSE)*'[1]Profiles, RES, Summer'!I$7</f>
        <v>15.957446808510639</v>
      </c>
      <c r="J6" s="9">
        <f>VLOOKUP($A6,'RES installed'!$A$2:$C$7,3,FALSE)*'[1]Profiles, RES, Summer'!J$7</f>
        <v>12.970694500200722</v>
      </c>
      <c r="K6" s="9">
        <f>VLOOKUP($A6,'RES installed'!$A$2:$C$7,3,FALSE)*'[1]Profiles, RES, Summer'!K$7</f>
        <v>10.09233239662786</v>
      </c>
      <c r="L6" s="9">
        <f>VLOOKUP($A6,'RES installed'!$A$2:$C$7,3,FALSE)*'[1]Profiles, RES, Summer'!L$7</f>
        <v>9.0806904857486952</v>
      </c>
      <c r="M6" s="9">
        <f>VLOOKUP($A6,'RES installed'!$A$2:$C$7,3,FALSE)*'[1]Profiles, RES, Summer'!M$7</f>
        <v>8.1051786431152131</v>
      </c>
      <c r="N6" s="9">
        <f>VLOOKUP($A6,'RES installed'!$A$2:$C$7,3,FALSE)*'[1]Profiles, RES, Summer'!N$7</f>
        <v>8.7796065837013249</v>
      </c>
      <c r="O6" s="9">
        <f>VLOOKUP($A6,'RES installed'!$A$2:$C$7,3,FALSE)*'[1]Profiles, RES, Summer'!O$7</f>
        <v>11.682055399437976</v>
      </c>
      <c r="P6" s="9">
        <f>VLOOKUP($A6,'RES installed'!$A$2:$C$7,3,FALSE)*'[1]Profiles, RES, Summer'!P$7</f>
        <v>14.692894419911681</v>
      </c>
      <c r="Q6" s="9">
        <f>VLOOKUP($A6,'RES installed'!$A$2:$C$7,3,FALSE)*'[1]Profiles, RES, Summer'!Q$7</f>
        <v>15.415495784825371</v>
      </c>
      <c r="R6" s="9">
        <f>VLOOKUP($A6,'RES installed'!$A$2:$C$7,3,FALSE)*'[1]Profiles, RES, Summer'!R$7</f>
        <v>16.643918105178646</v>
      </c>
      <c r="S6" s="9">
        <f>VLOOKUP($A6,'RES installed'!$A$2:$C$7,3,FALSE)*'[1]Profiles, RES, Summer'!S$7</f>
        <v>17.318346045764756</v>
      </c>
      <c r="T6" s="9">
        <f>VLOOKUP($A6,'RES installed'!$A$2:$C$7,3,FALSE)*'[1]Profiles, RES, Summer'!T$7</f>
        <v>17.751906864712968</v>
      </c>
      <c r="U6" s="9">
        <f>VLOOKUP($A6,'RES installed'!$A$2:$C$7,3,FALSE)*'[1]Profiles, RES, Summer'!U$7</f>
        <v>20.341228422320352</v>
      </c>
      <c r="V6" s="9">
        <f>VLOOKUP($A6,'RES installed'!$A$2:$C$7,3,FALSE)*'[1]Profiles, RES, Summer'!V$7</f>
        <v>22.88237655560016</v>
      </c>
      <c r="W6" s="9">
        <f>VLOOKUP($A6,'RES installed'!$A$2:$C$7,3,FALSE)*'[1]Profiles, RES, Summer'!W$7</f>
        <v>22.099558410276995</v>
      </c>
      <c r="X6" s="9">
        <f>VLOOKUP($A6,'RES installed'!$A$2:$C$7,3,FALSE)*'[1]Profiles, RES, Summer'!X$7</f>
        <v>20.9313528703332</v>
      </c>
      <c r="Y6" s="9">
        <f>VLOOKUP($A6,'RES installed'!$A$2:$C$7,3,FALSE)*'[1]Profiles, RES, Summer'!Y$7</f>
        <v>20.55800883179446</v>
      </c>
    </row>
    <row r="7" spans="1:25" x14ac:dyDescent="0.3">
      <c r="A7" s="8">
        <v>6</v>
      </c>
      <c r="B7" s="9">
        <f>VLOOKUP($A7,'RES installed'!$A$2:$C$7,3,FALSE)*'[1]Profiles, RES, Summer'!B$7</f>
        <v>13.395222802087515</v>
      </c>
      <c r="C7" s="9">
        <f>VLOOKUP($A7,'RES installed'!$A$2:$C$7,3,FALSE)*'[1]Profiles, RES, Summer'!C$7</f>
        <v>12.049377759935769</v>
      </c>
      <c r="D7" s="9">
        <f>VLOOKUP($A7,'RES installed'!$A$2:$C$7,3,FALSE)*'[1]Profiles, RES, Summer'!D$7</f>
        <v>10.062224006423122</v>
      </c>
      <c r="E7" s="9">
        <f>VLOOKUP($A7,'RES installed'!$A$2:$C$7,3,FALSE)*'[1]Profiles, RES, Summer'!E$7</f>
        <v>9.5112404656764351</v>
      </c>
      <c r="F7" s="9">
        <f>VLOOKUP($A7,'RES installed'!$A$2:$C$7,3,FALSE)*'[1]Profiles, RES, Summer'!F$7</f>
        <v>9.3576876756322758</v>
      </c>
      <c r="G7" s="9">
        <f>VLOOKUP($A7,'RES installed'!$A$2:$C$7,3,FALSE)*'[1]Profiles, RES, Summer'!G$7</f>
        <v>10.495784825371336</v>
      </c>
      <c r="H7" s="9">
        <f>VLOOKUP($A7,'RES installed'!$A$2:$C$7,3,FALSE)*'[1]Profiles, RES, Summer'!H$7</f>
        <v>11.570654355680448</v>
      </c>
      <c r="I7" s="9">
        <f>VLOOKUP($A7,'RES installed'!$A$2:$C$7,3,FALSE)*'[1]Profiles, RES, Summer'!I$7</f>
        <v>11.968085106382979</v>
      </c>
      <c r="J7" s="9">
        <f>VLOOKUP($A7,'RES installed'!$A$2:$C$7,3,FALSE)*'[1]Profiles, RES, Summer'!J$7</f>
        <v>9.7280208751505413</v>
      </c>
      <c r="K7" s="9">
        <f>VLOOKUP($A7,'RES installed'!$A$2:$C$7,3,FALSE)*'[1]Profiles, RES, Summer'!K$7</f>
        <v>7.5692492974708951</v>
      </c>
      <c r="L7" s="9">
        <f>VLOOKUP($A7,'RES installed'!$A$2:$C$7,3,FALSE)*'[1]Profiles, RES, Summer'!L$7</f>
        <v>6.8105178643115218</v>
      </c>
      <c r="M7" s="9">
        <f>VLOOKUP($A7,'RES installed'!$A$2:$C$7,3,FALSE)*'[1]Profiles, RES, Summer'!M$7</f>
        <v>6.0788839823364107</v>
      </c>
      <c r="N7" s="9">
        <f>VLOOKUP($A7,'RES installed'!$A$2:$C$7,3,FALSE)*'[1]Profiles, RES, Summer'!N$7</f>
        <v>6.5847049377759941</v>
      </c>
      <c r="O7" s="9">
        <f>VLOOKUP($A7,'RES installed'!$A$2:$C$7,3,FALSE)*'[1]Profiles, RES, Summer'!O$7</f>
        <v>8.7615415495784816</v>
      </c>
      <c r="P7" s="9">
        <f>VLOOKUP($A7,'RES installed'!$A$2:$C$7,3,FALSE)*'[1]Profiles, RES, Summer'!P$7</f>
        <v>11.019670814933761</v>
      </c>
      <c r="Q7" s="9">
        <f>VLOOKUP($A7,'RES installed'!$A$2:$C$7,3,FALSE)*'[1]Profiles, RES, Summer'!Q$7</f>
        <v>11.561621838619029</v>
      </c>
      <c r="R7" s="9">
        <f>VLOOKUP($A7,'RES installed'!$A$2:$C$7,3,FALSE)*'[1]Profiles, RES, Summer'!R$7</f>
        <v>12.482938578883983</v>
      </c>
      <c r="S7" s="9">
        <f>VLOOKUP($A7,'RES installed'!$A$2:$C$7,3,FALSE)*'[1]Profiles, RES, Summer'!S$7</f>
        <v>12.988759534323565</v>
      </c>
      <c r="T7" s="9">
        <f>VLOOKUP($A7,'RES installed'!$A$2:$C$7,3,FALSE)*'[1]Profiles, RES, Summer'!T$7</f>
        <v>13.313930148534725</v>
      </c>
      <c r="U7" s="9">
        <f>VLOOKUP($A7,'RES installed'!$A$2:$C$7,3,FALSE)*'[1]Profiles, RES, Summer'!U$7</f>
        <v>15.255921316740265</v>
      </c>
      <c r="V7" s="9">
        <f>VLOOKUP($A7,'RES installed'!$A$2:$C$7,3,FALSE)*'[1]Profiles, RES, Summer'!V$7</f>
        <v>17.16178241670012</v>
      </c>
      <c r="W7" s="9">
        <f>VLOOKUP($A7,'RES installed'!$A$2:$C$7,3,FALSE)*'[1]Profiles, RES, Summer'!W$7</f>
        <v>16.574668807707749</v>
      </c>
      <c r="X7" s="9">
        <f>VLOOKUP($A7,'RES installed'!$A$2:$C$7,3,FALSE)*'[1]Profiles, RES, Summer'!X$7</f>
        <v>15.6985146527499</v>
      </c>
      <c r="Y7" s="9">
        <f>VLOOKUP($A7,'RES installed'!$A$2:$C$7,3,FALSE)*'[1]Profiles, RES, Summer'!Y$7</f>
        <v>15.418506623845845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2.843062926459439E-2</v>
      </c>
      <c r="H8" s="6">
        <f>VLOOKUP($A8,'RES installed'!$A$2:$C$7,3,FALSE)*'[1]Profiles, RES, Summer'!H$4</f>
        <v>3.49696739954511</v>
      </c>
      <c r="I8" s="6">
        <f>VLOOKUP($A8,'RES installed'!$A$2:$C$7,3,FALSE)*'[1]Profiles, RES, Summer'!I$4</f>
        <v>16.546626231993937</v>
      </c>
      <c r="J8" s="6">
        <f>VLOOKUP($A8,'RES installed'!$A$2:$C$7,3,FALSE)*'[1]Profiles, RES, Summer'!J$4</f>
        <v>36.021607278241092</v>
      </c>
      <c r="K8" s="6">
        <f>VLOOKUP($A8,'RES installed'!$A$2:$C$7,3,FALSE)*'[1]Profiles, RES, Summer'!K$4</f>
        <v>55.610310841546621</v>
      </c>
      <c r="L8" s="6">
        <f>VLOOKUP($A8,'RES installed'!$A$2:$C$7,3,FALSE)*'[1]Profiles, RES, Summer'!L$4</f>
        <v>68.26194086429112</v>
      </c>
      <c r="M8" s="6">
        <f>VLOOKUP($A8,'RES installed'!$A$2:$C$7,3,FALSE)*'[1]Profiles, RES, Summer'!M$4</f>
        <v>73.009855951478386</v>
      </c>
      <c r="N8" s="6">
        <f>VLOOKUP($A8,'RES installed'!$A$2:$C$7,3,FALSE)*'[1]Profiles, RES, Summer'!N$4</f>
        <v>75</v>
      </c>
      <c r="O8" s="6">
        <f>VLOOKUP($A8,'RES installed'!$A$2:$C$7,3,FALSE)*'[1]Profiles, RES, Summer'!O$4</f>
        <v>73.692191053828651</v>
      </c>
      <c r="P8" s="6">
        <f>VLOOKUP($A8,'RES installed'!$A$2:$C$7,3,FALSE)*'[1]Profiles, RES, Summer'!P$4</f>
        <v>69.967778620166797</v>
      </c>
      <c r="Q8" s="6">
        <f>VLOOKUP($A8,'RES installed'!$A$2:$C$7,3,FALSE)*'[1]Profiles, RES, Summer'!Q$4</f>
        <v>61.921910538286582</v>
      </c>
      <c r="R8" s="6">
        <f>VLOOKUP($A8,'RES installed'!$A$2:$C$7,3,FALSE)*'[1]Profiles, RES, Summer'!R$4</f>
        <v>48.644806671721</v>
      </c>
      <c r="S8" s="6">
        <f>VLOOKUP($A8,'RES installed'!$A$2:$C$7,3,FALSE)*'[1]Profiles, RES, Summer'!S$4</f>
        <v>28.94238059135709</v>
      </c>
      <c r="T8" s="6">
        <f>VLOOKUP($A8,'RES installed'!$A$2:$C$7,3,FALSE)*'[1]Profiles, RES, Summer'!T$4</f>
        <v>8.8419257012888544</v>
      </c>
      <c r="U8" s="6">
        <f>VLOOKUP($A8,'RES installed'!$A$2:$C$7,3,FALSE)*'[1]Profiles, RES, Summer'!U$4</f>
        <v>0.39802880970432147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1.8953752843062926E-2</v>
      </c>
      <c r="H9" s="6">
        <f>VLOOKUP($A9,'RES installed'!$A$2:$C$7,3,FALSE)*'[1]Profiles, RES, Summer'!H$4</f>
        <v>2.3313115996967402</v>
      </c>
      <c r="I9" s="6">
        <f>VLOOKUP($A9,'RES installed'!$A$2:$C$7,3,FALSE)*'[1]Profiles, RES, Summer'!I$4</f>
        <v>11.031084154662624</v>
      </c>
      <c r="J9" s="6">
        <f>VLOOKUP($A9,'RES installed'!$A$2:$C$7,3,FALSE)*'[1]Profiles, RES, Summer'!J$4</f>
        <v>24.014404852160727</v>
      </c>
      <c r="K9" s="6">
        <f>VLOOKUP($A9,'RES installed'!$A$2:$C$7,3,FALSE)*'[1]Profiles, RES, Summer'!K$4</f>
        <v>37.073540561031081</v>
      </c>
      <c r="L9" s="6">
        <f>VLOOKUP($A9,'RES installed'!$A$2:$C$7,3,FALSE)*'[1]Profiles, RES, Summer'!L$4</f>
        <v>45.507960576194087</v>
      </c>
      <c r="M9" s="6">
        <f>VLOOKUP($A9,'RES installed'!$A$2:$C$7,3,FALSE)*'[1]Profiles, RES, Summer'!M$4</f>
        <v>48.673237300985598</v>
      </c>
      <c r="N9" s="6">
        <f>VLOOKUP($A9,'RES installed'!$A$2:$C$7,3,FALSE)*'[1]Profiles, RES, Summer'!N$4</f>
        <v>50</v>
      </c>
      <c r="O9" s="6">
        <f>VLOOKUP($A9,'RES installed'!$A$2:$C$7,3,FALSE)*'[1]Profiles, RES, Summer'!O$4</f>
        <v>49.128127369219108</v>
      </c>
      <c r="P9" s="6">
        <f>VLOOKUP($A9,'RES installed'!$A$2:$C$7,3,FALSE)*'[1]Profiles, RES, Summer'!P$4</f>
        <v>46.645185746777862</v>
      </c>
      <c r="Q9" s="6">
        <f>VLOOKUP($A9,'RES installed'!$A$2:$C$7,3,FALSE)*'[1]Profiles, RES, Summer'!Q$4</f>
        <v>41.281273692191057</v>
      </c>
      <c r="R9" s="6">
        <f>VLOOKUP($A9,'RES installed'!$A$2:$C$7,3,FALSE)*'[1]Profiles, RES, Summer'!R$4</f>
        <v>32.429871114480669</v>
      </c>
      <c r="S9" s="6">
        <f>VLOOKUP($A9,'RES installed'!$A$2:$C$7,3,FALSE)*'[1]Profiles, RES, Summer'!S$4</f>
        <v>19.294920394238062</v>
      </c>
      <c r="T9" s="6">
        <f>VLOOKUP($A9,'RES installed'!$A$2:$C$7,3,FALSE)*'[1]Profiles, RES, Summer'!T$4</f>
        <v>5.8946171341925702</v>
      </c>
      <c r="U9" s="6">
        <f>VLOOKUP($A9,'RES installed'!$A$2:$C$7,3,FALSE)*'[1]Profiles, RES, Summer'!U$4</f>
        <v>0.26535253980288098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2.2744503411675512E-2</v>
      </c>
      <c r="H10" s="6">
        <f>VLOOKUP($A10,'RES installed'!$A$2:$C$7,3,FALSE)*'[1]Profiles, RES, Summer'!H$4</f>
        <v>2.797573919636088</v>
      </c>
      <c r="I10" s="6">
        <f>VLOOKUP($A10,'RES installed'!$A$2:$C$7,3,FALSE)*'[1]Profiles, RES, Summer'!I$4</f>
        <v>13.237300985595148</v>
      </c>
      <c r="J10" s="6">
        <f>VLOOKUP($A10,'RES installed'!$A$2:$C$7,3,FALSE)*'[1]Profiles, RES, Summer'!J$4</f>
        <v>28.817285822592876</v>
      </c>
      <c r="K10" s="6">
        <f>VLOOKUP($A10,'RES installed'!$A$2:$C$7,3,FALSE)*'[1]Profiles, RES, Summer'!K$4</f>
        <v>44.488248673237301</v>
      </c>
      <c r="L10" s="6">
        <f>VLOOKUP($A10,'RES installed'!$A$2:$C$7,3,FALSE)*'[1]Profiles, RES, Summer'!L$4</f>
        <v>54.609552691432903</v>
      </c>
      <c r="M10" s="6">
        <f>VLOOKUP($A10,'RES installed'!$A$2:$C$7,3,FALSE)*'[1]Profiles, RES, Summer'!M$4</f>
        <v>58.407884761182714</v>
      </c>
      <c r="N10" s="6">
        <f>VLOOKUP($A10,'RES installed'!$A$2:$C$7,3,FALSE)*'[1]Profiles, RES, Summer'!N$4</f>
        <v>60</v>
      </c>
      <c r="O10" s="6">
        <f>VLOOKUP($A10,'RES installed'!$A$2:$C$7,3,FALSE)*'[1]Profiles, RES, Summer'!O$4</f>
        <v>58.953752843062922</v>
      </c>
      <c r="P10" s="6">
        <f>VLOOKUP($A10,'RES installed'!$A$2:$C$7,3,FALSE)*'[1]Profiles, RES, Summer'!P$4</f>
        <v>55.974222896133433</v>
      </c>
      <c r="Q10" s="6">
        <f>VLOOKUP($A10,'RES installed'!$A$2:$C$7,3,FALSE)*'[1]Profiles, RES, Summer'!Q$4</f>
        <v>49.537528430629266</v>
      </c>
      <c r="R10" s="6">
        <f>VLOOKUP($A10,'RES installed'!$A$2:$C$7,3,FALSE)*'[1]Profiles, RES, Summer'!R$4</f>
        <v>38.915845337376801</v>
      </c>
      <c r="S10" s="6">
        <f>VLOOKUP($A10,'RES installed'!$A$2:$C$7,3,FALSE)*'[1]Profiles, RES, Summer'!S$4</f>
        <v>23.153904473085671</v>
      </c>
      <c r="T10" s="6">
        <f>VLOOKUP($A10,'RES installed'!$A$2:$C$7,3,FALSE)*'[1]Profiles, RES, Summer'!T$4</f>
        <v>7.0735405610310842</v>
      </c>
      <c r="U10" s="6">
        <f>VLOOKUP($A10,'RES installed'!$A$2:$C$7,3,FALSE)*'[1]Profiles, RES, Summer'!U$4</f>
        <v>0.3184230477634572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F2489A-F098-4871-AA5A-66ECC4616607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12.157767964672821</v>
      </c>
      <c r="C5" s="9">
        <f>VLOOKUP($A5,'RES installed'!$A$2:$C$7,3,FALSE)*'[1]Profiles, RES, Summer'!C$5</f>
        <v>11.119028502609394</v>
      </c>
      <c r="D5" s="9">
        <f>VLOOKUP($A5,'RES installed'!$A$2:$C$7,3,FALSE)*'[1]Profiles, RES, Summer'!D$5</f>
        <v>9.7280208751505413</v>
      </c>
      <c r="E5" s="9">
        <f>VLOOKUP($A5,'RES installed'!$A$2:$C$7,3,FALSE)*'[1]Profiles, RES, Summer'!E$5</f>
        <v>9.6918908069048584</v>
      </c>
      <c r="F5" s="9">
        <f>VLOOKUP($A5,'RES installed'!$A$2:$C$7,3,FALSE)*'[1]Profiles, RES, Summer'!F$5</f>
        <v>9.1770373344038543</v>
      </c>
      <c r="G5" s="9">
        <f>VLOOKUP($A5,'RES installed'!$A$2:$C$7,3,FALSE)*'[1]Profiles, RES, Summer'!G$5</f>
        <v>8.4544359694901647</v>
      </c>
      <c r="H5" s="9">
        <f>VLOOKUP($A5,'RES installed'!$A$2:$C$7,3,FALSE)*'[1]Profiles, RES, Summer'!H$5</f>
        <v>7.433761541549579</v>
      </c>
      <c r="I5" s="9">
        <f>VLOOKUP($A5,'RES installed'!$A$2:$C$7,3,FALSE)*'[1]Profiles, RES, Summer'!I$5</f>
        <v>5.8440385387394622</v>
      </c>
      <c r="J5" s="9">
        <f>VLOOKUP($A5,'RES installed'!$A$2:$C$7,3,FALSE)*'[1]Profiles, RES, Summer'!J$5</f>
        <v>4.8594941790445603</v>
      </c>
      <c r="K5" s="9">
        <f>VLOOKUP($A5,'RES installed'!$A$2:$C$7,3,FALSE)*'[1]Profiles, RES, Summer'!K$5</f>
        <v>4.5433560818948218</v>
      </c>
      <c r="L5" s="9">
        <f>VLOOKUP($A5,'RES installed'!$A$2:$C$7,3,FALSE)*'[1]Profiles, RES, Summer'!L$5</f>
        <v>4.182055399437977</v>
      </c>
      <c r="M5" s="9">
        <f>VLOOKUP($A5,'RES installed'!$A$2:$C$7,3,FALSE)*'[1]Profiles, RES, Summer'!M$5</f>
        <v>4.7059413890004018</v>
      </c>
      <c r="N5" s="9">
        <f>VLOOKUP($A5,'RES installed'!$A$2:$C$7,3,FALSE)*'[1]Profiles, RES, Summer'!N$5</f>
        <v>5.9162986752308306</v>
      </c>
      <c r="O5" s="9">
        <f>VLOOKUP($A5,'RES installed'!$A$2:$C$7,3,FALSE)*'[1]Profiles, RES, Summer'!O$5</f>
        <v>7.3434363709353674</v>
      </c>
      <c r="P5" s="9">
        <f>VLOOKUP($A5,'RES installed'!$A$2:$C$7,3,FALSE)*'[1]Profiles, RES, Summer'!P$5</f>
        <v>9.8002810116419106</v>
      </c>
      <c r="Q5" s="9">
        <f>VLOOKUP($A5,'RES installed'!$A$2:$C$7,3,FALSE)*'[1]Profiles, RES, Summer'!Q$5</f>
        <v>12.510036130068245</v>
      </c>
      <c r="R5" s="9">
        <f>VLOOKUP($A5,'RES installed'!$A$2:$C$7,3,FALSE)*'[1]Profiles, RES, Summer'!R$5</f>
        <v>14.786230429546368</v>
      </c>
      <c r="S5" s="9">
        <f>VLOOKUP($A5,'RES installed'!$A$2:$C$7,3,FALSE)*'[1]Profiles, RES, Summer'!S$5</f>
        <v>15.77980730630269</v>
      </c>
      <c r="T5" s="9">
        <f>VLOOKUP($A5,'RES installed'!$A$2:$C$7,3,FALSE)*'[1]Profiles, RES, Summer'!T$5</f>
        <v>16.981132075471699</v>
      </c>
      <c r="U5" s="9">
        <f>VLOOKUP($A5,'RES installed'!$A$2:$C$7,3,FALSE)*'[1]Profiles, RES, Summer'!U$5</f>
        <v>18.914090726615814</v>
      </c>
      <c r="V5" s="9">
        <f>VLOOKUP($A5,'RES installed'!$A$2:$C$7,3,FALSE)*'[1]Profiles, RES, Summer'!V$5</f>
        <v>20.856081894821358</v>
      </c>
      <c r="W5" s="9">
        <f>VLOOKUP($A5,'RES installed'!$A$2:$C$7,3,FALSE)*'[1]Profiles, RES, Summer'!W$5</f>
        <v>21.723203532717786</v>
      </c>
      <c r="X5" s="9">
        <f>VLOOKUP($A5,'RES installed'!$A$2:$C$7,3,FALSE)*'[1]Profiles, RES, Summer'!X$5</f>
        <v>21.822561220393414</v>
      </c>
      <c r="Y5" s="9">
        <f>VLOOKUP($A5,'RES installed'!$A$2:$C$7,3,FALSE)*'[1]Profiles, RES, Summer'!Y$5</f>
        <v>21.0457647531112</v>
      </c>
    </row>
    <row r="6" spans="1:25" x14ac:dyDescent="0.3">
      <c r="A6" s="8">
        <v>5</v>
      </c>
      <c r="B6" s="9">
        <f>VLOOKUP($A6,'RES installed'!$A$2:$C$7,3,FALSE)*'[1]Profiles, RES, Summer'!B$5</f>
        <v>16.210357286230426</v>
      </c>
      <c r="C6" s="9">
        <f>VLOOKUP($A6,'RES installed'!$A$2:$C$7,3,FALSE)*'[1]Profiles, RES, Summer'!C$5</f>
        <v>14.825371336812525</v>
      </c>
      <c r="D6" s="9">
        <f>VLOOKUP($A6,'RES installed'!$A$2:$C$7,3,FALSE)*'[1]Profiles, RES, Summer'!D$5</f>
        <v>12.970694500200722</v>
      </c>
      <c r="E6" s="9">
        <f>VLOOKUP($A6,'RES installed'!$A$2:$C$7,3,FALSE)*'[1]Profiles, RES, Summer'!E$5</f>
        <v>12.922521075873144</v>
      </c>
      <c r="F6" s="9">
        <f>VLOOKUP($A6,'RES installed'!$A$2:$C$7,3,FALSE)*'[1]Profiles, RES, Summer'!F$5</f>
        <v>12.236049779205139</v>
      </c>
      <c r="G6" s="9">
        <f>VLOOKUP($A6,'RES installed'!$A$2:$C$7,3,FALSE)*'[1]Profiles, RES, Summer'!G$5</f>
        <v>11.272581292653554</v>
      </c>
      <c r="H6" s="9">
        <f>VLOOKUP($A6,'RES installed'!$A$2:$C$7,3,FALSE)*'[1]Profiles, RES, Summer'!H$5</f>
        <v>9.9116820553994387</v>
      </c>
      <c r="I6" s="9">
        <f>VLOOKUP($A6,'RES installed'!$A$2:$C$7,3,FALSE)*'[1]Profiles, RES, Summer'!I$5</f>
        <v>7.7920513849859487</v>
      </c>
      <c r="J6" s="9">
        <f>VLOOKUP($A6,'RES installed'!$A$2:$C$7,3,FALSE)*'[1]Profiles, RES, Summer'!J$5</f>
        <v>6.4793255720594134</v>
      </c>
      <c r="K6" s="9">
        <f>VLOOKUP($A6,'RES installed'!$A$2:$C$7,3,FALSE)*'[1]Profiles, RES, Summer'!K$5</f>
        <v>6.0578081091930951</v>
      </c>
      <c r="L6" s="9">
        <f>VLOOKUP($A6,'RES installed'!$A$2:$C$7,3,FALSE)*'[1]Profiles, RES, Summer'!L$5</f>
        <v>5.5760738659173024</v>
      </c>
      <c r="M6" s="9">
        <f>VLOOKUP($A6,'RES installed'!$A$2:$C$7,3,FALSE)*'[1]Profiles, RES, Summer'!M$5</f>
        <v>6.2745885186672021</v>
      </c>
      <c r="N6" s="9">
        <f>VLOOKUP($A6,'RES installed'!$A$2:$C$7,3,FALSE)*'[1]Profiles, RES, Summer'!N$5</f>
        <v>7.8883982336411069</v>
      </c>
      <c r="O6" s="9">
        <f>VLOOKUP($A6,'RES installed'!$A$2:$C$7,3,FALSE)*'[1]Profiles, RES, Summer'!O$5</f>
        <v>9.7912484945804898</v>
      </c>
      <c r="P6" s="9">
        <f>VLOOKUP($A6,'RES installed'!$A$2:$C$7,3,FALSE)*'[1]Profiles, RES, Summer'!P$5</f>
        <v>13.067041348855881</v>
      </c>
      <c r="Q6" s="9">
        <f>VLOOKUP($A6,'RES installed'!$A$2:$C$7,3,FALSE)*'[1]Profiles, RES, Summer'!Q$5</f>
        <v>16.680048173424328</v>
      </c>
      <c r="R6" s="9">
        <f>VLOOKUP($A6,'RES installed'!$A$2:$C$7,3,FALSE)*'[1]Profiles, RES, Summer'!R$5</f>
        <v>19.714973906061822</v>
      </c>
      <c r="S6" s="9">
        <f>VLOOKUP($A6,'RES installed'!$A$2:$C$7,3,FALSE)*'[1]Profiles, RES, Summer'!S$5</f>
        <v>21.039743075070252</v>
      </c>
      <c r="T6" s="9">
        <f>VLOOKUP($A6,'RES installed'!$A$2:$C$7,3,FALSE)*'[1]Profiles, RES, Summer'!T$5</f>
        <v>22.641509433962266</v>
      </c>
      <c r="U6" s="9">
        <f>VLOOKUP($A6,'RES installed'!$A$2:$C$7,3,FALSE)*'[1]Profiles, RES, Summer'!U$5</f>
        <v>25.218787635487754</v>
      </c>
      <c r="V6" s="9">
        <f>VLOOKUP($A6,'RES installed'!$A$2:$C$7,3,FALSE)*'[1]Profiles, RES, Summer'!V$5</f>
        <v>27.808109193095145</v>
      </c>
      <c r="W6" s="9">
        <f>VLOOKUP($A6,'RES installed'!$A$2:$C$7,3,FALSE)*'[1]Profiles, RES, Summer'!W$5</f>
        <v>28.964271376957047</v>
      </c>
      <c r="X6" s="9">
        <f>VLOOKUP($A6,'RES installed'!$A$2:$C$7,3,FALSE)*'[1]Profiles, RES, Summer'!X$5</f>
        <v>29.096748293857885</v>
      </c>
      <c r="Y6" s="9">
        <f>VLOOKUP($A6,'RES installed'!$A$2:$C$7,3,FALSE)*'[1]Profiles, RES, Summer'!Y$5</f>
        <v>28.061019670814932</v>
      </c>
    </row>
    <row r="7" spans="1:25" x14ac:dyDescent="0.3">
      <c r="A7" s="8">
        <v>6</v>
      </c>
      <c r="B7" s="9">
        <f>VLOOKUP($A7,'RES installed'!$A$2:$C$7,3,FALSE)*'[1]Profiles, RES, Summer'!B$5</f>
        <v>12.157767964672821</v>
      </c>
      <c r="C7" s="9">
        <f>VLOOKUP($A7,'RES installed'!$A$2:$C$7,3,FALSE)*'[1]Profiles, RES, Summer'!C$5</f>
        <v>11.119028502609394</v>
      </c>
      <c r="D7" s="9">
        <f>VLOOKUP($A7,'RES installed'!$A$2:$C$7,3,FALSE)*'[1]Profiles, RES, Summer'!D$5</f>
        <v>9.7280208751505413</v>
      </c>
      <c r="E7" s="9">
        <f>VLOOKUP($A7,'RES installed'!$A$2:$C$7,3,FALSE)*'[1]Profiles, RES, Summer'!E$5</f>
        <v>9.6918908069048584</v>
      </c>
      <c r="F7" s="9">
        <f>VLOOKUP($A7,'RES installed'!$A$2:$C$7,3,FALSE)*'[1]Profiles, RES, Summer'!F$5</f>
        <v>9.1770373344038543</v>
      </c>
      <c r="G7" s="9">
        <f>VLOOKUP($A7,'RES installed'!$A$2:$C$7,3,FALSE)*'[1]Profiles, RES, Summer'!G$5</f>
        <v>8.4544359694901647</v>
      </c>
      <c r="H7" s="9">
        <f>VLOOKUP($A7,'RES installed'!$A$2:$C$7,3,FALSE)*'[1]Profiles, RES, Summer'!H$5</f>
        <v>7.433761541549579</v>
      </c>
      <c r="I7" s="9">
        <f>VLOOKUP($A7,'RES installed'!$A$2:$C$7,3,FALSE)*'[1]Profiles, RES, Summer'!I$5</f>
        <v>5.8440385387394622</v>
      </c>
      <c r="J7" s="9">
        <f>VLOOKUP($A7,'RES installed'!$A$2:$C$7,3,FALSE)*'[1]Profiles, RES, Summer'!J$5</f>
        <v>4.8594941790445603</v>
      </c>
      <c r="K7" s="9">
        <f>VLOOKUP($A7,'RES installed'!$A$2:$C$7,3,FALSE)*'[1]Profiles, RES, Summer'!K$5</f>
        <v>4.5433560818948218</v>
      </c>
      <c r="L7" s="9">
        <f>VLOOKUP($A7,'RES installed'!$A$2:$C$7,3,FALSE)*'[1]Profiles, RES, Summer'!L$5</f>
        <v>4.182055399437977</v>
      </c>
      <c r="M7" s="9">
        <f>VLOOKUP($A7,'RES installed'!$A$2:$C$7,3,FALSE)*'[1]Profiles, RES, Summer'!M$5</f>
        <v>4.7059413890004018</v>
      </c>
      <c r="N7" s="9">
        <f>VLOOKUP($A7,'RES installed'!$A$2:$C$7,3,FALSE)*'[1]Profiles, RES, Summer'!N$5</f>
        <v>5.9162986752308306</v>
      </c>
      <c r="O7" s="9">
        <f>VLOOKUP($A7,'RES installed'!$A$2:$C$7,3,FALSE)*'[1]Profiles, RES, Summer'!O$5</f>
        <v>7.3434363709353674</v>
      </c>
      <c r="P7" s="9">
        <f>VLOOKUP($A7,'RES installed'!$A$2:$C$7,3,FALSE)*'[1]Profiles, RES, Summer'!P$5</f>
        <v>9.8002810116419106</v>
      </c>
      <c r="Q7" s="9">
        <f>VLOOKUP($A7,'RES installed'!$A$2:$C$7,3,FALSE)*'[1]Profiles, RES, Summer'!Q$5</f>
        <v>12.510036130068245</v>
      </c>
      <c r="R7" s="9">
        <f>VLOOKUP($A7,'RES installed'!$A$2:$C$7,3,FALSE)*'[1]Profiles, RES, Summer'!R$5</f>
        <v>14.786230429546368</v>
      </c>
      <c r="S7" s="9">
        <f>VLOOKUP($A7,'RES installed'!$A$2:$C$7,3,FALSE)*'[1]Profiles, RES, Summer'!S$5</f>
        <v>15.77980730630269</v>
      </c>
      <c r="T7" s="9">
        <f>VLOOKUP($A7,'RES installed'!$A$2:$C$7,3,FALSE)*'[1]Profiles, RES, Summer'!T$5</f>
        <v>16.981132075471699</v>
      </c>
      <c r="U7" s="9">
        <f>VLOOKUP($A7,'RES installed'!$A$2:$C$7,3,FALSE)*'[1]Profiles, RES, Summer'!U$5</f>
        <v>18.914090726615814</v>
      </c>
      <c r="V7" s="9">
        <f>VLOOKUP($A7,'RES installed'!$A$2:$C$7,3,FALSE)*'[1]Profiles, RES, Summer'!V$5</f>
        <v>20.856081894821358</v>
      </c>
      <c r="W7" s="9">
        <f>VLOOKUP($A7,'RES installed'!$A$2:$C$7,3,FALSE)*'[1]Profiles, RES, Summer'!W$5</f>
        <v>21.723203532717786</v>
      </c>
      <c r="X7" s="9">
        <f>VLOOKUP($A7,'RES installed'!$A$2:$C$7,3,FALSE)*'[1]Profiles, RES, Summer'!X$5</f>
        <v>21.822561220393414</v>
      </c>
      <c r="Y7" s="9">
        <f>VLOOKUP($A7,'RES installed'!$A$2:$C$7,3,FALSE)*'[1]Profiles, RES, Summer'!Y$5</f>
        <v>21.0457647531112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0.17058377558756635</v>
      </c>
      <c r="H8" s="6">
        <f>VLOOKUP($A8,'RES installed'!$A$2:$C$7,3,FALSE)*'[1]Profiles, RES, Summer'!H$2</f>
        <v>5.003790750568613</v>
      </c>
      <c r="I8" s="6">
        <f>VLOOKUP($A8,'RES installed'!$A$2:$C$7,3,FALSE)*'[1]Profiles, RES, Summer'!I$2</f>
        <v>20.811220621683095</v>
      </c>
      <c r="J8" s="6">
        <f>VLOOKUP($A8,'RES installed'!$A$2:$C$7,3,FALSE)*'[1]Profiles, RES, Summer'!J$2</f>
        <v>43.100833965125098</v>
      </c>
      <c r="K8" s="6">
        <f>VLOOKUP($A8,'RES installed'!$A$2:$C$7,3,FALSE)*'[1]Profiles, RES, Summer'!K$2</f>
        <v>56.719105382865806</v>
      </c>
      <c r="L8" s="6">
        <f>VLOOKUP($A8,'RES installed'!$A$2:$C$7,3,FALSE)*'[1]Profiles, RES, Summer'!L$2</f>
        <v>65.163002274450335</v>
      </c>
      <c r="M8" s="6">
        <f>VLOOKUP($A8,'RES installed'!$A$2:$C$7,3,FALSE)*'[1]Profiles, RES, Summer'!M$2</f>
        <v>68.97270659590599</v>
      </c>
      <c r="N8" s="6">
        <f>VLOOKUP($A8,'RES installed'!$A$2:$C$7,3,FALSE)*'[1]Profiles, RES, Summer'!N$2</f>
        <v>70.507960576194094</v>
      </c>
      <c r="O8" s="6">
        <f>VLOOKUP($A8,'RES installed'!$A$2:$C$7,3,FALSE)*'[1]Profiles, RES, Summer'!O$2</f>
        <v>70.536391205458685</v>
      </c>
      <c r="P8" s="6">
        <f>VLOOKUP($A8,'RES installed'!$A$2:$C$7,3,FALSE)*'[1]Profiles, RES, Summer'!P$2</f>
        <v>68.119787717968151</v>
      </c>
      <c r="Q8" s="6">
        <f>VLOOKUP($A8,'RES installed'!$A$2:$C$7,3,FALSE)*'[1]Profiles, RES, Summer'!Q$2</f>
        <v>60.585670962850642</v>
      </c>
      <c r="R8" s="6">
        <f>VLOOKUP($A8,'RES installed'!$A$2:$C$7,3,FALSE)*'[1]Profiles, RES, Summer'!R$2</f>
        <v>48.55951478392722</v>
      </c>
      <c r="S8" s="6">
        <f>VLOOKUP($A8,'RES installed'!$A$2:$C$7,3,FALSE)*'[1]Profiles, RES, Summer'!S$2</f>
        <v>31.415845337376801</v>
      </c>
      <c r="T8" s="6">
        <f>VLOOKUP($A8,'RES installed'!$A$2:$C$7,3,FALSE)*'[1]Profiles, RES, Summer'!T$2</f>
        <v>10.945792266868841</v>
      </c>
      <c r="U8" s="6">
        <f>VLOOKUP($A8,'RES installed'!$A$2:$C$7,3,FALSE)*'[1]Profiles, RES, Summer'!U$2</f>
        <v>0.90978013646702049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0.11372251705837756</v>
      </c>
      <c r="H9" s="6">
        <f>VLOOKUP($A9,'RES installed'!$A$2:$C$7,3,FALSE)*'[1]Profiles, RES, Summer'!H$2</f>
        <v>3.3358605003790753</v>
      </c>
      <c r="I9" s="6">
        <f>VLOOKUP($A9,'RES installed'!$A$2:$C$7,3,FALSE)*'[1]Profiles, RES, Summer'!I$2</f>
        <v>13.874147081122063</v>
      </c>
      <c r="J9" s="6">
        <f>VLOOKUP($A9,'RES installed'!$A$2:$C$7,3,FALSE)*'[1]Profiles, RES, Summer'!J$2</f>
        <v>28.733889310083399</v>
      </c>
      <c r="K9" s="6">
        <f>VLOOKUP($A9,'RES installed'!$A$2:$C$7,3,FALSE)*'[1]Profiles, RES, Summer'!K$2</f>
        <v>37.812736921910542</v>
      </c>
      <c r="L9" s="6">
        <f>VLOOKUP($A9,'RES installed'!$A$2:$C$7,3,FALSE)*'[1]Profiles, RES, Summer'!L$2</f>
        <v>43.44200151630023</v>
      </c>
      <c r="M9" s="6">
        <f>VLOOKUP($A9,'RES installed'!$A$2:$C$7,3,FALSE)*'[1]Profiles, RES, Summer'!M$2</f>
        <v>45.981804397270658</v>
      </c>
      <c r="N9" s="6">
        <f>VLOOKUP($A9,'RES installed'!$A$2:$C$7,3,FALSE)*'[1]Profiles, RES, Summer'!N$2</f>
        <v>47.005307050796056</v>
      </c>
      <c r="O9" s="6">
        <f>VLOOKUP($A9,'RES installed'!$A$2:$C$7,3,FALSE)*'[1]Profiles, RES, Summer'!O$2</f>
        <v>47.024260803639123</v>
      </c>
      <c r="P9" s="6">
        <f>VLOOKUP($A9,'RES installed'!$A$2:$C$7,3,FALSE)*'[1]Profiles, RES, Summer'!P$2</f>
        <v>45.41319181197877</v>
      </c>
      <c r="Q9" s="6">
        <f>VLOOKUP($A9,'RES installed'!$A$2:$C$7,3,FALSE)*'[1]Profiles, RES, Summer'!Q$2</f>
        <v>40.390447308567097</v>
      </c>
      <c r="R9" s="6">
        <f>VLOOKUP($A9,'RES installed'!$A$2:$C$7,3,FALSE)*'[1]Profiles, RES, Summer'!R$2</f>
        <v>32.37300985595148</v>
      </c>
      <c r="S9" s="6">
        <f>VLOOKUP($A9,'RES installed'!$A$2:$C$7,3,FALSE)*'[1]Profiles, RES, Summer'!S$2</f>
        <v>20.943896891584536</v>
      </c>
      <c r="T9" s="6">
        <f>VLOOKUP($A9,'RES installed'!$A$2:$C$7,3,FALSE)*'[1]Profiles, RES, Summer'!T$2</f>
        <v>7.2971948445792272</v>
      </c>
      <c r="U9" s="6">
        <f>VLOOKUP($A9,'RES installed'!$A$2:$C$7,3,FALSE)*'[1]Profiles, RES, Summer'!U$2</f>
        <v>0.60652009097801363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0.13646702047005307</v>
      </c>
      <c r="H10" s="6">
        <f>VLOOKUP($A10,'RES installed'!$A$2:$C$7,3,FALSE)*'[1]Profiles, RES, Summer'!H$2</f>
        <v>4.0030326004548904</v>
      </c>
      <c r="I10" s="6">
        <f>VLOOKUP($A10,'RES installed'!$A$2:$C$7,3,FALSE)*'[1]Profiles, RES, Summer'!I$2</f>
        <v>16.648976497346474</v>
      </c>
      <c r="J10" s="6">
        <f>VLOOKUP($A10,'RES installed'!$A$2:$C$7,3,FALSE)*'[1]Profiles, RES, Summer'!J$2</f>
        <v>34.480667172100077</v>
      </c>
      <c r="K10" s="6">
        <f>VLOOKUP($A10,'RES installed'!$A$2:$C$7,3,FALSE)*'[1]Profiles, RES, Summer'!K$2</f>
        <v>45.375284306292649</v>
      </c>
      <c r="L10" s="6">
        <f>VLOOKUP($A10,'RES installed'!$A$2:$C$7,3,FALSE)*'[1]Profiles, RES, Summer'!L$2</f>
        <v>52.130401819560269</v>
      </c>
      <c r="M10" s="6">
        <f>VLOOKUP($A10,'RES installed'!$A$2:$C$7,3,FALSE)*'[1]Profiles, RES, Summer'!M$2</f>
        <v>55.178165276724791</v>
      </c>
      <c r="N10" s="6">
        <f>VLOOKUP($A10,'RES installed'!$A$2:$C$7,3,FALSE)*'[1]Profiles, RES, Summer'!N$2</f>
        <v>56.406368460955271</v>
      </c>
      <c r="O10" s="6">
        <f>VLOOKUP($A10,'RES installed'!$A$2:$C$7,3,FALSE)*'[1]Profiles, RES, Summer'!O$2</f>
        <v>56.429112964366951</v>
      </c>
      <c r="P10" s="6">
        <f>VLOOKUP($A10,'RES installed'!$A$2:$C$7,3,FALSE)*'[1]Profiles, RES, Summer'!P$2</f>
        <v>54.495830174374525</v>
      </c>
      <c r="Q10" s="6">
        <f>VLOOKUP($A10,'RES installed'!$A$2:$C$7,3,FALSE)*'[1]Profiles, RES, Summer'!Q$2</f>
        <v>48.468536770280515</v>
      </c>
      <c r="R10" s="6">
        <f>VLOOKUP($A10,'RES installed'!$A$2:$C$7,3,FALSE)*'[1]Profiles, RES, Summer'!R$2</f>
        <v>38.847611827141776</v>
      </c>
      <c r="S10" s="6">
        <f>VLOOKUP($A10,'RES installed'!$A$2:$C$7,3,FALSE)*'[1]Profiles, RES, Summer'!S$2</f>
        <v>25.132676269901442</v>
      </c>
      <c r="T10" s="6">
        <f>VLOOKUP($A10,'RES installed'!$A$2:$C$7,3,FALSE)*'[1]Profiles, RES, Summer'!T$2</f>
        <v>8.756633813495073</v>
      </c>
      <c r="U10" s="6">
        <f>VLOOKUP($A10,'RES installed'!$A$2:$C$7,3,FALSE)*'[1]Profiles, RES, Summer'!U$2</f>
        <v>0.7278241091736164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0039B-D4D9-47D8-9308-A8064C02CC83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12.826174227217987</v>
      </c>
      <c r="C5" s="9">
        <f>VLOOKUP($A5,'RES installed'!$A$2:$C$7,3,FALSE)*'[1]Profiles, RES, Summer'!C$6</f>
        <v>11.913890004014451</v>
      </c>
      <c r="D5" s="9">
        <f>VLOOKUP($A5,'RES installed'!$A$2:$C$7,3,FALSE)*'[1]Profiles, RES, Summer'!D$6</f>
        <v>12.112605379365716</v>
      </c>
      <c r="E5" s="9">
        <f>VLOOKUP($A5,'RES installed'!$A$2:$C$7,3,FALSE)*'[1]Profiles, RES, Summer'!E$6</f>
        <v>10.947410678442393</v>
      </c>
      <c r="F5" s="9">
        <f>VLOOKUP($A5,'RES installed'!$A$2:$C$7,3,FALSE)*'[1]Profiles, RES, Summer'!F$6</f>
        <v>10.242874347651545</v>
      </c>
      <c r="G5" s="9">
        <f>VLOOKUP($A5,'RES installed'!$A$2:$C$7,3,FALSE)*'[1]Profiles, RES, Summer'!G$6</f>
        <v>10.875150541951024</v>
      </c>
      <c r="H5" s="9">
        <f>VLOOKUP($A5,'RES installed'!$A$2:$C$7,3,FALSE)*'[1]Profiles, RES, Summer'!H$6</f>
        <v>10.757727820152549</v>
      </c>
      <c r="I5" s="9">
        <f>VLOOKUP($A5,'RES installed'!$A$2:$C$7,3,FALSE)*'[1]Profiles, RES, Summer'!I$6</f>
        <v>7.9305499799277399</v>
      </c>
      <c r="J5" s="9">
        <f>VLOOKUP($A5,'RES installed'!$A$2:$C$7,3,FALSE)*'[1]Profiles, RES, Summer'!J$6</f>
        <v>5.0762745885186673</v>
      </c>
      <c r="K5" s="9">
        <f>VLOOKUP($A5,'RES installed'!$A$2:$C$7,3,FALSE)*'[1]Profiles, RES, Summer'!K$6</f>
        <v>3.6942994781212364</v>
      </c>
      <c r="L5" s="9">
        <f>VLOOKUP($A5,'RES installed'!$A$2:$C$7,3,FALSE)*'[1]Profiles, RES, Summer'!L$6</f>
        <v>2.7910477719791249</v>
      </c>
      <c r="M5" s="9">
        <f>VLOOKUP($A5,'RES installed'!$A$2:$C$7,3,FALSE)*'[1]Profiles, RES, Summer'!M$6</f>
        <v>2.6194299478121237</v>
      </c>
      <c r="N5" s="9">
        <f>VLOOKUP($A5,'RES installed'!$A$2:$C$7,3,FALSE)*'[1]Profiles, RES, Summer'!N$6</f>
        <v>3.2788036932958651</v>
      </c>
      <c r="O5" s="9">
        <f>VLOOKUP($A5,'RES installed'!$A$2:$C$7,3,FALSE)*'[1]Profiles, RES, Summer'!O$6</f>
        <v>4.2543155359293454</v>
      </c>
      <c r="P5" s="9">
        <f>VLOOKUP($A5,'RES installed'!$A$2:$C$7,3,FALSE)*'[1]Profiles, RES, Summer'!P$6</f>
        <v>6.0608189482135693</v>
      </c>
      <c r="Q5" s="9">
        <f>VLOOKUP($A5,'RES installed'!$A$2:$C$7,3,FALSE)*'[1]Profiles, RES, Summer'!Q$6</f>
        <v>7.6505419510236852</v>
      </c>
      <c r="R5" s="9">
        <f>VLOOKUP($A5,'RES installed'!$A$2:$C$7,3,FALSE)*'[1]Profiles, RES, Summer'!R$6</f>
        <v>9.1589723002810111</v>
      </c>
      <c r="S5" s="9">
        <f>VLOOKUP($A5,'RES installed'!$A$2:$C$7,3,FALSE)*'[1]Profiles, RES, Summer'!S$6</f>
        <v>9.7822159775190691</v>
      </c>
      <c r="T5" s="9">
        <f>VLOOKUP($A5,'RES installed'!$A$2:$C$7,3,FALSE)*'[1]Profiles, RES, Summer'!T$6</f>
        <v>9.3034925732637497</v>
      </c>
      <c r="U5" s="9">
        <f>VLOOKUP($A5,'RES installed'!$A$2:$C$7,3,FALSE)*'[1]Profiles, RES, Summer'!U$6</f>
        <v>9.0234845443596949</v>
      </c>
      <c r="V5" s="9">
        <f>VLOOKUP($A5,'RES installed'!$A$2:$C$7,3,FALSE)*'[1]Profiles, RES, Summer'!V$6</f>
        <v>9.0505820955439589</v>
      </c>
      <c r="W5" s="9">
        <f>VLOOKUP($A5,'RES installed'!$A$2:$C$7,3,FALSE)*'[1]Profiles, RES, Summer'!W$6</f>
        <v>8.3189482135688468</v>
      </c>
      <c r="X5" s="9">
        <f>VLOOKUP($A5,'RES installed'!$A$2:$C$7,3,FALSE)*'[1]Profiles, RES, Summer'!X$6</f>
        <v>7.7137695704536338</v>
      </c>
      <c r="Y5" s="9">
        <f>VLOOKUP($A5,'RES installed'!$A$2:$C$7,3,FALSE)*'[1]Profiles, RES, Summer'!Y$6</f>
        <v>7.8492573263749499</v>
      </c>
    </row>
    <row r="6" spans="1:25" x14ac:dyDescent="0.3">
      <c r="A6" s="8">
        <v>5</v>
      </c>
      <c r="B6" s="9">
        <f>VLOOKUP($A6,'RES installed'!$A$2:$C$7,3,FALSE)*'[1]Profiles, RES, Summer'!B$6</f>
        <v>17.101565636290648</v>
      </c>
      <c r="C6" s="9">
        <f>VLOOKUP($A6,'RES installed'!$A$2:$C$7,3,FALSE)*'[1]Profiles, RES, Summer'!C$6</f>
        <v>15.885186672019268</v>
      </c>
      <c r="D6" s="9">
        <f>VLOOKUP($A6,'RES installed'!$A$2:$C$7,3,FALSE)*'[1]Profiles, RES, Summer'!D$6</f>
        <v>16.150140505820954</v>
      </c>
      <c r="E6" s="9">
        <f>VLOOKUP($A6,'RES installed'!$A$2:$C$7,3,FALSE)*'[1]Profiles, RES, Summer'!E$6</f>
        <v>14.596547571256524</v>
      </c>
      <c r="F6" s="9">
        <f>VLOOKUP($A6,'RES installed'!$A$2:$C$7,3,FALSE)*'[1]Profiles, RES, Summer'!F$6</f>
        <v>13.657165796868727</v>
      </c>
      <c r="G6" s="9">
        <f>VLOOKUP($A6,'RES installed'!$A$2:$C$7,3,FALSE)*'[1]Profiles, RES, Summer'!G$6</f>
        <v>14.500200722601365</v>
      </c>
      <c r="H6" s="9">
        <f>VLOOKUP($A6,'RES installed'!$A$2:$C$7,3,FALSE)*'[1]Profiles, RES, Summer'!H$6</f>
        <v>14.343637093536731</v>
      </c>
      <c r="I6" s="9">
        <f>VLOOKUP($A6,'RES installed'!$A$2:$C$7,3,FALSE)*'[1]Profiles, RES, Summer'!I$6</f>
        <v>10.574066639903654</v>
      </c>
      <c r="J6" s="9">
        <f>VLOOKUP($A6,'RES installed'!$A$2:$C$7,3,FALSE)*'[1]Profiles, RES, Summer'!J$6</f>
        <v>6.7683661180248897</v>
      </c>
      <c r="K6" s="9">
        <f>VLOOKUP($A6,'RES installed'!$A$2:$C$7,3,FALSE)*'[1]Profiles, RES, Summer'!K$6</f>
        <v>4.9257326374949812</v>
      </c>
      <c r="L6" s="9">
        <f>VLOOKUP($A6,'RES installed'!$A$2:$C$7,3,FALSE)*'[1]Profiles, RES, Summer'!L$6</f>
        <v>3.7213970293054994</v>
      </c>
      <c r="M6" s="9">
        <f>VLOOKUP($A6,'RES installed'!$A$2:$C$7,3,FALSE)*'[1]Profiles, RES, Summer'!M$6</f>
        <v>3.4925732637494979</v>
      </c>
      <c r="N6" s="9">
        <f>VLOOKUP($A6,'RES installed'!$A$2:$C$7,3,FALSE)*'[1]Profiles, RES, Summer'!N$6</f>
        <v>4.3717382577278201</v>
      </c>
      <c r="O6" s="9">
        <f>VLOOKUP($A6,'RES installed'!$A$2:$C$7,3,FALSE)*'[1]Profiles, RES, Summer'!O$6</f>
        <v>5.6724207145724606</v>
      </c>
      <c r="P6" s="9">
        <f>VLOOKUP($A6,'RES installed'!$A$2:$C$7,3,FALSE)*'[1]Profiles, RES, Summer'!P$6</f>
        <v>8.0810919309514251</v>
      </c>
      <c r="Q6" s="9">
        <f>VLOOKUP($A6,'RES installed'!$A$2:$C$7,3,FALSE)*'[1]Profiles, RES, Summer'!Q$6</f>
        <v>10.200722601364912</v>
      </c>
      <c r="R6" s="9">
        <f>VLOOKUP($A6,'RES installed'!$A$2:$C$7,3,FALSE)*'[1]Profiles, RES, Summer'!R$6</f>
        <v>12.211963067041349</v>
      </c>
      <c r="S6" s="9">
        <f>VLOOKUP($A6,'RES installed'!$A$2:$C$7,3,FALSE)*'[1]Profiles, RES, Summer'!S$6</f>
        <v>13.042954636692093</v>
      </c>
      <c r="T6" s="9">
        <f>VLOOKUP($A6,'RES installed'!$A$2:$C$7,3,FALSE)*'[1]Profiles, RES, Summer'!T$6</f>
        <v>12.404656764351666</v>
      </c>
      <c r="U6" s="9">
        <f>VLOOKUP($A6,'RES installed'!$A$2:$C$7,3,FALSE)*'[1]Profiles, RES, Summer'!U$6</f>
        <v>12.031312725812926</v>
      </c>
      <c r="V6" s="9">
        <f>VLOOKUP($A6,'RES installed'!$A$2:$C$7,3,FALSE)*'[1]Profiles, RES, Summer'!V$6</f>
        <v>12.067442794058611</v>
      </c>
      <c r="W6" s="9">
        <f>VLOOKUP($A6,'RES installed'!$A$2:$C$7,3,FALSE)*'[1]Profiles, RES, Summer'!W$6</f>
        <v>11.09193095142513</v>
      </c>
      <c r="X6" s="9">
        <f>VLOOKUP($A6,'RES installed'!$A$2:$C$7,3,FALSE)*'[1]Profiles, RES, Summer'!X$6</f>
        <v>10.285026093938178</v>
      </c>
      <c r="Y6" s="9">
        <f>VLOOKUP($A6,'RES installed'!$A$2:$C$7,3,FALSE)*'[1]Profiles, RES, Summer'!Y$6</f>
        <v>10.4656764351666</v>
      </c>
    </row>
    <row r="7" spans="1:25" x14ac:dyDescent="0.3">
      <c r="A7" s="8">
        <v>6</v>
      </c>
      <c r="B7" s="9">
        <f>VLOOKUP($A7,'RES installed'!$A$2:$C$7,3,FALSE)*'[1]Profiles, RES, Summer'!B$6</f>
        <v>12.826174227217987</v>
      </c>
      <c r="C7" s="9">
        <f>VLOOKUP($A7,'RES installed'!$A$2:$C$7,3,FALSE)*'[1]Profiles, RES, Summer'!C$6</f>
        <v>11.913890004014451</v>
      </c>
      <c r="D7" s="9">
        <f>VLOOKUP($A7,'RES installed'!$A$2:$C$7,3,FALSE)*'[1]Profiles, RES, Summer'!D$6</f>
        <v>12.112605379365716</v>
      </c>
      <c r="E7" s="9">
        <f>VLOOKUP($A7,'RES installed'!$A$2:$C$7,3,FALSE)*'[1]Profiles, RES, Summer'!E$6</f>
        <v>10.947410678442393</v>
      </c>
      <c r="F7" s="9">
        <f>VLOOKUP($A7,'RES installed'!$A$2:$C$7,3,FALSE)*'[1]Profiles, RES, Summer'!F$6</f>
        <v>10.242874347651545</v>
      </c>
      <c r="G7" s="9">
        <f>VLOOKUP($A7,'RES installed'!$A$2:$C$7,3,FALSE)*'[1]Profiles, RES, Summer'!G$6</f>
        <v>10.875150541951024</v>
      </c>
      <c r="H7" s="9">
        <f>VLOOKUP($A7,'RES installed'!$A$2:$C$7,3,FALSE)*'[1]Profiles, RES, Summer'!H$6</f>
        <v>10.757727820152549</v>
      </c>
      <c r="I7" s="9">
        <f>VLOOKUP($A7,'RES installed'!$A$2:$C$7,3,FALSE)*'[1]Profiles, RES, Summer'!I$6</f>
        <v>7.9305499799277399</v>
      </c>
      <c r="J7" s="9">
        <f>VLOOKUP($A7,'RES installed'!$A$2:$C$7,3,FALSE)*'[1]Profiles, RES, Summer'!J$6</f>
        <v>5.0762745885186673</v>
      </c>
      <c r="K7" s="9">
        <f>VLOOKUP($A7,'RES installed'!$A$2:$C$7,3,FALSE)*'[1]Profiles, RES, Summer'!K$6</f>
        <v>3.6942994781212364</v>
      </c>
      <c r="L7" s="9">
        <f>VLOOKUP($A7,'RES installed'!$A$2:$C$7,3,FALSE)*'[1]Profiles, RES, Summer'!L$6</f>
        <v>2.7910477719791249</v>
      </c>
      <c r="M7" s="9">
        <f>VLOOKUP($A7,'RES installed'!$A$2:$C$7,3,FALSE)*'[1]Profiles, RES, Summer'!M$6</f>
        <v>2.6194299478121237</v>
      </c>
      <c r="N7" s="9">
        <f>VLOOKUP($A7,'RES installed'!$A$2:$C$7,3,FALSE)*'[1]Profiles, RES, Summer'!N$6</f>
        <v>3.2788036932958651</v>
      </c>
      <c r="O7" s="9">
        <f>VLOOKUP($A7,'RES installed'!$A$2:$C$7,3,FALSE)*'[1]Profiles, RES, Summer'!O$6</f>
        <v>4.2543155359293454</v>
      </c>
      <c r="P7" s="9">
        <f>VLOOKUP($A7,'RES installed'!$A$2:$C$7,3,FALSE)*'[1]Profiles, RES, Summer'!P$6</f>
        <v>6.0608189482135693</v>
      </c>
      <c r="Q7" s="9">
        <f>VLOOKUP($A7,'RES installed'!$A$2:$C$7,3,FALSE)*'[1]Profiles, RES, Summer'!Q$6</f>
        <v>7.6505419510236852</v>
      </c>
      <c r="R7" s="9">
        <f>VLOOKUP($A7,'RES installed'!$A$2:$C$7,3,FALSE)*'[1]Profiles, RES, Summer'!R$6</f>
        <v>9.1589723002810111</v>
      </c>
      <c r="S7" s="9">
        <f>VLOOKUP($A7,'RES installed'!$A$2:$C$7,3,FALSE)*'[1]Profiles, RES, Summer'!S$6</f>
        <v>9.7822159775190691</v>
      </c>
      <c r="T7" s="9">
        <f>VLOOKUP($A7,'RES installed'!$A$2:$C$7,3,FALSE)*'[1]Profiles, RES, Summer'!T$6</f>
        <v>9.3034925732637497</v>
      </c>
      <c r="U7" s="9">
        <f>VLOOKUP($A7,'RES installed'!$A$2:$C$7,3,FALSE)*'[1]Profiles, RES, Summer'!U$6</f>
        <v>9.0234845443596949</v>
      </c>
      <c r="V7" s="9">
        <f>VLOOKUP($A7,'RES installed'!$A$2:$C$7,3,FALSE)*'[1]Profiles, RES, Summer'!V$6</f>
        <v>9.0505820955439589</v>
      </c>
      <c r="W7" s="9">
        <f>VLOOKUP($A7,'RES installed'!$A$2:$C$7,3,FALSE)*'[1]Profiles, RES, Summer'!W$6</f>
        <v>8.3189482135688468</v>
      </c>
      <c r="X7" s="9">
        <f>VLOOKUP($A7,'RES installed'!$A$2:$C$7,3,FALSE)*'[1]Profiles, RES, Summer'!X$6</f>
        <v>7.7137695704536338</v>
      </c>
      <c r="Y7" s="9">
        <f>VLOOKUP($A7,'RES installed'!$A$2:$C$7,3,FALSE)*'[1]Profiles, RES, Summer'!Y$6</f>
        <v>7.8492573263749499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0.14215314632297193</v>
      </c>
      <c r="H8" s="6">
        <f>VLOOKUP($A8,'RES installed'!$A$2:$C$7,3,FALSE)*'[1]Profiles, RES, Summer'!H$3</f>
        <v>5.9988627748294157</v>
      </c>
      <c r="I8" s="6">
        <f>VLOOKUP($A8,'RES installed'!$A$2:$C$7,3,FALSE)*'[1]Profiles, RES, Summer'!I$3</f>
        <v>24.137604245640638</v>
      </c>
      <c r="J8" s="6">
        <f>VLOOKUP($A8,'RES installed'!$A$2:$C$7,3,FALSE)*'[1]Profiles, RES, Summer'!J$3</f>
        <v>44.124336618650489</v>
      </c>
      <c r="K8" s="6">
        <f>VLOOKUP($A8,'RES installed'!$A$2:$C$7,3,FALSE)*'[1]Profiles, RES, Summer'!K$3</f>
        <v>58.026914329037155</v>
      </c>
      <c r="L8" s="6">
        <f>VLOOKUP($A8,'RES installed'!$A$2:$C$7,3,FALSE)*'[1]Profiles, RES, Summer'!L$3</f>
        <v>67.494313874147082</v>
      </c>
      <c r="M8" s="6">
        <f>VLOOKUP($A8,'RES installed'!$A$2:$C$7,3,FALSE)*'[1]Profiles, RES, Summer'!M$3</f>
        <v>70.991281273692195</v>
      </c>
      <c r="N8" s="6">
        <f>VLOOKUP($A8,'RES installed'!$A$2:$C$7,3,FALSE)*'[1]Profiles, RES, Summer'!N$3</f>
        <v>71.190295678544345</v>
      </c>
      <c r="O8" s="6">
        <f>VLOOKUP($A8,'RES installed'!$A$2:$C$7,3,FALSE)*'[1]Profiles, RES, Summer'!O$3</f>
        <v>69.683472327520846</v>
      </c>
      <c r="P8" s="6">
        <f>VLOOKUP($A8,'RES installed'!$A$2:$C$7,3,FALSE)*'[1]Profiles, RES, Summer'!P$3</f>
        <v>67.465883244882491</v>
      </c>
      <c r="Q8" s="6">
        <f>VLOOKUP($A8,'RES installed'!$A$2:$C$7,3,FALSE)*'[1]Profiles, RES, Summer'!Q$3</f>
        <v>60.187642153146321</v>
      </c>
      <c r="R8" s="6">
        <f>VLOOKUP($A8,'RES installed'!$A$2:$C$7,3,FALSE)*'[1]Profiles, RES, Summer'!R$3</f>
        <v>48.332069749810465</v>
      </c>
      <c r="S8" s="6">
        <f>VLOOKUP($A8,'RES installed'!$A$2:$C$7,3,FALSE)*'[1]Profiles, RES, Summer'!S$3</f>
        <v>30.30705079605762</v>
      </c>
      <c r="T8" s="6">
        <f>VLOOKUP($A8,'RES installed'!$A$2:$C$7,3,FALSE)*'[1]Profiles, RES, Summer'!T$3</f>
        <v>9.8654283548142523</v>
      </c>
      <c r="U8" s="6">
        <f>VLOOKUP($A8,'RES installed'!$A$2:$C$7,3,FALSE)*'[1]Profiles, RES, Summer'!U$3</f>
        <v>0.65390447308567101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9.4768764215314633E-2</v>
      </c>
      <c r="H9" s="6">
        <f>VLOOKUP($A9,'RES installed'!$A$2:$C$7,3,FALSE)*'[1]Profiles, RES, Summer'!H$3</f>
        <v>3.9992418498862774</v>
      </c>
      <c r="I9" s="6">
        <f>VLOOKUP($A9,'RES installed'!$A$2:$C$7,3,FALSE)*'[1]Profiles, RES, Summer'!I$3</f>
        <v>16.091736163760427</v>
      </c>
      <c r="J9" s="6">
        <f>VLOOKUP($A9,'RES installed'!$A$2:$C$7,3,FALSE)*'[1]Profiles, RES, Summer'!J$3</f>
        <v>29.41622441243366</v>
      </c>
      <c r="K9" s="6">
        <f>VLOOKUP($A9,'RES installed'!$A$2:$C$7,3,FALSE)*'[1]Profiles, RES, Summer'!K$3</f>
        <v>38.684609552691434</v>
      </c>
      <c r="L9" s="6">
        <f>VLOOKUP($A9,'RES installed'!$A$2:$C$7,3,FALSE)*'[1]Profiles, RES, Summer'!L$3</f>
        <v>44.996209249431388</v>
      </c>
      <c r="M9" s="6">
        <f>VLOOKUP($A9,'RES installed'!$A$2:$C$7,3,FALSE)*'[1]Profiles, RES, Summer'!M$3</f>
        <v>47.327520849128128</v>
      </c>
      <c r="N9" s="6">
        <f>VLOOKUP($A9,'RES installed'!$A$2:$C$7,3,FALSE)*'[1]Profiles, RES, Summer'!N$3</f>
        <v>47.460197119029566</v>
      </c>
      <c r="O9" s="6">
        <f>VLOOKUP($A9,'RES installed'!$A$2:$C$7,3,FALSE)*'[1]Profiles, RES, Summer'!O$3</f>
        <v>46.455648218347235</v>
      </c>
      <c r="P9" s="6">
        <f>VLOOKUP($A9,'RES installed'!$A$2:$C$7,3,FALSE)*'[1]Profiles, RES, Summer'!P$3</f>
        <v>44.977255496588327</v>
      </c>
      <c r="Q9" s="6">
        <f>VLOOKUP($A9,'RES installed'!$A$2:$C$7,3,FALSE)*'[1]Profiles, RES, Summer'!Q$3</f>
        <v>40.125094768764214</v>
      </c>
      <c r="R9" s="6">
        <f>VLOOKUP($A9,'RES installed'!$A$2:$C$7,3,FALSE)*'[1]Profiles, RES, Summer'!R$3</f>
        <v>32.221379833206974</v>
      </c>
      <c r="S9" s="6">
        <f>VLOOKUP($A9,'RES installed'!$A$2:$C$7,3,FALSE)*'[1]Profiles, RES, Summer'!S$3</f>
        <v>20.204700530705079</v>
      </c>
      <c r="T9" s="6">
        <f>VLOOKUP($A9,'RES installed'!$A$2:$C$7,3,FALSE)*'[1]Profiles, RES, Summer'!T$3</f>
        <v>6.5769522365428355</v>
      </c>
      <c r="U9" s="6">
        <f>VLOOKUP($A9,'RES installed'!$A$2:$C$7,3,FALSE)*'[1]Profiles, RES, Summer'!U$3</f>
        <v>0.4359363153904473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0.11372251705837756</v>
      </c>
      <c r="H10" s="6">
        <f>VLOOKUP($A10,'RES installed'!$A$2:$C$7,3,FALSE)*'[1]Profiles, RES, Summer'!H$3</f>
        <v>4.7990902198635323</v>
      </c>
      <c r="I10" s="6">
        <f>VLOOKUP($A10,'RES installed'!$A$2:$C$7,3,FALSE)*'[1]Profiles, RES, Summer'!I$3</f>
        <v>19.31008339651251</v>
      </c>
      <c r="J10" s="6">
        <f>VLOOKUP($A10,'RES installed'!$A$2:$C$7,3,FALSE)*'[1]Profiles, RES, Summer'!J$3</f>
        <v>35.299469294920392</v>
      </c>
      <c r="K10" s="6">
        <f>VLOOKUP($A10,'RES installed'!$A$2:$C$7,3,FALSE)*'[1]Profiles, RES, Summer'!K$3</f>
        <v>46.421531463229719</v>
      </c>
      <c r="L10" s="6">
        <f>VLOOKUP($A10,'RES installed'!$A$2:$C$7,3,FALSE)*'[1]Profiles, RES, Summer'!L$3</f>
        <v>53.995451099317663</v>
      </c>
      <c r="M10" s="6">
        <f>VLOOKUP($A10,'RES installed'!$A$2:$C$7,3,FALSE)*'[1]Profiles, RES, Summer'!M$3</f>
        <v>56.793025018953756</v>
      </c>
      <c r="N10" s="6">
        <f>VLOOKUP($A10,'RES installed'!$A$2:$C$7,3,FALSE)*'[1]Profiles, RES, Summer'!N$3</f>
        <v>56.952236542835479</v>
      </c>
      <c r="O10" s="6">
        <f>VLOOKUP($A10,'RES installed'!$A$2:$C$7,3,FALSE)*'[1]Profiles, RES, Summer'!O$3</f>
        <v>55.746777862016678</v>
      </c>
      <c r="P10" s="6">
        <f>VLOOKUP($A10,'RES installed'!$A$2:$C$7,3,FALSE)*'[1]Profiles, RES, Summer'!P$3</f>
        <v>53.97270659590599</v>
      </c>
      <c r="Q10" s="6">
        <f>VLOOKUP($A10,'RES installed'!$A$2:$C$7,3,FALSE)*'[1]Profiles, RES, Summer'!Q$3</f>
        <v>48.150113722517055</v>
      </c>
      <c r="R10" s="6">
        <f>VLOOKUP($A10,'RES installed'!$A$2:$C$7,3,FALSE)*'[1]Profiles, RES, Summer'!R$3</f>
        <v>38.665655799848373</v>
      </c>
      <c r="S10" s="6">
        <f>VLOOKUP($A10,'RES installed'!$A$2:$C$7,3,FALSE)*'[1]Profiles, RES, Summer'!S$3</f>
        <v>24.245640636846097</v>
      </c>
      <c r="T10" s="6">
        <f>VLOOKUP($A10,'RES installed'!$A$2:$C$7,3,FALSE)*'[1]Profiles, RES, Summer'!T$3</f>
        <v>7.8923426838514024</v>
      </c>
      <c r="U10" s="6">
        <f>VLOOKUP($A10,'RES installed'!$A$2:$C$7,3,FALSE)*'[1]Profiles, RES, Summer'!U$3</f>
        <v>0.52312357846853674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AFA8B6-75B5-460C-B501-FE7E84FD18F4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13.395222802087515</v>
      </c>
      <c r="C5" s="9">
        <f>VLOOKUP($A5,'RES installed'!$A$2:$C$7,3,FALSE)*'[1]Profiles, RES, Summer'!C$7</f>
        <v>12.049377759935769</v>
      </c>
      <c r="D5" s="9">
        <f>VLOOKUP($A5,'RES installed'!$A$2:$C$7,3,FALSE)*'[1]Profiles, RES, Summer'!D$7</f>
        <v>10.062224006423122</v>
      </c>
      <c r="E5" s="9">
        <f>VLOOKUP($A5,'RES installed'!$A$2:$C$7,3,FALSE)*'[1]Profiles, RES, Summer'!E$7</f>
        <v>9.5112404656764351</v>
      </c>
      <c r="F5" s="9">
        <f>VLOOKUP($A5,'RES installed'!$A$2:$C$7,3,FALSE)*'[1]Profiles, RES, Summer'!F$7</f>
        <v>9.3576876756322758</v>
      </c>
      <c r="G5" s="9">
        <f>VLOOKUP($A5,'RES installed'!$A$2:$C$7,3,FALSE)*'[1]Profiles, RES, Summer'!G$7</f>
        <v>10.495784825371336</v>
      </c>
      <c r="H5" s="9">
        <f>VLOOKUP($A5,'RES installed'!$A$2:$C$7,3,FALSE)*'[1]Profiles, RES, Summer'!H$7</f>
        <v>11.570654355680448</v>
      </c>
      <c r="I5" s="9">
        <f>VLOOKUP($A5,'RES installed'!$A$2:$C$7,3,FALSE)*'[1]Profiles, RES, Summer'!I$7</f>
        <v>11.968085106382979</v>
      </c>
      <c r="J5" s="9">
        <f>VLOOKUP($A5,'RES installed'!$A$2:$C$7,3,FALSE)*'[1]Profiles, RES, Summer'!J$7</f>
        <v>9.7280208751505413</v>
      </c>
      <c r="K5" s="9">
        <f>VLOOKUP($A5,'RES installed'!$A$2:$C$7,3,FALSE)*'[1]Profiles, RES, Summer'!K$7</f>
        <v>7.5692492974708951</v>
      </c>
      <c r="L5" s="9">
        <f>VLOOKUP($A5,'RES installed'!$A$2:$C$7,3,FALSE)*'[1]Profiles, RES, Summer'!L$7</f>
        <v>6.8105178643115218</v>
      </c>
      <c r="M5" s="9">
        <f>VLOOKUP($A5,'RES installed'!$A$2:$C$7,3,FALSE)*'[1]Profiles, RES, Summer'!M$7</f>
        <v>6.0788839823364107</v>
      </c>
      <c r="N5" s="9">
        <f>VLOOKUP($A5,'RES installed'!$A$2:$C$7,3,FALSE)*'[1]Profiles, RES, Summer'!N$7</f>
        <v>6.5847049377759941</v>
      </c>
      <c r="O5" s="9">
        <f>VLOOKUP($A5,'RES installed'!$A$2:$C$7,3,FALSE)*'[1]Profiles, RES, Summer'!O$7</f>
        <v>8.7615415495784816</v>
      </c>
      <c r="P5" s="9">
        <f>VLOOKUP($A5,'RES installed'!$A$2:$C$7,3,FALSE)*'[1]Profiles, RES, Summer'!P$7</f>
        <v>11.019670814933761</v>
      </c>
      <c r="Q5" s="9">
        <f>VLOOKUP($A5,'RES installed'!$A$2:$C$7,3,FALSE)*'[1]Profiles, RES, Summer'!Q$7</f>
        <v>11.561621838619029</v>
      </c>
      <c r="R5" s="9">
        <f>VLOOKUP($A5,'RES installed'!$A$2:$C$7,3,FALSE)*'[1]Profiles, RES, Summer'!R$7</f>
        <v>12.482938578883983</v>
      </c>
      <c r="S5" s="9">
        <f>VLOOKUP($A5,'RES installed'!$A$2:$C$7,3,FALSE)*'[1]Profiles, RES, Summer'!S$7</f>
        <v>12.988759534323565</v>
      </c>
      <c r="T5" s="9">
        <f>VLOOKUP($A5,'RES installed'!$A$2:$C$7,3,FALSE)*'[1]Profiles, RES, Summer'!T$7</f>
        <v>13.313930148534725</v>
      </c>
      <c r="U5" s="9">
        <f>VLOOKUP($A5,'RES installed'!$A$2:$C$7,3,FALSE)*'[1]Profiles, RES, Summer'!U$7</f>
        <v>15.255921316740265</v>
      </c>
      <c r="V5" s="9">
        <f>VLOOKUP($A5,'RES installed'!$A$2:$C$7,3,FALSE)*'[1]Profiles, RES, Summer'!V$7</f>
        <v>17.16178241670012</v>
      </c>
      <c r="W5" s="9">
        <f>VLOOKUP($A5,'RES installed'!$A$2:$C$7,3,FALSE)*'[1]Profiles, RES, Summer'!W$7</f>
        <v>16.574668807707749</v>
      </c>
      <c r="X5" s="9">
        <f>VLOOKUP($A5,'RES installed'!$A$2:$C$7,3,FALSE)*'[1]Profiles, RES, Summer'!X$7</f>
        <v>15.6985146527499</v>
      </c>
      <c r="Y5" s="9">
        <f>VLOOKUP($A5,'RES installed'!$A$2:$C$7,3,FALSE)*'[1]Profiles, RES, Summer'!Y$7</f>
        <v>15.418506623845845</v>
      </c>
    </row>
    <row r="6" spans="1:25" x14ac:dyDescent="0.3">
      <c r="A6" s="8">
        <v>5</v>
      </c>
      <c r="B6" s="9">
        <f>VLOOKUP($A6,'RES installed'!$A$2:$C$7,3,FALSE)*'[1]Profiles, RES, Summer'!B$7</f>
        <v>17.86029706945002</v>
      </c>
      <c r="C6" s="9">
        <f>VLOOKUP($A6,'RES installed'!$A$2:$C$7,3,FALSE)*'[1]Profiles, RES, Summer'!C$7</f>
        <v>16.065837013247691</v>
      </c>
      <c r="D6" s="9">
        <f>VLOOKUP($A6,'RES installed'!$A$2:$C$7,3,FALSE)*'[1]Profiles, RES, Summer'!D$7</f>
        <v>13.416298675230831</v>
      </c>
      <c r="E6" s="9">
        <f>VLOOKUP($A6,'RES installed'!$A$2:$C$7,3,FALSE)*'[1]Profiles, RES, Summer'!E$7</f>
        <v>12.681653954235248</v>
      </c>
      <c r="F6" s="9">
        <f>VLOOKUP($A6,'RES installed'!$A$2:$C$7,3,FALSE)*'[1]Profiles, RES, Summer'!F$7</f>
        <v>12.476916900843035</v>
      </c>
      <c r="G6" s="9">
        <f>VLOOKUP($A6,'RES installed'!$A$2:$C$7,3,FALSE)*'[1]Profiles, RES, Summer'!G$7</f>
        <v>13.994379767161782</v>
      </c>
      <c r="H6" s="9">
        <f>VLOOKUP($A6,'RES installed'!$A$2:$C$7,3,FALSE)*'[1]Profiles, RES, Summer'!H$7</f>
        <v>15.427539140907264</v>
      </c>
      <c r="I6" s="9">
        <f>VLOOKUP($A6,'RES installed'!$A$2:$C$7,3,FALSE)*'[1]Profiles, RES, Summer'!I$7</f>
        <v>15.957446808510639</v>
      </c>
      <c r="J6" s="9">
        <f>VLOOKUP($A6,'RES installed'!$A$2:$C$7,3,FALSE)*'[1]Profiles, RES, Summer'!J$7</f>
        <v>12.970694500200722</v>
      </c>
      <c r="K6" s="9">
        <f>VLOOKUP($A6,'RES installed'!$A$2:$C$7,3,FALSE)*'[1]Profiles, RES, Summer'!K$7</f>
        <v>10.09233239662786</v>
      </c>
      <c r="L6" s="9">
        <f>VLOOKUP($A6,'RES installed'!$A$2:$C$7,3,FALSE)*'[1]Profiles, RES, Summer'!L$7</f>
        <v>9.0806904857486952</v>
      </c>
      <c r="M6" s="9">
        <f>VLOOKUP($A6,'RES installed'!$A$2:$C$7,3,FALSE)*'[1]Profiles, RES, Summer'!M$7</f>
        <v>8.1051786431152131</v>
      </c>
      <c r="N6" s="9">
        <f>VLOOKUP($A6,'RES installed'!$A$2:$C$7,3,FALSE)*'[1]Profiles, RES, Summer'!N$7</f>
        <v>8.7796065837013249</v>
      </c>
      <c r="O6" s="9">
        <f>VLOOKUP($A6,'RES installed'!$A$2:$C$7,3,FALSE)*'[1]Profiles, RES, Summer'!O$7</f>
        <v>11.682055399437976</v>
      </c>
      <c r="P6" s="9">
        <f>VLOOKUP($A6,'RES installed'!$A$2:$C$7,3,FALSE)*'[1]Profiles, RES, Summer'!P$7</f>
        <v>14.692894419911681</v>
      </c>
      <c r="Q6" s="9">
        <f>VLOOKUP($A6,'RES installed'!$A$2:$C$7,3,FALSE)*'[1]Profiles, RES, Summer'!Q$7</f>
        <v>15.415495784825371</v>
      </c>
      <c r="R6" s="9">
        <f>VLOOKUP($A6,'RES installed'!$A$2:$C$7,3,FALSE)*'[1]Profiles, RES, Summer'!R$7</f>
        <v>16.643918105178646</v>
      </c>
      <c r="S6" s="9">
        <f>VLOOKUP($A6,'RES installed'!$A$2:$C$7,3,FALSE)*'[1]Profiles, RES, Summer'!S$7</f>
        <v>17.318346045764756</v>
      </c>
      <c r="T6" s="9">
        <f>VLOOKUP($A6,'RES installed'!$A$2:$C$7,3,FALSE)*'[1]Profiles, RES, Summer'!T$7</f>
        <v>17.751906864712968</v>
      </c>
      <c r="U6" s="9">
        <f>VLOOKUP($A6,'RES installed'!$A$2:$C$7,3,FALSE)*'[1]Profiles, RES, Summer'!U$7</f>
        <v>20.341228422320352</v>
      </c>
      <c r="V6" s="9">
        <f>VLOOKUP($A6,'RES installed'!$A$2:$C$7,3,FALSE)*'[1]Profiles, RES, Summer'!V$7</f>
        <v>22.88237655560016</v>
      </c>
      <c r="W6" s="9">
        <f>VLOOKUP($A6,'RES installed'!$A$2:$C$7,3,FALSE)*'[1]Profiles, RES, Summer'!W$7</f>
        <v>22.099558410276995</v>
      </c>
      <c r="X6" s="9">
        <f>VLOOKUP($A6,'RES installed'!$A$2:$C$7,3,FALSE)*'[1]Profiles, RES, Summer'!X$7</f>
        <v>20.9313528703332</v>
      </c>
      <c r="Y6" s="9">
        <f>VLOOKUP($A6,'RES installed'!$A$2:$C$7,3,FALSE)*'[1]Profiles, RES, Summer'!Y$7</f>
        <v>20.55800883179446</v>
      </c>
    </row>
    <row r="7" spans="1:25" x14ac:dyDescent="0.3">
      <c r="A7" s="8">
        <v>6</v>
      </c>
      <c r="B7" s="9">
        <f>VLOOKUP($A7,'RES installed'!$A$2:$C$7,3,FALSE)*'[1]Profiles, RES, Summer'!B$7</f>
        <v>13.395222802087515</v>
      </c>
      <c r="C7" s="9">
        <f>VLOOKUP($A7,'RES installed'!$A$2:$C$7,3,FALSE)*'[1]Profiles, RES, Summer'!C$7</f>
        <v>12.049377759935769</v>
      </c>
      <c r="D7" s="9">
        <f>VLOOKUP($A7,'RES installed'!$A$2:$C$7,3,FALSE)*'[1]Profiles, RES, Summer'!D$7</f>
        <v>10.062224006423122</v>
      </c>
      <c r="E7" s="9">
        <f>VLOOKUP($A7,'RES installed'!$A$2:$C$7,3,FALSE)*'[1]Profiles, RES, Summer'!E$7</f>
        <v>9.5112404656764351</v>
      </c>
      <c r="F7" s="9">
        <f>VLOOKUP($A7,'RES installed'!$A$2:$C$7,3,FALSE)*'[1]Profiles, RES, Summer'!F$7</f>
        <v>9.3576876756322758</v>
      </c>
      <c r="G7" s="9">
        <f>VLOOKUP($A7,'RES installed'!$A$2:$C$7,3,FALSE)*'[1]Profiles, RES, Summer'!G$7</f>
        <v>10.495784825371336</v>
      </c>
      <c r="H7" s="9">
        <f>VLOOKUP($A7,'RES installed'!$A$2:$C$7,3,FALSE)*'[1]Profiles, RES, Summer'!H$7</f>
        <v>11.570654355680448</v>
      </c>
      <c r="I7" s="9">
        <f>VLOOKUP($A7,'RES installed'!$A$2:$C$7,3,FALSE)*'[1]Profiles, RES, Summer'!I$7</f>
        <v>11.968085106382979</v>
      </c>
      <c r="J7" s="9">
        <f>VLOOKUP($A7,'RES installed'!$A$2:$C$7,3,FALSE)*'[1]Profiles, RES, Summer'!J$7</f>
        <v>9.7280208751505413</v>
      </c>
      <c r="K7" s="9">
        <f>VLOOKUP($A7,'RES installed'!$A$2:$C$7,3,FALSE)*'[1]Profiles, RES, Summer'!K$7</f>
        <v>7.5692492974708951</v>
      </c>
      <c r="L7" s="9">
        <f>VLOOKUP($A7,'RES installed'!$A$2:$C$7,3,FALSE)*'[1]Profiles, RES, Summer'!L$7</f>
        <v>6.8105178643115218</v>
      </c>
      <c r="M7" s="9">
        <f>VLOOKUP($A7,'RES installed'!$A$2:$C$7,3,FALSE)*'[1]Profiles, RES, Summer'!M$7</f>
        <v>6.0788839823364107</v>
      </c>
      <c r="N7" s="9">
        <f>VLOOKUP($A7,'RES installed'!$A$2:$C$7,3,FALSE)*'[1]Profiles, RES, Summer'!N$7</f>
        <v>6.5847049377759941</v>
      </c>
      <c r="O7" s="9">
        <f>VLOOKUP($A7,'RES installed'!$A$2:$C$7,3,FALSE)*'[1]Profiles, RES, Summer'!O$7</f>
        <v>8.7615415495784816</v>
      </c>
      <c r="P7" s="9">
        <f>VLOOKUP($A7,'RES installed'!$A$2:$C$7,3,FALSE)*'[1]Profiles, RES, Summer'!P$7</f>
        <v>11.019670814933761</v>
      </c>
      <c r="Q7" s="9">
        <f>VLOOKUP($A7,'RES installed'!$A$2:$C$7,3,FALSE)*'[1]Profiles, RES, Summer'!Q$7</f>
        <v>11.561621838619029</v>
      </c>
      <c r="R7" s="9">
        <f>VLOOKUP($A7,'RES installed'!$A$2:$C$7,3,FALSE)*'[1]Profiles, RES, Summer'!R$7</f>
        <v>12.482938578883983</v>
      </c>
      <c r="S7" s="9">
        <f>VLOOKUP($A7,'RES installed'!$A$2:$C$7,3,FALSE)*'[1]Profiles, RES, Summer'!S$7</f>
        <v>12.988759534323565</v>
      </c>
      <c r="T7" s="9">
        <f>VLOOKUP($A7,'RES installed'!$A$2:$C$7,3,FALSE)*'[1]Profiles, RES, Summer'!T$7</f>
        <v>13.313930148534725</v>
      </c>
      <c r="U7" s="9">
        <f>VLOOKUP($A7,'RES installed'!$A$2:$C$7,3,FALSE)*'[1]Profiles, RES, Summer'!U$7</f>
        <v>15.255921316740265</v>
      </c>
      <c r="V7" s="9">
        <f>VLOOKUP($A7,'RES installed'!$A$2:$C$7,3,FALSE)*'[1]Profiles, RES, Summer'!V$7</f>
        <v>17.16178241670012</v>
      </c>
      <c r="W7" s="9">
        <f>VLOOKUP($A7,'RES installed'!$A$2:$C$7,3,FALSE)*'[1]Profiles, RES, Summer'!W$7</f>
        <v>16.574668807707749</v>
      </c>
      <c r="X7" s="9">
        <f>VLOOKUP($A7,'RES installed'!$A$2:$C$7,3,FALSE)*'[1]Profiles, RES, Summer'!X$7</f>
        <v>15.6985146527499</v>
      </c>
      <c r="Y7" s="9">
        <f>VLOOKUP($A7,'RES installed'!$A$2:$C$7,3,FALSE)*'[1]Profiles, RES, Summer'!Y$7</f>
        <v>15.418506623845845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2.843062926459439E-2</v>
      </c>
      <c r="H8" s="6">
        <f>VLOOKUP($A8,'RES installed'!$A$2:$C$7,3,FALSE)*'[1]Profiles, RES, Summer'!H$4</f>
        <v>3.49696739954511</v>
      </c>
      <c r="I8" s="6">
        <f>VLOOKUP($A8,'RES installed'!$A$2:$C$7,3,FALSE)*'[1]Profiles, RES, Summer'!I$4</f>
        <v>16.546626231993937</v>
      </c>
      <c r="J8" s="6">
        <f>VLOOKUP($A8,'RES installed'!$A$2:$C$7,3,FALSE)*'[1]Profiles, RES, Summer'!J$4</f>
        <v>36.021607278241092</v>
      </c>
      <c r="K8" s="6">
        <f>VLOOKUP($A8,'RES installed'!$A$2:$C$7,3,FALSE)*'[1]Profiles, RES, Summer'!K$4</f>
        <v>55.610310841546621</v>
      </c>
      <c r="L8" s="6">
        <f>VLOOKUP($A8,'RES installed'!$A$2:$C$7,3,FALSE)*'[1]Profiles, RES, Summer'!L$4</f>
        <v>68.26194086429112</v>
      </c>
      <c r="M8" s="6">
        <f>VLOOKUP($A8,'RES installed'!$A$2:$C$7,3,FALSE)*'[1]Profiles, RES, Summer'!M$4</f>
        <v>73.009855951478386</v>
      </c>
      <c r="N8" s="6">
        <f>VLOOKUP($A8,'RES installed'!$A$2:$C$7,3,FALSE)*'[1]Profiles, RES, Summer'!N$4</f>
        <v>75</v>
      </c>
      <c r="O8" s="6">
        <f>VLOOKUP($A8,'RES installed'!$A$2:$C$7,3,FALSE)*'[1]Profiles, RES, Summer'!O$4</f>
        <v>73.692191053828651</v>
      </c>
      <c r="P8" s="6">
        <f>VLOOKUP($A8,'RES installed'!$A$2:$C$7,3,FALSE)*'[1]Profiles, RES, Summer'!P$4</f>
        <v>69.967778620166797</v>
      </c>
      <c r="Q8" s="6">
        <f>VLOOKUP($A8,'RES installed'!$A$2:$C$7,3,FALSE)*'[1]Profiles, RES, Summer'!Q$4</f>
        <v>61.921910538286582</v>
      </c>
      <c r="R8" s="6">
        <f>VLOOKUP($A8,'RES installed'!$A$2:$C$7,3,FALSE)*'[1]Profiles, RES, Summer'!R$4</f>
        <v>48.644806671721</v>
      </c>
      <c r="S8" s="6">
        <f>VLOOKUP($A8,'RES installed'!$A$2:$C$7,3,FALSE)*'[1]Profiles, RES, Summer'!S$4</f>
        <v>28.94238059135709</v>
      </c>
      <c r="T8" s="6">
        <f>VLOOKUP($A8,'RES installed'!$A$2:$C$7,3,FALSE)*'[1]Profiles, RES, Summer'!T$4</f>
        <v>8.8419257012888544</v>
      </c>
      <c r="U8" s="6">
        <f>VLOOKUP($A8,'RES installed'!$A$2:$C$7,3,FALSE)*'[1]Profiles, RES, Summer'!U$4</f>
        <v>0.39802880970432147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1.8953752843062926E-2</v>
      </c>
      <c r="H9" s="6">
        <f>VLOOKUP($A9,'RES installed'!$A$2:$C$7,3,FALSE)*'[1]Profiles, RES, Summer'!H$4</f>
        <v>2.3313115996967402</v>
      </c>
      <c r="I9" s="6">
        <f>VLOOKUP($A9,'RES installed'!$A$2:$C$7,3,FALSE)*'[1]Profiles, RES, Summer'!I$4</f>
        <v>11.031084154662624</v>
      </c>
      <c r="J9" s="6">
        <f>VLOOKUP($A9,'RES installed'!$A$2:$C$7,3,FALSE)*'[1]Profiles, RES, Summer'!J$4</f>
        <v>24.014404852160727</v>
      </c>
      <c r="K9" s="6">
        <f>VLOOKUP($A9,'RES installed'!$A$2:$C$7,3,FALSE)*'[1]Profiles, RES, Summer'!K$4</f>
        <v>37.073540561031081</v>
      </c>
      <c r="L9" s="6">
        <f>VLOOKUP($A9,'RES installed'!$A$2:$C$7,3,FALSE)*'[1]Profiles, RES, Summer'!L$4</f>
        <v>45.507960576194087</v>
      </c>
      <c r="M9" s="6">
        <f>VLOOKUP($A9,'RES installed'!$A$2:$C$7,3,FALSE)*'[1]Profiles, RES, Summer'!M$4</f>
        <v>48.673237300985598</v>
      </c>
      <c r="N9" s="6">
        <f>VLOOKUP($A9,'RES installed'!$A$2:$C$7,3,FALSE)*'[1]Profiles, RES, Summer'!N$4</f>
        <v>50</v>
      </c>
      <c r="O9" s="6">
        <f>VLOOKUP($A9,'RES installed'!$A$2:$C$7,3,FALSE)*'[1]Profiles, RES, Summer'!O$4</f>
        <v>49.128127369219108</v>
      </c>
      <c r="P9" s="6">
        <f>VLOOKUP($A9,'RES installed'!$A$2:$C$7,3,FALSE)*'[1]Profiles, RES, Summer'!P$4</f>
        <v>46.645185746777862</v>
      </c>
      <c r="Q9" s="6">
        <f>VLOOKUP($A9,'RES installed'!$A$2:$C$7,3,FALSE)*'[1]Profiles, RES, Summer'!Q$4</f>
        <v>41.281273692191057</v>
      </c>
      <c r="R9" s="6">
        <f>VLOOKUP($A9,'RES installed'!$A$2:$C$7,3,FALSE)*'[1]Profiles, RES, Summer'!R$4</f>
        <v>32.429871114480669</v>
      </c>
      <c r="S9" s="6">
        <f>VLOOKUP($A9,'RES installed'!$A$2:$C$7,3,FALSE)*'[1]Profiles, RES, Summer'!S$4</f>
        <v>19.294920394238062</v>
      </c>
      <c r="T9" s="6">
        <f>VLOOKUP($A9,'RES installed'!$A$2:$C$7,3,FALSE)*'[1]Profiles, RES, Summer'!T$4</f>
        <v>5.8946171341925702</v>
      </c>
      <c r="U9" s="6">
        <f>VLOOKUP($A9,'RES installed'!$A$2:$C$7,3,FALSE)*'[1]Profiles, RES, Summer'!U$4</f>
        <v>0.26535253980288098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2.2744503411675512E-2</v>
      </c>
      <c r="H10" s="6">
        <f>VLOOKUP($A10,'RES installed'!$A$2:$C$7,3,FALSE)*'[1]Profiles, RES, Summer'!H$4</f>
        <v>2.797573919636088</v>
      </c>
      <c r="I10" s="6">
        <f>VLOOKUP($A10,'RES installed'!$A$2:$C$7,3,FALSE)*'[1]Profiles, RES, Summer'!I$4</f>
        <v>13.237300985595148</v>
      </c>
      <c r="J10" s="6">
        <f>VLOOKUP($A10,'RES installed'!$A$2:$C$7,3,FALSE)*'[1]Profiles, RES, Summer'!J$4</f>
        <v>28.817285822592876</v>
      </c>
      <c r="K10" s="6">
        <f>VLOOKUP($A10,'RES installed'!$A$2:$C$7,3,FALSE)*'[1]Profiles, RES, Summer'!K$4</f>
        <v>44.488248673237301</v>
      </c>
      <c r="L10" s="6">
        <f>VLOOKUP($A10,'RES installed'!$A$2:$C$7,3,FALSE)*'[1]Profiles, RES, Summer'!L$4</f>
        <v>54.609552691432903</v>
      </c>
      <c r="M10" s="6">
        <f>VLOOKUP($A10,'RES installed'!$A$2:$C$7,3,FALSE)*'[1]Profiles, RES, Summer'!M$4</f>
        <v>58.407884761182714</v>
      </c>
      <c r="N10" s="6">
        <f>VLOOKUP($A10,'RES installed'!$A$2:$C$7,3,FALSE)*'[1]Profiles, RES, Summer'!N$4</f>
        <v>60</v>
      </c>
      <c r="O10" s="6">
        <f>VLOOKUP($A10,'RES installed'!$A$2:$C$7,3,FALSE)*'[1]Profiles, RES, Summer'!O$4</f>
        <v>58.953752843062922</v>
      </c>
      <c r="P10" s="6">
        <f>VLOOKUP($A10,'RES installed'!$A$2:$C$7,3,FALSE)*'[1]Profiles, RES, Summer'!P$4</f>
        <v>55.974222896133433</v>
      </c>
      <c r="Q10" s="6">
        <f>VLOOKUP($A10,'RES installed'!$A$2:$C$7,3,FALSE)*'[1]Profiles, RES, Summer'!Q$4</f>
        <v>49.537528430629266</v>
      </c>
      <c r="R10" s="6">
        <f>VLOOKUP($A10,'RES installed'!$A$2:$C$7,3,FALSE)*'[1]Profiles, RES, Summer'!R$4</f>
        <v>38.915845337376801</v>
      </c>
      <c r="S10" s="6">
        <f>VLOOKUP($A10,'RES installed'!$A$2:$C$7,3,FALSE)*'[1]Profiles, RES, Summer'!S$4</f>
        <v>23.153904473085671</v>
      </c>
      <c r="T10" s="6">
        <f>VLOOKUP($A10,'RES installed'!$A$2:$C$7,3,FALSE)*'[1]Profiles, RES, Summer'!T$4</f>
        <v>7.0735405610310842</v>
      </c>
      <c r="U10" s="6">
        <f>VLOOKUP($A10,'RES installed'!$A$2:$C$7,3,FALSE)*'[1]Profiles, RES, Summer'!U$4</f>
        <v>0.3184230477634572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8F412E-03FF-4CAB-85E1-C58A8E86AF6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64C76-9EDF-4252-BA3B-EDA21B947A80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EE3FA-BE46-4CB7-AE43-AF4A1A10FF9F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E588C4-FEB5-4FAF-AB77-B6253D8060E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F6E660-9D0F-4249-B1FF-B682310B935B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111CC-BA89-4319-A364-266BB9C3D1D8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F171DE-90DC-45C2-9AB6-C79856233331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F2334F-2329-484F-A3BB-F1C62E3D76AD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34EBA2-B0AD-4F22-9BB6-F0186F579EA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630D89-783A-49F7-9E51-4F1FD5546230}">
  <dimension ref="A1:Y10"/>
  <sheetViews>
    <sheetView topLeftCell="G1" workbookViewId="0">
      <selection activeCell="M10" sqref="M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0</v>
      </c>
      <c r="L2">
        <v>0</v>
      </c>
      <c r="M2">
        <v>0</v>
      </c>
      <c r="N2">
        <v>0</v>
      </c>
      <c r="O2">
        <v>0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</row>
    <row r="4" spans="1:25" x14ac:dyDescent="0.3">
      <c r="A4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8">
        <v>5</v>
      </c>
      <c r="B6" s="8">
        <v>1</v>
      </c>
      <c r="C6" s="8">
        <v>1</v>
      </c>
      <c r="D6" s="8">
        <v>1</v>
      </c>
      <c r="E6" s="8">
        <v>1</v>
      </c>
      <c r="F6" s="8">
        <v>1</v>
      </c>
      <c r="G6" s="8">
        <v>1</v>
      </c>
      <c r="H6" s="8">
        <v>1</v>
      </c>
      <c r="I6" s="8">
        <v>1</v>
      </c>
      <c r="J6" s="8">
        <v>1</v>
      </c>
      <c r="K6" s="8">
        <v>1</v>
      </c>
      <c r="L6" s="8">
        <v>1</v>
      </c>
      <c r="M6" s="8">
        <v>1</v>
      </c>
      <c r="N6" s="8">
        <v>1</v>
      </c>
      <c r="O6" s="8">
        <v>1</v>
      </c>
      <c r="P6" s="8">
        <v>1</v>
      </c>
      <c r="Q6" s="8">
        <v>1</v>
      </c>
      <c r="R6" s="8">
        <v>1</v>
      </c>
      <c r="S6" s="8">
        <v>1</v>
      </c>
      <c r="T6" s="8">
        <v>1</v>
      </c>
      <c r="U6" s="8">
        <v>1</v>
      </c>
      <c r="V6" s="8">
        <v>1</v>
      </c>
      <c r="W6" s="8">
        <v>1</v>
      </c>
      <c r="X6" s="8">
        <v>1</v>
      </c>
      <c r="Y6" s="8">
        <v>1</v>
      </c>
    </row>
    <row r="7" spans="1:25" x14ac:dyDescent="0.3">
      <c r="A7" s="8">
        <v>6</v>
      </c>
      <c r="B7" s="8">
        <v>1</v>
      </c>
      <c r="C7" s="8">
        <v>1</v>
      </c>
      <c r="D7" s="8">
        <v>1</v>
      </c>
      <c r="E7" s="8">
        <v>1</v>
      </c>
      <c r="F7" s="8">
        <v>1</v>
      </c>
      <c r="G7" s="8">
        <v>1</v>
      </c>
      <c r="H7" s="8">
        <v>1</v>
      </c>
      <c r="I7" s="8">
        <v>1</v>
      </c>
      <c r="J7" s="8">
        <v>1</v>
      </c>
      <c r="K7" s="8">
        <v>1</v>
      </c>
      <c r="L7" s="8">
        <v>1</v>
      </c>
      <c r="M7" s="8">
        <v>1</v>
      </c>
      <c r="N7" s="8">
        <v>1</v>
      </c>
      <c r="O7" s="8">
        <v>1</v>
      </c>
      <c r="P7" s="8">
        <v>1</v>
      </c>
      <c r="Q7" s="8">
        <v>1</v>
      </c>
      <c r="R7" s="8">
        <v>1</v>
      </c>
      <c r="S7" s="8">
        <v>1</v>
      </c>
      <c r="T7" s="8">
        <v>1</v>
      </c>
      <c r="U7" s="8">
        <v>1</v>
      </c>
      <c r="V7" s="8">
        <v>1</v>
      </c>
      <c r="W7" s="8">
        <v>1</v>
      </c>
      <c r="X7" s="8">
        <v>1</v>
      </c>
      <c r="Y7" s="8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  <row r="9" spans="1:25" x14ac:dyDescent="0.3">
      <c r="A9" s="5">
        <v>8</v>
      </c>
      <c r="B9" s="5">
        <v>1</v>
      </c>
      <c r="C9" s="5">
        <v>1</v>
      </c>
      <c r="D9" s="5">
        <v>1</v>
      </c>
      <c r="E9" s="5">
        <v>1</v>
      </c>
      <c r="F9" s="5">
        <v>1</v>
      </c>
      <c r="G9" s="5">
        <v>1</v>
      </c>
      <c r="H9" s="5">
        <v>1</v>
      </c>
      <c r="I9" s="5">
        <v>1</v>
      </c>
      <c r="J9" s="5">
        <v>1</v>
      </c>
      <c r="K9" s="5">
        <v>1</v>
      </c>
      <c r="L9" s="5">
        <v>1</v>
      </c>
      <c r="M9" s="5">
        <v>1</v>
      </c>
      <c r="N9" s="5">
        <v>1</v>
      </c>
      <c r="O9" s="5">
        <v>1</v>
      </c>
      <c r="P9" s="5">
        <v>1</v>
      </c>
      <c r="Q9" s="5">
        <v>1</v>
      </c>
      <c r="R9" s="5">
        <v>1</v>
      </c>
      <c r="S9" s="5">
        <v>1</v>
      </c>
      <c r="T9" s="5">
        <v>1</v>
      </c>
      <c r="U9" s="5">
        <v>1</v>
      </c>
      <c r="V9" s="5">
        <v>1</v>
      </c>
      <c r="W9" s="5">
        <v>1</v>
      </c>
      <c r="X9" s="5">
        <v>1</v>
      </c>
      <c r="Y9" s="5">
        <v>1</v>
      </c>
    </row>
    <row r="10" spans="1:25" x14ac:dyDescent="0.3">
      <c r="A10" s="5">
        <v>9</v>
      </c>
      <c r="B10" s="5">
        <v>1</v>
      </c>
      <c r="C10" s="5">
        <v>1</v>
      </c>
      <c r="D10" s="5">
        <v>1</v>
      </c>
      <c r="E10" s="5">
        <v>1</v>
      </c>
      <c r="F10" s="5">
        <v>1</v>
      </c>
      <c r="G10" s="5">
        <v>1</v>
      </c>
      <c r="H10" s="5">
        <v>1</v>
      </c>
      <c r="I10" s="5">
        <v>1</v>
      </c>
      <c r="J10" s="5">
        <v>1</v>
      </c>
      <c r="K10" s="5">
        <v>1</v>
      </c>
      <c r="L10" s="5">
        <v>1</v>
      </c>
      <c r="M10" s="5">
        <v>1</v>
      </c>
      <c r="N10" s="5">
        <v>1</v>
      </c>
      <c r="O10" s="5">
        <v>1</v>
      </c>
      <c r="P10" s="5">
        <v>1</v>
      </c>
      <c r="Q10" s="5">
        <v>1</v>
      </c>
      <c r="R10" s="5">
        <v>1</v>
      </c>
      <c r="S10" s="5">
        <v>1</v>
      </c>
      <c r="T10" s="5">
        <v>1</v>
      </c>
      <c r="U10" s="5">
        <v>1</v>
      </c>
      <c r="V10" s="5">
        <v>1</v>
      </c>
      <c r="W10" s="5">
        <v>1</v>
      </c>
      <c r="X10" s="5">
        <v>1</v>
      </c>
      <c r="Y10" s="5">
        <v>1</v>
      </c>
    </row>
  </sheetData>
  <pageMargins left="0.7" right="0.7" top="0.75" bottom="0.75" header="0.3" footer="0.3"/>
  <pageSetup paperSize="9" orientation="portrait" r:id="rId1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E86DA5-92A0-4EFF-BFF4-80CC021F38B7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38.09995466906016</v>
      </c>
      <c r="C2" s="2">
        <f>('[1]Pc, Summer, S1'!C2*Main!$B$5)+(_xlfn.IFNA(VLOOKUP($A2,'FL Ratio'!$A$3:$B$10,2,FALSE),0)*'FL Characterization'!C$2)</f>
        <v>34.615513817474088</v>
      </c>
      <c r="D2" s="2">
        <f>('[1]Pc, Summer, S1'!D2*Main!$B$5)+(_xlfn.IFNA(VLOOKUP($A2,'FL Ratio'!$A$3:$B$10,2,FALSE),0)*'FL Characterization'!D$2)</f>
        <v>34.010870756661696</v>
      </c>
      <c r="E2" s="2">
        <f>('[1]Pc, Summer, S1'!E2*Main!$B$5)+(_xlfn.IFNA(VLOOKUP($A2,'FL Ratio'!$A$3:$B$10,2,FALSE),0)*'FL Characterization'!E$2)</f>
        <v>33.923987808969699</v>
      </c>
      <c r="F2" s="2">
        <f>('[1]Pc, Summer, S1'!F2*Main!$B$5)+(_xlfn.IFNA(VLOOKUP($A2,'FL Ratio'!$A$3:$B$10,2,FALSE),0)*'FL Characterization'!F$2)</f>
        <v>33.926662379912791</v>
      </c>
      <c r="G2" s="2">
        <f>('[1]Pc, Summer, S1'!G2*Main!$B$5)+(_xlfn.IFNA(VLOOKUP($A2,'FL Ratio'!$A$3:$B$10,2,FALSE),0)*'FL Characterization'!G$2)</f>
        <v>33.62662489098075</v>
      </c>
      <c r="H2" s="2">
        <f>('[1]Pc, Summer, S1'!H2*Main!$B$5)+(_xlfn.IFNA(VLOOKUP($A2,'FL Ratio'!$A$3:$B$10,2,FALSE),0)*'FL Characterization'!H$2)</f>
        <v>36.302943313608537</v>
      </c>
      <c r="I2" s="2">
        <f>('[1]Pc, Summer, S1'!I2*Main!$B$5)+(_xlfn.IFNA(VLOOKUP($A2,'FL Ratio'!$A$3:$B$10,2,FALSE),0)*'FL Characterization'!I$2)</f>
        <v>43.100462809925148</v>
      </c>
      <c r="J2" s="2">
        <f>('[1]Pc, Summer, S1'!J2*Main!$B$5)+(_xlfn.IFNA(VLOOKUP($A2,'FL Ratio'!$A$3:$B$10,2,FALSE),0)*'FL Characterization'!J$2)</f>
        <v>49.122272124698263</v>
      </c>
      <c r="K2" s="2">
        <f>('[1]Pc, Summer, S1'!K2*Main!$B$5)+(_xlfn.IFNA(VLOOKUP($A2,'FL Ratio'!$A$3:$B$10,2,FALSE),0)*'FL Characterization'!K$2)</f>
        <v>50.631703722163621</v>
      </c>
      <c r="L2" s="2">
        <f>('[1]Pc, Summer, S1'!L2*Main!$B$5)+(_xlfn.IFNA(VLOOKUP($A2,'FL Ratio'!$A$3:$B$10,2,FALSE),0)*'FL Characterization'!L$2)</f>
        <v>50.119324388043118</v>
      </c>
      <c r="M2" s="2">
        <f>('[1]Pc, Summer, S1'!M2*Main!$B$5)+(_xlfn.IFNA(VLOOKUP($A2,'FL Ratio'!$A$3:$B$10,2,FALSE),0)*'FL Characterization'!M$2)</f>
        <v>51.536629105684</v>
      </c>
      <c r="N2" s="2">
        <f>('[1]Pc, Summer, S1'!N2*Main!$B$5)+(_xlfn.IFNA(VLOOKUP($A2,'FL Ratio'!$A$3:$B$10,2,FALSE),0)*'FL Characterization'!N$2)</f>
        <v>52.243602991649929</v>
      </c>
      <c r="O2" s="2">
        <f>('[1]Pc, Summer, S1'!O2*Main!$B$5)+(_xlfn.IFNA(VLOOKUP($A2,'FL Ratio'!$A$3:$B$10,2,FALSE),0)*'FL Characterization'!O$2)</f>
        <v>51.277194211167526</v>
      </c>
      <c r="P2" s="2">
        <f>('[1]Pc, Summer, S1'!P2*Main!$B$5)+(_xlfn.IFNA(VLOOKUP($A2,'FL Ratio'!$A$3:$B$10,2,FALSE),0)*'FL Characterization'!P$2)</f>
        <v>49.273527144779756</v>
      </c>
      <c r="Q2" s="2">
        <f>('[1]Pc, Summer, S1'!Q2*Main!$B$5)+(_xlfn.IFNA(VLOOKUP($A2,'FL Ratio'!$A$3:$B$10,2,FALSE),0)*'FL Characterization'!Q$2)</f>
        <v>47.290352684474804</v>
      </c>
      <c r="R2" s="2">
        <f>('[1]Pc, Summer, S1'!R2*Main!$B$5)+(_xlfn.IFNA(VLOOKUP($A2,'FL Ratio'!$A$3:$B$10,2,FALSE),0)*'FL Characterization'!R$2)</f>
        <v>48.115414352331314</v>
      </c>
      <c r="S2" s="2">
        <f>('[1]Pc, Summer, S1'!S2*Main!$B$5)+(_xlfn.IFNA(VLOOKUP($A2,'FL Ratio'!$A$3:$B$10,2,FALSE),0)*'FL Characterization'!S$2)</f>
        <v>48.590782626797115</v>
      </c>
      <c r="T2" s="2">
        <f>('[1]Pc, Summer, S1'!T2*Main!$B$5)+(_xlfn.IFNA(VLOOKUP($A2,'FL Ratio'!$A$3:$B$10,2,FALSE),0)*'FL Characterization'!T$2)</f>
        <v>48.797032448499344</v>
      </c>
      <c r="U2" s="2">
        <f>('[1]Pc, Summer, S1'!U2*Main!$B$5)+(_xlfn.IFNA(VLOOKUP($A2,'FL Ratio'!$A$3:$B$10,2,FALSE),0)*'FL Characterization'!U$2)</f>
        <v>47.989217224603095</v>
      </c>
      <c r="V2" s="2">
        <f>('[1]Pc, Summer, S1'!V2*Main!$B$5)+(_xlfn.IFNA(VLOOKUP($A2,'FL Ratio'!$A$3:$B$10,2,FALSE),0)*'FL Characterization'!V$2)</f>
        <v>48.133403682772411</v>
      </c>
      <c r="W2" s="2">
        <f>('[1]Pc, Summer, S1'!W2*Main!$B$5)+(_xlfn.IFNA(VLOOKUP($A2,'FL Ratio'!$A$3:$B$10,2,FALSE),0)*'FL Characterization'!W$2)</f>
        <v>50.126991546403254</v>
      </c>
      <c r="X2" s="2">
        <f>('[1]Pc, Summer, S1'!X2*Main!$B$5)+(_xlfn.IFNA(VLOOKUP($A2,'FL Ratio'!$A$3:$B$10,2,FALSE),0)*'FL Characterization'!X$2)</f>
        <v>46.724423352560279</v>
      </c>
      <c r="Y2" s="2">
        <f>('[1]Pc, Summer, S1'!Y2*Main!$B$5)+(_xlfn.IFNA(VLOOKUP($A2,'FL Ratio'!$A$3:$B$10,2,FALSE),0)*'FL Characterization'!Y$2)</f>
        <v>42.832018356536096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41.004484606611122</v>
      </c>
      <c r="C3" s="2">
        <f>('[1]Pc, Summer, S1'!C3*Main!$B$5)+(_xlfn.IFNA(VLOOKUP($A3,'FL Ratio'!$A$3:$B$10,2,FALSE),0)*'FL Characterization'!C$2)</f>
        <v>37.627343178514558</v>
      </c>
      <c r="D3" s="2">
        <f>('[1]Pc, Summer, S1'!D3*Main!$B$5)+(_xlfn.IFNA(VLOOKUP($A3,'FL Ratio'!$A$3:$B$10,2,FALSE),0)*'FL Characterization'!D$2)</f>
        <v>35.649215827071856</v>
      </c>
      <c r="E3" s="2">
        <f>('[1]Pc, Summer, S1'!E3*Main!$B$5)+(_xlfn.IFNA(VLOOKUP($A3,'FL Ratio'!$A$3:$B$10,2,FALSE),0)*'FL Characterization'!E$2)</f>
        <v>34.343771586565595</v>
      </c>
      <c r="F3" s="2">
        <f>('[1]Pc, Summer, S1'!F3*Main!$B$5)+(_xlfn.IFNA(VLOOKUP($A3,'FL Ratio'!$A$3:$B$10,2,FALSE),0)*'FL Characterization'!F$2)</f>
        <v>33.967600276120486</v>
      </c>
      <c r="G3" s="2">
        <f>('[1]Pc, Summer, S1'!G3*Main!$B$5)+(_xlfn.IFNA(VLOOKUP($A3,'FL Ratio'!$A$3:$B$10,2,FALSE),0)*'FL Characterization'!G$2)</f>
        <v>36.039703635720002</v>
      </c>
      <c r="H3" s="2">
        <f>('[1]Pc, Summer, S1'!H3*Main!$B$5)+(_xlfn.IFNA(VLOOKUP($A3,'FL Ratio'!$A$3:$B$10,2,FALSE),0)*'FL Characterization'!H$2)</f>
        <v>45.113180735492321</v>
      </c>
      <c r="I3" s="2">
        <f>('[1]Pc, Summer, S1'!I3*Main!$B$5)+(_xlfn.IFNA(VLOOKUP($A3,'FL Ratio'!$A$3:$B$10,2,FALSE),0)*'FL Characterization'!I$2)</f>
        <v>53.643893143878955</v>
      </c>
      <c r="J3" s="2">
        <f>('[1]Pc, Summer, S1'!J3*Main!$B$5)+(_xlfn.IFNA(VLOOKUP($A3,'FL Ratio'!$A$3:$B$10,2,FALSE),0)*'FL Characterization'!J$2)</f>
        <v>55.936913042010509</v>
      </c>
      <c r="K3" s="2">
        <f>('[1]Pc, Summer, S1'!K3*Main!$B$5)+(_xlfn.IFNA(VLOOKUP($A3,'FL Ratio'!$A$3:$B$10,2,FALSE),0)*'FL Characterization'!K$2)</f>
        <v>54.89564470456444</v>
      </c>
      <c r="L3" s="2">
        <f>('[1]Pc, Summer, S1'!L3*Main!$B$5)+(_xlfn.IFNA(VLOOKUP($A3,'FL Ratio'!$A$3:$B$10,2,FALSE),0)*'FL Characterization'!L$2)</f>
        <v>54.707743061314837</v>
      </c>
      <c r="M3" s="2">
        <f>('[1]Pc, Summer, S1'!M3*Main!$B$5)+(_xlfn.IFNA(VLOOKUP($A3,'FL Ratio'!$A$3:$B$10,2,FALSE),0)*'FL Characterization'!M$2)</f>
        <v>58.338493614643937</v>
      </c>
      <c r="N3" s="2">
        <f>('[1]Pc, Summer, S1'!N3*Main!$B$5)+(_xlfn.IFNA(VLOOKUP($A3,'FL Ratio'!$A$3:$B$10,2,FALSE),0)*'FL Characterization'!N$2)</f>
        <v>58.510551436823917</v>
      </c>
      <c r="O3" s="2">
        <f>('[1]Pc, Summer, S1'!O3*Main!$B$5)+(_xlfn.IFNA(VLOOKUP($A3,'FL Ratio'!$A$3:$B$10,2,FALSE),0)*'FL Characterization'!O$2)</f>
        <v>58.899853983978609</v>
      </c>
      <c r="P3" s="2">
        <f>('[1]Pc, Summer, S1'!P3*Main!$B$5)+(_xlfn.IFNA(VLOOKUP($A3,'FL Ratio'!$A$3:$B$10,2,FALSE),0)*'FL Characterization'!P$2)</f>
        <v>56.044197881816416</v>
      </c>
      <c r="Q3" s="2">
        <f>('[1]Pc, Summer, S1'!Q3*Main!$B$5)+(_xlfn.IFNA(VLOOKUP($A3,'FL Ratio'!$A$3:$B$10,2,FALSE),0)*'FL Characterization'!Q$2)</f>
        <v>53.09062217158877</v>
      </c>
      <c r="R3" s="2">
        <f>('[1]Pc, Summer, S1'!R3*Main!$B$5)+(_xlfn.IFNA(VLOOKUP($A3,'FL Ratio'!$A$3:$B$10,2,FALSE),0)*'FL Characterization'!R$2)</f>
        <v>49.12560995899284</v>
      </c>
      <c r="S3" s="2">
        <f>('[1]Pc, Summer, S1'!S3*Main!$B$5)+(_xlfn.IFNA(VLOOKUP($A3,'FL Ratio'!$A$3:$B$10,2,FALSE),0)*'FL Characterization'!S$2)</f>
        <v>49.645259341132366</v>
      </c>
      <c r="T3" s="2">
        <f>('[1]Pc, Summer, S1'!T3*Main!$B$5)+(_xlfn.IFNA(VLOOKUP($A3,'FL Ratio'!$A$3:$B$10,2,FALSE),0)*'FL Characterization'!T$2)</f>
        <v>49.223514915048113</v>
      </c>
      <c r="U3" s="2">
        <f>('[1]Pc, Summer, S1'!U3*Main!$B$5)+(_xlfn.IFNA(VLOOKUP($A3,'FL Ratio'!$A$3:$B$10,2,FALSE),0)*'FL Characterization'!U$2)</f>
        <v>49.04566390020215</v>
      </c>
      <c r="V3" s="2">
        <f>('[1]Pc, Summer, S1'!V3*Main!$B$5)+(_xlfn.IFNA(VLOOKUP($A3,'FL Ratio'!$A$3:$B$10,2,FALSE),0)*'FL Characterization'!V$2)</f>
        <v>49.264067263710061</v>
      </c>
      <c r="W3" s="2">
        <f>('[1]Pc, Summer, S1'!W3*Main!$B$5)+(_xlfn.IFNA(VLOOKUP($A3,'FL Ratio'!$A$3:$B$10,2,FALSE),0)*'FL Characterization'!W$2)</f>
        <v>49.019787639627381</v>
      </c>
      <c r="X3" s="2">
        <f>('[1]Pc, Summer, S1'!X3*Main!$B$5)+(_xlfn.IFNA(VLOOKUP($A3,'FL Ratio'!$A$3:$B$10,2,FALSE),0)*'FL Characterization'!X$2)</f>
        <v>48.681130272127923</v>
      </c>
      <c r="Y3" s="2">
        <f>('[1]Pc, Summer, S1'!Y3*Main!$B$5)+(_xlfn.IFNA(VLOOKUP($A3,'FL Ratio'!$A$3:$B$10,2,FALSE),0)*'FL Characterization'!Y$2)</f>
        <v>46.035722336847797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54.461347441435279</v>
      </c>
      <c r="C4" s="2">
        <f>('[1]Pc, Summer, S1'!C4*Main!$B$5)+(_xlfn.IFNA(VLOOKUP($A4,'FL Ratio'!$A$3:$B$10,2,FALSE),0)*'FL Characterization'!C$2)</f>
        <v>48.305720759468599</v>
      </c>
      <c r="D4" s="2">
        <f>('[1]Pc, Summer, S1'!D4*Main!$B$5)+(_xlfn.IFNA(VLOOKUP($A4,'FL Ratio'!$A$3:$B$10,2,FALSE),0)*'FL Characterization'!D$2)</f>
        <v>45.555199317233885</v>
      </c>
      <c r="E4" s="2">
        <f>('[1]Pc, Summer, S1'!E4*Main!$B$5)+(_xlfn.IFNA(VLOOKUP($A4,'FL Ratio'!$A$3:$B$10,2,FALSE),0)*'FL Characterization'!E$2)</f>
        <v>44.065506514003857</v>
      </c>
      <c r="F4" s="2">
        <f>('[1]Pc, Summer, S1'!F4*Main!$B$5)+(_xlfn.IFNA(VLOOKUP($A4,'FL Ratio'!$A$3:$B$10,2,FALSE),0)*'FL Characterization'!F$2)</f>
        <v>46.212294267110281</v>
      </c>
      <c r="G4" s="2">
        <f>('[1]Pc, Summer, S1'!G4*Main!$B$5)+(_xlfn.IFNA(VLOOKUP($A4,'FL Ratio'!$A$3:$B$10,2,FALSE),0)*'FL Characterization'!G$2)</f>
        <v>42.212874747580607</v>
      </c>
      <c r="H4" s="2">
        <f>('[1]Pc, Summer, S1'!H4*Main!$B$5)+(_xlfn.IFNA(VLOOKUP($A4,'FL Ratio'!$A$3:$B$10,2,FALSE),0)*'FL Characterization'!H$2)</f>
        <v>49.580522915207581</v>
      </c>
      <c r="I4" s="2">
        <f>('[1]Pc, Summer, S1'!I4*Main!$B$5)+(_xlfn.IFNA(VLOOKUP($A4,'FL Ratio'!$A$3:$B$10,2,FALSE),0)*'FL Characterization'!I$2)</f>
        <v>55.800041264378137</v>
      </c>
      <c r="J4" s="2">
        <f>('[1]Pc, Summer, S1'!J4*Main!$B$5)+(_xlfn.IFNA(VLOOKUP($A4,'FL Ratio'!$A$3:$B$10,2,FALSE),0)*'FL Characterization'!J$2)</f>
        <v>62.78652669959601</v>
      </c>
      <c r="K4" s="2">
        <f>('[1]Pc, Summer, S1'!K4*Main!$B$5)+(_xlfn.IFNA(VLOOKUP($A4,'FL Ratio'!$A$3:$B$10,2,FALSE),0)*'FL Characterization'!K$2)</f>
        <v>67.490629643023453</v>
      </c>
      <c r="L4" s="2">
        <f>('[1]Pc, Summer, S1'!L4*Main!$B$5)+(_xlfn.IFNA(VLOOKUP($A4,'FL Ratio'!$A$3:$B$10,2,FALSE),0)*'FL Characterization'!L$2)</f>
        <v>69.475846458773347</v>
      </c>
      <c r="M4" s="2">
        <f>('[1]Pc, Summer, S1'!M4*Main!$B$5)+(_xlfn.IFNA(VLOOKUP($A4,'FL Ratio'!$A$3:$B$10,2,FALSE),0)*'FL Characterization'!M$2)</f>
        <v>70.629662019784732</v>
      </c>
      <c r="N4" s="2">
        <f>('[1]Pc, Summer, S1'!N4*Main!$B$5)+(_xlfn.IFNA(VLOOKUP($A4,'FL Ratio'!$A$3:$B$10,2,FALSE),0)*'FL Characterization'!N$2)</f>
        <v>72.182849713314155</v>
      </c>
      <c r="O4" s="2">
        <f>('[1]Pc, Summer, S1'!O4*Main!$B$5)+(_xlfn.IFNA(VLOOKUP($A4,'FL Ratio'!$A$3:$B$10,2,FALSE),0)*'FL Characterization'!O$2)</f>
        <v>73.159571463935592</v>
      </c>
      <c r="P4" s="2">
        <f>('[1]Pc, Summer, S1'!P4*Main!$B$5)+(_xlfn.IFNA(VLOOKUP($A4,'FL Ratio'!$A$3:$B$10,2,FALSE),0)*'FL Characterization'!P$2)</f>
        <v>73.468932320652513</v>
      </c>
      <c r="Q4" s="2">
        <f>('[1]Pc, Summer, S1'!Q4*Main!$B$5)+(_xlfn.IFNA(VLOOKUP($A4,'FL Ratio'!$A$3:$B$10,2,FALSE),0)*'FL Characterization'!Q$2)</f>
        <v>70.718394695093721</v>
      </c>
      <c r="R4" s="2">
        <f>('[1]Pc, Summer, S1'!R4*Main!$B$5)+(_xlfn.IFNA(VLOOKUP($A4,'FL Ratio'!$A$3:$B$10,2,FALSE),0)*'FL Characterization'!R$2)</f>
        <v>70.361144430070624</v>
      </c>
      <c r="S4" s="2">
        <f>('[1]Pc, Summer, S1'!S4*Main!$B$5)+(_xlfn.IFNA(VLOOKUP($A4,'FL Ratio'!$A$3:$B$10,2,FALSE),0)*'FL Characterization'!S$2)</f>
        <v>68.157138675860892</v>
      </c>
      <c r="T4" s="2">
        <f>('[1]Pc, Summer, S1'!T4*Main!$B$5)+(_xlfn.IFNA(VLOOKUP($A4,'FL Ratio'!$A$3:$B$10,2,FALSE),0)*'FL Characterization'!T$2)</f>
        <v>68.088636698971271</v>
      </c>
      <c r="U4" s="2">
        <f>('[1]Pc, Summer, S1'!U4*Main!$B$5)+(_xlfn.IFNA(VLOOKUP($A4,'FL Ratio'!$A$3:$B$10,2,FALSE),0)*'FL Characterization'!U$2)</f>
        <v>68.465666356886459</v>
      </c>
      <c r="V4" s="2">
        <f>('[1]Pc, Summer, S1'!V4*Main!$B$5)+(_xlfn.IFNA(VLOOKUP($A4,'FL Ratio'!$A$3:$B$10,2,FALSE),0)*'FL Characterization'!V$2)</f>
        <v>68.124729763456813</v>
      </c>
      <c r="W4" s="2">
        <f>('[1]Pc, Summer, S1'!W4*Main!$B$5)+(_xlfn.IFNA(VLOOKUP($A4,'FL Ratio'!$A$3:$B$10,2,FALSE),0)*'FL Characterization'!W$2)</f>
        <v>70.299660402105758</v>
      </c>
      <c r="X4" s="2">
        <f>('[1]Pc, Summer, S1'!X4*Main!$B$5)+(_xlfn.IFNA(VLOOKUP($A4,'FL Ratio'!$A$3:$B$10,2,FALSE),0)*'FL Characterization'!X$2)</f>
        <v>70.101746473949575</v>
      </c>
      <c r="Y4" s="2">
        <f>('[1]Pc, Summer, S1'!Y4*Main!$B$5)+(_xlfn.IFNA(VLOOKUP($A4,'FL Ratio'!$A$3:$B$10,2,FALSE),0)*'FL Characterization'!Y$2)</f>
        <v>63.214694027365773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903274-B199-4149-B2FD-E279CA9FB158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38.09995466906016</v>
      </c>
      <c r="C2" s="2">
        <f>('[1]Pc, Summer, S1'!C2*Main!$B$5)+(_xlfn.IFNA(VLOOKUP($A2,'FL Ratio'!$A$3:$B$10,2,FALSE),0)*'FL Characterization'!C$2)</f>
        <v>34.615513817474088</v>
      </c>
      <c r="D2" s="2">
        <f>('[1]Pc, Summer, S1'!D2*Main!$B$5)+(_xlfn.IFNA(VLOOKUP($A2,'FL Ratio'!$A$3:$B$10,2,FALSE),0)*'FL Characterization'!D$2)</f>
        <v>34.010870756661696</v>
      </c>
      <c r="E2" s="2">
        <f>('[1]Pc, Summer, S1'!E2*Main!$B$5)+(_xlfn.IFNA(VLOOKUP($A2,'FL Ratio'!$A$3:$B$10,2,FALSE),0)*'FL Characterization'!E$2)</f>
        <v>33.923987808969699</v>
      </c>
      <c r="F2" s="2">
        <f>('[1]Pc, Summer, S1'!F2*Main!$B$5)+(_xlfn.IFNA(VLOOKUP($A2,'FL Ratio'!$A$3:$B$10,2,FALSE),0)*'FL Characterization'!F$2)</f>
        <v>33.926662379912791</v>
      </c>
      <c r="G2" s="2">
        <f>('[1]Pc, Summer, S1'!G2*Main!$B$5)+(_xlfn.IFNA(VLOOKUP($A2,'FL Ratio'!$A$3:$B$10,2,FALSE),0)*'FL Characterization'!G$2)</f>
        <v>33.62662489098075</v>
      </c>
      <c r="H2" s="2">
        <f>('[1]Pc, Summer, S1'!H2*Main!$B$5)+(_xlfn.IFNA(VLOOKUP($A2,'FL Ratio'!$A$3:$B$10,2,FALSE),0)*'FL Characterization'!H$2)</f>
        <v>36.302943313608537</v>
      </c>
      <c r="I2" s="2">
        <f>('[1]Pc, Summer, S1'!I2*Main!$B$5)+(_xlfn.IFNA(VLOOKUP($A2,'FL Ratio'!$A$3:$B$10,2,FALSE),0)*'FL Characterization'!I$2)</f>
        <v>43.100462809925148</v>
      </c>
      <c r="J2" s="2">
        <f>('[1]Pc, Summer, S1'!J2*Main!$B$5)+(_xlfn.IFNA(VLOOKUP($A2,'FL Ratio'!$A$3:$B$10,2,FALSE),0)*'FL Characterization'!J$2)</f>
        <v>49.122272124698263</v>
      </c>
      <c r="K2" s="2">
        <f>('[1]Pc, Summer, S1'!K2*Main!$B$5)+(_xlfn.IFNA(VLOOKUP($A2,'FL Ratio'!$A$3:$B$10,2,FALSE),0)*'FL Characterization'!K$2)</f>
        <v>50.631703722163621</v>
      </c>
      <c r="L2" s="2">
        <f>('[1]Pc, Summer, S1'!L2*Main!$B$5)+(_xlfn.IFNA(VLOOKUP($A2,'FL Ratio'!$A$3:$B$10,2,FALSE),0)*'FL Characterization'!L$2)</f>
        <v>50.119324388043118</v>
      </c>
      <c r="M2" s="2">
        <f>('[1]Pc, Summer, S1'!M2*Main!$B$5)+(_xlfn.IFNA(VLOOKUP($A2,'FL Ratio'!$A$3:$B$10,2,FALSE),0)*'FL Characterization'!M$2)</f>
        <v>51.536629105684</v>
      </c>
      <c r="N2" s="2">
        <f>('[1]Pc, Summer, S1'!N2*Main!$B$5)+(_xlfn.IFNA(VLOOKUP($A2,'FL Ratio'!$A$3:$B$10,2,FALSE),0)*'FL Characterization'!N$2)</f>
        <v>52.243602991649929</v>
      </c>
      <c r="O2" s="2">
        <f>('[1]Pc, Summer, S1'!O2*Main!$B$5)+(_xlfn.IFNA(VLOOKUP($A2,'FL Ratio'!$A$3:$B$10,2,FALSE),0)*'FL Characterization'!O$2)</f>
        <v>51.277194211167526</v>
      </c>
      <c r="P2" s="2">
        <f>('[1]Pc, Summer, S1'!P2*Main!$B$5)+(_xlfn.IFNA(VLOOKUP($A2,'FL Ratio'!$A$3:$B$10,2,FALSE),0)*'FL Characterization'!P$2)</f>
        <v>49.273527144779756</v>
      </c>
      <c r="Q2" s="2">
        <f>('[1]Pc, Summer, S1'!Q2*Main!$B$5)+(_xlfn.IFNA(VLOOKUP($A2,'FL Ratio'!$A$3:$B$10,2,FALSE),0)*'FL Characterization'!Q$2)</f>
        <v>47.290352684474804</v>
      </c>
      <c r="R2" s="2">
        <f>('[1]Pc, Summer, S1'!R2*Main!$B$5)+(_xlfn.IFNA(VLOOKUP($A2,'FL Ratio'!$A$3:$B$10,2,FALSE),0)*'FL Characterization'!R$2)</f>
        <v>48.115414352331314</v>
      </c>
      <c r="S2" s="2">
        <f>('[1]Pc, Summer, S1'!S2*Main!$B$5)+(_xlfn.IFNA(VLOOKUP($A2,'FL Ratio'!$A$3:$B$10,2,FALSE),0)*'FL Characterization'!S$2)</f>
        <v>48.590782626797115</v>
      </c>
      <c r="T2" s="2">
        <f>('[1]Pc, Summer, S1'!T2*Main!$B$5)+(_xlfn.IFNA(VLOOKUP($A2,'FL Ratio'!$A$3:$B$10,2,FALSE),0)*'FL Characterization'!T$2)</f>
        <v>48.797032448499344</v>
      </c>
      <c r="U2" s="2">
        <f>('[1]Pc, Summer, S1'!U2*Main!$B$5)+(_xlfn.IFNA(VLOOKUP($A2,'FL Ratio'!$A$3:$B$10,2,FALSE),0)*'FL Characterization'!U$2)</f>
        <v>47.989217224603095</v>
      </c>
      <c r="V2" s="2">
        <f>('[1]Pc, Summer, S1'!V2*Main!$B$5)+(_xlfn.IFNA(VLOOKUP($A2,'FL Ratio'!$A$3:$B$10,2,FALSE),0)*'FL Characterization'!V$2)</f>
        <v>48.133403682772411</v>
      </c>
      <c r="W2" s="2">
        <f>('[1]Pc, Summer, S1'!W2*Main!$B$5)+(_xlfn.IFNA(VLOOKUP($A2,'FL Ratio'!$A$3:$B$10,2,FALSE),0)*'FL Characterization'!W$2)</f>
        <v>50.126991546403254</v>
      </c>
      <c r="X2" s="2">
        <f>('[1]Pc, Summer, S1'!X2*Main!$B$5)+(_xlfn.IFNA(VLOOKUP($A2,'FL Ratio'!$A$3:$B$10,2,FALSE),0)*'FL Characterization'!X$2)</f>
        <v>46.724423352560279</v>
      </c>
      <c r="Y2" s="2">
        <f>('[1]Pc, Summer, S1'!Y2*Main!$B$5)+(_xlfn.IFNA(VLOOKUP($A2,'FL Ratio'!$A$3:$B$10,2,FALSE),0)*'FL Characterization'!Y$2)</f>
        <v>42.832018356536096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41.004484606611122</v>
      </c>
      <c r="C3" s="2">
        <f>('[1]Pc, Summer, S1'!C3*Main!$B$5)+(_xlfn.IFNA(VLOOKUP($A3,'FL Ratio'!$A$3:$B$10,2,FALSE),0)*'FL Characterization'!C$2)</f>
        <v>37.627343178514558</v>
      </c>
      <c r="D3" s="2">
        <f>('[1]Pc, Summer, S1'!D3*Main!$B$5)+(_xlfn.IFNA(VLOOKUP($A3,'FL Ratio'!$A$3:$B$10,2,FALSE),0)*'FL Characterization'!D$2)</f>
        <v>35.649215827071856</v>
      </c>
      <c r="E3" s="2">
        <f>('[1]Pc, Summer, S1'!E3*Main!$B$5)+(_xlfn.IFNA(VLOOKUP($A3,'FL Ratio'!$A$3:$B$10,2,FALSE),0)*'FL Characterization'!E$2)</f>
        <v>34.343771586565595</v>
      </c>
      <c r="F3" s="2">
        <f>('[1]Pc, Summer, S1'!F3*Main!$B$5)+(_xlfn.IFNA(VLOOKUP($A3,'FL Ratio'!$A$3:$B$10,2,FALSE),0)*'FL Characterization'!F$2)</f>
        <v>33.967600276120486</v>
      </c>
      <c r="G3" s="2">
        <f>('[1]Pc, Summer, S1'!G3*Main!$B$5)+(_xlfn.IFNA(VLOOKUP($A3,'FL Ratio'!$A$3:$B$10,2,FALSE),0)*'FL Characterization'!G$2)</f>
        <v>36.039703635720002</v>
      </c>
      <c r="H3" s="2">
        <f>('[1]Pc, Summer, S1'!H3*Main!$B$5)+(_xlfn.IFNA(VLOOKUP($A3,'FL Ratio'!$A$3:$B$10,2,FALSE),0)*'FL Characterization'!H$2)</f>
        <v>45.113180735492321</v>
      </c>
      <c r="I3" s="2">
        <f>('[1]Pc, Summer, S1'!I3*Main!$B$5)+(_xlfn.IFNA(VLOOKUP($A3,'FL Ratio'!$A$3:$B$10,2,FALSE),0)*'FL Characterization'!I$2)</f>
        <v>53.643893143878955</v>
      </c>
      <c r="J3" s="2">
        <f>('[1]Pc, Summer, S1'!J3*Main!$B$5)+(_xlfn.IFNA(VLOOKUP($A3,'FL Ratio'!$A$3:$B$10,2,FALSE),0)*'FL Characterization'!J$2)</f>
        <v>55.936913042010509</v>
      </c>
      <c r="K3" s="2">
        <f>('[1]Pc, Summer, S1'!K3*Main!$B$5)+(_xlfn.IFNA(VLOOKUP($A3,'FL Ratio'!$A$3:$B$10,2,FALSE),0)*'FL Characterization'!K$2)</f>
        <v>54.89564470456444</v>
      </c>
      <c r="L3" s="2">
        <f>('[1]Pc, Summer, S1'!L3*Main!$B$5)+(_xlfn.IFNA(VLOOKUP($A3,'FL Ratio'!$A$3:$B$10,2,FALSE),0)*'FL Characterization'!L$2)</f>
        <v>54.707743061314837</v>
      </c>
      <c r="M3" s="2">
        <f>('[1]Pc, Summer, S1'!M3*Main!$B$5)+(_xlfn.IFNA(VLOOKUP($A3,'FL Ratio'!$A$3:$B$10,2,FALSE),0)*'FL Characterization'!M$2)</f>
        <v>58.338493614643937</v>
      </c>
      <c r="N3" s="2">
        <f>('[1]Pc, Summer, S1'!N3*Main!$B$5)+(_xlfn.IFNA(VLOOKUP($A3,'FL Ratio'!$A$3:$B$10,2,FALSE),0)*'FL Characterization'!N$2)</f>
        <v>58.510551436823917</v>
      </c>
      <c r="O3" s="2">
        <f>('[1]Pc, Summer, S1'!O3*Main!$B$5)+(_xlfn.IFNA(VLOOKUP($A3,'FL Ratio'!$A$3:$B$10,2,FALSE),0)*'FL Characterization'!O$2)</f>
        <v>58.899853983978609</v>
      </c>
      <c r="P3" s="2">
        <f>('[1]Pc, Summer, S1'!P3*Main!$B$5)+(_xlfn.IFNA(VLOOKUP($A3,'FL Ratio'!$A$3:$B$10,2,FALSE),0)*'FL Characterization'!P$2)</f>
        <v>56.044197881816416</v>
      </c>
      <c r="Q3" s="2">
        <f>('[1]Pc, Summer, S1'!Q3*Main!$B$5)+(_xlfn.IFNA(VLOOKUP($A3,'FL Ratio'!$A$3:$B$10,2,FALSE),0)*'FL Characterization'!Q$2)</f>
        <v>53.09062217158877</v>
      </c>
      <c r="R3" s="2">
        <f>('[1]Pc, Summer, S1'!R3*Main!$B$5)+(_xlfn.IFNA(VLOOKUP($A3,'FL Ratio'!$A$3:$B$10,2,FALSE),0)*'FL Characterization'!R$2)</f>
        <v>49.12560995899284</v>
      </c>
      <c r="S3" s="2">
        <f>('[1]Pc, Summer, S1'!S3*Main!$B$5)+(_xlfn.IFNA(VLOOKUP($A3,'FL Ratio'!$A$3:$B$10,2,FALSE),0)*'FL Characterization'!S$2)</f>
        <v>49.645259341132366</v>
      </c>
      <c r="T3" s="2">
        <f>('[1]Pc, Summer, S1'!T3*Main!$B$5)+(_xlfn.IFNA(VLOOKUP($A3,'FL Ratio'!$A$3:$B$10,2,FALSE),0)*'FL Characterization'!T$2)</f>
        <v>49.223514915048113</v>
      </c>
      <c r="U3" s="2">
        <f>('[1]Pc, Summer, S1'!U3*Main!$B$5)+(_xlfn.IFNA(VLOOKUP($A3,'FL Ratio'!$A$3:$B$10,2,FALSE),0)*'FL Characterization'!U$2)</f>
        <v>49.04566390020215</v>
      </c>
      <c r="V3" s="2">
        <f>('[1]Pc, Summer, S1'!V3*Main!$B$5)+(_xlfn.IFNA(VLOOKUP($A3,'FL Ratio'!$A$3:$B$10,2,FALSE),0)*'FL Characterization'!V$2)</f>
        <v>49.264067263710061</v>
      </c>
      <c r="W3" s="2">
        <f>('[1]Pc, Summer, S1'!W3*Main!$B$5)+(_xlfn.IFNA(VLOOKUP($A3,'FL Ratio'!$A$3:$B$10,2,FALSE),0)*'FL Characterization'!W$2)</f>
        <v>49.019787639627381</v>
      </c>
      <c r="X3" s="2">
        <f>('[1]Pc, Summer, S1'!X3*Main!$B$5)+(_xlfn.IFNA(VLOOKUP($A3,'FL Ratio'!$A$3:$B$10,2,FALSE),0)*'FL Characterization'!X$2)</f>
        <v>48.681130272127923</v>
      </c>
      <c r="Y3" s="2">
        <f>('[1]Pc, Summer, S1'!Y3*Main!$B$5)+(_xlfn.IFNA(VLOOKUP($A3,'FL Ratio'!$A$3:$B$10,2,FALSE),0)*'FL Characterization'!Y$2)</f>
        <v>46.035722336847797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54.461347441435279</v>
      </c>
      <c r="C4" s="2">
        <f>('[1]Pc, Summer, S1'!C4*Main!$B$5)+(_xlfn.IFNA(VLOOKUP($A4,'FL Ratio'!$A$3:$B$10,2,FALSE),0)*'FL Characterization'!C$2)</f>
        <v>48.305720759468599</v>
      </c>
      <c r="D4" s="2">
        <f>('[1]Pc, Summer, S1'!D4*Main!$B$5)+(_xlfn.IFNA(VLOOKUP($A4,'FL Ratio'!$A$3:$B$10,2,FALSE),0)*'FL Characterization'!D$2)</f>
        <v>45.555199317233885</v>
      </c>
      <c r="E4" s="2">
        <f>('[1]Pc, Summer, S1'!E4*Main!$B$5)+(_xlfn.IFNA(VLOOKUP($A4,'FL Ratio'!$A$3:$B$10,2,FALSE),0)*'FL Characterization'!E$2)</f>
        <v>44.065506514003857</v>
      </c>
      <c r="F4" s="2">
        <f>('[1]Pc, Summer, S1'!F4*Main!$B$5)+(_xlfn.IFNA(VLOOKUP($A4,'FL Ratio'!$A$3:$B$10,2,FALSE),0)*'FL Characterization'!F$2)</f>
        <v>46.212294267110281</v>
      </c>
      <c r="G4" s="2">
        <f>('[1]Pc, Summer, S1'!G4*Main!$B$5)+(_xlfn.IFNA(VLOOKUP($A4,'FL Ratio'!$A$3:$B$10,2,FALSE),0)*'FL Characterization'!G$2)</f>
        <v>42.212874747580607</v>
      </c>
      <c r="H4" s="2">
        <f>('[1]Pc, Summer, S1'!H4*Main!$B$5)+(_xlfn.IFNA(VLOOKUP($A4,'FL Ratio'!$A$3:$B$10,2,FALSE),0)*'FL Characterization'!H$2)</f>
        <v>49.580522915207581</v>
      </c>
      <c r="I4" s="2">
        <f>('[1]Pc, Summer, S1'!I4*Main!$B$5)+(_xlfn.IFNA(VLOOKUP($A4,'FL Ratio'!$A$3:$B$10,2,FALSE),0)*'FL Characterization'!I$2)</f>
        <v>55.800041264378137</v>
      </c>
      <c r="J4" s="2">
        <f>('[1]Pc, Summer, S1'!J4*Main!$B$5)+(_xlfn.IFNA(VLOOKUP($A4,'FL Ratio'!$A$3:$B$10,2,FALSE),0)*'FL Characterization'!J$2)</f>
        <v>62.78652669959601</v>
      </c>
      <c r="K4" s="2">
        <f>('[1]Pc, Summer, S1'!K4*Main!$B$5)+(_xlfn.IFNA(VLOOKUP($A4,'FL Ratio'!$A$3:$B$10,2,FALSE),0)*'FL Characterization'!K$2)</f>
        <v>67.490629643023453</v>
      </c>
      <c r="L4" s="2">
        <f>('[1]Pc, Summer, S1'!L4*Main!$B$5)+(_xlfn.IFNA(VLOOKUP($A4,'FL Ratio'!$A$3:$B$10,2,FALSE),0)*'FL Characterization'!L$2)</f>
        <v>69.475846458773347</v>
      </c>
      <c r="M4" s="2">
        <f>('[1]Pc, Summer, S1'!M4*Main!$B$5)+(_xlfn.IFNA(VLOOKUP($A4,'FL Ratio'!$A$3:$B$10,2,FALSE),0)*'FL Characterization'!M$2)</f>
        <v>70.629662019784732</v>
      </c>
      <c r="N4" s="2">
        <f>('[1]Pc, Summer, S1'!N4*Main!$B$5)+(_xlfn.IFNA(VLOOKUP($A4,'FL Ratio'!$A$3:$B$10,2,FALSE),0)*'FL Characterization'!N$2)</f>
        <v>72.182849713314155</v>
      </c>
      <c r="O4" s="2">
        <f>('[1]Pc, Summer, S1'!O4*Main!$B$5)+(_xlfn.IFNA(VLOOKUP($A4,'FL Ratio'!$A$3:$B$10,2,FALSE),0)*'FL Characterization'!O$2)</f>
        <v>73.159571463935592</v>
      </c>
      <c r="P4" s="2">
        <f>('[1]Pc, Summer, S1'!P4*Main!$B$5)+(_xlfn.IFNA(VLOOKUP($A4,'FL Ratio'!$A$3:$B$10,2,FALSE),0)*'FL Characterization'!P$2)</f>
        <v>73.468932320652513</v>
      </c>
      <c r="Q4" s="2">
        <f>('[1]Pc, Summer, S1'!Q4*Main!$B$5)+(_xlfn.IFNA(VLOOKUP($A4,'FL Ratio'!$A$3:$B$10,2,FALSE),0)*'FL Characterization'!Q$2)</f>
        <v>70.718394695093721</v>
      </c>
      <c r="R4" s="2">
        <f>('[1]Pc, Summer, S1'!R4*Main!$B$5)+(_xlfn.IFNA(VLOOKUP($A4,'FL Ratio'!$A$3:$B$10,2,FALSE),0)*'FL Characterization'!R$2)</f>
        <v>70.361144430070624</v>
      </c>
      <c r="S4" s="2">
        <f>('[1]Pc, Summer, S1'!S4*Main!$B$5)+(_xlfn.IFNA(VLOOKUP($A4,'FL Ratio'!$A$3:$B$10,2,FALSE),0)*'FL Characterization'!S$2)</f>
        <v>68.157138675860892</v>
      </c>
      <c r="T4" s="2">
        <f>('[1]Pc, Summer, S1'!T4*Main!$B$5)+(_xlfn.IFNA(VLOOKUP($A4,'FL Ratio'!$A$3:$B$10,2,FALSE),0)*'FL Characterization'!T$2)</f>
        <v>68.088636698971271</v>
      </c>
      <c r="U4" s="2">
        <f>('[1]Pc, Summer, S1'!U4*Main!$B$5)+(_xlfn.IFNA(VLOOKUP($A4,'FL Ratio'!$A$3:$B$10,2,FALSE),0)*'FL Characterization'!U$2)</f>
        <v>68.465666356886459</v>
      </c>
      <c r="V4" s="2">
        <f>('[1]Pc, Summer, S1'!V4*Main!$B$5)+(_xlfn.IFNA(VLOOKUP($A4,'FL Ratio'!$A$3:$B$10,2,FALSE),0)*'FL Characterization'!V$2)</f>
        <v>68.124729763456813</v>
      </c>
      <c r="W4" s="2">
        <f>('[1]Pc, Summer, S1'!W4*Main!$B$5)+(_xlfn.IFNA(VLOOKUP($A4,'FL Ratio'!$A$3:$B$10,2,FALSE),0)*'FL Characterization'!W$2)</f>
        <v>70.299660402105758</v>
      </c>
      <c r="X4" s="2">
        <f>('[1]Pc, Summer, S1'!X4*Main!$B$5)+(_xlfn.IFNA(VLOOKUP($A4,'FL Ratio'!$A$3:$B$10,2,FALSE),0)*'FL Characterization'!X$2)</f>
        <v>70.101746473949575</v>
      </c>
      <c r="Y4" s="2">
        <f>('[1]Pc, Summer, S1'!Y4*Main!$B$5)+(_xlfn.IFNA(VLOOKUP($A4,'FL Ratio'!$A$3:$B$10,2,FALSE),0)*'FL Characterization'!Y$2)</f>
        <v>63.214694027365773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CD2FDA-4D04-49F8-9B9F-34E983344C94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38.09995466906016</v>
      </c>
      <c r="C2" s="2">
        <f>('[1]Pc, Summer, S1'!C2*Main!$B$5)+(_xlfn.IFNA(VLOOKUP($A2,'FL Ratio'!$A$3:$B$10,2,FALSE),0)*'FL Characterization'!C$2)</f>
        <v>34.615513817474088</v>
      </c>
      <c r="D2" s="2">
        <f>('[1]Pc, Summer, S1'!D2*Main!$B$5)+(_xlfn.IFNA(VLOOKUP($A2,'FL Ratio'!$A$3:$B$10,2,FALSE),0)*'FL Characterization'!D$2)</f>
        <v>34.010870756661696</v>
      </c>
      <c r="E2" s="2">
        <f>('[1]Pc, Summer, S1'!E2*Main!$B$5)+(_xlfn.IFNA(VLOOKUP($A2,'FL Ratio'!$A$3:$B$10,2,FALSE),0)*'FL Characterization'!E$2)</f>
        <v>33.923987808969699</v>
      </c>
      <c r="F2" s="2">
        <f>('[1]Pc, Summer, S1'!F2*Main!$B$5)+(_xlfn.IFNA(VLOOKUP($A2,'FL Ratio'!$A$3:$B$10,2,FALSE),0)*'FL Characterization'!F$2)</f>
        <v>33.926662379912791</v>
      </c>
      <c r="G2" s="2">
        <f>('[1]Pc, Summer, S1'!G2*Main!$B$5)+(_xlfn.IFNA(VLOOKUP($A2,'FL Ratio'!$A$3:$B$10,2,FALSE),0)*'FL Characterization'!G$2)</f>
        <v>33.62662489098075</v>
      </c>
      <c r="H2" s="2">
        <f>('[1]Pc, Summer, S1'!H2*Main!$B$5)+(_xlfn.IFNA(VLOOKUP($A2,'FL Ratio'!$A$3:$B$10,2,FALSE),0)*'FL Characterization'!H$2)</f>
        <v>36.302943313608537</v>
      </c>
      <c r="I2" s="2">
        <f>('[1]Pc, Summer, S1'!I2*Main!$B$5)+(_xlfn.IFNA(VLOOKUP($A2,'FL Ratio'!$A$3:$B$10,2,FALSE),0)*'FL Characterization'!I$2)</f>
        <v>43.100462809925148</v>
      </c>
      <c r="J2" s="2">
        <f>('[1]Pc, Summer, S1'!J2*Main!$B$5)+(_xlfn.IFNA(VLOOKUP($A2,'FL Ratio'!$A$3:$B$10,2,FALSE),0)*'FL Characterization'!J$2)</f>
        <v>49.122272124698263</v>
      </c>
      <c r="K2" s="2">
        <f>('[1]Pc, Summer, S1'!K2*Main!$B$5)+(_xlfn.IFNA(VLOOKUP($A2,'FL Ratio'!$A$3:$B$10,2,FALSE),0)*'FL Characterization'!K$2)</f>
        <v>50.631703722163621</v>
      </c>
      <c r="L2" s="2">
        <f>('[1]Pc, Summer, S1'!L2*Main!$B$5)+(_xlfn.IFNA(VLOOKUP($A2,'FL Ratio'!$A$3:$B$10,2,FALSE),0)*'FL Characterization'!L$2)</f>
        <v>50.119324388043118</v>
      </c>
      <c r="M2" s="2">
        <f>('[1]Pc, Summer, S1'!M2*Main!$B$5)+(_xlfn.IFNA(VLOOKUP($A2,'FL Ratio'!$A$3:$B$10,2,FALSE),0)*'FL Characterization'!M$2)</f>
        <v>51.536629105684</v>
      </c>
      <c r="N2" s="2">
        <f>('[1]Pc, Summer, S1'!N2*Main!$B$5)+(_xlfn.IFNA(VLOOKUP($A2,'FL Ratio'!$A$3:$B$10,2,FALSE),0)*'FL Characterization'!N$2)</f>
        <v>52.243602991649929</v>
      </c>
      <c r="O2" s="2">
        <f>('[1]Pc, Summer, S1'!O2*Main!$B$5)+(_xlfn.IFNA(VLOOKUP($A2,'FL Ratio'!$A$3:$B$10,2,FALSE),0)*'FL Characterization'!O$2)</f>
        <v>51.277194211167526</v>
      </c>
      <c r="P2" s="2">
        <f>('[1]Pc, Summer, S1'!P2*Main!$B$5)+(_xlfn.IFNA(VLOOKUP($A2,'FL Ratio'!$A$3:$B$10,2,FALSE),0)*'FL Characterization'!P$2)</f>
        <v>49.273527144779756</v>
      </c>
      <c r="Q2" s="2">
        <f>('[1]Pc, Summer, S1'!Q2*Main!$B$5)+(_xlfn.IFNA(VLOOKUP($A2,'FL Ratio'!$A$3:$B$10,2,FALSE),0)*'FL Characterization'!Q$2)</f>
        <v>47.290352684474804</v>
      </c>
      <c r="R2" s="2">
        <f>('[1]Pc, Summer, S1'!R2*Main!$B$5)+(_xlfn.IFNA(VLOOKUP($A2,'FL Ratio'!$A$3:$B$10,2,FALSE),0)*'FL Characterization'!R$2)</f>
        <v>48.115414352331314</v>
      </c>
      <c r="S2" s="2">
        <f>('[1]Pc, Summer, S1'!S2*Main!$B$5)+(_xlfn.IFNA(VLOOKUP($A2,'FL Ratio'!$A$3:$B$10,2,FALSE),0)*'FL Characterization'!S$2)</f>
        <v>48.590782626797115</v>
      </c>
      <c r="T2" s="2">
        <f>('[1]Pc, Summer, S1'!T2*Main!$B$5)+(_xlfn.IFNA(VLOOKUP($A2,'FL Ratio'!$A$3:$B$10,2,FALSE),0)*'FL Characterization'!T$2)</f>
        <v>48.797032448499344</v>
      </c>
      <c r="U2" s="2">
        <f>('[1]Pc, Summer, S1'!U2*Main!$B$5)+(_xlfn.IFNA(VLOOKUP($A2,'FL Ratio'!$A$3:$B$10,2,FALSE),0)*'FL Characterization'!U$2)</f>
        <v>47.989217224603095</v>
      </c>
      <c r="V2" s="2">
        <f>('[1]Pc, Summer, S1'!V2*Main!$B$5)+(_xlfn.IFNA(VLOOKUP($A2,'FL Ratio'!$A$3:$B$10,2,FALSE),0)*'FL Characterization'!V$2)</f>
        <v>48.133403682772411</v>
      </c>
      <c r="W2" s="2">
        <f>('[1]Pc, Summer, S1'!W2*Main!$B$5)+(_xlfn.IFNA(VLOOKUP($A2,'FL Ratio'!$A$3:$B$10,2,FALSE),0)*'FL Characterization'!W$2)</f>
        <v>50.126991546403254</v>
      </c>
      <c r="X2" s="2">
        <f>('[1]Pc, Summer, S1'!X2*Main!$B$5)+(_xlfn.IFNA(VLOOKUP($A2,'FL Ratio'!$A$3:$B$10,2,FALSE),0)*'FL Characterization'!X$2)</f>
        <v>46.724423352560279</v>
      </c>
      <c r="Y2" s="2">
        <f>('[1]Pc, Summer, S1'!Y2*Main!$B$5)+(_xlfn.IFNA(VLOOKUP($A2,'FL Ratio'!$A$3:$B$10,2,FALSE),0)*'FL Characterization'!Y$2)</f>
        <v>42.832018356536096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41.004484606611122</v>
      </c>
      <c r="C3" s="2">
        <f>('[1]Pc, Summer, S1'!C3*Main!$B$5)+(_xlfn.IFNA(VLOOKUP($A3,'FL Ratio'!$A$3:$B$10,2,FALSE),0)*'FL Characterization'!C$2)</f>
        <v>37.627343178514558</v>
      </c>
      <c r="D3" s="2">
        <f>('[1]Pc, Summer, S1'!D3*Main!$B$5)+(_xlfn.IFNA(VLOOKUP($A3,'FL Ratio'!$A$3:$B$10,2,FALSE),0)*'FL Characterization'!D$2)</f>
        <v>35.649215827071856</v>
      </c>
      <c r="E3" s="2">
        <f>('[1]Pc, Summer, S1'!E3*Main!$B$5)+(_xlfn.IFNA(VLOOKUP($A3,'FL Ratio'!$A$3:$B$10,2,FALSE),0)*'FL Characterization'!E$2)</f>
        <v>34.343771586565595</v>
      </c>
      <c r="F3" s="2">
        <f>('[1]Pc, Summer, S1'!F3*Main!$B$5)+(_xlfn.IFNA(VLOOKUP($A3,'FL Ratio'!$A$3:$B$10,2,FALSE),0)*'FL Characterization'!F$2)</f>
        <v>33.967600276120486</v>
      </c>
      <c r="G3" s="2">
        <f>('[1]Pc, Summer, S1'!G3*Main!$B$5)+(_xlfn.IFNA(VLOOKUP($A3,'FL Ratio'!$A$3:$B$10,2,FALSE),0)*'FL Characterization'!G$2)</f>
        <v>36.039703635720002</v>
      </c>
      <c r="H3" s="2">
        <f>('[1]Pc, Summer, S1'!H3*Main!$B$5)+(_xlfn.IFNA(VLOOKUP($A3,'FL Ratio'!$A$3:$B$10,2,FALSE),0)*'FL Characterization'!H$2)</f>
        <v>45.113180735492321</v>
      </c>
      <c r="I3" s="2">
        <f>('[1]Pc, Summer, S1'!I3*Main!$B$5)+(_xlfn.IFNA(VLOOKUP($A3,'FL Ratio'!$A$3:$B$10,2,FALSE),0)*'FL Characterization'!I$2)</f>
        <v>53.643893143878955</v>
      </c>
      <c r="J3" s="2">
        <f>('[1]Pc, Summer, S1'!J3*Main!$B$5)+(_xlfn.IFNA(VLOOKUP($A3,'FL Ratio'!$A$3:$B$10,2,FALSE),0)*'FL Characterization'!J$2)</f>
        <v>55.936913042010509</v>
      </c>
      <c r="K3" s="2">
        <f>('[1]Pc, Summer, S1'!K3*Main!$B$5)+(_xlfn.IFNA(VLOOKUP($A3,'FL Ratio'!$A$3:$B$10,2,FALSE),0)*'FL Characterization'!K$2)</f>
        <v>54.89564470456444</v>
      </c>
      <c r="L3" s="2">
        <f>('[1]Pc, Summer, S1'!L3*Main!$B$5)+(_xlfn.IFNA(VLOOKUP($A3,'FL Ratio'!$A$3:$B$10,2,FALSE),0)*'FL Characterization'!L$2)</f>
        <v>54.707743061314837</v>
      </c>
      <c r="M3" s="2">
        <f>('[1]Pc, Summer, S1'!M3*Main!$B$5)+(_xlfn.IFNA(VLOOKUP($A3,'FL Ratio'!$A$3:$B$10,2,FALSE),0)*'FL Characterization'!M$2)</f>
        <v>58.338493614643937</v>
      </c>
      <c r="N3" s="2">
        <f>('[1]Pc, Summer, S1'!N3*Main!$B$5)+(_xlfn.IFNA(VLOOKUP($A3,'FL Ratio'!$A$3:$B$10,2,FALSE),0)*'FL Characterization'!N$2)</f>
        <v>58.510551436823917</v>
      </c>
      <c r="O3" s="2">
        <f>('[1]Pc, Summer, S1'!O3*Main!$B$5)+(_xlfn.IFNA(VLOOKUP($A3,'FL Ratio'!$A$3:$B$10,2,FALSE),0)*'FL Characterization'!O$2)</f>
        <v>58.899853983978609</v>
      </c>
      <c r="P3" s="2">
        <f>('[1]Pc, Summer, S1'!P3*Main!$B$5)+(_xlfn.IFNA(VLOOKUP($A3,'FL Ratio'!$A$3:$B$10,2,FALSE),0)*'FL Characterization'!P$2)</f>
        <v>56.044197881816416</v>
      </c>
      <c r="Q3" s="2">
        <f>('[1]Pc, Summer, S1'!Q3*Main!$B$5)+(_xlfn.IFNA(VLOOKUP($A3,'FL Ratio'!$A$3:$B$10,2,FALSE),0)*'FL Characterization'!Q$2)</f>
        <v>53.09062217158877</v>
      </c>
      <c r="R3" s="2">
        <f>('[1]Pc, Summer, S1'!R3*Main!$B$5)+(_xlfn.IFNA(VLOOKUP($A3,'FL Ratio'!$A$3:$B$10,2,FALSE),0)*'FL Characterization'!R$2)</f>
        <v>49.12560995899284</v>
      </c>
      <c r="S3" s="2">
        <f>('[1]Pc, Summer, S1'!S3*Main!$B$5)+(_xlfn.IFNA(VLOOKUP($A3,'FL Ratio'!$A$3:$B$10,2,FALSE),0)*'FL Characterization'!S$2)</f>
        <v>49.645259341132366</v>
      </c>
      <c r="T3" s="2">
        <f>('[1]Pc, Summer, S1'!T3*Main!$B$5)+(_xlfn.IFNA(VLOOKUP($A3,'FL Ratio'!$A$3:$B$10,2,FALSE),0)*'FL Characterization'!T$2)</f>
        <v>49.223514915048113</v>
      </c>
      <c r="U3" s="2">
        <f>('[1]Pc, Summer, S1'!U3*Main!$B$5)+(_xlfn.IFNA(VLOOKUP($A3,'FL Ratio'!$A$3:$B$10,2,FALSE),0)*'FL Characterization'!U$2)</f>
        <v>49.04566390020215</v>
      </c>
      <c r="V3" s="2">
        <f>('[1]Pc, Summer, S1'!V3*Main!$B$5)+(_xlfn.IFNA(VLOOKUP($A3,'FL Ratio'!$A$3:$B$10,2,FALSE),0)*'FL Characterization'!V$2)</f>
        <v>49.264067263710061</v>
      </c>
      <c r="W3" s="2">
        <f>('[1]Pc, Summer, S1'!W3*Main!$B$5)+(_xlfn.IFNA(VLOOKUP($A3,'FL Ratio'!$A$3:$B$10,2,FALSE),0)*'FL Characterization'!W$2)</f>
        <v>49.019787639627381</v>
      </c>
      <c r="X3" s="2">
        <f>('[1]Pc, Summer, S1'!X3*Main!$B$5)+(_xlfn.IFNA(VLOOKUP($A3,'FL Ratio'!$A$3:$B$10,2,FALSE),0)*'FL Characterization'!X$2)</f>
        <v>48.681130272127923</v>
      </c>
      <c r="Y3" s="2">
        <f>('[1]Pc, Summer, S1'!Y3*Main!$B$5)+(_xlfn.IFNA(VLOOKUP($A3,'FL Ratio'!$A$3:$B$10,2,FALSE),0)*'FL Characterization'!Y$2)</f>
        <v>46.035722336847797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54.461347441435279</v>
      </c>
      <c r="C4" s="2">
        <f>('[1]Pc, Summer, S1'!C4*Main!$B$5)+(_xlfn.IFNA(VLOOKUP($A4,'FL Ratio'!$A$3:$B$10,2,FALSE),0)*'FL Characterization'!C$2)</f>
        <v>48.305720759468599</v>
      </c>
      <c r="D4" s="2">
        <f>('[1]Pc, Summer, S1'!D4*Main!$B$5)+(_xlfn.IFNA(VLOOKUP($A4,'FL Ratio'!$A$3:$B$10,2,FALSE),0)*'FL Characterization'!D$2)</f>
        <v>45.555199317233885</v>
      </c>
      <c r="E4" s="2">
        <f>('[1]Pc, Summer, S1'!E4*Main!$B$5)+(_xlfn.IFNA(VLOOKUP($A4,'FL Ratio'!$A$3:$B$10,2,FALSE),0)*'FL Characterization'!E$2)</f>
        <v>44.065506514003857</v>
      </c>
      <c r="F4" s="2">
        <f>('[1]Pc, Summer, S1'!F4*Main!$B$5)+(_xlfn.IFNA(VLOOKUP($A4,'FL Ratio'!$A$3:$B$10,2,FALSE),0)*'FL Characterization'!F$2)</f>
        <v>46.212294267110281</v>
      </c>
      <c r="G4" s="2">
        <f>('[1]Pc, Summer, S1'!G4*Main!$B$5)+(_xlfn.IFNA(VLOOKUP($A4,'FL Ratio'!$A$3:$B$10,2,FALSE),0)*'FL Characterization'!G$2)</f>
        <v>42.212874747580607</v>
      </c>
      <c r="H4" s="2">
        <f>('[1]Pc, Summer, S1'!H4*Main!$B$5)+(_xlfn.IFNA(VLOOKUP($A4,'FL Ratio'!$A$3:$B$10,2,FALSE),0)*'FL Characterization'!H$2)</f>
        <v>49.580522915207581</v>
      </c>
      <c r="I4" s="2">
        <f>('[1]Pc, Summer, S1'!I4*Main!$B$5)+(_xlfn.IFNA(VLOOKUP($A4,'FL Ratio'!$A$3:$B$10,2,FALSE),0)*'FL Characterization'!I$2)</f>
        <v>55.800041264378137</v>
      </c>
      <c r="J4" s="2">
        <f>('[1]Pc, Summer, S1'!J4*Main!$B$5)+(_xlfn.IFNA(VLOOKUP($A4,'FL Ratio'!$A$3:$B$10,2,FALSE),0)*'FL Characterization'!J$2)</f>
        <v>62.78652669959601</v>
      </c>
      <c r="K4" s="2">
        <f>('[1]Pc, Summer, S1'!K4*Main!$B$5)+(_xlfn.IFNA(VLOOKUP($A4,'FL Ratio'!$A$3:$B$10,2,FALSE),0)*'FL Characterization'!K$2)</f>
        <v>67.490629643023453</v>
      </c>
      <c r="L4" s="2">
        <f>('[1]Pc, Summer, S1'!L4*Main!$B$5)+(_xlfn.IFNA(VLOOKUP($A4,'FL Ratio'!$A$3:$B$10,2,FALSE),0)*'FL Characterization'!L$2)</f>
        <v>69.475846458773347</v>
      </c>
      <c r="M4" s="2">
        <f>('[1]Pc, Summer, S1'!M4*Main!$B$5)+(_xlfn.IFNA(VLOOKUP($A4,'FL Ratio'!$A$3:$B$10,2,FALSE),0)*'FL Characterization'!M$2)</f>
        <v>70.629662019784732</v>
      </c>
      <c r="N4" s="2">
        <f>('[1]Pc, Summer, S1'!N4*Main!$B$5)+(_xlfn.IFNA(VLOOKUP($A4,'FL Ratio'!$A$3:$B$10,2,FALSE),0)*'FL Characterization'!N$2)</f>
        <v>72.182849713314155</v>
      </c>
      <c r="O4" s="2">
        <f>('[1]Pc, Summer, S1'!O4*Main!$B$5)+(_xlfn.IFNA(VLOOKUP($A4,'FL Ratio'!$A$3:$B$10,2,FALSE),0)*'FL Characterization'!O$2)</f>
        <v>73.159571463935592</v>
      </c>
      <c r="P4" s="2">
        <f>('[1]Pc, Summer, S1'!P4*Main!$B$5)+(_xlfn.IFNA(VLOOKUP($A4,'FL Ratio'!$A$3:$B$10,2,FALSE),0)*'FL Characterization'!P$2)</f>
        <v>73.468932320652513</v>
      </c>
      <c r="Q4" s="2">
        <f>('[1]Pc, Summer, S1'!Q4*Main!$B$5)+(_xlfn.IFNA(VLOOKUP($A4,'FL Ratio'!$A$3:$B$10,2,FALSE),0)*'FL Characterization'!Q$2)</f>
        <v>70.718394695093721</v>
      </c>
      <c r="R4" s="2">
        <f>('[1]Pc, Summer, S1'!R4*Main!$B$5)+(_xlfn.IFNA(VLOOKUP($A4,'FL Ratio'!$A$3:$B$10,2,FALSE),0)*'FL Characterization'!R$2)</f>
        <v>70.361144430070624</v>
      </c>
      <c r="S4" s="2">
        <f>('[1]Pc, Summer, S1'!S4*Main!$B$5)+(_xlfn.IFNA(VLOOKUP($A4,'FL Ratio'!$A$3:$B$10,2,FALSE),0)*'FL Characterization'!S$2)</f>
        <v>68.157138675860892</v>
      </c>
      <c r="T4" s="2">
        <f>('[1]Pc, Summer, S1'!T4*Main!$B$5)+(_xlfn.IFNA(VLOOKUP($A4,'FL Ratio'!$A$3:$B$10,2,FALSE),0)*'FL Characterization'!T$2)</f>
        <v>68.088636698971271</v>
      </c>
      <c r="U4" s="2">
        <f>('[1]Pc, Summer, S1'!U4*Main!$B$5)+(_xlfn.IFNA(VLOOKUP($A4,'FL Ratio'!$A$3:$B$10,2,FALSE),0)*'FL Characterization'!U$2)</f>
        <v>68.465666356886459</v>
      </c>
      <c r="V4" s="2">
        <f>('[1]Pc, Summer, S1'!V4*Main!$B$5)+(_xlfn.IFNA(VLOOKUP($A4,'FL Ratio'!$A$3:$B$10,2,FALSE),0)*'FL Characterization'!V$2)</f>
        <v>68.124729763456813</v>
      </c>
      <c r="W4" s="2">
        <f>('[1]Pc, Summer, S1'!W4*Main!$B$5)+(_xlfn.IFNA(VLOOKUP($A4,'FL Ratio'!$A$3:$B$10,2,FALSE),0)*'FL Characterization'!W$2)</f>
        <v>70.299660402105758</v>
      </c>
      <c r="X4" s="2">
        <f>('[1]Pc, Summer, S1'!X4*Main!$B$5)+(_xlfn.IFNA(VLOOKUP($A4,'FL Ratio'!$A$3:$B$10,2,FALSE),0)*'FL Characterization'!X$2)</f>
        <v>70.101746473949575</v>
      </c>
      <c r="Y4" s="2">
        <f>('[1]Pc, Summer, S1'!Y4*Main!$B$5)+(_xlfn.IFNA(VLOOKUP($A4,'FL Ratio'!$A$3:$B$10,2,FALSE),0)*'FL Characterization'!Y$2)</f>
        <v>63.214694027365773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E496BB-E9F6-4441-8479-A4E462FEE7A4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39.24295330913197</v>
      </c>
      <c r="C2" s="2">
        <f>('[1]Pc, Summer, S2'!C2*Main!$B$5)+(_xlfn.IFNA(VLOOKUP($A2,'FL Ratio'!$A$3:$B$10,2,FALSE),0)*'FL Characterization'!C$2)</f>
        <v>35.653979231998314</v>
      </c>
      <c r="D2" s="2">
        <f>('[1]Pc, Summer, S2'!D2*Main!$B$5)+(_xlfn.IFNA(VLOOKUP($A2,'FL Ratio'!$A$3:$B$10,2,FALSE),0)*'FL Characterization'!D$2)</f>
        <v>35.031196879361552</v>
      </c>
      <c r="E2" s="2">
        <f>('[1]Pc, Summer, S2'!E2*Main!$B$5)+(_xlfn.IFNA(VLOOKUP($A2,'FL Ratio'!$A$3:$B$10,2,FALSE),0)*'FL Characterization'!E$2)</f>
        <v>34.941707443238791</v>
      </c>
      <c r="F2" s="2">
        <f>('[1]Pc, Summer, S2'!F2*Main!$B$5)+(_xlfn.IFNA(VLOOKUP($A2,'FL Ratio'!$A$3:$B$10,2,FALSE),0)*'FL Characterization'!F$2)</f>
        <v>34.944462251310178</v>
      </c>
      <c r="G2" s="2">
        <f>('[1]Pc, Summer, S2'!G2*Main!$B$5)+(_xlfn.IFNA(VLOOKUP($A2,'FL Ratio'!$A$3:$B$10,2,FALSE),0)*'FL Characterization'!G$2)</f>
        <v>34.635423637710176</v>
      </c>
      <c r="H2" s="2">
        <f>('[1]Pc, Summer, S2'!H2*Main!$B$5)+(_xlfn.IFNA(VLOOKUP($A2,'FL Ratio'!$A$3:$B$10,2,FALSE),0)*'FL Characterization'!H$2)</f>
        <v>37.392031613016798</v>
      </c>
      <c r="I2" s="2">
        <f>('[1]Pc, Summer, S2'!I2*Main!$B$5)+(_xlfn.IFNA(VLOOKUP($A2,'FL Ratio'!$A$3:$B$10,2,FALSE),0)*'FL Characterization'!I$2)</f>
        <v>44.393476694222905</v>
      </c>
      <c r="J2" s="2">
        <f>('[1]Pc, Summer, S2'!J2*Main!$B$5)+(_xlfn.IFNA(VLOOKUP($A2,'FL Ratio'!$A$3:$B$10,2,FALSE),0)*'FL Characterization'!J$2)</f>
        <v>50.595940288439209</v>
      </c>
      <c r="K2" s="2">
        <f>('[1]Pc, Summer, S2'!K2*Main!$B$5)+(_xlfn.IFNA(VLOOKUP($A2,'FL Ratio'!$A$3:$B$10,2,FALSE),0)*'FL Characterization'!K$2)</f>
        <v>52.150654833828533</v>
      </c>
      <c r="L2" s="2">
        <f>('[1]Pc, Summer, S2'!L2*Main!$B$5)+(_xlfn.IFNA(VLOOKUP($A2,'FL Ratio'!$A$3:$B$10,2,FALSE),0)*'FL Characterization'!L$2)</f>
        <v>51.622904119684407</v>
      </c>
      <c r="M2" s="2">
        <f>('[1]Pc, Summer, S2'!M2*Main!$B$5)+(_xlfn.IFNA(VLOOKUP($A2,'FL Ratio'!$A$3:$B$10,2,FALSE),0)*'FL Characterization'!M$2)</f>
        <v>53.082727978854521</v>
      </c>
      <c r="N2" s="2">
        <f>('[1]Pc, Summer, S2'!N2*Main!$B$5)+(_xlfn.IFNA(VLOOKUP($A2,'FL Ratio'!$A$3:$B$10,2,FALSE),0)*'FL Characterization'!N$2)</f>
        <v>53.810911081399432</v>
      </c>
      <c r="O2" s="2">
        <f>('[1]Pc, Summer, S2'!O2*Main!$B$5)+(_xlfn.IFNA(VLOOKUP($A2,'FL Ratio'!$A$3:$B$10,2,FALSE),0)*'FL Characterization'!O$2)</f>
        <v>52.815510037502548</v>
      </c>
      <c r="P2" s="2">
        <f>('[1]Pc, Summer, S2'!P2*Main!$B$5)+(_xlfn.IFNA(VLOOKUP($A2,'FL Ratio'!$A$3:$B$10,2,FALSE),0)*'FL Characterization'!P$2)</f>
        <v>50.751732959123146</v>
      </c>
      <c r="Q2" s="2">
        <f>('[1]Pc, Summer, S2'!Q2*Main!$B$5)+(_xlfn.IFNA(VLOOKUP($A2,'FL Ratio'!$A$3:$B$10,2,FALSE),0)*'FL Characterization'!Q$2)</f>
        <v>48.70906326500905</v>
      </c>
      <c r="R2" s="2">
        <f>('[1]Pc, Summer, S2'!R2*Main!$B$5)+(_xlfn.IFNA(VLOOKUP($A2,'FL Ratio'!$A$3:$B$10,2,FALSE),0)*'FL Characterization'!R$2)</f>
        <v>49.558876782901251</v>
      </c>
      <c r="S2" s="2">
        <f>('[1]Pc, Summer, S2'!S2*Main!$B$5)+(_xlfn.IFNA(VLOOKUP($A2,'FL Ratio'!$A$3:$B$10,2,FALSE),0)*'FL Characterization'!S$2)</f>
        <v>50.048506105601035</v>
      </c>
      <c r="T2" s="2">
        <f>('[1]Pc, Summer, S2'!T2*Main!$B$5)+(_xlfn.IFNA(VLOOKUP($A2,'FL Ratio'!$A$3:$B$10,2,FALSE),0)*'FL Characterization'!T$2)</f>
        <v>50.260943421954323</v>
      </c>
      <c r="U2" s="2">
        <f>('[1]Pc, Summer, S2'!U2*Main!$B$5)+(_xlfn.IFNA(VLOOKUP($A2,'FL Ratio'!$A$3:$B$10,2,FALSE),0)*'FL Characterization'!U$2)</f>
        <v>49.428893741341184</v>
      </c>
      <c r="V2" s="2">
        <f>('[1]Pc, Summer, S2'!V2*Main!$B$5)+(_xlfn.IFNA(VLOOKUP($A2,'FL Ratio'!$A$3:$B$10,2,FALSE),0)*'FL Characterization'!V$2)</f>
        <v>49.577405793255579</v>
      </c>
      <c r="W2" s="2">
        <f>('[1]Pc, Summer, S2'!W2*Main!$B$5)+(_xlfn.IFNA(VLOOKUP($A2,'FL Ratio'!$A$3:$B$10,2,FALSE),0)*'FL Characterization'!W$2)</f>
        <v>51.630801292795347</v>
      </c>
      <c r="X2" s="2">
        <f>('[1]Pc, Summer, S2'!X2*Main!$B$5)+(_xlfn.IFNA(VLOOKUP($A2,'FL Ratio'!$A$3:$B$10,2,FALSE),0)*'FL Characterization'!X$2)</f>
        <v>48.126156053137095</v>
      </c>
      <c r="Y2" s="2">
        <f>('[1]Pc, Summer, S2'!Y2*Main!$B$5)+(_xlfn.IFNA(VLOOKUP($A2,'FL Ratio'!$A$3:$B$10,2,FALSE),0)*'FL Characterization'!Y$2)</f>
        <v>44.116978907232173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42.163415013751745</v>
      </c>
      <c r="C3" s="2">
        <f>('[1]Pc, Summer, S2'!C3*Main!$B$5)+(_xlfn.IFNA(VLOOKUP($A3,'FL Ratio'!$A$3:$B$10,2,FALSE),0)*'FL Characterization'!C$2)</f>
        <v>38.682584133819226</v>
      </c>
      <c r="D3" s="2">
        <f>('[1]Pc, Summer, S2'!D3*Main!$B$5)+(_xlfn.IFNA(VLOOKUP($A3,'FL Ratio'!$A$3:$B$10,2,FALSE),0)*'FL Characterization'!D$2)</f>
        <v>36.652806321693681</v>
      </c>
      <c r="E3" s="2">
        <f>('[1]Pc, Summer, S2'!E3*Main!$B$5)+(_xlfn.IFNA(VLOOKUP($A3,'FL Ratio'!$A$3:$B$10,2,FALSE),0)*'FL Characterization'!E$2)</f>
        <v>35.311634117223171</v>
      </c>
      <c r="F3" s="2">
        <f>('[1]Pc, Summer, S2'!F3*Main!$B$5)+(_xlfn.IFNA(VLOOKUP($A3,'FL Ratio'!$A$3:$B$10,2,FALSE),0)*'FL Characterization'!F$2)</f>
        <v>34.935462806778062</v>
      </c>
      <c r="G3" s="2">
        <f>('[1]Pc, Summer, S2'!G3*Main!$B$5)+(_xlfn.IFNA(VLOOKUP($A3,'FL Ratio'!$A$3:$B$10,2,FALSE),0)*'FL Characterization'!G$2)</f>
        <v>37.077468972567324</v>
      </c>
      <c r="H3" s="2">
        <f>('[1]Pc, Summer, S2'!H3*Main!$B$5)+(_xlfn.IFNA(VLOOKUP($A3,'FL Ratio'!$A$3:$B$10,2,FALSE),0)*'FL Characterization'!H$2)</f>
        <v>46.413469960387935</v>
      </c>
      <c r="I3" s="2">
        <f>('[1]Pc, Summer, S2'!I3*Main!$B$5)+(_xlfn.IFNA(VLOOKUP($A3,'FL Ratio'!$A$3:$B$10,2,FALSE),0)*'FL Characterization'!I$2)</f>
        <v>55.243987175471077</v>
      </c>
      <c r="J3" s="2">
        <f>('[1]Pc, Summer, S2'!J3*Main!$B$5)+(_xlfn.IFNA(VLOOKUP($A3,'FL Ratio'!$A$3:$B$10,2,FALSE),0)*'FL Characterization'!J$2)</f>
        <v>57.606909963538442</v>
      </c>
      <c r="K3" s="2">
        <f>('[1]Pc, Summer, S2'!K3*Main!$B$5)+(_xlfn.IFNA(VLOOKUP($A3,'FL Ratio'!$A$3:$B$10,2,FALSE),0)*'FL Characterization'!K$2)</f>
        <v>56.530690139470089</v>
      </c>
      <c r="L3" s="2">
        <f>('[1]Pc, Summer, S2'!L3*Main!$B$5)+(_xlfn.IFNA(VLOOKUP($A3,'FL Ratio'!$A$3:$B$10,2,FALSE),0)*'FL Characterization'!L$2)</f>
        <v>56.342011935569765</v>
      </c>
      <c r="M3" s="2">
        <f>('[1]Pc, Summer, S2'!M3*Main!$B$5)+(_xlfn.IFNA(VLOOKUP($A3,'FL Ratio'!$A$3:$B$10,2,FALSE),0)*'FL Characterization'!M$2)</f>
        <v>60.079947047698937</v>
      </c>
      <c r="N3" s="2">
        <f>('[1]Pc, Summer, S2'!N3*Main!$B$5)+(_xlfn.IFNA(VLOOKUP($A3,'FL Ratio'!$A$3:$B$10,2,FALSE),0)*'FL Characterization'!N$2)</f>
        <v>60.252004869878917</v>
      </c>
      <c r="O3" s="2">
        <f>('[1]Pc, Summer, S2'!O3*Main!$B$5)+(_xlfn.IFNA(VLOOKUP($A3,'FL Ratio'!$A$3:$B$10,2,FALSE),0)*'FL Characterization'!O$2)</f>
        <v>60.641307417033609</v>
      </c>
      <c r="P3" s="2">
        <f>('[1]Pc, Summer, S2'!P3*Main!$B$5)+(_xlfn.IFNA(VLOOKUP($A3,'FL Ratio'!$A$3:$B$10,2,FALSE),0)*'FL Characterization'!P$2)</f>
        <v>57.698272639970085</v>
      </c>
      <c r="Q3" s="2">
        <f>('[1]Pc, Summer, S2'!Q3*Main!$B$5)+(_xlfn.IFNA(VLOOKUP($A3,'FL Ratio'!$A$3:$B$10,2,FALSE),0)*'FL Characterization'!Q$2)</f>
        <v>54.656541527463553</v>
      </c>
      <c r="R3" s="2">
        <f>('[1]Pc, Summer, S2'!R3*Main!$B$5)+(_xlfn.IFNA(VLOOKUP($A3,'FL Ratio'!$A$3:$B$10,2,FALSE),0)*'FL Characterization'!R$2)</f>
        <v>50.584344922794372</v>
      </c>
      <c r="S3" s="2">
        <f>('[1]Pc, Summer, S2'!S3*Main!$B$5)+(_xlfn.IFNA(VLOOKUP($A3,'FL Ratio'!$A$3:$B$10,2,FALSE),0)*'FL Characterization'!S$2)</f>
        <v>51.103994304933899</v>
      </c>
      <c r="T3" s="2">
        <f>('[1]Pc, Summer, S2'!T3*Main!$B$5)+(_xlfn.IFNA(VLOOKUP($A3,'FL Ratio'!$A$3:$B$10,2,FALSE),0)*'FL Characterization'!T$2)</f>
        <v>50.682249878849646</v>
      </c>
      <c r="U3" s="2">
        <f>('[1]Pc, Summer, S2'!U3*Main!$B$5)+(_xlfn.IFNA(VLOOKUP($A3,'FL Ratio'!$A$3:$B$10,2,FALSE),0)*'FL Characterization'!U$2)</f>
        <v>50.504398864003683</v>
      </c>
      <c r="V3" s="2">
        <f>('[1]Pc, Summer, S2'!V3*Main!$B$5)+(_xlfn.IFNA(VLOOKUP($A3,'FL Ratio'!$A$3:$B$10,2,FALSE),0)*'FL Characterization'!V$2)</f>
        <v>50.722802227511593</v>
      </c>
      <c r="W3" s="2">
        <f>('[1]Pc, Summer, S2'!W3*Main!$B$5)+(_xlfn.IFNA(VLOOKUP($A3,'FL Ratio'!$A$3:$B$10,2,FALSE),0)*'FL Characterization'!W$2)</f>
        <v>50.478522603428914</v>
      </c>
      <c r="X3" s="2">
        <f>('[1]Pc, Summer, S2'!X3*Main!$B$5)+(_xlfn.IFNA(VLOOKUP($A3,'FL Ratio'!$A$3:$B$10,2,FALSE),0)*'FL Characterization'!X$2)</f>
        <v>50.087438381213396</v>
      </c>
      <c r="Y3" s="2">
        <f>('[1]Pc, Summer, S2'!Y3*Main!$B$5)+(_xlfn.IFNA(VLOOKUP($A3,'FL Ratio'!$A$3:$B$10,2,FALSE),0)*'FL Characterization'!Y$2)</f>
        <v>47.351545277956156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56.023983733620625</v>
      </c>
      <c r="C4" s="2">
        <f>('[1]Pc, Summer, S2'!C4*Main!$B$5)+(_xlfn.IFNA(VLOOKUP($A4,'FL Ratio'!$A$3:$B$10,2,FALSE),0)*'FL Characterization'!C$2)</f>
        <v>49.681313042201886</v>
      </c>
      <c r="D4" s="2">
        <f>('[1]Pc, Summer, S2'!D4*Main!$B$5)+(_xlfn.IFNA(VLOOKUP($A4,'FL Ratio'!$A$3:$B$10,2,FALSE),0)*'FL Characterization'!D$2)</f>
        <v>46.855969316560575</v>
      </c>
      <c r="E4" s="2">
        <f>('[1]Pc, Summer, S2'!E4*Main!$B$5)+(_xlfn.IFNA(VLOOKUP($A4,'FL Ratio'!$A$3:$B$10,2,FALSE),0)*'FL Characterization'!E$2)</f>
        <v>45.325021092484576</v>
      </c>
      <c r="F4" s="2">
        <f>('[1]Pc, Summer, S2'!F4*Main!$B$5)+(_xlfn.IFNA(VLOOKUP($A4,'FL Ratio'!$A$3:$B$10,2,FALSE),0)*'FL Characterization'!F$2)</f>
        <v>47.547497617497541</v>
      </c>
      <c r="G4" s="2">
        <f>('[1]Pc, Summer, S2'!G4*Main!$B$5)+(_xlfn.IFNA(VLOOKUP($A4,'FL Ratio'!$A$3:$B$10,2,FALSE),0)*'FL Characterization'!G$2)</f>
        <v>43.435835217783755</v>
      </c>
      <c r="H4" s="2">
        <f>('[1]Pc, Summer, S2'!H4*Main!$B$5)+(_xlfn.IFNA(VLOOKUP($A4,'FL Ratio'!$A$3:$B$10,2,FALSE),0)*'FL Characterization'!H$2)</f>
        <v>51.014832405494651</v>
      </c>
      <c r="I4" s="2">
        <f>('[1]Pc, Summer, S2'!I4*Main!$B$5)+(_xlfn.IFNA(VLOOKUP($A4,'FL Ratio'!$A$3:$B$10,2,FALSE),0)*'FL Characterization'!I$2)</f>
        <v>57.464819739585224</v>
      </c>
      <c r="J4" s="2">
        <f>('[1]Pc, Summer, S2'!J4*Main!$B$5)+(_xlfn.IFNA(VLOOKUP($A4,'FL Ratio'!$A$3:$B$10,2,FALSE),0)*'FL Characterization'!J$2)</f>
        <v>64.6620120308515</v>
      </c>
      <c r="K4" s="2">
        <f>('[1]Pc, Summer, S2'!K4*Main!$B$5)+(_xlfn.IFNA(VLOOKUP($A4,'FL Ratio'!$A$3:$B$10,2,FALSE),0)*'FL Characterization'!K$2)</f>
        <v>69.503524626082864</v>
      </c>
      <c r="L4" s="2">
        <f>('[1]Pc, Summer, S2'!L4*Main!$B$5)+(_xlfn.IFNA(VLOOKUP($A4,'FL Ratio'!$A$3:$B$10,2,FALSE),0)*'FL Characterization'!L$2)</f>
        <v>71.553158434952039</v>
      </c>
      <c r="M4" s="2">
        <f>('[1]Pc, Summer, S2'!M4*Main!$B$5)+(_xlfn.IFNA(VLOOKUP($A4,'FL Ratio'!$A$3:$B$10,2,FALSE),0)*'FL Characterization'!M$2)</f>
        <v>72.739850504993939</v>
      </c>
      <c r="N4" s="2">
        <f>('[1]Pc, Summer, S2'!N4*Main!$B$5)+(_xlfn.IFNA(VLOOKUP($A4,'FL Ratio'!$A$3:$B$10,2,FALSE),0)*'FL Characterization'!N$2)</f>
        <v>74.334472094663866</v>
      </c>
      <c r="O4" s="2">
        <f>('[1]Pc, Summer, S2'!O4*Main!$B$5)+(_xlfn.IFNA(VLOOKUP($A4,'FL Ratio'!$A$3:$B$10,2,FALSE),0)*'FL Characterization'!O$2)</f>
        <v>75.328816421389305</v>
      </c>
      <c r="P4" s="2">
        <f>('[1]Pc, Summer, S2'!P4*Main!$B$5)+(_xlfn.IFNA(VLOOKUP($A4,'FL Ratio'!$A$3:$B$10,2,FALSE),0)*'FL Characterization'!P$2)</f>
        <v>75.645749111971256</v>
      </c>
      <c r="Q4" s="2">
        <f>('[1]Pc, Summer, S2'!Q4*Main!$B$5)+(_xlfn.IFNA(VLOOKUP($A4,'FL Ratio'!$A$3:$B$10,2,FALSE),0)*'FL Characterization'!Q$2)</f>
        <v>72.813147226673649</v>
      </c>
      <c r="R4" s="2">
        <f>('[1]Pc, Summer, S2'!R4*Main!$B$5)+(_xlfn.IFNA(VLOOKUP($A4,'FL Ratio'!$A$3:$B$10,2,FALSE),0)*'FL Characterization'!R$2)</f>
        <v>72.456945428004502</v>
      </c>
      <c r="S4" s="2">
        <f>('[1]Pc, Summer, S2'!S4*Main!$B$5)+(_xlfn.IFNA(VLOOKUP($A4,'FL Ratio'!$A$3:$B$10,2,FALSE),0)*'FL Characterization'!S$2)</f>
        <v>70.171230019704282</v>
      </c>
      <c r="T4" s="2">
        <f>('[1]Pc, Summer, S2'!T4*Main!$B$5)+(_xlfn.IFNA(VLOOKUP($A4,'FL Ratio'!$A$3:$B$10,2,FALSE),0)*'FL Characterization'!T$2)</f>
        <v>70.113325316290499</v>
      </c>
      <c r="U4" s="2">
        <f>('[1]Pc, Summer, S2'!U4*Main!$B$5)+(_xlfn.IFNA(VLOOKUP($A4,'FL Ratio'!$A$3:$B$10,2,FALSE),0)*'FL Characterization'!U$2)</f>
        <v>70.507001394388524</v>
      </c>
      <c r="V4" s="2">
        <f>('[1]Pc, Summer, S2'!V4*Main!$B$5)+(_xlfn.IFNA(VLOOKUP($A4,'FL Ratio'!$A$3:$B$10,2,FALSE),0)*'FL Characterization'!V$2)</f>
        <v>70.149284602250745</v>
      </c>
      <c r="W4" s="2">
        <f>('[1]Pc, Summer, S2'!W4*Main!$B$5)+(_xlfn.IFNA(VLOOKUP($A4,'FL Ratio'!$A$3:$B$10,2,FALSE),0)*'FL Characterization'!W$2)</f>
        <v>72.396791548781636</v>
      </c>
      <c r="X4" s="2">
        <f>('[1]Pc, Summer, S2'!X4*Main!$B$5)+(_xlfn.IFNA(VLOOKUP($A4,'FL Ratio'!$A$3:$B$10,2,FALSE),0)*'FL Characterization'!X$2)</f>
        <v>72.150673069089692</v>
      </c>
      <c r="Y4" s="2">
        <f>('[1]Pc, Summer, S2'!Y4*Main!$B$5)+(_xlfn.IFNA(VLOOKUP($A4,'FL Ratio'!$A$3:$B$10,2,FALSE),0)*'FL Characterization'!Y$2)</f>
        <v>65.045886119189674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E50CD1-D625-4A92-9BA0-2060A94ABB5B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39.24295330913197</v>
      </c>
      <c r="C2" s="2">
        <f>('[1]Pc, Summer, S2'!C2*Main!$B$5)+(_xlfn.IFNA(VLOOKUP($A2,'FL Ratio'!$A$3:$B$10,2,FALSE),0)*'FL Characterization'!C$2)</f>
        <v>35.653979231998314</v>
      </c>
      <c r="D2" s="2">
        <f>('[1]Pc, Summer, S2'!D2*Main!$B$5)+(_xlfn.IFNA(VLOOKUP($A2,'FL Ratio'!$A$3:$B$10,2,FALSE),0)*'FL Characterization'!D$2)</f>
        <v>35.031196879361552</v>
      </c>
      <c r="E2" s="2">
        <f>('[1]Pc, Summer, S2'!E2*Main!$B$5)+(_xlfn.IFNA(VLOOKUP($A2,'FL Ratio'!$A$3:$B$10,2,FALSE),0)*'FL Characterization'!E$2)</f>
        <v>34.941707443238791</v>
      </c>
      <c r="F2" s="2">
        <f>('[1]Pc, Summer, S2'!F2*Main!$B$5)+(_xlfn.IFNA(VLOOKUP($A2,'FL Ratio'!$A$3:$B$10,2,FALSE),0)*'FL Characterization'!F$2)</f>
        <v>34.944462251310178</v>
      </c>
      <c r="G2" s="2">
        <f>('[1]Pc, Summer, S2'!G2*Main!$B$5)+(_xlfn.IFNA(VLOOKUP($A2,'FL Ratio'!$A$3:$B$10,2,FALSE),0)*'FL Characterization'!G$2)</f>
        <v>34.635423637710176</v>
      </c>
      <c r="H2" s="2">
        <f>('[1]Pc, Summer, S2'!H2*Main!$B$5)+(_xlfn.IFNA(VLOOKUP($A2,'FL Ratio'!$A$3:$B$10,2,FALSE),0)*'FL Characterization'!H$2)</f>
        <v>37.392031613016798</v>
      </c>
      <c r="I2" s="2">
        <f>('[1]Pc, Summer, S2'!I2*Main!$B$5)+(_xlfn.IFNA(VLOOKUP($A2,'FL Ratio'!$A$3:$B$10,2,FALSE),0)*'FL Characterization'!I$2)</f>
        <v>44.393476694222905</v>
      </c>
      <c r="J2" s="2">
        <f>('[1]Pc, Summer, S2'!J2*Main!$B$5)+(_xlfn.IFNA(VLOOKUP($A2,'FL Ratio'!$A$3:$B$10,2,FALSE),0)*'FL Characterization'!J$2)</f>
        <v>50.595940288439209</v>
      </c>
      <c r="K2" s="2">
        <f>('[1]Pc, Summer, S2'!K2*Main!$B$5)+(_xlfn.IFNA(VLOOKUP($A2,'FL Ratio'!$A$3:$B$10,2,FALSE),0)*'FL Characterization'!K$2)</f>
        <v>52.150654833828533</v>
      </c>
      <c r="L2" s="2">
        <f>('[1]Pc, Summer, S2'!L2*Main!$B$5)+(_xlfn.IFNA(VLOOKUP($A2,'FL Ratio'!$A$3:$B$10,2,FALSE),0)*'FL Characterization'!L$2)</f>
        <v>51.622904119684407</v>
      </c>
      <c r="M2" s="2">
        <f>('[1]Pc, Summer, S2'!M2*Main!$B$5)+(_xlfn.IFNA(VLOOKUP($A2,'FL Ratio'!$A$3:$B$10,2,FALSE),0)*'FL Characterization'!M$2)</f>
        <v>53.082727978854521</v>
      </c>
      <c r="N2" s="2">
        <f>('[1]Pc, Summer, S2'!N2*Main!$B$5)+(_xlfn.IFNA(VLOOKUP($A2,'FL Ratio'!$A$3:$B$10,2,FALSE),0)*'FL Characterization'!N$2)</f>
        <v>53.810911081399432</v>
      </c>
      <c r="O2" s="2">
        <f>('[1]Pc, Summer, S2'!O2*Main!$B$5)+(_xlfn.IFNA(VLOOKUP($A2,'FL Ratio'!$A$3:$B$10,2,FALSE),0)*'FL Characterization'!O$2)</f>
        <v>52.815510037502548</v>
      </c>
      <c r="P2" s="2">
        <f>('[1]Pc, Summer, S2'!P2*Main!$B$5)+(_xlfn.IFNA(VLOOKUP($A2,'FL Ratio'!$A$3:$B$10,2,FALSE),0)*'FL Characterization'!P$2)</f>
        <v>50.751732959123146</v>
      </c>
      <c r="Q2" s="2">
        <f>('[1]Pc, Summer, S2'!Q2*Main!$B$5)+(_xlfn.IFNA(VLOOKUP($A2,'FL Ratio'!$A$3:$B$10,2,FALSE),0)*'FL Characterization'!Q$2)</f>
        <v>48.70906326500905</v>
      </c>
      <c r="R2" s="2">
        <f>('[1]Pc, Summer, S2'!R2*Main!$B$5)+(_xlfn.IFNA(VLOOKUP($A2,'FL Ratio'!$A$3:$B$10,2,FALSE),0)*'FL Characterization'!R$2)</f>
        <v>49.558876782901251</v>
      </c>
      <c r="S2" s="2">
        <f>('[1]Pc, Summer, S2'!S2*Main!$B$5)+(_xlfn.IFNA(VLOOKUP($A2,'FL Ratio'!$A$3:$B$10,2,FALSE),0)*'FL Characterization'!S$2)</f>
        <v>50.048506105601035</v>
      </c>
      <c r="T2" s="2">
        <f>('[1]Pc, Summer, S2'!T2*Main!$B$5)+(_xlfn.IFNA(VLOOKUP($A2,'FL Ratio'!$A$3:$B$10,2,FALSE),0)*'FL Characterization'!T$2)</f>
        <v>50.260943421954323</v>
      </c>
      <c r="U2" s="2">
        <f>('[1]Pc, Summer, S2'!U2*Main!$B$5)+(_xlfn.IFNA(VLOOKUP($A2,'FL Ratio'!$A$3:$B$10,2,FALSE),0)*'FL Characterization'!U$2)</f>
        <v>49.428893741341184</v>
      </c>
      <c r="V2" s="2">
        <f>('[1]Pc, Summer, S2'!V2*Main!$B$5)+(_xlfn.IFNA(VLOOKUP($A2,'FL Ratio'!$A$3:$B$10,2,FALSE),0)*'FL Characterization'!V$2)</f>
        <v>49.577405793255579</v>
      </c>
      <c r="W2" s="2">
        <f>('[1]Pc, Summer, S2'!W2*Main!$B$5)+(_xlfn.IFNA(VLOOKUP($A2,'FL Ratio'!$A$3:$B$10,2,FALSE),0)*'FL Characterization'!W$2)</f>
        <v>51.630801292795347</v>
      </c>
      <c r="X2" s="2">
        <f>('[1]Pc, Summer, S2'!X2*Main!$B$5)+(_xlfn.IFNA(VLOOKUP($A2,'FL Ratio'!$A$3:$B$10,2,FALSE),0)*'FL Characterization'!X$2)</f>
        <v>48.126156053137095</v>
      </c>
      <c r="Y2" s="2">
        <f>('[1]Pc, Summer, S2'!Y2*Main!$B$5)+(_xlfn.IFNA(VLOOKUP($A2,'FL Ratio'!$A$3:$B$10,2,FALSE),0)*'FL Characterization'!Y$2)</f>
        <v>44.116978907232173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42.163415013751745</v>
      </c>
      <c r="C3" s="2">
        <f>('[1]Pc, Summer, S2'!C3*Main!$B$5)+(_xlfn.IFNA(VLOOKUP($A3,'FL Ratio'!$A$3:$B$10,2,FALSE),0)*'FL Characterization'!C$2)</f>
        <v>38.682584133819226</v>
      </c>
      <c r="D3" s="2">
        <f>('[1]Pc, Summer, S2'!D3*Main!$B$5)+(_xlfn.IFNA(VLOOKUP($A3,'FL Ratio'!$A$3:$B$10,2,FALSE),0)*'FL Characterization'!D$2)</f>
        <v>36.652806321693681</v>
      </c>
      <c r="E3" s="2">
        <f>('[1]Pc, Summer, S2'!E3*Main!$B$5)+(_xlfn.IFNA(VLOOKUP($A3,'FL Ratio'!$A$3:$B$10,2,FALSE),0)*'FL Characterization'!E$2)</f>
        <v>35.311634117223171</v>
      </c>
      <c r="F3" s="2">
        <f>('[1]Pc, Summer, S2'!F3*Main!$B$5)+(_xlfn.IFNA(VLOOKUP($A3,'FL Ratio'!$A$3:$B$10,2,FALSE),0)*'FL Characterization'!F$2)</f>
        <v>34.935462806778062</v>
      </c>
      <c r="G3" s="2">
        <f>('[1]Pc, Summer, S2'!G3*Main!$B$5)+(_xlfn.IFNA(VLOOKUP($A3,'FL Ratio'!$A$3:$B$10,2,FALSE),0)*'FL Characterization'!G$2)</f>
        <v>37.077468972567324</v>
      </c>
      <c r="H3" s="2">
        <f>('[1]Pc, Summer, S2'!H3*Main!$B$5)+(_xlfn.IFNA(VLOOKUP($A3,'FL Ratio'!$A$3:$B$10,2,FALSE),0)*'FL Characterization'!H$2)</f>
        <v>46.413469960387935</v>
      </c>
      <c r="I3" s="2">
        <f>('[1]Pc, Summer, S2'!I3*Main!$B$5)+(_xlfn.IFNA(VLOOKUP($A3,'FL Ratio'!$A$3:$B$10,2,FALSE),0)*'FL Characterization'!I$2)</f>
        <v>55.243987175471077</v>
      </c>
      <c r="J3" s="2">
        <f>('[1]Pc, Summer, S2'!J3*Main!$B$5)+(_xlfn.IFNA(VLOOKUP($A3,'FL Ratio'!$A$3:$B$10,2,FALSE),0)*'FL Characterization'!J$2)</f>
        <v>57.606909963538442</v>
      </c>
      <c r="K3" s="2">
        <f>('[1]Pc, Summer, S2'!K3*Main!$B$5)+(_xlfn.IFNA(VLOOKUP($A3,'FL Ratio'!$A$3:$B$10,2,FALSE),0)*'FL Characterization'!K$2)</f>
        <v>56.530690139470089</v>
      </c>
      <c r="L3" s="2">
        <f>('[1]Pc, Summer, S2'!L3*Main!$B$5)+(_xlfn.IFNA(VLOOKUP($A3,'FL Ratio'!$A$3:$B$10,2,FALSE),0)*'FL Characterization'!L$2)</f>
        <v>56.342011935569765</v>
      </c>
      <c r="M3" s="2">
        <f>('[1]Pc, Summer, S2'!M3*Main!$B$5)+(_xlfn.IFNA(VLOOKUP($A3,'FL Ratio'!$A$3:$B$10,2,FALSE),0)*'FL Characterization'!M$2)</f>
        <v>60.079947047698937</v>
      </c>
      <c r="N3" s="2">
        <f>('[1]Pc, Summer, S2'!N3*Main!$B$5)+(_xlfn.IFNA(VLOOKUP($A3,'FL Ratio'!$A$3:$B$10,2,FALSE),0)*'FL Characterization'!N$2)</f>
        <v>60.252004869878917</v>
      </c>
      <c r="O3" s="2">
        <f>('[1]Pc, Summer, S2'!O3*Main!$B$5)+(_xlfn.IFNA(VLOOKUP($A3,'FL Ratio'!$A$3:$B$10,2,FALSE),0)*'FL Characterization'!O$2)</f>
        <v>60.641307417033609</v>
      </c>
      <c r="P3" s="2">
        <f>('[1]Pc, Summer, S2'!P3*Main!$B$5)+(_xlfn.IFNA(VLOOKUP($A3,'FL Ratio'!$A$3:$B$10,2,FALSE),0)*'FL Characterization'!P$2)</f>
        <v>57.698272639970085</v>
      </c>
      <c r="Q3" s="2">
        <f>('[1]Pc, Summer, S2'!Q3*Main!$B$5)+(_xlfn.IFNA(VLOOKUP($A3,'FL Ratio'!$A$3:$B$10,2,FALSE),0)*'FL Characterization'!Q$2)</f>
        <v>54.656541527463553</v>
      </c>
      <c r="R3" s="2">
        <f>('[1]Pc, Summer, S2'!R3*Main!$B$5)+(_xlfn.IFNA(VLOOKUP($A3,'FL Ratio'!$A$3:$B$10,2,FALSE),0)*'FL Characterization'!R$2)</f>
        <v>50.584344922794372</v>
      </c>
      <c r="S3" s="2">
        <f>('[1]Pc, Summer, S2'!S3*Main!$B$5)+(_xlfn.IFNA(VLOOKUP($A3,'FL Ratio'!$A$3:$B$10,2,FALSE),0)*'FL Characterization'!S$2)</f>
        <v>51.103994304933899</v>
      </c>
      <c r="T3" s="2">
        <f>('[1]Pc, Summer, S2'!T3*Main!$B$5)+(_xlfn.IFNA(VLOOKUP($A3,'FL Ratio'!$A$3:$B$10,2,FALSE),0)*'FL Characterization'!T$2)</f>
        <v>50.682249878849646</v>
      </c>
      <c r="U3" s="2">
        <f>('[1]Pc, Summer, S2'!U3*Main!$B$5)+(_xlfn.IFNA(VLOOKUP($A3,'FL Ratio'!$A$3:$B$10,2,FALSE),0)*'FL Characterization'!U$2)</f>
        <v>50.504398864003683</v>
      </c>
      <c r="V3" s="2">
        <f>('[1]Pc, Summer, S2'!V3*Main!$B$5)+(_xlfn.IFNA(VLOOKUP($A3,'FL Ratio'!$A$3:$B$10,2,FALSE),0)*'FL Characterization'!V$2)</f>
        <v>50.722802227511593</v>
      </c>
      <c r="W3" s="2">
        <f>('[1]Pc, Summer, S2'!W3*Main!$B$5)+(_xlfn.IFNA(VLOOKUP($A3,'FL Ratio'!$A$3:$B$10,2,FALSE),0)*'FL Characterization'!W$2)</f>
        <v>50.478522603428914</v>
      </c>
      <c r="X3" s="2">
        <f>('[1]Pc, Summer, S2'!X3*Main!$B$5)+(_xlfn.IFNA(VLOOKUP($A3,'FL Ratio'!$A$3:$B$10,2,FALSE),0)*'FL Characterization'!X$2)</f>
        <v>50.087438381213396</v>
      </c>
      <c r="Y3" s="2">
        <f>('[1]Pc, Summer, S2'!Y3*Main!$B$5)+(_xlfn.IFNA(VLOOKUP($A3,'FL Ratio'!$A$3:$B$10,2,FALSE),0)*'FL Characterization'!Y$2)</f>
        <v>47.351545277956156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56.023983733620625</v>
      </c>
      <c r="C4" s="2">
        <f>('[1]Pc, Summer, S2'!C4*Main!$B$5)+(_xlfn.IFNA(VLOOKUP($A4,'FL Ratio'!$A$3:$B$10,2,FALSE),0)*'FL Characterization'!C$2)</f>
        <v>49.681313042201886</v>
      </c>
      <c r="D4" s="2">
        <f>('[1]Pc, Summer, S2'!D4*Main!$B$5)+(_xlfn.IFNA(VLOOKUP($A4,'FL Ratio'!$A$3:$B$10,2,FALSE),0)*'FL Characterization'!D$2)</f>
        <v>46.855969316560575</v>
      </c>
      <c r="E4" s="2">
        <f>('[1]Pc, Summer, S2'!E4*Main!$B$5)+(_xlfn.IFNA(VLOOKUP($A4,'FL Ratio'!$A$3:$B$10,2,FALSE),0)*'FL Characterization'!E$2)</f>
        <v>45.325021092484576</v>
      </c>
      <c r="F4" s="2">
        <f>('[1]Pc, Summer, S2'!F4*Main!$B$5)+(_xlfn.IFNA(VLOOKUP($A4,'FL Ratio'!$A$3:$B$10,2,FALSE),0)*'FL Characterization'!F$2)</f>
        <v>47.547497617497541</v>
      </c>
      <c r="G4" s="2">
        <f>('[1]Pc, Summer, S2'!G4*Main!$B$5)+(_xlfn.IFNA(VLOOKUP($A4,'FL Ratio'!$A$3:$B$10,2,FALSE),0)*'FL Characterization'!G$2)</f>
        <v>43.435835217783755</v>
      </c>
      <c r="H4" s="2">
        <f>('[1]Pc, Summer, S2'!H4*Main!$B$5)+(_xlfn.IFNA(VLOOKUP($A4,'FL Ratio'!$A$3:$B$10,2,FALSE),0)*'FL Characterization'!H$2)</f>
        <v>51.014832405494651</v>
      </c>
      <c r="I4" s="2">
        <f>('[1]Pc, Summer, S2'!I4*Main!$B$5)+(_xlfn.IFNA(VLOOKUP($A4,'FL Ratio'!$A$3:$B$10,2,FALSE),0)*'FL Characterization'!I$2)</f>
        <v>57.464819739585224</v>
      </c>
      <c r="J4" s="2">
        <f>('[1]Pc, Summer, S2'!J4*Main!$B$5)+(_xlfn.IFNA(VLOOKUP($A4,'FL Ratio'!$A$3:$B$10,2,FALSE),0)*'FL Characterization'!J$2)</f>
        <v>64.6620120308515</v>
      </c>
      <c r="K4" s="2">
        <f>('[1]Pc, Summer, S2'!K4*Main!$B$5)+(_xlfn.IFNA(VLOOKUP($A4,'FL Ratio'!$A$3:$B$10,2,FALSE),0)*'FL Characterization'!K$2)</f>
        <v>69.503524626082864</v>
      </c>
      <c r="L4" s="2">
        <f>('[1]Pc, Summer, S2'!L4*Main!$B$5)+(_xlfn.IFNA(VLOOKUP($A4,'FL Ratio'!$A$3:$B$10,2,FALSE),0)*'FL Characterization'!L$2)</f>
        <v>71.553158434952039</v>
      </c>
      <c r="M4" s="2">
        <f>('[1]Pc, Summer, S2'!M4*Main!$B$5)+(_xlfn.IFNA(VLOOKUP($A4,'FL Ratio'!$A$3:$B$10,2,FALSE),0)*'FL Characterization'!M$2)</f>
        <v>72.739850504993939</v>
      </c>
      <c r="N4" s="2">
        <f>('[1]Pc, Summer, S2'!N4*Main!$B$5)+(_xlfn.IFNA(VLOOKUP($A4,'FL Ratio'!$A$3:$B$10,2,FALSE),0)*'FL Characterization'!N$2)</f>
        <v>74.334472094663866</v>
      </c>
      <c r="O4" s="2">
        <f>('[1]Pc, Summer, S2'!O4*Main!$B$5)+(_xlfn.IFNA(VLOOKUP($A4,'FL Ratio'!$A$3:$B$10,2,FALSE),0)*'FL Characterization'!O$2)</f>
        <v>75.328816421389305</v>
      </c>
      <c r="P4" s="2">
        <f>('[1]Pc, Summer, S2'!P4*Main!$B$5)+(_xlfn.IFNA(VLOOKUP($A4,'FL Ratio'!$A$3:$B$10,2,FALSE),0)*'FL Characterization'!P$2)</f>
        <v>75.645749111971256</v>
      </c>
      <c r="Q4" s="2">
        <f>('[1]Pc, Summer, S2'!Q4*Main!$B$5)+(_xlfn.IFNA(VLOOKUP($A4,'FL Ratio'!$A$3:$B$10,2,FALSE),0)*'FL Characterization'!Q$2)</f>
        <v>72.813147226673649</v>
      </c>
      <c r="R4" s="2">
        <f>('[1]Pc, Summer, S2'!R4*Main!$B$5)+(_xlfn.IFNA(VLOOKUP($A4,'FL Ratio'!$A$3:$B$10,2,FALSE),0)*'FL Characterization'!R$2)</f>
        <v>72.456945428004502</v>
      </c>
      <c r="S4" s="2">
        <f>('[1]Pc, Summer, S2'!S4*Main!$B$5)+(_xlfn.IFNA(VLOOKUP($A4,'FL Ratio'!$A$3:$B$10,2,FALSE),0)*'FL Characterization'!S$2)</f>
        <v>70.171230019704282</v>
      </c>
      <c r="T4" s="2">
        <f>('[1]Pc, Summer, S2'!T4*Main!$B$5)+(_xlfn.IFNA(VLOOKUP($A4,'FL Ratio'!$A$3:$B$10,2,FALSE),0)*'FL Characterization'!T$2)</f>
        <v>70.113325316290499</v>
      </c>
      <c r="U4" s="2">
        <f>('[1]Pc, Summer, S2'!U4*Main!$B$5)+(_xlfn.IFNA(VLOOKUP($A4,'FL Ratio'!$A$3:$B$10,2,FALSE),0)*'FL Characterization'!U$2)</f>
        <v>70.507001394388524</v>
      </c>
      <c r="V4" s="2">
        <f>('[1]Pc, Summer, S2'!V4*Main!$B$5)+(_xlfn.IFNA(VLOOKUP($A4,'FL Ratio'!$A$3:$B$10,2,FALSE),0)*'FL Characterization'!V$2)</f>
        <v>70.149284602250745</v>
      </c>
      <c r="W4" s="2">
        <f>('[1]Pc, Summer, S2'!W4*Main!$B$5)+(_xlfn.IFNA(VLOOKUP($A4,'FL Ratio'!$A$3:$B$10,2,FALSE),0)*'FL Characterization'!W$2)</f>
        <v>72.396791548781636</v>
      </c>
      <c r="X4" s="2">
        <f>('[1]Pc, Summer, S2'!X4*Main!$B$5)+(_xlfn.IFNA(VLOOKUP($A4,'FL Ratio'!$A$3:$B$10,2,FALSE),0)*'FL Characterization'!X$2)</f>
        <v>72.150673069089692</v>
      </c>
      <c r="Y4" s="2">
        <f>('[1]Pc, Summer, S2'!Y4*Main!$B$5)+(_xlfn.IFNA(VLOOKUP($A4,'FL Ratio'!$A$3:$B$10,2,FALSE),0)*'FL Characterization'!Y$2)</f>
        <v>65.045886119189674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3B092C-A374-4AA2-A2BC-FB6911C52662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39.24295330913197</v>
      </c>
      <c r="C2" s="2">
        <f>('[1]Pc, Summer, S2'!C2*Main!$B$5)+(_xlfn.IFNA(VLOOKUP($A2,'FL Ratio'!$A$3:$B$10,2,FALSE),0)*'FL Characterization'!C$2)</f>
        <v>35.653979231998314</v>
      </c>
      <c r="D2" s="2">
        <f>('[1]Pc, Summer, S2'!D2*Main!$B$5)+(_xlfn.IFNA(VLOOKUP($A2,'FL Ratio'!$A$3:$B$10,2,FALSE),0)*'FL Characterization'!D$2)</f>
        <v>35.031196879361552</v>
      </c>
      <c r="E2" s="2">
        <f>('[1]Pc, Summer, S2'!E2*Main!$B$5)+(_xlfn.IFNA(VLOOKUP($A2,'FL Ratio'!$A$3:$B$10,2,FALSE),0)*'FL Characterization'!E$2)</f>
        <v>34.941707443238791</v>
      </c>
      <c r="F2" s="2">
        <f>('[1]Pc, Summer, S2'!F2*Main!$B$5)+(_xlfn.IFNA(VLOOKUP($A2,'FL Ratio'!$A$3:$B$10,2,FALSE),0)*'FL Characterization'!F$2)</f>
        <v>34.944462251310178</v>
      </c>
      <c r="G2" s="2">
        <f>('[1]Pc, Summer, S2'!G2*Main!$B$5)+(_xlfn.IFNA(VLOOKUP($A2,'FL Ratio'!$A$3:$B$10,2,FALSE),0)*'FL Characterization'!G$2)</f>
        <v>34.635423637710176</v>
      </c>
      <c r="H2" s="2">
        <f>('[1]Pc, Summer, S2'!H2*Main!$B$5)+(_xlfn.IFNA(VLOOKUP($A2,'FL Ratio'!$A$3:$B$10,2,FALSE),0)*'FL Characterization'!H$2)</f>
        <v>37.392031613016798</v>
      </c>
      <c r="I2" s="2">
        <f>('[1]Pc, Summer, S2'!I2*Main!$B$5)+(_xlfn.IFNA(VLOOKUP($A2,'FL Ratio'!$A$3:$B$10,2,FALSE),0)*'FL Characterization'!I$2)</f>
        <v>44.393476694222905</v>
      </c>
      <c r="J2" s="2">
        <f>('[1]Pc, Summer, S2'!J2*Main!$B$5)+(_xlfn.IFNA(VLOOKUP($A2,'FL Ratio'!$A$3:$B$10,2,FALSE),0)*'FL Characterization'!J$2)</f>
        <v>50.595940288439209</v>
      </c>
      <c r="K2" s="2">
        <f>('[1]Pc, Summer, S2'!K2*Main!$B$5)+(_xlfn.IFNA(VLOOKUP($A2,'FL Ratio'!$A$3:$B$10,2,FALSE),0)*'FL Characterization'!K$2)</f>
        <v>52.150654833828533</v>
      </c>
      <c r="L2" s="2">
        <f>('[1]Pc, Summer, S2'!L2*Main!$B$5)+(_xlfn.IFNA(VLOOKUP($A2,'FL Ratio'!$A$3:$B$10,2,FALSE),0)*'FL Characterization'!L$2)</f>
        <v>51.622904119684407</v>
      </c>
      <c r="M2" s="2">
        <f>('[1]Pc, Summer, S2'!M2*Main!$B$5)+(_xlfn.IFNA(VLOOKUP($A2,'FL Ratio'!$A$3:$B$10,2,FALSE),0)*'FL Characterization'!M$2)</f>
        <v>53.082727978854521</v>
      </c>
      <c r="N2" s="2">
        <f>('[1]Pc, Summer, S2'!N2*Main!$B$5)+(_xlfn.IFNA(VLOOKUP($A2,'FL Ratio'!$A$3:$B$10,2,FALSE),0)*'FL Characterization'!N$2)</f>
        <v>53.810911081399432</v>
      </c>
      <c r="O2" s="2">
        <f>('[1]Pc, Summer, S2'!O2*Main!$B$5)+(_xlfn.IFNA(VLOOKUP($A2,'FL Ratio'!$A$3:$B$10,2,FALSE),0)*'FL Characterization'!O$2)</f>
        <v>52.815510037502548</v>
      </c>
      <c r="P2" s="2">
        <f>('[1]Pc, Summer, S2'!P2*Main!$B$5)+(_xlfn.IFNA(VLOOKUP($A2,'FL Ratio'!$A$3:$B$10,2,FALSE),0)*'FL Characterization'!P$2)</f>
        <v>50.751732959123146</v>
      </c>
      <c r="Q2" s="2">
        <f>('[1]Pc, Summer, S2'!Q2*Main!$B$5)+(_xlfn.IFNA(VLOOKUP($A2,'FL Ratio'!$A$3:$B$10,2,FALSE),0)*'FL Characterization'!Q$2)</f>
        <v>48.70906326500905</v>
      </c>
      <c r="R2" s="2">
        <f>('[1]Pc, Summer, S2'!R2*Main!$B$5)+(_xlfn.IFNA(VLOOKUP($A2,'FL Ratio'!$A$3:$B$10,2,FALSE),0)*'FL Characterization'!R$2)</f>
        <v>49.558876782901251</v>
      </c>
      <c r="S2" s="2">
        <f>('[1]Pc, Summer, S2'!S2*Main!$B$5)+(_xlfn.IFNA(VLOOKUP($A2,'FL Ratio'!$A$3:$B$10,2,FALSE),0)*'FL Characterization'!S$2)</f>
        <v>50.048506105601035</v>
      </c>
      <c r="T2" s="2">
        <f>('[1]Pc, Summer, S2'!T2*Main!$B$5)+(_xlfn.IFNA(VLOOKUP($A2,'FL Ratio'!$A$3:$B$10,2,FALSE),0)*'FL Characterization'!T$2)</f>
        <v>50.260943421954323</v>
      </c>
      <c r="U2" s="2">
        <f>('[1]Pc, Summer, S2'!U2*Main!$B$5)+(_xlfn.IFNA(VLOOKUP($A2,'FL Ratio'!$A$3:$B$10,2,FALSE),0)*'FL Characterization'!U$2)</f>
        <v>49.428893741341184</v>
      </c>
      <c r="V2" s="2">
        <f>('[1]Pc, Summer, S2'!V2*Main!$B$5)+(_xlfn.IFNA(VLOOKUP($A2,'FL Ratio'!$A$3:$B$10,2,FALSE),0)*'FL Characterization'!V$2)</f>
        <v>49.577405793255579</v>
      </c>
      <c r="W2" s="2">
        <f>('[1]Pc, Summer, S2'!W2*Main!$B$5)+(_xlfn.IFNA(VLOOKUP($A2,'FL Ratio'!$A$3:$B$10,2,FALSE),0)*'FL Characterization'!W$2)</f>
        <v>51.630801292795347</v>
      </c>
      <c r="X2" s="2">
        <f>('[1]Pc, Summer, S2'!X2*Main!$B$5)+(_xlfn.IFNA(VLOOKUP($A2,'FL Ratio'!$A$3:$B$10,2,FALSE),0)*'FL Characterization'!X$2)</f>
        <v>48.126156053137095</v>
      </c>
      <c r="Y2" s="2">
        <f>('[1]Pc, Summer, S2'!Y2*Main!$B$5)+(_xlfn.IFNA(VLOOKUP($A2,'FL Ratio'!$A$3:$B$10,2,FALSE),0)*'FL Characterization'!Y$2)</f>
        <v>44.116978907232173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42.163415013751745</v>
      </c>
      <c r="C3" s="2">
        <f>('[1]Pc, Summer, S2'!C3*Main!$B$5)+(_xlfn.IFNA(VLOOKUP($A3,'FL Ratio'!$A$3:$B$10,2,FALSE),0)*'FL Characterization'!C$2)</f>
        <v>38.682584133819226</v>
      </c>
      <c r="D3" s="2">
        <f>('[1]Pc, Summer, S2'!D3*Main!$B$5)+(_xlfn.IFNA(VLOOKUP($A3,'FL Ratio'!$A$3:$B$10,2,FALSE),0)*'FL Characterization'!D$2)</f>
        <v>36.652806321693681</v>
      </c>
      <c r="E3" s="2">
        <f>('[1]Pc, Summer, S2'!E3*Main!$B$5)+(_xlfn.IFNA(VLOOKUP($A3,'FL Ratio'!$A$3:$B$10,2,FALSE),0)*'FL Characterization'!E$2)</f>
        <v>35.311634117223171</v>
      </c>
      <c r="F3" s="2">
        <f>('[1]Pc, Summer, S2'!F3*Main!$B$5)+(_xlfn.IFNA(VLOOKUP($A3,'FL Ratio'!$A$3:$B$10,2,FALSE),0)*'FL Characterization'!F$2)</f>
        <v>34.935462806778062</v>
      </c>
      <c r="G3" s="2">
        <f>('[1]Pc, Summer, S2'!G3*Main!$B$5)+(_xlfn.IFNA(VLOOKUP($A3,'FL Ratio'!$A$3:$B$10,2,FALSE),0)*'FL Characterization'!G$2)</f>
        <v>37.077468972567324</v>
      </c>
      <c r="H3" s="2">
        <f>('[1]Pc, Summer, S2'!H3*Main!$B$5)+(_xlfn.IFNA(VLOOKUP($A3,'FL Ratio'!$A$3:$B$10,2,FALSE),0)*'FL Characterization'!H$2)</f>
        <v>46.413469960387935</v>
      </c>
      <c r="I3" s="2">
        <f>('[1]Pc, Summer, S2'!I3*Main!$B$5)+(_xlfn.IFNA(VLOOKUP($A3,'FL Ratio'!$A$3:$B$10,2,FALSE),0)*'FL Characterization'!I$2)</f>
        <v>55.243987175471077</v>
      </c>
      <c r="J3" s="2">
        <f>('[1]Pc, Summer, S2'!J3*Main!$B$5)+(_xlfn.IFNA(VLOOKUP($A3,'FL Ratio'!$A$3:$B$10,2,FALSE),0)*'FL Characterization'!J$2)</f>
        <v>57.606909963538442</v>
      </c>
      <c r="K3" s="2">
        <f>('[1]Pc, Summer, S2'!K3*Main!$B$5)+(_xlfn.IFNA(VLOOKUP($A3,'FL Ratio'!$A$3:$B$10,2,FALSE),0)*'FL Characterization'!K$2)</f>
        <v>56.530690139470089</v>
      </c>
      <c r="L3" s="2">
        <f>('[1]Pc, Summer, S2'!L3*Main!$B$5)+(_xlfn.IFNA(VLOOKUP($A3,'FL Ratio'!$A$3:$B$10,2,FALSE),0)*'FL Characterization'!L$2)</f>
        <v>56.342011935569765</v>
      </c>
      <c r="M3" s="2">
        <f>('[1]Pc, Summer, S2'!M3*Main!$B$5)+(_xlfn.IFNA(VLOOKUP($A3,'FL Ratio'!$A$3:$B$10,2,FALSE),0)*'FL Characterization'!M$2)</f>
        <v>60.079947047698937</v>
      </c>
      <c r="N3" s="2">
        <f>('[1]Pc, Summer, S2'!N3*Main!$B$5)+(_xlfn.IFNA(VLOOKUP($A3,'FL Ratio'!$A$3:$B$10,2,FALSE),0)*'FL Characterization'!N$2)</f>
        <v>60.252004869878917</v>
      </c>
      <c r="O3" s="2">
        <f>('[1]Pc, Summer, S2'!O3*Main!$B$5)+(_xlfn.IFNA(VLOOKUP($A3,'FL Ratio'!$A$3:$B$10,2,FALSE),0)*'FL Characterization'!O$2)</f>
        <v>60.641307417033609</v>
      </c>
      <c r="P3" s="2">
        <f>('[1]Pc, Summer, S2'!P3*Main!$B$5)+(_xlfn.IFNA(VLOOKUP($A3,'FL Ratio'!$A$3:$B$10,2,FALSE),0)*'FL Characterization'!P$2)</f>
        <v>57.698272639970085</v>
      </c>
      <c r="Q3" s="2">
        <f>('[1]Pc, Summer, S2'!Q3*Main!$B$5)+(_xlfn.IFNA(VLOOKUP($A3,'FL Ratio'!$A$3:$B$10,2,FALSE),0)*'FL Characterization'!Q$2)</f>
        <v>54.656541527463553</v>
      </c>
      <c r="R3" s="2">
        <f>('[1]Pc, Summer, S2'!R3*Main!$B$5)+(_xlfn.IFNA(VLOOKUP($A3,'FL Ratio'!$A$3:$B$10,2,FALSE),0)*'FL Characterization'!R$2)</f>
        <v>50.584344922794372</v>
      </c>
      <c r="S3" s="2">
        <f>('[1]Pc, Summer, S2'!S3*Main!$B$5)+(_xlfn.IFNA(VLOOKUP($A3,'FL Ratio'!$A$3:$B$10,2,FALSE),0)*'FL Characterization'!S$2)</f>
        <v>51.103994304933899</v>
      </c>
      <c r="T3" s="2">
        <f>('[1]Pc, Summer, S2'!T3*Main!$B$5)+(_xlfn.IFNA(VLOOKUP($A3,'FL Ratio'!$A$3:$B$10,2,FALSE),0)*'FL Characterization'!T$2)</f>
        <v>50.682249878849646</v>
      </c>
      <c r="U3" s="2">
        <f>('[1]Pc, Summer, S2'!U3*Main!$B$5)+(_xlfn.IFNA(VLOOKUP($A3,'FL Ratio'!$A$3:$B$10,2,FALSE),0)*'FL Characterization'!U$2)</f>
        <v>50.504398864003683</v>
      </c>
      <c r="V3" s="2">
        <f>('[1]Pc, Summer, S2'!V3*Main!$B$5)+(_xlfn.IFNA(VLOOKUP($A3,'FL Ratio'!$A$3:$B$10,2,FALSE),0)*'FL Characterization'!V$2)</f>
        <v>50.722802227511593</v>
      </c>
      <c r="W3" s="2">
        <f>('[1]Pc, Summer, S2'!W3*Main!$B$5)+(_xlfn.IFNA(VLOOKUP($A3,'FL Ratio'!$A$3:$B$10,2,FALSE),0)*'FL Characterization'!W$2)</f>
        <v>50.478522603428914</v>
      </c>
      <c r="X3" s="2">
        <f>('[1]Pc, Summer, S2'!X3*Main!$B$5)+(_xlfn.IFNA(VLOOKUP($A3,'FL Ratio'!$A$3:$B$10,2,FALSE),0)*'FL Characterization'!X$2)</f>
        <v>50.087438381213396</v>
      </c>
      <c r="Y3" s="2">
        <f>('[1]Pc, Summer, S2'!Y3*Main!$B$5)+(_xlfn.IFNA(VLOOKUP($A3,'FL Ratio'!$A$3:$B$10,2,FALSE),0)*'FL Characterization'!Y$2)</f>
        <v>47.351545277956156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56.023983733620625</v>
      </c>
      <c r="C4" s="2">
        <f>('[1]Pc, Summer, S2'!C4*Main!$B$5)+(_xlfn.IFNA(VLOOKUP($A4,'FL Ratio'!$A$3:$B$10,2,FALSE),0)*'FL Characterization'!C$2)</f>
        <v>49.681313042201886</v>
      </c>
      <c r="D4" s="2">
        <f>('[1]Pc, Summer, S2'!D4*Main!$B$5)+(_xlfn.IFNA(VLOOKUP($A4,'FL Ratio'!$A$3:$B$10,2,FALSE),0)*'FL Characterization'!D$2)</f>
        <v>46.855969316560575</v>
      </c>
      <c r="E4" s="2">
        <f>('[1]Pc, Summer, S2'!E4*Main!$B$5)+(_xlfn.IFNA(VLOOKUP($A4,'FL Ratio'!$A$3:$B$10,2,FALSE),0)*'FL Characterization'!E$2)</f>
        <v>45.325021092484576</v>
      </c>
      <c r="F4" s="2">
        <f>('[1]Pc, Summer, S2'!F4*Main!$B$5)+(_xlfn.IFNA(VLOOKUP($A4,'FL Ratio'!$A$3:$B$10,2,FALSE),0)*'FL Characterization'!F$2)</f>
        <v>47.547497617497541</v>
      </c>
      <c r="G4" s="2">
        <f>('[1]Pc, Summer, S2'!G4*Main!$B$5)+(_xlfn.IFNA(VLOOKUP($A4,'FL Ratio'!$A$3:$B$10,2,FALSE),0)*'FL Characterization'!G$2)</f>
        <v>43.435835217783755</v>
      </c>
      <c r="H4" s="2">
        <f>('[1]Pc, Summer, S2'!H4*Main!$B$5)+(_xlfn.IFNA(VLOOKUP($A4,'FL Ratio'!$A$3:$B$10,2,FALSE),0)*'FL Characterization'!H$2)</f>
        <v>51.014832405494651</v>
      </c>
      <c r="I4" s="2">
        <f>('[1]Pc, Summer, S2'!I4*Main!$B$5)+(_xlfn.IFNA(VLOOKUP($A4,'FL Ratio'!$A$3:$B$10,2,FALSE),0)*'FL Characterization'!I$2)</f>
        <v>57.464819739585224</v>
      </c>
      <c r="J4" s="2">
        <f>('[1]Pc, Summer, S2'!J4*Main!$B$5)+(_xlfn.IFNA(VLOOKUP($A4,'FL Ratio'!$A$3:$B$10,2,FALSE),0)*'FL Characterization'!J$2)</f>
        <v>64.6620120308515</v>
      </c>
      <c r="K4" s="2">
        <f>('[1]Pc, Summer, S2'!K4*Main!$B$5)+(_xlfn.IFNA(VLOOKUP($A4,'FL Ratio'!$A$3:$B$10,2,FALSE),0)*'FL Characterization'!K$2)</f>
        <v>69.503524626082864</v>
      </c>
      <c r="L4" s="2">
        <f>('[1]Pc, Summer, S2'!L4*Main!$B$5)+(_xlfn.IFNA(VLOOKUP($A4,'FL Ratio'!$A$3:$B$10,2,FALSE),0)*'FL Characterization'!L$2)</f>
        <v>71.553158434952039</v>
      </c>
      <c r="M4" s="2">
        <f>('[1]Pc, Summer, S2'!M4*Main!$B$5)+(_xlfn.IFNA(VLOOKUP($A4,'FL Ratio'!$A$3:$B$10,2,FALSE),0)*'FL Characterization'!M$2)</f>
        <v>72.739850504993939</v>
      </c>
      <c r="N4" s="2">
        <f>('[1]Pc, Summer, S2'!N4*Main!$B$5)+(_xlfn.IFNA(VLOOKUP($A4,'FL Ratio'!$A$3:$B$10,2,FALSE),0)*'FL Characterization'!N$2)</f>
        <v>74.334472094663866</v>
      </c>
      <c r="O4" s="2">
        <f>('[1]Pc, Summer, S2'!O4*Main!$B$5)+(_xlfn.IFNA(VLOOKUP($A4,'FL Ratio'!$A$3:$B$10,2,FALSE),0)*'FL Characterization'!O$2)</f>
        <v>75.328816421389305</v>
      </c>
      <c r="P4" s="2">
        <f>('[1]Pc, Summer, S2'!P4*Main!$B$5)+(_xlfn.IFNA(VLOOKUP($A4,'FL Ratio'!$A$3:$B$10,2,FALSE),0)*'FL Characterization'!P$2)</f>
        <v>75.645749111971256</v>
      </c>
      <c r="Q4" s="2">
        <f>('[1]Pc, Summer, S2'!Q4*Main!$B$5)+(_xlfn.IFNA(VLOOKUP($A4,'FL Ratio'!$A$3:$B$10,2,FALSE),0)*'FL Characterization'!Q$2)</f>
        <v>72.813147226673649</v>
      </c>
      <c r="R4" s="2">
        <f>('[1]Pc, Summer, S2'!R4*Main!$B$5)+(_xlfn.IFNA(VLOOKUP($A4,'FL Ratio'!$A$3:$B$10,2,FALSE),0)*'FL Characterization'!R$2)</f>
        <v>72.456945428004502</v>
      </c>
      <c r="S4" s="2">
        <f>('[1]Pc, Summer, S2'!S4*Main!$B$5)+(_xlfn.IFNA(VLOOKUP($A4,'FL Ratio'!$A$3:$B$10,2,FALSE),0)*'FL Characterization'!S$2)</f>
        <v>70.171230019704282</v>
      </c>
      <c r="T4" s="2">
        <f>('[1]Pc, Summer, S2'!T4*Main!$B$5)+(_xlfn.IFNA(VLOOKUP($A4,'FL Ratio'!$A$3:$B$10,2,FALSE),0)*'FL Characterization'!T$2)</f>
        <v>70.113325316290499</v>
      </c>
      <c r="U4" s="2">
        <f>('[1]Pc, Summer, S2'!U4*Main!$B$5)+(_xlfn.IFNA(VLOOKUP($A4,'FL Ratio'!$A$3:$B$10,2,FALSE),0)*'FL Characterization'!U$2)</f>
        <v>70.507001394388524</v>
      </c>
      <c r="V4" s="2">
        <f>('[1]Pc, Summer, S2'!V4*Main!$B$5)+(_xlfn.IFNA(VLOOKUP($A4,'FL Ratio'!$A$3:$B$10,2,FALSE),0)*'FL Characterization'!V$2)</f>
        <v>70.149284602250745</v>
      </c>
      <c r="W4" s="2">
        <f>('[1]Pc, Summer, S2'!W4*Main!$B$5)+(_xlfn.IFNA(VLOOKUP($A4,'FL Ratio'!$A$3:$B$10,2,FALSE),0)*'FL Characterization'!W$2)</f>
        <v>72.396791548781636</v>
      </c>
      <c r="X4" s="2">
        <f>('[1]Pc, Summer, S2'!X4*Main!$B$5)+(_xlfn.IFNA(VLOOKUP($A4,'FL Ratio'!$A$3:$B$10,2,FALSE),0)*'FL Characterization'!X$2)</f>
        <v>72.150673069089692</v>
      </c>
      <c r="Y4" s="2">
        <f>('[1]Pc, Summer, S2'!Y4*Main!$B$5)+(_xlfn.IFNA(VLOOKUP($A4,'FL Ratio'!$A$3:$B$10,2,FALSE),0)*'FL Characterization'!Y$2)</f>
        <v>65.045886119189674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F9CD-CB3D-425C-A8DE-D4D872192F88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37.337955575678954</v>
      </c>
      <c r="C2" s="2">
        <f>('[1]Pc, Summer, S3'!C2*Main!$B$5)+(_xlfn.IFNA(VLOOKUP($A2,'FL Ratio'!$A$3:$B$10,2,FALSE),0)*'FL Characterization'!C$2)</f>
        <v>33.923203541124607</v>
      </c>
      <c r="D2" s="2">
        <f>('[1]Pc, Summer, S3'!D2*Main!$B$5)+(_xlfn.IFNA(VLOOKUP($A2,'FL Ratio'!$A$3:$B$10,2,FALSE),0)*'FL Characterization'!D$2)</f>
        <v>33.330653341528468</v>
      </c>
      <c r="E2" s="2">
        <f>('[1]Pc, Summer, S3'!E2*Main!$B$5)+(_xlfn.IFNA(VLOOKUP($A2,'FL Ratio'!$A$3:$B$10,2,FALSE),0)*'FL Characterization'!E$2)</f>
        <v>33.245508052790299</v>
      </c>
      <c r="F2" s="2">
        <f>('[1]Pc, Summer, S3'!F2*Main!$B$5)+(_xlfn.IFNA(VLOOKUP($A2,'FL Ratio'!$A$3:$B$10,2,FALSE),0)*'FL Characterization'!F$2)</f>
        <v>33.248129132314538</v>
      </c>
      <c r="G2" s="2">
        <f>('[1]Pc, Summer, S3'!G2*Main!$B$5)+(_xlfn.IFNA(VLOOKUP($A2,'FL Ratio'!$A$3:$B$10,2,FALSE),0)*'FL Characterization'!G$2)</f>
        <v>32.95409239316114</v>
      </c>
      <c r="H2" s="2">
        <f>('[1]Pc, Summer, S3'!H2*Main!$B$5)+(_xlfn.IFNA(VLOOKUP($A2,'FL Ratio'!$A$3:$B$10,2,FALSE),0)*'FL Characterization'!H$2)</f>
        <v>35.576884447336376</v>
      </c>
      <c r="I2" s="2">
        <f>('[1]Pc, Summer, S3'!I2*Main!$B$5)+(_xlfn.IFNA(VLOOKUP($A2,'FL Ratio'!$A$3:$B$10,2,FALSE),0)*'FL Characterization'!I$2)</f>
        <v>42.23845355372665</v>
      </c>
      <c r="J2" s="2">
        <f>('[1]Pc, Summer, S3'!J2*Main!$B$5)+(_xlfn.IFNA(VLOOKUP($A2,'FL Ratio'!$A$3:$B$10,2,FALSE),0)*'FL Characterization'!J$2)</f>
        <v>48.139826682204301</v>
      </c>
      <c r="K2" s="2">
        <f>('[1]Pc, Summer, S3'!K2*Main!$B$5)+(_xlfn.IFNA(VLOOKUP($A2,'FL Ratio'!$A$3:$B$10,2,FALSE),0)*'FL Characterization'!K$2)</f>
        <v>49.619069647720337</v>
      </c>
      <c r="L2" s="2">
        <f>('[1]Pc, Summer, S3'!L2*Main!$B$5)+(_xlfn.IFNA(VLOOKUP($A2,'FL Ratio'!$A$3:$B$10,2,FALSE),0)*'FL Characterization'!L$2)</f>
        <v>49.116937900282259</v>
      </c>
      <c r="M2" s="2">
        <f>('[1]Pc, Summer, S3'!M2*Main!$B$5)+(_xlfn.IFNA(VLOOKUP($A2,'FL Ratio'!$A$3:$B$10,2,FALSE),0)*'FL Characterization'!M$2)</f>
        <v>50.505896523570321</v>
      </c>
      <c r="N2" s="2">
        <f>('[1]Pc, Summer, S3'!N2*Main!$B$5)+(_xlfn.IFNA(VLOOKUP($A2,'FL Ratio'!$A$3:$B$10,2,FALSE),0)*'FL Characterization'!N$2)</f>
        <v>51.198730931816932</v>
      </c>
      <c r="O2" s="2">
        <f>('[1]Pc, Summer, S3'!O2*Main!$B$5)+(_xlfn.IFNA(VLOOKUP($A2,'FL Ratio'!$A$3:$B$10,2,FALSE),0)*'FL Characterization'!O$2)</f>
        <v>50.251650326944173</v>
      </c>
      <c r="P2" s="2">
        <f>('[1]Pc, Summer, S3'!P2*Main!$B$5)+(_xlfn.IFNA(VLOOKUP($A2,'FL Ratio'!$A$3:$B$10,2,FALSE),0)*'FL Characterization'!P$2)</f>
        <v>48.288056601884158</v>
      </c>
      <c r="Q2" s="2">
        <f>('[1]Pc, Summer, S3'!Q2*Main!$B$5)+(_xlfn.IFNA(VLOOKUP($A2,'FL Ratio'!$A$3:$B$10,2,FALSE),0)*'FL Characterization'!Q$2)</f>
        <v>46.344545630785312</v>
      </c>
      <c r="R2" s="2">
        <f>('[1]Pc, Summer, S3'!R2*Main!$B$5)+(_xlfn.IFNA(VLOOKUP($A2,'FL Ratio'!$A$3:$B$10,2,FALSE),0)*'FL Characterization'!R$2)</f>
        <v>47.153106065284675</v>
      </c>
      <c r="S2" s="2">
        <f>('[1]Pc, Summer, S3'!S2*Main!$B$5)+(_xlfn.IFNA(VLOOKUP($A2,'FL Ratio'!$A$3:$B$10,2,FALSE),0)*'FL Characterization'!S$2)</f>
        <v>47.618966974261177</v>
      </c>
      <c r="T2" s="2">
        <f>('[1]Pc, Summer, S3'!T2*Main!$B$5)+(_xlfn.IFNA(VLOOKUP($A2,'FL Ratio'!$A$3:$B$10,2,FALSE),0)*'FL Characterization'!T$2)</f>
        <v>47.821091799529356</v>
      </c>
      <c r="U2" s="2">
        <f>('[1]Pc, Summer, S3'!U2*Main!$B$5)+(_xlfn.IFNA(VLOOKUP($A2,'FL Ratio'!$A$3:$B$10,2,FALSE),0)*'FL Characterization'!U$2)</f>
        <v>47.029432880111031</v>
      </c>
      <c r="V2" s="2">
        <f>('[1]Pc, Summer, S3'!V2*Main!$B$5)+(_xlfn.IFNA(VLOOKUP($A2,'FL Ratio'!$A$3:$B$10,2,FALSE),0)*'FL Characterization'!V$2)</f>
        <v>47.17073560911696</v>
      </c>
      <c r="W2" s="2">
        <f>('[1]Pc, Summer, S3'!W2*Main!$B$5)+(_xlfn.IFNA(VLOOKUP($A2,'FL Ratio'!$A$3:$B$10,2,FALSE),0)*'FL Characterization'!W$2)</f>
        <v>49.124451715475189</v>
      </c>
      <c r="X2" s="2">
        <f>('[1]Pc, Summer, S3'!X2*Main!$B$5)+(_xlfn.IFNA(VLOOKUP($A2,'FL Ratio'!$A$3:$B$10,2,FALSE),0)*'FL Characterization'!X$2)</f>
        <v>45.789934885509084</v>
      </c>
      <c r="Y2" s="2">
        <f>('[1]Pc, Summer, S3'!Y2*Main!$B$5)+(_xlfn.IFNA(VLOOKUP($A2,'FL Ratio'!$A$3:$B$10,2,FALSE),0)*'FL Characterization'!Y$2)</f>
        <v>41.975377989405366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40.231864335184042</v>
      </c>
      <c r="C3" s="2">
        <f>('[1]Pc, Summer, S3'!C3*Main!$B$5)+(_xlfn.IFNA(VLOOKUP($A3,'FL Ratio'!$A$3:$B$10,2,FALSE),0)*'FL Characterization'!C$2)</f>
        <v>36.923849208311452</v>
      </c>
      <c r="D3" s="2">
        <f>('[1]Pc, Summer, S3'!D3*Main!$B$5)+(_xlfn.IFNA(VLOOKUP($A3,'FL Ratio'!$A$3:$B$10,2,FALSE),0)*'FL Characterization'!D$2)</f>
        <v>34.980155497323977</v>
      </c>
      <c r="E3" s="2">
        <f>('[1]Pc, Summer, S3'!E3*Main!$B$5)+(_xlfn.IFNA(VLOOKUP($A3,'FL Ratio'!$A$3:$B$10,2,FALSE),0)*'FL Characterization'!E$2)</f>
        <v>33.698529899460546</v>
      </c>
      <c r="F3" s="2">
        <f>('[1]Pc, Summer, S3'!F3*Main!$B$5)+(_xlfn.IFNA(VLOOKUP($A3,'FL Ratio'!$A$3:$B$10,2,FALSE),0)*'FL Characterization'!F$2)</f>
        <v>33.322358589015437</v>
      </c>
      <c r="G3" s="2">
        <f>('[1]Pc, Summer, S3'!G3*Main!$B$5)+(_xlfn.IFNA(VLOOKUP($A3,'FL Ratio'!$A$3:$B$10,2,FALSE),0)*'FL Characterization'!G$2)</f>
        <v>35.347860077821792</v>
      </c>
      <c r="H3" s="2">
        <f>('[1]Pc, Summer, S3'!H3*Main!$B$5)+(_xlfn.IFNA(VLOOKUP($A3,'FL Ratio'!$A$3:$B$10,2,FALSE),0)*'FL Characterization'!H$2)</f>
        <v>44.246321252228576</v>
      </c>
      <c r="I3" s="2">
        <f>('[1]Pc, Summer, S3'!I3*Main!$B$5)+(_xlfn.IFNA(VLOOKUP($A3,'FL Ratio'!$A$3:$B$10,2,FALSE),0)*'FL Characterization'!I$2)</f>
        <v>52.577163789484217</v>
      </c>
      <c r="J3" s="2">
        <f>('[1]Pc, Summer, S3'!J3*Main!$B$5)+(_xlfn.IFNA(VLOOKUP($A3,'FL Ratio'!$A$3:$B$10,2,FALSE),0)*'FL Characterization'!J$2)</f>
        <v>54.8235817609919</v>
      </c>
      <c r="K3" s="2">
        <f>('[1]Pc, Summer, S3'!K3*Main!$B$5)+(_xlfn.IFNA(VLOOKUP($A3,'FL Ratio'!$A$3:$B$10,2,FALSE),0)*'FL Characterization'!K$2)</f>
        <v>53.805614414627343</v>
      </c>
      <c r="L3" s="2">
        <f>('[1]Pc, Summer, S3'!L3*Main!$B$5)+(_xlfn.IFNA(VLOOKUP($A3,'FL Ratio'!$A$3:$B$10,2,FALSE),0)*'FL Characterization'!L$2)</f>
        <v>53.618230478478225</v>
      </c>
      <c r="M3" s="2">
        <f>('[1]Pc, Summer, S3'!M3*Main!$B$5)+(_xlfn.IFNA(VLOOKUP($A3,'FL Ratio'!$A$3:$B$10,2,FALSE),0)*'FL Characterization'!M$2)</f>
        <v>57.177524659273942</v>
      </c>
      <c r="N3" s="2">
        <f>('[1]Pc, Summer, S3'!N3*Main!$B$5)+(_xlfn.IFNA(VLOOKUP($A3,'FL Ratio'!$A$3:$B$10,2,FALSE),0)*'FL Characterization'!N$2)</f>
        <v>57.349582481453922</v>
      </c>
      <c r="O3" s="2">
        <f>('[1]Pc, Summer, S3'!O3*Main!$B$5)+(_xlfn.IFNA(VLOOKUP($A3,'FL Ratio'!$A$3:$B$10,2,FALSE),0)*'FL Characterization'!O$2)</f>
        <v>57.738885028608614</v>
      </c>
      <c r="P3" s="2">
        <f>('[1]Pc, Summer, S3'!P3*Main!$B$5)+(_xlfn.IFNA(VLOOKUP($A3,'FL Ratio'!$A$3:$B$10,2,FALSE),0)*'FL Characterization'!P$2)</f>
        <v>54.941481376380636</v>
      </c>
      <c r="Q3" s="2">
        <f>('[1]Pc, Summer, S3'!Q3*Main!$B$5)+(_xlfn.IFNA(VLOOKUP($A3,'FL Ratio'!$A$3:$B$10,2,FALSE),0)*'FL Characterization'!Q$2)</f>
        <v>52.046675934338914</v>
      </c>
      <c r="R3" s="2">
        <f>('[1]Pc, Summer, S3'!R3*Main!$B$5)+(_xlfn.IFNA(VLOOKUP($A3,'FL Ratio'!$A$3:$B$10,2,FALSE),0)*'FL Characterization'!R$2)</f>
        <v>48.153119983125151</v>
      </c>
      <c r="S3" s="2">
        <f>('[1]Pc, Summer, S3'!S3*Main!$B$5)+(_xlfn.IFNA(VLOOKUP($A3,'FL Ratio'!$A$3:$B$10,2,FALSE),0)*'FL Characterization'!S$2)</f>
        <v>48.672769365264678</v>
      </c>
      <c r="T3" s="2">
        <f>('[1]Pc, Summer, S3'!T3*Main!$B$5)+(_xlfn.IFNA(VLOOKUP($A3,'FL Ratio'!$A$3:$B$10,2,FALSE),0)*'FL Characterization'!T$2)</f>
        <v>48.251024939180425</v>
      </c>
      <c r="U3" s="2">
        <f>('[1]Pc, Summer, S3'!U3*Main!$B$5)+(_xlfn.IFNA(VLOOKUP($A3,'FL Ratio'!$A$3:$B$10,2,FALSE),0)*'FL Characterization'!U$2)</f>
        <v>48.073173924334462</v>
      </c>
      <c r="V3" s="2">
        <f>('[1]Pc, Summer, S3'!V3*Main!$B$5)+(_xlfn.IFNA(VLOOKUP($A3,'FL Ratio'!$A$3:$B$10,2,FALSE),0)*'FL Characterization'!V$2)</f>
        <v>48.291577287842372</v>
      </c>
      <c r="W3" s="2">
        <f>('[1]Pc, Summer, S3'!W3*Main!$B$5)+(_xlfn.IFNA(VLOOKUP($A3,'FL Ratio'!$A$3:$B$10,2,FALSE),0)*'FL Characterization'!W$2)</f>
        <v>48.047297663759693</v>
      </c>
      <c r="X3" s="2">
        <f>('[1]Pc, Summer, S3'!X3*Main!$B$5)+(_xlfn.IFNA(VLOOKUP($A3,'FL Ratio'!$A$3:$B$10,2,FALSE),0)*'FL Characterization'!X$2)</f>
        <v>47.743591532737611</v>
      </c>
      <c r="Y3" s="2">
        <f>('[1]Pc, Summer, S3'!Y3*Main!$B$5)+(_xlfn.IFNA(VLOOKUP($A3,'FL Ratio'!$A$3:$B$10,2,FALSE),0)*'FL Characterization'!Y$2)</f>
        <v>45.158507042775554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53.419589913311711</v>
      </c>
      <c r="C4" s="2">
        <f>('[1]Pc, Summer, S3'!C4*Main!$B$5)+(_xlfn.IFNA(VLOOKUP($A4,'FL Ratio'!$A$3:$B$10,2,FALSE),0)*'FL Characterization'!C$2)</f>
        <v>47.388659237646415</v>
      </c>
      <c r="D4" s="2">
        <f>('[1]Pc, Summer, S3'!D4*Main!$B$5)+(_xlfn.IFNA(VLOOKUP($A4,'FL Ratio'!$A$3:$B$10,2,FALSE),0)*'FL Characterization'!D$2)</f>
        <v>44.688019317682759</v>
      </c>
      <c r="E4" s="2">
        <f>('[1]Pc, Summer, S3'!E4*Main!$B$5)+(_xlfn.IFNA(VLOOKUP($A4,'FL Ratio'!$A$3:$B$10,2,FALSE),0)*'FL Characterization'!E$2)</f>
        <v>43.225830128350054</v>
      </c>
      <c r="F4" s="2">
        <f>('[1]Pc, Summer, S3'!F4*Main!$B$5)+(_xlfn.IFNA(VLOOKUP($A4,'FL Ratio'!$A$3:$B$10,2,FALSE),0)*'FL Characterization'!F$2)</f>
        <v>45.32215870018544</v>
      </c>
      <c r="G4" s="2">
        <f>('[1]Pc, Summer, S3'!G4*Main!$B$5)+(_xlfn.IFNA(VLOOKUP($A4,'FL Ratio'!$A$3:$B$10,2,FALSE),0)*'FL Characterization'!G$2)</f>
        <v>41.397567767445189</v>
      </c>
      <c r="H4" s="2">
        <f>('[1]Pc, Summer, S3'!H4*Main!$B$5)+(_xlfn.IFNA(VLOOKUP($A4,'FL Ratio'!$A$3:$B$10,2,FALSE),0)*'FL Characterization'!H$2)</f>
        <v>48.624316588349537</v>
      </c>
      <c r="I4" s="2">
        <f>('[1]Pc, Summer, S3'!I4*Main!$B$5)+(_xlfn.IFNA(VLOOKUP($A4,'FL Ratio'!$A$3:$B$10,2,FALSE),0)*'FL Characterization'!I$2)</f>
        <v>54.690188947573411</v>
      </c>
      <c r="J4" s="2">
        <f>('[1]Pc, Summer, S3'!J4*Main!$B$5)+(_xlfn.IFNA(VLOOKUP($A4,'FL Ratio'!$A$3:$B$10,2,FALSE),0)*'FL Characterization'!J$2)</f>
        <v>61.536203145425674</v>
      </c>
      <c r="K4" s="2">
        <f>('[1]Pc, Summer, S3'!K4*Main!$B$5)+(_xlfn.IFNA(VLOOKUP($A4,'FL Ratio'!$A$3:$B$10,2,FALSE),0)*'FL Characterization'!K$2)</f>
        <v>66.14869965431717</v>
      </c>
      <c r="L4" s="2">
        <f>('[1]Pc, Summer, S3'!L4*Main!$B$5)+(_xlfn.IFNA(VLOOKUP($A4,'FL Ratio'!$A$3:$B$10,2,FALSE),0)*'FL Characterization'!L$2)</f>
        <v>68.090971807987557</v>
      </c>
      <c r="M4" s="2">
        <f>('[1]Pc, Summer, S3'!M4*Main!$B$5)+(_xlfn.IFNA(VLOOKUP($A4,'FL Ratio'!$A$3:$B$10,2,FALSE),0)*'FL Characterization'!M$2)</f>
        <v>69.222869696311903</v>
      </c>
      <c r="N4" s="2">
        <f>('[1]Pc, Summer, S3'!N4*Main!$B$5)+(_xlfn.IFNA(VLOOKUP($A4,'FL Ratio'!$A$3:$B$10,2,FALSE),0)*'FL Characterization'!N$2)</f>
        <v>70.748434792414358</v>
      </c>
      <c r="O4" s="2">
        <f>('[1]Pc, Summer, S3'!O4*Main!$B$5)+(_xlfn.IFNA(VLOOKUP($A4,'FL Ratio'!$A$3:$B$10,2,FALSE),0)*'FL Characterization'!O$2)</f>
        <v>71.713408158966459</v>
      </c>
      <c r="P4" s="2">
        <f>('[1]Pc, Summer, S3'!P4*Main!$B$5)+(_xlfn.IFNA(VLOOKUP($A4,'FL Ratio'!$A$3:$B$10,2,FALSE),0)*'FL Characterization'!P$2)</f>
        <v>72.017721126440023</v>
      </c>
      <c r="Q4" s="2">
        <f>('[1]Pc, Summer, S3'!Q4*Main!$B$5)+(_xlfn.IFNA(VLOOKUP($A4,'FL Ratio'!$A$3:$B$10,2,FALSE),0)*'FL Characterization'!Q$2)</f>
        <v>69.32189300737376</v>
      </c>
      <c r="R4" s="2">
        <f>('[1]Pc, Summer, S3'!R4*Main!$B$5)+(_xlfn.IFNA(VLOOKUP($A4,'FL Ratio'!$A$3:$B$10,2,FALSE),0)*'FL Characterization'!R$2)</f>
        <v>68.963943764781376</v>
      </c>
      <c r="S4" s="2">
        <f>('[1]Pc, Summer, S3'!S4*Main!$B$5)+(_xlfn.IFNA(VLOOKUP($A4,'FL Ratio'!$A$3:$B$10,2,FALSE),0)*'FL Characterization'!S$2)</f>
        <v>66.814411113298632</v>
      </c>
      <c r="T4" s="2">
        <f>('[1]Pc, Summer, S3'!T4*Main!$B$5)+(_xlfn.IFNA(VLOOKUP($A4,'FL Ratio'!$A$3:$B$10,2,FALSE),0)*'FL Characterization'!T$2)</f>
        <v>66.73884428742511</v>
      </c>
      <c r="U4" s="2">
        <f>('[1]Pc, Summer, S3'!U4*Main!$B$5)+(_xlfn.IFNA(VLOOKUP($A4,'FL Ratio'!$A$3:$B$10,2,FALSE),0)*'FL Characterization'!U$2)</f>
        <v>67.104776331885077</v>
      </c>
      <c r="V4" s="2">
        <f>('[1]Pc, Summer, S3'!V4*Main!$B$5)+(_xlfn.IFNA(VLOOKUP($A4,'FL Ratio'!$A$3:$B$10,2,FALSE),0)*'FL Characterization'!V$2)</f>
        <v>66.775026537594186</v>
      </c>
      <c r="W4" s="2">
        <f>('[1]Pc, Summer, S3'!W4*Main!$B$5)+(_xlfn.IFNA(VLOOKUP($A4,'FL Ratio'!$A$3:$B$10,2,FALSE),0)*'FL Characterization'!W$2)</f>
        <v>68.901572970988497</v>
      </c>
      <c r="X4" s="2">
        <f>('[1]Pc, Summer, S3'!X4*Main!$B$5)+(_xlfn.IFNA(VLOOKUP($A4,'FL Ratio'!$A$3:$B$10,2,FALSE),0)*'FL Characterization'!X$2)</f>
        <v>68.735795410522826</v>
      </c>
      <c r="Y4" s="2">
        <f>('[1]Pc, Summer, S3'!Y4*Main!$B$5)+(_xlfn.IFNA(VLOOKUP($A4,'FL Ratio'!$A$3:$B$10,2,FALSE),0)*'FL Characterization'!Y$2)</f>
        <v>61.993899299483182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C093A-A009-45C7-8400-95923DE29AB6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37.337955575678954</v>
      </c>
      <c r="C2" s="2">
        <f>('[1]Pc, Summer, S3'!C2*Main!$B$5)+(_xlfn.IFNA(VLOOKUP($A2,'FL Ratio'!$A$3:$B$10,2,FALSE),0)*'FL Characterization'!C$2)</f>
        <v>33.923203541124607</v>
      </c>
      <c r="D2" s="2">
        <f>('[1]Pc, Summer, S3'!D2*Main!$B$5)+(_xlfn.IFNA(VLOOKUP($A2,'FL Ratio'!$A$3:$B$10,2,FALSE),0)*'FL Characterization'!D$2)</f>
        <v>33.330653341528468</v>
      </c>
      <c r="E2" s="2">
        <f>('[1]Pc, Summer, S3'!E2*Main!$B$5)+(_xlfn.IFNA(VLOOKUP($A2,'FL Ratio'!$A$3:$B$10,2,FALSE),0)*'FL Characterization'!E$2)</f>
        <v>33.245508052790299</v>
      </c>
      <c r="F2" s="2">
        <f>('[1]Pc, Summer, S3'!F2*Main!$B$5)+(_xlfn.IFNA(VLOOKUP($A2,'FL Ratio'!$A$3:$B$10,2,FALSE),0)*'FL Characterization'!F$2)</f>
        <v>33.248129132314538</v>
      </c>
      <c r="G2" s="2">
        <f>('[1]Pc, Summer, S3'!G2*Main!$B$5)+(_xlfn.IFNA(VLOOKUP($A2,'FL Ratio'!$A$3:$B$10,2,FALSE),0)*'FL Characterization'!G$2)</f>
        <v>32.95409239316114</v>
      </c>
      <c r="H2" s="2">
        <f>('[1]Pc, Summer, S3'!H2*Main!$B$5)+(_xlfn.IFNA(VLOOKUP($A2,'FL Ratio'!$A$3:$B$10,2,FALSE),0)*'FL Characterization'!H$2)</f>
        <v>35.576884447336376</v>
      </c>
      <c r="I2" s="2">
        <f>('[1]Pc, Summer, S3'!I2*Main!$B$5)+(_xlfn.IFNA(VLOOKUP($A2,'FL Ratio'!$A$3:$B$10,2,FALSE),0)*'FL Characterization'!I$2)</f>
        <v>42.23845355372665</v>
      </c>
      <c r="J2" s="2">
        <f>('[1]Pc, Summer, S3'!J2*Main!$B$5)+(_xlfn.IFNA(VLOOKUP($A2,'FL Ratio'!$A$3:$B$10,2,FALSE),0)*'FL Characterization'!J$2)</f>
        <v>48.139826682204301</v>
      </c>
      <c r="K2" s="2">
        <f>('[1]Pc, Summer, S3'!K2*Main!$B$5)+(_xlfn.IFNA(VLOOKUP($A2,'FL Ratio'!$A$3:$B$10,2,FALSE),0)*'FL Characterization'!K$2)</f>
        <v>49.619069647720337</v>
      </c>
      <c r="L2" s="2">
        <f>('[1]Pc, Summer, S3'!L2*Main!$B$5)+(_xlfn.IFNA(VLOOKUP($A2,'FL Ratio'!$A$3:$B$10,2,FALSE),0)*'FL Characterization'!L$2)</f>
        <v>49.116937900282259</v>
      </c>
      <c r="M2" s="2">
        <f>('[1]Pc, Summer, S3'!M2*Main!$B$5)+(_xlfn.IFNA(VLOOKUP($A2,'FL Ratio'!$A$3:$B$10,2,FALSE),0)*'FL Characterization'!M$2)</f>
        <v>50.505896523570321</v>
      </c>
      <c r="N2" s="2">
        <f>('[1]Pc, Summer, S3'!N2*Main!$B$5)+(_xlfn.IFNA(VLOOKUP($A2,'FL Ratio'!$A$3:$B$10,2,FALSE),0)*'FL Characterization'!N$2)</f>
        <v>51.198730931816932</v>
      </c>
      <c r="O2" s="2">
        <f>('[1]Pc, Summer, S3'!O2*Main!$B$5)+(_xlfn.IFNA(VLOOKUP($A2,'FL Ratio'!$A$3:$B$10,2,FALSE),0)*'FL Characterization'!O$2)</f>
        <v>50.251650326944173</v>
      </c>
      <c r="P2" s="2">
        <f>('[1]Pc, Summer, S3'!P2*Main!$B$5)+(_xlfn.IFNA(VLOOKUP($A2,'FL Ratio'!$A$3:$B$10,2,FALSE),0)*'FL Characterization'!P$2)</f>
        <v>48.288056601884158</v>
      </c>
      <c r="Q2" s="2">
        <f>('[1]Pc, Summer, S3'!Q2*Main!$B$5)+(_xlfn.IFNA(VLOOKUP($A2,'FL Ratio'!$A$3:$B$10,2,FALSE),0)*'FL Characterization'!Q$2)</f>
        <v>46.344545630785312</v>
      </c>
      <c r="R2" s="2">
        <f>('[1]Pc, Summer, S3'!R2*Main!$B$5)+(_xlfn.IFNA(VLOOKUP($A2,'FL Ratio'!$A$3:$B$10,2,FALSE),0)*'FL Characterization'!R$2)</f>
        <v>47.153106065284675</v>
      </c>
      <c r="S2" s="2">
        <f>('[1]Pc, Summer, S3'!S2*Main!$B$5)+(_xlfn.IFNA(VLOOKUP($A2,'FL Ratio'!$A$3:$B$10,2,FALSE),0)*'FL Characterization'!S$2)</f>
        <v>47.618966974261177</v>
      </c>
      <c r="T2" s="2">
        <f>('[1]Pc, Summer, S3'!T2*Main!$B$5)+(_xlfn.IFNA(VLOOKUP($A2,'FL Ratio'!$A$3:$B$10,2,FALSE),0)*'FL Characterization'!T$2)</f>
        <v>47.821091799529356</v>
      </c>
      <c r="U2" s="2">
        <f>('[1]Pc, Summer, S3'!U2*Main!$B$5)+(_xlfn.IFNA(VLOOKUP($A2,'FL Ratio'!$A$3:$B$10,2,FALSE),0)*'FL Characterization'!U$2)</f>
        <v>47.029432880111031</v>
      </c>
      <c r="V2" s="2">
        <f>('[1]Pc, Summer, S3'!V2*Main!$B$5)+(_xlfn.IFNA(VLOOKUP($A2,'FL Ratio'!$A$3:$B$10,2,FALSE),0)*'FL Characterization'!V$2)</f>
        <v>47.17073560911696</v>
      </c>
      <c r="W2" s="2">
        <f>('[1]Pc, Summer, S3'!W2*Main!$B$5)+(_xlfn.IFNA(VLOOKUP($A2,'FL Ratio'!$A$3:$B$10,2,FALSE),0)*'FL Characterization'!W$2)</f>
        <v>49.124451715475189</v>
      </c>
      <c r="X2" s="2">
        <f>('[1]Pc, Summer, S3'!X2*Main!$B$5)+(_xlfn.IFNA(VLOOKUP($A2,'FL Ratio'!$A$3:$B$10,2,FALSE),0)*'FL Characterization'!X$2)</f>
        <v>45.789934885509084</v>
      </c>
      <c r="Y2" s="2">
        <f>('[1]Pc, Summer, S3'!Y2*Main!$B$5)+(_xlfn.IFNA(VLOOKUP($A2,'FL Ratio'!$A$3:$B$10,2,FALSE),0)*'FL Characterization'!Y$2)</f>
        <v>41.975377989405366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40.231864335184042</v>
      </c>
      <c r="C3" s="2">
        <f>('[1]Pc, Summer, S3'!C3*Main!$B$5)+(_xlfn.IFNA(VLOOKUP($A3,'FL Ratio'!$A$3:$B$10,2,FALSE),0)*'FL Characterization'!C$2)</f>
        <v>36.923849208311452</v>
      </c>
      <c r="D3" s="2">
        <f>('[1]Pc, Summer, S3'!D3*Main!$B$5)+(_xlfn.IFNA(VLOOKUP($A3,'FL Ratio'!$A$3:$B$10,2,FALSE),0)*'FL Characterization'!D$2)</f>
        <v>34.980155497323977</v>
      </c>
      <c r="E3" s="2">
        <f>('[1]Pc, Summer, S3'!E3*Main!$B$5)+(_xlfn.IFNA(VLOOKUP($A3,'FL Ratio'!$A$3:$B$10,2,FALSE),0)*'FL Characterization'!E$2)</f>
        <v>33.698529899460546</v>
      </c>
      <c r="F3" s="2">
        <f>('[1]Pc, Summer, S3'!F3*Main!$B$5)+(_xlfn.IFNA(VLOOKUP($A3,'FL Ratio'!$A$3:$B$10,2,FALSE),0)*'FL Characterization'!F$2)</f>
        <v>33.322358589015437</v>
      </c>
      <c r="G3" s="2">
        <f>('[1]Pc, Summer, S3'!G3*Main!$B$5)+(_xlfn.IFNA(VLOOKUP($A3,'FL Ratio'!$A$3:$B$10,2,FALSE),0)*'FL Characterization'!G$2)</f>
        <v>35.347860077821792</v>
      </c>
      <c r="H3" s="2">
        <f>('[1]Pc, Summer, S3'!H3*Main!$B$5)+(_xlfn.IFNA(VLOOKUP($A3,'FL Ratio'!$A$3:$B$10,2,FALSE),0)*'FL Characterization'!H$2)</f>
        <v>44.246321252228576</v>
      </c>
      <c r="I3" s="2">
        <f>('[1]Pc, Summer, S3'!I3*Main!$B$5)+(_xlfn.IFNA(VLOOKUP($A3,'FL Ratio'!$A$3:$B$10,2,FALSE),0)*'FL Characterization'!I$2)</f>
        <v>52.577163789484217</v>
      </c>
      <c r="J3" s="2">
        <f>('[1]Pc, Summer, S3'!J3*Main!$B$5)+(_xlfn.IFNA(VLOOKUP($A3,'FL Ratio'!$A$3:$B$10,2,FALSE),0)*'FL Characterization'!J$2)</f>
        <v>54.8235817609919</v>
      </c>
      <c r="K3" s="2">
        <f>('[1]Pc, Summer, S3'!K3*Main!$B$5)+(_xlfn.IFNA(VLOOKUP($A3,'FL Ratio'!$A$3:$B$10,2,FALSE),0)*'FL Characterization'!K$2)</f>
        <v>53.805614414627343</v>
      </c>
      <c r="L3" s="2">
        <f>('[1]Pc, Summer, S3'!L3*Main!$B$5)+(_xlfn.IFNA(VLOOKUP($A3,'FL Ratio'!$A$3:$B$10,2,FALSE),0)*'FL Characterization'!L$2)</f>
        <v>53.618230478478225</v>
      </c>
      <c r="M3" s="2">
        <f>('[1]Pc, Summer, S3'!M3*Main!$B$5)+(_xlfn.IFNA(VLOOKUP($A3,'FL Ratio'!$A$3:$B$10,2,FALSE),0)*'FL Characterization'!M$2)</f>
        <v>57.177524659273942</v>
      </c>
      <c r="N3" s="2">
        <f>('[1]Pc, Summer, S3'!N3*Main!$B$5)+(_xlfn.IFNA(VLOOKUP($A3,'FL Ratio'!$A$3:$B$10,2,FALSE),0)*'FL Characterization'!N$2)</f>
        <v>57.349582481453922</v>
      </c>
      <c r="O3" s="2">
        <f>('[1]Pc, Summer, S3'!O3*Main!$B$5)+(_xlfn.IFNA(VLOOKUP($A3,'FL Ratio'!$A$3:$B$10,2,FALSE),0)*'FL Characterization'!O$2)</f>
        <v>57.738885028608614</v>
      </c>
      <c r="P3" s="2">
        <f>('[1]Pc, Summer, S3'!P3*Main!$B$5)+(_xlfn.IFNA(VLOOKUP($A3,'FL Ratio'!$A$3:$B$10,2,FALSE),0)*'FL Characterization'!P$2)</f>
        <v>54.941481376380636</v>
      </c>
      <c r="Q3" s="2">
        <f>('[1]Pc, Summer, S3'!Q3*Main!$B$5)+(_xlfn.IFNA(VLOOKUP($A3,'FL Ratio'!$A$3:$B$10,2,FALSE),0)*'FL Characterization'!Q$2)</f>
        <v>52.046675934338914</v>
      </c>
      <c r="R3" s="2">
        <f>('[1]Pc, Summer, S3'!R3*Main!$B$5)+(_xlfn.IFNA(VLOOKUP($A3,'FL Ratio'!$A$3:$B$10,2,FALSE),0)*'FL Characterization'!R$2)</f>
        <v>48.153119983125151</v>
      </c>
      <c r="S3" s="2">
        <f>('[1]Pc, Summer, S3'!S3*Main!$B$5)+(_xlfn.IFNA(VLOOKUP($A3,'FL Ratio'!$A$3:$B$10,2,FALSE),0)*'FL Characterization'!S$2)</f>
        <v>48.672769365264678</v>
      </c>
      <c r="T3" s="2">
        <f>('[1]Pc, Summer, S3'!T3*Main!$B$5)+(_xlfn.IFNA(VLOOKUP($A3,'FL Ratio'!$A$3:$B$10,2,FALSE),0)*'FL Characterization'!T$2)</f>
        <v>48.251024939180425</v>
      </c>
      <c r="U3" s="2">
        <f>('[1]Pc, Summer, S3'!U3*Main!$B$5)+(_xlfn.IFNA(VLOOKUP($A3,'FL Ratio'!$A$3:$B$10,2,FALSE),0)*'FL Characterization'!U$2)</f>
        <v>48.073173924334462</v>
      </c>
      <c r="V3" s="2">
        <f>('[1]Pc, Summer, S3'!V3*Main!$B$5)+(_xlfn.IFNA(VLOOKUP($A3,'FL Ratio'!$A$3:$B$10,2,FALSE),0)*'FL Characterization'!V$2)</f>
        <v>48.291577287842372</v>
      </c>
      <c r="W3" s="2">
        <f>('[1]Pc, Summer, S3'!W3*Main!$B$5)+(_xlfn.IFNA(VLOOKUP($A3,'FL Ratio'!$A$3:$B$10,2,FALSE),0)*'FL Characterization'!W$2)</f>
        <v>48.047297663759693</v>
      </c>
      <c r="X3" s="2">
        <f>('[1]Pc, Summer, S3'!X3*Main!$B$5)+(_xlfn.IFNA(VLOOKUP($A3,'FL Ratio'!$A$3:$B$10,2,FALSE),0)*'FL Characterization'!X$2)</f>
        <v>47.743591532737611</v>
      </c>
      <c r="Y3" s="2">
        <f>('[1]Pc, Summer, S3'!Y3*Main!$B$5)+(_xlfn.IFNA(VLOOKUP($A3,'FL Ratio'!$A$3:$B$10,2,FALSE),0)*'FL Characterization'!Y$2)</f>
        <v>45.158507042775554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53.419589913311711</v>
      </c>
      <c r="C4" s="2">
        <f>('[1]Pc, Summer, S3'!C4*Main!$B$5)+(_xlfn.IFNA(VLOOKUP($A4,'FL Ratio'!$A$3:$B$10,2,FALSE),0)*'FL Characterization'!C$2)</f>
        <v>47.388659237646415</v>
      </c>
      <c r="D4" s="2">
        <f>('[1]Pc, Summer, S3'!D4*Main!$B$5)+(_xlfn.IFNA(VLOOKUP($A4,'FL Ratio'!$A$3:$B$10,2,FALSE),0)*'FL Characterization'!D$2)</f>
        <v>44.688019317682759</v>
      </c>
      <c r="E4" s="2">
        <f>('[1]Pc, Summer, S3'!E4*Main!$B$5)+(_xlfn.IFNA(VLOOKUP($A4,'FL Ratio'!$A$3:$B$10,2,FALSE),0)*'FL Characterization'!E$2)</f>
        <v>43.225830128350054</v>
      </c>
      <c r="F4" s="2">
        <f>('[1]Pc, Summer, S3'!F4*Main!$B$5)+(_xlfn.IFNA(VLOOKUP($A4,'FL Ratio'!$A$3:$B$10,2,FALSE),0)*'FL Characterization'!F$2)</f>
        <v>45.32215870018544</v>
      </c>
      <c r="G4" s="2">
        <f>('[1]Pc, Summer, S3'!G4*Main!$B$5)+(_xlfn.IFNA(VLOOKUP($A4,'FL Ratio'!$A$3:$B$10,2,FALSE),0)*'FL Characterization'!G$2)</f>
        <v>41.397567767445189</v>
      </c>
      <c r="H4" s="2">
        <f>('[1]Pc, Summer, S3'!H4*Main!$B$5)+(_xlfn.IFNA(VLOOKUP($A4,'FL Ratio'!$A$3:$B$10,2,FALSE),0)*'FL Characterization'!H$2)</f>
        <v>48.624316588349537</v>
      </c>
      <c r="I4" s="2">
        <f>('[1]Pc, Summer, S3'!I4*Main!$B$5)+(_xlfn.IFNA(VLOOKUP($A4,'FL Ratio'!$A$3:$B$10,2,FALSE),0)*'FL Characterization'!I$2)</f>
        <v>54.690188947573411</v>
      </c>
      <c r="J4" s="2">
        <f>('[1]Pc, Summer, S3'!J4*Main!$B$5)+(_xlfn.IFNA(VLOOKUP($A4,'FL Ratio'!$A$3:$B$10,2,FALSE),0)*'FL Characterization'!J$2)</f>
        <v>61.536203145425674</v>
      </c>
      <c r="K4" s="2">
        <f>('[1]Pc, Summer, S3'!K4*Main!$B$5)+(_xlfn.IFNA(VLOOKUP($A4,'FL Ratio'!$A$3:$B$10,2,FALSE),0)*'FL Characterization'!K$2)</f>
        <v>66.14869965431717</v>
      </c>
      <c r="L4" s="2">
        <f>('[1]Pc, Summer, S3'!L4*Main!$B$5)+(_xlfn.IFNA(VLOOKUP($A4,'FL Ratio'!$A$3:$B$10,2,FALSE),0)*'FL Characterization'!L$2)</f>
        <v>68.090971807987557</v>
      </c>
      <c r="M4" s="2">
        <f>('[1]Pc, Summer, S3'!M4*Main!$B$5)+(_xlfn.IFNA(VLOOKUP($A4,'FL Ratio'!$A$3:$B$10,2,FALSE),0)*'FL Characterization'!M$2)</f>
        <v>69.222869696311903</v>
      </c>
      <c r="N4" s="2">
        <f>('[1]Pc, Summer, S3'!N4*Main!$B$5)+(_xlfn.IFNA(VLOOKUP($A4,'FL Ratio'!$A$3:$B$10,2,FALSE),0)*'FL Characterization'!N$2)</f>
        <v>70.748434792414358</v>
      </c>
      <c r="O4" s="2">
        <f>('[1]Pc, Summer, S3'!O4*Main!$B$5)+(_xlfn.IFNA(VLOOKUP($A4,'FL Ratio'!$A$3:$B$10,2,FALSE),0)*'FL Characterization'!O$2)</f>
        <v>71.713408158966459</v>
      </c>
      <c r="P4" s="2">
        <f>('[1]Pc, Summer, S3'!P4*Main!$B$5)+(_xlfn.IFNA(VLOOKUP($A4,'FL Ratio'!$A$3:$B$10,2,FALSE),0)*'FL Characterization'!P$2)</f>
        <v>72.017721126440023</v>
      </c>
      <c r="Q4" s="2">
        <f>('[1]Pc, Summer, S3'!Q4*Main!$B$5)+(_xlfn.IFNA(VLOOKUP($A4,'FL Ratio'!$A$3:$B$10,2,FALSE),0)*'FL Characterization'!Q$2)</f>
        <v>69.32189300737376</v>
      </c>
      <c r="R4" s="2">
        <f>('[1]Pc, Summer, S3'!R4*Main!$B$5)+(_xlfn.IFNA(VLOOKUP($A4,'FL Ratio'!$A$3:$B$10,2,FALSE),0)*'FL Characterization'!R$2)</f>
        <v>68.963943764781376</v>
      </c>
      <c r="S4" s="2">
        <f>('[1]Pc, Summer, S3'!S4*Main!$B$5)+(_xlfn.IFNA(VLOOKUP($A4,'FL Ratio'!$A$3:$B$10,2,FALSE),0)*'FL Characterization'!S$2)</f>
        <v>66.814411113298632</v>
      </c>
      <c r="T4" s="2">
        <f>('[1]Pc, Summer, S3'!T4*Main!$B$5)+(_xlfn.IFNA(VLOOKUP($A4,'FL Ratio'!$A$3:$B$10,2,FALSE),0)*'FL Characterization'!T$2)</f>
        <v>66.73884428742511</v>
      </c>
      <c r="U4" s="2">
        <f>('[1]Pc, Summer, S3'!U4*Main!$B$5)+(_xlfn.IFNA(VLOOKUP($A4,'FL Ratio'!$A$3:$B$10,2,FALSE),0)*'FL Characterization'!U$2)</f>
        <v>67.104776331885077</v>
      </c>
      <c r="V4" s="2">
        <f>('[1]Pc, Summer, S3'!V4*Main!$B$5)+(_xlfn.IFNA(VLOOKUP($A4,'FL Ratio'!$A$3:$B$10,2,FALSE),0)*'FL Characterization'!V$2)</f>
        <v>66.775026537594186</v>
      </c>
      <c r="W4" s="2">
        <f>('[1]Pc, Summer, S3'!W4*Main!$B$5)+(_xlfn.IFNA(VLOOKUP($A4,'FL Ratio'!$A$3:$B$10,2,FALSE),0)*'FL Characterization'!W$2)</f>
        <v>68.901572970988497</v>
      </c>
      <c r="X4" s="2">
        <f>('[1]Pc, Summer, S3'!X4*Main!$B$5)+(_xlfn.IFNA(VLOOKUP($A4,'FL Ratio'!$A$3:$B$10,2,FALSE),0)*'FL Characterization'!X$2)</f>
        <v>68.735795410522826</v>
      </c>
      <c r="Y4" s="2">
        <f>('[1]Pc, Summer, S3'!Y4*Main!$B$5)+(_xlfn.IFNA(VLOOKUP($A4,'FL Ratio'!$A$3:$B$10,2,FALSE),0)*'FL Characterization'!Y$2)</f>
        <v>61.993899299483182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D7E3D7-C1B6-4623-A296-E98A362F351A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37.337955575678954</v>
      </c>
      <c r="C2" s="2">
        <f>('[1]Pc, Summer, S3'!C2*Main!$B$5)+(_xlfn.IFNA(VLOOKUP($A2,'FL Ratio'!$A$3:$B$10,2,FALSE),0)*'FL Characterization'!C$2)</f>
        <v>33.923203541124607</v>
      </c>
      <c r="D2" s="2">
        <f>('[1]Pc, Summer, S3'!D2*Main!$B$5)+(_xlfn.IFNA(VLOOKUP($A2,'FL Ratio'!$A$3:$B$10,2,FALSE),0)*'FL Characterization'!D$2)</f>
        <v>33.330653341528468</v>
      </c>
      <c r="E2" s="2">
        <f>('[1]Pc, Summer, S3'!E2*Main!$B$5)+(_xlfn.IFNA(VLOOKUP($A2,'FL Ratio'!$A$3:$B$10,2,FALSE),0)*'FL Characterization'!E$2)</f>
        <v>33.245508052790299</v>
      </c>
      <c r="F2" s="2">
        <f>('[1]Pc, Summer, S3'!F2*Main!$B$5)+(_xlfn.IFNA(VLOOKUP($A2,'FL Ratio'!$A$3:$B$10,2,FALSE),0)*'FL Characterization'!F$2)</f>
        <v>33.248129132314538</v>
      </c>
      <c r="G2" s="2">
        <f>('[1]Pc, Summer, S3'!G2*Main!$B$5)+(_xlfn.IFNA(VLOOKUP($A2,'FL Ratio'!$A$3:$B$10,2,FALSE),0)*'FL Characterization'!G$2)</f>
        <v>32.95409239316114</v>
      </c>
      <c r="H2" s="2">
        <f>('[1]Pc, Summer, S3'!H2*Main!$B$5)+(_xlfn.IFNA(VLOOKUP($A2,'FL Ratio'!$A$3:$B$10,2,FALSE),0)*'FL Characterization'!H$2)</f>
        <v>35.576884447336376</v>
      </c>
      <c r="I2" s="2">
        <f>('[1]Pc, Summer, S3'!I2*Main!$B$5)+(_xlfn.IFNA(VLOOKUP($A2,'FL Ratio'!$A$3:$B$10,2,FALSE),0)*'FL Characterization'!I$2)</f>
        <v>42.23845355372665</v>
      </c>
      <c r="J2" s="2">
        <f>('[1]Pc, Summer, S3'!J2*Main!$B$5)+(_xlfn.IFNA(VLOOKUP($A2,'FL Ratio'!$A$3:$B$10,2,FALSE),0)*'FL Characterization'!J$2)</f>
        <v>48.139826682204301</v>
      </c>
      <c r="K2" s="2">
        <f>('[1]Pc, Summer, S3'!K2*Main!$B$5)+(_xlfn.IFNA(VLOOKUP($A2,'FL Ratio'!$A$3:$B$10,2,FALSE),0)*'FL Characterization'!K$2)</f>
        <v>49.619069647720337</v>
      </c>
      <c r="L2" s="2">
        <f>('[1]Pc, Summer, S3'!L2*Main!$B$5)+(_xlfn.IFNA(VLOOKUP($A2,'FL Ratio'!$A$3:$B$10,2,FALSE),0)*'FL Characterization'!L$2)</f>
        <v>49.116937900282259</v>
      </c>
      <c r="M2" s="2">
        <f>('[1]Pc, Summer, S3'!M2*Main!$B$5)+(_xlfn.IFNA(VLOOKUP($A2,'FL Ratio'!$A$3:$B$10,2,FALSE),0)*'FL Characterization'!M$2)</f>
        <v>50.505896523570321</v>
      </c>
      <c r="N2" s="2">
        <f>('[1]Pc, Summer, S3'!N2*Main!$B$5)+(_xlfn.IFNA(VLOOKUP($A2,'FL Ratio'!$A$3:$B$10,2,FALSE),0)*'FL Characterization'!N$2)</f>
        <v>51.198730931816932</v>
      </c>
      <c r="O2" s="2">
        <f>('[1]Pc, Summer, S3'!O2*Main!$B$5)+(_xlfn.IFNA(VLOOKUP($A2,'FL Ratio'!$A$3:$B$10,2,FALSE),0)*'FL Characterization'!O$2)</f>
        <v>50.251650326944173</v>
      </c>
      <c r="P2" s="2">
        <f>('[1]Pc, Summer, S3'!P2*Main!$B$5)+(_xlfn.IFNA(VLOOKUP($A2,'FL Ratio'!$A$3:$B$10,2,FALSE),0)*'FL Characterization'!P$2)</f>
        <v>48.288056601884158</v>
      </c>
      <c r="Q2" s="2">
        <f>('[1]Pc, Summer, S3'!Q2*Main!$B$5)+(_xlfn.IFNA(VLOOKUP($A2,'FL Ratio'!$A$3:$B$10,2,FALSE),0)*'FL Characterization'!Q$2)</f>
        <v>46.344545630785312</v>
      </c>
      <c r="R2" s="2">
        <f>('[1]Pc, Summer, S3'!R2*Main!$B$5)+(_xlfn.IFNA(VLOOKUP($A2,'FL Ratio'!$A$3:$B$10,2,FALSE),0)*'FL Characterization'!R$2)</f>
        <v>47.153106065284675</v>
      </c>
      <c r="S2" s="2">
        <f>('[1]Pc, Summer, S3'!S2*Main!$B$5)+(_xlfn.IFNA(VLOOKUP($A2,'FL Ratio'!$A$3:$B$10,2,FALSE),0)*'FL Characterization'!S$2)</f>
        <v>47.618966974261177</v>
      </c>
      <c r="T2" s="2">
        <f>('[1]Pc, Summer, S3'!T2*Main!$B$5)+(_xlfn.IFNA(VLOOKUP($A2,'FL Ratio'!$A$3:$B$10,2,FALSE),0)*'FL Characterization'!T$2)</f>
        <v>47.821091799529356</v>
      </c>
      <c r="U2" s="2">
        <f>('[1]Pc, Summer, S3'!U2*Main!$B$5)+(_xlfn.IFNA(VLOOKUP($A2,'FL Ratio'!$A$3:$B$10,2,FALSE),0)*'FL Characterization'!U$2)</f>
        <v>47.029432880111031</v>
      </c>
      <c r="V2" s="2">
        <f>('[1]Pc, Summer, S3'!V2*Main!$B$5)+(_xlfn.IFNA(VLOOKUP($A2,'FL Ratio'!$A$3:$B$10,2,FALSE),0)*'FL Characterization'!V$2)</f>
        <v>47.17073560911696</v>
      </c>
      <c r="W2" s="2">
        <f>('[1]Pc, Summer, S3'!W2*Main!$B$5)+(_xlfn.IFNA(VLOOKUP($A2,'FL Ratio'!$A$3:$B$10,2,FALSE),0)*'FL Characterization'!W$2)</f>
        <v>49.124451715475189</v>
      </c>
      <c r="X2" s="2">
        <f>('[1]Pc, Summer, S3'!X2*Main!$B$5)+(_xlfn.IFNA(VLOOKUP($A2,'FL Ratio'!$A$3:$B$10,2,FALSE),0)*'FL Characterization'!X$2)</f>
        <v>45.789934885509084</v>
      </c>
      <c r="Y2" s="2">
        <f>('[1]Pc, Summer, S3'!Y2*Main!$B$5)+(_xlfn.IFNA(VLOOKUP($A2,'FL Ratio'!$A$3:$B$10,2,FALSE),0)*'FL Characterization'!Y$2)</f>
        <v>41.975377989405366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40.231864335184042</v>
      </c>
      <c r="C3" s="2">
        <f>('[1]Pc, Summer, S3'!C3*Main!$B$5)+(_xlfn.IFNA(VLOOKUP($A3,'FL Ratio'!$A$3:$B$10,2,FALSE),0)*'FL Characterization'!C$2)</f>
        <v>36.923849208311452</v>
      </c>
      <c r="D3" s="2">
        <f>('[1]Pc, Summer, S3'!D3*Main!$B$5)+(_xlfn.IFNA(VLOOKUP($A3,'FL Ratio'!$A$3:$B$10,2,FALSE),0)*'FL Characterization'!D$2)</f>
        <v>34.980155497323977</v>
      </c>
      <c r="E3" s="2">
        <f>('[1]Pc, Summer, S3'!E3*Main!$B$5)+(_xlfn.IFNA(VLOOKUP($A3,'FL Ratio'!$A$3:$B$10,2,FALSE),0)*'FL Characterization'!E$2)</f>
        <v>33.698529899460546</v>
      </c>
      <c r="F3" s="2">
        <f>('[1]Pc, Summer, S3'!F3*Main!$B$5)+(_xlfn.IFNA(VLOOKUP($A3,'FL Ratio'!$A$3:$B$10,2,FALSE),0)*'FL Characterization'!F$2)</f>
        <v>33.322358589015437</v>
      </c>
      <c r="G3" s="2">
        <f>('[1]Pc, Summer, S3'!G3*Main!$B$5)+(_xlfn.IFNA(VLOOKUP($A3,'FL Ratio'!$A$3:$B$10,2,FALSE),0)*'FL Characterization'!G$2)</f>
        <v>35.347860077821792</v>
      </c>
      <c r="H3" s="2">
        <f>('[1]Pc, Summer, S3'!H3*Main!$B$5)+(_xlfn.IFNA(VLOOKUP($A3,'FL Ratio'!$A$3:$B$10,2,FALSE),0)*'FL Characterization'!H$2)</f>
        <v>44.246321252228576</v>
      </c>
      <c r="I3" s="2">
        <f>('[1]Pc, Summer, S3'!I3*Main!$B$5)+(_xlfn.IFNA(VLOOKUP($A3,'FL Ratio'!$A$3:$B$10,2,FALSE),0)*'FL Characterization'!I$2)</f>
        <v>52.577163789484217</v>
      </c>
      <c r="J3" s="2">
        <f>('[1]Pc, Summer, S3'!J3*Main!$B$5)+(_xlfn.IFNA(VLOOKUP($A3,'FL Ratio'!$A$3:$B$10,2,FALSE),0)*'FL Characterization'!J$2)</f>
        <v>54.8235817609919</v>
      </c>
      <c r="K3" s="2">
        <f>('[1]Pc, Summer, S3'!K3*Main!$B$5)+(_xlfn.IFNA(VLOOKUP($A3,'FL Ratio'!$A$3:$B$10,2,FALSE),0)*'FL Characterization'!K$2)</f>
        <v>53.805614414627343</v>
      </c>
      <c r="L3" s="2">
        <f>('[1]Pc, Summer, S3'!L3*Main!$B$5)+(_xlfn.IFNA(VLOOKUP($A3,'FL Ratio'!$A$3:$B$10,2,FALSE),0)*'FL Characterization'!L$2)</f>
        <v>53.618230478478225</v>
      </c>
      <c r="M3" s="2">
        <f>('[1]Pc, Summer, S3'!M3*Main!$B$5)+(_xlfn.IFNA(VLOOKUP($A3,'FL Ratio'!$A$3:$B$10,2,FALSE),0)*'FL Characterization'!M$2)</f>
        <v>57.177524659273942</v>
      </c>
      <c r="N3" s="2">
        <f>('[1]Pc, Summer, S3'!N3*Main!$B$5)+(_xlfn.IFNA(VLOOKUP($A3,'FL Ratio'!$A$3:$B$10,2,FALSE),0)*'FL Characterization'!N$2)</f>
        <v>57.349582481453922</v>
      </c>
      <c r="O3" s="2">
        <f>('[1]Pc, Summer, S3'!O3*Main!$B$5)+(_xlfn.IFNA(VLOOKUP($A3,'FL Ratio'!$A$3:$B$10,2,FALSE),0)*'FL Characterization'!O$2)</f>
        <v>57.738885028608614</v>
      </c>
      <c r="P3" s="2">
        <f>('[1]Pc, Summer, S3'!P3*Main!$B$5)+(_xlfn.IFNA(VLOOKUP($A3,'FL Ratio'!$A$3:$B$10,2,FALSE),0)*'FL Characterization'!P$2)</f>
        <v>54.941481376380636</v>
      </c>
      <c r="Q3" s="2">
        <f>('[1]Pc, Summer, S3'!Q3*Main!$B$5)+(_xlfn.IFNA(VLOOKUP($A3,'FL Ratio'!$A$3:$B$10,2,FALSE),0)*'FL Characterization'!Q$2)</f>
        <v>52.046675934338914</v>
      </c>
      <c r="R3" s="2">
        <f>('[1]Pc, Summer, S3'!R3*Main!$B$5)+(_xlfn.IFNA(VLOOKUP($A3,'FL Ratio'!$A$3:$B$10,2,FALSE),0)*'FL Characterization'!R$2)</f>
        <v>48.153119983125151</v>
      </c>
      <c r="S3" s="2">
        <f>('[1]Pc, Summer, S3'!S3*Main!$B$5)+(_xlfn.IFNA(VLOOKUP($A3,'FL Ratio'!$A$3:$B$10,2,FALSE),0)*'FL Characterization'!S$2)</f>
        <v>48.672769365264678</v>
      </c>
      <c r="T3" s="2">
        <f>('[1]Pc, Summer, S3'!T3*Main!$B$5)+(_xlfn.IFNA(VLOOKUP($A3,'FL Ratio'!$A$3:$B$10,2,FALSE),0)*'FL Characterization'!T$2)</f>
        <v>48.251024939180425</v>
      </c>
      <c r="U3" s="2">
        <f>('[1]Pc, Summer, S3'!U3*Main!$B$5)+(_xlfn.IFNA(VLOOKUP($A3,'FL Ratio'!$A$3:$B$10,2,FALSE),0)*'FL Characterization'!U$2)</f>
        <v>48.073173924334462</v>
      </c>
      <c r="V3" s="2">
        <f>('[1]Pc, Summer, S3'!V3*Main!$B$5)+(_xlfn.IFNA(VLOOKUP($A3,'FL Ratio'!$A$3:$B$10,2,FALSE),0)*'FL Characterization'!V$2)</f>
        <v>48.291577287842372</v>
      </c>
      <c r="W3" s="2">
        <f>('[1]Pc, Summer, S3'!W3*Main!$B$5)+(_xlfn.IFNA(VLOOKUP($A3,'FL Ratio'!$A$3:$B$10,2,FALSE),0)*'FL Characterization'!W$2)</f>
        <v>48.047297663759693</v>
      </c>
      <c r="X3" s="2">
        <f>('[1]Pc, Summer, S3'!X3*Main!$B$5)+(_xlfn.IFNA(VLOOKUP($A3,'FL Ratio'!$A$3:$B$10,2,FALSE),0)*'FL Characterization'!X$2)</f>
        <v>47.743591532737611</v>
      </c>
      <c r="Y3" s="2">
        <f>('[1]Pc, Summer, S3'!Y3*Main!$B$5)+(_xlfn.IFNA(VLOOKUP($A3,'FL Ratio'!$A$3:$B$10,2,FALSE),0)*'FL Characterization'!Y$2)</f>
        <v>45.158507042775554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53.419589913311711</v>
      </c>
      <c r="C4" s="2">
        <f>('[1]Pc, Summer, S3'!C4*Main!$B$5)+(_xlfn.IFNA(VLOOKUP($A4,'FL Ratio'!$A$3:$B$10,2,FALSE),0)*'FL Characterization'!C$2)</f>
        <v>47.388659237646415</v>
      </c>
      <c r="D4" s="2">
        <f>('[1]Pc, Summer, S3'!D4*Main!$B$5)+(_xlfn.IFNA(VLOOKUP($A4,'FL Ratio'!$A$3:$B$10,2,FALSE),0)*'FL Characterization'!D$2)</f>
        <v>44.688019317682759</v>
      </c>
      <c r="E4" s="2">
        <f>('[1]Pc, Summer, S3'!E4*Main!$B$5)+(_xlfn.IFNA(VLOOKUP($A4,'FL Ratio'!$A$3:$B$10,2,FALSE),0)*'FL Characterization'!E$2)</f>
        <v>43.225830128350054</v>
      </c>
      <c r="F4" s="2">
        <f>('[1]Pc, Summer, S3'!F4*Main!$B$5)+(_xlfn.IFNA(VLOOKUP($A4,'FL Ratio'!$A$3:$B$10,2,FALSE),0)*'FL Characterization'!F$2)</f>
        <v>45.32215870018544</v>
      </c>
      <c r="G4" s="2">
        <f>('[1]Pc, Summer, S3'!G4*Main!$B$5)+(_xlfn.IFNA(VLOOKUP($A4,'FL Ratio'!$A$3:$B$10,2,FALSE),0)*'FL Characterization'!G$2)</f>
        <v>41.397567767445189</v>
      </c>
      <c r="H4" s="2">
        <f>('[1]Pc, Summer, S3'!H4*Main!$B$5)+(_xlfn.IFNA(VLOOKUP($A4,'FL Ratio'!$A$3:$B$10,2,FALSE),0)*'FL Characterization'!H$2)</f>
        <v>48.624316588349537</v>
      </c>
      <c r="I4" s="2">
        <f>('[1]Pc, Summer, S3'!I4*Main!$B$5)+(_xlfn.IFNA(VLOOKUP($A4,'FL Ratio'!$A$3:$B$10,2,FALSE),0)*'FL Characterization'!I$2)</f>
        <v>54.690188947573411</v>
      </c>
      <c r="J4" s="2">
        <f>('[1]Pc, Summer, S3'!J4*Main!$B$5)+(_xlfn.IFNA(VLOOKUP($A4,'FL Ratio'!$A$3:$B$10,2,FALSE),0)*'FL Characterization'!J$2)</f>
        <v>61.536203145425674</v>
      </c>
      <c r="K4" s="2">
        <f>('[1]Pc, Summer, S3'!K4*Main!$B$5)+(_xlfn.IFNA(VLOOKUP($A4,'FL Ratio'!$A$3:$B$10,2,FALSE),0)*'FL Characterization'!K$2)</f>
        <v>66.14869965431717</v>
      </c>
      <c r="L4" s="2">
        <f>('[1]Pc, Summer, S3'!L4*Main!$B$5)+(_xlfn.IFNA(VLOOKUP($A4,'FL Ratio'!$A$3:$B$10,2,FALSE),0)*'FL Characterization'!L$2)</f>
        <v>68.090971807987557</v>
      </c>
      <c r="M4" s="2">
        <f>('[1]Pc, Summer, S3'!M4*Main!$B$5)+(_xlfn.IFNA(VLOOKUP($A4,'FL Ratio'!$A$3:$B$10,2,FALSE),0)*'FL Characterization'!M$2)</f>
        <v>69.222869696311903</v>
      </c>
      <c r="N4" s="2">
        <f>('[1]Pc, Summer, S3'!N4*Main!$B$5)+(_xlfn.IFNA(VLOOKUP($A4,'FL Ratio'!$A$3:$B$10,2,FALSE),0)*'FL Characterization'!N$2)</f>
        <v>70.748434792414358</v>
      </c>
      <c r="O4" s="2">
        <f>('[1]Pc, Summer, S3'!O4*Main!$B$5)+(_xlfn.IFNA(VLOOKUP($A4,'FL Ratio'!$A$3:$B$10,2,FALSE),0)*'FL Characterization'!O$2)</f>
        <v>71.713408158966459</v>
      </c>
      <c r="P4" s="2">
        <f>('[1]Pc, Summer, S3'!P4*Main!$B$5)+(_xlfn.IFNA(VLOOKUP($A4,'FL Ratio'!$A$3:$B$10,2,FALSE),0)*'FL Characterization'!P$2)</f>
        <v>72.017721126440023</v>
      </c>
      <c r="Q4" s="2">
        <f>('[1]Pc, Summer, S3'!Q4*Main!$B$5)+(_xlfn.IFNA(VLOOKUP($A4,'FL Ratio'!$A$3:$B$10,2,FALSE),0)*'FL Characterization'!Q$2)</f>
        <v>69.32189300737376</v>
      </c>
      <c r="R4" s="2">
        <f>('[1]Pc, Summer, S3'!R4*Main!$B$5)+(_xlfn.IFNA(VLOOKUP($A4,'FL Ratio'!$A$3:$B$10,2,FALSE),0)*'FL Characterization'!R$2)</f>
        <v>68.963943764781376</v>
      </c>
      <c r="S4" s="2">
        <f>('[1]Pc, Summer, S3'!S4*Main!$B$5)+(_xlfn.IFNA(VLOOKUP($A4,'FL Ratio'!$A$3:$B$10,2,FALSE),0)*'FL Characterization'!S$2)</f>
        <v>66.814411113298632</v>
      </c>
      <c r="T4" s="2">
        <f>('[1]Pc, Summer, S3'!T4*Main!$B$5)+(_xlfn.IFNA(VLOOKUP($A4,'FL Ratio'!$A$3:$B$10,2,FALSE),0)*'FL Characterization'!T$2)</f>
        <v>66.73884428742511</v>
      </c>
      <c r="U4" s="2">
        <f>('[1]Pc, Summer, S3'!U4*Main!$B$5)+(_xlfn.IFNA(VLOOKUP($A4,'FL Ratio'!$A$3:$B$10,2,FALSE),0)*'FL Characterization'!U$2)</f>
        <v>67.104776331885077</v>
      </c>
      <c r="V4" s="2">
        <f>('[1]Pc, Summer, S3'!V4*Main!$B$5)+(_xlfn.IFNA(VLOOKUP($A4,'FL Ratio'!$A$3:$B$10,2,FALSE),0)*'FL Characterization'!V$2)</f>
        <v>66.775026537594186</v>
      </c>
      <c r="W4" s="2">
        <f>('[1]Pc, Summer, S3'!W4*Main!$B$5)+(_xlfn.IFNA(VLOOKUP($A4,'FL Ratio'!$A$3:$B$10,2,FALSE),0)*'FL Characterization'!W$2)</f>
        <v>68.901572970988497</v>
      </c>
      <c r="X4" s="2">
        <f>('[1]Pc, Summer, S3'!X4*Main!$B$5)+(_xlfn.IFNA(VLOOKUP($A4,'FL Ratio'!$A$3:$B$10,2,FALSE),0)*'FL Characterization'!X$2)</f>
        <v>68.735795410522826</v>
      </c>
      <c r="Y4" s="2">
        <f>('[1]Pc, Summer, S3'!Y4*Main!$B$5)+(_xlfn.IFNA(VLOOKUP($A4,'FL Ratio'!$A$3:$B$10,2,FALSE),0)*'FL Characterization'!Y$2)</f>
        <v>61.993899299483182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753056-E6B3-4F0E-8018-F15414CCE61A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-12.144380643184002</v>
      </c>
      <c r="C2" s="2">
        <f>('[1]Qc, Summer, S1'!C2*Main!$B$5)</f>
        <v>-15.789186049117561</v>
      </c>
      <c r="D2" s="2">
        <f>('[1]Qc, Summer, S1'!D2*Main!$B$5)</f>
        <v>-17.402730107229637</v>
      </c>
      <c r="E2" s="2">
        <f>('[1]Qc, Summer, S1'!E2*Main!$B$5)</f>
        <v>-15.880902963817677</v>
      </c>
      <c r="F2" s="2">
        <f>('[1]Qc, Summer, S1'!F2*Main!$B$5)</f>
        <v>-17.022191350241229</v>
      </c>
      <c r="G2" s="2">
        <f>('[1]Qc, Summer, S1'!G2*Main!$B$5)</f>
        <v>-17.414534330549976</v>
      </c>
      <c r="H2" s="2">
        <f>('[1]Qc, Summer, S1'!H2*Main!$B$5)</f>
        <v>-15.093007724799921</v>
      </c>
      <c r="I2" s="2">
        <f>('[1]Qc, Summer, S1'!I2*Main!$B$5)</f>
        <v>-2.3481329110304294</v>
      </c>
      <c r="J2" s="2">
        <f>('[1]Qc, Summer, S1'!J2*Main!$B$5)</f>
        <v>7.5373338601290572</v>
      </c>
      <c r="K2" s="2">
        <f>('[1]Qc, Summer, S1'!K2*Main!$B$5)</f>
        <v>10.972893014981789</v>
      </c>
      <c r="L2" s="2">
        <f>('[1]Qc, Summer, S1'!L2*Main!$B$5)</f>
        <v>8.6256749102186632</v>
      </c>
      <c r="M2" s="2">
        <f>('[1]Qc, Summer, S1'!M2*Main!$B$5)</f>
        <v>11.489635814202391</v>
      </c>
      <c r="N2" s="2">
        <f>('[1]Qc, Summer, S1'!N2*Main!$B$5)</f>
        <v>10.196131177337957</v>
      </c>
      <c r="O2" s="2">
        <f>('[1]Qc, Summer, S1'!O2*Main!$B$5)</f>
        <v>10.503124304162458</v>
      </c>
      <c r="P2" s="2">
        <f>('[1]Qc, Summer, S1'!P2*Main!$B$5)</f>
        <v>5.4192266881007347</v>
      </c>
      <c r="Q2" s="2">
        <f>('[1]Qc, Summer, S1'!Q2*Main!$B$5)</f>
        <v>1.3700461066253129</v>
      </c>
      <c r="R2" s="2">
        <f>('[1]Qc, Summer, S1'!R2*Main!$B$5)</f>
        <v>3.0478066780706126</v>
      </c>
      <c r="S2" s="2">
        <f>('[1]Qc, Summer, S1'!S2*Main!$B$5)</f>
        <v>3.702031333679523</v>
      </c>
      <c r="T2" s="2">
        <f>('[1]Qc, Summer, S1'!T2*Main!$B$5)</f>
        <v>2.230334462242693</v>
      </c>
      <c r="U2" s="2">
        <f>('[1]Qc, Summer, S1'!U2*Main!$B$5)</f>
        <v>-0.41606101499097853</v>
      </c>
      <c r="V2" s="2">
        <f>('[1]Qc, Summer, S1'!V2*Main!$B$5)</f>
        <v>-1.6242353690921942</v>
      </c>
      <c r="W2" s="2">
        <f>('[1]Qc, Summer, S1'!W2*Main!$B$5)</f>
        <v>-1.1300226278035277</v>
      </c>
      <c r="X2" s="2">
        <f>('[1]Qc, Summer, S1'!X2*Main!$B$5)</f>
        <v>-5.4192976944348432</v>
      </c>
      <c r="Y2" s="2">
        <f>('[1]Qc, Summer, S1'!Y2*Main!$B$5)</f>
        <v>-7.3354606732927223</v>
      </c>
    </row>
    <row r="3" spans="1:25" x14ac:dyDescent="0.3">
      <c r="A3">
        <v>2</v>
      </c>
      <c r="B3" s="2">
        <f>('[1]Qc, Summer, S1'!B3*Main!$B$5)</f>
        <v>-15.369719757618411</v>
      </c>
      <c r="C3" s="2">
        <f>('[1]Qc, Summer, S1'!C3*Main!$B$5)</f>
        <v>-15.369719757618411</v>
      </c>
      <c r="D3" s="2">
        <f>('[1]Qc, Summer, S1'!D3*Main!$B$5)</f>
        <v>-17.843338238296688</v>
      </c>
      <c r="E3" s="2">
        <f>('[1]Qc, Summer, S1'!E3*Main!$B$5)</f>
        <v>-20.316956718974971</v>
      </c>
      <c r="F3" s="2">
        <f>('[1]Qc, Summer, S1'!F3*Main!$B$5)</f>
        <v>-20.316956718974971</v>
      </c>
      <c r="G3" s="2">
        <f>('[1]Qc, Summer, S1'!G3*Main!$B$5)</f>
        <v>-20.316956718974971</v>
      </c>
      <c r="H3" s="2">
        <f>('[1]Qc, Summer, S1'!H3*Main!$B$5)</f>
        <v>-8.1010925308656621</v>
      </c>
      <c r="I3" s="2">
        <f>('[1]Qc, Summer, S1'!I3*Main!$B$5)</f>
        <v>1.6792143095578358</v>
      </c>
      <c r="J3" s="2">
        <f>('[1]Qc, Summer, S1'!J3*Main!$B$5)</f>
        <v>5.3325646175626877</v>
      </c>
      <c r="K3" s="2">
        <f>('[1]Qc, Summer, S1'!K3*Main!$B$5)</f>
        <v>5.3325646175626877</v>
      </c>
      <c r="L3" s="2">
        <f>('[1]Qc, Summer, S1'!L3*Main!$B$5)</f>
        <v>4.8758881675575863</v>
      </c>
      <c r="M3" s="2">
        <f>('[1]Qc, Summer, S1'!M3*Main!$B$5)</f>
        <v>6.8547731256615849</v>
      </c>
      <c r="N3" s="2">
        <f>('[1]Qc, Summer, S1'!N3*Main!$B$5)</f>
        <v>9.290334533770686</v>
      </c>
      <c r="O3" s="2">
        <f>('[1]Qc, Summer, S1'!O3*Main!$B$5)</f>
        <v>9.5757624494773346</v>
      </c>
      <c r="P3" s="2">
        <f>('[1]Qc, Summer, S1'!P3*Main!$B$5)</f>
        <v>5.3706175868545101</v>
      </c>
      <c r="Q3" s="2">
        <f>('[1]Qc, Summer, S1'!Q3*Main!$B$5)</f>
        <v>4.1908857381009046</v>
      </c>
      <c r="R3" s="2">
        <f>('[1]Qc, Summer, S1'!R3*Main!$B$5)</f>
        <v>-0.68023712097136868</v>
      </c>
      <c r="S3" s="2">
        <f>('[1]Qc, Summer, S1'!S3*Main!$B$5)</f>
        <v>-0.68023712097136868</v>
      </c>
      <c r="T3" s="2">
        <f>('[1]Qc, Summer, S1'!T3*Main!$B$5)</f>
        <v>-0.68023712097136868</v>
      </c>
      <c r="U3" s="2">
        <f>('[1]Qc, Summer, S1'!U3*Main!$B$5)</f>
        <v>-0.68023712097136868</v>
      </c>
      <c r="V3" s="2">
        <f>('[1]Qc, Summer, S1'!V3*Main!$B$5)</f>
        <v>-4.3335915108265448</v>
      </c>
      <c r="W3" s="2">
        <f>('[1]Qc, Summer, S1'!W3*Main!$B$5)</f>
        <v>-5.5513763074449356</v>
      </c>
      <c r="X3" s="2">
        <f>('[1]Qc, Summer, S1'!X3*Main!$B$5)</f>
        <v>-15.521931634785698</v>
      </c>
      <c r="Y3" s="2">
        <f>('[1]Qc, Summer, S1'!Y3*Main!$B$5)</f>
        <v>-15.521931634785698</v>
      </c>
    </row>
    <row r="4" spans="1:25" x14ac:dyDescent="0.3">
      <c r="A4">
        <v>3</v>
      </c>
      <c r="B4" s="2">
        <f>('[1]Qc, Summer, S1'!B4*Main!$B$5)</f>
        <v>12.40684224949737</v>
      </c>
      <c r="C4" s="2">
        <f>('[1]Qc, Summer, S1'!C4*Main!$B$5)</f>
        <v>9.5060453202203963</v>
      </c>
      <c r="D4" s="2">
        <f>('[1]Qc, Summer, S1'!D4*Main!$B$5)</f>
        <v>9.0084018345920924</v>
      </c>
      <c r="E4" s="2">
        <f>('[1]Qc, Summer, S1'!E4*Main!$B$5)</f>
        <v>7.8677031878734605</v>
      </c>
      <c r="F4" s="2">
        <f>('[1]Qc, Summer, S1'!F4*Main!$B$5)</f>
        <v>9.0572835100872044</v>
      </c>
      <c r="G4" s="2">
        <f>('[1]Qc, Summer, S1'!G4*Main!$B$5)</f>
        <v>4.2036256572641948</v>
      </c>
      <c r="H4" s="2">
        <f>('[1]Qc, Summer, S1'!H4*Main!$B$5)</f>
        <v>7.334345040809982</v>
      </c>
      <c r="I4" s="2">
        <f>('[1]Qc, Summer, S1'!I4*Main!$B$5)</f>
        <v>14.093810566335428</v>
      </c>
      <c r="J4" s="2">
        <f>('[1]Qc, Summer, S1'!J4*Main!$B$5)</f>
        <v>20.50219200199523</v>
      </c>
      <c r="K4" s="2">
        <f>('[1]Qc, Summer, S1'!K4*Main!$B$5)</f>
        <v>24.362306483341275</v>
      </c>
      <c r="L4" s="2">
        <f>('[1]Qc, Summer, S1'!L4*Main!$B$5)</f>
        <v>26.596139689125302</v>
      </c>
      <c r="M4" s="2">
        <f>('[1]Qc, Summer, S1'!M4*Main!$B$5)</f>
        <v>27.567135456786524</v>
      </c>
      <c r="N4" s="2">
        <f>('[1]Qc, Summer, S1'!N4*Main!$B$5)</f>
        <v>28.806277527233448</v>
      </c>
      <c r="O4" s="2">
        <f>('[1]Qc, Summer, S1'!O4*Main!$B$5)</f>
        <v>29.02422388424996</v>
      </c>
      <c r="P4" s="2">
        <f>('[1]Qc, Summer, S1'!P4*Main!$B$5)</f>
        <v>28.818210529617623</v>
      </c>
      <c r="Q4" s="2">
        <f>('[1]Qc, Summer, S1'!Q4*Main!$B$5)</f>
        <v>27.858893543822084</v>
      </c>
      <c r="R4" s="2">
        <f>('[1]Qc, Summer, S1'!R4*Main!$B$5)</f>
        <v>26.512181527951277</v>
      </c>
      <c r="S4" s="2">
        <f>('[1]Qc, Summer, S1'!S4*Main!$B$5)</f>
        <v>23.526575909167683</v>
      </c>
      <c r="T4" s="2">
        <f>('[1]Qc, Summer, S1'!T4*Main!$B$5)</f>
        <v>23.417729597711443</v>
      </c>
      <c r="U4" s="2">
        <f>('[1]Qc, Summer, S1'!U4*Main!$B$5)</f>
        <v>22.277329747402543</v>
      </c>
      <c r="V4" s="2">
        <f>('[1]Qc, Summer, S1'!V4*Main!$B$5)</f>
        <v>20.080742442997074</v>
      </c>
      <c r="W4" s="2">
        <f>('[1]Qc, Summer, S1'!W4*Main!$B$5)</f>
        <v>24.072888608815997</v>
      </c>
      <c r="X4" s="2">
        <f>('[1]Qc, Summer, S1'!X4*Main!$B$5)</f>
        <v>21.570184422577281</v>
      </c>
      <c r="Y4" s="2">
        <f>('[1]Qc, Summer, S1'!Y4*Main!$B$5)</f>
        <v>17.358815998344191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850F2B-C4B7-4CA6-9F6F-9625BF8A2D24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-12.144380643184002</v>
      </c>
      <c r="C2" s="2">
        <f>('[1]Qc, Summer, S1'!C2*Main!$B$5)</f>
        <v>-15.789186049117561</v>
      </c>
      <c r="D2" s="2">
        <f>('[1]Qc, Summer, S1'!D2*Main!$B$5)</f>
        <v>-17.402730107229637</v>
      </c>
      <c r="E2" s="2">
        <f>('[1]Qc, Summer, S1'!E2*Main!$B$5)</f>
        <v>-15.880902963817677</v>
      </c>
      <c r="F2" s="2">
        <f>('[1]Qc, Summer, S1'!F2*Main!$B$5)</f>
        <v>-17.022191350241229</v>
      </c>
      <c r="G2" s="2">
        <f>('[1]Qc, Summer, S1'!G2*Main!$B$5)</f>
        <v>-17.414534330549976</v>
      </c>
      <c r="H2" s="2">
        <f>('[1]Qc, Summer, S1'!H2*Main!$B$5)</f>
        <v>-15.093007724799921</v>
      </c>
      <c r="I2" s="2">
        <f>('[1]Qc, Summer, S1'!I2*Main!$B$5)</f>
        <v>-2.3481329110304294</v>
      </c>
      <c r="J2" s="2">
        <f>('[1]Qc, Summer, S1'!J2*Main!$B$5)</f>
        <v>7.5373338601290572</v>
      </c>
      <c r="K2" s="2">
        <f>('[1]Qc, Summer, S1'!K2*Main!$B$5)</f>
        <v>10.972893014981789</v>
      </c>
      <c r="L2" s="2">
        <f>('[1]Qc, Summer, S1'!L2*Main!$B$5)</f>
        <v>8.6256749102186632</v>
      </c>
      <c r="M2" s="2">
        <f>('[1]Qc, Summer, S1'!M2*Main!$B$5)</f>
        <v>11.489635814202391</v>
      </c>
      <c r="N2" s="2">
        <f>('[1]Qc, Summer, S1'!N2*Main!$B$5)</f>
        <v>10.196131177337957</v>
      </c>
      <c r="O2" s="2">
        <f>('[1]Qc, Summer, S1'!O2*Main!$B$5)</f>
        <v>10.503124304162458</v>
      </c>
      <c r="P2" s="2">
        <f>('[1]Qc, Summer, S1'!P2*Main!$B$5)</f>
        <v>5.4192266881007347</v>
      </c>
      <c r="Q2" s="2">
        <f>('[1]Qc, Summer, S1'!Q2*Main!$B$5)</f>
        <v>1.3700461066253129</v>
      </c>
      <c r="R2" s="2">
        <f>('[1]Qc, Summer, S1'!R2*Main!$B$5)</f>
        <v>3.0478066780706126</v>
      </c>
      <c r="S2" s="2">
        <f>('[1]Qc, Summer, S1'!S2*Main!$B$5)</f>
        <v>3.702031333679523</v>
      </c>
      <c r="T2" s="2">
        <f>('[1]Qc, Summer, S1'!T2*Main!$B$5)</f>
        <v>2.230334462242693</v>
      </c>
      <c r="U2" s="2">
        <f>('[1]Qc, Summer, S1'!U2*Main!$B$5)</f>
        <v>-0.41606101499097853</v>
      </c>
      <c r="V2" s="2">
        <f>('[1]Qc, Summer, S1'!V2*Main!$B$5)</f>
        <v>-1.6242353690921942</v>
      </c>
      <c r="W2" s="2">
        <f>('[1]Qc, Summer, S1'!W2*Main!$B$5)</f>
        <v>-1.1300226278035277</v>
      </c>
      <c r="X2" s="2">
        <f>('[1]Qc, Summer, S1'!X2*Main!$B$5)</f>
        <v>-5.4192976944348432</v>
      </c>
      <c r="Y2" s="2">
        <f>('[1]Qc, Summer, S1'!Y2*Main!$B$5)</f>
        <v>-7.3354606732927223</v>
      </c>
    </row>
    <row r="3" spans="1:25" x14ac:dyDescent="0.3">
      <c r="A3">
        <v>2</v>
      </c>
      <c r="B3" s="2">
        <f>('[1]Qc, Summer, S1'!B3*Main!$B$5)</f>
        <v>-15.369719757618411</v>
      </c>
      <c r="C3" s="2">
        <f>('[1]Qc, Summer, S1'!C3*Main!$B$5)</f>
        <v>-15.369719757618411</v>
      </c>
      <c r="D3" s="2">
        <f>('[1]Qc, Summer, S1'!D3*Main!$B$5)</f>
        <v>-17.843338238296688</v>
      </c>
      <c r="E3" s="2">
        <f>('[1]Qc, Summer, S1'!E3*Main!$B$5)</f>
        <v>-20.316956718974971</v>
      </c>
      <c r="F3" s="2">
        <f>('[1]Qc, Summer, S1'!F3*Main!$B$5)</f>
        <v>-20.316956718974971</v>
      </c>
      <c r="G3" s="2">
        <f>('[1]Qc, Summer, S1'!G3*Main!$B$5)</f>
        <v>-20.316956718974971</v>
      </c>
      <c r="H3" s="2">
        <f>('[1]Qc, Summer, S1'!H3*Main!$B$5)</f>
        <v>-8.1010925308656621</v>
      </c>
      <c r="I3" s="2">
        <f>('[1]Qc, Summer, S1'!I3*Main!$B$5)</f>
        <v>1.6792143095578358</v>
      </c>
      <c r="J3" s="2">
        <f>('[1]Qc, Summer, S1'!J3*Main!$B$5)</f>
        <v>5.3325646175626877</v>
      </c>
      <c r="K3" s="2">
        <f>('[1]Qc, Summer, S1'!K3*Main!$B$5)</f>
        <v>5.3325646175626877</v>
      </c>
      <c r="L3" s="2">
        <f>('[1]Qc, Summer, S1'!L3*Main!$B$5)</f>
        <v>4.8758881675575863</v>
      </c>
      <c r="M3" s="2">
        <f>('[1]Qc, Summer, S1'!M3*Main!$B$5)</f>
        <v>6.8547731256615849</v>
      </c>
      <c r="N3" s="2">
        <f>('[1]Qc, Summer, S1'!N3*Main!$B$5)</f>
        <v>9.290334533770686</v>
      </c>
      <c r="O3" s="2">
        <f>('[1]Qc, Summer, S1'!O3*Main!$B$5)</f>
        <v>9.5757624494773346</v>
      </c>
      <c r="P3" s="2">
        <f>('[1]Qc, Summer, S1'!P3*Main!$B$5)</f>
        <v>5.3706175868545101</v>
      </c>
      <c r="Q3" s="2">
        <f>('[1]Qc, Summer, S1'!Q3*Main!$B$5)</f>
        <v>4.1908857381009046</v>
      </c>
      <c r="R3" s="2">
        <f>('[1]Qc, Summer, S1'!R3*Main!$B$5)</f>
        <v>-0.68023712097136868</v>
      </c>
      <c r="S3" s="2">
        <f>('[1]Qc, Summer, S1'!S3*Main!$B$5)</f>
        <v>-0.68023712097136868</v>
      </c>
      <c r="T3" s="2">
        <f>('[1]Qc, Summer, S1'!T3*Main!$B$5)</f>
        <v>-0.68023712097136868</v>
      </c>
      <c r="U3" s="2">
        <f>('[1]Qc, Summer, S1'!U3*Main!$B$5)</f>
        <v>-0.68023712097136868</v>
      </c>
      <c r="V3" s="2">
        <f>('[1]Qc, Summer, S1'!V3*Main!$B$5)</f>
        <v>-4.3335915108265448</v>
      </c>
      <c r="W3" s="2">
        <f>('[1]Qc, Summer, S1'!W3*Main!$B$5)</f>
        <v>-5.5513763074449356</v>
      </c>
      <c r="X3" s="2">
        <f>('[1]Qc, Summer, S1'!X3*Main!$B$5)</f>
        <v>-15.521931634785698</v>
      </c>
      <c r="Y3" s="2">
        <f>('[1]Qc, Summer, S1'!Y3*Main!$B$5)</f>
        <v>-15.521931634785698</v>
      </c>
    </row>
    <row r="4" spans="1:25" x14ac:dyDescent="0.3">
      <c r="A4">
        <v>3</v>
      </c>
      <c r="B4" s="2">
        <f>('[1]Qc, Summer, S1'!B4*Main!$B$5)</f>
        <v>12.40684224949737</v>
      </c>
      <c r="C4" s="2">
        <f>('[1]Qc, Summer, S1'!C4*Main!$B$5)</f>
        <v>9.5060453202203963</v>
      </c>
      <c r="D4" s="2">
        <f>('[1]Qc, Summer, S1'!D4*Main!$B$5)</f>
        <v>9.0084018345920924</v>
      </c>
      <c r="E4" s="2">
        <f>('[1]Qc, Summer, S1'!E4*Main!$B$5)</f>
        <v>7.8677031878734605</v>
      </c>
      <c r="F4" s="2">
        <f>('[1]Qc, Summer, S1'!F4*Main!$B$5)</f>
        <v>9.0572835100872044</v>
      </c>
      <c r="G4" s="2">
        <f>('[1]Qc, Summer, S1'!G4*Main!$B$5)</f>
        <v>4.2036256572641948</v>
      </c>
      <c r="H4" s="2">
        <f>('[1]Qc, Summer, S1'!H4*Main!$B$5)</f>
        <v>7.334345040809982</v>
      </c>
      <c r="I4" s="2">
        <f>('[1]Qc, Summer, S1'!I4*Main!$B$5)</f>
        <v>14.093810566335428</v>
      </c>
      <c r="J4" s="2">
        <f>('[1]Qc, Summer, S1'!J4*Main!$B$5)</f>
        <v>20.50219200199523</v>
      </c>
      <c r="K4" s="2">
        <f>('[1]Qc, Summer, S1'!K4*Main!$B$5)</f>
        <v>24.362306483341275</v>
      </c>
      <c r="L4" s="2">
        <f>('[1]Qc, Summer, S1'!L4*Main!$B$5)</f>
        <v>26.596139689125302</v>
      </c>
      <c r="M4" s="2">
        <f>('[1]Qc, Summer, S1'!M4*Main!$B$5)</f>
        <v>27.567135456786524</v>
      </c>
      <c r="N4" s="2">
        <f>('[1]Qc, Summer, S1'!N4*Main!$B$5)</f>
        <v>28.806277527233448</v>
      </c>
      <c r="O4" s="2">
        <f>('[1]Qc, Summer, S1'!O4*Main!$B$5)</f>
        <v>29.02422388424996</v>
      </c>
      <c r="P4" s="2">
        <f>('[1]Qc, Summer, S1'!P4*Main!$B$5)</f>
        <v>28.818210529617623</v>
      </c>
      <c r="Q4" s="2">
        <f>('[1]Qc, Summer, S1'!Q4*Main!$B$5)</f>
        <v>27.858893543822084</v>
      </c>
      <c r="R4" s="2">
        <f>('[1]Qc, Summer, S1'!R4*Main!$B$5)</f>
        <v>26.512181527951277</v>
      </c>
      <c r="S4" s="2">
        <f>('[1]Qc, Summer, S1'!S4*Main!$B$5)</f>
        <v>23.526575909167683</v>
      </c>
      <c r="T4" s="2">
        <f>('[1]Qc, Summer, S1'!T4*Main!$B$5)</f>
        <v>23.417729597711443</v>
      </c>
      <c r="U4" s="2">
        <f>('[1]Qc, Summer, S1'!U4*Main!$B$5)</f>
        <v>22.277329747402543</v>
      </c>
      <c r="V4" s="2">
        <f>('[1]Qc, Summer, S1'!V4*Main!$B$5)</f>
        <v>20.080742442997074</v>
      </c>
      <c r="W4" s="2">
        <f>('[1]Qc, Summer, S1'!W4*Main!$B$5)</f>
        <v>24.072888608815997</v>
      </c>
      <c r="X4" s="2">
        <f>('[1]Qc, Summer, S1'!X4*Main!$B$5)</f>
        <v>21.570184422577281</v>
      </c>
      <c r="Y4" s="2">
        <f>('[1]Qc, Summer, S1'!Y4*Main!$B$5)</f>
        <v>17.358815998344191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8A2B2-F3C9-45A7-B421-2FBE8BE2B44A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-12.144380643184002</v>
      </c>
      <c r="C2" s="2">
        <f>('[1]Qc, Summer, S1'!C2*Main!$B$5)</f>
        <v>-15.789186049117561</v>
      </c>
      <c r="D2" s="2">
        <f>('[1]Qc, Summer, S1'!D2*Main!$B$5)</f>
        <v>-17.402730107229637</v>
      </c>
      <c r="E2" s="2">
        <f>('[1]Qc, Summer, S1'!E2*Main!$B$5)</f>
        <v>-15.880902963817677</v>
      </c>
      <c r="F2" s="2">
        <f>('[1]Qc, Summer, S1'!F2*Main!$B$5)</f>
        <v>-17.022191350241229</v>
      </c>
      <c r="G2" s="2">
        <f>('[1]Qc, Summer, S1'!G2*Main!$B$5)</f>
        <v>-17.414534330549976</v>
      </c>
      <c r="H2" s="2">
        <f>('[1]Qc, Summer, S1'!H2*Main!$B$5)</f>
        <v>-15.093007724799921</v>
      </c>
      <c r="I2" s="2">
        <f>('[1]Qc, Summer, S1'!I2*Main!$B$5)</f>
        <v>-2.3481329110304294</v>
      </c>
      <c r="J2" s="2">
        <f>('[1]Qc, Summer, S1'!J2*Main!$B$5)</f>
        <v>7.5373338601290572</v>
      </c>
      <c r="K2" s="2">
        <f>('[1]Qc, Summer, S1'!K2*Main!$B$5)</f>
        <v>10.972893014981789</v>
      </c>
      <c r="L2" s="2">
        <f>('[1]Qc, Summer, S1'!L2*Main!$B$5)</f>
        <v>8.6256749102186632</v>
      </c>
      <c r="M2" s="2">
        <f>('[1]Qc, Summer, S1'!M2*Main!$B$5)</f>
        <v>11.489635814202391</v>
      </c>
      <c r="N2" s="2">
        <f>('[1]Qc, Summer, S1'!N2*Main!$B$5)</f>
        <v>10.196131177337957</v>
      </c>
      <c r="O2" s="2">
        <f>('[1]Qc, Summer, S1'!O2*Main!$B$5)</f>
        <v>10.503124304162458</v>
      </c>
      <c r="P2" s="2">
        <f>('[1]Qc, Summer, S1'!P2*Main!$B$5)</f>
        <v>5.4192266881007347</v>
      </c>
      <c r="Q2" s="2">
        <f>('[1]Qc, Summer, S1'!Q2*Main!$B$5)</f>
        <v>1.3700461066253129</v>
      </c>
      <c r="R2" s="2">
        <f>('[1]Qc, Summer, S1'!R2*Main!$B$5)</f>
        <v>3.0478066780706126</v>
      </c>
      <c r="S2" s="2">
        <f>('[1]Qc, Summer, S1'!S2*Main!$B$5)</f>
        <v>3.702031333679523</v>
      </c>
      <c r="T2" s="2">
        <f>('[1]Qc, Summer, S1'!T2*Main!$B$5)</f>
        <v>2.230334462242693</v>
      </c>
      <c r="U2" s="2">
        <f>('[1]Qc, Summer, S1'!U2*Main!$B$5)</f>
        <v>-0.41606101499097853</v>
      </c>
      <c r="V2" s="2">
        <f>('[1]Qc, Summer, S1'!V2*Main!$B$5)</f>
        <v>-1.6242353690921942</v>
      </c>
      <c r="W2" s="2">
        <f>('[1]Qc, Summer, S1'!W2*Main!$B$5)</f>
        <v>-1.1300226278035277</v>
      </c>
      <c r="X2" s="2">
        <f>('[1]Qc, Summer, S1'!X2*Main!$B$5)</f>
        <v>-5.4192976944348432</v>
      </c>
      <c r="Y2" s="2">
        <f>('[1]Qc, Summer, S1'!Y2*Main!$B$5)</f>
        <v>-7.3354606732927223</v>
      </c>
    </row>
    <row r="3" spans="1:25" x14ac:dyDescent="0.3">
      <c r="A3">
        <v>2</v>
      </c>
      <c r="B3" s="2">
        <f>('[1]Qc, Summer, S1'!B3*Main!$B$5)</f>
        <v>-15.369719757618411</v>
      </c>
      <c r="C3" s="2">
        <f>('[1]Qc, Summer, S1'!C3*Main!$B$5)</f>
        <v>-15.369719757618411</v>
      </c>
      <c r="D3" s="2">
        <f>('[1]Qc, Summer, S1'!D3*Main!$B$5)</f>
        <v>-17.843338238296688</v>
      </c>
      <c r="E3" s="2">
        <f>('[1]Qc, Summer, S1'!E3*Main!$B$5)</f>
        <v>-20.316956718974971</v>
      </c>
      <c r="F3" s="2">
        <f>('[1]Qc, Summer, S1'!F3*Main!$B$5)</f>
        <v>-20.316956718974971</v>
      </c>
      <c r="G3" s="2">
        <f>('[1]Qc, Summer, S1'!G3*Main!$B$5)</f>
        <v>-20.316956718974971</v>
      </c>
      <c r="H3" s="2">
        <f>('[1]Qc, Summer, S1'!H3*Main!$B$5)</f>
        <v>-8.1010925308656621</v>
      </c>
      <c r="I3" s="2">
        <f>('[1]Qc, Summer, S1'!I3*Main!$B$5)</f>
        <v>1.6792143095578358</v>
      </c>
      <c r="J3" s="2">
        <f>('[1]Qc, Summer, S1'!J3*Main!$B$5)</f>
        <v>5.3325646175626877</v>
      </c>
      <c r="K3" s="2">
        <f>('[1]Qc, Summer, S1'!K3*Main!$B$5)</f>
        <v>5.3325646175626877</v>
      </c>
      <c r="L3" s="2">
        <f>('[1]Qc, Summer, S1'!L3*Main!$B$5)</f>
        <v>4.8758881675575863</v>
      </c>
      <c r="M3" s="2">
        <f>('[1]Qc, Summer, S1'!M3*Main!$B$5)</f>
        <v>6.8547731256615849</v>
      </c>
      <c r="N3" s="2">
        <f>('[1]Qc, Summer, S1'!N3*Main!$B$5)</f>
        <v>9.290334533770686</v>
      </c>
      <c r="O3" s="2">
        <f>('[1]Qc, Summer, S1'!O3*Main!$B$5)</f>
        <v>9.5757624494773346</v>
      </c>
      <c r="P3" s="2">
        <f>('[1]Qc, Summer, S1'!P3*Main!$B$5)</f>
        <v>5.3706175868545101</v>
      </c>
      <c r="Q3" s="2">
        <f>('[1]Qc, Summer, S1'!Q3*Main!$B$5)</f>
        <v>4.1908857381009046</v>
      </c>
      <c r="R3" s="2">
        <f>('[1]Qc, Summer, S1'!R3*Main!$B$5)</f>
        <v>-0.68023712097136868</v>
      </c>
      <c r="S3" s="2">
        <f>('[1]Qc, Summer, S1'!S3*Main!$B$5)</f>
        <v>-0.68023712097136868</v>
      </c>
      <c r="T3" s="2">
        <f>('[1]Qc, Summer, S1'!T3*Main!$B$5)</f>
        <v>-0.68023712097136868</v>
      </c>
      <c r="U3" s="2">
        <f>('[1]Qc, Summer, S1'!U3*Main!$B$5)</f>
        <v>-0.68023712097136868</v>
      </c>
      <c r="V3" s="2">
        <f>('[1]Qc, Summer, S1'!V3*Main!$B$5)</f>
        <v>-4.3335915108265448</v>
      </c>
      <c r="W3" s="2">
        <f>('[1]Qc, Summer, S1'!W3*Main!$B$5)</f>
        <v>-5.5513763074449356</v>
      </c>
      <c r="X3" s="2">
        <f>('[1]Qc, Summer, S1'!X3*Main!$B$5)</f>
        <v>-15.521931634785698</v>
      </c>
      <c r="Y3" s="2">
        <f>('[1]Qc, Summer, S1'!Y3*Main!$B$5)</f>
        <v>-15.521931634785698</v>
      </c>
    </row>
    <row r="4" spans="1:25" x14ac:dyDescent="0.3">
      <c r="A4">
        <v>3</v>
      </c>
      <c r="B4" s="2">
        <f>('[1]Qc, Summer, S1'!B4*Main!$B$5)</f>
        <v>12.40684224949737</v>
      </c>
      <c r="C4" s="2">
        <f>('[1]Qc, Summer, S1'!C4*Main!$B$5)</f>
        <v>9.5060453202203963</v>
      </c>
      <c r="D4" s="2">
        <f>('[1]Qc, Summer, S1'!D4*Main!$B$5)</f>
        <v>9.0084018345920924</v>
      </c>
      <c r="E4" s="2">
        <f>('[1]Qc, Summer, S1'!E4*Main!$B$5)</f>
        <v>7.8677031878734605</v>
      </c>
      <c r="F4" s="2">
        <f>('[1]Qc, Summer, S1'!F4*Main!$B$5)</f>
        <v>9.0572835100872044</v>
      </c>
      <c r="G4" s="2">
        <f>('[1]Qc, Summer, S1'!G4*Main!$B$5)</f>
        <v>4.2036256572641948</v>
      </c>
      <c r="H4" s="2">
        <f>('[1]Qc, Summer, S1'!H4*Main!$B$5)</f>
        <v>7.334345040809982</v>
      </c>
      <c r="I4" s="2">
        <f>('[1]Qc, Summer, S1'!I4*Main!$B$5)</f>
        <v>14.093810566335428</v>
      </c>
      <c r="J4" s="2">
        <f>('[1]Qc, Summer, S1'!J4*Main!$B$5)</f>
        <v>20.50219200199523</v>
      </c>
      <c r="K4" s="2">
        <f>('[1]Qc, Summer, S1'!K4*Main!$B$5)</f>
        <v>24.362306483341275</v>
      </c>
      <c r="L4" s="2">
        <f>('[1]Qc, Summer, S1'!L4*Main!$B$5)</f>
        <v>26.596139689125302</v>
      </c>
      <c r="M4" s="2">
        <f>('[1]Qc, Summer, S1'!M4*Main!$B$5)</f>
        <v>27.567135456786524</v>
      </c>
      <c r="N4" s="2">
        <f>('[1]Qc, Summer, S1'!N4*Main!$B$5)</f>
        <v>28.806277527233448</v>
      </c>
      <c r="O4" s="2">
        <f>('[1]Qc, Summer, S1'!O4*Main!$B$5)</f>
        <v>29.02422388424996</v>
      </c>
      <c r="P4" s="2">
        <f>('[1]Qc, Summer, S1'!P4*Main!$B$5)</f>
        <v>28.818210529617623</v>
      </c>
      <c r="Q4" s="2">
        <f>('[1]Qc, Summer, S1'!Q4*Main!$B$5)</f>
        <v>27.858893543822084</v>
      </c>
      <c r="R4" s="2">
        <f>('[1]Qc, Summer, S1'!R4*Main!$B$5)</f>
        <v>26.512181527951277</v>
      </c>
      <c r="S4" s="2">
        <f>('[1]Qc, Summer, S1'!S4*Main!$B$5)</f>
        <v>23.526575909167683</v>
      </c>
      <c r="T4" s="2">
        <f>('[1]Qc, Summer, S1'!T4*Main!$B$5)</f>
        <v>23.417729597711443</v>
      </c>
      <c r="U4" s="2">
        <f>('[1]Qc, Summer, S1'!U4*Main!$B$5)</f>
        <v>22.277329747402543</v>
      </c>
      <c r="V4" s="2">
        <f>('[1]Qc, Summer, S1'!V4*Main!$B$5)</f>
        <v>20.080742442997074</v>
      </c>
      <c r="W4" s="2">
        <f>('[1]Qc, Summer, S1'!W4*Main!$B$5)</f>
        <v>24.072888608815997</v>
      </c>
      <c r="X4" s="2">
        <f>('[1]Qc, Summer, S1'!X4*Main!$B$5)</f>
        <v>21.570184422577281</v>
      </c>
      <c r="Y4" s="2">
        <f>('[1]Qc, Summer, S1'!Y4*Main!$B$5)</f>
        <v>17.358815998344191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AB436F-3476-4DB3-805A-C57EDD458B32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-12.508712062479521</v>
      </c>
      <c r="C2" s="2">
        <f>('[1]Qc, Summer, S2'!C2*Main!$B$5)</f>
        <v>-16.26286163059109</v>
      </c>
      <c r="D2" s="2">
        <f>('[1]Qc, Summer, S2'!D2*Main!$B$5)</f>
        <v>-17.924812010446527</v>
      </c>
      <c r="E2" s="2">
        <f>('[1]Qc, Summer, S2'!E2*Main!$B$5)</f>
        <v>-16.357330052732209</v>
      </c>
      <c r="F2" s="2">
        <f>('[1]Qc, Summer, S2'!F2*Main!$B$5)</f>
        <v>-17.532857090748465</v>
      </c>
      <c r="G2" s="2">
        <f>('[1]Qc, Summer, S2'!G2*Main!$B$5)</f>
        <v>-17.936970360466479</v>
      </c>
      <c r="H2" s="2">
        <f>('[1]Qc, Summer, S2'!H2*Main!$B$5)</f>
        <v>-15.54579795654392</v>
      </c>
      <c r="I2" s="2">
        <f>('[1]Qc, Summer, S2'!I2*Main!$B$5)</f>
        <v>-2.4185768983613425</v>
      </c>
      <c r="J2" s="2">
        <f>('[1]Qc, Summer, S2'!J2*Main!$B$5)</f>
        <v>7.763453875932929</v>
      </c>
      <c r="K2" s="2">
        <f>('[1]Qc, Summer, S2'!K2*Main!$B$5)</f>
        <v>11.302079805431243</v>
      </c>
      <c r="L2" s="2">
        <f>('[1]Qc, Summer, S2'!L2*Main!$B$5)</f>
        <v>8.8844451575252226</v>
      </c>
      <c r="M2" s="2">
        <f>('[1]Qc, Summer, S2'!M2*Main!$B$5)</f>
        <v>11.834324888628462</v>
      </c>
      <c r="N2" s="2">
        <f>('[1]Qc, Summer, S2'!N2*Main!$B$5)</f>
        <v>10.502015112658095</v>
      </c>
      <c r="O2" s="2">
        <f>('[1]Qc, Summer, S2'!O2*Main!$B$5)</f>
        <v>10.818218033287332</v>
      </c>
      <c r="P2" s="2">
        <f>('[1]Qc, Summer, S2'!P2*Main!$B$5)</f>
        <v>5.5818034887437573</v>
      </c>
      <c r="Q2" s="2">
        <f>('[1]Qc, Summer, S2'!Q2*Main!$B$5)</f>
        <v>1.4111474898240721</v>
      </c>
      <c r="R2" s="2">
        <f>('[1]Qc, Summer, S2'!R2*Main!$B$5)</f>
        <v>3.139240878412731</v>
      </c>
      <c r="S2" s="2">
        <f>('[1]Qc, Summer, S2'!S2*Main!$B$5)</f>
        <v>3.8130922736899091</v>
      </c>
      <c r="T2" s="2">
        <f>('[1]Qc, Summer, S2'!T2*Main!$B$5)</f>
        <v>2.2972444961099736</v>
      </c>
      <c r="U2" s="2">
        <f>('[1]Qc, Summer, S2'!U2*Main!$B$5)</f>
        <v>-0.42854284544070798</v>
      </c>
      <c r="V2" s="2">
        <f>('[1]Qc, Summer, S2'!V2*Main!$B$5)</f>
        <v>-1.6729624301649602</v>
      </c>
      <c r="W2" s="2">
        <f>('[1]Qc, Summer, S2'!W2*Main!$B$5)</f>
        <v>-1.1639233066376335</v>
      </c>
      <c r="X2" s="2">
        <f>('[1]Qc, Summer, S2'!X2*Main!$B$5)</f>
        <v>-5.5818766252678893</v>
      </c>
      <c r="Y2" s="2">
        <f>('[1]Qc, Summer, S2'!Y2*Main!$B$5)</f>
        <v>-7.5555244934915038</v>
      </c>
    </row>
    <row r="3" spans="1:25" x14ac:dyDescent="0.3">
      <c r="A3">
        <v>2</v>
      </c>
      <c r="B3" s="2">
        <f>('[1]Qc, Summer, S2'!B3*Main!$B$5)</f>
        <v>-15.830811350346961</v>
      </c>
      <c r="C3" s="2">
        <f>('[1]Qc, Summer, S2'!C3*Main!$B$5)</f>
        <v>-15.830811350346961</v>
      </c>
      <c r="D3" s="2">
        <f>('[1]Qc, Summer, S2'!D3*Main!$B$5)</f>
        <v>-18.378638385445591</v>
      </c>
      <c r="E3" s="2">
        <f>('[1]Qc, Summer, S2'!E3*Main!$B$5)</f>
        <v>-20.926465420544226</v>
      </c>
      <c r="F3" s="2">
        <f>('[1]Qc, Summer, S2'!F3*Main!$B$5)</f>
        <v>-20.926465420544226</v>
      </c>
      <c r="G3" s="2">
        <f>('[1]Qc, Summer, S2'!G3*Main!$B$5)</f>
        <v>-20.926465420544226</v>
      </c>
      <c r="H3" s="2">
        <f>('[1]Qc, Summer, S2'!H3*Main!$B$5)</f>
        <v>-8.3441253067916321</v>
      </c>
      <c r="I3" s="2">
        <f>('[1]Qc, Summer, S2'!I3*Main!$B$5)</f>
        <v>1.7295907388445713</v>
      </c>
      <c r="J3" s="2">
        <f>('[1]Qc, Summer, S2'!J3*Main!$B$5)</f>
        <v>5.4925415560895692</v>
      </c>
      <c r="K3" s="2">
        <f>('[1]Qc, Summer, S2'!K3*Main!$B$5)</f>
        <v>5.4925415560895692</v>
      </c>
      <c r="L3" s="2">
        <f>('[1]Qc, Summer, S2'!L3*Main!$B$5)</f>
        <v>5.0221648125843137</v>
      </c>
      <c r="M3" s="2">
        <f>('[1]Qc, Summer, S2'!M3*Main!$B$5)</f>
        <v>7.0604163194314316</v>
      </c>
      <c r="N3" s="2">
        <f>('[1]Qc, Summer, S2'!N3*Main!$B$5)</f>
        <v>9.5690445697838058</v>
      </c>
      <c r="O3" s="2">
        <f>('[1]Qc, Summer, S2'!O3*Main!$B$5)</f>
        <v>9.8630353229616539</v>
      </c>
      <c r="P3" s="2">
        <f>('[1]Qc, Summer, S2'!P3*Main!$B$5)</f>
        <v>5.5317361144601458</v>
      </c>
      <c r="Q3" s="2">
        <f>('[1]Qc, Summer, S2'!Q3*Main!$B$5)</f>
        <v>4.316612310243932</v>
      </c>
      <c r="R3" s="2">
        <f>('[1]Qc, Summer, S2'!R3*Main!$B$5)</f>
        <v>-0.70064423460050962</v>
      </c>
      <c r="S3" s="2">
        <f>('[1]Qc, Summer, S2'!S3*Main!$B$5)</f>
        <v>-0.70064423460050962</v>
      </c>
      <c r="T3" s="2">
        <f>('[1]Qc, Summer, S2'!T3*Main!$B$5)</f>
        <v>-0.70064423460050962</v>
      </c>
      <c r="U3" s="2">
        <f>('[1]Qc, Summer, S2'!U3*Main!$B$5)</f>
        <v>-0.70064423460050962</v>
      </c>
      <c r="V3" s="2">
        <f>('[1]Qc, Summer, S2'!V3*Main!$B$5)</f>
        <v>-4.4635992561513413</v>
      </c>
      <c r="W3" s="2">
        <f>('[1]Qc, Summer, S2'!W3*Main!$B$5)</f>
        <v>-5.7179175966682845</v>
      </c>
      <c r="X3" s="2">
        <f>('[1]Qc, Summer, S2'!X3*Main!$B$5)</f>
        <v>-15.987589583829271</v>
      </c>
      <c r="Y3" s="2">
        <f>('[1]Qc, Summer, S2'!Y3*Main!$B$5)</f>
        <v>-15.987589583829271</v>
      </c>
    </row>
    <row r="4" spans="1:25" x14ac:dyDescent="0.3">
      <c r="A4">
        <v>3</v>
      </c>
      <c r="B4" s="2">
        <f>('[1]Qc, Summer, S2'!B4*Main!$B$5)</f>
        <v>12.77904751698229</v>
      </c>
      <c r="C4" s="2">
        <f>('[1]Qc, Summer, S2'!C4*Main!$B$5)</f>
        <v>9.7912266798270071</v>
      </c>
      <c r="D4" s="2">
        <f>('[1]Qc, Summer, S2'!D4*Main!$B$5)</f>
        <v>9.2786538896298563</v>
      </c>
      <c r="E4" s="2">
        <f>('[1]Qc, Summer, S2'!E4*Main!$B$5)</f>
        <v>8.1037342835096631</v>
      </c>
      <c r="F4" s="2">
        <f>('[1]Qc, Summer, S2'!F4*Main!$B$5)</f>
        <v>9.3290020153898201</v>
      </c>
      <c r="G4" s="2">
        <f>('[1]Qc, Summer, S2'!G4*Main!$B$5)</f>
        <v>4.3297344269821201</v>
      </c>
      <c r="H4" s="2">
        <f>('[1]Qc, Summer, S2'!H4*Main!$B$5)</f>
        <v>7.5543753920342809</v>
      </c>
      <c r="I4" s="2">
        <f>('[1]Qc, Summer, S2'!I4*Main!$B$5)</f>
        <v>14.516624883325491</v>
      </c>
      <c r="J4" s="2">
        <f>('[1]Qc, Summer, S2'!J4*Main!$B$5)</f>
        <v>21.11725776205509</v>
      </c>
      <c r="K4" s="2">
        <f>('[1]Qc, Summer, S2'!K4*Main!$B$5)</f>
        <v>25.093175677841515</v>
      </c>
      <c r="L4" s="2">
        <f>('[1]Qc, Summer, S2'!L4*Main!$B$5)</f>
        <v>27.394023879799061</v>
      </c>
      <c r="M4" s="2">
        <f>('[1]Qc, Summer, S2'!M4*Main!$B$5)</f>
        <v>28.394149520490121</v>
      </c>
      <c r="N4" s="2">
        <f>('[1]Qc, Summer, S2'!N4*Main!$B$5)</f>
        <v>29.670465853050452</v>
      </c>
      <c r="O4" s="2">
        <f>('[1]Qc, Summer, S2'!O4*Main!$B$5)</f>
        <v>29.894950600777459</v>
      </c>
      <c r="P4" s="2">
        <f>('[1]Qc, Summer, S2'!P4*Main!$B$5)</f>
        <v>29.682756845506155</v>
      </c>
      <c r="Q4" s="2">
        <f>('[1]Qc, Summer, S2'!Q4*Main!$B$5)</f>
        <v>28.694660350136747</v>
      </c>
      <c r="R4" s="2">
        <f>('[1]Qc, Summer, S2'!R4*Main!$B$5)</f>
        <v>27.307546973789815</v>
      </c>
      <c r="S4" s="2">
        <f>('[1]Qc, Summer, S2'!S4*Main!$B$5)</f>
        <v>24.232373186442715</v>
      </c>
      <c r="T4" s="2">
        <f>('[1]Qc, Summer, S2'!T4*Main!$B$5)</f>
        <v>24.120261485642789</v>
      </c>
      <c r="U4" s="2">
        <f>('[1]Qc, Summer, S2'!U4*Main!$B$5)</f>
        <v>22.945649639824619</v>
      </c>
      <c r="V4" s="2">
        <f>('[1]Qc, Summer, S2'!V4*Main!$B$5)</f>
        <v>20.683164716286985</v>
      </c>
      <c r="W4" s="2">
        <f>('[1]Qc, Summer, S2'!W4*Main!$B$5)</f>
        <v>24.795075267080477</v>
      </c>
      <c r="X4" s="2">
        <f>('[1]Qc, Summer, S2'!X4*Main!$B$5)</f>
        <v>22.2172899552546</v>
      </c>
      <c r="Y4" s="2">
        <f>('[1]Qc, Summer, S2'!Y4*Main!$B$5)</f>
        <v>17.879580478294518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166DC-49E9-4005-859A-30B80B18882C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-12.508712062479521</v>
      </c>
      <c r="C2" s="2">
        <f>('[1]Qc, Summer, S2'!C2*Main!$B$5)</f>
        <v>-16.26286163059109</v>
      </c>
      <c r="D2" s="2">
        <f>('[1]Qc, Summer, S2'!D2*Main!$B$5)</f>
        <v>-17.924812010446527</v>
      </c>
      <c r="E2" s="2">
        <f>('[1]Qc, Summer, S2'!E2*Main!$B$5)</f>
        <v>-16.357330052732209</v>
      </c>
      <c r="F2" s="2">
        <f>('[1]Qc, Summer, S2'!F2*Main!$B$5)</f>
        <v>-17.532857090748465</v>
      </c>
      <c r="G2" s="2">
        <f>('[1]Qc, Summer, S2'!G2*Main!$B$5)</f>
        <v>-17.936970360466479</v>
      </c>
      <c r="H2" s="2">
        <f>('[1]Qc, Summer, S2'!H2*Main!$B$5)</f>
        <v>-15.54579795654392</v>
      </c>
      <c r="I2" s="2">
        <f>('[1]Qc, Summer, S2'!I2*Main!$B$5)</f>
        <v>-2.4185768983613425</v>
      </c>
      <c r="J2" s="2">
        <f>('[1]Qc, Summer, S2'!J2*Main!$B$5)</f>
        <v>7.763453875932929</v>
      </c>
      <c r="K2" s="2">
        <f>('[1]Qc, Summer, S2'!K2*Main!$B$5)</f>
        <v>11.302079805431243</v>
      </c>
      <c r="L2" s="2">
        <f>('[1]Qc, Summer, S2'!L2*Main!$B$5)</f>
        <v>8.8844451575252226</v>
      </c>
      <c r="M2" s="2">
        <f>('[1]Qc, Summer, S2'!M2*Main!$B$5)</f>
        <v>11.834324888628462</v>
      </c>
      <c r="N2" s="2">
        <f>('[1]Qc, Summer, S2'!N2*Main!$B$5)</f>
        <v>10.502015112658095</v>
      </c>
      <c r="O2" s="2">
        <f>('[1]Qc, Summer, S2'!O2*Main!$B$5)</f>
        <v>10.818218033287332</v>
      </c>
      <c r="P2" s="2">
        <f>('[1]Qc, Summer, S2'!P2*Main!$B$5)</f>
        <v>5.5818034887437573</v>
      </c>
      <c r="Q2" s="2">
        <f>('[1]Qc, Summer, S2'!Q2*Main!$B$5)</f>
        <v>1.4111474898240721</v>
      </c>
      <c r="R2" s="2">
        <f>('[1]Qc, Summer, S2'!R2*Main!$B$5)</f>
        <v>3.139240878412731</v>
      </c>
      <c r="S2" s="2">
        <f>('[1]Qc, Summer, S2'!S2*Main!$B$5)</f>
        <v>3.8130922736899091</v>
      </c>
      <c r="T2" s="2">
        <f>('[1]Qc, Summer, S2'!T2*Main!$B$5)</f>
        <v>2.2972444961099736</v>
      </c>
      <c r="U2" s="2">
        <f>('[1]Qc, Summer, S2'!U2*Main!$B$5)</f>
        <v>-0.42854284544070798</v>
      </c>
      <c r="V2" s="2">
        <f>('[1]Qc, Summer, S2'!V2*Main!$B$5)</f>
        <v>-1.6729624301649602</v>
      </c>
      <c r="W2" s="2">
        <f>('[1]Qc, Summer, S2'!W2*Main!$B$5)</f>
        <v>-1.1639233066376335</v>
      </c>
      <c r="X2" s="2">
        <f>('[1]Qc, Summer, S2'!X2*Main!$B$5)</f>
        <v>-5.5818766252678893</v>
      </c>
      <c r="Y2" s="2">
        <f>('[1]Qc, Summer, S2'!Y2*Main!$B$5)</f>
        <v>-7.5555244934915038</v>
      </c>
    </row>
    <row r="3" spans="1:25" x14ac:dyDescent="0.3">
      <c r="A3">
        <v>2</v>
      </c>
      <c r="B3" s="2">
        <f>('[1]Qc, Summer, S2'!B3*Main!$B$5)</f>
        <v>-15.830811350346961</v>
      </c>
      <c r="C3" s="2">
        <f>('[1]Qc, Summer, S2'!C3*Main!$B$5)</f>
        <v>-15.830811350346961</v>
      </c>
      <c r="D3" s="2">
        <f>('[1]Qc, Summer, S2'!D3*Main!$B$5)</f>
        <v>-18.378638385445591</v>
      </c>
      <c r="E3" s="2">
        <f>('[1]Qc, Summer, S2'!E3*Main!$B$5)</f>
        <v>-20.926465420544226</v>
      </c>
      <c r="F3" s="2">
        <f>('[1]Qc, Summer, S2'!F3*Main!$B$5)</f>
        <v>-20.926465420544226</v>
      </c>
      <c r="G3" s="2">
        <f>('[1]Qc, Summer, S2'!G3*Main!$B$5)</f>
        <v>-20.926465420544226</v>
      </c>
      <c r="H3" s="2">
        <f>('[1]Qc, Summer, S2'!H3*Main!$B$5)</f>
        <v>-8.3441253067916321</v>
      </c>
      <c r="I3" s="2">
        <f>('[1]Qc, Summer, S2'!I3*Main!$B$5)</f>
        <v>1.7295907388445713</v>
      </c>
      <c r="J3" s="2">
        <f>('[1]Qc, Summer, S2'!J3*Main!$B$5)</f>
        <v>5.4925415560895692</v>
      </c>
      <c r="K3" s="2">
        <f>('[1]Qc, Summer, S2'!K3*Main!$B$5)</f>
        <v>5.4925415560895692</v>
      </c>
      <c r="L3" s="2">
        <f>('[1]Qc, Summer, S2'!L3*Main!$B$5)</f>
        <v>5.0221648125843137</v>
      </c>
      <c r="M3" s="2">
        <f>('[1]Qc, Summer, S2'!M3*Main!$B$5)</f>
        <v>7.0604163194314316</v>
      </c>
      <c r="N3" s="2">
        <f>('[1]Qc, Summer, S2'!N3*Main!$B$5)</f>
        <v>9.5690445697838058</v>
      </c>
      <c r="O3" s="2">
        <f>('[1]Qc, Summer, S2'!O3*Main!$B$5)</f>
        <v>9.8630353229616539</v>
      </c>
      <c r="P3" s="2">
        <f>('[1]Qc, Summer, S2'!P3*Main!$B$5)</f>
        <v>5.5317361144601458</v>
      </c>
      <c r="Q3" s="2">
        <f>('[1]Qc, Summer, S2'!Q3*Main!$B$5)</f>
        <v>4.316612310243932</v>
      </c>
      <c r="R3" s="2">
        <f>('[1]Qc, Summer, S2'!R3*Main!$B$5)</f>
        <v>-0.70064423460050962</v>
      </c>
      <c r="S3" s="2">
        <f>('[1]Qc, Summer, S2'!S3*Main!$B$5)</f>
        <v>-0.70064423460050962</v>
      </c>
      <c r="T3" s="2">
        <f>('[1]Qc, Summer, S2'!T3*Main!$B$5)</f>
        <v>-0.70064423460050962</v>
      </c>
      <c r="U3" s="2">
        <f>('[1]Qc, Summer, S2'!U3*Main!$B$5)</f>
        <v>-0.70064423460050962</v>
      </c>
      <c r="V3" s="2">
        <f>('[1]Qc, Summer, S2'!V3*Main!$B$5)</f>
        <v>-4.4635992561513413</v>
      </c>
      <c r="W3" s="2">
        <f>('[1]Qc, Summer, S2'!W3*Main!$B$5)</f>
        <v>-5.7179175966682845</v>
      </c>
      <c r="X3" s="2">
        <f>('[1]Qc, Summer, S2'!X3*Main!$B$5)</f>
        <v>-15.987589583829271</v>
      </c>
      <c r="Y3" s="2">
        <f>('[1]Qc, Summer, S2'!Y3*Main!$B$5)</f>
        <v>-15.987589583829271</v>
      </c>
    </row>
    <row r="4" spans="1:25" x14ac:dyDescent="0.3">
      <c r="A4">
        <v>3</v>
      </c>
      <c r="B4" s="2">
        <f>('[1]Qc, Summer, S2'!B4*Main!$B$5)</f>
        <v>12.77904751698229</v>
      </c>
      <c r="C4" s="2">
        <f>('[1]Qc, Summer, S2'!C4*Main!$B$5)</f>
        <v>9.7912266798270071</v>
      </c>
      <c r="D4" s="2">
        <f>('[1]Qc, Summer, S2'!D4*Main!$B$5)</f>
        <v>9.2786538896298563</v>
      </c>
      <c r="E4" s="2">
        <f>('[1]Qc, Summer, S2'!E4*Main!$B$5)</f>
        <v>8.1037342835096631</v>
      </c>
      <c r="F4" s="2">
        <f>('[1]Qc, Summer, S2'!F4*Main!$B$5)</f>
        <v>9.3290020153898201</v>
      </c>
      <c r="G4" s="2">
        <f>('[1]Qc, Summer, S2'!G4*Main!$B$5)</f>
        <v>4.3297344269821201</v>
      </c>
      <c r="H4" s="2">
        <f>('[1]Qc, Summer, S2'!H4*Main!$B$5)</f>
        <v>7.5543753920342809</v>
      </c>
      <c r="I4" s="2">
        <f>('[1]Qc, Summer, S2'!I4*Main!$B$5)</f>
        <v>14.516624883325491</v>
      </c>
      <c r="J4" s="2">
        <f>('[1]Qc, Summer, S2'!J4*Main!$B$5)</f>
        <v>21.11725776205509</v>
      </c>
      <c r="K4" s="2">
        <f>('[1]Qc, Summer, S2'!K4*Main!$B$5)</f>
        <v>25.093175677841515</v>
      </c>
      <c r="L4" s="2">
        <f>('[1]Qc, Summer, S2'!L4*Main!$B$5)</f>
        <v>27.394023879799061</v>
      </c>
      <c r="M4" s="2">
        <f>('[1]Qc, Summer, S2'!M4*Main!$B$5)</f>
        <v>28.394149520490121</v>
      </c>
      <c r="N4" s="2">
        <f>('[1]Qc, Summer, S2'!N4*Main!$B$5)</f>
        <v>29.670465853050452</v>
      </c>
      <c r="O4" s="2">
        <f>('[1]Qc, Summer, S2'!O4*Main!$B$5)</f>
        <v>29.894950600777459</v>
      </c>
      <c r="P4" s="2">
        <f>('[1]Qc, Summer, S2'!P4*Main!$B$5)</f>
        <v>29.682756845506155</v>
      </c>
      <c r="Q4" s="2">
        <f>('[1]Qc, Summer, S2'!Q4*Main!$B$5)</f>
        <v>28.694660350136747</v>
      </c>
      <c r="R4" s="2">
        <f>('[1]Qc, Summer, S2'!R4*Main!$B$5)</f>
        <v>27.307546973789815</v>
      </c>
      <c r="S4" s="2">
        <f>('[1]Qc, Summer, S2'!S4*Main!$B$5)</f>
        <v>24.232373186442715</v>
      </c>
      <c r="T4" s="2">
        <f>('[1]Qc, Summer, S2'!T4*Main!$B$5)</f>
        <v>24.120261485642789</v>
      </c>
      <c r="U4" s="2">
        <f>('[1]Qc, Summer, S2'!U4*Main!$B$5)</f>
        <v>22.945649639824619</v>
      </c>
      <c r="V4" s="2">
        <f>('[1]Qc, Summer, S2'!V4*Main!$B$5)</f>
        <v>20.683164716286985</v>
      </c>
      <c r="W4" s="2">
        <f>('[1]Qc, Summer, S2'!W4*Main!$B$5)</f>
        <v>24.795075267080477</v>
      </c>
      <c r="X4" s="2">
        <f>('[1]Qc, Summer, S2'!X4*Main!$B$5)</f>
        <v>22.2172899552546</v>
      </c>
      <c r="Y4" s="2">
        <f>('[1]Qc, Summer, S2'!Y4*Main!$B$5)</f>
        <v>17.879580478294518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55A79A-A7A5-4753-BFC0-753B09052AA3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-12.508712062479521</v>
      </c>
      <c r="C2" s="2">
        <f>('[1]Qc, Summer, S2'!C2*Main!$B$5)</f>
        <v>-16.26286163059109</v>
      </c>
      <c r="D2" s="2">
        <f>('[1]Qc, Summer, S2'!D2*Main!$B$5)</f>
        <v>-17.924812010446527</v>
      </c>
      <c r="E2" s="2">
        <f>('[1]Qc, Summer, S2'!E2*Main!$B$5)</f>
        <v>-16.357330052732209</v>
      </c>
      <c r="F2" s="2">
        <f>('[1]Qc, Summer, S2'!F2*Main!$B$5)</f>
        <v>-17.532857090748465</v>
      </c>
      <c r="G2" s="2">
        <f>('[1]Qc, Summer, S2'!G2*Main!$B$5)</f>
        <v>-17.936970360466479</v>
      </c>
      <c r="H2" s="2">
        <f>('[1]Qc, Summer, S2'!H2*Main!$B$5)</f>
        <v>-15.54579795654392</v>
      </c>
      <c r="I2" s="2">
        <f>('[1]Qc, Summer, S2'!I2*Main!$B$5)</f>
        <v>-2.4185768983613425</v>
      </c>
      <c r="J2" s="2">
        <f>('[1]Qc, Summer, S2'!J2*Main!$B$5)</f>
        <v>7.763453875932929</v>
      </c>
      <c r="K2" s="2">
        <f>('[1]Qc, Summer, S2'!K2*Main!$B$5)</f>
        <v>11.302079805431243</v>
      </c>
      <c r="L2" s="2">
        <f>('[1]Qc, Summer, S2'!L2*Main!$B$5)</f>
        <v>8.8844451575252226</v>
      </c>
      <c r="M2" s="2">
        <f>('[1]Qc, Summer, S2'!M2*Main!$B$5)</f>
        <v>11.834324888628462</v>
      </c>
      <c r="N2" s="2">
        <f>('[1]Qc, Summer, S2'!N2*Main!$B$5)</f>
        <v>10.502015112658095</v>
      </c>
      <c r="O2" s="2">
        <f>('[1]Qc, Summer, S2'!O2*Main!$B$5)</f>
        <v>10.818218033287332</v>
      </c>
      <c r="P2" s="2">
        <f>('[1]Qc, Summer, S2'!P2*Main!$B$5)</f>
        <v>5.5818034887437573</v>
      </c>
      <c r="Q2" s="2">
        <f>('[1]Qc, Summer, S2'!Q2*Main!$B$5)</f>
        <v>1.4111474898240721</v>
      </c>
      <c r="R2" s="2">
        <f>('[1]Qc, Summer, S2'!R2*Main!$B$5)</f>
        <v>3.139240878412731</v>
      </c>
      <c r="S2" s="2">
        <f>('[1]Qc, Summer, S2'!S2*Main!$B$5)</f>
        <v>3.8130922736899091</v>
      </c>
      <c r="T2" s="2">
        <f>('[1]Qc, Summer, S2'!T2*Main!$B$5)</f>
        <v>2.2972444961099736</v>
      </c>
      <c r="U2" s="2">
        <f>('[1]Qc, Summer, S2'!U2*Main!$B$5)</f>
        <v>-0.42854284544070798</v>
      </c>
      <c r="V2" s="2">
        <f>('[1]Qc, Summer, S2'!V2*Main!$B$5)</f>
        <v>-1.6729624301649602</v>
      </c>
      <c r="W2" s="2">
        <f>('[1]Qc, Summer, S2'!W2*Main!$B$5)</f>
        <v>-1.1639233066376335</v>
      </c>
      <c r="X2" s="2">
        <f>('[1]Qc, Summer, S2'!X2*Main!$B$5)</f>
        <v>-5.5818766252678893</v>
      </c>
      <c r="Y2" s="2">
        <f>('[1]Qc, Summer, S2'!Y2*Main!$B$5)</f>
        <v>-7.5555244934915038</v>
      </c>
    </row>
    <row r="3" spans="1:25" x14ac:dyDescent="0.3">
      <c r="A3">
        <v>2</v>
      </c>
      <c r="B3" s="2">
        <f>('[1]Qc, Summer, S2'!B3*Main!$B$5)</f>
        <v>-15.830811350346961</v>
      </c>
      <c r="C3" s="2">
        <f>('[1]Qc, Summer, S2'!C3*Main!$B$5)</f>
        <v>-15.830811350346961</v>
      </c>
      <c r="D3" s="2">
        <f>('[1]Qc, Summer, S2'!D3*Main!$B$5)</f>
        <v>-18.378638385445591</v>
      </c>
      <c r="E3" s="2">
        <f>('[1]Qc, Summer, S2'!E3*Main!$B$5)</f>
        <v>-20.926465420544226</v>
      </c>
      <c r="F3" s="2">
        <f>('[1]Qc, Summer, S2'!F3*Main!$B$5)</f>
        <v>-20.926465420544226</v>
      </c>
      <c r="G3" s="2">
        <f>('[1]Qc, Summer, S2'!G3*Main!$B$5)</f>
        <v>-20.926465420544226</v>
      </c>
      <c r="H3" s="2">
        <f>('[1]Qc, Summer, S2'!H3*Main!$B$5)</f>
        <v>-8.3441253067916321</v>
      </c>
      <c r="I3" s="2">
        <f>('[1]Qc, Summer, S2'!I3*Main!$B$5)</f>
        <v>1.7295907388445713</v>
      </c>
      <c r="J3" s="2">
        <f>('[1]Qc, Summer, S2'!J3*Main!$B$5)</f>
        <v>5.4925415560895692</v>
      </c>
      <c r="K3" s="2">
        <f>('[1]Qc, Summer, S2'!K3*Main!$B$5)</f>
        <v>5.4925415560895692</v>
      </c>
      <c r="L3" s="2">
        <f>('[1]Qc, Summer, S2'!L3*Main!$B$5)</f>
        <v>5.0221648125843137</v>
      </c>
      <c r="M3" s="2">
        <f>('[1]Qc, Summer, S2'!M3*Main!$B$5)</f>
        <v>7.0604163194314316</v>
      </c>
      <c r="N3" s="2">
        <f>('[1]Qc, Summer, S2'!N3*Main!$B$5)</f>
        <v>9.5690445697838058</v>
      </c>
      <c r="O3" s="2">
        <f>('[1]Qc, Summer, S2'!O3*Main!$B$5)</f>
        <v>9.8630353229616539</v>
      </c>
      <c r="P3" s="2">
        <f>('[1]Qc, Summer, S2'!P3*Main!$B$5)</f>
        <v>5.5317361144601458</v>
      </c>
      <c r="Q3" s="2">
        <f>('[1]Qc, Summer, S2'!Q3*Main!$B$5)</f>
        <v>4.316612310243932</v>
      </c>
      <c r="R3" s="2">
        <f>('[1]Qc, Summer, S2'!R3*Main!$B$5)</f>
        <v>-0.70064423460050962</v>
      </c>
      <c r="S3" s="2">
        <f>('[1]Qc, Summer, S2'!S3*Main!$B$5)</f>
        <v>-0.70064423460050962</v>
      </c>
      <c r="T3" s="2">
        <f>('[1]Qc, Summer, S2'!T3*Main!$B$5)</f>
        <v>-0.70064423460050962</v>
      </c>
      <c r="U3" s="2">
        <f>('[1]Qc, Summer, S2'!U3*Main!$B$5)</f>
        <v>-0.70064423460050962</v>
      </c>
      <c r="V3" s="2">
        <f>('[1]Qc, Summer, S2'!V3*Main!$B$5)</f>
        <v>-4.4635992561513413</v>
      </c>
      <c r="W3" s="2">
        <f>('[1]Qc, Summer, S2'!W3*Main!$B$5)</f>
        <v>-5.7179175966682845</v>
      </c>
      <c r="X3" s="2">
        <f>('[1]Qc, Summer, S2'!X3*Main!$B$5)</f>
        <v>-15.987589583829271</v>
      </c>
      <c r="Y3" s="2">
        <f>('[1]Qc, Summer, S2'!Y3*Main!$B$5)</f>
        <v>-15.987589583829271</v>
      </c>
    </row>
    <row r="4" spans="1:25" x14ac:dyDescent="0.3">
      <c r="A4">
        <v>3</v>
      </c>
      <c r="B4" s="2">
        <f>('[1]Qc, Summer, S2'!B4*Main!$B$5)</f>
        <v>12.77904751698229</v>
      </c>
      <c r="C4" s="2">
        <f>('[1]Qc, Summer, S2'!C4*Main!$B$5)</f>
        <v>9.7912266798270071</v>
      </c>
      <c r="D4" s="2">
        <f>('[1]Qc, Summer, S2'!D4*Main!$B$5)</f>
        <v>9.2786538896298563</v>
      </c>
      <c r="E4" s="2">
        <f>('[1]Qc, Summer, S2'!E4*Main!$B$5)</f>
        <v>8.1037342835096631</v>
      </c>
      <c r="F4" s="2">
        <f>('[1]Qc, Summer, S2'!F4*Main!$B$5)</f>
        <v>9.3290020153898201</v>
      </c>
      <c r="G4" s="2">
        <f>('[1]Qc, Summer, S2'!G4*Main!$B$5)</f>
        <v>4.3297344269821201</v>
      </c>
      <c r="H4" s="2">
        <f>('[1]Qc, Summer, S2'!H4*Main!$B$5)</f>
        <v>7.5543753920342809</v>
      </c>
      <c r="I4" s="2">
        <f>('[1]Qc, Summer, S2'!I4*Main!$B$5)</f>
        <v>14.516624883325491</v>
      </c>
      <c r="J4" s="2">
        <f>('[1]Qc, Summer, S2'!J4*Main!$B$5)</f>
        <v>21.11725776205509</v>
      </c>
      <c r="K4" s="2">
        <f>('[1]Qc, Summer, S2'!K4*Main!$B$5)</f>
        <v>25.093175677841515</v>
      </c>
      <c r="L4" s="2">
        <f>('[1]Qc, Summer, S2'!L4*Main!$B$5)</f>
        <v>27.394023879799061</v>
      </c>
      <c r="M4" s="2">
        <f>('[1]Qc, Summer, S2'!M4*Main!$B$5)</f>
        <v>28.394149520490121</v>
      </c>
      <c r="N4" s="2">
        <f>('[1]Qc, Summer, S2'!N4*Main!$B$5)</f>
        <v>29.670465853050452</v>
      </c>
      <c r="O4" s="2">
        <f>('[1]Qc, Summer, S2'!O4*Main!$B$5)</f>
        <v>29.894950600777459</v>
      </c>
      <c r="P4" s="2">
        <f>('[1]Qc, Summer, S2'!P4*Main!$B$5)</f>
        <v>29.682756845506155</v>
      </c>
      <c r="Q4" s="2">
        <f>('[1]Qc, Summer, S2'!Q4*Main!$B$5)</f>
        <v>28.694660350136747</v>
      </c>
      <c r="R4" s="2">
        <f>('[1]Qc, Summer, S2'!R4*Main!$B$5)</f>
        <v>27.307546973789815</v>
      </c>
      <c r="S4" s="2">
        <f>('[1]Qc, Summer, S2'!S4*Main!$B$5)</f>
        <v>24.232373186442715</v>
      </c>
      <c r="T4" s="2">
        <f>('[1]Qc, Summer, S2'!T4*Main!$B$5)</f>
        <v>24.120261485642789</v>
      </c>
      <c r="U4" s="2">
        <f>('[1]Qc, Summer, S2'!U4*Main!$B$5)</f>
        <v>22.945649639824619</v>
      </c>
      <c r="V4" s="2">
        <f>('[1]Qc, Summer, S2'!V4*Main!$B$5)</f>
        <v>20.683164716286985</v>
      </c>
      <c r="W4" s="2">
        <f>('[1]Qc, Summer, S2'!W4*Main!$B$5)</f>
        <v>24.795075267080477</v>
      </c>
      <c r="X4" s="2">
        <f>('[1]Qc, Summer, S2'!X4*Main!$B$5)</f>
        <v>22.2172899552546</v>
      </c>
      <c r="Y4" s="2">
        <f>('[1]Qc, Summer, S2'!Y4*Main!$B$5)</f>
        <v>17.879580478294518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4CB74-1EDC-42F0-8237-BA1DB1708AAE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-11.901493030320321</v>
      </c>
      <c r="C2" s="2">
        <f>('[1]Qc, Summer, S3'!C2*Main!$B$5)</f>
        <v>-15.47340232813521</v>
      </c>
      <c r="D2" s="2">
        <f>('[1]Qc, Summer, S3'!D2*Main!$B$5)</f>
        <v>-17.054675505085044</v>
      </c>
      <c r="E2" s="2">
        <f>('[1]Qc, Summer, S3'!E2*Main!$B$5)</f>
        <v>-15.563284904541325</v>
      </c>
      <c r="F2" s="2">
        <f>('[1]Qc, Summer, S3'!F2*Main!$B$5)</f>
        <v>-16.681747523236403</v>
      </c>
      <c r="G2" s="2">
        <f>('[1]Qc, Summer, S3'!G2*Main!$B$5)</f>
        <v>-17.066243643938975</v>
      </c>
      <c r="H2" s="2">
        <f>('[1]Qc, Summer, S3'!H2*Main!$B$5)</f>
        <v>-14.791147570303922</v>
      </c>
      <c r="I2" s="2">
        <f>('[1]Qc, Summer, S3'!I2*Main!$B$5)</f>
        <v>-2.301170252809821</v>
      </c>
      <c r="J2" s="2">
        <f>('[1]Qc, Summer, S3'!J2*Main!$B$5)</f>
        <v>7.3865871829264762</v>
      </c>
      <c r="K2" s="2">
        <f>('[1]Qc, Summer, S3'!K2*Main!$B$5)</f>
        <v>10.753435154682153</v>
      </c>
      <c r="L2" s="2">
        <f>('[1]Qc, Summer, S3'!L2*Main!$B$5)</f>
        <v>8.4531614120142891</v>
      </c>
      <c r="M2" s="2">
        <f>('[1]Qc, Summer, S3'!M2*Main!$B$5)</f>
        <v>11.259843097918344</v>
      </c>
      <c r="N2" s="2">
        <f>('[1]Qc, Summer, S3'!N2*Main!$B$5)</f>
        <v>9.9922085537911975</v>
      </c>
      <c r="O2" s="2">
        <f>('[1]Qc, Summer, S3'!O2*Main!$B$5)</f>
        <v>10.29306181807921</v>
      </c>
      <c r="P2" s="2">
        <f>('[1]Qc, Summer, S3'!P2*Main!$B$5)</f>
        <v>5.3108421543387205</v>
      </c>
      <c r="Q2" s="2">
        <f>('[1]Qc, Summer, S3'!Q2*Main!$B$5)</f>
        <v>1.3426451844928065</v>
      </c>
      <c r="R2" s="2">
        <f>('[1]Qc, Summer, S3'!R2*Main!$B$5)</f>
        <v>2.9868505445092004</v>
      </c>
      <c r="S2" s="2">
        <f>('[1]Qc, Summer, S3'!S2*Main!$B$5)</f>
        <v>3.6279907070059325</v>
      </c>
      <c r="T2" s="2">
        <f>('[1]Qc, Summer, S3'!T2*Main!$B$5)</f>
        <v>2.1857277729978395</v>
      </c>
      <c r="U2" s="2">
        <f>('[1]Qc, Summer, S3'!U2*Main!$B$5)</f>
        <v>-0.40773979469115901</v>
      </c>
      <c r="V2" s="2">
        <f>('[1]Qc, Summer, S3'!V2*Main!$B$5)</f>
        <v>-1.5917506617103503</v>
      </c>
      <c r="W2" s="2">
        <f>('[1]Qc, Summer, S3'!W2*Main!$B$5)</f>
        <v>-1.1074221752474571</v>
      </c>
      <c r="X2" s="2">
        <f>('[1]Qc, Summer, S3'!X2*Main!$B$5)</f>
        <v>-5.3109117405461461</v>
      </c>
      <c r="Y2" s="2">
        <f>('[1]Qc, Summer, S3'!Y2*Main!$B$5)</f>
        <v>-7.1887514598268689</v>
      </c>
    </row>
    <row r="3" spans="1:25" x14ac:dyDescent="0.3">
      <c r="A3">
        <v>2</v>
      </c>
      <c r="B3" s="2">
        <f>('[1]Qc, Summer, S3'!B3*Main!$B$5)</f>
        <v>-15.062325362466041</v>
      </c>
      <c r="C3" s="2">
        <f>('[1]Qc, Summer, S3'!C3*Main!$B$5)</f>
        <v>-15.062325362466041</v>
      </c>
      <c r="D3" s="2">
        <f>('[1]Qc, Summer, S3'!D3*Main!$B$5)</f>
        <v>-17.486471473530756</v>
      </c>
      <c r="E3" s="2">
        <f>('[1]Qc, Summer, S3'!E3*Main!$B$5)</f>
        <v>-19.910617584595471</v>
      </c>
      <c r="F3" s="2">
        <f>('[1]Qc, Summer, S3'!F3*Main!$B$5)</f>
        <v>-19.910617584595471</v>
      </c>
      <c r="G3" s="2">
        <f>('[1]Qc, Summer, S3'!G3*Main!$B$5)</f>
        <v>-19.910617584595471</v>
      </c>
      <c r="H3" s="2">
        <f>('[1]Qc, Summer, S3'!H3*Main!$B$5)</f>
        <v>-7.9390706802483493</v>
      </c>
      <c r="I3" s="2">
        <f>('[1]Qc, Summer, S3'!I3*Main!$B$5)</f>
        <v>1.6456300233666792</v>
      </c>
      <c r="J3" s="2">
        <f>('[1]Qc, Summer, S3'!J3*Main!$B$5)</f>
        <v>5.225913325211434</v>
      </c>
      <c r="K3" s="2">
        <f>('[1]Qc, Summer, S3'!K3*Main!$B$5)</f>
        <v>5.225913325211434</v>
      </c>
      <c r="L3" s="2">
        <f>('[1]Qc, Summer, S3'!L3*Main!$B$5)</f>
        <v>4.7783704042064343</v>
      </c>
      <c r="M3" s="2">
        <f>('[1]Qc, Summer, S3'!M3*Main!$B$5)</f>
        <v>6.7176776631483532</v>
      </c>
      <c r="N3" s="2">
        <f>('[1]Qc, Summer, S3'!N3*Main!$B$5)</f>
        <v>9.104527843095271</v>
      </c>
      <c r="O3" s="2">
        <f>('[1]Qc, Summer, S3'!O3*Main!$B$5)</f>
        <v>9.3842472004877866</v>
      </c>
      <c r="P3" s="2">
        <f>('[1]Qc, Summer, S3'!P3*Main!$B$5)</f>
        <v>5.2632052351174199</v>
      </c>
      <c r="Q3" s="2">
        <f>('[1]Qc, Summer, S3'!Q3*Main!$B$5)</f>
        <v>4.1070680233388863</v>
      </c>
      <c r="R3" s="2">
        <f>('[1]Qc, Summer, S3'!R3*Main!$B$5)</f>
        <v>-0.66663237855194124</v>
      </c>
      <c r="S3" s="2">
        <f>('[1]Qc, Summer, S3'!S3*Main!$B$5)</f>
        <v>-0.66663237855194124</v>
      </c>
      <c r="T3" s="2">
        <f>('[1]Qc, Summer, S3'!T3*Main!$B$5)</f>
        <v>-0.66663237855194124</v>
      </c>
      <c r="U3" s="2">
        <f>('[1]Qc, Summer, S3'!U3*Main!$B$5)</f>
        <v>-0.66663237855194124</v>
      </c>
      <c r="V3" s="2">
        <f>('[1]Qc, Summer, S3'!V3*Main!$B$5)</f>
        <v>-4.2469196806100138</v>
      </c>
      <c r="W3" s="2">
        <f>('[1]Qc, Summer, S3'!W3*Main!$B$5)</f>
        <v>-5.4403487812960369</v>
      </c>
      <c r="X3" s="2">
        <f>('[1]Qc, Summer, S3'!X3*Main!$B$5)</f>
        <v>-15.211493002089986</v>
      </c>
      <c r="Y3" s="2">
        <f>('[1]Qc, Summer, S3'!Y3*Main!$B$5)</f>
        <v>-15.211493002089986</v>
      </c>
    </row>
    <row r="4" spans="1:25" x14ac:dyDescent="0.3">
      <c r="A4">
        <v>3</v>
      </c>
      <c r="B4" s="2">
        <f>('[1]Qc, Summer, S3'!B4*Main!$B$5)</f>
        <v>12.158705404507423</v>
      </c>
      <c r="C4" s="2">
        <f>('[1]Qc, Summer, S3'!C4*Main!$B$5)</f>
        <v>9.3159244138159885</v>
      </c>
      <c r="D4" s="2">
        <f>('[1]Qc, Summer, S3'!D4*Main!$B$5)</f>
        <v>8.8282337979002499</v>
      </c>
      <c r="E4" s="2">
        <f>('[1]Qc, Summer, S3'!E4*Main!$B$5)</f>
        <v>7.7103491241159903</v>
      </c>
      <c r="F4" s="2">
        <f>('[1]Qc, Summer, S3'!F4*Main!$B$5)</f>
        <v>8.8761378398854607</v>
      </c>
      <c r="G4" s="2">
        <f>('[1]Qc, Summer, S3'!G4*Main!$B$5)</f>
        <v>4.1195531441189104</v>
      </c>
      <c r="H4" s="2">
        <f>('[1]Qc, Summer, S3'!H4*Main!$B$5)</f>
        <v>7.1876581399937818</v>
      </c>
      <c r="I4" s="2">
        <f>('[1]Qc, Summer, S3'!I4*Main!$B$5)</f>
        <v>13.811934355008718</v>
      </c>
      <c r="J4" s="2">
        <f>('[1]Qc, Summer, S3'!J4*Main!$B$5)</f>
        <v>20.092148161955325</v>
      </c>
      <c r="K4" s="2">
        <f>('[1]Qc, Summer, S3'!K4*Main!$B$5)</f>
        <v>23.875060353674449</v>
      </c>
      <c r="L4" s="2">
        <f>('[1]Qc, Summer, S3'!L4*Main!$B$5)</f>
        <v>26.064216895342799</v>
      </c>
      <c r="M4" s="2">
        <f>('[1]Qc, Summer, S3'!M4*Main!$B$5)</f>
        <v>27.015792747650796</v>
      </c>
      <c r="N4" s="2">
        <f>('[1]Qc, Summer, S3'!N4*Main!$B$5)</f>
        <v>28.230151976688777</v>
      </c>
      <c r="O4" s="2">
        <f>('[1]Qc, Summer, S3'!O4*Main!$B$5)</f>
        <v>28.443739406564962</v>
      </c>
      <c r="P4" s="2">
        <f>('[1]Qc, Summer, S3'!P4*Main!$B$5)</f>
        <v>28.241846319025271</v>
      </c>
      <c r="Q4" s="2">
        <f>('[1]Qc, Summer, S3'!Q4*Main!$B$5)</f>
        <v>27.30171567294564</v>
      </c>
      <c r="R4" s="2">
        <f>('[1]Qc, Summer, S3'!R4*Main!$B$5)</f>
        <v>25.981937897392253</v>
      </c>
      <c r="S4" s="2">
        <f>('[1]Qc, Summer, S3'!S4*Main!$B$5)</f>
        <v>23.056044390984329</v>
      </c>
      <c r="T4" s="2">
        <f>('[1]Qc, Summer, S3'!T4*Main!$B$5)</f>
        <v>22.949375005757215</v>
      </c>
      <c r="U4" s="2">
        <f>('[1]Qc, Summer, S3'!U4*Main!$B$5)</f>
        <v>21.831783152454495</v>
      </c>
      <c r="V4" s="2">
        <f>('[1]Qc, Summer, S3'!V4*Main!$B$5)</f>
        <v>19.679127594137132</v>
      </c>
      <c r="W4" s="2">
        <f>('[1]Qc, Summer, S3'!W4*Main!$B$5)</f>
        <v>23.591430836639677</v>
      </c>
      <c r="X4" s="2">
        <f>('[1]Qc, Summer, S3'!X4*Main!$B$5)</f>
        <v>21.138780734125739</v>
      </c>
      <c r="Y4" s="2">
        <f>('[1]Qc, Summer, S3'!Y4*Main!$B$5)</f>
        <v>17.011639678377307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DB2D06-6809-4291-8C45-542A8D818016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-11.901493030320321</v>
      </c>
      <c r="C2" s="2">
        <f>('[1]Qc, Summer, S3'!C2*Main!$B$5)</f>
        <v>-15.47340232813521</v>
      </c>
      <c r="D2" s="2">
        <f>('[1]Qc, Summer, S3'!D2*Main!$B$5)</f>
        <v>-17.054675505085044</v>
      </c>
      <c r="E2" s="2">
        <f>('[1]Qc, Summer, S3'!E2*Main!$B$5)</f>
        <v>-15.563284904541325</v>
      </c>
      <c r="F2" s="2">
        <f>('[1]Qc, Summer, S3'!F2*Main!$B$5)</f>
        <v>-16.681747523236403</v>
      </c>
      <c r="G2" s="2">
        <f>('[1]Qc, Summer, S3'!G2*Main!$B$5)</f>
        <v>-17.066243643938975</v>
      </c>
      <c r="H2" s="2">
        <f>('[1]Qc, Summer, S3'!H2*Main!$B$5)</f>
        <v>-14.791147570303922</v>
      </c>
      <c r="I2" s="2">
        <f>('[1]Qc, Summer, S3'!I2*Main!$B$5)</f>
        <v>-2.301170252809821</v>
      </c>
      <c r="J2" s="2">
        <f>('[1]Qc, Summer, S3'!J2*Main!$B$5)</f>
        <v>7.3865871829264762</v>
      </c>
      <c r="K2" s="2">
        <f>('[1]Qc, Summer, S3'!K2*Main!$B$5)</f>
        <v>10.753435154682153</v>
      </c>
      <c r="L2" s="2">
        <f>('[1]Qc, Summer, S3'!L2*Main!$B$5)</f>
        <v>8.4531614120142891</v>
      </c>
      <c r="M2" s="2">
        <f>('[1]Qc, Summer, S3'!M2*Main!$B$5)</f>
        <v>11.259843097918344</v>
      </c>
      <c r="N2" s="2">
        <f>('[1]Qc, Summer, S3'!N2*Main!$B$5)</f>
        <v>9.9922085537911975</v>
      </c>
      <c r="O2" s="2">
        <f>('[1]Qc, Summer, S3'!O2*Main!$B$5)</f>
        <v>10.29306181807921</v>
      </c>
      <c r="P2" s="2">
        <f>('[1]Qc, Summer, S3'!P2*Main!$B$5)</f>
        <v>5.3108421543387205</v>
      </c>
      <c r="Q2" s="2">
        <f>('[1]Qc, Summer, S3'!Q2*Main!$B$5)</f>
        <v>1.3426451844928065</v>
      </c>
      <c r="R2" s="2">
        <f>('[1]Qc, Summer, S3'!R2*Main!$B$5)</f>
        <v>2.9868505445092004</v>
      </c>
      <c r="S2" s="2">
        <f>('[1]Qc, Summer, S3'!S2*Main!$B$5)</f>
        <v>3.6279907070059325</v>
      </c>
      <c r="T2" s="2">
        <f>('[1]Qc, Summer, S3'!T2*Main!$B$5)</f>
        <v>2.1857277729978395</v>
      </c>
      <c r="U2" s="2">
        <f>('[1]Qc, Summer, S3'!U2*Main!$B$5)</f>
        <v>-0.40773979469115901</v>
      </c>
      <c r="V2" s="2">
        <f>('[1]Qc, Summer, S3'!V2*Main!$B$5)</f>
        <v>-1.5917506617103503</v>
      </c>
      <c r="W2" s="2">
        <f>('[1]Qc, Summer, S3'!W2*Main!$B$5)</f>
        <v>-1.1074221752474571</v>
      </c>
      <c r="X2" s="2">
        <f>('[1]Qc, Summer, S3'!X2*Main!$B$5)</f>
        <v>-5.3109117405461461</v>
      </c>
      <c r="Y2" s="2">
        <f>('[1]Qc, Summer, S3'!Y2*Main!$B$5)</f>
        <v>-7.1887514598268689</v>
      </c>
    </row>
    <row r="3" spans="1:25" x14ac:dyDescent="0.3">
      <c r="A3">
        <v>2</v>
      </c>
      <c r="B3" s="2">
        <f>('[1]Qc, Summer, S3'!B3*Main!$B$5)</f>
        <v>-15.062325362466041</v>
      </c>
      <c r="C3" s="2">
        <f>('[1]Qc, Summer, S3'!C3*Main!$B$5)</f>
        <v>-15.062325362466041</v>
      </c>
      <c r="D3" s="2">
        <f>('[1]Qc, Summer, S3'!D3*Main!$B$5)</f>
        <v>-17.486471473530756</v>
      </c>
      <c r="E3" s="2">
        <f>('[1]Qc, Summer, S3'!E3*Main!$B$5)</f>
        <v>-19.910617584595471</v>
      </c>
      <c r="F3" s="2">
        <f>('[1]Qc, Summer, S3'!F3*Main!$B$5)</f>
        <v>-19.910617584595471</v>
      </c>
      <c r="G3" s="2">
        <f>('[1]Qc, Summer, S3'!G3*Main!$B$5)</f>
        <v>-19.910617584595471</v>
      </c>
      <c r="H3" s="2">
        <f>('[1]Qc, Summer, S3'!H3*Main!$B$5)</f>
        <v>-7.9390706802483493</v>
      </c>
      <c r="I3" s="2">
        <f>('[1]Qc, Summer, S3'!I3*Main!$B$5)</f>
        <v>1.6456300233666792</v>
      </c>
      <c r="J3" s="2">
        <f>('[1]Qc, Summer, S3'!J3*Main!$B$5)</f>
        <v>5.225913325211434</v>
      </c>
      <c r="K3" s="2">
        <f>('[1]Qc, Summer, S3'!K3*Main!$B$5)</f>
        <v>5.225913325211434</v>
      </c>
      <c r="L3" s="2">
        <f>('[1]Qc, Summer, S3'!L3*Main!$B$5)</f>
        <v>4.7783704042064343</v>
      </c>
      <c r="M3" s="2">
        <f>('[1]Qc, Summer, S3'!M3*Main!$B$5)</f>
        <v>6.7176776631483532</v>
      </c>
      <c r="N3" s="2">
        <f>('[1]Qc, Summer, S3'!N3*Main!$B$5)</f>
        <v>9.104527843095271</v>
      </c>
      <c r="O3" s="2">
        <f>('[1]Qc, Summer, S3'!O3*Main!$B$5)</f>
        <v>9.3842472004877866</v>
      </c>
      <c r="P3" s="2">
        <f>('[1]Qc, Summer, S3'!P3*Main!$B$5)</f>
        <v>5.2632052351174199</v>
      </c>
      <c r="Q3" s="2">
        <f>('[1]Qc, Summer, S3'!Q3*Main!$B$5)</f>
        <v>4.1070680233388863</v>
      </c>
      <c r="R3" s="2">
        <f>('[1]Qc, Summer, S3'!R3*Main!$B$5)</f>
        <v>-0.66663237855194124</v>
      </c>
      <c r="S3" s="2">
        <f>('[1]Qc, Summer, S3'!S3*Main!$B$5)</f>
        <v>-0.66663237855194124</v>
      </c>
      <c r="T3" s="2">
        <f>('[1]Qc, Summer, S3'!T3*Main!$B$5)</f>
        <v>-0.66663237855194124</v>
      </c>
      <c r="U3" s="2">
        <f>('[1]Qc, Summer, S3'!U3*Main!$B$5)</f>
        <v>-0.66663237855194124</v>
      </c>
      <c r="V3" s="2">
        <f>('[1]Qc, Summer, S3'!V3*Main!$B$5)</f>
        <v>-4.2469196806100138</v>
      </c>
      <c r="W3" s="2">
        <f>('[1]Qc, Summer, S3'!W3*Main!$B$5)</f>
        <v>-5.4403487812960369</v>
      </c>
      <c r="X3" s="2">
        <f>('[1]Qc, Summer, S3'!X3*Main!$B$5)</f>
        <v>-15.211493002089986</v>
      </c>
      <c r="Y3" s="2">
        <f>('[1]Qc, Summer, S3'!Y3*Main!$B$5)</f>
        <v>-15.211493002089986</v>
      </c>
    </row>
    <row r="4" spans="1:25" x14ac:dyDescent="0.3">
      <c r="A4">
        <v>3</v>
      </c>
      <c r="B4" s="2">
        <f>('[1]Qc, Summer, S3'!B4*Main!$B$5)</f>
        <v>12.158705404507423</v>
      </c>
      <c r="C4" s="2">
        <f>('[1]Qc, Summer, S3'!C4*Main!$B$5)</f>
        <v>9.3159244138159885</v>
      </c>
      <c r="D4" s="2">
        <f>('[1]Qc, Summer, S3'!D4*Main!$B$5)</f>
        <v>8.8282337979002499</v>
      </c>
      <c r="E4" s="2">
        <f>('[1]Qc, Summer, S3'!E4*Main!$B$5)</f>
        <v>7.7103491241159903</v>
      </c>
      <c r="F4" s="2">
        <f>('[1]Qc, Summer, S3'!F4*Main!$B$5)</f>
        <v>8.8761378398854607</v>
      </c>
      <c r="G4" s="2">
        <f>('[1]Qc, Summer, S3'!G4*Main!$B$5)</f>
        <v>4.1195531441189104</v>
      </c>
      <c r="H4" s="2">
        <f>('[1]Qc, Summer, S3'!H4*Main!$B$5)</f>
        <v>7.1876581399937818</v>
      </c>
      <c r="I4" s="2">
        <f>('[1]Qc, Summer, S3'!I4*Main!$B$5)</f>
        <v>13.811934355008718</v>
      </c>
      <c r="J4" s="2">
        <f>('[1]Qc, Summer, S3'!J4*Main!$B$5)</f>
        <v>20.092148161955325</v>
      </c>
      <c r="K4" s="2">
        <f>('[1]Qc, Summer, S3'!K4*Main!$B$5)</f>
        <v>23.875060353674449</v>
      </c>
      <c r="L4" s="2">
        <f>('[1]Qc, Summer, S3'!L4*Main!$B$5)</f>
        <v>26.064216895342799</v>
      </c>
      <c r="M4" s="2">
        <f>('[1]Qc, Summer, S3'!M4*Main!$B$5)</f>
        <v>27.015792747650796</v>
      </c>
      <c r="N4" s="2">
        <f>('[1]Qc, Summer, S3'!N4*Main!$B$5)</f>
        <v>28.230151976688777</v>
      </c>
      <c r="O4" s="2">
        <f>('[1]Qc, Summer, S3'!O4*Main!$B$5)</f>
        <v>28.443739406564962</v>
      </c>
      <c r="P4" s="2">
        <f>('[1]Qc, Summer, S3'!P4*Main!$B$5)</f>
        <v>28.241846319025271</v>
      </c>
      <c r="Q4" s="2">
        <f>('[1]Qc, Summer, S3'!Q4*Main!$B$5)</f>
        <v>27.30171567294564</v>
      </c>
      <c r="R4" s="2">
        <f>('[1]Qc, Summer, S3'!R4*Main!$B$5)</f>
        <v>25.981937897392253</v>
      </c>
      <c r="S4" s="2">
        <f>('[1]Qc, Summer, S3'!S4*Main!$B$5)</f>
        <v>23.056044390984329</v>
      </c>
      <c r="T4" s="2">
        <f>('[1]Qc, Summer, S3'!T4*Main!$B$5)</f>
        <v>22.949375005757215</v>
      </c>
      <c r="U4" s="2">
        <f>('[1]Qc, Summer, S3'!U4*Main!$B$5)</f>
        <v>21.831783152454495</v>
      </c>
      <c r="V4" s="2">
        <f>('[1]Qc, Summer, S3'!V4*Main!$B$5)</f>
        <v>19.679127594137132</v>
      </c>
      <c r="W4" s="2">
        <f>('[1]Qc, Summer, S3'!W4*Main!$B$5)</f>
        <v>23.591430836639677</v>
      </c>
      <c r="X4" s="2">
        <f>('[1]Qc, Summer, S3'!X4*Main!$B$5)</f>
        <v>21.138780734125739</v>
      </c>
      <c r="Y4" s="2">
        <f>('[1]Qc, Summer, S3'!Y4*Main!$B$5)</f>
        <v>17.011639678377307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8C8CBD-8163-4197-999D-14E463C9318C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-11.901493030320321</v>
      </c>
      <c r="C2" s="2">
        <f>('[1]Qc, Summer, S3'!C2*Main!$B$5)</f>
        <v>-15.47340232813521</v>
      </c>
      <c r="D2" s="2">
        <f>('[1]Qc, Summer, S3'!D2*Main!$B$5)</f>
        <v>-17.054675505085044</v>
      </c>
      <c r="E2" s="2">
        <f>('[1]Qc, Summer, S3'!E2*Main!$B$5)</f>
        <v>-15.563284904541325</v>
      </c>
      <c r="F2" s="2">
        <f>('[1]Qc, Summer, S3'!F2*Main!$B$5)</f>
        <v>-16.681747523236403</v>
      </c>
      <c r="G2" s="2">
        <f>('[1]Qc, Summer, S3'!G2*Main!$B$5)</f>
        <v>-17.066243643938975</v>
      </c>
      <c r="H2" s="2">
        <f>('[1]Qc, Summer, S3'!H2*Main!$B$5)</f>
        <v>-14.791147570303922</v>
      </c>
      <c r="I2" s="2">
        <f>('[1]Qc, Summer, S3'!I2*Main!$B$5)</f>
        <v>-2.301170252809821</v>
      </c>
      <c r="J2" s="2">
        <f>('[1]Qc, Summer, S3'!J2*Main!$B$5)</f>
        <v>7.3865871829264762</v>
      </c>
      <c r="K2" s="2">
        <f>('[1]Qc, Summer, S3'!K2*Main!$B$5)</f>
        <v>10.753435154682153</v>
      </c>
      <c r="L2" s="2">
        <f>('[1]Qc, Summer, S3'!L2*Main!$B$5)</f>
        <v>8.4531614120142891</v>
      </c>
      <c r="M2" s="2">
        <f>('[1]Qc, Summer, S3'!M2*Main!$B$5)</f>
        <v>11.259843097918344</v>
      </c>
      <c r="N2" s="2">
        <f>('[1]Qc, Summer, S3'!N2*Main!$B$5)</f>
        <v>9.9922085537911975</v>
      </c>
      <c r="O2" s="2">
        <f>('[1]Qc, Summer, S3'!O2*Main!$B$5)</f>
        <v>10.29306181807921</v>
      </c>
      <c r="P2" s="2">
        <f>('[1]Qc, Summer, S3'!P2*Main!$B$5)</f>
        <v>5.3108421543387205</v>
      </c>
      <c r="Q2" s="2">
        <f>('[1]Qc, Summer, S3'!Q2*Main!$B$5)</f>
        <v>1.3426451844928065</v>
      </c>
      <c r="R2" s="2">
        <f>('[1]Qc, Summer, S3'!R2*Main!$B$5)</f>
        <v>2.9868505445092004</v>
      </c>
      <c r="S2" s="2">
        <f>('[1]Qc, Summer, S3'!S2*Main!$B$5)</f>
        <v>3.6279907070059325</v>
      </c>
      <c r="T2" s="2">
        <f>('[1]Qc, Summer, S3'!T2*Main!$B$5)</f>
        <v>2.1857277729978395</v>
      </c>
      <c r="U2" s="2">
        <f>('[1]Qc, Summer, S3'!U2*Main!$B$5)</f>
        <v>-0.40773979469115901</v>
      </c>
      <c r="V2" s="2">
        <f>('[1]Qc, Summer, S3'!V2*Main!$B$5)</f>
        <v>-1.5917506617103503</v>
      </c>
      <c r="W2" s="2">
        <f>('[1]Qc, Summer, S3'!W2*Main!$B$5)</f>
        <v>-1.1074221752474571</v>
      </c>
      <c r="X2" s="2">
        <f>('[1]Qc, Summer, S3'!X2*Main!$B$5)</f>
        <v>-5.3109117405461461</v>
      </c>
      <c r="Y2" s="2">
        <f>('[1]Qc, Summer, S3'!Y2*Main!$B$5)</f>
        <v>-7.1887514598268689</v>
      </c>
    </row>
    <row r="3" spans="1:25" x14ac:dyDescent="0.3">
      <c r="A3">
        <v>2</v>
      </c>
      <c r="B3" s="2">
        <f>('[1]Qc, Summer, S3'!B3*Main!$B$5)</f>
        <v>-15.062325362466041</v>
      </c>
      <c r="C3" s="2">
        <f>('[1]Qc, Summer, S3'!C3*Main!$B$5)</f>
        <v>-15.062325362466041</v>
      </c>
      <c r="D3" s="2">
        <f>('[1]Qc, Summer, S3'!D3*Main!$B$5)</f>
        <v>-17.486471473530756</v>
      </c>
      <c r="E3" s="2">
        <f>('[1]Qc, Summer, S3'!E3*Main!$B$5)</f>
        <v>-19.910617584595471</v>
      </c>
      <c r="F3" s="2">
        <f>('[1]Qc, Summer, S3'!F3*Main!$B$5)</f>
        <v>-19.910617584595471</v>
      </c>
      <c r="G3" s="2">
        <f>('[1]Qc, Summer, S3'!G3*Main!$B$5)</f>
        <v>-19.910617584595471</v>
      </c>
      <c r="H3" s="2">
        <f>('[1]Qc, Summer, S3'!H3*Main!$B$5)</f>
        <v>-7.9390706802483493</v>
      </c>
      <c r="I3" s="2">
        <f>('[1]Qc, Summer, S3'!I3*Main!$B$5)</f>
        <v>1.6456300233666792</v>
      </c>
      <c r="J3" s="2">
        <f>('[1]Qc, Summer, S3'!J3*Main!$B$5)</f>
        <v>5.225913325211434</v>
      </c>
      <c r="K3" s="2">
        <f>('[1]Qc, Summer, S3'!K3*Main!$B$5)</f>
        <v>5.225913325211434</v>
      </c>
      <c r="L3" s="2">
        <f>('[1]Qc, Summer, S3'!L3*Main!$B$5)</f>
        <v>4.7783704042064343</v>
      </c>
      <c r="M3" s="2">
        <f>('[1]Qc, Summer, S3'!M3*Main!$B$5)</f>
        <v>6.7176776631483532</v>
      </c>
      <c r="N3" s="2">
        <f>('[1]Qc, Summer, S3'!N3*Main!$B$5)</f>
        <v>9.104527843095271</v>
      </c>
      <c r="O3" s="2">
        <f>('[1]Qc, Summer, S3'!O3*Main!$B$5)</f>
        <v>9.3842472004877866</v>
      </c>
      <c r="P3" s="2">
        <f>('[1]Qc, Summer, S3'!P3*Main!$B$5)</f>
        <v>5.2632052351174199</v>
      </c>
      <c r="Q3" s="2">
        <f>('[1]Qc, Summer, S3'!Q3*Main!$B$5)</f>
        <v>4.1070680233388863</v>
      </c>
      <c r="R3" s="2">
        <f>('[1]Qc, Summer, S3'!R3*Main!$B$5)</f>
        <v>-0.66663237855194124</v>
      </c>
      <c r="S3" s="2">
        <f>('[1]Qc, Summer, S3'!S3*Main!$B$5)</f>
        <v>-0.66663237855194124</v>
      </c>
      <c r="T3" s="2">
        <f>('[1]Qc, Summer, S3'!T3*Main!$B$5)</f>
        <v>-0.66663237855194124</v>
      </c>
      <c r="U3" s="2">
        <f>('[1]Qc, Summer, S3'!U3*Main!$B$5)</f>
        <v>-0.66663237855194124</v>
      </c>
      <c r="V3" s="2">
        <f>('[1]Qc, Summer, S3'!V3*Main!$B$5)</f>
        <v>-4.2469196806100138</v>
      </c>
      <c r="W3" s="2">
        <f>('[1]Qc, Summer, S3'!W3*Main!$B$5)</f>
        <v>-5.4403487812960369</v>
      </c>
      <c r="X3" s="2">
        <f>('[1]Qc, Summer, S3'!X3*Main!$B$5)</f>
        <v>-15.211493002089986</v>
      </c>
      <c r="Y3" s="2">
        <f>('[1]Qc, Summer, S3'!Y3*Main!$B$5)</f>
        <v>-15.211493002089986</v>
      </c>
    </row>
    <row r="4" spans="1:25" x14ac:dyDescent="0.3">
      <c r="A4">
        <v>3</v>
      </c>
      <c r="B4" s="2">
        <f>('[1]Qc, Summer, S3'!B4*Main!$B$5)</f>
        <v>12.158705404507423</v>
      </c>
      <c r="C4" s="2">
        <f>('[1]Qc, Summer, S3'!C4*Main!$B$5)</f>
        <v>9.3159244138159885</v>
      </c>
      <c r="D4" s="2">
        <f>('[1]Qc, Summer, S3'!D4*Main!$B$5)</f>
        <v>8.8282337979002499</v>
      </c>
      <c r="E4" s="2">
        <f>('[1]Qc, Summer, S3'!E4*Main!$B$5)</f>
        <v>7.7103491241159903</v>
      </c>
      <c r="F4" s="2">
        <f>('[1]Qc, Summer, S3'!F4*Main!$B$5)</f>
        <v>8.8761378398854607</v>
      </c>
      <c r="G4" s="2">
        <f>('[1]Qc, Summer, S3'!G4*Main!$B$5)</f>
        <v>4.1195531441189104</v>
      </c>
      <c r="H4" s="2">
        <f>('[1]Qc, Summer, S3'!H4*Main!$B$5)</f>
        <v>7.1876581399937818</v>
      </c>
      <c r="I4" s="2">
        <f>('[1]Qc, Summer, S3'!I4*Main!$B$5)</f>
        <v>13.811934355008718</v>
      </c>
      <c r="J4" s="2">
        <f>('[1]Qc, Summer, S3'!J4*Main!$B$5)</f>
        <v>20.092148161955325</v>
      </c>
      <c r="K4" s="2">
        <f>('[1]Qc, Summer, S3'!K4*Main!$B$5)</f>
        <v>23.875060353674449</v>
      </c>
      <c r="L4" s="2">
        <f>('[1]Qc, Summer, S3'!L4*Main!$B$5)</f>
        <v>26.064216895342799</v>
      </c>
      <c r="M4" s="2">
        <f>('[1]Qc, Summer, S3'!M4*Main!$B$5)</f>
        <v>27.015792747650796</v>
      </c>
      <c r="N4" s="2">
        <f>('[1]Qc, Summer, S3'!N4*Main!$B$5)</f>
        <v>28.230151976688777</v>
      </c>
      <c r="O4" s="2">
        <f>('[1]Qc, Summer, S3'!O4*Main!$B$5)</f>
        <v>28.443739406564962</v>
      </c>
      <c r="P4" s="2">
        <f>('[1]Qc, Summer, S3'!P4*Main!$B$5)</f>
        <v>28.241846319025271</v>
      </c>
      <c r="Q4" s="2">
        <f>('[1]Qc, Summer, S3'!Q4*Main!$B$5)</f>
        <v>27.30171567294564</v>
      </c>
      <c r="R4" s="2">
        <f>('[1]Qc, Summer, S3'!R4*Main!$B$5)</f>
        <v>25.981937897392253</v>
      </c>
      <c r="S4" s="2">
        <f>('[1]Qc, Summer, S3'!S4*Main!$B$5)</f>
        <v>23.056044390984329</v>
      </c>
      <c r="T4" s="2">
        <f>('[1]Qc, Summer, S3'!T4*Main!$B$5)</f>
        <v>22.949375005757215</v>
      </c>
      <c r="U4" s="2">
        <f>('[1]Qc, Summer, S3'!U4*Main!$B$5)</f>
        <v>21.831783152454495</v>
      </c>
      <c r="V4" s="2">
        <f>('[1]Qc, Summer, S3'!V4*Main!$B$5)</f>
        <v>19.679127594137132</v>
      </c>
      <c r="W4" s="2">
        <f>('[1]Qc, Summer, S3'!W4*Main!$B$5)</f>
        <v>23.591430836639677</v>
      </c>
      <c r="X4" s="2">
        <f>('[1]Qc, Summer, S3'!X4*Main!$B$5)</f>
        <v>21.138780734125739</v>
      </c>
      <c r="Y4" s="2">
        <f>('[1]Qc, Summer, S3'!Y4*Main!$B$5)</f>
        <v>17.011639678377307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1DF70F-3329-4929-BF5C-6E86340FED71}">
  <dimension ref="A1:Y4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Ratio'!$A$2:$B$21,2,FALSE)</f>
        <v>2.7890167451887411</v>
      </c>
      <c r="C2" s="2">
        <f>('FL Characterization'!C$4-'FL Characterization'!C$2)*VLOOKUP($A2,'FL Ratio'!$A$2:$B$21,2,FALSE)</f>
        <v>3.070353491691554</v>
      </c>
      <c r="D2" s="2">
        <f>('FL Characterization'!D$4-'FL Characterization'!D$2)*VLOOKUP($A2,'FL Ratio'!$A$2:$B$21,2,FALSE)</f>
        <v>3.9963567180660062</v>
      </c>
      <c r="E2" s="2">
        <f>('FL Characterization'!E$4-'FL Characterization'!E$2)*VLOOKUP($A2,'FL Ratio'!$A$2:$B$21,2,FALSE)</f>
        <v>4.5816622837534426</v>
      </c>
      <c r="F2" s="2">
        <f>('FL Characterization'!F$4-'FL Characterization'!F$2)*VLOOKUP($A2,'FL Ratio'!$A$2:$B$21,2,FALSE)</f>
        <v>5.3869933068952713</v>
      </c>
      <c r="G2" s="2">
        <f>('FL Characterization'!G$4-'FL Characterization'!G$2)*VLOOKUP($A2,'FL Ratio'!$A$2:$B$21,2,FALSE)</f>
        <v>6.297007321511586</v>
      </c>
      <c r="H2" s="2">
        <f>('FL Characterization'!H$4-'FL Characterization'!H$2)*VLOOKUP($A2,'FL Ratio'!$A$2:$B$21,2,FALSE)</f>
        <v>5.6132174805022759</v>
      </c>
      <c r="I2" s="2">
        <f>('FL Characterization'!I$4-'FL Characterization'!I$2)*VLOOKUP($A2,'FL Ratio'!$A$2:$B$21,2,FALSE)</f>
        <v>8.0247111702905105</v>
      </c>
      <c r="J2" s="2">
        <f>('FL Characterization'!J$4-'FL Characterization'!J$2)*VLOOKUP($A2,'FL Ratio'!$A$2:$B$21,2,FALSE)</f>
        <v>7.3617768228787757</v>
      </c>
      <c r="K2" s="2">
        <f>('FL Characterization'!K$4-'FL Characterization'!K$2)*VLOOKUP($A2,'FL Ratio'!$A$2:$B$21,2,FALSE)</f>
        <v>8.3146990845078719</v>
      </c>
      <c r="L2" s="2">
        <f>('FL Characterization'!L$4-'FL Characterization'!L$2)*VLOOKUP($A2,'FL Ratio'!$A$2:$B$21,2,FALSE)</f>
        <v>8.5452874632565923</v>
      </c>
      <c r="M2" s="2">
        <f>('FL Characterization'!M$4-'FL Characterization'!M$2)*VLOOKUP($A2,'FL Ratio'!$A$2:$B$21,2,FALSE)</f>
        <v>7.9264586226752778</v>
      </c>
      <c r="N2" s="2">
        <f>('FL Characterization'!N$4-'FL Characterization'!N$2)*VLOOKUP($A2,'FL Ratio'!$A$2:$B$21,2,FALSE)</f>
        <v>7.4774668804186462</v>
      </c>
      <c r="O2" s="2">
        <f>('FL Characterization'!O$4-'FL Characterization'!O$2)*VLOOKUP($A2,'FL Ratio'!$A$2:$B$21,2,FALSE)</f>
        <v>6.8840894662832586</v>
      </c>
      <c r="P2" s="2">
        <f>('FL Characterization'!P$4-'FL Characterization'!P$2)*VLOOKUP($A2,'FL Ratio'!$A$2:$B$21,2,FALSE)</f>
        <v>6.3409969644886868</v>
      </c>
      <c r="Q2" s="2">
        <f>('FL Characterization'!Q$4-'FL Characterization'!Q$2)*VLOOKUP($A2,'FL Ratio'!$A$2:$B$21,2,FALSE)</f>
        <v>5.706816163342495</v>
      </c>
      <c r="R2" s="2">
        <f>('FL Characterization'!R$4-'FL Characterization'!R$2)*VLOOKUP($A2,'FL Ratio'!$A$2:$B$21,2,FALSE)</f>
        <v>5.6474166278738505</v>
      </c>
      <c r="S2" s="2">
        <f>('FL Characterization'!S$4-'FL Characterization'!S$2)*VLOOKUP($A2,'FL Ratio'!$A$2:$B$21,2,FALSE)</f>
        <v>4.4745075300748027</v>
      </c>
      <c r="T2" s="2">
        <f>('FL Characterization'!T$4-'FL Characterization'!T$2)*VLOOKUP($A2,'FL Ratio'!$A$2:$B$21,2,FALSE)</f>
        <v>3.7021204625602495</v>
      </c>
      <c r="U2" s="2">
        <f>('FL Characterization'!U$4-'FL Characterization'!U$2)*VLOOKUP($A2,'FL Ratio'!$A$2:$B$21,2,FALSE)</f>
        <v>4.3930552411909485</v>
      </c>
      <c r="V2" s="2">
        <f>('FL Characterization'!V$4-'FL Characterization'!V$2)*VLOOKUP($A2,'FL Ratio'!$A$2:$B$21,2,FALSE)</f>
        <v>4.4760910027368404</v>
      </c>
      <c r="W2" s="2">
        <f>('FL Characterization'!W$4-'FL Characterization'!W$2)*VLOOKUP($A2,'FL Ratio'!$A$2:$B$21,2,FALSE)</f>
        <v>5.1152732602180055</v>
      </c>
      <c r="X2" s="2">
        <f>('FL Characterization'!X$4-'FL Characterization'!X$2)*VLOOKUP($A2,'FL Ratio'!$A$2:$B$21,2,FALSE)</f>
        <v>2.4837348023331591</v>
      </c>
      <c r="Y2" s="2">
        <f>('FL Characterization'!Y$4-'FL Characterization'!Y$2)*VLOOKUP($A2,'FL Ratio'!$A$2:$B$21,2,FALSE)</f>
        <v>2.384671207744689</v>
      </c>
    </row>
    <row r="3" spans="1:25" x14ac:dyDescent="0.3">
      <c r="A3">
        <v>2</v>
      </c>
      <c r="B3" s="2">
        <f>('FL Characterization'!B$4-'FL Characterization'!B$2)*VLOOKUP($A3,'FL Ratio'!$A$2:$B$21,2,FALSE)</f>
        <v>2.7890167451887411</v>
      </c>
      <c r="C3" s="2">
        <f>('FL Characterization'!C$4-'FL Characterization'!C$2)*VLOOKUP($A3,'FL Ratio'!$A$2:$B$21,2,FALSE)</f>
        <v>3.070353491691554</v>
      </c>
      <c r="D3" s="2">
        <f>('FL Characterization'!D$4-'FL Characterization'!D$2)*VLOOKUP($A3,'FL Ratio'!$A$2:$B$21,2,FALSE)</f>
        <v>3.9963567180660062</v>
      </c>
      <c r="E3" s="2">
        <f>('FL Characterization'!E$4-'FL Characterization'!E$2)*VLOOKUP($A3,'FL Ratio'!$A$2:$B$21,2,FALSE)</f>
        <v>4.5816622837534426</v>
      </c>
      <c r="F3" s="2">
        <f>('FL Characterization'!F$4-'FL Characterization'!F$2)*VLOOKUP($A3,'FL Ratio'!$A$2:$B$21,2,FALSE)</f>
        <v>5.3869933068952713</v>
      </c>
      <c r="G3" s="2">
        <f>('FL Characterization'!G$4-'FL Characterization'!G$2)*VLOOKUP($A3,'FL Ratio'!$A$2:$B$21,2,FALSE)</f>
        <v>6.297007321511586</v>
      </c>
      <c r="H3" s="2">
        <f>('FL Characterization'!H$4-'FL Characterization'!H$2)*VLOOKUP($A3,'FL Ratio'!$A$2:$B$21,2,FALSE)</f>
        <v>5.6132174805022759</v>
      </c>
      <c r="I3" s="2">
        <f>('FL Characterization'!I$4-'FL Characterization'!I$2)*VLOOKUP($A3,'FL Ratio'!$A$2:$B$21,2,FALSE)</f>
        <v>8.0247111702905105</v>
      </c>
      <c r="J3" s="2">
        <f>('FL Characterization'!J$4-'FL Characterization'!J$2)*VLOOKUP($A3,'FL Ratio'!$A$2:$B$21,2,FALSE)</f>
        <v>7.3617768228787757</v>
      </c>
      <c r="K3" s="2">
        <f>('FL Characterization'!K$4-'FL Characterization'!K$2)*VLOOKUP($A3,'FL Ratio'!$A$2:$B$21,2,FALSE)</f>
        <v>8.3146990845078719</v>
      </c>
      <c r="L3" s="2">
        <f>('FL Characterization'!L$4-'FL Characterization'!L$2)*VLOOKUP($A3,'FL Ratio'!$A$2:$B$21,2,FALSE)</f>
        <v>8.5452874632565923</v>
      </c>
      <c r="M3" s="2">
        <f>('FL Characterization'!M$4-'FL Characterization'!M$2)*VLOOKUP($A3,'FL Ratio'!$A$2:$B$21,2,FALSE)</f>
        <v>7.9264586226752778</v>
      </c>
      <c r="N3" s="2">
        <f>('FL Characterization'!N$4-'FL Characterization'!N$2)*VLOOKUP($A3,'FL Ratio'!$A$2:$B$21,2,FALSE)</f>
        <v>7.4774668804186462</v>
      </c>
      <c r="O3" s="2">
        <f>('FL Characterization'!O$4-'FL Characterization'!O$2)*VLOOKUP($A3,'FL Ratio'!$A$2:$B$21,2,FALSE)</f>
        <v>6.8840894662832586</v>
      </c>
      <c r="P3" s="2">
        <f>('FL Characterization'!P$4-'FL Characterization'!P$2)*VLOOKUP($A3,'FL Ratio'!$A$2:$B$21,2,FALSE)</f>
        <v>6.3409969644886868</v>
      </c>
      <c r="Q3" s="2">
        <f>('FL Characterization'!Q$4-'FL Characterization'!Q$2)*VLOOKUP($A3,'FL Ratio'!$A$2:$B$21,2,FALSE)</f>
        <v>5.706816163342495</v>
      </c>
      <c r="R3" s="2">
        <f>('FL Characterization'!R$4-'FL Characterization'!R$2)*VLOOKUP($A3,'FL Ratio'!$A$2:$B$21,2,FALSE)</f>
        <v>5.6474166278738505</v>
      </c>
      <c r="S3" s="2">
        <f>('FL Characterization'!S$4-'FL Characterization'!S$2)*VLOOKUP($A3,'FL Ratio'!$A$2:$B$21,2,FALSE)</f>
        <v>4.4745075300748027</v>
      </c>
      <c r="T3" s="2">
        <f>('FL Characterization'!T$4-'FL Characterization'!T$2)*VLOOKUP($A3,'FL Ratio'!$A$2:$B$21,2,FALSE)</f>
        <v>3.7021204625602495</v>
      </c>
      <c r="U3" s="2">
        <f>('FL Characterization'!U$4-'FL Characterization'!U$2)*VLOOKUP($A3,'FL Ratio'!$A$2:$B$21,2,FALSE)</f>
        <v>4.3930552411909485</v>
      </c>
      <c r="V3" s="2">
        <f>('FL Characterization'!V$4-'FL Characterization'!V$2)*VLOOKUP($A3,'FL Ratio'!$A$2:$B$21,2,FALSE)</f>
        <v>4.4760910027368404</v>
      </c>
      <c r="W3" s="2">
        <f>('FL Characterization'!W$4-'FL Characterization'!W$2)*VLOOKUP($A3,'FL Ratio'!$A$2:$B$21,2,FALSE)</f>
        <v>5.1152732602180055</v>
      </c>
      <c r="X3" s="2">
        <f>('FL Characterization'!X$4-'FL Characterization'!X$2)*VLOOKUP($A3,'FL Ratio'!$A$2:$B$21,2,FALSE)</f>
        <v>2.4837348023331591</v>
      </c>
      <c r="Y3" s="2">
        <f>('FL Characterization'!Y$4-'FL Characterization'!Y$2)*VLOOKUP($A3,'FL Ratio'!$A$2:$B$21,2,FALSE)</f>
        <v>2.384671207744689</v>
      </c>
    </row>
    <row r="4" spans="1:25" x14ac:dyDescent="0.3">
      <c r="A4">
        <v>3</v>
      </c>
      <c r="B4" s="2">
        <f>('FL Characterization'!B$4-'FL Characterization'!B$2)*VLOOKUP($A4,'FL Ratio'!$A$2:$B$21,2,FALSE)</f>
        <v>2.7890167451887411</v>
      </c>
      <c r="C4" s="2">
        <f>('FL Characterization'!C$4-'FL Characterization'!C$2)*VLOOKUP($A4,'FL Ratio'!$A$2:$B$21,2,FALSE)</f>
        <v>3.070353491691554</v>
      </c>
      <c r="D4" s="2">
        <f>('FL Characterization'!D$4-'FL Characterization'!D$2)*VLOOKUP($A4,'FL Ratio'!$A$2:$B$21,2,FALSE)</f>
        <v>3.9963567180660062</v>
      </c>
      <c r="E4" s="2">
        <f>('FL Characterization'!E$4-'FL Characterization'!E$2)*VLOOKUP($A4,'FL Ratio'!$A$2:$B$21,2,FALSE)</f>
        <v>4.5816622837534426</v>
      </c>
      <c r="F4" s="2">
        <f>('FL Characterization'!F$4-'FL Characterization'!F$2)*VLOOKUP($A4,'FL Ratio'!$A$2:$B$21,2,FALSE)</f>
        <v>5.3869933068952713</v>
      </c>
      <c r="G4" s="2">
        <f>('FL Characterization'!G$4-'FL Characterization'!G$2)*VLOOKUP($A4,'FL Ratio'!$A$2:$B$21,2,FALSE)</f>
        <v>6.297007321511586</v>
      </c>
      <c r="H4" s="2">
        <f>('FL Characterization'!H$4-'FL Characterization'!H$2)*VLOOKUP($A4,'FL Ratio'!$A$2:$B$21,2,FALSE)</f>
        <v>5.6132174805022759</v>
      </c>
      <c r="I4" s="2">
        <f>('FL Characterization'!I$4-'FL Characterization'!I$2)*VLOOKUP($A4,'FL Ratio'!$A$2:$B$21,2,FALSE)</f>
        <v>8.0247111702905105</v>
      </c>
      <c r="J4" s="2">
        <f>('FL Characterization'!J$4-'FL Characterization'!J$2)*VLOOKUP($A4,'FL Ratio'!$A$2:$B$21,2,FALSE)</f>
        <v>7.3617768228787757</v>
      </c>
      <c r="K4" s="2">
        <f>('FL Characterization'!K$4-'FL Characterization'!K$2)*VLOOKUP($A4,'FL Ratio'!$A$2:$B$21,2,FALSE)</f>
        <v>8.3146990845078719</v>
      </c>
      <c r="L4" s="2">
        <f>('FL Characterization'!L$4-'FL Characterization'!L$2)*VLOOKUP($A4,'FL Ratio'!$A$2:$B$21,2,FALSE)</f>
        <v>8.5452874632565923</v>
      </c>
      <c r="M4" s="2">
        <f>('FL Characterization'!M$4-'FL Characterization'!M$2)*VLOOKUP($A4,'FL Ratio'!$A$2:$B$21,2,FALSE)</f>
        <v>7.9264586226752778</v>
      </c>
      <c r="N4" s="2">
        <f>('FL Characterization'!N$4-'FL Characterization'!N$2)*VLOOKUP($A4,'FL Ratio'!$A$2:$B$21,2,FALSE)</f>
        <v>7.4774668804186462</v>
      </c>
      <c r="O4" s="2">
        <f>('FL Characterization'!O$4-'FL Characterization'!O$2)*VLOOKUP($A4,'FL Ratio'!$A$2:$B$21,2,FALSE)</f>
        <v>6.8840894662832586</v>
      </c>
      <c r="P4" s="2">
        <f>('FL Characterization'!P$4-'FL Characterization'!P$2)*VLOOKUP($A4,'FL Ratio'!$A$2:$B$21,2,FALSE)</f>
        <v>6.3409969644886868</v>
      </c>
      <c r="Q4" s="2">
        <f>('FL Characterization'!Q$4-'FL Characterization'!Q$2)*VLOOKUP($A4,'FL Ratio'!$A$2:$B$21,2,FALSE)</f>
        <v>5.706816163342495</v>
      </c>
      <c r="R4" s="2">
        <f>('FL Characterization'!R$4-'FL Characterization'!R$2)*VLOOKUP($A4,'FL Ratio'!$A$2:$B$21,2,FALSE)</f>
        <v>5.6474166278738505</v>
      </c>
      <c r="S4" s="2">
        <f>('FL Characterization'!S$4-'FL Characterization'!S$2)*VLOOKUP($A4,'FL Ratio'!$A$2:$B$21,2,FALSE)</f>
        <v>4.4745075300748027</v>
      </c>
      <c r="T4" s="2">
        <f>('FL Characterization'!T$4-'FL Characterization'!T$2)*VLOOKUP($A4,'FL Ratio'!$A$2:$B$21,2,FALSE)</f>
        <v>3.7021204625602495</v>
      </c>
      <c r="U4" s="2">
        <f>('FL Characterization'!U$4-'FL Characterization'!U$2)*VLOOKUP($A4,'FL Ratio'!$A$2:$B$21,2,FALSE)</f>
        <v>4.3930552411909485</v>
      </c>
      <c r="V4" s="2">
        <f>('FL Characterization'!V$4-'FL Characterization'!V$2)*VLOOKUP($A4,'FL Ratio'!$A$2:$B$21,2,FALSE)</f>
        <v>4.4760910027368404</v>
      </c>
      <c r="W4" s="2">
        <f>('FL Characterization'!W$4-'FL Characterization'!W$2)*VLOOKUP($A4,'FL Ratio'!$A$2:$B$21,2,FALSE)</f>
        <v>5.1152732602180055</v>
      </c>
      <c r="X4" s="2">
        <f>('FL Characterization'!X$4-'FL Characterization'!X$2)*VLOOKUP($A4,'FL Ratio'!$A$2:$B$21,2,FALSE)</f>
        <v>2.4837348023331591</v>
      </c>
      <c r="Y4" s="2">
        <f>('FL Characterization'!Y$4-'FL Characterization'!Y$2)*VLOOKUP($A4,'FL Ratio'!$A$2:$B$21,2,FALSE)</f>
        <v>2.384671207744689</v>
      </c>
    </row>
  </sheetData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6F068-EA6B-4E04-A0B4-69DFD4212DC7}">
  <dimension ref="A1:Y4"/>
  <sheetViews>
    <sheetView workbookViewId="0">
      <selection activeCell="Y4" sqref="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Ratio'!$A$2:$B$21,2,FALSE)</f>
        <v>7.7321742513001128</v>
      </c>
      <c r="C2" s="2">
        <f>('FL Characterization'!C$2-'FL Characterization'!C$3)*VLOOKUP($A2,'FL Ratio'!$A$2:$B$21,2,FALSE)</f>
        <v>8.1828846407143239</v>
      </c>
      <c r="D2" s="2">
        <f>('FL Characterization'!D$2-'FL Characterization'!D$3)*VLOOKUP($A2,'FL Ratio'!$A$2:$B$21,2,FALSE)</f>
        <v>8.6409330741721266</v>
      </c>
      <c r="E2" s="2">
        <f>('FL Characterization'!E$2-'FL Characterization'!E$3)*VLOOKUP($A2,'FL Ratio'!$A$2:$B$21,2,FALSE)</f>
        <v>9.0337115369264147</v>
      </c>
      <c r="F2" s="2">
        <f>('FL Characterization'!F$2-'FL Characterization'!F$3)*VLOOKUP($A2,'FL Ratio'!$A$2:$B$21,2,FALSE)</f>
        <v>9.1362510471144809</v>
      </c>
      <c r="G2" s="2">
        <f>('FL Characterization'!G$2-'FL Characterization'!G$3)*VLOOKUP($A2,'FL Ratio'!$A$2:$B$21,2,FALSE)</f>
        <v>9.5570299410877304</v>
      </c>
      <c r="H2" s="2">
        <f>('FL Characterization'!H$2-'FL Characterization'!H$3)*VLOOKUP($A2,'FL Ratio'!$A$2:$B$21,2,FALSE)</f>
        <v>9.5081740162711945</v>
      </c>
      <c r="I2" s="2">
        <f>('FL Characterization'!I$2-'FL Characterization'!I$3)*VLOOKUP($A2,'FL Ratio'!$A$2:$B$21,2,FALSE)</f>
        <v>8.9874432381673532</v>
      </c>
      <c r="J2" s="2">
        <f>('FL Characterization'!J$2-'FL Characterization'!J$3)*VLOOKUP($A2,'FL Ratio'!$A$2:$B$21,2,FALSE)</f>
        <v>8.1429888538878554</v>
      </c>
      <c r="K2" s="2">
        <f>('FL Characterization'!K$2-'FL Characterization'!K$3)*VLOOKUP($A2,'FL Ratio'!$A$2:$B$21,2,FALSE)</f>
        <v>11.957748292517218</v>
      </c>
      <c r="L2" s="2">
        <f>('FL Characterization'!L$2-'FL Characterization'!L$3)*VLOOKUP($A2,'FL Ratio'!$A$2:$B$21,2,FALSE)</f>
        <v>11.677222592987647</v>
      </c>
      <c r="M2" s="2">
        <f>('FL Characterization'!M$2-'FL Characterization'!M$3)*VLOOKUP($A2,'FL Ratio'!$A$2:$B$21,2,FALSE)</f>
        <v>10.752629043495251</v>
      </c>
      <c r="N2" s="2">
        <f>('FL Characterization'!N$2-'FL Characterization'!N$3)*VLOOKUP($A2,'FL Ratio'!$A$2:$B$21,2,FALSE)</f>
        <v>10.491356054258992</v>
      </c>
      <c r="O2" s="2">
        <f>('FL Characterization'!O$2-'FL Characterization'!O$3)*VLOOKUP($A2,'FL Ratio'!$A$2:$B$21,2,FALSE)</f>
        <v>10.534476718336196</v>
      </c>
      <c r="P2" s="2">
        <f>('FL Characterization'!P$2-'FL Characterization'!P$3)*VLOOKUP($A2,'FL Ratio'!$A$2:$B$21,2,FALSE)</f>
        <v>10.035393170160948</v>
      </c>
      <c r="Q2" s="2">
        <f>('FL Characterization'!Q$2-'FL Characterization'!Q$3)*VLOOKUP($A2,'FL Ratio'!$A$2:$B$21,2,FALSE)</f>
        <v>9.1989333917605176</v>
      </c>
      <c r="R2" s="2">
        <f>('FL Characterization'!R$2-'FL Characterization'!R$3)*VLOOKUP($A2,'FL Ratio'!$A$2:$B$21,2,FALSE)</f>
        <v>8.2673493897844939</v>
      </c>
      <c r="S2" s="2">
        <f>('FL Characterization'!S$2-'FL Characterization'!S$3)*VLOOKUP($A2,'FL Ratio'!$A$2:$B$21,2,FALSE)</f>
        <v>7.9707765465701215</v>
      </c>
      <c r="T2" s="2">
        <f>('FL Characterization'!T$2-'FL Characterization'!T$3)*VLOOKUP($A2,'FL Ratio'!$A$2:$B$21,2,FALSE)</f>
        <v>5.0103971623213228</v>
      </c>
      <c r="U2" s="2">
        <f>('FL Characterization'!U$2-'FL Characterization'!U$3)*VLOOKUP($A2,'FL Ratio'!$A$2:$B$21,2,FALSE)</f>
        <v>5.3581625180608494</v>
      </c>
      <c r="V2" s="2">
        <f>('FL Characterization'!V$2-'FL Characterization'!V$3)*VLOOKUP($A2,'FL Ratio'!$A$2:$B$21,2,FALSE)</f>
        <v>5.8581922877048758</v>
      </c>
      <c r="W2" s="2">
        <f>('FL Characterization'!W$2-'FL Characterization'!W$3)*VLOOKUP($A2,'FL Ratio'!$A$2:$B$21,2,FALSE)</f>
        <v>5.9979820267352739</v>
      </c>
      <c r="X2" s="2">
        <f>('FL Characterization'!X$2-'FL Characterization'!X$3)*VLOOKUP($A2,'FL Ratio'!$A$2:$B$21,2,FALSE)</f>
        <v>6.2554894407386374</v>
      </c>
      <c r="Y2" s="2">
        <f>('FL Characterization'!Y$2-'FL Characterization'!Y$3)*VLOOKUP($A2,'FL Ratio'!$A$2:$B$21,2,FALSE)</f>
        <v>6.9049063385963914</v>
      </c>
    </row>
    <row r="3" spans="1:25" x14ac:dyDescent="0.3">
      <c r="A3">
        <v>2</v>
      </c>
      <c r="B3" s="2">
        <f>('FL Characterization'!B$2-'FL Characterization'!B$3)*VLOOKUP($A3,'FL Ratio'!$A$2:$B$21,2,FALSE)</f>
        <v>7.7321742513001128</v>
      </c>
      <c r="C3" s="2">
        <f>('FL Characterization'!C$2-'FL Characterization'!C$3)*VLOOKUP($A3,'FL Ratio'!$A$2:$B$21,2,FALSE)</f>
        <v>8.1828846407143239</v>
      </c>
      <c r="D3" s="2">
        <f>('FL Characterization'!D$2-'FL Characterization'!D$3)*VLOOKUP($A3,'FL Ratio'!$A$2:$B$21,2,FALSE)</f>
        <v>8.6409330741721266</v>
      </c>
      <c r="E3" s="2">
        <f>('FL Characterization'!E$2-'FL Characterization'!E$3)*VLOOKUP($A3,'FL Ratio'!$A$2:$B$21,2,FALSE)</f>
        <v>9.0337115369264147</v>
      </c>
      <c r="F3" s="2">
        <f>('FL Characterization'!F$2-'FL Characterization'!F$3)*VLOOKUP($A3,'FL Ratio'!$A$2:$B$21,2,FALSE)</f>
        <v>9.1362510471144809</v>
      </c>
      <c r="G3" s="2">
        <f>('FL Characterization'!G$2-'FL Characterization'!G$3)*VLOOKUP($A3,'FL Ratio'!$A$2:$B$21,2,FALSE)</f>
        <v>9.5570299410877304</v>
      </c>
      <c r="H3" s="2">
        <f>('FL Characterization'!H$2-'FL Characterization'!H$3)*VLOOKUP($A3,'FL Ratio'!$A$2:$B$21,2,FALSE)</f>
        <v>9.5081740162711945</v>
      </c>
      <c r="I3" s="2">
        <f>('FL Characterization'!I$2-'FL Characterization'!I$3)*VLOOKUP($A3,'FL Ratio'!$A$2:$B$21,2,FALSE)</f>
        <v>8.9874432381673532</v>
      </c>
      <c r="J3" s="2">
        <f>('FL Characterization'!J$2-'FL Characterization'!J$3)*VLOOKUP($A3,'FL Ratio'!$A$2:$B$21,2,FALSE)</f>
        <v>8.1429888538878554</v>
      </c>
      <c r="K3" s="2">
        <f>('FL Characterization'!K$2-'FL Characterization'!K$3)*VLOOKUP($A3,'FL Ratio'!$A$2:$B$21,2,FALSE)</f>
        <v>11.957748292517218</v>
      </c>
      <c r="L3" s="2">
        <f>('FL Characterization'!L$2-'FL Characterization'!L$3)*VLOOKUP($A3,'FL Ratio'!$A$2:$B$21,2,FALSE)</f>
        <v>11.677222592987647</v>
      </c>
      <c r="M3" s="2">
        <f>('FL Characterization'!M$2-'FL Characterization'!M$3)*VLOOKUP($A3,'FL Ratio'!$A$2:$B$21,2,FALSE)</f>
        <v>10.752629043495251</v>
      </c>
      <c r="N3" s="2">
        <f>('FL Characterization'!N$2-'FL Characterization'!N$3)*VLOOKUP($A3,'FL Ratio'!$A$2:$B$21,2,FALSE)</f>
        <v>10.491356054258992</v>
      </c>
      <c r="O3" s="2">
        <f>('FL Characterization'!O$2-'FL Characterization'!O$3)*VLOOKUP($A3,'FL Ratio'!$A$2:$B$21,2,FALSE)</f>
        <v>10.534476718336196</v>
      </c>
      <c r="P3" s="2">
        <f>('FL Characterization'!P$2-'FL Characterization'!P$3)*VLOOKUP($A3,'FL Ratio'!$A$2:$B$21,2,FALSE)</f>
        <v>10.035393170160948</v>
      </c>
      <c r="Q3" s="2">
        <f>('FL Characterization'!Q$2-'FL Characterization'!Q$3)*VLOOKUP($A3,'FL Ratio'!$A$2:$B$21,2,FALSE)</f>
        <v>9.1989333917605176</v>
      </c>
      <c r="R3" s="2">
        <f>('FL Characterization'!R$2-'FL Characterization'!R$3)*VLOOKUP($A3,'FL Ratio'!$A$2:$B$21,2,FALSE)</f>
        <v>8.2673493897844939</v>
      </c>
      <c r="S3" s="2">
        <f>('FL Characterization'!S$2-'FL Characterization'!S$3)*VLOOKUP($A3,'FL Ratio'!$A$2:$B$21,2,FALSE)</f>
        <v>7.9707765465701215</v>
      </c>
      <c r="T3" s="2">
        <f>('FL Characterization'!T$2-'FL Characterization'!T$3)*VLOOKUP($A3,'FL Ratio'!$A$2:$B$21,2,FALSE)</f>
        <v>5.0103971623213228</v>
      </c>
      <c r="U3" s="2">
        <f>('FL Characterization'!U$2-'FL Characterization'!U$3)*VLOOKUP($A3,'FL Ratio'!$A$2:$B$21,2,FALSE)</f>
        <v>5.3581625180608494</v>
      </c>
      <c r="V3" s="2">
        <f>('FL Characterization'!V$2-'FL Characterization'!V$3)*VLOOKUP($A3,'FL Ratio'!$A$2:$B$21,2,FALSE)</f>
        <v>5.8581922877048758</v>
      </c>
      <c r="W3" s="2">
        <f>('FL Characterization'!W$2-'FL Characterization'!W$3)*VLOOKUP($A3,'FL Ratio'!$A$2:$B$21,2,FALSE)</f>
        <v>5.9979820267352739</v>
      </c>
      <c r="X3" s="2">
        <f>('FL Characterization'!X$2-'FL Characterization'!X$3)*VLOOKUP($A3,'FL Ratio'!$A$2:$B$21,2,FALSE)</f>
        <v>6.2554894407386374</v>
      </c>
      <c r="Y3" s="2">
        <f>('FL Characterization'!Y$2-'FL Characterization'!Y$3)*VLOOKUP($A3,'FL Ratio'!$A$2:$B$21,2,FALSE)</f>
        <v>6.9049063385963914</v>
      </c>
    </row>
    <row r="4" spans="1:25" x14ac:dyDescent="0.3">
      <c r="A4">
        <v>3</v>
      </c>
      <c r="B4" s="2">
        <f>('FL Characterization'!B$2-'FL Characterization'!B$3)*VLOOKUP($A4,'FL Ratio'!$A$2:$B$21,2,FALSE)</f>
        <v>7.7321742513001128</v>
      </c>
      <c r="C4" s="2">
        <f>('FL Characterization'!C$2-'FL Characterization'!C$3)*VLOOKUP($A4,'FL Ratio'!$A$2:$B$21,2,FALSE)</f>
        <v>8.1828846407143239</v>
      </c>
      <c r="D4" s="2">
        <f>('FL Characterization'!D$2-'FL Characterization'!D$3)*VLOOKUP($A4,'FL Ratio'!$A$2:$B$21,2,FALSE)</f>
        <v>8.6409330741721266</v>
      </c>
      <c r="E4" s="2">
        <f>('FL Characterization'!E$2-'FL Characterization'!E$3)*VLOOKUP($A4,'FL Ratio'!$A$2:$B$21,2,FALSE)</f>
        <v>9.0337115369264147</v>
      </c>
      <c r="F4" s="2">
        <f>('FL Characterization'!F$2-'FL Characterization'!F$3)*VLOOKUP($A4,'FL Ratio'!$A$2:$B$21,2,FALSE)</f>
        <v>9.1362510471144809</v>
      </c>
      <c r="G4" s="2">
        <f>('FL Characterization'!G$2-'FL Characterization'!G$3)*VLOOKUP($A4,'FL Ratio'!$A$2:$B$21,2,FALSE)</f>
        <v>9.5570299410877304</v>
      </c>
      <c r="H4" s="2">
        <f>('FL Characterization'!H$2-'FL Characterization'!H$3)*VLOOKUP($A4,'FL Ratio'!$A$2:$B$21,2,FALSE)</f>
        <v>9.5081740162711945</v>
      </c>
      <c r="I4" s="2">
        <f>('FL Characterization'!I$2-'FL Characterization'!I$3)*VLOOKUP($A4,'FL Ratio'!$A$2:$B$21,2,FALSE)</f>
        <v>8.9874432381673532</v>
      </c>
      <c r="J4" s="2">
        <f>('FL Characterization'!J$2-'FL Characterization'!J$3)*VLOOKUP($A4,'FL Ratio'!$A$2:$B$21,2,FALSE)</f>
        <v>8.1429888538878554</v>
      </c>
      <c r="K4" s="2">
        <f>('FL Characterization'!K$2-'FL Characterization'!K$3)*VLOOKUP($A4,'FL Ratio'!$A$2:$B$21,2,FALSE)</f>
        <v>11.957748292517218</v>
      </c>
      <c r="L4" s="2">
        <f>('FL Characterization'!L$2-'FL Characterization'!L$3)*VLOOKUP($A4,'FL Ratio'!$A$2:$B$21,2,FALSE)</f>
        <v>11.677222592987647</v>
      </c>
      <c r="M4" s="2">
        <f>('FL Characterization'!M$2-'FL Characterization'!M$3)*VLOOKUP($A4,'FL Ratio'!$A$2:$B$21,2,FALSE)</f>
        <v>10.752629043495251</v>
      </c>
      <c r="N4" s="2">
        <f>('FL Characterization'!N$2-'FL Characterization'!N$3)*VLOOKUP($A4,'FL Ratio'!$A$2:$B$21,2,FALSE)</f>
        <v>10.491356054258992</v>
      </c>
      <c r="O4" s="2">
        <f>('FL Characterization'!O$2-'FL Characterization'!O$3)*VLOOKUP($A4,'FL Ratio'!$A$2:$B$21,2,FALSE)</f>
        <v>10.534476718336196</v>
      </c>
      <c r="P4" s="2">
        <f>('FL Characterization'!P$2-'FL Characterization'!P$3)*VLOOKUP($A4,'FL Ratio'!$A$2:$B$21,2,FALSE)</f>
        <v>10.035393170160948</v>
      </c>
      <c r="Q4" s="2">
        <f>('FL Characterization'!Q$2-'FL Characterization'!Q$3)*VLOOKUP($A4,'FL Ratio'!$A$2:$B$21,2,FALSE)</f>
        <v>9.1989333917605176</v>
      </c>
      <c r="R4" s="2">
        <f>('FL Characterization'!R$2-'FL Characterization'!R$3)*VLOOKUP($A4,'FL Ratio'!$A$2:$B$21,2,FALSE)</f>
        <v>8.2673493897844939</v>
      </c>
      <c r="S4" s="2">
        <f>('FL Characterization'!S$2-'FL Characterization'!S$3)*VLOOKUP($A4,'FL Ratio'!$A$2:$B$21,2,FALSE)</f>
        <v>7.9707765465701215</v>
      </c>
      <c r="T4" s="2">
        <f>('FL Characterization'!T$2-'FL Characterization'!T$3)*VLOOKUP($A4,'FL Ratio'!$A$2:$B$21,2,FALSE)</f>
        <v>5.0103971623213228</v>
      </c>
      <c r="U4" s="2">
        <f>('FL Characterization'!U$2-'FL Characterization'!U$3)*VLOOKUP($A4,'FL Ratio'!$A$2:$B$21,2,FALSE)</f>
        <v>5.3581625180608494</v>
      </c>
      <c r="V4" s="2">
        <f>('FL Characterization'!V$2-'FL Characterization'!V$3)*VLOOKUP($A4,'FL Ratio'!$A$2:$B$21,2,FALSE)</f>
        <v>5.8581922877048758</v>
      </c>
      <c r="W4" s="2">
        <f>('FL Characterization'!W$2-'FL Characterization'!W$3)*VLOOKUP($A4,'FL Ratio'!$A$2:$B$21,2,FALSE)</f>
        <v>5.9979820267352739</v>
      </c>
      <c r="X4" s="2">
        <f>('FL Characterization'!X$2-'FL Characterization'!X$3)*VLOOKUP($A4,'FL Ratio'!$A$2:$B$21,2,FALSE)</f>
        <v>6.2554894407386374</v>
      </c>
      <c r="Y4" s="2">
        <f>('FL Characterization'!Y$2-'FL Characterization'!Y$3)*VLOOKUP($A4,'FL Ratio'!$A$2:$B$21,2,FALSE)</f>
        <v>6.9049063385963914</v>
      </c>
    </row>
  </sheetData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549E0F-6E82-40ED-BD4B-A154F29D17F6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12.157767964672821</v>
      </c>
      <c r="C5" s="9">
        <f>VLOOKUP($A5,'RES installed'!$A$2:$C$7,3,FALSE)*'[1]Profiles, RES, Summer'!C$5</f>
        <v>11.119028502609394</v>
      </c>
      <c r="D5" s="9">
        <f>VLOOKUP($A5,'RES installed'!$A$2:$C$7,3,FALSE)*'[1]Profiles, RES, Summer'!D$5</f>
        <v>9.7280208751505413</v>
      </c>
      <c r="E5" s="9">
        <f>VLOOKUP($A5,'RES installed'!$A$2:$C$7,3,FALSE)*'[1]Profiles, RES, Summer'!E$5</f>
        <v>9.6918908069048584</v>
      </c>
      <c r="F5" s="9">
        <f>VLOOKUP($A5,'RES installed'!$A$2:$C$7,3,FALSE)*'[1]Profiles, RES, Summer'!F$5</f>
        <v>9.1770373344038543</v>
      </c>
      <c r="G5" s="9">
        <f>VLOOKUP($A5,'RES installed'!$A$2:$C$7,3,FALSE)*'[1]Profiles, RES, Summer'!G$5</f>
        <v>8.4544359694901647</v>
      </c>
      <c r="H5" s="9">
        <f>VLOOKUP($A5,'RES installed'!$A$2:$C$7,3,FALSE)*'[1]Profiles, RES, Summer'!H$5</f>
        <v>7.433761541549579</v>
      </c>
      <c r="I5" s="9">
        <f>VLOOKUP($A5,'RES installed'!$A$2:$C$7,3,FALSE)*'[1]Profiles, RES, Summer'!I$5</f>
        <v>5.8440385387394622</v>
      </c>
      <c r="J5" s="9">
        <f>VLOOKUP($A5,'RES installed'!$A$2:$C$7,3,FALSE)*'[1]Profiles, RES, Summer'!J$5</f>
        <v>4.8594941790445603</v>
      </c>
      <c r="K5" s="9">
        <f>VLOOKUP($A5,'RES installed'!$A$2:$C$7,3,FALSE)*'[1]Profiles, RES, Summer'!K$5</f>
        <v>4.5433560818948218</v>
      </c>
      <c r="L5" s="9">
        <f>VLOOKUP($A5,'RES installed'!$A$2:$C$7,3,FALSE)*'[1]Profiles, RES, Summer'!L$5</f>
        <v>4.182055399437977</v>
      </c>
      <c r="M5" s="9">
        <f>VLOOKUP($A5,'RES installed'!$A$2:$C$7,3,FALSE)*'[1]Profiles, RES, Summer'!M$5</f>
        <v>4.7059413890004018</v>
      </c>
      <c r="N5" s="9">
        <f>VLOOKUP($A5,'RES installed'!$A$2:$C$7,3,FALSE)*'[1]Profiles, RES, Summer'!N$5</f>
        <v>5.9162986752308306</v>
      </c>
      <c r="O5" s="9">
        <f>VLOOKUP($A5,'RES installed'!$A$2:$C$7,3,FALSE)*'[1]Profiles, RES, Summer'!O$5</f>
        <v>7.3434363709353674</v>
      </c>
      <c r="P5" s="9">
        <f>VLOOKUP($A5,'RES installed'!$A$2:$C$7,3,FALSE)*'[1]Profiles, RES, Summer'!P$5</f>
        <v>9.8002810116419106</v>
      </c>
      <c r="Q5" s="9">
        <f>VLOOKUP($A5,'RES installed'!$A$2:$C$7,3,FALSE)*'[1]Profiles, RES, Summer'!Q$5</f>
        <v>12.510036130068245</v>
      </c>
      <c r="R5" s="9">
        <f>VLOOKUP($A5,'RES installed'!$A$2:$C$7,3,FALSE)*'[1]Profiles, RES, Summer'!R$5</f>
        <v>14.786230429546368</v>
      </c>
      <c r="S5" s="9">
        <f>VLOOKUP($A5,'RES installed'!$A$2:$C$7,3,FALSE)*'[1]Profiles, RES, Summer'!S$5</f>
        <v>15.77980730630269</v>
      </c>
      <c r="T5" s="9">
        <f>VLOOKUP($A5,'RES installed'!$A$2:$C$7,3,FALSE)*'[1]Profiles, RES, Summer'!T$5</f>
        <v>16.981132075471699</v>
      </c>
      <c r="U5" s="9">
        <f>VLOOKUP($A5,'RES installed'!$A$2:$C$7,3,FALSE)*'[1]Profiles, RES, Summer'!U$5</f>
        <v>18.914090726615814</v>
      </c>
      <c r="V5" s="9">
        <f>VLOOKUP($A5,'RES installed'!$A$2:$C$7,3,FALSE)*'[1]Profiles, RES, Summer'!V$5</f>
        <v>20.856081894821358</v>
      </c>
      <c r="W5" s="9">
        <f>VLOOKUP($A5,'RES installed'!$A$2:$C$7,3,FALSE)*'[1]Profiles, RES, Summer'!W$5</f>
        <v>21.723203532717786</v>
      </c>
      <c r="X5" s="9">
        <f>VLOOKUP($A5,'RES installed'!$A$2:$C$7,3,FALSE)*'[1]Profiles, RES, Summer'!X$5</f>
        <v>21.822561220393414</v>
      </c>
      <c r="Y5" s="9">
        <f>VLOOKUP($A5,'RES installed'!$A$2:$C$7,3,FALSE)*'[1]Profiles, RES, Summer'!Y$5</f>
        <v>21.0457647531112</v>
      </c>
    </row>
    <row r="6" spans="1:25" x14ac:dyDescent="0.3">
      <c r="A6" s="8">
        <v>5</v>
      </c>
      <c r="B6" s="9">
        <f>VLOOKUP($A6,'RES installed'!$A$2:$C$7,3,FALSE)*'[1]Profiles, RES, Summer'!B$5</f>
        <v>16.210357286230426</v>
      </c>
      <c r="C6" s="9">
        <f>VLOOKUP($A6,'RES installed'!$A$2:$C$7,3,FALSE)*'[1]Profiles, RES, Summer'!C$5</f>
        <v>14.825371336812525</v>
      </c>
      <c r="D6" s="9">
        <f>VLOOKUP($A6,'RES installed'!$A$2:$C$7,3,FALSE)*'[1]Profiles, RES, Summer'!D$5</f>
        <v>12.970694500200722</v>
      </c>
      <c r="E6" s="9">
        <f>VLOOKUP($A6,'RES installed'!$A$2:$C$7,3,FALSE)*'[1]Profiles, RES, Summer'!E$5</f>
        <v>12.922521075873144</v>
      </c>
      <c r="F6" s="9">
        <f>VLOOKUP($A6,'RES installed'!$A$2:$C$7,3,FALSE)*'[1]Profiles, RES, Summer'!F$5</f>
        <v>12.236049779205139</v>
      </c>
      <c r="G6" s="9">
        <f>VLOOKUP($A6,'RES installed'!$A$2:$C$7,3,FALSE)*'[1]Profiles, RES, Summer'!G$5</f>
        <v>11.272581292653554</v>
      </c>
      <c r="H6" s="9">
        <f>VLOOKUP($A6,'RES installed'!$A$2:$C$7,3,FALSE)*'[1]Profiles, RES, Summer'!H$5</f>
        <v>9.9116820553994387</v>
      </c>
      <c r="I6" s="9">
        <f>VLOOKUP($A6,'RES installed'!$A$2:$C$7,3,FALSE)*'[1]Profiles, RES, Summer'!I$5</f>
        <v>7.7920513849859487</v>
      </c>
      <c r="J6" s="9">
        <f>VLOOKUP($A6,'RES installed'!$A$2:$C$7,3,FALSE)*'[1]Profiles, RES, Summer'!J$5</f>
        <v>6.4793255720594134</v>
      </c>
      <c r="K6" s="9">
        <f>VLOOKUP($A6,'RES installed'!$A$2:$C$7,3,FALSE)*'[1]Profiles, RES, Summer'!K$5</f>
        <v>6.0578081091930951</v>
      </c>
      <c r="L6" s="9">
        <f>VLOOKUP($A6,'RES installed'!$A$2:$C$7,3,FALSE)*'[1]Profiles, RES, Summer'!L$5</f>
        <v>5.5760738659173024</v>
      </c>
      <c r="M6" s="9">
        <f>VLOOKUP($A6,'RES installed'!$A$2:$C$7,3,FALSE)*'[1]Profiles, RES, Summer'!M$5</f>
        <v>6.2745885186672021</v>
      </c>
      <c r="N6" s="9">
        <f>VLOOKUP($A6,'RES installed'!$A$2:$C$7,3,FALSE)*'[1]Profiles, RES, Summer'!N$5</f>
        <v>7.8883982336411069</v>
      </c>
      <c r="O6" s="9">
        <f>VLOOKUP($A6,'RES installed'!$A$2:$C$7,3,FALSE)*'[1]Profiles, RES, Summer'!O$5</f>
        <v>9.7912484945804898</v>
      </c>
      <c r="P6" s="9">
        <f>VLOOKUP($A6,'RES installed'!$A$2:$C$7,3,FALSE)*'[1]Profiles, RES, Summer'!P$5</f>
        <v>13.067041348855881</v>
      </c>
      <c r="Q6" s="9">
        <f>VLOOKUP($A6,'RES installed'!$A$2:$C$7,3,FALSE)*'[1]Profiles, RES, Summer'!Q$5</f>
        <v>16.680048173424328</v>
      </c>
      <c r="R6" s="9">
        <f>VLOOKUP($A6,'RES installed'!$A$2:$C$7,3,FALSE)*'[1]Profiles, RES, Summer'!R$5</f>
        <v>19.714973906061822</v>
      </c>
      <c r="S6" s="9">
        <f>VLOOKUP($A6,'RES installed'!$A$2:$C$7,3,FALSE)*'[1]Profiles, RES, Summer'!S$5</f>
        <v>21.039743075070252</v>
      </c>
      <c r="T6" s="9">
        <f>VLOOKUP($A6,'RES installed'!$A$2:$C$7,3,FALSE)*'[1]Profiles, RES, Summer'!T$5</f>
        <v>22.641509433962266</v>
      </c>
      <c r="U6" s="9">
        <f>VLOOKUP($A6,'RES installed'!$A$2:$C$7,3,FALSE)*'[1]Profiles, RES, Summer'!U$5</f>
        <v>25.218787635487754</v>
      </c>
      <c r="V6" s="9">
        <f>VLOOKUP($A6,'RES installed'!$A$2:$C$7,3,FALSE)*'[1]Profiles, RES, Summer'!V$5</f>
        <v>27.808109193095145</v>
      </c>
      <c r="W6" s="9">
        <f>VLOOKUP($A6,'RES installed'!$A$2:$C$7,3,FALSE)*'[1]Profiles, RES, Summer'!W$5</f>
        <v>28.964271376957047</v>
      </c>
      <c r="X6" s="9">
        <f>VLOOKUP($A6,'RES installed'!$A$2:$C$7,3,FALSE)*'[1]Profiles, RES, Summer'!X$5</f>
        <v>29.096748293857885</v>
      </c>
      <c r="Y6" s="9">
        <f>VLOOKUP($A6,'RES installed'!$A$2:$C$7,3,FALSE)*'[1]Profiles, RES, Summer'!Y$5</f>
        <v>28.061019670814932</v>
      </c>
    </row>
    <row r="7" spans="1:25" x14ac:dyDescent="0.3">
      <c r="A7" s="8">
        <v>6</v>
      </c>
      <c r="B7" s="9">
        <f>VLOOKUP($A7,'RES installed'!$A$2:$C$7,3,FALSE)*'[1]Profiles, RES, Summer'!B$5</f>
        <v>12.157767964672821</v>
      </c>
      <c r="C7" s="9">
        <f>VLOOKUP($A7,'RES installed'!$A$2:$C$7,3,FALSE)*'[1]Profiles, RES, Summer'!C$5</f>
        <v>11.119028502609394</v>
      </c>
      <c r="D7" s="9">
        <f>VLOOKUP($A7,'RES installed'!$A$2:$C$7,3,FALSE)*'[1]Profiles, RES, Summer'!D$5</f>
        <v>9.7280208751505413</v>
      </c>
      <c r="E7" s="9">
        <f>VLOOKUP($A7,'RES installed'!$A$2:$C$7,3,FALSE)*'[1]Profiles, RES, Summer'!E$5</f>
        <v>9.6918908069048584</v>
      </c>
      <c r="F7" s="9">
        <f>VLOOKUP($A7,'RES installed'!$A$2:$C$7,3,FALSE)*'[1]Profiles, RES, Summer'!F$5</f>
        <v>9.1770373344038543</v>
      </c>
      <c r="G7" s="9">
        <f>VLOOKUP($A7,'RES installed'!$A$2:$C$7,3,FALSE)*'[1]Profiles, RES, Summer'!G$5</f>
        <v>8.4544359694901647</v>
      </c>
      <c r="H7" s="9">
        <f>VLOOKUP($A7,'RES installed'!$A$2:$C$7,3,FALSE)*'[1]Profiles, RES, Summer'!H$5</f>
        <v>7.433761541549579</v>
      </c>
      <c r="I7" s="9">
        <f>VLOOKUP($A7,'RES installed'!$A$2:$C$7,3,FALSE)*'[1]Profiles, RES, Summer'!I$5</f>
        <v>5.8440385387394622</v>
      </c>
      <c r="J7" s="9">
        <f>VLOOKUP($A7,'RES installed'!$A$2:$C$7,3,FALSE)*'[1]Profiles, RES, Summer'!J$5</f>
        <v>4.8594941790445603</v>
      </c>
      <c r="K7" s="9">
        <f>VLOOKUP($A7,'RES installed'!$A$2:$C$7,3,FALSE)*'[1]Profiles, RES, Summer'!K$5</f>
        <v>4.5433560818948218</v>
      </c>
      <c r="L7" s="9">
        <f>VLOOKUP($A7,'RES installed'!$A$2:$C$7,3,FALSE)*'[1]Profiles, RES, Summer'!L$5</f>
        <v>4.182055399437977</v>
      </c>
      <c r="M7" s="9">
        <f>VLOOKUP($A7,'RES installed'!$A$2:$C$7,3,FALSE)*'[1]Profiles, RES, Summer'!M$5</f>
        <v>4.7059413890004018</v>
      </c>
      <c r="N7" s="9">
        <f>VLOOKUP($A7,'RES installed'!$A$2:$C$7,3,FALSE)*'[1]Profiles, RES, Summer'!N$5</f>
        <v>5.9162986752308306</v>
      </c>
      <c r="O7" s="9">
        <f>VLOOKUP($A7,'RES installed'!$A$2:$C$7,3,FALSE)*'[1]Profiles, RES, Summer'!O$5</f>
        <v>7.3434363709353674</v>
      </c>
      <c r="P7" s="9">
        <f>VLOOKUP($A7,'RES installed'!$A$2:$C$7,3,FALSE)*'[1]Profiles, RES, Summer'!P$5</f>
        <v>9.8002810116419106</v>
      </c>
      <c r="Q7" s="9">
        <f>VLOOKUP($A7,'RES installed'!$A$2:$C$7,3,FALSE)*'[1]Profiles, RES, Summer'!Q$5</f>
        <v>12.510036130068245</v>
      </c>
      <c r="R7" s="9">
        <f>VLOOKUP($A7,'RES installed'!$A$2:$C$7,3,FALSE)*'[1]Profiles, RES, Summer'!R$5</f>
        <v>14.786230429546368</v>
      </c>
      <c r="S7" s="9">
        <f>VLOOKUP($A7,'RES installed'!$A$2:$C$7,3,FALSE)*'[1]Profiles, RES, Summer'!S$5</f>
        <v>15.77980730630269</v>
      </c>
      <c r="T7" s="9">
        <f>VLOOKUP($A7,'RES installed'!$A$2:$C$7,3,FALSE)*'[1]Profiles, RES, Summer'!T$5</f>
        <v>16.981132075471699</v>
      </c>
      <c r="U7" s="9">
        <f>VLOOKUP($A7,'RES installed'!$A$2:$C$7,3,FALSE)*'[1]Profiles, RES, Summer'!U$5</f>
        <v>18.914090726615814</v>
      </c>
      <c r="V7" s="9">
        <f>VLOOKUP($A7,'RES installed'!$A$2:$C$7,3,FALSE)*'[1]Profiles, RES, Summer'!V$5</f>
        <v>20.856081894821358</v>
      </c>
      <c r="W7" s="9">
        <f>VLOOKUP($A7,'RES installed'!$A$2:$C$7,3,FALSE)*'[1]Profiles, RES, Summer'!W$5</f>
        <v>21.723203532717786</v>
      </c>
      <c r="X7" s="9">
        <f>VLOOKUP($A7,'RES installed'!$A$2:$C$7,3,FALSE)*'[1]Profiles, RES, Summer'!X$5</f>
        <v>21.822561220393414</v>
      </c>
      <c r="Y7" s="9">
        <f>VLOOKUP($A7,'RES installed'!$A$2:$C$7,3,FALSE)*'[1]Profiles, RES, Summer'!Y$5</f>
        <v>21.0457647531112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0.17058377558756635</v>
      </c>
      <c r="H8" s="6">
        <f>VLOOKUP($A8,'RES installed'!$A$2:$C$7,3,FALSE)*'[1]Profiles, RES, Summer'!H$2</f>
        <v>5.003790750568613</v>
      </c>
      <c r="I8" s="6">
        <f>VLOOKUP($A8,'RES installed'!$A$2:$C$7,3,FALSE)*'[1]Profiles, RES, Summer'!I$2</f>
        <v>20.811220621683095</v>
      </c>
      <c r="J8" s="6">
        <f>VLOOKUP($A8,'RES installed'!$A$2:$C$7,3,FALSE)*'[1]Profiles, RES, Summer'!J$2</f>
        <v>43.100833965125098</v>
      </c>
      <c r="K8" s="6">
        <f>VLOOKUP($A8,'RES installed'!$A$2:$C$7,3,FALSE)*'[1]Profiles, RES, Summer'!K$2</f>
        <v>56.719105382865806</v>
      </c>
      <c r="L8" s="6">
        <f>VLOOKUP($A8,'RES installed'!$A$2:$C$7,3,FALSE)*'[1]Profiles, RES, Summer'!L$2</f>
        <v>65.163002274450335</v>
      </c>
      <c r="M8" s="6">
        <f>VLOOKUP($A8,'RES installed'!$A$2:$C$7,3,FALSE)*'[1]Profiles, RES, Summer'!M$2</f>
        <v>68.97270659590599</v>
      </c>
      <c r="N8" s="6">
        <f>VLOOKUP($A8,'RES installed'!$A$2:$C$7,3,FALSE)*'[1]Profiles, RES, Summer'!N$2</f>
        <v>70.507960576194094</v>
      </c>
      <c r="O8" s="6">
        <f>VLOOKUP($A8,'RES installed'!$A$2:$C$7,3,FALSE)*'[1]Profiles, RES, Summer'!O$2</f>
        <v>70.536391205458685</v>
      </c>
      <c r="P8" s="6">
        <f>VLOOKUP($A8,'RES installed'!$A$2:$C$7,3,FALSE)*'[1]Profiles, RES, Summer'!P$2</f>
        <v>68.119787717968151</v>
      </c>
      <c r="Q8" s="6">
        <f>VLOOKUP($A8,'RES installed'!$A$2:$C$7,3,FALSE)*'[1]Profiles, RES, Summer'!Q$2</f>
        <v>60.585670962850642</v>
      </c>
      <c r="R8" s="6">
        <f>VLOOKUP($A8,'RES installed'!$A$2:$C$7,3,FALSE)*'[1]Profiles, RES, Summer'!R$2</f>
        <v>48.55951478392722</v>
      </c>
      <c r="S8" s="6">
        <f>VLOOKUP($A8,'RES installed'!$A$2:$C$7,3,FALSE)*'[1]Profiles, RES, Summer'!S$2</f>
        <v>31.415845337376801</v>
      </c>
      <c r="T8" s="6">
        <f>VLOOKUP($A8,'RES installed'!$A$2:$C$7,3,FALSE)*'[1]Profiles, RES, Summer'!T$2</f>
        <v>10.945792266868841</v>
      </c>
      <c r="U8" s="6">
        <f>VLOOKUP($A8,'RES installed'!$A$2:$C$7,3,FALSE)*'[1]Profiles, RES, Summer'!U$2</f>
        <v>0.90978013646702049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0.11372251705837756</v>
      </c>
      <c r="H9" s="6">
        <f>VLOOKUP($A9,'RES installed'!$A$2:$C$7,3,FALSE)*'[1]Profiles, RES, Summer'!H$2</f>
        <v>3.3358605003790753</v>
      </c>
      <c r="I9" s="6">
        <f>VLOOKUP($A9,'RES installed'!$A$2:$C$7,3,FALSE)*'[1]Profiles, RES, Summer'!I$2</f>
        <v>13.874147081122063</v>
      </c>
      <c r="J9" s="6">
        <f>VLOOKUP($A9,'RES installed'!$A$2:$C$7,3,FALSE)*'[1]Profiles, RES, Summer'!J$2</f>
        <v>28.733889310083399</v>
      </c>
      <c r="K9" s="6">
        <f>VLOOKUP($A9,'RES installed'!$A$2:$C$7,3,FALSE)*'[1]Profiles, RES, Summer'!K$2</f>
        <v>37.812736921910542</v>
      </c>
      <c r="L9" s="6">
        <f>VLOOKUP($A9,'RES installed'!$A$2:$C$7,3,FALSE)*'[1]Profiles, RES, Summer'!L$2</f>
        <v>43.44200151630023</v>
      </c>
      <c r="M9" s="6">
        <f>VLOOKUP($A9,'RES installed'!$A$2:$C$7,3,FALSE)*'[1]Profiles, RES, Summer'!M$2</f>
        <v>45.981804397270658</v>
      </c>
      <c r="N9" s="6">
        <f>VLOOKUP($A9,'RES installed'!$A$2:$C$7,3,FALSE)*'[1]Profiles, RES, Summer'!N$2</f>
        <v>47.005307050796056</v>
      </c>
      <c r="O9" s="6">
        <f>VLOOKUP($A9,'RES installed'!$A$2:$C$7,3,FALSE)*'[1]Profiles, RES, Summer'!O$2</f>
        <v>47.024260803639123</v>
      </c>
      <c r="P9" s="6">
        <f>VLOOKUP($A9,'RES installed'!$A$2:$C$7,3,FALSE)*'[1]Profiles, RES, Summer'!P$2</f>
        <v>45.41319181197877</v>
      </c>
      <c r="Q9" s="6">
        <f>VLOOKUP($A9,'RES installed'!$A$2:$C$7,3,FALSE)*'[1]Profiles, RES, Summer'!Q$2</f>
        <v>40.390447308567097</v>
      </c>
      <c r="R9" s="6">
        <f>VLOOKUP($A9,'RES installed'!$A$2:$C$7,3,FALSE)*'[1]Profiles, RES, Summer'!R$2</f>
        <v>32.37300985595148</v>
      </c>
      <c r="S9" s="6">
        <f>VLOOKUP($A9,'RES installed'!$A$2:$C$7,3,FALSE)*'[1]Profiles, RES, Summer'!S$2</f>
        <v>20.943896891584536</v>
      </c>
      <c r="T9" s="6">
        <f>VLOOKUP($A9,'RES installed'!$A$2:$C$7,3,FALSE)*'[1]Profiles, RES, Summer'!T$2</f>
        <v>7.2971948445792272</v>
      </c>
      <c r="U9" s="6">
        <f>VLOOKUP($A9,'RES installed'!$A$2:$C$7,3,FALSE)*'[1]Profiles, RES, Summer'!U$2</f>
        <v>0.60652009097801363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0.13646702047005307</v>
      </c>
      <c r="H10" s="6">
        <f>VLOOKUP($A10,'RES installed'!$A$2:$C$7,3,FALSE)*'[1]Profiles, RES, Summer'!H$2</f>
        <v>4.0030326004548904</v>
      </c>
      <c r="I10" s="6">
        <f>VLOOKUP($A10,'RES installed'!$A$2:$C$7,3,FALSE)*'[1]Profiles, RES, Summer'!I$2</f>
        <v>16.648976497346474</v>
      </c>
      <c r="J10" s="6">
        <f>VLOOKUP($A10,'RES installed'!$A$2:$C$7,3,FALSE)*'[1]Profiles, RES, Summer'!J$2</f>
        <v>34.480667172100077</v>
      </c>
      <c r="K10" s="6">
        <f>VLOOKUP($A10,'RES installed'!$A$2:$C$7,3,FALSE)*'[1]Profiles, RES, Summer'!K$2</f>
        <v>45.375284306292649</v>
      </c>
      <c r="L10" s="6">
        <f>VLOOKUP($A10,'RES installed'!$A$2:$C$7,3,FALSE)*'[1]Profiles, RES, Summer'!L$2</f>
        <v>52.130401819560269</v>
      </c>
      <c r="M10" s="6">
        <f>VLOOKUP($A10,'RES installed'!$A$2:$C$7,3,FALSE)*'[1]Profiles, RES, Summer'!M$2</f>
        <v>55.178165276724791</v>
      </c>
      <c r="N10" s="6">
        <f>VLOOKUP($A10,'RES installed'!$A$2:$C$7,3,FALSE)*'[1]Profiles, RES, Summer'!N$2</f>
        <v>56.406368460955271</v>
      </c>
      <c r="O10" s="6">
        <f>VLOOKUP($A10,'RES installed'!$A$2:$C$7,3,FALSE)*'[1]Profiles, RES, Summer'!O$2</f>
        <v>56.429112964366951</v>
      </c>
      <c r="P10" s="6">
        <f>VLOOKUP($A10,'RES installed'!$A$2:$C$7,3,FALSE)*'[1]Profiles, RES, Summer'!P$2</f>
        <v>54.495830174374525</v>
      </c>
      <c r="Q10" s="6">
        <f>VLOOKUP($A10,'RES installed'!$A$2:$C$7,3,FALSE)*'[1]Profiles, RES, Summer'!Q$2</f>
        <v>48.468536770280515</v>
      </c>
      <c r="R10" s="6">
        <f>VLOOKUP($A10,'RES installed'!$A$2:$C$7,3,FALSE)*'[1]Profiles, RES, Summer'!R$2</f>
        <v>38.847611827141776</v>
      </c>
      <c r="S10" s="6">
        <f>VLOOKUP($A10,'RES installed'!$A$2:$C$7,3,FALSE)*'[1]Profiles, RES, Summer'!S$2</f>
        <v>25.132676269901442</v>
      </c>
      <c r="T10" s="6">
        <f>VLOOKUP($A10,'RES installed'!$A$2:$C$7,3,FALSE)*'[1]Profiles, RES, Summer'!T$2</f>
        <v>8.756633813495073</v>
      </c>
      <c r="U10" s="6">
        <f>VLOOKUP($A10,'RES installed'!$A$2:$C$7,3,FALSE)*'[1]Profiles, RES, Summer'!U$2</f>
        <v>0.7278241091736164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0B206-735C-4169-9573-F70381DB2C7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12.826174227217987</v>
      </c>
      <c r="C5" s="9">
        <f>VLOOKUP($A5,'RES installed'!$A$2:$C$7,3,FALSE)*'[1]Profiles, RES, Summer'!C$6</f>
        <v>11.913890004014451</v>
      </c>
      <c r="D5" s="9">
        <f>VLOOKUP($A5,'RES installed'!$A$2:$C$7,3,FALSE)*'[1]Profiles, RES, Summer'!D$6</f>
        <v>12.112605379365716</v>
      </c>
      <c r="E5" s="9">
        <f>VLOOKUP($A5,'RES installed'!$A$2:$C$7,3,FALSE)*'[1]Profiles, RES, Summer'!E$6</f>
        <v>10.947410678442393</v>
      </c>
      <c r="F5" s="9">
        <f>VLOOKUP($A5,'RES installed'!$A$2:$C$7,3,FALSE)*'[1]Profiles, RES, Summer'!F$6</f>
        <v>10.242874347651545</v>
      </c>
      <c r="G5" s="9">
        <f>VLOOKUP($A5,'RES installed'!$A$2:$C$7,3,FALSE)*'[1]Profiles, RES, Summer'!G$6</f>
        <v>10.875150541951024</v>
      </c>
      <c r="H5" s="9">
        <f>VLOOKUP($A5,'RES installed'!$A$2:$C$7,3,FALSE)*'[1]Profiles, RES, Summer'!H$6</f>
        <v>10.757727820152549</v>
      </c>
      <c r="I5" s="9">
        <f>VLOOKUP($A5,'RES installed'!$A$2:$C$7,3,FALSE)*'[1]Profiles, RES, Summer'!I$6</f>
        <v>7.9305499799277399</v>
      </c>
      <c r="J5" s="9">
        <f>VLOOKUP($A5,'RES installed'!$A$2:$C$7,3,FALSE)*'[1]Profiles, RES, Summer'!J$6</f>
        <v>5.0762745885186673</v>
      </c>
      <c r="K5" s="9">
        <f>VLOOKUP($A5,'RES installed'!$A$2:$C$7,3,FALSE)*'[1]Profiles, RES, Summer'!K$6</f>
        <v>3.6942994781212364</v>
      </c>
      <c r="L5" s="9">
        <f>VLOOKUP($A5,'RES installed'!$A$2:$C$7,3,FALSE)*'[1]Profiles, RES, Summer'!L$6</f>
        <v>2.7910477719791249</v>
      </c>
      <c r="M5" s="9">
        <f>VLOOKUP($A5,'RES installed'!$A$2:$C$7,3,FALSE)*'[1]Profiles, RES, Summer'!M$6</f>
        <v>2.6194299478121237</v>
      </c>
      <c r="N5" s="9">
        <f>VLOOKUP($A5,'RES installed'!$A$2:$C$7,3,FALSE)*'[1]Profiles, RES, Summer'!N$6</f>
        <v>3.2788036932958651</v>
      </c>
      <c r="O5" s="9">
        <f>VLOOKUP($A5,'RES installed'!$A$2:$C$7,3,FALSE)*'[1]Profiles, RES, Summer'!O$6</f>
        <v>4.2543155359293454</v>
      </c>
      <c r="P5" s="9">
        <f>VLOOKUP($A5,'RES installed'!$A$2:$C$7,3,FALSE)*'[1]Profiles, RES, Summer'!P$6</f>
        <v>6.0608189482135693</v>
      </c>
      <c r="Q5" s="9">
        <f>VLOOKUP($A5,'RES installed'!$A$2:$C$7,3,FALSE)*'[1]Profiles, RES, Summer'!Q$6</f>
        <v>7.6505419510236852</v>
      </c>
      <c r="R5" s="9">
        <f>VLOOKUP($A5,'RES installed'!$A$2:$C$7,3,FALSE)*'[1]Profiles, RES, Summer'!R$6</f>
        <v>9.1589723002810111</v>
      </c>
      <c r="S5" s="9">
        <f>VLOOKUP($A5,'RES installed'!$A$2:$C$7,3,FALSE)*'[1]Profiles, RES, Summer'!S$6</f>
        <v>9.7822159775190691</v>
      </c>
      <c r="T5" s="9">
        <f>VLOOKUP($A5,'RES installed'!$A$2:$C$7,3,FALSE)*'[1]Profiles, RES, Summer'!T$6</f>
        <v>9.3034925732637497</v>
      </c>
      <c r="U5" s="9">
        <f>VLOOKUP($A5,'RES installed'!$A$2:$C$7,3,FALSE)*'[1]Profiles, RES, Summer'!U$6</f>
        <v>9.0234845443596949</v>
      </c>
      <c r="V5" s="9">
        <f>VLOOKUP($A5,'RES installed'!$A$2:$C$7,3,FALSE)*'[1]Profiles, RES, Summer'!V$6</f>
        <v>9.0505820955439589</v>
      </c>
      <c r="W5" s="9">
        <f>VLOOKUP($A5,'RES installed'!$A$2:$C$7,3,FALSE)*'[1]Profiles, RES, Summer'!W$6</f>
        <v>8.3189482135688468</v>
      </c>
      <c r="X5" s="9">
        <f>VLOOKUP($A5,'RES installed'!$A$2:$C$7,3,FALSE)*'[1]Profiles, RES, Summer'!X$6</f>
        <v>7.7137695704536338</v>
      </c>
      <c r="Y5" s="9">
        <f>VLOOKUP($A5,'RES installed'!$A$2:$C$7,3,FALSE)*'[1]Profiles, RES, Summer'!Y$6</f>
        <v>7.8492573263749499</v>
      </c>
    </row>
    <row r="6" spans="1:25" x14ac:dyDescent="0.3">
      <c r="A6" s="8">
        <v>5</v>
      </c>
      <c r="B6" s="9">
        <f>VLOOKUP($A6,'RES installed'!$A$2:$C$7,3,FALSE)*'[1]Profiles, RES, Summer'!B$6</f>
        <v>17.101565636290648</v>
      </c>
      <c r="C6" s="9">
        <f>VLOOKUP($A6,'RES installed'!$A$2:$C$7,3,FALSE)*'[1]Profiles, RES, Summer'!C$6</f>
        <v>15.885186672019268</v>
      </c>
      <c r="D6" s="9">
        <f>VLOOKUP($A6,'RES installed'!$A$2:$C$7,3,FALSE)*'[1]Profiles, RES, Summer'!D$6</f>
        <v>16.150140505820954</v>
      </c>
      <c r="E6" s="9">
        <f>VLOOKUP($A6,'RES installed'!$A$2:$C$7,3,FALSE)*'[1]Profiles, RES, Summer'!E$6</f>
        <v>14.596547571256524</v>
      </c>
      <c r="F6" s="9">
        <f>VLOOKUP($A6,'RES installed'!$A$2:$C$7,3,FALSE)*'[1]Profiles, RES, Summer'!F$6</f>
        <v>13.657165796868727</v>
      </c>
      <c r="G6" s="9">
        <f>VLOOKUP($A6,'RES installed'!$A$2:$C$7,3,FALSE)*'[1]Profiles, RES, Summer'!G$6</f>
        <v>14.500200722601365</v>
      </c>
      <c r="H6" s="9">
        <f>VLOOKUP($A6,'RES installed'!$A$2:$C$7,3,FALSE)*'[1]Profiles, RES, Summer'!H$6</f>
        <v>14.343637093536731</v>
      </c>
      <c r="I6" s="9">
        <f>VLOOKUP($A6,'RES installed'!$A$2:$C$7,3,FALSE)*'[1]Profiles, RES, Summer'!I$6</f>
        <v>10.574066639903654</v>
      </c>
      <c r="J6" s="9">
        <f>VLOOKUP($A6,'RES installed'!$A$2:$C$7,3,FALSE)*'[1]Profiles, RES, Summer'!J$6</f>
        <v>6.7683661180248897</v>
      </c>
      <c r="K6" s="9">
        <f>VLOOKUP($A6,'RES installed'!$A$2:$C$7,3,FALSE)*'[1]Profiles, RES, Summer'!K$6</f>
        <v>4.9257326374949812</v>
      </c>
      <c r="L6" s="9">
        <f>VLOOKUP($A6,'RES installed'!$A$2:$C$7,3,FALSE)*'[1]Profiles, RES, Summer'!L$6</f>
        <v>3.7213970293054994</v>
      </c>
      <c r="M6" s="9">
        <f>VLOOKUP($A6,'RES installed'!$A$2:$C$7,3,FALSE)*'[1]Profiles, RES, Summer'!M$6</f>
        <v>3.4925732637494979</v>
      </c>
      <c r="N6" s="9">
        <f>VLOOKUP($A6,'RES installed'!$A$2:$C$7,3,FALSE)*'[1]Profiles, RES, Summer'!N$6</f>
        <v>4.3717382577278201</v>
      </c>
      <c r="O6" s="9">
        <f>VLOOKUP($A6,'RES installed'!$A$2:$C$7,3,FALSE)*'[1]Profiles, RES, Summer'!O$6</f>
        <v>5.6724207145724606</v>
      </c>
      <c r="P6" s="9">
        <f>VLOOKUP($A6,'RES installed'!$A$2:$C$7,3,FALSE)*'[1]Profiles, RES, Summer'!P$6</f>
        <v>8.0810919309514251</v>
      </c>
      <c r="Q6" s="9">
        <f>VLOOKUP($A6,'RES installed'!$A$2:$C$7,3,FALSE)*'[1]Profiles, RES, Summer'!Q$6</f>
        <v>10.200722601364912</v>
      </c>
      <c r="R6" s="9">
        <f>VLOOKUP($A6,'RES installed'!$A$2:$C$7,3,FALSE)*'[1]Profiles, RES, Summer'!R$6</f>
        <v>12.211963067041349</v>
      </c>
      <c r="S6" s="9">
        <f>VLOOKUP($A6,'RES installed'!$A$2:$C$7,3,FALSE)*'[1]Profiles, RES, Summer'!S$6</f>
        <v>13.042954636692093</v>
      </c>
      <c r="T6" s="9">
        <f>VLOOKUP($A6,'RES installed'!$A$2:$C$7,3,FALSE)*'[1]Profiles, RES, Summer'!T$6</f>
        <v>12.404656764351666</v>
      </c>
      <c r="U6" s="9">
        <f>VLOOKUP($A6,'RES installed'!$A$2:$C$7,3,FALSE)*'[1]Profiles, RES, Summer'!U$6</f>
        <v>12.031312725812926</v>
      </c>
      <c r="V6" s="9">
        <f>VLOOKUP($A6,'RES installed'!$A$2:$C$7,3,FALSE)*'[1]Profiles, RES, Summer'!V$6</f>
        <v>12.067442794058611</v>
      </c>
      <c r="W6" s="9">
        <f>VLOOKUP($A6,'RES installed'!$A$2:$C$7,3,FALSE)*'[1]Profiles, RES, Summer'!W$6</f>
        <v>11.09193095142513</v>
      </c>
      <c r="X6" s="9">
        <f>VLOOKUP($A6,'RES installed'!$A$2:$C$7,3,FALSE)*'[1]Profiles, RES, Summer'!X$6</f>
        <v>10.285026093938178</v>
      </c>
      <c r="Y6" s="9">
        <f>VLOOKUP($A6,'RES installed'!$A$2:$C$7,3,FALSE)*'[1]Profiles, RES, Summer'!Y$6</f>
        <v>10.4656764351666</v>
      </c>
    </row>
    <row r="7" spans="1:25" x14ac:dyDescent="0.3">
      <c r="A7" s="8">
        <v>6</v>
      </c>
      <c r="B7" s="9">
        <f>VLOOKUP($A7,'RES installed'!$A$2:$C$7,3,FALSE)*'[1]Profiles, RES, Summer'!B$6</f>
        <v>12.826174227217987</v>
      </c>
      <c r="C7" s="9">
        <f>VLOOKUP($A7,'RES installed'!$A$2:$C$7,3,FALSE)*'[1]Profiles, RES, Summer'!C$6</f>
        <v>11.913890004014451</v>
      </c>
      <c r="D7" s="9">
        <f>VLOOKUP($A7,'RES installed'!$A$2:$C$7,3,FALSE)*'[1]Profiles, RES, Summer'!D$6</f>
        <v>12.112605379365716</v>
      </c>
      <c r="E7" s="9">
        <f>VLOOKUP($A7,'RES installed'!$A$2:$C$7,3,FALSE)*'[1]Profiles, RES, Summer'!E$6</f>
        <v>10.947410678442393</v>
      </c>
      <c r="F7" s="9">
        <f>VLOOKUP($A7,'RES installed'!$A$2:$C$7,3,FALSE)*'[1]Profiles, RES, Summer'!F$6</f>
        <v>10.242874347651545</v>
      </c>
      <c r="G7" s="9">
        <f>VLOOKUP($A7,'RES installed'!$A$2:$C$7,3,FALSE)*'[1]Profiles, RES, Summer'!G$6</f>
        <v>10.875150541951024</v>
      </c>
      <c r="H7" s="9">
        <f>VLOOKUP($A7,'RES installed'!$A$2:$C$7,3,FALSE)*'[1]Profiles, RES, Summer'!H$6</f>
        <v>10.757727820152549</v>
      </c>
      <c r="I7" s="9">
        <f>VLOOKUP($A7,'RES installed'!$A$2:$C$7,3,FALSE)*'[1]Profiles, RES, Summer'!I$6</f>
        <v>7.9305499799277399</v>
      </c>
      <c r="J7" s="9">
        <f>VLOOKUP($A7,'RES installed'!$A$2:$C$7,3,FALSE)*'[1]Profiles, RES, Summer'!J$6</f>
        <v>5.0762745885186673</v>
      </c>
      <c r="K7" s="9">
        <f>VLOOKUP($A7,'RES installed'!$A$2:$C$7,3,FALSE)*'[1]Profiles, RES, Summer'!K$6</f>
        <v>3.6942994781212364</v>
      </c>
      <c r="L7" s="9">
        <f>VLOOKUP($A7,'RES installed'!$A$2:$C$7,3,FALSE)*'[1]Profiles, RES, Summer'!L$6</f>
        <v>2.7910477719791249</v>
      </c>
      <c r="M7" s="9">
        <f>VLOOKUP($A7,'RES installed'!$A$2:$C$7,3,FALSE)*'[1]Profiles, RES, Summer'!M$6</f>
        <v>2.6194299478121237</v>
      </c>
      <c r="N7" s="9">
        <f>VLOOKUP($A7,'RES installed'!$A$2:$C$7,3,FALSE)*'[1]Profiles, RES, Summer'!N$6</f>
        <v>3.2788036932958651</v>
      </c>
      <c r="O7" s="9">
        <f>VLOOKUP($A7,'RES installed'!$A$2:$C$7,3,FALSE)*'[1]Profiles, RES, Summer'!O$6</f>
        <v>4.2543155359293454</v>
      </c>
      <c r="P7" s="9">
        <f>VLOOKUP($A7,'RES installed'!$A$2:$C$7,3,FALSE)*'[1]Profiles, RES, Summer'!P$6</f>
        <v>6.0608189482135693</v>
      </c>
      <c r="Q7" s="9">
        <f>VLOOKUP($A7,'RES installed'!$A$2:$C$7,3,FALSE)*'[1]Profiles, RES, Summer'!Q$6</f>
        <v>7.6505419510236852</v>
      </c>
      <c r="R7" s="9">
        <f>VLOOKUP($A7,'RES installed'!$A$2:$C$7,3,FALSE)*'[1]Profiles, RES, Summer'!R$6</f>
        <v>9.1589723002810111</v>
      </c>
      <c r="S7" s="9">
        <f>VLOOKUP($A7,'RES installed'!$A$2:$C$7,3,FALSE)*'[1]Profiles, RES, Summer'!S$6</f>
        <v>9.7822159775190691</v>
      </c>
      <c r="T7" s="9">
        <f>VLOOKUP($A7,'RES installed'!$A$2:$C$7,3,FALSE)*'[1]Profiles, RES, Summer'!T$6</f>
        <v>9.3034925732637497</v>
      </c>
      <c r="U7" s="9">
        <f>VLOOKUP($A7,'RES installed'!$A$2:$C$7,3,FALSE)*'[1]Profiles, RES, Summer'!U$6</f>
        <v>9.0234845443596949</v>
      </c>
      <c r="V7" s="9">
        <f>VLOOKUP($A7,'RES installed'!$A$2:$C$7,3,FALSE)*'[1]Profiles, RES, Summer'!V$6</f>
        <v>9.0505820955439589</v>
      </c>
      <c r="W7" s="9">
        <f>VLOOKUP($A7,'RES installed'!$A$2:$C$7,3,FALSE)*'[1]Profiles, RES, Summer'!W$6</f>
        <v>8.3189482135688468</v>
      </c>
      <c r="X7" s="9">
        <f>VLOOKUP($A7,'RES installed'!$A$2:$C$7,3,FALSE)*'[1]Profiles, RES, Summer'!X$6</f>
        <v>7.7137695704536338</v>
      </c>
      <c r="Y7" s="9">
        <f>VLOOKUP($A7,'RES installed'!$A$2:$C$7,3,FALSE)*'[1]Profiles, RES, Summer'!Y$6</f>
        <v>7.8492573263749499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0.14215314632297193</v>
      </c>
      <c r="H8" s="6">
        <f>VLOOKUP($A8,'RES installed'!$A$2:$C$7,3,FALSE)*'[1]Profiles, RES, Summer'!H$3</f>
        <v>5.9988627748294157</v>
      </c>
      <c r="I8" s="6">
        <f>VLOOKUP($A8,'RES installed'!$A$2:$C$7,3,FALSE)*'[1]Profiles, RES, Summer'!I$3</f>
        <v>24.137604245640638</v>
      </c>
      <c r="J8" s="6">
        <f>VLOOKUP($A8,'RES installed'!$A$2:$C$7,3,FALSE)*'[1]Profiles, RES, Summer'!J$3</f>
        <v>44.124336618650489</v>
      </c>
      <c r="K8" s="6">
        <f>VLOOKUP($A8,'RES installed'!$A$2:$C$7,3,FALSE)*'[1]Profiles, RES, Summer'!K$3</f>
        <v>58.026914329037155</v>
      </c>
      <c r="L8" s="6">
        <f>VLOOKUP($A8,'RES installed'!$A$2:$C$7,3,FALSE)*'[1]Profiles, RES, Summer'!L$3</f>
        <v>67.494313874147082</v>
      </c>
      <c r="M8" s="6">
        <f>VLOOKUP($A8,'RES installed'!$A$2:$C$7,3,FALSE)*'[1]Profiles, RES, Summer'!M$3</f>
        <v>70.991281273692195</v>
      </c>
      <c r="N8" s="6">
        <f>VLOOKUP($A8,'RES installed'!$A$2:$C$7,3,FALSE)*'[1]Profiles, RES, Summer'!N$3</f>
        <v>71.190295678544345</v>
      </c>
      <c r="O8" s="6">
        <f>VLOOKUP($A8,'RES installed'!$A$2:$C$7,3,FALSE)*'[1]Profiles, RES, Summer'!O$3</f>
        <v>69.683472327520846</v>
      </c>
      <c r="P8" s="6">
        <f>VLOOKUP($A8,'RES installed'!$A$2:$C$7,3,FALSE)*'[1]Profiles, RES, Summer'!P$3</f>
        <v>67.465883244882491</v>
      </c>
      <c r="Q8" s="6">
        <f>VLOOKUP($A8,'RES installed'!$A$2:$C$7,3,FALSE)*'[1]Profiles, RES, Summer'!Q$3</f>
        <v>60.187642153146321</v>
      </c>
      <c r="R8" s="6">
        <f>VLOOKUP($A8,'RES installed'!$A$2:$C$7,3,FALSE)*'[1]Profiles, RES, Summer'!R$3</f>
        <v>48.332069749810465</v>
      </c>
      <c r="S8" s="6">
        <f>VLOOKUP($A8,'RES installed'!$A$2:$C$7,3,FALSE)*'[1]Profiles, RES, Summer'!S$3</f>
        <v>30.30705079605762</v>
      </c>
      <c r="T8" s="6">
        <f>VLOOKUP($A8,'RES installed'!$A$2:$C$7,3,FALSE)*'[1]Profiles, RES, Summer'!T$3</f>
        <v>9.8654283548142523</v>
      </c>
      <c r="U8" s="6">
        <f>VLOOKUP($A8,'RES installed'!$A$2:$C$7,3,FALSE)*'[1]Profiles, RES, Summer'!U$3</f>
        <v>0.65390447308567101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9.4768764215314633E-2</v>
      </c>
      <c r="H9" s="6">
        <f>VLOOKUP($A9,'RES installed'!$A$2:$C$7,3,FALSE)*'[1]Profiles, RES, Summer'!H$3</f>
        <v>3.9992418498862774</v>
      </c>
      <c r="I9" s="6">
        <f>VLOOKUP($A9,'RES installed'!$A$2:$C$7,3,FALSE)*'[1]Profiles, RES, Summer'!I$3</f>
        <v>16.091736163760427</v>
      </c>
      <c r="J9" s="6">
        <f>VLOOKUP($A9,'RES installed'!$A$2:$C$7,3,FALSE)*'[1]Profiles, RES, Summer'!J$3</f>
        <v>29.41622441243366</v>
      </c>
      <c r="K9" s="6">
        <f>VLOOKUP($A9,'RES installed'!$A$2:$C$7,3,FALSE)*'[1]Profiles, RES, Summer'!K$3</f>
        <v>38.684609552691434</v>
      </c>
      <c r="L9" s="6">
        <f>VLOOKUP($A9,'RES installed'!$A$2:$C$7,3,FALSE)*'[1]Profiles, RES, Summer'!L$3</f>
        <v>44.996209249431388</v>
      </c>
      <c r="M9" s="6">
        <f>VLOOKUP($A9,'RES installed'!$A$2:$C$7,3,FALSE)*'[1]Profiles, RES, Summer'!M$3</f>
        <v>47.327520849128128</v>
      </c>
      <c r="N9" s="6">
        <f>VLOOKUP($A9,'RES installed'!$A$2:$C$7,3,FALSE)*'[1]Profiles, RES, Summer'!N$3</f>
        <v>47.460197119029566</v>
      </c>
      <c r="O9" s="6">
        <f>VLOOKUP($A9,'RES installed'!$A$2:$C$7,3,FALSE)*'[1]Profiles, RES, Summer'!O$3</f>
        <v>46.455648218347235</v>
      </c>
      <c r="P9" s="6">
        <f>VLOOKUP($A9,'RES installed'!$A$2:$C$7,3,FALSE)*'[1]Profiles, RES, Summer'!P$3</f>
        <v>44.977255496588327</v>
      </c>
      <c r="Q9" s="6">
        <f>VLOOKUP($A9,'RES installed'!$A$2:$C$7,3,FALSE)*'[1]Profiles, RES, Summer'!Q$3</f>
        <v>40.125094768764214</v>
      </c>
      <c r="R9" s="6">
        <f>VLOOKUP($A9,'RES installed'!$A$2:$C$7,3,FALSE)*'[1]Profiles, RES, Summer'!R$3</f>
        <v>32.221379833206974</v>
      </c>
      <c r="S9" s="6">
        <f>VLOOKUP($A9,'RES installed'!$A$2:$C$7,3,FALSE)*'[1]Profiles, RES, Summer'!S$3</f>
        <v>20.204700530705079</v>
      </c>
      <c r="T9" s="6">
        <f>VLOOKUP($A9,'RES installed'!$A$2:$C$7,3,FALSE)*'[1]Profiles, RES, Summer'!T$3</f>
        <v>6.5769522365428355</v>
      </c>
      <c r="U9" s="6">
        <f>VLOOKUP($A9,'RES installed'!$A$2:$C$7,3,FALSE)*'[1]Profiles, RES, Summer'!U$3</f>
        <v>0.4359363153904473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0.11372251705837756</v>
      </c>
      <c r="H10" s="6">
        <f>VLOOKUP($A10,'RES installed'!$A$2:$C$7,3,FALSE)*'[1]Profiles, RES, Summer'!H$3</f>
        <v>4.7990902198635323</v>
      </c>
      <c r="I10" s="6">
        <f>VLOOKUP($A10,'RES installed'!$A$2:$C$7,3,FALSE)*'[1]Profiles, RES, Summer'!I$3</f>
        <v>19.31008339651251</v>
      </c>
      <c r="J10" s="6">
        <f>VLOOKUP($A10,'RES installed'!$A$2:$C$7,3,FALSE)*'[1]Profiles, RES, Summer'!J$3</f>
        <v>35.299469294920392</v>
      </c>
      <c r="K10" s="6">
        <f>VLOOKUP($A10,'RES installed'!$A$2:$C$7,3,FALSE)*'[1]Profiles, RES, Summer'!K$3</f>
        <v>46.421531463229719</v>
      </c>
      <c r="L10" s="6">
        <f>VLOOKUP($A10,'RES installed'!$A$2:$C$7,3,FALSE)*'[1]Profiles, RES, Summer'!L$3</f>
        <v>53.995451099317663</v>
      </c>
      <c r="M10" s="6">
        <f>VLOOKUP($A10,'RES installed'!$A$2:$C$7,3,FALSE)*'[1]Profiles, RES, Summer'!M$3</f>
        <v>56.793025018953756</v>
      </c>
      <c r="N10" s="6">
        <f>VLOOKUP($A10,'RES installed'!$A$2:$C$7,3,FALSE)*'[1]Profiles, RES, Summer'!N$3</f>
        <v>56.952236542835479</v>
      </c>
      <c r="O10" s="6">
        <f>VLOOKUP($A10,'RES installed'!$A$2:$C$7,3,FALSE)*'[1]Profiles, RES, Summer'!O$3</f>
        <v>55.746777862016678</v>
      </c>
      <c r="P10" s="6">
        <f>VLOOKUP($A10,'RES installed'!$A$2:$C$7,3,FALSE)*'[1]Profiles, RES, Summer'!P$3</f>
        <v>53.97270659590599</v>
      </c>
      <c r="Q10" s="6">
        <f>VLOOKUP($A10,'RES installed'!$A$2:$C$7,3,FALSE)*'[1]Profiles, RES, Summer'!Q$3</f>
        <v>48.150113722517055</v>
      </c>
      <c r="R10" s="6">
        <f>VLOOKUP($A10,'RES installed'!$A$2:$C$7,3,FALSE)*'[1]Profiles, RES, Summer'!R$3</f>
        <v>38.665655799848373</v>
      </c>
      <c r="S10" s="6">
        <f>VLOOKUP($A10,'RES installed'!$A$2:$C$7,3,FALSE)*'[1]Profiles, RES, Summer'!S$3</f>
        <v>24.245640636846097</v>
      </c>
      <c r="T10" s="6">
        <f>VLOOKUP($A10,'RES installed'!$A$2:$C$7,3,FALSE)*'[1]Profiles, RES, Summer'!T$3</f>
        <v>7.8923426838514024</v>
      </c>
      <c r="U10" s="6">
        <f>VLOOKUP($A10,'RES installed'!$A$2:$C$7,3,FALSE)*'[1]Profiles, RES, Summer'!U$3</f>
        <v>0.52312357846853674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F9ED32-E37A-4C7F-9A3A-6C171EDA3DE5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13.395222802087515</v>
      </c>
      <c r="C5" s="9">
        <f>VLOOKUP($A5,'RES installed'!$A$2:$C$7,3,FALSE)*'[1]Profiles, RES, Summer'!C$7</f>
        <v>12.049377759935769</v>
      </c>
      <c r="D5" s="9">
        <f>VLOOKUP($A5,'RES installed'!$A$2:$C$7,3,FALSE)*'[1]Profiles, RES, Summer'!D$7</f>
        <v>10.062224006423122</v>
      </c>
      <c r="E5" s="9">
        <f>VLOOKUP($A5,'RES installed'!$A$2:$C$7,3,FALSE)*'[1]Profiles, RES, Summer'!E$7</f>
        <v>9.5112404656764351</v>
      </c>
      <c r="F5" s="9">
        <f>VLOOKUP($A5,'RES installed'!$A$2:$C$7,3,FALSE)*'[1]Profiles, RES, Summer'!F$7</f>
        <v>9.3576876756322758</v>
      </c>
      <c r="G5" s="9">
        <f>VLOOKUP($A5,'RES installed'!$A$2:$C$7,3,FALSE)*'[1]Profiles, RES, Summer'!G$7</f>
        <v>10.495784825371336</v>
      </c>
      <c r="H5" s="9">
        <f>VLOOKUP($A5,'RES installed'!$A$2:$C$7,3,FALSE)*'[1]Profiles, RES, Summer'!H$7</f>
        <v>11.570654355680448</v>
      </c>
      <c r="I5" s="9">
        <f>VLOOKUP($A5,'RES installed'!$A$2:$C$7,3,FALSE)*'[1]Profiles, RES, Summer'!I$7</f>
        <v>11.968085106382979</v>
      </c>
      <c r="J5" s="9">
        <f>VLOOKUP($A5,'RES installed'!$A$2:$C$7,3,FALSE)*'[1]Profiles, RES, Summer'!J$7</f>
        <v>9.7280208751505413</v>
      </c>
      <c r="K5" s="9">
        <f>VLOOKUP($A5,'RES installed'!$A$2:$C$7,3,FALSE)*'[1]Profiles, RES, Summer'!K$7</f>
        <v>7.5692492974708951</v>
      </c>
      <c r="L5" s="9">
        <f>VLOOKUP($A5,'RES installed'!$A$2:$C$7,3,FALSE)*'[1]Profiles, RES, Summer'!L$7</f>
        <v>6.8105178643115218</v>
      </c>
      <c r="M5" s="9">
        <f>VLOOKUP($A5,'RES installed'!$A$2:$C$7,3,FALSE)*'[1]Profiles, RES, Summer'!M$7</f>
        <v>6.0788839823364107</v>
      </c>
      <c r="N5" s="9">
        <f>VLOOKUP($A5,'RES installed'!$A$2:$C$7,3,FALSE)*'[1]Profiles, RES, Summer'!N$7</f>
        <v>6.5847049377759941</v>
      </c>
      <c r="O5" s="9">
        <f>VLOOKUP($A5,'RES installed'!$A$2:$C$7,3,FALSE)*'[1]Profiles, RES, Summer'!O$7</f>
        <v>8.7615415495784816</v>
      </c>
      <c r="P5" s="9">
        <f>VLOOKUP($A5,'RES installed'!$A$2:$C$7,3,FALSE)*'[1]Profiles, RES, Summer'!P$7</f>
        <v>11.019670814933761</v>
      </c>
      <c r="Q5" s="9">
        <f>VLOOKUP($A5,'RES installed'!$A$2:$C$7,3,FALSE)*'[1]Profiles, RES, Summer'!Q$7</f>
        <v>11.561621838619029</v>
      </c>
      <c r="R5" s="9">
        <f>VLOOKUP($A5,'RES installed'!$A$2:$C$7,3,FALSE)*'[1]Profiles, RES, Summer'!R$7</f>
        <v>12.482938578883983</v>
      </c>
      <c r="S5" s="9">
        <f>VLOOKUP($A5,'RES installed'!$A$2:$C$7,3,FALSE)*'[1]Profiles, RES, Summer'!S$7</f>
        <v>12.988759534323565</v>
      </c>
      <c r="T5" s="9">
        <f>VLOOKUP($A5,'RES installed'!$A$2:$C$7,3,FALSE)*'[1]Profiles, RES, Summer'!T$7</f>
        <v>13.313930148534725</v>
      </c>
      <c r="U5" s="9">
        <f>VLOOKUP($A5,'RES installed'!$A$2:$C$7,3,FALSE)*'[1]Profiles, RES, Summer'!U$7</f>
        <v>15.255921316740265</v>
      </c>
      <c r="V5" s="9">
        <f>VLOOKUP($A5,'RES installed'!$A$2:$C$7,3,FALSE)*'[1]Profiles, RES, Summer'!V$7</f>
        <v>17.16178241670012</v>
      </c>
      <c r="W5" s="9">
        <f>VLOOKUP($A5,'RES installed'!$A$2:$C$7,3,FALSE)*'[1]Profiles, RES, Summer'!W$7</f>
        <v>16.574668807707749</v>
      </c>
      <c r="X5" s="9">
        <f>VLOOKUP($A5,'RES installed'!$A$2:$C$7,3,FALSE)*'[1]Profiles, RES, Summer'!X$7</f>
        <v>15.6985146527499</v>
      </c>
      <c r="Y5" s="9">
        <f>VLOOKUP($A5,'RES installed'!$A$2:$C$7,3,FALSE)*'[1]Profiles, RES, Summer'!Y$7</f>
        <v>15.418506623845845</v>
      </c>
    </row>
    <row r="6" spans="1:25" x14ac:dyDescent="0.3">
      <c r="A6" s="8">
        <v>5</v>
      </c>
      <c r="B6" s="9">
        <f>VLOOKUP($A6,'RES installed'!$A$2:$C$7,3,FALSE)*'[1]Profiles, RES, Summer'!B$7</f>
        <v>17.86029706945002</v>
      </c>
      <c r="C6" s="9">
        <f>VLOOKUP($A6,'RES installed'!$A$2:$C$7,3,FALSE)*'[1]Profiles, RES, Summer'!C$7</f>
        <v>16.065837013247691</v>
      </c>
      <c r="D6" s="9">
        <f>VLOOKUP($A6,'RES installed'!$A$2:$C$7,3,FALSE)*'[1]Profiles, RES, Summer'!D$7</f>
        <v>13.416298675230831</v>
      </c>
      <c r="E6" s="9">
        <f>VLOOKUP($A6,'RES installed'!$A$2:$C$7,3,FALSE)*'[1]Profiles, RES, Summer'!E$7</f>
        <v>12.681653954235248</v>
      </c>
      <c r="F6" s="9">
        <f>VLOOKUP($A6,'RES installed'!$A$2:$C$7,3,FALSE)*'[1]Profiles, RES, Summer'!F$7</f>
        <v>12.476916900843035</v>
      </c>
      <c r="G6" s="9">
        <f>VLOOKUP($A6,'RES installed'!$A$2:$C$7,3,FALSE)*'[1]Profiles, RES, Summer'!G$7</f>
        <v>13.994379767161782</v>
      </c>
      <c r="H6" s="9">
        <f>VLOOKUP($A6,'RES installed'!$A$2:$C$7,3,FALSE)*'[1]Profiles, RES, Summer'!H$7</f>
        <v>15.427539140907264</v>
      </c>
      <c r="I6" s="9">
        <f>VLOOKUP($A6,'RES installed'!$A$2:$C$7,3,FALSE)*'[1]Profiles, RES, Summer'!I$7</f>
        <v>15.957446808510639</v>
      </c>
      <c r="J6" s="9">
        <f>VLOOKUP($A6,'RES installed'!$A$2:$C$7,3,FALSE)*'[1]Profiles, RES, Summer'!J$7</f>
        <v>12.970694500200722</v>
      </c>
      <c r="K6" s="9">
        <f>VLOOKUP($A6,'RES installed'!$A$2:$C$7,3,FALSE)*'[1]Profiles, RES, Summer'!K$7</f>
        <v>10.09233239662786</v>
      </c>
      <c r="L6" s="9">
        <f>VLOOKUP($A6,'RES installed'!$A$2:$C$7,3,FALSE)*'[1]Profiles, RES, Summer'!L$7</f>
        <v>9.0806904857486952</v>
      </c>
      <c r="M6" s="9">
        <f>VLOOKUP($A6,'RES installed'!$A$2:$C$7,3,FALSE)*'[1]Profiles, RES, Summer'!M$7</f>
        <v>8.1051786431152131</v>
      </c>
      <c r="N6" s="9">
        <f>VLOOKUP($A6,'RES installed'!$A$2:$C$7,3,FALSE)*'[1]Profiles, RES, Summer'!N$7</f>
        <v>8.7796065837013249</v>
      </c>
      <c r="O6" s="9">
        <f>VLOOKUP($A6,'RES installed'!$A$2:$C$7,3,FALSE)*'[1]Profiles, RES, Summer'!O$7</f>
        <v>11.682055399437976</v>
      </c>
      <c r="P6" s="9">
        <f>VLOOKUP($A6,'RES installed'!$A$2:$C$7,3,FALSE)*'[1]Profiles, RES, Summer'!P$7</f>
        <v>14.692894419911681</v>
      </c>
      <c r="Q6" s="9">
        <f>VLOOKUP($A6,'RES installed'!$A$2:$C$7,3,FALSE)*'[1]Profiles, RES, Summer'!Q$7</f>
        <v>15.415495784825371</v>
      </c>
      <c r="R6" s="9">
        <f>VLOOKUP($A6,'RES installed'!$A$2:$C$7,3,FALSE)*'[1]Profiles, RES, Summer'!R$7</f>
        <v>16.643918105178646</v>
      </c>
      <c r="S6" s="9">
        <f>VLOOKUP($A6,'RES installed'!$A$2:$C$7,3,FALSE)*'[1]Profiles, RES, Summer'!S$7</f>
        <v>17.318346045764756</v>
      </c>
      <c r="T6" s="9">
        <f>VLOOKUP($A6,'RES installed'!$A$2:$C$7,3,FALSE)*'[1]Profiles, RES, Summer'!T$7</f>
        <v>17.751906864712968</v>
      </c>
      <c r="U6" s="9">
        <f>VLOOKUP($A6,'RES installed'!$A$2:$C$7,3,FALSE)*'[1]Profiles, RES, Summer'!U$7</f>
        <v>20.341228422320352</v>
      </c>
      <c r="V6" s="9">
        <f>VLOOKUP($A6,'RES installed'!$A$2:$C$7,3,FALSE)*'[1]Profiles, RES, Summer'!V$7</f>
        <v>22.88237655560016</v>
      </c>
      <c r="W6" s="9">
        <f>VLOOKUP($A6,'RES installed'!$A$2:$C$7,3,FALSE)*'[1]Profiles, RES, Summer'!W$7</f>
        <v>22.099558410276995</v>
      </c>
      <c r="X6" s="9">
        <f>VLOOKUP($A6,'RES installed'!$A$2:$C$7,3,FALSE)*'[1]Profiles, RES, Summer'!X$7</f>
        <v>20.9313528703332</v>
      </c>
      <c r="Y6" s="9">
        <f>VLOOKUP($A6,'RES installed'!$A$2:$C$7,3,FALSE)*'[1]Profiles, RES, Summer'!Y$7</f>
        <v>20.55800883179446</v>
      </c>
    </row>
    <row r="7" spans="1:25" x14ac:dyDescent="0.3">
      <c r="A7" s="8">
        <v>6</v>
      </c>
      <c r="B7" s="9">
        <f>VLOOKUP($A7,'RES installed'!$A$2:$C$7,3,FALSE)*'[1]Profiles, RES, Summer'!B$7</f>
        <v>13.395222802087515</v>
      </c>
      <c r="C7" s="9">
        <f>VLOOKUP($A7,'RES installed'!$A$2:$C$7,3,FALSE)*'[1]Profiles, RES, Summer'!C$7</f>
        <v>12.049377759935769</v>
      </c>
      <c r="D7" s="9">
        <f>VLOOKUP($A7,'RES installed'!$A$2:$C$7,3,FALSE)*'[1]Profiles, RES, Summer'!D$7</f>
        <v>10.062224006423122</v>
      </c>
      <c r="E7" s="9">
        <f>VLOOKUP($A7,'RES installed'!$A$2:$C$7,3,FALSE)*'[1]Profiles, RES, Summer'!E$7</f>
        <v>9.5112404656764351</v>
      </c>
      <c r="F7" s="9">
        <f>VLOOKUP($A7,'RES installed'!$A$2:$C$7,3,FALSE)*'[1]Profiles, RES, Summer'!F$7</f>
        <v>9.3576876756322758</v>
      </c>
      <c r="G7" s="9">
        <f>VLOOKUP($A7,'RES installed'!$A$2:$C$7,3,FALSE)*'[1]Profiles, RES, Summer'!G$7</f>
        <v>10.495784825371336</v>
      </c>
      <c r="H7" s="9">
        <f>VLOOKUP($A7,'RES installed'!$A$2:$C$7,3,FALSE)*'[1]Profiles, RES, Summer'!H$7</f>
        <v>11.570654355680448</v>
      </c>
      <c r="I7" s="9">
        <f>VLOOKUP($A7,'RES installed'!$A$2:$C$7,3,FALSE)*'[1]Profiles, RES, Summer'!I$7</f>
        <v>11.968085106382979</v>
      </c>
      <c r="J7" s="9">
        <f>VLOOKUP($A7,'RES installed'!$A$2:$C$7,3,FALSE)*'[1]Profiles, RES, Summer'!J$7</f>
        <v>9.7280208751505413</v>
      </c>
      <c r="K7" s="9">
        <f>VLOOKUP($A7,'RES installed'!$A$2:$C$7,3,FALSE)*'[1]Profiles, RES, Summer'!K$7</f>
        <v>7.5692492974708951</v>
      </c>
      <c r="L7" s="9">
        <f>VLOOKUP($A7,'RES installed'!$A$2:$C$7,3,FALSE)*'[1]Profiles, RES, Summer'!L$7</f>
        <v>6.8105178643115218</v>
      </c>
      <c r="M7" s="9">
        <f>VLOOKUP($A7,'RES installed'!$A$2:$C$7,3,FALSE)*'[1]Profiles, RES, Summer'!M$7</f>
        <v>6.0788839823364107</v>
      </c>
      <c r="N7" s="9">
        <f>VLOOKUP($A7,'RES installed'!$A$2:$C$7,3,FALSE)*'[1]Profiles, RES, Summer'!N$7</f>
        <v>6.5847049377759941</v>
      </c>
      <c r="O7" s="9">
        <f>VLOOKUP($A7,'RES installed'!$A$2:$C$7,3,FALSE)*'[1]Profiles, RES, Summer'!O$7</f>
        <v>8.7615415495784816</v>
      </c>
      <c r="P7" s="9">
        <f>VLOOKUP($A7,'RES installed'!$A$2:$C$7,3,FALSE)*'[1]Profiles, RES, Summer'!P$7</f>
        <v>11.019670814933761</v>
      </c>
      <c r="Q7" s="9">
        <f>VLOOKUP($A7,'RES installed'!$A$2:$C$7,3,FALSE)*'[1]Profiles, RES, Summer'!Q$7</f>
        <v>11.561621838619029</v>
      </c>
      <c r="R7" s="9">
        <f>VLOOKUP($A7,'RES installed'!$A$2:$C$7,3,FALSE)*'[1]Profiles, RES, Summer'!R$7</f>
        <v>12.482938578883983</v>
      </c>
      <c r="S7" s="9">
        <f>VLOOKUP($A7,'RES installed'!$A$2:$C$7,3,FALSE)*'[1]Profiles, RES, Summer'!S$7</f>
        <v>12.988759534323565</v>
      </c>
      <c r="T7" s="9">
        <f>VLOOKUP($A7,'RES installed'!$A$2:$C$7,3,FALSE)*'[1]Profiles, RES, Summer'!T$7</f>
        <v>13.313930148534725</v>
      </c>
      <c r="U7" s="9">
        <f>VLOOKUP($A7,'RES installed'!$A$2:$C$7,3,FALSE)*'[1]Profiles, RES, Summer'!U$7</f>
        <v>15.255921316740265</v>
      </c>
      <c r="V7" s="9">
        <f>VLOOKUP($A7,'RES installed'!$A$2:$C$7,3,FALSE)*'[1]Profiles, RES, Summer'!V$7</f>
        <v>17.16178241670012</v>
      </c>
      <c r="W7" s="9">
        <f>VLOOKUP($A7,'RES installed'!$A$2:$C$7,3,FALSE)*'[1]Profiles, RES, Summer'!W$7</f>
        <v>16.574668807707749</v>
      </c>
      <c r="X7" s="9">
        <f>VLOOKUP($A7,'RES installed'!$A$2:$C$7,3,FALSE)*'[1]Profiles, RES, Summer'!X$7</f>
        <v>15.6985146527499</v>
      </c>
      <c r="Y7" s="9">
        <f>VLOOKUP($A7,'RES installed'!$A$2:$C$7,3,FALSE)*'[1]Profiles, RES, Summer'!Y$7</f>
        <v>15.418506623845845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2.843062926459439E-2</v>
      </c>
      <c r="H8" s="6">
        <f>VLOOKUP($A8,'RES installed'!$A$2:$C$7,3,FALSE)*'[1]Profiles, RES, Summer'!H$4</f>
        <v>3.49696739954511</v>
      </c>
      <c r="I8" s="6">
        <f>VLOOKUP($A8,'RES installed'!$A$2:$C$7,3,FALSE)*'[1]Profiles, RES, Summer'!I$4</f>
        <v>16.546626231993937</v>
      </c>
      <c r="J8" s="6">
        <f>VLOOKUP($A8,'RES installed'!$A$2:$C$7,3,FALSE)*'[1]Profiles, RES, Summer'!J$4</f>
        <v>36.021607278241092</v>
      </c>
      <c r="K8" s="6">
        <f>VLOOKUP($A8,'RES installed'!$A$2:$C$7,3,FALSE)*'[1]Profiles, RES, Summer'!K$4</f>
        <v>55.610310841546621</v>
      </c>
      <c r="L8" s="6">
        <f>VLOOKUP($A8,'RES installed'!$A$2:$C$7,3,FALSE)*'[1]Profiles, RES, Summer'!L$4</f>
        <v>68.26194086429112</v>
      </c>
      <c r="M8" s="6">
        <f>VLOOKUP($A8,'RES installed'!$A$2:$C$7,3,FALSE)*'[1]Profiles, RES, Summer'!M$4</f>
        <v>73.009855951478386</v>
      </c>
      <c r="N8" s="6">
        <f>VLOOKUP($A8,'RES installed'!$A$2:$C$7,3,FALSE)*'[1]Profiles, RES, Summer'!N$4</f>
        <v>75</v>
      </c>
      <c r="O8" s="6">
        <f>VLOOKUP($A8,'RES installed'!$A$2:$C$7,3,FALSE)*'[1]Profiles, RES, Summer'!O$4</f>
        <v>73.692191053828651</v>
      </c>
      <c r="P8" s="6">
        <f>VLOOKUP($A8,'RES installed'!$A$2:$C$7,3,FALSE)*'[1]Profiles, RES, Summer'!P$4</f>
        <v>69.967778620166797</v>
      </c>
      <c r="Q8" s="6">
        <f>VLOOKUP($A8,'RES installed'!$A$2:$C$7,3,FALSE)*'[1]Profiles, RES, Summer'!Q$4</f>
        <v>61.921910538286582</v>
      </c>
      <c r="R8" s="6">
        <f>VLOOKUP($A8,'RES installed'!$A$2:$C$7,3,FALSE)*'[1]Profiles, RES, Summer'!R$4</f>
        <v>48.644806671721</v>
      </c>
      <c r="S8" s="6">
        <f>VLOOKUP($A8,'RES installed'!$A$2:$C$7,3,FALSE)*'[1]Profiles, RES, Summer'!S$4</f>
        <v>28.94238059135709</v>
      </c>
      <c r="T8" s="6">
        <f>VLOOKUP($A8,'RES installed'!$A$2:$C$7,3,FALSE)*'[1]Profiles, RES, Summer'!T$4</f>
        <v>8.8419257012888544</v>
      </c>
      <c r="U8" s="6">
        <f>VLOOKUP($A8,'RES installed'!$A$2:$C$7,3,FALSE)*'[1]Profiles, RES, Summer'!U$4</f>
        <v>0.39802880970432147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1.8953752843062926E-2</v>
      </c>
      <c r="H9" s="6">
        <f>VLOOKUP($A9,'RES installed'!$A$2:$C$7,3,FALSE)*'[1]Profiles, RES, Summer'!H$4</f>
        <v>2.3313115996967402</v>
      </c>
      <c r="I9" s="6">
        <f>VLOOKUP($A9,'RES installed'!$A$2:$C$7,3,FALSE)*'[1]Profiles, RES, Summer'!I$4</f>
        <v>11.031084154662624</v>
      </c>
      <c r="J9" s="6">
        <f>VLOOKUP($A9,'RES installed'!$A$2:$C$7,3,FALSE)*'[1]Profiles, RES, Summer'!J$4</f>
        <v>24.014404852160727</v>
      </c>
      <c r="K9" s="6">
        <f>VLOOKUP($A9,'RES installed'!$A$2:$C$7,3,FALSE)*'[1]Profiles, RES, Summer'!K$4</f>
        <v>37.073540561031081</v>
      </c>
      <c r="L9" s="6">
        <f>VLOOKUP($A9,'RES installed'!$A$2:$C$7,3,FALSE)*'[1]Profiles, RES, Summer'!L$4</f>
        <v>45.507960576194087</v>
      </c>
      <c r="M9" s="6">
        <f>VLOOKUP($A9,'RES installed'!$A$2:$C$7,3,FALSE)*'[1]Profiles, RES, Summer'!M$4</f>
        <v>48.673237300985598</v>
      </c>
      <c r="N9" s="6">
        <f>VLOOKUP($A9,'RES installed'!$A$2:$C$7,3,FALSE)*'[1]Profiles, RES, Summer'!N$4</f>
        <v>50</v>
      </c>
      <c r="O9" s="6">
        <f>VLOOKUP($A9,'RES installed'!$A$2:$C$7,3,FALSE)*'[1]Profiles, RES, Summer'!O$4</f>
        <v>49.128127369219108</v>
      </c>
      <c r="P9" s="6">
        <f>VLOOKUP($A9,'RES installed'!$A$2:$C$7,3,FALSE)*'[1]Profiles, RES, Summer'!P$4</f>
        <v>46.645185746777862</v>
      </c>
      <c r="Q9" s="6">
        <f>VLOOKUP($A9,'RES installed'!$A$2:$C$7,3,FALSE)*'[1]Profiles, RES, Summer'!Q$4</f>
        <v>41.281273692191057</v>
      </c>
      <c r="R9" s="6">
        <f>VLOOKUP($A9,'RES installed'!$A$2:$C$7,3,FALSE)*'[1]Profiles, RES, Summer'!R$4</f>
        <v>32.429871114480669</v>
      </c>
      <c r="S9" s="6">
        <f>VLOOKUP($A9,'RES installed'!$A$2:$C$7,3,FALSE)*'[1]Profiles, RES, Summer'!S$4</f>
        <v>19.294920394238062</v>
      </c>
      <c r="T9" s="6">
        <f>VLOOKUP($A9,'RES installed'!$A$2:$C$7,3,FALSE)*'[1]Profiles, RES, Summer'!T$4</f>
        <v>5.8946171341925702</v>
      </c>
      <c r="U9" s="6">
        <f>VLOOKUP($A9,'RES installed'!$A$2:$C$7,3,FALSE)*'[1]Profiles, RES, Summer'!U$4</f>
        <v>0.26535253980288098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2.2744503411675512E-2</v>
      </c>
      <c r="H10" s="6">
        <f>VLOOKUP($A10,'RES installed'!$A$2:$C$7,3,FALSE)*'[1]Profiles, RES, Summer'!H$4</f>
        <v>2.797573919636088</v>
      </c>
      <c r="I10" s="6">
        <f>VLOOKUP($A10,'RES installed'!$A$2:$C$7,3,FALSE)*'[1]Profiles, RES, Summer'!I$4</f>
        <v>13.237300985595148</v>
      </c>
      <c r="J10" s="6">
        <f>VLOOKUP($A10,'RES installed'!$A$2:$C$7,3,FALSE)*'[1]Profiles, RES, Summer'!J$4</f>
        <v>28.817285822592876</v>
      </c>
      <c r="K10" s="6">
        <f>VLOOKUP($A10,'RES installed'!$A$2:$C$7,3,FALSE)*'[1]Profiles, RES, Summer'!K$4</f>
        <v>44.488248673237301</v>
      </c>
      <c r="L10" s="6">
        <f>VLOOKUP($A10,'RES installed'!$A$2:$C$7,3,FALSE)*'[1]Profiles, RES, Summer'!L$4</f>
        <v>54.609552691432903</v>
      </c>
      <c r="M10" s="6">
        <f>VLOOKUP($A10,'RES installed'!$A$2:$C$7,3,FALSE)*'[1]Profiles, RES, Summer'!M$4</f>
        <v>58.407884761182714</v>
      </c>
      <c r="N10" s="6">
        <f>VLOOKUP($A10,'RES installed'!$A$2:$C$7,3,FALSE)*'[1]Profiles, RES, Summer'!N$4</f>
        <v>60</v>
      </c>
      <c r="O10" s="6">
        <f>VLOOKUP($A10,'RES installed'!$A$2:$C$7,3,FALSE)*'[1]Profiles, RES, Summer'!O$4</f>
        <v>58.953752843062922</v>
      </c>
      <c r="P10" s="6">
        <f>VLOOKUP($A10,'RES installed'!$A$2:$C$7,3,FALSE)*'[1]Profiles, RES, Summer'!P$4</f>
        <v>55.974222896133433</v>
      </c>
      <c r="Q10" s="6">
        <f>VLOOKUP($A10,'RES installed'!$A$2:$C$7,3,FALSE)*'[1]Profiles, RES, Summer'!Q$4</f>
        <v>49.537528430629266</v>
      </c>
      <c r="R10" s="6">
        <f>VLOOKUP($A10,'RES installed'!$A$2:$C$7,3,FALSE)*'[1]Profiles, RES, Summer'!R$4</f>
        <v>38.915845337376801</v>
      </c>
      <c r="S10" s="6">
        <f>VLOOKUP($A10,'RES installed'!$A$2:$C$7,3,FALSE)*'[1]Profiles, RES, Summer'!S$4</f>
        <v>23.153904473085671</v>
      </c>
      <c r="T10" s="6">
        <f>VLOOKUP($A10,'RES installed'!$A$2:$C$7,3,FALSE)*'[1]Profiles, RES, Summer'!T$4</f>
        <v>7.0735405610310842</v>
      </c>
      <c r="U10" s="6">
        <f>VLOOKUP($A10,'RES installed'!$A$2:$C$7,3,FALSE)*'[1]Profiles, RES, Summer'!U$4</f>
        <v>0.3184230477634572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CAA333-26E9-417B-A58C-EE7213771561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12.157767964672821</v>
      </c>
      <c r="C5" s="9">
        <f>VLOOKUP($A5,'RES installed'!$A$2:$C$7,3,FALSE)*'[1]Profiles, RES, Summer'!C$5</f>
        <v>11.119028502609394</v>
      </c>
      <c r="D5" s="9">
        <f>VLOOKUP($A5,'RES installed'!$A$2:$C$7,3,FALSE)*'[1]Profiles, RES, Summer'!D$5</f>
        <v>9.7280208751505413</v>
      </c>
      <c r="E5" s="9">
        <f>VLOOKUP($A5,'RES installed'!$A$2:$C$7,3,FALSE)*'[1]Profiles, RES, Summer'!E$5</f>
        <v>9.6918908069048584</v>
      </c>
      <c r="F5" s="9">
        <f>VLOOKUP($A5,'RES installed'!$A$2:$C$7,3,FALSE)*'[1]Profiles, RES, Summer'!F$5</f>
        <v>9.1770373344038543</v>
      </c>
      <c r="G5" s="9">
        <f>VLOOKUP($A5,'RES installed'!$A$2:$C$7,3,FALSE)*'[1]Profiles, RES, Summer'!G$5</f>
        <v>8.4544359694901647</v>
      </c>
      <c r="H5" s="9">
        <f>VLOOKUP($A5,'RES installed'!$A$2:$C$7,3,FALSE)*'[1]Profiles, RES, Summer'!H$5</f>
        <v>7.433761541549579</v>
      </c>
      <c r="I5" s="9">
        <f>VLOOKUP($A5,'RES installed'!$A$2:$C$7,3,FALSE)*'[1]Profiles, RES, Summer'!I$5</f>
        <v>5.8440385387394622</v>
      </c>
      <c r="J5" s="9">
        <f>VLOOKUP($A5,'RES installed'!$A$2:$C$7,3,FALSE)*'[1]Profiles, RES, Summer'!J$5</f>
        <v>4.8594941790445603</v>
      </c>
      <c r="K5" s="9">
        <f>VLOOKUP($A5,'RES installed'!$A$2:$C$7,3,FALSE)*'[1]Profiles, RES, Summer'!K$5</f>
        <v>4.5433560818948218</v>
      </c>
      <c r="L5" s="9">
        <f>VLOOKUP($A5,'RES installed'!$A$2:$C$7,3,FALSE)*'[1]Profiles, RES, Summer'!L$5</f>
        <v>4.182055399437977</v>
      </c>
      <c r="M5" s="9">
        <f>VLOOKUP($A5,'RES installed'!$A$2:$C$7,3,FALSE)*'[1]Profiles, RES, Summer'!M$5</f>
        <v>4.7059413890004018</v>
      </c>
      <c r="N5" s="9">
        <f>VLOOKUP($A5,'RES installed'!$A$2:$C$7,3,FALSE)*'[1]Profiles, RES, Summer'!N$5</f>
        <v>5.9162986752308306</v>
      </c>
      <c r="O5" s="9">
        <f>VLOOKUP($A5,'RES installed'!$A$2:$C$7,3,FALSE)*'[1]Profiles, RES, Summer'!O$5</f>
        <v>7.3434363709353674</v>
      </c>
      <c r="P5" s="9">
        <f>VLOOKUP($A5,'RES installed'!$A$2:$C$7,3,FALSE)*'[1]Profiles, RES, Summer'!P$5</f>
        <v>9.8002810116419106</v>
      </c>
      <c r="Q5" s="9">
        <f>VLOOKUP($A5,'RES installed'!$A$2:$C$7,3,FALSE)*'[1]Profiles, RES, Summer'!Q$5</f>
        <v>12.510036130068245</v>
      </c>
      <c r="R5" s="9">
        <f>VLOOKUP($A5,'RES installed'!$A$2:$C$7,3,FALSE)*'[1]Profiles, RES, Summer'!R$5</f>
        <v>14.786230429546368</v>
      </c>
      <c r="S5" s="9">
        <f>VLOOKUP($A5,'RES installed'!$A$2:$C$7,3,FALSE)*'[1]Profiles, RES, Summer'!S$5</f>
        <v>15.77980730630269</v>
      </c>
      <c r="T5" s="9">
        <f>VLOOKUP($A5,'RES installed'!$A$2:$C$7,3,FALSE)*'[1]Profiles, RES, Summer'!T$5</f>
        <v>16.981132075471699</v>
      </c>
      <c r="U5" s="9">
        <f>VLOOKUP($A5,'RES installed'!$A$2:$C$7,3,FALSE)*'[1]Profiles, RES, Summer'!U$5</f>
        <v>18.914090726615814</v>
      </c>
      <c r="V5" s="9">
        <f>VLOOKUP($A5,'RES installed'!$A$2:$C$7,3,FALSE)*'[1]Profiles, RES, Summer'!V$5</f>
        <v>20.856081894821358</v>
      </c>
      <c r="W5" s="9">
        <f>VLOOKUP($A5,'RES installed'!$A$2:$C$7,3,FALSE)*'[1]Profiles, RES, Summer'!W$5</f>
        <v>21.723203532717786</v>
      </c>
      <c r="X5" s="9">
        <f>VLOOKUP($A5,'RES installed'!$A$2:$C$7,3,FALSE)*'[1]Profiles, RES, Summer'!X$5</f>
        <v>21.822561220393414</v>
      </c>
      <c r="Y5" s="9">
        <f>VLOOKUP($A5,'RES installed'!$A$2:$C$7,3,FALSE)*'[1]Profiles, RES, Summer'!Y$5</f>
        <v>21.0457647531112</v>
      </c>
    </row>
    <row r="6" spans="1:25" x14ac:dyDescent="0.3">
      <c r="A6" s="8">
        <v>5</v>
      </c>
      <c r="B6" s="9">
        <f>VLOOKUP($A6,'RES installed'!$A$2:$C$7,3,FALSE)*'[1]Profiles, RES, Summer'!B$5</f>
        <v>16.210357286230426</v>
      </c>
      <c r="C6" s="9">
        <f>VLOOKUP($A6,'RES installed'!$A$2:$C$7,3,FALSE)*'[1]Profiles, RES, Summer'!C$5</f>
        <v>14.825371336812525</v>
      </c>
      <c r="D6" s="9">
        <f>VLOOKUP($A6,'RES installed'!$A$2:$C$7,3,FALSE)*'[1]Profiles, RES, Summer'!D$5</f>
        <v>12.970694500200722</v>
      </c>
      <c r="E6" s="9">
        <f>VLOOKUP($A6,'RES installed'!$A$2:$C$7,3,FALSE)*'[1]Profiles, RES, Summer'!E$5</f>
        <v>12.922521075873144</v>
      </c>
      <c r="F6" s="9">
        <f>VLOOKUP($A6,'RES installed'!$A$2:$C$7,3,FALSE)*'[1]Profiles, RES, Summer'!F$5</f>
        <v>12.236049779205139</v>
      </c>
      <c r="G6" s="9">
        <f>VLOOKUP($A6,'RES installed'!$A$2:$C$7,3,FALSE)*'[1]Profiles, RES, Summer'!G$5</f>
        <v>11.272581292653554</v>
      </c>
      <c r="H6" s="9">
        <f>VLOOKUP($A6,'RES installed'!$A$2:$C$7,3,FALSE)*'[1]Profiles, RES, Summer'!H$5</f>
        <v>9.9116820553994387</v>
      </c>
      <c r="I6" s="9">
        <f>VLOOKUP($A6,'RES installed'!$A$2:$C$7,3,FALSE)*'[1]Profiles, RES, Summer'!I$5</f>
        <v>7.7920513849859487</v>
      </c>
      <c r="J6" s="9">
        <f>VLOOKUP($A6,'RES installed'!$A$2:$C$7,3,FALSE)*'[1]Profiles, RES, Summer'!J$5</f>
        <v>6.4793255720594134</v>
      </c>
      <c r="K6" s="9">
        <f>VLOOKUP($A6,'RES installed'!$A$2:$C$7,3,FALSE)*'[1]Profiles, RES, Summer'!K$5</f>
        <v>6.0578081091930951</v>
      </c>
      <c r="L6" s="9">
        <f>VLOOKUP($A6,'RES installed'!$A$2:$C$7,3,FALSE)*'[1]Profiles, RES, Summer'!L$5</f>
        <v>5.5760738659173024</v>
      </c>
      <c r="M6" s="9">
        <f>VLOOKUP($A6,'RES installed'!$A$2:$C$7,3,FALSE)*'[1]Profiles, RES, Summer'!M$5</f>
        <v>6.2745885186672021</v>
      </c>
      <c r="N6" s="9">
        <f>VLOOKUP($A6,'RES installed'!$A$2:$C$7,3,FALSE)*'[1]Profiles, RES, Summer'!N$5</f>
        <v>7.8883982336411069</v>
      </c>
      <c r="O6" s="9">
        <f>VLOOKUP($A6,'RES installed'!$A$2:$C$7,3,FALSE)*'[1]Profiles, RES, Summer'!O$5</f>
        <v>9.7912484945804898</v>
      </c>
      <c r="P6" s="9">
        <f>VLOOKUP($A6,'RES installed'!$A$2:$C$7,3,FALSE)*'[1]Profiles, RES, Summer'!P$5</f>
        <v>13.067041348855881</v>
      </c>
      <c r="Q6" s="9">
        <f>VLOOKUP($A6,'RES installed'!$A$2:$C$7,3,FALSE)*'[1]Profiles, RES, Summer'!Q$5</f>
        <v>16.680048173424328</v>
      </c>
      <c r="R6" s="9">
        <f>VLOOKUP($A6,'RES installed'!$A$2:$C$7,3,FALSE)*'[1]Profiles, RES, Summer'!R$5</f>
        <v>19.714973906061822</v>
      </c>
      <c r="S6" s="9">
        <f>VLOOKUP($A6,'RES installed'!$A$2:$C$7,3,FALSE)*'[1]Profiles, RES, Summer'!S$5</f>
        <v>21.039743075070252</v>
      </c>
      <c r="T6" s="9">
        <f>VLOOKUP($A6,'RES installed'!$A$2:$C$7,3,FALSE)*'[1]Profiles, RES, Summer'!T$5</f>
        <v>22.641509433962266</v>
      </c>
      <c r="U6" s="9">
        <f>VLOOKUP($A6,'RES installed'!$A$2:$C$7,3,FALSE)*'[1]Profiles, RES, Summer'!U$5</f>
        <v>25.218787635487754</v>
      </c>
      <c r="V6" s="9">
        <f>VLOOKUP($A6,'RES installed'!$A$2:$C$7,3,FALSE)*'[1]Profiles, RES, Summer'!V$5</f>
        <v>27.808109193095145</v>
      </c>
      <c r="W6" s="9">
        <f>VLOOKUP($A6,'RES installed'!$A$2:$C$7,3,FALSE)*'[1]Profiles, RES, Summer'!W$5</f>
        <v>28.964271376957047</v>
      </c>
      <c r="X6" s="9">
        <f>VLOOKUP($A6,'RES installed'!$A$2:$C$7,3,FALSE)*'[1]Profiles, RES, Summer'!X$5</f>
        <v>29.096748293857885</v>
      </c>
      <c r="Y6" s="9">
        <f>VLOOKUP($A6,'RES installed'!$A$2:$C$7,3,FALSE)*'[1]Profiles, RES, Summer'!Y$5</f>
        <v>28.061019670814932</v>
      </c>
    </row>
    <row r="7" spans="1:25" x14ac:dyDescent="0.3">
      <c r="A7" s="8">
        <v>6</v>
      </c>
      <c r="B7" s="9">
        <f>VLOOKUP($A7,'RES installed'!$A$2:$C$7,3,FALSE)*'[1]Profiles, RES, Summer'!B$5</f>
        <v>12.157767964672821</v>
      </c>
      <c r="C7" s="9">
        <f>VLOOKUP($A7,'RES installed'!$A$2:$C$7,3,FALSE)*'[1]Profiles, RES, Summer'!C$5</f>
        <v>11.119028502609394</v>
      </c>
      <c r="D7" s="9">
        <f>VLOOKUP($A7,'RES installed'!$A$2:$C$7,3,FALSE)*'[1]Profiles, RES, Summer'!D$5</f>
        <v>9.7280208751505413</v>
      </c>
      <c r="E7" s="9">
        <f>VLOOKUP($A7,'RES installed'!$A$2:$C$7,3,FALSE)*'[1]Profiles, RES, Summer'!E$5</f>
        <v>9.6918908069048584</v>
      </c>
      <c r="F7" s="9">
        <f>VLOOKUP($A7,'RES installed'!$A$2:$C$7,3,FALSE)*'[1]Profiles, RES, Summer'!F$5</f>
        <v>9.1770373344038543</v>
      </c>
      <c r="G7" s="9">
        <f>VLOOKUP($A7,'RES installed'!$A$2:$C$7,3,FALSE)*'[1]Profiles, RES, Summer'!G$5</f>
        <v>8.4544359694901647</v>
      </c>
      <c r="H7" s="9">
        <f>VLOOKUP($A7,'RES installed'!$A$2:$C$7,3,FALSE)*'[1]Profiles, RES, Summer'!H$5</f>
        <v>7.433761541549579</v>
      </c>
      <c r="I7" s="9">
        <f>VLOOKUP($A7,'RES installed'!$A$2:$C$7,3,FALSE)*'[1]Profiles, RES, Summer'!I$5</f>
        <v>5.8440385387394622</v>
      </c>
      <c r="J7" s="9">
        <f>VLOOKUP($A7,'RES installed'!$A$2:$C$7,3,FALSE)*'[1]Profiles, RES, Summer'!J$5</f>
        <v>4.8594941790445603</v>
      </c>
      <c r="K7" s="9">
        <f>VLOOKUP($A7,'RES installed'!$A$2:$C$7,3,FALSE)*'[1]Profiles, RES, Summer'!K$5</f>
        <v>4.5433560818948218</v>
      </c>
      <c r="L7" s="9">
        <f>VLOOKUP($A7,'RES installed'!$A$2:$C$7,3,FALSE)*'[1]Profiles, RES, Summer'!L$5</f>
        <v>4.182055399437977</v>
      </c>
      <c r="M7" s="9">
        <f>VLOOKUP($A7,'RES installed'!$A$2:$C$7,3,FALSE)*'[1]Profiles, RES, Summer'!M$5</f>
        <v>4.7059413890004018</v>
      </c>
      <c r="N7" s="9">
        <f>VLOOKUP($A7,'RES installed'!$A$2:$C$7,3,FALSE)*'[1]Profiles, RES, Summer'!N$5</f>
        <v>5.9162986752308306</v>
      </c>
      <c r="O7" s="9">
        <f>VLOOKUP($A7,'RES installed'!$A$2:$C$7,3,FALSE)*'[1]Profiles, RES, Summer'!O$5</f>
        <v>7.3434363709353674</v>
      </c>
      <c r="P7" s="9">
        <f>VLOOKUP($A7,'RES installed'!$A$2:$C$7,3,FALSE)*'[1]Profiles, RES, Summer'!P$5</f>
        <v>9.8002810116419106</v>
      </c>
      <c r="Q7" s="9">
        <f>VLOOKUP($A7,'RES installed'!$A$2:$C$7,3,FALSE)*'[1]Profiles, RES, Summer'!Q$5</f>
        <v>12.510036130068245</v>
      </c>
      <c r="R7" s="9">
        <f>VLOOKUP($A7,'RES installed'!$A$2:$C$7,3,FALSE)*'[1]Profiles, RES, Summer'!R$5</f>
        <v>14.786230429546368</v>
      </c>
      <c r="S7" s="9">
        <f>VLOOKUP($A7,'RES installed'!$A$2:$C$7,3,FALSE)*'[1]Profiles, RES, Summer'!S$5</f>
        <v>15.77980730630269</v>
      </c>
      <c r="T7" s="9">
        <f>VLOOKUP($A7,'RES installed'!$A$2:$C$7,3,FALSE)*'[1]Profiles, RES, Summer'!T$5</f>
        <v>16.981132075471699</v>
      </c>
      <c r="U7" s="9">
        <f>VLOOKUP($A7,'RES installed'!$A$2:$C$7,3,FALSE)*'[1]Profiles, RES, Summer'!U$5</f>
        <v>18.914090726615814</v>
      </c>
      <c r="V7" s="9">
        <f>VLOOKUP($A7,'RES installed'!$A$2:$C$7,3,FALSE)*'[1]Profiles, RES, Summer'!V$5</f>
        <v>20.856081894821358</v>
      </c>
      <c r="W7" s="9">
        <f>VLOOKUP($A7,'RES installed'!$A$2:$C$7,3,FALSE)*'[1]Profiles, RES, Summer'!W$5</f>
        <v>21.723203532717786</v>
      </c>
      <c r="X7" s="9">
        <f>VLOOKUP($A7,'RES installed'!$A$2:$C$7,3,FALSE)*'[1]Profiles, RES, Summer'!X$5</f>
        <v>21.822561220393414</v>
      </c>
      <c r="Y7" s="9">
        <f>VLOOKUP($A7,'RES installed'!$A$2:$C$7,3,FALSE)*'[1]Profiles, RES, Summer'!Y$5</f>
        <v>21.0457647531112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0.17058377558756635</v>
      </c>
      <c r="H8" s="6">
        <f>VLOOKUP($A8,'RES installed'!$A$2:$C$7,3,FALSE)*'[1]Profiles, RES, Summer'!H$2</f>
        <v>5.003790750568613</v>
      </c>
      <c r="I8" s="6">
        <f>VLOOKUP($A8,'RES installed'!$A$2:$C$7,3,FALSE)*'[1]Profiles, RES, Summer'!I$2</f>
        <v>20.811220621683095</v>
      </c>
      <c r="J8" s="6">
        <f>VLOOKUP($A8,'RES installed'!$A$2:$C$7,3,FALSE)*'[1]Profiles, RES, Summer'!J$2</f>
        <v>43.100833965125098</v>
      </c>
      <c r="K8" s="6">
        <f>VLOOKUP($A8,'RES installed'!$A$2:$C$7,3,FALSE)*'[1]Profiles, RES, Summer'!K$2</f>
        <v>56.719105382865806</v>
      </c>
      <c r="L8" s="6">
        <f>VLOOKUP($A8,'RES installed'!$A$2:$C$7,3,FALSE)*'[1]Profiles, RES, Summer'!L$2</f>
        <v>65.163002274450335</v>
      </c>
      <c r="M8" s="6">
        <f>VLOOKUP($A8,'RES installed'!$A$2:$C$7,3,FALSE)*'[1]Profiles, RES, Summer'!M$2</f>
        <v>68.97270659590599</v>
      </c>
      <c r="N8" s="6">
        <f>VLOOKUP($A8,'RES installed'!$A$2:$C$7,3,FALSE)*'[1]Profiles, RES, Summer'!N$2</f>
        <v>70.507960576194094</v>
      </c>
      <c r="O8" s="6">
        <f>VLOOKUP($A8,'RES installed'!$A$2:$C$7,3,FALSE)*'[1]Profiles, RES, Summer'!O$2</f>
        <v>70.536391205458685</v>
      </c>
      <c r="P8" s="6">
        <f>VLOOKUP($A8,'RES installed'!$A$2:$C$7,3,FALSE)*'[1]Profiles, RES, Summer'!P$2</f>
        <v>68.119787717968151</v>
      </c>
      <c r="Q8" s="6">
        <f>VLOOKUP($A8,'RES installed'!$A$2:$C$7,3,FALSE)*'[1]Profiles, RES, Summer'!Q$2</f>
        <v>60.585670962850642</v>
      </c>
      <c r="R8" s="6">
        <f>VLOOKUP($A8,'RES installed'!$A$2:$C$7,3,FALSE)*'[1]Profiles, RES, Summer'!R$2</f>
        <v>48.55951478392722</v>
      </c>
      <c r="S8" s="6">
        <f>VLOOKUP($A8,'RES installed'!$A$2:$C$7,3,FALSE)*'[1]Profiles, RES, Summer'!S$2</f>
        <v>31.415845337376801</v>
      </c>
      <c r="T8" s="6">
        <f>VLOOKUP($A8,'RES installed'!$A$2:$C$7,3,FALSE)*'[1]Profiles, RES, Summer'!T$2</f>
        <v>10.945792266868841</v>
      </c>
      <c r="U8" s="6">
        <f>VLOOKUP($A8,'RES installed'!$A$2:$C$7,3,FALSE)*'[1]Profiles, RES, Summer'!U$2</f>
        <v>0.90978013646702049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0.11372251705837756</v>
      </c>
      <c r="H9" s="6">
        <f>VLOOKUP($A9,'RES installed'!$A$2:$C$7,3,FALSE)*'[1]Profiles, RES, Summer'!H$2</f>
        <v>3.3358605003790753</v>
      </c>
      <c r="I9" s="6">
        <f>VLOOKUP($A9,'RES installed'!$A$2:$C$7,3,FALSE)*'[1]Profiles, RES, Summer'!I$2</f>
        <v>13.874147081122063</v>
      </c>
      <c r="J9" s="6">
        <f>VLOOKUP($A9,'RES installed'!$A$2:$C$7,3,FALSE)*'[1]Profiles, RES, Summer'!J$2</f>
        <v>28.733889310083399</v>
      </c>
      <c r="K9" s="6">
        <f>VLOOKUP($A9,'RES installed'!$A$2:$C$7,3,FALSE)*'[1]Profiles, RES, Summer'!K$2</f>
        <v>37.812736921910542</v>
      </c>
      <c r="L9" s="6">
        <f>VLOOKUP($A9,'RES installed'!$A$2:$C$7,3,FALSE)*'[1]Profiles, RES, Summer'!L$2</f>
        <v>43.44200151630023</v>
      </c>
      <c r="M9" s="6">
        <f>VLOOKUP($A9,'RES installed'!$A$2:$C$7,3,FALSE)*'[1]Profiles, RES, Summer'!M$2</f>
        <v>45.981804397270658</v>
      </c>
      <c r="N9" s="6">
        <f>VLOOKUP($A9,'RES installed'!$A$2:$C$7,3,FALSE)*'[1]Profiles, RES, Summer'!N$2</f>
        <v>47.005307050796056</v>
      </c>
      <c r="O9" s="6">
        <f>VLOOKUP($A9,'RES installed'!$A$2:$C$7,3,FALSE)*'[1]Profiles, RES, Summer'!O$2</f>
        <v>47.024260803639123</v>
      </c>
      <c r="P9" s="6">
        <f>VLOOKUP($A9,'RES installed'!$A$2:$C$7,3,FALSE)*'[1]Profiles, RES, Summer'!P$2</f>
        <v>45.41319181197877</v>
      </c>
      <c r="Q9" s="6">
        <f>VLOOKUP($A9,'RES installed'!$A$2:$C$7,3,FALSE)*'[1]Profiles, RES, Summer'!Q$2</f>
        <v>40.390447308567097</v>
      </c>
      <c r="R9" s="6">
        <f>VLOOKUP($A9,'RES installed'!$A$2:$C$7,3,FALSE)*'[1]Profiles, RES, Summer'!R$2</f>
        <v>32.37300985595148</v>
      </c>
      <c r="S9" s="6">
        <f>VLOOKUP($A9,'RES installed'!$A$2:$C$7,3,FALSE)*'[1]Profiles, RES, Summer'!S$2</f>
        <v>20.943896891584536</v>
      </c>
      <c r="T9" s="6">
        <f>VLOOKUP($A9,'RES installed'!$A$2:$C$7,3,FALSE)*'[1]Profiles, RES, Summer'!T$2</f>
        <v>7.2971948445792272</v>
      </c>
      <c r="U9" s="6">
        <f>VLOOKUP($A9,'RES installed'!$A$2:$C$7,3,FALSE)*'[1]Profiles, RES, Summer'!U$2</f>
        <v>0.60652009097801363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0.13646702047005307</v>
      </c>
      <c r="H10" s="6">
        <f>VLOOKUP($A10,'RES installed'!$A$2:$C$7,3,FALSE)*'[1]Profiles, RES, Summer'!H$2</f>
        <v>4.0030326004548904</v>
      </c>
      <c r="I10" s="6">
        <f>VLOOKUP($A10,'RES installed'!$A$2:$C$7,3,FALSE)*'[1]Profiles, RES, Summer'!I$2</f>
        <v>16.648976497346474</v>
      </c>
      <c r="J10" s="6">
        <f>VLOOKUP($A10,'RES installed'!$A$2:$C$7,3,FALSE)*'[1]Profiles, RES, Summer'!J$2</f>
        <v>34.480667172100077</v>
      </c>
      <c r="K10" s="6">
        <f>VLOOKUP($A10,'RES installed'!$A$2:$C$7,3,FALSE)*'[1]Profiles, RES, Summer'!K$2</f>
        <v>45.375284306292649</v>
      </c>
      <c r="L10" s="6">
        <f>VLOOKUP($A10,'RES installed'!$A$2:$C$7,3,FALSE)*'[1]Profiles, RES, Summer'!L$2</f>
        <v>52.130401819560269</v>
      </c>
      <c r="M10" s="6">
        <f>VLOOKUP($A10,'RES installed'!$A$2:$C$7,3,FALSE)*'[1]Profiles, RES, Summer'!M$2</f>
        <v>55.178165276724791</v>
      </c>
      <c r="N10" s="6">
        <f>VLOOKUP($A10,'RES installed'!$A$2:$C$7,3,FALSE)*'[1]Profiles, RES, Summer'!N$2</f>
        <v>56.406368460955271</v>
      </c>
      <c r="O10" s="6">
        <f>VLOOKUP($A10,'RES installed'!$A$2:$C$7,3,FALSE)*'[1]Profiles, RES, Summer'!O$2</f>
        <v>56.429112964366951</v>
      </c>
      <c r="P10" s="6">
        <f>VLOOKUP($A10,'RES installed'!$A$2:$C$7,3,FALSE)*'[1]Profiles, RES, Summer'!P$2</f>
        <v>54.495830174374525</v>
      </c>
      <c r="Q10" s="6">
        <f>VLOOKUP($A10,'RES installed'!$A$2:$C$7,3,FALSE)*'[1]Profiles, RES, Summer'!Q$2</f>
        <v>48.468536770280515</v>
      </c>
      <c r="R10" s="6">
        <f>VLOOKUP($A10,'RES installed'!$A$2:$C$7,3,FALSE)*'[1]Profiles, RES, Summer'!R$2</f>
        <v>38.847611827141776</v>
      </c>
      <c r="S10" s="6">
        <f>VLOOKUP($A10,'RES installed'!$A$2:$C$7,3,FALSE)*'[1]Profiles, RES, Summer'!S$2</f>
        <v>25.132676269901442</v>
      </c>
      <c r="T10" s="6">
        <f>VLOOKUP($A10,'RES installed'!$A$2:$C$7,3,FALSE)*'[1]Profiles, RES, Summer'!T$2</f>
        <v>8.756633813495073</v>
      </c>
      <c r="U10" s="6">
        <f>VLOOKUP($A10,'RES installed'!$A$2:$C$7,3,FALSE)*'[1]Profiles, RES, Summer'!U$2</f>
        <v>0.7278241091736164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F70B82-25CF-4E12-83AD-E927C94A30D0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12.826174227217987</v>
      </c>
      <c r="C5" s="9">
        <f>VLOOKUP($A5,'RES installed'!$A$2:$C$7,3,FALSE)*'[1]Profiles, RES, Summer'!C$6</f>
        <v>11.913890004014451</v>
      </c>
      <c r="D5" s="9">
        <f>VLOOKUP($A5,'RES installed'!$A$2:$C$7,3,FALSE)*'[1]Profiles, RES, Summer'!D$6</f>
        <v>12.112605379365716</v>
      </c>
      <c r="E5" s="9">
        <f>VLOOKUP($A5,'RES installed'!$A$2:$C$7,3,FALSE)*'[1]Profiles, RES, Summer'!E$6</f>
        <v>10.947410678442393</v>
      </c>
      <c r="F5" s="9">
        <f>VLOOKUP($A5,'RES installed'!$A$2:$C$7,3,FALSE)*'[1]Profiles, RES, Summer'!F$6</f>
        <v>10.242874347651545</v>
      </c>
      <c r="G5" s="9">
        <f>VLOOKUP($A5,'RES installed'!$A$2:$C$7,3,FALSE)*'[1]Profiles, RES, Summer'!G$6</f>
        <v>10.875150541951024</v>
      </c>
      <c r="H5" s="9">
        <f>VLOOKUP($A5,'RES installed'!$A$2:$C$7,3,FALSE)*'[1]Profiles, RES, Summer'!H$6</f>
        <v>10.757727820152549</v>
      </c>
      <c r="I5" s="9">
        <f>VLOOKUP($A5,'RES installed'!$A$2:$C$7,3,FALSE)*'[1]Profiles, RES, Summer'!I$6</f>
        <v>7.9305499799277399</v>
      </c>
      <c r="J5" s="9">
        <f>VLOOKUP($A5,'RES installed'!$A$2:$C$7,3,FALSE)*'[1]Profiles, RES, Summer'!J$6</f>
        <v>5.0762745885186673</v>
      </c>
      <c r="K5" s="9">
        <f>VLOOKUP($A5,'RES installed'!$A$2:$C$7,3,FALSE)*'[1]Profiles, RES, Summer'!K$6</f>
        <v>3.6942994781212364</v>
      </c>
      <c r="L5" s="9">
        <f>VLOOKUP($A5,'RES installed'!$A$2:$C$7,3,FALSE)*'[1]Profiles, RES, Summer'!L$6</f>
        <v>2.7910477719791249</v>
      </c>
      <c r="M5" s="9">
        <f>VLOOKUP($A5,'RES installed'!$A$2:$C$7,3,FALSE)*'[1]Profiles, RES, Summer'!M$6</f>
        <v>2.6194299478121237</v>
      </c>
      <c r="N5" s="9">
        <f>VLOOKUP($A5,'RES installed'!$A$2:$C$7,3,FALSE)*'[1]Profiles, RES, Summer'!N$6</f>
        <v>3.2788036932958651</v>
      </c>
      <c r="O5" s="9">
        <f>VLOOKUP($A5,'RES installed'!$A$2:$C$7,3,FALSE)*'[1]Profiles, RES, Summer'!O$6</f>
        <v>4.2543155359293454</v>
      </c>
      <c r="P5" s="9">
        <f>VLOOKUP($A5,'RES installed'!$A$2:$C$7,3,FALSE)*'[1]Profiles, RES, Summer'!P$6</f>
        <v>6.0608189482135693</v>
      </c>
      <c r="Q5" s="9">
        <f>VLOOKUP($A5,'RES installed'!$A$2:$C$7,3,FALSE)*'[1]Profiles, RES, Summer'!Q$6</f>
        <v>7.6505419510236852</v>
      </c>
      <c r="R5" s="9">
        <f>VLOOKUP($A5,'RES installed'!$A$2:$C$7,3,FALSE)*'[1]Profiles, RES, Summer'!R$6</f>
        <v>9.1589723002810111</v>
      </c>
      <c r="S5" s="9">
        <f>VLOOKUP($A5,'RES installed'!$A$2:$C$7,3,FALSE)*'[1]Profiles, RES, Summer'!S$6</f>
        <v>9.7822159775190691</v>
      </c>
      <c r="T5" s="9">
        <f>VLOOKUP($A5,'RES installed'!$A$2:$C$7,3,FALSE)*'[1]Profiles, RES, Summer'!T$6</f>
        <v>9.3034925732637497</v>
      </c>
      <c r="U5" s="9">
        <f>VLOOKUP($A5,'RES installed'!$A$2:$C$7,3,FALSE)*'[1]Profiles, RES, Summer'!U$6</f>
        <v>9.0234845443596949</v>
      </c>
      <c r="V5" s="9">
        <f>VLOOKUP($A5,'RES installed'!$A$2:$C$7,3,FALSE)*'[1]Profiles, RES, Summer'!V$6</f>
        <v>9.0505820955439589</v>
      </c>
      <c r="W5" s="9">
        <f>VLOOKUP($A5,'RES installed'!$A$2:$C$7,3,FALSE)*'[1]Profiles, RES, Summer'!W$6</f>
        <v>8.3189482135688468</v>
      </c>
      <c r="X5" s="9">
        <f>VLOOKUP($A5,'RES installed'!$A$2:$C$7,3,FALSE)*'[1]Profiles, RES, Summer'!X$6</f>
        <v>7.7137695704536338</v>
      </c>
      <c r="Y5" s="9">
        <f>VLOOKUP($A5,'RES installed'!$A$2:$C$7,3,FALSE)*'[1]Profiles, RES, Summer'!Y$6</f>
        <v>7.8492573263749499</v>
      </c>
    </row>
    <row r="6" spans="1:25" x14ac:dyDescent="0.3">
      <c r="A6" s="8">
        <v>5</v>
      </c>
      <c r="B6" s="9">
        <f>VLOOKUP($A6,'RES installed'!$A$2:$C$7,3,FALSE)*'[1]Profiles, RES, Summer'!B$6</f>
        <v>17.101565636290648</v>
      </c>
      <c r="C6" s="9">
        <f>VLOOKUP($A6,'RES installed'!$A$2:$C$7,3,FALSE)*'[1]Profiles, RES, Summer'!C$6</f>
        <v>15.885186672019268</v>
      </c>
      <c r="D6" s="9">
        <f>VLOOKUP($A6,'RES installed'!$A$2:$C$7,3,FALSE)*'[1]Profiles, RES, Summer'!D$6</f>
        <v>16.150140505820954</v>
      </c>
      <c r="E6" s="9">
        <f>VLOOKUP($A6,'RES installed'!$A$2:$C$7,3,FALSE)*'[1]Profiles, RES, Summer'!E$6</f>
        <v>14.596547571256524</v>
      </c>
      <c r="F6" s="9">
        <f>VLOOKUP($A6,'RES installed'!$A$2:$C$7,3,FALSE)*'[1]Profiles, RES, Summer'!F$6</f>
        <v>13.657165796868727</v>
      </c>
      <c r="G6" s="9">
        <f>VLOOKUP($A6,'RES installed'!$A$2:$C$7,3,FALSE)*'[1]Profiles, RES, Summer'!G$6</f>
        <v>14.500200722601365</v>
      </c>
      <c r="H6" s="9">
        <f>VLOOKUP($A6,'RES installed'!$A$2:$C$7,3,FALSE)*'[1]Profiles, RES, Summer'!H$6</f>
        <v>14.343637093536731</v>
      </c>
      <c r="I6" s="9">
        <f>VLOOKUP($A6,'RES installed'!$A$2:$C$7,3,FALSE)*'[1]Profiles, RES, Summer'!I$6</f>
        <v>10.574066639903654</v>
      </c>
      <c r="J6" s="9">
        <f>VLOOKUP($A6,'RES installed'!$A$2:$C$7,3,FALSE)*'[1]Profiles, RES, Summer'!J$6</f>
        <v>6.7683661180248897</v>
      </c>
      <c r="K6" s="9">
        <f>VLOOKUP($A6,'RES installed'!$A$2:$C$7,3,FALSE)*'[1]Profiles, RES, Summer'!K$6</f>
        <v>4.9257326374949812</v>
      </c>
      <c r="L6" s="9">
        <f>VLOOKUP($A6,'RES installed'!$A$2:$C$7,3,FALSE)*'[1]Profiles, RES, Summer'!L$6</f>
        <v>3.7213970293054994</v>
      </c>
      <c r="M6" s="9">
        <f>VLOOKUP($A6,'RES installed'!$A$2:$C$7,3,FALSE)*'[1]Profiles, RES, Summer'!M$6</f>
        <v>3.4925732637494979</v>
      </c>
      <c r="N6" s="9">
        <f>VLOOKUP($A6,'RES installed'!$A$2:$C$7,3,FALSE)*'[1]Profiles, RES, Summer'!N$6</f>
        <v>4.3717382577278201</v>
      </c>
      <c r="O6" s="9">
        <f>VLOOKUP($A6,'RES installed'!$A$2:$C$7,3,FALSE)*'[1]Profiles, RES, Summer'!O$6</f>
        <v>5.6724207145724606</v>
      </c>
      <c r="P6" s="9">
        <f>VLOOKUP($A6,'RES installed'!$A$2:$C$7,3,FALSE)*'[1]Profiles, RES, Summer'!P$6</f>
        <v>8.0810919309514251</v>
      </c>
      <c r="Q6" s="9">
        <f>VLOOKUP($A6,'RES installed'!$A$2:$C$7,3,FALSE)*'[1]Profiles, RES, Summer'!Q$6</f>
        <v>10.200722601364912</v>
      </c>
      <c r="R6" s="9">
        <f>VLOOKUP($A6,'RES installed'!$A$2:$C$7,3,FALSE)*'[1]Profiles, RES, Summer'!R$6</f>
        <v>12.211963067041349</v>
      </c>
      <c r="S6" s="9">
        <f>VLOOKUP($A6,'RES installed'!$A$2:$C$7,3,FALSE)*'[1]Profiles, RES, Summer'!S$6</f>
        <v>13.042954636692093</v>
      </c>
      <c r="T6" s="9">
        <f>VLOOKUP($A6,'RES installed'!$A$2:$C$7,3,FALSE)*'[1]Profiles, RES, Summer'!T$6</f>
        <v>12.404656764351666</v>
      </c>
      <c r="U6" s="9">
        <f>VLOOKUP($A6,'RES installed'!$A$2:$C$7,3,FALSE)*'[1]Profiles, RES, Summer'!U$6</f>
        <v>12.031312725812926</v>
      </c>
      <c r="V6" s="9">
        <f>VLOOKUP($A6,'RES installed'!$A$2:$C$7,3,FALSE)*'[1]Profiles, RES, Summer'!V$6</f>
        <v>12.067442794058611</v>
      </c>
      <c r="W6" s="9">
        <f>VLOOKUP($A6,'RES installed'!$A$2:$C$7,3,FALSE)*'[1]Profiles, RES, Summer'!W$6</f>
        <v>11.09193095142513</v>
      </c>
      <c r="X6" s="9">
        <f>VLOOKUP($A6,'RES installed'!$A$2:$C$7,3,FALSE)*'[1]Profiles, RES, Summer'!X$6</f>
        <v>10.285026093938178</v>
      </c>
      <c r="Y6" s="9">
        <f>VLOOKUP($A6,'RES installed'!$A$2:$C$7,3,FALSE)*'[1]Profiles, RES, Summer'!Y$6</f>
        <v>10.4656764351666</v>
      </c>
    </row>
    <row r="7" spans="1:25" x14ac:dyDescent="0.3">
      <c r="A7" s="8">
        <v>6</v>
      </c>
      <c r="B7" s="9">
        <f>VLOOKUP($A7,'RES installed'!$A$2:$C$7,3,FALSE)*'[1]Profiles, RES, Summer'!B$6</f>
        <v>12.826174227217987</v>
      </c>
      <c r="C7" s="9">
        <f>VLOOKUP($A7,'RES installed'!$A$2:$C$7,3,FALSE)*'[1]Profiles, RES, Summer'!C$6</f>
        <v>11.913890004014451</v>
      </c>
      <c r="D7" s="9">
        <f>VLOOKUP($A7,'RES installed'!$A$2:$C$7,3,FALSE)*'[1]Profiles, RES, Summer'!D$6</f>
        <v>12.112605379365716</v>
      </c>
      <c r="E7" s="9">
        <f>VLOOKUP($A7,'RES installed'!$A$2:$C$7,3,FALSE)*'[1]Profiles, RES, Summer'!E$6</f>
        <v>10.947410678442393</v>
      </c>
      <c r="F7" s="9">
        <f>VLOOKUP($A7,'RES installed'!$A$2:$C$7,3,FALSE)*'[1]Profiles, RES, Summer'!F$6</f>
        <v>10.242874347651545</v>
      </c>
      <c r="G7" s="9">
        <f>VLOOKUP($A7,'RES installed'!$A$2:$C$7,3,FALSE)*'[1]Profiles, RES, Summer'!G$6</f>
        <v>10.875150541951024</v>
      </c>
      <c r="H7" s="9">
        <f>VLOOKUP($A7,'RES installed'!$A$2:$C$7,3,FALSE)*'[1]Profiles, RES, Summer'!H$6</f>
        <v>10.757727820152549</v>
      </c>
      <c r="I7" s="9">
        <f>VLOOKUP($A7,'RES installed'!$A$2:$C$7,3,FALSE)*'[1]Profiles, RES, Summer'!I$6</f>
        <v>7.9305499799277399</v>
      </c>
      <c r="J7" s="9">
        <f>VLOOKUP($A7,'RES installed'!$A$2:$C$7,3,FALSE)*'[1]Profiles, RES, Summer'!J$6</f>
        <v>5.0762745885186673</v>
      </c>
      <c r="K7" s="9">
        <f>VLOOKUP($A7,'RES installed'!$A$2:$C$7,3,FALSE)*'[1]Profiles, RES, Summer'!K$6</f>
        <v>3.6942994781212364</v>
      </c>
      <c r="L7" s="9">
        <f>VLOOKUP($A7,'RES installed'!$A$2:$C$7,3,FALSE)*'[1]Profiles, RES, Summer'!L$6</f>
        <v>2.7910477719791249</v>
      </c>
      <c r="M7" s="9">
        <f>VLOOKUP($A7,'RES installed'!$A$2:$C$7,3,FALSE)*'[1]Profiles, RES, Summer'!M$6</f>
        <v>2.6194299478121237</v>
      </c>
      <c r="N7" s="9">
        <f>VLOOKUP($A7,'RES installed'!$A$2:$C$7,3,FALSE)*'[1]Profiles, RES, Summer'!N$6</f>
        <v>3.2788036932958651</v>
      </c>
      <c r="O7" s="9">
        <f>VLOOKUP($A7,'RES installed'!$A$2:$C$7,3,FALSE)*'[1]Profiles, RES, Summer'!O$6</f>
        <v>4.2543155359293454</v>
      </c>
      <c r="P7" s="9">
        <f>VLOOKUP($A7,'RES installed'!$A$2:$C$7,3,FALSE)*'[1]Profiles, RES, Summer'!P$6</f>
        <v>6.0608189482135693</v>
      </c>
      <c r="Q7" s="9">
        <f>VLOOKUP($A7,'RES installed'!$A$2:$C$7,3,FALSE)*'[1]Profiles, RES, Summer'!Q$6</f>
        <v>7.6505419510236852</v>
      </c>
      <c r="R7" s="9">
        <f>VLOOKUP($A7,'RES installed'!$A$2:$C$7,3,FALSE)*'[1]Profiles, RES, Summer'!R$6</f>
        <v>9.1589723002810111</v>
      </c>
      <c r="S7" s="9">
        <f>VLOOKUP($A7,'RES installed'!$A$2:$C$7,3,FALSE)*'[1]Profiles, RES, Summer'!S$6</f>
        <v>9.7822159775190691</v>
      </c>
      <c r="T7" s="9">
        <f>VLOOKUP($A7,'RES installed'!$A$2:$C$7,3,FALSE)*'[1]Profiles, RES, Summer'!T$6</f>
        <v>9.3034925732637497</v>
      </c>
      <c r="U7" s="9">
        <f>VLOOKUP($A7,'RES installed'!$A$2:$C$7,3,FALSE)*'[1]Profiles, RES, Summer'!U$6</f>
        <v>9.0234845443596949</v>
      </c>
      <c r="V7" s="9">
        <f>VLOOKUP($A7,'RES installed'!$A$2:$C$7,3,FALSE)*'[1]Profiles, RES, Summer'!V$6</f>
        <v>9.0505820955439589</v>
      </c>
      <c r="W7" s="9">
        <f>VLOOKUP($A7,'RES installed'!$A$2:$C$7,3,FALSE)*'[1]Profiles, RES, Summer'!W$6</f>
        <v>8.3189482135688468</v>
      </c>
      <c r="X7" s="9">
        <f>VLOOKUP($A7,'RES installed'!$A$2:$C$7,3,FALSE)*'[1]Profiles, RES, Summer'!X$6</f>
        <v>7.7137695704536338</v>
      </c>
      <c r="Y7" s="9">
        <f>VLOOKUP($A7,'RES installed'!$A$2:$C$7,3,FALSE)*'[1]Profiles, RES, Summer'!Y$6</f>
        <v>7.8492573263749499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0.14215314632297193</v>
      </c>
      <c r="H8" s="6">
        <f>VLOOKUP($A8,'RES installed'!$A$2:$C$7,3,FALSE)*'[1]Profiles, RES, Summer'!H$3</f>
        <v>5.9988627748294157</v>
      </c>
      <c r="I8" s="6">
        <f>VLOOKUP($A8,'RES installed'!$A$2:$C$7,3,FALSE)*'[1]Profiles, RES, Summer'!I$3</f>
        <v>24.137604245640638</v>
      </c>
      <c r="J8" s="6">
        <f>VLOOKUP($A8,'RES installed'!$A$2:$C$7,3,FALSE)*'[1]Profiles, RES, Summer'!J$3</f>
        <v>44.124336618650489</v>
      </c>
      <c r="K8" s="6">
        <f>VLOOKUP($A8,'RES installed'!$A$2:$C$7,3,FALSE)*'[1]Profiles, RES, Summer'!K$3</f>
        <v>58.026914329037155</v>
      </c>
      <c r="L8" s="6">
        <f>VLOOKUP($A8,'RES installed'!$A$2:$C$7,3,FALSE)*'[1]Profiles, RES, Summer'!L$3</f>
        <v>67.494313874147082</v>
      </c>
      <c r="M8" s="6">
        <f>VLOOKUP($A8,'RES installed'!$A$2:$C$7,3,FALSE)*'[1]Profiles, RES, Summer'!M$3</f>
        <v>70.991281273692195</v>
      </c>
      <c r="N8" s="6">
        <f>VLOOKUP($A8,'RES installed'!$A$2:$C$7,3,FALSE)*'[1]Profiles, RES, Summer'!N$3</f>
        <v>71.190295678544345</v>
      </c>
      <c r="O8" s="6">
        <f>VLOOKUP($A8,'RES installed'!$A$2:$C$7,3,FALSE)*'[1]Profiles, RES, Summer'!O$3</f>
        <v>69.683472327520846</v>
      </c>
      <c r="P8" s="6">
        <f>VLOOKUP($A8,'RES installed'!$A$2:$C$7,3,FALSE)*'[1]Profiles, RES, Summer'!P$3</f>
        <v>67.465883244882491</v>
      </c>
      <c r="Q8" s="6">
        <f>VLOOKUP($A8,'RES installed'!$A$2:$C$7,3,FALSE)*'[1]Profiles, RES, Summer'!Q$3</f>
        <v>60.187642153146321</v>
      </c>
      <c r="R8" s="6">
        <f>VLOOKUP($A8,'RES installed'!$A$2:$C$7,3,FALSE)*'[1]Profiles, RES, Summer'!R$3</f>
        <v>48.332069749810465</v>
      </c>
      <c r="S8" s="6">
        <f>VLOOKUP($A8,'RES installed'!$A$2:$C$7,3,FALSE)*'[1]Profiles, RES, Summer'!S$3</f>
        <v>30.30705079605762</v>
      </c>
      <c r="T8" s="6">
        <f>VLOOKUP($A8,'RES installed'!$A$2:$C$7,3,FALSE)*'[1]Profiles, RES, Summer'!T$3</f>
        <v>9.8654283548142523</v>
      </c>
      <c r="U8" s="6">
        <f>VLOOKUP($A8,'RES installed'!$A$2:$C$7,3,FALSE)*'[1]Profiles, RES, Summer'!U$3</f>
        <v>0.65390447308567101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9.4768764215314633E-2</v>
      </c>
      <c r="H9" s="6">
        <f>VLOOKUP($A9,'RES installed'!$A$2:$C$7,3,FALSE)*'[1]Profiles, RES, Summer'!H$3</f>
        <v>3.9992418498862774</v>
      </c>
      <c r="I9" s="6">
        <f>VLOOKUP($A9,'RES installed'!$A$2:$C$7,3,FALSE)*'[1]Profiles, RES, Summer'!I$3</f>
        <v>16.091736163760427</v>
      </c>
      <c r="J9" s="6">
        <f>VLOOKUP($A9,'RES installed'!$A$2:$C$7,3,FALSE)*'[1]Profiles, RES, Summer'!J$3</f>
        <v>29.41622441243366</v>
      </c>
      <c r="K9" s="6">
        <f>VLOOKUP($A9,'RES installed'!$A$2:$C$7,3,FALSE)*'[1]Profiles, RES, Summer'!K$3</f>
        <v>38.684609552691434</v>
      </c>
      <c r="L9" s="6">
        <f>VLOOKUP($A9,'RES installed'!$A$2:$C$7,3,FALSE)*'[1]Profiles, RES, Summer'!L$3</f>
        <v>44.996209249431388</v>
      </c>
      <c r="M9" s="6">
        <f>VLOOKUP($A9,'RES installed'!$A$2:$C$7,3,FALSE)*'[1]Profiles, RES, Summer'!M$3</f>
        <v>47.327520849128128</v>
      </c>
      <c r="N9" s="6">
        <f>VLOOKUP($A9,'RES installed'!$A$2:$C$7,3,FALSE)*'[1]Profiles, RES, Summer'!N$3</f>
        <v>47.460197119029566</v>
      </c>
      <c r="O9" s="6">
        <f>VLOOKUP($A9,'RES installed'!$A$2:$C$7,3,FALSE)*'[1]Profiles, RES, Summer'!O$3</f>
        <v>46.455648218347235</v>
      </c>
      <c r="P9" s="6">
        <f>VLOOKUP($A9,'RES installed'!$A$2:$C$7,3,FALSE)*'[1]Profiles, RES, Summer'!P$3</f>
        <v>44.977255496588327</v>
      </c>
      <c r="Q9" s="6">
        <f>VLOOKUP($A9,'RES installed'!$A$2:$C$7,3,FALSE)*'[1]Profiles, RES, Summer'!Q$3</f>
        <v>40.125094768764214</v>
      </c>
      <c r="R9" s="6">
        <f>VLOOKUP($A9,'RES installed'!$A$2:$C$7,3,FALSE)*'[1]Profiles, RES, Summer'!R$3</f>
        <v>32.221379833206974</v>
      </c>
      <c r="S9" s="6">
        <f>VLOOKUP($A9,'RES installed'!$A$2:$C$7,3,FALSE)*'[1]Profiles, RES, Summer'!S$3</f>
        <v>20.204700530705079</v>
      </c>
      <c r="T9" s="6">
        <f>VLOOKUP($A9,'RES installed'!$A$2:$C$7,3,FALSE)*'[1]Profiles, RES, Summer'!T$3</f>
        <v>6.5769522365428355</v>
      </c>
      <c r="U9" s="6">
        <f>VLOOKUP($A9,'RES installed'!$A$2:$C$7,3,FALSE)*'[1]Profiles, RES, Summer'!U$3</f>
        <v>0.4359363153904473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0.11372251705837756</v>
      </c>
      <c r="H10" s="6">
        <f>VLOOKUP($A10,'RES installed'!$A$2:$C$7,3,FALSE)*'[1]Profiles, RES, Summer'!H$3</f>
        <v>4.7990902198635323</v>
      </c>
      <c r="I10" s="6">
        <f>VLOOKUP($A10,'RES installed'!$A$2:$C$7,3,FALSE)*'[1]Profiles, RES, Summer'!I$3</f>
        <v>19.31008339651251</v>
      </c>
      <c r="J10" s="6">
        <f>VLOOKUP($A10,'RES installed'!$A$2:$C$7,3,FALSE)*'[1]Profiles, RES, Summer'!J$3</f>
        <v>35.299469294920392</v>
      </c>
      <c r="K10" s="6">
        <f>VLOOKUP($A10,'RES installed'!$A$2:$C$7,3,FALSE)*'[1]Profiles, RES, Summer'!K$3</f>
        <v>46.421531463229719</v>
      </c>
      <c r="L10" s="6">
        <f>VLOOKUP($A10,'RES installed'!$A$2:$C$7,3,FALSE)*'[1]Profiles, RES, Summer'!L$3</f>
        <v>53.995451099317663</v>
      </c>
      <c r="M10" s="6">
        <f>VLOOKUP($A10,'RES installed'!$A$2:$C$7,3,FALSE)*'[1]Profiles, RES, Summer'!M$3</f>
        <v>56.793025018953756</v>
      </c>
      <c r="N10" s="6">
        <f>VLOOKUP($A10,'RES installed'!$A$2:$C$7,3,FALSE)*'[1]Profiles, RES, Summer'!N$3</f>
        <v>56.952236542835479</v>
      </c>
      <c r="O10" s="6">
        <f>VLOOKUP($A10,'RES installed'!$A$2:$C$7,3,FALSE)*'[1]Profiles, RES, Summer'!O$3</f>
        <v>55.746777862016678</v>
      </c>
      <c r="P10" s="6">
        <f>VLOOKUP($A10,'RES installed'!$A$2:$C$7,3,FALSE)*'[1]Profiles, RES, Summer'!P$3</f>
        <v>53.97270659590599</v>
      </c>
      <c r="Q10" s="6">
        <f>VLOOKUP($A10,'RES installed'!$A$2:$C$7,3,FALSE)*'[1]Profiles, RES, Summer'!Q$3</f>
        <v>48.150113722517055</v>
      </c>
      <c r="R10" s="6">
        <f>VLOOKUP($A10,'RES installed'!$A$2:$C$7,3,FALSE)*'[1]Profiles, RES, Summer'!R$3</f>
        <v>38.665655799848373</v>
      </c>
      <c r="S10" s="6">
        <f>VLOOKUP($A10,'RES installed'!$A$2:$C$7,3,FALSE)*'[1]Profiles, RES, Summer'!S$3</f>
        <v>24.245640636846097</v>
      </c>
      <c r="T10" s="6">
        <f>VLOOKUP($A10,'RES installed'!$A$2:$C$7,3,FALSE)*'[1]Profiles, RES, Summer'!T$3</f>
        <v>7.8923426838514024</v>
      </c>
      <c r="U10" s="6">
        <f>VLOOKUP($A10,'RES installed'!$A$2:$C$7,3,FALSE)*'[1]Profiles, RES, Summer'!U$3</f>
        <v>0.52312357846853674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4F4843-2128-4444-8EC6-765145130A0B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13.395222802087515</v>
      </c>
      <c r="C5" s="9">
        <f>VLOOKUP($A5,'RES installed'!$A$2:$C$7,3,FALSE)*'[1]Profiles, RES, Summer'!C$7</f>
        <v>12.049377759935769</v>
      </c>
      <c r="D5" s="9">
        <f>VLOOKUP($A5,'RES installed'!$A$2:$C$7,3,FALSE)*'[1]Profiles, RES, Summer'!D$7</f>
        <v>10.062224006423122</v>
      </c>
      <c r="E5" s="9">
        <f>VLOOKUP($A5,'RES installed'!$A$2:$C$7,3,FALSE)*'[1]Profiles, RES, Summer'!E$7</f>
        <v>9.5112404656764351</v>
      </c>
      <c r="F5" s="9">
        <f>VLOOKUP($A5,'RES installed'!$A$2:$C$7,3,FALSE)*'[1]Profiles, RES, Summer'!F$7</f>
        <v>9.3576876756322758</v>
      </c>
      <c r="G5" s="9">
        <f>VLOOKUP($A5,'RES installed'!$A$2:$C$7,3,FALSE)*'[1]Profiles, RES, Summer'!G$7</f>
        <v>10.495784825371336</v>
      </c>
      <c r="H5" s="9">
        <f>VLOOKUP($A5,'RES installed'!$A$2:$C$7,3,FALSE)*'[1]Profiles, RES, Summer'!H$7</f>
        <v>11.570654355680448</v>
      </c>
      <c r="I5" s="9">
        <f>VLOOKUP($A5,'RES installed'!$A$2:$C$7,3,FALSE)*'[1]Profiles, RES, Summer'!I$7</f>
        <v>11.968085106382979</v>
      </c>
      <c r="J5" s="9">
        <f>VLOOKUP($A5,'RES installed'!$A$2:$C$7,3,FALSE)*'[1]Profiles, RES, Summer'!J$7</f>
        <v>9.7280208751505413</v>
      </c>
      <c r="K5" s="9">
        <f>VLOOKUP($A5,'RES installed'!$A$2:$C$7,3,FALSE)*'[1]Profiles, RES, Summer'!K$7</f>
        <v>7.5692492974708951</v>
      </c>
      <c r="L5" s="9">
        <f>VLOOKUP($A5,'RES installed'!$A$2:$C$7,3,FALSE)*'[1]Profiles, RES, Summer'!L$7</f>
        <v>6.8105178643115218</v>
      </c>
      <c r="M5" s="9">
        <f>VLOOKUP($A5,'RES installed'!$A$2:$C$7,3,FALSE)*'[1]Profiles, RES, Summer'!M$7</f>
        <v>6.0788839823364107</v>
      </c>
      <c r="N5" s="9">
        <f>VLOOKUP($A5,'RES installed'!$A$2:$C$7,3,FALSE)*'[1]Profiles, RES, Summer'!N$7</f>
        <v>6.5847049377759941</v>
      </c>
      <c r="O5" s="9">
        <f>VLOOKUP($A5,'RES installed'!$A$2:$C$7,3,FALSE)*'[1]Profiles, RES, Summer'!O$7</f>
        <v>8.7615415495784816</v>
      </c>
      <c r="P5" s="9">
        <f>VLOOKUP($A5,'RES installed'!$A$2:$C$7,3,FALSE)*'[1]Profiles, RES, Summer'!P$7</f>
        <v>11.019670814933761</v>
      </c>
      <c r="Q5" s="9">
        <f>VLOOKUP($A5,'RES installed'!$A$2:$C$7,3,FALSE)*'[1]Profiles, RES, Summer'!Q$7</f>
        <v>11.561621838619029</v>
      </c>
      <c r="R5" s="9">
        <f>VLOOKUP($A5,'RES installed'!$A$2:$C$7,3,FALSE)*'[1]Profiles, RES, Summer'!R$7</f>
        <v>12.482938578883983</v>
      </c>
      <c r="S5" s="9">
        <f>VLOOKUP($A5,'RES installed'!$A$2:$C$7,3,FALSE)*'[1]Profiles, RES, Summer'!S$7</f>
        <v>12.988759534323565</v>
      </c>
      <c r="T5" s="9">
        <f>VLOOKUP($A5,'RES installed'!$A$2:$C$7,3,FALSE)*'[1]Profiles, RES, Summer'!T$7</f>
        <v>13.313930148534725</v>
      </c>
      <c r="U5" s="9">
        <f>VLOOKUP($A5,'RES installed'!$A$2:$C$7,3,FALSE)*'[1]Profiles, RES, Summer'!U$7</f>
        <v>15.255921316740265</v>
      </c>
      <c r="V5" s="9">
        <f>VLOOKUP($A5,'RES installed'!$A$2:$C$7,3,FALSE)*'[1]Profiles, RES, Summer'!V$7</f>
        <v>17.16178241670012</v>
      </c>
      <c r="W5" s="9">
        <f>VLOOKUP($A5,'RES installed'!$A$2:$C$7,3,FALSE)*'[1]Profiles, RES, Summer'!W$7</f>
        <v>16.574668807707749</v>
      </c>
      <c r="X5" s="9">
        <f>VLOOKUP($A5,'RES installed'!$A$2:$C$7,3,FALSE)*'[1]Profiles, RES, Summer'!X$7</f>
        <v>15.6985146527499</v>
      </c>
      <c r="Y5" s="9">
        <f>VLOOKUP($A5,'RES installed'!$A$2:$C$7,3,FALSE)*'[1]Profiles, RES, Summer'!Y$7</f>
        <v>15.418506623845845</v>
      </c>
    </row>
    <row r="6" spans="1:25" x14ac:dyDescent="0.3">
      <c r="A6" s="8">
        <v>5</v>
      </c>
      <c r="B6" s="9">
        <f>VLOOKUP($A6,'RES installed'!$A$2:$C$7,3,FALSE)*'[1]Profiles, RES, Summer'!B$7</f>
        <v>17.86029706945002</v>
      </c>
      <c r="C6" s="9">
        <f>VLOOKUP($A6,'RES installed'!$A$2:$C$7,3,FALSE)*'[1]Profiles, RES, Summer'!C$7</f>
        <v>16.065837013247691</v>
      </c>
      <c r="D6" s="9">
        <f>VLOOKUP($A6,'RES installed'!$A$2:$C$7,3,FALSE)*'[1]Profiles, RES, Summer'!D$7</f>
        <v>13.416298675230831</v>
      </c>
      <c r="E6" s="9">
        <f>VLOOKUP($A6,'RES installed'!$A$2:$C$7,3,FALSE)*'[1]Profiles, RES, Summer'!E$7</f>
        <v>12.681653954235248</v>
      </c>
      <c r="F6" s="9">
        <f>VLOOKUP($A6,'RES installed'!$A$2:$C$7,3,FALSE)*'[1]Profiles, RES, Summer'!F$7</f>
        <v>12.476916900843035</v>
      </c>
      <c r="G6" s="9">
        <f>VLOOKUP($A6,'RES installed'!$A$2:$C$7,3,FALSE)*'[1]Profiles, RES, Summer'!G$7</f>
        <v>13.994379767161782</v>
      </c>
      <c r="H6" s="9">
        <f>VLOOKUP($A6,'RES installed'!$A$2:$C$7,3,FALSE)*'[1]Profiles, RES, Summer'!H$7</f>
        <v>15.427539140907264</v>
      </c>
      <c r="I6" s="9">
        <f>VLOOKUP($A6,'RES installed'!$A$2:$C$7,3,FALSE)*'[1]Profiles, RES, Summer'!I$7</f>
        <v>15.957446808510639</v>
      </c>
      <c r="J6" s="9">
        <f>VLOOKUP($A6,'RES installed'!$A$2:$C$7,3,FALSE)*'[1]Profiles, RES, Summer'!J$7</f>
        <v>12.970694500200722</v>
      </c>
      <c r="K6" s="9">
        <f>VLOOKUP($A6,'RES installed'!$A$2:$C$7,3,FALSE)*'[1]Profiles, RES, Summer'!K$7</f>
        <v>10.09233239662786</v>
      </c>
      <c r="L6" s="9">
        <f>VLOOKUP($A6,'RES installed'!$A$2:$C$7,3,FALSE)*'[1]Profiles, RES, Summer'!L$7</f>
        <v>9.0806904857486952</v>
      </c>
      <c r="M6" s="9">
        <f>VLOOKUP($A6,'RES installed'!$A$2:$C$7,3,FALSE)*'[1]Profiles, RES, Summer'!M$7</f>
        <v>8.1051786431152131</v>
      </c>
      <c r="N6" s="9">
        <f>VLOOKUP($A6,'RES installed'!$A$2:$C$7,3,FALSE)*'[1]Profiles, RES, Summer'!N$7</f>
        <v>8.7796065837013249</v>
      </c>
      <c r="O6" s="9">
        <f>VLOOKUP($A6,'RES installed'!$A$2:$C$7,3,FALSE)*'[1]Profiles, RES, Summer'!O$7</f>
        <v>11.682055399437976</v>
      </c>
      <c r="P6" s="9">
        <f>VLOOKUP($A6,'RES installed'!$A$2:$C$7,3,FALSE)*'[1]Profiles, RES, Summer'!P$7</f>
        <v>14.692894419911681</v>
      </c>
      <c r="Q6" s="9">
        <f>VLOOKUP($A6,'RES installed'!$A$2:$C$7,3,FALSE)*'[1]Profiles, RES, Summer'!Q$7</f>
        <v>15.415495784825371</v>
      </c>
      <c r="R6" s="9">
        <f>VLOOKUP($A6,'RES installed'!$A$2:$C$7,3,FALSE)*'[1]Profiles, RES, Summer'!R$7</f>
        <v>16.643918105178646</v>
      </c>
      <c r="S6" s="9">
        <f>VLOOKUP($A6,'RES installed'!$A$2:$C$7,3,FALSE)*'[1]Profiles, RES, Summer'!S$7</f>
        <v>17.318346045764756</v>
      </c>
      <c r="T6" s="9">
        <f>VLOOKUP($A6,'RES installed'!$A$2:$C$7,3,FALSE)*'[1]Profiles, RES, Summer'!T$7</f>
        <v>17.751906864712968</v>
      </c>
      <c r="U6" s="9">
        <f>VLOOKUP($A6,'RES installed'!$A$2:$C$7,3,FALSE)*'[1]Profiles, RES, Summer'!U$7</f>
        <v>20.341228422320352</v>
      </c>
      <c r="V6" s="9">
        <f>VLOOKUP($A6,'RES installed'!$A$2:$C$7,3,FALSE)*'[1]Profiles, RES, Summer'!V$7</f>
        <v>22.88237655560016</v>
      </c>
      <c r="W6" s="9">
        <f>VLOOKUP($A6,'RES installed'!$A$2:$C$7,3,FALSE)*'[1]Profiles, RES, Summer'!W$7</f>
        <v>22.099558410276995</v>
      </c>
      <c r="X6" s="9">
        <f>VLOOKUP($A6,'RES installed'!$A$2:$C$7,3,FALSE)*'[1]Profiles, RES, Summer'!X$7</f>
        <v>20.9313528703332</v>
      </c>
      <c r="Y6" s="9">
        <f>VLOOKUP($A6,'RES installed'!$A$2:$C$7,3,FALSE)*'[1]Profiles, RES, Summer'!Y$7</f>
        <v>20.55800883179446</v>
      </c>
    </row>
    <row r="7" spans="1:25" x14ac:dyDescent="0.3">
      <c r="A7" s="8">
        <v>6</v>
      </c>
      <c r="B7" s="9">
        <f>VLOOKUP($A7,'RES installed'!$A$2:$C$7,3,FALSE)*'[1]Profiles, RES, Summer'!B$7</f>
        <v>13.395222802087515</v>
      </c>
      <c r="C7" s="9">
        <f>VLOOKUP($A7,'RES installed'!$A$2:$C$7,3,FALSE)*'[1]Profiles, RES, Summer'!C$7</f>
        <v>12.049377759935769</v>
      </c>
      <c r="D7" s="9">
        <f>VLOOKUP($A7,'RES installed'!$A$2:$C$7,3,FALSE)*'[1]Profiles, RES, Summer'!D$7</f>
        <v>10.062224006423122</v>
      </c>
      <c r="E7" s="9">
        <f>VLOOKUP($A7,'RES installed'!$A$2:$C$7,3,FALSE)*'[1]Profiles, RES, Summer'!E$7</f>
        <v>9.5112404656764351</v>
      </c>
      <c r="F7" s="9">
        <f>VLOOKUP($A7,'RES installed'!$A$2:$C$7,3,FALSE)*'[1]Profiles, RES, Summer'!F$7</f>
        <v>9.3576876756322758</v>
      </c>
      <c r="G7" s="9">
        <f>VLOOKUP($A7,'RES installed'!$A$2:$C$7,3,FALSE)*'[1]Profiles, RES, Summer'!G$7</f>
        <v>10.495784825371336</v>
      </c>
      <c r="H7" s="9">
        <f>VLOOKUP($A7,'RES installed'!$A$2:$C$7,3,FALSE)*'[1]Profiles, RES, Summer'!H$7</f>
        <v>11.570654355680448</v>
      </c>
      <c r="I7" s="9">
        <f>VLOOKUP($A7,'RES installed'!$A$2:$C$7,3,FALSE)*'[1]Profiles, RES, Summer'!I$7</f>
        <v>11.968085106382979</v>
      </c>
      <c r="J7" s="9">
        <f>VLOOKUP($A7,'RES installed'!$A$2:$C$7,3,FALSE)*'[1]Profiles, RES, Summer'!J$7</f>
        <v>9.7280208751505413</v>
      </c>
      <c r="K7" s="9">
        <f>VLOOKUP($A7,'RES installed'!$A$2:$C$7,3,FALSE)*'[1]Profiles, RES, Summer'!K$7</f>
        <v>7.5692492974708951</v>
      </c>
      <c r="L7" s="9">
        <f>VLOOKUP($A7,'RES installed'!$A$2:$C$7,3,FALSE)*'[1]Profiles, RES, Summer'!L$7</f>
        <v>6.8105178643115218</v>
      </c>
      <c r="M7" s="9">
        <f>VLOOKUP($A7,'RES installed'!$A$2:$C$7,3,FALSE)*'[1]Profiles, RES, Summer'!M$7</f>
        <v>6.0788839823364107</v>
      </c>
      <c r="N7" s="9">
        <f>VLOOKUP($A7,'RES installed'!$A$2:$C$7,3,FALSE)*'[1]Profiles, RES, Summer'!N$7</f>
        <v>6.5847049377759941</v>
      </c>
      <c r="O7" s="9">
        <f>VLOOKUP($A7,'RES installed'!$A$2:$C$7,3,FALSE)*'[1]Profiles, RES, Summer'!O$7</f>
        <v>8.7615415495784816</v>
      </c>
      <c r="P7" s="9">
        <f>VLOOKUP($A7,'RES installed'!$A$2:$C$7,3,FALSE)*'[1]Profiles, RES, Summer'!P$7</f>
        <v>11.019670814933761</v>
      </c>
      <c r="Q7" s="9">
        <f>VLOOKUP($A7,'RES installed'!$A$2:$C$7,3,FALSE)*'[1]Profiles, RES, Summer'!Q$7</f>
        <v>11.561621838619029</v>
      </c>
      <c r="R7" s="9">
        <f>VLOOKUP($A7,'RES installed'!$A$2:$C$7,3,FALSE)*'[1]Profiles, RES, Summer'!R$7</f>
        <v>12.482938578883983</v>
      </c>
      <c r="S7" s="9">
        <f>VLOOKUP($A7,'RES installed'!$A$2:$C$7,3,FALSE)*'[1]Profiles, RES, Summer'!S$7</f>
        <v>12.988759534323565</v>
      </c>
      <c r="T7" s="9">
        <f>VLOOKUP($A7,'RES installed'!$A$2:$C$7,3,FALSE)*'[1]Profiles, RES, Summer'!T$7</f>
        <v>13.313930148534725</v>
      </c>
      <c r="U7" s="9">
        <f>VLOOKUP($A7,'RES installed'!$A$2:$C$7,3,FALSE)*'[1]Profiles, RES, Summer'!U$7</f>
        <v>15.255921316740265</v>
      </c>
      <c r="V7" s="9">
        <f>VLOOKUP($A7,'RES installed'!$A$2:$C$7,3,FALSE)*'[1]Profiles, RES, Summer'!V$7</f>
        <v>17.16178241670012</v>
      </c>
      <c r="W7" s="9">
        <f>VLOOKUP($A7,'RES installed'!$A$2:$C$7,3,FALSE)*'[1]Profiles, RES, Summer'!W$7</f>
        <v>16.574668807707749</v>
      </c>
      <c r="X7" s="9">
        <f>VLOOKUP($A7,'RES installed'!$A$2:$C$7,3,FALSE)*'[1]Profiles, RES, Summer'!X$7</f>
        <v>15.6985146527499</v>
      </c>
      <c r="Y7" s="9">
        <f>VLOOKUP($A7,'RES installed'!$A$2:$C$7,3,FALSE)*'[1]Profiles, RES, Summer'!Y$7</f>
        <v>15.418506623845845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2.843062926459439E-2</v>
      </c>
      <c r="H8" s="6">
        <f>VLOOKUP($A8,'RES installed'!$A$2:$C$7,3,FALSE)*'[1]Profiles, RES, Summer'!H$4</f>
        <v>3.49696739954511</v>
      </c>
      <c r="I8" s="6">
        <f>VLOOKUP($A8,'RES installed'!$A$2:$C$7,3,FALSE)*'[1]Profiles, RES, Summer'!I$4</f>
        <v>16.546626231993937</v>
      </c>
      <c r="J8" s="6">
        <f>VLOOKUP($A8,'RES installed'!$A$2:$C$7,3,FALSE)*'[1]Profiles, RES, Summer'!J$4</f>
        <v>36.021607278241092</v>
      </c>
      <c r="K8" s="6">
        <f>VLOOKUP($A8,'RES installed'!$A$2:$C$7,3,FALSE)*'[1]Profiles, RES, Summer'!K$4</f>
        <v>55.610310841546621</v>
      </c>
      <c r="L8" s="6">
        <f>VLOOKUP($A8,'RES installed'!$A$2:$C$7,3,FALSE)*'[1]Profiles, RES, Summer'!L$4</f>
        <v>68.26194086429112</v>
      </c>
      <c r="M8" s="6">
        <f>VLOOKUP($A8,'RES installed'!$A$2:$C$7,3,FALSE)*'[1]Profiles, RES, Summer'!M$4</f>
        <v>73.009855951478386</v>
      </c>
      <c r="N8" s="6">
        <f>VLOOKUP($A8,'RES installed'!$A$2:$C$7,3,FALSE)*'[1]Profiles, RES, Summer'!N$4</f>
        <v>75</v>
      </c>
      <c r="O8" s="6">
        <f>VLOOKUP($A8,'RES installed'!$A$2:$C$7,3,FALSE)*'[1]Profiles, RES, Summer'!O$4</f>
        <v>73.692191053828651</v>
      </c>
      <c r="P8" s="6">
        <f>VLOOKUP($A8,'RES installed'!$A$2:$C$7,3,FALSE)*'[1]Profiles, RES, Summer'!P$4</f>
        <v>69.967778620166797</v>
      </c>
      <c r="Q8" s="6">
        <f>VLOOKUP($A8,'RES installed'!$A$2:$C$7,3,FALSE)*'[1]Profiles, RES, Summer'!Q$4</f>
        <v>61.921910538286582</v>
      </c>
      <c r="R8" s="6">
        <f>VLOOKUP($A8,'RES installed'!$A$2:$C$7,3,FALSE)*'[1]Profiles, RES, Summer'!R$4</f>
        <v>48.644806671721</v>
      </c>
      <c r="S8" s="6">
        <f>VLOOKUP($A8,'RES installed'!$A$2:$C$7,3,FALSE)*'[1]Profiles, RES, Summer'!S$4</f>
        <v>28.94238059135709</v>
      </c>
      <c r="T8" s="6">
        <f>VLOOKUP($A8,'RES installed'!$A$2:$C$7,3,FALSE)*'[1]Profiles, RES, Summer'!T$4</f>
        <v>8.8419257012888544</v>
      </c>
      <c r="U8" s="6">
        <f>VLOOKUP($A8,'RES installed'!$A$2:$C$7,3,FALSE)*'[1]Profiles, RES, Summer'!U$4</f>
        <v>0.39802880970432147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1.8953752843062926E-2</v>
      </c>
      <c r="H9" s="6">
        <f>VLOOKUP($A9,'RES installed'!$A$2:$C$7,3,FALSE)*'[1]Profiles, RES, Summer'!H$4</f>
        <v>2.3313115996967402</v>
      </c>
      <c r="I9" s="6">
        <f>VLOOKUP($A9,'RES installed'!$A$2:$C$7,3,FALSE)*'[1]Profiles, RES, Summer'!I$4</f>
        <v>11.031084154662624</v>
      </c>
      <c r="J9" s="6">
        <f>VLOOKUP($A9,'RES installed'!$A$2:$C$7,3,FALSE)*'[1]Profiles, RES, Summer'!J$4</f>
        <v>24.014404852160727</v>
      </c>
      <c r="K9" s="6">
        <f>VLOOKUP($A9,'RES installed'!$A$2:$C$7,3,FALSE)*'[1]Profiles, RES, Summer'!K$4</f>
        <v>37.073540561031081</v>
      </c>
      <c r="L9" s="6">
        <f>VLOOKUP($A9,'RES installed'!$A$2:$C$7,3,FALSE)*'[1]Profiles, RES, Summer'!L$4</f>
        <v>45.507960576194087</v>
      </c>
      <c r="M9" s="6">
        <f>VLOOKUP($A9,'RES installed'!$A$2:$C$7,3,FALSE)*'[1]Profiles, RES, Summer'!M$4</f>
        <v>48.673237300985598</v>
      </c>
      <c r="N9" s="6">
        <f>VLOOKUP($A9,'RES installed'!$A$2:$C$7,3,FALSE)*'[1]Profiles, RES, Summer'!N$4</f>
        <v>50</v>
      </c>
      <c r="O9" s="6">
        <f>VLOOKUP($A9,'RES installed'!$A$2:$C$7,3,FALSE)*'[1]Profiles, RES, Summer'!O$4</f>
        <v>49.128127369219108</v>
      </c>
      <c r="P9" s="6">
        <f>VLOOKUP($A9,'RES installed'!$A$2:$C$7,3,FALSE)*'[1]Profiles, RES, Summer'!P$4</f>
        <v>46.645185746777862</v>
      </c>
      <c r="Q9" s="6">
        <f>VLOOKUP($A9,'RES installed'!$A$2:$C$7,3,FALSE)*'[1]Profiles, RES, Summer'!Q$4</f>
        <v>41.281273692191057</v>
      </c>
      <c r="R9" s="6">
        <f>VLOOKUP($A9,'RES installed'!$A$2:$C$7,3,FALSE)*'[1]Profiles, RES, Summer'!R$4</f>
        <v>32.429871114480669</v>
      </c>
      <c r="S9" s="6">
        <f>VLOOKUP($A9,'RES installed'!$A$2:$C$7,3,FALSE)*'[1]Profiles, RES, Summer'!S$4</f>
        <v>19.294920394238062</v>
      </c>
      <c r="T9" s="6">
        <f>VLOOKUP($A9,'RES installed'!$A$2:$C$7,3,FALSE)*'[1]Profiles, RES, Summer'!T$4</f>
        <v>5.8946171341925702</v>
      </c>
      <c r="U9" s="6">
        <f>VLOOKUP($A9,'RES installed'!$A$2:$C$7,3,FALSE)*'[1]Profiles, RES, Summer'!U$4</f>
        <v>0.26535253980288098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2.2744503411675512E-2</v>
      </c>
      <c r="H10" s="6">
        <f>VLOOKUP($A10,'RES installed'!$A$2:$C$7,3,FALSE)*'[1]Profiles, RES, Summer'!H$4</f>
        <v>2.797573919636088</v>
      </c>
      <c r="I10" s="6">
        <f>VLOOKUP($A10,'RES installed'!$A$2:$C$7,3,FALSE)*'[1]Profiles, RES, Summer'!I$4</f>
        <v>13.237300985595148</v>
      </c>
      <c r="J10" s="6">
        <f>VLOOKUP($A10,'RES installed'!$A$2:$C$7,3,FALSE)*'[1]Profiles, RES, Summer'!J$4</f>
        <v>28.817285822592876</v>
      </c>
      <c r="K10" s="6">
        <f>VLOOKUP($A10,'RES installed'!$A$2:$C$7,3,FALSE)*'[1]Profiles, RES, Summer'!K$4</f>
        <v>44.488248673237301</v>
      </c>
      <c r="L10" s="6">
        <f>VLOOKUP($A10,'RES installed'!$A$2:$C$7,3,FALSE)*'[1]Profiles, RES, Summer'!L$4</f>
        <v>54.609552691432903</v>
      </c>
      <c r="M10" s="6">
        <f>VLOOKUP($A10,'RES installed'!$A$2:$C$7,3,FALSE)*'[1]Profiles, RES, Summer'!M$4</f>
        <v>58.407884761182714</v>
      </c>
      <c r="N10" s="6">
        <f>VLOOKUP($A10,'RES installed'!$A$2:$C$7,3,FALSE)*'[1]Profiles, RES, Summer'!N$4</f>
        <v>60</v>
      </c>
      <c r="O10" s="6">
        <f>VLOOKUP($A10,'RES installed'!$A$2:$C$7,3,FALSE)*'[1]Profiles, RES, Summer'!O$4</f>
        <v>58.953752843062922</v>
      </c>
      <c r="P10" s="6">
        <f>VLOOKUP($A10,'RES installed'!$A$2:$C$7,3,FALSE)*'[1]Profiles, RES, Summer'!P$4</f>
        <v>55.974222896133433</v>
      </c>
      <c r="Q10" s="6">
        <f>VLOOKUP($A10,'RES installed'!$A$2:$C$7,3,FALSE)*'[1]Profiles, RES, Summer'!Q$4</f>
        <v>49.537528430629266</v>
      </c>
      <c r="R10" s="6">
        <f>VLOOKUP($A10,'RES installed'!$A$2:$C$7,3,FALSE)*'[1]Profiles, RES, Summer'!R$4</f>
        <v>38.915845337376801</v>
      </c>
      <c r="S10" s="6">
        <f>VLOOKUP($A10,'RES installed'!$A$2:$C$7,3,FALSE)*'[1]Profiles, RES, Summer'!S$4</f>
        <v>23.153904473085671</v>
      </c>
      <c r="T10" s="6">
        <f>VLOOKUP($A10,'RES installed'!$A$2:$C$7,3,FALSE)*'[1]Profiles, RES, Summer'!T$4</f>
        <v>7.0735405610310842</v>
      </c>
      <c r="U10" s="6">
        <f>VLOOKUP($A10,'RES installed'!$A$2:$C$7,3,FALSE)*'[1]Profiles, RES, Summer'!U$4</f>
        <v>0.3184230477634572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944F0-7F15-48D3-B0E1-41FD5A2D6DC7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12.157767964672821</v>
      </c>
      <c r="C5" s="9">
        <f>VLOOKUP($A5,'RES installed'!$A$2:$C$7,3,FALSE)*'[1]Profiles, RES, Summer'!C$5</f>
        <v>11.119028502609394</v>
      </c>
      <c r="D5" s="9">
        <f>VLOOKUP($A5,'RES installed'!$A$2:$C$7,3,FALSE)*'[1]Profiles, RES, Summer'!D$5</f>
        <v>9.7280208751505413</v>
      </c>
      <c r="E5" s="9">
        <f>VLOOKUP($A5,'RES installed'!$A$2:$C$7,3,FALSE)*'[1]Profiles, RES, Summer'!E$5</f>
        <v>9.6918908069048584</v>
      </c>
      <c r="F5" s="9">
        <f>VLOOKUP($A5,'RES installed'!$A$2:$C$7,3,FALSE)*'[1]Profiles, RES, Summer'!F$5</f>
        <v>9.1770373344038543</v>
      </c>
      <c r="G5" s="9">
        <f>VLOOKUP($A5,'RES installed'!$A$2:$C$7,3,FALSE)*'[1]Profiles, RES, Summer'!G$5</f>
        <v>8.4544359694901647</v>
      </c>
      <c r="H5" s="9">
        <f>VLOOKUP($A5,'RES installed'!$A$2:$C$7,3,FALSE)*'[1]Profiles, RES, Summer'!H$5</f>
        <v>7.433761541549579</v>
      </c>
      <c r="I5" s="9">
        <f>VLOOKUP($A5,'RES installed'!$A$2:$C$7,3,FALSE)*'[1]Profiles, RES, Summer'!I$5</f>
        <v>5.8440385387394622</v>
      </c>
      <c r="J5" s="9">
        <f>VLOOKUP($A5,'RES installed'!$A$2:$C$7,3,FALSE)*'[1]Profiles, RES, Summer'!J$5</f>
        <v>4.8594941790445603</v>
      </c>
      <c r="K5" s="9">
        <f>VLOOKUP($A5,'RES installed'!$A$2:$C$7,3,FALSE)*'[1]Profiles, RES, Summer'!K$5</f>
        <v>4.5433560818948218</v>
      </c>
      <c r="L5" s="9">
        <f>VLOOKUP($A5,'RES installed'!$A$2:$C$7,3,FALSE)*'[1]Profiles, RES, Summer'!L$5</f>
        <v>4.182055399437977</v>
      </c>
      <c r="M5" s="9">
        <f>VLOOKUP($A5,'RES installed'!$A$2:$C$7,3,FALSE)*'[1]Profiles, RES, Summer'!M$5</f>
        <v>4.7059413890004018</v>
      </c>
      <c r="N5" s="9">
        <f>VLOOKUP($A5,'RES installed'!$A$2:$C$7,3,FALSE)*'[1]Profiles, RES, Summer'!N$5</f>
        <v>5.9162986752308306</v>
      </c>
      <c r="O5" s="9">
        <f>VLOOKUP($A5,'RES installed'!$A$2:$C$7,3,FALSE)*'[1]Profiles, RES, Summer'!O$5</f>
        <v>7.3434363709353674</v>
      </c>
      <c r="P5" s="9">
        <f>VLOOKUP($A5,'RES installed'!$A$2:$C$7,3,FALSE)*'[1]Profiles, RES, Summer'!P$5</f>
        <v>9.8002810116419106</v>
      </c>
      <c r="Q5" s="9">
        <f>VLOOKUP($A5,'RES installed'!$A$2:$C$7,3,FALSE)*'[1]Profiles, RES, Summer'!Q$5</f>
        <v>12.510036130068245</v>
      </c>
      <c r="R5" s="9">
        <f>VLOOKUP($A5,'RES installed'!$A$2:$C$7,3,FALSE)*'[1]Profiles, RES, Summer'!R$5</f>
        <v>14.786230429546368</v>
      </c>
      <c r="S5" s="9">
        <f>VLOOKUP($A5,'RES installed'!$A$2:$C$7,3,FALSE)*'[1]Profiles, RES, Summer'!S$5</f>
        <v>15.77980730630269</v>
      </c>
      <c r="T5" s="9">
        <f>VLOOKUP($A5,'RES installed'!$A$2:$C$7,3,FALSE)*'[1]Profiles, RES, Summer'!T$5</f>
        <v>16.981132075471699</v>
      </c>
      <c r="U5" s="9">
        <f>VLOOKUP($A5,'RES installed'!$A$2:$C$7,3,FALSE)*'[1]Profiles, RES, Summer'!U$5</f>
        <v>18.914090726615814</v>
      </c>
      <c r="V5" s="9">
        <f>VLOOKUP($A5,'RES installed'!$A$2:$C$7,3,FALSE)*'[1]Profiles, RES, Summer'!V$5</f>
        <v>20.856081894821358</v>
      </c>
      <c r="W5" s="9">
        <f>VLOOKUP($A5,'RES installed'!$A$2:$C$7,3,FALSE)*'[1]Profiles, RES, Summer'!W$5</f>
        <v>21.723203532717786</v>
      </c>
      <c r="X5" s="9">
        <f>VLOOKUP($A5,'RES installed'!$A$2:$C$7,3,FALSE)*'[1]Profiles, RES, Summer'!X$5</f>
        <v>21.822561220393414</v>
      </c>
      <c r="Y5" s="9">
        <f>VLOOKUP($A5,'RES installed'!$A$2:$C$7,3,FALSE)*'[1]Profiles, RES, Summer'!Y$5</f>
        <v>21.0457647531112</v>
      </c>
    </row>
    <row r="6" spans="1:25" x14ac:dyDescent="0.3">
      <c r="A6" s="8">
        <v>5</v>
      </c>
      <c r="B6" s="9">
        <f>VLOOKUP($A6,'RES installed'!$A$2:$C$7,3,FALSE)*'[1]Profiles, RES, Summer'!B$5</f>
        <v>16.210357286230426</v>
      </c>
      <c r="C6" s="9">
        <f>VLOOKUP($A6,'RES installed'!$A$2:$C$7,3,FALSE)*'[1]Profiles, RES, Summer'!C$5</f>
        <v>14.825371336812525</v>
      </c>
      <c r="D6" s="9">
        <f>VLOOKUP($A6,'RES installed'!$A$2:$C$7,3,FALSE)*'[1]Profiles, RES, Summer'!D$5</f>
        <v>12.970694500200722</v>
      </c>
      <c r="E6" s="9">
        <f>VLOOKUP($A6,'RES installed'!$A$2:$C$7,3,FALSE)*'[1]Profiles, RES, Summer'!E$5</f>
        <v>12.922521075873144</v>
      </c>
      <c r="F6" s="9">
        <f>VLOOKUP($A6,'RES installed'!$A$2:$C$7,3,FALSE)*'[1]Profiles, RES, Summer'!F$5</f>
        <v>12.236049779205139</v>
      </c>
      <c r="G6" s="9">
        <f>VLOOKUP($A6,'RES installed'!$A$2:$C$7,3,FALSE)*'[1]Profiles, RES, Summer'!G$5</f>
        <v>11.272581292653554</v>
      </c>
      <c r="H6" s="9">
        <f>VLOOKUP($A6,'RES installed'!$A$2:$C$7,3,FALSE)*'[1]Profiles, RES, Summer'!H$5</f>
        <v>9.9116820553994387</v>
      </c>
      <c r="I6" s="9">
        <f>VLOOKUP($A6,'RES installed'!$A$2:$C$7,3,FALSE)*'[1]Profiles, RES, Summer'!I$5</f>
        <v>7.7920513849859487</v>
      </c>
      <c r="J6" s="9">
        <f>VLOOKUP($A6,'RES installed'!$A$2:$C$7,3,FALSE)*'[1]Profiles, RES, Summer'!J$5</f>
        <v>6.4793255720594134</v>
      </c>
      <c r="K6" s="9">
        <f>VLOOKUP($A6,'RES installed'!$A$2:$C$7,3,FALSE)*'[1]Profiles, RES, Summer'!K$5</f>
        <v>6.0578081091930951</v>
      </c>
      <c r="L6" s="9">
        <f>VLOOKUP($A6,'RES installed'!$A$2:$C$7,3,FALSE)*'[1]Profiles, RES, Summer'!L$5</f>
        <v>5.5760738659173024</v>
      </c>
      <c r="M6" s="9">
        <f>VLOOKUP($A6,'RES installed'!$A$2:$C$7,3,FALSE)*'[1]Profiles, RES, Summer'!M$5</f>
        <v>6.2745885186672021</v>
      </c>
      <c r="N6" s="9">
        <f>VLOOKUP($A6,'RES installed'!$A$2:$C$7,3,FALSE)*'[1]Profiles, RES, Summer'!N$5</f>
        <v>7.8883982336411069</v>
      </c>
      <c r="O6" s="9">
        <f>VLOOKUP($A6,'RES installed'!$A$2:$C$7,3,FALSE)*'[1]Profiles, RES, Summer'!O$5</f>
        <v>9.7912484945804898</v>
      </c>
      <c r="P6" s="9">
        <f>VLOOKUP($A6,'RES installed'!$A$2:$C$7,3,FALSE)*'[1]Profiles, RES, Summer'!P$5</f>
        <v>13.067041348855881</v>
      </c>
      <c r="Q6" s="9">
        <f>VLOOKUP($A6,'RES installed'!$A$2:$C$7,3,FALSE)*'[1]Profiles, RES, Summer'!Q$5</f>
        <v>16.680048173424328</v>
      </c>
      <c r="R6" s="9">
        <f>VLOOKUP($A6,'RES installed'!$A$2:$C$7,3,FALSE)*'[1]Profiles, RES, Summer'!R$5</f>
        <v>19.714973906061822</v>
      </c>
      <c r="S6" s="9">
        <f>VLOOKUP($A6,'RES installed'!$A$2:$C$7,3,FALSE)*'[1]Profiles, RES, Summer'!S$5</f>
        <v>21.039743075070252</v>
      </c>
      <c r="T6" s="9">
        <f>VLOOKUP($A6,'RES installed'!$A$2:$C$7,3,FALSE)*'[1]Profiles, RES, Summer'!T$5</f>
        <v>22.641509433962266</v>
      </c>
      <c r="U6" s="9">
        <f>VLOOKUP($A6,'RES installed'!$A$2:$C$7,3,FALSE)*'[1]Profiles, RES, Summer'!U$5</f>
        <v>25.218787635487754</v>
      </c>
      <c r="V6" s="9">
        <f>VLOOKUP($A6,'RES installed'!$A$2:$C$7,3,FALSE)*'[1]Profiles, RES, Summer'!V$5</f>
        <v>27.808109193095145</v>
      </c>
      <c r="W6" s="9">
        <f>VLOOKUP($A6,'RES installed'!$A$2:$C$7,3,FALSE)*'[1]Profiles, RES, Summer'!W$5</f>
        <v>28.964271376957047</v>
      </c>
      <c r="X6" s="9">
        <f>VLOOKUP($A6,'RES installed'!$A$2:$C$7,3,FALSE)*'[1]Profiles, RES, Summer'!X$5</f>
        <v>29.096748293857885</v>
      </c>
      <c r="Y6" s="9">
        <f>VLOOKUP($A6,'RES installed'!$A$2:$C$7,3,FALSE)*'[1]Profiles, RES, Summer'!Y$5</f>
        <v>28.061019670814932</v>
      </c>
    </row>
    <row r="7" spans="1:25" x14ac:dyDescent="0.3">
      <c r="A7" s="8">
        <v>6</v>
      </c>
      <c r="B7" s="9">
        <f>VLOOKUP($A7,'RES installed'!$A$2:$C$7,3,FALSE)*'[1]Profiles, RES, Summer'!B$5</f>
        <v>12.157767964672821</v>
      </c>
      <c r="C7" s="9">
        <f>VLOOKUP($A7,'RES installed'!$A$2:$C$7,3,FALSE)*'[1]Profiles, RES, Summer'!C$5</f>
        <v>11.119028502609394</v>
      </c>
      <c r="D7" s="9">
        <f>VLOOKUP($A7,'RES installed'!$A$2:$C$7,3,FALSE)*'[1]Profiles, RES, Summer'!D$5</f>
        <v>9.7280208751505413</v>
      </c>
      <c r="E7" s="9">
        <f>VLOOKUP($A7,'RES installed'!$A$2:$C$7,3,FALSE)*'[1]Profiles, RES, Summer'!E$5</f>
        <v>9.6918908069048584</v>
      </c>
      <c r="F7" s="9">
        <f>VLOOKUP($A7,'RES installed'!$A$2:$C$7,3,FALSE)*'[1]Profiles, RES, Summer'!F$5</f>
        <v>9.1770373344038543</v>
      </c>
      <c r="G7" s="9">
        <f>VLOOKUP($A7,'RES installed'!$A$2:$C$7,3,FALSE)*'[1]Profiles, RES, Summer'!G$5</f>
        <v>8.4544359694901647</v>
      </c>
      <c r="H7" s="9">
        <f>VLOOKUP($A7,'RES installed'!$A$2:$C$7,3,FALSE)*'[1]Profiles, RES, Summer'!H$5</f>
        <v>7.433761541549579</v>
      </c>
      <c r="I7" s="9">
        <f>VLOOKUP($A7,'RES installed'!$A$2:$C$7,3,FALSE)*'[1]Profiles, RES, Summer'!I$5</f>
        <v>5.8440385387394622</v>
      </c>
      <c r="J7" s="9">
        <f>VLOOKUP($A7,'RES installed'!$A$2:$C$7,3,FALSE)*'[1]Profiles, RES, Summer'!J$5</f>
        <v>4.8594941790445603</v>
      </c>
      <c r="K7" s="9">
        <f>VLOOKUP($A7,'RES installed'!$A$2:$C$7,3,FALSE)*'[1]Profiles, RES, Summer'!K$5</f>
        <v>4.5433560818948218</v>
      </c>
      <c r="L7" s="9">
        <f>VLOOKUP($A7,'RES installed'!$A$2:$C$7,3,FALSE)*'[1]Profiles, RES, Summer'!L$5</f>
        <v>4.182055399437977</v>
      </c>
      <c r="M7" s="9">
        <f>VLOOKUP($A7,'RES installed'!$A$2:$C$7,3,FALSE)*'[1]Profiles, RES, Summer'!M$5</f>
        <v>4.7059413890004018</v>
      </c>
      <c r="N7" s="9">
        <f>VLOOKUP($A7,'RES installed'!$A$2:$C$7,3,FALSE)*'[1]Profiles, RES, Summer'!N$5</f>
        <v>5.9162986752308306</v>
      </c>
      <c r="O7" s="9">
        <f>VLOOKUP($A7,'RES installed'!$A$2:$C$7,3,FALSE)*'[1]Profiles, RES, Summer'!O$5</f>
        <v>7.3434363709353674</v>
      </c>
      <c r="P7" s="9">
        <f>VLOOKUP($A7,'RES installed'!$A$2:$C$7,3,FALSE)*'[1]Profiles, RES, Summer'!P$5</f>
        <v>9.8002810116419106</v>
      </c>
      <c r="Q7" s="9">
        <f>VLOOKUP($A7,'RES installed'!$A$2:$C$7,3,FALSE)*'[1]Profiles, RES, Summer'!Q$5</f>
        <v>12.510036130068245</v>
      </c>
      <c r="R7" s="9">
        <f>VLOOKUP($A7,'RES installed'!$A$2:$C$7,3,FALSE)*'[1]Profiles, RES, Summer'!R$5</f>
        <v>14.786230429546368</v>
      </c>
      <c r="S7" s="9">
        <f>VLOOKUP($A7,'RES installed'!$A$2:$C$7,3,FALSE)*'[1]Profiles, RES, Summer'!S$5</f>
        <v>15.77980730630269</v>
      </c>
      <c r="T7" s="9">
        <f>VLOOKUP($A7,'RES installed'!$A$2:$C$7,3,FALSE)*'[1]Profiles, RES, Summer'!T$5</f>
        <v>16.981132075471699</v>
      </c>
      <c r="U7" s="9">
        <f>VLOOKUP($A7,'RES installed'!$A$2:$C$7,3,FALSE)*'[1]Profiles, RES, Summer'!U$5</f>
        <v>18.914090726615814</v>
      </c>
      <c r="V7" s="9">
        <f>VLOOKUP($A7,'RES installed'!$A$2:$C$7,3,FALSE)*'[1]Profiles, RES, Summer'!V$5</f>
        <v>20.856081894821358</v>
      </c>
      <c r="W7" s="9">
        <f>VLOOKUP($A7,'RES installed'!$A$2:$C$7,3,FALSE)*'[1]Profiles, RES, Summer'!W$5</f>
        <v>21.723203532717786</v>
      </c>
      <c r="X7" s="9">
        <f>VLOOKUP($A7,'RES installed'!$A$2:$C$7,3,FALSE)*'[1]Profiles, RES, Summer'!X$5</f>
        <v>21.822561220393414</v>
      </c>
      <c r="Y7" s="9">
        <f>VLOOKUP($A7,'RES installed'!$A$2:$C$7,3,FALSE)*'[1]Profiles, RES, Summer'!Y$5</f>
        <v>21.0457647531112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0.17058377558756635</v>
      </c>
      <c r="H8" s="6">
        <f>VLOOKUP($A8,'RES installed'!$A$2:$C$7,3,FALSE)*'[1]Profiles, RES, Summer'!H$2</f>
        <v>5.003790750568613</v>
      </c>
      <c r="I8" s="6">
        <f>VLOOKUP($A8,'RES installed'!$A$2:$C$7,3,FALSE)*'[1]Profiles, RES, Summer'!I$2</f>
        <v>20.811220621683095</v>
      </c>
      <c r="J8" s="6">
        <f>VLOOKUP($A8,'RES installed'!$A$2:$C$7,3,FALSE)*'[1]Profiles, RES, Summer'!J$2</f>
        <v>43.100833965125098</v>
      </c>
      <c r="K8" s="6">
        <f>VLOOKUP($A8,'RES installed'!$A$2:$C$7,3,FALSE)*'[1]Profiles, RES, Summer'!K$2</f>
        <v>56.719105382865806</v>
      </c>
      <c r="L8" s="6">
        <f>VLOOKUP($A8,'RES installed'!$A$2:$C$7,3,FALSE)*'[1]Profiles, RES, Summer'!L$2</f>
        <v>65.163002274450335</v>
      </c>
      <c r="M8" s="6">
        <f>VLOOKUP($A8,'RES installed'!$A$2:$C$7,3,FALSE)*'[1]Profiles, RES, Summer'!M$2</f>
        <v>68.97270659590599</v>
      </c>
      <c r="N8" s="6">
        <f>VLOOKUP($A8,'RES installed'!$A$2:$C$7,3,FALSE)*'[1]Profiles, RES, Summer'!N$2</f>
        <v>70.507960576194094</v>
      </c>
      <c r="O8" s="6">
        <f>VLOOKUP($A8,'RES installed'!$A$2:$C$7,3,FALSE)*'[1]Profiles, RES, Summer'!O$2</f>
        <v>70.536391205458685</v>
      </c>
      <c r="P8" s="6">
        <f>VLOOKUP($A8,'RES installed'!$A$2:$C$7,3,FALSE)*'[1]Profiles, RES, Summer'!P$2</f>
        <v>68.119787717968151</v>
      </c>
      <c r="Q8" s="6">
        <f>VLOOKUP($A8,'RES installed'!$A$2:$C$7,3,FALSE)*'[1]Profiles, RES, Summer'!Q$2</f>
        <v>60.585670962850642</v>
      </c>
      <c r="R8" s="6">
        <f>VLOOKUP($A8,'RES installed'!$A$2:$C$7,3,FALSE)*'[1]Profiles, RES, Summer'!R$2</f>
        <v>48.55951478392722</v>
      </c>
      <c r="S8" s="6">
        <f>VLOOKUP($A8,'RES installed'!$A$2:$C$7,3,FALSE)*'[1]Profiles, RES, Summer'!S$2</f>
        <v>31.415845337376801</v>
      </c>
      <c r="T8" s="6">
        <f>VLOOKUP($A8,'RES installed'!$A$2:$C$7,3,FALSE)*'[1]Profiles, RES, Summer'!T$2</f>
        <v>10.945792266868841</v>
      </c>
      <c r="U8" s="6">
        <f>VLOOKUP($A8,'RES installed'!$A$2:$C$7,3,FALSE)*'[1]Profiles, RES, Summer'!U$2</f>
        <v>0.90978013646702049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0.11372251705837756</v>
      </c>
      <c r="H9" s="6">
        <f>VLOOKUP($A9,'RES installed'!$A$2:$C$7,3,FALSE)*'[1]Profiles, RES, Summer'!H$2</f>
        <v>3.3358605003790753</v>
      </c>
      <c r="I9" s="6">
        <f>VLOOKUP($A9,'RES installed'!$A$2:$C$7,3,FALSE)*'[1]Profiles, RES, Summer'!I$2</f>
        <v>13.874147081122063</v>
      </c>
      <c r="J9" s="6">
        <f>VLOOKUP($A9,'RES installed'!$A$2:$C$7,3,FALSE)*'[1]Profiles, RES, Summer'!J$2</f>
        <v>28.733889310083399</v>
      </c>
      <c r="K9" s="6">
        <f>VLOOKUP($A9,'RES installed'!$A$2:$C$7,3,FALSE)*'[1]Profiles, RES, Summer'!K$2</f>
        <v>37.812736921910542</v>
      </c>
      <c r="L9" s="6">
        <f>VLOOKUP($A9,'RES installed'!$A$2:$C$7,3,FALSE)*'[1]Profiles, RES, Summer'!L$2</f>
        <v>43.44200151630023</v>
      </c>
      <c r="M9" s="6">
        <f>VLOOKUP($A9,'RES installed'!$A$2:$C$7,3,FALSE)*'[1]Profiles, RES, Summer'!M$2</f>
        <v>45.981804397270658</v>
      </c>
      <c r="N9" s="6">
        <f>VLOOKUP($A9,'RES installed'!$A$2:$C$7,3,FALSE)*'[1]Profiles, RES, Summer'!N$2</f>
        <v>47.005307050796056</v>
      </c>
      <c r="O9" s="6">
        <f>VLOOKUP($A9,'RES installed'!$A$2:$C$7,3,FALSE)*'[1]Profiles, RES, Summer'!O$2</f>
        <v>47.024260803639123</v>
      </c>
      <c r="P9" s="6">
        <f>VLOOKUP($A9,'RES installed'!$A$2:$C$7,3,FALSE)*'[1]Profiles, RES, Summer'!P$2</f>
        <v>45.41319181197877</v>
      </c>
      <c r="Q9" s="6">
        <f>VLOOKUP($A9,'RES installed'!$A$2:$C$7,3,FALSE)*'[1]Profiles, RES, Summer'!Q$2</f>
        <v>40.390447308567097</v>
      </c>
      <c r="R9" s="6">
        <f>VLOOKUP($A9,'RES installed'!$A$2:$C$7,3,FALSE)*'[1]Profiles, RES, Summer'!R$2</f>
        <v>32.37300985595148</v>
      </c>
      <c r="S9" s="6">
        <f>VLOOKUP($A9,'RES installed'!$A$2:$C$7,3,FALSE)*'[1]Profiles, RES, Summer'!S$2</f>
        <v>20.943896891584536</v>
      </c>
      <c r="T9" s="6">
        <f>VLOOKUP($A9,'RES installed'!$A$2:$C$7,3,FALSE)*'[1]Profiles, RES, Summer'!T$2</f>
        <v>7.2971948445792272</v>
      </c>
      <c r="U9" s="6">
        <f>VLOOKUP($A9,'RES installed'!$A$2:$C$7,3,FALSE)*'[1]Profiles, RES, Summer'!U$2</f>
        <v>0.60652009097801363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0.13646702047005307</v>
      </c>
      <c r="H10" s="6">
        <f>VLOOKUP($A10,'RES installed'!$A$2:$C$7,3,FALSE)*'[1]Profiles, RES, Summer'!H$2</f>
        <v>4.0030326004548904</v>
      </c>
      <c r="I10" s="6">
        <f>VLOOKUP($A10,'RES installed'!$A$2:$C$7,3,FALSE)*'[1]Profiles, RES, Summer'!I$2</f>
        <v>16.648976497346474</v>
      </c>
      <c r="J10" s="6">
        <f>VLOOKUP($A10,'RES installed'!$A$2:$C$7,3,FALSE)*'[1]Profiles, RES, Summer'!J$2</f>
        <v>34.480667172100077</v>
      </c>
      <c r="K10" s="6">
        <f>VLOOKUP($A10,'RES installed'!$A$2:$C$7,3,FALSE)*'[1]Profiles, RES, Summer'!K$2</f>
        <v>45.375284306292649</v>
      </c>
      <c r="L10" s="6">
        <f>VLOOKUP($A10,'RES installed'!$A$2:$C$7,3,FALSE)*'[1]Profiles, RES, Summer'!L$2</f>
        <v>52.130401819560269</v>
      </c>
      <c r="M10" s="6">
        <f>VLOOKUP($A10,'RES installed'!$A$2:$C$7,3,FALSE)*'[1]Profiles, RES, Summer'!M$2</f>
        <v>55.178165276724791</v>
      </c>
      <c r="N10" s="6">
        <f>VLOOKUP($A10,'RES installed'!$A$2:$C$7,3,FALSE)*'[1]Profiles, RES, Summer'!N$2</f>
        <v>56.406368460955271</v>
      </c>
      <c r="O10" s="6">
        <f>VLOOKUP($A10,'RES installed'!$A$2:$C$7,3,FALSE)*'[1]Profiles, RES, Summer'!O$2</f>
        <v>56.429112964366951</v>
      </c>
      <c r="P10" s="6">
        <f>VLOOKUP($A10,'RES installed'!$A$2:$C$7,3,FALSE)*'[1]Profiles, RES, Summer'!P$2</f>
        <v>54.495830174374525</v>
      </c>
      <c r="Q10" s="6">
        <f>VLOOKUP($A10,'RES installed'!$A$2:$C$7,3,FALSE)*'[1]Profiles, RES, Summer'!Q$2</f>
        <v>48.468536770280515</v>
      </c>
      <c r="R10" s="6">
        <f>VLOOKUP($A10,'RES installed'!$A$2:$C$7,3,FALSE)*'[1]Profiles, RES, Summer'!R$2</f>
        <v>38.847611827141776</v>
      </c>
      <c r="S10" s="6">
        <f>VLOOKUP($A10,'RES installed'!$A$2:$C$7,3,FALSE)*'[1]Profiles, RES, Summer'!S$2</f>
        <v>25.132676269901442</v>
      </c>
      <c r="T10" s="6">
        <f>VLOOKUP($A10,'RES installed'!$A$2:$C$7,3,FALSE)*'[1]Profiles, RES, Summer'!T$2</f>
        <v>8.756633813495073</v>
      </c>
      <c r="U10" s="6">
        <f>VLOOKUP($A10,'RES installed'!$A$2:$C$7,3,FALSE)*'[1]Profiles, RES, Summer'!U$2</f>
        <v>0.7278241091736164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9DABC2-C2BD-4099-8F87-452525C0E91A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12.826174227217987</v>
      </c>
      <c r="C5" s="9">
        <f>VLOOKUP($A5,'RES installed'!$A$2:$C$7,3,FALSE)*'[1]Profiles, RES, Summer'!C$6</f>
        <v>11.913890004014451</v>
      </c>
      <c r="D5" s="9">
        <f>VLOOKUP($A5,'RES installed'!$A$2:$C$7,3,FALSE)*'[1]Profiles, RES, Summer'!D$6</f>
        <v>12.112605379365716</v>
      </c>
      <c r="E5" s="9">
        <f>VLOOKUP($A5,'RES installed'!$A$2:$C$7,3,FALSE)*'[1]Profiles, RES, Summer'!E$6</f>
        <v>10.947410678442393</v>
      </c>
      <c r="F5" s="9">
        <f>VLOOKUP($A5,'RES installed'!$A$2:$C$7,3,FALSE)*'[1]Profiles, RES, Summer'!F$6</f>
        <v>10.242874347651545</v>
      </c>
      <c r="G5" s="9">
        <f>VLOOKUP($A5,'RES installed'!$A$2:$C$7,3,FALSE)*'[1]Profiles, RES, Summer'!G$6</f>
        <v>10.875150541951024</v>
      </c>
      <c r="H5" s="9">
        <f>VLOOKUP($A5,'RES installed'!$A$2:$C$7,3,FALSE)*'[1]Profiles, RES, Summer'!H$6</f>
        <v>10.757727820152549</v>
      </c>
      <c r="I5" s="9">
        <f>VLOOKUP($A5,'RES installed'!$A$2:$C$7,3,FALSE)*'[1]Profiles, RES, Summer'!I$6</f>
        <v>7.9305499799277399</v>
      </c>
      <c r="J5" s="9">
        <f>VLOOKUP($A5,'RES installed'!$A$2:$C$7,3,FALSE)*'[1]Profiles, RES, Summer'!J$6</f>
        <v>5.0762745885186673</v>
      </c>
      <c r="K5" s="9">
        <f>VLOOKUP($A5,'RES installed'!$A$2:$C$7,3,FALSE)*'[1]Profiles, RES, Summer'!K$6</f>
        <v>3.6942994781212364</v>
      </c>
      <c r="L5" s="9">
        <f>VLOOKUP($A5,'RES installed'!$A$2:$C$7,3,FALSE)*'[1]Profiles, RES, Summer'!L$6</f>
        <v>2.7910477719791249</v>
      </c>
      <c r="M5" s="9">
        <f>VLOOKUP($A5,'RES installed'!$A$2:$C$7,3,FALSE)*'[1]Profiles, RES, Summer'!M$6</f>
        <v>2.6194299478121237</v>
      </c>
      <c r="N5" s="9">
        <f>VLOOKUP($A5,'RES installed'!$A$2:$C$7,3,FALSE)*'[1]Profiles, RES, Summer'!N$6</f>
        <v>3.2788036932958651</v>
      </c>
      <c r="O5" s="9">
        <f>VLOOKUP($A5,'RES installed'!$A$2:$C$7,3,FALSE)*'[1]Profiles, RES, Summer'!O$6</f>
        <v>4.2543155359293454</v>
      </c>
      <c r="P5" s="9">
        <f>VLOOKUP($A5,'RES installed'!$A$2:$C$7,3,FALSE)*'[1]Profiles, RES, Summer'!P$6</f>
        <v>6.0608189482135693</v>
      </c>
      <c r="Q5" s="9">
        <f>VLOOKUP($A5,'RES installed'!$A$2:$C$7,3,FALSE)*'[1]Profiles, RES, Summer'!Q$6</f>
        <v>7.6505419510236852</v>
      </c>
      <c r="R5" s="9">
        <f>VLOOKUP($A5,'RES installed'!$A$2:$C$7,3,FALSE)*'[1]Profiles, RES, Summer'!R$6</f>
        <v>9.1589723002810111</v>
      </c>
      <c r="S5" s="9">
        <f>VLOOKUP($A5,'RES installed'!$A$2:$C$7,3,FALSE)*'[1]Profiles, RES, Summer'!S$6</f>
        <v>9.7822159775190691</v>
      </c>
      <c r="T5" s="9">
        <f>VLOOKUP($A5,'RES installed'!$A$2:$C$7,3,FALSE)*'[1]Profiles, RES, Summer'!T$6</f>
        <v>9.3034925732637497</v>
      </c>
      <c r="U5" s="9">
        <f>VLOOKUP($A5,'RES installed'!$A$2:$C$7,3,FALSE)*'[1]Profiles, RES, Summer'!U$6</f>
        <v>9.0234845443596949</v>
      </c>
      <c r="V5" s="9">
        <f>VLOOKUP($A5,'RES installed'!$A$2:$C$7,3,FALSE)*'[1]Profiles, RES, Summer'!V$6</f>
        <v>9.0505820955439589</v>
      </c>
      <c r="W5" s="9">
        <f>VLOOKUP($A5,'RES installed'!$A$2:$C$7,3,FALSE)*'[1]Profiles, RES, Summer'!W$6</f>
        <v>8.3189482135688468</v>
      </c>
      <c r="X5" s="9">
        <f>VLOOKUP($A5,'RES installed'!$A$2:$C$7,3,FALSE)*'[1]Profiles, RES, Summer'!X$6</f>
        <v>7.7137695704536338</v>
      </c>
      <c r="Y5" s="9">
        <f>VLOOKUP($A5,'RES installed'!$A$2:$C$7,3,FALSE)*'[1]Profiles, RES, Summer'!Y$6</f>
        <v>7.8492573263749499</v>
      </c>
    </row>
    <row r="6" spans="1:25" x14ac:dyDescent="0.3">
      <c r="A6" s="8">
        <v>5</v>
      </c>
      <c r="B6" s="9">
        <f>VLOOKUP($A6,'RES installed'!$A$2:$C$7,3,FALSE)*'[1]Profiles, RES, Summer'!B$6</f>
        <v>17.101565636290648</v>
      </c>
      <c r="C6" s="9">
        <f>VLOOKUP($A6,'RES installed'!$A$2:$C$7,3,FALSE)*'[1]Profiles, RES, Summer'!C$6</f>
        <v>15.885186672019268</v>
      </c>
      <c r="D6" s="9">
        <f>VLOOKUP($A6,'RES installed'!$A$2:$C$7,3,FALSE)*'[1]Profiles, RES, Summer'!D$6</f>
        <v>16.150140505820954</v>
      </c>
      <c r="E6" s="9">
        <f>VLOOKUP($A6,'RES installed'!$A$2:$C$7,3,FALSE)*'[1]Profiles, RES, Summer'!E$6</f>
        <v>14.596547571256524</v>
      </c>
      <c r="F6" s="9">
        <f>VLOOKUP($A6,'RES installed'!$A$2:$C$7,3,FALSE)*'[1]Profiles, RES, Summer'!F$6</f>
        <v>13.657165796868727</v>
      </c>
      <c r="G6" s="9">
        <f>VLOOKUP($A6,'RES installed'!$A$2:$C$7,3,FALSE)*'[1]Profiles, RES, Summer'!G$6</f>
        <v>14.500200722601365</v>
      </c>
      <c r="H6" s="9">
        <f>VLOOKUP($A6,'RES installed'!$A$2:$C$7,3,FALSE)*'[1]Profiles, RES, Summer'!H$6</f>
        <v>14.343637093536731</v>
      </c>
      <c r="I6" s="9">
        <f>VLOOKUP($A6,'RES installed'!$A$2:$C$7,3,FALSE)*'[1]Profiles, RES, Summer'!I$6</f>
        <v>10.574066639903654</v>
      </c>
      <c r="J6" s="9">
        <f>VLOOKUP($A6,'RES installed'!$A$2:$C$7,3,FALSE)*'[1]Profiles, RES, Summer'!J$6</f>
        <v>6.7683661180248897</v>
      </c>
      <c r="K6" s="9">
        <f>VLOOKUP($A6,'RES installed'!$A$2:$C$7,3,FALSE)*'[1]Profiles, RES, Summer'!K$6</f>
        <v>4.9257326374949812</v>
      </c>
      <c r="L6" s="9">
        <f>VLOOKUP($A6,'RES installed'!$A$2:$C$7,3,FALSE)*'[1]Profiles, RES, Summer'!L$6</f>
        <v>3.7213970293054994</v>
      </c>
      <c r="M6" s="9">
        <f>VLOOKUP($A6,'RES installed'!$A$2:$C$7,3,FALSE)*'[1]Profiles, RES, Summer'!M$6</f>
        <v>3.4925732637494979</v>
      </c>
      <c r="N6" s="9">
        <f>VLOOKUP($A6,'RES installed'!$A$2:$C$7,3,FALSE)*'[1]Profiles, RES, Summer'!N$6</f>
        <v>4.3717382577278201</v>
      </c>
      <c r="O6" s="9">
        <f>VLOOKUP($A6,'RES installed'!$A$2:$C$7,3,FALSE)*'[1]Profiles, RES, Summer'!O$6</f>
        <v>5.6724207145724606</v>
      </c>
      <c r="P6" s="9">
        <f>VLOOKUP($A6,'RES installed'!$A$2:$C$7,3,FALSE)*'[1]Profiles, RES, Summer'!P$6</f>
        <v>8.0810919309514251</v>
      </c>
      <c r="Q6" s="9">
        <f>VLOOKUP($A6,'RES installed'!$A$2:$C$7,3,FALSE)*'[1]Profiles, RES, Summer'!Q$6</f>
        <v>10.200722601364912</v>
      </c>
      <c r="R6" s="9">
        <f>VLOOKUP($A6,'RES installed'!$A$2:$C$7,3,FALSE)*'[1]Profiles, RES, Summer'!R$6</f>
        <v>12.211963067041349</v>
      </c>
      <c r="S6" s="9">
        <f>VLOOKUP($A6,'RES installed'!$A$2:$C$7,3,FALSE)*'[1]Profiles, RES, Summer'!S$6</f>
        <v>13.042954636692093</v>
      </c>
      <c r="T6" s="9">
        <f>VLOOKUP($A6,'RES installed'!$A$2:$C$7,3,FALSE)*'[1]Profiles, RES, Summer'!T$6</f>
        <v>12.404656764351666</v>
      </c>
      <c r="U6" s="9">
        <f>VLOOKUP($A6,'RES installed'!$A$2:$C$7,3,FALSE)*'[1]Profiles, RES, Summer'!U$6</f>
        <v>12.031312725812926</v>
      </c>
      <c r="V6" s="9">
        <f>VLOOKUP($A6,'RES installed'!$A$2:$C$7,3,FALSE)*'[1]Profiles, RES, Summer'!V$6</f>
        <v>12.067442794058611</v>
      </c>
      <c r="W6" s="9">
        <f>VLOOKUP($A6,'RES installed'!$A$2:$C$7,3,FALSE)*'[1]Profiles, RES, Summer'!W$6</f>
        <v>11.09193095142513</v>
      </c>
      <c r="X6" s="9">
        <f>VLOOKUP($A6,'RES installed'!$A$2:$C$7,3,FALSE)*'[1]Profiles, RES, Summer'!X$6</f>
        <v>10.285026093938178</v>
      </c>
      <c r="Y6" s="9">
        <f>VLOOKUP($A6,'RES installed'!$A$2:$C$7,3,FALSE)*'[1]Profiles, RES, Summer'!Y$6</f>
        <v>10.4656764351666</v>
      </c>
    </row>
    <row r="7" spans="1:25" x14ac:dyDescent="0.3">
      <c r="A7" s="8">
        <v>6</v>
      </c>
      <c r="B7" s="9">
        <f>VLOOKUP($A7,'RES installed'!$A$2:$C$7,3,FALSE)*'[1]Profiles, RES, Summer'!B$6</f>
        <v>12.826174227217987</v>
      </c>
      <c r="C7" s="9">
        <f>VLOOKUP($A7,'RES installed'!$A$2:$C$7,3,FALSE)*'[1]Profiles, RES, Summer'!C$6</f>
        <v>11.913890004014451</v>
      </c>
      <c r="D7" s="9">
        <f>VLOOKUP($A7,'RES installed'!$A$2:$C$7,3,FALSE)*'[1]Profiles, RES, Summer'!D$6</f>
        <v>12.112605379365716</v>
      </c>
      <c r="E7" s="9">
        <f>VLOOKUP($A7,'RES installed'!$A$2:$C$7,3,FALSE)*'[1]Profiles, RES, Summer'!E$6</f>
        <v>10.947410678442393</v>
      </c>
      <c r="F7" s="9">
        <f>VLOOKUP($A7,'RES installed'!$A$2:$C$7,3,FALSE)*'[1]Profiles, RES, Summer'!F$6</f>
        <v>10.242874347651545</v>
      </c>
      <c r="G7" s="9">
        <f>VLOOKUP($A7,'RES installed'!$A$2:$C$7,3,FALSE)*'[1]Profiles, RES, Summer'!G$6</f>
        <v>10.875150541951024</v>
      </c>
      <c r="H7" s="9">
        <f>VLOOKUP($A7,'RES installed'!$A$2:$C$7,3,FALSE)*'[1]Profiles, RES, Summer'!H$6</f>
        <v>10.757727820152549</v>
      </c>
      <c r="I7" s="9">
        <f>VLOOKUP($A7,'RES installed'!$A$2:$C$7,3,FALSE)*'[1]Profiles, RES, Summer'!I$6</f>
        <v>7.9305499799277399</v>
      </c>
      <c r="J7" s="9">
        <f>VLOOKUP($A7,'RES installed'!$A$2:$C$7,3,FALSE)*'[1]Profiles, RES, Summer'!J$6</f>
        <v>5.0762745885186673</v>
      </c>
      <c r="K7" s="9">
        <f>VLOOKUP($A7,'RES installed'!$A$2:$C$7,3,FALSE)*'[1]Profiles, RES, Summer'!K$6</f>
        <v>3.6942994781212364</v>
      </c>
      <c r="L7" s="9">
        <f>VLOOKUP($A7,'RES installed'!$A$2:$C$7,3,FALSE)*'[1]Profiles, RES, Summer'!L$6</f>
        <v>2.7910477719791249</v>
      </c>
      <c r="M7" s="9">
        <f>VLOOKUP($A7,'RES installed'!$A$2:$C$7,3,FALSE)*'[1]Profiles, RES, Summer'!M$6</f>
        <v>2.6194299478121237</v>
      </c>
      <c r="N7" s="9">
        <f>VLOOKUP($A7,'RES installed'!$A$2:$C$7,3,FALSE)*'[1]Profiles, RES, Summer'!N$6</f>
        <v>3.2788036932958651</v>
      </c>
      <c r="O7" s="9">
        <f>VLOOKUP($A7,'RES installed'!$A$2:$C$7,3,FALSE)*'[1]Profiles, RES, Summer'!O$6</f>
        <v>4.2543155359293454</v>
      </c>
      <c r="P7" s="9">
        <f>VLOOKUP($A7,'RES installed'!$A$2:$C$7,3,FALSE)*'[1]Profiles, RES, Summer'!P$6</f>
        <v>6.0608189482135693</v>
      </c>
      <c r="Q7" s="9">
        <f>VLOOKUP($A7,'RES installed'!$A$2:$C$7,3,FALSE)*'[1]Profiles, RES, Summer'!Q$6</f>
        <v>7.6505419510236852</v>
      </c>
      <c r="R7" s="9">
        <f>VLOOKUP($A7,'RES installed'!$A$2:$C$7,3,FALSE)*'[1]Profiles, RES, Summer'!R$6</f>
        <v>9.1589723002810111</v>
      </c>
      <c r="S7" s="9">
        <f>VLOOKUP($A7,'RES installed'!$A$2:$C$7,3,FALSE)*'[1]Profiles, RES, Summer'!S$6</f>
        <v>9.7822159775190691</v>
      </c>
      <c r="T7" s="9">
        <f>VLOOKUP($A7,'RES installed'!$A$2:$C$7,3,FALSE)*'[1]Profiles, RES, Summer'!T$6</f>
        <v>9.3034925732637497</v>
      </c>
      <c r="U7" s="9">
        <f>VLOOKUP($A7,'RES installed'!$A$2:$C$7,3,FALSE)*'[1]Profiles, RES, Summer'!U$6</f>
        <v>9.0234845443596949</v>
      </c>
      <c r="V7" s="9">
        <f>VLOOKUP($A7,'RES installed'!$A$2:$C$7,3,FALSE)*'[1]Profiles, RES, Summer'!V$6</f>
        <v>9.0505820955439589</v>
      </c>
      <c r="W7" s="9">
        <f>VLOOKUP($A7,'RES installed'!$A$2:$C$7,3,FALSE)*'[1]Profiles, RES, Summer'!W$6</f>
        <v>8.3189482135688468</v>
      </c>
      <c r="X7" s="9">
        <f>VLOOKUP($A7,'RES installed'!$A$2:$C$7,3,FALSE)*'[1]Profiles, RES, Summer'!X$6</f>
        <v>7.7137695704536338</v>
      </c>
      <c r="Y7" s="9">
        <f>VLOOKUP($A7,'RES installed'!$A$2:$C$7,3,FALSE)*'[1]Profiles, RES, Summer'!Y$6</f>
        <v>7.8492573263749499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0.14215314632297193</v>
      </c>
      <c r="H8" s="6">
        <f>VLOOKUP($A8,'RES installed'!$A$2:$C$7,3,FALSE)*'[1]Profiles, RES, Summer'!H$3</f>
        <v>5.9988627748294157</v>
      </c>
      <c r="I8" s="6">
        <f>VLOOKUP($A8,'RES installed'!$A$2:$C$7,3,FALSE)*'[1]Profiles, RES, Summer'!I$3</f>
        <v>24.137604245640638</v>
      </c>
      <c r="J8" s="6">
        <f>VLOOKUP($A8,'RES installed'!$A$2:$C$7,3,FALSE)*'[1]Profiles, RES, Summer'!J$3</f>
        <v>44.124336618650489</v>
      </c>
      <c r="K8" s="6">
        <f>VLOOKUP($A8,'RES installed'!$A$2:$C$7,3,FALSE)*'[1]Profiles, RES, Summer'!K$3</f>
        <v>58.026914329037155</v>
      </c>
      <c r="L8" s="6">
        <f>VLOOKUP($A8,'RES installed'!$A$2:$C$7,3,FALSE)*'[1]Profiles, RES, Summer'!L$3</f>
        <v>67.494313874147082</v>
      </c>
      <c r="M8" s="6">
        <f>VLOOKUP($A8,'RES installed'!$A$2:$C$7,3,FALSE)*'[1]Profiles, RES, Summer'!M$3</f>
        <v>70.991281273692195</v>
      </c>
      <c r="N8" s="6">
        <f>VLOOKUP($A8,'RES installed'!$A$2:$C$7,3,FALSE)*'[1]Profiles, RES, Summer'!N$3</f>
        <v>71.190295678544345</v>
      </c>
      <c r="O8" s="6">
        <f>VLOOKUP($A8,'RES installed'!$A$2:$C$7,3,FALSE)*'[1]Profiles, RES, Summer'!O$3</f>
        <v>69.683472327520846</v>
      </c>
      <c r="P8" s="6">
        <f>VLOOKUP($A8,'RES installed'!$A$2:$C$7,3,FALSE)*'[1]Profiles, RES, Summer'!P$3</f>
        <v>67.465883244882491</v>
      </c>
      <c r="Q8" s="6">
        <f>VLOOKUP($A8,'RES installed'!$A$2:$C$7,3,FALSE)*'[1]Profiles, RES, Summer'!Q$3</f>
        <v>60.187642153146321</v>
      </c>
      <c r="R8" s="6">
        <f>VLOOKUP($A8,'RES installed'!$A$2:$C$7,3,FALSE)*'[1]Profiles, RES, Summer'!R$3</f>
        <v>48.332069749810465</v>
      </c>
      <c r="S8" s="6">
        <f>VLOOKUP($A8,'RES installed'!$A$2:$C$7,3,FALSE)*'[1]Profiles, RES, Summer'!S$3</f>
        <v>30.30705079605762</v>
      </c>
      <c r="T8" s="6">
        <f>VLOOKUP($A8,'RES installed'!$A$2:$C$7,3,FALSE)*'[1]Profiles, RES, Summer'!T$3</f>
        <v>9.8654283548142523</v>
      </c>
      <c r="U8" s="6">
        <f>VLOOKUP($A8,'RES installed'!$A$2:$C$7,3,FALSE)*'[1]Profiles, RES, Summer'!U$3</f>
        <v>0.65390447308567101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9.4768764215314633E-2</v>
      </c>
      <c r="H9" s="6">
        <f>VLOOKUP($A9,'RES installed'!$A$2:$C$7,3,FALSE)*'[1]Profiles, RES, Summer'!H$3</f>
        <v>3.9992418498862774</v>
      </c>
      <c r="I9" s="6">
        <f>VLOOKUP($A9,'RES installed'!$A$2:$C$7,3,FALSE)*'[1]Profiles, RES, Summer'!I$3</f>
        <v>16.091736163760427</v>
      </c>
      <c r="J9" s="6">
        <f>VLOOKUP($A9,'RES installed'!$A$2:$C$7,3,FALSE)*'[1]Profiles, RES, Summer'!J$3</f>
        <v>29.41622441243366</v>
      </c>
      <c r="K9" s="6">
        <f>VLOOKUP($A9,'RES installed'!$A$2:$C$7,3,FALSE)*'[1]Profiles, RES, Summer'!K$3</f>
        <v>38.684609552691434</v>
      </c>
      <c r="L9" s="6">
        <f>VLOOKUP($A9,'RES installed'!$A$2:$C$7,3,FALSE)*'[1]Profiles, RES, Summer'!L$3</f>
        <v>44.996209249431388</v>
      </c>
      <c r="M9" s="6">
        <f>VLOOKUP($A9,'RES installed'!$A$2:$C$7,3,FALSE)*'[1]Profiles, RES, Summer'!M$3</f>
        <v>47.327520849128128</v>
      </c>
      <c r="N9" s="6">
        <f>VLOOKUP($A9,'RES installed'!$A$2:$C$7,3,FALSE)*'[1]Profiles, RES, Summer'!N$3</f>
        <v>47.460197119029566</v>
      </c>
      <c r="O9" s="6">
        <f>VLOOKUP($A9,'RES installed'!$A$2:$C$7,3,FALSE)*'[1]Profiles, RES, Summer'!O$3</f>
        <v>46.455648218347235</v>
      </c>
      <c r="P9" s="6">
        <f>VLOOKUP($A9,'RES installed'!$A$2:$C$7,3,FALSE)*'[1]Profiles, RES, Summer'!P$3</f>
        <v>44.977255496588327</v>
      </c>
      <c r="Q9" s="6">
        <f>VLOOKUP($A9,'RES installed'!$A$2:$C$7,3,FALSE)*'[1]Profiles, RES, Summer'!Q$3</f>
        <v>40.125094768764214</v>
      </c>
      <c r="R9" s="6">
        <f>VLOOKUP($A9,'RES installed'!$A$2:$C$7,3,FALSE)*'[1]Profiles, RES, Summer'!R$3</f>
        <v>32.221379833206974</v>
      </c>
      <c r="S9" s="6">
        <f>VLOOKUP($A9,'RES installed'!$A$2:$C$7,3,FALSE)*'[1]Profiles, RES, Summer'!S$3</f>
        <v>20.204700530705079</v>
      </c>
      <c r="T9" s="6">
        <f>VLOOKUP($A9,'RES installed'!$A$2:$C$7,3,FALSE)*'[1]Profiles, RES, Summer'!T$3</f>
        <v>6.5769522365428355</v>
      </c>
      <c r="U9" s="6">
        <f>VLOOKUP($A9,'RES installed'!$A$2:$C$7,3,FALSE)*'[1]Profiles, RES, Summer'!U$3</f>
        <v>0.4359363153904473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0.11372251705837756</v>
      </c>
      <c r="H10" s="6">
        <f>VLOOKUP($A10,'RES installed'!$A$2:$C$7,3,FALSE)*'[1]Profiles, RES, Summer'!H$3</f>
        <v>4.7990902198635323</v>
      </c>
      <c r="I10" s="6">
        <f>VLOOKUP($A10,'RES installed'!$A$2:$C$7,3,FALSE)*'[1]Profiles, RES, Summer'!I$3</f>
        <v>19.31008339651251</v>
      </c>
      <c r="J10" s="6">
        <f>VLOOKUP($A10,'RES installed'!$A$2:$C$7,3,FALSE)*'[1]Profiles, RES, Summer'!J$3</f>
        <v>35.299469294920392</v>
      </c>
      <c r="K10" s="6">
        <f>VLOOKUP($A10,'RES installed'!$A$2:$C$7,3,FALSE)*'[1]Profiles, RES, Summer'!K$3</f>
        <v>46.421531463229719</v>
      </c>
      <c r="L10" s="6">
        <f>VLOOKUP($A10,'RES installed'!$A$2:$C$7,3,FALSE)*'[1]Profiles, RES, Summer'!L$3</f>
        <v>53.995451099317663</v>
      </c>
      <c r="M10" s="6">
        <f>VLOOKUP($A10,'RES installed'!$A$2:$C$7,3,FALSE)*'[1]Profiles, RES, Summer'!M$3</f>
        <v>56.793025018953756</v>
      </c>
      <c r="N10" s="6">
        <f>VLOOKUP($A10,'RES installed'!$A$2:$C$7,3,FALSE)*'[1]Profiles, RES, Summer'!N$3</f>
        <v>56.952236542835479</v>
      </c>
      <c r="O10" s="6">
        <f>VLOOKUP($A10,'RES installed'!$A$2:$C$7,3,FALSE)*'[1]Profiles, RES, Summer'!O$3</f>
        <v>55.746777862016678</v>
      </c>
      <c r="P10" s="6">
        <f>VLOOKUP($A10,'RES installed'!$A$2:$C$7,3,FALSE)*'[1]Profiles, RES, Summer'!P$3</f>
        <v>53.97270659590599</v>
      </c>
      <c r="Q10" s="6">
        <f>VLOOKUP($A10,'RES installed'!$A$2:$C$7,3,FALSE)*'[1]Profiles, RES, Summer'!Q$3</f>
        <v>48.150113722517055</v>
      </c>
      <c r="R10" s="6">
        <f>VLOOKUP($A10,'RES installed'!$A$2:$C$7,3,FALSE)*'[1]Profiles, RES, Summer'!R$3</f>
        <v>38.665655799848373</v>
      </c>
      <c r="S10" s="6">
        <f>VLOOKUP($A10,'RES installed'!$A$2:$C$7,3,FALSE)*'[1]Profiles, RES, Summer'!S$3</f>
        <v>24.245640636846097</v>
      </c>
      <c r="T10" s="6">
        <f>VLOOKUP($A10,'RES installed'!$A$2:$C$7,3,FALSE)*'[1]Profiles, RES, Summer'!T$3</f>
        <v>7.8923426838514024</v>
      </c>
      <c r="U10" s="6">
        <f>VLOOKUP($A10,'RES installed'!$A$2:$C$7,3,FALSE)*'[1]Profiles, RES, Summer'!U$3</f>
        <v>0.52312357846853674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B240F-3F68-4E99-9835-98D43081D49C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13.395222802087515</v>
      </c>
      <c r="C5" s="9">
        <f>VLOOKUP($A5,'RES installed'!$A$2:$C$7,3,FALSE)*'[1]Profiles, RES, Summer'!C$7</f>
        <v>12.049377759935769</v>
      </c>
      <c r="D5" s="9">
        <f>VLOOKUP($A5,'RES installed'!$A$2:$C$7,3,FALSE)*'[1]Profiles, RES, Summer'!D$7</f>
        <v>10.062224006423122</v>
      </c>
      <c r="E5" s="9">
        <f>VLOOKUP($A5,'RES installed'!$A$2:$C$7,3,FALSE)*'[1]Profiles, RES, Summer'!E$7</f>
        <v>9.5112404656764351</v>
      </c>
      <c r="F5" s="9">
        <f>VLOOKUP($A5,'RES installed'!$A$2:$C$7,3,FALSE)*'[1]Profiles, RES, Summer'!F$7</f>
        <v>9.3576876756322758</v>
      </c>
      <c r="G5" s="9">
        <f>VLOOKUP($A5,'RES installed'!$A$2:$C$7,3,FALSE)*'[1]Profiles, RES, Summer'!G$7</f>
        <v>10.495784825371336</v>
      </c>
      <c r="H5" s="9">
        <f>VLOOKUP($A5,'RES installed'!$A$2:$C$7,3,FALSE)*'[1]Profiles, RES, Summer'!H$7</f>
        <v>11.570654355680448</v>
      </c>
      <c r="I5" s="9">
        <f>VLOOKUP($A5,'RES installed'!$A$2:$C$7,3,FALSE)*'[1]Profiles, RES, Summer'!I$7</f>
        <v>11.968085106382979</v>
      </c>
      <c r="J5" s="9">
        <f>VLOOKUP($A5,'RES installed'!$A$2:$C$7,3,FALSE)*'[1]Profiles, RES, Summer'!J$7</f>
        <v>9.7280208751505413</v>
      </c>
      <c r="K5" s="9">
        <f>VLOOKUP($A5,'RES installed'!$A$2:$C$7,3,FALSE)*'[1]Profiles, RES, Summer'!K$7</f>
        <v>7.5692492974708951</v>
      </c>
      <c r="L5" s="9">
        <f>VLOOKUP($A5,'RES installed'!$A$2:$C$7,3,FALSE)*'[1]Profiles, RES, Summer'!L$7</f>
        <v>6.8105178643115218</v>
      </c>
      <c r="M5" s="9">
        <f>VLOOKUP($A5,'RES installed'!$A$2:$C$7,3,FALSE)*'[1]Profiles, RES, Summer'!M$7</f>
        <v>6.0788839823364107</v>
      </c>
      <c r="N5" s="9">
        <f>VLOOKUP($A5,'RES installed'!$A$2:$C$7,3,FALSE)*'[1]Profiles, RES, Summer'!N$7</f>
        <v>6.5847049377759941</v>
      </c>
      <c r="O5" s="9">
        <f>VLOOKUP($A5,'RES installed'!$A$2:$C$7,3,FALSE)*'[1]Profiles, RES, Summer'!O$7</f>
        <v>8.7615415495784816</v>
      </c>
      <c r="P5" s="9">
        <f>VLOOKUP($A5,'RES installed'!$A$2:$C$7,3,FALSE)*'[1]Profiles, RES, Summer'!P$7</f>
        <v>11.019670814933761</v>
      </c>
      <c r="Q5" s="9">
        <f>VLOOKUP($A5,'RES installed'!$A$2:$C$7,3,FALSE)*'[1]Profiles, RES, Summer'!Q$7</f>
        <v>11.561621838619029</v>
      </c>
      <c r="R5" s="9">
        <f>VLOOKUP($A5,'RES installed'!$A$2:$C$7,3,FALSE)*'[1]Profiles, RES, Summer'!R$7</f>
        <v>12.482938578883983</v>
      </c>
      <c r="S5" s="9">
        <f>VLOOKUP($A5,'RES installed'!$A$2:$C$7,3,FALSE)*'[1]Profiles, RES, Summer'!S$7</f>
        <v>12.988759534323565</v>
      </c>
      <c r="T5" s="9">
        <f>VLOOKUP($A5,'RES installed'!$A$2:$C$7,3,FALSE)*'[1]Profiles, RES, Summer'!T$7</f>
        <v>13.313930148534725</v>
      </c>
      <c r="U5" s="9">
        <f>VLOOKUP($A5,'RES installed'!$A$2:$C$7,3,FALSE)*'[1]Profiles, RES, Summer'!U$7</f>
        <v>15.255921316740265</v>
      </c>
      <c r="V5" s="9">
        <f>VLOOKUP($A5,'RES installed'!$A$2:$C$7,3,FALSE)*'[1]Profiles, RES, Summer'!V$7</f>
        <v>17.16178241670012</v>
      </c>
      <c r="W5" s="9">
        <f>VLOOKUP($A5,'RES installed'!$A$2:$C$7,3,FALSE)*'[1]Profiles, RES, Summer'!W$7</f>
        <v>16.574668807707749</v>
      </c>
      <c r="X5" s="9">
        <f>VLOOKUP($A5,'RES installed'!$A$2:$C$7,3,FALSE)*'[1]Profiles, RES, Summer'!X$7</f>
        <v>15.6985146527499</v>
      </c>
      <c r="Y5" s="9">
        <f>VLOOKUP($A5,'RES installed'!$A$2:$C$7,3,FALSE)*'[1]Profiles, RES, Summer'!Y$7</f>
        <v>15.418506623845845</v>
      </c>
    </row>
    <row r="6" spans="1:25" x14ac:dyDescent="0.3">
      <c r="A6" s="8">
        <v>5</v>
      </c>
      <c r="B6" s="9">
        <f>VLOOKUP($A6,'RES installed'!$A$2:$C$7,3,FALSE)*'[1]Profiles, RES, Summer'!B$7</f>
        <v>17.86029706945002</v>
      </c>
      <c r="C6" s="9">
        <f>VLOOKUP($A6,'RES installed'!$A$2:$C$7,3,FALSE)*'[1]Profiles, RES, Summer'!C$7</f>
        <v>16.065837013247691</v>
      </c>
      <c r="D6" s="9">
        <f>VLOOKUP($A6,'RES installed'!$A$2:$C$7,3,FALSE)*'[1]Profiles, RES, Summer'!D$7</f>
        <v>13.416298675230831</v>
      </c>
      <c r="E6" s="9">
        <f>VLOOKUP($A6,'RES installed'!$A$2:$C$7,3,FALSE)*'[1]Profiles, RES, Summer'!E$7</f>
        <v>12.681653954235248</v>
      </c>
      <c r="F6" s="9">
        <f>VLOOKUP($A6,'RES installed'!$A$2:$C$7,3,FALSE)*'[1]Profiles, RES, Summer'!F$7</f>
        <v>12.476916900843035</v>
      </c>
      <c r="G6" s="9">
        <f>VLOOKUP($A6,'RES installed'!$A$2:$C$7,3,FALSE)*'[1]Profiles, RES, Summer'!G$7</f>
        <v>13.994379767161782</v>
      </c>
      <c r="H6" s="9">
        <f>VLOOKUP($A6,'RES installed'!$A$2:$C$7,3,FALSE)*'[1]Profiles, RES, Summer'!H$7</f>
        <v>15.427539140907264</v>
      </c>
      <c r="I6" s="9">
        <f>VLOOKUP($A6,'RES installed'!$A$2:$C$7,3,FALSE)*'[1]Profiles, RES, Summer'!I$7</f>
        <v>15.957446808510639</v>
      </c>
      <c r="J6" s="9">
        <f>VLOOKUP($A6,'RES installed'!$A$2:$C$7,3,FALSE)*'[1]Profiles, RES, Summer'!J$7</f>
        <v>12.970694500200722</v>
      </c>
      <c r="K6" s="9">
        <f>VLOOKUP($A6,'RES installed'!$A$2:$C$7,3,FALSE)*'[1]Profiles, RES, Summer'!K$7</f>
        <v>10.09233239662786</v>
      </c>
      <c r="L6" s="9">
        <f>VLOOKUP($A6,'RES installed'!$A$2:$C$7,3,FALSE)*'[1]Profiles, RES, Summer'!L$7</f>
        <v>9.0806904857486952</v>
      </c>
      <c r="M6" s="9">
        <f>VLOOKUP($A6,'RES installed'!$A$2:$C$7,3,FALSE)*'[1]Profiles, RES, Summer'!M$7</f>
        <v>8.1051786431152131</v>
      </c>
      <c r="N6" s="9">
        <f>VLOOKUP($A6,'RES installed'!$A$2:$C$7,3,FALSE)*'[1]Profiles, RES, Summer'!N$7</f>
        <v>8.7796065837013249</v>
      </c>
      <c r="O6" s="9">
        <f>VLOOKUP($A6,'RES installed'!$A$2:$C$7,3,FALSE)*'[1]Profiles, RES, Summer'!O$7</f>
        <v>11.682055399437976</v>
      </c>
      <c r="P6" s="9">
        <f>VLOOKUP($A6,'RES installed'!$A$2:$C$7,3,FALSE)*'[1]Profiles, RES, Summer'!P$7</f>
        <v>14.692894419911681</v>
      </c>
      <c r="Q6" s="9">
        <f>VLOOKUP($A6,'RES installed'!$A$2:$C$7,3,FALSE)*'[1]Profiles, RES, Summer'!Q$7</f>
        <v>15.415495784825371</v>
      </c>
      <c r="R6" s="9">
        <f>VLOOKUP($A6,'RES installed'!$A$2:$C$7,3,FALSE)*'[1]Profiles, RES, Summer'!R$7</f>
        <v>16.643918105178646</v>
      </c>
      <c r="S6" s="9">
        <f>VLOOKUP($A6,'RES installed'!$A$2:$C$7,3,FALSE)*'[1]Profiles, RES, Summer'!S$7</f>
        <v>17.318346045764756</v>
      </c>
      <c r="T6" s="9">
        <f>VLOOKUP($A6,'RES installed'!$A$2:$C$7,3,FALSE)*'[1]Profiles, RES, Summer'!T$7</f>
        <v>17.751906864712968</v>
      </c>
      <c r="U6" s="9">
        <f>VLOOKUP($A6,'RES installed'!$A$2:$C$7,3,FALSE)*'[1]Profiles, RES, Summer'!U$7</f>
        <v>20.341228422320352</v>
      </c>
      <c r="V6" s="9">
        <f>VLOOKUP($A6,'RES installed'!$A$2:$C$7,3,FALSE)*'[1]Profiles, RES, Summer'!V$7</f>
        <v>22.88237655560016</v>
      </c>
      <c r="W6" s="9">
        <f>VLOOKUP($A6,'RES installed'!$A$2:$C$7,3,FALSE)*'[1]Profiles, RES, Summer'!W$7</f>
        <v>22.099558410276995</v>
      </c>
      <c r="X6" s="9">
        <f>VLOOKUP($A6,'RES installed'!$A$2:$C$7,3,FALSE)*'[1]Profiles, RES, Summer'!X$7</f>
        <v>20.9313528703332</v>
      </c>
      <c r="Y6" s="9">
        <f>VLOOKUP($A6,'RES installed'!$A$2:$C$7,3,FALSE)*'[1]Profiles, RES, Summer'!Y$7</f>
        <v>20.55800883179446</v>
      </c>
    </row>
    <row r="7" spans="1:25" x14ac:dyDescent="0.3">
      <c r="A7" s="8">
        <v>6</v>
      </c>
      <c r="B7" s="9">
        <f>VLOOKUP($A7,'RES installed'!$A$2:$C$7,3,FALSE)*'[1]Profiles, RES, Summer'!B$7</f>
        <v>13.395222802087515</v>
      </c>
      <c r="C7" s="9">
        <f>VLOOKUP($A7,'RES installed'!$A$2:$C$7,3,FALSE)*'[1]Profiles, RES, Summer'!C$7</f>
        <v>12.049377759935769</v>
      </c>
      <c r="D7" s="9">
        <f>VLOOKUP($A7,'RES installed'!$A$2:$C$7,3,FALSE)*'[1]Profiles, RES, Summer'!D$7</f>
        <v>10.062224006423122</v>
      </c>
      <c r="E7" s="9">
        <f>VLOOKUP($A7,'RES installed'!$A$2:$C$7,3,FALSE)*'[1]Profiles, RES, Summer'!E$7</f>
        <v>9.5112404656764351</v>
      </c>
      <c r="F7" s="9">
        <f>VLOOKUP($A7,'RES installed'!$A$2:$C$7,3,FALSE)*'[1]Profiles, RES, Summer'!F$7</f>
        <v>9.3576876756322758</v>
      </c>
      <c r="G7" s="9">
        <f>VLOOKUP($A7,'RES installed'!$A$2:$C$7,3,FALSE)*'[1]Profiles, RES, Summer'!G$7</f>
        <v>10.495784825371336</v>
      </c>
      <c r="H7" s="9">
        <f>VLOOKUP($A7,'RES installed'!$A$2:$C$7,3,FALSE)*'[1]Profiles, RES, Summer'!H$7</f>
        <v>11.570654355680448</v>
      </c>
      <c r="I7" s="9">
        <f>VLOOKUP($A7,'RES installed'!$A$2:$C$7,3,FALSE)*'[1]Profiles, RES, Summer'!I$7</f>
        <v>11.968085106382979</v>
      </c>
      <c r="J7" s="9">
        <f>VLOOKUP($A7,'RES installed'!$A$2:$C$7,3,FALSE)*'[1]Profiles, RES, Summer'!J$7</f>
        <v>9.7280208751505413</v>
      </c>
      <c r="K7" s="9">
        <f>VLOOKUP($A7,'RES installed'!$A$2:$C$7,3,FALSE)*'[1]Profiles, RES, Summer'!K$7</f>
        <v>7.5692492974708951</v>
      </c>
      <c r="L7" s="9">
        <f>VLOOKUP($A7,'RES installed'!$A$2:$C$7,3,FALSE)*'[1]Profiles, RES, Summer'!L$7</f>
        <v>6.8105178643115218</v>
      </c>
      <c r="M7" s="9">
        <f>VLOOKUP($A7,'RES installed'!$A$2:$C$7,3,FALSE)*'[1]Profiles, RES, Summer'!M$7</f>
        <v>6.0788839823364107</v>
      </c>
      <c r="N7" s="9">
        <f>VLOOKUP($A7,'RES installed'!$A$2:$C$7,3,FALSE)*'[1]Profiles, RES, Summer'!N$7</f>
        <v>6.5847049377759941</v>
      </c>
      <c r="O7" s="9">
        <f>VLOOKUP($A7,'RES installed'!$A$2:$C$7,3,FALSE)*'[1]Profiles, RES, Summer'!O$7</f>
        <v>8.7615415495784816</v>
      </c>
      <c r="P7" s="9">
        <f>VLOOKUP($A7,'RES installed'!$A$2:$C$7,3,FALSE)*'[1]Profiles, RES, Summer'!P$7</f>
        <v>11.019670814933761</v>
      </c>
      <c r="Q7" s="9">
        <f>VLOOKUP($A7,'RES installed'!$A$2:$C$7,3,FALSE)*'[1]Profiles, RES, Summer'!Q$7</f>
        <v>11.561621838619029</v>
      </c>
      <c r="R7" s="9">
        <f>VLOOKUP($A7,'RES installed'!$A$2:$C$7,3,FALSE)*'[1]Profiles, RES, Summer'!R$7</f>
        <v>12.482938578883983</v>
      </c>
      <c r="S7" s="9">
        <f>VLOOKUP($A7,'RES installed'!$A$2:$C$7,3,FALSE)*'[1]Profiles, RES, Summer'!S$7</f>
        <v>12.988759534323565</v>
      </c>
      <c r="T7" s="9">
        <f>VLOOKUP($A7,'RES installed'!$A$2:$C$7,3,FALSE)*'[1]Profiles, RES, Summer'!T$7</f>
        <v>13.313930148534725</v>
      </c>
      <c r="U7" s="9">
        <f>VLOOKUP($A7,'RES installed'!$A$2:$C$7,3,FALSE)*'[1]Profiles, RES, Summer'!U$7</f>
        <v>15.255921316740265</v>
      </c>
      <c r="V7" s="9">
        <f>VLOOKUP($A7,'RES installed'!$A$2:$C$7,3,FALSE)*'[1]Profiles, RES, Summer'!V$7</f>
        <v>17.16178241670012</v>
      </c>
      <c r="W7" s="9">
        <f>VLOOKUP($A7,'RES installed'!$A$2:$C$7,3,FALSE)*'[1]Profiles, RES, Summer'!W$7</f>
        <v>16.574668807707749</v>
      </c>
      <c r="X7" s="9">
        <f>VLOOKUP($A7,'RES installed'!$A$2:$C$7,3,FALSE)*'[1]Profiles, RES, Summer'!X$7</f>
        <v>15.6985146527499</v>
      </c>
      <c r="Y7" s="9">
        <f>VLOOKUP($A7,'RES installed'!$A$2:$C$7,3,FALSE)*'[1]Profiles, RES, Summer'!Y$7</f>
        <v>15.418506623845845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2.843062926459439E-2</v>
      </c>
      <c r="H8" s="6">
        <f>VLOOKUP($A8,'RES installed'!$A$2:$C$7,3,FALSE)*'[1]Profiles, RES, Summer'!H$4</f>
        <v>3.49696739954511</v>
      </c>
      <c r="I8" s="6">
        <f>VLOOKUP($A8,'RES installed'!$A$2:$C$7,3,FALSE)*'[1]Profiles, RES, Summer'!I$4</f>
        <v>16.546626231993937</v>
      </c>
      <c r="J8" s="6">
        <f>VLOOKUP($A8,'RES installed'!$A$2:$C$7,3,FALSE)*'[1]Profiles, RES, Summer'!J$4</f>
        <v>36.021607278241092</v>
      </c>
      <c r="K8" s="6">
        <f>VLOOKUP($A8,'RES installed'!$A$2:$C$7,3,FALSE)*'[1]Profiles, RES, Summer'!K$4</f>
        <v>55.610310841546621</v>
      </c>
      <c r="L8" s="6">
        <f>VLOOKUP($A8,'RES installed'!$A$2:$C$7,3,FALSE)*'[1]Profiles, RES, Summer'!L$4</f>
        <v>68.26194086429112</v>
      </c>
      <c r="M8" s="6">
        <f>VLOOKUP($A8,'RES installed'!$A$2:$C$7,3,FALSE)*'[1]Profiles, RES, Summer'!M$4</f>
        <v>73.009855951478386</v>
      </c>
      <c r="N8" s="6">
        <f>VLOOKUP($A8,'RES installed'!$A$2:$C$7,3,FALSE)*'[1]Profiles, RES, Summer'!N$4</f>
        <v>75</v>
      </c>
      <c r="O8" s="6">
        <f>VLOOKUP($A8,'RES installed'!$A$2:$C$7,3,FALSE)*'[1]Profiles, RES, Summer'!O$4</f>
        <v>73.692191053828651</v>
      </c>
      <c r="P8" s="6">
        <f>VLOOKUP($A8,'RES installed'!$A$2:$C$7,3,FALSE)*'[1]Profiles, RES, Summer'!P$4</f>
        <v>69.967778620166797</v>
      </c>
      <c r="Q8" s="6">
        <f>VLOOKUP($A8,'RES installed'!$A$2:$C$7,3,FALSE)*'[1]Profiles, RES, Summer'!Q$4</f>
        <v>61.921910538286582</v>
      </c>
      <c r="R8" s="6">
        <f>VLOOKUP($A8,'RES installed'!$A$2:$C$7,3,FALSE)*'[1]Profiles, RES, Summer'!R$4</f>
        <v>48.644806671721</v>
      </c>
      <c r="S8" s="6">
        <f>VLOOKUP($A8,'RES installed'!$A$2:$C$7,3,FALSE)*'[1]Profiles, RES, Summer'!S$4</f>
        <v>28.94238059135709</v>
      </c>
      <c r="T8" s="6">
        <f>VLOOKUP($A8,'RES installed'!$A$2:$C$7,3,FALSE)*'[1]Profiles, RES, Summer'!T$4</f>
        <v>8.8419257012888544</v>
      </c>
      <c r="U8" s="6">
        <f>VLOOKUP($A8,'RES installed'!$A$2:$C$7,3,FALSE)*'[1]Profiles, RES, Summer'!U$4</f>
        <v>0.39802880970432147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1.8953752843062926E-2</v>
      </c>
      <c r="H9" s="6">
        <f>VLOOKUP($A9,'RES installed'!$A$2:$C$7,3,FALSE)*'[1]Profiles, RES, Summer'!H$4</f>
        <v>2.3313115996967402</v>
      </c>
      <c r="I9" s="6">
        <f>VLOOKUP($A9,'RES installed'!$A$2:$C$7,3,FALSE)*'[1]Profiles, RES, Summer'!I$4</f>
        <v>11.031084154662624</v>
      </c>
      <c r="J9" s="6">
        <f>VLOOKUP($A9,'RES installed'!$A$2:$C$7,3,FALSE)*'[1]Profiles, RES, Summer'!J$4</f>
        <v>24.014404852160727</v>
      </c>
      <c r="K9" s="6">
        <f>VLOOKUP($A9,'RES installed'!$A$2:$C$7,3,FALSE)*'[1]Profiles, RES, Summer'!K$4</f>
        <v>37.073540561031081</v>
      </c>
      <c r="L9" s="6">
        <f>VLOOKUP($A9,'RES installed'!$A$2:$C$7,3,FALSE)*'[1]Profiles, RES, Summer'!L$4</f>
        <v>45.507960576194087</v>
      </c>
      <c r="M9" s="6">
        <f>VLOOKUP($A9,'RES installed'!$A$2:$C$7,3,FALSE)*'[1]Profiles, RES, Summer'!M$4</f>
        <v>48.673237300985598</v>
      </c>
      <c r="N9" s="6">
        <f>VLOOKUP($A9,'RES installed'!$A$2:$C$7,3,FALSE)*'[1]Profiles, RES, Summer'!N$4</f>
        <v>50</v>
      </c>
      <c r="O9" s="6">
        <f>VLOOKUP($A9,'RES installed'!$A$2:$C$7,3,FALSE)*'[1]Profiles, RES, Summer'!O$4</f>
        <v>49.128127369219108</v>
      </c>
      <c r="P9" s="6">
        <f>VLOOKUP($A9,'RES installed'!$A$2:$C$7,3,FALSE)*'[1]Profiles, RES, Summer'!P$4</f>
        <v>46.645185746777862</v>
      </c>
      <c r="Q9" s="6">
        <f>VLOOKUP($A9,'RES installed'!$A$2:$C$7,3,FALSE)*'[1]Profiles, RES, Summer'!Q$4</f>
        <v>41.281273692191057</v>
      </c>
      <c r="R9" s="6">
        <f>VLOOKUP($A9,'RES installed'!$A$2:$C$7,3,FALSE)*'[1]Profiles, RES, Summer'!R$4</f>
        <v>32.429871114480669</v>
      </c>
      <c r="S9" s="6">
        <f>VLOOKUP($A9,'RES installed'!$A$2:$C$7,3,FALSE)*'[1]Profiles, RES, Summer'!S$4</f>
        <v>19.294920394238062</v>
      </c>
      <c r="T9" s="6">
        <f>VLOOKUP($A9,'RES installed'!$A$2:$C$7,3,FALSE)*'[1]Profiles, RES, Summer'!T$4</f>
        <v>5.8946171341925702</v>
      </c>
      <c r="U9" s="6">
        <f>VLOOKUP($A9,'RES installed'!$A$2:$C$7,3,FALSE)*'[1]Profiles, RES, Summer'!U$4</f>
        <v>0.26535253980288098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2.2744503411675512E-2</v>
      </c>
      <c r="H10" s="6">
        <f>VLOOKUP($A10,'RES installed'!$A$2:$C$7,3,FALSE)*'[1]Profiles, RES, Summer'!H$4</f>
        <v>2.797573919636088</v>
      </c>
      <c r="I10" s="6">
        <f>VLOOKUP($A10,'RES installed'!$A$2:$C$7,3,FALSE)*'[1]Profiles, RES, Summer'!I$4</f>
        <v>13.237300985595148</v>
      </c>
      <c r="J10" s="6">
        <f>VLOOKUP($A10,'RES installed'!$A$2:$C$7,3,FALSE)*'[1]Profiles, RES, Summer'!J$4</f>
        <v>28.817285822592876</v>
      </c>
      <c r="K10" s="6">
        <f>VLOOKUP($A10,'RES installed'!$A$2:$C$7,3,FALSE)*'[1]Profiles, RES, Summer'!K$4</f>
        <v>44.488248673237301</v>
      </c>
      <c r="L10" s="6">
        <f>VLOOKUP($A10,'RES installed'!$A$2:$C$7,3,FALSE)*'[1]Profiles, RES, Summer'!L$4</f>
        <v>54.609552691432903</v>
      </c>
      <c r="M10" s="6">
        <f>VLOOKUP($A10,'RES installed'!$A$2:$C$7,3,FALSE)*'[1]Profiles, RES, Summer'!M$4</f>
        <v>58.407884761182714</v>
      </c>
      <c r="N10" s="6">
        <f>VLOOKUP($A10,'RES installed'!$A$2:$C$7,3,FALSE)*'[1]Profiles, RES, Summer'!N$4</f>
        <v>60</v>
      </c>
      <c r="O10" s="6">
        <f>VLOOKUP($A10,'RES installed'!$A$2:$C$7,3,FALSE)*'[1]Profiles, RES, Summer'!O$4</f>
        <v>58.953752843062922</v>
      </c>
      <c r="P10" s="6">
        <f>VLOOKUP($A10,'RES installed'!$A$2:$C$7,3,FALSE)*'[1]Profiles, RES, Summer'!P$4</f>
        <v>55.974222896133433</v>
      </c>
      <c r="Q10" s="6">
        <f>VLOOKUP($A10,'RES installed'!$A$2:$C$7,3,FALSE)*'[1]Profiles, RES, Summer'!Q$4</f>
        <v>49.537528430629266</v>
      </c>
      <c r="R10" s="6">
        <f>VLOOKUP($A10,'RES installed'!$A$2:$C$7,3,FALSE)*'[1]Profiles, RES, Summer'!R$4</f>
        <v>38.915845337376801</v>
      </c>
      <c r="S10" s="6">
        <f>VLOOKUP($A10,'RES installed'!$A$2:$C$7,3,FALSE)*'[1]Profiles, RES, Summer'!S$4</f>
        <v>23.153904473085671</v>
      </c>
      <c r="T10" s="6">
        <f>VLOOKUP($A10,'RES installed'!$A$2:$C$7,3,FALSE)*'[1]Profiles, RES, Summer'!T$4</f>
        <v>7.0735405610310842</v>
      </c>
      <c r="U10" s="6">
        <f>VLOOKUP($A10,'RES installed'!$A$2:$C$7,3,FALSE)*'[1]Profiles, RES, Summer'!U$4</f>
        <v>0.3184230477634572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03310E-3DB0-4C43-A82E-ED41E0D1FB34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8BBA2-3995-4A96-B4C3-5711AF5AF9BD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1521A2-A9FA-46E1-AE16-7A197096CC8D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AA15AD-4FA9-4630-A4FA-A501FABA5628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06378-35BA-4FD0-A744-E752A6BC7C87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6C14FD-8154-4080-9D07-055678893CAB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547BD6-E866-483A-B517-30B00C56E19A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634B83-BAC8-4413-8A3C-4A5C2F786B33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B8F3CB-EC41-4B40-BF24-79BC6C576CF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7A48FA-B634-45EF-B224-4D781DFA4529}">
  <dimension ref="A1:Y10"/>
  <sheetViews>
    <sheetView topLeftCell="G1" workbookViewId="0">
      <selection activeCell="B2" sqref="B2:Y4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</row>
    <row r="4" spans="1:25" x14ac:dyDescent="0.3">
      <c r="A4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8">
        <v>5</v>
      </c>
      <c r="B6" s="8">
        <v>1</v>
      </c>
      <c r="C6" s="8">
        <v>1</v>
      </c>
      <c r="D6" s="8">
        <v>1</v>
      </c>
      <c r="E6" s="8">
        <v>1</v>
      </c>
      <c r="F6" s="8">
        <v>1</v>
      </c>
      <c r="G6" s="8">
        <v>1</v>
      </c>
      <c r="H6" s="8">
        <v>1</v>
      </c>
      <c r="I6" s="8">
        <v>1</v>
      </c>
      <c r="J6" s="8">
        <v>1</v>
      </c>
      <c r="K6" s="8">
        <v>1</v>
      </c>
      <c r="L6" s="8">
        <v>1</v>
      </c>
      <c r="M6" s="8">
        <v>1</v>
      </c>
      <c r="N6" s="8">
        <v>1</v>
      </c>
      <c r="O6" s="8">
        <v>1</v>
      </c>
      <c r="P6" s="8">
        <v>1</v>
      </c>
      <c r="Q6" s="8">
        <v>1</v>
      </c>
      <c r="R6" s="8">
        <v>1</v>
      </c>
      <c r="S6" s="8">
        <v>1</v>
      </c>
      <c r="T6" s="8">
        <v>1</v>
      </c>
      <c r="U6" s="8">
        <v>1</v>
      </c>
      <c r="V6" s="8">
        <v>1</v>
      </c>
      <c r="W6" s="8">
        <v>1</v>
      </c>
      <c r="X6" s="8">
        <v>1</v>
      </c>
      <c r="Y6" s="8">
        <v>1</v>
      </c>
    </row>
    <row r="7" spans="1:25" x14ac:dyDescent="0.3">
      <c r="A7" s="8">
        <v>6</v>
      </c>
      <c r="B7" s="8">
        <v>1</v>
      </c>
      <c r="C7" s="8">
        <v>1</v>
      </c>
      <c r="D7" s="8">
        <v>1</v>
      </c>
      <c r="E7" s="8">
        <v>1</v>
      </c>
      <c r="F7" s="8">
        <v>1</v>
      </c>
      <c r="G7" s="8">
        <v>1</v>
      </c>
      <c r="H7" s="8">
        <v>1</v>
      </c>
      <c r="I7" s="8">
        <v>1</v>
      </c>
      <c r="J7" s="8">
        <v>1</v>
      </c>
      <c r="K7" s="8">
        <v>1</v>
      </c>
      <c r="L7" s="8">
        <v>1</v>
      </c>
      <c r="M7" s="8">
        <v>1</v>
      </c>
      <c r="N7" s="8">
        <v>1</v>
      </c>
      <c r="O7" s="8">
        <v>1</v>
      </c>
      <c r="P7" s="8">
        <v>1</v>
      </c>
      <c r="Q7" s="8">
        <v>1</v>
      </c>
      <c r="R7" s="8">
        <v>1</v>
      </c>
      <c r="S7" s="8">
        <v>1</v>
      </c>
      <c r="T7" s="8">
        <v>1</v>
      </c>
      <c r="U7" s="8">
        <v>1</v>
      </c>
      <c r="V7" s="8">
        <v>1</v>
      </c>
      <c r="W7" s="8">
        <v>1</v>
      </c>
      <c r="X7" s="8">
        <v>1</v>
      </c>
      <c r="Y7" s="8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  <row r="9" spans="1:25" x14ac:dyDescent="0.3">
      <c r="A9" s="5">
        <v>8</v>
      </c>
      <c r="B9" s="5">
        <v>1</v>
      </c>
      <c r="C9" s="5">
        <v>1</v>
      </c>
      <c r="D9" s="5">
        <v>1</v>
      </c>
      <c r="E9" s="5">
        <v>1</v>
      </c>
      <c r="F9" s="5">
        <v>1</v>
      </c>
      <c r="G9" s="5">
        <v>1</v>
      </c>
      <c r="H9" s="5">
        <v>1</v>
      </c>
      <c r="I9" s="5">
        <v>1</v>
      </c>
      <c r="J9" s="5">
        <v>1</v>
      </c>
      <c r="K9" s="5">
        <v>1</v>
      </c>
      <c r="L9" s="5">
        <v>1</v>
      </c>
      <c r="M9" s="5">
        <v>1</v>
      </c>
      <c r="N9" s="5">
        <v>1</v>
      </c>
      <c r="O9" s="5">
        <v>1</v>
      </c>
      <c r="P9" s="5">
        <v>1</v>
      </c>
      <c r="Q9" s="5">
        <v>1</v>
      </c>
      <c r="R9" s="5">
        <v>1</v>
      </c>
      <c r="S9" s="5">
        <v>1</v>
      </c>
      <c r="T9" s="5">
        <v>1</v>
      </c>
      <c r="U9" s="5">
        <v>1</v>
      </c>
      <c r="V9" s="5">
        <v>1</v>
      </c>
      <c r="W9" s="5">
        <v>1</v>
      </c>
      <c r="X9" s="5">
        <v>1</v>
      </c>
      <c r="Y9" s="5">
        <v>1</v>
      </c>
    </row>
    <row r="10" spans="1:25" x14ac:dyDescent="0.3">
      <c r="A10" s="5">
        <v>9</v>
      </c>
      <c r="B10" s="5">
        <v>1</v>
      </c>
      <c r="C10" s="5">
        <v>1</v>
      </c>
      <c r="D10" s="5">
        <v>1</v>
      </c>
      <c r="E10" s="5">
        <v>1</v>
      </c>
      <c r="F10" s="5">
        <v>1</v>
      </c>
      <c r="G10" s="5">
        <v>1</v>
      </c>
      <c r="H10" s="5">
        <v>1</v>
      </c>
      <c r="I10" s="5">
        <v>1</v>
      </c>
      <c r="J10" s="5">
        <v>1</v>
      </c>
      <c r="K10" s="5">
        <v>1</v>
      </c>
      <c r="L10" s="5">
        <v>1</v>
      </c>
      <c r="M10" s="5">
        <v>1</v>
      </c>
      <c r="N10" s="5">
        <v>1</v>
      </c>
      <c r="O10" s="5">
        <v>1</v>
      </c>
      <c r="P10" s="5">
        <v>1</v>
      </c>
      <c r="Q10" s="5">
        <v>1</v>
      </c>
      <c r="R10" s="5">
        <v>1</v>
      </c>
      <c r="S10" s="5">
        <v>1</v>
      </c>
      <c r="T10" s="5">
        <v>1</v>
      </c>
      <c r="U10" s="5">
        <v>1</v>
      </c>
      <c r="V10" s="5">
        <v>1</v>
      </c>
      <c r="W10" s="5">
        <v>1</v>
      </c>
      <c r="X10" s="5">
        <v>1</v>
      </c>
      <c r="Y10" s="5">
        <v>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161</vt:i4>
      </vt:variant>
    </vt:vector>
  </HeadingPairs>
  <TitlesOfParts>
    <vt:vector size="161" baseType="lpstr">
      <vt:lpstr>Main</vt:lpstr>
      <vt:lpstr>RES installed</vt:lpstr>
      <vt:lpstr>ES installed</vt:lpstr>
      <vt:lpstr>FL Ratio</vt:lpstr>
      <vt:lpstr>FL Characterization</vt:lpstr>
      <vt:lpstr>Pc, Winter, S1</vt:lpstr>
      <vt:lpstr>Pc, Winter, S2</vt:lpstr>
      <vt:lpstr>Pc, Winter, S3</vt:lpstr>
      <vt:lpstr>Pc, Winter, S4</vt:lpstr>
      <vt:lpstr>Pc, Winter, S5</vt:lpstr>
      <vt:lpstr>Pc, Winter, S6</vt:lpstr>
      <vt:lpstr>Pc, Winter, S7</vt:lpstr>
      <vt:lpstr>Pc, Winter, S8</vt:lpstr>
      <vt:lpstr>Pc, Winter, S9</vt:lpstr>
      <vt:lpstr>Qc, Winter, S1</vt:lpstr>
      <vt:lpstr>Qc, Winter, S2</vt:lpstr>
      <vt:lpstr>Qc, Winter, S3</vt:lpstr>
      <vt:lpstr>Qc, Winter, S4</vt:lpstr>
      <vt:lpstr>Qc, Winter, S5</vt:lpstr>
      <vt:lpstr>Qc, Winter, S6</vt:lpstr>
      <vt:lpstr>Qc, Winter, S7</vt:lpstr>
      <vt:lpstr>Qc, Winter, S8</vt:lpstr>
      <vt:lpstr>Qc, Winter, S9</vt:lpstr>
      <vt:lpstr>UpFlex, Winter</vt:lpstr>
      <vt:lpstr>DownFlex, Winter</vt:lpstr>
      <vt:lpstr>Pg, Winter, S1</vt:lpstr>
      <vt:lpstr>Pg, Winter, S2</vt:lpstr>
      <vt:lpstr>Pg, Winter, S3</vt:lpstr>
      <vt:lpstr>Pg, Winter, S4</vt:lpstr>
      <vt:lpstr>Pg, Winter, S5</vt:lpstr>
      <vt:lpstr>Pg, Winter, S6</vt:lpstr>
      <vt:lpstr>Pg, Winter, S7</vt:lpstr>
      <vt:lpstr>Pg, Winter, S8</vt:lpstr>
      <vt:lpstr>Pg, Winter, S9</vt:lpstr>
      <vt:lpstr>Qg, Winter, S1</vt:lpstr>
      <vt:lpstr>Qg, Winter, S2</vt:lpstr>
      <vt:lpstr>Qg, Winter, S3</vt:lpstr>
      <vt:lpstr>Qg, Winter, S4</vt:lpstr>
      <vt:lpstr>Qg, Winter, S5</vt:lpstr>
      <vt:lpstr>Qg, Winter, S6</vt:lpstr>
      <vt:lpstr>Qg, Winter, S7</vt:lpstr>
      <vt:lpstr>Qg, Winter, S8</vt:lpstr>
      <vt:lpstr>Qg, Winter, S9</vt:lpstr>
      <vt:lpstr>GenStatus, Winter</vt:lpstr>
      <vt:lpstr>Pc, Spring, S1</vt:lpstr>
      <vt:lpstr>Pc, Spring, S2</vt:lpstr>
      <vt:lpstr>Pc, Spring, S3</vt:lpstr>
      <vt:lpstr>Pc, Spring, S4</vt:lpstr>
      <vt:lpstr>Pc, Spring, S5</vt:lpstr>
      <vt:lpstr>Pc, Spring, S6</vt:lpstr>
      <vt:lpstr>Pc, Spring, S7</vt:lpstr>
      <vt:lpstr>Pc, Spring, S8</vt:lpstr>
      <vt:lpstr>Pc, Spring, S9</vt:lpstr>
      <vt:lpstr>Qc, Spring, S1</vt:lpstr>
      <vt:lpstr>Qc, Spring, S2</vt:lpstr>
      <vt:lpstr>Qc, Spring, S3</vt:lpstr>
      <vt:lpstr>Qc, Spring, S4</vt:lpstr>
      <vt:lpstr>Qc, Spring, S5</vt:lpstr>
      <vt:lpstr>Qc, Spring, S6</vt:lpstr>
      <vt:lpstr>Qc, Spring, S7</vt:lpstr>
      <vt:lpstr>Qc, Spring, S8</vt:lpstr>
      <vt:lpstr>Qc, Spring, S9</vt:lpstr>
      <vt:lpstr>UpFlex, Spring</vt:lpstr>
      <vt:lpstr>DownFlex, Spring</vt:lpstr>
      <vt:lpstr>Pg, Spring, S1</vt:lpstr>
      <vt:lpstr>Pg, Spring, S2</vt:lpstr>
      <vt:lpstr>Pg, Spring, S3</vt:lpstr>
      <vt:lpstr>Pg, Spring, S4</vt:lpstr>
      <vt:lpstr>Pg, Spring, S5</vt:lpstr>
      <vt:lpstr>Pg, Spring, S6</vt:lpstr>
      <vt:lpstr>Pg, Spring, S7</vt:lpstr>
      <vt:lpstr>Pg, Spring, S8</vt:lpstr>
      <vt:lpstr>Pg, Spring, S9</vt:lpstr>
      <vt:lpstr>Qg, Spring, S1</vt:lpstr>
      <vt:lpstr>Qg, Spring, S2</vt:lpstr>
      <vt:lpstr>Qg, Spring, S3</vt:lpstr>
      <vt:lpstr>Qg, Spring, S4</vt:lpstr>
      <vt:lpstr>Qg, Spring, S5</vt:lpstr>
      <vt:lpstr>Qg, Spring, S6</vt:lpstr>
      <vt:lpstr>Qg, Spring, S7</vt:lpstr>
      <vt:lpstr>Qg, Spring, S8</vt:lpstr>
      <vt:lpstr>Qg, Spring, S9</vt:lpstr>
      <vt:lpstr>GenStatus, Spring</vt:lpstr>
      <vt:lpstr>Pc, Summer, S1</vt:lpstr>
      <vt:lpstr>Pc, Summer, S2</vt:lpstr>
      <vt:lpstr>Pc, Summer, S3</vt:lpstr>
      <vt:lpstr>Pc, Summer, S4</vt:lpstr>
      <vt:lpstr>Pc, Summer, S5</vt:lpstr>
      <vt:lpstr>Pc, Summer, S6</vt:lpstr>
      <vt:lpstr>Pc, Summer, S7</vt:lpstr>
      <vt:lpstr>Pc, Summer, S8</vt:lpstr>
      <vt:lpstr>Pc, Summer, S9</vt:lpstr>
      <vt:lpstr>Qc, Summer, S1</vt:lpstr>
      <vt:lpstr>Qc, Summer, S2</vt:lpstr>
      <vt:lpstr>Qc, Summer, S3</vt:lpstr>
      <vt:lpstr>Qc, Summer, S4</vt:lpstr>
      <vt:lpstr>Qc, Summer, S5</vt:lpstr>
      <vt:lpstr>Qc, Summer, S6</vt:lpstr>
      <vt:lpstr>Qc, Summer, S7</vt:lpstr>
      <vt:lpstr>Qc, Summer, S8</vt:lpstr>
      <vt:lpstr>Qc, Summer, S9</vt:lpstr>
      <vt:lpstr>UpFlex, Summer</vt:lpstr>
      <vt:lpstr>DownFlex, Summer</vt:lpstr>
      <vt:lpstr>Pg, Summer, S1</vt:lpstr>
      <vt:lpstr>Pg, Summer, S2</vt:lpstr>
      <vt:lpstr>Pg, Summer, S3</vt:lpstr>
      <vt:lpstr>Pg, Summer, S4</vt:lpstr>
      <vt:lpstr>Pg, Summer, S5</vt:lpstr>
      <vt:lpstr>Pg, Summer, S6</vt:lpstr>
      <vt:lpstr>Pg, Summer, S7</vt:lpstr>
      <vt:lpstr>Pg, Summer, S8</vt:lpstr>
      <vt:lpstr>Pg, Summer, S9</vt:lpstr>
      <vt:lpstr>Qg, Summer, S1</vt:lpstr>
      <vt:lpstr>Qg, Summer, S2</vt:lpstr>
      <vt:lpstr>Qg, Summer, S3</vt:lpstr>
      <vt:lpstr>Qg, Summer, S4</vt:lpstr>
      <vt:lpstr>Qg, Summer, S5</vt:lpstr>
      <vt:lpstr>Qg, Summer, S6</vt:lpstr>
      <vt:lpstr>Qg, Summer, S7</vt:lpstr>
      <vt:lpstr>Qg, Summer, S8</vt:lpstr>
      <vt:lpstr>Qg, Summer, S9</vt:lpstr>
      <vt:lpstr>GenStatus, Summer</vt:lpstr>
      <vt:lpstr>Pc, Autumn, S1</vt:lpstr>
      <vt:lpstr>Pc, Autumn, S2</vt:lpstr>
      <vt:lpstr>Pc, Autumn, S3</vt:lpstr>
      <vt:lpstr>Pc, Autumn, S4</vt:lpstr>
      <vt:lpstr>Pc, Autumn, S5</vt:lpstr>
      <vt:lpstr>Pc, Autumn, S6</vt:lpstr>
      <vt:lpstr>Pc, Autumn, S7</vt:lpstr>
      <vt:lpstr>Pc, Autumn, S8</vt:lpstr>
      <vt:lpstr>Pc, Autumn, S9</vt:lpstr>
      <vt:lpstr>Qc, Autumn, S1</vt:lpstr>
      <vt:lpstr>Qc, Autumn, S2</vt:lpstr>
      <vt:lpstr>Qc, Autumn, S3</vt:lpstr>
      <vt:lpstr>Qc, Autumn, S4</vt:lpstr>
      <vt:lpstr>Qc, Autumn, S5</vt:lpstr>
      <vt:lpstr>Qc, Autumn, S6</vt:lpstr>
      <vt:lpstr>Qc, Autumn, S7</vt:lpstr>
      <vt:lpstr>Qc, Autumn, S8</vt:lpstr>
      <vt:lpstr>Qc, Autumn, S9</vt:lpstr>
      <vt:lpstr>UpFlex, Autumn</vt:lpstr>
      <vt:lpstr>DownFlex, Autumn</vt:lpstr>
      <vt:lpstr>Pg, Autumn, S1</vt:lpstr>
      <vt:lpstr>Pg, Autumn, S2</vt:lpstr>
      <vt:lpstr>Pg, Autumn, S3</vt:lpstr>
      <vt:lpstr>Pg, Autumn, S4</vt:lpstr>
      <vt:lpstr>Pg, Autumn, S5</vt:lpstr>
      <vt:lpstr>Pg, Autumn, S6</vt:lpstr>
      <vt:lpstr>Pg, Autumn, S7</vt:lpstr>
      <vt:lpstr>Pg, Autumn, S8</vt:lpstr>
      <vt:lpstr>Pg, Autumn, S9</vt:lpstr>
      <vt:lpstr>Qg, Autumn, S1</vt:lpstr>
      <vt:lpstr>Qg, Autumn, S2</vt:lpstr>
      <vt:lpstr>Qg, Autumn, S3</vt:lpstr>
      <vt:lpstr>Qg, Autumn, S4</vt:lpstr>
      <vt:lpstr>Qg, Autumn, S5</vt:lpstr>
      <vt:lpstr>Qg, Autumn, S6</vt:lpstr>
      <vt:lpstr>Qg, Autumn, S7</vt:lpstr>
      <vt:lpstr>Qg, Autumn, S8</vt:lpstr>
      <vt:lpstr>Qg, Autumn, S9</vt:lpstr>
      <vt:lpstr>GenStatus, Autumn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2025-06-16T10:44:24Z</dcterms:modified>
</cp:coreProperties>
</file>