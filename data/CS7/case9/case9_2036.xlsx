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\case9\"/>
    </mc:Choice>
  </mc:AlternateContent>
  <xr:revisionPtr revIDLastSave="0" documentId="13_ncr:1_{8AD3F6C6-4CE9-4B93-8914-DEF019236C62}" xr6:coauthVersionLast="47" xr6:coauthVersionMax="47" xr10:uidLastSave="{00000000-0000-0000-0000-000000000000}"/>
  <bookViews>
    <workbookView xWindow="33225" yWindow="-9960" windowWidth="28800" windowHeight="15285" tabRatio="722" xr2:uid="{00000000-000D-0000-FFFF-FFFF00000000}"/>
  </bookViews>
  <sheets>
    <sheet name="Main" sheetId="1" r:id="rId1"/>
    <sheet name="RES installed" sheetId="54" r:id="rId2"/>
    <sheet name="ES installed" sheetId="56" r:id="rId3"/>
    <sheet name="FL Ratio" sheetId="58" r:id="rId4"/>
    <sheet name="FL Characterization" sheetId="59" r:id="rId5"/>
    <sheet name="Pc, Winter, S1" sheetId="29" r:id="rId6"/>
    <sheet name="Pc, Winter, S2" sheetId="192" r:id="rId7"/>
    <sheet name="Pc, Winter, S3" sheetId="193" r:id="rId8"/>
    <sheet name="Pc, Winter, S4" sheetId="182" r:id="rId9"/>
    <sheet name="Pc, Winter, S5" sheetId="194" r:id="rId10"/>
    <sheet name="Pc, Winter, S6" sheetId="195" r:id="rId11"/>
    <sheet name="Pc, Winter, S7" sheetId="183" r:id="rId12"/>
    <sheet name="Pc, Winter, S8" sheetId="196" r:id="rId13"/>
    <sheet name="Pc, Winter, S9" sheetId="197" r:id="rId14"/>
    <sheet name="Qc, Winter, S1" sheetId="8" r:id="rId15"/>
    <sheet name="Qc, Winter, S2" sheetId="198" r:id="rId16"/>
    <sheet name="Qc, Winter, S3" sheetId="199" r:id="rId17"/>
    <sheet name="Qc, Winter, S4" sheetId="184" r:id="rId18"/>
    <sheet name="Qc, Winter, S5" sheetId="200" r:id="rId19"/>
    <sheet name="Qc, Winter, S6" sheetId="201" r:id="rId20"/>
    <sheet name="Qc, Winter, S7" sheetId="185" r:id="rId21"/>
    <sheet name="Qc, Winter, S8" sheetId="202" r:id="rId22"/>
    <sheet name="Qc, Winter, S9" sheetId="203" r:id="rId23"/>
    <sheet name="UpFlex, Winter" sheetId="68" r:id="rId24"/>
    <sheet name="DownFlex, Winter" sheetId="69" r:id="rId25"/>
    <sheet name="Pg, Winter, S1" sheetId="71" r:id="rId26"/>
    <sheet name="Pg, Winter, S2" sheetId="188" r:id="rId27"/>
    <sheet name="Pg, Winter, S3" sheetId="189" r:id="rId28"/>
    <sheet name="Pg, Winter, S4" sheetId="204" r:id="rId29"/>
    <sheet name="Pg, Winter, S5" sheetId="205" r:id="rId30"/>
    <sheet name="Pg, Winter, S6" sheetId="206" r:id="rId31"/>
    <sheet name="Pg, Winter, S7" sheetId="207" r:id="rId32"/>
    <sheet name="Pg, Winter, S8" sheetId="208" r:id="rId33"/>
    <sheet name="Pg, Winter, S9" sheetId="209" r:id="rId34"/>
    <sheet name="Qg, Winter, S1" sheetId="143" r:id="rId35"/>
    <sheet name="Qg, Winter, S2" sheetId="190" r:id="rId36"/>
    <sheet name="Qg, Winter, S3" sheetId="191" r:id="rId37"/>
    <sheet name="Qg, Winter, S4" sheetId="210" r:id="rId38"/>
    <sheet name="Qg, Winter, S5" sheetId="211" r:id="rId39"/>
    <sheet name="Qg, Winter, S6" sheetId="212" r:id="rId40"/>
    <sheet name="Qg, Winter, S7" sheetId="213" r:id="rId41"/>
    <sheet name="Qg, Winter, S8" sheetId="214" r:id="rId42"/>
    <sheet name="Qg, Winter, S9" sheetId="215" r:id="rId43"/>
    <sheet name="GenStatus, Winter" sheetId="9" r:id="rId44"/>
    <sheet name="Pc, Spring, S1" sheetId="255" r:id="rId45"/>
    <sheet name="Pc, Spring, S2" sheetId="256" r:id="rId46"/>
    <sheet name="Pc, Spring, S3" sheetId="257" r:id="rId47"/>
    <sheet name="Pc, Spring, S4" sheetId="258" r:id="rId48"/>
    <sheet name="Pc, Spring, S5" sheetId="259" r:id="rId49"/>
    <sheet name="Pc, Spring, S6" sheetId="260" r:id="rId50"/>
    <sheet name="Pc, Spring, S7" sheetId="261" r:id="rId51"/>
    <sheet name="Pc, Spring, S8" sheetId="262" r:id="rId52"/>
    <sheet name="Pc, Spring, S9" sheetId="263" r:id="rId53"/>
    <sheet name="Qc, Spring, S1" sheetId="264" r:id="rId54"/>
    <sheet name="Qc, Spring, S2" sheetId="265" r:id="rId55"/>
    <sheet name="Qc, Spring, S3" sheetId="266" r:id="rId56"/>
    <sheet name="Qc, Spring, S4" sheetId="267" r:id="rId57"/>
    <sheet name="Qc, Spring, S5" sheetId="268" r:id="rId58"/>
    <sheet name="Qc, Spring, S6" sheetId="269" r:id="rId59"/>
    <sheet name="Qc, Spring, S7" sheetId="270" r:id="rId60"/>
    <sheet name="Qc, Spring, S8" sheetId="271" r:id="rId61"/>
    <sheet name="Qc, Spring, S9" sheetId="272" r:id="rId62"/>
    <sheet name="UpFlex, Spring" sheetId="273" r:id="rId63"/>
    <sheet name="DownFlex, Spring" sheetId="274" r:id="rId64"/>
    <sheet name="Pg, Spring, S1" sheetId="275" r:id="rId65"/>
    <sheet name="Pg, Spring, S2" sheetId="276" r:id="rId66"/>
    <sheet name="Pg, Spring, S3" sheetId="277" r:id="rId67"/>
    <sheet name="Pg, Spring, S4" sheetId="278" r:id="rId68"/>
    <sheet name="Pg, Spring, S5" sheetId="279" r:id="rId69"/>
    <sheet name="Pg, Spring, S6" sheetId="280" r:id="rId70"/>
    <sheet name="Pg, Spring, S7" sheetId="281" r:id="rId71"/>
    <sheet name="Pg, Spring, S8" sheetId="282" r:id="rId72"/>
    <sheet name="Pg, Spring, S9" sheetId="283" r:id="rId73"/>
    <sheet name="Qg, Spring, S1" sheetId="284" r:id="rId74"/>
    <sheet name="Qg, Spring, S2" sheetId="285" r:id="rId75"/>
    <sheet name="Qg, Spring, S3" sheetId="286" r:id="rId76"/>
    <sheet name="Qg, Spring, S4" sheetId="287" r:id="rId77"/>
    <sheet name="Qg, Spring, S5" sheetId="288" r:id="rId78"/>
    <sheet name="Qg, Spring, S6" sheetId="289" r:id="rId79"/>
    <sheet name="Qg, Spring, S7" sheetId="290" r:id="rId80"/>
    <sheet name="Qg, Spring, S8" sheetId="291" r:id="rId81"/>
    <sheet name="Qg, Spring, S9" sheetId="292" r:id="rId82"/>
    <sheet name="GenStatus, Spring" sheetId="293" r:id="rId83"/>
    <sheet name="Pc, Summer, S1" sheetId="216" r:id="rId84"/>
    <sheet name="Pc, Summer, S2" sheetId="217" r:id="rId85"/>
    <sheet name="Pc, Summer, S3" sheetId="218" r:id="rId86"/>
    <sheet name="Pc, Summer, S4" sheetId="219" r:id="rId87"/>
    <sheet name="Pc, Summer, S5" sheetId="220" r:id="rId88"/>
    <sheet name="Pc, Summer, S6" sheetId="221" r:id="rId89"/>
    <sheet name="Pc, Summer, S7" sheetId="222" r:id="rId90"/>
    <sheet name="Pc, Summer, S8" sheetId="223" r:id="rId91"/>
    <sheet name="Pc, Summer, S9" sheetId="224" r:id="rId92"/>
    <sheet name="Qc, Summer, S1" sheetId="225" r:id="rId93"/>
    <sheet name="Qc, Summer, S2" sheetId="226" r:id="rId94"/>
    <sheet name="Qc, Summer, S3" sheetId="227" r:id="rId95"/>
    <sheet name="Qc, Summer, S4" sheetId="228" r:id="rId96"/>
    <sheet name="Qc, Summer, S5" sheetId="229" r:id="rId97"/>
    <sheet name="Qc, Summer, S6" sheetId="230" r:id="rId98"/>
    <sheet name="Qc, Summer, S7" sheetId="231" r:id="rId99"/>
    <sheet name="Qc, Summer, S8" sheetId="232" r:id="rId100"/>
    <sheet name="Qc, Summer, S9" sheetId="233" r:id="rId101"/>
    <sheet name="UpFlex, Summer" sheetId="234" r:id="rId102"/>
    <sheet name="DownFlex, Summer" sheetId="235" r:id="rId103"/>
    <sheet name="Pg, Summer, S1" sheetId="236" r:id="rId104"/>
    <sheet name="Pg, Summer, S2" sheetId="237" r:id="rId105"/>
    <sheet name="Pg, Summer, S3" sheetId="238" r:id="rId106"/>
    <sheet name="Pg, Summer, S4" sheetId="239" r:id="rId107"/>
    <sheet name="Pg, Summer, S5" sheetId="240" r:id="rId108"/>
    <sheet name="Pg, Summer, S6" sheetId="241" r:id="rId109"/>
    <sheet name="Pg, Summer, S7" sheetId="242" r:id="rId110"/>
    <sheet name="Pg, Summer, S8" sheetId="243" r:id="rId111"/>
    <sheet name="Pg, Summer, S9" sheetId="244" r:id="rId112"/>
    <sheet name="Qg, Summer, S1" sheetId="245" r:id="rId113"/>
    <sheet name="Qg, Summer, S2" sheetId="246" r:id="rId114"/>
    <sheet name="Qg, Summer, S3" sheetId="247" r:id="rId115"/>
    <sheet name="Qg, Summer, S4" sheetId="248" r:id="rId116"/>
    <sheet name="Qg, Summer, S5" sheetId="249" r:id="rId117"/>
    <sheet name="Qg, Summer, S6" sheetId="250" r:id="rId118"/>
    <sheet name="Qg, Summer, S7" sheetId="251" r:id="rId119"/>
    <sheet name="Qg, Summer, S8" sheetId="252" r:id="rId120"/>
    <sheet name="Qg, Summer, S9" sheetId="253" r:id="rId121"/>
    <sheet name="GenStatus, Summer" sheetId="254" r:id="rId122"/>
    <sheet name="Pc, Autumn, S1" sheetId="294" r:id="rId123"/>
    <sheet name="Pc, Autumn, S2" sheetId="295" r:id="rId124"/>
    <sheet name="Pc, Autumn, S3" sheetId="296" r:id="rId125"/>
    <sheet name="Pc, Autumn, S4" sheetId="297" r:id="rId126"/>
    <sheet name="Pc, Autumn, S5" sheetId="298" r:id="rId127"/>
    <sheet name="Pc, Autumn, S6" sheetId="299" r:id="rId128"/>
    <sheet name="Pc, Autumn, S7" sheetId="300" r:id="rId129"/>
    <sheet name="Pc, Autumn, S8" sheetId="301" r:id="rId130"/>
    <sheet name="Pc, Autumn, S9" sheetId="302" r:id="rId131"/>
    <sheet name="Qc, Autumn, S1" sheetId="303" r:id="rId132"/>
    <sheet name="Qc, Autumn, S2" sheetId="304" r:id="rId133"/>
    <sheet name="Qc, Autumn, S3" sheetId="305" r:id="rId134"/>
    <sheet name="Qc, Autumn, S4" sheetId="306" r:id="rId135"/>
    <sheet name="Qc, Autumn, S5" sheetId="307" r:id="rId136"/>
    <sheet name="Qc, Autumn, S6" sheetId="308" r:id="rId137"/>
    <sheet name="Qc, Autumn, S7" sheetId="309" r:id="rId138"/>
    <sheet name="Qc, Autumn, S8" sheetId="310" r:id="rId139"/>
    <sheet name="Qc, Autumn, S9" sheetId="311" r:id="rId140"/>
    <sheet name="UpFlex, Autumn" sheetId="312" r:id="rId141"/>
    <sheet name="DownFlex, Autumn" sheetId="313" r:id="rId142"/>
    <sheet name="Pg, Autumn, S1" sheetId="314" r:id="rId143"/>
    <sheet name="Pg, Autumn, S2" sheetId="315" r:id="rId144"/>
    <sheet name="Pg, Autumn, S3" sheetId="316" r:id="rId145"/>
    <sheet name="Pg, Autumn, S4" sheetId="317" r:id="rId146"/>
    <sheet name="Pg, Autumn, S5" sheetId="318" r:id="rId147"/>
    <sheet name="Pg, Autumn, S6" sheetId="319" r:id="rId148"/>
    <sheet name="Pg, Autumn, S7" sheetId="320" r:id="rId149"/>
    <sheet name="Pg, Autumn, S8" sheetId="321" r:id="rId150"/>
    <sheet name="Pg, Autumn, S9" sheetId="322" r:id="rId151"/>
    <sheet name="Qg, Autumn, S1" sheetId="323" r:id="rId152"/>
    <sheet name="Qg, Autumn, S2" sheetId="324" r:id="rId153"/>
    <sheet name="Qg, Autumn, S3" sheetId="325" r:id="rId154"/>
    <sheet name="Qg, Autumn, S4" sheetId="326" r:id="rId155"/>
    <sheet name="Qg, Autumn, S5" sheetId="327" r:id="rId156"/>
    <sheet name="Qg, Autumn, S6" sheetId="328" r:id="rId157"/>
    <sheet name="Qg, Autumn, S7" sheetId="329" r:id="rId158"/>
    <sheet name="Qg, Autumn, S8" sheetId="330" r:id="rId159"/>
    <sheet name="Qg, Autumn, S9" sheetId="331" r:id="rId160"/>
    <sheet name="GenStatus, Autumn" sheetId="332" r:id="rId161"/>
  </sheets>
  <externalReferences>
    <externalReference r:id="rId162"/>
  </externalReferences>
  <definedNames>
    <definedName name="_xlnm._FilterDatabase" localSheetId="2" hidden="1">'ES installed'!$B$1:$C$4</definedName>
    <definedName name="_xlnm._FilterDatabase" localSheetId="3" hidden="1">'FL Ratio'!$E$1:$F$24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0" i="322" l="1"/>
  <c r="X10" i="322"/>
  <c r="W10" i="322"/>
  <c r="V10" i="322"/>
  <c r="U10" i="322"/>
  <c r="T10" i="322"/>
  <c r="S10" i="322"/>
  <c r="R10" i="322"/>
  <c r="Q10" i="322"/>
  <c r="P10" i="322"/>
  <c r="O10" i="322"/>
  <c r="N10" i="322"/>
  <c r="M10" i="322"/>
  <c r="L10" i="322"/>
  <c r="K10" i="322"/>
  <c r="J10" i="322"/>
  <c r="I10" i="322"/>
  <c r="H10" i="322"/>
  <c r="G10" i="322"/>
  <c r="F10" i="322"/>
  <c r="E10" i="322"/>
  <c r="D10" i="322"/>
  <c r="C10" i="322"/>
  <c r="B10" i="322"/>
  <c r="Y9" i="322"/>
  <c r="X9" i="322"/>
  <c r="W9" i="322"/>
  <c r="V9" i="322"/>
  <c r="U9" i="322"/>
  <c r="T9" i="322"/>
  <c r="S9" i="322"/>
  <c r="R9" i="322"/>
  <c r="Q9" i="322"/>
  <c r="P9" i="322"/>
  <c r="O9" i="322"/>
  <c r="N9" i="322"/>
  <c r="M9" i="322"/>
  <c r="L9" i="322"/>
  <c r="K9" i="322"/>
  <c r="J9" i="322"/>
  <c r="I9" i="322"/>
  <c r="H9" i="322"/>
  <c r="G9" i="322"/>
  <c r="F9" i="322"/>
  <c r="E9" i="322"/>
  <c r="D9" i="322"/>
  <c r="C9" i="322"/>
  <c r="B9" i="322"/>
  <c r="Y8" i="322"/>
  <c r="X8" i="322"/>
  <c r="W8" i="322"/>
  <c r="V8" i="322"/>
  <c r="U8" i="322"/>
  <c r="T8" i="322"/>
  <c r="S8" i="322"/>
  <c r="R8" i="322"/>
  <c r="Q8" i="322"/>
  <c r="P8" i="322"/>
  <c r="O8" i="322"/>
  <c r="N8" i="322"/>
  <c r="M8" i="322"/>
  <c r="L8" i="322"/>
  <c r="K8" i="322"/>
  <c r="J8" i="322"/>
  <c r="I8" i="322"/>
  <c r="H8" i="322"/>
  <c r="G8" i="322"/>
  <c r="F8" i="322"/>
  <c r="E8" i="322"/>
  <c r="D8" i="322"/>
  <c r="C8" i="322"/>
  <c r="B8" i="322"/>
  <c r="Y7" i="322"/>
  <c r="X7" i="322"/>
  <c r="W7" i="322"/>
  <c r="V7" i="322"/>
  <c r="U7" i="322"/>
  <c r="T7" i="322"/>
  <c r="S7" i="322"/>
  <c r="R7" i="322"/>
  <c r="Q7" i="322"/>
  <c r="P7" i="322"/>
  <c r="O7" i="322"/>
  <c r="N7" i="322"/>
  <c r="M7" i="322"/>
  <c r="L7" i="322"/>
  <c r="K7" i="322"/>
  <c r="J7" i="322"/>
  <c r="I7" i="322"/>
  <c r="H7" i="322"/>
  <c r="G7" i="322"/>
  <c r="F7" i="322"/>
  <c r="E7" i="322"/>
  <c r="D7" i="322"/>
  <c r="C7" i="322"/>
  <c r="B7" i="322"/>
  <c r="Y6" i="322"/>
  <c r="X6" i="322"/>
  <c r="W6" i="322"/>
  <c r="V6" i="322"/>
  <c r="U6" i="322"/>
  <c r="T6" i="322"/>
  <c r="S6" i="322"/>
  <c r="R6" i="322"/>
  <c r="Q6" i="322"/>
  <c r="P6" i="322"/>
  <c r="O6" i="322"/>
  <c r="N6" i="322"/>
  <c r="M6" i="322"/>
  <c r="L6" i="322"/>
  <c r="K6" i="322"/>
  <c r="J6" i="322"/>
  <c r="I6" i="322"/>
  <c r="H6" i="322"/>
  <c r="G6" i="322"/>
  <c r="F6" i="322"/>
  <c r="E6" i="322"/>
  <c r="D6" i="322"/>
  <c r="C6" i="322"/>
  <c r="B6" i="322"/>
  <c r="Y5" i="322"/>
  <c r="X5" i="322"/>
  <c r="W5" i="322"/>
  <c r="V5" i="322"/>
  <c r="U5" i="322"/>
  <c r="T5" i="322"/>
  <c r="S5" i="322"/>
  <c r="R5" i="322"/>
  <c r="Q5" i="322"/>
  <c r="P5" i="322"/>
  <c r="O5" i="322"/>
  <c r="N5" i="322"/>
  <c r="M5" i="322"/>
  <c r="L5" i="322"/>
  <c r="K5" i="322"/>
  <c r="J5" i="322"/>
  <c r="I5" i="322"/>
  <c r="H5" i="322"/>
  <c r="G5" i="322"/>
  <c r="F5" i="322"/>
  <c r="E5" i="322"/>
  <c r="D5" i="322"/>
  <c r="C5" i="322"/>
  <c r="B5" i="322"/>
  <c r="Y10" i="321"/>
  <c r="X10" i="321"/>
  <c r="W10" i="321"/>
  <c r="V10" i="321"/>
  <c r="U10" i="321"/>
  <c r="T10" i="321"/>
  <c r="S10" i="321"/>
  <c r="R10" i="321"/>
  <c r="Q10" i="321"/>
  <c r="P10" i="321"/>
  <c r="O10" i="321"/>
  <c r="N10" i="321"/>
  <c r="M10" i="321"/>
  <c r="L10" i="321"/>
  <c r="K10" i="321"/>
  <c r="J10" i="321"/>
  <c r="I10" i="321"/>
  <c r="H10" i="321"/>
  <c r="G10" i="321"/>
  <c r="F10" i="321"/>
  <c r="E10" i="321"/>
  <c r="D10" i="321"/>
  <c r="C10" i="321"/>
  <c r="B10" i="321"/>
  <c r="Y9" i="321"/>
  <c r="X9" i="321"/>
  <c r="W9" i="321"/>
  <c r="V9" i="321"/>
  <c r="U9" i="321"/>
  <c r="T9" i="321"/>
  <c r="S9" i="321"/>
  <c r="R9" i="321"/>
  <c r="Q9" i="321"/>
  <c r="P9" i="321"/>
  <c r="O9" i="321"/>
  <c r="N9" i="321"/>
  <c r="M9" i="321"/>
  <c r="L9" i="321"/>
  <c r="K9" i="321"/>
  <c r="J9" i="321"/>
  <c r="I9" i="321"/>
  <c r="H9" i="321"/>
  <c r="G9" i="321"/>
  <c r="F9" i="321"/>
  <c r="E9" i="321"/>
  <c r="D9" i="321"/>
  <c r="C9" i="321"/>
  <c r="B9" i="321"/>
  <c r="Y8" i="321"/>
  <c r="X8" i="321"/>
  <c r="W8" i="321"/>
  <c r="V8" i="321"/>
  <c r="U8" i="321"/>
  <c r="T8" i="321"/>
  <c r="S8" i="321"/>
  <c r="R8" i="321"/>
  <c r="Q8" i="321"/>
  <c r="P8" i="321"/>
  <c r="O8" i="321"/>
  <c r="N8" i="321"/>
  <c r="M8" i="321"/>
  <c r="L8" i="321"/>
  <c r="K8" i="321"/>
  <c r="J8" i="321"/>
  <c r="I8" i="321"/>
  <c r="H8" i="321"/>
  <c r="G8" i="321"/>
  <c r="F8" i="321"/>
  <c r="E8" i="321"/>
  <c r="D8" i="321"/>
  <c r="C8" i="321"/>
  <c r="B8" i="321"/>
  <c r="Y7" i="321"/>
  <c r="X7" i="321"/>
  <c r="W7" i="321"/>
  <c r="V7" i="321"/>
  <c r="U7" i="321"/>
  <c r="T7" i="321"/>
  <c r="S7" i="321"/>
  <c r="R7" i="321"/>
  <c r="Q7" i="321"/>
  <c r="P7" i="321"/>
  <c r="O7" i="321"/>
  <c r="N7" i="321"/>
  <c r="M7" i="321"/>
  <c r="L7" i="321"/>
  <c r="K7" i="321"/>
  <c r="J7" i="321"/>
  <c r="I7" i="321"/>
  <c r="H7" i="321"/>
  <c r="G7" i="321"/>
  <c r="F7" i="321"/>
  <c r="E7" i="321"/>
  <c r="D7" i="321"/>
  <c r="C7" i="321"/>
  <c r="B7" i="321"/>
  <c r="Y6" i="321"/>
  <c r="X6" i="321"/>
  <c r="W6" i="321"/>
  <c r="V6" i="321"/>
  <c r="U6" i="321"/>
  <c r="T6" i="321"/>
  <c r="S6" i="321"/>
  <c r="R6" i="321"/>
  <c r="Q6" i="321"/>
  <c r="P6" i="321"/>
  <c r="O6" i="321"/>
  <c r="N6" i="321"/>
  <c r="M6" i="321"/>
  <c r="L6" i="321"/>
  <c r="K6" i="321"/>
  <c r="J6" i="321"/>
  <c r="I6" i="321"/>
  <c r="H6" i="321"/>
  <c r="G6" i="321"/>
  <c r="F6" i="321"/>
  <c r="E6" i="321"/>
  <c r="D6" i="321"/>
  <c r="C6" i="321"/>
  <c r="B6" i="321"/>
  <c r="Y5" i="321"/>
  <c r="X5" i="321"/>
  <c r="W5" i="321"/>
  <c r="V5" i="321"/>
  <c r="U5" i="321"/>
  <c r="T5" i="321"/>
  <c r="S5" i="321"/>
  <c r="R5" i="321"/>
  <c r="Q5" i="321"/>
  <c r="P5" i="321"/>
  <c r="O5" i="321"/>
  <c r="N5" i="321"/>
  <c r="M5" i="321"/>
  <c r="L5" i="321"/>
  <c r="K5" i="321"/>
  <c r="J5" i="321"/>
  <c r="I5" i="321"/>
  <c r="H5" i="321"/>
  <c r="G5" i="321"/>
  <c r="F5" i="321"/>
  <c r="E5" i="321"/>
  <c r="D5" i="321"/>
  <c r="C5" i="321"/>
  <c r="B5" i="321"/>
  <c r="Y10" i="320"/>
  <c r="X10" i="320"/>
  <c r="W10" i="320"/>
  <c r="V10" i="320"/>
  <c r="U10" i="320"/>
  <c r="T10" i="320"/>
  <c r="S10" i="320"/>
  <c r="R10" i="320"/>
  <c r="Q10" i="320"/>
  <c r="P10" i="320"/>
  <c r="O10" i="320"/>
  <c r="N10" i="320"/>
  <c r="M10" i="320"/>
  <c r="L10" i="320"/>
  <c r="K10" i="320"/>
  <c r="J10" i="320"/>
  <c r="I10" i="320"/>
  <c r="H10" i="320"/>
  <c r="G10" i="320"/>
  <c r="F10" i="320"/>
  <c r="E10" i="320"/>
  <c r="D10" i="320"/>
  <c r="C10" i="320"/>
  <c r="B10" i="320"/>
  <c r="Y9" i="320"/>
  <c r="X9" i="320"/>
  <c r="W9" i="320"/>
  <c r="V9" i="320"/>
  <c r="U9" i="320"/>
  <c r="T9" i="320"/>
  <c r="S9" i="320"/>
  <c r="R9" i="320"/>
  <c r="Q9" i="320"/>
  <c r="P9" i="320"/>
  <c r="O9" i="320"/>
  <c r="N9" i="320"/>
  <c r="M9" i="320"/>
  <c r="L9" i="320"/>
  <c r="K9" i="320"/>
  <c r="J9" i="320"/>
  <c r="I9" i="320"/>
  <c r="H9" i="320"/>
  <c r="G9" i="320"/>
  <c r="F9" i="320"/>
  <c r="E9" i="320"/>
  <c r="D9" i="320"/>
  <c r="C9" i="320"/>
  <c r="B9" i="320"/>
  <c r="Y8" i="320"/>
  <c r="X8" i="320"/>
  <c r="W8" i="320"/>
  <c r="V8" i="320"/>
  <c r="U8" i="320"/>
  <c r="T8" i="320"/>
  <c r="S8" i="320"/>
  <c r="R8" i="320"/>
  <c r="Q8" i="320"/>
  <c r="P8" i="320"/>
  <c r="O8" i="320"/>
  <c r="N8" i="320"/>
  <c r="M8" i="320"/>
  <c r="L8" i="320"/>
  <c r="K8" i="320"/>
  <c r="J8" i="320"/>
  <c r="I8" i="320"/>
  <c r="H8" i="320"/>
  <c r="G8" i="320"/>
  <c r="F8" i="320"/>
  <c r="E8" i="320"/>
  <c r="D8" i="320"/>
  <c r="C8" i="320"/>
  <c r="B8" i="320"/>
  <c r="Y7" i="320"/>
  <c r="X7" i="320"/>
  <c r="W7" i="320"/>
  <c r="V7" i="320"/>
  <c r="U7" i="320"/>
  <c r="T7" i="320"/>
  <c r="S7" i="320"/>
  <c r="R7" i="320"/>
  <c r="Q7" i="320"/>
  <c r="P7" i="320"/>
  <c r="O7" i="320"/>
  <c r="N7" i="320"/>
  <c r="M7" i="320"/>
  <c r="L7" i="320"/>
  <c r="K7" i="320"/>
  <c r="J7" i="320"/>
  <c r="I7" i="320"/>
  <c r="H7" i="320"/>
  <c r="G7" i="320"/>
  <c r="F7" i="320"/>
  <c r="E7" i="320"/>
  <c r="D7" i="320"/>
  <c r="C7" i="320"/>
  <c r="B7" i="320"/>
  <c r="Y6" i="320"/>
  <c r="X6" i="320"/>
  <c r="W6" i="320"/>
  <c r="V6" i="320"/>
  <c r="U6" i="320"/>
  <c r="T6" i="320"/>
  <c r="S6" i="320"/>
  <c r="R6" i="320"/>
  <c r="Q6" i="320"/>
  <c r="P6" i="320"/>
  <c r="O6" i="320"/>
  <c r="N6" i="320"/>
  <c r="M6" i="320"/>
  <c r="L6" i="320"/>
  <c r="K6" i="320"/>
  <c r="J6" i="320"/>
  <c r="I6" i="320"/>
  <c r="H6" i="320"/>
  <c r="G6" i="320"/>
  <c r="F6" i="320"/>
  <c r="E6" i="320"/>
  <c r="D6" i="320"/>
  <c r="C6" i="320"/>
  <c r="B6" i="320"/>
  <c r="Y5" i="320"/>
  <c r="X5" i="320"/>
  <c r="W5" i="320"/>
  <c r="V5" i="320"/>
  <c r="U5" i="320"/>
  <c r="T5" i="320"/>
  <c r="S5" i="320"/>
  <c r="R5" i="320"/>
  <c r="Q5" i="320"/>
  <c r="P5" i="320"/>
  <c r="O5" i="320"/>
  <c r="N5" i="320"/>
  <c r="M5" i="320"/>
  <c r="L5" i="320"/>
  <c r="K5" i="320"/>
  <c r="J5" i="320"/>
  <c r="I5" i="320"/>
  <c r="H5" i="320"/>
  <c r="G5" i="320"/>
  <c r="F5" i="320"/>
  <c r="E5" i="320"/>
  <c r="D5" i="320"/>
  <c r="C5" i="320"/>
  <c r="B5" i="320"/>
  <c r="Y10" i="319"/>
  <c r="X10" i="319"/>
  <c r="W10" i="319"/>
  <c r="V10" i="319"/>
  <c r="U10" i="319"/>
  <c r="T10" i="319"/>
  <c r="S10" i="319"/>
  <c r="R10" i="319"/>
  <c r="Q10" i="319"/>
  <c r="P10" i="319"/>
  <c r="O10" i="319"/>
  <c r="N10" i="319"/>
  <c r="M10" i="319"/>
  <c r="L10" i="319"/>
  <c r="K10" i="319"/>
  <c r="J10" i="319"/>
  <c r="I10" i="319"/>
  <c r="H10" i="319"/>
  <c r="G10" i="319"/>
  <c r="F10" i="319"/>
  <c r="E10" i="319"/>
  <c r="D10" i="319"/>
  <c r="C10" i="319"/>
  <c r="B10" i="319"/>
  <c r="Y9" i="319"/>
  <c r="X9" i="319"/>
  <c r="W9" i="319"/>
  <c r="V9" i="319"/>
  <c r="U9" i="319"/>
  <c r="T9" i="319"/>
  <c r="S9" i="319"/>
  <c r="R9" i="319"/>
  <c r="Q9" i="319"/>
  <c r="P9" i="319"/>
  <c r="O9" i="319"/>
  <c r="N9" i="319"/>
  <c r="M9" i="319"/>
  <c r="L9" i="319"/>
  <c r="K9" i="319"/>
  <c r="J9" i="319"/>
  <c r="I9" i="319"/>
  <c r="H9" i="319"/>
  <c r="G9" i="319"/>
  <c r="F9" i="319"/>
  <c r="E9" i="319"/>
  <c r="D9" i="319"/>
  <c r="C9" i="319"/>
  <c r="B9" i="319"/>
  <c r="Y8" i="319"/>
  <c r="X8" i="319"/>
  <c r="W8" i="319"/>
  <c r="V8" i="319"/>
  <c r="U8" i="319"/>
  <c r="T8" i="319"/>
  <c r="S8" i="319"/>
  <c r="R8" i="319"/>
  <c r="Q8" i="319"/>
  <c r="P8" i="319"/>
  <c r="O8" i="319"/>
  <c r="N8" i="319"/>
  <c r="M8" i="319"/>
  <c r="L8" i="319"/>
  <c r="K8" i="319"/>
  <c r="J8" i="319"/>
  <c r="I8" i="319"/>
  <c r="H8" i="319"/>
  <c r="G8" i="319"/>
  <c r="F8" i="319"/>
  <c r="E8" i="319"/>
  <c r="D8" i="319"/>
  <c r="C8" i="319"/>
  <c r="B8" i="319"/>
  <c r="Y7" i="319"/>
  <c r="X7" i="319"/>
  <c r="W7" i="319"/>
  <c r="V7" i="319"/>
  <c r="U7" i="319"/>
  <c r="T7" i="319"/>
  <c r="S7" i="319"/>
  <c r="R7" i="319"/>
  <c r="Q7" i="319"/>
  <c r="P7" i="319"/>
  <c r="O7" i="319"/>
  <c r="N7" i="319"/>
  <c r="M7" i="319"/>
  <c r="L7" i="319"/>
  <c r="K7" i="319"/>
  <c r="J7" i="319"/>
  <c r="I7" i="319"/>
  <c r="H7" i="319"/>
  <c r="G7" i="319"/>
  <c r="F7" i="319"/>
  <c r="E7" i="319"/>
  <c r="D7" i="319"/>
  <c r="C7" i="319"/>
  <c r="B7" i="319"/>
  <c r="Y6" i="319"/>
  <c r="X6" i="319"/>
  <c r="W6" i="319"/>
  <c r="V6" i="319"/>
  <c r="U6" i="319"/>
  <c r="T6" i="319"/>
  <c r="S6" i="319"/>
  <c r="R6" i="319"/>
  <c r="Q6" i="319"/>
  <c r="P6" i="319"/>
  <c r="O6" i="319"/>
  <c r="N6" i="319"/>
  <c r="M6" i="319"/>
  <c r="L6" i="319"/>
  <c r="K6" i="319"/>
  <c r="J6" i="319"/>
  <c r="I6" i="319"/>
  <c r="H6" i="319"/>
  <c r="G6" i="319"/>
  <c r="F6" i="319"/>
  <c r="E6" i="319"/>
  <c r="D6" i="319"/>
  <c r="C6" i="319"/>
  <c r="B6" i="319"/>
  <c r="Y5" i="319"/>
  <c r="X5" i="319"/>
  <c r="W5" i="319"/>
  <c r="V5" i="319"/>
  <c r="U5" i="319"/>
  <c r="T5" i="319"/>
  <c r="S5" i="319"/>
  <c r="R5" i="319"/>
  <c r="Q5" i="319"/>
  <c r="P5" i="319"/>
  <c r="O5" i="319"/>
  <c r="N5" i="319"/>
  <c r="M5" i="319"/>
  <c r="L5" i="319"/>
  <c r="K5" i="319"/>
  <c r="J5" i="319"/>
  <c r="I5" i="319"/>
  <c r="H5" i="319"/>
  <c r="G5" i="319"/>
  <c r="F5" i="319"/>
  <c r="E5" i="319"/>
  <c r="D5" i="319"/>
  <c r="C5" i="319"/>
  <c r="B5" i="319"/>
  <c r="Y10" i="318"/>
  <c r="X10" i="318"/>
  <c r="W10" i="318"/>
  <c r="V10" i="318"/>
  <c r="U10" i="318"/>
  <c r="T10" i="318"/>
  <c r="S10" i="318"/>
  <c r="R10" i="318"/>
  <c r="Q10" i="318"/>
  <c r="P10" i="318"/>
  <c r="O10" i="318"/>
  <c r="N10" i="318"/>
  <c r="M10" i="318"/>
  <c r="L10" i="318"/>
  <c r="K10" i="318"/>
  <c r="J10" i="318"/>
  <c r="I10" i="318"/>
  <c r="H10" i="318"/>
  <c r="G10" i="318"/>
  <c r="F10" i="318"/>
  <c r="E10" i="318"/>
  <c r="D10" i="318"/>
  <c r="C10" i="318"/>
  <c r="B10" i="318"/>
  <c r="Y9" i="318"/>
  <c r="X9" i="318"/>
  <c r="W9" i="318"/>
  <c r="V9" i="318"/>
  <c r="U9" i="318"/>
  <c r="T9" i="318"/>
  <c r="S9" i="318"/>
  <c r="R9" i="318"/>
  <c r="Q9" i="318"/>
  <c r="P9" i="318"/>
  <c r="O9" i="318"/>
  <c r="N9" i="318"/>
  <c r="M9" i="318"/>
  <c r="L9" i="318"/>
  <c r="K9" i="318"/>
  <c r="J9" i="318"/>
  <c r="I9" i="318"/>
  <c r="H9" i="318"/>
  <c r="G9" i="318"/>
  <c r="F9" i="318"/>
  <c r="E9" i="318"/>
  <c r="D9" i="318"/>
  <c r="C9" i="318"/>
  <c r="B9" i="318"/>
  <c r="Y8" i="318"/>
  <c r="X8" i="318"/>
  <c r="W8" i="318"/>
  <c r="V8" i="318"/>
  <c r="U8" i="318"/>
  <c r="T8" i="318"/>
  <c r="S8" i="318"/>
  <c r="R8" i="318"/>
  <c r="Q8" i="318"/>
  <c r="P8" i="318"/>
  <c r="O8" i="318"/>
  <c r="N8" i="318"/>
  <c r="M8" i="318"/>
  <c r="L8" i="318"/>
  <c r="K8" i="318"/>
  <c r="J8" i="318"/>
  <c r="I8" i="318"/>
  <c r="H8" i="318"/>
  <c r="G8" i="318"/>
  <c r="F8" i="318"/>
  <c r="E8" i="318"/>
  <c r="D8" i="318"/>
  <c r="C8" i="318"/>
  <c r="B8" i="318"/>
  <c r="Y7" i="318"/>
  <c r="X7" i="318"/>
  <c r="W7" i="318"/>
  <c r="V7" i="318"/>
  <c r="U7" i="318"/>
  <c r="T7" i="318"/>
  <c r="S7" i="318"/>
  <c r="R7" i="318"/>
  <c r="Q7" i="318"/>
  <c r="P7" i="318"/>
  <c r="O7" i="318"/>
  <c r="N7" i="318"/>
  <c r="M7" i="318"/>
  <c r="L7" i="318"/>
  <c r="K7" i="318"/>
  <c r="J7" i="318"/>
  <c r="I7" i="318"/>
  <c r="H7" i="318"/>
  <c r="G7" i="318"/>
  <c r="F7" i="318"/>
  <c r="E7" i="318"/>
  <c r="D7" i="318"/>
  <c r="C7" i="318"/>
  <c r="B7" i="318"/>
  <c r="Y6" i="318"/>
  <c r="X6" i="318"/>
  <c r="W6" i="318"/>
  <c r="V6" i="318"/>
  <c r="U6" i="318"/>
  <c r="T6" i="318"/>
  <c r="S6" i="318"/>
  <c r="R6" i="318"/>
  <c r="Q6" i="318"/>
  <c r="P6" i="318"/>
  <c r="O6" i="318"/>
  <c r="N6" i="318"/>
  <c r="M6" i="318"/>
  <c r="L6" i="318"/>
  <c r="K6" i="318"/>
  <c r="J6" i="318"/>
  <c r="I6" i="318"/>
  <c r="H6" i="318"/>
  <c r="G6" i="318"/>
  <c r="F6" i="318"/>
  <c r="E6" i="318"/>
  <c r="D6" i="318"/>
  <c r="C6" i="318"/>
  <c r="B6" i="318"/>
  <c r="Y5" i="318"/>
  <c r="X5" i="318"/>
  <c r="W5" i="318"/>
  <c r="V5" i="318"/>
  <c r="U5" i="318"/>
  <c r="T5" i="318"/>
  <c r="S5" i="318"/>
  <c r="R5" i="318"/>
  <c r="Q5" i="318"/>
  <c r="P5" i="318"/>
  <c r="O5" i="318"/>
  <c r="N5" i="318"/>
  <c r="M5" i="318"/>
  <c r="L5" i="318"/>
  <c r="K5" i="318"/>
  <c r="J5" i="318"/>
  <c r="I5" i="318"/>
  <c r="H5" i="318"/>
  <c r="G5" i="318"/>
  <c r="F5" i="318"/>
  <c r="E5" i="318"/>
  <c r="D5" i="318"/>
  <c r="C5" i="318"/>
  <c r="B5" i="318"/>
  <c r="Y10" i="317"/>
  <c r="X10" i="317"/>
  <c r="W10" i="317"/>
  <c r="V10" i="317"/>
  <c r="U10" i="317"/>
  <c r="T10" i="317"/>
  <c r="S10" i="317"/>
  <c r="R10" i="317"/>
  <c r="Q10" i="317"/>
  <c r="P10" i="317"/>
  <c r="O10" i="317"/>
  <c r="N10" i="317"/>
  <c r="M10" i="317"/>
  <c r="L10" i="317"/>
  <c r="K10" i="317"/>
  <c r="J10" i="317"/>
  <c r="I10" i="317"/>
  <c r="H10" i="317"/>
  <c r="G10" i="317"/>
  <c r="F10" i="317"/>
  <c r="E10" i="317"/>
  <c r="D10" i="317"/>
  <c r="C10" i="317"/>
  <c r="B10" i="317"/>
  <c r="Y9" i="317"/>
  <c r="X9" i="317"/>
  <c r="W9" i="317"/>
  <c r="V9" i="317"/>
  <c r="U9" i="317"/>
  <c r="T9" i="317"/>
  <c r="S9" i="317"/>
  <c r="R9" i="317"/>
  <c r="Q9" i="317"/>
  <c r="P9" i="317"/>
  <c r="O9" i="317"/>
  <c r="N9" i="317"/>
  <c r="M9" i="317"/>
  <c r="L9" i="317"/>
  <c r="K9" i="317"/>
  <c r="J9" i="317"/>
  <c r="I9" i="317"/>
  <c r="H9" i="317"/>
  <c r="G9" i="317"/>
  <c r="F9" i="317"/>
  <c r="E9" i="317"/>
  <c r="D9" i="317"/>
  <c r="C9" i="317"/>
  <c r="B9" i="317"/>
  <c r="Y8" i="317"/>
  <c r="X8" i="317"/>
  <c r="W8" i="317"/>
  <c r="V8" i="317"/>
  <c r="U8" i="317"/>
  <c r="T8" i="317"/>
  <c r="S8" i="317"/>
  <c r="R8" i="317"/>
  <c r="Q8" i="317"/>
  <c r="P8" i="317"/>
  <c r="O8" i="317"/>
  <c r="N8" i="317"/>
  <c r="M8" i="317"/>
  <c r="L8" i="317"/>
  <c r="K8" i="317"/>
  <c r="J8" i="317"/>
  <c r="I8" i="317"/>
  <c r="H8" i="317"/>
  <c r="G8" i="317"/>
  <c r="F8" i="317"/>
  <c r="E8" i="317"/>
  <c r="D8" i="317"/>
  <c r="C8" i="317"/>
  <c r="B8" i="317"/>
  <c r="Y7" i="317"/>
  <c r="X7" i="317"/>
  <c r="W7" i="317"/>
  <c r="V7" i="317"/>
  <c r="U7" i="317"/>
  <c r="T7" i="317"/>
  <c r="S7" i="317"/>
  <c r="R7" i="317"/>
  <c r="Q7" i="317"/>
  <c r="P7" i="317"/>
  <c r="O7" i="317"/>
  <c r="N7" i="317"/>
  <c r="M7" i="317"/>
  <c r="L7" i="317"/>
  <c r="K7" i="317"/>
  <c r="J7" i="317"/>
  <c r="I7" i="317"/>
  <c r="H7" i="317"/>
  <c r="G7" i="317"/>
  <c r="F7" i="317"/>
  <c r="E7" i="317"/>
  <c r="D7" i="317"/>
  <c r="C7" i="317"/>
  <c r="B7" i="317"/>
  <c r="Y6" i="317"/>
  <c r="X6" i="317"/>
  <c r="W6" i="317"/>
  <c r="V6" i="317"/>
  <c r="U6" i="317"/>
  <c r="T6" i="317"/>
  <c r="S6" i="317"/>
  <c r="R6" i="317"/>
  <c r="Q6" i="317"/>
  <c r="P6" i="317"/>
  <c r="O6" i="317"/>
  <c r="N6" i="317"/>
  <c r="M6" i="317"/>
  <c r="L6" i="317"/>
  <c r="K6" i="317"/>
  <c r="J6" i="317"/>
  <c r="I6" i="317"/>
  <c r="H6" i="317"/>
  <c r="G6" i="317"/>
  <c r="F6" i="317"/>
  <c r="E6" i="317"/>
  <c r="D6" i="317"/>
  <c r="C6" i="317"/>
  <c r="B6" i="317"/>
  <c r="Y5" i="317"/>
  <c r="X5" i="317"/>
  <c r="W5" i="317"/>
  <c r="V5" i="317"/>
  <c r="U5" i="317"/>
  <c r="T5" i="317"/>
  <c r="S5" i="317"/>
  <c r="R5" i="317"/>
  <c r="Q5" i="317"/>
  <c r="P5" i="317"/>
  <c r="O5" i="317"/>
  <c r="N5" i="317"/>
  <c r="M5" i="317"/>
  <c r="L5" i="317"/>
  <c r="K5" i="317"/>
  <c r="J5" i="317"/>
  <c r="I5" i="317"/>
  <c r="H5" i="317"/>
  <c r="G5" i="317"/>
  <c r="F5" i="317"/>
  <c r="E5" i="317"/>
  <c r="D5" i="317"/>
  <c r="C5" i="317"/>
  <c r="B5" i="317"/>
  <c r="Y10" i="316"/>
  <c r="X10" i="316"/>
  <c r="W10" i="316"/>
  <c r="V10" i="316"/>
  <c r="U10" i="316"/>
  <c r="T10" i="316"/>
  <c r="S10" i="316"/>
  <c r="R10" i="316"/>
  <c r="Q10" i="316"/>
  <c r="P10" i="316"/>
  <c r="O10" i="316"/>
  <c r="N10" i="316"/>
  <c r="M10" i="316"/>
  <c r="L10" i="316"/>
  <c r="K10" i="316"/>
  <c r="J10" i="316"/>
  <c r="I10" i="316"/>
  <c r="H10" i="316"/>
  <c r="G10" i="316"/>
  <c r="F10" i="316"/>
  <c r="E10" i="316"/>
  <c r="D10" i="316"/>
  <c r="C10" i="316"/>
  <c r="B10" i="316"/>
  <c r="Y9" i="316"/>
  <c r="X9" i="316"/>
  <c r="W9" i="316"/>
  <c r="V9" i="316"/>
  <c r="U9" i="316"/>
  <c r="T9" i="316"/>
  <c r="S9" i="316"/>
  <c r="R9" i="316"/>
  <c r="Q9" i="316"/>
  <c r="P9" i="316"/>
  <c r="O9" i="316"/>
  <c r="N9" i="316"/>
  <c r="M9" i="316"/>
  <c r="L9" i="316"/>
  <c r="K9" i="316"/>
  <c r="J9" i="316"/>
  <c r="I9" i="316"/>
  <c r="H9" i="316"/>
  <c r="G9" i="316"/>
  <c r="F9" i="316"/>
  <c r="E9" i="316"/>
  <c r="D9" i="316"/>
  <c r="C9" i="316"/>
  <c r="B9" i="316"/>
  <c r="Y8" i="316"/>
  <c r="X8" i="316"/>
  <c r="W8" i="316"/>
  <c r="V8" i="316"/>
  <c r="U8" i="316"/>
  <c r="T8" i="316"/>
  <c r="S8" i="316"/>
  <c r="R8" i="316"/>
  <c r="Q8" i="316"/>
  <c r="P8" i="316"/>
  <c r="O8" i="316"/>
  <c r="N8" i="316"/>
  <c r="M8" i="316"/>
  <c r="L8" i="316"/>
  <c r="K8" i="316"/>
  <c r="J8" i="316"/>
  <c r="I8" i="316"/>
  <c r="H8" i="316"/>
  <c r="G8" i="316"/>
  <c r="F8" i="316"/>
  <c r="E8" i="316"/>
  <c r="D8" i="316"/>
  <c r="C8" i="316"/>
  <c r="B8" i="316"/>
  <c r="Y7" i="316"/>
  <c r="X7" i="316"/>
  <c r="W7" i="316"/>
  <c r="V7" i="316"/>
  <c r="U7" i="316"/>
  <c r="T7" i="316"/>
  <c r="S7" i="316"/>
  <c r="R7" i="316"/>
  <c r="Q7" i="316"/>
  <c r="P7" i="316"/>
  <c r="O7" i="316"/>
  <c r="N7" i="316"/>
  <c r="M7" i="316"/>
  <c r="L7" i="316"/>
  <c r="K7" i="316"/>
  <c r="J7" i="316"/>
  <c r="I7" i="316"/>
  <c r="H7" i="316"/>
  <c r="G7" i="316"/>
  <c r="F7" i="316"/>
  <c r="E7" i="316"/>
  <c r="D7" i="316"/>
  <c r="C7" i="316"/>
  <c r="B7" i="316"/>
  <c r="Y6" i="316"/>
  <c r="X6" i="316"/>
  <c r="W6" i="316"/>
  <c r="V6" i="316"/>
  <c r="U6" i="316"/>
  <c r="T6" i="316"/>
  <c r="S6" i="316"/>
  <c r="R6" i="316"/>
  <c r="Q6" i="316"/>
  <c r="P6" i="316"/>
  <c r="O6" i="316"/>
  <c r="N6" i="316"/>
  <c r="M6" i="316"/>
  <c r="L6" i="316"/>
  <c r="K6" i="316"/>
  <c r="J6" i="316"/>
  <c r="I6" i="316"/>
  <c r="H6" i="316"/>
  <c r="G6" i="316"/>
  <c r="F6" i="316"/>
  <c r="E6" i="316"/>
  <c r="D6" i="316"/>
  <c r="C6" i="316"/>
  <c r="B6" i="316"/>
  <c r="Y5" i="316"/>
  <c r="X5" i="316"/>
  <c r="W5" i="316"/>
  <c r="V5" i="316"/>
  <c r="U5" i="316"/>
  <c r="T5" i="316"/>
  <c r="S5" i="316"/>
  <c r="R5" i="316"/>
  <c r="Q5" i="316"/>
  <c r="P5" i="316"/>
  <c r="O5" i="316"/>
  <c r="N5" i="316"/>
  <c r="M5" i="316"/>
  <c r="L5" i="316"/>
  <c r="K5" i="316"/>
  <c r="J5" i="316"/>
  <c r="I5" i="316"/>
  <c r="H5" i="316"/>
  <c r="G5" i="316"/>
  <c r="F5" i="316"/>
  <c r="E5" i="316"/>
  <c r="D5" i="316"/>
  <c r="C5" i="316"/>
  <c r="B5" i="316"/>
  <c r="Y10" i="315"/>
  <c r="X10" i="315"/>
  <c r="W10" i="315"/>
  <c r="V10" i="315"/>
  <c r="U10" i="315"/>
  <c r="T10" i="315"/>
  <c r="S10" i="315"/>
  <c r="R10" i="315"/>
  <c r="Q10" i="315"/>
  <c r="P10" i="315"/>
  <c r="O10" i="315"/>
  <c r="N10" i="315"/>
  <c r="M10" i="315"/>
  <c r="L10" i="315"/>
  <c r="K10" i="315"/>
  <c r="J10" i="315"/>
  <c r="I10" i="315"/>
  <c r="H10" i="315"/>
  <c r="G10" i="315"/>
  <c r="F10" i="315"/>
  <c r="E10" i="315"/>
  <c r="D10" i="315"/>
  <c r="C10" i="315"/>
  <c r="B10" i="315"/>
  <c r="Y9" i="315"/>
  <c r="X9" i="315"/>
  <c r="W9" i="315"/>
  <c r="V9" i="315"/>
  <c r="U9" i="315"/>
  <c r="T9" i="315"/>
  <c r="S9" i="315"/>
  <c r="R9" i="315"/>
  <c r="Q9" i="315"/>
  <c r="P9" i="315"/>
  <c r="O9" i="315"/>
  <c r="N9" i="315"/>
  <c r="M9" i="315"/>
  <c r="L9" i="315"/>
  <c r="K9" i="315"/>
  <c r="J9" i="315"/>
  <c r="I9" i="315"/>
  <c r="H9" i="315"/>
  <c r="G9" i="315"/>
  <c r="F9" i="315"/>
  <c r="E9" i="315"/>
  <c r="D9" i="315"/>
  <c r="C9" i="315"/>
  <c r="B9" i="315"/>
  <c r="Y8" i="315"/>
  <c r="X8" i="315"/>
  <c r="W8" i="315"/>
  <c r="V8" i="315"/>
  <c r="U8" i="315"/>
  <c r="T8" i="315"/>
  <c r="S8" i="315"/>
  <c r="R8" i="315"/>
  <c r="Q8" i="315"/>
  <c r="P8" i="315"/>
  <c r="O8" i="315"/>
  <c r="N8" i="315"/>
  <c r="M8" i="315"/>
  <c r="L8" i="315"/>
  <c r="K8" i="315"/>
  <c r="J8" i="315"/>
  <c r="I8" i="315"/>
  <c r="H8" i="315"/>
  <c r="G8" i="315"/>
  <c r="F8" i="315"/>
  <c r="E8" i="315"/>
  <c r="D8" i="315"/>
  <c r="C8" i="315"/>
  <c r="B8" i="315"/>
  <c r="Y7" i="315"/>
  <c r="X7" i="315"/>
  <c r="W7" i="315"/>
  <c r="V7" i="315"/>
  <c r="U7" i="315"/>
  <c r="T7" i="315"/>
  <c r="S7" i="315"/>
  <c r="R7" i="315"/>
  <c r="Q7" i="315"/>
  <c r="P7" i="315"/>
  <c r="O7" i="315"/>
  <c r="N7" i="315"/>
  <c r="M7" i="315"/>
  <c r="L7" i="315"/>
  <c r="K7" i="315"/>
  <c r="J7" i="315"/>
  <c r="I7" i="315"/>
  <c r="H7" i="315"/>
  <c r="G7" i="315"/>
  <c r="F7" i="315"/>
  <c r="E7" i="315"/>
  <c r="D7" i="315"/>
  <c r="C7" i="315"/>
  <c r="B7" i="315"/>
  <c r="Y6" i="315"/>
  <c r="X6" i="315"/>
  <c r="W6" i="315"/>
  <c r="V6" i="315"/>
  <c r="U6" i="315"/>
  <c r="T6" i="315"/>
  <c r="S6" i="315"/>
  <c r="R6" i="315"/>
  <c r="Q6" i="315"/>
  <c r="P6" i="315"/>
  <c r="O6" i="315"/>
  <c r="N6" i="315"/>
  <c r="M6" i="315"/>
  <c r="L6" i="315"/>
  <c r="K6" i="315"/>
  <c r="J6" i="315"/>
  <c r="I6" i="315"/>
  <c r="H6" i="315"/>
  <c r="G6" i="315"/>
  <c r="F6" i="315"/>
  <c r="E6" i="315"/>
  <c r="D6" i="315"/>
  <c r="C6" i="315"/>
  <c r="B6" i="315"/>
  <c r="Y5" i="315"/>
  <c r="X5" i="315"/>
  <c r="W5" i="315"/>
  <c r="V5" i="315"/>
  <c r="U5" i="315"/>
  <c r="T5" i="315"/>
  <c r="S5" i="315"/>
  <c r="R5" i="315"/>
  <c r="Q5" i="315"/>
  <c r="P5" i="315"/>
  <c r="O5" i="315"/>
  <c r="N5" i="315"/>
  <c r="M5" i="315"/>
  <c r="L5" i="315"/>
  <c r="K5" i="315"/>
  <c r="J5" i="315"/>
  <c r="I5" i="315"/>
  <c r="H5" i="315"/>
  <c r="G5" i="315"/>
  <c r="F5" i="315"/>
  <c r="E5" i="315"/>
  <c r="D5" i="315"/>
  <c r="C5" i="315"/>
  <c r="B5" i="315"/>
  <c r="Y10" i="314"/>
  <c r="X10" i="314"/>
  <c r="W10" i="314"/>
  <c r="V10" i="314"/>
  <c r="U10" i="314"/>
  <c r="T10" i="314"/>
  <c r="S10" i="314"/>
  <c r="R10" i="314"/>
  <c r="Q10" i="314"/>
  <c r="P10" i="314"/>
  <c r="O10" i="314"/>
  <c r="N10" i="314"/>
  <c r="M10" i="314"/>
  <c r="L10" i="314"/>
  <c r="K10" i="314"/>
  <c r="J10" i="314"/>
  <c r="I10" i="314"/>
  <c r="H10" i="314"/>
  <c r="G10" i="314"/>
  <c r="F10" i="314"/>
  <c r="E10" i="314"/>
  <c r="D10" i="314"/>
  <c r="C10" i="314"/>
  <c r="B10" i="314"/>
  <c r="Y9" i="314"/>
  <c r="X9" i="314"/>
  <c r="W9" i="314"/>
  <c r="V9" i="314"/>
  <c r="U9" i="314"/>
  <c r="T9" i="314"/>
  <c r="S9" i="314"/>
  <c r="R9" i="314"/>
  <c r="Q9" i="314"/>
  <c r="P9" i="314"/>
  <c r="O9" i="314"/>
  <c r="N9" i="314"/>
  <c r="M9" i="314"/>
  <c r="L9" i="314"/>
  <c r="K9" i="314"/>
  <c r="J9" i="314"/>
  <c r="I9" i="314"/>
  <c r="H9" i="314"/>
  <c r="G9" i="314"/>
  <c r="F9" i="314"/>
  <c r="E9" i="314"/>
  <c r="D9" i="314"/>
  <c r="C9" i="314"/>
  <c r="B9" i="314"/>
  <c r="Y8" i="314"/>
  <c r="X8" i="314"/>
  <c r="W8" i="314"/>
  <c r="V8" i="314"/>
  <c r="U8" i="314"/>
  <c r="T8" i="314"/>
  <c r="S8" i="314"/>
  <c r="R8" i="314"/>
  <c r="Q8" i="314"/>
  <c r="P8" i="314"/>
  <c r="O8" i="314"/>
  <c r="N8" i="314"/>
  <c r="M8" i="314"/>
  <c r="L8" i="314"/>
  <c r="K8" i="314"/>
  <c r="J8" i="314"/>
  <c r="I8" i="314"/>
  <c r="H8" i="314"/>
  <c r="G8" i="314"/>
  <c r="F8" i="314"/>
  <c r="E8" i="314"/>
  <c r="D8" i="314"/>
  <c r="C8" i="314"/>
  <c r="B8" i="314"/>
  <c r="Y7" i="314"/>
  <c r="X7" i="314"/>
  <c r="W7" i="314"/>
  <c r="V7" i="314"/>
  <c r="U7" i="314"/>
  <c r="T7" i="314"/>
  <c r="S7" i="314"/>
  <c r="R7" i="314"/>
  <c r="Q7" i="314"/>
  <c r="P7" i="314"/>
  <c r="O7" i="314"/>
  <c r="N7" i="314"/>
  <c r="M7" i="314"/>
  <c r="L7" i="314"/>
  <c r="K7" i="314"/>
  <c r="J7" i="314"/>
  <c r="I7" i="314"/>
  <c r="H7" i="314"/>
  <c r="G7" i="314"/>
  <c r="F7" i="314"/>
  <c r="E7" i="314"/>
  <c r="D7" i="314"/>
  <c r="C7" i="314"/>
  <c r="B7" i="314"/>
  <c r="Y6" i="314"/>
  <c r="X6" i="314"/>
  <c r="W6" i="314"/>
  <c r="V6" i="314"/>
  <c r="U6" i="314"/>
  <c r="T6" i="314"/>
  <c r="S6" i="314"/>
  <c r="R6" i="314"/>
  <c r="Q6" i="314"/>
  <c r="P6" i="314"/>
  <c r="O6" i="314"/>
  <c r="N6" i="314"/>
  <c r="M6" i="314"/>
  <c r="L6" i="314"/>
  <c r="K6" i="314"/>
  <c r="J6" i="314"/>
  <c r="I6" i="314"/>
  <c r="H6" i="314"/>
  <c r="G6" i="314"/>
  <c r="F6" i="314"/>
  <c r="E6" i="314"/>
  <c r="D6" i="314"/>
  <c r="C6" i="314"/>
  <c r="B6" i="314"/>
  <c r="Y5" i="314"/>
  <c r="X5" i="314"/>
  <c r="W5" i="314"/>
  <c r="V5" i="314"/>
  <c r="U5" i="314"/>
  <c r="T5" i="314"/>
  <c r="S5" i="314"/>
  <c r="R5" i="314"/>
  <c r="Q5" i="314"/>
  <c r="P5" i="314"/>
  <c r="O5" i="314"/>
  <c r="N5" i="314"/>
  <c r="M5" i="314"/>
  <c r="L5" i="314"/>
  <c r="K5" i="314"/>
  <c r="J5" i="314"/>
  <c r="I5" i="314"/>
  <c r="H5" i="314"/>
  <c r="G5" i="314"/>
  <c r="F5" i="314"/>
  <c r="E5" i="314"/>
  <c r="D5" i="314"/>
  <c r="C5" i="314"/>
  <c r="B5" i="314"/>
  <c r="Y10" i="283"/>
  <c r="X10" i="283"/>
  <c r="W10" i="283"/>
  <c r="V10" i="283"/>
  <c r="U10" i="283"/>
  <c r="T10" i="283"/>
  <c r="S10" i="283"/>
  <c r="R10" i="283"/>
  <c r="Q10" i="283"/>
  <c r="P10" i="283"/>
  <c r="O10" i="283"/>
  <c r="N10" i="283"/>
  <c r="M10" i="283"/>
  <c r="L10" i="283"/>
  <c r="K10" i="283"/>
  <c r="J10" i="283"/>
  <c r="I10" i="283"/>
  <c r="H10" i="283"/>
  <c r="G10" i="283"/>
  <c r="F10" i="283"/>
  <c r="E10" i="283"/>
  <c r="D10" i="283"/>
  <c r="C10" i="283"/>
  <c r="B10" i="283"/>
  <c r="Y9" i="283"/>
  <c r="X9" i="283"/>
  <c r="W9" i="283"/>
  <c r="V9" i="283"/>
  <c r="U9" i="283"/>
  <c r="T9" i="283"/>
  <c r="S9" i="283"/>
  <c r="R9" i="283"/>
  <c r="Q9" i="283"/>
  <c r="P9" i="283"/>
  <c r="O9" i="283"/>
  <c r="N9" i="283"/>
  <c r="M9" i="283"/>
  <c r="L9" i="283"/>
  <c r="K9" i="283"/>
  <c r="J9" i="283"/>
  <c r="I9" i="283"/>
  <c r="H9" i="283"/>
  <c r="G9" i="283"/>
  <c r="F9" i="283"/>
  <c r="E9" i="283"/>
  <c r="D9" i="283"/>
  <c r="C9" i="283"/>
  <c r="B9" i="283"/>
  <c r="Y8" i="283"/>
  <c r="X8" i="283"/>
  <c r="W8" i="283"/>
  <c r="V8" i="283"/>
  <c r="U8" i="283"/>
  <c r="T8" i="283"/>
  <c r="S8" i="283"/>
  <c r="R8" i="283"/>
  <c r="Q8" i="283"/>
  <c r="P8" i="283"/>
  <c r="O8" i="283"/>
  <c r="N8" i="283"/>
  <c r="M8" i="283"/>
  <c r="L8" i="283"/>
  <c r="K8" i="283"/>
  <c r="J8" i="283"/>
  <c r="I8" i="283"/>
  <c r="H8" i="283"/>
  <c r="G8" i="283"/>
  <c r="F8" i="283"/>
  <c r="E8" i="283"/>
  <c r="D8" i="283"/>
  <c r="C8" i="283"/>
  <c r="B8" i="283"/>
  <c r="Y7" i="283"/>
  <c r="X7" i="283"/>
  <c r="W7" i="283"/>
  <c r="V7" i="283"/>
  <c r="U7" i="283"/>
  <c r="T7" i="283"/>
  <c r="S7" i="283"/>
  <c r="R7" i="283"/>
  <c r="Q7" i="283"/>
  <c r="P7" i="283"/>
  <c r="O7" i="283"/>
  <c r="N7" i="283"/>
  <c r="M7" i="283"/>
  <c r="L7" i="283"/>
  <c r="K7" i="283"/>
  <c r="J7" i="283"/>
  <c r="I7" i="283"/>
  <c r="H7" i="283"/>
  <c r="G7" i="283"/>
  <c r="F7" i="283"/>
  <c r="E7" i="283"/>
  <c r="D7" i="283"/>
  <c r="C7" i="283"/>
  <c r="B7" i="283"/>
  <c r="Y6" i="283"/>
  <c r="X6" i="283"/>
  <c r="W6" i="283"/>
  <c r="V6" i="283"/>
  <c r="U6" i="283"/>
  <c r="T6" i="283"/>
  <c r="S6" i="283"/>
  <c r="R6" i="283"/>
  <c r="Q6" i="283"/>
  <c r="P6" i="283"/>
  <c r="O6" i="283"/>
  <c r="N6" i="283"/>
  <c r="M6" i="283"/>
  <c r="L6" i="283"/>
  <c r="K6" i="283"/>
  <c r="J6" i="283"/>
  <c r="I6" i="283"/>
  <c r="H6" i="283"/>
  <c r="G6" i="283"/>
  <c r="F6" i="283"/>
  <c r="E6" i="283"/>
  <c r="D6" i="283"/>
  <c r="C6" i="283"/>
  <c r="B6" i="283"/>
  <c r="Y5" i="283"/>
  <c r="X5" i="283"/>
  <c r="W5" i="283"/>
  <c r="V5" i="283"/>
  <c r="U5" i="283"/>
  <c r="T5" i="283"/>
  <c r="S5" i="283"/>
  <c r="R5" i="283"/>
  <c r="Q5" i="283"/>
  <c r="P5" i="283"/>
  <c r="O5" i="283"/>
  <c r="N5" i="283"/>
  <c r="M5" i="283"/>
  <c r="L5" i="283"/>
  <c r="K5" i="283"/>
  <c r="J5" i="283"/>
  <c r="I5" i="283"/>
  <c r="H5" i="283"/>
  <c r="G5" i="283"/>
  <c r="F5" i="283"/>
  <c r="E5" i="283"/>
  <c r="D5" i="283"/>
  <c r="C5" i="283"/>
  <c r="B5" i="283"/>
  <c r="Y10" i="282"/>
  <c r="X10" i="282"/>
  <c r="W10" i="282"/>
  <c r="V10" i="282"/>
  <c r="U10" i="282"/>
  <c r="T10" i="282"/>
  <c r="S10" i="282"/>
  <c r="R10" i="282"/>
  <c r="Q10" i="282"/>
  <c r="P10" i="282"/>
  <c r="O10" i="282"/>
  <c r="N10" i="282"/>
  <c r="M10" i="282"/>
  <c r="L10" i="282"/>
  <c r="K10" i="282"/>
  <c r="J10" i="282"/>
  <c r="I10" i="282"/>
  <c r="H10" i="282"/>
  <c r="G10" i="282"/>
  <c r="F10" i="282"/>
  <c r="E10" i="282"/>
  <c r="D10" i="282"/>
  <c r="C10" i="282"/>
  <c r="B10" i="282"/>
  <c r="Y9" i="282"/>
  <c r="X9" i="282"/>
  <c r="W9" i="282"/>
  <c r="V9" i="282"/>
  <c r="U9" i="282"/>
  <c r="T9" i="282"/>
  <c r="S9" i="282"/>
  <c r="R9" i="282"/>
  <c r="Q9" i="282"/>
  <c r="P9" i="282"/>
  <c r="O9" i="282"/>
  <c r="N9" i="282"/>
  <c r="M9" i="282"/>
  <c r="L9" i="282"/>
  <c r="K9" i="282"/>
  <c r="J9" i="282"/>
  <c r="I9" i="282"/>
  <c r="H9" i="282"/>
  <c r="G9" i="282"/>
  <c r="F9" i="282"/>
  <c r="E9" i="282"/>
  <c r="D9" i="282"/>
  <c r="C9" i="282"/>
  <c r="B9" i="282"/>
  <c r="Y8" i="282"/>
  <c r="X8" i="282"/>
  <c r="W8" i="282"/>
  <c r="V8" i="282"/>
  <c r="U8" i="282"/>
  <c r="T8" i="282"/>
  <c r="S8" i="282"/>
  <c r="R8" i="282"/>
  <c r="Q8" i="282"/>
  <c r="P8" i="282"/>
  <c r="O8" i="282"/>
  <c r="N8" i="282"/>
  <c r="M8" i="282"/>
  <c r="L8" i="282"/>
  <c r="K8" i="282"/>
  <c r="J8" i="282"/>
  <c r="I8" i="282"/>
  <c r="H8" i="282"/>
  <c r="G8" i="282"/>
  <c r="F8" i="282"/>
  <c r="E8" i="282"/>
  <c r="D8" i="282"/>
  <c r="C8" i="282"/>
  <c r="B8" i="282"/>
  <c r="Y7" i="282"/>
  <c r="X7" i="282"/>
  <c r="W7" i="282"/>
  <c r="V7" i="282"/>
  <c r="U7" i="282"/>
  <c r="T7" i="282"/>
  <c r="S7" i="282"/>
  <c r="R7" i="282"/>
  <c r="Q7" i="282"/>
  <c r="P7" i="282"/>
  <c r="O7" i="282"/>
  <c r="N7" i="282"/>
  <c r="M7" i="282"/>
  <c r="L7" i="282"/>
  <c r="K7" i="282"/>
  <c r="J7" i="282"/>
  <c r="I7" i="282"/>
  <c r="H7" i="282"/>
  <c r="G7" i="282"/>
  <c r="F7" i="282"/>
  <c r="E7" i="282"/>
  <c r="D7" i="282"/>
  <c r="C7" i="282"/>
  <c r="B7" i="282"/>
  <c r="Y6" i="282"/>
  <c r="X6" i="282"/>
  <c r="W6" i="282"/>
  <c r="V6" i="282"/>
  <c r="U6" i="282"/>
  <c r="T6" i="282"/>
  <c r="S6" i="282"/>
  <c r="R6" i="282"/>
  <c r="Q6" i="282"/>
  <c r="P6" i="282"/>
  <c r="O6" i="282"/>
  <c r="N6" i="282"/>
  <c r="M6" i="282"/>
  <c r="L6" i="282"/>
  <c r="K6" i="282"/>
  <c r="J6" i="282"/>
  <c r="I6" i="282"/>
  <c r="H6" i="282"/>
  <c r="G6" i="282"/>
  <c r="F6" i="282"/>
  <c r="E6" i="282"/>
  <c r="D6" i="282"/>
  <c r="C6" i="282"/>
  <c r="B6" i="282"/>
  <c r="Y5" i="282"/>
  <c r="X5" i="282"/>
  <c r="W5" i="282"/>
  <c r="V5" i="282"/>
  <c r="U5" i="282"/>
  <c r="T5" i="282"/>
  <c r="S5" i="282"/>
  <c r="R5" i="282"/>
  <c r="Q5" i="282"/>
  <c r="P5" i="282"/>
  <c r="O5" i="282"/>
  <c r="N5" i="282"/>
  <c r="M5" i="282"/>
  <c r="L5" i="282"/>
  <c r="K5" i="282"/>
  <c r="J5" i="282"/>
  <c r="I5" i="282"/>
  <c r="H5" i="282"/>
  <c r="G5" i="282"/>
  <c r="F5" i="282"/>
  <c r="E5" i="282"/>
  <c r="D5" i="282"/>
  <c r="C5" i="282"/>
  <c r="B5" i="282"/>
  <c r="Y10" i="281"/>
  <c r="X10" i="281"/>
  <c r="W10" i="281"/>
  <c r="V10" i="281"/>
  <c r="U10" i="281"/>
  <c r="T10" i="281"/>
  <c r="S10" i="281"/>
  <c r="R10" i="281"/>
  <c r="Q10" i="281"/>
  <c r="P10" i="281"/>
  <c r="O10" i="281"/>
  <c r="N10" i="281"/>
  <c r="M10" i="281"/>
  <c r="L10" i="281"/>
  <c r="K10" i="281"/>
  <c r="J10" i="281"/>
  <c r="I10" i="281"/>
  <c r="H10" i="281"/>
  <c r="G10" i="281"/>
  <c r="F10" i="281"/>
  <c r="E10" i="281"/>
  <c r="D10" i="281"/>
  <c r="C10" i="281"/>
  <c r="B10" i="281"/>
  <c r="Y9" i="281"/>
  <c r="X9" i="281"/>
  <c r="W9" i="281"/>
  <c r="V9" i="281"/>
  <c r="U9" i="281"/>
  <c r="T9" i="281"/>
  <c r="S9" i="281"/>
  <c r="R9" i="281"/>
  <c r="Q9" i="281"/>
  <c r="P9" i="281"/>
  <c r="O9" i="281"/>
  <c r="N9" i="281"/>
  <c r="M9" i="281"/>
  <c r="L9" i="281"/>
  <c r="K9" i="281"/>
  <c r="J9" i="281"/>
  <c r="I9" i="281"/>
  <c r="H9" i="281"/>
  <c r="G9" i="281"/>
  <c r="F9" i="281"/>
  <c r="E9" i="281"/>
  <c r="D9" i="281"/>
  <c r="C9" i="281"/>
  <c r="B9" i="281"/>
  <c r="Y8" i="281"/>
  <c r="X8" i="281"/>
  <c r="W8" i="281"/>
  <c r="V8" i="281"/>
  <c r="U8" i="281"/>
  <c r="T8" i="281"/>
  <c r="S8" i="281"/>
  <c r="R8" i="281"/>
  <c r="Q8" i="281"/>
  <c r="P8" i="281"/>
  <c r="O8" i="281"/>
  <c r="N8" i="281"/>
  <c r="M8" i="281"/>
  <c r="L8" i="281"/>
  <c r="K8" i="281"/>
  <c r="J8" i="281"/>
  <c r="I8" i="281"/>
  <c r="H8" i="281"/>
  <c r="G8" i="281"/>
  <c r="F8" i="281"/>
  <c r="E8" i="281"/>
  <c r="D8" i="281"/>
  <c r="C8" i="281"/>
  <c r="B8" i="281"/>
  <c r="Y7" i="281"/>
  <c r="X7" i="281"/>
  <c r="W7" i="281"/>
  <c r="V7" i="281"/>
  <c r="U7" i="281"/>
  <c r="T7" i="281"/>
  <c r="S7" i="281"/>
  <c r="R7" i="281"/>
  <c r="Q7" i="281"/>
  <c r="P7" i="281"/>
  <c r="O7" i="281"/>
  <c r="N7" i="281"/>
  <c r="M7" i="281"/>
  <c r="L7" i="281"/>
  <c r="K7" i="281"/>
  <c r="J7" i="281"/>
  <c r="I7" i="281"/>
  <c r="H7" i="281"/>
  <c r="G7" i="281"/>
  <c r="F7" i="281"/>
  <c r="E7" i="281"/>
  <c r="D7" i="281"/>
  <c r="C7" i="281"/>
  <c r="B7" i="281"/>
  <c r="Y6" i="281"/>
  <c r="X6" i="281"/>
  <c r="W6" i="281"/>
  <c r="V6" i="281"/>
  <c r="U6" i="281"/>
  <c r="T6" i="281"/>
  <c r="S6" i="281"/>
  <c r="R6" i="281"/>
  <c r="Q6" i="281"/>
  <c r="P6" i="281"/>
  <c r="O6" i="281"/>
  <c r="N6" i="281"/>
  <c r="M6" i="281"/>
  <c r="L6" i="281"/>
  <c r="K6" i="281"/>
  <c r="J6" i="281"/>
  <c r="I6" i="281"/>
  <c r="H6" i="281"/>
  <c r="G6" i="281"/>
  <c r="F6" i="281"/>
  <c r="E6" i="281"/>
  <c r="D6" i="281"/>
  <c r="C6" i="281"/>
  <c r="B6" i="281"/>
  <c r="Y5" i="281"/>
  <c r="X5" i="281"/>
  <c r="W5" i="281"/>
  <c r="V5" i="281"/>
  <c r="U5" i="281"/>
  <c r="T5" i="281"/>
  <c r="S5" i="281"/>
  <c r="R5" i="281"/>
  <c r="Q5" i="281"/>
  <c r="P5" i="281"/>
  <c r="O5" i="281"/>
  <c r="N5" i="281"/>
  <c r="M5" i="281"/>
  <c r="L5" i="281"/>
  <c r="K5" i="281"/>
  <c r="J5" i="281"/>
  <c r="I5" i="281"/>
  <c r="H5" i="281"/>
  <c r="G5" i="281"/>
  <c r="F5" i="281"/>
  <c r="E5" i="281"/>
  <c r="D5" i="281"/>
  <c r="C5" i="281"/>
  <c r="B5" i="281"/>
  <c r="Y10" i="280"/>
  <c r="X10" i="280"/>
  <c r="W10" i="280"/>
  <c r="V10" i="280"/>
  <c r="U10" i="280"/>
  <c r="T10" i="280"/>
  <c r="S10" i="280"/>
  <c r="R10" i="280"/>
  <c r="Q10" i="280"/>
  <c r="P10" i="280"/>
  <c r="O10" i="280"/>
  <c r="N10" i="280"/>
  <c r="M10" i="280"/>
  <c r="L10" i="280"/>
  <c r="K10" i="280"/>
  <c r="J10" i="280"/>
  <c r="I10" i="280"/>
  <c r="H10" i="280"/>
  <c r="G10" i="280"/>
  <c r="F10" i="280"/>
  <c r="E10" i="280"/>
  <c r="D10" i="280"/>
  <c r="C10" i="280"/>
  <c r="B10" i="280"/>
  <c r="Y9" i="280"/>
  <c r="X9" i="280"/>
  <c r="W9" i="280"/>
  <c r="V9" i="280"/>
  <c r="U9" i="280"/>
  <c r="T9" i="280"/>
  <c r="S9" i="280"/>
  <c r="R9" i="280"/>
  <c r="Q9" i="280"/>
  <c r="P9" i="280"/>
  <c r="O9" i="280"/>
  <c r="N9" i="280"/>
  <c r="M9" i="280"/>
  <c r="L9" i="280"/>
  <c r="K9" i="280"/>
  <c r="J9" i="280"/>
  <c r="I9" i="280"/>
  <c r="H9" i="280"/>
  <c r="G9" i="280"/>
  <c r="F9" i="280"/>
  <c r="E9" i="280"/>
  <c r="D9" i="280"/>
  <c r="C9" i="280"/>
  <c r="B9" i="280"/>
  <c r="Y8" i="280"/>
  <c r="X8" i="280"/>
  <c r="W8" i="280"/>
  <c r="V8" i="280"/>
  <c r="U8" i="280"/>
  <c r="T8" i="280"/>
  <c r="S8" i="280"/>
  <c r="R8" i="280"/>
  <c r="Q8" i="280"/>
  <c r="P8" i="280"/>
  <c r="O8" i="280"/>
  <c r="N8" i="280"/>
  <c r="M8" i="280"/>
  <c r="L8" i="280"/>
  <c r="K8" i="280"/>
  <c r="J8" i="280"/>
  <c r="I8" i="280"/>
  <c r="H8" i="280"/>
  <c r="G8" i="280"/>
  <c r="F8" i="280"/>
  <c r="E8" i="280"/>
  <c r="D8" i="280"/>
  <c r="C8" i="280"/>
  <c r="B8" i="280"/>
  <c r="Y7" i="280"/>
  <c r="X7" i="280"/>
  <c r="W7" i="280"/>
  <c r="V7" i="280"/>
  <c r="U7" i="280"/>
  <c r="T7" i="280"/>
  <c r="S7" i="280"/>
  <c r="R7" i="280"/>
  <c r="Q7" i="280"/>
  <c r="P7" i="280"/>
  <c r="O7" i="280"/>
  <c r="N7" i="280"/>
  <c r="M7" i="280"/>
  <c r="L7" i="280"/>
  <c r="K7" i="280"/>
  <c r="J7" i="280"/>
  <c r="I7" i="280"/>
  <c r="H7" i="280"/>
  <c r="G7" i="280"/>
  <c r="F7" i="280"/>
  <c r="E7" i="280"/>
  <c r="D7" i="280"/>
  <c r="C7" i="280"/>
  <c r="B7" i="280"/>
  <c r="Y6" i="280"/>
  <c r="X6" i="280"/>
  <c r="W6" i="280"/>
  <c r="V6" i="280"/>
  <c r="U6" i="280"/>
  <c r="T6" i="280"/>
  <c r="S6" i="280"/>
  <c r="R6" i="280"/>
  <c r="Q6" i="280"/>
  <c r="P6" i="280"/>
  <c r="O6" i="280"/>
  <c r="N6" i="280"/>
  <c r="M6" i="280"/>
  <c r="L6" i="280"/>
  <c r="K6" i="280"/>
  <c r="J6" i="280"/>
  <c r="I6" i="280"/>
  <c r="H6" i="280"/>
  <c r="G6" i="280"/>
  <c r="F6" i="280"/>
  <c r="E6" i="280"/>
  <c r="D6" i="280"/>
  <c r="C6" i="280"/>
  <c r="B6" i="280"/>
  <c r="Y5" i="280"/>
  <c r="X5" i="280"/>
  <c r="W5" i="280"/>
  <c r="V5" i="280"/>
  <c r="U5" i="280"/>
  <c r="T5" i="280"/>
  <c r="S5" i="280"/>
  <c r="R5" i="280"/>
  <c r="Q5" i="280"/>
  <c r="P5" i="280"/>
  <c r="O5" i="280"/>
  <c r="N5" i="280"/>
  <c r="M5" i="280"/>
  <c r="L5" i="280"/>
  <c r="K5" i="280"/>
  <c r="J5" i="280"/>
  <c r="I5" i="280"/>
  <c r="H5" i="280"/>
  <c r="G5" i="280"/>
  <c r="F5" i="280"/>
  <c r="E5" i="280"/>
  <c r="D5" i="280"/>
  <c r="C5" i="280"/>
  <c r="B5" i="280"/>
  <c r="Y10" i="279"/>
  <c r="X10" i="279"/>
  <c r="W10" i="279"/>
  <c r="V10" i="279"/>
  <c r="U10" i="279"/>
  <c r="T10" i="279"/>
  <c r="S10" i="279"/>
  <c r="R10" i="279"/>
  <c r="Q10" i="279"/>
  <c r="P10" i="279"/>
  <c r="O10" i="279"/>
  <c r="N10" i="279"/>
  <c r="M10" i="279"/>
  <c r="L10" i="279"/>
  <c r="K10" i="279"/>
  <c r="J10" i="279"/>
  <c r="I10" i="279"/>
  <c r="H10" i="279"/>
  <c r="G10" i="279"/>
  <c r="F10" i="279"/>
  <c r="E10" i="279"/>
  <c r="D10" i="279"/>
  <c r="C10" i="279"/>
  <c r="B10" i="279"/>
  <c r="Y9" i="279"/>
  <c r="X9" i="279"/>
  <c r="W9" i="279"/>
  <c r="V9" i="279"/>
  <c r="U9" i="279"/>
  <c r="T9" i="279"/>
  <c r="S9" i="279"/>
  <c r="R9" i="279"/>
  <c r="Q9" i="279"/>
  <c r="P9" i="279"/>
  <c r="O9" i="279"/>
  <c r="N9" i="279"/>
  <c r="M9" i="279"/>
  <c r="L9" i="279"/>
  <c r="K9" i="279"/>
  <c r="J9" i="279"/>
  <c r="I9" i="279"/>
  <c r="H9" i="279"/>
  <c r="G9" i="279"/>
  <c r="F9" i="279"/>
  <c r="E9" i="279"/>
  <c r="D9" i="279"/>
  <c r="C9" i="279"/>
  <c r="B9" i="279"/>
  <c r="Y8" i="279"/>
  <c r="X8" i="279"/>
  <c r="W8" i="279"/>
  <c r="V8" i="279"/>
  <c r="U8" i="279"/>
  <c r="T8" i="279"/>
  <c r="S8" i="279"/>
  <c r="R8" i="279"/>
  <c r="Q8" i="279"/>
  <c r="P8" i="279"/>
  <c r="O8" i="279"/>
  <c r="N8" i="279"/>
  <c r="M8" i="279"/>
  <c r="L8" i="279"/>
  <c r="K8" i="279"/>
  <c r="J8" i="279"/>
  <c r="I8" i="279"/>
  <c r="H8" i="279"/>
  <c r="G8" i="279"/>
  <c r="F8" i="279"/>
  <c r="E8" i="279"/>
  <c r="D8" i="279"/>
  <c r="C8" i="279"/>
  <c r="B8" i="279"/>
  <c r="Y7" i="279"/>
  <c r="X7" i="279"/>
  <c r="W7" i="279"/>
  <c r="V7" i="279"/>
  <c r="U7" i="279"/>
  <c r="T7" i="279"/>
  <c r="S7" i="279"/>
  <c r="R7" i="279"/>
  <c r="Q7" i="279"/>
  <c r="P7" i="279"/>
  <c r="O7" i="279"/>
  <c r="N7" i="279"/>
  <c r="M7" i="279"/>
  <c r="L7" i="279"/>
  <c r="K7" i="279"/>
  <c r="J7" i="279"/>
  <c r="I7" i="279"/>
  <c r="H7" i="279"/>
  <c r="G7" i="279"/>
  <c r="F7" i="279"/>
  <c r="E7" i="279"/>
  <c r="D7" i="279"/>
  <c r="C7" i="279"/>
  <c r="B7" i="279"/>
  <c r="Y6" i="279"/>
  <c r="X6" i="279"/>
  <c r="W6" i="279"/>
  <c r="V6" i="279"/>
  <c r="U6" i="279"/>
  <c r="T6" i="279"/>
  <c r="S6" i="279"/>
  <c r="R6" i="279"/>
  <c r="Q6" i="279"/>
  <c r="P6" i="279"/>
  <c r="O6" i="279"/>
  <c r="N6" i="279"/>
  <c r="M6" i="279"/>
  <c r="L6" i="279"/>
  <c r="K6" i="279"/>
  <c r="J6" i="279"/>
  <c r="I6" i="279"/>
  <c r="H6" i="279"/>
  <c r="G6" i="279"/>
  <c r="F6" i="279"/>
  <c r="E6" i="279"/>
  <c r="D6" i="279"/>
  <c r="C6" i="279"/>
  <c r="B6" i="279"/>
  <c r="Y5" i="279"/>
  <c r="X5" i="279"/>
  <c r="W5" i="279"/>
  <c r="V5" i="279"/>
  <c r="U5" i="279"/>
  <c r="T5" i="279"/>
  <c r="S5" i="279"/>
  <c r="R5" i="279"/>
  <c r="Q5" i="279"/>
  <c r="P5" i="279"/>
  <c r="O5" i="279"/>
  <c r="N5" i="279"/>
  <c r="M5" i="279"/>
  <c r="L5" i="279"/>
  <c r="K5" i="279"/>
  <c r="J5" i="279"/>
  <c r="I5" i="279"/>
  <c r="H5" i="279"/>
  <c r="G5" i="279"/>
  <c r="F5" i="279"/>
  <c r="E5" i="279"/>
  <c r="D5" i="279"/>
  <c r="C5" i="279"/>
  <c r="B5" i="279"/>
  <c r="Y10" i="278"/>
  <c r="X10" i="278"/>
  <c r="W10" i="278"/>
  <c r="V10" i="278"/>
  <c r="U10" i="278"/>
  <c r="T10" i="278"/>
  <c r="S10" i="278"/>
  <c r="R10" i="278"/>
  <c r="Q10" i="278"/>
  <c r="P10" i="278"/>
  <c r="O10" i="278"/>
  <c r="N10" i="278"/>
  <c r="M10" i="278"/>
  <c r="L10" i="278"/>
  <c r="K10" i="278"/>
  <c r="J10" i="278"/>
  <c r="I10" i="278"/>
  <c r="H10" i="278"/>
  <c r="G10" i="278"/>
  <c r="F10" i="278"/>
  <c r="E10" i="278"/>
  <c r="D10" i="278"/>
  <c r="C10" i="278"/>
  <c r="B10" i="278"/>
  <c r="Y9" i="278"/>
  <c r="X9" i="278"/>
  <c r="W9" i="278"/>
  <c r="V9" i="278"/>
  <c r="U9" i="278"/>
  <c r="T9" i="278"/>
  <c r="S9" i="278"/>
  <c r="R9" i="278"/>
  <c r="Q9" i="278"/>
  <c r="P9" i="278"/>
  <c r="O9" i="278"/>
  <c r="N9" i="278"/>
  <c r="M9" i="278"/>
  <c r="L9" i="278"/>
  <c r="K9" i="278"/>
  <c r="J9" i="278"/>
  <c r="I9" i="278"/>
  <c r="H9" i="278"/>
  <c r="G9" i="278"/>
  <c r="F9" i="278"/>
  <c r="E9" i="278"/>
  <c r="D9" i="278"/>
  <c r="C9" i="278"/>
  <c r="B9" i="278"/>
  <c r="Y8" i="278"/>
  <c r="X8" i="278"/>
  <c r="W8" i="278"/>
  <c r="V8" i="278"/>
  <c r="U8" i="278"/>
  <c r="T8" i="278"/>
  <c r="S8" i="278"/>
  <c r="R8" i="278"/>
  <c r="Q8" i="278"/>
  <c r="P8" i="278"/>
  <c r="O8" i="278"/>
  <c r="N8" i="278"/>
  <c r="M8" i="278"/>
  <c r="L8" i="278"/>
  <c r="K8" i="278"/>
  <c r="J8" i="278"/>
  <c r="I8" i="278"/>
  <c r="H8" i="278"/>
  <c r="G8" i="278"/>
  <c r="F8" i="278"/>
  <c r="E8" i="278"/>
  <c r="D8" i="278"/>
  <c r="C8" i="278"/>
  <c r="B8" i="278"/>
  <c r="Y7" i="278"/>
  <c r="X7" i="278"/>
  <c r="W7" i="278"/>
  <c r="V7" i="278"/>
  <c r="U7" i="278"/>
  <c r="T7" i="278"/>
  <c r="S7" i="278"/>
  <c r="R7" i="278"/>
  <c r="Q7" i="278"/>
  <c r="P7" i="278"/>
  <c r="O7" i="278"/>
  <c r="N7" i="278"/>
  <c r="M7" i="278"/>
  <c r="L7" i="278"/>
  <c r="K7" i="278"/>
  <c r="J7" i="278"/>
  <c r="I7" i="278"/>
  <c r="H7" i="278"/>
  <c r="G7" i="278"/>
  <c r="F7" i="278"/>
  <c r="E7" i="278"/>
  <c r="D7" i="278"/>
  <c r="C7" i="278"/>
  <c r="B7" i="278"/>
  <c r="Y6" i="278"/>
  <c r="X6" i="278"/>
  <c r="W6" i="278"/>
  <c r="V6" i="278"/>
  <c r="U6" i="278"/>
  <c r="T6" i="278"/>
  <c r="S6" i="278"/>
  <c r="R6" i="278"/>
  <c r="Q6" i="278"/>
  <c r="P6" i="278"/>
  <c r="O6" i="278"/>
  <c r="N6" i="278"/>
  <c r="M6" i="278"/>
  <c r="L6" i="278"/>
  <c r="K6" i="278"/>
  <c r="J6" i="278"/>
  <c r="I6" i="278"/>
  <c r="H6" i="278"/>
  <c r="G6" i="278"/>
  <c r="F6" i="278"/>
  <c r="E6" i="278"/>
  <c r="D6" i="278"/>
  <c r="C6" i="278"/>
  <c r="B6" i="278"/>
  <c r="Y5" i="278"/>
  <c r="X5" i="278"/>
  <c r="W5" i="278"/>
  <c r="V5" i="278"/>
  <c r="U5" i="278"/>
  <c r="T5" i="278"/>
  <c r="S5" i="278"/>
  <c r="R5" i="278"/>
  <c r="Q5" i="278"/>
  <c r="P5" i="278"/>
  <c r="O5" i="278"/>
  <c r="N5" i="278"/>
  <c r="M5" i="278"/>
  <c r="L5" i="278"/>
  <c r="K5" i="278"/>
  <c r="J5" i="278"/>
  <c r="I5" i="278"/>
  <c r="H5" i="278"/>
  <c r="G5" i="278"/>
  <c r="F5" i="278"/>
  <c r="E5" i="278"/>
  <c r="D5" i="278"/>
  <c r="C5" i="278"/>
  <c r="B5" i="278"/>
  <c r="Y10" i="277"/>
  <c r="X10" i="277"/>
  <c r="W10" i="277"/>
  <c r="V10" i="277"/>
  <c r="U10" i="277"/>
  <c r="T10" i="277"/>
  <c r="S10" i="277"/>
  <c r="R10" i="277"/>
  <c r="Q10" i="277"/>
  <c r="P10" i="277"/>
  <c r="O10" i="277"/>
  <c r="N10" i="277"/>
  <c r="M10" i="277"/>
  <c r="L10" i="277"/>
  <c r="K10" i="277"/>
  <c r="J10" i="277"/>
  <c r="I10" i="277"/>
  <c r="H10" i="277"/>
  <c r="G10" i="277"/>
  <c r="F10" i="277"/>
  <c r="E10" i="277"/>
  <c r="D10" i="277"/>
  <c r="C10" i="277"/>
  <c r="B10" i="277"/>
  <c r="Y9" i="277"/>
  <c r="X9" i="277"/>
  <c r="W9" i="277"/>
  <c r="V9" i="277"/>
  <c r="U9" i="277"/>
  <c r="T9" i="277"/>
  <c r="S9" i="277"/>
  <c r="R9" i="277"/>
  <c r="Q9" i="277"/>
  <c r="P9" i="277"/>
  <c r="O9" i="277"/>
  <c r="N9" i="277"/>
  <c r="M9" i="277"/>
  <c r="L9" i="277"/>
  <c r="K9" i="277"/>
  <c r="J9" i="277"/>
  <c r="I9" i="277"/>
  <c r="H9" i="277"/>
  <c r="G9" i="277"/>
  <c r="F9" i="277"/>
  <c r="E9" i="277"/>
  <c r="D9" i="277"/>
  <c r="C9" i="277"/>
  <c r="B9" i="277"/>
  <c r="Y8" i="277"/>
  <c r="X8" i="277"/>
  <c r="W8" i="277"/>
  <c r="V8" i="277"/>
  <c r="U8" i="277"/>
  <c r="T8" i="277"/>
  <c r="S8" i="277"/>
  <c r="R8" i="277"/>
  <c r="Q8" i="277"/>
  <c r="P8" i="277"/>
  <c r="O8" i="277"/>
  <c r="N8" i="277"/>
  <c r="M8" i="277"/>
  <c r="L8" i="277"/>
  <c r="K8" i="277"/>
  <c r="J8" i="277"/>
  <c r="I8" i="277"/>
  <c r="H8" i="277"/>
  <c r="G8" i="277"/>
  <c r="F8" i="277"/>
  <c r="E8" i="277"/>
  <c r="D8" i="277"/>
  <c r="C8" i="277"/>
  <c r="B8" i="277"/>
  <c r="Y7" i="277"/>
  <c r="X7" i="277"/>
  <c r="W7" i="277"/>
  <c r="V7" i="277"/>
  <c r="U7" i="277"/>
  <c r="T7" i="277"/>
  <c r="S7" i="277"/>
  <c r="R7" i="277"/>
  <c r="Q7" i="277"/>
  <c r="P7" i="277"/>
  <c r="O7" i="277"/>
  <c r="N7" i="277"/>
  <c r="M7" i="277"/>
  <c r="L7" i="277"/>
  <c r="K7" i="277"/>
  <c r="J7" i="277"/>
  <c r="I7" i="277"/>
  <c r="H7" i="277"/>
  <c r="G7" i="277"/>
  <c r="F7" i="277"/>
  <c r="E7" i="277"/>
  <c r="D7" i="277"/>
  <c r="C7" i="277"/>
  <c r="B7" i="277"/>
  <c r="Y6" i="277"/>
  <c r="X6" i="277"/>
  <c r="W6" i="277"/>
  <c r="V6" i="277"/>
  <c r="U6" i="277"/>
  <c r="T6" i="277"/>
  <c r="S6" i="277"/>
  <c r="R6" i="277"/>
  <c r="Q6" i="277"/>
  <c r="P6" i="277"/>
  <c r="O6" i="277"/>
  <c r="N6" i="277"/>
  <c r="M6" i="277"/>
  <c r="L6" i="277"/>
  <c r="K6" i="277"/>
  <c r="J6" i="277"/>
  <c r="I6" i="277"/>
  <c r="H6" i="277"/>
  <c r="G6" i="277"/>
  <c r="F6" i="277"/>
  <c r="E6" i="277"/>
  <c r="D6" i="277"/>
  <c r="C6" i="277"/>
  <c r="B6" i="277"/>
  <c r="Y5" i="277"/>
  <c r="X5" i="277"/>
  <c r="W5" i="277"/>
  <c r="V5" i="277"/>
  <c r="U5" i="277"/>
  <c r="T5" i="277"/>
  <c r="S5" i="277"/>
  <c r="R5" i="277"/>
  <c r="Q5" i="277"/>
  <c r="P5" i="277"/>
  <c r="O5" i="277"/>
  <c r="N5" i="277"/>
  <c r="M5" i="277"/>
  <c r="L5" i="277"/>
  <c r="K5" i="277"/>
  <c r="J5" i="277"/>
  <c r="I5" i="277"/>
  <c r="H5" i="277"/>
  <c r="G5" i="277"/>
  <c r="F5" i="277"/>
  <c r="E5" i="277"/>
  <c r="D5" i="277"/>
  <c r="C5" i="277"/>
  <c r="B5" i="277"/>
  <c r="Y10" i="276"/>
  <c r="X10" i="276"/>
  <c r="W10" i="276"/>
  <c r="V10" i="276"/>
  <c r="U10" i="276"/>
  <c r="T10" i="276"/>
  <c r="S10" i="276"/>
  <c r="R10" i="276"/>
  <c r="Q10" i="276"/>
  <c r="P10" i="276"/>
  <c r="O10" i="276"/>
  <c r="N10" i="276"/>
  <c r="M10" i="276"/>
  <c r="L10" i="276"/>
  <c r="K10" i="276"/>
  <c r="J10" i="276"/>
  <c r="I10" i="276"/>
  <c r="H10" i="276"/>
  <c r="G10" i="276"/>
  <c r="F10" i="276"/>
  <c r="E10" i="276"/>
  <c r="D10" i="276"/>
  <c r="C10" i="276"/>
  <c r="B10" i="276"/>
  <c r="Y9" i="276"/>
  <c r="X9" i="276"/>
  <c r="W9" i="276"/>
  <c r="V9" i="276"/>
  <c r="U9" i="276"/>
  <c r="T9" i="276"/>
  <c r="S9" i="276"/>
  <c r="R9" i="276"/>
  <c r="Q9" i="276"/>
  <c r="P9" i="276"/>
  <c r="O9" i="276"/>
  <c r="N9" i="276"/>
  <c r="M9" i="276"/>
  <c r="L9" i="276"/>
  <c r="K9" i="276"/>
  <c r="J9" i="276"/>
  <c r="I9" i="276"/>
  <c r="H9" i="276"/>
  <c r="G9" i="276"/>
  <c r="F9" i="276"/>
  <c r="E9" i="276"/>
  <c r="D9" i="276"/>
  <c r="C9" i="276"/>
  <c r="B9" i="276"/>
  <c r="Y8" i="276"/>
  <c r="X8" i="276"/>
  <c r="W8" i="276"/>
  <c r="V8" i="276"/>
  <c r="U8" i="276"/>
  <c r="T8" i="276"/>
  <c r="S8" i="276"/>
  <c r="R8" i="276"/>
  <c r="Q8" i="276"/>
  <c r="P8" i="276"/>
  <c r="O8" i="276"/>
  <c r="N8" i="276"/>
  <c r="M8" i="276"/>
  <c r="L8" i="276"/>
  <c r="K8" i="276"/>
  <c r="J8" i="276"/>
  <c r="I8" i="276"/>
  <c r="H8" i="276"/>
  <c r="G8" i="276"/>
  <c r="F8" i="276"/>
  <c r="E8" i="276"/>
  <c r="D8" i="276"/>
  <c r="C8" i="276"/>
  <c r="B8" i="276"/>
  <c r="Y7" i="276"/>
  <c r="X7" i="276"/>
  <c r="W7" i="276"/>
  <c r="V7" i="276"/>
  <c r="U7" i="276"/>
  <c r="T7" i="276"/>
  <c r="S7" i="276"/>
  <c r="R7" i="276"/>
  <c r="Q7" i="276"/>
  <c r="P7" i="276"/>
  <c r="O7" i="276"/>
  <c r="N7" i="276"/>
  <c r="M7" i="276"/>
  <c r="L7" i="276"/>
  <c r="K7" i="276"/>
  <c r="J7" i="276"/>
  <c r="I7" i="276"/>
  <c r="H7" i="276"/>
  <c r="G7" i="276"/>
  <c r="F7" i="276"/>
  <c r="E7" i="276"/>
  <c r="D7" i="276"/>
  <c r="C7" i="276"/>
  <c r="B7" i="276"/>
  <c r="Y6" i="276"/>
  <c r="X6" i="276"/>
  <c r="W6" i="276"/>
  <c r="V6" i="276"/>
  <c r="U6" i="276"/>
  <c r="T6" i="276"/>
  <c r="S6" i="276"/>
  <c r="R6" i="276"/>
  <c r="Q6" i="276"/>
  <c r="P6" i="276"/>
  <c r="O6" i="276"/>
  <c r="N6" i="276"/>
  <c r="M6" i="276"/>
  <c r="L6" i="276"/>
  <c r="K6" i="276"/>
  <c r="J6" i="276"/>
  <c r="I6" i="276"/>
  <c r="H6" i="276"/>
  <c r="G6" i="276"/>
  <c r="F6" i="276"/>
  <c r="E6" i="276"/>
  <c r="D6" i="276"/>
  <c r="C6" i="276"/>
  <c r="B6" i="276"/>
  <c r="Y5" i="276"/>
  <c r="X5" i="276"/>
  <c r="W5" i="276"/>
  <c r="V5" i="276"/>
  <c r="U5" i="276"/>
  <c r="T5" i="276"/>
  <c r="S5" i="276"/>
  <c r="R5" i="276"/>
  <c r="Q5" i="276"/>
  <c r="P5" i="276"/>
  <c r="O5" i="276"/>
  <c r="N5" i="276"/>
  <c r="M5" i="276"/>
  <c r="L5" i="276"/>
  <c r="K5" i="276"/>
  <c r="J5" i="276"/>
  <c r="I5" i="276"/>
  <c r="H5" i="276"/>
  <c r="G5" i="276"/>
  <c r="F5" i="276"/>
  <c r="E5" i="276"/>
  <c r="D5" i="276"/>
  <c r="C5" i="276"/>
  <c r="B5" i="276"/>
  <c r="Y10" i="275"/>
  <c r="X10" i="275"/>
  <c r="W10" i="275"/>
  <c r="V10" i="275"/>
  <c r="U10" i="275"/>
  <c r="T10" i="275"/>
  <c r="S10" i="275"/>
  <c r="R10" i="275"/>
  <c r="Q10" i="275"/>
  <c r="P10" i="275"/>
  <c r="O10" i="275"/>
  <c r="N10" i="275"/>
  <c r="M10" i="275"/>
  <c r="L10" i="275"/>
  <c r="K10" i="275"/>
  <c r="J10" i="275"/>
  <c r="I10" i="275"/>
  <c r="H10" i="275"/>
  <c r="G10" i="275"/>
  <c r="F10" i="275"/>
  <c r="E10" i="275"/>
  <c r="D10" i="275"/>
  <c r="C10" i="275"/>
  <c r="B10" i="275"/>
  <c r="Y9" i="275"/>
  <c r="X9" i="275"/>
  <c r="W9" i="275"/>
  <c r="V9" i="275"/>
  <c r="U9" i="275"/>
  <c r="T9" i="275"/>
  <c r="S9" i="275"/>
  <c r="R9" i="275"/>
  <c r="Q9" i="275"/>
  <c r="P9" i="275"/>
  <c r="O9" i="275"/>
  <c r="N9" i="275"/>
  <c r="M9" i="275"/>
  <c r="L9" i="275"/>
  <c r="K9" i="275"/>
  <c r="J9" i="275"/>
  <c r="I9" i="275"/>
  <c r="H9" i="275"/>
  <c r="G9" i="275"/>
  <c r="F9" i="275"/>
  <c r="E9" i="275"/>
  <c r="D9" i="275"/>
  <c r="C9" i="275"/>
  <c r="B9" i="275"/>
  <c r="Y8" i="275"/>
  <c r="X8" i="275"/>
  <c r="W8" i="275"/>
  <c r="V8" i="275"/>
  <c r="U8" i="275"/>
  <c r="T8" i="275"/>
  <c r="S8" i="275"/>
  <c r="R8" i="275"/>
  <c r="Q8" i="275"/>
  <c r="P8" i="275"/>
  <c r="O8" i="275"/>
  <c r="N8" i="275"/>
  <c r="M8" i="275"/>
  <c r="L8" i="275"/>
  <c r="K8" i="275"/>
  <c r="J8" i="275"/>
  <c r="I8" i="275"/>
  <c r="H8" i="275"/>
  <c r="G8" i="275"/>
  <c r="F8" i="275"/>
  <c r="E8" i="275"/>
  <c r="D8" i="275"/>
  <c r="C8" i="275"/>
  <c r="B8" i="275"/>
  <c r="Y7" i="275"/>
  <c r="X7" i="275"/>
  <c r="W7" i="275"/>
  <c r="V7" i="275"/>
  <c r="U7" i="275"/>
  <c r="T7" i="275"/>
  <c r="S7" i="275"/>
  <c r="R7" i="275"/>
  <c r="Q7" i="275"/>
  <c r="P7" i="275"/>
  <c r="O7" i="275"/>
  <c r="N7" i="275"/>
  <c r="M7" i="275"/>
  <c r="L7" i="275"/>
  <c r="K7" i="275"/>
  <c r="J7" i="275"/>
  <c r="I7" i="275"/>
  <c r="H7" i="275"/>
  <c r="G7" i="275"/>
  <c r="F7" i="275"/>
  <c r="E7" i="275"/>
  <c r="D7" i="275"/>
  <c r="C7" i="275"/>
  <c r="B7" i="275"/>
  <c r="Y6" i="275"/>
  <c r="X6" i="275"/>
  <c r="W6" i="275"/>
  <c r="V6" i="275"/>
  <c r="U6" i="275"/>
  <c r="T6" i="275"/>
  <c r="S6" i="275"/>
  <c r="R6" i="275"/>
  <c r="Q6" i="275"/>
  <c r="P6" i="275"/>
  <c r="O6" i="275"/>
  <c r="N6" i="275"/>
  <c r="M6" i="275"/>
  <c r="L6" i="275"/>
  <c r="K6" i="275"/>
  <c r="J6" i="275"/>
  <c r="I6" i="275"/>
  <c r="H6" i="275"/>
  <c r="G6" i="275"/>
  <c r="F6" i="275"/>
  <c r="E6" i="275"/>
  <c r="D6" i="275"/>
  <c r="C6" i="275"/>
  <c r="B6" i="275"/>
  <c r="Y5" i="275"/>
  <c r="X5" i="275"/>
  <c r="W5" i="275"/>
  <c r="V5" i="275"/>
  <c r="U5" i="275"/>
  <c r="T5" i="275"/>
  <c r="S5" i="275"/>
  <c r="R5" i="275"/>
  <c r="Q5" i="275"/>
  <c r="P5" i="275"/>
  <c r="O5" i="275"/>
  <c r="N5" i="275"/>
  <c r="M5" i="275"/>
  <c r="L5" i="275"/>
  <c r="K5" i="275"/>
  <c r="J5" i="275"/>
  <c r="I5" i="275"/>
  <c r="H5" i="275"/>
  <c r="G5" i="275"/>
  <c r="F5" i="275"/>
  <c r="E5" i="275"/>
  <c r="D5" i="275"/>
  <c r="C5" i="275"/>
  <c r="B5" i="275"/>
  <c r="D1" i="1"/>
  <c r="E1" i="1"/>
  <c r="F1" i="1"/>
  <c r="G1" i="1"/>
  <c r="H1" i="1"/>
  <c r="I1" i="1"/>
  <c r="J1" i="1"/>
  <c r="K1" i="1"/>
  <c r="C1" i="1"/>
  <c r="B7" i="1" l="1"/>
  <c r="B6" i="1" l="1"/>
  <c r="B5" i="1"/>
  <c r="Y10" i="244"/>
  <c r="X10" i="244"/>
  <c r="W10" i="244"/>
  <c r="V10" i="244"/>
  <c r="U10" i="244"/>
  <c r="T10" i="244"/>
  <c r="S10" i="244"/>
  <c r="R10" i="244"/>
  <c r="Q10" i="244"/>
  <c r="P10" i="244"/>
  <c r="O10" i="244"/>
  <c r="N10" i="244"/>
  <c r="M10" i="244"/>
  <c r="L10" i="244"/>
  <c r="K10" i="244"/>
  <c r="J10" i="244"/>
  <c r="I10" i="244"/>
  <c r="H10" i="244"/>
  <c r="G10" i="244"/>
  <c r="F10" i="244"/>
  <c r="E10" i="244"/>
  <c r="D10" i="244"/>
  <c r="C10" i="244"/>
  <c r="B10" i="244"/>
  <c r="Y9" i="244"/>
  <c r="X9" i="244"/>
  <c r="W9" i="244"/>
  <c r="V9" i="244"/>
  <c r="U9" i="244"/>
  <c r="T9" i="244"/>
  <c r="S9" i="244"/>
  <c r="R9" i="244"/>
  <c r="Q9" i="244"/>
  <c r="P9" i="244"/>
  <c r="O9" i="244"/>
  <c r="N9" i="244"/>
  <c r="M9" i="244"/>
  <c r="L9" i="244"/>
  <c r="K9" i="244"/>
  <c r="J9" i="244"/>
  <c r="I9" i="244"/>
  <c r="H9" i="244"/>
  <c r="G9" i="244"/>
  <c r="F9" i="244"/>
  <c r="E9" i="244"/>
  <c r="D9" i="244"/>
  <c r="C9" i="244"/>
  <c r="B9" i="244"/>
  <c r="Y8" i="244"/>
  <c r="X8" i="244"/>
  <c r="W8" i="244"/>
  <c r="V8" i="244"/>
  <c r="U8" i="244"/>
  <c r="T8" i="244"/>
  <c r="S8" i="244"/>
  <c r="R8" i="244"/>
  <c r="Q8" i="244"/>
  <c r="P8" i="244"/>
  <c r="O8" i="244"/>
  <c r="N8" i="244"/>
  <c r="M8" i="244"/>
  <c r="L8" i="244"/>
  <c r="K8" i="244"/>
  <c r="J8" i="244"/>
  <c r="I8" i="244"/>
  <c r="H8" i="244"/>
  <c r="G8" i="244"/>
  <c r="F8" i="244"/>
  <c r="E8" i="244"/>
  <c r="D8" i="244"/>
  <c r="C8" i="244"/>
  <c r="B8" i="244"/>
  <c r="Y7" i="244"/>
  <c r="X7" i="244"/>
  <c r="W7" i="244"/>
  <c r="V7" i="244"/>
  <c r="U7" i="244"/>
  <c r="T7" i="244"/>
  <c r="S7" i="244"/>
  <c r="R7" i="244"/>
  <c r="Q7" i="244"/>
  <c r="P7" i="244"/>
  <c r="O7" i="244"/>
  <c r="N7" i="244"/>
  <c r="M7" i="244"/>
  <c r="L7" i="244"/>
  <c r="K7" i="244"/>
  <c r="J7" i="244"/>
  <c r="I7" i="244"/>
  <c r="H7" i="244"/>
  <c r="G7" i="244"/>
  <c r="F7" i="244"/>
  <c r="E7" i="244"/>
  <c r="D7" i="244"/>
  <c r="C7" i="244"/>
  <c r="B7" i="244"/>
  <c r="Y6" i="244"/>
  <c r="X6" i="244"/>
  <c r="W6" i="244"/>
  <c r="V6" i="244"/>
  <c r="U6" i="244"/>
  <c r="T6" i="244"/>
  <c r="S6" i="244"/>
  <c r="R6" i="244"/>
  <c r="Q6" i="244"/>
  <c r="P6" i="244"/>
  <c r="O6" i="244"/>
  <c r="N6" i="244"/>
  <c r="M6" i="244"/>
  <c r="L6" i="244"/>
  <c r="K6" i="244"/>
  <c r="J6" i="244"/>
  <c r="I6" i="244"/>
  <c r="H6" i="244"/>
  <c r="G6" i="244"/>
  <c r="F6" i="244"/>
  <c r="E6" i="244"/>
  <c r="D6" i="244"/>
  <c r="C6" i="244"/>
  <c r="B6" i="244"/>
  <c r="Y5" i="244"/>
  <c r="X5" i="244"/>
  <c r="W5" i="244"/>
  <c r="V5" i="244"/>
  <c r="U5" i="244"/>
  <c r="T5" i="244"/>
  <c r="S5" i="244"/>
  <c r="R5" i="244"/>
  <c r="Q5" i="244"/>
  <c r="P5" i="244"/>
  <c r="O5" i="244"/>
  <c r="N5" i="244"/>
  <c r="M5" i="244"/>
  <c r="L5" i="244"/>
  <c r="K5" i="244"/>
  <c r="J5" i="244"/>
  <c r="I5" i="244"/>
  <c r="H5" i="244"/>
  <c r="G5" i="244"/>
  <c r="F5" i="244"/>
  <c r="E5" i="244"/>
  <c r="D5" i="244"/>
  <c r="C5" i="244"/>
  <c r="B5" i="244"/>
  <c r="Y10" i="243"/>
  <c r="X10" i="243"/>
  <c r="W10" i="243"/>
  <c r="V10" i="243"/>
  <c r="U10" i="243"/>
  <c r="T10" i="243"/>
  <c r="S10" i="243"/>
  <c r="R10" i="243"/>
  <c r="Q10" i="243"/>
  <c r="P10" i="243"/>
  <c r="O10" i="243"/>
  <c r="N10" i="243"/>
  <c r="M10" i="243"/>
  <c r="L10" i="243"/>
  <c r="K10" i="243"/>
  <c r="J10" i="243"/>
  <c r="I10" i="243"/>
  <c r="H10" i="243"/>
  <c r="G10" i="243"/>
  <c r="F10" i="243"/>
  <c r="E10" i="243"/>
  <c r="D10" i="243"/>
  <c r="C10" i="243"/>
  <c r="B10" i="243"/>
  <c r="Y9" i="243"/>
  <c r="X9" i="243"/>
  <c r="W9" i="243"/>
  <c r="V9" i="243"/>
  <c r="U9" i="243"/>
  <c r="T9" i="243"/>
  <c r="S9" i="243"/>
  <c r="R9" i="243"/>
  <c r="Q9" i="243"/>
  <c r="P9" i="243"/>
  <c r="O9" i="243"/>
  <c r="N9" i="243"/>
  <c r="M9" i="243"/>
  <c r="L9" i="243"/>
  <c r="K9" i="243"/>
  <c r="J9" i="243"/>
  <c r="I9" i="243"/>
  <c r="H9" i="243"/>
  <c r="G9" i="243"/>
  <c r="F9" i="243"/>
  <c r="E9" i="243"/>
  <c r="D9" i="243"/>
  <c r="C9" i="243"/>
  <c r="B9" i="243"/>
  <c r="Y8" i="243"/>
  <c r="X8" i="243"/>
  <c r="W8" i="243"/>
  <c r="V8" i="243"/>
  <c r="U8" i="243"/>
  <c r="T8" i="243"/>
  <c r="S8" i="243"/>
  <c r="R8" i="243"/>
  <c r="Q8" i="243"/>
  <c r="P8" i="243"/>
  <c r="O8" i="243"/>
  <c r="N8" i="243"/>
  <c r="M8" i="243"/>
  <c r="L8" i="243"/>
  <c r="K8" i="243"/>
  <c r="J8" i="243"/>
  <c r="I8" i="243"/>
  <c r="H8" i="243"/>
  <c r="G8" i="243"/>
  <c r="F8" i="243"/>
  <c r="E8" i="243"/>
  <c r="D8" i="243"/>
  <c r="C8" i="243"/>
  <c r="B8" i="243"/>
  <c r="Y7" i="243"/>
  <c r="X7" i="243"/>
  <c r="W7" i="243"/>
  <c r="V7" i="243"/>
  <c r="U7" i="243"/>
  <c r="T7" i="243"/>
  <c r="S7" i="243"/>
  <c r="R7" i="243"/>
  <c r="Q7" i="243"/>
  <c r="P7" i="243"/>
  <c r="O7" i="243"/>
  <c r="N7" i="243"/>
  <c r="M7" i="243"/>
  <c r="L7" i="243"/>
  <c r="K7" i="243"/>
  <c r="J7" i="243"/>
  <c r="I7" i="243"/>
  <c r="H7" i="243"/>
  <c r="G7" i="243"/>
  <c r="F7" i="243"/>
  <c r="E7" i="243"/>
  <c r="D7" i="243"/>
  <c r="C7" i="243"/>
  <c r="B7" i="243"/>
  <c r="Y6" i="243"/>
  <c r="X6" i="243"/>
  <c r="W6" i="243"/>
  <c r="V6" i="243"/>
  <c r="U6" i="243"/>
  <c r="T6" i="243"/>
  <c r="S6" i="243"/>
  <c r="R6" i="243"/>
  <c r="Q6" i="243"/>
  <c r="P6" i="243"/>
  <c r="O6" i="243"/>
  <c r="N6" i="243"/>
  <c r="M6" i="243"/>
  <c r="L6" i="243"/>
  <c r="K6" i="243"/>
  <c r="J6" i="243"/>
  <c r="I6" i="243"/>
  <c r="H6" i="243"/>
  <c r="G6" i="243"/>
  <c r="F6" i="243"/>
  <c r="E6" i="243"/>
  <c r="D6" i="243"/>
  <c r="C6" i="243"/>
  <c r="B6" i="243"/>
  <c r="Y5" i="243"/>
  <c r="X5" i="243"/>
  <c r="W5" i="243"/>
  <c r="V5" i="243"/>
  <c r="U5" i="243"/>
  <c r="T5" i="243"/>
  <c r="S5" i="243"/>
  <c r="R5" i="243"/>
  <c r="Q5" i="243"/>
  <c r="P5" i="243"/>
  <c r="O5" i="243"/>
  <c r="N5" i="243"/>
  <c r="M5" i="243"/>
  <c r="L5" i="243"/>
  <c r="K5" i="243"/>
  <c r="J5" i="243"/>
  <c r="I5" i="243"/>
  <c r="H5" i="243"/>
  <c r="G5" i="243"/>
  <c r="F5" i="243"/>
  <c r="E5" i="243"/>
  <c r="D5" i="243"/>
  <c r="C5" i="243"/>
  <c r="B5" i="243"/>
  <c r="Y10" i="242"/>
  <c r="X10" i="242"/>
  <c r="W10" i="242"/>
  <c r="V10" i="242"/>
  <c r="U10" i="242"/>
  <c r="T10" i="242"/>
  <c r="S10" i="242"/>
  <c r="R10" i="242"/>
  <c r="Q10" i="242"/>
  <c r="P10" i="242"/>
  <c r="O10" i="242"/>
  <c r="N10" i="242"/>
  <c r="M10" i="242"/>
  <c r="L10" i="242"/>
  <c r="K10" i="242"/>
  <c r="J10" i="242"/>
  <c r="I10" i="242"/>
  <c r="H10" i="242"/>
  <c r="G10" i="242"/>
  <c r="F10" i="242"/>
  <c r="E10" i="242"/>
  <c r="D10" i="242"/>
  <c r="C10" i="242"/>
  <c r="B10" i="242"/>
  <c r="Y9" i="242"/>
  <c r="X9" i="242"/>
  <c r="W9" i="242"/>
  <c r="V9" i="242"/>
  <c r="U9" i="242"/>
  <c r="T9" i="242"/>
  <c r="S9" i="242"/>
  <c r="R9" i="242"/>
  <c r="Q9" i="242"/>
  <c r="P9" i="242"/>
  <c r="O9" i="242"/>
  <c r="N9" i="242"/>
  <c r="M9" i="242"/>
  <c r="L9" i="242"/>
  <c r="K9" i="242"/>
  <c r="J9" i="242"/>
  <c r="I9" i="242"/>
  <c r="H9" i="242"/>
  <c r="G9" i="242"/>
  <c r="F9" i="242"/>
  <c r="E9" i="242"/>
  <c r="D9" i="242"/>
  <c r="C9" i="242"/>
  <c r="B9" i="242"/>
  <c r="Y8" i="242"/>
  <c r="X8" i="242"/>
  <c r="W8" i="242"/>
  <c r="V8" i="242"/>
  <c r="U8" i="242"/>
  <c r="T8" i="242"/>
  <c r="S8" i="242"/>
  <c r="R8" i="242"/>
  <c r="Q8" i="242"/>
  <c r="P8" i="242"/>
  <c r="O8" i="242"/>
  <c r="N8" i="242"/>
  <c r="M8" i="242"/>
  <c r="L8" i="242"/>
  <c r="K8" i="242"/>
  <c r="J8" i="242"/>
  <c r="I8" i="242"/>
  <c r="H8" i="242"/>
  <c r="G8" i="242"/>
  <c r="F8" i="242"/>
  <c r="E8" i="242"/>
  <c r="D8" i="242"/>
  <c r="C8" i="242"/>
  <c r="B8" i="242"/>
  <c r="Y7" i="242"/>
  <c r="X7" i="242"/>
  <c r="W7" i="242"/>
  <c r="V7" i="242"/>
  <c r="U7" i="242"/>
  <c r="T7" i="242"/>
  <c r="S7" i="242"/>
  <c r="R7" i="242"/>
  <c r="Q7" i="242"/>
  <c r="P7" i="242"/>
  <c r="O7" i="242"/>
  <c r="N7" i="242"/>
  <c r="M7" i="242"/>
  <c r="L7" i="242"/>
  <c r="K7" i="242"/>
  <c r="J7" i="242"/>
  <c r="I7" i="242"/>
  <c r="H7" i="242"/>
  <c r="G7" i="242"/>
  <c r="F7" i="242"/>
  <c r="E7" i="242"/>
  <c r="D7" i="242"/>
  <c r="C7" i="242"/>
  <c r="B7" i="242"/>
  <c r="Y6" i="242"/>
  <c r="X6" i="242"/>
  <c r="W6" i="242"/>
  <c r="V6" i="242"/>
  <c r="U6" i="242"/>
  <c r="T6" i="242"/>
  <c r="S6" i="242"/>
  <c r="R6" i="242"/>
  <c r="Q6" i="242"/>
  <c r="P6" i="242"/>
  <c r="O6" i="242"/>
  <c r="N6" i="242"/>
  <c r="M6" i="242"/>
  <c r="L6" i="242"/>
  <c r="K6" i="242"/>
  <c r="J6" i="242"/>
  <c r="I6" i="242"/>
  <c r="H6" i="242"/>
  <c r="G6" i="242"/>
  <c r="F6" i="242"/>
  <c r="E6" i="242"/>
  <c r="D6" i="242"/>
  <c r="C6" i="242"/>
  <c r="B6" i="242"/>
  <c r="Y5" i="242"/>
  <c r="X5" i="242"/>
  <c r="W5" i="242"/>
  <c r="V5" i="242"/>
  <c r="U5" i="242"/>
  <c r="T5" i="242"/>
  <c r="S5" i="242"/>
  <c r="R5" i="242"/>
  <c r="Q5" i="242"/>
  <c r="P5" i="242"/>
  <c r="O5" i="242"/>
  <c r="N5" i="242"/>
  <c r="M5" i="242"/>
  <c r="L5" i="242"/>
  <c r="K5" i="242"/>
  <c r="J5" i="242"/>
  <c r="I5" i="242"/>
  <c r="H5" i="242"/>
  <c r="G5" i="242"/>
  <c r="F5" i="242"/>
  <c r="E5" i="242"/>
  <c r="D5" i="242"/>
  <c r="C5" i="242"/>
  <c r="B5" i="242"/>
  <c r="Y10" i="241"/>
  <c r="X10" i="241"/>
  <c r="W10" i="241"/>
  <c r="V10" i="241"/>
  <c r="U10" i="241"/>
  <c r="T10" i="241"/>
  <c r="S10" i="241"/>
  <c r="R10" i="241"/>
  <c r="Q10" i="241"/>
  <c r="P10" i="241"/>
  <c r="O10" i="241"/>
  <c r="N10" i="241"/>
  <c r="M10" i="241"/>
  <c r="L10" i="241"/>
  <c r="K10" i="241"/>
  <c r="J10" i="241"/>
  <c r="I10" i="241"/>
  <c r="H10" i="241"/>
  <c r="G10" i="241"/>
  <c r="F10" i="241"/>
  <c r="E10" i="241"/>
  <c r="D10" i="241"/>
  <c r="C10" i="241"/>
  <c r="B10" i="241"/>
  <c r="Y9" i="241"/>
  <c r="X9" i="241"/>
  <c r="W9" i="241"/>
  <c r="V9" i="241"/>
  <c r="U9" i="241"/>
  <c r="T9" i="241"/>
  <c r="S9" i="241"/>
  <c r="R9" i="241"/>
  <c r="Q9" i="241"/>
  <c r="P9" i="241"/>
  <c r="O9" i="241"/>
  <c r="N9" i="241"/>
  <c r="M9" i="241"/>
  <c r="L9" i="241"/>
  <c r="K9" i="241"/>
  <c r="J9" i="241"/>
  <c r="I9" i="241"/>
  <c r="H9" i="241"/>
  <c r="G9" i="241"/>
  <c r="F9" i="241"/>
  <c r="E9" i="241"/>
  <c r="D9" i="241"/>
  <c r="C9" i="241"/>
  <c r="B9" i="241"/>
  <c r="Y8" i="241"/>
  <c r="X8" i="241"/>
  <c r="W8" i="241"/>
  <c r="V8" i="241"/>
  <c r="U8" i="241"/>
  <c r="T8" i="241"/>
  <c r="S8" i="241"/>
  <c r="R8" i="241"/>
  <c r="Q8" i="241"/>
  <c r="P8" i="241"/>
  <c r="O8" i="241"/>
  <c r="N8" i="241"/>
  <c r="M8" i="241"/>
  <c r="L8" i="241"/>
  <c r="K8" i="241"/>
  <c r="J8" i="241"/>
  <c r="I8" i="241"/>
  <c r="H8" i="241"/>
  <c r="G8" i="241"/>
  <c r="F8" i="241"/>
  <c r="E8" i="241"/>
  <c r="D8" i="241"/>
  <c r="C8" i="241"/>
  <c r="B8" i="241"/>
  <c r="Y7" i="241"/>
  <c r="X7" i="241"/>
  <c r="W7" i="241"/>
  <c r="V7" i="241"/>
  <c r="U7" i="241"/>
  <c r="T7" i="241"/>
  <c r="S7" i="241"/>
  <c r="R7" i="241"/>
  <c r="Q7" i="241"/>
  <c r="P7" i="241"/>
  <c r="O7" i="241"/>
  <c r="N7" i="241"/>
  <c r="M7" i="241"/>
  <c r="L7" i="241"/>
  <c r="K7" i="241"/>
  <c r="J7" i="241"/>
  <c r="I7" i="241"/>
  <c r="H7" i="241"/>
  <c r="G7" i="241"/>
  <c r="F7" i="241"/>
  <c r="E7" i="241"/>
  <c r="D7" i="241"/>
  <c r="C7" i="241"/>
  <c r="B7" i="241"/>
  <c r="Y6" i="241"/>
  <c r="X6" i="241"/>
  <c r="W6" i="241"/>
  <c r="V6" i="241"/>
  <c r="U6" i="241"/>
  <c r="T6" i="241"/>
  <c r="S6" i="241"/>
  <c r="R6" i="241"/>
  <c r="Q6" i="241"/>
  <c r="P6" i="241"/>
  <c r="O6" i="241"/>
  <c r="N6" i="241"/>
  <c r="M6" i="241"/>
  <c r="L6" i="241"/>
  <c r="K6" i="241"/>
  <c r="J6" i="241"/>
  <c r="I6" i="241"/>
  <c r="H6" i="241"/>
  <c r="G6" i="241"/>
  <c r="F6" i="241"/>
  <c r="E6" i="241"/>
  <c r="D6" i="241"/>
  <c r="C6" i="241"/>
  <c r="B6" i="241"/>
  <c r="Y5" i="241"/>
  <c r="X5" i="241"/>
  <c r="W5" i="241"/>
  <c r="V5" i="241"/>
  <c r="U5" i="241"/>
  <c r="T5" i="241"/>
  <c r="S5" i="241"/>
  <c r="R5" i="241"/>
  <c r="Q5" i="241"/>
  <c r="P5" i="241"/>
  <c r="O5" i="241"/>
  <c r="N5" i="241"/>
  <c r="M5" i="241"/>
  <c r="L5" i="241"/>
  <c r="K5" i="241"/>
  <c r="J5" i="241"/>
  <c r="I5" i="241"/>
  <c r="H5" i="241"/>
  <c r="G5" i="241"/>
  <c r="F5" i="241"/>
  <c r="E5" i="241"/>
  <c r="D5" i="241"/>
  <c r="C5" i="241"/>
  <c r="B5" i="241"/>
  <c r="Y10" i="240"/>
  <c r="X10" i="240"/>
  <c r="W10" i="240"/>
  <c r="V10" i="240"/>
  <c r="U10" i="240"/>
  <c r="T10" i="240"/>
  <c r="S10" i="240"/>
  <c r="R10" i="240"/>
  <c r="Q10" i="240"/>
  <c r="P10" i="240"/>
  <c r="O10" i="240"/>
  <c r="N10" i="240"/>
  <c r="M10" i="240"/>
  <c r="L10" i="240"/>
  <c r="K10" i="240"/>
  <c r="J10" i="240"/>
  <c r="I10" i="240"/>
  <c r="H10" i="240"/>
  <c r="G10" i="240"/>
  <c r="F10" i="240"/>
  <c r="E10" i="240"/>
  <c r="D10" i="240"/>
  <c r="C10" i="240"/>
  <c r="B10" i="240"/>
  <c r="Y9" i="240"/>
  <c r="X9" i="240"/>
  <c r="W9" i="240"/>
  <c r="V9" i="240"/>
  <c r="U9" i="240"/>
  <c r="T9" i="240"/>
  <c r="S9" i="240"/>
  <c r="R9" i="240"/>
  <c r="Q9" i="240"/>
  <c r="P9" i="240"/>
  <c r="O9" i="240"/>
  <c r="N9" i="240"/>
  <c r="M9" i="240"/>
  <c r="L9" i="240"/>
  <c r="K9" i="240"/>
  <c r="J9" i="240"/>
  <c r="I9" i="240"/>
  <c r="H9" i="240"/>
  <c r="G9" i="240"/>
  <c r="F9" i="240"/>
  <c r="E9" i="240"/>
  <c r="D9" i="240"/>
  <c r="C9" i="240"/>
  <c r="B9" i="240"/>
  <c r="Y8" i="240"/>
  <c r="X8" i="240"/>
  <c r="W8" i="240"/>
  <c r="V8" i="240"/>
  <c r="U8" i="240"/>
  <c r="T8" i="240"/>
  <c r="S8" i="240"/>
  <c r="R8" i="240"/>
  <c r="Q8" i="240"/>
  <c r="P8" i="240"/>
  <c r="O8" i="240"/>
  <c r="N8" i="240"/>
  <c r="M8" i="240"/>
  <c r="L8" i="240"/>
  <c r="K8" i="240"/>
  <c r="J8" i="240"/>
  <c r="I8" i="240"/>
  <c r="H8" i="240"/>
  <c r="G8" i="240"/>
  <c r="F8" i="240"/>
  <c r="E8" i="240"/>
  <c r="D8" i="240"/>
  <c r="C8" i="240"/>
  <c r="B8" i="240"/>
  <c r="Y7" i="240"/>
  <c r="X7" i="240"/>
  <c r="W7" i="240"/>
  <c r="V7" i="240"/>
  <c r="U7" i="240"/>
  <c r="T7" i="240"/>
  <c r="S7" i="240"/>
  <c r="R7" i="240"/>
  <c r="Q7" i="240"/>
  <c r="P7" i="240"/>
  <c r="O7" i="240"/>
  <c r="N7" i="240"/>
  <c r="M7" i="240"/>
  <c r="L7" i="240"/>
  <c r="K7" i="240"/>
  <c r="J7" i="240"/>
  <c r="I7" i="240"/>
  <c r="H7" i="240"/>
  <c r="G7" i="240"/>
  <c r="F7" i="240"/>
  <c r="E7" i="240"/>
  <c r="D7" i="240"/>
  <c r="C7" i="240"/>
  <c r="B7" i="240"/>
  <c r="Y6" i="240"/>
  <c r="X6" i="240"/>
  <c r="W6" i="240"/>
  <c r="V6" i="240"/>
  <c r="U6" i="240"/>
  <c r="T6" i="240"/>
  <c r="S6" i="240"/>
  <c r="R6" i="240"/>
  <c r="Q6" i="240"/>
  <c r="P6" i="240"/>
  <c r="O6" i="240"/>
  <c r="N6" i="240"/>
  <c r="M6" i="240"/>
  <c r="L6" i="240"/>
  <c r="K6" i="240"/>
  <c r="J6" i="240"/>
  <c r="I6" i="240"/>
  <c r="H6" i="240"/>
  <c r="G6" i="240"/>
  <c r="F6" i="240"/>
  <c r="E6" i="240"/>
  <c r="D6" i="240"/>
  <c r="C6" i="240"/>
  <c r="B6" i="240"/>
  <c r="Y5" i="240"/>
  <c r="X5" i="240"/>
  <c r="W5" i="240"/>
  <c r="V5" i="240"/>
  <c r="U5" i="240"/>
  <c r="T5" i="240"/>
  <c r="S5" i="240"/>
  <c r="R5" i="240"/>
  <c r="Q5" i="240"/>
  <c r="P5" i="240"/>
  <c r="O5" i="240"/>
  <c r="N5" i="240"/>
  <c r="M5" i="240"/>
  <c r="L5" i="240"/>
  <c r="K5" i="240"/>
  <c r="J5" i="240"/>
  <c r="I5" i="240"/>
  <c r="H5" i="240"/>
  <c r="G5" i="240"/>
  <c r="F5" i="240"/>
  <c r="E5" i="240"/>
  <c r="D5" i="240"/>
  <c r="C5" i="240"/>
  <c r="B5" i="240"/>
  <c r="Y10" i="239"/>
  <c r="X10" i="239"/>
  <c r="W10" i="239"/>
  <c r="V10" i="239"/>
  <c r="U10" i="239"/>
  <c r="T10" i="239"/>
  <c r="S10" i="239"/>
  <c r="R10" i="239"/>
  <c r="Q10" i="239"/>
  <c r="P10" i="239"/>
  <c r="O10" i="239"/>
  <c r="N10" i="239"/>
  <c r="M10" i="239"/>
  <c r="L10" i="239"/>
  <c r="K10" i="239"/>
  <c r="J10" i="239"/>
  <c r="I10" i="239"/>
  <c r="H10" i="239"/>
  <c r="G10" i="239"/>
  <c r="F10" i="239"/>
  <c r="E10" i="239"/>
  <c r="D10" i="239"/>
  <c r="C10" i="239"/>
  <c r="B10" i="239"/>
  <c r="Y9" i="239"/>
  <c r="X9" i="239"/>
  <c r="W9" i="239"/>
  <c r="V9" i="239"/>
  <c r="U9" i="239"/>
  <c r="T9" i="239"/>
  <c r="S9" i="239"/>
  <c r="R9" i="239"/>
  <c r="Q9" i="239"/>
  <c r="P9" i="239"/>
  <c r="O9" i="239"/>
  <c r="N9" i="239"/>
  <c r="M9" i="239"/>
  <c r="L9" i="239"/>
  <c r="K9" i="239"/>
  <c r="J9" i="239"/>
  <c r="I9" i="239"/>
  <c r="H9" i="239"/>
  <c r="G9" i="239"/>
  <c r="F9" i="239"/>
  <c r="E9" i="239"/>
  <c r="D9" i="239"/>
  <c r="C9" i="239"/>
  <c r="B9" i="239"/>
  <c r="Y8" i="239"/>
  <c r="X8" i="239"/>
  <c r="W8" i="239"/>
  <c r="V8" i="239"/>
  <c r="U8" i="239"/>
  <c r="T8" i="239"/>
  <c r="S8" i="239"/>
  <c r="R8" i="239"/>
  <c r="Q8" i="239"/>
  <c r="P8" i="239"/>
  <c r="O8" i="239"/>
  <c r="N8" i="239"/>
  <c r="M8" i="239"/>
  <c r="L8" i="239"/>
  <c r="K8" i="239"/>
  <c r="J8" i="239"/>
  <c r="I8" i="239"/>
  <c r="H8" i="239"/>
  <c r="G8" i="239"/>
  <c r="F8" i="239"/>
  <c r="E8" i="239"/>
  <c r="D8" i="239"/>
  <c r="C8" i="239"/>
  <c r="B8" i="239"/>
  <c r="Y7" i="239"/>
  <c r="X7" i="239"/>
  <c r="W7" i="239"/>
  <c r="V7" i="239"/>
  <c r="U7" i="239"/>
  <c r="T7" i="239"/>
  <c r="S7" i="239"/>
  <c r="R7" i="239"/>
  <c r="Q7" i="239"/>
  <c r="P7" i="239"/>
  <c r="O7" i="239"/>
  <c r="N7" i="239"/>
  <c r="M7" i="239"/>
  <c r="L7" i="239"/>
  <c r="K7" i="239"/>
  <c r="J7" i="239"/>
  <c r="I7" i="239"/>
  <c r="H7" i="239"/>
  <c r="G7" i="239"/>
  <c r="F7" i="239"/>
  <c r="E7" i="239"/>
  <c r="D7" i="239"/>
  <c r="C7" i="239"/>
  <c r="B7" i="239"/>
  <c r="Y6" i="239"/>
  <c r="X6" i="239"/>
  <c r="W6" i="239"/>
  <c r="V6" i="239"/>
  <c r="U6" i="239"/>
  <c r="T6" i="239"/>
  <c r="S6" i="239"/>
  <c r="R6" i="239"/>
  <c r="Q6" i="239"/>
  <c r="P6" i="239"/>
  <c r="O6" i="239"/>
  <c r="N6" i="239"/>
  <c r="M6" i="239"/>
  <c r="L6" i="239"/>
  <c r="K6" i="239"/>
  <c r="J6" i="239"/>
  <c r="I6" i="239"/>
  <c r="H6" i="239"/>
  <c r="G6" i="239"/>
  <c r="F6" i="239"/>
  <c r="E6" i="239"/>
  <c r="D6" i="239"/>
  <c r="C6" i="239"/>
  <c r="B6" i="239"/>
  <c r="Y5" i="239"/>
  <c r="X5" i="239"/>
  <c r="W5" i="239"/>
  <c r="V5" i="239"/>
  <c r="U5" i="239"/>
  <c r="T5" i="239"/>
  <c r="S5" i="239"/>
  <c r="R5" i="239"/>
  <c r="Q5" i="239"/>
  <c r="P5" i="239"/>
  <c r="O5" i="239"/>
  <c r="N5" i="239"/>
  <c r="M5" i="239"/>
  <c r="L5" i="239"/>
  <c r="K5" i="239"/>
  <c r="J5" i="239"/>
  <c r="I5" i="239"/>
  <c r="H5" i="239"/>
  <c r="G5" i="239"/>
  <c r="F5" i="239"/>
  <c r="E5" i="239"/>
  <c r="D5" i="239"/>
  <c r="C5" i="239"/>
  <c r="B5" i="239"/>
  <c r="Y10" i="238"/>
  <c r="X10" i="238"/>
  <c r="W10" i="238"/>
  <c r="V10" i="238"/>
  <c r="U10" i="238"/>
  <c r="T10" i="238"/>
  <c r="S10" i="238"/>
  <c r="R10" i="238"/>
  <c r="Q10" i="238"/>
  <c r="P10" i="238"/>
  <c r="O10" i="238"/>
  <c r="N10" i="238"/>
  <c r="M10" i="238"/>
  <c r="L10" i="238"/>
  <c r="K10" i="238"/>
  <c r="J10" i="238"/>
  <c r="I10" i="238"/>
  <c r="H10" i="238"/>
  <c r="G10" i="238"/>
  <c r="F10" i="238"/>
  <c r="E10" i="238"/>
  <c r="D10" i="238"/>
  <c r="C10" i="238"/>
  <c r="B10" i="238"/>
  <c r="Y9" i="238"/>
  <c r="X9" i="238"/>
  <c r="W9" i="238"/>
  <c r="V9" i="238"/>
  <c r="U9" i="238"/>
  <c r="T9" i="238"/>
  <c r="S9" i="238"/>
  <c r="R9" i="238"/>
  <c r="Q9" i="238"/>
  <c r="P9" i="238"/>
  <c r="O9" i="238"/>
  <c r="N9" i="238"/>
  <c r="M9" i="238"/>
  <c r="L9" i="238"/>
  <c r="K9" i="238"/>
  <c r="J9" i="238"/>
  <c r="I9" i="238"/>
  <c r="H9" i="238"/>
  <c r="G9" i="238"/>
  <c r="F9" i="238"/>
  <c r="E9" i="238"/>
  <c r="D9" i="238"/>
  <c r="C9" i="238"/>
  <c r="B9" i="238"/>
  <c r="Y8" i="238"/>
  <c r="X8" i="238"/>
  <c r="W8" i="238"/>
  <c r="V8" i="238"/>
  <c r="U8" i="238"/>
  <c r="T8" i="238"/>
  <c r="S8" i="238"/>
  <c r="R8" i="238"/>
  <c r="Q8" i="238"/>
  <c r="P8" i="238"/>
  <c r="O8" i="238"/>
  <c r="N8" i="238"/>
  <c r="M8" i="238"/>
  <c r="L8" i="238"/>
  <c r="K8" i="238"/>
  <c r="J8" i="238"/>
  <c r="I8" i="238"/>
  <c r="H8" i="238"/>
  <c r="G8" i="238"/>
  <c r="F8" i="238"/>
  <c r="E8" i="238"/>
  <c r="D8" i="238"/>
  <c r="C8" i="238"/>
  <c r="B8" i="238"/>
  <c r="Y7" i="238"/>
  <c r="X7" i="238"/>
  <c r="W7" i="238"/>
  <c r="V7" i="238"/>
  <c r="U7" i="238"/>
  <c r="T7" i="238"/>
  <c r="S7" i="238"/>
  <c r="R7" i="238"/>
  <c r="Q7" i="238"/>
  <c r="P7" i="238"/>
  <c r="O7" i="238"/>
  <c r="N7" i="238"/>
  <c r="M7" i="238"/>
  <c r="L7" i="238"/>
  <c r="K7" i="238"/>
  <c r="J7" i="238"/>
  <c r="I7" i="238"/>
  <c r="H7" i="238"/>
  <c r="G7" i="238"/>
  <c r="F7" i="238"/>
  <c r="E7" i="238"/>
  <c r="D7" i="238"/>
  <c r="C7" i="238"/>
  <c r="B7" i="238"/>
  <c r="Y6" i="238"/>
  <c r="X6" i="238"/>
  <c r="W6" i="238"/>
  <c r="V6" i="238"/>
  <c r="U6" i="238"/>
  <c r="T6" i="238"/>
  <c r="S6" i="238"/>
  <c r="R6" i="238"/>
  <c r="Q6" i="238"/>
  <c r="P6" i="238"/>
  <c r="O6" i="238"/>
  <c r="N6" i="238"/>
  <c r="M6" i="238"/>
  <c r="L6" i="238"/>
  <c r="K6" i="238"/>
  <c r="J6" i="238"/>
  <c r="I6" i="238"/>
  <c r="H6" i="238"/>
  <c r="G6" i="238"/>
  <c r="F6" i="238"/>
  <c r="E6" i="238"/>
  <c r="D6" i="238"/>
  <c r="C6" i="238"/>
  <c r="B6" i="238"/>
  <c r="Y5" i="238"/>
  <c r="X5" i="238"/>
  <c r="W5" i="238"/>
  <c r="V5" i="238"/>
  <c r="U5" i="238"/>
  <c r="T5" i="238"/>
  <c r="S5" i="238"/>
  <c r="R5" i="238"/>
  <c r="Q5" i="238"/>
  <c r="P5" i="238"/>
  <c r="O5" i="238"/>
  <c r="N5" i="238"/>
  <c r="M5" i="238"/>
  <c r="L5" i="238"/>
  <c r="K5" i="238"/>
  <c r="J5" i="238"/>
  <c r="I5" i="238"/>
  <c r="H5" i="238"/>
  <c r="G5" i="238"/>
  <c r="F5" i="238"/>
  <c r="E5" i="238"/>
  <c r="D5" i="238"/>
  <c r="C5" i="238"/>
  <c r="B5" i="238"/>
  <c r="Y10" i="237"/>
  <c r="X10" i="237"/>
  <c r="W10" i="237"/>
  <c r="V10" i="237"/>
  <c r="U10" i="237"/>
  <c r="T10" i="237"/>
  <c r="S10" i="237"/>
  <c r="R10" i="237"/>
  <c r="Q10" i="237"/>
  <c r="P10" i="237"/>
  <c r="O10" i="237"/>
  <c r="N10" i="237"/>
  <c r="M10" i="237"/>
  <c r="L10" i="237"/>
  <c r="K10" i="237"/>
  <c r="J10" i="237"/>
  <c r="I10" i="237"/>
  <c r="H10" i="237"/>
  <c r="G10" i="237"/>
  <c r="F10" i="237"/>
  <c r="E10" i="237"/>
  <c r="D10" i="237"/>
  <c r="C10" i="237"/>
  <c r="B10" i="237"/>
  <c r="Y9" i="237"/>
  <c r="X9" i="237"/>
  <c r="W9" i="237"/>
  <c r="V9" i="237"/>
  <c r="U9" i="237"/>
  <c r="T9" i="237"/>
  <c r="S9" i="237"/>
  <c r="R9" i="237"/>
  <c r="Q9" i="237"/>
  <c r="P9" i="237"/>
  <c r="O9" i="237"/>
  <c r="N9" i="237"/>
  <c r="M9" i="237"/>
  <c r="L9" i="237"/>
  <c r="K9" i="237"/>
  <c r="J9" i="237"/>
  <c r="I9" i="237"/>
  <c r="H9" i="237"/>
  <c r="G9" i="237"/>
  <c r="F9" i="237"/>
  <c r="E9" i="237"/>
  <c r="D9" i="237"/>
  <c r="C9" i="237"/>
  <c r="B9" i="237"/>
  <c r="Y8" i="237"/>
  <c r="X8" i="237"/>
  <c r="W8" i="237"/>
  <c r="V8" i="237"/>
  <c r="U8" i="237"/>
  <c r="T8" i="237"/>
  <c r="S8" i="237"/>
  <c r="R8" i="237"/>
  <c r="Q8" i="237"/>
  <c r="P8" i="237"/>
  <c r="O8" i="237"/>
  <c r="N8" i="237"/>
  <c r="M8" i="237"/>
  <c r="L8" i="237"/>
  <c r="K8" i="237"/>
  <c r="J8" i="237"/>
  <c r="I8" i="237"/>
  <c r="H8" i="237"/>
  <c r="G8" i="237"/>
  <c r="F8" i="237"/>
  <c r="E8" i="237"/>
  <c r="D8" i="237"/>
  <c r="C8" i="237"/>
  <c r="B8" i="237"/>
  <c r="Y7" i="237"/>
  <c r="X7" i="237"/>
  <c r="W7" i="237"/>
  <c r="V7" i="237"/>
  <c r="U7" i="237"/>
  <c r="T7" i="237"/>
  <c r="S7" i="237"/>
  <c r="R7" i="237"/>
  <c r="Q7" i="237"/>
  <c r="P7" i="237"/>
  <c r="O7" i="237"/>
  <c r="N7" i="237"/>
  <c r="M7" i="237"/>
  <c r="L7" i="237"/>
  <c r="K7" i="237"/>
  <c r="J7" i="237"/>
  <c r="I7" i="237"/>
  <c r="H7" i="237"/>
  <c r="G7" i="237"/>
  <c r="F7" i="237"/>
  <c r="E7" i="237"/>
  <c r="D7" i="237"/>
  <c r="C7" i="237"/>
  <c r="B7" i="237"/>
  <c r="Y6" i="237"/>
  <c r="X6" i="237"/>
  <c r="W6" i="237"/>
  <c r="V6" i="237"/>
  <c r="U6" i="237"/>
  <c r="T6" i="237"/>
  <c r="S6" i="237"/>
  <c r="R6" i="237"/>
  <c r="Q6" i="237"/>
  <c r="P6" i="237"/>
  <c r="O6" i="237"/>
  <c r="N6" i="237"/>
  <c r="M6" i="237"/>
  <c r="L6" i="237"/>
  <c r="K6" i="237"/>
  <c r="J6" i="237"/>
  <c r="I6" i="237"/>
  <c r="H6" i="237"/>
  <c r="G6" i="237"/>
  <c r="F6" i="237"/>
  <c r="E6" i="237"/>
  <c r="D6" i="237"/>
  <c r="C6" i="237"/>
  <c r="B6" i="237"/>
  <c r="Y5" i="237"/>
  <c r="X5" i="237"/>
  <c r="W5" i="237"/>
  <c r="V5" i="237"/>
  <c r="U5" i="237"/>
  <c r="T5" i="237"/>
  <c r="S5" i="237"/>
  <c r="R5" i="237"/>
  <c r="Q5" i="237"/>
  <c r="P5" i="237"/>
  <c r="O5" i="237"/>
  <c r="N5" i="237"/>
  <c r="M5" i="237"/>
  <c r="L5" i="237"/>
  <c r="K5" i="237"/>
  <c r="J5" i="237"/>
  <c r="I5" i="237"/>
  <c r="H5" i="237"/>
  <c r="G5" i="237"/>
  <c r="F5" i="237"/>
  <c r="E5" i="237"/>
  <c r="D5" i="237"/>
  <c r="C5" i="237"/>
  <c r="B5" i="237"/>
  <c r="Y10" i="236"/>
  <c r="X10" i="236"/>
  <c r="W10" i="236"/>
  <c r="V10" i="236"/>
  <c r="U10" i="236"/>
  <c r="T10" i="236"/>
  <c r="S10" i="236"/>
  <c r="R10" i="236"/>
  <c r="Q10" i="236"/>
  <c r="P10" i="236"/>
  <c r="O10" i="236"/>
  <c r="N10" i="236"/>
  <c r="M10" i="236"/>
  <c r="L10" i="236"/>
  <c r="K10" i="236"/>
  <c r="J10" i="236"/>
  <c r="I10" i="236"/>
  <c r="H10" i="236"/>
  <c r="G10" i="236"/>
  <c r="F10" i="236"/>
  <c r="E10" i="236"/>
  <c r="D10" i="236"/>
  <c r="C10" i="236"/>
  <c r="B10" i="236"/>
  <c r="Y9" i="236"/>
  <c r="X9" i="236"/>
  <c r="W9" i="236"/>
  <c r="V9" i="236"/>
  <c r="U9" i="236"/>
  <c r="T9" i="236"/>
  <c r="S9" i="236"/>
  <c r="R9" i="236"/>
  <c r="Q9" i="236"/>
  <c r="P9" i="236"/>
  <c r="O9" i="236"/>
  <c r="N9" i="236"/>
  <c r="M9" i="236"/>
  <c r="L9" i="236"/>
  <c r="K9" i="236"/>
  <c r="J9" i="236"/>
  <c r="I9" i="236"/>
  <c r="H9" i="236"/>
  <c r="G9" i="236"/>
  <c r="F9" i="236"/>
  <c r="E9" i="236"/>
  <c r="D9" i="236"/>
  <c r="C9" i="236"/>
  <c r="B9" i="236"/>
  <c r="Y8" i="236"/>
  <c r="X8" i="236"/>
  <c r="W8" i="236"/>
  <c r="V8" i="236"/>
  <c r="U8" i="236"/>
  <c r="T8" i="236"/>
  <c r="S8" i="236"/>
  <c r="R8" i="236"/>
  <c r="Q8" i="236"/>
  <c r="P8" i="236"/>
  <c r="O8" i="236"/>
  <c r="N8" i="236"/>
  <c r="M8" i="236"/>
  <c r="L8" i="236"/>
  <c r="K8" i="236"/>
  <c r="J8" i="236"/>
  <c r="I8" i="236"/>
  <c r="H8" i="236"/>
  <c r="G8" i="236"/>
  <c r="F8" i="236"/>
  <c r="E8" i="236"/>
  <c r="D8" i="236"/>
  <c r="C8" i="236"/>
  <c r="B8" i="236"/>
  <c r="Y7" i="236"/>
  <c r="X7" i="236"/>
  <c r="W7" i="236"/>
  <c r="V7" i="236"/>
  <c r="U7" i="236"/>
  <c r="T7" i="236"/>
  <c r="S7" i="236"/>
  <c r="R7" i="236"/>
  <c r="Q7" i="236"/>
  <c r="P7" i="236"/>
  <c r="O7" i="236"/>
  <c r="N7" i="236"/>
  <c r="M7" i="236"/>
  <c r="L7" i="236"/>
  <c r="K7" i="236"/>
  <c r="J7" i="236"/>
  <c r="I7" i="236"/>
  <c r="H7" i="236"/>
  <c r="G7" i="236"/>
  <c r="F7" i="236"/>
  <c r="E7" i="236"/>
  <c r="D7" i="236"/>
  <c r="C7" i="236"/>
  <c r="B7" i="236"/>
  <c r="Y6" i="236"/>
  <c r="X6" i="236"/>
  <c r="W6" i="236"/>
  <c r="V6" i="236"/>
  <c r="U6" i="236"/>
  <c r="T6" i="236"/>
  <c r="S6" i="236"/>
  <c r="R6" i="236"/>
  <c r="Q6" i="236"/>
  <c r="P6" i="236"/>
  <c r="O6" i="236"/>
  <c r="N6" i="236"/>
  <c r="M6" i="236"/>
  <c r="L6" i="236"/>
  <c r="K6" i="236"/>
  <c r="J6" i="236"/>
  <c r="I6" i="236"/>
  <c r="H6" i="236"/>
  <c r="G6" i="236"/>
  <c r="F6" i="236"/>
  <c r="E6" i="236"/>
  <c r="D6" i="236"/>
  <c r="C6" i="236"/>
  <c r="B6" i="236"/>
  <c r="Y5" i="236"/>
  <c r="X5" i="236"/>
  <c r="W5" i="236"/>
  <c r="V5" i="236"/>
  <c r="U5" i="236"/>
  <c r="T5" i="236"/>
  <c r="S5" i="236"/>
  <c r="R5" i="236"/>
  <c r="Q5" i="236"/>
  <c r="P5" i="236"/>
  <c r="O5" i="236"/>
  <c r="N5" i="236"/>
  <c r="M5" i="236"/>
  <c r="L5" i="236"/>
  <c r="K5" i="236"/>
  <c r="J5" i="236"/>
  <c r="I5" i="236"/>
  <c r="H5" i="236"/>
  <c r="G5" i="236"/>
  <c r="F5" i="236"/>
  <c r="E5" i="236"/>
  <c r="D5" i="236"/>
  <c r="C5" i="236"/>
  <c r="B5" i="236"/>
  <c r="Y10" i="209"/>
  <c r="X10" i="209"/>
  <c r="W10" i="209"/>
  <c r="V10" i="209"/>
  <c r="U10" i="209"/>
  <c r="T10" i="209"/>
  <c r="S10" i="209"/>
  <c r="R10" i="209"/>
  <c r="Q10" i="209"/>
  <c r="P10" i="209"/>
  <c r="O10" i="209"/>
  <c r="N10" i="209"/>
  <c r="M10" i="209"/>
  <c r="L10" i="209"/>
  <c r="K10" i="209"/>
  <c r="J10" i="209"/>
  <c r="I10" i="209"/>
  <c r="H10" i="209"/>
  <c r="G10" i="209"/>
  <c r="F10" i="209"/>
  <c r="E10" i="209"/>
  <c r="D10" i="209"/>
  <c r="C10" i="209"/>
  <c r="B10" i="209"/>
  <c r="Y9" i="209"/>
  <c r="X9" i="209"/>
  <c r="W9" i="209"/>
  <c r="V9" i="209"/>
  <c r="U9" i="209"/>
  <c r="T9" i="209"/>
  <c r="S9" i="209"/>
  <c r="R9" i="209"/>
  <c r="Q9" i="209"/>
  <c r="P9" i="209"/>
  <c r="O9" i="209"/>
  <c r="N9" i="209"/>
  <c r="M9" i="209"/>
  <c r="L9" i="209"/>
  <c r="K9" i="209"/>
  <c r="J9" i="209"/>
  <c r="I9" i="209"/>
  <c r="H9" i="209"/>
  <c r="G9" i="209"/>
  <c r="F9" i="209"/>
  <c r="E9" i="209"/>
  <c r="D9" i="209"/>
  <c r="C9" i="209"/>
  <c r="B9" i="209"/>
  <c r="Y8" i="209"/>
  <c r="X8" i="209"/>
  <c r="W8" i="209"/>
  <c r="V8" i="209"/>
  <c r="U8" i="209"/>
  <c r="T8" i="209"/>
  <c r="S8" i="209"/>
  <c r="R8" i="209"/>
  <c r="Q8" i="209"/>
  <c r="P8" i="209"/>
  <c r="O8" i="209"/>
  <c r="N8" i="209"/>
  <c r="M8" i="209"/>
  <c r="L8" i="209"/>
  <c r="K8" i="209"/>
  <c r="J8" i="209"/>
  <c r="I8" i="209"/>
  <c r="H8" i="209"/>
  <c r="G8" i="209"/>
  <c r="F8" i="209"/>
  <c r="E8" i="209"/>
  <c r="D8" i="209"/>
  <c r="C8" i="209"/>
  <c r="B8" i="209"/>
  <c r="Y7" i="209"/>
  <c r="X7" i="209"/>
  <c r="W7" i="209"/>
  <c r="V7" i="209"/>
  <c r="U7" i="209"/>
  <c r="T7" i="209"/>
  <c r="S7" i="209"/>
  <c r="R7" i="209"/>
  <c r="Q7" i="209"/>
  <c r="P7" i="209"/>
  <c r="O7" i="209"/>
  <c r="N7" i="209"/>
  <c r="M7" i="209"/>
  <c r="L7" i="209"/>
  <c r="K7" i="209"/>
  <c r="J7" i="209"/>
  <c r="I7" i="209"/>
  <c r="H7" i="209"/>
  <c r="G7" i="209"/>
  <c r="F7" i="209"/>
  <c r="E7" i="209"/>
  <c r="D7" i="209"/>
  <c r="C7" i="209"/>
  <c r="B7" i="209"/>
  <c r="Y6" i="209"/>
  <c r="X6" i="209"/>
  <c r="W6" i="209"/>
  <c r="V6" i="209"/>
  <c r="U6" i="209"/>
  <c r="T6" i="209"/>
  <c r="S6" i="209"/>
  <c r="R6" i="209"/>
  <c r="Q6" i="209"/>
  <c r="P6" i="209"/>
  <c r="O6" i="209"/>
  <c r="N6" i="209"/>
  <c r="M6" i="209"/>
  <c r="L6" i="209"/>
  <c r="K6" i="209"/>
  <c r="J6" i="209"/>
  <c r="I6" i="209"/>
  <c r="H6" i="209"/>
  <c r="G6" i="209"/>
  <c r="F6" i="209"/>
  <c r="E6" i="209"/>
  <c r="D6" i="209"/>
  <c r="C6" i="209"/>
  <c r="B6" i="209"/>
  <c r="Y5" i="209"/>
  <c r="X5" i="209"/>
  <c r="W5" i="209"/>
  <c r="V5" i="209"/>
  <c r="U5" i="209"/>
  <c r="T5" i="209"/>
  <c r="S5" i="209"/>
  <c r="R5" i="209"/>
  <c r="Q5" i="209"/>
  <c r="P5" i="209"/>
  <c r="O5" i="209"/>
  <c r="N5" i="209"/>
  <c r="M5" i="209"/>
  <c r="L5" i="209"/>
  <c r="K5" i="209"/>
  <c r="J5" i="209"/>
  <c r="I5" i="209"/>
  <c r="H5" i="209"/>
  <c r="G5" i="209"/>
  <c r="F5" i="209"/>
  <c r="E5" i="209"/>
  <c r="D5" i="209"/>
  <c r="C5" i="209"/>
  <c r="B5" i="209"/>
  <c r="Y10" i="208"/>
  <c r="X10" i="208"/>
  <c r="W10" i="208"/>
  <c r="V10" i="208"/>
  <c r="U10" i="208"/>
  <c r="T10" i="208"/>
  <c r="S10" i="208"/>
  <c r="R10" i="208"/>
  <c r="Q10" i="208"/>
  <c r="P10" i="208"/>
  <c r="O10" i="208"/>
  <c r="N10" i="208"/>
  <c r="M10" i="208"/>
  <c r="L10" i="208"/>
  <c r="K10" i="208"/>
  <c r="J10" i="208"/>
  <c r="I10" i="208"/>
  <c r="H10" i="208"/>
  <c r="G10" i="208"/>
  <c r="F10" i="208"/>
  <c r="E10" i="208"/>
  <c r="D10" i="208"/>
  <c r="C10" i="208"/>
  <c r="B10" i="208"/>
  <c r="Y9" i="208"/>
  <c r="X9" i="208"/>
  <c r="W9" i="208"/>
  <c r="V9" i="208"/>
  <c r="U9" i="208"/>
  <c r="T9" i="208"/>
  <c r="S9" i="208"/>
  <c r="R9" i="208"/>
  <c r="Q9" i="208"/>
  <c r="P9" i="208"/>
  <c r="O9" i="208"/>
  <c r="N9" i="208"/>
  <c r="M9" i="208"/>
  <c r="L9" i="208"/>
  <c r="K9" i="208"/>
  <c r="J9" i="208"/>
  <c r="I9" i="208"/>
  <c r="H9" i="208"/>
  <c r="G9" i="208"/>
  <c r="F9" i="208"/>
  <c r="E9" i="208"/>
  <c r="D9" i="208"/>
  <c r="C9" i="208"/>
  <c r="B9" i="208"/>
  <c r="Y8" i="208"/>
  <c r="X8" i="208"/>
  <c r="W8" i="208"/>
  <c r="V8" i="208"/>
  <c r="U8" i="208"/>
  <c r="T8" i="208"/>
  <c r="S8" i="208"/>
  <c r="R8" i="208"/>
  <c r="Q8" i="208"/>
  <c r="P8" i="208"/>
  <c r="O8" i="208"/>
  <c r="N8" i="208"/>
  <c r="M8" i="208"/>
  <c r="L8" i="208"/>
  <c r="K8" i="208"/>
  <c r="J8" i="208"/>
  <c r="I8" i="208"/>
  <c r="H8" i="208"/>
  <c r="G8" i="208"/>
  <c r="F8" i="208"/>
  <c r="E8" i="208"/>
  <c r="D8" i="208"/>
  <c r="C8" i="208"/>
  <c r="B8" i="208"/>
  <c r="Y7" i="208"/>
  <c r="X7" i="208"/>
  <c r="W7" i="208"/>
  <c r="V7" i="208"/>
  <c r="U7" i="208"/>
  <c r="T7" i="208"/>
  <c r="S7" i="208"/>
  <c r="R7" i="208"/>
  <c r="Q7" i="208"/>
  <c r="P7" i="208"/>
  <c r="O7" i="208"/>
  <c r="N7" i="208"/>
  <c r="M7" i="208"/>
  <c r="L7" i="208"/>
  <c r="K7" i="208"/>
  <c r="J7" i="208"/>
  <c r="I7" i="208"/>
  <c r="H7" i="208"/>
  <c r="G7" i="208"/>
  <c r="F7" i="208"/>
  <c r="E7" i="208"/>
  <c r="D7" i="208"/>
  <c r="C7" i="208"/>
  <c r="B7" i="208"/>
  <c r="Y6" i="208"/>
  <c r="X6" i="208"/>
  <c r="W6" i="208"/>
  <c r="V6" i="208"/>
  <c r="U6" i="208"/>
  <c r="T6" i="208"/>
  <c r="S6" i="208"/>
  <c r="R6" i="208"/>
  <c r="Q6" i="208"/>
  <c r="P6" i="208"/>
  <c r="O6" i="208"/>
  <c r="N6" i="208"/>
  <c r="M6" i="208"/>
  <c r="L6" i="208"/>
  <c r="K6" i="208"/>
  <c r="J6" i="208"/>
  <c r="I6" i="208"/>
  <c r="H6" i="208"/>
  <c r="G6" i="208"/>
  <c r="F6" i="208"/>
  <c r="E6" i="208"/>
  <c r="D6" i="208"/>
  <c r="C6" i="208"/>
  <c r="B6" i="208"/>
  <c r="Y5" i="208"/>
  <c r="X5" i="208"/>
  <c r="W5" i="208"/>
  <c r="V5" i="208"/>
  <c r="U5" i="208"/>
  <c r="T5" i="208"/>
  <c r="S5" i="208"/>
  <c r="R5" i="208"/>
  <c r="Q5" i="208"/>
  <c r="P5" i="208"/>
  <c r="O5" i="208"/>
  <c r="N5" i="208"/>
  <c r="M5" i="208"/>
  <c r="L5" i="208"/>
  <c r="K5" i="208"/>
  <c r="J5" i="208"/>
  <c r="I5" i="208"/>
  <c r="H5" i="208"/>
  <c r="G5" i="208"/>
  <c r="F5" i="208"/>
  <c r="E5" i="208"/>
  <c r="D5" i="208"/>
  <c r="C5" i="208"/>
  <c r="B5" i="208"/>
  <c r="Y10" i="207"/>
  <c r="X10" i="207"/>
  <c r="W10" i="207"/>
  <c r="V10" i="207"/>
  <c r="U10" i="207"/>
  <c r="T10" i="207"/>
  <c r="S10" i="207"/>
  <c r="R10" i="207"/>
  <c r="Q10" i="207"/>
  <c r="P10" i="207"/>
  <c r="O10" i="207"/>
  <c r="N10" i="207"/>
  <c r="M10" i="207"/>
  <c r="L10" i="207"/>
  <c r="K10" i="207"/>
  <c r="J10" i="207"/>
  <c r="I10" i="207"/>
  <c r="H10" i="207"/>
  <c r="G10" i="207"/>
  <c r="F10" i="207"/>
  <c r="E10" i="207"/>
  <c r="D10" i="207"/>
  <c r="C10" i="207"/>
  <c r="B10" i="207"/>
  <c r="Y9" i="207"/>
  <c r="X9" i="207"/>
  <c r="W9" i="207"/>
  <c r="V9" i="207"/>
  <c r="U9" i="207"/>
  <c r="T9" i="207"/>
  <c r="S9" i="207"/>
  <c r="R9" i="207"/>
  <c r="Q9" i="207"/>
  <c r="P9" i="207"/>
  <c r="O9" i="207"/>
  <c r="N9" i="207"/>
  <c r="M9" i="207"/>
  <c r="L9" i="207"/>
  <c r="K9" i="207"/>
  <c r="J9" i="207"/>
  <c r="I9" i="207"/>
  <c r="H9" i="207"/>
  <c r="G9" i="207"/>
  <c r="F9" i="207"/>
  <c r="E9" i="207"/>
  <c r="D9" i="207"/>
  <c r="C9" i="207"/>
  <c r="B9" i="207"/>
  <c r="Y8" i="207"/>
  <c r="X8" i="207"/>
  <c r="W8" i="207"/>
  <c r="V8" i="207"/>
  <c r="U8" i="207"/>
  <c r="T8" i="207"/>
  <c r="S8" i="207"/>
  <c r="R8" i="207"/>
  <c r="Q8" i="207"/>
  <c r="P8" i="207"/>
  <c r="O8" i="207"/>
  <c r="N8" i="207"/>
  <c r="M8" i="207"/>
  <c r="L8" i="207"/>
  <c r="K8" i="207"/>
  <c r="J8" i="207"/>
  <c r="I8" i="207"/>
  <c r="H8" i="207"/>
  <c r="G8" i="207"/>
  <c r="F8" i="207"/>
  <c r="E8" i="207"/>
  <c r="D8" i="207"/>
  <c r="C8" i="207"/>
  <c r="B8" i="207"/>
  <c r="Y7" i="207"/>
  <c r="X7" i="207"/>
  <c r="W7" i="207"/>
  <c r="V7" i="207"/>
  <c r="U7" i="207"/>
  <c r="T7" i="207"/>
  <c r="S7" i="207"/>
  <c r="R7" i="207"/>
  <c r="Q7" i="207"/>
  <c r="P7" i="207"/>
  <c r="O7" i="207"/>
  <c r="N7" i="207"/>
  <c r="M7" i="207"/>
  <c r="L7" i="207"/>
  <c r="K7" i="207"/>
  <c r="J7" i="207"/>
  <c r="I7" i="207"/>
  <c r="H7" i="207"/>
  <c r="G7" i="207"/>
  <c r="F7" i="207"/>
  <c r="E7" i="207"/>
  <c r="D7" i="207"/>
  <c r="C7" i="207"/>
  <c r="B7" i="207"/>
  <c r="Y6" i="207"/>
  <c r="X6" i="207"/>
  <c r="W6" i="207"/>
  <c r="V6" i="207"/>
  <c r="U6" i="207"/>
  <c r="T6" i="207"/>
  <c r="S6" i="207"/>
  <c r="R6" i="207"/>
  <c r="Q6" i="207"/>
  <c r="P6" i="207"/>
  <c r="O6" i="207"/>
  <c r="N6" i="207"/>
  <c r="M6" i="207"/>
  <c r="L6" i="207"/>
  <c r="K6" i="207"/>
  <c r="J6" i="207"/>
  <c r="I6" i="207"/>
  <c r="H6" i="207"/>
  <c r="G6" i="207"/>
  <c r="F6" i="207"/>
  <c r="E6" i="207"/>
  <c r="D6" i="207"/>
  <c r="C6" i="207"/>
  <c r="B6" i="207"/>
  <c r="Y5" i="207"/>
  <c r="X5" i="207"/>
  <c r="W5" i="207"/>
  <c r="V5" i="207"/>
  <c r="U5" i="207"/>
  <c r="T5" i="207"/>
  <c r="S5" i="207"/>
  <c r="R5" i="207"/>
  <c r="Q5" i="207"/>
  <c r="P5" i="207"/>
  <c r="O5" i="207"/>
  <c r="N5" i="207"/>
  <c r="M5" i="207"/>
  <c r="L5" i="207"/>
  <c r="K5" i="207"/>
  <c r="J5" i="207"/>
  <c r="I5" i="207"/>
  <c r="H5" i="207"/>
  <c r="G5" i="207"/>
  <c r="F5" i="207"/>
  <c r="E5" i="207"/>
  <c r="D5" i="207"/>
  <c r="C5" i="207"/>
  <c r="B5" i="207"/>
  <c r="Y10" i="206"/>
  <c r="X10" i="206"/>
  <c r="W10" i="206"/>
  <c r="V10" i="206"/>
  <c r="U10" i="206"/>
  <c r="T10" i="206"/>
  <c r="S10" i="206"/>
  <c r="R10" i="206"/>
  <c r="Q10" i="206"/>
  <c r="P10" i="206"/>
  <c r="O10" i="206"/>
  <c r="N10" i="206"/>
  <c r="M10" i="206"/>
  <c r="L10" i="206"/>
  <c r="K10" i="206"/>
  <c r="J10" i="206"/>
  <c r="I10" i="206"/>
  <c r="H10" i="206"/>
  <c r="G10" i="206"/>
  <c r="F10" i="206"/>
  <c r="E10" i="206"/>
  <c r="D10" i="206"/>
  <c r="C10" i="206"/>
  <c r="B10" i="206"/>
  <c r="Y9" i="206"/>
  <c r="X9" i="206"/>
  <c r="W9" i="206"/>
  <c r="V9" i="206"/>
  <c r="U9" i="206"/>
  <c r="T9" i="206"/>
  <c r="S9" i="206"/>
  <c r="R9" i="206"/>
  <c r="Q9" i="206"/>
  <c r="P9" i="206"/>
  <c r="O9" i="206"/>
  <c r="N9" i="206"/>
  <c r="M9" i="206"/>
  <c r="L9" i="206"/>
  <c r="K9" i="206"/>
  <c r="J9" i="206"/>
  <c r="I9" i="206"/>
  <c r="H9" i="206"/>
  <c r="G9" i="206"/>
  <c r="F9" i="206"/>
  <c r="E9" i="206"/>
  <c r="D9" i="206"/>
  <c r="C9" i="206"/>
  <c r="B9" i="206"/>
  <c r="Y8" i="206"/>
  <c r="X8" i="206"/>
  <c r="W8" i="206"/>
  <c r="V8" i="206"/>
  <c r="U8" i="206"/>
  <c r="T8" i="206"/>
  <c r="S8" i="206"/>
  <c r="R8" i="206"/>
  <c r="Q8" i="206"/>
  <c r="P8" i="206"/>
  <c r="O8" i="206"/>
  <c r="N8" i="206"/>
  <c r="M8" i="206"/>
  <c r="L8" i="206"/>
  <c r="K8" i="206"/>
  <c r="J8" i="206"/>
  <c r="I8" i="206"/>
  <c r="H8" i="206"/>
  <c r="G8" i="206"/>
  <c r="F8" i="206"/>
  <c r="E8" i="206"/>
  <c r="D8" i="206"/>
  <c r="C8" i="206"/>
  <c r="B8" i="206"/>
  <c r="Y7" i="206"/>
  <c r="X7" i="206"/>
  <c r="W7" i="206"/>
  <c r="V7" i="206"/>
  <c r="U7" i="206"/>
  <c r="T7" i="206"/>
  <c r="S7" i="206"/>
  <c r="R7" i="206"/>
  <c r="Q7" i="206"/>
  <c r="P7" i="206"/>
  <c r="O7" i="206"/>
  <c r="N7" i="206"/>
  <c r="M7" i="206"/>
  <c r="L7" i="206"/>
  <c r="K7" i="206"/>
  <c r="J7" i="206"/>
  <c r="I7" i="206"/>
  <c r="H7" i="206"/>
  <c r="G7" i="206"/>
  <c r="F7" i="206"/>
  <c r="E7" i="206"/>
  <c r="D7" i="206"/>
  <c r="C7" i="206"/>
  <c r="B7" i="206"/>
  <c r="Y6" i="206"/>
  <c r="X6" i="206"/>
  <c r="W6" i="206"/>
  <c r="V6" i="206"/>
  <c r="U6" i="206"/>
  <c r="T6" i="206"/>
  <c r="S6" i="206"/>
  <c r="R6" i="206"/>
  <c r="Q6" i="206"/>
  <c r="P6" i="206"/>
  <c r="O6" i="206"/>
  <c r="N6" i="206"/>
  <c r="M6" i="206"/>
  <c r="L6" i="206"/>
  <c r="K6" i="206"/>
  <c r="J6" i="206"/>
  <c r="I6" i="206"/>
  <c r="H6" i="206"/>
  <c r="G6" i="206"/>
  <c r="F6" i="206"/>
  <c r="E6" i="206"/>
  <c r="D6" i="206"/>
  <c r="C6" i="206"/>
  <c r="B6" i="206"/>
  <c r="Y5" i="206"/>
  <c r="X5" i="206"/>
  <c r="W5" i="206"/>
  <c r="V5" i="206"/>
  <c r="U5" i="206"/>
  <c r="T5" i="206"/>
  <c r="S5" i="206"/>
  <c r="R5" i="206"/>
  <c r="Q5" i="206"/>
  <c r="P5" i="206"/>
  <c r="O5" i="206"/>
  <c r="N5" i="206"/>
  <c r="M5" i="206"/>
  <c r="L5" i="206"/>
  <c r="K5" i="206"/>
  <c r="J5" i="206"/>
  <c r="I5" i="206"/>
  <c r="H5" i="206"/>
  <c r="G5" i="206"/>
  <c r="F5" i="206"/>
  <c r="E5" i="206"/>
  <c r="D5" i="206"/>
  <c r="C5" i="206"/>
  <c r="B5" i="206"/>
  <c r="Y10" i="205"/>
  <c r="X10" i="205"/>
  <c r="W10" i="205"/>
  <c r="V10" i="205"/>
  <c r="U10" i="205"/>
  <c r="T10" i="205"/>
  <c r="S10" i="205"/>
  <c r="R10" i="205"/>
  <c r="Q10" i="205"/>
  <c r="P10" i="205"/>
  <c r="O10" i="205"/>
  <c r="N10" i="205"/>
  <c r="M10" i="205"/>
  <c r="L10" i="205"/>
  <c r="K10" i="205"/>
  <c r="J10" i="205"/>
  <c r="I10" i="205"/>
  <c r="H10" i="205"/>
  <c r="G10" i="205"/>
  <c r="F10" i="205"/>
  <c r="E10" i="205"/>
  <c r="D10" i="205"/>
  <c r="C10" i="205"/>
  <c r="B10" i="205"/>
  <c r="Y9" i="205"/>
  <c r="X9" i="205"/>
  <c r="W9" i="205"/>
  <c r="V9" i="205"/>
  <c r="U9" i="205"/>
  <c r="T9" i="205"/>
  <c r="S9" i="205"/>
  <c r="R9" i="205"/>
  <c r="Q9" i="205"/>
  <c r="P9" i="205"/>
  <c r="O9" i="205"/>
  <c r="N9" i="205"/>
  <c r="M9" i="205"/>
  <c r="L9" i="205"/>
  <c r="K9" i="205"/>
  <c r="J9" i="205"/>
  <c r="I9" i="205"/>
  <c r="H9" i="205"/>
  <c r="G9" i="205"/>
  <c r="F9" i="205"/>
  <c r="E9" i="205"/>
  <c r="D9" i="205"/>
  <c r="C9" i="205"/>
  <c r="B9" i="205"/>
  <c r="Y8" i="205"/>
  <c r="X8" i="205"/>
  <c r="W8" i="205"/>
  <c r="V8" i="205"/>
  <c r="U8" i="205"/>
  <c r="T8" i="205"/>
  <c r="S8" i="205"/>
  <c r="R8" i="205"/>
  <c r="Q8" i="205"/>
  <c r="P8" i="205"/>
  <c r="O8" i="205"/>
  <c r="N8" i="205"/>
  <c r="M8" i="205"/>
  <c r="L8" i="205"/>
  <c r="K8" i="205"/>
  <c r="J8" i="205"/>
  <c r="I8" i="205"/>
  <c r="H8" i="205"/>
  <c r="G8" i="205"/>
  <c r="F8" i="205"/>
  <c r="E8" i="205"/>
  <c r="D8" i="205"/>
  <c r="C8" i="205"/>
  <c r="B8" i="205"/>
  <c r="Y7" i="205"/>
  <c r="X7" i="205"/>
  <c r="W7" i="205"/>
  <c r="V7" i="205"/>
  <c r="U7" i="205"/>
  <c r="T7" i="205"/>
  <c r="S7" i="205"/>
  <c r="R7" i="205"/>
  <c r="Q7" i="205"/>
  <c r="P7" i="205"/>
  <c r="O7" i="205"/>
  <c r="N7" i="205"/>
  <c r="M7" i="205"/>
  <c r="L7" i="205"/>
  <c r="K7" i="205"/>
  <c r="J7" i="205"/>
  <c r="I7" i="205"/>
  <c r="H7" i="205"/>
  <c r="G7" i="205"/>
  <c r="F7" i="205"/>
  <c r="E7" i="205"/>
  <c r="D7" i="205"/>
  <c r="C7" i="205"/>
  <c r="B7" i="205"/>
  <c r="Y6" i="205"/>
  <c r="X6" i="205"/>
  <c r="W6" i="205"/>
  <c r="V6" i="205"/>
  <c r="U6" i="205"/>
  <c r="T6" i="205"/>
  <c r="S6" i="205"/>
  <c r="R6" i="205"/>
  <c r="Q6" i="205"/>
  <c r="P6" i="205"/>
  <c r="O6" i="205"/>
  <c r="N6" i="205"/>
  <c r="M6" i="205"/>
  <c r="L6" i="205"/>
  <c r="K6" i="205"/>
  <c r="J6" i="205"/>
  <c r="I6" i="205"/>
  <c r="H6" i="205"/>
  <c r="G6" i="205"/>
  <c r="F6" i="205"/>
  <c r="E6" i="205"/>
  <c r="D6" i="205"/>
  <c r="C6" i="205"/>
  <c r="B6" i="205"/>
  <c r="Y5" i="205"/>
  <c r="X5" i="205"/>
  <c r="W5" i="205"/>
  <c r="V5" i="205"/>
  <c r="U5" i="205"/>
  <c r="T5" i="205"/>
  <c r="S5" i="205"/>
  <c r="R5" i="205"/>
  <c r="Q5" i="205"/>
  <c r="P5" i="205"/>
  <c r="O5" i="205"/>
  <c r="N5" i="205"/>
  <c r="M5" i="205"/>
  <c r="L5" i="205"/>
  <c r="K5" i="205"/>
  <c r="J5" i="205"/>
  <c r="I5" i="205"/>
  <c r="H5" i="205"/>
  <c r="G5" i="205"/>
  <c r="F5" i="205"/>
  <c r="E5" i="205"/>
  <c r="D5" i="205"/>
  <c r="C5" i="205"/>
  <c r="B5" i="205"/>
  <c r="Y10" i="204"/>
  <c r="X10" i="204"/>
  <c r="W10" i="204"/>
  <c r="V10" i="204"/>
  <c r="U10" i="204"/>
  <c r="T10" i="204"/>
  <c r="S10" i="204"/>
  <c r="R10" i="204"/>
  <c r="Q10" i="204"/>
  <c r="P10" i="204"/>
  <c r="O10" i="204"/>
  <c r="N10" i="204"/>
  <c r="M10" i="204"/>
  <c r="L10" i="204"/>
  <c r="K10" i="204"/>
  <c r="J10" i="204"/>
  <c r="I10" i="204"/>
  <c r="H10" i="204"/>
  <c r="G10" i="204"/>
  <c r="F10" i="204"/>
  <c r="E10" i="204"/>
  <c r="D10" i="204"/>
  <c r="C10" i="204"/>
  <c r="B10" i="204"/>
  <c r="Y9" i="204"/>
  <c r="X9" i="204"/>
  <c r="W9" i="204"/>
  <c r="V9" i="204"/>
  <c r="U9" i="204"/>
  <c r="T9" i="204"/>
  <c r="S9" i="204"/>
  <c r="R9" i="204"/>
  <c r="Q9" i="204"/>
  <c r="P9" i="204"/>
  <c r="O9" i="204"/>
  <c r="N9" i="204"/>
  <c r="M9" i="204"/>
  <c r="L9" i="204"/>
  <c r="K9" i="204"/>
  <c r="J9" i="204"/>
  <c r="I9" i="204"/>
  <c r="H9" i="204"/>
  <c r="G9" i="204"/>
  <c r="F9" i="204"/>
  <c r="E9" i="204"/>
  <c r="D9" i="204"/>
  <c r="C9" i="204"/>
  <c r="B9" i="204"/>
  <c r="Y8" i="204"/>
  <c r="X8" i="204"/>
  <c r="W8" i="204"/>
  <c r="V8" i="204"/>
  <c r="U8" i="204"/>
  <c r="T8" i="204"/>
  <c r="S8" i="204"/>
  <c r="R8" i="204"/>
  <c r="Q8" i="204"/>
  <c r="P8" i="204"/>
  <c r="O8" i="204"/>
  <c r="N8" i="204"/>
  <c r="M8" i="204"/>
  <c r="L8" i="204"/>
  <c r="K8" i="204"/>
  <c r="J8" i="204"/>
  <c r="I8" i="204"/>
  <c r="H8" i="204"/>
  <c r="G8" i="204"/>
  <c r="F8" i="204"/>
  <c r="E8" i="204"/>
  <c r="D8" i="204"/>
  <c r="C8" i="204"/>
  <c r="B8" i="204"/>
  <c r="Y7" i="204"/>
  <c r="X7" i="204"/>
  <c r="W7" i="204"/>
  <c r="V7" i="204"/>
  <c r="U7" i="204"/>
  <c r="T7" i="204"/>
  <c r="S7" i="204"/>
  <c r="R7" i="204"/>
  <c r="Q7" i="204"/>
  <c r="P7" i="204"/>
  <c r="O7" i="204"/>
  <c r="N7" i="204"/>
  <c r="M7" i="204"/>
  <c r="L7" i="204"/>
  <c r="K7" i="204"/>
  <c r="J7" i="204"/>
  <c r="I7" i="204"/>
  <c r="H7" i="204"/>
  <c r="G7" i="204"/>
  <c r="F7" i="204"/>
  <c r="E7" i="204"/>
  <c r="D7" i="204"/>
  <c r="C7" i="204"/>
  <c r="B7" i="204"/>
  <c r="Y6" i="204"/>
  <c r="X6" i="204"/>
  <c r="W6" i="204"/>
  <c r="V6" i="204"/>
  <c r="U6" i="204"/>
  <c r="T6" i="204"/>
  <c r="S6" i="204"/>
  <c r="R6" i="204"/>
  <c r="Q6" i="204"/>
  <c r="P6" i="204"/>
  <c r="O6" i="204"/>
  <c r="N6" i="204"/>
  <c r="M6" i="204"/>
  <c r="L6" i="204"/>
  <c r="K6" i="204"/>
  <c r="J6" i="204"/>
  <c r="I6" i="204"/>
  <c r="H6" i="204"/>
  <c r="G6" i="204"/>
  <c r="F6" i="204"/>
  <c r="E6" i="204"/>
  <c r="D6" i="204"/>
  <c r="C6" i="204"/>
  <c r="B6" i="204"/>
  <c r="Y5" i="204"/>
  <c r="X5" i="204"/>
  <c r="W5" i="204"/>
  <c r="V5" i="204"/>
  <c r="U5" i="204"/>
  <c r="T5" i="204"/>
  <c r="S5" i="204"/>
  <c r="R5" i="204"/>
  <c r="Q5" i="204"/>
  <c r="P5" i="204"/>
  <c r="O5" i="204"/>
  <c r="N5" i="204"/>
  <c r="M5" i="204"/>
  <c r="L5" i="204"/>
  <c r="K5" i="204"/>
  <c r="J5" i="204"/>
  <c r="I5" i="204"/>
  <c r="H5" i="204"/>
  <c r="G5" i="204"/>
  <c r="F5" i="204"/>
  <c r="E5" i="204"/>
  <c r="D5" i="204"/>
  <c r="C5" i="204"/>
  <c r="B5" i="204"/>
  <c r="C5" i="189"/>
  <c r="D5" i="189"/>
  <c r="E5" i="189"/>
  <c r="F5" i="189"/>
  <c r="G5" i="189"/>
  <c r="H5" i="189"/>
  <c r="I5" i="189"/>
  <c r="J5" i="189"/>
  <c r="K5" i="189"/>
  <c r="L5" i="189"/>
  <c r="M5" i="189"/>
  <c r="N5" i="189"/>
  <c r="O5" i="189"/>
  <c r="P5" i="189"/>
  <c r="Q5" i="189"/>
  <c r="R5" i="189"/>
  <c r="S5" i="189"/>
  <c r="T5" i="189"/>
  <c r="U5" i="189"/>
  <c r="V5" i="189"/>
  <c r="W5" i="189"/>
  <c r="X5" i="189"/>
  <c r="Y5" i="189"/>
  <c r="C6" i="189"/>
  <c r="D6" i="189"/>
  <c r="E6" i="189"/>
  <c r="F6" i="189"/>
  <c r="G6" i="189"/>
  <c r="H6" i="189"/>
  <c r="I6" i="189"/>
  <c r="J6" i="189"/>
  <c r="K6" i="189"/>
  <c r="L6" i="189"/>
  <c r="M6" i="189"/>
  <c r="N6" i="189"/>
  <c r="O6" i="189"/>
  <c r="P6" i="189"/>
  <c r="Q6" i="189"/>
  <c r="R6" i="189"/>
  <c r="S6" i="189"/>
  <c r="T6" i="189"/>
  <c r="U6" i="189"/>
  <c r="V6" i="189"/>
  <c r="W6" i="189"/>
  <c r="X6" i="189"/>
  <c r="Y6" i="189"/>
  <c r="C7" i="189"/>
  <c r="D7" i="189"/>
  <c r="E7" i="189"/>
  <c r="F7" i="189"/>
  <c r="G7" i="189"/>
  <c r="H7" i="189"/>
  <c r="I7" i="189"/>
  <c r="J7" i="189"/>
  <c r="K7" i="189"/>
  <c r="L7" i="189"/>
  <c r="M7" i="189"/>
  <c r="N7" i="189"/>
  <c r="O7" i="189"/>
  <c r="P7" i="189"/>
  <c r="Q7" i="189"/>
  <c r="R7" i="189"/>
  <c r="S7" i="189"/>
  <c r="T7" i="189"/>
  <c r="U7" i="189"/>
  <c r="V7" i="189"/>
  <c r="W7" i="189"/>
  <c r="X7" i="189"/>
  <c r="Y7" i="189"/>
  <c r="C8" i="189"/>
  <c r="D8" i="189"/>
  <c r="E8" i="189"/>
  <c r="F8" i="189"/>
  <c r="G8" i="189"/>
  <c r="H8" i="189"/>
  <c r="I8" i="189"/>
  <c r="J8" i="189"/>
  <c r="K8" i="189"/>
  <c r="L8" i="189"/>
  <c r="M8" i="189"/>
  <c r="N8" i="189"/>
  <c r="O8" i="189"/>
  <c r="P8" i="189"/>
  <c r="Q8" i="189"/>
  <c r="R8" i="189"/>
  <c r="S8" i="189"/>
  <c r="T8" i="189"/>
  <c r="U8" i="189"/>
  <c r="V8" i="189"/>
  <c r="W8" i="189"/>
  <c r="X8" i="189"/>
  <c r="Y8" i="189"/>
  <c r="C9" i="189"/>
  <c r="D9" i="189"/>
  <c r="E9" i="189"/>
  <c r="F9" i="189"/>
  <c r="G9" i="189"/>
  <c r="H9" i="189"/>
  <c r="I9" i="189"/>
  <c r="J9" i="189"/>
  <c r="K9" i="189"/>
  <c r="L9" i="189"/>
  <c r="M9" i="189"/>
  <c r="N9" i="189"/>
  <c r="O9" i="189"/>
  <c r="P9" i="189"/>
  <c r="Q9" i="189"/>
  <c r="R9" i="189"/>
  <c r="S9" i="189"/>
  <c r="T9" i="189"/>
  <c r="U9" i="189"/>
  <c r="V9" i="189"/>
  <c r="W9" i="189"/>
  <c r="X9" i="189"/>
  <c r="Y9" i="189"/>
  <c r="C10" i="189"/>
  <c r="D10" i="189"/>
  <c r="E10" i="189"/>
  <c r="F10" i="189"/>
  <c r="G10" i="189"/>
  <c r="H10" i="189"/>
  <c r="I10" i="189"/>
  <c r="J10" i="189"/>
  <c r="K10" i="189"/>
  <c r="L10" i="189"/>
  <c r="M10" i="189"/>
  <c r="N10" i="189"/>
  <c r="O10" i="189"/>
  <c r="P10" i="189"/>
  <c r="Q10" i="189"/>
  <c r="R10" i="189"/>
  <c r="S10" i="189"/>
  <c r="T10" i="189"/>
  <c r="U10" i="189"/>
  <c r="V10" i="189"/>
  <c r="W10" i="189"/>
  <c r="X10" i="189"/>
  <c r="Y10" i="189"/>
  <c r="B9" i="189"/>
  <c r="B10" i="189"/>
  <c r="B8" i="189"/>
  <c r="B6" i="189"/>
  <c r="B7" i="189"/>
  <c r="B5" i="189"/>
  <c r="C5" i="188"/>
  <c r="D5" i="188"/>
  <c r="E5" i="188"/>
  <c r="F5" i="188"/>
  <c r="G5" i="188"/>
  <c r="H5" i="188"/>
  <c r="I5" i="188"/>
  <c r="J5" i="188"/>
  <c r="K5" i="188"/>
  <c r="L5" i="188"/>
  <c r="M5" i="188"/>
  <c r="N5" i="188"/>
  <c r="O5" i="188"/>
  <c r="P5" i="188"/>
  <c r="Q5" i="188"/>
  <c r="R5" i="188"/>
  <c r="S5" i="188"/>
  <c r="T5" i="188"/>
  <c r="U5" i="188"/>
  <c r="V5" i="188"/>
  <c r="W5" i="188"/>
  <c r="X5" i="188"/>
  <c r="Y5" i="188"/>
  <c r="C6" i="188"/>
  <c r="D6" i="188"/>
  <c r="E6" i="188"/>
  <c r="F6" i="188"/>
  <c r="G6" i="188"/>
  <c r="H6" i="188"/>
  <c r="I6" i="188"/>
  <c r="J6" i="188"/>
  <c r="K6" i="188"/>
  <c r="L6" i="188"/>
  <c r="M6" i="188"/>
  <c r="N6" i="188"/>
  <c r="O6" i="188"/>
  <c r="P6" i="188"/>
  <c r="Q6" i="188"/>
  <c r="R6" i="188"/>
  <c r="S6" i="188"/>
  <c r="T6" i="188"/>
  <c r="U6" i="188"/>
  <c r="V6" i="188"/>
  <c r="W6" i="188"/>
  <c r="X6" i="188"/>
  <c r="Y6" i="188"/>
  <c r="C7" i="188"/>
  <c r="D7" i="188"/>
  <c r="E7" i="188"/>
  <c r="F7" i="188"/>
  <c r="G7" i="188"/>
  <c r="H7" i="188"/>
  <c r="I7" i="188"/>
  <c r="J7" i="188"/>
  <c r="K7" i="188"/>
  <c r="L7" i="188"/>
  <c r="M7" i="188"/>
  <c r="N7" i="188"/>
  <c r="O7" i="188"/>
  <c r="P7" i="188"/>
  <c r="Q7" i="188"/>
  <c r="R7" i="188"/>
  <c r="S7" i="188"/>
  <c r="T7" i="188"/>
  <c r="U7" i="188"/>
  <c r="V7" i="188"/>
  <c r="W7" i="188"/>
  <c r="X7" i="188"/>
  <c r="Y7" i="188"/>
  <c r="C8" i="188"/>
  <c r="D8" i="188"/>
  <c r="E8" i="188"/>
  <c r="F8" i="188"/>
  <c r="G8" i="188"/>
  <c r="H8" i="188"/>
  <c r="I8" i="188"/>
  <c r="J8" i="188"/>
  <c r="K8" i="188"/>
  <c r="L8" i="188"/>
  <c r="M8" i="188"/>
  <c r="N8" i="188"/>
  <c r="O8" i="188"/>
  <c r="P8" i="188"/>
  <c r="Q8" i="188"/>
  <c r="R8" i="188"/>
  <c r="S8" i="188"/>
  <c r="T8" i="188"/>
  <c r="U8" i="188"/>
  <c r="V8" i="188"/>
  <c r="W8" i="188"/>
  <c r="X8" i="188"/>
  <c r="Y8" i="188"/>
  <c r="C9" i="188"/>
  <c r="D9" i="188"/>
  <c r="E9" i="188"/>
  <c r="F9" i="188"/>
  <c r="G9" i="188"/>
  <c r="H9" i="188"/>
  <c r="I9" i="188"/>
  <c r="J9" i="188"/>
  <c r="K9" i="188"/>
  <c r="L9" i="188"/>
  <c r="M9" i="188"/>
  <c r="N9" i="188"/>
  <c r="O9" i="188"/>
  <c r="P9" i="188"/>
  <c r="Q9" i="188"/>
  <c r="R9" i="188"/>
  <c r="S9" i="188"/>
  <c r="T9" i="188"/>
  <c r="U9" i="188"/>
  <c r="V9" i="188"/>
  <c r="W9" i="188"/>
  <c r="X9" i="188"/>
  <c r="Y9" i="188"/>
  <c r="C10" i="188"/>
  <c r="D10" i="188"/>
  <c r="E10" i="188"/>
  <c r="F10" i="188"/>
  <c r="G10" i="188"/>
  <c r="H10" i="188"/>
  <c r="I10" i="188"/>
  <c r="J10" i="188"/>
  <c r="K10" i="188"/>
  <c r="L10" i="188"/>
  <c r="M10" i="188"/>
  <c r="N10" i="188"/>
  <c r="O10" i="188"/>
  <c r="P10" i="188"/>
  <c r="Q10" i="188"/>
  <c r="R10" i="188"/>
  <c r="S10" i="188"/>
  <c r="T10" i="188"/>
  <c r="U10" i="188"/>
  <c r="V10" i="188"/>
  <c r="W10" i="188"/>
  <c r="X10" i="188"/>
  <c r="Y10" i="188"/>
  <c r="B9" i="188"/>
  <c r="B10" i="188"/>
  <c r="B8" i="188"/>
  <c r="B6" i="188"/>
  <c r="B7" i="188"/>
  <c r="B5" i="188"/>
  <c r="C8" i="71"/>
  <c r="D8" i="71"/>
  <c r="E8" i="71"/>
  <c r="F8" i="71"/>
  <c r="G8" i="71"/>
  <c r="H8" i="71"/>
  <c r="I8" i="71"/>
  <c r="J8" i="71"/>
  <c r="K8" i="71"/>
  <c r="L8" i="71"/>
  <c r="M8" i="71"/>
  <c r="N8" i="71"/>
  <c r="O8" i="71"/>
  <c r="P8" i="71"/>
  <c r="Q8" i="71"/>
  <c r="R8" i="71"/>
  <c r="S8" i="71"/>
  <c r="T8" i="71"/>
  <c r="U8" i="71"/>
  <c r="V8" i="71"/>
  <c r="W8" i="71"/>
  <c r="X8" i="71"/>
  <c r="Y8" i="71"/>
  <c r="C9" i="71"/>
  <c r="D9" i="71"/>
  <c r="E9" i="71"/>
  <c r="F9" i="71"/>
  <c r="G9" i="71"/>
  <c r="H9" i="71"/>
  <c r="I9" i="71"/>
  <c r="J9" i="71"/>
  <c r="K9" i="71"/>
  <c r="L9" i="71"/>
  <c r="M9" i="71"/>
  <c r="N9" i="71"/>
  <c r="O9" i="71"/>
  <c r="P9" i="71"/>
  <c r="Q9" i="71"/>
  <c r="R9" i="71"/>
  <c r="S9" i="71"/>
  <c r="T9" i="71"/>
  <c r="U9" i="71"/>
  <c r="V9" i="71"/>
  <c r="W9" i="71"/>
  <c r="X9" i="71"/>
  <c r="Y9" i="71"/>
  <c r="C10" i="71"/>
  <c r="D10" i="71"/>
  <c r="E10" i="71"/>
  <c r="F10" i="71"/>
  <c r="G10" i="71"/>
  <c r="H10" i="71"/>
  <c r="I10" i="71"/>
  <c r="J10" i="71"/>
  <c r="K10" i="71"/>
  <c r="L10" i="71"/>
  <c r="M10" i="71"/>
  <c r="N10" i="71"/>
  <c r="O10" i="71"/>
  <c r="P10" i="71"/>
  <c r="Q10" i="71"/>
  <c r="R10" i="71"/>
  <c r="S10" i="71"/>
  <c r="T10" i="71"/>
  <c r="U10" i="71"/>
  <c r="V10" i="71"/>
  <c r="W10" i="71"/>
  <c r="X10" i="71"/>
  <c r="Y10" i="71"/>
  <c r="B9" i="71"/>
  <c r="B10" i="71"/>
  <c r="B8" i="71"/>
  <c r="C5" i="71"/>
  <c r="D5" i="71"/>
  <c r="E5" i="71"/>
  <c r="F5" i="71"/>
  <c r="G5" i="71"/>
  <c r="H5" i="71"/>
  <c r="I5" i="71"/>
  <c r="J5" i="71"/>
  <c r="K5" i="71"/>
  <c r="L5" i="71"/>
  <c r="M5" i="71"/>
  <c r="N5" i="71"/>
  <c r="O5" i="71"/>
  <c r="P5" i="71"/>
  <c r="Q5" i="71"/>
  <c r="R5" i="71"/>
  <c r="S5" i="71"/>
  <c r="T5" i="71"/>
  <c r="U5" i="71"/>
  <c r="V5" i="71"/>
  <c r="W5" i="71"/>
  <c r="X5" i="71"/>
  <c r="Y5" i="71"/>
  <c r="C6" i="71"/>
  <c r="D6" i="71"/>
  <c r="E6" i="71"/>
  <c r="F6" i="71"/>
  <c r="G6" i="71"/>
  <c r="H6" i="71"/>
  <c r="I6" i="71"/>
  <c r="J6" i="71"/>
  <c r="K6" i="71"/>
  <c r="L6" i="71"/>
  <c r="M6" i="71"/>
  <c r="N6" i="71"/>
  <c r="O6" i="71"/>
  <c r="P6" i="71"/>
  <c r="Q6" i="71"/>
  <c r="R6" i="71"/>
  <c r="S6" i="71"/>
  <c r="T6" i="71"/>
  <c r="U6" i="71"/>
  <c r="V6" i="71"/>
  <c r="W6" i="71"/>
  <c r="X6" i="71"/>
  <c r="Y6" i="71"/>
  <c r="C7" i="71"/>
  <c r="D7" i="71"/>
  <c r="E7" i="71"/>
  <c r="F7" i="71"/>
  <c r="G7" i="71"/>
  <c r="H7" i="71"/>
  <c r="I7" i="71"/>
  <c r="J7" i="71"/>
  <c r="K7" i="71"/>
  <c r="L7" i="71"/>
  <c r="M7" i="71"/>
  <c r="N7" i="71"/>
  <c r="O7" i="71"/>
  <c r="P7" i="71"/>
  <c r="Q7" i="71"/>
  <c r="R7" i="71"/>
  <c r="S7" i="71"/>
  <c r="T7" i="71"/>
  <c r="U7" i="71"/>
  <c r="V7" i="71"/>
  <c r="W7" i="71"/>
  <c r="X7" i="71"/>
  <c r="Y7" i="71"/>
  <c r="B6" i="71"/>
  <c r="B7" i="71"/>
  <c r="B5" i="71"/>
  <c r="Y4" i="305" l="1"/>
  <c r="I4" i="305"/>
  <c r="Q3" i="305"/>
  <c r="Y2" i="305"/>
  <c r="I2" i="305"/>
  <c r="Q4" i="304"/>
  <c r="Y3" i="304"/>
  <c r="I3" i="304"/>
  <c r="Q2" i="304"/>
  <c r="Y4" i="303"/>
  <c r="I4" i="303"/>
  <c r="Q3" i="303"/>
  <c r="Y2" i="303"/>
  <c r="I2" i="303"/>
  <c r="X4" i="305"/>
  <c r="H4" i="305"/>
  <c r="P3" i="305"/>
  <c r="X2" i="305"/>
  <c r="H2" i="305"/>
  <c r="P4" i="304"/>
  <c r="X3" i="304"/>
  <c r="H3" i="304"/>
  <c r="P2" i="304"/>
  <c r="X4" i="303"/>
  <c r="H4" i="303"/>
  <c r="P3" i="303"/>
  <c r="X2" i="303"/>
  <c r="H2" i="303"/>
  <c r="W4" i="305"/>
  <c r="G4" i="305"/>
  <c r="O3" i="305"/>
  <c r="W2" i="305"/>
  <c r="G2" i="305"/>
  <c r="O4" i="304"/>
  <c r="W3" i="304"/>
  <c r="G3" i="304"/>
  <c r="O2" i="304"/>
  <c r="W4" i="303"/>
  <c r="G4" i="303"/>
  <c r="O3" i="303"/>
  <c r="W2" i="303"/>
  <c r="G2" i="303"/>
  <c r="V4" i="305"/>
  <c r="F4" i="305"/>
  <c r="N3" i="305"/>
  <c r="V2" i="305"/>
  <c r="F2" i="305"/>
  <c r="N4" i="304"/>
  <c r="V3" i="304"/>
  <c r="F3" i="304"/>
  <c r="N2" i="304"/>
  <c r="V4" i="303"/>
  <c r="F4" i="303"/>
  <c r="N3" i="303"/>
  <c r="V2" i="303"/>
  <c r="F2" i="303"/>
  <c r="U4" i="305"/>
  <c r="E4" i="305"/>
  <c r="M3" i="305"/>
  <c r="U2" i="305"/>
  <c r="E2" i="305"/>
  <c r="M4" i="304"/>
  <c r="U3" i="304"/>
  <c r="E3" i="304"/>
  <c r="M2" i="304"/>
  <c r="U4" i="303"/>
  <c r="E4" i="303"/>
  <c r="M3" i="303"/>
  <c r="U2" i="303"/>
  <c r="E2" i="303"/>
  <c r="T4" i="305"/>
  <c r="D4" i="305"/>
  <c r="L3" i="305"/>
  <c r="T2" i="305"/>
  <c r="D2" i="305"/>
  <c r="L4" i="304"/>
  <c r="T3" i="304"/>
  <c r="D3" i="304"/>
  <c r="L2" i="304"/>
  <c r="T4" i="303"/>
  <c r="D4" i="303"/>
  <c r="L3" i="303"/>
  <c r="T2" i="303"/>
  <c r="D2" i="303"/>
  <c r="S4" i="305"/>
  <c r="C4" i="305"/>
  <c r="K3" i="305"/>
  <c r="S2" i="305"/>
  <c r="C2" i="305"/>
  <c r="K4" i="304"/>
  <c r="S3" i="304"/>
  <c r="C3" i="304"/>
  <c r="K2" i="304"/>
  <c r="S4" i="303"/>
  <c r="C4" i="303"/>
  <c r="K3" i="303"/>
  <c r="S2" i="303"/>
  <c r="C2" i="303"/>
  <c r="R4" i="305"/>
  <c r="B4" i="305"/>
  <c r="J3" i="305"/>
  <c r="R2" i="305"/>
  <c r="B2" i="305"/>
  <c r="J4" i="304"/>
  <c r="R3" i="304"/>
  <c r="B3" i="304"/>
  <c r="J2" i="304"/>
  <c r="R4" i="303"/>
  <c r="B4" i="303"/>
  <c r="J3" i="303"/>
  <c r="R2" i="303"/>
  <c r="B2" i="303"/>
  <c r="Q4" i="305"/>
  <c r="Y3" i="305"/>
  <c r="I3" i="305"/>
  <c r="Q2" i="305"/>
  <c r="Y4" i="304"/>
  <c r="I4" i="304"/>
  <c r="Q3" i="304"/>
  <c r="Y2" i="304"/>
  <c r="I2" i="304"/>
  <c r="Q4" i="303"/>
  <c r="Y3" i="303"/>
  <c r="I3" i="303"/>
  <c r="Q2" i="303"/>
  <c r="X4" i="304"/>
  <c r="P3" i="304"/>
  <c r="X2" i="304"/>
  <c r="H2" i="304"/>
  <c r="P4" i="303"/>
  <c r="P4" i="305"/>
  <c r="X3" i="305"/>
  <c r="H3" i="305"/>
  <c r="P2" i="305"/>
  <c r="H4" i="304"/>
  <c r="X3" i="303"/>
  <c r="H3" i="303"/>
  <c r="P2" i="303"/>
  <c r="O4" i="305"/>
  <c r="W3" i="305"/>
  <c r="G3" i="305"/>
  <c r="O2" i="305"/>
  <c r="W4" i="304"/>
  <c r="G4" i="304"/>
  <c r="O3" i="304"/>
  <c r="W2" i="304"/>
  <c r="G2" i="304"/>
  <c r="O4" i="303"/>
  <c r="W3" i="303"/>
  <c r="G3" i="303"/>
  <c r="O2" i="303"/>
  <c r="N4" i="305"/>
  <c r="V3" i="305"/>
  <c r="F3" i="305"/>
  <c r="N2" i="305"/>
  <c r="V4" i="304"/>
  <c r="F4" i="304"/>
  <c r="N3" i="304"/>
  <c r="V2" i="304"/>
  <c r="F2" i="304"/>
  <c r="N4" i="303"/>
  <c r="V3" i="303"/>
  <c r="F3" i="303"/>
  <c r="N2" i="303"/>
  <c r="U3" i="305"/>
  <c r="E3" i="305"/>
  <c r="M2" i="305"/>
  <c r="U4" i="304"/>
  <c r="M4" i="305"/>
  <c r="E4" i="304"/>
  <c r="M3" i="304"/>
  <c r="U2" i="304"/>
  <c r="E2" i="304"/>
  <c r="M4" i="303"/>
  <c r="U3" i="303"/>
  <c r="E3" i="303"/>
  <c r="M2" i="303"/>
  <c r="L4" i="305"/>
  <c r="T3" i="305"/>
  <c r="D3" i="305"/>
  <c r="L2" i="305"/>
  <c r="T4" i="304"/>
  <c r="D4" i="304"/>
  <c r="L3" i="304"/>
  <c r="T2" i="304"/>
  <c r="D2" i="304"/>
  <c r="L4" i="303"/>
  <c r="T3" i="303"/>
  <c r="D3" i="303"/>
  <c r="L2" i="303"/>
  <c r="K4" i="305"/>
  <c r="S3" i="305"/>
  <c r="C3" i="305"/>
  <c r="K2" i="305"/>
  <c r="S4" i="304"/>
  <c r="C4" i="304"/>
  <c r="K3" i="304"/>
  <c r="S2" i="304"/>
  <c r="C2" i="304"/>
  <c r="K4" i="303"/>
  <c r="S3" i="303"/>
  <c r="C3" i="303"/>
  <c r="K2" i="303"/>
  <c r="J4" i="305"/>
  <c r="R3" i="305"/>
  <c r="B3" i="305"/>
  <c r="J2" i="305"/>
  <c r="R4" i="304"/>
  <c r="B4" i="304"/>
  <c r="J3" i="304"/>
  <c r="R2" i="304"/>
  <c r="B2" i="304"/>
  <c r="J4" i="303"/>
  <c r="R3" i="303"/>
  <c r="B3" i="303"/>
  <c r="J2" i="303"/>
  <c r="B3" i="58"/>
  <c r="B4" i="58"/>
  <c r="B2" i="58"/>
  <c r="X4" i="227" l="1"/>
  <c r="H4" i="227"/>
  <c r="P3" i="227"/>
  <c r="X2" i="227"/>
  <c r="H2" i="227"/>
  <c r="P4" i="226"/>
  <c r="X3" i="226"/>
  <c r="H3" i="226"/>
  <c r="P2" i="226"/>
  <c r="X4" i="225"/>
  <c r="H4" i="225"/>
  <c r="P3" i="225"/>
  <c r="X2" i="225"/>
  <c r="H2" i="225"/>
  <c r="X4" i="199"/>
  <c r="H4" i="199"/>
  <c r="P3" i="199"/>
  <c r="X2" i="199"/>
  <c r="H2" i="199"/>
  <c r="P4" i="198"/>
  <c r="X3" i="198"/>
  <c r="H3" i="198"/>
  <c r="P2" i="198"/>
  <c r="C3" i="8"/>
  <c r="S3" i="8"/>
  <c r="K4" i="8"/>
  <c r="D2" i="8"/>
  <c r="T2" i="8"/>
  <c r="W4" i="227"/>
  <c r="G4" i="227"/>
  <c r="O3" i="227"/>
  <c r="W2" i="227"/>
  <c r="G2" i="227"/>
  <c r="O4" i="226"/>
  <c r="W3" i="226"/>
  <c r="G3" i="226"/>
  <c r="O2" i="226"/>
  <c r="W4" i="225"/>
  <c r="G4" i="225"/>
  <c r="O3" i="225"/>
  <c r="W2" i="225"/>
  <c r="G2" i="225"/>
  <c r="W4" i="199"/>
  <c r="G4" i="199"/>
  <c r="O3" i="199"/>
  <c r="W2" i="199"/>
  <c r="G2" i="199"/>
  <c r="O4" i="198"/>
  <c r="W3" i="198"/>
  <c r="G3" i="198"/>
  <c r="O2" i="198"/>
  <c r="D3" i="8"/>
  <c r="T3" i="8"/>
  <c r="L4" i="8"/>
  <c r="E2" i="8"/>
  <c r="U2" i="8"/>
  <c r="T4" i="227"/>
  <c r="D4" i="227"/>
  <c r="L3" i="227"/>
  <c r="T2" i="227"/>
  <c r="D2" i="227"/>
  <c r="L4" i="226"/>
  <c r="T3" i="226"/>
  <c r="D3" i="226"/>
  <c r="L2" i="226"/>
  <c r="T4" i="225"/>
  <c r="D4" i="225"/>
  <c r="L3" i="225"/>
  <c r="T2" i="225"/>
  <c r="D2" i="225"/>
  <c r="T4" i="199"/>
  <c r="D4" i="199"/>
  <c r="L3" i="199"/>
  <c r="T2" i="199"/>
  <c r="D2" i="199"/>
  <c r="L4" i="198"/>
  <c r="T3" i="198"/>
  <c r="D3" i="198"/>
  <c r="L2" i="198"/>
  <c r="G3" i="8"/>
  <c r="W3" i="8"/>
  <c r="O4" i="8"/>
  <c r="H2" i="8"/>
  <c r="X2" i="8"/>
  <c r="S4" i="227"/>
  <c r="C4" i="227"/>
  <c r="K3" i="227"/>
  <c r="S2" i="227"/>
  <c r="C2" i="227"/>
  <c r="K4" i="226"/>
  <c r="S3" i="226"/>
  <c r="C3" i="226"/>
  <c r="R4" i="227"/>
  <c r="B4" i="227"/>
  <c r="J3" i="227"/>
  <c r="R2" i="227"/>
  <c r="B2" i="227"/>
  <c r="J4" i="226"/>
  <c r="R3" i="226"/>
  <c r="B3" i="226"/>
  <c r="J2" i="226"/>
  <c r="R4" i="225"/>
  <c r="B4" i="225"/>
  <c r="J3" i="225"/>
  <c r="R2" i="225"/>
  <c r="B2" i="225"/>
  <c r="R4" i="199"/>
  <c r="B4" i="199"/>
  <c r="J3" i="199"/>
  <c r="R2" i="199"/>
  <c r="B2" i="199"/>
  <c r="J4" i="198"/>
  <c r="R3" i="198"/>
  <c r="B3" i="198"/>
  <c r="J2" i="198"/>
  <c r="I3" i="8"/>
  <c r="Y3" i="8"/>
  <c r="Q4" i="8"/>
  <c r="J2" i="8"/>
  <c r="B2" i="8"/>
  <c r="O4" i="227"/>
  <c r="W3" i="227"/>
  <c r="G3" i="227"/>
  <c r="O2" i="227"/>
  <c r="W4" i="226"/>
  <c r="G4" i="226"/>
  <c r="O3" i="226"/>
  <c r="W2" i="226"/>
  <c r="G2" i="226"/>
  <c r="O4" i="225"/>
  <c r="W3" i="225"/>
  <c r="G3" i="225"/>
  <c r="O2" i="225"/>
  <c r="O4" i="199"/>
  <c r="W3" i="199"/>
  <c r="G3" i="199"/>
  <c r="O2" i="199"/>
  <c r="W4" i="198"/>
  <c r="G4" i="198"/>
  <c r="O3" i="198"/>
  <c r="W2" i="198"/>
  <c r="G2" i="198"/>
  <c r="M4" i="227"/>
  <c r="M3" i="227"/>
  <c r="K2" i="227"/>
  <c r="H4" i="226"/>
  <c r="I3" i="226"/>
  <c r="F2" i="226"/>
  <c r="I4" i="225"/>
  <c r="H3" i="225"/>
  <c r="J2" i="225"/>
  <c r="P4" i="199"/>
  <c r="R3" i="199"/>
  <c r="Q2" i="199"/>
  <c r="S4" i="198"/>
  <c r="S3" i="198"/>
  <c r="T2" i="198"/>
  <c r="P3" i="8"/>
  <c r="N4" i="8"/>
  <c r="M2" i="8"/>
  <c r="Q3" i="199"/>
  <c r="Q3" i="8"/>
  <c r="P4" i="8"/>
  <c r="N2" i="8"/>
  <c r="N2" i="198"/>
  <c r="T4" i="8"/>
  <c r="Q2" i="8"/>
  <c r="L4" i="227"/>
  <c r="I3" i="227"/>
  <c r="J2" i="227"/>
  <c r="F4" i="226"/>
  <c r="F3" i="226"/>
  <c r="E2" i="226"/>
  <c r="F4" i="225"/>
  <c r="F3" i="225"/>
  <c r="I2" i="225"/>
  <c r="N4" i="199"/>
  <c r="P2" i="199"/>
  <c r="R4" i="198"/>
  <c r="Q3" i="198"/>
  <c r="S2" i="198"/>
  <c r="K4" i="227"/>
  <c r="H3" i="227"/>
  <c r="I2" i="227"/>
  <c r="E4" i="226"/>
  <c r="E3" i="226"/>
  <c r="D2" i="226"/>
  <c r="E4" i="225"/>
  <c r="E3" i="225"/>
  <c r="F2" i="225"/>
  <c r="M4" i="199"/>
  <c r="N3" i="199"/>
  <c r="N2" i="199"/>
  <c r="Q4" i="198"/>
  <c r="P3" i="198"/>
  <c r="R2" i="198"/>
  <c r="R3" i="8"/>
  <c r="R4" i="8"/>
  <c r="O2" i="8"/>
  <c r="M3" i="199"/>
  <c r="M2" i="199"/>
  <c r="N4" i="198"/>
  <c r="S4" i="8"/>
  <c r="I4" i="227"/>
  <c r="E2" i="227"/>
  <c r="C4" i="226"/>
  <c r="X2" i="226"/>
  <c r="B2" i="226"/>
  <c r="Y3" i="225"/>
  <c r="C3" i="225"/>
  <c r="C2" i="225"/>
  <c r="K4" i="199"/>
  <c r="L2" i="199"/>
  <c r="M3" i="198"/>
  <c r="V3" i="8"/>
  <c r="J4" i="227"/>
  <c r="F3" i="227"/>
  <c r="F2" i="227"/>
  <c r="D4" i="226"/>
  <c r="Y2" i="226"/>
  <c r="C2" i="226"/>
  <c r="C4" i="225"/>
  <c r="D3" i="225"/>
  <c r="E2" i="225"/>
  <c r="L4" i="199"/>
  <c r="N3" i="198"/>
  <c r="Q2" i="198"/>
  <c r="U3" i="8"/>
  <c r="P2" i="8"/>
  <c r="E3" i="227"/>
  <c r="K3" i="199"/>
  <c r="M4" i="198"/>
  <c r="F4" i="227"/>
  <c r="D3" i="227"/>
  <c r="Y4" i="226"/>
  <c r="B4" i="226"/>
  <c r="V2" i="226"/>
  <c r="Y4" i="225"/>
  <c r="X3" i="225"/>
  <c r="B3" i="225"/>
  <c r="J4" i="199"/>
  <c r="I3" i="199"/>
  <c r="K2" i="199"/>
  <c r="K4" i="198"/>
  <c r="L3" i="198"/>
  <c r="M2" i="198"/>
  <c r="X3" i="8"/>
  <c r="U4" i="8"/>
  <c r="R2" i="8"/>
  <c r="B4" i="8"/>
  <c r="I3" i="198"/>
  <c r="S2" i="225"/>
  <c r="E4" i="227"/>
  <c r="C3" i="227"/>
  <c r="X4" i="226"/>
  <c r="Y3" i="226"/>
  <c r="U2" i="226"/>
  <c r="V4" i="225"/>
  <c r="V3" i="225"/>
  <c r="Y2" i="225"/>
  <c r="I4" i="199"/>
  <c r="H3" i="199"/>
  <c r="J2" i="199"/>
  <c r="I4" i="198"/>
  <c r="K3" i="198"/>
  <c r="K2" i="198"/>
  <c r="B3" i="8"/>
  <c r="V4" i="8"/>
  <c r="S2" i="8"/>
  <c r="F3" i="8"/>
  <c r="X4" i="8"/>
  <c r="W2" i="8"/>
  <c r="Y3" i="227"/>
  <c r="B3" i="227"/>
  <c r="V4" i="226"/>
  <c r="V3" i="226"/>
  <c r="T2" i="226"/>
  <c r="U4" i="225"/>
  <c r="U3" i="225"/>
  <c r="V2" i="225"/>
  <c r="F4" i="199"/>
  <c r="F3" i="199"/>
  <c r="I2" i="199"/>
  <c r="H4" i="198"/>
  <c r="J3" i="198"/>
  <c r="I2" i="198"/>
  <c r="E3" i="8"/>
  <c r="C4" i="8"/>
  <c r="W4" i="8"/>
  <c r="V2" i="8"/>
  <c r="E3" i="199"/>
  <c r="V3" i="227"/>
  <c r="V2" i="227"/>
  <c r="T4" i="226"/>
  <c r="S3" i="225"/>
  <c r="X3" i="227"/>
  <c r="Y2" i="227"/>
  <c r="U4" i="226"/>
  <c r="U3" i="226"/>
  <c r="S2" i="226"/>
  <c r="S4" i="225"/>
  <c r="T3" i="225"/>
  <c r="U2" i="225"/>
  <c r="E4" i="199"/>
  <c r="F2" i="199"/>
  <c r="F4" i="198"/>
  <c r="H2" i="198"/>
  <c r="D4" i="8"/>
  <c r="Q3" i="226"/>
  <c r="R2" i="226"/>
  <c r="Q4" i="225"/>
  <c r="Y4" i="227"/>
  <c r="U3" i="227"/>
  <c r="U2" i="227"/>
  <c r="S4" i="226"/>
  <c r="P3" i="226"/>
  <c r="Q2" i="226"/>
  <c r="P4" i="225"/>
  <c r="R3" i="225"/>
  <c r="Q2" i="225"/>
  <c r="Y3" i="199"/>
  <c r="C3" i="199"/>
  <c r="C2" i="199"/>
  <c r="D4" i="198"/>
  <c r="E3" i="198"/>
  <c r="E2" i="198"/>
  <c r="Q4" i="227"/>
  <c r="R3" i="227"/>
  <c r="N2" i="227"/>
  <c r="N4" i="226"/>
  <c r="L3" i="226"/>
  <c r="K2" i="226"/>
  <c r="L4" i="225"/>
  <c r="M3" i="225"/>
  <c r="M2" i="225"/>
  <c r="P4" i="227"/>
  <c r="Q3" i="227"/>
  <c r="M2" i="227"/>
  <c r="M4" i="226"/>
  <c r="K3" i="226"/>
  <c r="I2" i="226"/>
  <c r="N4" i="227"/>
  <c r="N3" i="227"/>
  <c r="L2" i="227"/>
  <c r="I4" i="226"/>
  <c r="J3" i="226"/>
  <c r="H2" i="226"/>
  <c r="J4" i="225"/>
  <c r="I3" i="225"/>
  <c r="K2" i="225"/>
  <c r="M3" i="226"/>
  <c r="V4" i="199"/>
  <c r="E2" i="199"/>
  <c r="V2" i="198"/>
  <c r="M3" i="8"/>
  <c r="L2" i="8"/>
  <c r="X4" i="198"/>
  <c r="O3" i="8"/>
  <c r="Q4" i="199"/>
  <c r="E4" i="8"/>
  <c r="F4" i="8"/>
  <c r="B3" i="199"/>
  <c r="N2" i="226"/>
  <c r="U4" i="199"/>
  <c r="Y4" i="198"/>
  <c r="U2" i="198"/>
  <c r="N3" i="8"/>
  <c r="Y2" i="8"/>
  <c r="S4" i="199"/>
  <c r="V4" i="198"/>
  <c r="Y4" i="8"/>
  <c r="R4" i="226"/>
  <c r="V2" i="199"/>
  <c r="J3" i="8"/>
  <c r="L3" i="8"/>
  <c r="M2" i="226"/>
  <c r="F2" i="198"/>
  <c r="D2" i="198"/>
  <c r="G4" i="8"/>
  <c r="L2" i="225"/>
  <c r="C3" i="198"/>
  <c r="Y4" i="199"/>
  <c r="N4" i="225"/>
  <c r="M4" i="225"/>
  <c r="C4" i="199"/>
  <c r="U4" i="198"/>
  <c r="C2" i="198"/>
  <c r="K4" i="225"/>
  <c r="X3" i="199"/>
  <c r="T4" i="198"/>
  <c r="B2" i="198"/>
  <c r="X2" i="198"/>
  <c r="Q3" i="225"/>
  <c r="V3" i="199"/>
  <c r="E4" i="198"/>
  <c r="H4" i="8"/>
  <c r="Q2" i="227"/>
  <c r="U3" i="198"/>
  <c r="K2" i="8"/>
  <c r="V4" i="227"/>
  <c r="N3" i="225"/>
  <c r="U3" i="199"/>
  <c r="C4" i="198"/>
  <c r="I4" i="8"/>
  <c r="T3" i="227"/>
  <c r="P2" i="225"/>
  <c r="S3" i="199"/>
  <c r="Y3" i="198"/>
  <c r="M4" i="8"/>
  <c r="S3" i="227"/>
  <c r="N2" i="225"/>
  <c r="D3" i="199"/>
  <c r="H3" i="8"/>
  <c r="G2" i="8"/>
  <c r="U4" i="227"/>
  <c r="K3" i="225"/>
  <c r="T3" i="199"/>
  <c r="B4" i="198"/>
  <c r="J4" i="8"/>
  <c r="V3" i="198"/>
  <c r="C2" i="8"/>
  <c r="S2" i="199"/>
  <c r="P2" i="227"/>
  <c r="Y2" i="199"/>
  <c r="F3" i="198"/>
  <c r="F2" i="8"/>
  <c r="Q4" i="226"/>
  <c r="U2" i="199"/>
  <c r="Y2" i="198"/>
  <c r="K3" i="8"/>
  <c r="I2" i="8"/>
  <c r="N3" i="226"/>
  <c r="D2" i="59"/>
  <c r="T2" i="59"/>
  <c r="M3" i="59"/>
  <c r="F4" i="59"/>
  <c r="V4" i="59"/>
  <c r="E2" i="59"/>
  <c r="U2" i="59"/>
  <c r="N3" i="59"/>
  <c r="G4" i="59"/>
  <c r="W4" i="59"/>
  <c r="H2" i="59"/>
  <c r="X2" i="59"/>
  <c r="Q3" i="59"/>
  <c r="J4" i="59"/>
  <c r="B3" i="59"/>
  <c r="J2" i="59"/>
  <c r="C3" i="59"/>
  <c r="S3" i="59"/>
  <c r="L4" i="59"/>
  <c r="B2" i="59"/>
  <c r="W2" i="59"/>
  <c r="V3" i="59"/>
  <c r="S4" i="59"/>
  <c r="Y2" i="59"/>
  <c r="W3" i="59"/>
  <c r="T4" i="59"/>
  <c r="G2" i="59"/>
  <c r="C2" i="59"/>
  <c r="D3" i="59"/>
  <c r="X3" i="59"/>
  <c r="U4" i="59"/>
  <c r="F2" i="59"/>
  <c r="Y3" i="59"/>
  <c r="X4" i="59"/>
  <c r="E3" i="59"/>
  <c r="I2" i="59"/>
  <c r="G3" i="59"/>
  <c r="D4" i="59"/>
  <c r="B4" i="59"/>
  <c r="H3" i="59"/>
  <c r="E4" i="59"/>
  <c r="K2" i="59"/>
  <c r="M2" i="59"/>
  <c r="L2" i="59"/>
  <c r="I3" i="59"/>
  <c r="H4" i="59"/>
  <c r="J3" i="59"/>
  <c r="I4" i="59"/>
  <c r="Q2" i="59"/>
  <c r="O4" i="59"/>
  <c r="S2" i="59"/>
  <c r="V2" i="59"/>
  <c r="T3" i="59"/>
  <c r="U3" i="59"/>
  <c r="R2" i="59"/>
  <c r="P4" i="59"/>
  <c r="R4" i="59"/>
  <c r="K4" i="59"/>
  <c r="P2" i="59"/>
  <c r="Q4" i="59"/>
  <c r="F3" i="59"/>
  <c r="Y4" i="59"/>
  <c r="K3" i="59"/>
  <c r="L3" i="59"/>
  <c r="R3" i="59"/>
  <c r="N2" i="59"/>
  <c r="O3" i="59"/>
  <c r="C4" i="59"/>
  <c r="N4" i="59"/>
  <c r="P3" i="59"/>
  <c r="O2" i="59"/>
  <c r="M4" i="59"/>
  <c r="B8" i="1"/>
  <c r="I3" i="312" l="1"/>
  <c r="I3" i="273"/>
  <c r="I4" i="273"/>
  <c r="I2" i="273"/>
  <c r="I4" i="312"/>
  <c r="I2" i="312"/>
  <c r="U4" i="273"/>
  <c r="U2" i="273"/>
  <c r="U3" i="312"/>
  <c r="U3" i="273"/>
  <c r="U4" i="312"/>
  <c r="U2" i="312"/>
  <c r="J3" i="313"/>
  <c r="J3" i="274"/>
  <c r="J4" i="313"/>
  <c r="J2" i="313"/>
  <c r="J4" i="274"/>
  <c r="J2" i="274"/>
  <c r="J4" i="294"/>
  <c r="J3" i="296"/>
  <c r="J3" i="294"/>
  <c r="J2" i="294"/>
  <c r="J2" i="296"/>
  <c r="J3" i="295"/>
  <c r="J4" i="295"/>
  <c r="J4" i="296"/>
  <c r="J2" i="295"/>
  <c r="Y3" i="312"/>
  <c r="Y3" i="273"/>
  <c r="Y2" i="273"/>
  <c r="Y4" i="312"/>
  <c r="Y2" i="312"/>
  <c r="Y4" i="273"/>
  <c r="H3" i="273"/>
  <c r="H3" i="312"/>
  <c r="H4" i="312"/>
  <c r="H2" i="312"/>
  <c r="H4" i="273"/>
  <c r="H2" i="273"/>
  <c r="J3" i="273"/>
  <c r="J4" i="312"/>
  <c r="J2" i="312"/>
  <c r="J4" i="273"/>
  <c r="J2" i="273"/>
  <c r="J3" i="312"/>
  <c r="M3" i="313"/>
  <c r="M3" i="274"/>
  <c r="M2" i="274"/>
  <c r="M4" i="313"/>
  <c r="M2" i="313"/>
  <c r="M4" i="274"/>
  <c r="M2" i="294"/>
  <c r="M2" i="296"/>
  <c r="M4" i="295"/>
  <c r="M4" i="294"/>
  <c r="M3" i="295"/>
  <c r="M3" i="296"/>
  <c r="M2" i="295"/>
  <c r="M3" i="294"/>
  <c r="M4" i="296"/>
  <c r="K4" i="273"/>
  <c r="K2" i="273"/>
  <c r="K4" i="312"/>
  <c r="K2" i="312"/>
  <c r="K3" i="273"/>
  <c r="K3" i="312"/>
  <c r="K3" i="274"/>
  <c r="K4" i="274"/>
  <c r="K3" i="313"/>
  <c r="K2" i="274"/>
  <c r="K4" i="313"/>
  <c r="K2" i="313"/>
  <c r="K3" i="295"/>
  <c r="K3" i="294"/>
  <c r="K4" i="295"/>
  <c r="K3" i="296"/>
  <c r="K4" i="294"/>
  <c r="K2" i="294"/>
  <c r="K4" i="296"/>
  <c r="K2" i="296"/>
  <c r="K2" i="295"/>
  <c r="T3" i="273"/>
  <c r="T3" i="312"/>
  <c r="T4" i="312"/>
  <c r="T2" i="312"/>
  <c r="T4" i="273"/>
  <c r="T2" i="273"/>
  <c r="W4" i="273"/>
  <c r="W2" i="273"/>
  <c r="W3" i="312"/>
  <c r="W3" i="273"/>
  <c r="W4" i="312"/>
  <c r="W2" i="312"/>
  <c r="R2" i="273"/>
  <c r="R3" i="312"/>
  <c r="R3" i="273"/>
  <c r="R4" i="312"/>
  <c r="R2" i="312"/>
  <c r="R4" i="273"/>
  <c r="E4" i="273"/>
  <c r="E3" i="312"/>
  <c r="E3" i="273"/>
  <c r="E2" i="273"/>
  <c r="E4" i="312"/>
  <c r="E2" i="312"/>
  <c r="G2" i="273"/>
  <c r="G3" i="312"/>
  <c r="G3" i="273"/>
  <c r="G4" i="273"/>
  <c r="G4" i="312"/>
  <c r="G2" i="312"/>
  <c r="M4" i="312"/>
  <c r="M2" i="312"/>
  <c r="M4" i="273"/>
  <c r="M2" i="273"/>
  <c r="M3" i="273"/>
  <c r="M3" i="312"/>
  <c r="Y4" i="313"/>
  <c r="Y2" i="313"/>
  <c r="Y4" i="274"/>
  <c r="Y2" i="274"/>
  <c r="Y3" i="313"/>
  <c r="Y3" i="274"/>
  <c r="Y4" i="294"/>
  <c r="Y3" i="295"/>
  <c r="Y2" i="294"/>
  <c r="Y4" i="295"/>
  <c r="Y4" i="296"/>
  <c r="Y2" i="296"/>
  <c r="Y2" i="295"/>
  <c r="Y3" i="294"/>
  <c r="Y3" i="296"/>
  <c r="R4" i="313"/>
  <c r="R2" i="313"/>
  <c r="R4" i="274"/>
  <c r="R2" i="274"/>
  <c r="R3" i="313"/>
  <c r="R3" i="274"/>
  <c r="R3" i="296"/>
  <c r="R3" i="294"/>
  <c r="R4" i="296"/>
  <c r="R2" i="296"/>
  <c r="R3" i="295"/>
  <c r="R4" i="294"/>
  <c r="R4" i="295"/>
  <c r="R2" i="294"/>
  <c r="R2" i="295"/>
  <c r="F4" i="313"/>
  <c r="F2" i="313"/>
  <c r="F4" i="274"/>
  <c r="F2" i="274"/>
  <c r="F3" i="313"/>
  <c r="F3" i="274"/>
  <c r="F4" i="294"/>
  <c r="F3" i="294"/>
  <c r="F2" i="294"/>
  <c r="F3" i="296"/>
  <c r="F2" i="295"/>
  <c r="F2" i="296"/>
  <c r="F4" i="295"/>
  <c r="F4" i="296"/>
  <c r="F3" i="295"/>
  <c r="P3" i="274"/>
  <c r="P3" i="313"/>
  <c r="P2" i="274"/>
  <c r="P2" i="313"/>
  <c r="P4" i="274"/>
  <c r="P4" i="313"/>
  <c r="P3" i="295"/>
  <c r="P2" i="294"/>
  <c r="P3" i="294"/>
  <c r="P2" i="295"/>
  <c r="P4" i="294"/>
  <c r="P4" i="296"/>
  <c r="P4" i="295"/>
  <c r="P3" i="296"/>
  <c r="P2" i="296"/>
  <c r="B4" i="273"/>
  <c r="B2" i="273"/>
  <c r="B3" i="312"/>
  <c r="B3" i="273"/>
  <c r="B4" i="312"/>
  <c r="B2" i="312"/>
  <c r="W4" i="313"/>
  <c r="W2" i="313"/>
  <c r="W4" i="274"/>
  <c r="W2" i="274"/>
  <c r="W3" i="274"/>
  <c r="W3" i="313"/>
  <c r="W3" i="294"/>
  <c r="W2" i="294"/>
  <c r="W2" i="296"/>
  <c r="W3" i="296"/>
  <c r="W4" i="296"/>
  <c r="W2" i="295"/>
  <c r="W4" i="295"/>
  <c r="W4" i="294"/>
  <c r="W3" i="295"/>
  <c r="P4" i="273"/>
  <c r="P2" i="273"/>
  <c r="P4" i="312"/>
  <c r="P2" i="312"/>
  <c r="P3" i="312"/>
  <c r="P3" i="273"/>
  <c r="S3" i="273"/>
  <c r="S4" i="273"/>
  <c r="S3" i="312"/>
  <c r="S2" i="273"/>
  <c r="S4" i="312"/>
  <c r="S2" i="312"/>
  <c r="D3" i="273"/>
  <c r="D3" i="312"/>
  <c r="D4" i="312"/>
  <c r="D2" i="312"/>
  <c r="D4" i="273"/>
  <c r="D2" i="273"/>
  <c r="E4" i="313"/>
  <c r="E2" i="313"/>
  <c r="E4" i="274"/>
  <c r="E2" i="274"/>
  <c r="E3" i="274"/>
  <c r="E3" i="313"/>
  <c r="E3" i="296"/>
  <c r="E4" i="296"/>
  <c r="E3" i="294"/>
  <c r="E3" i="295"/>
  <c r="E2" i="295"/>
  <c r="E4" i="295"/>
  <c r="E2" i="294"/>
  <c r="E4" i="294"/>
  <c r="E2" i="296"/>
  <c r="N4" i="312"/>
  <c r="N2" i="312"/>
  <c r="N4" i="273"/>
  <c r="N2" i="273"/>
  <c r="N3" i="312"/>
  <c r="N3" i="273"/>
  <c r="V3" i="312"/>
  <c r="V3" i="273"/>
  <c r="V4" i="312"/>
  <c r="V2" i="312"/>
  <c r="V4" i="273"/>
  <c r="V2" i="273"/>
  <c r="B4" i="313"/>
  <c r="B2" i="313"/>
  <c r="B4" i="274"/>
  <c r="B2" i="274"/>
  <c r="B3" i="313"/>
  <c r="B3" i="274"/>
  <c r="B3" i="294"/>
  <c r="B4" i="296"/>
  <c r="B2" i="296"/>
  <c r="B3" i="296"/>
  <c r="B3" i="295"/>
  <c r="B4" i="295"/>
  <c r="B2" i="295"/>
  <c r="B2" i="294"/>
  <c r="B4" i="294"/>
  <c r="X4" i="274"/>
  <c r="X2" i="274"/>
  <c r="X4" i="313"/>
  <c r="X2" i="313"/>
  <c r="X3" i="274"/>
  <c r="X3" i="313"/>
  <c r="X4" i="296"/>
  <c r="X4" i="294"/>
  <c r="X2" i="295"/>
  <c r="X2" i="294"/>
  <c r="X3" i="294"/>
  <c r="X3" i="295"/>
  <c r="X3" i="296"/>
  <c r="X4" i="295"/>
  <c r="X2" i="296"/>
  <c r="G4" i="313"/>
  <c r="G2" i="313"/>
  <c r="G4" i="274"/>
  <c r="G2" i="274"/>
  <c r="G3" i="274"/>
  <c r="G3" i="313"/>
  <c r="G3" i="294"/>
  <c r="G2" i="294"/>
  <c r="G2" i="296"/>
  <c r="G3" i="295"/>
  <c r="G3" i="296"/>
  <c r="G4" i="296"/>
  <c r="G4" i="295"/>
  <c r="G2" i="295"/>
  <c r="G4" i="294"/>
  <c r="O3" i="313"/>
  <c r="O3" i="274"/>
  <c r="O4" i="274"/>
  <c r="O2" i="274"/>
  <c r="O4" i="313"/>
  <c r="O2" i="313"/>
  <c r="O2" i="296"/>
  <c r="O2" i="294"/>
  <c r="O2" i="295"/>
  <c r="O4" i="296"/>
  <c r="O3" i="296"/>
  <c r="O4" i="295"/>
  <c r="O3" i="295"/>
  <c r="O4" i="294"/>
  <c r="O3" i="294"/>
  <c r="C4" i="273"/>
  <c r="C3" i="273"/>
  <c r="C2" i="273"/>
  <c r="C3" i="312"/>
  <c r="C4" i="312"/>
  <c r="C2" i="312"/>
  <c r="V4" i="313"/>
  <c r="V2" i="313"/>
  <c r="V4" i="274"/>
  <c r="V2" i="274"/>
  <c r="V3" i="313"/>
  <c r="V3" i="274"/>
  <c r="V4" i="295"/>
  <c r="V2" i="294"/>
  <c r="V2" i="295"/>
  <c r="V3" i="296"/>
  <c r="V4" i="296"/>
  <c r="V2" i="296"/>
  <c r="V3" i="294"/>
  <c r="V3" i="295"/>
  <c r="V4" i="294"/>
  <c r="I4" i="313"/>
  <c r="I2" i="313"/>
  <c r="I4" i="274"/>
  <c r="I2" i="274"/>
  <c r="I3" i="313"/>
  <c r="I3" i="274"/>
  <c r="I3" i="296"/>
  <c r="I2" i="294"/>
  <c r="I4" i="296"/>
  <c r="I4" i="294"/>
  <c r="I2" i="295"/>
  <c r="I4" i="295"/>
  <c r="I3" i="294"/>
  <c r="I3" i="295"/>
  <c r="I2" i="296"/>
  <c r="F3" i="312"/>
  <c r="F3" i="273"/>
  <c r="F4" i="312"/>
  <c r="F2" i="312"/>
  <c r="F4" i="273"/>
  <c r="F2" i="273"/>
  <c r="S2" i="274"/>
  <c r="S4" i="274"/>
  <c r="S4" i="313"/>
  <c r="S2" i="313"/>
  <c r="S3" i="274"/>
  <c r="S3" i="313"/>
  <c r="S4" i="295"/>
  <c r="S4" i="294"/>
  <c r="S2" i="294"/>
  <c r="S3" i="294"/>
  <c r="S3" i="296"/>
  <c r="S2" i="295"/>
  <c r="S4" i="296"/>
  <c r="S2" i="296"/>
  <c r="S3" i="295"/>
  <c r="L4" i="273"/>
  <c r="L2" i="273"/>
  <c r="L4" i="312"/>
  <c r="L2" i="312"/>
  <c r="L3" i="312"/>
  <c r="L3" i="273"/>
  <c r="Q4" i="312"/>
  <c r="Q2" i="312"/>
  <c r="Q4" i="273"/>
  <c r="Q2" i="273"/>
  <c r="Q3" i="273"/>
  <c r="Q3" i="312"/>
  <c r="L3" i="274"/>
  <c r="L3" i="313"/>
  <c r="L4" i="313"/>
  <c r="L2" i="313"/>
  <c r="L4" i="274"/>
  <c r="L2" i="274"/>
  <c r="L4" i="296"/>
  <c r="L4" i="295"/>
  <c r="L3" i="295"/>
  <c r="L2" i="296"/>
  <c r="L3" i="294"/>
  <c r="L4" i="294"/>
  <c r="L2" i="295"/>
  <c r="L2" i="294"/>
  <c r="L3" i="296"/>
  <c r="C3" i="274"/>
  <c r="C2" i="274"/>
  <c r="C4" i="274"/>
  <c r="C4" i="313"/>
  <c r="C2" i="313"/>
  <c r="C3" i="313"/>
  <c r="C4" i="294"/>
  <c r="C4" i="296"/>
  <c r="C4" i="295"/>
  <c r="C2" i="294"/>
  <c r="C2" i="295"/>
  <c r="C3" i="294"/>
  <c r="C3" i="295"/>
  <c r="C2" i="296"/>
  <c r="C3" i="296"/>
  <c r="H2" i="274"/>
  <c r="H4" i="313"/>
  <c r="H2" i="313"/>
  <c r="H4" i="274"/>
  <c r="H3" i="313"/>
  <c r="H3" i="274"/>
  <c r="H2" i="295"/>
  <c r="H3" i="296"/>
  <c r="H2" i="294"/>
  <c r="H2" i="296"/>
  <c r="H3" i="294"/>
  <c r="H4" i="294"/>
  <c r="H4" i="296"/>
  <c r="H3" i="295"/>
  <c r="H4" i="295"/>
  <c r="U3" i="274"/>
  <c r="U4" i="313"/>
  <c r="U2" i="313"/>
  <c r="U4" i="274"/>
  <c r="U2" i="274"/>
  <c r="U3" i="313"/>
  <c r="U4" i="296"/>
  <c r="U3" i="295"/>
  <c r="U4" i="295"/>
  <c r="U3" i="294"/>
  <c r="U2" i="295"/>
  <c r="U2" i="296"/>
  <c r="U4" i="294"/>
  <c r="U3" i="296"/>
  <c r="U2" i="294"/>
  <c r="N3" i="313"/>
  <c r="N3" i="274"/>
  <c r="N4" i="313"/>
  <c r="N2" i="313"/>
  <c r="N4" i="274"/>
  <c r="N2" i="274"/>
  <c r="N3" i="296"/>
  <c r="N3" i="294"/>
  <c r="N4" i="296"/>
  <c r="N2" i="295"/>
  <c r="N2" i="296"/>
  <c r="N4" i="294"/>
  <c r="N3" i="295"/>
  <c r="N4" i="295"/>
  <c r="N2" i="294"/>
  <c r="O4" i="312"/>
  <c r="O2" i="312"/>
  <c r="O4" i="273"/>
  <c r="O2" i="273"/>
  <c r="O3" i="273"/>
  <c r="O3" i="312"/>
  <c r="X3" i="273"/>
  <c r="X3" i="312"/>
  <c r="X4" i="273"/>
  <c r="X4" i="312"/>
  <c r="X2" i="312"/>
  <c r="X2" i="273"/>
  <c r="T4" i="274"/>
  <c r="T2" i="274"/>
  <c r="T4" i="313"/>
  <c r="T2" i="313"/>
  <c r="T3" i="313"/>
  <c r="T3" i="274"/>
  <c r="T3" i="295"/>
  <c r="T3" i="296"/>
  <c r="T2" i="295"/>
  <c r="T3" i="294"/>
  <c r="T4" i="295"/>
  <c r="T4" i="294"/>
  <c r="T2" i="294"/>
  <c r="T2" i="296"/>
  <c r="T4" i="296"/>
  <c r="Q3" i="313"/>
  <c r="Q3" i="274"/>
  <c r="Q4" i="313"/>
  <c r="Q2" i="313"/>
  <c r="Q4" i="274"/>
  <c r="Q2" i="274"/>
  <c r="Q4" i="294"/>
  <c r="Q2" i="296"/>
  <c r="Q3" i="294"/>
  <c r="Q3" i="296"/>
  <c r="Q3" i="295"/>
  <c r="Q4" i="295"/>
  <c r="Q2" i="294"/>
  <c r="Q4" i="296"/>
  <c r="Q2" i="295"/>
  <c r="D4" i="274"/>
  <c r="D2" i="274"/>
  <c r="D4" i="313"/>
  <c r="D2" i="313"/>
  <c r="D3" i="313"/>
  <c r="D3" i="274"/>
  <c r="D2" i="296"/>
  <c r="D3" i="296"/>
  <c r="D3" i="295"/>
  <c r="D4" i="295"/>
  <c r="D2" i="295"/>
  <c r="D4" i="294"/>
  <c r="D4" i="296"/>
  <c r="D2" i="294"/>
  <c r="D3" i="294"/>
  <c r="H4" i="217"/>
  <c r="M2" i="29"/>
  <c r="P4" i="192"/>
  <c r="K2" i="218"/>
  <c r="V3" i="192"/>
  <c r="I3" i="218"/>
  <c r="B2" i="192"/>
  <c r="Y3" i="218"/>
  <c r="W3" i="217"/>
  <c r="S2" i="192"/>
  <c r="O2" i="192"/>
  <c r="R3" i="216"/>
  <c r="U3" i="218"/>
  <c r="C4" i="29"/>
  <c r="G4" i="217"/>
  <c r="E2" i="29"/>
  <c r="N2" i="216"/>
  <c r="T2" i="193"/>
  <c r="Q3" i="193"/>
  <c r="D4" i="193"/>
  <c r="T4" i="69"/>
  <c r="D2" i="29"/>
  <c r="B2" i="68"/>
  <c r="N4" i="68"/>
  <c r="S3" i="68"/>
  <c r="Q2" i="218"/>
  <c r="X4" i="69"/>
  <c r="D4" i="68"/>
  <c r="O2" i="68"/>
  <c r="Y2" i="217"/>
  <c r="S3" i="192"/>
  <c r="T4" i="216"/>
  <c r="D2" i="216"/>
  <c r="D2" i="68"/>
  <c r="S2" i="216"/>
  <c r="D3" i="68"/>
  <c r="K2" i="68"/>
  <c r="T4" i="68"/>
  <c r="W4" i="68"/>
  <c r="Q3" i="217"/>
  <c r="R2" i="68"/>
  <c r="E2" i="68"/>
  <c r="W2" i="69"/>
  <c r="R2" i="216"/>
  <c r="N2" i="193"/>
  <c r="N3" i="193"/>
  <c r="N4" i="193"/>
  <c r="N2" i="217"/>
  <c r="Y3" i="216"/>
  <c r="W2" i="68"/>
  <c r="W2" i="29"/>
  <c r="N3" i="217"/>
  <c r="S3" i="29"/>
  <c r="T3" i="218"/>
  <c r="Q2" i="68"/>
  <c r="I4" i="193"/>
  <c r="E3" i="69"/>
  <c r="Y3" i="69"/>
  <c r="Y2" i="193"/>
  <c r="Y4" i="69"/>
  <c r="N3" i="68"/>
  <c r="Q2" i="69"/>
  <c r="Q4" i="217"/>
  <c r="I2" i="69"/>
  <c r="T2" i="69"/>
  <c r="T2" i="68"/>
  <c r="L2" i="69"/>
  <c r="E2" i="69"/>
  <c r="M3" i="68"/>
  <c r="S4" i="192"/>
  <c r="R3" i="29"/>
  <c r="W3" i="29"/>
  <c r="U2" i="29"/>
  <c r="S2" i="218"/>
  <c r="I4" i="216"/>
  <c r="K3" i="68"/>
  <c r="M2" i="69"/>
  <c r="Q4" i="29"/>
  <c r="D4" i="216"/>
  <c r="Q4" i="192"/>
  <c r="L4" i="68"/>
  <c r="E2" i="216"/>
  <c r="O3" i="68"/>
  <c r="T2" i="29"/>
  <c r="O4" i="68"/>
  <c r="I2" i="193"/>
  <c r="P3" i="218"/>
  <c r="V2" i="218"/>
  <c r="E2" i="217"/>
  <c r="T4" i="192"/>
  <c r="I2" i="218"/>
  <c r="W3" i="68"/>
  <c r="M3" i="69"/>
  <c r="E4" i="192"/>
  <c r="E3" i="29"/>
  <c r="N4" i="29"/>
  <c r="D3" i="217"/>
  <c r="T3" i="193"/>
  <c r="E4" i="69"/>
  <c r="N2" i="68"/>
  <c r="P2" i="68"/>
  <c r="V3" i="29"/>
  <c r="T2" i="216"/>
  <c r="U4" i="216"/>
  <c r="Q4" i="216"/>
  <c r="N2" i="29"/>
  <c r="E3" i="216"/>
  <c r="R4" i="192"/>
  <c r="P2" i="193"/>
  <c r="H3" i="217"/>
  <c r="T3" i="216"/>
  <c r="S4" i="69"/>
  <c r="I3" i="69"/>
  <c r="R3" i="69"/>
  <c r="N4" i="217"/>
  <c r="S4" i="216"/>
  <c r="V4" i="29"/>
  <c r="U2" i="192"/>
  <c r="M4" i="193"/>
  <c r="I4" i="217"/>
  <c r="D4" i="217"/>
  <c r="S2" i="69"/>
  <c r="R4" i="69"/>
  <c r="U3" i="216"/>
  <c r="B3" i="29"/>
  <c r="B2" i="216"/>
  <c r="Q3" i="192"/>
  <c r="E4" i="218"/>
  <c r="I2" i="216"/>
  <c r="E2" i="192"/>
  <c r="D3" i="218"/>
  <c r="T4" i="29"/>
  <c r="R2" i="69"/>
  <c r="O4" i="29"/>
  <c r="S3" i="193"/>
  <c r="U2" i="216"/>
  <c r="Y4" i="193"/>
  <c r="V2" i="217"/>
  <c r="V3" i="217"/>
  <c r="T2" i="192"/>
  <c r="B4" i="216"/>
  <c r="I2" i="217"/>
  <c r="D3" i="192"/>
  <c r="V3" i="193"/>
  <c r="D2" i="69"/>
  <c r="Y2" i="69"/>
  <c r="P4" i="69"/>
  <c r="E4" i="68"/>
  <c r="U2" i="217"/>
  <c r="S3" i="217"/>
  <c r="V4" i="193"/>
  <c r="D3" i="29"/>
  <c r="Q2" i="217"/>
  <c r="T2" i="218"/>
  <c r="U2" i="218"/>
  <c r="N4" i="192"/>
  <c r="V4" i="217"/>
  <c r="E3" i="218"/>
  <c r="D2" i="193"/>
  <c r="O2" i="193"/>
  <c r="B4" i="68"/>
  <c r="E2" i="193"/>
  <c r="S4" i="193"/>
  <c r="T3" i="69"/>
  <c r="B3" i="69"/>
  <c r="Q3" i="218"/>
  <c r="Q2" i="216"/>
  <c r="R4" i="68"/>
  <c r="R4" i="216"/>
  <c r="T3" i="29"/>
  <c r="D2" i="218"/>
  <c r="B2" i="29"/>
  <c r="N3" i="216"/>
  <c r="V4" i="216"/>
  <c r="B3" i="68"/>
  <c r="V4" i="69"/>
  <c r="R3" i="217"/>
  <c r="I3" i="192"/>
  <c r="N3" i="218"/>
  <c r="S3" i="218"/>
  <c r="T4" i="218"/>
  <c r="V3" i="69"/>
  <c r="N2" i="69"/>
  <c r="V2" i="69"/>
  <c r="Q3" i="69"/>
  <c r="R3" i="68"/>
  <c r="N4" i="69"/>
  <c r="D3" i="69"/>
  <c r="E4" i="29"/>
  <c r="T3" i="217"/>
  <c r="V3" i="216"/>
  <c r="N2" i="218"/>
  <c r="D4" i="192"/>
  <c r="Q2" i="192"/>
  <c r="Y4" i="216"/>
  <c r="Y4" i="218"/>
  <c r="N4" i="216"/>
  <c r="B3" i="218"/>
  <c r="R2" i="192"/>
  <c r="S2" i="29"/>
  <c r="E3" i="193"/>
  <c r="T3" i="68"/>
  <c r="V2" i="68"/>
  <c r="R4" i="218"/>
  <c r="Q4" i="69"/>
  <c r="N3" i="69"/>
  <c r="Q4" i="68"/>
  <c r="X4" i="68"/>
  <c r="I2" i="192"/>
  <c r="S4" i="217"/>
  <c r="B4" i="29"/>
  <c r="Q4" i="218"/>
  <c r="S2" i="217"/>
  <c r="I4" i="192"/>
  <c r="B3" i="217"/>
  <c r="E4" i="216"/>
  <c r="D2" i="192"/>
  <c r="I3" i="217"/>
  <c r="Q3" i="29"/>
  <c r="M3" i="218"/>
  <c r="E4" i="217"/>
  <c r="C2" i="192"/>
  <c r="G2" i="29"/>
  <c r="K4" i="217"/>
  <c r="O3" i="218"/>
  <c r="R2" i="29"/>
  <c r="B4" i="193"/>
  <c r="R2" i="217"/>
  <c r="G4" i="29"/>
  <c r="O4" i="192"/>
  <c r="G3" i="216"/>
  <c r="X3" i="218"/>
  <c r="F2" i="235"/>
  <c r="F3" i="235"/>
  <c r="F4" i="235"/>
  <c r="J3" i="235"/>
  <c r="J2" i="235"/>
  <c r="J4" i="235"/>
  <c r="F3" i="29"/>
  <c r="L4" i="69"/>
  <c r="U4" i="234"/>
  <c r="U3" i="234"/>
  <c r="U2" i="234"/>
  <c r="L3" i="192"/>
  <c r="C3" i="216"/>
  <c r="F2" i="216"/>
  <c r="K2" i="216"/>
  <c r="J4" i="29"/>
  <c r="G4" i="218"/>
  <c r="Y4" i="29"/>
  <c r="R4" i="193"/>
  <c r="J3" i="217"/>
  <c r="O3" i="29"/>
  <c r="T4" i="217"/>
  <c r="G2" i="193"/>
  <c r="W3" i="216"/>
  <c r="P4" i="218"/>
  <c r="X4" i="235"/>
  <c r="X2" i="235"/>
  <c r="X3" i="235"/>
  <c r="L3" i="69"/>
  <c r="Q3" i="68"/>
  <c r="X3" i="68"/>
  <c r="Y2" i="234"/>
  <c r="Y4" i="234"/>
  <c r="Y3" i="234"/>
  <c r="H3" i="234"/>
  <c r="H2" i="234"/>
  <c r="H4" i="234"/>
  <c r="J4" i="234"/>
  <c r="J2" i="234"/>
  <c r="J3" i="234"/>
  <c r="C3" i="193"/>
  <c r="X4" i="29"/>
  <c r="C4" i="216"/>
  <c r="F3" i="216"/>
  <c r="C3" i="218"/>
  <c r="J3" i="29"/>
  <c r="J3" i="218"/>
  <c r="W2" i="192"/>
  <c r="Y2" i="29"/>
  <c r="W4" i="218"/>
  <c r="I4" i="29"/>
  <c r="B4" i="217"/>
  <c r="L2" i="218"/>
  <c r="W2" i="193"/>
  <c r="O4" i="216"/>
  <c r="I2" i="234"/>
  <c r="I4" i="234"/>
  <c r="I3" i="234"/>
  <c r="X2" i="68"/>
  <c r="M4" i="69"/>
  <c r="X4" i="216"/>
  <c r="C4" i="218"/>
  <c r="J2" i="217"/>
  <c r="M2" i="216"/>
  <c r="H4" i="218"/>
  <c r="R4" i="217"/>
  <c r="O3" i="193"/>
  <c r="G2" i="217"/>
  <c r="P2" i="192"/>
  <c r="L3" i="235"/>
  <c r="L2" i="235"/>
  <c r="L4" i="235"/>
  <c r="L3" i="216"/>
  <c r="F4" i="29"/>
  <c r="J2" i="218"/>
  <c r="G4" i="193"/>
  <c r="W2" i="217"/>
  <c r="H3" i="192"/>
  <c r="K4" i="216"/>
  <c r="F2" i="29"/>
  <c r="H3" i="29"/>
  <c r="G2" i="216"/>
  <c r="L4" i="218"/>
  <c r="W4" i="193"/>
  <c r="O3" i="217"/>
  <c r="X3" i="192"/>
  <c r="P2" i="216"/>
  <c r="C4" i="217"/>
  <c r="K4" i="29"/>
  <c r="F2" i="218"/>
  <c r="K2" i="217"/>
  <c r="H4" i="29"/>
  <c r="W2" i="216"/>
  <c r="R3" i="218"/>
  <c r="D4" i="29"/>
  <c r="H3" i="216"/>
  <c r="P3" i="235"/>
  <c r="P2" i="235"/>
  <c r="P4" i="235"/>
  <c r="M2" i="235"/>
  <c r="M4" i="235"/>
  <c r="M3" i="235"/>
  <c r="G4" i="235"/>
  <c r="G2" i="235"/>
  <c r="G3" i="235"/>
  <c r="W3" i="234"/>
  <c r="W4" i="234"/>
  <c r="W2" i="234"/>
  <c r="K4" i="68"/>
  <c r="X2" i="29"/>
  <c r="P3" i="216"/>
  <c r="Y2" i="216"/>
  <c r="Y4" i="217"/>
  <c r="C2" i="218"/>
  <c r="F3" i="218"/>
  <c r="H2" i="29"/>
  <c r="Y2" i="192"/>
  <c r="I3" i="29"/>
  <c r="O3" i="216"/>
  <c r="J4" i="218"/>
  <c r="L2" i="192"/>
  <c r="L3" i="29"/>
  <c r="W4" i="217"/>
  <c r="H2" i="193"/>
  <c r="X3" i="216"/>
  <c r="J2" i="29"/>
  <c r="J4" i="217"/>
  <c r="O2" i="218"/>
  <c r="X2" i="193"/>
  <c r="P4" i="216"/>
  <c r="C2" i="216"/>
  <c r="M2" i="193"/>
  <c r="U3" i="235"/>
  <c r="U2" i="235"/>
  <c r="U4" i="235"/>
  <c r="J2" i="193"/>
  <c r="Y3" i="193"/>
  <c r="B3" i="193"/>
  <c r="M3" i="192"/>
  <c r="U3" i="217"/>
  <c r="V3" i="218"/>
  <c r="C2" i="217"/>
  <c r="O2" i="29"/>
  <c r="M3" i="193"/>
  <c r="B4" i="218"/>
  <c r="M4" i="29"/>
  <c r="J3" i="216"/>
  <c r="U4" i="192"/>
  <c r="H2" i="218"/>
  <c r="G2" i="192"/>
  <c r="M2" i="217"/>
  <c r="G3" i="193"/>
  <c r="W4" i="216"/>
  <c r="J2" i="192"/>
  <c r="T3" i="192"/>
  <c r="L2" i="216"/>
  <c r="G3" i="218"/>
  <c r="P3" i="193"/>
  <c r="H2" i="217"/>
  <c r="X4" i="192"/>
  <c r="X3" i="217"/>
  <c r="U4" i="68"/>
  <c r="G3" i="234"/>
  <c r="G4" i="234"/>
  <c r="G2" i="234"/>
  <c r="G4" i="216"/>
  <c r="W4" i="69"/>
  <c r="U2" i="68"/>
  <c r="I4" i="68"/>
  <c r="H4" i="69"/>
  <c r="D3" i="234"/>
  <c r="D4" i="234"/>
  <c r="D2" i="234"/>
  <c r="E3" i="235"/>
  <c r="E2" i="235"/>
  <c r="E4" i="235"/>
  <c r="E4" i="193"/>
  <c r="G4" i="192"/>
  <c r="C3" i="29"/>
  <c r="F4" i="192"/>
  <c r="U4" i="217"/>
  <c r="U4" i="218"/>
  <c r="C3" i="217"/>
  <c r="L4" i="193"/>
  <c r="X4" i="218"/>
  <c r="P3" i="29"/>
  <c r="X2" i="192"/>
  <c r="H4" i="216"/>
  <c r="S2" i="193"/>
  <c r="E3" i="192"/>
  <c r="M3" i="217"/>
  <c r="W3" i="193"/>
  <c r="O2" i="217"/>
  <c r="B3" i="192"/>
  <c r="L4" i="192"/>
  <c r="D3" i="216"/>
  <c r="W3" i="218"/>
  <c r="L2" i="29"/>
  <c r="H4" i="193"/>
  <c r="X2" i="217"/>
  <c r="F3" i="217"/>
  <c r="P4" i="193"/>
  <c r="F4" i="218"/>
  <c r="F2" i="192"/>
  <c r="C4" i="192"/>
  <c r="L4" i="217"/>
  <c r="O4" i="193"/>
  <c r="G3" i="217"/>
  <c r="R3" i="192"/>
  <c r="J2" i="216"/>
  <c r="O4" i="218"/>
  <c r="S4" i="29"/>
  <c r="X4" i="193"/>
  <c r="P3" i="217"/>
  <c r="L2" i="68"/>
  <c r="G2" i="68"/>
  <c r="P2" i="69"/>
  <c r="M4" i="68"/>
  <c r="E2" i="234"/>
  <c r="E4" i="234"/>
  <c r="E3" i="234"/>
  <c r="H3" i="193"/>
  <c r="G3" i="68"/>
  <c r="C4" i="69"/>
  <c r="C3" i="69"/>
  <c r="Y3" i="68"/>
  <c r="W3" i="69"/>
  <c r="P3" i="192"/>
  <c r="Y3" i="217"/>
  <c r="F2" i="69"/>
  <c r="Y2" i="68"/>
  <c r="C2" i="68"/>
  <c r="O4" i="69"/>
  <c r="K3" i="69"/>
  <c r="C3" i="234"/>
  <c r="C2" i="234"/>
  <c r="C4" i="234"/>
  <c r="V4" i="235"/>
  <c r="V3" i="235"/>
  <c r="V2" i="235"/>
  <c r="I3" i="235"/>
  <c r="I2" i="235"/>
  <c r="I4" i="235"/>
  <c r="F2" i="234"/>
  <c r="F4" i="234"/>
  <c r="F3" i="234"/>
  <c r="M4" i="218"/>
  <c r="U3" i="29"/>
  <c r="G3" i="29"/>
  <c r="B2" i="218"/>
  <c r="I3" i="216"/>
  <c r="Q2" i="193"/>
  <c r="F4" i="217"/>
  <c r="Q4" i="193"/>
  <c r="M3" i="216"/>
  <c r="C3" i="192"/>
  <c r="W4" i="192"/>
  <c r="J4" i="192"/>
  <c r="B3" i="216"/>
  <c r="L4" i="216"/>
  <c r="C4" i="235"/>
  <c r="C2" i="235"/>
  <c r="C3" i="235"/>
  <c r="X3" i="69"/>
  <c r="H4" i="235"/>
  <c r="H2" i="235"/>
  <c r="H3" i="235"/>
  <c r="X2" i="216"/>
  <c r="X2" i="69"/>
  <c r="K4" i="234"/>
  <c r="K2" i="234"/>
  <c r="K3" i="234"/>
  <c r="K3" i="235"/>
  <c r="K2" i="235"/>
  <c r="K4" i="235"/>
  <c r="T3" i="234"/>
  <c r="T2" i="234"/>
  <c r="T4" i="234"/>
  <c r="H4" i="192"/>
  <c r="R3" i="234"/>
  <c r="R4" i="234"/>
  <c r="R2" i="234"/>
  <c r="G4" i="69"/>
  <c r="U3" i="68"/>
  <c r="M3" i="234"/>
  <c r="M2" i="234"/>
  <c r="M4" i="234"/>
  <c r="P4" i="234"/>
  <c r="P2" i="234"/>
  <c r="P3" i="234"/>
  <c r="F3" i="193"/>
  <c r="J4" i="69"/>
  <c r="F2" i="68"/>
  <c r="L3" i="218"/>
  <c r="F4" i="193"/>
  <c r="S4" i="218"/>
  <c r="K2" i="193"/>
  <c r="P4" i="29"/>
  <c r="L2" i="193"/>
  <c r="X2" i="218"/>
  <c r="F4" i="216"/>
  <c r="U3" i="192"/>
  <c r="R3" i="193"/>
  <c r="E2" i="218"/>
  <c r="M4" i="216"/>
  <c r="I2" i="29"/>
  <c r="B4" i="192"/>
  <c r="V2" i="193"/>
  <c r="K3" i="218"/>
  <c r="O4" i="217"/>
  <c r="B2" i="193"/>
  <c r="L3" i="193"/>
  <c r="D2" i="217"/>
  <c r="K3" i="29"/>
  <c r="X4" i="217"/>
  <c r="L3" i="68"/>
  <c r="P3" i="69"/>
  <c r="Y3" i="29"/>
  <c r="Y2" i="218"/>
  <c r="M3" i="29"/>
  <c r="M2" i="68"/>
  <c r="O3" i="235"/>
  <c r="O4" i="235"/>
  <c r="O2" i="235"/>
  <c r="R4" i="235"/>
  <c r="R2" i="235"/>
  <c r="R3" i="235"/>
  <c r="S3" i="234"/>
  <c r="S4" i="234"/>
  <c r="S2" i="234"/>
  <c r="C4" i="68"/>
  <c r="C2" i="69"/>
  <c r="H2" i="68"/>
  <c r="C3" i="68"/>
  <c r="I3" i="68"/>
  <c r="V4" i="234"/>
  <c r="V3" i="234"/>
  <c r="V2" i="234"/>
  <c r="H2" i="192"/>
  <c r="L4" i="234"/>
  <c r="L2" i="234"/>
  <c r="L3" i="234"/>
  <c r="K2" i="192"/>
  <c r="F3" i="192"/>
  <c r="D4" i="69"/>
  <c r="J3" i="68"/>
  <c r="J3" i="69"/>
  <c r="B2" i="69"/>
  <c r="U3" i="69"/>
  <c r="O2" i="69"/>
  <c r="V4" i="68"/>
  <c r="F3" i="68"/>
  <c r="S2" i="68"/>
  <c r="N2" i="235"/>
  <c r="N4" i="235"/>
  <c r="N3" i="235"/>
  <c r="O4" i="234"/>
  <c r="O2" i="234"/>
  <c r="O3" i="234"/>
  <c r="X3" i="234"/>
  <c r="X2" i="234"/>
  <c r="X4" i="234"/>
  <c r="T4" i="235"/>
  <c r="T2" i="235"/>
  <c r="T3" i="235"/>
  <c r="M2" i="192"/>
  <c r="N2" i="192"/>
  <c r="S3" i="216"/>
  <c r="F2" i="193"/>
  <c r="R2" i="218"/>
  <c r="U4" i="29"/>
  <c r="V2" i="216"/>
  <c r="N3" i="192"/>
  <c r="K4" i="218"/>
  <c r="N4" i="218"/>
  <c r="I3" i="193"/>
  <c r="K3" i="193"/>
  <c r="O3" i="192"/>
  <c r="F2" i="217"/>
  <c r="D4" i="218"/>
  <c r="L2" i="217"/>
  <c r="L4" i="29"/>
  <c r="V4" i="192"/>
  <c r="U3" i="193"/>
  <c r="I4" i="218"/>
  <c r="G2" i="218"/>
  <c r="R2" i="193"/>
  <c r="J4" i="216"/>
  <c r="P2" i="29"/>
  <c r="T2" i="217"/>
  <c r="G3" i="192"/>
  <c r="P2" i="218"/>
  <c r="Q2" i="234"/>
  <c r="Q4" i="234"/>
  <c r="Q3" i="234"/>
  <c r="Y4" i="235"/>
  <c r="Y3" i="235"/>
  <c r="Y2" i="235"/>
  <c r="P4" i="217"/>
  <c r="Y3" i="192"/>
  <c r="G4" i="68"/>
  <c r="G2" i="69"/>
  <c r="H2" i="69"/>
  <c r="B3" i="234"/>
  <c r="B2" i="234"/>
  <c r="B4" i="234"/>
  <c r="G3" i="69"/>
  <c r="P4" i="68"/>
  <c r="F4" i="69"/>
  <c r="Y4" i="68"/>
  <c r="P3" i="68"/>
  <c r="K4" i="69"/>
  <c r="H3" i="69"/>
  <c r="N3" i="234"/>
  <c r="N2" i="234"/>
  <c r="N4" i="234"/>
  <c r="W4" i="235"/>
  <c r="W2" i="235"/>
  <c r="W3" i="235"/>
  <c r="K4" i="192"/>
  <c r="J3" i="192"/>
  <c r="C2" i="29"/>
  <c r="R4" i="29"/>
  <c r="M4" i="217"/>
  <c r="H2" i="216"/>
  <c r="J2" i="69"/>
  <c r="H4" i="68"/>
  <c r="I2" i="68"/>
  <c r="B4" i="235"/>
  <c r="B2" i="235"/>
  <c r="B3" i="235"/>
  <c r="X3" i="29"/>
  <c r="M2" i="218"/>
  <c r="M4" i="192"/>
  <c r="F3" i="69"/>
  <c r="J4" i="68"/>
  <c r="H3" i="68"/>
  <c r="U4" i="69"/>
  <c r="O3" i="69"/>
  <c r="K2" i="69"/>
  <c r="S4" i="68"/>
  <c r="S4" i="235"/>
  <c r="S2" i="235"/>
  <c r="S3" i="235"/>
  <c r="C4" i="193"/>
  <c r="K3" i="192"/>
  <c r="J2" i="68"/>
  <c r="S3" i="69"/>
  <c r="B4" i="69"/>
  <c r="U2" i="69"/>
  <c r="I4" i="69"/>
  <c r="V3" i="68"/>
  <c r="F4" i="68"/>
  <c r="E3" i="68"/>
  <c r="Q2" i="235"/>
  <c r="Q3" i="235"/>
  <c r="Q4" i="235"/>
  <c r="D4" i="235"/>
  <c r="D2" i="235"/>
  <c r="D3" i="235"/>
  <c r="X3" i="193"/>
  <c r="Y4" i="192"/>
  <c r="Q3" i="216"/>
  <c r="C2" i="193"/>
  <c r="Q2" i="29"/>
  <c r="P2" i="217"/>
  <c r="V2" i="29"/>
  <c r="D3" i="193"/>
  <c r="J4" i="193"/>
  <c r="K4" i="193"/>
  <c r="V4" i="218"/>
  <c r="K2" i="29"/>
  <c r="V2" i="192"/>
  <c r="E3" i="217"/>
  <c r="K3" i="216"/>
  <c r="K3" i="217"/>
  <c r="N3" i="29"/>
  <c r="U2" i="193"/>
  <c r="U4" i="193"/>
  <c r="W2" i="218"/>
  <c r="J3" i="193"/>
  <c r="B2" i="217"/>
  <c r="W4" i="29"/>
  <c r="T4" i="193"/>
  <c r="L3" i="217"/>
  <c r="W3" i="192"/>
  <c r="O2" i="216"/>
  <c r="H3" i="218"/>
  <c r="N3" i="266" l="1"/>
  <c r="N3" i="264"/>
  <c r="N3" i="265"/>
  <c r="O2" i="266"/>
  <c r="O2" i="264"/>
  <c r="O2" i="265"/>
  <c r="F4" i="264"/>
  <c r="F4" i="265"/>
  <c r="F4" i="266"/>
  <c r="U4" i="266"/>
  <c r="U4" i="264"/>
  <c r="U4" i="265"/>
  <c r="M3" i="266"/>
  <c r="M3" i="264"/>
  <c r="M3" i="265"/>
  <c r="O3" i="266"/>
  <c r="O3" i="264"/>
  <c r="O3" i="265"/>
  <c r="V4" i="266"/>
  <c r="V4" i="264"/>
  <c r="V4" i="265"/>
  <c r="N2" i="266"/>
  <c r="N2" i="264"/>
  <c r="N2" i="265"/>
  <c r="E4" i="266"/>
  <c r="E4" i="264"/>
  <c r="E4" i="265"/>
  <c r="M2" i="266"/>
  <c r="M2" i="265"/>
  <c r="M2" i="264"/>
  <c r="T4" i="266"/>
  <c r="T4" i="265"/>
  <c r="T4" i="264"/>
  <c r="D4" i="264"/>
  <c r="D4" i="266"/>
  <c r="D4" i="265"/>
  <c r="L3" i="264"/>
  <c r="L3" i="266"/>
  <c r="L3" i="265"/>
  <c r="W4" i="265"/>
  <c r="W4" i="264"/>
  <c r="W4" i="266"/>
  <c r="R4" i="266"/>
  <c r="R4" i="264"/>
  <c r="R4" i="265"/>
  <c r="B4" i="265"/>
  <c r="B4" i="266"/>
  <c r="B4" i="264"/>
  <c r="J3" i="266"/>
  <c r="J3" i="264"/>
  <c r="J3" i="265"/>
  <c r="C2" i="264"/>
  <c r="C2" i="265"/>
  <c r="C2" i="266"/>
  <c r="J2" i="265"/>
  <c r="J2" i="264"/>
  <c r="J2" i="266"/>
  <c r="T2" i="265"/>
  <c r="T2" i="266"/>
  <c r="T2" i="264"/>
  <c r="B2" i="257"/>
  <c r="B2" i="255"/>
  <c r="B2" i="256"/>
  <c r="K2" i="266"/>
  <c r="K2" i="265"/>
  <c r="K2" i="264"/>
  <c r="I2" i="266"/>
  <c r="I2" i="265"/>
  <c r="I2" i="264"/>
  <c r="P4" i="266"/>
  <c r="P4" i="264"/>
  <c r="P4" i="265"/>
  <c r="X3" i="266"/>
  <c r="X3" i="265"/>
  <c r="X3" i="264"/>
  <c r="H3" i="266"/>
  <c r="H3" i="264"/>
  <c r="H3" i="265"/>
  <c r="D2" i="266"/>
  <c r="D2" i="264"/>
  <c r="D2" i="265"/>
  <c r="S3" i="264"/>
  <c r="S3" i="266"/>
  <c r="S3" i="265"/>
  <c r="J4" i="266"/>
  <c r="J4" i="264"/>
  <c r="J4" i="265"/>
  <c r="K3" i="266"/>
  <c r="K3" i="264"/>
  <c r="K3" i="265"/>
  <c r="I3" i="266"/>
  <c r="I3" i="264"/>
  <c r="I3" i="265"/>
  <c r="L2" i="266"/>
  <c r="L2" i="264"/>
  <c r="L2" i="265"/>
  <c r="C4" i="264"/>
  <c r="C4" i="266"/>
  <c r="C4" i="265"/>
  <c r="Q4" i="265"/>
  <c r="Q4" i="266"/>
  <c r="Q4" i="264"/>
  <c r="K4" i="266"/>
  <c r="K4" i="264"/>
  <c r="K4" i="265"/>
  <c r="P2" i="266"/>
  <c r="P2" i="265"/>
  <c r="P2" i="264"/>
  <c r="G4" i="266"/>
  <c r="G4" i="264"/>
  <c r="G4" i="265"/>
  <c r="B2" i="264"/>
  <c r="B2" i="266"/>
  <c r="B2" i="265"/>
  <c r="Y3" i="266"/>
  <c r="Y3" i="264"/>
  <c r="Y3" i="265"/>
  <c r="Y2" i="265"/>
  <c r="Y2" i="264"/>
  <c r="Y2" i="266"/>
  <c r="W2" i="264"/>
  <c r="W2" i="265"/>
  <c r="W2" i="266"/>
  <c r="G2" i="266"/>
  <c r="G2" i="265"/>
  <c r="G2" i="264"/>
  <c r="N4" i="264"/>
  <c r="N4" i="265"/>
  <c r="N4" i="266"/>
  <c r="V3" i="264"/>
  <c r="V3" i="265"/>
  <c r="V3" i="266"/>
  <c r="F3" i="266"/>
  <c r="F3" i="264"/>
  <c r="F3" i="265"/>
  <c r="V2" i="266"/>
  <c r="V2" i="264"/>
  <c r="V2" i="265"/>
  <c r="F2" i="266"/>
  <c r="F2" i="264"/>
  <c r="F2" i="265"/>
  <c r="M4" i="265"/>
  <c r="M4" i="264"/>
  <c r="M4" i="266"/>
  <c r="U3" i="266"/>
  <c r="U3" i="265"/>
  <c r="U3" i="264"/>
  <c r="E3" i="265"/>
  <c r="E3" i="266"/>
  <c r="E3" i="264"/>
  <c r="S4" i="265"/>
  <c r="S4" i="266"/>
  <c r="S4" i="264"/>
  <c r="U2" i="265"/>
  <c r="U2" i="266"/>
  <c r="U2" i="264"/>
  <c r="E2" i="266"/>
  <c r="E2" i="264"/>
  <c r="E2" i="265"/>
  <c r="L4" i="264"/>
  <c r="L4" i="265"/>
  <c r="L4" i="266"/>
  <c r="T3" i="266"/>
  <c r="T3" i="264"/>
  <c r="T3" i="265"/>
  <c r="D3" i="265"/>
  <c r="D3" i="266"/>
  <c r="D3" i="264"/>
  <c r="C3" i="266"/>
  <c r="C3" i="264"/>
  <c r="C3" i="265"/>
  <c r="R3" i="265"/>
  <c r="R3" i="266"/>
  <c r="R3" i="264"/>
  <c r="B3" i="265"/>
  <c r="B3" i="266"/>
  <c r="B3" i="264"/>
  <c r="R2" i="266"/>
  <c r="R2" i="264"/>
  <c r="R2" i="265"/>
  <c r="Y4" i="266"/>
  <c r="Y4" i="264"/>
  <c r="Y4" i="265"/>
  <c r="Q3" i="266"/>
  <c r="Q3" i="265"/>
  <c r="Q3" i="264"/>
  <c r="I4" i="266"/>
  <c r="I4" i="264"/>
  <c r="I4" i="265"/>
  <c r="Q2" i="266"/>
  <c r="Q2" i="264"/>
  <c r="Q2" i="265"/>
  <c r="X4" i="266"/>
  <c r="X4" i="264"/>
  <c r="X4" i="265"/>
  <c r="H4" i="264"/>
  <c r="H4" i="266"/>
  <c r="H4" i="265"/>
  <c r="P3" i="266"/>
  <c r="P3" i="264"/>
  <c r="P3" i="265"/>
  <c r="S2" i="264"/>
  <c r="S2" i="266"/>
  <c r="S2" i="265"/>
  <c r="X2" i="266"/>
  <c r="X2" i="264"/>
  <c r="X2" i="265"/>
  <c r="H2" i="266"/>
  <c r="H2" i="264"/>
  <c r="H2" i="265"/>
  <c r="O4" i="264"/>
  <c r="O4" i="265"/>
  <c r="O4" i="266"/>
  <c r="W3" i="264"/>
  <c r="W3" i="265"/>
  <c r="W3" i="266"/>
  <c r="G3" i="265"/>
  <c r="G3" i="266"/>
  <c r="G3" i="264"/>
  <c r="I2" i="255" l="1"/>
  <c r="I2" i="257"/>
  <c r="I2" i="256"/>
  <c r="P4" i="257"/>
  <c r="P4" i="255"/>
  <c r="P4" i="256"/>
  <c r="H3" i="257"/>
  <c r="H3" i="255"/>
  <c r="H3" i="256"/>
  <c r="W2" i="257"/>
  <c r="W2" i="256"/>
  <c r="W2" i="255"/>
  <c r="G2" i="255"/>
  <c r="G2" i="256"/>
  <c r="G2" i="257"/>
  <c r="N4" i="257"/>
  <c r="N4" i="256"/>
  <c r="N4" i="255"/>
  <c r="V3" i="257"/>
  <c r="V3" i="255"/>
  <c r="V3" i="256"/>
  <c r="F3" i="257"/>
  <c r="F3" i="255"/>
  <c r="F3" i="256"/>
  <c r="V2" i="255"/>
  <c r="V2" i="256"/>
  <c r="V2" i="257"/>
  <c r="F2" i="256"/>
  <c r="F2" i="257"/>
  <c r="F2" i="255"/>
  <c r="M4" i="255"/>
  <c r="M4" i="256"/>
  <c r="M4" i="257"/>
  <c r="U3" i="256"/>
  <c r="U3" i="257"/>
  <c r="U3" i="255"/>
  <c r="E3" i="256"/>
  <c r="E3" i="257"/>
  <c r="E3" i="255"/>
  <c r="L4" i="257"/>
  <c r="L4" i="255"/>
  <c r="L4" i="256"/>
  <c r="S3" i="255"/>
  <c r="S3" i="257"/>
  <c r="S3" i="256"/>
  <c r="S2" i="256"/>
  <c r="S2" i="255"/>
  <c r="S2" i="257"/>
  <c r="B3" i="257"/>
  <c r="B3" i="255"/>
  <c r="B3" i="256"/>
  <c r="D3" i="256"/>
  <c r="D3" i="257"/>
  <c r="D3" i="255"/>
  <c r="C2" i="255"/>
  <c r="C2" i="256"/>
  <c r="C2" i="257"/>
  <c r="I4" i="257"/>
  <c r="I4" i="255"/>
  <c r="I4" i="256"/>
  <c r="Q3" i="255"/>
  <c r="Q3" i="257"/>
  <c r="Q3" i="256"/>
  <c r="R3" i="255"/>
  <c r="R3" i="256"/>
  <c r="R3" i="257"/>
  <c r="Y4" i="255"/>
  <c r="Y4" i="257"/>
  <c r="Y4" i="256"/>
  <c r="P3" i="257"/>
  <c r="P3" i="256"/>
  <c r="P3" i="255"/>
  <c r="E2" i="257"/>
  <c r="E2" i="256"/>
  <c r="E2" i="255"/>
  <c r="O3" i="257"/>
  <c r="O3" i="256"/>
  <c r="O3" i="255"/>
  <c r="U2" i="255"/>
  <c r="U2" i="257"/>
  <c r="U2" i="256"/>
  <c r="T2" i="255"/>
  <c r="T2" i="256"/>
  <c r="T2" i="257"/>
  <c r="D2" i="255"/>
  <c r="D2" i="256"/>
  <c r="D2" i="257"/>
  <c r="J4" i="256"/>
  <c r="J4" i="257"/>
  <c r="J4" i="255"/>
  <c r="R2" i="256"/>
  <c r="R2" i="257"/>
  <c r="R2" i="255"/>
  <c r="P2" i="257"/>
  <c r="P2" i="256"/>
  <c r="P2" i="255"/>
  <c r="G4" i="257"/>
  <c r="G4" i="255"/>
  <c r="G4" i="256"/>
  <c r="O2" i="255"/>
  <c r="O2" i="257"/>
  <c r="O2" i="256"/>
  <c r="V4" i="256"/>
  <c r="V4" i="255"/>
  <c r="V4" i="257"/>
  <c r="F4" i="257"/>
  <c r="F4" i="255"/>
  <c r="F4" i="256"/>
  <c r="N3" i="256"/>
  <c r="N3" i="257"/>
  <c r="N3" i="255"/>
  <c r="H4" i="255"/>
  <c r="H4" i="257"/>
  <c r="H4" i="256"/>
  <c r="J2" i="256"/>
  <c r="J2" i="257"/>
  <c r="J2" i="255"/>
  <c r="C3" i="256"/>
  <c r="C3" i="257"/>
  <c r="C3" i="255"/>
  <c r="E4" i="257"/>
  <c r="E4" i="256"/>
  <c r="E4" i="255"/>
  <c r="M3" i="256"/>
  <c r="M3" i="255"/>
  <c r="M3" i="257"/>
  <c r="M2" i="257"/>
  <c r="M2" i="255"/>
  <c r="M2" i="256"/>
  <c r="T3" i="256"/>
  <c r="T3" i="257"/>
  <c r="T3" i="255"/>
  <c r="X4" i="257"/>
  <c r="X4" i="255"/>
  <c r="X4" i="256"/>
  <c r="T4" i="256"/>
  <c r="T4" i="257"/>
  <c r="T4" i="255"/>
  <c r="K3" i="257"/>
  <c r="K3" i="255"/>
  <c r="K3" i="256"/>
  <c r="K4" i="257"/>
  <c r="K4" i="256"/>
  <c r="K4" i="255"/>
  <c r="Q2" i="257"/>
  <c r="Q2" i="255"/>
  <c r="Q2" i="256"/>
  <c r="W4" i="256"/>
  <c r="W4" i="257"/>
  <c r="W4" i="255"/>
  <c r="N2" i="256"/>
  <c r="N2" i="257"/>
  <c r="N2" i="255"/>
  <c r="U4" i="257"/>
  <c r="U4" i="256"/>
  <c r="U4" i="255"/>
  <c r="D4" i="255"/>
  <c r="D4" i="256"/>
  <c r="D4" i="257"/>
  <c r="L3" i="256"/>
  <c r="L3" i="257"/>
  <c r="L3" i="255"/>
  <c r="L2" i="255"/>
  <c r="L2" i="256"/>
  <c r="L2" i="257"/>
  <c r="S4" i="256"/>
  <c r="S4" i="257"/>
  <c r="S4" i="255"/>
  <c r="C4" i="257"/>
  <c r="C4" i="255"/>
  <c r="C4" i="256"/>
  <c r="K2" i="257"/>
  <c r="K2" i="256"/>
  <c r="K2" i="255"/>
  <c r="R4" i="257"/>
  <c r="R4" i="255"/>
  <c r="R4" i="256"/>
  <c r="B4" i="257"/>
  <c r="B4" i="255"/>
  <c r="B4" i="256"/>
  <c r="J3" i="257"/>
  <c r="J3" i="255"/>
  <c r="J3" i="256"/>
  <c r="I3" i="257"/>
  <c r="I3" i="255"/>
  <c r="I3" i="256"/>
  <c r="Q4" i="256"/>
  <c r="Q4" i="257"/>
  <c r="Q4" i="255"/>
  <c r="Y3" i="256"/>
  <c r="Y3" i="255"/>
  <c r="Y3" i="257"/>
  <c r="Y2" i="257"/>
  <c r="Y2" i="255"/>
  <c r="Y2" i="256"/>
  <c r="X3" i="256"/>
  <c r="X3" i="257"/>
  <c r="X3" i="255"/>
  <c r="X2" i="255"/>
  <c r="X2" i="256"/>
  <c r="X2" i="257"/>
  <c r="H2" i="257"/>
  <c r="H2" i="256"/>
  <c r="H2" i="255"/>
  <c r="O4" i="256"/>
  <c r="O4" i="257"/>
  <c r="O4" i="255"/>
  <c r="W3" i="255"/>
  <c r="W3" i="256"/>
  <c r="W3" i="257"/>
  <c r="G3" i="255"/>
  <c r="G3" i="257"/>
  <c r="G3" i="256"/>
  <c r="E2" i="260" l="1"/>
  <c r="E2" i="258"/>
  <c r="E2" i="259"/>
  <c r="J3" i="263"/>
  <c r="J3" i="261"/>
  <c r="J3" i="262"/>
  <c r="G2" i="260"/>
  <c r="G2" i="258"/>
  <c r="G2" i="259"/>
  <c r="B3" i="260"/>
  <c r="B3" i="258"/>
  <c r="B3" i="259"/>
  <c r="F3" i="260"/>
  <c r="F3" i="259"/>
  <c r="F3" i="258"/>
  <c r="J2" i="271"/>
  <c r="J2" i="272"/>
  <c r="J2" i="270"/>
  <c r="N2" i="272"/>
  <c r="N2" i="270"/>
  <c r="N2" i="271"/>
  <c r="B2" i="272"/>
  <c r="B2" i="271"/>
  <c r="B2" i="270"/>
  <c r="U2" i="272"/>
  <c r="U2" i="271"/>
  <c r="U2" i="270"/>
  <c r="P3" i="272"/>
  <c r="P3" i="270"/>
  <c r="P3" i="271"/>
  <c r="C4" i="269"/>
  <c r="C4" i="267"/>
  <c r="C4" i="268"/>
  <c r="V4" i="269"/>
  <c r="V4" i="267"/>
  <c r="V4" i="268"/>
  <c r="J2" i="269"/>
  <c r="J2" i="267"/>
  <c r="J2" i="268"/>
  <c r="N2" i="269"/>
  <c r="N2" i="268"/>
  <c r="N2" i="267"/>
  <c r="E4" i="263"/>
  <c r="E4" i="262"/>
  <c r="E4" i="261"/>
  <c r="I2" i="263"/>
  <c r="I2" i="261"/>
  <c r="I2" i="262"/>
  <c r="D2" i="260"/>
  <c r="D2" i="258"/>
  <c r="D2" i="259"/>
  <c r="W2" i="260"/>
  <c r="W2" i="258"/>
  <c r="W2" i="259"/>
  <c r="R3" i="259"/>
  <c r="R3" i="260"/>
  <c r="R3" i="258"/>
  <c r="V3" i="260"/>
  <c r="V3" i="259"/>
  <c r="V3" i="258"/>
  <c r="B3" i="272"/>
  <c r="B3" i="270"/>
  <c r="B3" i="271"/>
  <c r="F3" i="272"/>
  <c r="F3" i="270"/>
  <c r="F3" i="271"/>
  <c r="R2" i="272"/>
  <c r="R2" i="270"/>
  <c r="R2" i="271"/>
  <c r="M3" i="272"/>
  <c r="M3" i="270"/>
  <c r="M3" i="271"/>
  <c r="H4" i="272"/>
  <c r="H4" i="270"/>
  <c r="H4" i="271"/>
  <c r="S4" i="269"/>
  <c r="S4" i="267"/>
  <c r="S4" i="268"/>
  <c r="G2" i="269"/>
  <c r="G2" i="267"/>
  <c r="G2" i="268"/>
  <c r="B3" i="269"/>
  <c r="B3" i="267"/>
  <c r="B3" i="268"/>
  <c r="F3" i="269"/>
  <c r="F3" i="268"/>
  <c r="F3" i="267"/>
  <c r="V3" i="263"/>
  <c r="V3" i="262"/>
  <c r="V3" i="261"/>
  <c r="X4" i="261"/>
  <c r="X4" i="262"/>
  <c r="X4" i="263"/>
  <c r="J4" i="263"/>
  <c r="J4" i="261"/>
  <c r="J4" i="262"/>
  <c r="U4" i="263"/>
  <c r="U4" i="261"/>
  <c r="U4" i="262"/>
  <c r="K2" i="262"/>
  <c r="K2" i="263"/>
  <c r="K2" i="261"/>
  <c r="Y2" i="263"/>
  <c r="Y2" i="261"/>
  <c r="Y2" i="262"/>
  <c r="T2" i="260"/>
  <c r="T2" i="258"/>
  <c r="T2" i="259"/>
  <c r="O3" i="260"/>
  <c r="O3" i="258"/>
  <c r="O3" i="259"/>
  <c r="J4" i="260"/>
  <c r="J4" i="258"/>
  <c r="J4" i="259"/>
  <c r="N4" i="260"/>
  <c r="N4" i="258"/>
  <c r="N4" i="259"/>
  <c r="R3" i="272"/>
  <c r="R3" i="271"/>
  <c r="R3" i="270"/>
  <c r="V3" i="272"/>
  <c r="V3" i="271"/>
  <c r="V3" i="270"/>
  <c r="J3" i="271"/>
  <c r="J3" i="270"/>
  <c r="J3" i="272"/>
  <c r="E4" i="272"/>
  <c r="E4" i="270"/>
  <c r="E4" i="271"/>
  <c r="X4" i="272"/>
  <c r="X4" i="270"/>
  <c r="X4" i="271"/>
  <c r="D2" i="269"/>
  <c r="D2" i="267"/>
  <c r="D2" i="268"/>
  <c r="W2" i="269"/>
  <c r="W2" i="267"/>
  <c r="W2" i="268"/>
  <c r="R3" i="267"/>
  <c r="R3" i="269"/>
  <c r="R3" i="268"/>
  <c r="V3" i="269"/>
  <c r="V3" i="268"/>
  <c r="V3" i="267"/>
  <c r="B4" i="263"/>
  <c r="B4" i="262"/>
  <c r="B4" i="261"/>
  <c r="O2" i="263"/>
  <c r="O2" i="262"/>
  <c r="O2" i="261"/>
  <c r="R4" i="263"/>
  <c r="R4" i="261"/>
  <c r="R4" i="262"/>
  <c r="F2" i="263"/>
  <c r="F2" i="261"/>
  <c r="F2" i="262"/>
  <c r="C3" i="263"/>
  <c r="C3" i="261"/>
  <c r="C3" i="262"/>
  <c r="G3" i="262"/>
  <c r="G3" i="263"/>
  <c r="G3" i="261"/>
  <c r="C2" i="263"/>
  <c r="C2" i="261"/>
  <c r="C2" i="262"/>
  <c r="V2" i="261"/>
  <c r="V2" i="262"/>
  <c r="V2" i="263"/>
  <c r="Q3" i="263"/>
  <c r="Q3" i="261"/>
  <c r="Q3" i="262"/>
  <c r="L3" i="260"/>
  <c r="L3" i="259"/>
  <c r="L3" i="258"/>
  <c r="G4" i="260"/>
  <c r="G4" i="259"/>
  <c r="G4" i="258"/>
  <c r="K2" i="260"/>
  <c r="K2" i="258"/>
  <c r="K2" i="259"/>
  <c r="O2" i="260"/>
  <c r="O2" i="258"/>
  <c r="O2" i="259"/>
  <c r="J4" i="272"/>
  <c r="J4" i="270"/>
  <c r="J4" i="271"/>
  <c r="N4" i="272"/>
  <c r="N4" i="271"/>
  <c r="N4" i="270"/>
  <c r="B4" i="272"/>
  <c r="B4" i="270"/>
  <c r="B4" i="271"/>
  <c r="U4" i="272"/>
  <c r="U4" i="270"/>
  <c r="U4" i="271"/>
  <c r="I2" i="271"/>
  <c r="I2" i="270"/>
  <c r="I2" i="272"/>
  <c r="T2" i="269"/>
  <c r="T2" i="267"/>
  <c r="T2" i="268"/>
  <c r="O3" i="269"/>
  <c r="O3" i="267"/>
  <c r="O3" i="268"/>
  <c r="J4" i="269"/>
  <c r="J4" i="267"/>
  <c r="J4" i="268"/>
  <c r="N4" i="269"/>
  <c r="N4" i="267"/>
  <c r="N4" i="268"/>
  <c r="L2" i="263"/>
  <c r="L2" i="261"/>
  <c r="L2" i="262"/>
  <c r="R3" i="263"/>
  <c r="R3" i="261"/>
  <c r="R3" i="262"/>
  <c r="N4" i="263"/>
  <c r="N4" i="261"/>
  <c r="N4" i="262"/>
  <c r="W3" i="262"/>
  <c r="W3" i="263"/>
  <c r="W3" i="261"/>
  <c r="N3" i="263"/>
  <c r="N3" i="262"/>
  <c r="N3" i="261"/>
  <c r="I4" i="263"/>
  <c r="I4" i="261"/>
  <c r="I4" i="262"/>
  <c r="D4" i="260"/>
  <c r="D4" i="258"/>
  <c r="D4" i="259"/>
  <c r="W4" i="260"/>
  <c r="W4" i="258"/>
  <c r="W4" i="259"/>
  <c r="C3" i="260"/>
  <c r="C3" i="258"/>
  <c r="C3" i="259"/>
  <c r="G3" i="260"/>
  <c r="G3" i="259"/>
  <c r="G3" i="258"/>
  <c r="K2" i="272"/>
  <c r="K2" i="270"/>
  <c r="K2" i="271"/>
  <c r="O2" i="272"/>
  <c r="O2" i="270"/>
  <c r="O2" i="271"/>
  <c r="F2" i="272"/>
  <c r="F2" i="271"/>
  <c r="F2" i="270"/>
  <c r="Y2" i="270"/>
  <c r="Y2" i="271"/>
  <c r="Y2" i="272"/>
  <c r="L3" i="269"/>
  <c r="L3" i="267"/>
  <c r="L3" i="268"/>
  <c r="G4" i="269"/>
  <c r="G4" i="267"/>
  <c r="G4" i="268"/>
  <c r="K2" i="269"/>
  <c r="K2" i="267"/>
  <c r="K2" i="268"/>
  <c r="O2" i="269"/>
  <c r="O2" i="267"/>
  <c r="O2" i="268"/>
  <c r="C4" i="263"/>
  <c r="C4" i="261"/>
  <c r="C4" i="262"/>
  <c r="S4" i="260"/>
  <c r="S4" i="258"/>
  <c r="S4" i="259"/>
  <c r="S3" i="263"/>
  <c r="S3" i="262"/>
  <c r="S3" i="261"/>
  <c r="S2" i="263"/>
  <c r="S2" i="261"/>
  <c r="S2" i="262"/>
  <c r="R4" i="272"/>
  <c r="R4" i="270"/>
  <c r="R4" i="271"/>
  <c r="K4" i="263"/>
  <c r="K4" i="261"/>
  <c r="K4" i="262"/>
  <c r="O4" i="262"/>
  <c r="O4" i="263"/>
  <c r="O4" i="261"/>
  <c r="K3" i="263"/>
  <c r="K3" i="261"/>
  <c r="K3" i="262"/>
  <c r="F4" i="263"/>
  <c r="F4" i="261"/>
  <c r="F4" i="262"/>
  <c r="Y4" i="263"/>
  <c r="Y4" i="262"/>
  <c r="Y4" i="261"/>
  <c r="T4" i="260"/>
  <c r="T4" i="259"/>
  <c r="T4" i="258"/>
  <c r="H2" i="260"/>
  <c r="H2" i="258"/>
  <c r="H2" i="259"/>
  <c r="S3" i="260"/>
  <c r="S3" i="258"/>
  <c r="S3" i="259"/>
  <c r="W3" i="260"/>
  <c r="W3" i="258"/>
  <c r="W3" i="259"/>
  <c r="C3" i="272"/>
  <c r="C3" i="270"/>
  <c r="C3" i="271"/>
  <c r="G3" i="272"/>
  <c r="G3" i="271"/>
  <c r="G3" i="270"/>
  <c r="C2" i="272"/>
  <c r="C2" i="271"/>
  <c r="C2" i="270"/>
  <c r="V2" i="272"/>
  <c r="V2" i="270"/>
  <c r="V2" i="271"/>
  <c r="Q3" i="272"/>
  <c r="Q3" i="270"/>
  <c r="Q3" i="271"/>
  <c r="D4" i="269"/>
  <c r="D4" i="268"/>
  <c r="D4" i="267"/>
  <c r="W4" i="269"/>
  <c r="W4" i="267"/>
  <c r="W4" i="268"/>
  <c r="C3" i="267"/>
  <c r="C3" i="268"/>
  <c r="C3" i="269"/>
  <c r="G3" i="269"/>
  <c r="G3" i="267"/>
  <c r="G3" i="268"/>
  <c r="V4" i="263"/>
  <c r="V4" i="261"/>
  <c r="V4" i="262"/>
  <c r="O4" i="260"/>
  <c r="O4" i="259"/>
  <c r="O4" i="258"/>
  <c r="W3" i="272"/>
  <c r="W3" i="270"/>
  <c r="W3" i="271"/>
  <c r="S2" i="271"/>
  <c r="S2" i="272"/>
  <c r="S2" i="270"/>
  <c r="N3" i="272"/>
  <c r="N3" i="270"/>
  <c r="N3" i="271"/>
  <c r="I4" i="272"/>
  <c r="I4" i="271"/>
  <c r="I4" i="270"/>
  <c r="T4" i="269"/>
  <c r="T4" i="267"/>
  <c r="T4" i="268"/>
  <c r="H2" i="269"/>
  <c r="H2" i="267"/>
  <c r="H2" i="268"/>
  <c r="S3" i="269"/>
  <c r="S3" i="267"/>
  <c r="S3" i="268"/>
  <c r="W3" i="269"/>
  <c r="W3" i="268"/>
  <c r="W3" i="267"/>
  <c r="D3" i="263"/>
  <c r="D3" i="262"/>
  <c r="D3" i="261"/>
  <c r="H3" i="263"/>
  <c r="H3" i="261"/>
  <c r="H3" i="262"/>
  <c r="S4" i="263"/>
  <c r="S4" i="261"/>
  <c r="S4" i="262"/>
  <c r="G2" i="263"/>
  <c r="G2" i="261"/>
  <c r="G2" i="262"/>
  <c r="B2" i="260"/>
  <c r="B2" i="258"/>
  <c r="B2" i="259"/>
  <c r="U2" i="260"/>
  <c r="U2" i="258"/>
  <c r="U2" i="259"/>
  <c r="P3" i="260"/>
  <c r="P3" i="258"/>
  <c r="P3" i="259"/>
  <c r="L2" i="260"/>
  <c r="L2" i="259"/>
  <c r="L2" i="258"/>
  <c r="P2" i="258"/>
  <c r="P2" i="259"/>
  <c r="P2" i="260"/>
  <c r="K4" i="272"/>
  <c r="K4" i="271"/>
  <c r="K4" i="270"/>
  <c r="O4" i="272"/>
  <c r="O4" i="270"/>
  <c r="O4" i="271"/>
  <c r="K3" i="270"/>
  <c r="K3" i="271"/>
  <c r="K3" i="272"/>
  <c r="F4" i="272"/>
  <c r="F4" i="270"/>
  <c r="F4" i="271"/>
  <c r="Y4" i="272"/>
  <c r="Y4" i="271"/>
  <c r="Y4" i="270"/>
  <c r="E2" i="269"/>
  <c r="E2" i="267"/>
  <c r="E2" i="268"/>
  <c r="X2" i="267"/>
  <c r="X2" i="269"/>
  <c r="X2" i="268"/>
  <c r="K4" i="267"/>
  <c r="K4" i="268"/>
  <c r="K4" i="269"/>
  <c r="O4" i="269"/>
  <c r="O4" i="267"/>
  <c r="O4" i="268"/>
  <c r="T3" i="263"/>
  <c r="T3" i="261"/>
  <c r="T3" i="262"/>
  <c r="X3" i="263"/>
  <c r="X3" i="261"/>
  <c r="X3" i="262"/>
  <c r="D2" i="263"/>
  <c r="D2" i="261"/>
  <c r="D2" i="262"/>
  <c r="W2" i="263"/>
  <c r="W2" i="261"/>
  <c r="W2" i="262"/>
  <c r="R2" i="260"/>
  <c r="R2" i="258"/>
  <c r="R2" i="259"/>
  <c r="M3" i="260"/>
  <c r="M3" i="258"/>
  <c r="M3" i="259"/>
  <c r="H4" i="260"/>
  <c r="H4" i="258"/>
  <c r="H4" i="259"/>
  <c r="D3" i="260"/>
  <c r="D3" i="258"/>
  <c r="D3" i="259"/>
  <c r="H3" i="260"/>
  <c r="H3" i="258"/>
  <c r="H3" i="259"/>
  <c r="L2" i="271"/>
  <c r="L2" i="272"/>
  <c r="L2" i="270"/>
  <c r="P2" i="272"/>
  <c r="P2" i="270"/>
  <c r="P2" i="271"/>
  <c r="C4" i="272"/>
  <c r="C4" i="270"/>
  <c r="C4" i="271"/>
  <c r="V4" i="272"/>
  <c r="V4" i="271"/>
  <c r="V4" i="270"/>
  <c r="B2" i="267"/>
  <c r="B2" i="268"/>
  <c r="B2" i="269"/>
  <c r="U2" i="267"/>
  <c r="U2" i="268"/>
  <c r="U2" i="269"/>
  <c r="P3" i="269"/>
  <c r="P3" i="268"/>
  <c r="P3" i="267"/>
  <c r="L2" i="267"/>
  <c r="L2" i="269"/>
  <c r="L2" i="268"/>
  <c r="P2" i="269"/>
  <c r="P2" i="267"/>
  <c r="P2" i="268"/>
  <c r="X4" i="260"/>
  <c r="X4" i="258"/>
  <c r="X4" i="259"/>
  <c r="T3" i="260"/>
  <c r="T3" i="258"/>
  <c r="T3" i="259"/>
  <c r="X3" i="260"/>
  <c r="X3" i="259"/>
  <c r="X3" i="258"/>
  <c r="D3" i="272"/>
  <c r="D3" i="270"/>
  <c r="D3" i="271"/>
  <c r="H3" i="270"/>
  <c r="H3" i="271"/>
  <c r="H3" i="272"/>
  <c r="S4" i="272"/>
  <c r="S4" i="270"/>
  <c r="S4" i="271"/>
  <c r="G2" i="272"/>
  <c r="G2" i="270"/>
  <c r="G2" i="271"/>
  <c r="R2" i="269"/>
  <c r="R2" i="267"/>
  <c r="R2" i="268"/>
  <c r="M3" i="269"/>
  <c r="M3" i="268"/>
  <c r="M3" i="267"/>
  <c r="H4" i="268"/>
  <c r="H4" i="269"/>
  <c r="H4" i="267"/>
  <c r="D3" i="269"/>
  <c r="D3" i="267"/>
  <c r="D3" i="268"/>
  <c r="H3" i="269"/>
  <c r="H3" i="267"/>
  <c r="H3" i="268"/>
  <c r="K4" i="260"/>
  <c r="K4" i="259"/>
  <c r="K4" i="258"/>
  <c r="X2" i="258"/>
  <c r="X2" i="259"/>
  <c r="X2" i="260"/>
  <c r="T2" i="263"/>
  <c r="T2" i="261"/>
  <c r="T2" i="262"/>
  <c r="Q2" i="263"/>
  <c r="Q2" i="262"/>
  <c r="Q2" i="261"/>
  <c r="U4" i="260"/>
  <c r="U4" i="258"/>
  <c r="U4" i="259"/>
  <c r="P4" i="260"/>
  <c r="P4" i="259"/>
  <c r="P4" i="258"/>
  <c r="X3" i="272"/>
  <c r="X3" i="270"/>
  <c r="X3" i="271"/>
  <c r="W2" i="271"/>
  <c r="W2" i="270"/>
  <c r="W2" i="272"/>
  <c r="E4" i="269"/>
  <c r="E4" i="268"/>
  <c r="E4" i="267"/>
  <c r="X3" i="269"/>
  <c r="X3" i="268"/>
  <c r="X3" i="267"/>
  <c r="I3" i="263"/>
  <c r="I3" i="261"/>
  <c r="I3" i="262"/>
  <c r="D4" i="261"/>
  <c r="D4" i="263"/>
  <c r="D4" i="262"/>
  <c r="W4" i="262"/>
  <c r="W4" i="263"/>
  <c r="W4" i="261"/>
  <c r="R4" i="260"/>
  <c r="R4" i="258"/>
  <c r="R4" i="259"/>
  <c r="F2" i="260"/>
  <c r="F2" i="259"/>
  <c r="F2" i="258"/>
  <c r="Y2" i="260"/>
  <c r="Y2" i="259"/>
  <c r="Y2" i="258"/>
  <c r="M2" i="258"/>
  <c r="M2" i="260"/>
  <c r="M2" i="259"/>
  <c r="Q2" i="260"/>
  <c r="Q2" i="258"/>
  <c r="Q2" i="259"/>
  <c r="L4" i="272"/>
  <c r="L4" i="270"/>
  <c r="L4" i="271"/>
  <c r="P4" i="272"/>
  <c r="P4" i="270"/>
  <c r="P4" i="271"/>
  <c r="T2" i="272"/>
  <c r="T2" i="270"/>
  <c r="T2" i="271"/>
  <c r="O3" i="271"/>
  <c r="O3" i="272"/>
  <c r="O3" i="270"/>
  <c r="B4" i="269"/>
  <c r="B4" i="267"/>
  <c r="B4" i="268"/>
  <c r="U4" i="268"/>
  <c r="U4" i="269"/>
  <c r="U4" i="267"/>
  <c r="I2" i="269"/>
  <c r="I2" i="267"/>
  <c r="I2" i="268"/>
  <c r="L4" i="269"/>
  <c r="L4" i="267"/>
  <c r="L4" i="268"/>
  <c r="P4" i="268"/>
  <c r="P4" i="267"/>
  <c r="P4" i="269"/>
  <c r="P2" i="263"/>
  <c r="P2" i="261"/>
  <c r="P2" i="262"/>
  <c r="S3" i="272"/>
  <c r="S3" i="270"/>
  <c r="S3" i="271"/>
  <c r="E4" i="260"/>
  <c r="E4" i="259"/>
  <c r="E4" i="258"/>
  <c r="L3" i="262"/>
  <c r="L3" i="263"/>
  <c r="L3" i="261"/>
  <c r="G4" i="263"/>
  <c r="G4" i="262"/>
  <c r="G4" i="261"/>
  <c r="D2" i="272"/>
  <c r="D2" i="271"/>
  <c r="D2" i="270"/>
  <c r="T3" i="269"/>
  <c r="T3" i="267"/>
  <c r="T3" i="268"/>
  <c r="U3" i="263"/>
  <c r="U3" i="261"/>
  <c r="U3" i="262"/>
  <c r="Y3" i="263"/>
  <c r="Y3" i="262"/>
  <c r="Y3" i="261"/>
  <c r="T4" i="263"/>
  <c r="T4" i="261"/>
  <c r="T4" i="262"/>
  <c r="H2" i="263"/>
  <c r="H2" i="261"/>
  <c r="H2" i="262"/>
  <c r="C2" i="260"/>
  <c r="C2" i="259"/>
  <c r="C2" i="258"/>
  <c r="V2" i="259"/>
  <c r="V2" i="260"/>
  <c r="V2" i="258"/>
  <c r="Q3" i="260"/>
  <c r="Q3" i="258"/>
  <c r="Q3" i="259"/>
  <c r="E3" i="260"/>
  <c r="E3" i="258"/>
  <c r="E3" i="259"/>
  <c r="I3" i="258"/>
  <c r="I3" i="259"/>
  <c r="I3" i="260"/>
  <c r="M2" i="270"/>
  <c r="M2" i="271"/>
  <c r="M2" i="272"/>
  <c r="Q2" i="272"/>
  <c r="Q2" i="270"/>
  <c r="Q2" i="271"/>
  <c r="L3" i="272"/>
  <c r="L3" i="271"/>
  <c r="L3" i="270"/>
  <c r="G4" i="272"/>
  <c r="G4" i="271"/>
  <c r="G4" i="270"/>
  <c r="R4" i="268"/>
  <c r="R4" i="269"/>
  <c r="R4" i="267"/>
  <c r="F2" i="268"/>
  <c r="F2" i="269"/>
  <c r="F2" i="267"/>
  <c r="Y2" i="269"/>
  <c r="Y2" i="267"/>
  <c r="Y2" i="268"/>
  <c r="M2" i="267"/>
  <c r="M2" i="268"/>
  <c r="M2" i="269"/>
  <c r="Q2" i="269"/>
  <c r="Q2" i="268"/>
  <c r="Q2" i="267"/>
  <c r="L4" i="263"/>
  <c r="L4" i="261"/>
  <c r="L4" i="262"/>
  <c r="J3" i="260"/>
  <c r="J3" i="258"/>
  <c r="J3" i="259"/>
  <c r="B4" i="258"/>
  <c r="B4" i="260"/>
  <c r="B4" i="259"/>
  <c r="J3" i="267"/>
  <c r="J3" i="268"/>
  <c r="J3" i="269"/>
  <c r="X4" i="269"/>
  <c r="X4" i="267"/>
  <c r="X4" i="268"/>
  <c r="M4" i="263"/>
  <c r="M4" i="261"/>
  <c r="M4" i="262"/>
  <c r="Q4" i="263"/>
  <c r="Q4" i="261"/>
  <c r="Q4" i="262"/>
  <c r="E2" i="261"/>
  <c r="E2" i="262"/>
  <c r="E2" i="263"/>
  <c r="X2" i="261"/>
  <c r="X2" i="263"/>
  <c r="X2" i="262"/>
  <c r="S2" i="258"/>
  <c r="S2" i="259"/>
  <c r="S2" i="260"/>
  <c r="N3" i="260"/>
  <c r="N3" i="259"/>
  <c r="N3" i="258"/>
  <c r="I4" i="260"/>
  <c r="I4" i="258"/>
  <c r="I4" i="259"/>
  <c r="U3" i="258"/>
  <c r="U3" i="260"/>
  <c r="U3" i="259"/>
  <c r="Y3" i="259"/>
  <c r="Y3" i="260"/>
  <c r="Y3" i="258"/>
  <c r="E3" i="271"/>
  <c r="E3" i="272"/>
  <c r="E3" i="270"/>
  <c r="I3" i="272"/>
  <c r="I3" i="270"/>
  <c r="I3" i="271"/>
  <c r="D4" i="272"/>
  <c r="D4" i="270"/>
  <c r="D4" i="271"/>
  <c r="W4" i="271"/>
  <c r="W4" i="272"/>
  <c r="W4" i="270"/>
  <c r="C2" i="268"/>
  <c r="C2" i="267"/>
  <c r="C2" i="269"/>
  <c r="V2" i="269"/>
  <c r="V2" i="267"/>
  <c r="V2" i="268"/>
  <c r="Q3" i="269"/>
  <c r="Q3" i="268"/>
  <c r="Q3" i="267"/>
  <c r="E3" i="269"/>
  <c r="E3" i="267"/>
  <c r="E3" i="268"/>
  <c r="I3" i="269"/>
  <c r="I3" i="267"/>
  <c r="I3" i="268"/>
  <c r="P4" i="263"/>
  <c r="P4" i="262"/>
  <c r="P4" i="261"/>
  <c r="O3" i="263"/>
  <c r="O3" i="261"/>
  <c r="O3" i="262"/>
  <c r="M2" i="263"/>
  <c r="M2" i="262"/>
  <c r="M2" i="261"/>
  <c r="L4" i="260"/>
  <c r="L4" i="258"/>
  <c r="L4" i="259"/>
  <c r="Q2" i="310"/>
  <c r="Q2" i="309"/>
  <c r="Q2" i="232"/>
  <c r="Q2" i="311"/>
  <c r="Q2" i="233"/>
  <c r="Q2" i="231"/>
  <c r="J2" i="262"/>
  <c r="J2" i="263"/>
  <c r="J2" i="261"/>
  <c r="N2" i="261"/>
  <c r="N2" i="262"/>
  <c r="N2" i="263"/>
  <c r="B2" i="263"/>
  <c r="B2" i="261"/>
  <c r="B2" i="262"/>
  <c r="U2" i="263"/>
  <c r="U2" i="261"/>
  <c r="U2" i="262"/>
  <c r="P3" i="263"/>
  <c r="P3" i="261"/>
  <c r="P3" i="262"/>
  <c r="K3" i="260"/>
  <c r="K3" i="258"/>
  <c r="K3" i="259"/>
  <c r="Y4" i="259"/>
  <c r="Y4" i="258"/>
  <c r="Y4" i="260"/>
  <c r="M4" i="258"/>
  <c r="M4" i="259"/>
  <c r="M4" i="260"/>
  <c r="Q4" i="260"/>
  <c r="Q4" i="258"/>
  <c r="Q4" i="259"/>
  <c r="Y3" i="272"/>
  <c r="Y3" i="270"/>
  <c r="Y3" i="271"/>
  <c r="I4" i="269"/>
  <c r="I4" i="267"/>
  <c r="I4" i="268"/>
  <c r="Y3" i="269"/>
  <c r="Y3" i="267"/>
  <c r="Y3" i="268"/>
  <c r="I2" i="260"/>
  <c r="I2" i="258"/>
  <c r="I2" i="259"/>
  <c r="T3" i="272"/>
  <c r="T3" i="270"/>
  <c r="T3" i="271"/>
  <c r="E3" i="261"/>
  <c r="E3" i="263"/>
  <c r="E3" i="262"/>
  <c r="F4" i="260"/>
  <c r="F4" i="259"/>
  <c r="F4" i="258"/>
  <c r="U3" i="270"/>
  <c r="U3" i="272"/>
  <c r="U3" i="271"/>
  <c r="T4" i="270"/>
  <c r="T4" i="272"/>
  <c r="T4" i="271"/>
  <c r="H2" i="270"/>
  <c r="H2" i="271"/>
  <c r="H2" i="272"/>
  <c r="S2" i="269"/>
  <c r="S2" i="267"/>
  <c r="S2" i="268"/>
  <c r="N3" i="267"/>
  <c r="N3" i="268"/>
  <c r="N3" i="269"/>
  <c r="U3" i="267"/>
  <c r="U3" i="268"/>
  <c r="U3" i="269"/>
  <c r="O4" i="232"/>
  <c r="O4" i="310"/>
  <c r="O4" i="309"/>
  <c r="O4" i="233"/>
  <c r="O4" i="231"/>
  <c r="O4" i="311"/>
  <c r="B3" i="263"/>
  <c r="B3" i="262"/>
  <c r="B3" i="261"/>
  <c r="F3" i="262"/>
  <c r="F3" i="263"/>
  <c r="F3" i="261"/>
  <c r="R2" i="261"/>
  <c r="R2" i="263"/>
  <c r="R2" i="262"/>
  <c r="M3" i="261"/>
  <c r="M3" i="262"/>
  <c r="M3" i="263"/>
  <c r="H4" i="263"/>
  <c r="H4" i="262"/>
  <c r="H4" i="261"/>
  <c r="C4" i="258"/>
  <c r="C4" i="260"/>
  <c r="C4" i="259"/>
  <c r="V4" i="260"/>
  <c r="V4" i="258"/>
  <c r="V4" i="259"/>
  <c r="J2" i="259"/>
  <c r="J2" i="260"/>
  <c r="J2" i="258"/>
  <c r="N2" i="259"/>
  <c r="N2" i="260"/>
  <c r="N2" i="258"/>
  <c r="B4" i="194"/>
  <c r="B4" i="182"/>
  <c r="B4" i="195"/>
  <c r="M4" i="270"/>
  <c r="M4" i="272"/>
  <c r="M4" i="271"/>
  <c r="Q4" i="272"/>
  <c r="Q4" i="270"/>
  <c r="Q4" i="271"/>
  <c r="E2" i="272"/>
  <c r="E2" i="271"/>
  <c r="E2" i="270"/>
  <c r="X2" i="272"/>
  <c r="X2" i="270"/>
  <c r="X2" i="271"/>
  <c r="K3" i="269"/>
  <c r="K3" i="268"/>
  <c r="K3" i="267"/>
  <c r="F4" i="269"/>
  <c r="F4" i="268"/>
  <c r="F4" i="267"/>
  <c r="Y4" i="269"/>
  <c r="Y4" i="267"/>
  <c r="Y4" i="268"/>
  <c r="M4" i="269"/>
  <c r="M4" i="268"/>
  <c r="M4" i="267"/>
  <c r="Q4" i="267"/>
  <c r="Q4" i="269"/>
  <c r="Q4" i="268"/>
  <c r="C2" i="309" l="1"/>
  <c r="C2" i="311"/>
  <c r="C2" i="233"/>
  <c r="C2" i="310"/>
  <c r="C2" i="231"/>
  <c r="C2" i="232"/>
  <c r="N4" i="220"/>
  <c r="N4" i="298"/>
  <c r="N4" i="297"/>
  <c r="N4" i="299"/>
  <c r="N4" i="221"/>
  <c r="N4" i="219"/>
  <c r="Y4" i="299"/>
  <c r="Y4" i="297"/>
  <c r="Y4" i="298"/>
  <c r="Y4" i="219"/>
  <c r="Y4" i="220"/>
  <c r="Y4" i="221"/>
  <c r="F2" i="197"/>
  <c r="F2" i="183"/>
  <c r="F2" i="196"/>
  <c r="P2" i="184"/>
  <c r="P2" i="200"/>
  <c r="P2" i="201"/>
  <c r="R4" i="202"/>
  <c r="R4" i="203"/>
  <c r="R4" i="185"/>
  <c r="G4" i="195"/>
  <c r="G4" i="194"/>
  <c r="G4" i="182"/>
  <c r="R2" i="182"/>
  <c r="R2" i="194"/>
  <c r="R2" i="195"/>
  <c r="L3" i="203"/>
  <c r="L3" i="202"/>
  <c r="L3" i="185"/>
  <c r="F4" i="219"/>
  <c r="F4" i="220"/>
  <c r="F4" i="299"/>
  <c r="F4" i="297"/>
  <c r="F4" i="298"/>
  <c r="F4" i="221"/>
  <c r="V3" i="308"/>
  <c r="V3" i="306"/>
  <c r="V3" i="307"/>
  <c r="V3" i="230"/>
  <c r="V3" i="229"/>
  <c r="V3" i="228"/>
  <c r="G4" i="298"/>
  <c r="G4" i="299"/>
  <c r="G4" i="221"/>
  <c r="G4" i="219"/>
  <c r="G4" i="220"/>
  <c r="G4" i="297"/>
  <c r="K4" i="307"/>
  <c r="K4" i="306"/>
  <c r="K4" i="308"/>
  <c r="K4" i="230"/>
  <c r="K4" i="228"/>
  <c r="K4" i="229"/>
  <c r="W3" i="229"/>
  <c r="W3" i="308"/>
  <c r="W3" i="306"/>
  <c r="W3" i="230"/>
  <c r="W3" i="228"/>
  <c r="W3" i="307"/>
  <c r="U3" i="222"/>
  <c r="U3" i="224"/>
  <c r="U3" i="302"/>
  <c r="U3" i="301"/>
  <c r="U3" i="300"/>
  <c r="U3" i="223"/>
  <c r="O3" i="221"/>
  <c r="O3" i="297"/>
  <c r="O3" i="298"/>
  <c r="O3" i="299"/>
  <c r="O3" i="220"/>
  <c r="O3" i="219"/>
  <c r="U4" i="223"/>
  <c r="U4" i="224"/>
  <c r="U4" i="222"/>
  <c r="U4" i="300"/>
  <c r="U4" i="301"/>
  <c r="U4" i="302"/>
  <c r="C2" i="299"/>
  <c r="C2" i="298"/>
  <c r="C2" i="297"/>
  <c r="C2" i="219"/>
  <c r="C2" i="220"/>
  <c r="C2" i="221"/>
  <c r="H2" i="311"/>
  <c r="H2" i="309"/>
  <c r="H2" i="310"/>
  <c r="H2" i="233"/>
  <c r="H2" i="232"/>
  <c r="H2" i="231"/>
  <c r="F2" i="299"/>
  <c r="F2" i="297"/>
  <c r="F2" i="298"/>
  <c r="F2" i="221"/>
  <c r="F2" i="220"/>
  <c r="F2" i="219"/>
  <c r="N2" i="231"/>
  <c r="N2" i="310"/>
  <c r="N2" i="309"/>
  <c r="N2" i="311"/>
  <c r="N2" i="233"/>
  <c r="N2" i="232"/>
  <c r="Q2" i="223"/>
  <c r="Q2" i="302"/>
  <c r="Q2" i="300"/>
  <c r="Q2" i="224"/>
  <c r="Q2" i="222"/>
  <c r="Q2" i="301"/>
  <c r="F4" i="301"/>
  <c r="F4" i="300"/>
  <c r="F4" i="302"/>
  <c r="F4" i="224"/>
  <c r="F4" i="222"/>
  <c r="F4" i="223"/>
  <c r="O4" i="307"/>
  <c r="O4" i="306"/>
  <c r="O4" i="308"/>
  <c r="O4" i="229"/>
  <c r="O4" i="228"/>
  <c r="O4" i="230"/>
  <c r="J3" i="298"/>
  <c r="J3" i="221"/>
  <c r="J3" i="219"/>
  <c r="J3" i="299"/>
  <c r="J3" i="297"/>
  <c r="J3" i="220"/>
  <c r="I4" i="182"/>
  <c r="I4" i="194"/>
  <c r="I4" i="195"/>
  <c r="L2" i="202"/>
  <c r="L2" i="185"/>
  <c r="L2" i="203"/>
  <c r="F4" i="185"/>
  <c r="F4" i="203"/>
  <c r="F4" i="202"/>
  <c r="N2" i="201"/>
  <c r="N2" i="184"/>
  <c r="N2" i="200"/>
  <c r="V2" i="184"/>
  <c r="V2" i="200"/>
  <c r="V2" i="201"/>
  <c r="D4" i="183"/>
  <c r="D4" i="196"/>
  <c r="D4" i="197"/>
  <c r="K3" i="297"/>
  <c r="K3" i="299"/>
  <c r="K3" i="298"/>
  <c r="K3" i="221"/>
  <c r="K3" i="219"/>
  <c r="K3" i="220"/>
  <c r="S4" i="219"/>
  <c r="S4" i="299"/>
  <c r="S4" i="298"/>
  <c r="S4" i="297"/>
  <c r="S4" i="220"/>
  <c r="S4" i="221"/>
  <c r="U3" i="230"/>
  <c r="U3" i="228"/>
  <c r="U3" i="307"/>
  <c r="U3" i="308"/>
  <c r="U3" i="306"/>
  <c r="U3" i="229"/>
  <c r="Y2" i="311"/>
  <c r="Y2" i="309"/>
  <c r="Y2" i="310"/>
  <c r="Y2" i="232"/>
  <c r="Y2" i="233"/>
  <c r="Y2" i="231"/>
  <c r="D4" i="302"/>
  <c r="D4" i="222"/>
  <c r="D4" i="223"/>
  <c r="D4" i="224"/>
  <c r="D4" i="301"/>
  <c r="D4" i="300"/>
  <c r="N3" i="301"/>
  <c r="N3" i="302"/>
  <c r="N3" i="300"/>
  <c r="N3" i="224"/>
  <c r="N3" i="222"/>
  <c r="N3" i="223"/>
  <c r="N3" i="229"/>
  <c r="N3" i="307"/>
  <c r="N3" i="306"/>
  <c r="N3" i="308"/>
  <c r="N3" i="230"/>
  <c r="N3" i="228"/>
  <c r="H3" i="182"/>
  <c r="H3" i="194"/>
  <c r="H3" i="195"/>
  <c r="D2" i="184"/>
  <c r="D2" i="201"/>
  <c r="D2" i="200"/>
  <c r="O2" i="196"/>
  <c r="O2" i="197"/>
  <c r="O2" i="183"/>
  <c r="S4" i="197"/>
  <c r="S4" i="183"/>
  <c r="S4" i="196"/>
  <c r="I2" i="185"/>
  <c r="I2" i="202"/>
  <c r="I2" i="203"/>
  <c r="W2" i="200"/>
  <c r="W2" i="184"/>
  <c r="W2" i="201"/>
  <c r="F3" i="200"/>
  <c r="F3" i="184"/>
  <c r="F3" i="201"/>
  <c r="U3" i="183"/>
  <c r="U3" i="196"/>
  <c r="U3" i="197"/>
  <c r="G4" i="197"/>
  <c r="G4" i="183"/>
  <c r="G4" i="196"/>
  <c r="W4" i="201"/>
  <c r="W4" i="200"/>
  <c r="W4" i="184"/>
  <c r="P4" i="196"/>
  <c r="P4" i="197"/>
  <c r="P4" i="183"/>
  <c r="W2" i="194"/>
  <c r="W2" i="182"/>
  <c r="W2" i="195"/>
  <c r="M2" i="297"/>
  <c r="M2" i="220"/>
  <c r="M2" i="221"/>
  <c r="M2" i="299"/>
  <c r="M2" i="298"/>
  <c r="M2" i="219"/>
  <c r="D4" i="182"/>
  <c r="D4" i="195"/>
  <c r="D4" i="194"/>
  <c r="E4" i="185"/>
  <c r="E4" i="202"/>
  <c r="E4" i="203"/>
  <c r="U4" i="196"/>
  <c r="U4" i="197"/>
  <c r="U4" i="183"/>
  <c r="O4" i="183"/>
  <c r="O4" i="197"/>
  <c r="O4" i="196"/>
  <c r="Y4" i="194"/>
  <c r="Y4" i="195"/>
  <c r="Y4" i="182"/>
  <c r="L4" i="184"/>
  <c r="L4" i="201"/>
  <c r="L4" i="200"/>
  <c r="Q4" i="182"/>
  <c r="Q4" i="194"/>
  <c r="Q4" i="195"/>
  <c r="M2" i="200"/>
  <c r="M2" i="184"/>
  <c r="M2" i="201"/>
  <c r="K2" i="203"/>
  <c r="K2" i="185"/>
  <c r="K2" i="202"/>
  <c r="B3" i="183"/>
  <c r="B3" i="197"/>
  <c r="B3" i="196"/>
  <c r="F3" i="203"/>
  <c r="F3" i="202"/>
  <c r="F3" i="185"/>
  <c r="G4" i="202"/>
  <c r="G4" i="203"/>
  <c r="G4" i="185"/>
  <c r="W2" i="203"/>
  <c r="W2" i="202"/>
  <c r="W2" i="185"/>
  <c r="Q2" i="197"/>
  <c r="Q2" i="183"/>
  <c r="Q2" i="196"/>
  <c r="V4" i="201"/>
  <c r="V4" i="184"/>
  <c r="V4" i="200"/>
  <c r="V2" i="203"/>
  <c r="V2" i="185"/>
  <c r="V2" i="202"/>
  <c r="X2" i="196"/>
  <c r="X2" i="197"/>
  <c r="X2" i="183"/>
  <c r="B2" i="197"/>
  <c r="B2" i="196"/>
  <c r="B2" i="183"/>
  <c r="P4" i="299"/>
  <c r="P4" i="221"/>
  <c r="P4" i="219"/>
  <c r="P4" i="220"/>
  <c r="P4" i="297"/>
  <c r="P4" i="298"/>
  <c r="X3" i="298"/>
  <c r="X3" i="297"/>
  <c r="X3" i="221"/>
  <c r="X3" i="219"/>
  <c r="X3" i="220"/>
  <c r="X3" i="299"/>
  <c r="Y3" i="223"/>
  <c r="Y3" i="301"/>
  <c r="Y3" i="222"/>
  <c r="Y3" i="224"/>
  <c r="Y3" i="300"/>
  <c r="Y3" i="302"/>
  <c r="W2" i="299"/>
  <c r="W2" i="297"/>
  <c r="W2" i="220"/>
  <c r="W2" i="298"/>
  <c r="W2" i="221"/>
  <c r="W2" i="219"/>
  <c r="D2" i="302"/>
  <c r="D2" i="300"/>
  <c r="D2" i="301"/>
  <c r="D2" i="223"/>
  <c r="D2" i="222"/>
  <c r="D2" i="224"/>
  <c r="B2" i="228"/>
  <c r="B2" i="229"/>
  <c r="B2" i="307"/>
  <c r="B2" i="308"/>
  <c r="B2" i="230"/>
  <c r="B2" i="306"/>
  <c r="L3" i="301"/>
  <c r="L3" i="302"/>
  <c r="L3" i="300"/>
  <c r="L3" i="222"/>
  <c r="L3" i="223"/>
  <c r="L3" i="224"/>
  <c r="X4" i="300"/>
  <c r="X4" i="301"/>
  <c r="X4" i="223"/>
  <c r="X4" i="224"/>
  <c r="X4" i="302"/>
  <c r="X4" i="222"/>
  <c r="F3" i="311"/>
  <c r="F3" i="309"/>
  <c r="F3" i="231"/>
  <c r="F3" i="232"/>
  <c r="F3" i="233"/>
  <c r="F3" i="310"/>
  <c r="I4" i="233"/>
  <c r="I4" i="309"/>
  <c r="I4" i="310"/>
  <c r="I4" i="231"/>
  <c r="I4" i="232"/>
  <c r="I4" i="311"/>
  <c r="C4" i="306"/>
  <c r="C4" i="307"/>
  <c r="C4" i="228"/>
  <c r="C4" i="229"/>
  <c r="C4" i="308"/>
  <c r="C4" i="230"/>
  <c r="X4" i="311"/>
  <c r="X4" i="309"/>
  <c r="X4" i="310"/>
  <c r="X4" i="233"/>
  <c r="X4" i="231"/>
  <c r="X4" i="232"/>
  <c r="I2" i="311"/>
  <c r="I2" i="309"/>
  <c r="I2" i="310"/>
  <c r="I2" i="231"/>
  <c r="I2" i="232"/>
  <c r="I2" i="233"/>
  <c r="J3" i="224"/>
  <c r="J3" i="223"/>
  <c r="J3" i="301"/>
  <c r="J3" i="300"/>
  <c r="J3" i="302"/>
  <c r="J3" i="222"/>
  <c r="H2" i="301"/>
  <c r="H2" i="224"/>
  <c r="H2" i="300"/>
  <c r="H2" i="223"/>
  <c r="H2" i="222"/>
  <c r="H2" i="302"/>
  <c r="L2" i="300"/>
  <c r="L2" i="302"/>
  <c r="L2" i="224"/>
  <c r="L2" i="222"/>
  <c r="L2" i="301"/>
  <c r="L2" i="223"/>
  <c r="I2" i="298"/>
  <c r="I2" i="219"/>
  <c r="I2" i="220"/>
  <c r="I2" i="221"/>
  <c r="I2" i="299"/>
  <c r="I2" i="297"/>
  <c r="E4" i="302"/>
  <c r="E4" i="223"/>
  <c r="E4" i="224"/>
  <c r="E4" i="222"/>
  <c r="E4" i="301"/>
  <c r="E4" i="300"/>
  <c r="Y4" i="196"/>
  <c r="Y4" i="183"/>
  <c r="Y4" i="197"/>
  <c r="X3" i="194"/>
  <c r="X3" i="182"/>
  <c r="X3" i="195"/>
  <c r="F4" i="196"/>
  <c r="F4" i="183"/>
  <c r="F4" i="197"/>
  <c r="C3" i="300"/>
  <c r="C3" i="302"/>
  <c r="C3" i="301"/>
  <c r="C3" i="224"/>
  <c r="C3" i="222"/>
  <c r="C3" i="223"/>
  <c r="U2" i="311"/>
  <c r="U2" i="232"/>
  <c r="U2" i="233"/>
  <c r="U2" i="309"/>
  <c r="U2" i="231"/>
  <c r="U2" i="310"/>
  <c r="V2" i="310"/>
  <c r="V2" i="233"/>
  <c r="V2" i="231"/>
  <c r="V2" i="311"/>
  <c r="V2" i="309"/>
  <c r="V2" i="232"/>
  <c r="N4" i="302"/>
  <c r="N4" i="300"/>
  <c r="N4" i="301"/>
  <c r="N4" i="224"/>
  <c r="N4" i="223"/>
  <c r="N4" i="222"/>
  <c r="C2" i="201"/>
  <c r="C2" i="184"/>
  <c r="C2" i="200"/>
  <c r="Q4" i="302"/>
  <c r="Q4" i="222"/>
  <c r="Q4" i="224"/>
  <c r="Q4" i="300"/>
  <c r="Q4" i="301"/>
  <c r="Q4" i="223"/>
  <c r="N3" i="183"/>
  <c r="N3" i="196"/>
  <c r="N3" i="197"/>
  <c r="L4" i="197"/>
  <c r="L4" i="196"/>
  <c r="L4" i="183"/>
  <c r="M2" i="182"/>
  <c r="M2" i="194"/>
  <c r="M2" i="195"/>
  <c r="G2" i="224"/>
  <c r="G2" i="222"/>
  <c r="G2" i="300"/>
  <c r="G2" i="301"/>
  <c r="G2" i="302"/>
  <c r="G2" i="223"/>
  <c r="Q3" i="220"/>
  <c r="Q3" i="221"/>
  <c r="Q3" i="299"/>
  <c r="Q3" i="297"/>
  <c r="Q3" i="298"/>
  <c r="Q3" i="219"/>
  <c r="K4" i="182"/>
  <c r="K4" i="195"/>
  <c r="K4" i="194"/>
  <c r="M4" i="196"/>
  <c r="M4" i="183"/>
  <c r="M4" i="197"/>
  <c r="T3" i="203"/>
  <c r="T3" i="202"/>
  <c r="T3" i="185"/>
  <c r="C3" i="309"/>
  <c r="C3" i="233"/>
  <c r="C3" i="311"/>
  <c r="C3" i="231"/>
  <c r="C3" i="232"/>
  <c r="C3" i="310"/>
  <c r="W3" i="231"/>
  <c r="W3" i="232"/>
  <c r="W3" i="309"/>
  <c r="W3" i="311"/>
  <c r="W3" i="310"/>
  <c r="W3" i="233"/>
  <c r="R3" i="232"/>
  <c r="R3" i="231"/>
  <c r="R3" i="233"/>
  <c r="R3" i="309"/>
  <c r="R3" i="310"/>
  <c r="R3" i="311"/>
  <c r="V2" i="301"/>
  <c r="V2" i="302"/>
  <c r="V2" i="300"/>
  <c r="V2" i="222"/>
  <c r="V2" i="223"/>
  <c r="V2" i="224"/>
  <c r="U4" i="297"/>
  <c r="U4" i="219"/>
  <c r="U4" i="299"/>
  <c r="U4" i="220"/>
  <c r="U4" i="221"/>
  <c r="U4" i="298"/>
  <c r="S3" i="224"/>
  <c r="S3" i="222"/>
  <c r="S3" i="302"/>
  <c r="S3" i="301"/>
  <c r="S3" i="300"/>
  <c r="S3" i="223"/>
  <c r="G3" i="220"/>
  <c r="G3" i="219"/>
  <c r="G3" i="297"/>
  <c r="G3" i="221"/>
  <c r="G3" i="299"/>
  <c r="G3" i="298"/>
  <c r="Y3" i="298"/>
  <c r="Y3" i="299"/>
  <c r="Y3" i="297"/>
  <c r="Y3" i="220"/>
  <c r="Y3" i="219"/>
  <c r="Y3" i="221"/>
  <c r="I2" i="306"/>
  <c r="I2" i="229"/>
  <c r="I2" i="308"/>
  <c r="I2" i="228"/>
  <c r="I2" i="230"/>
  <c r="I2" i="307"/>
  <c r="T4" i="220"/>
  <c r="T4" i="221"/>
  <c r="T4" i="297"/>
  <c r="T4" i="299"/>
  <c r="T4" i="298"/>
  <c r="T4" i="219"/>
  <c r="I4" i="229"/>
  <c r="I4" i="228"/>
  <c r="I4" i="308"/>
  <c r="I4" i="230"/>
  <c r="I4" i="307"/>
  <c r="I4" i="306"/>
  <c r="W2" i="310"/>
  <c r="W2" i="311"/>
  <c r="W2" i="309"/>
  <c r="W2" i="232"/>
  <c r="W2" i="233"/>
  <c r="W2" i="231"/>
  <c r="G3" i="308"/>
  <c r="G3" i="228"/>
  <c r="G3" i="306"/>
  <c r="G3" i="307"/>
  <c r="G3" i="229"/>
  <c r="G3" i="230"/>
  <c r="F3" i="228"/>
  <c r="F3" i="229"/>
  <c r="F3" i="308"/>
  <c r="F3" i="306"/>
  <c r="F3" i="307"/>
  <c r="F3" i="230"/>
  <c r="T2" i="219"/>
  <c r="T2" i="297"/>
  <c r="T2" i="298"/>
  <c r="T2" i="221"/>
  <c r="T2" i="220"/>
  <c r="T2" i="299"/>
  <c r="I4" i="299"/>
  <c r="I4" i="297"/>
  <c r="I4" i="219"/>
  <c r="I4" i="220"/>
  <c r="I4" i="298"/>
  <c r="I4" i="221"/>
  <c r="R2" i="310"/>
  <c r="R2" i="311"/>
  <c r="R2" i="309"/>
  <c r="R2" i="232"/>
  <c r="R2" i="231"/>
  <c r="R2" i="233"/>
  <c r="L2" i="228"/>
  <c r="L2" i="229"/>
  <c r="L2" i="307"/>
  <c r="L2" i="306"/>
  <c r="L2" i="230"/>
  <c r="L2" i="308"/>
  <c r="U3" i="203"/>
  <c r="U3" i="185"/>
  <c r="U3" i="202"/>
  <c r="W3" i="194"/>
  <c r="W3" i="182"/>
  <c r="W3" i="195"/>
  <c r="H2" i="200"/>
  <c r="H2" i="184"/>
  <c r="H2" i="201"/>
  <c r="L2" i="200"/>
  <c r="L2" i="184"/>
  <c r="L2" i="201"/>
  <c r="T4" i="197"/>
  <c r="T4" i="183"/>
  <c r="T4" i="196"/>
  <c r="S2" i="201"/>
  <c r="S2" i="184"/>
  <c r="S2" i="200"/>
  <c r="T2" i="231"/>
  <c r="T2" i="311"/>
  <c r="T2" i="310"/>
  <c r="T2" i="232"/>
  <c r="T2" i="233"/>
  <c r="T2" i="309"/>
  <c r="D2" i="311"/>
  <c r="D2" i="231"/>
  <c r="D2" i="232"/>
  <c r="D2" i="233"/>
  <c r="D2" i="310"/>
  <c r="D2" i="309"/>
  <c r="H3" i="230"/>
  <c r="H3" i="308"/>
  <c r="H3" i="306"/>
  <c r="H3" i="307"/>
  <c r="H3" i="228"/>
  <c r="H3" i="229"/>
  <c r="R3" i="220"/>
  <c r="R3" i="299"/>
  <c r="R3" i="298"/>
  <c r="R3" i="297"/>
  <c r="R3" i="221"/>
  <c r="R3" i="219"/>
  <c r="M4" i="302"/>
  <c r="M4" i="222"/>
  <c r="M4" i="224"/>
  <c r="M4" i="301"/>
  <c r="M4" i="300"/>
  <c r="M4" i="223"/>
  <c r="W2" i="300"/>
  <c r="W2" i="301"/>
  <c r="W2" i="302"/>
  <c r="W2" i="223"/>
  <c r="W2" i="224"/>
  <c r="W2" i="222"/>
  <c r="H4" i="311"/>
  <c r="H4" i="233"/>
  <c r="H4" i="232"/>
  <c r="H4" i="309"/>
  <c r="H4" i="310"/>
  <c r="H4" i="231"/>
  <c r="H4" i="220"/>
  <c r="H4" i="219"/>
  <c r="H4" i="299"/>
  <c r="H4" i="297"/>
  <c r="H4" i="298"/>
  <c r="H4" i="221"/>
  <c r="M3" i="231"/>
  <c r="M3" i="311"/>
  <c r="M3" i="309"/>
  <c r="M3" i="232"/>
  <c r="M3" i="233"/>
  <c r="M3" i="310"/>
  <c r="N3" i="221"/>
  <c r="N3" i="219"/>
  <c r="N3" i="299"/>
  <c r="N3" i="297"/>
  <c r="N3" i="298"/>
  <c r="N3" i="220"/>
  <c r="P4" i="222"/>
  <c r="P4" i="223"/>
  <c r="P4" i="302"/>
  <c r="P4" i="301"/>
  <c r="P4" i="300"/>
  <c r="P4" i="224"/>
  <c r="H2" i="230"/>
  <c r="H2" i="308"/>
  <c r="H2" i="306"/>
  <c r="H2" i="307"/>
  <c r="H2" i="228"/>
  <c r="H2" i="229"/>
  <c r="I2" i="302"/>
  <c r="I2" i="223"/>
  <c r="I2" i="224"/>
  <c r="I2" i="301"/>
  <c r="I2" i="300"/>
  <c r="I2" i="222"/>
  <c r="C2" i="228"/>
  <c r="C2" i="230"/>
  <c r="C2" i="307"/>
  <c r="C2" i="306"/>
  <c r="C2" i="308"/>
  <c r="C2" i="229"/>
  <c r="G4" i="311"/>
  <c r="G4" i="309"/>
  <c r="G4" i="310"/>
  <c r="G4" i="233"/>
  <c r="G4" i="231"/>
  <c r="G4" i="232"/>
  <c r="E3" i="299"/>
  <c r="E3" i="219"/>
  <c r="E3" i="297"/>
  <c r="E3" i="220"/>
  <c r="E3" i="298"/>
  <c r="E3" i="221"/>
  <c r="X3" i="232"/>
  <c r="X3" i="231"/>
  <c r="X3" i="233"/>
  <c r="X3" i="309"/>
  <c r="X3" i="310"/>
  <c r="X3" i="311"/>
  <c r="Y3" i="308"/>
  <c r="Y3" i="306"/>
  <c r="Y3" i="307"/>
  <c r="Y3" i="228"/>
  <c r="Y3" i="229"/>
  <c r="Y3" i="230"/>
  <c r="B3" i="200"/>
  <c r="B3" i="201"/>
  <c r="B3" i="184"/>
  <c r="Q3" i="196"/>
  <c r="Q3" i="197"/>
  <c r="Q3" i="183"/>
  <c r="H2" i="197"/>
  <c r="H2" i="183"/>
  <c r="H2" i="196"/>
  <c r="K2" i="196"/>
  <c r="K2" i="183"/>
  <c r="K2" i="197"/>
  <c r="T2" i="307"/>
  <c r="T2" i="308"/>
  <c r="T2" i="306"/>
  <c r="T2" i="229"/>
  <c r="T2" i="230"/>
  <c r="T2" i="228"/>
  <c r="T4" i="311"/>
  <c r="T4" i="310"/>
  <c r="T4" i="309"/>
  <c r="T4" i="232"/>
  <c r="T4" i="233"/>
  <c r="T4" i="231"/>
  <c r="R3" i="185"/>
  <c r="R3" i="202"/>
  <c r="R3" i="203"/>
  <c r="S3" i="195"/>
  <c r="S3" i="182"/>
  <c r="S3" i="194"/>
  <c r="K4" i="201"/>
  <c r="K4" i="200"/>
  <c r="K4" i="184"/>
  <c r="N3" i="185"/>
  <c r="N3" i="203"/>
  <c r="N3" i="202"/>
  <c r="Q4" i="184"/>
  <c r="Q4" i="201"/>
  <c r="Q4" i="200"/>
  <c r="O4" i="302"/>
  <c r="O4" i="301"/>
  <c r="O4" i="300"/>
  <c r="O4" i="224"/>
  <c r="O4" i="222"/>
  <c r="O4" i="223"/>
  <c r="P3" i="298"/>
  <c r="P3" i="221"/>
  <c r="P3" i="297"/>
  <c r="P3" i="299"/>
  <c r="P3" i="219"/>
  <c r="P3" i="220"/>
  <c r="R2" i="203"/>
  <c r="R2" i="185"/>
  <c r="R2" i="202"/>
  <c r="D4" i="185"/>
  <c r="D4" i="202"/>
  <c r="D4" i="203"/>
  <c r="V2" i="195"/>
  <c r="V2" i="182"/>
  <c r="V2" i="194"/>
  <c r="Y3" i="194"/>
  <c r="Y3" i="182"/>
  <c r="Y3" i="195"/>
  <c r="K4" i="183"/>
  <c r="K4" i="197"/>
  <c r="K4" i="196"/>
  <c r="S2" i="195"/>
  <c r="S2" i="182"/>
  <c r="S2" i="194"/>
  <c r="R3" i="196"/>
  <c r="R3" i="183"/>
  <c r="R3" i="197"/>
  <c r="S3" i="203"/>
  <c r="S3" i="202"/>
  <c r="S3" i="185"/>
  <c r="X3" i="203"/>
  <c r="X3" i="185"/>
  <c r="X3" i="202"/>
  <c r="B3" i="202"/>
  <c r="B3" i="203"/>
  <c r="B3" i="185"/>
  <c r="X4" i="194"/>
  <c r="X4" i="182"/>
  <c r="X4" i="195"/>
  <c r="I2" i="182"/>
  <c r="I2" i="194"/>
  <c r="I2" i="195"/>
  <c r="L4" i="195"/>
  <c r="L4" i="182"/>
  <c r="L4" i="194"/>
  <c r="P4" i="203"/>
  <c r="P4" i="202"/>
  <c r="P4" i="185"/>
  <c r="X3" i="197"/>
  <c r="X3" i="183"/>
  <c r="X3" i="196"/>
  <c r="U2" i="197"/>
  <c r="U2" i="183"/>
  <c r="U2" i="196"/>
  <c r="R4" i="183"/>
  <c r="R4" i="197"/>
  <c r="R4" i="196"/>
  <c r="N3" i="184"/>
  <c r="N3" i="201"/>
  <c r="N3" i="200"/>
  <c r="Y2" i="184"/>
  <c r="Y2" i="200"/>
  <c r="Y2" i="201"/>
  <c r="B2" i="203"/>
  <c r="B2" i="185"/>
  <c r="B2" i="202"/>
  <c r="E4" i="194"/>
  <c r="E4" i="182"/>
  <c r="E4" i="195"/>
  <c r="T4" i="194"/>
  <c r="T4" i="195"/>
  <c r="T4" i="182"/>
  <c r="C4" i="182"/>
  <c r="C4" i="195"/>
  <c r="C4" i="194"/>
  <c r="I2" i="183"/>
  <c r="I2" i="197"/>
  <c r="I2" i="196"/>
  <c r="M3" i="184"/>
  <c r="M3" i="200"/>
  <c r="M3" i="201"/>
  <c r="E4" i="308"/>
  <c r="E4" i="306"/>
  <c r="E4" i="307"/>
  <c r="E4" i="230"/>
  <c r="E4" i="229"/>
  <c r="E4" i="228"/>
  <c r="I3" i="306"/>
  <c r="I3" i="307"/>
  <c r="I3" i="308"/>
  <c r="I3" i="228"/>
  <c r="I3" i="229"/>
  <c r="I3" i="230"/>
  <c r="R4" i="223"/>
  <c r="R4" i="222"/>
  <c r="R4" i="224"/>
  <c r="R4" i="300"/>
  <c r="R4" i="301"/>
  <c r="R4" i="302"/>
  <c r="L4" i="298"/>
  <c r="L4" i="299"/>
  <c r="L4" i="221"/>
  <c r="L4" i="297"/>
  <c r="L4" i="220"/>
  <c r="L4" i="219"/>
  <c r="Q2" i="308"/>
  <c r="Q2" i="306"/>
  <c r="Q2" i="307"/>
  <c r="Q2" i="228"/>
  <c r="Q2" i="229"/>
  <c r="Q2" i="230"/>
  <c r="W4" i="297"/>
  <c r="W4" i="220"/>
  <c r="W4" i="221"/>
  <c r="W4" i="219"/>
  <c r="W4" i="298"/>
  <c r="W4" i="299"/>
  <c r="K4" i="223"/>
  <c r="K4" i="302"/>
  <c r="K4" i="300"/>
  <c r="K4" i="301"/>
  <c r="K4" i="224"/>
  <c r="K4" i="222"/>
  <c r="O4" i="219"/>
  <c r="O4" i="221"/>
  <c r="O4" i="220"/>
  <c r="O4" i="299"/>
  <c r="O4" i="297"/>
  <c r="O4" i="298"/>
  <c r="N4" i="310"/>
  <c r="N4" i="309"/>
  <c r="N4" i="233"/>
  <c r="N4" i="311"/>
  <c r="N4" i="231"/>
  <c r="N4" i="232"/>
  <c r="Q3" i="300"/>
  <c r="Q3" i="302"/>
  <c r="Q3" i="301"/>
  <c r="Q3" i="223"/>
  <c r="Q3" i="224"/>
  <c r="Q3" i="222"/>
  <c r="J4" i="222"/>
  <c r="J4" i="223"/>
  <c r="J4" i="224"/>
  <c r="J4" i="302"/>
  <c r="J4" i="301"/>
  <c r="J4" i="300"/>
  <c r="G4" i="301"/>
  <c r="G4" i="222"/>
  <c r="G4" i="223"/>
  <c r="G4" i="224"/>
  <c r="G4" i="302"/>
  <c r="G4" i="300"/>
  <c r="D3" i="297"/>
  <c r="D3" i="298"/>
  <c r="D3" i="299"/>
  <c r="D3" i="220"/>
  <c r="D3" i="221"/>
  <c r="D3" i="219"/>
  <c r="W2" i="230"/>
  <c r="W2" i="228"/>
  <c r="W2" i="229"/>
  <c r="W2" i="306"/>
  <c r="W2" i="308"/>
  <c r="W2" i="307"/>
  <c r="E4" i="231"/>
  <c r="E4" i="310"/>
  <c r="E4" i="309"/>
  <c r="E4" i="311"/>
  <c r="E4" i="233"/>
  <c r="E4" i="232"/>
  <c r="C3" i="221"/>
  <c r="C3" i="297"/>
  <c r="C3" i="299"/>
  <c r="C3" i="219"/>
  <c r="C3" i="220"/>
  <c r="C3" i="298"/>
  <c r="S3" i="310"/>
  <c r="S3" i="311"/>
  <c r="S3" i="231"/>
  <c r="S3" i="309"/>
  <c r="S3" i="233"/>
  <c r="S3" i="232"/>
  <c r="P3" i="308"/>
  <c r="P3" i="307"/>
  <c r="P3" i="306"/>
  <c r="P3" i="230"/>
  <c r="P3" i="229"/>
  <c r="P3" i="228"/>
  <c r="Y3" i="183"/>
  <c r="Y3" i="196"/>
  <c r="Y3" i="197"/>
  <c r="F2" i="307"/>
  <c r="F2" i="308"/>
  <c r="F2" i="306"/>
  <c r="F2" i="230"/>
  <c r="F2" i="228"/>
  <c r="F2" i="229"/>
  <c r="X4" i="200"/>
  <c r="X4" i="184"/>
  <c r="X4" i="201"/>
  <c r="O2" i="298"/>
  <c r="O2" i="299"/>
  <c r="O2" i="220"/>
  <c r="O2" i="297"/>
  <c r="O2" i="221"/>
  <c r="O2" i="219"/>
  <c r="N4" i="307"/>
  <c r="N4" i="229"/>
  <c r="N4" i="306"/>
  <c r="N4" i="308"/>
  <c r="N4" i="230"/>
  <c r="N4" i="228"/>
  <c r="D3" i="183"/>
  <c r="D3" i="196"/>
  <c r="D3" i="197"/>
  <c r="B2" i="184"/>
  <c r="B2" i="200"/>
  <c r="B2" i="201"/>
  <c r="G2" i="185"/>
  <c r="G2" i="202"/>
  <c r="G2" i="203"/>
  <c r="L3" i="309"/>
  <c r="L3" i="311"/>
  <c r="L3" i="310"/>
  <c r="L3" i="231"/>
  <c r="L3" i="233"/>
  <c r="L3" i="232"/>
  <c r="E4" i="197"/>
  <c r="E4" i="196"/>
  <c r="E4" i="183"/>
  <c r="S4" i="302"/>
  <c r="S4" i="301"/>
  <c r="S4" i="223"/>
  <c r="S4" i="224"/>
  <c r="S4" i="300"/>
  <c r="S4" i="222"/>
  <c r="N2" i="298"/>
  <c r="N2" i="297"/>
  <c r="N2" i="299"/>
  <c r="N2" i="220"/>
  <c r="N2" i="221"/>
  <c r="N2" i="219"/>
  <c r="B2" i="223"/>
  <c r="B2" i="301"/>
  <c r="B2" i="224"/>
  <c r="B2" i="302"/>
  <c r="B2" i="300"/>
  <c r="B2" i="222"/>
  <c r="Q4" i="197"/>
  <c r="Q4" i="183"/>
  <c r="Q4" i="196"/>
  <c r="M4" i="310"/>
  <c r="M4" i="309"/>
  <c r="M4" i="231"/>
  <c r="M4" i="311"/>
  <c r="M4" i="233"/>
  <c r="M4" i="232"/>
  <c r="V4" i="308"/>
  <c r="V4" i="230"/>
  <c r="V4" i="306"/>
  <c r="V4" i="307"/>
  <c r="V4" i="228"/>
  <c r="V4" i="229"/>
  <c r="O3" i="310"/>
  <c r="O3" i="311"/>
  <c r="O3" i="309"/>
  <c r="O3" i="233"/>
  <c r="O3" i="231"/>
  <c r="O3" i="232"/>
  <c r="C2" i="195"/>
  <c r="C2" i="182"/>
  <c r="C2" i="194"/>
  <c r="N4" i="201"/>
  <c r="N4" i="184"/>
  <c r="N4" i="200"/>
  <c r="P2" i="194"/>
  <c r="P2" i="195"/>
  <c r="P2" i="182"/>
  <c r="V4" i="183"/>
  <c r="V4" i="197"/>
  <c r="V4" i="196"/>
  <c r="U2" i="201"/>
  <c r="U2" i="184"/>
  <c r="U2" i="200"/>
  <c r="O4" i="185"/>
  <c r="O4" i="203"/>
  <c r="O4" i="202"/>
  <c r="O3" i="194"/>
  <c r="O3" i="195"/>
  <c r="O3" i="182"/>
  <c r="N4" i="195"/>
  <c r="N4" i="182"/>
  <c r="N4" i="194"/>
  <c r="X3" i="308"/>
  <c r="X3" i="307"/>
  <c r="X3" i="230"/>
  <c r="X3" i="306"/>
  <c r="X3" i="228"/>
  <c r="X3" i="229"/>
  <c r="B4" i="302"/>
  <c r="B4" i="301"/>
  <c r="B4" i="222"/>
  <c r="B4" i="223"/>
  <c r="B4" i="224"/>
  <c r="B4" i="300"/>
  <c r="P2" i="223"/>
  <c r="P2" i="222"/>
  <c r="P2" i="302"/>
  <c r="P2" i="300"/>
  <c r="P2" i="224"/>
  <c r="P2" i="301"/>
  <c r="B3" i="232"/>
  <c r="B3" i="309"/>
  <c r="B3" i="231"/>
  <c r="B3" i="310"/>
  <c r="B3" i="311"/>
  <c r="B3" i="233"/>
  <c r="X4" i="299"/>
  <c r="X4" i="298"/>
  <c r="X4" i="297"/>
  <c r="X4" i="219"/>
  <c r="X4" i="220"/>
  <c r="X4" i="221"/>
  <c r="W3" i="224"/>
  <c r="W3" i="223"/>
  <c r="W3" i="222"/>
  <c r="W3" i="301"/>
  <c r="W3" i="302"/>
  <c r="W3" i="300"/>
  <c r="M3" i="223"/>
  <c r="M3" i="224"/>
  <c r="M3" i="222"/>
  <c r="M3" i="302"/>
  <c r="M3" i="301"/>
  <c r="M3" i="300"/>
  <c r="X3" i="200"/>
  <c r="X3" i="201"/>
  <c r="X3" i="184"/>
  <c r="N2" i="197"/>
  <c r="N2" i="183"/>
  <c r="N2" i="196"/>
  <c r="Y3" i="185"/>
  <c r="Y3" i="203"/>
  <c r="Y3" i="202"/>
  <c r="W3" i="185"/>
  <c r="W3" i="202"/>
  <c r="W3" i="203"/>
  <c r="C4" i="196"/>
  <c r="C4" i="197"/>
  <c r="C4" i="183"/>
  <c r="H4" i="184"/>
  <c r="H4" i="201"/>
  <c r="H4" i="200"/>
  <c r="O4" i="184"/>
  <c r="O4" i="200"/>
  <c r="O4" i="201"/>
  <c r="R2" i="197"/>
  <c r="R2" i="196"/>
  <c r="R2" i="183"/>
  <c r="H4" i="197"/>
  <c r="H4" i="183"/>
  <c r="H4" i="196"/>
  <c r="S3" i="196"/>
  <c r="S3" i="183"/>
  <c r="S3" i="197"/>
  <c r="F4" i="195"/>
  <c r="F4" i="194"/>
  <c r="F4" i="182"/>
  <c r="I4" i="183"/>
  <c r="I4" i="196"/>
  <c r="I4" i="197"/>
  <c r="C2" i="197"/>
  <c r="C2" i="196"/>
  <c r="C2" i="183"/>
  <c r="Q4" i="185"/>
  <c r="Q4" i="203"/>
  <c r="Q4" i="202"/>
  <c r="U2" i="194"/>
  <c r="U2" i="182"/>
  <c r="U2" i="195"/>
  <c r="T3" i="182"/>
  <c r="T3" i="194"/>
  <c r="T3" i="195"/>
  <c r="L2" i="195"/>
  <c r="L2" i="182"/>
  <c r="L2" i="194"/>
  <c r="J2" i="196"/>
  <c r="J2" i="197"/>
  <c r="J2" i="183"/>
  <c r="U2" i="307"/>
  <c r="U2" i="308"/>
  <c r="U2" i="306"/>
  <c r="U2" i="229"/>
  <c r="U2" i="230"/>
  <c r="U2" i="228"/>
  <c r="B2" i="311"/>
  <c r="B2" i="232"/>
  <c r="B2" i="310"/>
  <c r="B2" i="309"/>
  <c r="B2" i="231"/>
  <c r="B2" i="233"/>
  <c r="H4" i="300"/>
  <c r="H4" i="301"/>
  <c r="H4" i="302"/>
  <c r="H4" i="224"/>
  <c r="H4" i="222"/>
  <c r="H4" i="223"/>
  <c r="D2" i="228"/>
  <c r="D2" i="229"/>
  <c r="D2" i="307"/>
  <c r="D2" i="308"/>
  <c r="D2" i="230"/>
  <c r="D2" i="306"/>
  <c r="L4" i="310"/>
  <c r="L4" i="309"/>
  <c r="L4" i="311"/>
  <c r="L4" i="233"/>
  <c r="L4" i="232"/>
  <c r="L4" i="231"/>
  <c r="B3" i="299"/>
  <c r="B3" i="298"/>
  <c r="B3" i="297"/>
  <c r="B3" i="221"/>
  <c r="B3" i="219"/>
  <c r="B3" i="220"/>
  <c r="U2" i="222"/>
  <c r="U2" i="300"/>
  <c r="U2" i="223"/>
  <c r="U2" i="302"/>
  <c r="U2" i="301"/>
  <c r="U2" i="224"/>
  <c r="F4" i="232"/>
  <c r="F4" i="309"/>
  <c r="F4" i="233"/>
  <c r="F4" i="311"/>
  <c r="F4" i="310"/>
  <c r="F4" i="231"/>
  <c r="K3" i="306"/>
  <c r="K3" i="308"/>
  <c r="K3" i="230"/>
  <c r="K3" i="229"/>
  <c r="K3" i="228"/>
  <c r="K3" i="307"/>
  <c r="R4" i="306"/>
  <c r="R4" i="229"/>
  <c r="R4" i="308"/>
  <c r="R4" i="307"/>
  <c r="R4" i="228"/>
  <c r="R4" i="230"/>
  <c r="I3" i="310"/>
  <c r="I3" i="309"/>
  <c r="I3" i="311"/>
  <c r="I3" i="231"/>
  <c r="I3" i="232"/>
  <c r="I3" i="233"/>
  <c r="C3" i="306"/>
  <c r="C3" i="307"/>
  <c r="C3" i="228"/>
  <c r="C3" i="230"/>
  <c r="C3" i="229"/>
  <c r="C3" i="308"/>
  <c r="P2" i="306"/>
  <c r="P2" i="230"/>
  <c r="P2" i="229"/>
  <c r="P2" i="307"/>
  <c r="P2" i="228"/>
  <c r="P2" i="308"/>
  <c r="O2" i="301"/>
  <c r="O2" i="302"/>
  <c r="O2" i="300"/>
  <c r="O2" i="223"/>
  <c r="O2" i="224"/>
  <c r="O2" i="222"/>
  <c r="K4" i="231"/>
  <c r="K4" i="310"/>
  <c r="K4" i="311"/>
  <c r="K4" i="309"/>
  <c r="K4" i="233"/>
  <c r="K4" i="232"/>
  <c r="M3" i="221"/>
  <c r="M3" i="219"/>
  <c r="M3" i="220"/>
  <c r="M3" i="298"/>
  <c r="M3" i="297"/>
  <c r="M3" i="299"/>
  <c r="X4" i="306"/>
  <c r="X4" i="308"/>
  <c r="X4" i="229"/>
  <c r="X4" i="307"/>
  <c r="X4" i="228"/>
  <c r="X4" i="230"/>
  <c r="S4" i="307"/>
  <c r="S4" i="308"/>
  <c r="S4" i="306"/>
  <c r="S4" i="229"/>
  <c r="S4" i="228"/>
  <c r="S4" i="230"/>
  <c r="G4" i="184"/>
  <c r="G4" i="200"/>
  <c r="G4" i="201"/>
  <c r="M3" i="194"/>
  <c r="M3" i="182"/>
  <c r="M3" i="195"/>
  <c r="S3" i="220"/>
  <c r="S3" i="221"/>
  <c r="S3" i="299"/>
  <c r="S3" i="297"/>
  <c r="S3" i="298"/>
  <c r="S3" i="219"/>
  <c r="M4" i="202"/>
  <c r="M4" i="203"/>
  <c r="M4" i="185"/>
  <c r="I3" i="197"/>
  <c r="I3" i="196"/>
  <c r="I3" i="183"/>
  <c r="E2" i="203"/>
  <c r="E2" i="185"/>
  <c r="E2" i="202"/>
  <c r="B2" i="194"/>
  <c r="B2" i="182"/>
  <c r="B2" i="195"/>
  <c r="J2" i="221"/>
  <c r="J2" i="219"/>
  <c r="J2" i="220"/>
  <c r="J2" i="299"/>
  <c r="J2" i="297"/>
  <c r="J2" i="298"/>
  <c r="N2" i="302"/>
  <c r="N2" i="300"/>
  <c r="N2" i="222"/>
  <c r="N2" i="223"/>
  <c r="N2" i="301"/>
  <c r="N2" i="224"/>
  <c r="M2" i="300"/>
  <c r="M2" i="224"/>
  <c r="M2" i="223"/>
  <c r="M2" i="302"/>
  <c r="M2" i="222"/>
  <c r="M2" i="301"/>
  <c r="R2" i="222"/>
  <c r="R2" i="302"/>
  <c r="R2" i="223"/>
  <c r="R2" i="300"/>
  <c r="R2" i="301"/>
  <c r="R2" i="224"/>
  <c r="X2" i="230"/>
  <c r="X2" i="228"/>
  <c r="X2" i="229"/>
  <c r="X2" i="306"/>
  <c r="X2" i="307"/>
  <c r="X2" i="308"/>
  <c r="R2" i="307"/>
  <c r="R2" i="308"/>
  <c r="R2" i="228"/>
  <c r="R2" i="229"/>
  <c r="R2" i="306"/>
  <c r="R2" i="230"/>
  <c r="G2" i="197"/>
  <c r="G2" i="183"/>
  <c r="G2" i="196"/>
  <c r="J2" i="200"/>
  <c r="J2" i="184"/>
  <c r="J2" i="201"/>
  <c r="P2" i="202"/>
  <c r="P2" i="203"/>
  <c r="P2" i="185"/>
  <c r="Q3" i="203"/>
  <c r="Q3" i="185"/>
  <c r="Q3" i="202"/>
  <c r="G3" i="311"/>
  <c r="G3" i="309"/>
  <c r="G3" i="310"/>
  <c r="G3" i="233"/>
  <c r="G3" i="231"/>
  <c r="G3" i="232"/>
  <c r="H4" i="307"/>
  <c r="H4" i="306"/>
  <c r="H4" i="229"/>
  <c r="H4" i="308"/>
  <c r="H4" i="228"/>
  <c r="H4" i="230"/>
  <c r="J3" i="306"/>
  <c r="J3" i="307"/>
  <c r="J3" i="308"/>
  <c r="J3" i="230"/>
  <c r="J3" i="228"/>
  <c r="J3" i="229"/>
  <c r="K2" i="182"/>
  <c r="K2" i="195"/>
  <c r="K2" i="194"/>
  <c r="X4" i="202"/>
  <c r="X4" i="185"/>
  <c r="X4" i="203"/>
  <c r="T4" i="184"/>
  <c r="T4" i="200"/>
  <c r="T4" i="201"/>
  <c r="N4" i="183"/>
  <c r="N4" i="196"/>
  <c r="N4" i="197"/>
  <c r="O3" i="203"/>
  <c r="O3" i="185"/>
  <c r="O3" i="202"/>
  <c r="I3" i="195"/>
  <c r="I3" i="182"/>
  <c r="I3" i="194"/>
  <c r="H2" i="299"/>
  <c r="H2" i="298"/>
  <c r="H2" i="297"/>
  <c r="H2" i="220"/>
  <c r="H2" i="221"/>
  <c r="H2" i="219"/>
  <c r="V3" i="309"/>
  <c r="V3" i="310"/>
  <c r="V3" i="231"/>
  <c r="V3" i="232"/>
  <c r="V3" i="233"/>
  <c r="V3" i="311"/>
  <c r="O2" i="195"/>
  <c r="O2" i="182"/>
  <c r="O2" i="194"/>
  <c r="C3" i="185"/>
  <c r="C3" i="203"/>
  <c r="C3" i="202"/>
  <c r="W3" i="196"/>
  <c r="W3" i="183"/>
  <c r="W3" i="197"/>
  <c r="D4" i="184"/>
  <c r="D4" i="201"/>
  <c r="D4" i="200"/>
  <c r="O3" i="201"/>
  <c r="O3" i="184"/>
  <c r="O3" i="200"/>
  <c r="D2" i="197"/>
  <c r="D2" i="183"/>
  <c r="D2" i="196"/>
  <c r="M4" i="194"/>
  <c r="M4" i="182"/>
  <c r="M4" i="195"/>
  <c r="B3" i="228"/>
  <c r="B3" i="230"/>
  <c r="B3" i="229"/>
  <c r="B3" i="307"/>
  <c r="B3" i="306"/>
  <c r="B3" i="308"/>
  <c r="G3" i="300"/>
  <c r="G3" i="302"/>
  <c r="G3" i="223"/>
  <c r="G3" i="224"/>
  <c r="G3" i="301"/>
  <c r="G3" i="222"/>
  <c r="L3" i="297"/>
  <c r="L3" i="219"/>
  <c r="L3" i="221"/>
  <c r="L3" i="220"/>
  <c r="L3" i="299"/>
  <c r="L3" i="298"/>
  <c r="V4" i="222"/>
  <c r="V4" i="300"/>
  <c r="V4" i="302"/>
  <c r="V4" i="224"/>
  <c r="V4" i="223"/>
  <c r="V4" i="301"/>
  <c r="N3" i="231"/>
  <c r="N3" i="233"/>
  <c r="N3" i="232"/>
  <c r="N3" i="309"/>
  <c r="N3" i="310"/>
  <c r="N3" i="311"/>
  <c r="H3" i="297"/>
  <c r="H3" i="219"/>
  <c r="H3" i="220"/>
  <c r="H3" i="221"/>
  <c r="H3" i="299"/>
  <c r="H3" i="298"/>
  <c r="L4" i="306"/>
  <c r="L4" i="307"/>
  <c r="L4" i="308"/>
  <c r="L4" i="228"/>
  <c r="L4" i="229"/>
  <c r="L4" i="230"/>
  <c r="O2" i="309"/>
  <c r="O2" i="310"/>
  <c r="O2" i="311"/>
  <c r="O2" i="232"/>
  <c r="O2" i="233"/>
  <c r="O2" i="231"/>
  <c r="W4" i="302"/>
  <c r="W4" i="300"/>
  <c r="W4" i="224"/>
  <c r="W4" i="223"/>
  <c r="W4" i="222"/>
  <c r="W4" i="301"/>
  <c r="V4" i="232"/>
  <c r="V4" i="311"/>
  <c r="V4" i="309"/>
  <c r="V4" i="233"/>
  <c r="V4" i="231"/>
  <c r="V4" i="310"/>
  <c r="I3" i="302"/>
  <c r="I3" i="300"/>
  <c r="I3" i="301"/>
  <c r="I3" i="224"/>
  <c r="I3" i="222"/>
  <c r="I3" i="223"/>
  <c r="J2" i="311"/>
  <c r="J2" i="310"/>
  <c r="J2" i="309"/>
  <c r="J2" i="232"/>
  <c r="J2" i="233"/>
  <c r="J2" i="231"/>
  <c r="V2" i="306"/>
  <c r="V2" i="308"/>
  <c r="V2" i="228"/>
  <c r="V2" i="229"/>
  <c r="V2" i="230"/>
  <c r="V2" i="307"/>
  <c r="K2" i="223"/>
  <c r="K2" i="302"/>
  <c r="K2" i="301"/>
  <c r="K2" i="300"/>
  <c r="K2" i="222"/>
  <c r="K2" i="224"/>
  <c r="F2" i="309"/>
  <c r="F2" i="310"/>
  <c r="F2" i="311"/>
  <c r="F2" i="233"/>
  <c r="F2" i="231"/>
  <c r="F2" i="232"/>
  <c r="E2" i="307"/>
  <c r="E2" i="306"/>
  <c r="E2" i="230"/>
  <c r="E2" i="228"/>
  <c r="E2" i="229"/>
  <c r="E2" i="308"/>
  <c r="T4" i="228"/>
  <c r="T4" i="229"/>
  <c r="T4" i="308"/>
  <c r="T4" i="307"/>
  <c r="T4" i="306"/>
  <c r="T4" i="230"/>
  <c r="S3" i="228"/>
  <c r="S3" i="307"/>
  <c r="S3" i="306"/>
  <c r="S3" i="308"/>
  <c r="S3" i="230"/>
  <c r="S3" i="229"/>
  <c r="K2" i="201"/>
  <c r="K2" i="184"/>
  <c r="K2" i="200"/>
  <c r="S2" i="197"/>
  <c r="S2" i="196"/>
  <c r="S2" i="183"/>
  <c r="K2" i="310"/>
  <c r="K2" i="311"/>
  <c r="K2" i="309"/>
  <c r="K2" i="233"/>
  <c r="K2" i="231"/>
  <c r="K2" i="232"/>
  <c r="C2" i="202"/>
  <c r="C2" i="185"/>
  <c r="C2" i="203"/>
  <c r="L3" i="194"/>
  <c r="L3" i="182"/>
  <c r="L3" i="195"/>
  <c r="V3" i="194"/>
  <c r="V3" i="195"/>
  <c r="V3" i="182"/>
  <c r="S3" i="200"/>
  <c r="S3" i="201"/>
  <c r="S3" i="184"/>
  <c r="U3" i="200"/>
  <c r="U3" i="184"/>
  <c r="U3" i="201"/>
  <c r="B4" i="202"/>
  <c r="B4" i="185"/>
  <c r="B4" i="203"/>
  <c r="K3" i="301"/>
  <c r="K3" i="300"/>
  <c r="K3" i="224"/>
  <c r="K3" i="222"/>
  <c r="K3" i="223"/>
  <c r="K3" i="302"/>
  <c r="L2" i="299"/>
  <c r="L2" i="297"/>
  <c r="L2" i="221"/>
  <c r="L2" i="298"/>
  <c r="L2" i="220"/>
  <c r="L2" i="219"/>
  <c r="G2" i="182"/>
  <c r="G2" i="194"/>
  <c r="G2" i="195"/>
  <c r="C4" i="200"/>
  <c r="C4" i="201"/>
  <c r="C4" i="184"/>
  <c r="J4" i="183"/>
  <c r="J4" i="197"/>
  <c r="J4" i="196"/>
  <c r="H3" i="310"/>
  <c r="H3" i="309"/>
  <c r="H3" i="232"/>
  <c r="H3" i="311"/>
  <c r="H3" i="233"/>
  <c r="H3" i="231"/>
  <c r="W3" i="298"/>
  <c r="W3" i="221"/>
  <c r="W3" i="219"/>
  <c r="W3" i="297"/>
  <c r="W3" i="299"/>
  <c r="W3" i="220"/>
  <c r="J4" i="299"/>
  <c r="J4" i="219"/>
  <c r="J4" i="298"/>
  <c r="J4" i="297"/>
  <c r="J4" i="220"/>
  <c r="J4" i="221"/>
  <c r="U4" i="306"/>
  <c r="U4" i="229"/>
  <c r="U4" i="230"/>
  <c r="U4" i="308"/>
  <c r="U4" i="307"/>
  <c r="U4" i="228"/>
  <c r="R2" i="219"/>
  <c r="R2" i="220"/>
  <c r="R2" i="298"/>
  <c r="R2" i="297"/>
  <c r="R2" i="221"/>
  <c r="R2" i="299"/>
  <c r="S4" i="203"/>
  <c r="S4" i="185"/>
  <c r="S4" i="202"/>
  <c r="P3" i="203"/>
  <c r="P3" i="202"/>
  <c r="P3" i="185"/>
  <c r="J3" i="201"/>
  <c r="J3" i="184"/>
  <c r="J3" i="200"/>
  <c r="E3" i="182"/>
  <c r="E3" i="194"/>
  <c r="E3" i="195"/>
  <c r="F3" i="302"/>
  <c r="F3" i="300"/>
  <c r="F3" i="301"/>
  <c r="F3" i="222"/>
  <c r="F3" i="223"/>
  <c r="F3" i="224"/>
  <c r="I3" i="202"/>
  <c r="I3" i="185"/>
  <c r="I3" i="203"/>
  <c r="T2" i="184"/>
  <c r="T2" i="201"/>
  <c r="T2" i="200"/>
  <c r="Y4" i="203"/>
  <c r="Y4" i="202"/>
  <c r="Y4" i="185"/>
  <c r="P3" i="194"/>
  <c r="P3" i="195"/>
  <c r="P3" i="182"/>
  <c r="C3" i="182"/>
  <c r="C3" i="194"/>
  <c r="C3" i="195"/>
  <c r="P4" i="201"/>
  <c r="P4" i="184"/>
  <c r="P4" i="200"/>
  <c r="X2" i="185"/>
  <c r="X2" i="203"/>
  <c r="X2" i="202"/>
  <c r="G2" i="201"/>
  <c r="G2" i="200"/>
  <c r="G2" i="184"/>
  <c r="J3" i="196"/>
  <c r="J3" i="183"/>
  <c r="J3" i="197"/>
  <c r="V3" i="196"/>
  <c r="V3" i="197"/>
  <c r="V3" i="183"/>
  <c r="E2" i="182"/>
  <c r="E2" i="195"/>
  <c r="E2" i="194"/>
  <c r="S2" i="300"/>
  <c r="S2" i="302"/>
  <c r="S2" i="224"/>
  <c r="S2" i="222"/>
  <c r="S2" i="223"/>
  <c r="S2" i="301"/>
  <c r="B2" i="297"/>
  <c r="B2" i="220"/>
  <c r="B2" i="219"/>
  <c r="B2" i="221"/>
  <c r="B2" i="299"/>
  <c r="B2" i="298"/>
  <c r="Q4" i="310"/>
  <c r="Q4" i="311"/>
  <c r="Q4" i="309"/>
  <c r="Q4" i="232"/>
  <c r="Q4" i="233"/>
  <c r="Q4" i="231"/>
  <c r="X2" i="309"/>
  <c r="X2" i="310"/>
  <c r="X2" i="311"/>
  <c r="X2" i="232"/>
  <c r="X2" i="233"/>
  <c r="X2" i="231"/>
  <c r="K2" i="306"/>
  <c r="K2" i="307"/>
  <c r="K2" i="308"/>
  <c r="K2" i="230"/>
  <c r="K2" i="228"/>
  <c r="K2" i="229"/>
  <c r="P3" i="309"/>
  <c r="P3" i="310"/>
  <c r="P3" i="231"/>
  <c r="P3" i="232"/>
  <c r="P3" i="233"/>
  <c r="P3" i="311"/>
  <c r="N2" i="308"/>
  <c r="N2" i="307"/>
  <c r="N2" i="306"/>
  <c r="N2" i="230"/>
  <c r="N2" i="228"/>
  <c r="N2" i="229"/>
  <c r="D4" i="307"/>
  <c r="D4" i="306"/>
  <c r="D4" i="308"/>
  <c r="D4" i="229"/>
  <c r="D4" i="230"/>
  <c r="D4" i="228"/>
  <c r="R3" i="201"/>
  <c r="R3" i="200"/>
  <c r="R3" i="184"/>
  <c r="B3" i="194"/>
  <c r="B3" i="195"/>
  <c r="B3" i="182"/>
  <c r="E3" i="222"/>
  <c r="E3" i="223"/>
  <c r="E3" i="300"/>
  <c r="E3" i="302"/>
  <c r="E3" i="301"/>
  <c r="E3" i="224"/>
  <c r="M2" i="197"/>
  <c r="M2" i="196"/>
  <c r="M2" i="183"/>
  <c r="Q4" i="297"/>
  <c r="Q4" i="299"/>
  <c r="Q4" i="221"/>
  <c r="Q4" i="298"/>
  <c r="Q4" i="219"/>
  <c r="Q4" i="220"/>
  <c r="K3" i="182"/>
  <c r="K3" i="194"/>
  <c r="K3" i="195"/>
  <c r="R3" i="302"/>
  <c r="R3" i="224"/>
  <c r="R3" i="222"/>
  <c r="R3" i="301"/>
  <c r="R3" i="300"/>
  <c r="R3" i="223"/>
  <c r="E3" i="310"/>
  <c r="E3" i="232"/>
  <c r="E3" i="311"/>
  <c r="E3" i="309"/>
  <c r="E3" i="233"/>
  <c r="E3" i="231"/>
  <c r="R4" i="182"/>
  <c r="R4" i="195"/>
  <c r="R4" i="194"/>
  <c r="W4" i="183"/>
  <c r="W4" i="197"/>
  <c r="W4" i="196"/>
  <c r="E2" i="201"/>
  <c r="E2" i="184"/>
  <c r="E2" i="200"/>
  <c r="U2" i="203"/>
  <c r="U2" i="185"/>
  <c r="U2" i="202"/>
  <c r="N4" i="203"/>
  <c r="N4" i="202"/>
  <c r="N4" i="185"/>
  <c r="H2" i="202"/>
  <c r="H2" i="203"/>
  <c r="H2" i="185"/>
  <c r="H4" i="203"/>
  <c r="H4" i="202"/>
  <c r="H4" i="185"/>
  <c r="D2" i="194"/>
  <c r="D2" i="195"/>
  <c r="D2" i="182"/>
  <c r="E3" i="196"/>
  <c r="E3" i="197"/>
  <c r="E3" i="183"/>
  <c r="P3" i="197"/>
  <c r="P3" i="183"/>
  <c r="P3" i="196"/>
  <c r="P4" i="231"/>
  <c r="P4" i="311"/>
  <c r="P4" i="309"/>
  <c r="P4" i="232"/>
  <c r="P4" i="233"/>
  <c r="P4" i="310"/>
  <c r="Y4" i="184"/>
  <c r="Y4" i="201"/>
  <c r="Y4" i="200"/>
  <c r="F4" i="201"/>
  <c r="F4" i="184"/>
  <c r="F4" i="200"/>
  <c r="B4" i="183"/>
  <c r="B4" i="196"/>
  <c r="B4" i="197"/>
  <c r="U4" i="202"/>
  <c r="U4" i="203"/>
  <c r="U4" i="185"/>
  <c r="T3" i="184"/>
  <c r="T3" i="201"/>
  <c r="T3" i="200"/>
  <c r="M3" i="183"/>
  <c r="M3" i="197"/>
  <c r="M3" i="196"/>
  <c r="Q3" i="184"/>
  <c r="Q3" i="201"/>
  <c r="Q3" i="200"/>
  <c r="P4" i="182"/>
  <c r="P4" i="195"/>
  <c r="P4" i="194"/>
  <c r="O4" i="194"/>
  <c r="O4" i="195"/>
  <c r="O4" i="182"/>
  <c r="S2" i="203"/>
  <c r="S2" i="185"/>
  <c r="S2" i="202"/>
  <c r="Y2" i="220"/>
  <c r="Y2" i="221"/>
  <c r="Y2" i="219"/>
  <c r="Y2" i="299"/>
  <c r="Y2" i="297"/>
  <c r="Y2" i="298"/>
  <c r="S4" i="311"/>
  <c r="S4" i="310"/>
  <c r="S4" i="309"/>
  <c r="S4" i="231"/>
  <c r="S4" i="232"/>
  <c r="S4" i="233"/>
  <c r="O3" i="222"/>
  <c r="O3" i="300"/>
  <c r="O3" i="301"/>
  <c r="O3" i="224"/>
  <c r="O3" i="223"/>
  <c r="O3" i="302"/>
  <c r="T3" i="230"/>
  <c r="T3" i="228"/>
  <c r="T3" i="307"/>
  <c r="T3" i="308"/>
  <c r="T3" i="306"/>
  <c r="T3" i="229"/>
  <c r="C3" i="184"/>
  <c r="C3" i="201"/>
  <c r="C3" i="200"/>
  <c r="J4" i="182"/>
  <c r="J4" i="194"/>
  <c r="J4" i="195"/>
  <c r="U4" i="195"/>
  <c r="U4" i="194"/>
  <c r="U4" i="182"/>
  <c r="I4" i="185"/>
  <c r="I4" i="203"/>
  <c r="I4" i="202"/>
  <c r="E3" i="184"/>
  <c r="E3" i="200"/>
  <c r="E3" i="201"/>
  <c r="M3" i="203"/>
  <c r="M3" i="185"/>
  <c r="M3" i="202"/>
  <c r="V4" i="203"/>
  <c r="V4" i="202"/>
  <c r="V4" i="185"/>
  <c r="J4" i="203"/>
  <c r="J4" i="202"/>
  <c r="J4" i="185"/>
  <c r="C4" i="301"/>
  <c r="C4" i="302"/>
  <c r="C4" i="300"/>
  <c r="C4" i="222"/>
  <c r="C4" i="224"/>
  <c r="C4" i="223"/>
  <c r="M3" i="306"/>
  <c r="M3" i="307"/>
  <c r="M3" i="230"/>
  <c r="M3" i="228"/>
  <c r="M3" i="229"/>
  <c r="M3" i="308"/>
  <c r="J2" i="222"/>
  <c r="J2" i="300"/>
  <c r="J2" i="302"/>
  <c r="J2" i="301"/>
  <c r="J2" i="224"/>
  <c r="J2" i="223"/>
  <c r="U3" i="232"/>
  <c r="U3" i="311"/>
  <c r="U3" i="309"/>
  <c r="U3" i="310"/>
  <c r="U3" i="231"/>
  <c r="U3" i="233"/>
  <c r="Q3" i="311"/>
  <c r="Q3" i="310"/>
  <c r="Q3" i="233"/>
  <c r="Q3" i="231"/>
  <c r="Q3" i="232"/>
  <c r="Q3" i="309"/>
  <c r="D3" i="231"/>
  <c r="D3" i="232"/>
  <c r="D3" i="311"/>
  <c r="D3" i="309"/>
  <c r="D3" i="310"/>
  <c r="D3" i="233"/>
  <c r="L3" i="230"/>
  <c r="L3" i="306"/>
  <c r="L3" i="308"/>
  <c r="L3" i="307"/>
  <c r="L3" i="228"/>
  <c r="L3" i="229"/>
  <c r="V4" i="297"/>
  <c r="V4" i="298"/>
  <c r="V4" i="220"/>
  <c r="V4" i="219"/>
  <c r="V4" i="221"/>
  <c r="V4" i="299"/>
  <c r="O2" i="230"/>
  <c r="O2" i="228"/>
  <c r="O2" i="229"/>
  <c r="O2" i="308"/>
  <c r="O2" i="306"/>
  <c r="O2" i="307"/>
  <c r="S2" i="298"/>
  <c r="S2" i="297"/>
  <c r="S2" i="299"/>
  <c r="S2" i="221"/>
  <c r="S2" i="219"/>
  <c r="S2" i="220"/>
  <c r="B3" i="302"/>
  <c r="B3" i="301"/>
  <c r="B3" i="300"/>
  <c r="B3" i="224"/>
  <c r="B3" i="222"/>
  <c r="B3" i="223"/>
  <c r="T3" i="233"/>
  <c r="T3" i="309"/>
  <c r="T3" i="231"/>
  <c r="T3" i="232"/>
  <c r="T3" i="311"/>
  <c r="T3" i="310"/>
  <c r="C4" i="298"/>
  <c r="C4" i="299"/>
  <c r="C4" i="297"/>
  <c r="C4" i="220"/>
  <c r="C4" i="219"/>
  <c r="C4" i="221"/>
  <c r="J2" i="307"/>
  <c r="J2" i="306"/>
  <c r="J2" i="308"/>
  <c r="J2" i="230"/>
  <c r="J2" i="228"/>
  <c r="J2" i="229"/>
  <c r="F2" i="223"/>
  <c r="F2" i="300"/>
  <c r="F2" i="302"/>
  <c r="F2" i="224"/>
  <c r="F2" i="222"/>
  <c r="F2" i="301"/>
  <c r="B4" i="308"/>
  <c r="B4" i="306"/>
  <c r="B4" i="307"/>
  <c r="B4" i="230"/>
  <c r="B4" i="228"/>
  <c r="B4" i="229"/>
  <c r="C4" i="310"/>
  <c r="C4" i="311"/>
  <c r="C4" i="309"/>
  <c r="C4" i="233"/>
  <c r="C4" i="231"/>
  <c r="C4" i="232"/>
  <c r="H2" i="194"/>
  <c r="H2" i="182"/>
  <c r="H2" i="195"/>
  <c r="P2" i="298"/>
  <c r="P2" i="297"/>
  <c r="P2" i="299"/>
  <c r="P2" i="221"/>
  <c r="P2" i="219"/>
  <c r="P2" i="220"/>
  <c r="W2" i="196"/>
  <c r="W2" i="197"/>
  <c r="W2" i="183"/>
  <c r="I2" i="184"/>
  <c r="I2" i="200"/>
  <c r="I2" i="201"/>
  <c r="V4" i="182"/>
  <c r="V4" i="195"/>
  <c r="V4" i="194"/>
  <c r="Y2" i="194"/>
  <c r="Y2" i="182"/>
  <c r="Y2" i="195"/>
  <c r="S4" i="200"/>
  <c r="S4" i="201"/>
  <c r="S4" i="184"/>
  <c r="Q2" i="203"/>
  <c r="Q2" i="185"/>
  <c r="Q2" i="202"/>
  <c r="U4" i="200"/>
  <c r="U4" i="201"/>
  <c r="U4" i="184"/>
  <c r="E3" i="229"/>
  <c r="E3" i="308"/>
  <c r="E3" i="306"/>
  <c r="E3" i="307"/>
  <c r="E3" i="228"/>
  <c r="E3" i="230"/>
  <c r="D4" i="309"/>
  <c r="D4" i="311"/>
  <c r="D4" i="310"/>
  <c r="D4" i="231"/>
  <c r="D4" i="232"/>
  <c r="D4" i="233"/>
  <c r="B4" i="311"/>
  <c r="B4" i="309"/>
  <c r="B4" i="233"/>
  <c r="B4" i="231"/>
  <c r="B4" i="232"/>
  <c r="B4" i="310"/>
  <c r="D2" i="220"/>
  <c r="D2" i="298"/>
  <c r="D2" i="297"/>
  <c r="D2" i="221"/>
  <c r="D2" i="219"/>
  <c r="D2" i="299"/>
  <c r="V3" i="200"/>
  <c r="V3" i="184"/>
  <c r="V3" i="201"/>
  <c r="E2" i="196"/>
  <c r="E2" i="197"/>
  <c r="E2" i="183"/>
  <c r="X2" i="195"/>
  <c r="X2" i="182"/>
  <c r="X2" i="194"/>
  <c r="H3" i="184"/>
  <c r="H3" i="200"/>
  <c r="H3" i="201"/>
  <c r="O3" i="197"/>
  <c r="O3" i="183"/>
  <c r="O3" i="196"/>
  <c r="E3" i="185"/>
  <c r="E3" i="203"/>
  <c r="E3" i="202"/>
  <c r="T2" i="182"/>
  <c r="T2" i="195"/>
  <c r="T2" i="194"/>
  <c r="V3" i="301"/>
  <c r="V3" i="302"/>
  <c r="V3" i="300"/>
  <c r="V3" i="224"/>
  <c r="V3" i="223"/>
  <c r="V3" i="222"/>
  <c r="F3" i="297"/>
  <c r="F3" i="298"/>
  <c r="F3" i="299"/>
  <c r="F3" i="221"/>
  <c r="F3" i="219"/>
  <c r="F3" i="220"/>
  <c r="Y4" i="311"/>
  <c r="Y4" i="309"/>
  <c r="Y4" i="310"/>
  <c r="Y4" i="232"/>
  <c r="Y4" i="233"/>
  <c r="Y4" i="231"/>
  <c r="D4" i="297"/>
  <c r="D4" i="298"/>
  <c r="D4" i="299"/>
  <c r="D4" i="220"/>
  <c r="D4" i="221"/>
  <c r="D4" i="219"/>
  <c r="Y2" i="301"/>
  <c r="Y2" i="302"/>
  <c r="Y2" i="224"/>
  <c r="Y2" i="223"/>
  <c r="Y2" i="222"/>
  <c r="Y2" i="300"/>
  <c r="B4" i="200"/>
  <c r="B4" i="201"/>
  <c r="B4" i="184"/>
  <c r="V2" i="183"/>
  <c r="V2" i="196"/>
  <c r="V2" i="197"/>
  <c r="G3" i="185"/>
  <c r="G3" i="202"/>
  <c r="G3" i="203"/>
  <c r="J3" i="203"/>
  <c r="J3" i="202"/>
  <c r="J3" i="185"/>
  <c r="C2" i="302"/>
  <c r="C2" i="301"/>
  <c r="C2" i="300"/>
  <c r="C2" i="224"/>
  <c r="C2" i="223"/>
  <c r="C2" i="222"/>
  <c r="L3" i="196"/>
  <c r="L3" i="197"/>
  <c r="L3" i="183"/>
  <c r="N2" i="195"/>
  <c r="N2" i="194"/>
  <c r="N2" i="182"/>
  <c r="I4" i="184"/>
  <c r="I4" i="201"/>
  <c r="I4" i="200"/>
  <c r="W3" i="184"/>
  <c r="W3" i="201"/>
  <c r="W3" i="200"/>
  <c r="F3" i="194"/>
  <c r="F3" i="182"/>
  <c r="F3" i="195"/>
  <c r="N3" i="194"/>
  <c r="N3" i="195"/>
  <c r="N3" i="182"/>
  <c r="K3" i="184"/>
  <c r="K3" i="200"/>
  <c r="K3" i="201"/>
  <c r="J2" i="194"/>
  <c r="J2" i="195"/>
  <c r="J2" i="182"/>
  <c r="L2" i="196"/>
  <c r="L2" i="197"/>
  <c r="L2" i="183"/>
  <c r="T2" i="196"/>
  <c r="T2" i="183"/>
  <c r="T2" i="197"/>
  <c r="T4" i="203"/>
  <c r="T4" i="202"/>
  <c r="T4" i="185"/>
  <c r="J2" i="202"/>
  <c r="J2" i="185"/>
  <c r="J2" i="203"/>
  <c r="F2" i="203"/>
  <c r="F2" i="185"/>
  <c r="F2" i="202"/>
  <c r="D3" i="203"/>
  <c r="D3" i="185"/>
  <c r="D3" i="202"/>
  <c r="X2" i="201"/>
  <c r="X2" i="200"/>
  <c r="X2" i="184"/>
  <c r="K4" i="202"/>
  <c r="K4" i="203"/>
  <c r="K4" i="185"/>
  <c r="E2" i="301"/>
  <c r="E2" i="222"/>
  <c r="E2" i="302"/>
  <c r="E2" i="224"/>
  <c r="E2" i="223"/>
  <c r="E2" i="300"/>
  <c r="L4" i="300"/>
  <c r="L4" i="222"/>
  <c r="L4" i="223"/>
  <c r="L4" i="302"/>
  <c r="L4" i="224"/>
  <c r="L4" i="301"/>
  <c r="J4" i="307"/>
  <c r="J4" i="308"/>
  <c r="J4" i="306"/>
  <c r="J4" i="230"/>
  <c r="J4" i="228"/>
  <c r="J4" i="229"/>
  <c r="P2" i="231"/>
  <c r="P2" i="232"/>
  <c r="P2" i="310"/>
  <c r="P2" i="311"/>
  <c r="P2" i="309"/>
  <c r="P2" i="233"/>
  <c r="L2" i="311"/>
  <c r="L2" i="309"/>
  <c r="L2" i="310"/>
  <c r="L2" i="233"/>
  <c r="L2" i="231"/>
  <c r="L2" i="232"/>
  <c r="K3" i="311"/>
  <c r="K3" i="233"/>
  <c r="K3" i="232"/>
  <c r="K3" i="309"/>
  <c r="K3" i="310"/>
  <c r="K3" i="231"/>
  <c r="G2" i="232"/>
  <c r="G2" i="311"/>
  <c r="G2" i="310"/>
  <c r="G2" i="233"/>
  <c r="G2" i="309"/>
  <c r="G2" i="231"/>
  <c r="Q4" i="308"/>
  <c r="Q4" i="306"/>
  <c r="Q4" i="230"/>
  <c r="Q4" i="228"/>
  <c r="Q4" i="229"/>
  <c r="Q4" i="307"/>
  <c r="G2" i="299"/>
  <c r="G2" i="220"/>
  <c r="G2" i="219"/>
  <c r="G2" i="297"/>
  <c r="G2" i="221"/>
  <c r="G2" i="298"/>
  <c r="S2" i="230"/>
  <c r="S2" i="228"/>
  <c r="S2" i="229"/>
  <c r="S2" i="306"/>
  <c r="S2" i="308"/>
  <c r="S2" i="307"/>
  <c r="M4" i="221"/>
  <c r="M4" i="219"/>
  <c r="M4" i="298"/>
  <c r="M4" i="299"/>
  <c r="M4" i="297"/>
  <c r="M4" i="220"/>
  <c r="X2" i="221"/>
  <c r="X2" i="299"/>
  <c r="X2" i="219"/>
  <c r="X2" i="297"/>
  <c r="X2" i="220"/>
  <c r="X2" i="298"/>
  <c r="E2" i="311"/>
  <c r="E2" i="233"/>
  <c r="E2" i="309"/>
  <c r="E2" i="231"/>
  <c r="E2" i="232"/>
  <c r="E2" i="310"/>
  <c r="R4" i="298"/>
  <c r="R4" i="219"/>
  <c r="R4" i="297"/>
  <c r="R4" i="299"/>
  <c r="R4" i="220"/>
  <c r="R4" i="221"/>
  <c r="P4" i="307"/>
  <c r="P4" i="228"/>
  <c r="P4" i="308"/>
  <c r="P4" i="306"/>
  <c r="P4" i="230"/>
  <c r="P4" i="229"/>
  <c r="U2" i="220"/>
  <c r="U2" i="297"/>
  <c r="U2" i="299"/>
  <c r="U2" i="298"/>
  <c r="U2" i="221"/>
  <c r="U2" i="219"/>
  <c r="T4" i="224"/>
  <c r="T4" i="300"/>
  <c r="T4" i="301"/>
  <c r="T4" i="302"/>
  <c r="T4" i="223"/>
  <c r="T4" i="222"/>
  <c r="O3" i="307"/>
  <c r="O3" i="230"/>
  <c r="O3" i="308"/>
  <c r="O3" i="228"/>
  <c r="O3" i="306"/>
  <c r="O3" i="229"/>
  <c r="W4" i="202"/>
  <c r="W4" i="185"/>
  <c r="W4" i="203"/>
  <c r="J3" i="182"/>
  <c r="J3" i="194"/>
  <c r="J3" i="195"/>
  <c r="R3" i="182"/>
  <c r="R3" i="195"/>
  <c r="R3" i="194"/>
  <c r="K2" i="219"/>
  <c r="K2" i="220"/>
  <c r="K2" i="221"/>
  <c r="K2" i="299"/>
  <c r="K2" i="297"/>
  <c r="K2" i="298"/>
  <c r="G3" i="195"/>
  <c r="G3" i="194"/>
  <c r="G3" i="182"/>
  <c r="M2" i="185"/>
  <c r="M2" i="203"/>
  <c r="M2" i="202"/>
  <c r="H4" i="195"/>
  <c r="H4" i="182"/>
  <c r="H4" i="194"/>
  <c r="Q3" i="194"/>
  <c r="Q3" i="182"/>
  <c r="Q3" i="195"/>
  <c r="R4" i="311"/>
  <c r="R4" i="309"/>
  <c r="R4" i="231"/>
  <c r="R4" i="233"/>
  <c r="R4" i="232"/>
  <c r="R4" i="310"/>
  <c r="H3" i="185"/>
  <c r="H3" i="202"/>
  <c r="H3" i="203"/>
  <c r="X2" i="223"/>
  <c r="X2" i="301"/>
  <c r="X2" i="302"/>
  <c r="X2" i="300"/>
  <c r="X2" i="222"/>
  <c r="X2" i="224"/>
  <c r="F2" i="194"/>
  <c r="F2" i="182"/>
  <c r="F2" i="195"/>
  <c r="O2" i="184"/>
  <c r="O2" i="200"/>
  <c r="O2" i="201"/>
  <c r="Q2" i="184"/>
  <c r="Q2" i="201"/>
  <c r="Q2" i="200"/>
  <c r="J4" i="200"/>
  <c r="J4" i="201"/>
  <c r="J4" i="184"/>
  <c r="P2" i="196"/>
  <c r="P2" i="197"/>
  <c r="P2" i="183"/>
  <c r="C3" i="196"/>
  <c r="C3" i="183"/>
  <c r="C3" i="197"/>
  <c r="T2" i="185"/>
  <c r="T2" i="202"/>
  <c r="T2" i="203"/>
  <c r="X4" i="197"/>
  <c r="X4" i="183"/>
  <c r="X4" i="196"/>
  <c r="H3" i="196"/>
  <c r="H3" i="183"/>
  <c r="H3" i="197"/>
  <c r="S4" i="182"/>
  <c r="S4" i="195"/>
  <c r="S4" i="194"/>
  <c r="D3" i="184"/>
  <c r="D3" i="200"/>
  <c r="D3" i="201"/>
  <c r="P3" i="201"/>
  <c r="P3" i="200"/>
  <c r="P3" i="184"/>
  <c r="Y3" i="201"/>
  <c r="Y3" i="200"/>
  <c r="Y3" i="184"/>
  <c r="G3" i="201"/>
  <c r="G3" i="184"/>
  <c r="G3" i="200"/>
  <c r="K3" i="197"/>
  <c r="K3" i="183"/>
  <c r="K3" i="196"/>
  <c r="D2" i="202"/>
  <c r="D2" i="185"/>
  <c r="D2" i="203"/>
  <c r="K3" i="185"/>
  <c r="K3" i="202"/>
  <c r="K3" i="203"/>
  <c r="W4" i="195"/>
  <c r="W4" i="194"/>
  <c r="W4" i="182"/>
  <c r="Y2" i="196"/>
  <c r="Y2" i="183"/>
  <c r="Y2" i="197"/>
  <c r="D3" i="194"/>
  <c r="D3" i="182"/>
  <c r="D3" i="195"/>
  <c r="L4" i="185"/>
  <c r="L4" i="202"/>
  <c r="L4" i="203"/>
  <c r="L3" i="184"/>
  <c r="L3" i="200"/>
  <c r="L3" i="201"/>
  <c r="O2" i="185"/>
  <c r="O2" i="202"/>
  <c r="O2" i="203"/>
  <c r="N2" i="185"/>
  <c r="N2" i="203"/>
  <c r="N2" i="202"/>
  <c r="T3" i="197"/>
  <c r="T3" i="183"/>
  <c r="T3" i="196"/>
  <c r="R2" i="200"/>
  <c r="R2" i="201"/>
  <c r="R2" i="184"/>
  <c r="I4" i="301"/>
  <c r="I4" i="222"/>
  <c r="I4" i="302"/>
  <c r="I4" i="300"/>
  <c r="I4" i="223"/>
  <c r="I4" i="224"/>
  <c r="P3" i="223"/>
  <c r="P3" i="301"/>
  <c r="P3" i="302"/>
  <c r="P3" i="224"/>
  <c r="P3" i="300"/>
  <c r="P3" i="222"/>
  <c r="T3" i="301"/>
  <c r="T3" i="224"/>
  <c r="T3" i="302"/>
  <c r="T3" i="223"/>
  <c r="T3" i="300"/>
  <c r="T3" i="222"/>
  <c r="G4" i="306"/>
  <c r="G4" i="307"/>
  <c r="G4" i="230"/>
  <c r="G4" i="308"/>
  <c r="G4" i="229"/>
  <c r="G4" i="228"/>
  <c r="M4" i="229"/>
  <c r="M4" i="308"/>
  <c r="M4" i="230"/>
  <c r="M4" i="228"/>
  <c r="M4" i="306"/>
  <c r="M4" i="307"/>
  <c r="M2" i="311"/>
  <c r="M2" i="309"/>
  <c r="M2" i="233"/>
  <c r="M2" i="231"/>
  <c r="M2" i="232"/>
  <c r="M2" i="310"/>
  <c r="S2" i="231"/>
  <c r="S2" i="232"/>
  <c r="S2" i="309"/>
  <c r="S2" i="310"/>
  <c r="S2" i="233"/>
  <c r="S2" i="311"/>
  <c r="Y4" i="307"/>
  <c r="Y4" i="306"/>
  <c r="Y4" i="230"/>
  <c r="Y4" i="228"/>
  <c r="Y4" i="229"/>
  <c r="Y4" i="308"/>
  <c r="E2" i="297"/>
  <c r="E2" i="299"/>
  <c r="E2" i="221"/>
  <c r="E2" i="219"/>
  <c r="E2" i="220"/>
  <c r="E2" i="298"/>
  <c r="J3" i="233"/>
  <c r="J3" i="232"/>
  <c r="J3" i="309"/>
  <c r="J3" i="310"/>
  <c r="J3" i="311"/>
  <c r="J3" i="231"/>
  <c r="K4" i="297"/>
  <c r="K4" i="299"/>
  <c r="K4" i="219"/>
  <c r="K4" i="221"/>
  <c r="K4" i="298"/>
  <c r="K4" i="220"/>
  <c r="V2" i="298"/>
  <c r="V2" i="219"/>
  <c r="V2" i="220"/>
  <c r="V2" i="299"/>
  <c r="V2" i="221"/>
  <c r="V2" i="297"/>
  <c r="F4" i="228"/>
  <c r="F4" i="230"/>
  <c r="F4" i="229"/>
  <c r="F4" i="306"/>
  <c r="F4" i="308"/>
  <c r="F4" i="307"/>
  <c r="Q2" i="298"/>
  <c r="Q2" i="297"/>
  <c r="Q2" i="299"/>
  <c r="Q2" i="220"/>
  <c r="Q2" i="219"/>
  <c r="Q2" i="221"/>
  <c r="G2" i="308"/>
  <c r="G2" i="230"/>
  <c r="G2" i="228"/>
  <c r="G2" i="306"/>
  <c r="G2" i="229"/>
  <c r="G2" i="307"/>
  <c r="V3" i="299"/>
  <c r="V3" i="221"/>
  <c r="V3" i="220"/>
  <c r="V3" i="297"/>
  <c r="V3" i="298"/>
  <c r="V3" i="219"/>
  <c r="H3" i="302"/>
  <c r="H3" i="300"/>
  <c r="H3" i="301"/>
  <c r="H3" i="224"/>
  <c r="H3" i="222"/>
  <c r="H3" i="223"/>
  <c r="W4" i="306"/>
  <c r="W4" i="230"/>
  <c r="W4" i="229"/>
  <c r="W4" i="307"/>
  <c r="W4" i="228"/>
  <c r="W4" i="308"/>
  <c r="G3" i="183"/>
  <c r="G3" i="196"/>
  <c r="G3" i="197"/>
  <c r="Y2" i="203"/>
  <c r="Y2" i="202"/>
  <c r="Y2" i="185"/>
  <c r="V3" i="185"/>
  <c r="V3" i="203"/>
  <c r="V3" i="202"/>
  <c r="F3" i="183"/>
  <c r="F3" i="196"/>
  <c r="F3" i="197"/>
  <c r="Q2" i="194"/>
  <c r="Q2" i="195"/>
  <c r="Q2" i="182"/>
  <c r="U3" i="195"/>
  <c r="U3" i="182"/>
  <c r="U3" i="194"/>
  <c r="R4" i="200"/>
  <c r="R4" i="184"/>
  <c r="R4" i="201"/>
  <c r="F2" i="200"/>
  <c r="F2" i="184"/>
  <c r="F2" i="201"/>
  <c r="E4" i="201"/>
  <c r="E4" i="200"/>
  <c r="E4" i="184"/>
  <c r="I3" i="200"/>
  <c r="I3" i="201"/>
  <c r="I3" i="184"/>
  <c r="C4" i="185"/>
  <c r="C4" i="202"/>
  <c r="C4" i="203"/>
  <c r="M4" i="200"/>
  <c r="M4" i="201"/>
  <c r="M4" i="184"/>
  <c r="E4" i="298"/>
  <c r="E4" i="219"/>
  <c r="E4" i="221"/>
  <c r="E4" i="220"/>
  <c r="E4" i="299"/>
  <c r="E4" i="297"/>
  <c r="B4" i="298"/>
  <c r="B4" i="299"/>
  <c r="B4" i="219"/>
  <c r="B4" i="221"/>
  <c r="B4" i="220"/>
  <c r="B4" i="297"/>
  <c r="I3" i="297"/>
  <c r="I3" i="221"/>
  <c r="I3" i="298"/>
  <c r="I3" i="220"/>
  <c r="I3" i="219"/>
  <c r="I3" i="299"/>
  <c r="D3" i="230"/>
  <c r="D3" i="308"/>
  <c r="D3" i="229"/>
  <c r="D3" i="306"/>
  <c r="D3" i="228"/>
  <c r="D3" i="307"/>
  <c r="M2" i="308"/>
  <c r="M2" i="229"/>
  <c r="M2" i="228"/>
  <c r="M2" i="230"/>
  <c r="M2" i="306"/>
  <c r="M2" i="307"/>
  <c r="J4" i="309"/>
  <c r="J4" i="232"/>
  <c r="J4" i="231"/>
  <c r="J4" i="233"/>
  <c r="J4" i="310"/>
  <c r="J4" i="311"/>
  <c r="R3" i="308"/>
  <c r="R3" i="229"/>
  <c r="R3" i="306"/>
  <c r="R3" i="230"/>
  <c r="R3" i="228"/>
  <c r="R3" i="307"/>
  <c r="X3" i="302"/>
  <c r="X3" i="301"/>
  <c r="X3" i="222"/>
  <c r="X3" i="300"/>
  <c r="X3" i="223"/>
  <c r="X3" i="224"/>
  <c r="Q3" i="306"/>
  <c r="Q3" i="307"/>
  <c r="Q3" i="230"/>
  <c r="Q3" i="308"/>
  <c r="Q3" i="228"/>
  <c r="Q3" i="229"/>
  <c r="D3" i="301"/>
  <c r="D3" i="224"/>
  <c r="D3" i="302"/>
  <c r="D3" i="300"/>
  <c r="D3" i="223"/>
  <c r="D3" i="222"/>
  <c r="U4" i="233"/>
  <c r="U4" i="311"/>
  <c r="U4" i="232"/>
  <c r="U4" i="310"/>
  <c r="U4" i="309"/>
  <c r="U4" i="231"/>
  <c r="Y3" i="232"/>
  <c r="Y3" i="311"/>
  <c r="Y3" i="231"/>
  <c r="Y3" i="233"/>
  <c r="Y3" i="310"/>
  <c r="Y3" i="309"/>
  <c r="W4" i="232"/>
  <c r="W4" i="309"/>
  <c r="W4" i="311"/>
  <c r="W4" i="231"/>
  <c r="W4" i="233"/>
  <c r="W4" i="310"/>
  <c r="U3" i="298"/>
  <c r="U3" i="220"/>
  <c r="U3" i="221"/>
  <c r="U3" i="219"/>
  <c r="U3" i="297"/>
  <c r="U3" i="299"/>
  <c r="T2" i="301"/>
  <c r="T2" i="224"/>
  <c r="T2" i="302"/>
  <c r="T2" i="222"/>
  <c r="T2" i="300"/>
  <c r="T2" i="223"/>
  <c r="T3" i="299"/>
  <c r="T3" i="297"/>
  <c r="T3" i="221"/>
  <c r="T3" i="298"/>
  <c r="T3" i="219"/>
  <c r="T3" i="220"/>
  <c r="Y4" i="302"/>
  <c r="Y4" i="223"/>
  <c r="Y4" i="301"/>
  <c r="Y4" i="300"/>
  <c r="Y4" i="224"/>
  <c r="Y4" i="222"/>
  <c r="Y2" i="308"/>
  <c r="Y2" i="228"/>
  <c r="Y2" i="230"/>
  <c r="Y2" i="229"/>
  <c r="Y2" i="307"/>
  <c r="Y2" i="306"/>
</calcChain>
</file>

<file path=xl/sharedStrings.xml><?xml version="1.0" encoding="utf-8"?>
<sst xmlns="http://schemas.openxmlformats.org/spreadsheetml/2006/main" count="178" uniqueCount="19">
  <si>
    <t>numScenarios</t>
  </si>
  <si>
    <t>Node ID</t>
  </si>
  <si>
    <t>Year</t>
  </si>
  <si>
    <t>ESS Installed, [MWh]</t>
  </si>
  <si>
    <t>Time</t>
  </si>
  <si>
    <t>NodeID</t>
  </si>
  <si>
    <t>Pinst, [MW]</t>
  </si>
  <si>
    <t>Ratio, [%]</t>
  </si>
  <si>
    <t>Load Scale Factor</t>
  </si>
  <si>
    <t>Load Growth (cumul.)</t>
  </si>
  <si>
    <t>Flex. Load Growth</t>
  </si>
  <si>
    <t>GenID</t>
  </si>
  <si>
    <t>RES Installed, [MW]</t>
  </si>
  <si>
    <t>ESS ID</t>
  </si>
  <si>
    <t>N/A</t>
  </si>
  <si>
    <t>LoadID</t>
  </si>
  <si>
    <t>FL, [MW]</t>
  </si>
  <si>
    <t>Minimum FL, [MW]</t>
  </si>
  <si>
    <t>Maximum FL, [MW]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</si>
</sst>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0" fillId="3" borderId="0" xfId="0" applyFill="1"/>
    <xf numFmtId="2" fontId="0" fillId="3" borderId="0" xfId="0" applyNumberFormat="1" applyFill="1"/>
    <xf numFmtId="10" fontId="0" fillId="2" borderId="0" xfId="0" applyNumberFormat="1" applyFill="1"/>
    <xf numFmtId="0" fontId="0" fillId="4" borderId="0" xfId="0" applyFill="1"/>
    <xf numFmtId="2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theme" Target="theme/theme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sharedStrings" Target="sharedString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thesis-shared-resources-planning-no_esso-degradation\data\CS7\case9\case9_base.xlsx" TargetMode="External"/><Relationship Id="rId1" Type="http://schemas.openxmlformats.org/officeDocument/2006/relationships/externalLinkPath" Target="case9_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Base Consumption"/>
      <sheetName val="Profiles, RES, Winter"/>
      <sheetName val="Profiles, RES, Spring"/>
      <sheetName val="Profiles, RES, Summer"/>
      <sheetName val="Profiles, RES, Autumn"/>
      <sheetName val="Pc, Winter, S1"/>
      <sheetName val="Pc, Winter, S2"/>
      <sheetName val="Pc, Winter, S3"/>
      <sheetName val="Qc, Winter, S1"/>
      <sheetName val="Qc, Winter, S2"/>
      <sheetName val="Qc, Winter, S3"/>
      <sheetName val="Pc, Spring, S1"/>
      <sheetName val="Pc, Spring, S2"/>
      <sheetName val="Pc, Spring, S3"/>
      <sheetName val="Qc, Spring, S1"/>
      <sheetName val="Qc, Spring, S2"/>
      <sheetName val="Qc, Spring, S3"/>
      <sheetName val="Pc, Summer, S1"/>
      <sheetName val="Pc, Summer, S2"/>
      <sheetName val="Pc, Summer, S3"/>
      <sheetName val="Qc, Summer, S1"/>
      <sheetName val="Qc, Summer, S2"/>
      <sheetName val="Qc, Summer, S3"/>
      <sheetName val="Pc, Autumn, S1"/>
      <sheetName val="Pc, Autumn, S2"/>
      <sheetName val="Pc, Autumn, S3"/>
      <sheetName val="Qc, Autumn, S1"/>
      <sheetName val="Qc, Autumn, S2"/>
      <sheetName val="Qc, Autumn, S3"/>
      <sheetName val="Profiles, Pc, Winter, S1"/>
      <sheetName val="Profiles, Pc, Winter, S2"/>
      <sheetName val="Profiles, Pc, Winter, S3"/>
      <sheetName val="Profiles, Qc, Winter, S1"/>
      <sheetName val="Profiles, Qc, Winter, S2"/>
      <sheetName val="Profiles, Qc, Winter, S3"/>
      <sheetName val="Profiles, Pc, Spring, S1"/>
      <sheetName val="Profiles, Pc, Spring, S2"/>
      <sheetName val="Profiles, Pc, Spring, S3"/>
      <sheetName val="Profiles, Qc, Spring, S1"/>
      <sheetName val="Profiles, Qc, Spring, S2"/>
      <sheetName val="Profiles, Qc, Spring, S3"/>
      <sheetName val="Profiles, Pc, Summer, S1"/>
      <sheetName val="Profiles, Pc, Summer, S2"/>
      <sheetName val="Profiles, Pc, Summer, S3"/>
      <sheetName val="Profiles, Qc, Summer, S1"/>
      <sheetName val="Profiles, Qc, Summer, S2"/>
      <sheetName val="Profiles, Qc, Summer, S3"/>
      <sheetName val="Profiles, Pc, Autumn, S1"/>
      <sheetName val="Profiles, Pc, Autumn, S2"/>
      <sheetName val="Profiles, Pc, Autumn, S3"/>
      <sheetName val="Profiles, Qc, Autumn, S1"/>
      <sheetName val="Profiles, Qc, Autumn, S2"/>
      <sheetName val="Profiles, Qc, Autumn, S3"/>
      <sheetName val="EV Profiles"/>
    </sheetNames>
    <sheetDataSet>
      <sheetData sheetId="0">
        <row r="2">
          <cell r="B2">
            <v>0.01</v>
          </cell>
        </row>
        <row r="3">
          <cell r="B3">
            <v>2.5000000000000001E-2</v>
          </cell>
        </row>
      </sheetData>
      <sheetData sheetId="1"/>
      <sheetData sheetId="2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3.7907505686125853E-4</v>
          </cell>
          <cell r="J2">
            <v>4.435178165276725E-2</v>
          </cell>
          <cell r="K2">
            <v>0.18726307808946172</v>
          </cell>
          <cell r="L2">
            <v>0.32941622441243368</v>
          </cell>
          <cell r="M2">
            <v>0.39196360879454134</v>
          </cell>
          <cell r="N2">
            <v>0.37717968157695225</v>
          </cell>
          <cell r="O2">
            <v>0.38021228203184232</v>
          </cell>
          <cell r="P2">
            <v>0.35898407884761185</v>
          </cell>
          <cell r="Q2">
            <v>0.26876421531463229</v>
          </cell>
          <cell r="R2">
            <v>0.10121304018195602</v>
          </cell>
          <cell r="S2">
            <v>4.5489006823351023E-3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7.5815011372251705E-4</v>
          </cell>
          <cell r="J3">
            <v>6.4821834723275212E-2</v>
          </cell>
          <cell r="K3">
            <v>0.22289613343442002</v>
          </cell>
          <cell r="L3">
            <v>0.34230477634571643</v>
          </cell>
          <cell r="M3">
            <v>0.33965125094768767</v>
          </cell>
          <cell r="N3">
            <v>0.3775587566338135</v>
          </cell>
          <cell r="O3">
            <v>0.36921910538286579</v>
          </cell>
          <cell r="P3">
            <v>0.31235784685367701</v>
          </cell>
          <cell r="Q3">
            <v>0.20090978013646701</v>
          </cell>
          <cell r="R3">
            <v>6.4063684609552696E-2</v>
          </cell>
          <cell r="S3">
            <v>3.7907505686125853E-3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3.7907505686125853E-4</v>
          </cell>
          <cell r="J4">
            <v>3.373768006065201E-2</v>
          </cell>
          <cell r="K4">
            <v>0.14480667172100076</v>
          </cell>
          <cell r="L4">
            <v>0.23881728582259287</v>
          </cell>
          <cell r="M4">
            <v>0.27141774071266112</v>
          </cell>
          <cell r="N4">
            <v>0.25928733889310085</v>
          </cell>
          <cell r="O4">
            <v>0.26421531463229719</v>
          </cell>
          <cell r="P4">
            <v>0.28582259287338896</v>
          </cell>
          <cell r="Q4">
            <v>0.26042456406368458</v>
          </cell>
          <cell r="R4">
            <v>0.11865049279757392</v>
          </cell>
          <cell r="S4">
            <v>6.0652009097801364E-3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0.54215174628663187</v>
          </cell>
          <cell r="C5">
            <v>0.58329987956643914</v>
          </cell>
          <cell r="D5">
            <v>0.58028904054596553</v>
          </cell>
          <cell r="E5">
            <v>0.58149337615415497</v>
          </cell>
          <cell r="F5">
            <v>0.60196708149337619</v>
          </cell>
          <cell r="G5">
            <v>0.63548775592131679</v>
          </cell>
          <cell r="H5">
            <v>0.67703733440385383</v>
          </cell>
          <cell r="I5">
            <v>0.67824167001204339</v>
          </cell>
          <cell r="J5">
            <v>0.67221999197109594</v>
          </cell>
          <cell r="K5">
            <v>0.63087113608992373</v>
          </cell>
          <cell r="L5">
            <v>0.55018065034122843</v>
          </cell>
          <cell r="M5">
            <v>0.50622240064231228</v>
          </cell>
          <cell r="N5">
            <v>0.48635086310718589</v>
          </cell>
          <cell r="O5">
            <v>0.45323163388197513</v>
          </cell>
          <cell r="P5">
            <v>0.41429144921718186</v>
          </cell>
          <cell r="Q5">
            <v>0.41790445604175031</v>
          </cell>
          <cell r="R5">
            <v>0.43356081894821358</v>
          </cell>
          <cell r="S5">
            <v>0.49959855479727017</v>
          </cell>
          <cell r="T5">
            <v>0.54094741067844243</v>
          </cell>
          <cell r="U5">
            <v>0.55439582496989159</v>
          </cell>
          <cell r="V5">
            <v>0.53613006824568443</v>
          </cell>
          <cell r="W5">
            <v>0.50702529104777194</v>
          </cell>
          <cell r="X5">
            <v>0.51244480128462466</v>
          </cell>
          <cell r="Y5">
            <v>0.5335206744279406</v>
          </cell>
        </row>
        <row r="6">
          <cell r="B6">
            <v>0.52468887996788438</v>
          </cell>
          <cell r="C6">
            <v>0.53271778402248093</v>
          </cell>
          <cell r="D6">
            <v>0.5345242874347651</v>
          </cell>
          <cell r="E6">
            <v>0.48875953432356484</v>
          </cell>
          <cell r="F6">
            <v>0.50441589723002811</v>
          </cell>
          <cell r="G6">
            <v>0.53251706142111599</v>
          </cell>
          <cell r="H6">
            <v>0.5451625853071056</v>
          </cell>
          <cell r="I6">
            <v>0.51926936973103166</v>
          </cell>
          <cell r="J6">
            <v>0.4941790445604175</v>
          </cell>
          <cell r="K6">
            <v>0.46547571256523484</v>
          </cell>
          <cell r="L6">
            <v>0.43737454837414691</v>
          </cell>
          <cell r="M6">
            <v>0.41328783621035731</v>
          </cell>
          <cell r="N6">
            <v>0.38097149739060621</v>
          </cell>
          <cell r="O6">
            <v>0.29506222400642312</v>
          </cell>
          <cell r="P6">
            <v>0.2886391007627459</v>
          </cell>
          <cell r="Q6">
            <v>0.29365716579686874</v>
          </cell>
          <cell r="R6">
            <v>0.37254114813327982</v>
          </cell>
          <cell r="S6">
            <v>0.4365716579686873</v>
          </cell>
          <cell r="T6">
            <v>0.46507426736250501</v>
          </cell>
          <cell r="U6">
            <v>0.48574869530309112</v>
          </cell>
          <cell r="V6">
            <v>0.50200722601364911</v>
          </cell>
          <cell r="W6">
            <v>0.52107587314331594</v>
          </cell>
          <cell r="X6">
            <v>0.51124046567643522</v>
          </cell>
          <cell r="Y6">
            <v>0.49739060618225611</v>
          </cell>
        </row>
        <row r="7">
          <cell r="B7">
            <v>0.502408671216379</v>
          </cell>
          <cell r="C7">
            <v>0.50020072260136494</v>
          </cell>
          <cell r="D7">
            <v>0.48755519871537534</v>
          </cell>
          <cell r="E7">
            <v>0.49959855479727017</v>
          </cell>
          <cell r="F7">
            <v>0.48554797270172623</v>
          </cell>
          <cell r="G7">
            <v>0.48293857888398234</v>
          </cell>
          <cell r="H7">
            <v>0.50040144520272978</v>
          </cell>
          <cell r="I7">
            <v>0.47029305499799279</v>
          </cell>
          <cell r="J7">
            <v>0.4329586511441188</v>
          </cell>
          <cell r="K7">
            <v>0.40545965475712564</v>
          </cell>
          <cell r="L7">
            <v>0.36672019269369732</v>
          </cell>
          <cell r="M7">
            <v>0.31593737454837417</v>
          </cell>
          <cell r="N7">
            <v>0.28482537133681252</v>
          </cell>
          <cell r="O7">
            <v>0.28301886792452829</v>
          </cell>
          <cell r="P7">
            <v>0.32115616218386189</v>
          </cell>
          <cell r="Q7">
            <v>0.33239662786029706</v>
          </cell>
          <cell r="R7">
            <v>0.36752308309915699</v>
          </cell>
          <cell r="S7">
            <v>0.42593336009634686</v>
          </cell>
          <cell r="T7">
            <v>0.46326776395022079</v>
          </cell>
          <cell r="U7">
            <v>0.49096748293857889</v>
          </cell>
          <cell r="V7">
            <v>0.49498193496587717</v>
          </cell>
          <cell r="W7">
            <v>0.45624247290244879</v>
          </cell>
          <cell r="X7">
            <v>0.42071457246085908</v>
          </cell>
          <cell r="Y7">
            <v>0.40405459654757125</v>
          </cell>
        </row>
      </sheetData>
      <sheetData sheetId="3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9.4768764215314629E-3</v>
          </cell>
          <cell r="H2">
            <v>9.5147839272175891E-2</v>
          </cell>
          <cell r="I2">
            <v>0.26573161485974223</v>
          </cell>
          <cell r="J2">
            <v>0.41053828658074298</v>
          </cell>
          <cell r="K2">
            <v>0.48028809704321457</v>
          </cell>
          <cell r="L2">
            <v>0.54890068233510236</v>
          </cell>
          <cell r="M2">
            <v>0.57846853677028054</v>
          </cell>
          <cell r="N2">
            <v>0.62395754359363154</v>
          </cell>
          <cell r="O2">
            <v>0.6273692191053829</v>
          </cell>
          <cell r="P2">
            <v>0.63078089461713416</v>
          </cell>
          <cell r="Q2">
            <v>0.57695223654283545</v>
          </cell>
          <cell r="R2">
            <v>0.4590598938589841</v>
          </cell>
          <cell r="S2">
            <v>0.30250189537528432</v>
          </cell>
          <cell r="T2">
            <v>0.11144806671721001</v>
          </cell>
          <cell r="U2">
            <v>9.8559514783927212E-3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1.1372251705837756E-2</v>
          </cell>
          <cell r="H3">
            <v>9.9696739954510991E-2</v>
          </cell>
          <cell r="I3">
            <v>0.23995451099317666</v>
          </cell>
          <cell r="J3">
            <v>0.36201667930250192</v>
          </cell>
          <cell r="K3">
            <v>0.50416982562547386</v>
          </cell>
          <cell r="L3">
            <v>0.59666413949962094</v>
          </cell>
          <cell r="M3">
            <v>0.61068991660348748</v>
          </cell>
          <cell r="N3">
            <v>0.62509476876421532</v>
          </cell>
          <cell r="O3">
            <v>0.60310841546626237</v>
          </cell>
          <cell r="P3">
            <v>0.64101592115238815</v>
          </cell>
          <cell r="Q3">
            <v>0.56899166034874904</v>
          </cell>
          <cell r="R3">
            <v>0.4772554965883245</v>
          </cell>
          <cell r="S3">
            <v>0.31197877179681577</v>
          </cell>
          <cell r="T3">
            <v>0.11372251705837756</v>
          </cell>
          <cell r="U3">
            <v>1.023502653525398E-2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1.0993176648976498E-2</v>
          </cell>
          <cell r="H4">
            <v>0.10538286580742987</v>
          </cell>
          <cell r="I4">
            <v>0.29264594389689158</v>
          </cell>
          <cell r="J4">
            <v>0.46967399545109934</v>
          </cell>
          <cell r="K4">
            <v>0.55686125852918877</v>
          </cell>
          <cell r="L4">
            <v>0.61561789234268383</v>
          </cell>
          <cell r="M4">
            <v>0.68460955269143287</v>
          </cell>
          <cell r="N4">
            <v>0.66830932524639874</v>
          </cell>
          <cell r="O4">
            <v>0.66489764973464749</v>
          </cell>
          <cell r="P4">
            <v>0.66944655041698253</v>
          </cell>
          <cell r="Q4">
            <v>0.61865049279757389</v>
          </cell>
          <cell r="R4">
            <v>0.50303260045489007</v>
          </cell>
          <cell r="S4">
            <v>0.32979529946929492</v>
          </cell>
          <cell r="T4">
            <v>0.11713419257012889</v>
          </cell>
          <cell r="U4">
            <v>1.2130401819560273E-2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0.25812926535527903</v>
          </cell>
          <cell r="C5">
            <v>0.23966278602970695</v>
          </cell>
          <cell r="D5">
            <v>0.24086712163789642</v>
          </cell>
          <cell r="E5">
            <v>0.23123243677238056</v>
          </cell>
          <cell r="F5">
            <v>0.22902448815736651</v>
          </cell>
          <cell r="G5">
            <v>0.23303894018466478</v>
          </cell>
          <cell r="H5">
            <v>0.20915295062224007</v>
          </cell>
          <cell r="I5">
            <v>0.16780409474106783</v>
          </cell>
          <cell r="J5">
            <v>0.13227619429947812</v>
          </cell>
          <cell r="K5">
            <v>9.9959855479727022E-2</v>
          </cell>
          <cell r="L5">
            <v>9.4941790445604177E-2</v>
          </cell>
          <cell r="M5">
            <v>0.11561621838619028</v>
          </cell>
          <cell r="N5">
            <v>0.15274989963869931</v>
          </cell>
          <cell r="O5">
            <v>0.21116017663588921</v>
          </cell>
          <cell r="P5">
            <v>0.27559213167402652</v>
          </cell>
          <cell r="Q5">
            <v>0.34383781613809716</v>
          </cell>
          <cell r="R5">
            <v>0.42814130871136091</v>
          </cell>
          <cell r="S5">
            <v>0.47531112003211562</v>
          </cell>
          <cell r="T5">
            <v>0.47691690084303495</v>
          </cell>
          <cell r="U5">
            <v>0.46447209955841029</v>
          </cell>
          <cell r="V5">
            <v>0.42111601766358892</v>
          </cell>
          <cell r="W5">
            <v>0.38920112404656765</v>
          </cell>
          <cell r="X5">
            <v>0.38859895624247293</v>
          </cell>
          <cell r="Y5">
            <v>0.36852669610598154</v>
          </cell>
        </row>
        <row r="6">
          <cell r="B6">
            <v>0.3384183059012445</v>
          </cell>
          <cell r="C6">
            <v>0.30710558008831795</v>
          </cell>
          <cell r="D6">
            <v>0.2679646728221598</v>
          </cell>
          <cell r="E6">
            <v>0.24126856684062625</v>
          </cell>
          <cell r="F6">
            <v>0.23584905660377359</v>
          </cell>
          <cell r="G6">
            <v>0.23845845042151748</v>
          </cell>
          <cell r="H6">
            <v>0.20353271778402249</v>
          </cell>
          <cell r="I6">
            <v>0.15315134484142914</v>
          </cell>
          <cell r="J6">
            <v>0.13950220794861501</v>
          </cell>
          <cell r="K6">
            <v>0.14532316338819751</v>
          </cell>
          <cell r="L6">
            <v>0.162786029706945</v>
          </cell>
          <cell r="M6">
            <v>0.18667201926936974</v>
          </cell>
          <cell r="N6">
            <v>0.24267362505018064</v>
          </cell>
          <cell r="O6">
            <v>0.30128462464873546</v>
          </cell>
          <cell r="P6">
            <v>0.34223203532717783</v>
          </cell>
          <cell r="Q6">
            <v>0.3765556001605781</v>
          </cell>
          <cell r="R6">
            <v>0.41268566840626253</v>
          </cell>
          <cell r="S6">
            <v>0.3948213568847852</v>
          </cell>
          <cell r="T6">
            <v>0.34925732637494983</v>
          </cell>
          <cell r="U6">
            <v>0.3360096346848655</v>
          </cell>
          <cell r="V6">
            <v>0.31252509032517062</v>
          </cell>
          <cell r="W6">
            <v>0.29646728221597751</v>
          </cell>
          <cell r="X6">
            <v>0.26876756322761941</v>
          </cell>
          <cell r="Y6">
            <v>0.23966278602970695</v>
          </cell>
        </row>
        <row r="7">
          <cell r="B7">
            <v>0.2476916900843035</v>
          </cell>
          <cell r="C7">
            <v>0.23484544359694901</v>
          </cell>
          <cell r="D7">
            <v>0.22842232035327178</v>
          </cell>
          <cell r="E7">
            <v>0.24046567643516659</v>
          </cell>
          <cell r="F7">
            <v>0.24106784423926134</v>
          </cell>
          <cell r="G7">
            <v>0.21437173825772782</v>
          </cell>
          <cell r="H7">
            <v>0.18245684464070655</v>
          </cell>
          <cell r="I7">
            <v>0.13749498193496587</v>
          </cell>
          <cell r="J7">
            <v>0.1158169409875552</v>
          </cell>
          <cell r="K7">
            <v>0.12585307105580087</v>
          </cell>
          <cell r="L7">
            <v>0.14873544761140103</v>
          </cell>
          <cell r="M7">
            <v>0.14712966680048173</v>
          </cell>
          <cell r="N7">
            <v>0.16900843034925733</v>
          </cell>
          <cell r="O7">
            <v>0.21557607386591729</v>
          </cell>
          <cell r="P7">
            <v>0.25170614211160175</v>
          </cell>
          <cell r="Q7">
            <v>0.28362103572862302</v>
          </cell>
          <cell r="R7">
            <v>0.31874749096748295</v>
          </cell>
          <cell r="S7">
            <v>0.33179446005620233</v>
          </cell>
          <cell r="T7">
            <v>0.33199518265756722</v>
          </cell>
          <cell r="U7">
            <v>0.29686872741870735</v>
          </cell>
          <cell r="V7">
            <v>0.28342031312725813</v>
          </cell>
          <cell r="W7">
            <v>0.28181453231633879</v>
          </cell>
          <cell r="X7">
            <v>0.28643115214773185</v>
          </cell>
          <cell r="Y7">
            <v>0.30931352870333201</v>
          </cell>
        </row>
      </sheetData>
      <sheetData sheetId="4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2.2744503411675512E-3</v>
          </cell>
          <cell r="H2">
            <v>6.6717210007581504E-2</v>
          </cell>
          <cell r="I2">
            <v>0.27748294162244125</v>
          </cell>
          <cell r="J2">
            <v>0.57467778620166798</v>
          </cell>
          <cell r="K2">
            <v>0.75625473843821078</v>
          </cell>
          <cell r="L2">
            <v>0.86884003032600454</v>
          </cell>
          <cell r="M2">
            <v>0.91963608794541318</v>
          </cell>
          <cell r="N2">
            <v>0.94010614101592116</v>
          </cell>
          <cell r="O2">
            <v>0.94048521607278246</v>
          </cell>
          <cell r="P2">
            <v>0.90826383623957541</v>
          </cell>
          <cell r="Q2">
            <v>0.80780894617134191</v>
          </cell>
          <cell r="R2">
            <v>0.64746019711902958</v>
          </cell>
          <cell r="S2">
            <v>0.41887793783169069</v>
          </cell>
          <cell r="T2">
            <v>0.14594389689158455</v>
          </cell>
          <cell r="U2">
            <v>1.2130401819560273E-2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1.8953752843062926E-3</v>
          </cell>
          <cell r="H3">
            <v>7.9984836997725545E-2</v>
          </cell>
          <cell r="I3">
            <v>0.32183472327520851</v>
          </cell>
          <cell r="J3">
            <v>0.58832448824867323</v>
          </cell>
          <cell r="K3">
            <v>0.77369219105382869</v>
          </cell>
          <cell r="L3">
            <v>0.8999241849886277</v>
          </cell>
          <cell r="M3">
            <v>0.94655041698256259</v>
          </cell>
          <cell r="N3">
            <v>0.94920394238059136</v>
          </cell>
          <cell r="O3">
            <v>0.92911296436694468</v>
          </cell>
          <cell r="P3">
            <v>0.89954510993176651</v>
          </cell>
          <cell r="Q3">
            <v>0.80250189537528427</v>
          </cell>
          <cell r="R3">
            <v>0.64442759666413951</v>
          </cell>
          <cell r="S3">
            <v>0.40409401061410161</v>
          </cell>
          <cell r="T3">
            <v>0.1315390447308567</v>
          </cell>
          <cell r="U3">
            <v>8.7187263078089463E-3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3.7907505686125853E-4</v>
          </cell>
          <cell r="H4">
            <v>4.66262319939348E-2</v>
          </cell>
          <cell r="I4">
            <v>0.22062168309325247</v>
          </cell>
          <cell r="J4">
            <v>0.48028809704321457</v>
          </cell>
          <cell r="K4">
            <v>0.74147081122062164</v>
          </cell>
          <cell r="L4">
            <v>0.91015921152388168</v>
          </cell>
          <cell r="M4">
            <v>0.97346474601971189</v>
          </cell>
          <cell r="N4">
            <v>1</v>
          </cell>
          <cell r="O4">
            <v>0.98256254738438209</v>
          </cell>
          <cell r="P4">
            <v>0.93290371493555724</v>
          </cell>
          <cell r="Q4">
            <v>0.82562547384382112</v>
          </cell>
          <cell r="R4">
            <v>0.64859742228961337</v>
          </cell>
          <cell r="S4">
            <v>0.38589840788476121</v>
          </cell>
          <cell r="T4">
            <v>0.1178923426838514</v>
          </cell>
          <cell r="U4">
            <v>5.3070507960576198E-3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0.2701726214371738</v>
          </cell>
          <cell r="C5">
            <v>0.24708952228020875</v>
          </cell>
          <cell r="D5">
            <v>0.21617824167001204</v>
          </cell>
          <cell r="E5">
            <v>0.2153753512645524</v>
          </cell>
          <cell r="F5">
            <v>0.20393416298675232</v>
          </cell>
          <cell r="G5">
            <v>0.18787635487755922</v>
          </cell>
          <cell r="H5">
            <v>0.16519470092332397</v>
          </cell>
          <cell r="I5">
            <v>0.12986752308309915</v>
          </cell>
          <cell r="J5">
            <v>0.10798875953432356</v>
          </cell>
          <cell r="K5">
            <v>0.10096346848655159</v>
          </cell>
          <cell r="L5">
            <v>9.2934564431955038E-2</v>
          </cell>
          <cell r="M5">
            <v>0.10457647531112003</v>
          </cell>
          <cell r="N5">
            <v>0.13147330389401846</v>
          </cell>
          <cell r="O5">
            <v>0.16318747490967483</v>
          </cell>
          <cell r="P5">
            <v>0.21778402248093134</v>
          </cell>
          <cell r="Q5">
            <v>0.27800080289040546</v>
          </cell>
          <cell r="R5">
            <v>0.32858289843436372</v>
          </cell>
          <cell r="S5">
            <v>0.35066238458450422</v>
          </cell>
          <cell r="T5">
            <v>0.37735849056603776</v>
          </cell>
          <cell r="U5">
            <v>0.42031312725812925</v>
          </cell>
          <cell r="V5">
            <v>0.46346848655158573</v>
          </cell>
          <cell r="W5">
            <v>0.48273785628261745</v>
          </cell>
          <cell r="X5">
            <v>0.48494580489763145</v>
          </cell>
          <cell r="Y5">
            <v>0.4676836611802489</v>
          </cell>
        </row>
        <row r="6">
          <cell r="B6">
            <v>0.28502609393817746</v>
          </cell>
          <cell r="C6">
            <v>0.26475311120032113</v>
          </cell>
          <cell r="D6">
            <v>0.26916900843034924</v>
          </cell>
          <cell r="E6">
            <v>0.24327579285427539</v>
          </cell>
          <cell r="F6">
            <v>0.22761942994781212</v>
          </cell>
          <cell r="G6">
            <v>0.24167001204335609</v>
          </cell>
          <cell r="H6">
            <v>0.2390606182256122</v>
          </cell>
          <cell r="I6">
            <v>0.17623444399839422</v>
          </cell>
          <cell r="J6">
            <v>0.11280610196708149</v>
          </cell>
          <cell r="K6">
            <v>8.2095543958249695E-2</v>
          </cell>
          <cell r="L6">
            <v>6.2023283821758327E-2</v>
          </cell>
          <cell r="M6">
            <v>5.8209554395824967E-2</v>
          </cell>
          <cell r="N6">
            <v>7.286230429546367E-2</v>
          </cell>
          <cell r="O6">
            <v>9.4540345242874343E-2</v>
          </cell>
          <cell r="P6">
            <v>0.13468486551585709</v>
          </cell>
          <cell r="Q6">
            <v>0.17001204335608189</v>
          </cell>
          <cell r="R6">
            <v>0.20353271778402249</v>
          </cell>
          <cell r="S6">
            <v>0.21738257727820154</v>
          </cell>
          <cell r="T6">
            <v>0.2067442794058611</v>
          </cell>
          <cell r="U6">
            <v>0.20052187876354877</v>
          </cell>
          <cell r="V6">
            <v>0.20112404656764352</v>
          </cell>
          <cell r="W6">
            <v>0.18486551585708549</v>
          </cell>
          <cell r="X6">
            <v>0.1714171015656363</v>
          </cell>
          <cell r="Y6">
            <v>0.17442794058611</v>
          </cell>
        </row>
        <row r="7">
          <cell r="B7">
            <v>0.29767161782416701</v>
          </cell>
          <cell r="C7">
            <v>0.26776395022079486</v>
          </cell>
          <cell r="D7">
            <v>0.22360497792051384</v>
          </cell>
          <cell r="E7">
            <v>0.21136089923725412</v>
          </cell>
          <cell r="F7">
            <v>0.20794861501405057</v>
          </cell>
          <cell r="G7">
            <v>0.2332396627860297</v>
          </cell>
          <cell r="H7">
            <v>0.25712565234845441</v>
          </cell>
          <cell r="I7">
            <v>0.26595744680851063</v>
          </cell>
          <cell r="J7">
            <v>0.21617824167001204</v>
          </cell>
          <cell r="K7">
            <v>0.16820553994379767</v>
          </cell>
          <cell r="L7">
            <v>0.15134484142914492</v>
          </cell>
          <cell r="M7">
            <v>0.1350863107185869</v>
          </cell>
          <cell r="N7">
            <v>0.14632677639502209</v>
          </cell>
          <cell r="O7">
            <v>0.19470092332396627</v>
          </cell>
          <cell r="P7">
            <v>0.2448815736651947</v>
          </cell>
          <cell r="Q7">
            <v>0.25692492974708953</v>
          </cell>
          <cell r="R7">
            <v>0.27739863508631074</v>
          </cell>
          <cell r="S7">
            <v>0.2886391007627459</v>
          </cell>
          <cell r="T7">
            <v>0.29586511441188279</v>
          </cell>
          <cell r="U7">
            <v>0.33902047370533922</v>
          </cell>
          <cell r="V7">
            <v>0.38137294259333598</v>
          </cell>
          <cell r="W7">
            <v>0.3683259735046166</v>
          </cell>
          <cell r="X7">
            <v>0.34885588117221999</v>
          </cell>
          <cell r="Y7">
            <v>0.34263348052990766</v>
          </cell>
        </row>
      </sheetData>
      <sheetData sheetId="5"/>
      <sheetData sheetId="6">
        <row r="2">
          <cell r="B2">
            <v>28.640709882946304</v>
          </cell>
          <cell r="C2">
            <v>26.714573281418307</v>
          </cell>
          <cell r="D2">
            <v>25.312879159841337</v>
          </cell>
          <cell r="E2">
            <v>25.133776452667234</v>
          </cell>
          <cell r="F2">
            <v>25.436946861179031</v>
          </cell>
          <cell r="G2">
            <v>27.960696815854309</v>
          </cell>
          <cell r="H2">
            <v>33.363925378103289</v>
          </cell>
          <cell r="I2">
            <v>40.159994232752233</v>
          </cell>
          <cell r="J2">
            <v>43.723321027778113</v>
          </cell>
          <cell r="K2">
            <v>44.268543395713934</v>
          </cell>
          <cell r="L2">
            <v>43.073883742328519</v>
          </cell>
          <cell r="M2">
            <v>43.295892296382085</v>
          </cell>
          <cell r="N2">
            <v>43.260312945175158</v>
          </cell>
          <cell r="O2">
            <v>42.553895205510344</v>
          </cell>
          <cell r="P2">
            <v>40.128767731659636</v>
          </cell>
          <cell r="Q2">
            <v>38.979063710676506</v>
          </cell>
          <cell r="R2">
            <v>40.594711565011977</v>
          </cell>
          <cell r="S2">
            <v>45</v>
          </cell>
          <cell r="T2">
            <v>44.836875711706767</v>
          </cell>
          <cell r="U2">
            <v>43.908591159821562</v>
          </cell>
          <cell r="V2">
            <v>43.153477019322303</v>
          </cell>
          <cell r="W2">
            <v>40.446415007398876</v>
          </cell>
          <cell r="X2">
            <v>35.383087776062744</v>
          </cell>
          <cell r="Y2">
            <v>32.101442185583167</v>
          </cell>
        </row>
        <row r="3">
          <cell r="B3">
            <v>28.318710831598349</v>
          </cell>
          <cell r="C3">
            <v>26.315204214245814</v>
          </cell>
          <cell r="D3">
            <v>23.814013426539436</v>
          </cell>
          <cell r="E3">
            <v>25.613338402094083</v>
          </cell>
          <cell r="F3">
            <v>25.524009277571608</v>
          </cell>
          <cell r="G3">
            <v>26.608704012448104</v>
          </cell>
          <cell r="H3">
            <v>39.599618813370633</v>
          </cell>
          <cell r="I3">
            <v>44.104324438231103</v>
          </cell>
          <cell r="J3">
            <v>48.353801657343247</v>
          </cell>
          <cell r="K3">
            <v>48.379322308964795</v>
          </cell>
          <cell r="L3">
            <v>45.699473268620906</v>
          </cell>
          <cell r="M3">
            <v>50</v>
          </cell>
          <cell r="N3">
            <v>47.154254412376474</v>
          </cell>
          <cell r="O3">
            <v>44.142609525564225</v>
          </cell>
          <cell r="P3">
            <v>42.802683636622866</v>
          </cell>
          <cell r="Q3">
            <v>39.995217650477144</v>
          </cell>
          <cell r="R3">
            <v>40.020741039637507</v>
          </cell>
          <cell r="S3">
            <v>42.368805198038565</v>
          </cell>
          <cell r="T3">
            <v>42.368805198038565</v>
          </cell>
          <cell r="U3">
            <v>43.006857051434061</v>
          </cell>
          <cell r="V3">
            <v>41.845586666813716</v>
          </cell>
          <cell r="W3">
            <v>37.813044567870669</v>
          </cell>
          <cell r="X3">
            <v>31.981180223726628</v>
          </cell>
          <cell r="Y3">
            <v>30.947518572291692</v>
          </cell>
        </row>
        <row r="4">
          <cell r="B4">
            <v>41.161923557384661</v>
          </cell>
          <cell r="C4">
            <v>36.216924903815787</v>
          </cell>
          <cell r="D4">
            <v>34.096561117866841</v>
          </cell>
          <cell r="E4">
            <v>33.691648371190951</v>
          </cell>
          <cell r="F4">
            <v>35.265166706644465</v>
          </cell>
          <cell r="G4">
            <v>38.0759327548637</v>
          </cell>
          <cell r="H4">
            <v>45.945274418750067</v>
          </cell>
          <cell r="I4">
            <v>51.363857914252421</v>
          </cell>
          <cell r="J4">
            <v>54.36397226733289</v>
          </cell>
          <cell r="K4">
            <v>56.213389721513067</v>
          </cell>
          <cell r="L4">
            <v>56.727717165012599</v>
          </cell>
          <cell r="M4">
            <v>56.13602693224356</v>
          </cell>
          <cell r="N4">
            <v>55.817499446474862</v>
          </cell>
          <cell r="O4">
            <v>54.666430938587787</v>
          </cell>
          <cell r="P4">
            <v>52.926301971725778</v>
          </cell>
          <cell r="Q4">
            <v>51.96798375759154</v>
          </cell>
          <cell r="R4">
            <v>53.823207181536652</v>
          </cell>
          <cell r="S4">
            <v>60.935494732253488</v>
          </cell>
          <cell r="T4">
            <v>62.130997688214556</v>
          </cell>
          <cell r="U4">
            <v>62.5</v>
          </cell>
          <cell r="V4">
            <v>60.64144136208904</v>
          </cell>
          <cell r="W4">
            <v>57.869420599424572</v>
          </cell>
          <cell r="X4">
            <v>52.76844322838636</v>
          </cell>
          <cell r="Y4">
            <v>46.642389516869741</v>
          </cell>
        </row>
      </sheetData>
      <sheetData sheetId="7">
        <row r="2">
          <cell r="B2">
            <v>29.499931179434693</v>
          </cell>
          <cell r="C2">
            <v>27.516010479860856</v>
          </cell>
          <cell r="D2">
            <v>26.072265534636578</v>
          </cell>
          <cell r="E2">
            <v>25.88778974624725</v>
          </cell>
          <cell r="F2">
            <v>26.200055267014402</v>
          </cell>
          <cell r="G2">
            <v>28.799517720329941</v>
          </cell>
          <cell r="H2">
            <v>34.364843139446386</v>
          </cell>
          <cell r="I2">
            <v>41.364794059734798</v>
          </cell>
          <cell r="J2">
            <v>45.035020658611458</v>
          </cell>
          <cell r="K2">
            <v>45.596599697585361</v>
          </cell>
          <cell r="L2">
            <v>44.366100254598379</v>
          </cell>
          <cell r="M2">
            <v>44.594769065273553</v>
          </cell>
          <cell r="N2">
            <v>44.55812233353042</v>
          </cell>
          <cell r="O2">
            <v>43.830512061675655</v>
          </cell>
          <cell r="P2">
            <v>41.332630763609423</v>
          </cell>
          <cell r="Q2">
            <v>40.148435621996803</v>
          </cell>
          <cell r="R2">
            <v>41.812552911962335</v>
          </cell>
          <cell r="S2">
            <v>46.35</v>
          </cell>
          <cell r="T2">
            <v>46.181981983057973</v>
          </cell>
          <cell r="U2">
            <v>45.225848894616213</v>
          </cell>
          <cell r="V2">
            <v>44.448081329901974</v>
          </cell>
          <cell r="W2">
            <v>41.659807457620843</v>
          </cell>
          <cell r="X2">
            <v>36.444580409344631</v>
          </cell>
          <cell r="Y2">
            <v>33.064485451150667</v>
          </cell>
        </row>
        <row r="3">
          <cell r="B3">
            <v>29.168272156546298</v>
          </cell>
          <cell r="C3">
            <v>27.104660340673188</v>
          </cell>
          <cell r="D3">
            <v>24.528433829335619</v>
          </cell>
          <cell r="E3">
            <v>26.381738554156907</v>
          </cell>
          <cell r="F3">
            <v>26.289729555898756</v>
          </cell>
          <cell r="G3">
            <v>27.406965132821547</v>
          </cell>
          <cell r="H3">
            <v>40.787607377771756</v>
          </cell>
          <cell r="I3">
            <v>45.427454171378031</v>
          </cell>
          <cell r="J3">
            <v>49.804415707063548</v>
          </cell>
          <cell r="K3">
            <v>49.830701978233741</v>
          </cell>
          <cell r="L3">
            <v>47.070457466679535</v>
          </cell>
          <cell r="M3">
            <v>51.5</v>
          </cell>
          <cell r="N3">
            <v>48.568882044747767</v>
          </cell>
          <cell r="O3">
            <v>45.466887811331155</v>
          </cell>
          <cell r="P3">
            <v>44.08676414572156</v>
          </cell>
          <cell r="Q3">
            <v>41.195074179991458</v>
          </cell>
          <cell r="R3">
            <v>41.221363270826636</v>
          </cell>
          <cell r="S3">
            <v>43.639869353979726</v>
          </cell>
          <cell r="T3">
            <v>43.639869353979726</v>
          </cell>
          <cell r="U3">
            <v>44.297062762977085</v>
          </cell>
          <cell r="V3">
            <v>43.100954266818128</v>
          </cell>
          <cell r="W3">
            <v>38.94743590490679</v>
          </cell>
          <cell r="X3">
            <v>32.94061563043843</v>
          </cell>
          <cell r="Y3">
            <v>31.875944129460443</v>
          </cell>
        </row>
        <row r="4">
          <cell r="B4">
            <v>42.396781264106203</v>
          </cell>
          <cell r="C4">
            <v>37.303432650930269</v>
          </cell>
          <cell r="D4">
            <v>35.119457951402843</v>
          </cell>
          <cell r="E4">
            <v>34.702397822326681</v>
          </cell>
          <cell r="F4">
            <v>36.323121707843796</v>
          </cell>
          <cell r="G4">
            <v>39.218210737509615</v>
          </cell>
          <cell r="H4">
            <v>47.323632651312565</v>
          </cell>
          <cell r="I4">
            <v>52.904773651679996</v>
          </cell>
          <cell r="J4">
            <v>55.994891435352876</v>
          </cell>
          <cell r="K4">
            <v>57.899791413158461</v>
          </cell>
          <cell r="L4">
            <v>58.429548679962977</v>
          </cell>
          <cell r="M4">
            <v>57.820107740210865</v>
          </cell>
          <cell r="N4">
            <v>57.492024429869112</v>
          </cell>
          <cell r="O4">
            <v>56.306423866745419</v>
          </cell>
          <cell r="P4">
            <v>54.514091030877552</v>
          </cell>
          <cell r="Q4">
            <v>53.52702327031929</v>
          </cell>
          <cell r="R4">
            <v>55.437903396982755</v>
          </cell>
          <cell r="S4">
            <v>62.763559574221098</v>
          </cell>
          <cell r="T4">
            <v>63.994927618860999</v>
          </cell>
          <cell r="U4">
            <v>64.375</v>
          </cell>
          <cell r="V4">
            <v>62.460684602951716</v>
          </cell>
          <cell r="W4">
            <v>59.605503217407311</v>
          </cell>
          <cell r="X4">
            <v>54.351496525237955</v>
          </cell>
          <cell r="Y4">
            <v>48.041661202375835</v>
          </cell>
        </row>
      </sheetData>
      <sheetData sheetId="8">
        <row r="2">
          <cell r="B2">
            <v>28.067895685287372</v>
          </cell>
          <cell r="C2">
            <v>26.180281815789936</v>
          </cell>
          <cell r="D2">
            <v>24.80662157664451</v>
          </cell>
          <cell r="E2">
            <v>24.631100923613889</v>
          </cell>
          <cell r="F2">
            <v>24.928207923955451</v>
          </cell>
          <cell r="G2">
            <v>27.401482879537223</v>
          </cell>
          <cell r="H2">
            <v>32.696646870541223</v>
          </cell>
          <cell r="I2">
            <v>39.356794348097182</v>
          </cell>
          <cell r="J2">
            <v>42.848854607222549</v>
          </cell>
          <cell r="K2">
            <v>43.383172527799658</v>
          </cell>
          <cell r="L2">
            <v>42.212406067481943</v>
          </cell>
          <cell r="M2">
            <v>42.429974450454445</v>
          </cell>
          <cell r="N2">
            <v>42.39510668627166</v>
          </cell>
          <cell r="O2">
            <v>41.702817301400131</v>
          </cell>
          <cell r="P2">
            <v>39.326192377026437</v>
          </cell>
          <cell r="Q2">
            <v>38.199482436462979</v>
          </cell>
          <cell r="R2">
            <v>39.782817333711733</v>
          </cell>
          <cell r="S2">
            <v>44.1</v>
          </cell>
          <cell r="T2">
            <v>43.940138197472628</v>
          </cell>
          <cell r="U2">
            <v>43.03041933662513</v>
          </cell>
          <cell r="V2">
            <v>42.290407478935855</v>
          </cell>
          <cell r="W2">
            <v>39.637486707250901</v>
          </cell>
          <cell r="X2">
            <v>34.675426020541487</v>
          </cell>
          <cell r="Y2">
            <v>31.459413341871503</v>
          </cell>
        </row>
        <row r="3">
          <cell r="B3">
            <v>27.752336614966381</v>
          </cell>
          <cell r="C3">
            <v>25.788900129960897</v>
          </cell>
          <cell r="D3">
            <v>23.337733158008646</v>
          </cell>
          <cell r="E3">
            <v>25.101071634052204</v>
          </cell>
          <cell r="F3">
            <v>25.013529092020175</v>
          </cell>
          <cell r="G3">
            <v>26.07652993219914</v>
          </cell>
          <cell r="H3">
            <v>38.807626437103224</v>
          </cell>
          <cell r="I3">
            <v>43.222237949466482</v>
          </cell>
          <cell r="J3">
            <v>47.386725624196387</v>
          </cell>
          <cell r="K3">
            <v>47.411735862785498</v>
          </cell>
          <cell r="L3">
            <v>44.785483803248489</v>
          </cell>
          <cell r="M3">
            <v>49</v>
          </cell>
          <cell r="N3">
            <v>46.211169324128946</v>
          </cell>
          <cell r="O3">
            <v>43.259757335052939</v>
          </cell>
          <cell r="P3">
            <v>41.946629963890409</v>
          </cell>
          <cell r="Q3">
            <v>39.1953132974676</v>
          </cell>
          <cell r="R3">
            <v>39.220326218844761</v>
          </cell>
          <cell r="S3">
            <v>41.521429094077796</v>
          </cell>
          <cell r="T3">
            <v>41.521429094077796</v>
          </cell>
          <cell r="U3">
            <v>42.14671991040538</v>
          </cell>
          <cell r="V3">
            <v>41.008674933477437</v>
          </cell>
          <cell r="W3">
            <v>37.056783676513255</v>
          </cell>
          <cell r="X3">
            <v>31.341556619252099</v>
          </cell>
          <cell r="Y3">
            <v>30.328568200845858</v>
          </cell>
        </row>
        <row r="4">
          <cell r="B4">
            <v>40.338685086236971</v>
          </cell>
          <cell r="C4">
            <v>35.492586405739473</v>
          </cell>
          <cell r="D4">
            <v>33.414629895509499</v>
          </cell>
          <cell r="E4">
            <v>33.017815403767131</v>
          </cell>
          <cell r="F4">
            <v>34.559863372511572</v>
          </cell>
          <cell r="G4">
            <v>37.314414099766424</v>
          </cell>
          <cell r="H4">
            <v>45.026368930375057</v>
          </cell>
          <cell r="I4">
            <v>50.336580755967368</v>
          </cell>
          <cell r="J4">
            <v>53.276692821986231</v>
          </cell>
          <cell r="K4">
            <v>55.089121927082807</v>
          </cell>
          <cell r="L4">
            <v>55.593162821712347</v>
          </cell>
          <cell r="M4">
            <v>55.01330639359869</v>
          </cell>
          <cell r="N4">
            <v>54.70114945754537</v>
          </cell>
          <cell r="O4">
            <v>53.57310231981603</v>
          </cell>
          <cell r="P4">
            <v>51.867775932291266</v>
          </cell>
          <cell r="Q4">
            <v>50.928624082439704</v>
          </cell>
          <cell r="R4">
            <v>52.746743037905922</v>
          </cell>
          <cell r="S4">
            <v>59.716784837608415</v>
          </cell>
          <cell r="T4">
            <v>60.888377734450266</v>
          </cell>
          <cell r="U4">
            <v>61.25</v>
          </cell>
          <cell r="V4">
            <v>59.428612534847261</v>
          </cell>
          <cell r="W4">
            <v>56.712032187436073</v>
          </cell>
          <cell r="X4">
            <v>51.713074363818635</v>
          </cell>
          <cell r="Y4">
            <v>45.70954172653235</v>
          </cell>
        </row>
      </sheetData>
      <sheetData sheetId="9">
        <row r="2">
          <cell r="B2">
            <v>-12.469785513080238</v>
          </cell>
          <cell r="C2">
            <v>-13.552944458482951</v>
          </cell>
          <cell r="D2">
            <v>-14.59839275357499</v>
          </cell>
          <cell r="E2">
            <v>-14.492120196648649</v>
          </cell>
          <cell r="F2">
            <v>-15</v>
          </cell>
          <cell r="G2">
            <v>-13.35282359736305</v>
          </cell>
          <cell r="H2">
            <v>-9.9436551462545548</v>
          </cell>
          <cell r="I2">
            <v>-4.0930063124960201</v>
          </cell>
          <cell r="J2">
            <v>-1.2053668195189318</v>
          </cell>
          <cell r="K2">
            <v>-0.18855958103093676</v>
          </cell>
          <cell r="L2">
            <v>-1.6927804232274042</v>
          </cell>
          <cell r="M2">
            <v>-1.2444992949422855</v>
          </cell>
          <cell r="N2">
            <v>-1.7225564045393726</v>
          </cell>
          <cell r="O2">
            <v>-1.7376609171962816</v>
          </cell>
          <cell r="P2">
            <v>-4.3928558767051147</v>
          </cell>
          <cell r="Q2">
            <v>-6.3264040784546287</v>
          </cell>
          <cell r="R2">
            <v>-5.6261809952244768</v>
          </cell>
          <cell r="S2">
            <v>-1.9205124586372087</v>
          </cell>
          <cell r="T2">
            <v>-2.7936569679470304</v>
          </cell>
          <cell r="U2">
            <v>-3.5117603225567375</v>
          </cell>
          <cell r="V2">
            <v>-5.5163531393218799</v>
          </cell>
          <cell r="W2">
            <v>-7.1605846200922834</v>
          </cell>
          <cell r="X2">
            <v>-9.6068981828398492</v>
          </cell>
          <cell r="Y2">
            <v>-10.813381136149594</v>
          </cell>
        </row>
        <row r="3">
          <cell r="B3">
            <v>14.127545889467058</v>
          </cell>
          <cell r="C3">
            <v>17.5</v>
          </cell>
          <cell r="D3">
            <v>17.5</v>
          </cell>
          <cell r="E3">
            <v>17.5</v>
          </cell>
          <cell r="F3">
            <v>17.5</v>
          </cell>
          <cell r="G3">
            <v>14.179431683319915</v>
          </cell>
          <cell r="H3">
            <v>6.4314389736126669</v>
          </cell>
          <cell r="I3">
            <v>0.8279811071244515</v>
          </cell>
          <cell r="J3">
            <v>-4.8446504074823817</v>
          </cell>
          <cell r="K3">
            <v>-4.8446504074823817</v>
          </cell>
          <cell r="L3">
            <v>-0.41722598524226717</v>
          </cell>
          <cell r="M3">
            <v>-5.0521935828938114</v>
          </cell>
          <cell r="N3">
            <v>-5.0521935828938114</v>
          </cell>
          <cell r="O3">
            <v>-3.9107469480985446</v>
          </cell>
          <cell r="P3">
            <v>-0.4864070437127439</v>
          </cell>
          <cell r="Q3">
            <v>2.9379217305387932</v>
          </cell>
          <cell r="R3">
            <v>4.0793646552893064</v>
          </cell>
          <cell r="S3">
            <v>4.0793646552893064</v>
          </cell>
          <cell r="T3">
            <v>4.0793646552893064</v>
          </cell>
          <cell r="U3">
            <v>4.0793646552893064</v>
          </cell>
          <cell r="V3">
            <v>4.0793646552893064</v>
          </cell>
          <cell r="W3">
            <v>8.5067890385788196</v>
          </cell>
          <cell r="X3">
            <v>13.00339451928941</v>
          </cell>
          <cell r="Y3">
            <v>13.00339451928941</v>
          </cell>
        </row>
        <row r="4">
          <cell r="B4">
            <v>9.5862253418707848</v>
          </cell>
          <cell r="C4">
            <v>7.3945508941769083</v>
          </cell>
          <cell r="D4">
            <v>6.3301139872096703</v>
          </cell>
          <cell r="E4">
            <v>6.1944372172834452</v>
          </cell>
          <cell r="F4">
            <v>7.0403543352236237</v>
          </cell>
          <cell r="G4">
            <v>8.7415700230074709</v>
          </cell>
          <cell r="H4">
            <v>13.562617537809391</v>
          </cell>
          <cell r="I4">
            <v>16.557360904182715</v>
          </cell>
          <cell r="J4">
            <v>19.129685301172859</v>
          </cell>
          <cell r="K4">
            <v>21.065303619522883</v>
          </cell>
          <cell r="L4">
            <v>21.243078629058768</v>
          </cell>
          <cell r="M4">
            <v>20.862173033119678</v>
          </cell>
          <cell r="N4">
            <v>20.95102394649771</v>
          </cell>
          <cell r="O4">
            <v>20.737230794477721</v>
          </cell>
          <cell r="P4">
            <v>18.707375853174536</v>
          </cell>
          <cell r="Q4">
            <v>17.77368689804371</v>
          </cell>
          <cell r="R4">
            <v>18.342498955643656</v>
          </cell>
          <cell r="S4">
            <v>25</v>
          </cell>
          <cell r="T4">
            <v>24.963707582812827</v>
          </cell>
          <cell r="U4">
            <v>24.201932642157256</v>
          </cell>
          <cell r="V4">
            <v>22.401441623691078</v>
          </cell>
          <cell r="W4">
            <v>19.922348287051417</v>
          </cell>
          <cell r="X4">
            <v>16.249130246379966</v>
          </cell>
          <cell r="Y4">
            <v>12.466213225438899</v>
          </cell>
        </row>
      </sheetData>
      <sheetData sheetId="10">
        <row r="2">
          <cell r="B2">
            <v>-12.843879078472645</v>
          </cell>
          <cell r="C2">
            <v>-13.959532792237439</v>
          </cell>
          <cell r="D2">
            <v>-15.03634453618224</v>
          </cell>
          <cell r="E2">
            <v>-14.92688380254811</v>
          </cell>
          <cell r="F2">
            <v>-15.450000000000001</v>
          </cell>
          <cell r="G2">
            <v>-13.753408305283942</v>
          </cell>
          <cell r="H2">
            <v>-10.24196480064219</v>
          </cell>
          <cell r="I2">
            <v>-4.2157965018709005</v>
          </cell>
          <cell r="J2">
            <v>-1.2415278241044996</v>
          </cell>
          <cell r="K2">
            <v>-0.19421636846186485</v>
          </cell>
          <cell r="L2">
            <v>-1.7435638359242263</v>
          </cell>
          <cell r="M2">
            <v>-1.2818342737905541</v>
          </cell>
          <cell r="N2">
            <v>-1.774233096675554</v>
          </cell>
          <cell r="O2">
            <v>-1.7897907447121701</v>
          </cell>
          <cell r="P2">
            <v>-4.5246415530062682</v>
          </cell>
          <cell r="Q2">
            <v>-6.5161962008082677</v>
          </cell>
          <cell r="R2">
            <v>-5.7949664250812116</v>
          </cell>
          <cell r="S2">
            <v>-1.9781278323963249</v>
          </cell>
          <cell r="T2">
            <v>-2.8774666769854416</v>
          </cell>
          <cell r="U2">
            <v>-3.6171131322334396</v>
          </cell>
          <cell r="V2">
            <v>-5.6818437335015366</v>
          </cell>
          <cell r="W2">
            <v>-7.375402158695052</v>
          </cell>
          <cell r="X2">
            <v>-9.8951051283250457</v>
          </cell>
          <cell r="Y2">
            <v>-11.137782570234082</v>
          </cell>
        </row>
        <row r="3">
          <cell r="B3">
            <v>14.55137226615107</v>
          </cell>
          <cell r="C3">
            <v>18.025000000000002</v>
          </cell>
          <cell r="D3">
            <v>18.025000000000002</v>
          </cell>
          <cell r="E3">
            <v>18.025000000000002</v>
          </cell>
          <cell r="F3">
            <v>18.025000000000002</v>
          </cell>
          <cell r="G3">
            <v>14.604814633819514</v>
          </cell>
          <cell r="H3">
            <v>6.6243821428210472</v>
          </cell>
          <cell r="I3">
            <v>0.85282054033818511</v>
          </cell>
          <cell r="J3">
            <v>-4.9899899197068533</v>
          </cell>
          <cell r="K3">
            <v>-4.9899899197068533</v>
          </cell>
          <cell r="L3">
            <v>-0.42974276479953516</v>
          </cell>
          <cell r="M3">
            <v>-5.2037593903806263</v>
          </cell>
          <cell r="N3">
            <v>-5.2037593903806263</v>
          </cell>
          <cell r="O3">
            <v>-4.0280693565415007</v>
          </cell>
          <cell r="P3">
            <v>-0.50099925502412623</v>
          </cell>
          <cell r="Q3">
            <v>3.0260593824549575</v>
          </cell>
          <cell r="R3">
            <v>4.2017455949479858</v>
          </cell>
          <cell r="S3">
            <v>4.2017455949479858</v>
          </cell>
          <cell r="T3">
            <v>4.2017455949479858</v>
          </cell>
          <cell r="U3">
            <v>4.2017455949479858</v>
          </cell>
          <cell r="V3">
            <v>4.2017455949479858</v>
          </cell>
          <cell r="W3">
            <v>8.7619927097361838</v>
          </cell>
          <cell r="X3">
            <v>13.393496354868093</v>
          </cell>
          <cell r="Y3">
            <v>13.393496354868093</v>
          </cell>
        </row>
        <row r="4">
          <cell r="B4">
            <v>9.8738121021269087</v>
          </cell>
          <cell r="C4">
            <v>7.6163874210022158</v>
          </cell>
          <cell r="D4">
            <v>6.5200174068259606</v>
          </cell>
          <cell r="E4">
            <v>6.3802703338019491</v>
          </cell>
          <cell r="F4">
            <v>7.2515649652803322</v>
          </cell>
          <cell r="G4">
            <v>9.0038171236976954</v>
          </cell>
          <cell r="H4">
            <v>13.969496063943673</v>
          </cell>
          <cell r="I4">
            <v>17.054081731308198</v>
          </cell>
          <cell r="J4">
            <v>19.703575860208048</v>
          </cell>
          <cell r="K4">
            <v>21.697262728108569</v>
          </cell>
          <cell r="L4">
            <v>21.880370987930529</v>
          </cell>
          <cell r="M4">
            <v>21.488038224113268</v>
          </cell>
          <cell r="N4">
            <v>21.57955466489264</v>
          </cell>
          <cell r="O4">
            <v>21.359347718312051</v>
          </cell>
          <cell r="P4">
            <v>19.268597128769773</v>
          </cell>
          <cell r="Q4">
            <v>18.306897504985024</v>
          </cell>
          <cell r="R4">
            <v>18.892773924312966</v>
          </cell>
          <cell r="S4">
            <v>25.75</v>
          </cell>
          <cell r="T4">
            <v>25.712618810297212</v>
          </cell>
          <cell r="U4">
            <v>24.927990621421976</v>
          </cell>
          <cell r="V4">
            <v>23.07348487240181</v>
          </cell>
          <cell r="W4">
            <v>20.520018735662958</v>
          </cell>
          <cell r="X4">
            <v>16.736604153771367</v>
          </cell>
          <cell r="Y4">
            <v>12.840199622202068</v>
          </cell>
        </row>
      </sheetData>
      <sheetData sheetId="11">
        <row r="2">
          <cell r="B2">
            <v>-12.220389802818632</v>
          </cell>
          <cell r="C2">
            <v>-13.281885569313291</v>
          </cell>
          <cell r="D2">
            <v>-14.30642489850349</v>
          </cell>
          <cell r="E2">
            <v>-14.202277792715677</v>
          </cell>
          <cell r="F2">
            <v>-14.7</v>
          </cell>
          <cell r="G2">
            <v>-13.08576712541579</v>
          </cell>
          <cell r="H2">
            <v>-9.7447820433294616</v>
          </cell>
          <cell r="I2">
            <v>-4.0111461862460995</v>
          </cell>
          <cell r="J2">
            <v>-1.181259483128553</v>
          </cell>
          <cell r="K2">
            <v>-0.18478838941031803</v>
          </cell>
          <cell r="L2">
            <v>-1.6589248147628561</v>
          </cell>
          <cell r="M2">
            <v>-1.2196093090434397</v>
          </cell>
          <cell r="N2">
            <v>-1.6881052764485851</v>
          </cell>
          <cell r="O2">
            <v>-1.7029076988523559</v>
          </cell>
          <cell r="P2">
            <v>-4.3049987591710126</v>
          </cell>
          <cell r="Q2">
            <v>-6.1998759968855355</v>
          </cell>
          <cell r="R2">
            <v>-5.5136573753199869</v>
          </cell>
          <cell r="S2">
            <v>-1.8821022094644642</v>
          </cell>
          <cell r="T2">
            <v>-2.73778382858809</v>
          </cell>
          <cell r="U2">
            <v>-3.4415251161056029</v>
          </cell>
          <cell r="V2">
            <v>-5.4060260765354426</v>
          </cell>
          <cell r="W2">
            <v>-7.0173729276904373</v>
          </cell>
          <cell r="X2">
            <v>-9.4147602191830515</v>
          </cell>
          <cell r="Y2">
            <v>-10.597113513426603</v>
          </cell>
        </row>
        <row r="3">
          <cell r="B3">
            <v>13.844994971677718</v>
          </cell>
          <cell r="C3">
            <v>17.149999999999999</v>
          </cell>
          <cell r="D3">
            <v>17.149999999999999</v>
          </cell>
          <cell r="E3">
            <v>17.149999999999999</v>
          </cell>
          <cell r="F3">
            <v>17.149999999999999</v>
          </cell>
          <cell r="G3">
            <v>13.895843049653516</v>
          </cell>
          <cell r="H3">
            <v>6.302810194140414</v>
          </cell>
          <cell r="I3">
            <v>0.81142148498196243</v>
          </cell>
          <cell r="J3">
            <v>-4.7477573993327349</v>
          </cell>
          <cell r="K3">
            <v>-4.7477573993327349</v>
          </cell>
          <cell r="L3">
            <v>-0.40888146553742183</v>
          </cell>
          <cell r="M3">
            <v>-4.9511497112359351</v>
          </cell>
          <cell r="N3">
            <v>-4.9511497112359351</v>
          </cell>
          <cell r="O3">
            <v>-3.8325320091365733</v>
          </cell>
          <cell r="P3">
            <v>-0.47667890283848902</v>
          </cell>
          <cell r="Q3">
            <v>2.8791632959280173</v>
          </cell>
          <cell r="R3">
            <v>3.9977773621835202</v>
          </cell>
          <cell r="S3">
            <v>3.9977773621835202</v>
          </cell>
          <cell r="T3">
            <v>3.9977773621835202</v>
          </cell>
          <cell r="U3">
            <v>3.9977773621835202</v>
          </cell>
          <cell r="V3">
            <v>3.9977773621835202</v>
          </cell>
          <cell r="W3">
            <v>8.3366532578072423</v>
          </cell>
          <cell r="X3">
            <v>12.743326628903622</v>
          </cell>
          <cell r="Y3">
            <v>12.743326628903622</v>
          </cell>
        </row>
        <row r="4">
          <cell r="B4">
            <v>9.3945008350333676</v>
          </cell>
          <cell r="C4">
            <v>7.2466598762933714</v>
          </cell>
          <cell r="D4">
            <v>6.2035117074654771</v>
          </cell>
          <cell r="E4">
            <v>6.0705484729377766</v>
          </cell>
          <cell r="F4">
            <v>6.8995472485191511</v>
          </cell>
          <cell r="G4">
            <v>8.5667386225473212</v>
          </cell>
          <cell r="H4">
            <v>13.291365187053202</v>
          </cell>
          <cell r="I4">
            <v>16.226213686099062</v>
          </cell>
          <cell r="J4">
            <v>18.747091595149403</v>
          </cell>
          <cell r="K4">
            <v>20.643997547132422</v>
          </cell>
          <cell r="L4">
            <v>20.818217056477593</v>
          </cell>
          <cell r="M4">
            <v>20.444929572457283</v>
          </cell>
          <cell r="N4">
            <v>20.532003467567755</v>
          </cell>
          <cell r="O4">
            <v>20.322486178588168</v>
          </cell>
          <cell r="P4">
            <v>18.333228336111045</v>
          </cell>
          <cell r="Q4">
            <v>17.418213160082839</v>
          </cell>
          <cell r="R4">
            <v>17.975648976530785</v>
          </cell>
          <cell r="S4">
            <v>24.5</v>
          </cell>
          <cell r="T4">
            <v>24.464433431156571</v>
          </cell>
          <cell r="U4">
            <v>23.71789398931411</v>
          </cell>
          <cell r="V4">
            <v>21.953412791217257</v>
          </cell>
          <cell r="W4">
            <v>19.52390132131039</v>
          </cell>
          <cell r="X4">
            <v>15.924147641452368</v>
          </cell>
          <cell r="Y4">
            <v>12.21688896093012</v>
          </cell>
        </row>
      </sheetData>
      <sheetData sheetId="12">
        <row r="2">
          <cell r="B2">
            <v>29.804176869297603</v>
          </cell>
          <cell r="C2">
            <v>26.644820270777611</v>
          </cell>
          <cell r="D2">
            <v>25.411595180390687</v>
          </cell>
          <cell r="E2">
            <v>25.353147791464139</v>
          </cell>
          <cell r="F2">
            <v>25.039313582222675</v>
          </cell>
          <cell r="G2">
            <v>26.165973821904611</v>
          </cell>
          <cell r="H2">
            <v>29.430377367433447</v>
          </cell>
          <cell r="I2">
            <v>36.732334527504271</v>
          </cell>
          <cell r="J2">
            <v>39.367123462487584</v>
          </cell>
          <cell r="K2">
            <v>41.249793296271953</v>
          </cell>
          <cell r="L2">
            <v>42.613662696283143</v>
          </cell>
          <cell r="M2">
            <v>41.488990378462901</v>
          </cell>
          <cell r="N2">
            <v>42.144125178070063</v>
          </cell>
          <cell r="O2">
            <v>42.992097653227766</v>
          </cell>
          <cell r="P2">
            <v>39.479340247125904</v>
          </cell>
          <cell r="Q2">
            <v>36.428881355961025</v>
          </cell>
          <cell r="R2">
            <v>37.805851311810983</v>
          </cell>
          <cell r="S2">
            <v>39.734333964177125</v>
          </cell>
          <cell r="T2">
            <v>42.111111160488811</v>
          </cell>
          <cell r="U2">
            <v>41.372677006938666</v>
          </cell>
          <cell r="V2">
            <v>39.85772609006446</v>
          </cell>
          <cell r="W2">
            <v>41.307497267714197</v>
          </cell>
          <cell r="X2">
            <v>34.612315009335632</v>
          </cell>
          <cell r="Y2">
            <v>34.755218765474922</v>
          </cell>
        </row>
        <row r="3">
          <cell r="B3">
            <v>28.875350957191564</v>
          </cell>
          <cell r="C3">
            <v>27.891355389404048</v>
          </cell>
          <cell r="D3">
            <v>25.050316632719948</v>
          </cell>
          <cell r="E3">
            <v>25.982571774500563</v>
          </cell>
          <cell r="F3">
            <v>25.103250102643042</v>
          </cell>
          <cell r="G3">
            <v>27.844198263445165</v>
          </cell>
          <cell r="H3">
            <v>36.289512364289422</v>
          </cell>
          <cell r="I3">
            <v>42.769788910744744</v>
          </cell>
          <cell r="J3">
            <v>46.473808680087728</v>
          </cell>
          <cell r="K3">
            <v>45.159921141297353</v>
          </cell>
          <cell r="L3">
            <v>42.634595816865414</v>
          </cell>
          <cell r="M3">
            <v>46.5</v>
          </cell>
          <cell r="N3">
            <v>44.729999659053554</v>
          </cell>
          <cell r="O3">
            <v>42.891339429203121</v>
          </cell>
          <cell r="P3">
            <v>42.251485069560395</v>
          </cell>
          <cell r="Q3">
            <v>40.546316489666197</v>
          </cell>
          <cell r="R3">
            <v>37.68679268613819</v>
          </cell>
          <cell r="S3">
            <v>41.229757874939587</v>
          </cell>
          <cell r="T3">
            <v>41.405066520114509</v>
          </cell>
          <cell r="U3">
            <v>40.281515628413231</v>
          </cell>
          <cell r="V3">
            <v>38.517973643105648</v>
          </cell>
          <cell r="W3">
            <v>37.941956418315435</v>
          </cell>
          <cell r="X3">
            <v>34.925716207720136</v>
          </cell>
          <cell r="Y3">
            <v>32.345827987123428</v>
          </cell>
        </row>
        <row r="4">
          <cell r="B4">
            <v>40.138293234919523</v>
          </cell>
          <cell r="C4">
            <v>34.945146189419937</v>
          </cell>
          <cell r="D4">
            <v>35.238338785050757</v>
          </cell>
          <cell r="E4">
            <v>32.442569312376285</v>
          </cell>
          <cell r="F4">
            <v>34.614280706719995</v>
          </cell>
          <cell r="G4">
            <v>34.120402260241164</v>
          </cell>
          <cell r="H4">
            <v>39.887077093422469</v>
          </cell>
          <cell r="I4">
            <v>44.302198024984683</v>
          </cell>
          <cell r="J4">
            <v>51.252381832168346</v>
          </cell>
          <cell r="K4">
            <v>52.588558489906255</v>
          </cell>
          <cell r="L4">
            <v>54.479497589850986</v>
          </cell>
          <cell r="M4">
            <v>57.45934099700068</v>
          </cell>
          <cell r="N4">
            <v>57.834456662186497</v>
          </cell>
          <cell r="O4">
            <v>57.395412652249817</v>
          </cell>
          <cell r="P4">
            <v>54.188584333481991</v>
          </cell>
          <cell r="Q4">
            <v>54.751525291537526</v>
          </cell>
          <cell r="R4">
            <v>54.536650589645262</v>
          </cell>
          <cell r="S4">
            <v>56.295189884377749</v>
          </cell>
          <cell r="T4">
            <v>56.248056207175203</v>
          </cell>
          <cell r="U4">
            <v>55.102772670021572</v>
          </cell>
          <cell r="V4">
            <v>53.811540954047096</v>
          </cell>
          <cell r="W4">
            <v>56.384843977543227</v>
          </cell>
          <cell r="X4">
            <v>51.819161667131951</v>
          </cell>
          <cell r="Y4">
            <v>47.11949991002956</v>
          </cell>
        </row>
      </sheetData>
      <sheetData sheetId="13">
        <row r="2">
          <cell r="B2">
            <v>30.698302175376529</v>
          </cell>
          <cell r="C2">
            <v>27.444164878900942</v>
          </cell>
          <cell r="D2">
            <v>26.173943035802409</v>
          </cell>
          <cell r="E2">
            <v>26.113742225208064</v>
          </cell>
          <cell r="F2">
            <v>25.790492989689358</v>
          </cell>
          <cell r="G2">
            <v>26.950953036561749</v>
          </cell>
          <cell r="H2">
            <v>30.313288688456449</v>
          </cell>
          <cell r="I2">
            <v>37.834304563329397</v>
          </cell>
          <cell r="J2">
            <v>40.54813716636221</v>
          </cell>
          <cell r="K2">
            <v>42.487287095160113</v>
          </cell>
          <cell r="L2">
            <v>43.892072577171639</v>
          </cell>
          <cell r="M2">
            <v>42.733660089816794</v>
          </cell>
          <cell r="N2">
            <v>43.408448933412167</v>
          </cell>
          <cell r="O2">
            <v>44.281860582824599</v>
          </cell>
          <cell r="P2">
            <v>40.663720454539686</v>
          </cell>
          <cell r="Q2">
            <v>37.521747796639858</v>
          </cell>
          <cell r="R2">
            <v>38.940026851165314</v>
          </cell>
          <cell r="S2">
            <v>40.926363983102441</v>
          </cell>
          <cell r="T2">
            <v>43.374444495303479</v>
          </cell>
          <cell r="U2">
            <v>42.613857317146824</v>
          </cell>
          <cell r="V2">
            <v>41.053457872766394</v>
          </cell>
          <cell r="W2">
            <v>42.546722185745622</v>
          </cell>
          <cell r="X2">
            <v>35.650684459615697</v>
          </cell>
          <cell r="Y2">
            <v>35.797875328439176</v>
          </cell>
        </row>
        <row r="3">
          <cell r="B3">
            <v>29.74161148590731</v>
          </cell>
          <cell r="C3">
            <v>28.728096051086172</v>
          </cell>
          <cell r="D3">
            <v>25.801826131701549</v>
          </cell>
          <cell r="E3">
            <v>26.762048927735581</v>
          </cell>
          <cell r="F3">
            <v>25.856347605722334</v>
          </cell>
          <cell r="G3">
            <v>28.679524211348518</v>
          </cell>
          <cell r="H3">
            <v>37.378197735218102</v>
          </cell>
          <cell r="I3">
            <v>44.052882578067084</v>
          </cell>
          <cell r="J3">
            <v>47.868022940490363</v>
          </cell>
          <cell r="K3">
            <v>46.514718775536281</v>
          </cell>
          <cell r="L3">
            <v>43.913633691371381</v>
          </cell>
          <cell r="M3">
            <v>47.895000000000003</v>
          </cell>
          <cell r="N3">
            <v>46.071899648825159</v>
          </cell>
          <cell r="O3">
            <v>44.178079612079216</v>
          </cell>
          <cell r="P3">
            <v>43.519029621647206</v>
          </cell>
          <cell r="Q3">
            <v>41.762705984356181</v>
          </cell>
          <cell r="R3">
            <v>38.817396466722343</v>
          </cell>
          <cell r="S3">
            <v>42.466650611187781</v>
          </cell>
          <cell r="T3">
            <v>42.647218515717945</v>
          </cell>
          <cell r="U3">
            <v>41.489961097265635</v>
          </cell>
          <cell r="V3">
            <v>39.673512852398822</v>
          </cell>
          <cell r="W3">
            <v>39.080215110864899</v>
          </cell>
          <cell r="X3">
            <v>35.973487693951739</v>
          </cell>
          <cell r="Y3">
            <v>33.316202826737126</v>
          </cell>
        </row>
        <row r="4">
          <cell r="B4">
            <v>41.34244203196711</v>
          </cell>
          <cell r="C4">
            <v>35.99350057510253</v>
          </cell>
          <cell r="D4">
            <v>36.295488948602284</v>
          </cell>
          <cell r="E4">
            <v>33.415846391747579</v>
          </cell>
          <cell r="F4">
            <v>35.652709127921597</v>
          </cell>
          <cell r="G4">
            <v>35.144014328048399</v>
          </cell>
          <cell r="H4">
            <v>41.08368940622514</v>
          </cell>
          <cell r="I4">
            <v>45.631263965734227</v>
          </cell>
          <cell r="J4">
            <v>52.7899532871334</v>
          </cell>
          <cell r="K4">
            <v>54.166215244603443</v>
          </cell>
          <cell r="L4">
            <v>56.113882517546521</v>
          </cell>
          <cell r="M4">
            <v>59.183121226910707</v>
          </cell>
          <cell r="N4">
            <v>59.5694903620521</v>
          </cell>
          <cell r="O4">
            <v>59.117275031817307</v>
          </cell>
          <cell r="P4">
            <v>55.814241863486451</v>
          </cell>
          <cell r="Q4">
            <v>56.394071050283657</v>
          </cell>
          <cell r="R4">
            <v>56.172750107334622</v>
          </cell>
          <cell r="S4">
            <v>57.984045580909083</v>
          </cell>
          <cell r="T4">
            <v>57.935497893390462</v>
          </cell>
          <cell r="U4">
            <v>56.755855850122224</v>
          </cell>
          <cell r="V4">
            <v>55.425887182668511</v>
          </cell>
          <cell r="W4">
            <v>58.076389296869522</v>
          </cell>
          <cell r="X4">
            <v>53.373736517145907</v>
          </cell>
          <cell r="Y4">
            <v>48.533084907330448</v>
          </cell>
        </row>
      </sheetData>
      <sheetData sheetId="14">
        <row r="2">
          <cell r="B2">
            <v>29.208093331911648</v>
          </cell>
          <cell r="C2">
            <v>26.111923865362058</v>
          </cell>
          <cell r="D2">
            <v>24.903363276782876</v>
          </cell>
          <cell r="E2">
            <v>24.846084835634855</v>
          </cell>
          <cell r="F2">
            <v>24.538527310578218</v>
          </cell>
          <cell r="G2">
            <v>25.642654345466518</v>
          </cell>
          <cell r="H2">
            <v>28.841769820084778</v>
          </cell>
          <cell r="I2">
            <v>35.997687836954178</v>
          </cell>
          <cell r="J2">
            <v>38.579780993237826</v>
          </cell>
          <cell r="K2">
            <v>40.424797430346516</v>
          </cell>
          <cell r="L2">
            <v>41.761389442357483</v>
          </cell>
          <cell r="M2">
            <v>40.659210570893649</v>
          </cell>
          <cell r="N2">
            <v>41.301242674508664</v>
          </cell>
          <cell r="O2">
            <v>42.132255700163206</v>
          </cell>
          <cell r="P2">
            <v>38.689753442183388</v>
          </cell>
          <cell r="Q2">
            <v>35.700303728841803</v>
          </cell>
          <cell r="R2">
            <v>37.049734285574765</v>
          </cell>
          <cell r="S2">
            <v>38.939647284893582</v>
          </cell>
          <cell r="T2">
            <v>41.26888893727903</v>
          </cell>
          <cell r="U2">
            <v>40.545223466799889</v>
          </cell>
          <cell r="V2">
            <v>39.060571568263171</v>
          </cell>
          <cell r="W2">
            <v>40.481347322359916</v>
          </cell>
          <cell r="X2">
            <v>33.920068709148914</v>
          </cell>
          <cell r="Y2">
            <v>34.060114390165424</v>
          </cell>
        </row>
        <row r="3">
          <cell r="B3">
            <v>28.297843938047734</v>
          </cell>
          <cell r="C3">
            <v>27.333528281615965</v>
          </cell>
          <cell r="D3">
            <v>24.549310300065549</v>
          </cell>
          <cell r="E3">
            <v>25.462920339010552</v>
          </cell>
          <cell r="F3">
            <v>24.601185100590182</v>
          </cell>
          <cell r="G3">
            <v>27.287314298176256</v>
          </cell>
          <cell r="H3">
            <v>35.563722117003636</v>
          </cell>
          <cell r="I3">
            <v>41.914393132529845</v>
          </cell>
          <cell r="J3">
            <v>45.544332506485972</v>
          </cell>
          <cell r="K3">
            <v>44.256722718471408</v>
          </cell>
          <cell r="L3">
            <v>41.781903900528107</v>
          </cell>
          <cell r="M3">
            <v>45.57</v>
          </cell>
          <cell r="N3">
            <v>43.83539966587248</v>
          </cell>
          <cell r="O3">
            <v>42.033512640619058</v>
          </cell>
          <cell r="P3">
            <v>41.40645536816919</v>
          </cell>
          <cell r="Q3">
            <v>39.735390159872871</v>
          </cell>
          <cell r="R3">
            <v>36.933056832415431</v>
          </cell>
          <cell r="S3">
            <v>40.405162717440795</v>
          </cell>
          <cell r="T3">
            <v>40.576965189712219</v>
          </cell>
          <cell r="U3">
            <v>39.47588531584497</v>
          </cell>
          <cell r="V3">
            <v>37.747614170243537</v>
          </cell>
          <cell r="W3">
            <v>37.183117289949124</v>
          </cell>
          <cell r="X3">
            <v>34.227201883565733</v>
          </cell>
          <cell r="Y3">
            <v>31.69891142738096</v>
          </cell>
        </row>
        <row r="4">
          <cell r="B4">
            <v>39.335527370221129</v>
          </cell>
          <cell r="C4">
            <v>34.246243265631534</v>
          </cell>
          <cell r="D4">
            <v>34.53357200934974</v>
          </cell>
          <cell r="E4">
            <v>31.793717926128764</v>
          </cell>
          <cell r="F4">
            <v>33.92199509258559</v>
          </cell>
          <cell r="G4">
            <v>33.437994215036341</v>
          </cell>
          <cell r="H4">
            <v>39.089335551554022</v>
          </cell>
          <cell r="I4">
            <v>43.416154064484985</v>
          </cell>
          <cell r="J4">
            <v>50.227334195524975</v>
          </cell>
          <cell r="K4">
            <v>51.536787320108125</v>
          </cell>
          <cell r="L4">
            <v>53.38990763805397</v>
          </cell>
          <cell r="M4">
            <v>56.310154177060667</v>
          </cell>
          <cell r="N4">
            <v>56.677767528942766</v>
          </cell>
          <cell r="O4">
            <v>56.247504399204821</v>
          </cell>
          <cell r="P4">
            <v>53.104812646812348</v>
          </cell>
          <cell r="Q4">
            <v>53.656494785706776</v>
          </cell>
          <cell r="R4">
            <v>53.445917577852356</v>
          </cell>
          <cell r="S4">
            <v>55.169286086690185</v>
          </cell>
          <cell r="T4">
            <v>55.1230950830317</v>
          </cell>
          <cell r="U4">
            <v>54.00071721662114</v>
          </cell>
          <cell r="V4">
            <v>52.735310134966156</v>
          </cell>
          <cell r="W4">
            <v>55.257147097992359</v>
          </cell>
          <cell r="X4">
            <v>50.782778433789311</v>
          </cell>
          <cell r="Y4">
            <v>46.177109911828964</v>
          </cell>
        </row>
      </sheetData>
      <sheetData sheetId="15">
        <row r="2">
          <cell r="B2">
            <v>-11.088841925983788</v>
          </cell>
          <cell r="C2">
            <v>-13.065323033043761</v>
          </cell>
          <cell r="D2">
            <v>-14.684923998850405</v>
          </cell>
          <cell r="E2">
            <v>-13.830347092910559</v>
          </cell>
          <cell r="F2">
            <v>-13.969399347096569</v>
          </cell>
          <cell r="G2">
            <v>-13.733839083829603</v>
          </cell>
          <cell r="H2">
            <v>-11.42434438615695</v>
          </cell>
          <cell r="I2">
            <v>-2.7372853032067219</v>
          </cell>
          <cell r="J2">
            <v>3.067458834337967</v>
          </cell>
          <cell r="K2">
            <v>5.5999989790138986</v>
          </cell>
          <cell r="L2">
            <v>3.6701180867174648</v>
          </cell>
          <cell r="M2">
            <v>5.0444104809313339</v>
          </cell>
          <cell r="N2">
            <v>4.4223529988851746</v>
          </cell>
          <cell r="O2">
            <v>4.4212663008034578</v>
          </cell>
          <cell r="P2">
            <v>1.0160953442116454</v>
          </cell>
          <cell r="Q2">
            <v>-1.8396861042081714</v>
          </cell>
          <cell r="R2">
            <v>-0.79459390599102997</v>
          </cell>
          <cell r="S2">
            <v>1.137649286212379</v>
          </cell>
          <cell r="T2">
            <v>6.8719547083179386E-2</v>
          </cell>
          <cell r="U2">
            <v>-1.4718026832605351</v>
          </cell>
          <cell r="V2">
            <v>-2.987202385176956</v>
          </cell>
          <cell r="W2">
            <v>-3.2933486610726868</v>
          </cell>
          <cell r="X2">
            <v>-6.3080766097708816</v>
          </cell>
          <cell r="Y2">
            <v>-7.9487186287736025</v>
          </cell>
        </row>
        <row r="3">
          <cell r="B3">
            <v>-2.0416492018416124</v>
          </cell>
          <cell r="C3">
            <v>-0.62549122389476985</v>
          </cell>
          <cell r="D3">
            <v>-2.6193939123207386</v>
          </cell>
          <cell r="E3">
            <v>-3.8149999999999995</v>
          </cell>
          <cell r="F3">
            <v>-2.8000000000000007</v>
          </cell>
          <cell r="G3">
            <v>-4.2802514138049919</v>
          </cell>
          <cell r="H3">
            <v>-1.4658471276391805</v>
          </cell>
          <cell r="I3">
            <v>1.1643132923190587</v>
          </cell>
          <cell r="J3">
            <v>0.66692099127970028</v>
          </cell>
          <cell r="K3">
            <v>0.80169965916860464</v>
          </cell>
          <cell r="L3">
            <v>2.1379066004862848</v>
          </cell>
          <cell r="M3">
            <v>1.2887270380343245</v>
          </cell>
          <cell r="N3">
            <v>2.3609502665246009</v>
          </cell>
          <cell r="O3">
            <v>3.3430240018811648</v>
          </cell>
          <cell r="P3">
            <v>2.4042439160597446</v>
          </cell>
          <cell r="Q3">
            <v>3.2723933788967976</v>
          </cell>
          <cell r="R3">
            <v>1.2337607500799099</v>
          </cell>
          <cell r="S3">
            <v>1.1521734569741238</v>
          </cell>
          <cell r="T3">
            <v>1.2337607500799099</v>
          </cell>
          <cell r="U3">
            <v>1.1368511337022784</v>
          </cell>
          <cell r="V3">
            <v>-0.58773988762411578</v>
          </cell>
          <cell r="W3">
            <v>0.53037799112387607</v>
          </cell>
          <cell r="X3">
            <v>-2.9395683403642692</v>
          </cell>
          <cell r="Y3">
            <v>-2.6512951820839734</v>
          </cell>
        </row>
        <row r="4">
          <cell r="B4">
            <v>9.4393191010555899</v>
          </cell>
          <cell r="C4">
            <v>7.4966547713080836</v>
          </cell>
          <cell r="D4">
            <v>6.9597908049056638</v>
          </cell>
          <cell r="E4">
            <v>6.4288857936403154</v>
          </cell>
          <cell r="F4">
            <v>6.859975883228171</v>
          </cell>
          <cell r="G4">
            <v>5.3109564507033715</v>
          </cell>
          <cell r="H4">
            <v>9.085447883450259</v>
          </cell>
          <cell r="I4">
            <v>13.092182632975129</v>
          </cell>
          <cell r="J4">
            <v>17.717818939306181</v>
          </cell>
          <cell r="K4">
            <v>20.848274955873382</v>
          </cell>
          <cell r="L4">
            <v>21.195241729266453</v>
          </cell>
          <cell r="M4">
            <v>21.511095728825421</v>
          </cell>
          <cell r="N4">
            <v>23.100164598932942</v>
          </cell>
          <cell r="O4">
            <v>22.244892317791091</v>
          </cell>
          <cell r="P4">
            <v>20.660467992445859</v>
          </cell>
          <cell r="Q4">
            <v>20.502954463113181</v>
          </cell>
          <cell r="R4">
            <v>19.903721709814427</v>
          </cell>
          <cell r="S4">
            <v>20.929236545383567</v>
          </cell>
          <cell r="T4">
            <v>20.783883202483562</v>
          </cell>
          <cell r="U4">
            <v>20.53977177214384</v>
          </cell>
          <cell r="V4">
            <v>17.673466241030393</v>
          </cell>
          <cell r="W4">
            <v>19.175684953740713</v>
          </cell>
          <cell r="X4">
            <v>16.189065446942021</v>
          </cell>
          <cell r="Y4">
            <v>13.449246788708443</v>
          </cell>
        </row>
      </sheetData>
      <sheetData sheetId="16">
        <row r="2">
          <cell r="B2">
            <v>-11.421507183763302</v>
          </cell>
          <cell r="C2">
            <v>-13.457282724035073</v>
          </cell>
          <cell r="D2">
            <v>-15.125471718815918</v>
          </cell>
          <cell r="E2">
            <v>-14.245257505697877</v>
          </cell>
          <cell r="F2">
            <v>-14.388481327509467</v>
          </cell>
          <cell r="G2">
            <v>-14.145854256344492</v>
          </cell>
          <cell r="H2">
            <v>-11.767074717741659</v>
          </cell>
          <cell r="I2">
            <v>-2.8194038623029241</v>
          </cell>
          <cell r="J2">
            <v>3.1594825993681059</v>
          </cell>
          <cell r="K2">
            <v>5.7679989483843155</v>
          </cell>
          <cell r="L2">
            <v>3.780221629318989</v>
          </cell>
          <cell r="M2">
            <v>5.1957427953592745</v>
          </cell>
          <cell r="N2">
            <v>4.5550235888517303</v>
          </cell>
          <cell r="O2">
            <v>4.5539042898275621</v>
          </cell>
          <cell r="P2">
            <v>1.0465782045379948</v>
          </cell>
          <cell r="Q2">
            <v>-1.8948766873344167</v>
          </cell>
          <cell r="R2">
            <v>-0.81843172317076096</v>
          </cell>
          <cell r="S2">
            <v>1.1717787647987503</v>
          </cell>
          <cell r="T2">
            <v>7.0781133495674775E-2</v>
          </cell>
          <cell r="U2">
            <v>-1.5159567637583511</v>
          </cell>
          <cell r="V2">
            <v>-3.0768184567322647</v>
          </cell>
          <cell r="W2">
            <v>-3.3921491209048673</v>
          </cell>
          <cell r="X2">
            <v>-6.4973189080640088</v>
          </cell>
          <cell r="Y2">
            <v>-8.1871801876368107</v>
          </cell>
        </row>
        <row r="3">
          <cell r="B3">
            <v>-2.1028986778968606</v>
          </cell>
          <cell r="C3">
            <v>-0.64425596061161305</v>
          </cell>
          <cell r="D3">
            <v>-2.6979757296903606</v>
          </cell>
          <cell r="E3">
            <v>-3.9294499999999997</v>
          </cell>
          <cell r="F3">
            <v>-2.8840000000000003</v>
          </cell>
          <cell r="G3">
            <v>-4.4086589562191421</v>
          </cell>
          <cell r="H3">
            <v>-1.5098225414683557</v>
          </cell>
          <cell r="I3">
            <v>1.1992426910886305</v>
          </cell>
          <cell r="J3">
            <v>0.68692862101809127</v>
          </cell>
          <cell r="K3">
            <v>0.82575064894366279</v>
          </cell>
          <cell r="L3">
            <v>2.2020437985008732</v>
          </cell>
          <cell r="M3">
            <v>1.3273888491753543</v>
          </cell>
          <cell r="N3">
            <v>2.4317787745203394</v>
          </cell>
          <cell r="O3">
            <v>3.4433147219375995</v>
          </cell>
          <cell r="P3">
            <v>2.4763712335415375</v>
          </cell>
          <cell r="Q3">
            <v>3.3705651802637018</v>
          </cell>
          <cell r="R3">
            <v>1.2707735725823071</v>
          </cell>
          <cell r="S3">
            <v>1.1867386606833474</v>
          </cell>
          <cell r="T3">
            <v>1.2707735725823071</v>
          </cell>
          <cell r="U3">
            <v>1.1709566677133467</v>
          </cell>
          <cell r="V3">
            <v>-0.60537208425283928</v>
          </cell>
          <cell r="W3">
            <v>0.54628933085759235</v>
          </cell>
          <cell r="X3">
            <v>-3.0277553905751975</v>
          </cell>
          <cell r="Y3">
            <v>-2.7308340375464923</v>
          </cell>
        </row>
        <row r="4">
          <cell r="B4">
            <v>9.722498674087257</v>
          </cell>
          <cell r="C4">
            <v>7.7215544144473265</v>
          </cell>
          <cell r="D4">
            <v>7.1685845290528336</v>
          </cell>
          <cell r="E4">
            <v>6.6217523674495249</v>
          </cell>
          <cell r="F4">
            <v>7.0657751597250167</v>
          </cell>
          <cell r="G4">
            <v>5.4702851442244729</v>
          </cell>
          <cell r="H4">
            <v>9.3580113199537678</v>
          </cell>
          <cell r="I4">
            <v>13.484948111964384</v>
          </cell>
          <cell r="J4">
            <v>18.249353507485367</v>
          </cell>
          <cell r="K4">
            <v>21.473723204549586</v>
          </cell>
          <cell r="L4">
            <v>21.831098981144446</v>
          </cell>
          <cell r="M4">
            <v>22.156428600690184</v>
          </cell>
          <cell r="N4">
            <v>23.793169536900933</v>
          </cell>
          <cell r="O4">
            <v>22.912239087324824</v>
          </cell>
          <cell r="P4">
            <v>21.280282032219233</v>
          </cell>
          <cell r="Q4">
            <v>21.118043097006577</v>
          </cell>
          <cell r="R4">
            <v>20.500833361108857</v>
          </cell>
          <cell r="S4">
            <v>21.557113641745072</v>
          </cell>
          <cell r="T4">
            <v>21.407399698558073</v>
          </cell>
          <cell r="U4">
            <v>21.155964925308155</v>
          </cell>
          <cell r="V4">
            <v>18.203670228261306</v>
          </cell>
          <cell r="W4">
            <v>19.750955502352934</v>
          </cell>
          <cell r="X4">
            <v>16.674737410350279</v>
          </cell>
          <cell r="Y4">
            <v>13.852724192369697</v>
          </cell>
        </row>
      </sheetData>
      <sheetData sheetId="17">
        <row r="2">
          <cell r="B2">
            <v>-10.867065087464113</v>
          </cell>
          <cell r="C2">
            <v>-12.804016572382885</v>
          </cell>
          <cell r="D2">
            <v>-14.391225518873396</v>
          </cell>
          <cell r="E2">
            <v>-13.553740151052347</v>
          </cell>
          <cell r="F2">
            <v>-13.690011360154639</v>
          </cell>
          <cell r="G2">
            <v>-13.459162302153011</v>
          </cell>
          <cell r="H2">
            <v>-11.19585749843381</v>
          </cell>
          <cell r="I2">
            <v>-2.6825395971425876</v>
          </cell>
          <cell r="J2">
            <v>3.0061096576512076</v>
          </cell>
          <cell r="K2">
            <v>5.4879989994336205</v>
          </cell>
          <cell r="L2">
            <v>3.5967157249831154</v>
          </cell>
          <cell r="M2">
            <v>4.9435222713127063</v>
          </cell>
          <cell r="N2">
            <v>4.3339059389074706</v>
          </cell>
          <cell r="O2">
            <v>4.3328409747873895</v>
          </cell>
          <cell r="P2">
            <v>0.99577343732741241</v>
          </cell>
          <cell r="Q2">
            <v>-1.8028923821240079</v>
          </cell>
          <cell r="R2">
            <v>-0.77870202787120935</v>
          </cell>
          <cell r="S2">
            <v>1.1148963004881314</v>
          </cell>
          <cell r="T2">
            <v>6.7345156141515802E-2</v>
          </cell>
          <cell r="U2">
            <v>-1.4423666295953244</v>
          </cell>
          <cell r="V2">
            <v>-2.9274583374734164</v>
          </cell>
          <cell r="W2">
            <v>-3.2274816878512329</v>
          </cell>
          <cell r="X2">
            <v>-6.1819150775754643</v>
          </cell>
          <cell r="Y2">
            <v>-7.7897442561981309</v>
          </cell>
        </row>
        <row r="3">
          <cell r="B3">
            <v>-2.0008162178047799</v>
          </cell>
          <cell r="C3">
            <v>-0.61298139941687446</v>
          </cell>
          <cell r="D3">
            <v>-2.5670060340743235</v>
          </cell>
          <cell r="E3">
            <v>-3.7386999999999992</v>
          </cell>
          <cell r="F3">
            <v>-2.7440000000000002</v>
          </cell>
          <cell r="G3">
            <v>-4.194646385528892</v>
          </cell>
          <cell r="H3">
            <v>-1.4365301850863967</v>
          </cell>
          <cell r="I3">
            <v>1.1410270264726776</v>
          </cell>
          <cell r="J3">
            <v>0.65358257145410625</v>
          </cell>
          <cell r="K3">
            <v>0.78566566598523246</v>
          </cell>
          <cell r="L3">
            <v>2.0951484684765593</v>
          </cell>
          <cell r="M3">
            <v>1.2629524972736379</v>
          </cell>
          <cell r="N3">
            <v>2.3137312611941092</v>
          </cell>
          <cell r="O3">
            <v>3.2761635218435416</v>
          </cell>
          <cell r="P3">
            <v>2.35615903773855</v>
          </cell>
          <cell r="Q3">
            <v>3.2069455113188612</v>
          </cell>
          <cell r="R3">
            <v>1.2090855350783116</v>
          </cell>
          <cell r="S3">
            <v>1.1291299878346415</v>
          </cell>
          <cell r="T3">
            <v>1.2090855350783116</v>
          </cell>
          <cell r="U3">
            <v>1.1141141110282329</v>
          </cell>
          <cell r="V3">
            <v>-0.57598508987163344</v>
          </cell>
          <cell r="W3">
            <v>0.51977043130139855</v>
          </cell>
          <cell r="X3">
            <v>-2.8807769735569835</v>
          </cell>
          <cell r="Y3">
            <v>-2.5982692784422938</v>
          </cell>
        </row>
        <row r="4">
          <cell r="B4">
            <v>9.2505327190344762</v>
          </cell>
          <cell r="C4">
            <v>7.3467216758819216</v>
          </cell>
          <cell r="D4">
            <v>6.8205949888075503</v>
          </cell>
          <cell r="E4">
            <v>6.3003080777675091</v>
          </cell>
          <cell r="F4">
            <v>6.7227763655636084</v>
          </cell>
          <cell r="G4">
            <v>5.2047373216893043</v>
          </cell>
          <cell r="H4">
            <v>8.9037389257812549</v>
          </cell>
          <cell r="I4">
            <v>12.830338980315629</v>
          </cell>
          <cell r="J4">
            <v>17.363462560520055</v>
          </cell>
          <cell r="K4">
            <v>20.431309456755915</v>
          </cell>
          <cell r="L4">
            <v>20.771336894681124</v>
          </cell>
          <cell r="M4">
            <v>21.080873814248914</v>
          </cell>
          <cell r="N4">
            <v>22.638161306954281</v>
          </cell>
          <cell r="O4">
            <v>21.799994471435269</v>
          </cell>
          <cell r="P4">
            <v>20.247258632596939</v>
          </cell>
          <cell r="Q4">
            <v>20.092895373850919</v>
          </cell>
          <cell r="R4">
            <v>19.505647275618138</v>
          </cell>
          <cell r="S4">
            <v>20.510651814475896</v>
          </cell>
          <cell r="T4">
            <v>20.368205538433891</v>
          </cell>
          <cell r="U4">
            <v>20.128976336700962</v>
          </cell>
          <cell r="V4">
            <v>17.319996916209789</v>
          </cell>
          <cell r="W4">
            <v>18.792171254665899</v>
          </cell>
          <cell r="X4">
            <v>15.865284138003178</v>
          </cell>
          <cell r="Y4">
            <v>13.180261852934274</v>
          </cell>
        </row>
      </sheetData>
      <sheetData sheetId="18">
        <row r="2">
          <cell r="B2">
            <v>32.817375945180018</v>
          </cell>
          <cell r="C2">
            <v>29.816054647595806</v>
          </cell>
          <cell r="D2">
            <v>29.295245664706428</v>
          </cell>
          <cell r="E2">
            <v>29.220409083340382</v>
          </cell>
          <cell r="F2">
            <v>29.222712823617609</v>
          </cell>
          <cell r="G2">
            <v>28.964275690097171</v>
          </cell>
          <cell r="H2">
            <v>31.269521157901131</v>
          </cell>
          <cell r="I2">
            <v>37.124561006189111</v>
          </cell>
          <cell r="J2">
            <v>42.311443296985573</v>
          </cell>
          <cell r="K2">
            <v>43.611591410751721</v>
          </cell>
          <cell r="L2">
            <v>43.170253740394109</v>
          </cell>
          <cell r="M2">
            <v>44.391048414605869</v>
          </cell>
          <cell r="N2">
            <v>45</v>
          </cell>
          <cell r="O2">
            <v>44.167584304461947</v>
          </cell>
          <cell r="P2">
            <v>42.441726729097923</v>
          </cell>
          <cell r="Q2">
            <v>40.733520449221196</v>
          </cell>
          <cell r="R2">
            <v>41.444186883530428</v>
          </cell>
          <cell r="S2">
            <v>41.853645097091622</v>
          </cell>
          <cell r="T2">
            <v>42.03129827269828</v>
          </cell>
          <cell r="U2">
            <v>41.335487053836879</v>
          </cell>
          <cell r="V2">
            <v>41.459681983858381</v>
          </cell>
          <cell r="W2">
            <v>43.176857843221036</v>
          </cell>
          <cell r="X2">
            <v>40.246057516386649</v>
          </cell>
          <cell r="Y2">
            <v>36.893336517241856</v>
          </cell>
        </row>
        <row r="3">
          <cell r="B3">
            <v>33.274803251773768</v>
          </cell>
          <cell r="C3">
            <v>30.29770808896906</v>
          </cell>
          <cell r="D3">
            <v>28.814738182842035</v>
          </cell>
          <cell r="E3">
            <v>27.788929416265447</v>
          </cell>
          <cell r="F3">
            <v>27.788929416265447</v>
          </cell>
          <cell r="G3">
            <v>29.795954262951184</v>
          </cell>
          <cell r="H3">
            <v>37.333448032961321</v>
          </cell>
          <cell r="I3">
            <v>45.941338459596224</v>
          </cell>
          <cell r="J3">
            <v>47.948365710769622</v>
          </cell>
          <cell r="K3">
            <v>46.944850889217129</v>
          </cell>
          <cell r="L3">
            <v>46.922554552261445</v>
          </cell>
          <cell r="M3">
            <v>50</v>
          </cell>
          <cell r="N3">
            <v>50</v>
          </cell>
          <cell r="O3">
            <v>50</v>
          </cell>
          <cell r="P3">
            <v>47.491214142084559</v>
          </cell>
          <cell r="Q3">
            <v>44.960127160211236</v>
          </cell>
          <cell r="R3">
            <v>41.882686499474886</v>
          </cell>
          <cell r="S3">
            <v>41.882686499474886</v>
          </cell>
          <cell r="T3">
            <v>41.882686499474886</v>
          </cell>
          <cell r="U3">
            <v>41.882686499474886</v>
          </cell>
          <cell r="V3">
            <v>41.882686499474886</v>
          </cell>
          <cell r="W3">
            <v>41.882686499474886</v>
          </cell>
          <cell r="X3">
            <v>40.377425040255353</v>
          </cell>
          <cell r="Y3">
            <v>37.779446643027327</v>
          </cell>
        </row>
        <row r="4">
          <cell r="B4">
            <v>44.865864987387084</v>
          </cell>
          <cell r="C4">
            <v>39.495523010342957</v>
          </cell>
          <cell r="D4">
            <v>37.347251859751694</v>
          </cell>
          <cell r="E4">
            <v>36.162740690435101</v>
          </cell>
          <cell r="F4">
            <v>38.335890154838715</v>
          </cell>
          <cell r="G4">
            <v>35.113211958178042</v>
          </cell>
          <cell r="H4">
            <v>41.181390873337726</v>
          </cell>
          <cell r="I4">
            <v>47.798535510840388</v>
          </cell>
          <cell r="J4">
            <v>53.84827683750818</v>
          </cell>
          <cell r="K4">
            <v>57.793534551430149</v>
          </cell>
          <cell r="L4">
            <v>59.64305265787354</v>
          </cell>
          <cell r="M4">
            <v>60.586991450795175</v>
          </cell>
          <cell r="N4">
            <v>61.776626940151822</v>
          </cell>
          <cell r="O4">
            <v>62.282600162562005</v>
          </cell>
          <cell r="P4">
            <v>62.5</v>
          </cell>
          <cell r="Q4">
            <v>60.143799765726357</v>
          </cell>
          <cell r="R4">
            <v>60.173902963837676</v>
          </cell>
          <cell r="S4">
            <v>57.827884042529625</v>
          </cell>
          <cell r="T4">
            <v>58.132149240630504</v>
          </cell>
          <cell r="U4">
            <v>58.610095416705747</v>
          </cell>
          <cell r="V4">
            <v>58.128308238547049</v>
          </cell>
          <cell r="W4">
            <v>60.212093727850366</v>
          </cell>
          <cell r="X4">
            <v>58.828061556194697</v>
          </cell>
          <cell r="Y4">
            <v>52.576544886746582</v>
          </cell>
        </row>
      </sheetData>
      <sheetData sheetId="19">
        <row r="2">
          <cell r="B2">
            <v>33.80189722353542</v>
          </cell>
          <cell r="C2">
            <v>30.710536287023682</v>
          </cell>
          <cell r="D2">
            <v>30.174103034647622</v>
          </cell>
          <cell r="E2">
            <v>30.097021355840596</v>
          </cell>
          <cell r="F2">
            <v>30.099394208326139</v>
          </cell>
          <cell r="G2">
            <v>29.833203960800088</v>
          </cell>
          <cell r="H2">
            <v>32.207606792638167</v>
          </cell>
          <cell r="I2">
            <v>38.238297836374784</v>
          </cell>
          <cell r="J2">
            <v>43.580786595895141</v>
          </cell>
          <cell r="K2">
            <v>44.919939153074274</v>
          </cell>
          <cell r="L2">
            <v>44.465361352605932</v>
          </cell>
          <cell r="M2">
            <v>45.722779867044046</v>
          </cell>
          <cell r="N2">
            <v>46.35</v>
          </cell>
          <cell r="O2">
            <v>45.492611833595802</v>
          </cell>
          <cell r="P2">
            <v>43.714978530970861</v>
          </cell>
          <cell r="Q2">
            <v>41.955526062697835</v>
          </cell>
          <cell r="R2">
            <v>42.68751249003634</v>
          </cell>
          <cell r="S2">
            <v>43.109254450004372</v>
          </cell>
          <cell r="T2">
            <v>43.29223722087923</v>
          </cell>
          <cell r="U2">
            <v>42.575551665451982</v>
          </cell>
          <cell r="V2">
            <v>42.703472443374132</v>
          </cell>
          <cell r="W2">
            <v>44.472163578517666</v>
          </cell>
          <cell r="X2">
            <v>41.45343924187825</v>
          </cell>
          <cell r="Y2">
            <v>38.000136612759107</v>
          </cell>
        </row>
        <row r="3">
          <cell r="B3">
            <v>34.27304734932698</v>
          </cell>
          <cell r="C3">
            <v>31.206639331638129</v>
          </cell>
          <cell r="D3">
            <v>29.679180328327298</v>
          </cell>
          <cell r="E3">
            <v>28.622597298753412</v>
          </cell>
          <cell r="F3">
            <v>28.622597298753412</v>
          </cell>
          <cell r="G3">
            <v>30.689832890839725</v>
          </cell>
          <cell r="H3">
            <v>38.45345147395016</v>
          </cell>
          <cell r="I3">
            <v>47.319578613384117</v>
          </cell>
          <cell r="J3">
            <v>49.386816682092714</v>
          </cell>
          <cell r="K3">
            <v>48.353196415893649</v>
          </cell>
          <cell r="L3">
            <v>48.330231188829295</v>
          </cell>
          <cell r="M3">
            <v>51.5</v>
          </cell>
          <cell r="N3">
            <v>51.5</v>
          </cell>
          <cell r="O3">
            <v>51.5</v>
          </cell>
          <cell r="P3">
            <v>48.915950566347099</v>
          </cell>
          <cell r="Q3">
            <v>46.308930975017574</v>
          </cell>
          <cell r="R3">
            <v>43.139167094459133</v>
          </cell>
          <cell r="S3">
            <v>43.139167094459133</v>
          </cell>
          <cell r="T3">
            <v>43.139167094459133</v>
          </cell>
          <cell r="U3">
            <v>43.139167094459133</v>
          </cell>
          <cell r="V3">
            <v>43.139167094459133</v>
          </cell>
          <cell r="W3">
            <v>43.139167094459133</v>
          </cell>
          <cell r="X3">
            <v>41.588747791463014</v>
          </cell>
          <cell r="Y3">
            <v>38.912830042318149</v>
          </cell>
        </row>
        <row r="4">
          <cell r="B4">
            <v>46.211840937008702</v>
          </cell>
          <cell r="C4">
            <v>40.680388700653246</v>
          </cell>
          <cell r="D4">
            <v>38.467669415544243</v>
          </cell>
          <cell r="E4">
            <v>37.247622911148156</v>
          </cell>
          <cell r="F4">
            <v>39.485966859483874</v>
          </cell>
          <cell r="G4">
            <v>36.166608316923387</v>
          </cell>
          <cell r="H4">
            <v>42.416832599537855</v>
          </cell>
          <cell r="I4">
            <v>49.2324915761656</v>
          </cell>
          <cell r="J4">
            <v>55.463725142633429</v>
          </cell>
          <cell r="K4">
            <v>59.527340587973057</v>
          </cell>
          <cell r="L4">
            <v>61.432344237609755</v>
          </cell>
          <cell r="M4">
            <v>62.404601194319028</v>
          </cell>
          <cell r="N4">
            <v>63.629925748356378</v>
          </cell>
          <cell r="O4">
            <v>64.151078167438868</v>
          </cell>
          <cell r="P4">
            <v>64.375</v>
          </cell>
          <cell r="Q4">
            <v>61.948113758698142</v>
          </cell>
          <cell r="R4">
            <v>61.979120052752805</v>
          </cell>
          <cell r="S4">
            <v>59.562720563805513</v>
          </cell>
          <cell r="T4">
            <v>59.876113717849421</v>
          </cell>
          <cell r="U4">
            <v>60.368398279206922</v>
          </cell>
          <cell r="V4">
            <v>59.872157485703461</v>
          </cell>
          <cell r="W4">
            <v>62.018456539685879</v>
          </cell>
          <cell r="X4">
            <v>60.592903402880538</v>
          </cell>
          <cell r="Y4">
            <v>54.153841233348977</v>
          </cell>
        </row>
      </sheetData>
      <sheetData sheetId="20">
        <row r="2">
          <cell r="B2">
            <v>32.161028426276417</v>
          </cell>
          <cell r="C2">
            <v>29.219733554643891</v>
          </cell>
          <cell r="D2">
            <v>28.709340751412302</v>
          </cell>
          <cell r="E2">
            <v>28.636000901673572</v>
          </cell>
          <cell r="F2">
            <v>28.638258567145257</v>
          </cell>
          <cell r="G2">
            <v>28.384990176295229</v>
          </cell>
          <cell r="H2">
            <v>30.644130734743111</v>
          </cell>
          <cell r="I2">
            <v>36.38206978606533</v>
          </cell>
          <cell r="J2">
            <v>41.465214431045865</v>
          </cell>
          <cell r="K2">
            <v>42.739359582536679</v>
          </cell>
          <cell r="L2">
            <v>42.30684866558623</v>
          </cell>
          <cell r="M2">
            <v>43.503227446313751</v>
          </cell>
          <cell r="N2">
            <v>44.1</v>
          </cell>
          <cell r="O2">
            <v>43.284232618372705</v>
          </cell>
          <cell r="P2">
            <v>41.592892194515962</v>
          </cell>
          <cell r="Q2">
            <v>39.918850040236777</v>
          </cell>
          <cell r="R2">
            <v>40.615303145859812</v>
          </cell>
          <cell r="S2">
            <v>41.016572195149791</v>
          </cell>
          <cell r="T2">
            <v>41.190672307244313</v>
          </cell>
          <cell r="U2">
            <v>40.508777312760138</v>
          </cell>
          <cell r="V2">
            <v>40.630488344181209</v>
          </cell>
          <cell r="W2">
            <v>42.313320686356619</v>
          </cell>
          <cell r="X2">
            <v>39.44113636605892</v>
          </cell>
          <cell r="Y2">
            <v>36.155469786897015</v>
          </cell>
        </row>
        <row r="3">
          <cell r="B3">
            <v>32.609307186738292</v>
          </cell>
          <cell r="C3">
            <v>29.69175392718968</v>
          </cell>
          <cell r="D3">
            <v>28.238443419185195</v>
          </cell>
          <cell r="E3">
            <v>27.233150827940133</v>
          </cell>
          <cell r="F3">
            <v>27.233150827940133</v>
          </cell>
          <cell r="G3">
            <v>29.200035177692165</v>
          </cell>
          <cell r="H3">
            <v>36.586779072302093</v>
          </cell>
          <cell r="I3">
            <v>45.022511690404301</v>
          </cell>
          <cell r="J3">
            <v>46.989398396554236</v>
          </cell>
          <cell r="K3">
            <v>46.005953871432787</v>
          </cell>
          <cell r="L3">
            <v>45.984103461216222</v>
          </cell>
          <cell r="M3">
            <v>49</v>
          </cell>
          <cell r="N3">
            <v>49</v>
          </cell>
          <cell r="O3">
            <v>49</v>
          </cell>
          <cell r="P3">
            <v>46.541389859242862</v>
          </cell>
          <cell r="Q3">
            <v>44.060924617007011</v>
          </cell>
          <cell r="R3">
            <v>41.045032769485388</v>
          </cell>
          <cell r="S3">
            <v>41.045032769485388</v>
          </cell>
          <cell r="T3">
            <v>41.045032769485388</v>
          </cell>
          <cell r="U3">
            <v>41.045032769485388</v>
          </cell>
          <cell r="V3">
            <v>41.045032769485388</v>
          </cell>
          <cell r="W3">
            <v>41.045032769485388</v>
          </cell>
          <cell r="X3">
            <v>39.569876539450249</v>
          </cell>
          <cell r="Y3">
            <v>37.02385771016678</v>
          </cell>
        </row>
        <row r="4">
          <cell r="B4">
            <v>43.968547687639344</v>
          </cell>
          <cell r="C4">
            <v>38.705612550136102</v>
          </cell>
          <cell r="D4">
            <v>36.600306822556654</v>
          </cell>
          <cell r="E4">
            <v>35.439485876626406</v>
          </cell>
          <cell r="F4">
            <v>37.56917235174194</v>
          </cell>
          <cell r="G4">
            <v>34.410947719014487</v>
          </cell>
          <cell r="H4">
            <v>40.357763055870976</v>
          </cell>
          <cell r="I4">
            <v>46.842564800623578</v>
          </cell>
          <cell r="J4">
            <v>52.771311300758015</v>
          </cell>
          <cell r="K4">
            <v>56.637663860401545</v>
          </cell>
          <cell r="L4">
            <v>58.450191604716068</v>
          </cell>
          <cell r="M4">
            <v>59.375251621779263</v>
          </cell>
          <cell r="N4">
            <v>60.541094401348786</v>
          </cell>
          <cell r="O4">
            <v>61.036948159310768</v>
          </cell>
          <cell r="P4">
            <v>61.25</v>
          </cell>
          <cell r="Q4">
            <v>58.940923770411821</v>
          </cell>
          <cell r="R4">
            <v>58.970424904560922</v>
          </cell>
          <cell r="S4">
            <v>56.671326361679036</v>
          </cell>
          <cell r="T4">
            <v>56.96950625581789</v>
          </cell>
          <cell r="U4">
            <v>57.43789350837163</v>
          </cell>
          <cell r="V4">
            <v>56.965742073776106</v>
          </cell>
          <cell r="W4">
            <v>59.00785185329336</v>
          </cell>
          <cell r="X4">
            <v>57.651500325070799</v>
          </cell>
          <cell r="Y4">
            <v>51.525013989011654</v>
          </cell>
        </row>
      </sheetData>
      <sheetData sheetId="21">
        <row r="2">
          <cell r="B2">
            <v>-10.460555889122473</v>
          </cell>
          <cell r="C2">
            <v>-13.60000711137498</v>
          </cell>
          <cell r="D2">
            <v>-14.989832438442269</v>
          </cell>
          <cell r="E2">
            <v>-13.679007427684805</v>
          </cell>
          <cell r="F2">
            <v>-14.662055579958459</v>
          </cell>
          <cell r="G2">
            <v>-15</v>
          </cell>
          <cell r="H2">
            <v>-13.000354277337081</v>
          </cell>
          <cell r="I2">
            <v>-2.0225630497432934</v>
          </cell>
          <cell r="J2">
            <v>6.4922785620283223</v>
          </cell>
          <cell r="K2">
            <v>9.4514956358025533</v>
          </cell>
          <cell r="L2">
            <v>7.4297205539571705</v>
          </cell>
          <cell r="M2">
            <v>9.8965917745325651</v>
          </cell>
          <cell r="N2">
            <v>8.7824322348813109</v>
          </cell>
          <cell r="O2">
            <v>9.0468606034475183</v>
          </cell>
          <cell r="P2">
            <v>4.6678480617715037</v>
          </cell>
          <cell r="Q2">
            <v>1.1800884944323786</v>
          </cell>
          <cell r="R2">
            <v>2.6252266815345489</v>
          </cell>
          <cell r="S2">
            <v>3.188742745063061</v>
          </cell>
          <cell r="T2">
            <v>1.9210974177443787</v>
          </cell>
          <cell r="U2">
            <v>-0.35837393675904172</v>
          </cell>
          <cell r="V2">
            <v>-1.39903428216524</v>
          </cell>
          <cell r="W2">
            <v>-0.97334439700275344</v>
          </cell>
          <cell r="X2">
            <v>-4.6679092230400974</v>
          </cell>
          <cell r="Y2">
            <v>-6.3183951985649145</v>
          </cell>
        </row>
        <row r="3">
          <cell r="B3">
            <v>-13.238700041483979</v>
          </cell>
          <cell r="C3">
            <v>-13.238700041483979</v>
          </cell>
          <cell r="D3">
            <v>-15.369350020741987</v>
          </cell>
          <cell r="E3">
            <v>-17.5</v>
          </cell>
          <cell r="F3">
            <v>-17.5</v>
          </cell>
          <cell r="G3">
            <v>-17.5</v>
          </cell>
          <cell r="H3">
            <v>-6.9778717969972428</v>
          </cell>
          <cell r="I3">
            <v>1.4463903636619411</v>
          </cell>
          <cell r="J3">
            <v>4.5932017328260173</v>
          </cell>
          <cell r="K3">
            <v>4.5932017328260173</v>
          </cell>
          <cell r="L3">
            <v>4.1998437124476347</v>
          </cell>
          <cell r="M3">
            <v>5.9043552318562922</v>
          </cell>
          <cell r="N3">
            <v>8.0022247716433341</v>
          </cell>
          <cell r="O3">
            <v>8.248077956938614</v>
          </cell>
          <cell r="P3">
            <v>4.6259786379411887</v>
          </cell>
          <cell r="Q3">
            <v>3.6098172295789577</v>
          </cell>
          <cell r="R3">
            <v>-0.58592188690745695</v>
          </cell>
          <cell r="S3">
            <v>-0.58592188690745695</v>
          </cell>
          <cell r="T3">
            <v>-0.58592188690745695</v>
          </cell>
          <cell r="U3">
            <v>-0.58592188690745695</v>
          </cell>
          <cell r="V3">
            <v>-3.7327367719711662</v>
          </cell>
          <cell r="W3">
            <v>-4.7816750669924017</v>
          </cell>
          <cell r="X3">
            <v>-13.369807661944664</v>
          </cell>
          <cell r="Y3">
            <v>-13.369807661944664</v>
          </cell>
        </row>
        <row r="4">
          <cell r="B4">
            <v>10.686627055883104</v>
          </cell>
          <cell r="C4">
            <v>8.1880271442666093</v>
          </cell>
          <cell r="D4">
            <v>7.7593821892689059</v>
          </cell>
          <cell r="E4">
            <v>6.7768420089803687</v>
          </cell>
          <cell r="F4">
            <v>7.8014863947853508</v>
          </cell>
          <cell r="G4">
            <v>3.6207907522596137</v>
          </cell>
          <cell r="H4">
            <v>6.3174342491118045</v>
          </cell>
          <cell r="I4">
            <v>12.13969632964368</v>
          </cell>
          <cell r="J4">
            <v>17.659552313749185</v>
          </cell>
          <cell r="K4">
            <v>20.984459895034021</v>
          </cell>
          <cell r="L4">
            <v>22.908570953690287</v>
          </cell>
          <cell r="M4">
            <v>23.744937648225861</v>
          </cell>
          <cell r="N4">
            <v>24.812272019843068</v>
          </cell>
          <cell r="O4">
            <v>25</v>
          </cell>
          <cell r="P4">
            <v>24.822550505179802</v>
          </cell>
          <cell r="Q4">
            <v>23.996243323270871</v>
          </cell>
          <cell r="R4">
            <v>22.836253635655485</v>
          </cell>
          <cell r="S4">
            <v>20.264603803871577</v>
          </cell>
          <cell r="T4">
            <v>20.17084909066174</v>
          </cell>
          <cell r="U4">
            <v>19.188566278503806</v>
          </cell>
          <cell r="V4">
            <v>17.296536957439471</v>
          </cell>
          <cell r="W4">
            <v>20.735169960805727</v>
          </cell>
          <cell r="X4">
            <v>18.579467024338225</v>
          </cell>
          <cell r="Y4">
            <v>14.952007043816234</v>
          </cell>
        </row>
      </sheetData>
      <sheetData sheetId="22">
        <row r="2">
          <cell r="B2">
            <v>-10.774372565796146</v>
          </cell>
          <cell r="C2">
            <v>-14.00800732471623</v>
          </cell>
          <cell r="D2">
            <v>-15.439527411595538</v>
          </cell>
          <cell r="E2">
            <v>-14.089377650515351</v>
          </cell>
          <cell r="F2">
            <v>-15.101917247357211</v>
          </cell>
          <cell r="G2">
            <v>-15.450000000000001</v>
          </cell>
          <cell r="H2">
            <v>-13.390364905657194</v>
          </cell>
          <cell r="I2">
            <v>-2.0832399412355924</v>
          </cell>
          <cell r="J2">
            <v>6.6870469188891724</v>
          </cell>
          <cell r="K2">
            <v>9.7350405048766291</v>
          </cell>
          <cell r="L2">
            <v>7.6526121705758863</v>
          </cell>
          <cell r="M2">
            <v>10.193489527768541</v>
          </cell>
          <cell r="N2">
            <v>9.0459052019277504</v>
          </cell>
          <cell r="O2">
            <v>9.318266421550943</v>
          </cell>
          <cell r="P2">
            <v>4.807883503624649</v>
          </cell>
          <cell r="Q2">
            <v>1.21549114926535</v>
          </cell>
          <cell r="R2">
            <v>2.7039834819805852</v>
          </cell>
          <cell r="S2">
            <v>3.284405027414953</v>
          </cell>
          <cell r="T2">
            <v>1.97873034027671</v>
          </cell>
          <cell r="U2">
            <v>-0.36912515486181302</v>
          </cell>
          <cell r="V2">
            <v>-1.4410053106301972</v>
          </cell>
          <cell r="W2">
            <v>-1.002544728912836</v>
          </cell>
          <cell r="X2">
            <v>-4.8079464997313011</v>
          </cell>
          <cell r="Y2">
            <v>-6.5079470545218614</v>
          </cell>
        </row>
        <row r="3">
          <cell r="B3">
            <v>-13.635861042728497</v>
          </cell>
          <cell r="C3">
            <v>-13.635861042728497</v>
          </cell>
          <cell r="D3">
            <v>-15.830430521364248</v>
          </cell>
          <cell r="E3">
            <v>-18.025000000000002</v>
          </cell>
          <cell r="F3">
            <v>-18.025000000000002</v>
          </cell>
          <cell r="G3">
            <v>-18.025000000000002</v>
          </cell>
          <cell r="H3">
            <v>-7.18720795090716</v>
          </cell>
          <cell r="I3">
            <v>1.4897820745717996</v>
          </cell>
          <cell r="J3">
            <v>4.730997784810798</v>
          </cell>
          <cell r="K3">
            <v>4.730997784810798</v>
          </cell>
          <cell r="L3">
            <v>4.3258390238210636</v>
          </cell>
          <cell r="M3">
            <v>6.0814858888119803</v>
          </cell>
          <cell r="N3">
            <v>8.2422915147926332</v>
          </cell>
          <cell r="O3">
            <v>8.4955202956467719</v>
          </cell>
          <cell r="P3">
            <v>4.7647579970794247</v>
          </cell>
          <cell r="Q3">
            <v>3.7181117464663269</v>
          </cell>
          <cell r="R3">
            <v>-0.6034995435146806</v>
          </cell>
          <cell r="S3">
            <v>-0.6034995435146806</v>
          </cell>
          <cell r="T3">
            <v>-0.6034995435146806</v>
          </cell>
          <cell r="U3">
            <v>-0.6034995435146806</v>
          </cell>
          <cell r="V3">
            <v>-3.8447188751303014</v>
          </cell>
          <cell r="W3">
            <v>-4.9251253190021744</v>
          </cell>
          <cell r="X3">
            <v>-13.770901891803005</v>
          </cell>
          <cell r="Y3">
            <v>-13.770901891803005</v>
          </cell>
        </row>
        <row r="4">
          <cell r="B4">
            <v>11.007225867559598</v>
          </cell>
          <cell r="C4">
            <v>8.4336679585946062</v>
          </cell>
          <cell r="D4">
            <v>7.9921636549469728</v>
          </cell>
          <cell r="E4">
            <v>6.9801472692497795</v>
          </cell>
          <cell r="F4">
            <v>8.0355309866289115</v>
          </cell>
          <cell r="G4">
            <v>3.7294144748274021</v>
          </cell>
          <cell r="H4">
            <v>6.5069572765851582</v>
          </cell>
          <cell r="I4">
            <v>12.503887219532992</v>
          </cell>
          <cell r="J4">
            <v>18.189338883161664</v>
          </cell>
          <cell r="K4">
            <v>21.613993691885042</v>
          </cell>
          <cell r="L4">
            <v>23.595828082300997</v>
          </cell>
          <cell r="M4">
            <v>24.457285777672638</v>
          </cell>
          <cell r="N4">
            <v>25.556640180438361</v>
          </cell>
          <cell r="O4">
            <v>25.75</v>
          </cell>
          <cell r="P4">
            <v>25.567227020335199</v>
          </cell>
          <cell r="Q4">
            <v>24.716130622968997</v>
          </cell>
          <cell r="R4">
            <v>23.52134124472515</v>
          </cell>
          <cell r="S4">
            <v>20.872541917987725</v>
          </cell>
          <cell r="T4">
            <v>20.775974563381595</v>
          </cell>
          <cell r="U4">
            <v>19.76422326685892</v>
          </cell>
          <cell r="V4">
            <v>17.815433066162655</v>
          </cell>
          <cell r="W4">
            <v>21.357225059629901</v>
          </cell>
          <cell r="X4">
            <v>19.136851035068371</v>
          </cell>
          <cell r="Y4">
            <v>15.400567255130722</v>
          </cell>
        </row>
      </sheetData>
      <sheetData sheetId="23">
        <row r="2">
          <cell r="B2">
            <v>-10.251344771340023</v>
          </cell>
          <cell r="C2">
            <v>-13.328006969147481</v>
          </cell>
          <cell r="D2">
            <v>-14.690035789673422</v>
          </cell>
          <cell r="E2">
            <v>-13.405427279131109</v>
          </cell>
          <cell r="F2">
            <v>-14.36881446835929</v>
          </cell>
          <cell r="G2">
            <v>-14.7</v>
          </cell>
          <cell r="H2">
            <v>-12.740347191790338</v>
          </cell>
          <cell r="I2">
            <v>-1.9821117887484276</v>
          </cell>
          <cell r="J2">
            <v>6.3624329907877559</v>
          </cell>
          <cell r="K2">
            <v>9.2624657230865015</v>
          </cell>
          <cell r="L2">
            <v>7.2811261428780272</v>
          </cell>
          <cell r="M2">
            <v>9.6986599390419137</v>
          </cell>
          <cell r="N2">
            <v>8.6067835901836851</v>
          </cell>
          <cell r="O2">
            <v>8.8659233913785673</v>
          </cell>
          <cell r="P2">
            <v>4.5744911005360738</v>
          </cell>
          <cell r="Q2">
            <v>1.1564867245437309</v>
          </cell>
          <cell r="R2">
            <v>2.5727221479038578</v>
          </cell>
          <cell r="S2">
            <v>3.1249678901617997</v>
          </cell>
          <cell r="T2">
            <v>1.8826754693894914</v>
          </cell>
          <cell r="U2">
            <v>-0.35120645802386091</v>
          </cell>
          <cell r="V2">
            <v>-1.371053596521935</v>
          </cell>
          <cell r="W2">
            <v>-0.9538775090626983</v>
          </cell>
          <cell r="X2">
            <v>-4.5745510385792958</v>
          </cell>
          <cell r="Y2">
            <v>-6.1920272945936166</v>
          </cell>
        </row>
        <row r="3">
          <cell r="B3">
            <v>-12.973926040654298</v>
          </cell>
          <cell r="C3">
            <v>-12.973926040654298</v>
          </cell>
          <cell r="D3">
            <v>-15.061963020327148</v>
          </cell>
          <cell r="E3">
            <v>-17.149999999999999</v>
          </cell>
          <cell r="F3">
            <v>-17.149999999999999</v>
          </cell>
          <cell r="G3">
            <v>-17.149999999999999</v>
          </cell>
          <cell r="H3">
            <v>-6.8383143610572974</v>
          </cell>
          <cell r="I3">
            <v>1.4174625563887022</v>
          </cell>
          <cell r="J3">
            <v>4.5013376981694968</v>
          </cell>
          <cell r="K3">
            <v>4.5013376981694968</v>
          </cell>
          <cell r="L3">
            <v>4.1158468381986815</v>
          </cell>
          <cell r="M3">
            <v>5.7862681272191665</v>
          </cell>
          <cell r="N3">
            <v>7.8421802762104669</v>
          </cell>
          <cell r="O3">
            <v>8.0831163977998415</v>
          </cell>
          <cell r="P3">
            <v>4.533459065182365</v>
          </cell>
          <cell r="Q3">
            <v>3.5376208849873785</v>
          </cell>
          <cell r="R3">
            <v>-0.57420344916930777</v>
          </cell>
          <cell r="S3">
            <v>-0.57420344916930777</v>
          </cell>
          <cell r="T3">
            <v>-0.57420344916930777</v>
          </cell>
          <cell r="U3">
            <v>-0.57420344916930777</v>
          </cell>
          <cell r="V3">
            <v>-3.6580820365317428</v>
          </cell>
          <cell r="W3">
            <v>-4.6860415656525536</v>
          </cell>
          <cell r="X3">
            <v>-13.102411508705773</v>
          </cell>
          <cell r="Y3">
            <v>-13.102411508705773</v>
          </cell>
        </row>
        <row r="4">
          <cell r="B4">
            <v>10.472894514765443</v>
          </cell>
          <cell r="C4">
            <v>8.0242666013812762</v>
          </cell>
          <cell r="D4">
            <v>7.6041945454835265</v>
          </cell>
          <cell r="E4">
            <v>6.6413051688007609</v>
          </cell>
          <cell r="F4">
            <v>7.6454566668896442</v>
          </cell>
          <cell r="G4">
            <v>3.5483749372144215</v>
          </cell>
          <cell r="H4">
            <v>6.1910855641295681</v>
          </cell>
          <cell r="I4">
            <v>11.896902403050806</v>
          </cell>
          <cell r="J4">
            <v>17.306361267474202</v>
          </cell>
          <cell r="K4">
            <v>20.564770697133341</v>
          </cell>
          <cell r="L4">
            <v>22.450399534616484</v>
          </cell>
          <cell r="M4">
            <v>23.270038895261344</v>
          </cell>
          <cell r="N4">
            <v>24.316026579446206</v>
          </cell>
          <cell r="O4">
            <v>24.5</v>
          </cell>
          <cell r="P4">
            <v>24.326099495076207</v>
          </cell>
          <cell r="Q4">
            <v>23.516318456805454</v>
          </cell>
          <cell r="R4">
            <v>22.379528562942376</v>
          </cell>
          <cell r="S4">
            <v>19.859311727794147</v>
          </cell>
          <cell r="T4">
            <v>19.767432108848507</v>
          </cell>
          <cell r="U4">
            <v>18.804794952933733</v>
          </cell>
          <cell r="V4">
            <v>16.95060621829068</v>
          </cell>
          <cell r="W4">
            <v>20.320466561589612</v>
          </cell>
          <cell r="X4">
            <v>18.207877683851461</v>
          </cell>
          <cell r="Y4">
            <v>14.652966902939909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B2">
            <v>4.9164000000000003</v>
          </cell>
          <cell r="C2">
            <v>5.0804</v>
          </cell>
          <cell r="D2">
            <v>4.5491999999999999</v>
          </cell>
          <cell r="E2">
            <v>4.3120000000000003</v>
          </cell>
          <cell r="F2">
            <v>3.5327999999999999</v>
          </cell>
          <cell r="G2">
            <v>2.9984000000000002</v>
          </cell>
          <cell r="H2">
            <v>3.6667999999999998</v>
          </cell>
          <cell r="I2">
            <v>0.63680000000000003</v>
          </cell>
          <cell r="J2">
            <v>0.56000000000000005</v>
          </cell>
          <cell r="K2">
            <v>0.81640000000000001</v>
          </cell>
          <cell r="L2">
            <v>0.48080000000000001</v>
          </cell>
          <cell r="M2">
            <v>0.6008</v>
          </cell>
          <cell r="N2">
            <v>0.95720000000000005</v>
          </cell>
          <cell r="O2">
            <v>1.7636000000000001</v>
          </cell>
          <cell r="P2">
            <v>1.8815999999999999</v>
          </cell>
          <cell r="Q2">
            <v>1.8504</v>
          </cell>
          <cell r="R2">
            <v>1.038</v>
          </cell>
          <cell r="S2">
            <v>2.1143999999999998</v>
          </cell>
          <cell r="T2">
            <v>1.2407999999999999</v>
          </cell>
          <cell r="U2">
            <v>0.87239999999999995</v>
          </cell>
          <cell r="V2">
            <v>1.3248</v>
          </cell>
          <cell r="W2">
            <v>0.81879999999999997</v>
          </cell>
          <cell r="X2">
            <v>3.7372000000000001</v>
          </cell>
          <cell r="Y2">
            <v>4.5052000000000003</v>
          </cell>
        </row>
        <row r="3">
          <cell r="B3">
            <v>-11.1</v>
          </cell>
          <cell r="C3">
            <v>-11.8696</v>
          </cell>
          <cell r="D3">
            <v>-13.349600000000001</v>
          </cell>
          <cell r="E3">
            <v>-14.400399999999999</v>
          </cell>
          <cell r="F3">
            <v>-15.391999999999999</v>
          </cell>
          <cell r="G3">
            <v>-16.797999999999998</v>
          </cell>
          <cell r="H3">
            <v>-16.028400000000001</v>
          </cell>
          <cell r="I3">
            <v>-17.979759999999999</v>
          </cell>
          <cell r="J3">
            <v>-16.307359999999999</v>
          </cell>
          <cell r="K3">
            <v>-23.952839999999998</v>
          </cell>
          <cell r="L3">
            <v>-23.707360000000001</v>
          </cell>
          <cell r="M3">
            <v>-21.672160000000002</v>
          </cell>
          <cell r="N3">
            <v>-20.774560000000001</v>
          </cell>
          <cell r="O3">
            <v>-20.057480000000002</v>
          </cell>
          <cell r="P3">
            <v>-18.90568</v>
          </cell>
          <cell r="Q3">
            <v>-17.204239999999999</v>
          </cell>
          <cell r="R3">
            <v>-16.086960000000001</v>
          </cell>
          <cell r="S3">
            <v>-14.396240000000001</v>
          </cell>
          <cell r="T3">
            <v>-9.1377199999999998</v>
          </cell>
          <cell r="U3">
            <v>-10.22648</v>
          </cell>
          <cell r="V3">
            <v>-10.809839999999999</v>
          </cell>
          <cell r="W3">
            <v>-11.605399999999999</v>
          </cell>
          <cell r="X3">
            <v>-9.2203999999999997</v>
          </cell>
          <cell r="Y3">
            <v>-9.7975999999999992</v>
          </cell>
        </row>
        <row r="4">
          <cell r="B4">
            <v>10.69356</v>
          </cell>
          <cell r="C4">
            <v>11.44032</v>
          </cell>
          <cell r="D4">
            <v>12.82724</v>
          </cell>
          <cell r="E4">
            <v>13.802440000000001</v>
          </cell>
          <cell r="F4">
            <v>14.6914</v>
          </cell>
          <cell r="G4">
            <v>16.042000000000002</v>
          </cell>
          <cell r="H4">
            <v>15.294</v>
          </cell>
          <cell r="I4">
            <v>17.259160000000001</v>
          </cell>
          <cell r="J4">
            <v>15.80916</v>
          </cell>
          <cell r="K4">
            <v>18.039439999999999</v>
          </cell>
          <cell r="L4">
            <v>18.181480000000001</v>
          </cell>
          <cell r="M4">
            <v>17.019639999999999</v>
          </cell>
          <cell r="N4">
            <v>16.446000000000002</v>
          </cell>
          <cell r="O4">
            <v>16.02328</v>
          </cell>
          <cell r="P4">
            <v>15.01632</v>
          </cell>
          <cell r="Q4">
            <v>13.671480000000001</v>
          </cell>
          <cell r="R4">
            <v>12.736039999999999</v>
          </cell>
          <cell r="S4">
            <v>11.38288</v>
          </cell>
          <cell r="T4">
            <v>8.9093599999999995</v>
          </cell>
          <cell r="U4">
            <v>9.9721600000000006</v>
          </cell>
          <cell r="V4">
            <v>10.59656</v>
          </cell>
          <cell r="W4">
            <v>11.41456</v>
          </cell>
          <cell r="X4">
            <v>8.8819999999999997</v>
          </cell>
          <cell r="Y4">
            <v>9.4448000000000008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B4" sqref="B4"/>
    </sheetView>
  </sheetViews>
  <sheetFormatPr defaultRowHeight="14.4" x14ac:dyDescent="0.3"/>
  <cols>
    <col min="1" max="1" width="19.5546875" bestFit="1" customWidth="1"/>
  </cols>
  <sheetData>
    <row r="1" spans="1:11" x14ac:dyDescent="0.3">
      <c r="A1" t="s">
        <v>0</v>
      </c>
      <c r="B1">
        <v>1</v>
      </c>
      <c r="C1" s="1">
        <f>1/$B$1</f>
        <v>1</v>
      </c>
      <c r="D1" s="1">
        <f t="shared" ref="D1:K1" si="0">1/$B$1</f>
        <v>1</v>
      </c>
      <c r="E1" s="1">
        <f t="shared" si="0"/>
        <v>1</v>
      </c>
      <c r="F1" s="1">
        <f t="shared" si="0"/>
        <v>1</v>
      </c>
      <c r="G1" s="1">
        <f t="shared" si="0"/>
        <v>1</v>
      </c>
      <c r="H1" s="1">
        <f t="shared" si="0"/>
        <v>1</v>
      </c>
      <c r="I1" s="1">
        <f t="shared" si="0"/>
        <v>1</v>
      </c>
      <c r="J1" s="1">
        <f t="shared" si="0"/>
        <v>1</v>
      </c>
      <c r="K1" s="1">
        <f t="shared" si="0"/>
        <v>1</v>
      </c>
    </row>
    <row r="3" spans="1:11" x14ac:dyDescent="0.3">
      <c r="A3" t="s">
        <v>2</v>
      </c>
      <c r="B3" s="3">
        <v>2036</v>
      </c>
    </row>
    <row r="4" spans="1:11" x14ac:dyDescent="0.3">
      <c r="A4" t="s">
        <v>8</v>
      </c>
      <c r="B4" s="7">
        <v>1</v>
      </c>
    </row>
    <row r="5" spans="1:11" x14ac:dyDescent="0.3">
      <c r="A5" t="s">
        <v>9</v>
      </c>
      <c r="B5" s="7">
        <f>((1+[1]Main!$B$2)^($B$3-2020))*$B$4</f>
        <v>1.1725786449236988</v>
      </c>
    </row>
    <row r="6" spans="1:11" x14ac:dyDescent="0.3">
      <c r="A6" t="s">
        <v>10</v>
      </c>
      <c r="B6" s="7">
        <f>((1+[1]Main!$B$3)^($B$3-2020))*$B$4</f>
        <v>1.4845056206605631</v>
      </c>
    </row>
    <row r="7" spans="1:11" x14ac:dyDescent="0.3">
      <c r="A7" t="s">
        <v>12</v>
      </c>
      <c r="B7" s="2">
        <f>SUM('RES installed'!$C$2:$C$7)</f>
        <v>335</v>
      </c>
    </row>
    <row r="8" spans="1:11" x14ac:dyDescent="0.3">
      <c r="A8" t="s">
        <v>3</v>
      </c>
      <c r="B8" s="2">
        <f>SUM('ES installed'!$C$2:$C$4)</f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8F2AC-228D-47B8-8C84-211710BC16D7}">
  <dimension ref="A1:C7"/>
  <sheetViews>
    <sheetView workbookViewId="0">
      <selection activeCell="H42" sqref="H42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11</v>
      </c>
      <c r="B1" t="s">
        <v>5</v>
      </c>
      <c r="C1" t="s">
        <v>6</v>
      </c>
    </row>
    <row r="2" spans="1:3" x14ac:dyDescent="0.3">
      <c r="A2">
        <v>4</v>
      </c>
      <c r="B2">
        <v>4</v>
      </c>
      <c r="C2" s="4">
        <v>45</v>
      </c>
    </row>
    <row r="3" spans="1:3" x14ac:dyDescent="0.3">
      <c r="A3">
        <v>5</v>
      </c>
      <c r="B3">
        <v>6</v>
      </c>
      <c r="C3" s="4">
        <v>60</v>
      </c>
    </row>
    <row r="4" spans="1:3" x14ac:dyDescent="0.3">
      <c r="A4">
        <v>6</v>
      </c>
      <c r="B4">
        <v>8</v>
      </c>
      <c r="C4" s="4">
        <v>45</v>
      </c>
    </row>
    <row r="5" spans="1:3" x14ac:dyDescent="0.3">
      <c r="A5">
        <v>7</v>
      </c>
      <c r="B5">
        <v>4</v>
      </c>
      <c r="C5" s="4">
        <v>75</v>
      </c>
    </row>
    <row r="6" spans="1:3" x14ac:dyDescent="0.3">
      <c r="A6">
        <v>8</v>
      </c>
      <c r="B6">
        <v>6</v>
      </c>
      <c r="C6" s="4">
        <v>50</v>
      </c>
    </row>
    <row r="7" spans="1:3" x14ac:dyDescent="0.3">
      <c r="A7">
        <v>9</v>
      </c>
      <c r="B7">
        <v>8</v>
      </c>
      <c r="C7" s="4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A34B4-2389-47FB-B2B8-B4CBDDE497E7}">
  <dimension ref="A1:C4"/>
  <sheetViews>
    <sheetView workbookViewId="0">
      <selection activeCell="B2" sqref="B2:B4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13</v>
      </c>
      <c r="B1" t="s">
        <v>1</v>
      </c>
      <c r="C1" t="s">
        <v>6</v>
      </c>
    </row>
    <row r="2" spans="1:3" x14ac:dyDescent="0.3">
      <c r="A2">
        <v>1</v>
      </c>
      <c r="B2" t="s">
        <v>14</v>
      </c>
      <c r="C2" s="4">
        <v>0</v>
      </c>
    </row>
    <row r="3" spans="1:3" x14ac:dyDescent="0.3">
      <c r="A3">
        <v>2</v>
      </c>
      <c r="B3" t="s">
        <v>14</v>
      </c>
      <c r="C3" s="4">
        <v>0</v>
      </c>
    </row>
    <row r="4" spans="1:3" x14ac:dyDescent="0.3">
      <c r="A4">
        <v>3</v>
      </c>
      <c r="B4" t="s">
        <v>14</v>
      </c>
      <c r="C4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D4FD3-4E6B-4832-B159-4E067DAE6C14}">
  <dimension ref="A1:B21"/>
  <sheetViews>
    <sheetView workbookViewId="0">
      <selection activeCell="A7" sqref="A7"/>
    </sheetView>
  </sheetViews>
  <sheetFormatPr defaultRowHeight="14.4" x14ac:dyDescent="0.3"/>
  <sheetData>
    <row r="1" spans="1:2" x14ac:dyDescent="0.3">
      <c r="A1" t="s">
        <v>15</v>
      </c>
      <c r="B1" t="s">
        <v>7</v>
      </c>
    </row>
    <row r="2" spans="1:2" x14ac:dyDescent="0.3">
      <c r="A2">
        <v>1</v>
      </c>
      <c r="B2" s="1">
        <f>1/COUNT($A$2:$A$21)</f>
        <v>0.33333333333333331</v>
      </c>
    </row>
    <row r="3" spans="1:2" x14ac:dyDescent="0.3">
      <c r="A3">
        <v>2</v>
      </c>
      <c r="B3" s="1">
        <f t="shared" ref="B3:B4" si="0">1/COUNT($A$2:$A$21)</f>
        <v>0.33333333333333331</v>
      </c>
    </row>
    <row r="4" spans="1:2" x14ac:dyDescent="0.3">
      <c r="A4">
        <v>3</v>
      </c>
      <c r="B4" s="1">
        <f t="shared" si="0"/>
        <v>0.33333333333333331</v>
      </c>
    </row>
    <row r="5" spans="1:2" x14ac:dyDescent="0.3">
      <c r="B5" s="1"/>
    </row>
    <row r="6" spans="1:2" x14ac:dyDescent="0.3">
      <c r="B6" s="1"/>
    </row>
    <row r="7" spans="1:2" x14ac:dyDescent="0.3">
      <c r="B7" s="1"/>
    </row>
    <row r="8" spans="1:2" x14ac:dyDescent="0.3">
      <c r="B8" s="1"/>
    </row>
    <row r="9" spans="1:2" x14ac:dyDescent="0.3">
      <c r="B9" s="1"/>
    </row>
    <row r="10" spans="1:2" x14ac:dyDescent="0.3">
      <c r="B10" s="1"/>
    </row>
    <row r="11" spans="1:2" x14ac:dyDescent="0.3">
      <c r="B11" s="1"/>
    </row>
    <row r="12" spans="1:2" x14ac:dyDescent="0.3">
      <c r="B12" s="1"/>
    </row>
    <row r="13" spans="1:2" x14ac:dyDescent="0.3">
      <c r="B13" s="1"/>
    </row>
    <row r="14" spans="1:2" x14ac:dyDescent="0.3">
      <c r="B14" s="1"/>
    </row>
    <row r="15" spans="1:2" x14ac:dyDescent="0.3">
      <c r="B15" s="1"/>
    </row>
    <row r="16" spans="1:2" x14ac:dyDescent="0.3">
      <c r="B16" s="1"/>
    </row>
    <row r="17" spans="2:2" x14ac:dyDescent="0.3">
      <c r="B17" s="1"/>
    </row>
    <row r="18" spans="2:2" x14ac:dyDescent="0.3">
      <c r="B18" s="1"/>
    </row>
    <row r="19" spans="2:2" x14ac:dyDescent="0.3">
      <c r="B19" s="1"/>
    </row>
    <row r="20" spans="2:2" x14ac:dyDescent="0.3">
      <c r="B20" s="1"/>
    </row>
    <row r="21" spans="2:2" x14ac:dyDescent="0.3">
      <c r="B21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855D1-7FFC-4693-9247-9877B2F5B373}">
  <dimension ref="A1:Y5"/>
  <sheetViews>
    <sheetView workbookViewId="0">
      <selection activeCell="B2" sqref="B2:Y4"/>
    </sheetView>
  </sheetViews>
  <sheetFormatPr defaultRowHeight="14.4" x14ac:dyDescent="0.3"/>
  <cols>
    <col min="1" max="1" width="23.5546875" bestFit="1" customWidth="1"/>
  </cols>
  <sheetData>
    <row r="1" spans="1:25" x14ac:dyDescent="0.3">
      <c r="A1" t="s">
        <v>4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 t="s">
        <v>16</v>
      </c>
      <c r="B2" s="2">
        <f>'[1]EV Profiles'!B2*Main!$B$6</f>
        <v>7.2984234334155929</v>
      </c>
      <c r="C2" s="2">
        <f>'[1]EV Profiles'!C2*Main!$B$6</f>
        <v>7.5418823552039251</v>
      </c>
      <c r="D2" s="2">
        <f>'[1]EV Profiles'!D2*Main!$B$6</f>
        <v>6.7533129695090333</v>
      </c>
      <c r="E2" s="2">
        <f>'[1]EV Profiles'!E2*Main!$B$6</f>
        <v>6.4011882362883483</v>
      </c>
      <c r="F2" s="2">
        <f>'[1]EV Profiles'!F2*Main!$B$6</f>
        <v>5.2444614566696375</v>
      </c>
      <c r="G2" s="2">
        <f>'[1]EV Profiles'!G2*Main!$B$6</f>
        <v>4.4511416529886327</v>
      </c>
      <c r="H2" s="2">
        <f>'[1]EV Profiles'!H2*Main!$B$6</f>
        <v>5.4433852098381523</v>
      </c>
      <c r="I2" s="2">
        <f>'[1]EV Profiles'!I2*Main!$B$6</f>
        <v>0.94533317923664661</v>
      </c>
      <c r="J2" s="2">
        <f>'[1]EV Profiles'!J2*Main!$B$6</f>
        <v>0.83132314756991543</v>
      </c>
      <c r="K2" s="2">
        <f>'[1]EV Profiles'!K2*Main!$B$6</f>
        <v>1.2119503887072838</v>
      </c>
      <c r="L2" s="2">
        <f>'[1]EV Profiles'!L2*Main!$B$6</f>
        <v>0.71375030241359871</v>
      </c>
      <c r="M2" s="2">
        <f>'[1]EV Profiles'!M2*Main!$B$6</f>
        <v>0.89189097689286634</v>
      </c>
      <c r="N2" s="2">
        <f>'[1]EV Profiles'!N2*Main!$B$6</f>
        <v>1.4209687800962911</v>
      </c>
      <c r="O2" s="2">
        <f>'[1]EV Profiles'!O2*Main!$B$6</f>
        <v>2.6180741125969691</v>
      </c>
      <c r="P2" s="2">
        <f>'[1]EV Profiles'!P2*Main!$B$6</f>
        <v>2.7932457758349156</v>
      </c>
      <c r="Q2" s="2">
        <f>'[1]EV Profiles'!Q2*Main!$B$6</f>
        <v>2.7469292004703059</v>
      </c>
      <c r="R2" s="2">
        <f>'[1]EV Profiles'!R2*Main!$B$6</f>
        <v>1.5409168342456645</v>
      </c>
      <c r="S2" s="2">
        <f>'[1]EV Profiles'!S2*Main!$B$6</f>
        <v>3.1388386843246945</v>
      </c>
      <c r="T2" s="2">
        <f>'[1]EV Profiles'!T2*Main!$B$6</f>
        <v>1.8419745741156266</v>
      </c>
      <c r="U2" s="2">
        <f>'[1]EV Profiles'!U2*Main!$B$6</f>
        <v>1.2950827034642751</v>
      </c>
      <c r="V2" s="2">
        <f>'[1]EV Profiles'!V2*Main!$B$6</f>
        <v>1.9666730462511139</v>
      </c>
      <c r="W2" s="2">
        <f>'[1]EV Profiles'!W2*Main!$B$6</f>
        <v>1.2155132021968691</v>
      </c>
      <c r="X2" s="2">
        <f>'[1]EV Profiles'!X2*Main!$B$6</f>
        <v>5.5478944055326567</v>
      </c>
      <c r="Y2" s="2">
        <f>'[1]EV Profiles'!Y2*Main!$B$6</f>
        <v>6.6879947221999698</v>
      </c>
    </row>
    <row r="3" spans="1:25" x14ac:dyDescent="0.3">
      <c r="A3" t="s">
        <v>17</v>
      </c>
      <c r="B3" s="2">
        <f>'[1]EV Profiles'!B3*Main!$B$6</f>
        <v>-16.47801238933225</v>
      </c>
      <c r="C3" s="2">
        <f>'[1]EV Profiles'!C3*Main!$B$6</f>
        <v>-17.620487914992619</v>
      </c>
      <c r="D3" s="2">
        <f>'[1]EV Profiles'!D3*Main!$B$6</f>
        <v>-19.817556233570254</v>
      </c>
      <c r="E3" s="2">
        <f>'[1]EV Profiles'!E3*Main!$B$6</f>
        <v>-21.377474739760373</v>
      </c>
      <c r="F3" s="2">
        <f>'[1]EV Profiles'!F3*Main!$B$6</f>
        <v>-22.849510513207388</v>
      </c>
      <c r="G3" s="2">
        <f>'[1]EV Profiles'!G3*Main!$B$6</f>
        <v>-24.936725415856138</v>
      </c>
      <c r="H3" s="2">
        <f>'[1]EV Profiles'!H3*Main!$B$6</f>
        <v>-23.794249890195772</v>
      </c>
      <c r="I3" s="2">
        <f>'[1]EV Profiles'!I3*Main!$B$6</f>
        <v>-26.691054778127963</v>
      </c>
      <c r="J3" s="2">
        <f>'[1]EV Profiles'!J3*Main!$B$6</f>
        <v>-24.208367578135238</v>
      </c>
      <c r="K3" s="2">
        <f>'[1]EV Profiles'!K3*Main!$B$6</f>
        <v>-35.558125610783158</v>
      </c>
      <c r="L3" s="2">
        <f>'[1]EV Profiles'!L3*Main!$B$6</f>
        <v>-35.193709171023407</v>
      </c>
      <c r="M3" s="2">
        <f>'[1]EV Profiles'!M3*Main!$B$6</f>
        <v>-32.172443331855035</v>
      </c>
      <c r="N3" s="2">
        <f>'[1]EV Profiles'!N3*Main!$B$6</f>
        <v>-30.839951086750109</v>
      </c>
      <c r="O3" s="2">
        <f>'[1]EV Profiles'!O3*Main!$B$6</f>
        <v>-29.775441796286835</v>
      </c>
      <c r="P3" s="2">
        <f>'[1]EV Profiles'!P3*Main!$B$6</f>
        <v>-28.065588222409996</v>
      </c>
      <c r="Q3" s="2">
        <f>'[1]EV Profiles'!Q3*Main!$B$6</f>
        <v>-25.539790979193285</v>
      </c>
      <c r="R3" s="2">
        <f>'[1]EV Profiles'!R3*Main!$B$6</f>
        <v>-23.881182539341655</v>
      </c>
      <c r="S3" s="2">
        <f>'[1]EV Profiles'!S3*Main!$B$6</f>
        <v>-21.371299196378427</v>
      </c>
      <c r="T3" s="2">
        <f>'[1]EV Profiles'!T3*Main!$B$6</f>
        <v>-13.564996700022441</v>
      </c>
      <c r="U3" s="2">
        <f>'[1]EV Profiles'!U3*Main!$B$6</f>
        <v>-15.181267039572836</v>
      </c>
      <c r="V3" s="2">
        <f>'[1]EV Profiles'!V3*Main!$B$6</f>
        <v>-16.047268238441379</v>
      </c>
      <c r="W3" s="2">
        <f>'[1]EV Profiles'!W3*Main!$B$6</f>
        <v>-17.228281530014097</v>
      </c>
      <c r="X3" s="2">
        <f>'[1]EV Profiles'!X3*Main!$B$6</f>
        <v>-13.687735624738655</v>
      </c>
      <c r="Y3" s="2">
        <f>'[1]EV Profiles'!Y3*Main!$B$6</f>
        <v>-14.544592268983932</v>
      </c>
    </row>
    <row r="4" spans="1:25" x14ac:dyDescent="0.3">
      <c r="A4" t="s">
        <v>18</v>
      </c>
      <c r="B4" s="2">
        <f>'[1]EV Profiles'!B4*Main!$B$6</f>
        <v>15.874649924870971</v>
      </c>
      <c r="C4" s="2">
        <f>'[1]EV Profiles'!C4*Main!$B$6</f>
        <v>16.983219342155454</v>
      </c>
      <c r="D4" s="2">
        <f>'[1]EV Profiles'!D4*Main!$B$6</f>
        <v>19.042109877562002</v>
      </c>
      <c r="E4" s="2">
        <f>'[1]EV Profiles'!E4*Main!$B$6</f>
        <v>20.489799758830184</v>
      </c>
      <c r="F4" s="2">
        <f>'[1]EV Profiles'!F4*Main!$B$6</f>
        <v>21.809465875372595</v>
      </c>
      <c r="G4" s="2">
        <f>'[1]EV Profiles'!G4*Main!$B$6</f>
        <v>23.814439166636756</v>
      </c>
      <c r="H4" s="2">
        <f>'[1]EV Profiles'!H4*Main!$B$6</f>
        <v>22.704028962382655</v>
      </c>
      <c r="I4" s="2">
        <f>'[1]EV Profiles'!I4*Main!$B$6</f>
        <v>25.621320027879968</v>
      </c>
      <c r="J4" s="2">
        <f>'[1]EV Profiles'!J4*Main!$B$6</f>
        <v>23.468786877922149</v>
      </c>
      <c r="K4" s="2">
        <f>'[1]EV Profiles'!K4*Main!$B$6</f>
        <v>26.779650073568988</v>
      </c>
      <c r="L4" s="2">
        <f>'[1]EV Profiles'!L4*Main!$B$6</f>
        <v>26.990509251927616</v>
      </c>
      <c r="M4" s="2">
        <f>'[1]EV Profiles'!M4*Main!$B$6</f>
        <v>25.265751241619345</v>
      </c>
      <c r="N4" s="2">
        <f>'[1]EV Profiles'!N4*Main!$B$6</f>
        <v>24.414179437383623</v>
      </c>
      <c r="O4" s="2">
        <f>'[1]EV Profiles'!O4*Main!$B$6</f>
        <v>23.786649221417989</v>
      </c>
      <c r="P4" s="2">
        <f>'[1]EV Profiles'!P4*Main!$B$6</f>
        <v>22.291811441637627</v>
      </c>
      <c r="Q4" s="2">
        <f>'[1]EV Profiles'!Q4*Main!$B$6</f>
        <v>20.295388902748478</v>
      </c>
      <c r="R4" s="2">
        <f>'[1]EV Profiles'!R4*Main!$B$6</f>
        <v>18.906722964957758</v>
      </c>
      <c r="S4" s="2">
        <f>'[1]EV Profiles'!S4*Main!$B$6</f>
        <v>16.897949339304709</v>
      </c>
      <c r="T4" s="2">
        <f>'[1]EV Profiles'!T4*Main!$B$6</f>
        <v>13.225994996488394</v>
      </c>
      <c r="U4" s="2">
        <f>'[1]EV Profiles'!U4*Main!$B$6</f>
        <v>14.803727570126442</v>
      </c>
      <c r="V4" s="2">
        <f>'[1]EV Profiles'!V4*Main!$B$6</f>
        <v>15.730652879666897</v>
      </c>
      <c r="W4" s="2">
        <f>'[1]EV Profiles'!W4*Main!$B$6</f>
        <v>16.944978477367236</v>
      </c>
      <c r="X4" s="2">
        <f>'[1]EV Profiles'!X4*Main!$B$6</f>
        <v>13.185378922707121</v>
      </c>
      <c r="Y4" s="2">
        <f>'[1]EV Profiles'!Y4*Main!$B$6</f>
        <v>14.020858686014888</v>
      </c>
    </row>
    <row r="5" spans="1:25" x14ac:dyDescent="0.3">
      <c r="B5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E4C95-D1F9-4584-8CBB-5D0A21D88C72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Ratio'!$A$3:$B$10,2,FALSE),0)*'FL Characterization'!B$2)</f>
        <v>33.583484784197964</v>
      </c>
      <c r="C2" s="2">
        <f>('[1]Pc, Winter, S1'!C2*Main!$B$5)+(_xlfn.IFNA(VLOOKUP($A2,'FL Ratio'!$A$3:$B$10,2,FALSE),0)*'FL Characterization'!C$2)</f>
        <v>31.324938138040327</v>
      </c>
      <c r="D2" s="2">
        <f>('[1]Pc, Winter, S1'!D2*Main!$B$5)+(_xlfn.IFNA(VLOOKUP($A2,'FL Ratio'!$A$3:$B$10,2,FALSE),0)*'FL Characterization'!D$2)</f>
        <v>29.681341544364091</v>
      </c>
      <c r="E2" s="2">
        <f>('[1]Pc, Winter, S1'!E2*Main!$B$5)+(_xlfn.IFNA(VLOOKUP($A2,'FL Ratio'!$A$3:$B$10,2,FALSE),0)*'FL Characterization'!E$2)</f>
        <v>29.471329534683715</v>
      </c>
      <c r="F2" s="2">
        <f>('[1]Pc, Winter, S1'!F2*Main!$B$5)+(_xlfn.IFNA(VLOOKUP($A2,'FL Ratio'!$A$3:$B$10,2,FALSE),0)*'FL Characterization'!F$2)</f>
        <v>29.826820681477443</v>
      </c>
      <c r="G2" s="2">
        <f>('[1]Pc, Winter, S1'!G2*Main!$B$5)+(_xlfn.IFNA(VLOOKUP($A2,'FL Ratio'!$A$3:$B$10,2,FALSE),0)*'FL Characterization'!G$2)</f>
        <v>32.786115983456824</v>
      </c>
      <c r="H2" s="2">
        <f>('[1]Pc, Winter, S1'!H2*Main!$B$5)+(_xlfn.IFNA(VLOOKUP($A2,'FL Ratio'!$A$3:$B$10,2,FALSE),0)*'FL Characterization'!H$2)</f>
        <v>39.121826409191762</v>
      </c>
      <c r="I2" s="2">
        <f>('[1]Pc, Winter, S1'!I2*Main!$B$5)+(_xlfn.IFNA(VLOOKUP($A2,'FL Ratio'!$A$3:$B$10,2,FALSE),0)*'FL Characterization'!I$2)</f>
        <v>47.090751617584175</v>
      </c>
      <c r="J2" s="2">
        <f>('[1]Pc, Winter, S1'!J2*Main!$B$5)+(_xlfn.IFNA(VLOOKUP($A2,'FL Ratio'!$A$3:$B$10,2,FALSE),0)*'FL Characterization'!J$2)</f>
        <v>51.269032522315925</v>
      </c>
      <c r="K2" s="2">
        <f>('[1]Pc, Winter, S1'!K2*Main!$B$5)+(_xlfn.IFNA(VLOOKUP($A2,'FL Ratio'!$A$3:$B$10,2,FALSE),0)*'FL Characterization'!K$2)</f>
        <v>51.908348627692199</v>
      </c>
      <c r="L2" s="2">
        <f>('[1]Pc, Winter, S1'!L2*Main!$B$5)+(_xlfn.IFNA(VLOOKUP($A2,'FL Ratio'!$A$3:$B$10,2,FALSE),0)*'FL Characterization'!L$2)</f>
        <v>50.507516230180514</v>
      </c>
      <c r="M2" s="2">
        <f>('[1]Pc, Winter, S1'!M2*Main!$B$5)+(_xlfn.IFNA(VLOOKUP($A2,'FL Ratio'!$A$3:$B$10,2,FALSE),0)*'FL Characterization'!M$2)</f>
        <v>50.767838719654115</v>
      </c>
      <c r="N2" s="2">
        <f>('[1]Pc, Winter, S1'!N2*Main!$B$5)+(_xlfn.IFNA(VLOOKUP($A2,'FL Ratio'!$A$3:$B$10,2,FALSE),0)*'FL Characterization'!N$2)</f>
        <v>50.726119132228632</v>
      </c>
      <c r="O2" s="2">
        <f>('[1]Pc, Winter, S1'!O2*Main!$B$5)+(_xlfn.IFNA(VLOOKUP($A2,'FL Ratio'!$A$3:$B$10,2,FALSE),0)*'FL Characterization'!O$2)</f>
        <v>49.897788776302399</v>
      </c>
      <c r="P2" s="2">
        <f>('[1]Pc, Winter, S1'!P2*Main!$B$5)+(_xlfn.IFNA(VLOOKUP($A2,'FL Ratio'!$A$3:$B$10,2,FALSE),0)*'FL Characterization'!P$2)</f>
        <v>47.054136089247308</v>
      </c>
      <c r="Q2" s="2">
        <f>('[1]Pc, Winter, S1'!Q2*Main!$B$5)+(_xlfn.IFNA(VLOOKUP($A2,'FL Ratio'!$A$3:$B$10,2,FALSE),0)*'FL Characterization'!Q$2)</f>
        <v>45.70601770625958</v>
      </c>
      <c r="R2" s="2">
        <f>('[1]Pc, Winter, S1'!R2*Main!$B$5)+(_xlfn.IFNA(VLOOKUP($A2,'FL Ratio'!$A$3:$B$10,2,FALSE),0)*'FL Characterization'!R$2)</f>
        <v>47.60049187797015</v>
      </c>
      <c r="S2" s="2">
        <f>('[1]Pc, Winter, S1'!S2*Main!$B$5)+(_xlfn.IFNA(VLOOKUP($A2,'FL Ratio'!$A$3:$B$10,2,FALSE),0)*'FL Characterization'!S$2)</f>
        <v>52.766039021566442</v>
      </c>
      <c r="T2" s="2">
        <f>('[1]Pc, Winter, S1'!T2*Main!$B$5)+(_xlfn.IFNA(VLOOKUP($A2,'FL Ratio'!$A$3:$B$10,2,FALSE),0)*'FL Characterization'!T$2)</f>
        <v>52.574762964645423</v>
      </c>
      <c r="U2" s="2">
        <f>('[1]Pc, Winter, S1'!U2*Main!$B$5)+(_xlfn.IFNA(VLOOKUP($A2,'FL Ratio'!$A$3:$B$10,2,FALSE),0)*'FL Characterization'!U$2)</f>
        <v>51.48627632269227</v>
      </c>
      <c r="V2" s="2">
        <f>('[1]Pc, Winter, S1'!V2*Main!$B$5)+(_xlfn.IFNA(VLOOKUP($A2,'FL Ratio'!$A$3:$B$10,2,FALSE),0)*'FL Characterization'!V$2)</f>
        <v>50.600845607062922</v>
      </c>
      <c r="W2" s="2">
        <f>('[1]Pc, Winter, S1'!W2*Main!$B$5)+(_xlfn.IFNA(VLOOKUP($A2,'FL Ratio'!$A$3:$B$10,2,FALSE),0)*'FL Characterization'!W$2)</f>
        <v>47.426602501397326</v>
      </c>
      <c r="X2" s="2">
        <f>('[1]Pc, Winter, S1'!X2*Main!$B$5)+(_xlfn.IFNA(VLOOKUP($A2,'FL Ratio'!$A$3:$B$10,2,FALSE),0)*'FL Characterization'!X$2)</f>
        <v>41.489453117671943</v>
      </c>
      <c r="Y2" s="2">
        <f>('[1]Pc, Winter, S1'!Y2*Main!$B$5)+(_xlfn.IFNA(VLOOKUP($A2,'FL Ratio'!$A$3:$B$10,2,FALSE),0)*'FL Characterization'!Y$2)</f>
        <v>37.641465578067567</v>
      </c>
    </row>
    <row r="3" spans="1:25" x14ac:dyDescent="0.3">
      <c r="A3">
        <v>2</v>
      </c>
      <c r="B3" s="2">
        <f>('[1]Pc, Winter, S1'!B3*Main!$B$5)+(_xlfn.IFNA(VLOOKUP($A3,'FL Ratio'!$A$3:$B$10,2,FALSE),0)*'FL Characterization'!B$2)</f>
        <v>35.63872338404019</v>
      </c>
      <c r="C3" s="2">
        <f>('[1]Pc, Winter, S1'!C3*Main!$B$5)+(_xlfn.IFNA(VLOOKUP($A3,'FL Ratio'!$A$3:$B$10,2,FALSE),0)*'FL Characterization'!C$2)</f>
        <v>33.370607283498735</v>
      </c>
      <c r="D3" s="2">
        <f>('[1]Pc, Winter, S1'!D3*Main!$B$5)+(_xlfn.IFNA(VLOOKUP($A3,'FL Ratio'!$A$3:$B$10,2,FALSE),0)*'FL Characterization'!D$2)</f>
        <v>30.174907917056057</v>
      </c>
      <c r="E3" s="2">
        <f>('[1]Pc, Winter, S1'!E3*Main!$B$5)+(_xlfn.IFNA(VLOOKUP($A3,'FL Ratio'!$A$3:$B$10,2,FALSE),0)*'FL Characterization'!E$2)</f>
        <v>32.167383047595735</v>
      </c>
      <c r="F3" s="2">
        <f>('[1]Pc, Winter, S1'!F3*Main!$B$5)+(_xlfn.IFNA(VLOOKUP($A3,'FL Ratio'!$A$3:$B$10,2,FALSE),0)*'FL Characterization'!F$2)</f>
        <v>31.677062030604709</v>
      </c>
      <c r="G3" s="2">
        <f>('[1]Pc, Winter, S1'!G3*Main!$B$5)+(_xlfn.IFNA(VLOOKUP($A3,'FL Ratio'!$A$3:$B$10,2,FALSE),0)*'FL Characterization'!G$2)</f>
        <v>32.684511978421732</v>
      </c>
      <c r="H3" s="2">
        <f>('[1]Pc, Winter, S1'!H3*Main!$B$5)+(_xlfn.IFNA(VLOOKUP($A3,'FL Ratio'!$A$3:$B$10,2,FALSE),0)*'FL Characterization'!H$2)</f>
        <v>48.248129104289866</v>
      </c>
      <c r="I3" s="2">
        <f>('[1]Pc, Winter, S1'!I3*Main!$B$5)+(_xlfn.IFNA(VLOOKUP($A3,'FL Ratio'!$A$3:$B$10,2,FALSE),0)*'FL Characterization'!I$2)</f>
        <v>52.030900044801747</v>
      </c>
      <c r="J3" s="2">
        <f>('[1]Pc, Winter, S1'!J3*Main!$B$5)+(_xlfn.IFNA(VLOOKUP($A3,'FL Ratio'!$A$3:$B$10,2,FALSE),0)*'FL Characterization'!J$2)</f>
        <v>56.975742940133479</v>
      </c>
      <c r="K3" s="2">
        <f>('[1]Pc, Winter, S1'!K3*Main!$B$5)+(_xlfn.IFNA(VLOOKUP($A3,'FL Ratio'!$A$3:$B$10,2,FALSE),0)*'FL Characterization'!K$2)</f>
        <v>57.132543658275239</v>
      </c>
      <c r="L3" s="2">
        <f>('[1]Pc, Winter, S1'!L3*Main!$B$5)+(_xlfn.IFNA(VLOOKUP($A3,'FL Ratio'!$A$3:$B$10,2,FALSE),0)*'FL Characterization'!L$2)</f>
        <v>53.824143206517498</v>
      </c>
      <c r="M3" s="2">
        <f>('[1]Pc, Winter, S1'!M3*Main!$B$5)+(_xlfn.IFNA(VLOOKUP($A3,'FL Ratio'!$A$3:$B$10,2,FALSE),0)*'FL Characterization'!M$2)</f>
        <v>58.926229238482563</v>
      </c>
      <c r="N3" s="2">
        <f>('[1]Pc, Winter, S1'!N3*Main!$B$5)+(_xlfn.IFNA(VLOOKUP($A3,'FL Ratio'!$A$3:$B$10,2,FALSE),0)*'FL Characterization'!N$2)</f>
        <v>55.765728001283847</v>
      </c>
      <c r="O3" s="2">
        <f>('[1]Pc, Winter, S1'!O3*Main!$B$5)+(_xlfn.IFNA(VLOOKUP($A3,'FL Ratio'!$A$3:$B$10,2,FALSE),0)*'FL Characterization'!O$2)</f>
        <v>52.633372631747719</v>
      </c>
      <c r="P3" s="2">
        <f>('[1]Pc, Winter, S1'!P3*Main!$B$5)+(_xlfn.IFNA(VLOOKUP($A3,'FL Ratio'!$A$3:$B$10,2,FALSE),0)*'FL Characterization'!P$2)</f>
        <v>51.12059470300732</v>
      </c>
      <c r="Q3" s="2">
        <f>('[1]Pc, Winter, S1'!Q3*Main!$B$5)+(_xlfn.IFNA(VLOOKUP($A3,'FL Ratio'!$A$3:$B$10,2,FALSE),0)*'FL Characterization'!Q$2)</f>
        <v>47.813181182848325</v>
      </c>
      <c r="R3" s="2">
        <f>('[1]Pc, Winter, S1'!R3*Main!$B$5)+(_xlfn.IFNA(VLOOKUP($A3,'FL Ratio'!$A$3:$B$10,2,FALSE),0)*'FL Characterization'!R$2)</f>
        <v>47.441105241848966</v>
      </c>
      <c r="S3" s="2">
        <f>('[1]Pc, Winter, S1'!S3*Main!$B$5)+(_xlfn.IFNA(VLOOKUP($A3,'FL Ratio'!$A$3:$B$10,2,FALSE),0)*'FL Characterization'!S$2)</f>
        <v>50.727035747593789</v>
      </c>
      <c r="T3" s="2">
        <f>('[1]Pc, Winter, S1'!T3*Main!$B$5)+(_xlfn.IFNA(VLOOKUP($A3,'FL Ratio'!$A$3:$B$10,2,FALSE),0)*'FL Characterization'!T$2)</f>
        <v>50.294747710857429</v>
      </c>
      <c r="U3" s="2">
        <f>('[1]Pc, Winter, S1'!U3*Main!$B$5)+(_xlfn.IFNA(VLOOKUP($A3,'FL Ratio'!$A$3:$B$10,2,FALSE),0)*'FL Characterization'!U$2)</f>
        <v>50.860616398285863</v>
      </c>
      <c r="V3" s="2">
        <f>('[1]Pc, Winter, S1'!V3*Main!$B$5)+(_xlfn.IFNA(VLOOKUP($A3,'FL Ratio'!$A$3:$B$10,2,FALSE),0)*'FL Characterization'!V$2)</f>
        <v>49.722798991893328</v>
      </c>
      <c r="W3" s="2">
        <f>('[1]Pc, Winter, S1'!W3*Main!$B$5)+(_xlfn.IFNA(VLOOKUP($A3,'FL Ratio'!$A$3:$B$10,2,FALSE),0)*'FL Characterization'!W$2)</f>
        <v>44.743939627232173</v>
      </c>
      <c r="X3" s="2">
        <f>('[1]Pc, Winter, S1'!X3*Main!$B$5)+(_xlfn.IFNA(VLOOKUP($A3,'FL Ratio'!$A$3:$B$10,2,FALSE),0)*'FL Characterization'!X$2)</f>
        <v>39.349747104975521</v>
      </c>
      <c r="Y3" s="2">
        <f>('[1]Pc, Winter, S1'!Y3*Main!$B$5)+(_xlfn.IFNA(VLOOKUP($A3,'FL Ratio'!$A$3:$B$10,2,FALSE),0)*'FL Characterization'!Y$2)</f>
        <v>38.517730965315451</v>
      </c>
    </row>
    <row r="4" spans="1:25" x14ac:dyDescent="0.3">
      <c r="A4">
        <v>3</v>
      </c>
      <c r="B4" s="2">
        <f>('[1]Pc, Winter, S1'!B4*Main!$B$5)+(_xlfn.IFNA(VLOOKUP($A4,'FL Ratio'!$A$3:$B$10,2,FALSE),0)*'FL Characterization'!B$2)</f>
        <v>50.69840035850951</v>
      </c>
      <c r="C4" s="2">
        <f>('[1]Pc, Winter, S1'!C4*Main!$B$5)+(_xlfn.IFNA(VLOOKUP($A4,'FL Ratio'!$A$3:$B$10,2,FALSE),0)*'FL Characterization'!C$2)</f>
        <v>44.981153512087651</v>
      </c>
      <c r="D4" s="2">
        <f>('[1]Pc, Winter, S1'!D4*Main!$B$5)+(_xlfn.IFNA(VLOOKUP($A4,'FL Ratio'!$A$3:$B$10,2,FALSE),0)*'FL Characterization'!D$2)</f>
        <v>42.232003755316057</v>
      </c>
      <c r="E4" s="2">
        <f>('[1]Pc, Winter, S1'!E4*Main!$B$5)+(_xlfn.IFNA(VLOOKUP($A4,'FL Ratio'!$A$3:$B$10,2,FALSE),0)*'FL Characterization'!E$2)</f>
        <v>41.639836804432946</v>
      </c>
      <c r="F4" s="2">
        <f>('[1]Pc, Winter, S1'!F4*Main!$B$5)+(_xlfn.IFNA(VLOOKUP($A4,'FL Ratio'!$A$3:$B$10,2,FALSE),0)*'FL Characterization'!F$2)</f>
        <v>43.099335208775386</v>
      </c>
      <c r="G4" s="2">
        <f>('[1]Pc, Winter, S1'!G4*Main!$B$5)+(_xlfn.IFNA(VLOOKUP($A4,'FL Ratio'!$A$3:$B$10,2,FALSE),0)*'FL Characterization'!G$2)</f>
        <v>46.130739518233504</v>
      </c>
      <c r="H4" s="2">
        <f>('[1]Pc, Winter, S1'!H4*Main!$B$5)+(_xlfn.IFNA(VLOOKUP($A4,'FL Ratio'!$A$3:$B$10,2,FALSE),0)*'FL Characterization'!H$2)</f>
        <v>55.688909355198156</v>
      </c>
      <c r="I4" s="2">
        <f>('[1]Pc, Winter, S1'!I4*Main!$B$5)+(_xlfn.IFNA(VLOOKUP($A4,'FL Ratio'!$A$3:$B$10,2,FALSE),0)*'FL Characterization'!I$2)</f>
        <v>60.543273970893054</v>
      </c>
      <c r="J4" s="2">
        <f>('[1]Pc, Winter, S1'!J4*Main!$B$5)+(_xlfn.IFNA(VLOOKUP($A4,'FL Ratio'!$A$3:$B$10,2,FALSE),0)*'FL Characterization'!J$2)</f>
        <v>64.023140649755376</v>
      </c>
      <c r="K4" s="2">
        <f>('[1]Pc, Winter, S1'!K4*Main!$B$5)+(_xlfn.IFNA(VLOOKUP($A4,'FL Ratio'!$A$3:$B$10,2,FALSE),0)*'FL Characterization'!K$2)</f>
        <v>66.318603809121996</v>
      </c>
      <c r="L4" s="2">
        <f>('[1]Pc, Winter, S1'!L4*Main!$B$5)+(_xlfn.IFNA(VLOOKUP($A4,'FL Ratio'!$A$3:$B$10,2,FALSE),0)*'FL Characterization'!L$2)</f>
        <v>66.755626490436526</v>
      </c>
      <c r="M4" s="2">
        <f>('[1]Pc, Winter, S1'!M4*Main!$B$5)+(_xlfn.IFNA(VLOOKUP($A4,'FL Ratio'!$A$3:$B$10,2,FALSE),0)*'FL Characterization'!M$2)</f>
        <v>66.121203383908025</v>
      </c>
      <c r="N4" s="2">
        <f>('[1]Pc, Winter, S1'!N4*Main!$B$5)+(_xlfn.IFNA(VLOOKUP($A4,'FL Ratio'!$A$3:$B$10,2,FALSE),0)*'FL Characterization'!N$2)</f>
        <v>65.924064124008908</v>
      </c>
      <c r="O4" s="2">
        <f>('[1]Pc, Winter, S1'!O4*Main!$B$5)+(_xlfn.IFNA(VLOOKUP($A4,'FL Ratio'!$A$3:$B$10,2,FALSE),0)*'FL Characterization'!O$2)</f>
        <v>64.973380883649881</v>
      </c>
      <c r="P4" s="2">
        <f>('[1]Pc, Winter, S1'!P4*Main!$B$5)+(_xlfn.IFNA(VLOOKUP($A4,'FL Ratio'!$A$3:$B$10,2,FALSE),0)*'FL Characterization'!P$2)</f>
        <v>62.991333372107007</v>
      </c>
      <c r="Q4" s="2">
        <f>('[1]Pc, Winter, S1'!Q4*Main!$B$5)+(_xlfn.IFNA(VLOOKUP($A4,'FL Ratio'!$A$3:$B$10,2,FALSE),0)*'FL Characterization'!Q$2)</f>
        <v>61.85219104071691</v>
      </c>
      <c r="R4" s="2">
        <f>('[1]Pc, Winter, S1'!R4*Main!$B$5)+(_xlfn.IFNA(VLOOKUP($A4,'FL Ratio'!$A$3:$B$10,2,FALSE),0)*'FL Characterization'!R$2)</f>
        <v>63.625582287122299</v>
      </c>
      <c r="S4" s="2">
        <f>('[1]Pc, Winter, S1'!S4*Main!$B$5)+(_xlfn.IFNA(VLOOKUP($A4,'FL Ratio'!$A$3:$B$10,2,FALSE),0)*'FL Characterization'!S$2)</f>
        <v>72.497939402342553</v>
      </c>
      <c r="T4" s="2">
        <f>('[1]Pc, Winter, S1'!T4*Main!$B$5)+(_xlfn.IFNA(VLOOKUP($A4,'FL Ratio'!$A$3:$B$10,2,FALSE),0)*'FL Characterization'!T$2)</f>
        <v>73.467472601709304</v>
      </c>
      <c r="U4" s="2">
        <f>('[1]Pc, Winter, S1'!U4*Main!$B$5)+(_xlfn.IFNA(VLOOKUP($A4,'FL Ratio'!$A$3:$B$10,2,FALSE),0)*'FL Characterization'!U$2)</f>
        <v>73.717859542219259</v>
      </c>
      <c r="V4" s="2">
        <f>('[1]Pc, Winter, S1'!V4*Main!$B$5)+(_xlfn.IFNA(VLOOKUP($A4,'FL Ratio'!$A$3:$B$10,2,FALSE),0)*'FL Characterization'!V$2)</f>
        <v>71.762416820662011</v>
      </c>
      <c r="W4" s="2">
        <f>('[1]Pc, Winter, S1'!W4*Main!$B$5)+(_xlfn.IFNA(VLOOKUP($A4,'FL Ratio'!$A$3:$B$10,2,FALSE),0)*'FL Characterization'!W$2)</f>
        <v>68.261617856391794</v>
      </c>
      <c r="X4" s="2">
        <f>('[1]Pc, Winter, S1'!X4*Main!$B$5)+(_xlfn.IFNA(VLOOKUP($A4,'FL Ratio'!$A$3:$B$10,2,FALSE),0)*'FL Characterization'!X$2)</f>
        <v>63.724447790651965</v>
      </c>
      <c r="Y4" s="2">
        <f>('[1]Pc, Winter, S1'!Y4*Main!$B$5)+(_xlfn.IFNA(VLOOKUP($A4,'FL Ratio'!$A$3:$B$10,2,FALSE),0)*'FL Characterization'!Y$2)</f>
        <v>56.921201469761108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FDB8D-ED0A-4813-92D7-41EA4F081747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Ratio'!$A$3:$B$10,2,FALSE),0)*'FL Characterization'!B$2)</f>
        <v>33.583484784197964</v>
      </c>
      <c r="C2" s="2">
        <f>('[1]Pc, Winter, S1'!C2*Main!$B$5)+(_xlfn.IFNA(VLOOKUP($A2,'FL Ratio'!$A$3:$B$10,2,FALSE),0)*'FL Characterization'!C$2)</f>
        <v>31.324938138040327</v>
      </c>
      <c r="D2" s="2">
        <f>('[1]Pc, Winter, S1'!D2*Main!$B$5)+(_xlfn.IFNA(VLOOKUP($A2,'FL Ratio'!$A$3:$B$10,2,FALSE),0)*'FL Characterization'!D$2)</f>
        <v>29.681341544364091</v>
      </c>
      <c r="E2" s="2">
        <f>('[1]Pc, Winter, S1'!E2*Main!$B$5)+(_xlfn.IFNA(VLOOKUP($A2,'FL Ratio'!$A$3:$B$10,2,FALSE),0)*'FL Characterization'!E$2)</f>
        <v>29.471329534683715</v>
      </c>
      <c r="F2" s="2">
        <f>('[1]Pc, Winter, S1'!F2*Main!$B$5)+(_xlfn.IFNA(VLOOKUP($A2,'FL Ratio'!$A$3:$B$10,2,FALSE),0)*'FL Characterization'!F$2)</f>
        <v>29.826820681477443</v>
      </c>
      <c r="G2" s="2">
        <f>('[1]Pc, Winter, S1'!G2*Main!$B$5)+(_xlfn.IFNA(VLOOKUP($A2,'FL Ratio'!$A$3:$B$10,2,FALSE),0)*'FL Characterization'!G$2)</f>
        <v>32.786115983456824</v>
      </c>
      <c r="H2" s="2">
        <f>('[1]Pc, Winter, S1'!H2*Main!$B$5)+(_xlfn.IFNA(VLOOKUP($A2,'FL Ratio'!$A$3:$B$10,2,FALSE),0)*'FL Characterization'!H$2)</f>
        <v>39.121826409191762</v>
      </c>
      <c r="I2" s="2">
        <f>('[1]Pc, Winter, S1'!I2*Main!$B$5)+(_xlfn.IFNA(VLOOKUP($A2,'FL Ratio'!$A$3:$B$10,2,FALSE),0)*'FL Characterization'!I$2)</f>
        <v>47.090751617584175</v>
      </c>
      <c r="J2" s="2">
        <f>('[1]Pc, Winter, S1'!J2*Main!$B$5)+(_xlfn.IFNA(VLOOKUP($A2,'FL Ratio'!$A$3:$B$10,2,FALSE),0)*'FL Characterization'!J$2)</f>
        <v>51.269032522315925</v>
      </c>
      <c r="K2" s="2">
        <f>('[1]Pc, Winter, S1'!K2*Main!$B$5)+(_xlfn.IFNA(VLOOKUP($A2,'FL Ratio'!$A$3:$B$10,2,FALSE),0)*'FL Characterization'!K$2)</f>
        <v>51.908348627692199</v>
      </c>
      <c r="L2" s="2">
        <f>('[1]Pc, Winter, S1'!L2*Main!$B$5)+(_xlfn.IFNA(VLOOKUP($A2,'FL Ratio'!$A$3:$B$10,2,FALSE),0)*'FL Characterization'!L$2)</f>
        <v>50.507516230180514</v>
      </c>
      <c r="M2" s="2">
        <f>('[1]Pc, Winter, S1'!M2*Main!$B$5)+(_xlfn.IFNA(VLOOKUP($A2,'FL Ratio'!$A$3:$B$10,2,FALSE),0)*'FL Characterization'!M$2)</f>
        <v>50.767838719654115</v>
      </c>
      <c r="N2" s="2">
        <f>('[1]Pc, Winter, S1'!N2*Main!$B$5)+(_xlfn.IFNA(VLOOKUP($A2,'FL Ratio'!$A$3:$B$10,2,FALSE),0)*'FL Characterization'!N$2)</f>
        <v>50.726119132228632</v>
      </c>
      <c r="O2" s="2">
        <f>('[1]Pc, Winter, S1'!O2*Main!$B$5)+(_xlfn.IFNA(VLOOKUP($A2,'FL Ratio'!$A$3:$B$10,2,FALSE),0)*'FL Characterization'!O$2)</f>
        <v>49.897788776302399</v>
      </c>
      <c r="P2" s="2">
        <f>('[1]Pc, Winter, S1'!P2*Main!$B$5)+(_xlfn.IFNA(VLOOKUP($A2,'FL Ratio'!$A$3:$B$10,2,FALSE),0)*'FL Characterization'!P$2)</f>
        <v>47.054136089247308</v>
      </c>
      <c r="Q2" s="2">
        <f>('[1]Pc, Winter, S1'!Q2*Main!$B$5)+(_xlfn.IFNA(VLOOKUP($A2,'FL Ratio'!$A$3:$B$10,2,FALSE),0)*'FL Characterization'!Q$2)</f>
        <v>45.70601770625958</v>
      </c>
      <c r="R2" s="2">
        <f>('[1]Pc, Winter, S1'!R2*Main!$B$5)+(_xlfn.IFNA(VLOOKUP($A2,'FL Ratio'!$A$3:$B$10,2,FALSE),0)*'FL Characterization'!R$2)</f>
        <v>47.60049187797015</v>
      </c>
      <c r="S2" s="2">
        <f>('[1]Pc, Winter, S1'!S2*Main!$B$5)+(_xlfn.IFNA(VLOOKUP($A2,'FL Ratio'!$A$3:$B$10,2,FALSE),0)*'FL Characterization'!S$2)</f>
        <v>52.766039021566442</v>
      </c>
      <c r="T2" s="2">
        <f>('[1]Pc, Winter, S1'!T2*Main!$B$5)+(_xlfn.IFNA(VLOOKUP($A2,'FL Ratio'!$A$3:$B$10,2,FALSE),0)*'FL Characterization'!T$2)</f>
        <v>52.574762964645423</v>
      </c>
      <c r="U2" s="2">
        <f>('[1]Pc, Winter, S1'!U2*Main!$B$5)+(_xlfn.IFNA(VLOOKUP($A2,'FL Ratio'!$A$3:$B$10,2,FALSE),0)*'FL Characterization'!U$2)</f>
        <v>51.48627632269227</v>
      </c>
      <c r="V2" s="2">
        <f>('[1]Pc, Winter, S1'!V2*Main!$B$5)+(_xlfn.IFNA(VLOOKUP($A2,'FL Ratio'!$A$3:$B$10,2,FALSE),0)*'FL Characterization'!V$2)</f>
        <v>50.600845607062922</v>
      </c>
      <c r="W2" s="2">
        <f>('[1]Pc, Winter, S1'!W2*Main!$B$5)+(_xlfn.IFNA(VLOOKUP($A2,'FL Ratio'!$A$3:$B$10,2,FALSE),0)*'FL Characterization'!W$2)</f>
        <v>47.426602501397326</v>
      </c>
      <c r="X2" s="2">
        <f>('[1]Pc, Winter, S1'!X2*Main!$B$5)+(_xlfn.IFNA(VLOOKUP($A2,'FL Ratio'!$A$3:$B$10,2,FALSE),0)*'FL Characterization'!X$2)</f>
        <v>41.489453117671943</v>
      </c>
      <c r="Y2" s="2">
        <f>('[1]Pc, Winter, S1'!Y2*Main!$B$5)+(_xlfn.IFNA(VLOOKUP($A2,'FL Ratio'!$A$3:$B$10,2,FALSE),0)*'FL Characterization'!Y$2)</f>
        <v>37.641465578067567</v>
      </c>
    </row>
    <row r="3" spans="1:25" x14ac:dyDescent="0.3">
      <c r="A3">
        <v>2</v>
      </c>
      <c r="B3" s="2">
        <f>('[1]Pc, Winter, S1'!B3*Main!$B$5)+(_xlfn.IFNA(VLOOKUP($A3,'FL Ratio'!$A$3:$B$10,2,FALSE),0)*'FL Characterization'!B$2)</f>
        <v>35.63872338404019</v>
      </c>
      <c r="C3" s="2">
        <f>('[1]Pc, Winter, S1'!C3*Main!$B$5)+(_xlfn.IFNA(VLOOKUP($A3,'FL Ratio'!$A$3:$B$10,2,FALSE),0)*'FL Characterization'!C$2)</f>
        <v>33.370607283498735</v>
      </c>
      <c r="D3" s="2">
        <f>('[1]Pc, Winter, S1'!D3*Main!$B$5)+(_xlfn.IFNA(VLOOKUP($A3,'FL Ratio'!$A$3:$B$10,2,FALSE),0)*'FL Characterization'!D$2)</f>
        <v>30.174907917056057</v>
      </c>
      <c r="E3" s="2">
        <f>('[1]Pc, Winter, S1'!E3*Main!$B$5)+(_xlfn.IFNA(VLOOKUP($A3,'FL Ratio'!$A$3:$B$10,2,FALSE),0)*'FL Characterization'!E$2)</f>
        <v>32.167383047595735</v>
      </c>
      <c r="F3" s="2">
        <f>('[1]Pc, Winter, S1'!F3*Main!$B$5)+(_xlfn.IFNA(VLOOKUP($A3,'FL Ratio'!$A$3:$B$10,2,FALSE),0)*'FL Characterization'!F$2)</f>
        <v>31.677062030604709</v>
      </c>
      <c r="G3" s="2">
        <f>('[1]Pc, Winter, S1'!G3*Main!$B$5)+(_xlfn.IFNA(VLOOKUP($A3,'FL Ratio'!$A$3:$B$10,2,FALSE),0)*'FL Characterization'!G$2)</f>
        <v>32.684511978421732</v>
      </c>
      <c r="H3" s="2">
        <f>('[1]Pc, Winter, S1'!H3*Main!$B$5)+(_xlfn.IFNA(VLOOKUP($A3,'FL Ratio'!$A$3:$B$10,2,FALSE),0)*'FL Characterization'!H$2)</f>
        <v>48.248129104289866</v>
      </c>
      <c r="I3" s="2">
        <f>('[1]Pc, Winter, S1'!I3*Main!$B$5)+(_xlfn.IFNA(VLOOKUP($A3,'FL Ratio'!$A$3:$B$10,2,FALSE),0)*'FL Characterization'!I$2)</f>
        <v>52.030900044801747</v>
      </c>
      <c r="J3" s="2">
        <f>('[1]Pc, Winter, S1'!J3*Main!$B$5)+(_xlfn.IFNA(VLOOKUP($A3,'FL Ratio'!$A$3:$B$10,2,FALSE),0)*'FL Characterization'!J$2)</f>
        <v>56.975742940133479</v>
      </c>
      <c r="K3" s="2">
        <f>('[1]Pc, Winter, S1'!K3*Main!$B$5)+(_xlfn.IFNA(VLOOKUP($A3,'FL Ratio'!$A$3:$B$10,2,FALSE),0)*'FL Characterization'!K$2)</f>
        <v>57.132543658275239</v>
      </c>
      <c r="L3" s="2">
        <f>('[1]Pc, Winter, S1'!L3*Main!$B$5)+(_xlfn.IFNA(VLOOKUP($A3,'FL Ratio'!$A$3:$B$10,2,FALSE),0)*'FL Characterization'!L$2)</f>
        <v>53.824143206517498</v>
      </c>
      <c r="M3" s="2">
        <f>('[1]Pc, Winter, S1'!M3*Main!$B$5)+(_xlfn.IFNA(VLOOKUP($A3,'FL Ratio'!$A$3:$B$10,2,FALSE),0)*'FL Characterization'!M$2)</f>
        <v>58.926229238482563</v>
      </c>
      <c r="N3" s="2">
        <f>('[1]Pc, Winter, S1'!N3*Main!$B$5)+(_xlfn.IFNA(VLOOKUP($A3,'FL Ratio'!$A$3:$B$10,2,FALSE),0)*'FL Characterization'!N$2)</f>
        <v>55.765728001283847</v>
      </c>
      <c r="O3" s="2">
        <f>('[1]Pc, Winter, S1'!O3*Main!$B$5)+(_xlfn.IFNA(VLOOKUP($A3,'FL Ratio'!$A$3:$B$10,2,FALSE),0)*'FL Characterization'!O$2)</f>
        <v>52.633372631747719</v>
      </c>
      <c r="P3" s="2">
        <f>('[1]Pc, Winter, S1'!P3*Main!$B$5)+(_xlfn.IFNA(VLOOKUP($A3,'FL Ratio'!$A$3:$B$10,2,FALSE),0)*'FL Characterization'!P$2)</f>
        <v>51.12059470300732</v>
      </c>
      <c r="Q3" s="2">
        <f>('[1]Pc, Winter, S1'!Q3*Main!$B$5)+(_xlfn.IFNA(VLOOKUP($A3,'FL Ratio'!$A$3:$B$10,2,FALSE),0)*'FL Characterization'!Q$2)</f>
        <v>47.813181182848325</v>
      </c>
      <c r="R3" s="2">
        <f>('[1]Pc, Winter, S1'!R3*Main!$B$5)+(_xlfn.IFNA(VLOOKUP($A3,'FL Ratio'!$A$3:$B$10,2,FALSE),0)*'FL Characterization'!R$2)</f>
        <v>47.441105241848966</v>
      </c>
      <c r="S3" s="2">
        <f>('[1]Pc, Winter, S1'!S3*Main!$B$5)+(_xlfn.IFNA(VLOOKUP($A3,'FL Ratio'!$A$3:$B$10,2,FALSE),0)*'FL Characterization'!S$2)</f>
        <v>50.727035747593789</v>
      </c>
      <c r="T3" s="2">
        <f>('[1]Pc, Winter, S1'!T3*Main!$B$5)+(_xlfn.IFNA(VLOOKUP($A3,'FL Ratio'!$A$3:$B$10,2,FALSE),0)*'FL Characterization'!T$2)</f>
        <v>50.294747710857429</v>
      </c>
      <c r="U3" s="2">
        <f>('[1]Pc, Winter, S1'!U3*Main!$B$5)+(_xlfn.IFNA(VLOOKUP($A3,'FL Ratio'!$A$3:$B$10,2,FALSE),0)*'FL Characterization'!U$2)</f>
        <v>50.860616398285863</v>
      </c>
      <c r="V3" s="2">
        <f>('[1]Pc, Winter, S1'!V3*Main!$B$5)+(_xlfn.IFNA(VLOOKUP($A3,'FL Ratio'!$A$3:$B$10,2,FALSE),0)*'FL Characterization'!V$2)</f>
        <v>49.722798991893328</v>
      </c>
      <c r="W3" s="2">
        <f>('[1]Pc, Winter, S1'!W3*Main!$B$5)+(_xlfn.IFNA(VLOOKUP($A3,'FL Ratio'!$A$3:$B$10,2,FALSE),0)*'FL Characterization'!W$2)</f>
        <v>44.743939627232173</v>
      </c>
      <c r="X3" s="2">
        <f>('[1]Pc, Winter, S1'!X3*Main!$B$5)+(_xlfn.IFNA(VLOOKUP($A3,'FL Ratio'!$A$3:$B$10,2,FALSE),0)*'FL Characterization'!X$2)</f>
        <v>39.349747104975521</v>
      </c>
      <c r="Y3" s="2">
        <f>('[1]Pc, Winter, S1'!Y3*Main!$B$5)+(_xlfn.IFNA(VLOOKUP($A3,'FL Ratio'!$A$3:$B$10,2,FALSE),0)*'FL Characterization'!Y$2)</f>
        <v>38.517730965315451</v>
      </c>
    </row>
    <row r="4" spans="1:25" x14ac:dyDescent="0.3">
      <c r="A4">
        <v>3</v>
      </c>
      <c r="B4" s="2">
        <f>('[1]Pc, Winter, S1'!B4*Main!$B$5)+(_xlfn.IFNA(VLOOKUP($A4,'FL Ratio'!$A$3:$B$10,2,FALSE),0)*'FL Characterization'!B$2)</f>
        <v>50.69840035850951</v>
      </c>
      <c r="C4" s="2">
        <f>('[1]Pc, Winter, S1'!C4*Main!$B$5)+(_xlfn.IFNA(VLOOKUP($A4,'FL Ratio'!$A$3:$B$10,2,FALSE),0)*'FL Characterization'!C$2)</f>
        <v>44.981153512087651</v>
      </c>
      <c r="D4" s="2">
        <f>('[1]Pc, Winter, S1'!D4*Main!$B$5)+(_xlfn.IFNA(VLOOKUP($A4,'FL Ratio'!$A$3:$B$10,2,FALSE),0)*'FL Characterization'!D$2)</f>
        <v>42.232003755316057</v>
      </c>
      <c r="E4" s="2">
        <f>('[1]Pc, Winter, S1'!E4*Main!$B$5)+(_xlfn.IFNA(VLOOKUP($A4,'FL Ratio'!$A$3:$B$10,2,FALSE),0)*'FL Characterization'!E$2)</f>
        <v>41.639836804432946</v>
      </c>
      <c r="F4" s="2">
        <f>('[1]Pc, Winter, S1'!F4*Main!$B$5)+(_xlfn.IFNA(VLOOKUP($A4,'FL Ratio'!$A$3:$B$10,2,FALSE),0)*'FL Characterization'!F$2)</f>
        <v>43.099335208775386</v>
      </c>
      <c r="G4" s="2">
        <f>('[1]Pc, Winter, S1'!G4*Main!$B$5)+(_xlfn.IFNA(VLOOKUP($A4,'FL Ratio'!$A$3:$B$10,2,FALSE),0)*'FL Characterization'!G$2)</f>
        <v>46.130739518233504</v>
      </c>
      <c r="H4" s="2">
        <f>('[1]Pc, Winter, S1'!H4*Main!$B$5)+(_xlfn.IFNA(VLOOKUP($A4,'FL Ratio'!$A$3:$B$10,2,FALSE),0)*'FL Characterization'!H$2)</f>
        <v>55.688909355198156</v>
      </c>
      <c r="I4" s="2">
        <f>('[1]Pc, Winter, S1'!I4*Main!$B$5)+(_xlfn.IFNA(VLOOKUP($A4,'FL Ratio'!$A$3:$B$10,2,FALSE),0)*'FL Characterization'!I$2)</f>
        <v>60.543273970893054</v>
      </c>
      <c r="J4" s="2">
        <f>('[1]Pc, Winter, S1'!J4*Main!$B$5)+(_xlfn.IFNA(VLOOKUP($A4,'FL Ratio'!$A$3:$B$10,2,FALSE),0)*'FL Characterization'!J$2)</f>
        <v>64.023140649755376</v>
      </c>
      <c r="K4" s="2">
        <f>('[1]Pc, Winter, S1'!K4*Main!$B$5)+(_xlfn.IFNA(VLOOKUP($A4,'FL Ratio'!$A$3:$B$10,2,FALSE),0)*'FL Characterization'!K$2)</f>
        <v>66.318603809121996</v>
      </c>
      <c r="L4" s="2">
        <f>('[1]Pc, Winter, S1'!L4*Main!$B$5)+(_xlfn.IFNA(VLOOKUP($A4,'FL Ratio'!$A$3:$B$10,2,FALSE),0)*'FL Characterization'!L$2)</f>
        <v>66.755626490436526</v>
      </c>
      <c r="M4" s="2">
        <f>('[1]Pc, Winter, S1'!M4*Main!$B$5)+(_xlfn.IFNA(VLOOKUP($A4,'FL Ratio'!$A$3:$B$10,2,FALSE),0)*'FL Characterization'!M$2)</f>
        <v>66.121203383908025</v>
      </c>
      <c r="N4" s="2">
        <f>('[1]Pc, Winter, S1'!N4*Main!$B$5)+(_xlfn.IFNA(VLOOKUP($A4,'FL Ratio'!$A$3:$B$10,2,FALSE),0)*'FL Characterization'!N$2)</f>
        <v>65.924064124008908</v>
      </c>
      <c r="O4" s="2">
        <f>('[1]Pc, Winter, S1'!O4*Main!$B$5)+(_xlfn.IFNA(VLOOKUP($A4,'FL Ratio'!$A$3:$B$10,2,FALSE),0)*'FL Characterization'!O$2)</f>
        <v>64.973380883649881</v>
      </c>
      <c r="P4" s="2">
        <f>('[1]Pc, Winter, S1'!P4*Main!$B$5)+(_xlfn.IFNA(VLOOKUP($A4,'FL Ratio'!$A$3:$B$10,2,FALSE),0)*'FL Characterization'!P$2)</f>
        <v>62.991333372107007</v>
      </c>
      <c r="Q4" s="2">
        <f>('[1]Pc, Winter, S1'!Q4*Main!$B$5)+(_xlfn.IFNA(VLOOKUP($A4,'FL Ratio'!$A$3:$B$10,2,FALSE),0)*'FL Characterization'!Q$2)</f>
        <v>61.85219104071691</v>
      </c>
      <c r="R4" s="2">
        <f>('[1]Pc, Winter, S1'!R4*Main!$B$5)+(_xlfn.IFNA(VLOOKUP($A4,'FL Ratio'!$A$3:$B$10,2,FALSE),0)*'FL Characterization'!R$2)</f>
        <v>63.625582287122299</v>
      </c>
      <c r="S4" s="2">
        <f>('[1]Pc, Winter, S1'!S4*Main!$B$5)+(_xlfn.IFNA(VLOOKUP($A4,'FL Ratio'!$A$3:$B$10,2,FALSE),0)*'FL Characterization'!S$2)</f>
        <v>72.497939402342553</v>
      </c>
      <c r="T4" s="2">
        <f>('[1]Pc, Winter, S1'!T4*Main!$B$5)+(_xlfn.IFNA(VLOOKUP($A4,'FL Ratio'!$A$3:$B$10,2,FALSE),0)*'FL Characterization'!T$2)</f>
        <v>73.467472601709304</v>
      </c>
      <c r="U4" s="2">
        <f>('[1]Pc, Winter, S1'!U4*Main!$B$5)+(_xlfn.IFNA(VLOOKUP($A4,'FL Ratio'!$A$3:$B$10,2,FALSE),0)*'FL Characterization'!U$2)</f>
        <v>73.717859542219259</v>
      </c>
      <c r="V4" s="2">
        <f>('[1]Pc, Winter, S1'!V4*Main!$B$5)+(_xlfn.IFNA(VLOOKUP($A4,'FL Ratio'!$A$3:$B$10,2,FALSE),0)*'FL Characterization'!V$2)</f>
        <v>71.762416820662011</v>
      </c>
      <c r="W4" s="2">
        <f>('[1]Pc, Winter, S1'!W4*Main!$B$5)+(_xlfn.IFNA(VLOOKUP($A4,'FL Ratio'!$A$3:$B$10,2,FALSE),0)*'FL Characterization'!W$2)</f>
        <v>68.261617856391794</v>
      </c>
      <c r="X4" s="2">
        <f>('[1]Pc, Winter, S1'!X4*Main!$B$5)+(_xlfn.IFNA(VLOOKUP($A4,'FL Ratio'!$A$3:$B$10,2,FALSE),0)*'FL Characterization'!X$2)</f>
        <v>63.724447790651965</v>
      </c>
      <c r="Y4" s="2">
        <f>('[1]Pc, Winter, S1'!Y4*Main!$B$5)+(_xlfn.IFNA(VLOOKUP($A4,'FL Ratio'!$A$3:$B$10,2,FALSE),0)*'FL Characterization'!Y$2)</f>
        <v>56.921201469761108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24950-9858-45BD-B456-6CFB1341FE87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Ratio'!$A$3:$B$10,2,FALSE),0)*'FL Characterization'!B$2)</f>
        <v>33.583484784197964</v>
      </c>
      <c r="C2" s="2">
        <f>('[1]Pc, Winter, S1'!C2*Main!$B$5)+(_xlfn.IFNA(VLOOKUP($A2,'FL Ratio'!$A$3:$B$10,2,FALSE),0)*'FL Characterization'!C$2)</f>
        <v>31.324938138040327</v>
      </c>
      <c r="D2" s="2">
        <f>('[1]Pc, Winter, S1'!D2*Main!$B$5)+(_xlfn.IFNA(VLOOKUP($A2,'FL Ratio'!$A$3:$B$10,2,FALSE),0)*'FL Characterization'!D$2)</f>
        <v>29.681341544364091</v>
      </c>
      <c r="E2" s="2">
        <f>('[1]Pc, Winter, S1'!E2*Main!$B$5)+(_xlfn.IFNA(VLOOKUP($A2,'FL Ratio'!$A$3:$B$10,2,FALSE),0)*'FL Characterization'!E$2)</f>
        <v>29.471329534683715</v>
      </c>
      <c r="F2" s="2">
        <f>('[1]Pc, Winter, S1'!F2*Main!$B$5)+(_xlfn.IFNA(VLOOKUP($A2,'FL Ratio'!$A$3:$B$10,2,FALSE),0)*'FL Characterization'!F$2)</f>
        <v>29.826820681477443</v>
      </c>
      <c r="G2" s="2">
        <f>('[1]Pc, Winter, S1'!G2*Main!$B$5)+(_xlfn.IFNA(VLOOKUP($A2,'FL Ratio'!$A$3:$B$10,2,FALSE),0)*'FL Characterization'!G$2)</f>
        <v>32.786115983456824</v>
      </c>
      <c r="H2" s="2">
        <f>('[1]Pc, Winter, S1'!H2*Main!$B$5)+(_xlfn.IFNA(VLOOKUP($A2,'FL Ratio'!$A$3:$B$10,2,FALSE),0)*'FL Characterization'!H$2)</f>
        <v>39.121826409191762</v>
      </c>
      <c r="I2" s="2">
        <f>('[1]Pc, Winter, S1'!I2*Main!$B$5)+(_xlfn.IFNA(VLOOKUP($A2,'FL Ratio'!$A$3:$B$10,2,FALSE),0)*'FL Characterization'!I$2)</f>
        <v>47.090751617584175</v>
      </c>
      <c r="J2" s="2">
        <f>('[1]Pc, Winter, S1'!J2*Main!$B$5)+(_xlfn.IFNA(VLOOKUP($A2,'FL Ratio'!$A$3:$B$10,2,FALSE),0)*'FL Characterization'!J$2)</f>
        <v>51.269032522315925</v>
      </c>
      <c r="K2" s="2">
        <f>('[1]Pc, Winter, S1'!K2*Main!$B$5)+(_xlfn.IFNA(VLOOKUP($A2,'FL Ratio'!$A$3:$B$10,2,FALSE),0)*'FL Characterization'!K$2)</f>
        <v>51.908348627692199</v>
      </c>
      <c r="L2" s="2">
        <f>('[1]Pc, Winter, S1'!L2*Main!$B$5)+(_xlfn.IFNA(VLOOKUP($A2,'FL Ratio'!$A$3:$B$10,2,FALSE),0)*'FL Characterization'!L$2)</f>
        <v>50.507516230180514</v>
      </c>
      <c r="M2" s="2">
        <f>('[1]Pc, Winter, S1'!M2*Main!$B$5)+(_xlfn.IFNA(VLOOKUP($A2,'FL Ratio'!$A$3:$B$10,2,FALSE),0)*'FL Characterization'!M$2)</f>
        <v>50.767838719654115</v>
      </c>
      <c r="N2" s="2">
        <f>('[1]Pc, Winter, S1'!N2*Main!$B$5)+(_xlfn.IFNA(VLOOKUP($A2,'FL Ratio'!$A$3:$B$10,2,FALSE),0)*'FL Characterization'!N$2)</f>
        <v>50.726119132228632</v>
      </c>
      <c r="O2" s="2">
        <f>('[1]Pc, Winter, S1'!O2*Main!$B$5)+(_xlfn.IFNA(VLOOKUP($A2,'FL Ratio'!$A$3:$B$10,2,FALSE),0)*'FL Characterization'!O$2)</f>
        <v>49.897788776302399</v>
      </c>
      <c r="P2" s="2">
        <f>('[1]Pc, Winter, S1'!P2*Main!$B$5)+(_xlfn.IFNA(VLOOKUP($A2,'FL Ratio'!$A$3:$B$10,2,FALSE),0)*'FL Characterization'!P$2)</f>
        <v>47.054136089247308</v>
      </c>
      <c r="Q2" s="2">
        <f>('[1]Pc, Winter, S1'!Q2*Main!$B$5)+(_xlfn.IFNA(VLOOKUP($A2,'FL Ratio'!$A$3:$B$10,2,FALSE),0)*'FL Characterization'!Q$2)</f>
        <v>45.70601770625958</v>
      </c>
      <c r="R2" s="2">
        <f>('[1]Pc, Winter, S1'!R2*Main!$B$5)+(_xlfn.IFNA(VLOOKUP($A2,'FL Ratio'!$A$3:$B$10,2,FALSE),0)*'FL Characterization'!R$2)</f>
        <v>47.60049187797015</v>
      </c>
      <c r="S2" s="2">
        <f>('[1]Pc, Winter, S1'!S2*Main!$B$5)+(_xlfn.IFNA(VLOOKUP($A2,'FL Ratio'!$A$3:$B$10,2,FALSE),0)*'FL Characterization'!S$2)</f>
        <v>52.766039021566442</v>
      </c>
      <c r="T2" s="2">
        <f>('[1]Pc, Winter, S1'!T2*Main!$B$5)+(_xlfn.IFNA(VLOOKUP($A2,'FL Ratio'!$A$3:$B$10,2,FALSE),0)*'FL Characterization'!T$2)</f>
        <v>52.574762964645423</v>
      </c>
      <c r="U2" s="2">
        <f>('[1]Pc, Winter, S1'!U2*Main!$B$5)+(_xlfn.IFNA(VLOOKUP($A2,'FL Ratio'!$A$3:$B$10,2,FALSE),0)*'FL Characterization'!U$2)</f>
        <v>51.48627632269227</v>
      </c>
      <c r="V2" s="2">
        <f>('[1]Pc, Winter, S1'!V2*Main!$B$5)+(_xlfn.IFNA(VLOOKUP($A2,'FL Ratio'!$A$3:$B$10,2,FALSE),0)*'FL Characterization'!V$2)</f>
        <v>50.600845607062922</v>
      </c>
      <c r="W2" s="2">
        <f>('[1]Pc, Winter, S1'!W2*Main!$B$5)+(_xlfn.IFNA(VLOOKUP($A2,'FL Ratio'!$A$3:$B$10,2,FALSE),0)*'FL Characterization'!W$2)</f>
        <v>47.426602501397326</v>
      </c>
      <c r="X2" s="2">
        <f>('[1]Pc, Winter, S1'!X2*Main!$B$5)+(_xlfn.IFNA(VLOOKUP($A2,'FL Ratio'!$A$3:$B$10,2,FALSE),0)*'FL Characterization'!X$2)</f>
        <v>41.489453117671943</v>
      </c>
      <c r="Y2" s="2">
        <f>('[1]Pc, Winter, S1'!Y2*Main!$B$5)+(_xlfn.IFNA(VLOOKUP($A2,'FL Ratio'!$A$3:$B$10,2,FALSE),0)*'FL Characterization'!Y$2)</f>
        <v>37.641465578067567</v>
      </c>
    </row>
    <row r="3" spans="1:25" x14ac:dyDescent="0.3">
      <c r="A3">
        <v>2</v>
      </c>
      <c r="B3" s="2">
        <f>('[1]Pc, Winter, S1'!B3*Main!$B$5)+(_xlfn.IFNA(VLOOKUP($A3,'FL Ratio'!$A$3:$B$10,2,FALSE),0)*'FL Characterization'!B$2)</f>
        <v>35.63872338404019</v>
      </c>
      <c r="C3" s="2">
        <f>('[1]Pc, Winter, S1'!C3*Main!$B$5)+(_xlfn.IFNA(VLOOKUP($A3,'FL Ratio'!$A$3:$B$10,2,FALSE),0)*'FL Characterization'!C$2)</f>
        <v>33.370607283498735</v>
      </c>
      <c r="D3" s="2">
        <f>('[1]Pc, Winter, S1'!D3*Main!$B$5)+(_xlfn.IFNA(VLOOKUP($A3,'FL Ratio'!$A$3:$B$10,2,FALSE),0)*'FL Characterization'!D$2)</f>
        <v>30.174907917056057</v>
      </c>
      <c r="E3" s="2">
        <f>('[1]Pc, Winter, S1'!E3*Main!$B$5)+(_xlfn.IFNA(VLOOKUP($A3,'FL Ratio'!$A$3:$B$10,2,FALSE),0)*'FL Characterization'!E$2)</f>
        <v>32.167383047595735</v>
      </c>
      <c r="F3" s="2">
        <f>('[1]Pc, Winter, S1'!F3*Main!$B$5)+(_xlfn.IFNA(VLOOKUP($A3,'FL Ratio'!$A$3:$B$10,2,FALSE),0)*'FL Characterization'!F$2)</f>
        <v>31.677062030604709</v>
      </c>
      <c r="G3" s="2">
        <f>('[1]Pc, Winter, S1'!G3*Main!$B$5)+(_xlfn.IFNA(VLOOKUP($A3,'FL Ratio'!$A$3:$B$10,2,FALSE),0)*'FL Characterization'!G$2)</f>
        <v>32.684511978421732</v>
      </c>
      <c r="H3" s="2">
        <f>('[1]Pc, Winter, S1'!H3*Main!$B$5)+(_xlfn.IFNA(VLOOKUP($A3,'FL Ratio'!$A$3:$B$10,2,FALSE),0)*'FL Characterization'!H$2)</f>
        <v>48.248129104289866</v>
      </c>
      <c r="I3" s="2">
        <f>('[1]Pc, Winter, S1'!I3*Main!$B$5)+(_xlfn.IFNA(VLOOKUP($A3,'FL Ratio'!$A$3:$B$10,2,FALSE),0)*'FL Characterization'!I$2)</f>
        <v>52.030900044801747</v>
      </c>
      <c r="J3" s="2">
        <f>('[1]Pc, Winter, S1'!J3*Main!$B$5)+(_xlfn.IFNA(VLOOKUP($A3,'FL Ratio'!$A$3:$B$10,2,FALSE),0)*'FL Characterization'!J$2)</f>
        <v>56.975742940133479</v>
      </c>
      <c r="K3" s="2">
        <f>('[1]Pc, Winter, S1'!K3*Main!$B$5)+(_xlfn.IFNA(VLOOKUP($A3,'FL Ratio'!$A$3:$B$10,2,FALSE),0)*'FL Characterization'!K$2)</f>
        <v>57.132543658275239</v>
      </c>
      <c r="L3" s="2">
        <f>('[1]Pc, Winter, S1'!L3*Main!$B$5)+(_xlfn.IFNA(VLOOKUP($A3,'FL Ratio'!$A$3:$B$10,2,FALSE),0)*'FL Characterization'!L$2)</f>
        <v>53.824143206517498</v>
      </c>
      <c r="M3" s="2">
        <f>('[1]Pc, Winter, S1'!M3*Main!$B$5)+(_xlfn.IFNA(VLOOKUP($A3,'FL Ratio'!$A$3:$B$10,2,FALSE),0)*'FL Characterization'!M$2)</f>
        <v>58.926229238482563</v>
      </c>
      <c r="N3" s="2">
        <f>('[1]Pc, Winter, S1'!N3*Main!$B$5)+(_xlfn.IFNA(VLOOKUP($A3,'FL Ratio'!$A$3:$B$10,2,FALSE),0)*'FL Characterization'!N$2)</f>
        <v>55.765728001283847</v>
      </c>
      <c r="O3" s="2">
        <f>('[1]Pc, Winter, S1'!O3*Main!$B$5)+(_xlfn.IFNA(VLOOKUP($A3,'FL Ratio'!$A$3:$B$10,2,FALSE),0)*'FL Characterization'!O$2)</f>
        <v>52.633372631747719</v>
      </c>
      <c r="P3" s="2">
        <f>('[1]Pc, Winter, S1'!P3*Main!$B$5)+(_xlfn.IFNA(VLOOKUP($A3,'FL Ratio'!$A$3:$B$10,2,FALSE),0)*'FL Characterization'!P$2)</f>
        <v>51.12059470300732</v>
      </c>
      <c r="Q3" s="2">
        <f>('[1]Pc, Winter, S1'!Q3*Main!$B$5)+(_xlfn.IFNA(VLOOKUP($A3,'FL Ratio'!$A$3:$B$10,2,FALSE),0)*'FL Characterization'!Q$2)</f>
        <v>47.813181182848325</v>
      </c>
      <c r="R3" s="2">
        <f>('[1]Pc, Winter, S1'!R3*Main!$B$5)+(_xlfn.IFNA(VLOOKUP($A3,'FL Ratio'!$A$3:$B$10,2,FALSE),0)*'FL Characterization'!R$2)</f>
        <v>47.441105241848966</v>
      </c>
      <c r="S3" s="2">
        <f>('[1]Pc, Winter, S1'!S3*Main!$B$5)+(_xlfn.IFNA(VLOOKUP($A3,'FL Ratio'!$A$3:$B$10,2,FALSE),0)*'FL Characterization'!S$2)</f>
        <v>50.727035747593789</v>
      </c>
      <c r="T3" s="2">
        <f>('[1]Pc, Winter, S1'!T3*Main!$B$5)+(_xlfn.IFNA(VLOOKUP($A3,'FL Ratio'!$A$3:$B$10,2,FALSE),0)*'FL Characterization'!T$2)</f>
        <v>50.294747710857429</v>
      </c>
      <c r="U3" s="2">
        <f>('[1]Pc, Winter, S1'!U3*Main!$B$5)+(_xlfn.IFNA(VLOOKUP($A3,'FL Ratio'!$A$3:$B$10,2,FALSE),0)*'FL Characterization'!U$2)</f>
        <v>50.860616398285863</v>
      </c>
      <c r="V3" s="2">
        <f>('[1]Pc, Winter, S1'!V3*Main!$B$5)+(_xlfn.IFNA(VLOOKUP($A3,'FL Ratio'!$A$3:$B$10,2,FALSE),0)*'FL Characterization'!V$2)</f>
        <v>49.722798991893328</v>
      </c>
      <c r="W3" s="2">
        <f>('[1]Pc, Winter, S1'!W3*Main!$B$5)+(_xlfn.IFNA(VLOOKUP($A3,'FL Ratio'!$A$3:$B$10,2,FALSE),0)*'FL Characterization'!W$2)</f>
        <v>44.743939627232173</v>
      </c>
      <c r="X3" s="2">
        <f>('[1]Pc, Winter, S1'!X3*Main!$B$5)+(_xlfn.IFNA(VLOOKUP($A3,'FL Ratio'!$A$3:$B$10,2,FALSE),0)*'FL Characterization'!X$2)</f>
        <v>39.349747104975521</v>
      </c>
      <c r="Y3" s="2">
        <f>('[1]Pc, Winter, S1'!Y3*Main!$B$5)+(_xlfn.IFNA(VLOOKUP($A3,'FL Ratio'!$A$3:$B$10,2,FALSE),0)*'FL Characterization'!Y$2)</f>
        <v>38.517730965315451</v>
      </c>
    </row>
    <row r="4" spans="1:25" x14ac:dyDescent="0.3">
      <c r="A4">
        <v>3</v>
      </c>
      <c r="B4" s="2">
        <f>('[1]Pc, Winter, S1'!B4*Main!$B$5)+(_xlfn.IFNA(VLOOKUP($A4,'FL Ratio'!$A$3:$B$10,2,FALSE),0)*'FL Characterization'!B$2)</f>
        <v>50.69840035850951</v>
      </c>
      <c r="C4" s="2">
        <f>('[1]Pc, Winter, S1'!C4*Main!$B$5)+(_xlfn.IFNA(VLOOKUP($A4,'FL Ratio'!$A$3:$B$10,2,FALSE),0)*'FL Characterization'!C$2)</f>
        <v>44.981153512087651</v>
      </c>
      <c r="D4" s="2">
        <f>('[1]Pc, Winter, S1'!D4*Main!$B$5)+(_xlfn.IFNA(VLOOKUP($A4,'FL Ratio'!$A$3:$B$10,2,FALSE),0)*'FL Characterization'!D$2)</f>
        <v>42.232003755316057</v>
      </c>
      <c r="E4" s="2">
        <f>('[1]Pc, Winter, S1'!E4*Main!$B$5)+(_xlfn.IFNA(VLOOKUP($A4,'FL Ratio'!$A$3:$B$10,2,FALSE),0)*'FL Characterization'!E$2)</f>
        <v>41.639836804432946</v>
      </c>
      <c r="F4" s="2">
        <f>('[1]Pc, Winter, S1'!F4*Main!$B$5)+(_xlfn.IFNA(VLOOKUP($A4,'FL Ratio'!$A$3:$B$10,2,FALSE),0)*'FL Characterization'!F$2)</f>
        <v>43.099335208775386</v>
      </c>
      <c r="G4" s="2">
        <f>('[1]Pc, Winter, S1'!G4*Main!$B$5)+(_xlfn.IFNA(VLOOKUP($A4,'FL Ratio'!$A$3:$B$10,2,FALSE),0)*'FL Characterization'!G$2)</f>
        <v>46.130739518233504</v>
      </c>
      <c r="H4" s="2">
        <f>('[1]Pc, Winter, S1'!H4*Main!$B$5)+(_xlfn.IFNA(VLOOKUP($A4,'FL Ratio'!$A$3:$B$10,2,FALSE),0)*'FL Characterization'!H$2)</f>
        <v>55.688909355198156</v>
      </c>
      <c r="I4" s="2">
        <f>('[1]Pc, Winter, S1'!I4*Main!$B$5)+(_xlfn.IFNA(VLOOKUP($A4,'FL Ratio'!$A$3:$B$10,2,FALSE),0)*'FL Characterization'!I$2)</f>
        <v>60.543273970893054</v>
      </c>
      <c r="J4" s="2">
        <f>('[1]Pc, Winter, S1'!J4*Main!$B$5)+(_xlfn.IFNA(VLOOKUP($A4,'FL Ratio'!$A$3:$B$10,2,FALSE),0)*'FL Characterization'!J$2)</f>
        <v>64.023140649755376</v>
      </c>
      <c r="K4" s="2">
        <f>('[1]Pc, Winter, S1'!K4*Main!$B$5)+(_xlfn.IFNA(VLOOKUP($A4,'FL Ratio'!$A$3:$B$10,2,FALSE),0)*'FL Characterization'!K$2)</f>
        <v>66.318603809121996</v>
      </c>
      <c r="L4" s="2">
        <f>('[1]Pc, Winter, S1'!L4*Main!$B$5)+(_xlfn.IFNA(VLOOKUP($A4,'FL Ratio'!$A$3:$B$10,2,FALSE),0)*'FL Characterization'!L$2)</f>
        <v>66.755626490436526</v>
      </c>
      <c r="M4" s="2">
        <f>('[1]Pc, Winter, S1'!M4*Main!$B$5)+(_xlfn.IFNA(VLOOKUP($A4,'FL Ratio'!$A$3:$B$10,2,FALSE),0)*'FL Characterization'!M$2)</f>
        <v>66.121203383908025</v>
      </c>
      <c r="N4" s="2">
        <f>('[1]Pc, Winter, S1'!N4*Main!$B$5)+(_xlfn.IFNA(VLOOKUP($A4,'FL Ratio'!$A$3:$B$10,2,FALSE),0)*'FL Characterization'!N$2)</f>
        <v>65.924064124008908</v>
      </c>
      <c r="O4" s="2">
        <f>('[1]Pc, Winter, S1'!O4*Main!$B$5)+(_xlfn.IFNA(VLOOKUP($A4,'FL Ratio'!$A$3:$B$10,2,FALSE),0)*'FL Characterization'!O$2)</f>
        <v>64.973380883649881</v>
      </c>
      <c r="P4" s="2">
        <f>('[1]Pc, Winter, S1'!P4*Main!$B$5)+(_xlfn.IFNA(VLOOKUP($A4,'FL Ratio'!$A$3:$B$10,2,FALSE),0)*'FL Characterization'!P$2)</f>
        <v>62.991333372107007</v>
      </c>
      <c r="Q4" s="2">
        <f>('[1]Pc, Winter, S1'!Q4*Main!$B$5)+(_xlfn.IFNA(VLOOKUP($A4,'FL Ratio'!$A$3:$B$10,2,FALSE),0)*'FL Characterization'!Q$2)</f>
        <v>61.85219104071691</v>
      </c>
      <c r="R4" s="2">
        <f>('[1]Pc, Winter, S1'!R4*Main!$B$5)+(_xlfn.IFNA(VLOOKUP($A4,'FL Ratio'!$A$3:$B$10,2,FALSE),0)*'FL Characterization'!R$2)</f>
        <v>63.625582287122299</v>
      </c>
      <c r="S4" s="2">
        <f>('[1]Pc, Winter, S1'!S4*Main!$B$5)+(_xlfn.IFNA(VLOOKUP($A4,'FL Ratio'!$A$3:$B$10,2,FALSE),0)*'FL Characterization'!S$2)</f>
        <v>72.497939402342553</v>
      </c>
      <c r="T4" s="2">
        <f>('[1]Pc, Winter, S1'!T4*Main!$B$5)+(_xlfn.IFNA(VLOOKUP($A4,'FL Ratio'!$A$3:$B$10,2,FALSE),0)*'FL Characterization'!T$2)</f>
        <v>73.467472601709304</v>
      </c>
      <c r="U4" s="2">
        <f>('[1]Pc, Winter, S1'!U4*Main!$B$5)+(_xlfn.IFNA(VLOOKUP($A4,'FL Ratio'!$A$3:$B$10,2,FALSE),0)*'FL Characterization'!U$2)</f>
        <v>73.717859542219259</v>
      </c>
      <c r="V4" s="2">
        <f>('[1]Pc, Winter, S1'!V4*Main!$B$5)+(_xlfn.IFNA(VLOOKUP($A4,'FL Ratio'!$A$3:$B$10,2,FALSE),0)*'FL Characterization'!V$2)</f>
        <v>71.762416820662011</v>
      </c>
      <c r="W4" s="2">
        <f>('[1]Pc, Winter, S1'!W4*Main!$B$5)+(_xlfn.IFNA(VLOOKUP($A4,'FL Ratio'!$A$3:$B$10,2,FALSE),0)*'FL Characterization'!W$2)</f>
        <v>68.261617856391794</v>
      </c>
      <c r="X4" s="2">
        <f>('[1]Pc, Winter, S1'!X4*Main!$B$5)+(_xlfn.IFNA(VLOOKUP($A4,'FL Ratio'!$A$3:$B$10,2,FALSE),0)*'FL Characterization'!X$2)</f>
        <v>63.724447790651965</v>
      </c>
      <c r="Y4" s="2">
        <f>('[1]Pc, Winter, S1'!Y4*Main!$B$5)+(_xlfn.IFNA(VLOOKUP($A4,'FL Ratio'!$A$3:$B$10,2,FALSE),0)*'FL Characterization'!Y$2)</f>
        <v>56.921201469761108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6AE8B-6573-4D19-B08B-FAF92BAFBCC8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Ratio'!$A$3:$B$10,2,FALSE),0)*'FL Characterization'!B$2)</f>
        <v>34.590989327723904</v>
      </c>
      <c r="C2" s="2">
        <f>('[1]Pc, Winter, S2'!C2*Main!$B$5)+(_xlfn.IFNA(VLOOKUP($A2,'FL Ratio'!$A$3:$B$10,2,FALSE),0)*'FL Characterization'!C$2)</f>
        <v>32.264686282181536</v>
      </c>
      <c r="D2" s="2">
        <f>('[1]Pc, Winter, S2'!D2*Main!$B$5)+(_xlfn.IFNA(VLOOKUP($A2,'FL Ratio'!$A$3:$B$10,2,FALSE),0)*'FL Characterization'!D$2)</f>
        <v>30.571781790695013</v>
      </c>
      <c r="E2" s="2">
        <f>('[1]Pc, Winter, S2'!E2*Main!$B$5)+(_xlfn.IFNA(VLOOKUP($A2,'FL Ratio'!$A$3:$B$10,2,FALSE),0)*'FL Characterization'!E$2)</f>
        <v>30.355469420724226</v>
      </c>
      <c r="F2" s="2">
        <f>('[1]Pc, Winter, S2'!F2*Main!$B$5)+(_xlfn.IFNA(VLOOKUP($A2,'FL Ratio'!$A$3:$B$10,2,FALSE),0)*'FL Characterization'!F$2)</f>
        <v>30.721625301921765</v>
      </c>
      <c r="G2" s="2">
        <f>('[1]Pc, Winter, S2'!G2*Main!$B$5)+(_xlfn.IFNA(VLOOKUP($A2,'FL Ratio'!$A$3:$B$10,2,FALSE),0)*'FL Characterization'!G$2)</f>
        <v>33.769699462960531</v>
      </c>
      <c r="H2" s="2">
        <f>('[1]Pc, Winter, S2'!H2*Main!$B$5)+(_xlfn.IFNA(VLOOKUP($A2,'FL Ratio'!$A$3:$B$10,2,FALSE),0)*'FL Characterization'!H$2)</f>
        <v>40.29548120146751</v>
      </c>
      <c r="I2" s="2">
        <f>('[1]Pc, Winter, S2'!I2*Main!$B$5)+(_xlfn.IFNA(VLOOKUP($A2,'FL Ratio'!$A$3:$B$10,2,FALSE),0)*'FL Characterization'!I$2)</f>
        <v>48.503474166111694</v>
      </c>
      <c r="J2" s="2">
        <f>('[1]Pc, Winter, S2'!J2*Main!$B$5)+(_xlfn.IFNA(VLOOKUP($A2,'FL Ratio'!$A$3:$B$10,2,FALSE),0)*'FL Characterization'!J$2)</f>
        <v>52.807103497985402</v>
      </c>
      <c r="K2" s="2">
        <f>('[1]Pc, Winter, S2'!K2*Main!$B$5)+(_xlfn.IFNA(VLOOKUP($A2,'FL Ratio'!$A$3:$B$10,2,FALSE),0)*'FL Characterization'!K$2)</f>
        <v>53.465599086522978</v>
      </c>
      <c r="L2" s="2">
        <f>('[1]Pc, Winter, S2'!L2*Main!$B$5)+(_xlfn.IFNA(VLOOKUP($A2,'FL Ratio'!$A$3:$B$10,2,FALSE),0)*'FL Characterization'!L$2)</f>
        <v>52.022741717085935</v>
      </c>
      <c r="M2" s="2">
        <f>('[1]Pc, Winter, S2'!M2*Main!$B$5)+(_xlfn.IFNA(VLOOKUP($A2,'FL Ratio'!$A$3:$B$10,2,FALSE),0)*'FL Characterization'!M$2)</f>
        <v>52.290873881243748</v>
      </c>
      <c r="N2" s="2">
        <f>('[1]Pc, Winter, S2'!N2*Main!$B$5)+(_xlfn.IFNA(VLOOKUP($A2,'FL Ratio'!$A$3:$B$10,2,FALSE),0)*'FL Characterization'!N$2)</f>
        <v>52.247902706195497</v>
      </c>
      <c r="O2" s="2">
        <f>('[1]Pc, Winter, S2'!O2*Main!$B$5)+(_xlfn.IFNA(VLOOKUP($A2,'FL Ratio'!$A$3:$B$10,2,FALSE),0)*'FL Characterization'!O$2)</f>
        <v>51.394722439591476</v>
      </c>
      <c r="P2" s="2">
        <f>('[1]Pc, Winter, S2'!P2*Main!$B$5)+(_xlfn.IFNA(VLOOKUP($A2,'FL Ratio'!$A$3:$B$10,2,FALSE),0)*'FL Characterization'!P$2)</f>
        <v>48.465760171924721</v>
      </c>
      <c r="Q2" s="2">
        <f>('[1]Pc, Winter, S2'!Q2*Main!$B$5)+(_xlfn.IFNA(VLOOKUP($A2,'FL Ratio'!$A$3:$B$10,2,FALSE),0)*'FL Characterization'!Q$2)</f>
        <v>47.077198237447369</v>
      </c>
      <c r="R2" s="2">
        <f>('[1]Pc, Winter, S2'!R2*Main!$B$5)+(_xlfn.IFNA(VLOOKUP($A2,'FL Ratio'!$A$3:$B$10,2,FALSE),0)*'FL Characterization'!R$2)</f>
        <v>49.028506634309252</v>
      </c>
      <c r="S2" s="2">
        <f>('[1]Pc, Winter, S2'!S2*Main!$B$5)+(_xlfn.IFNA(VLOOKUP($A2,'FL Ratio'!$A$3:$B$10,2,FALSE),0)*'FL Characterization'!S$2)</f>
        <v>54.349020192213437</v>
      </c>
      <c r="T2" s="2">
        <f>('[1]Pc, Winter, S2'!T2*Main!$B$5)+(_xlfn.IFNA(VLOOKUP($A2,'FL Ratio'!$A$3:$B$10,2,FALSE),0)*'FL Characterization'!T$2)</f>
        <v>54.152005853584789</v>
      </c>
      <c r="U2" s="2">
        <f>('[1]Pc, Winter, S2'!U2*Main!$B$5)+(_xlfn.IFNA(VLOOKUP($A2,'FL Ratio'!$A$3:$B$10,2,FALSE),0)*'FL Characterization'!U$2)</f>
        <v>53.030864612373037</v>
      </c>
      <c r="V2" s="2">
        <f>('[1]Pc, Winter, S2'!V2*Main!$B$5)+(_xlfn.IFNA(VLOOKUP($A2,'FL Ratio'!$A$3:$B$10,2,FALSE),0)*'FL Characterization'!V$2)</f>
        <v>52.11887097527481</v>
      </c>
      <c r="W2" s="2">
        <f>('[1]Pc, Winter, S2'!W2*Main!$B$5)+(_xlfn.IFNA(VLOOKUP($A2,'FL Ratio'!$A$3:$B$10,2,FALSE),0)*'FL Characterization'!W$2)</f>
        <v>48.849400576439251</v>
      </c>
      <c r="X2" s="2">
        <f>('[1]Pc, Winter, S2'!X2*Main!$B$5)+(_xlfn.IFNA(VLOOKUP($A2,'FL Ratio'!$A$3:$B$10,2,FALSE),0)*'FL Characterization'!X$2)</f>
        <v>42.734136711202105</v>
      </c>
      <c r="Y2" s="2">
        <f>('[1]Pc, Winter, S2'!Y2*Main!$B$5)+(_xlfn.IFNA(VLOOKUP($A2,'FL Ratio'!$A$3:$B$10,2,FALSE),0)*'FL Characterization'!Y$2)</f>
        <v>38.770709545409602</v>
      </c>
    </row>
    <row r="3" spans="1:25" x14ac:dyDescent="0.3">
      <c r="A3">
        <v>2</v>
      </c>
      <c r="B3" s="2">
        <f>('[1]Pc, Winter, S2'!B3*Main!$B$5)+(_xlfn.IFNA(VLOOKUP($A3,'FL Ratio'!$A$3:$B$10,2,FALSE),0)*'FL Characterization'!B$2)</f>
        <v>36.634900851227243</v>
      </c>
      <c r="C3" s="2">
        <f>('[1]Pc, Winter, S2'!C3*Main!$B$5)+(_xlfn.IFNA(VLOOKUP($A3,'FL Ratio'!$A$3:$B$10,2,FALSE),0)*'FL Characterization'!C$2)</f>
        <v>34.296306678451664</v>
      </c>
      <c r="D3" s="2">
        <f>('[1]Pc, Winter, S2'!D3*Main!$B$5)+(_xlfn.IFNA(VLOOKUP($A3,'FL Ratio'!$A$3:$B$10,2,FALSE),0)*'FL Characterization'!D$2)</f>
        <v>31.012622024872648</v>
      </c>
      <c r="E3" s="2">
        <f>('[1]Pc, Winter, S2'!E3*Main!$B$5)+(_xlfn.IFNA(VLOOKUP($A3,'FL Ratio'!$A$3:$B$10,2,FALSE),0)*'FL Characterization'!E$2)</f>
        <v>33.06839265666072</v>
      </c>
      <c r="F3" s="2">
        <f>('[1]Pc, Winter, S2'!F3*Main!$B$5)+(_xlfn.IFNA(VLOOKUP($A3,'FL Ratio'!$A$3:$B$10,2,FALSE),0)*'FL Characterization'!F$2)</f>
        <v>32.574929276956155</v>
      </c>
      <c r="G3" s="2">
        <f>('[1]Pc, Winter, S2'!G3*Main!$B$5)+(_xlfn.IFNA(VLOOKUP($A3,'FL Ratio'!$A$3:$B$10,2,FALSE),0)*'FL Characterization'!G$2)</f>
        <v>33.620535921244496</v>
      </c>
      <c r="H3" s="2">
        <f>('[1]Pc, Winter, S2'!H3*Main!$B$5)+(_xlfn.IFNA(VLOOKUP($A3,'FL Ratio'!$A$3:$B$10,2,FALSE),0)*'FL Characterization'!H$2)</f>
        <v>49.641139125320187</v>
      </c>
      <c r="I3" s="2">
        <f>('[1]Pc, Winter, S2'!I3*Main!$B$5)+(_xlfn.IFNA(VLOOKUP($A3,'FL Ratio'!$A$3:$B$10,2,FALSE),0)*'FL Characterization'!I$2)</f>
        <v>53.582373714353423</v>
      </c>
      <c r="J3" s="2">
        <f>('[1]Pc, Winter, S2'!J3*Main!$B$5)+(_xlfn.IFNA(VLOOKUP($A3,'FL Ratio'!$A$3:$B$10,2,FALSE),0)*'FL Characterization'!J$2)</f>
        <v>58.676701996861794</v>
      </c>
      <c r="K3" s="2">
        <f>('[1]Pc, Winter, S2'!K3*Main!$B$5)+(_xlfn.IFNA(VLOOKUP($A3,'FL Ratio'!$A$3:$B$10,2,FALSE),0)*'FL Characterization'!K$2)</f>
        <v>58.834400464136429</v>
      </c>
      <c r="L3" s="2">
        <f>('[1]Pc, Winter, S2'!L3*Main!$B$5)+(_xlfn.IFNA(VLOOKUP($A3,'FL Ratio'!$A$3:$B$10,2,FALSE),0)*'FL Characterization'!L$2)</f>
        <v>55.431729999688883</v>
      </c>
      <c r="M3" s="2">
        <f>('[1]Pc, Winter, S2'!M3*Main!$B$5)+(_xlfn.IFNA(VLOOKUP($A3,'FL Ratio'!$A$3:$B$10,2,FALSE),0)*'FL Characterization'!M$2)</f>
        <v>60.685097205868111</v>
      </c>
      <c r="N3" s="2">
        <f>('[1]Pc, Winter, S2'!N3*Main!$B$5)+(_xlfn.IFNA(VLOOKUP($A3,'FL Ratio'!$A$3:$B$10,2,FALSE),0)*'FL Characterization'!N$2)</f>
        <v>57.424490153521397</v>
      </c>
      <c r="O3" s="2">
        <f>('[1]Pc, Winter, S2'!O3*Main!$B$5)+(_xlfn.IFNA(VLOOKUP($A3,'FL Ratio'!$A$3:$B$10,2,FALSE),0)*'FL Characterization'!O$2)</f>
        <v>54.18619306957418</v>
      </c>
      <c r="P3" s="2">
        <f>('[1]Pc, Winter, S2'!P3*Main!$B$5)+(_xlfn.IFNA(VLOOKUP($A3,'FL Ratio'!$A$3:$B$10,2,FALSE),0)*'FL Characterization'!P$2)</f>
        <v>52.6262800863392</v>
      </c>
      <c r="Q3" s="2">
        <f>('[1]Pc, Winter, S2'!Q3*Main!$B$5)+(_xlfn.IFNA(VLOOKUP($A3,'FL Ratio'!$A$3:$B$10,2,FALSE),0)*'FL Characterization'!Q$2)</f>
        <v>49.220107326329071</v>
      </c>
      <c r="R3" s="2">
        <f>('[1]Pc, Winter, S2'!R3*Main!$B$5)+(_xlfn.IFNA(VLOOKUP($A3,'FL Ratio'!$A$3:$B$10,2,FALSE),0)*'FL Characterization'!R$2)</f>
        <v>48.848929230761982</v>
      </c>
      <c r="S3" s="2">
        <f>('[1]Pc, Winter, S2'!S3*Main!$B$5)+(_xlfn.IFNA(VLOOKUP($A3,'FL Ratio'!$A$3:$B$10,2,FALSE),0)*'FL Characterization'!S$2)</f>
        <v>52.217458433178365</v>
      </c>
      <c r="T3" s="2">
        <f>('[1]Pc, Winter, S2'!T3*Main!$B$5)+(_xlfn.IFNA(VLOOKUP($A3,'FL Ratio'!$A$3:$B$10,2,FALSE),0)*'FL Characterization'!T$2)</f>
        <v>51.785170396442005</v>
      </c>
      <c r="U3" s="2">
        <f>('[1]Pc, Winter, S2'!U3*Main!$B$5)+(_xlfn.IFNA(VLOOKUP($A3,'FL Ratio'!$A$3:$B$10,2,FALSE),0)*'FL Characterization'!U$2)</f>
        <v>52.373484063199797</v>
      </c>
      <c r="V3" s="2">
        <f>('[1]Pc, Winter, S2'!V3*Main!$B$5)+(_xlfn.IFNA(VLOOKUP($A3,'FL Ratio'!$A$3:$B$10,2,FALSE),0)*'FL Characterization'!V$2)</f>
        <v>51.194816231187616</v>
      </c>
      <c r="W3" s="2">
        <f>('[1]Pc, Winter, S2'!W3*Main!$B$5)+(_xlfn.IFNA(VLOOKUP($A3,'FL Ratio'!$A$3:$B$10,2,FALSE),0)*'FL Characterization'!W$2)</f>
        <v>46.074102684027167</v>
      </c>
      <c r="X3" s="2">
        <f>('[1]Pc, Winter, S2'!X3*Main!$B$5)+(_xlfn.IFNA(VLOOKUP($A3,'FL Ratio'!$A$3:$B$10,2,FALSE),0)*'FL Characterization'!X$2)</f>
        <v>40.474760574069464</v>
      </c>
      <c r="Y3" s="2">
        <f>('[1]Pc, Winter, S2'!Y3*Main!$B$5)+(_xlfn.IFNA(VLOOKUP($A3,'FL Ratio'!$A$3:$B$10,2,FALSE),0)*'FL Characterization'!Y$2)</f>
        <v>39.606382947052914</v>
      </c>
    </row>
    <row r="4" spans="1:25" x14ac:dyDescent="0.3">
      <c r="A4">
        <v>3</v>
      </c>
      <c r="B4" s="2">
        <f>('[1]Pc, Winter, S2'!B4*Main!$B$5)+(_xlfn.IFNA(VLOOKUP($A4,'FL Ratio'!$A$3:$B$10,2,FALSE),0)*'FL Characterization'!B$2)</f>
        <v>52.14636813493064</v>
      </c>
      <c r="C4" s="2">
        <f>('[1]Pc, Winter, S2'!C4*Main!$B$5)+(_xlfn.IFNA(VLOOKUP($A4,'FL Ratio'!$A$3:$B$10,2,FALSE),0)*'FL Characterization'!C$2)</f>
        <v>46.255169293898248</v>
      </c>
      <c r="D4" s="2">
        <f>('[1]Pc, Winter, S2'!D4*Main!$B$5)+(_xlfn.IFNA(VLOOKUP($A4,'FL Ratio'!$A$3:$B$10,2,FALSE),0)*'FL Characterization'!D$2)</f>
        <v>43.43143073828044</v>
      </c>
      <c r="E4" s="2">
        <f>('[1]Pc, Winter, S2'!E4*Main!$B$5)+(_xlfn.IFNA(VLOOKUP($A4,'FL Ratio'!$A$3:$B$10,2,FALSE),0)*'FL Characterization'!E$2)</f>
        <v>42.825020026203049</v>
      </c>
      <c r="F4" s="2">
        <f>('[1]Pc, Winter, S2'!F4*Main!$B$5)+(_xlfn.IFNA(VLOOKUP($A4,'FL Ratio'!$A$3:$B$10,2,FALSE),0)*'FL Characterization'!F$2)</f>
        <v>44.339870650471951</v>
      </c>
      <c r="G4" s="2">
        <f>('[1]Pc, Winter, S2'!G4*Main!$B$5)+(_xlfn.IFNA(VLOOKUP($A4,'FL Ratio'!$A$3:$B$10,2,FALSE),0)*'FL Characterization'!G$2)</f>
        <v>47.470150287250625</v>
      </c>
      <c r="H4" s="2">
        <f>('[1]Pc, Winter, S2'!H4*Main!$B$5)+(_xlfn.IFNA(VLOOKUP($A4,'FL Ratio'!$A$3:$B$10,2,FALSE),0)*'FL Characterization'!H$2)</f>
        <v>57.305142783755713</v>
      </c>
      <c r="I4" s="2">
        <f>('[1]Pc, Winter, S2'!I4*Main!$B$5)+(_xlfn.IFNA(VLOOKUP($A4,'FL Ratio'!$A$3:$B$10,2,FALSE),0)*'FL Characterization'!I$2)</f>
        <v>62.350118858227482</v>
      </c>
      <c r="J4" s="2">
        <f>('[1]Pc, Winter, S2'!J4*Main!$B$5)+(_xlfn.IFNA(VLOOKUP($A4,'FL Ratio'!$A$3:$B$10,2,FALSE),0)*'FL Characterization'!J$2)</f>
        <v>65.935521637772354</v>
      </c>
      <c r="K4" s="2">
        <f>('[1]Pc, Winter, S2'!K4*Main!$B$5)+(_xlfn.IFNA(VLOOKUP($A4,'FL Ratio'!$A$3:$B$10,2,FALSE),0)*'FL Characterization'!K$2)</f>
        <v>68.296042419508595</v>
      </c>
      <c r="L4" s="2">
        <f>('[1]Pc, Winter, S2'!L4*Main!$B$5)+(_xlfn.IFNA(VLOOKUP($A4,'FL Ratio'!$A$3:$B$10,2,FALSE),0)*'FL Characterization'!L$2)</f>
        <v>68.751157782125489</v>
      </c>
      <c r="M4" s="2">
        <f>('[1]Pc, Winter, S2'!M4*Main!$B$5)+(_xlfn.IFNA(VLOOKUP($A4,'FL Ratio'!$A$3:$B$10,2,FALSE),0)*'FL Characterization'!M$2)</f>
        <v>68.095920575656336</v>
      </c>
      <c r="N4" s="2">
        <f>('[1]Pc, Winter, S2'!N4*Main!$B$5)+(_xlfn.IFNA(VLOOKUP($A4,'FL Ratio'!$A$3:$B$10,2,FALSE),0)*'FL Characterization'!N$2)</f>
        <v>67.887576359928204</v>
      </c>
      <c r="O4" s="2">
        <f>('[1]Pc, Winter, S2'!O4*Main!$B$5)+(_xlfn.IFNA(VLOOKUP($A4,'FL Ratio'!$A$3:$B$10,2,FALSE),0)*'FL Characterization'!O$2)</f>
        <v>66.896401569033415</v>
      </c>
      <c r="P4" s="2">
        <f>('[1]Pc, Winter, S2'!P4*Main!$B$5)+(_xlfn.IFNA(VLOOKUP($A4,'FL Ratio'!$A$3:$B$10,2,FALSE),0)*'FL Characterization'!P$2)</f>
        <v>64.853140915511858</v>
      </c>
      <c r="Q4" s="2">
        <f>('[1]Pc, Winter, S2'!Q4*Main!$B$5)+(_xlfn.IFNA(VLOOKUP($A4,'FL Ratio'!$A$3:$B$10,2,FALSE),0)*'FL Characterization'!Q$2)</f>
        <v>63.680287479933718</v>
      </c>
      <c r="R4" s="2">
        <f>('[1]Pc, Winter, S2'!R4*Main!$B$5)+(_xlfn.IFNA(VLOOKUP($A4,'FL Ratio'!$A$3:$B$10,2,FALSE),0)*'FL Characterization'!R$2)</f>
        <v>65.518940587393502</v>
      </c>
      <c r="S4" s="2">
        <f>('[1]Pc, Winter, S2'!S4*Main!$B$5)+(_xlfn.IFNA(VLOOKUP($A4,'FL Ratio'!$A$3:$B$10,2,FALSE),0)*'FL Characterization'!S$2)</f>
        <v>74.641489197569584</v>
      </c>
      <c r="T4" s="2">
        <f>('[1]Pc, Winter, S2'!T4*Main!$B$5)+(_xlfn.IFNA(VLOOKUP($A4,'FL Ratio'!$A$3:$B$10,2,FALSE),0)*'FL Characterization'!T$2)</f>
        <v>75.653077034019432</v>
      </c>
      <c r="U4" s="2">
        <f>('[1]Pc, Winter, S2'!U4*Main!$B$5)+(_xlfn.IFNA(VLOOKUP($A4,'FL Ratio'!$A$3:$B$10,2,FALSE),0)*'FL Characterization'!U$2)</f>
        <v>75.916444501451195</v>
      </c>
      <c r="V4" s="2">
        <f>('[1]Pc, Winter, S2'!V4*Main!$B$5)+(_xlfn.IFNA(VLOOKUP($A4,'FL Ratio'!$A$3:$B$10,2,FALSE),0)*'FL Characterization'!V$2)</f>
        <v>73.895622594819372</v>
      </c>
      <c r="W4" s="2">
        <f>('[1]Pc, Winter, S2'!W4*Main!$B$5)+(_xlfn.IFNA(VLOOKUP($A4,'FL Ratio'!$A$3:$B$10,2,FALSE),0)*'FL Characterization'!W$2)</f>
        <v>70.297311260061591</v>
      </c>
      <c r="X4" s="2">
        <f>('[1]Pc, Winter, S2'!X4*Main!$B$5)+(_xlfn.IFNA(VLOOKUP($A4,'FL Ratio'!$A$3:$B$10,2,FALSE),0)*'FL Characterization'!X$2)</f>
        <v>65.580702280316203</v>
      </c>
      <c r="Y4" s="2">
        <f>('[1]Pc, Winter, S2'!Y4*Main!$B$5)+(_xlfn.IFNA(VLOOKUP($A4,'FL Ratio'!$A$3:$B$10,2,FALSE),0)*'FL Characterization'!Y$2)</f>
        <v>58.561957566631946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E2EB3-24DE-408A-A0EC-808358D9BB6E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Ratio'!$A$3:$B$10,2,FALSE),0)*'FL Characterization'!B$2)</f>
        <v>34.590989327723904</v>
      </c>
      <c r="C2" s="2">
        <f>('[1]Pc, Winter, S2'!C2*Main!$B$5)+(_xlfn.IFNA(VLOOKUP($A2,'FL Ratio'!$A$3:$B$10,2,FALSE),0)*'FL Characterization'!C$2)</f>
        <v>32.264686282181536</v>
      </c>
      <c r="D2" s="2">
        <f>('[1]Pc, Winter, S2'!D2*Main!$B$5)+(_xlfn.IFNA(VLOOKUP($A2,'FL Ratio'!$A$3:$B$10,2,FALSE),0)*'FL Characterization'!D$2)</f>
        <v>30.571781790695013</v>
      </c>
      <c r="E2" s="2">
        <f>('[1]Pc, Winter, S2'!E2*Main!$B$5)+(_xlfn.IFNA(VLOOKUP($A2,'FL Ratio'!$A$3:$B$10,2,FALSE),0)*'FL Characterization'!E$2)</f>
        <v>30.355469420724226</v>
      </c>
      <c r="F2" s="2">
        <f>('[1]Pc, Winter, S2'!F2*Main!$B$5)+(_xlfn.IFNA(VLOOKUP($A2,'FL Ratio'!$A$3:$B$10,2,FALSE),0)*'FL Characterization'!F$2)</f>
        <v>30.721625301921765</v>
      </c>
      <c r="G2" s="2">
        <f>('[1]Pc, Winter, S2'!G2*Main!$B$5)+(_xlfn.IFNA(VLOOKUP($A2,'FL Ratio'!$A$3:$B$10,2,FALSE),0)*'FL Characterization'!G$2)</f>
        <v>33.769699462960531</v>
      </c>
      <c r="H2" s="2">
        <f>('[1]Pc, Winter, S2'!H2*Main!$B$5)+(_xlfn.IFNA(VLOOKUP($A2,'FL Ratio'!$A$3:$B$10,2,FALSE),0)*'FL Characterization'!H$2)</f>
        <v>40.29548120146751</v>
      </c>
      <c r="I2" s="2">
        <f>('[1]Pc, Winter, S2'!I2*Main!$B$5)+(_xlfn.IFNA(VLOOKUP($A2,'FL Ratio'!$A$3:$B$10,2,FALSE),0)*'FL Characterization'!I$2)</f>
        <v>48.503474166111694</v>
      </c>
      <c r="J2" s="2">
        <f>('[1]Pc, Winter, S2'!J2*Main!$B$5)+(_xlfn.IFNA(VLOOKUP($A2,'FL Ratio'!$A$3:$B$10,2,FALSE),0)*'FL Characterization'!J$2)</f>
        <v>52.807103497985402</v>
      </c>
      <c r="K2" s="2">
        <f>('[1]Pc, Winter, S2'!K2*Main!$B$5)+(_xlfn.IFNA(VLOOKUP($A2,'FL Ratio'!$A$3:$B$10,2,FALSE),0)*'FL Characterization'!K$2)</f>
        <v>53.465599086522978</v>
      </c>
      <c r="L2" s="2">
        <f>('[1]Pc, Winter, S2'!L2*Main!$B$5)+(_xlfn.IFNA(VLOOKUP($A2,'FL Ratio'!$A$3:$B$10,2,FALSE),0)*'FL Characterization'!L$2)</f>
        <v>52.022741717085935</v>
      </c>
      <c r="M2" s="2">
        <f>('[1]Pc, Winter, S2'!M2*Main!$B$5)+(_xlfn.IFNA(VLOOKUP($A2,'FL Ratio'!$A$3:$B$10,2,FALSE),0)*'FL Characterization'!M$2)</f>
        <v>52.290873881243748</v>
      </c>
      <c r="N2" s="2">
        <f>('[1]Pc, Winter, S2'!N2*Main!$B$5)+(_xlfn.IFNA(VLOOKUP($A2,'FL Ratio'!$A$3:$B$10,2,FALSE),0)*'FL Characterization'!N$2)</f>
        <v>52.247902706195497</v>
      </c>
      <c r="O2" s="2">
        <f>('[1]Pc, Winter, S2'!O2*Main!$B$5)+(_xlfn.IFNA(VLOOKUP($A2,'FL Ratio'!$A$3:$B$10,2,FALSE),0)*'FL Characterization'!O$2)</f>
        <v>51.394722439591476</v>
      </c>
      <c r="P2" s="2">
        <f>('[1]Pc, Winter, S2'!P2*Main!$B$5)+(_xlfn.IFNA(VLOOKUP($A2,'FL Ratio'!$A$3:$B$10,2,FALSE),0)*'FL Characterization'!P$2)</f>
        <v>48.465760171924721</v>
      </c>
      <c r="Q2" s="2">
        <f>('[1]Pc, Winter, S2'!Q2*Main!$B$5)+(_xlfn.IFNA(VLOOKUP($A2,'FL Ratio'!$A$3:$B$10,2,FALSE),0)*'FL Characterization'!Q$2)</f>
        <v>47.077198237447369</v>
      </c>
      <c r="R2" s="2">
        <f>('[1]Pc, Winter, S2'!R2*Main!$B$5)+(_xlfn.IFNA(VLOOKUP($A2,'FL Ratio'!$A$3:$B$10,2,FALSE),0)*'FL Characterization'!R$2)</f>
        <v>49.028506634309252</v>
      </c>
      <c r="S2" s="2">
        <f>('[1]Pc, Winter, S2'!S2*Main!$B$5)+(_xlfn.IFNA(VLOOKUP($A2,'FL Ratio'!$A$3:$B$10,2,FALSE),0)*'FL Characterization'!S$2)</f>
        <v>54.349020192213437</v>
      </c>
      <c r="T2" s="2">
        <f>('[1]Pc, Winter, S2'!T2*Main!$B$5)+(_xlfn.IFNA(VLOOKUP($A2,'FL Ratio'!$A$3:$B$10,2,FALSE),0)*'FL Characterization'!T$2)</f>
        <v>54.152005853584789</v>
      </c>
      <c r="U2" s="2">
        <f>('[1]Pc, Winter, S2'!U2*Main!$B$5)+(_xlfn.IFNA(VLOOKUP($A2,'FL Ratio'!$A$3:$B$10,2,FALSE),0)*'FL Characterization'!U$2)</f>
        <v>53.030864612373037</v>
      </c>
      <c r="V2" s="2">
        <f>('[1]Pc, Winter, S2'!V2*Main!$B$5)+(_xlfn.IFNA(VLOOKUP($A2,'FL Ratio'!$A$3:$B$10,2,FALSE),0)*'FL Characterization'!V$2)</f>
        <v>52.11887097527481</v>
      </c>
      <c r="W2" s="2">
        <f>('[1]Pc, Winter, S2'!W2*Main!$B$5)+(_xlfn.IFNA(VLOOKUP($A2,'FL Ratio'!$A$3:$B$10,2,FALSE),0)*'FL Characterization'!W$2)</f>
        <v>48.849400576439251</v>
      </c>
      <c r="X2" s="2">
        <f>('[1]Pc, Winter, S2'!X2*Main!$B$5)+(_xlfn.IFNA(VLOOKUP($A2,'FL Ratio'!$A$3:$B$10,2,FALSE),0)*'FL Characterization'!X$2)</f>
        <v>42.734136711202105</v>
      </c>
      <c r="Y2" s="2">
        <f>('[1]Pc, Winter, S2'!Y2*Main!$B$5)+(_xlfn.IFNA(VLOOKUP($A2,'FL Ratio'!$A$3:$B$10,2,FALSE),0)*'FL Characterization'!Y$2)</f>
        <v>38.770709545409602</v>
      </c>
    </row>
    <row r="3" spans="1:25" x14ac:dyDescent="0.3">
      <c r="A3">
        <v>2</v>
      </c>
      <c r="B3" s="2">
        <f>('[1]Pc, Winter, S2'!B3*Main!$B$5)+(_xlfn.IFNA(VLOOKUP($A3,'FL Ratio'!$A$3:$B$10,2,FALSE),0)*'FL Characterization'!B$2)</f>
        <v>36.634900851227243</v>
      </c>
      <c r="C3" s="2">
        <f>('[1]Pc, Winter, S2'!C3*Main!$B$5)+(_xlfn.IFNA(VLOOKUP($A3,'FL Ratio'!$A$3:$B$10,2,FALSE),0)*'FL Characterization'!C$2)</f>
        <v>34.296306678451664</v>
      </c>
      <c r="D3" s="2">
        <f>('[1]Pc, Winter, S2'!D3*Main!$B$5)+(_xlfn.IFNA(VLOOKUP($A3,'FL Ratio'!$A$3:$B$10,2,FALSE),0)*'FL Characterization'!D$2)</f>
        <v>31.012622024872648</v>
      </c>
      <c r="E3" s="2">
        <f>('[1]Pc, Winter, S2'!E3*Main!$B$5)+(_xlfn.IFNA(VLOOKUP($A3,'FL Ratio'!$A$3:$B$10,2,FALSE),0)*'FL Characterization'!E$2)</f>
        <v>33.06839265666072</v>
      </c>
      <c r="F3" s="2">
        <f>('[1]Pc, Winter, S2'!F3*Main!$B$5)+(_xlfn.IFNA(VLOOKUP($A3,'FL Ratio'!$A$3:$B$10,2,FALSE),0)*'FL Characterization'!F$2)</f>
        <v>32.574929276956155</v>
      </c>
      <c r="G3" s="2">
        <f>('[1]Pc, Winter, S2'!G3*Main!$B$5)+(_xlfn.IFNA(VLOOKUP($A3,'FL Ratio'!$A$3:$B$10,2,FALSE),0)*'FL Characterization'!G$2)</f>
        <v>33.620535921244496</v>
      </c>
      <c r="H3" s="2">
        <f>('[1]Pc, Winter, S2'!H3*Main!$B$5)+(_xlfn.IFNA(VLOOKUP($A3,'FL Ratio'!$A$3:$B$10,2,FALSE),0)*'FL Characterization'!H$2)</f>
        <v>49.641139125320187</v>
      </c>
      <c r="I3" s="2">
        <f>('[1]Pc, Winter, S2'!I3*Main!$B$5)+(_xlfn.IFNA(VLOOKUP($A3,'FL Ratio'!$A$3:$B$10,2,FALSE),0)*'FL Characterization'!I$2)</f>
        <v>53.582373714353423</v>
      </c>
      <c r="J3" s="2">
        <f>('[1]Pc, Winter, S2'!J3*Main!$B$5)+(_xlfn.IFNA(VLOOKUP($A3,'FL Ratio'!$A$3:$B$10,2,FALSE),0)*'FL Characterization'!J$2)</f>
        <v>58.676701996861794</v>
      </c>
      <c r="K3" s="2">
        <f>('[1]Pc, Winter, S2'!K3*Main!$B$5)+(_xlfn.IFNA(VLOOKUP($A3,'FL Ratio'!$A$3:$B$10,2,FALSE),0)*'FL Characterization'!K$2)</f>
        <v>58.834400464136429</v>
      </c>
      <c r="L3" s="2">
        <f>('[1]Pc, Winter, S2'!L3*Main!$B$5)+(_xlfn.IFNA(VLOOKUP($A3,'FL Ratio'!$A$3:$B$10,2,FALSE),0)*'FL Characterization'!L$2)</f>
        <v>55.431729999688883</v>
      </c>
      <c r="M3" s="2">
        <f>('[1]Pc, Winter, S2'!M3*Main!$B$5)+(_xlfn.IFNA(VLOOKUP($A3,'FL Ratio'!$A$3:$B$10,2,FALSE),0)*'FL Characterization'!M$2)</f>
        <v>60.685097205868111</v>
      </c>
      <c r="N3" s="2">
        <f>('[1]Pc, Winter, S2'!N3*Main!$B$5)+(_xlfn.IFNA(VLOOKUP($A3,'FL Ratio'!$A$3:$B$10,2,FALSE),0)*'FL Characterization'!N$2)</f>
        <v>57.424490153521397</v>
      </c>
      <c r="O3" s="2">
        <f>('[1]Pc, Winter, S2'!O3*Main!$B$5)+(_xlfn.IFNA(VLOOKUP($A3,'FL Ratio'!$A$3:$B$10,2,FALSE),0)*'FL Characterization'!O$2)</f>
        <v>54.18619306957418</v>
      </c>
      <c r="P3" s="2">
        <f>('[1]Pc, Winter, S2'!P3*Main!$B$5)+(_xlfn.IFNA(VLOOKUP($A3,'FL Ratio'!$A$3:$B$10,2,FALSE),0)*'FL Characterization'!P$2)</f>
        <v>52.6262800863392</v>
      </c>
      <c r="Q3" s="2">
        <f>('[1]Pc, Winter, S2'!Q3*Main!$B$5)+(_xlfn.IFNA(VLOOKUP($A3,'FL Ratio'!$A$3:$B$10,2,FALSE),0)*'FL Characterization'!Q$2)</f>
        <v>49.220107326329071</v>
      </c>
      <c r="R3" s="2">
        <f>('[1]Pc, Winter, S2'!R3*Main!$B$5)+(_xlfn.IFNA(VLOOKUP($A3,'FL Ratio'!$A$3:$B$10,2,FALSE),0)*'FL Characterization'!R$2)</f>
        <v>48.848929230761982</v>
      </c>
      <c r="S3" s="2">
        <f>('[1]Pc, Winter, S2'!S3*Main!$B$5)+(_xlfn.IFNA(VLOOKUP($A3,'FL Ratio'!$A$3:$B$10,2,FALSE),0)*'FL Characterization'!S$2)</f>
        <v>52.217458433178365</v>
      </c>
      <c r="T3" s="2">
        <f>('[1]Pc, Winter, S2'!T3*Main!$B$5)+(_xlfn.IFNA(VLOOKUP($A3,'FL Ratio'!$A$3:$B$10,2,FALSE),0)*'FL Characterization'!T$2)</f>
        <v>51.785170396442005</v>
      </c>
      <c r="U3" s="2">
        <f>('[1]Pc, Winter, S2'!U3*Main!$B$5)+(_xlfn.IFNA(VLOOKUP($A3,'FL Ratio'!$A$3:$B$10,2,FALSE),0)*'FL Characterization'!U$2)</f>
        <v>52.373484063199797</v>
      </c>
      <c r="V3" s="2">
        <f>('[1]Pc, Winter, S2'!V3*Main!$B$5)+(_xlfn.IFNA(VLOOKUP($A3,'FL Ratio'!$A$3:$B$10,2,FALSE),0)*'FL Characterization'!V$2)</f>
        <v>51.194816231187616</v>
      </c>
      <c r="W3" s="2">
        <f>('[1]Pc, Winter, S2'!W3*Main!$B$5)+(_xlfn.IFNA(VLOOKUP($A3,'FL Ratio'!$A$3:$B$10,2,FALSE),0)*'FL Characterization'!W$2)</f>
        <v>46.074102684027167</v>
      </c>
      <c r="X3" s="2">
        <f>('[1]Pc, Winter, S2'!X3*Main!$B$5)+(_xlfn.IFNA(VLOOKUP($A3,'FL Ratio'!$A$3:$B$10,2,FALSE),0)*'FL Characterization'!X$2)</f>
        <v>40.474760574069464</v>
      </c>
      <c r="Y3" s="2">
        <f>('[1]Pc, Winter, S2'!Y3*Main!$B$5)+(_xlfn.IFNA(VLOOKUP($A3,'FL Ratio'!$A$3:$B$10,2,FALSE),0)*'FL Characterization'!Y$2)</f>
        <v>39.606382947052914</v>
      </c>
    </row>
    <row r="4" spans="1:25" x14ac:dyDescent="0.3">
      <c r="A4">
        <v>3</v>
      </c>
      <c r="B4" s="2">
        <f>('[1]Pc, Winter, S2'!B4*Main!$B$5)+(_xlfn.IFNA(VLOOKUP($A4,'FL Ratio'!$A$3:$B$10,2,FALSE),0)*'FL Characterization'!B$2)</f>
        <v>52.14636813493064</v>
      </c>
      <c r="C4" s="2">
        <f>('[1]Pc, Winter, S2'!C4*Main!$B$5)+(_xlfn.IFNA(VLOOKUP($A4,'FL Ratio'!$A$3:$B$10,2,FALSE),0)*'FL Characterization'!C$2)</f>
        <v>46.255169293898248</v>
      </c>
      <c r="D4" s="2">
        <f>('[1]Pc, Winter, S2'!D4*Main!$B$5)+(_xlfn.IFNA(VLOOKUP($A4,'FL Ratio'!$A$3:$B$10,2,FALSE),0)*'FL Characterization'!D$2)</f>
        <v>43.43143073828044</v>
      </c>
      <c r="E4" s="2">
        <f>('[1]Pc, Winter, S2'!E4*Main!$B$5)+(_xlfn.IFNA(VLOOKUP($A4,'FL Ratio'!$A$3:$B$10,2,FALSE),0)*'FL Characterization'!E$2)</f>
        <v>42.825020026203049</v>
      </c>
      <c r="F4" s="2">
        <f>('[1]Pc, Winter, S2'!F4*Main!$B$5)+(_xlfn.IFNA(VLOOKUP($A4,'FL Ratio'!$A$3:$B$10,2,FALSE),0)*'FL Characterization'!F$2)</f>
        <v>44.339870650471951</v>
      </c>
      <c r="G4" s="2">
        <f>('[1]Pc, Winter, S2'!G4*Main!$B$5)+(_xlfn.IFNA(VLOOKUP($A4,'FL Ratio'!$A$3:$B$10,2,FALSE),0)*'FL Characterization'!G$2)</f>
        <v>47.470150287250625</v>
      </c>
      <c r="H4" s="2">
        <f>('[1]Pc, Winter, S2'!H4*Main!$B$5)+(_xlfn.IFNA(VLOOKUP($A4,'FL Ratio'!$A$3:$B$10,2,FALSE),0)*'FL Characterization'!H$2)</f>
        <v>57.305142783755713</v>
      </c>
      <c r="I4" s="2">
        <f>('[1]Pc, Winter, S2'!I4*Main!$B$5)+(_xlfn.IFNA(VLOOKUP($A4,'FL Ratio'!$A$3:$B$10,2,FALSE),0)*'FL Characterization'!I$2)</f>
        <v>62.350118858227482</v>
      </c>
      <c r="J4" s="2">
        <f>('[1]Pc, Winter, S2'!J4*Main!$B$5)+(_xlfn.IFNA(VLOOKUP($A4,'FL Ratio'!$A$3:$B$10,2,FALSE),0)*'FL Characterization'!J$2)</f>
        <v>65.935521637772354</v>
      </c>
      <c r="K4" s="2">
        <f>('[1]Pc, Winter, S2'!K4*Main!$B$5)+(_xlfn.IFNA(VLOOKUP($A4,'FL Ratio'!$A$3:$B$10,2,FALSE),0)*'FL Characterization'!K$2)</f>
        <v>68.296042419508595</v>
      </c>
      <c r="L4" s="2">
        <f>('[1]Pc, Winter, S2'!L4*Main!$B$5)+(_xlfn.IFNA(VLOOKUP($A4,'FL Ratio'!$A$3:$B$10,2,FALSE),0)*'FL Characterization'!L$2)</f>
        <v>68.751157782125489</v>
      </c>
      <c r="M4" s="2">
        <f>('[1]Pc, Winter, S2'!M4*Main!$B$5)+(_xlfn.IFNA(VLOOKUP($A4,'FL Ratio'!$A$3:$B$10,2,FALSE),0)*'FL Characterization'!M$2)</f>
        <v>68.095920575656336</v>
      </c>
      <c r="N4" s="2">
        <f>('[1]Pc, Winter, S2'!N4*Main!$B$5)+(_xlfn.IFNA(VLOOKUP($A4,'FL Ratio'!$A$3:$B$10,2,FALSE),0)*'FL Characterization'!N$2)</f>
        <v>67.887576359928204</v>
      </c>
      <c r="O4" s="2">
        <f>('[1]Pc, Winter, S2'!O4*Main!$B$5)+(_xlfn.IFNA(VLOOKUP($A4,'FL Ratio'!$A$3:$B$10,2,FALSE),0)*'FL Characterization'!O$2)</f>
        <v>66.896401569033415</v>
      </c>
      <c r="P4" s="2">
        <f>('[1]Pc, Winter, S2'!P4*Main!$B$5)+(_xlfn.IFNA(VLOOKUP($A4,'FL Ratio'!$A$3:$B$10,2,FALSE),0)*'FL Characterization'!P$2)</f>
        <v>64.853140915511858</v>
      </c>
      <c r="Q4" s="2">
        <f>('[1]Pc, Winter, S2'!Q4*Main!$B$5)+(_xlfn.IFNA(VLOOKUP($A4,'FL Ratio'!$A$3:$B$10,2,FALSE),0)*'FL Characterization'!Q$2)</f>
        <v>63.680287479933718</v>
      </c>
      <c r="R4" s="2">
        <f>('[1]Pc, Winter, S2'!R4*Main!$B$5)+(_xlfn.IFNA(VLOOKUP($A4,'FL Ratio'!$A$3:$B$10,2,FALSE),0)*'FL Characterization'!R$2)</f>
        <v>65.518940587393502</v>
      </c>
      <c r="S4" s="2">
        <f>('[1]Pc, Winter, S2'!S4*Main!$B$5)+(_xlfn.IFNA(VLOOKUP($A4,'FL Ratio'!$A$3:$B$10,2,FALSE),0)*'FL Characterization'!S$2)</f>
        <v>74.641489197569584</v>
      </c>
      <c r="T4" s="2">
        <f>('[1]Pc, Winter, S2'!T4*Main!$B$5)+(_xlfn.IFNA(VLOOKUP($A4,'FL Ratio'!$A$3:$B$10,2,FALSE),0)*'FL Characterization'!T$2)</f>
        <v>75.653077034019432</v>
      </c>
      <c r="U4" s="2">
        <f>('[1]Pc, Winter, S2'!U4*Main!$B$5)+(_xlfn.IFNA(VLOOKUP($A4,'FL Ratio'!$A$3:$B$10,2,FALSE),0)*'FL Characterization'!U$2)</f>
        <v>75.916444501451195</v>
      </c>
      <c r="V4" s="2">
        <f>('[1]Pc, Winter, S2'!V4*Main!$B$5)+(_xlfn.IFNA(VLOOKUP($A4,'FL Ratio'!$A$3:$B$10,2,FALSE),0)*'FL Characterization'!V$2)</f>
        <v>73.895622594819372</v>
      </c>
      <c r="W4" s="2">
        <f>('[1]Pc, Winter, S2'!W4*Main!$B$5)+(_xlfn.IFNA(VLOOKUP($A4,'FL Ratio'!$A$3:$B$10,2,FALSE),0)*'FL Characterization'!W$2)</f>
        <v>70.297311260061591</v>
      </c>
      <c r="X4" s="2">
        <f>('[1]Pc, Winter, S2'!X4*Main!$B$5)+(_xlfn.IFNA(VLOOKUP($A4,'FL Ratio'!$A$3:$B$10,2,FALSE),0)*'FL Characterization'!X$2)</f>
        <v>65.580702280316203</v>
      </c>
      <c r="Y4" s="2">
        <f>('[1]Pc, Winter, S2'!Y4*Main!$B$5)+(_xlfn.IFNA(VLOOKUP($A4,'FL Ratio'!$A$3:$B$10,2,FALSE),0)*'FL Characterization'!Y$2)</f>
        <v>58.561957566631946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A070E-8EC7-41EF-AC07-AAE4911D9B3C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Ratio'!$A$3:$B$10,2,FALSE),0)*'FL Characterization'!B$2)</f>
        <v>34.590989327723904</v>
      </c>
      <c r="C2" s="2">
        <f>('[1]Pc, Winter, S2'!C2*Main!$B$5)+(_xlfn.IFNA(VLOOKUP($A2,'FL Ratio'!$A$3:$B$10,2,FALSE),0)*'FL Characterization'!C$2)</f>
        <v>32.264686282181536</v>
      </c>
      <c r="D2" s="2">
        <f>('[1]Pc, Winter, S2'!D2*Main!$B$5)+(_xlfn.IFNA(VLOOKUP($A2,'FL Ratio'!$A$3:$B$10,2,FALSE),0)*'FL Characterization'!D$2)</f>
        <v>30.571781790695013</v>
      </c>
      <c r="E2" s="2">
        <f>('[1]Pc, Winter, S2'!E2*Main!$B$5)+(_xlfn.IFNA(VLOOKUP($A2,'FL Ratio'!$A$3:$B$10,2,FALSE),0)*'FL Characterization'!E$2)</f>
        <v>30.355469420724226</v>
      </c>
      <c r="F2" s="2">
        <f>('[1]Pc, Winter, S2'!F2*Main!$B$5)+(_xlfn.IFNA(VLOOKUP($A2,'FL Ratio'!$A$3:$B$10,2,FALSE),0)*'FL Characterization'!F$2)</f>
        <v>30.721625301921765</v>
      </c>
      <c r="G2" s="2">
        <f>('[1]Pc, Winter, S2'!G2*Main!$B$5)+(_xlfn.IFNA(VLOOKUP($A2,'FL Ratio'!$A$3:$B$10,2,FALSE),0)*'FL Characterization'!G$2)</f>
        <v>33.769699462960531</v>
      </c>
      <c r="H2" s="2">
        <f>('[1]Pc, Winter, S2'!H2*Main!$B$5)+(_xlfn.IFNA(VLOOKUP($A2,'FL Ratio'!$A$3:$B$10,2,FALSE),0)*'FL Characterization'!H$2)</f>
        <v>40.29548120146751</v>
      </c>
      <c r="I2" s="2">
        <f>('[1]Pc, Winter, S2'!I2*Main!$B$5)+(_xlfn.IFNA(VLOOKUP($A2,'FL Ratio'!$A$3:$B$10,2,FALSE),0)*'FL Characterization'!I$2)</f>
        <v>48.503474166111694</v>
      </c>
      <c r="J2" s="2">
        <f>('[1]Pc, Winter, S2'!J2*Main!$B$5)+(_xlfn.IFNA(VLOOKUP($A2,'FL Ratio'!$A$3:$B$10,2,FALSE),0)*'FL Characterization'!J$2)</f>
        <v>52.807103497985402</v>
      </c>
      <c r="K2" s="2">
        <f>('[1]Pc, Winter, S2'!K2*Main!$B$5)+(_xlfn.IFNA(VLOOKUP($A2,'FL Ratio'!$A$3:$B$10,2,FALSE),0)*'FL Characterization'!K$2)</f>
        <v>53.465599086522978</v>
      </c>
      <c r="L2" s="2">
        <f>('[1]Pc, Winter, S2'!L2*Main!$B$5)+(_xlfn.IFNA(VLOOKUP($A2,'FL Ratio'!$A$3:$B$10,2,FALSE),0)*'FL Characterization'!L$2)</f>
        <v>52.022741717085935</v>
      </c>
      <c r="M2" s="2">
        <f>('[1]Pc, Winter, S2'!M2*Main!$B$5)+(_xlfn.IFNA(VLOOKUP($A2,'FL Ratio'!$A$3:$B$10,2,FALSE),0)*'FL Characterization'!M$2)</f>
        <v>52.290873881243748</v>
      </c>
      <c r="N2" s="2">
        <f>('[1]Pc, Winter, S2'!N2*Main!$B$5)+(_xlfn.IFNA(VLOOKUP($A2,'FL Ratio'!$A$3:$B$10,2,FALSE),0)*'FL Characterization'!N$2)</f>
        <v>52.247902706195497</v>
      </c>
      <c r="O2" s="2">
        <f>('[1]Pc, Winter, S2'!O2*Main!$B$5)+(_xlfn.IFNA(VLOOKUP($A2,'FL Ratio'!$A$3:$B$10,2,FALSE),0)*'FL Characterization'!O$2)</f>
        <v>51.394722439591476</v>
      </c>
      <c r="P2" s="2">
        <f>('[1]Pc, Winter, S2'!P2*Main!$B$5)+(_xlfn.IFNA(VLOOKUP($A2,'FL Ratio'!$A$3:$B$10,2,FALSE),0)*'FL Characterization'!P$2)</f>
        <v>48.465760171924721</v>
      </c>
      <c r="Q2" s="2">
        <f>('[1]Pc, Winter, S2'!Q2*Main!$B$5)+(_xlfn.IFNA(VLOOKUP($A2,'FL Ratio'!$A$3:$B$10,2,FALSE),0)*'FL Characterization'!Q$2)</f>
        <v>47.077198237447369</v>
      </c>
      <c r="R2" s="2">
        <f>('[1]Pc, Winter, S2'!R2*Main!$B$5)+(_xlfn.IFNA(VLOOKUP($A2,'FL Ratio'!$A$3:$B$10,2,FALSE),0)*'FL Characterization'!R$2)</f>
        <v>49.028506634309252</v>
      </c>
      <c r="S2" s="2">
        <f>('[1]Pc, Winter, S2'!S2*Main!$B$5)+(_xlfn.IFNA(VLOOKUP($A2,'FL Ratio'!$A$3:$B$10,2,FALSE),0)*'FL Characterization'!S$2)</f>
        <v>54.349020192213437</v>
      </c>
      <c r="T2" s="2">
        <f>('[1]Pc, Winter, S2'!T2*Main!$B$5)+(_xlfn.IFNA(VLOOKUP($A2,'FL Ratio'!$A$3:$B$10,2,FALSE),0)*'FL Characterization'!T$2)</f>
        <v>54.152005853584789</v>
      </c>
      <c r="U2" s="2">
        <f>('[1]Pc, Winter, S2'!U2*Main!$B$5)+(_xlfn.IFNA(VLOOKUP($A2,'FL Ratio'!$A$3:$B$10,2,FALSE),0)*'FL Characterization'!U$2)</f>
        <v>53.030864612373037</v>
      </c>
      <c r="V2" s="2">
        <f>('[1]Pc, Winter, S2'!V2*Main!$B$5)+(_xlfn.IFNA(VLOOKUP($A2,'FL Ratio'!$A$3:$B$10,2,FALSE),0)*'FL Characterization'!V$2)</f>
        <v>52.11887097527481</v>
      </c>
      <c r="W2" s="2">
        <f>('[1]Pc, Winter, S2'!W2*Main!$B$5)+(_xlfn.IFNA(VLOOKUP($A2,'FL Ratio'!$A$3:$B$10,2,FALSE),0)*'FL Characterization'!W$2)</f>
        <v>48.849400576439251</v>
      </c>
      <c r="X2" s="2">
        <f>('[1]Pc, Winter, S2'!X2*Main!$B$5)+(_xlfn.IFNA(VLOOKUP($A2,'FL Ratio'!$A$3:$B$10,2,FALSE),0)*'FL Characterization'!X$2)</f>
        <v>42.734136711202105</v>
      </c>
      <c r="Y2" s="2">
        <f>('[1]Pc, Winter, S2'!Y2*Main!$B$5)+(_xlfn.IFNA(VLOOKUP($A2,'FL Ratio'!$A$3:$B$10,2,FALSE),0)*'FL Characterization'!Y$2)</f>
        <v>38.770709545409602</v>
      </c>
    </row>
    <row r="3" spans="1:25" x14ac:dyDescent="0.3">
      <c r="A3">
        <v>2</v>
      </c>
      <c r="B3" s="2">
        <f>('[1]Pc, Winter, S2'!B3*Main!$B$5)+(_xlfn.IFNA(VLOOKUP($A3,'FL Ratio'!$A$3:$B$10,2,FALSE),0)*'FL Characterization'!B$2)</f>
        <v>36.634900851227243</v>
      </c>
      <c r="C3" s="2">
        <f>('[1]Pc, Winter, S2'!C3*Main!$B$5)+(_xlfn.IFNA(VLOOKUP($A3,'FL Ratio'!$A$3:$B$10,2,FALSE),0)*'FL Characterization'!C$2)</f>
        <v>34.296306678451664</v>
      </c>
      <c r="D3" s="2">
        <f>('[1]Pc, Winter, S2'!D3*Main!$B$5)+(_xlfn.IFNA(VLOOKUP($A3,'FL Ratio'!$A$3:$B$10,2,FALSE),0)*'FL Characterization'!D$2)</f>
        <v>31.012622024872648</v>
      </c>
      <c r="E3" s="2">
        <f>('[1]Pc, Winter, S2'!E3*Main!$B$5)+(_xlfn.IFNA(VLOOKUP($A3,'FL Ratio'!$A$3:$B$10,2,FALSE),0)*'FL Characterization'!E$2)</f>
        <v>33.06839265666072</v>
      </c>
      <c r="F3" s="2">
        <f>('[1]Pc, Winter, S2'!F3*Main!$B$5)+(_xlfn.IFNA(VLOOKUP($A3,'FL Ratio'!$A$3:$B$10,2,FALSE),0)*'FL Characterization'!F$2)</f>
        <v>32.574929276956155</v>
      </c>
      <c r="G3" s="2">
        <f>('[1]Pc, Winter, S2'!G3*Main!$B$5)+(_xlfn.IFNA(VLOOKUP($A3,'FL Ratio'!$A$3:$B$10,2,FALSE),0)*'FL Characterization'!G$2)</f>
        <v>33.620535921244496</v>
      </c>
      <c r="H3" s="2">
        <f>('[1]Pc, Winter, S2'!H3*Main!$B$5)+(_xlfn.IFNA(VLOOKUP($A3,'FL Ratio'!$A$3:$B$10,2,FALSE),0)*'FL Characterization'!H$2)</f>
        <v>49.641139125320187</v>
      </c>
      <c r="I3" s="2">
        <f>('[1]Pc, Winter, S2'!I3*Main!$B$5)+(_xlfn.IFNA(VLOOKUP($A3,'FL Ratio'!$A$3:$B$10,2,FALSE),0)*'FL Characterization'!I$2)</f>
        <v>53.582373714353423</v>
      </c>
      <c r="J3" s="2">
        <f>('[1]Pc, Winter, S2'!J3*Main!$B$5)+(_xlfn.IFNA(VLOOKUP($A3,'FL Ratio'!$A$3:$B$10,2,FALSE),0)*'FL Characterization'!J$2)</f>
        <v>58.676701996861794</v>
      </c>
      <c r="K3" s="2">
        <f>('[1]Pc, Winter, S2'!K3*Main!$B$5)+(_xlfn.IFNA(VLOOKUP($A3,'FL Ratio'!$A$3:$B$10,2,FALSE),0)*'FL Characterization'!K$2)</f>
        <v>58.834400464136429</v>
      </c>
      <c r="L3" s="2">
        <f>('[1]Pc, Winter, S2'!L3*Main!$B$5)+(_xlfn.IFNA(VLOOKUP($A3,'FL Ratio'!$A$3:$B$10,2,FALSE),0)*'FL Characterization'!L$2)</f>
        <v>55.431729999688883</v>
      </c>
      <c r="M3" s="2">
        <f>('[1]Pc, Winter, S2'!M3*Main!$B$5)+(_xlfn.IFNA(VLOOKUP($A3,'FL Ratio'!$A$3:$B$10,2,FALSE),0)*'FL Characterization'!M$2)</f>
        <v>60.685097205868111</v>
      </c>
      <c r="N3" s="2">
        <f>('[1]Pc, Winter, S2'!N3*Main!$B$5)+(_xlfn.IFNA(VLOOKUP($A3,'FL Ratio'!$A$3:$B$10,2,FALSE),0)*'FL Characterization'!N$2)</f>
        <v>57.424490153521397</v>
      </c>
      <c r="O3" s="2">
        <f>('[1]Pc, Winter, S2'!O3*Main!$B$5)+(_xlfn.IFNA(VLOOKUP($A3,'FL Ratio'!$A$3:$B$10,2,FALSE),0)*'FL Characterization'!O$2)</f>
        <v>54.18619306957418</v>
      </c>
      <c r="P3" s="2">
        <f>('[1]Pc, Winter, S2'!P3*Main!$B$5)+(_xlfn.IFNA(VLOOKUP($A3,'FL Ratio'!$A$3:$B$10,2,FALSE),0)*'FL Characterization'!P$2)</f>
        <v>52.6262800863392</v>
      </c>
      <c r="Q3" s="2">
        <f>('[1]Pc, Winter, S2'!Q3*Main!$B$5)+(_xlfn.IFNA(VLOOKUP($A3,'FL Ratio'!$A$3:$B$10,2,FALSE),0)*'FL Characterization'!Q$2)</f>
        <v>49.220107326329071</v>
      </c>
      <c r="R3" s="2">
        <f>('[1]Pc, Winter, S2'!R3*Main!$B$5)+(_xlfn.IFNA(VLOOKUP($A3,'FL Ratio'!$A$3:$B$10,2,FALSE),0)*'FL Characterization'!R$2)</f>
        <v>48.848929230761982</v>
      </c>
      <c r="S3" s="2">
        <f>('[1]Pc, Winter, S2'!S3*Main!$B$5)+(_xlfn.IFNA(VLOOKUP($A3,'FL Ratio'!$A$3:$B$10,2,FALSE),0)*'FL Characterization'!S$2)</f>
        <v>52.217458433178365</v>
      </c>
      <c r="T3" s="2">
        <f>('[1]Pc, Winter, S2'!T3*Main!$B$5)+(_xlfn.IFNA(VLOOKUP($A3,'FL Ratio'!$A$3:$B$10,2,FALSE),0)*'FL Characterization'!T$2)</f>
        <v>51.785170396442005</v>
      </c>
      <c r="U3" s="2">
        <f>('[1]Pc, Winter, S2'!U3*Main!$B$5)+(_xlfn.IFNA(VLOOKUP($A3,'FL Ratio'!$A$3:$B$10,2,FALSE),0)*'FL Characterization'!U$2)</f>
        <v>52.373484063199797</v>
      </c>
      <c r="V3" s="2">
        <f>('[1]Pc, Winter, S2'!V3*Main!$B$5)+(_xlfn.IFNA(VLOOKUP($A3,'FL Ratio'!$A$3:$B$10,2,FALSE),0)*'FL Characterization'!V$2)</f>
        <v>51.194816231187616</v>
      </c>
      <c r="W3" s="2">
        <f>('[1]Pc, Winter, S2'!W3*Main!$B$5)+(_xlfn.IFNA(VLOOKUP($A3,'FL Ratio'!$A$3:$B$10,2,FALSE),0)*'FL Characterization'!W$2)</f>
        <v>46.074102684027167</v>
      </c>
      <c r="X3" s="2">
        <f>('[1]Pc, Winter, S2'!X3*Main!$B$5)+(_xlfn.IFNA(VLOOKUP($A3,'FL Ratio'!$A$3:$B$10,2,FALSE),0)*'FL Characterization'!X$2)</f>
        <v>40.474760574069464</v>
      </c>
      <c r="Y3" s="2">
        <f>('[1]Pc, Winter, S2'!Y3*Main!$B$5)+(_xlfn.IFNA(VLOOKUP($A3,'FL Ratio'!$A$3:$B$10,2,FALSE),0)*'FL Characterization'!Y$2)</f>
        <v>39.606382947052914</v>
      </c>
    </row>
    <row r="4" spans="1:25" x14ac:dyDescent="0.3">
      <c r="A4">
        <v>3</v>
      </c>
      <c r="B4" s="2">
        <f>('[1]Pc, Winter, S2'!B4*Main!$B$5)+(_xlfn.IFNA(VLOOKUP($A4,'FL Ratio'!$A$3:$B$10,2,FALSE),0)*'FL Characterization'!B$2)</f>
        <v>52.14636813493064</v>
      </c>
      <c r="C4" s="2">
        <f>('[1]Pc, Winter, S2'!C4*Main!$B$5)+(_xlfn.IFNA(VLOOKUP($A4,'FL Ratio'!$A$3:$B$10,2,FALSE),0)*'FL Characterization'!C$2)</f>
        <v>46.255169293898248</v>
      </c>
      <c r="D4" s="2">
        <f>('[1]Pc, Winter, S2'!D4*Main!$B$5)+(_xlfn.IFNA(VLOOKUP($A4,'FL Ratio'!$A$3:$B$10,2,FALSE),0)*'FL Characterization'!D$2)</f>
        <v>43.43143073828044</v>
      </c>
      <c r="E4" s="2">
        <f>('[1]Pc, Winter, S2'!E4*Main!$B$5)+(_xlfn.IFNA(VLOOKUP($A4,'FL Ratio'!$A$3:$B$10,2,FALSE),0)*'FL Characterization'!E$2)</f>
        <v>42.825020026203049</v>
      </c>
      <c r="F4" s="2">
        <f>('[1]Pc, Winter, S2'!F4*Main!$B$5)+(_xlfn.IFNA(VLOOKUP($A4,'FL Ratio'!$A$3:$B$10,2,FALSE),0)*'FL Characterization'!F$2)</f>
        <v>44.339870650471951</v>
      </c>
      <c r="G4" s="2">
        <f>('[1]Pc, Winter, S2'!G4*Main!$B$5)+(_xlfn.IFNA(VLOOKUP($A4,'FL Ratio'!$A$3:$B$10,2,FALSE),0)*'FL Characterization'!G$2)</f>
        <v>47.470150287250625</v>
      </c>
      <c r="H4" s="2">
        <f>('[1]Pc, Winter, S2'!H4*Main!$B$5)+(_xlfn.IFNA(VLOOKUP($A4,'FL Ratio'!$A$3:$B$10,2,FALSE),0)*'FL Characterization'!H$2)</f>
        <v>57.305142783755713</v>
      </c>
      <c r="I4" s="2">
        <f>('[1]Pc, Winter, S2'!I4*Main!$B$5)+(_xlfn.IFNA(VLOOKUP($A4,'FL Ratio'!$A$3:$B$10,2,FALSE),0)*'FL Characterization'!I$2)</f>
        <v>62.350118858227482</v>
      </c>
      <c r="J4" s="2">
        <f>('[1]Pc, Winter, S2'!J4*Main!$B$5)+(_xlfn.IFNA(VLOOKUP($A4,'FL Ratio'!$A$3:$B$10,2,FALSE),0)*'FL Characterization'!J$2)</f>
        <v>65.935521637772354</v>
      </c>
      <c r="K4" s="2">
        <f>('[1]Pc, Winter, S2'!K4*Main!$B$5)+(_xlfn.IFNA(VLOOKUP($A4,'FL Ratio'!$A$3:$B$10,2,FALSE),0)*'FL Characterization'!K$2)</f>
        <v>68.296042419508595</v>
      </c>
      <c r="L4" s="2">
        <f>('[1]Pc, Winter, S2'!L4*Main!$B$5)+(_xlfn.IFNA(VLOOKUP($A4,'FL Ratio'!$A$3:$B$10,2,FALSE),0)*'FL Characterization'!L$2)</f>
        <v>68.751157782125489</v>
      </c>
      <c r="M4" s="2">
        <f>('[1]Pc, Winter, S2'!M4*Main!$B$5)+(_xlfn.IFNA(VLOOKUP($A4,'FL Ratio'!$A$3:$B$10,2,FALSE),0)*'FL Characterization'!M$2)</f>
        <v>68.095920575656336</v>
      </c>
      <c r="N4" s="2">
        <f>('[1]Pc, Winter, S2'!N4*Main!$B$5)+(_xlfn.IFNA(VLOOKUP($A4,'FL Ratio'!$A$3:$B$10,2,FALSE),0)*'FL Characterization'!N$2)</f>
        <v>67.887576359928204</v>
      </c>
      <c r="O4" s="2">
        <f>('[1]Pc, Winter, S2'!O4*Main!$B$5)+(_xlfn.IFNA(VLOOKUP($A4,'FL Ratio'!$A$3:$B$10,2,FALSE),0)*'FL Characterization'!O$2)</f>
        <v>66.896401569033415</v>
      </c>
      <c r="P4" s="2">
        <f>('[1]Pc, Winter, S2'!P4*Main!$B$5)+(_xlfn.IFNA(VLOOKUP($A4,'FL Ratio'!$A$3:$B$10,2,FALSE),0)*'FL Characterization'!P$2)</f>
        <v>64.853140915511858</v>
      </c>
      <c r="Q4" s="2">
        <f>('[1]Pc, Winter, S2'!Q4*Main!$B$5)+(_xlfn.IFNA(VLOOKUP($A4,'FL Ratio'!$A$3:$B$10,2,FALSE),0)*'FL Characterization'!Q$2)</f>
        <v>63.680287479933718</v>
      </c>
      <c r="R4" s="2">
        <f>('[1]Pc, Winter, S2'!R4*Main!$B$5)+(_xlfn.IFNA(VLOOKUP($A4,'FL Ratio'!$A$3:$B$10,2,FALSE),0)*'FL Characterization'!R$2)</f>
        <v>65.518940587393502</v>
      </c>
      <c r="S4" s="2">
        <f>('[1]Pc, Winter, S2'!S4*Main!$B$5)+(_xlfn.IFNA(VLOOKUP($A4,'FL Ratio'!$A$3:$B$10,2,FALSE),0)*'FL Characterization'!S$2)</f>
        <v>74.641489197569584</v>
      </c>
      <c r="T4" s="2">
        <f>('[1]Pc, Winter, S2'!T4*Main!$B$5)+(_xlfn.IFNA(VLOOKUP($A4,'FL Ratio'!$A$3:$B$10,2,FALSE),0)*'FL Characterization'!T$2)</f>
        <v>75.653077034019432</v>
      </c>
      <c r="U4" s="2">
        <f>('[1]Pc, Winter, S2'!U4*Main!$B$5)+(_xlfn.IFNA(VLOOKUP($A4,'FL Ratio'!$A$3:$B$10,2,FALSE),0)*'FL Characterization'!U$2)</f>
        <v>75.916444501451195</v>
      </c>
      <c r="V4" s="2">
        <f>('[1]Pc, Winter, S2'!V4*Main!$B$5)+(_xlfn.IFNA(VLOOKUP($A4,'FL Ratio'!$A$3:$B$10,2,FALSE),0)*'FL Characterization'!V$2)</f>
        <v>73.895622594819372</v>
      </c>
      <c r="W4" s="2">
        <f>('[1]Pc, Winter, S2'!W4*Main!$B$5)+(_xlfn.IFNA(VLOOKUP($A4,'FL Ratio'!$A$3:$B$10,2,FALSE),0)*'FL Characterization'!W$2)</f>
        <v>70.297311260061591</v>
      </c>
      <c r="X4" s="2">
        <f>('[1]Pc, Winter, S2'!X4*Main!$B$5)+(_xlfn.IFNA(VLOOKUP($A4,'FL Ratio'!$A$3:$B$10,2,FALSE),0)*'FL Characterization'!X$2)</f>
        <v>65.580702280316203</v>
      </c>
      <c r="Y4" s="2">
        <f>('[1]Pc, Winter, S2'!Y4*Main!$B$5)+(_xlfn.IFNA(VLOOKUP($A4,'FL Ratio'!$A$3:$B$10,2,FALSE),0)*'FL Characterization'!Y$2)</f>
        <v>58.561957566631946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DFC76-6AE1-4005-842B-53770F433C49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Ratio'!$A$3:$B$10,2,FALSE),0)*'FL Characterization'!B$2)</f>
        <v>32.911815088513997</v>
      </c>
      <c r="C2" s="2">
        <f>('[1]Pc, Winter, S3'!C2*Main!$B$5)+(_xlfn.IFNA(VLOOKUP($A2,'FL Ratio'!$A$3:$B$10,2,FALSE),0)*'FL Characterization'!C$2)</f>
        <v>30.698439375279516</v>
      </c>
      <c r="D2" s="2">
        <f>('[1]Pc, Winter, S3'!D2*Main!$B$5)+(_xlfn.IFNA(VLOOKUP($A2,'FL Ratio'!$A$3:$B$10,2,FALSE),0)*'FL Characterization'!D$2)</f>
        <v>29.087714713476807</v>
      </c>
      <c r="E2" s="2">
        <f>('[1]Pc, Winter, S3'!E2*Main!$B$5)+(_xlfn.IFNA(VLOOKUP($A2,'FL Ratio'!$A$3:$B$10,2,FALSE),0)*'FL Characterization'!E$2)</f>
        <v>28.881902943990038</v>
      </c>
      <c r="F2" s="2">
        <f>('[1]Pc, Winter, S3'!F2*Main!$B$5)+(_xlfn.IFNA(VLOOKUP($A2,'FL Ratio'!$A$3:$B$10,2,FALSE),0)*'FL Characterization'!F$2)</f>
        <v>29.230284267847892</v>
      </c>
      <c r="G2" s="2">
        <f>('[1]Pc, Winter, S3'!G2*Main!$B$5)+(_xlfn.IFNA(VLOOKUP($A2,'FL Ratio'!$A$3:$B$10,2,FALSE),0)*'FL Characterization'!G$2)</f>
        <v>32.130393663787686</v>
      </c>
      <c r="H2" s="2">
        <f>('[1]Pc, Winter, S3'!H2*Main!$B$5)+(_xlfn.IFNA(VLOOKUP($A2,'FL Ratio'!$A$3:$B$10,2,FALSE),0)*'FL Characterization'!H$2)</f>
        <v>38.339389881007925</v>
      </c>
      <c r="I2" s="2">
        <f>('[1]Pc, Winter, S3'!I2*Main!$B$5)+(_xlfn.IFNA(VLOOKUP($A2,'FL Ratio'!$A$3:$B$10,2,FALSE),0)*'FL Characterization'!I$2)</f>
        <v>46.148936585232484</v>
      </c>
      <c r="J2" s="2">
        <f>('[1]Pc, Winter, S3'!J2*Main!$B$5)+(_xlfn.IFNA(VLOOKUP($A2,'FL Ratio'!$A$3:$B$10,2,FALSE),0)*'FL Characterization'!J$2)</f>
        <v>50.243651871869602</v>
      </c>
      <c r="K2" s="2">
        <f>('[1]Pc, Winter, S3'!K2*Main!$B$5)+(_xlfn.IFNA(VLOOKUP($A2,'FL Ratio'!$A$3:$B$10,2,FALSE),0)*'FL Characterization'!K$2)</f>
        <v>50.87018165513836</v>
      </c>
      <c r="L2" s="2">
        <f>('[1]Pc, Winter, S3'!L2*Main!$B$5)+(_xlfn.IFNA(VLOOKUP($A2,'FL Ratio'!$A$3:$B$10,2,FALSE),0)*'FL Characterization'!L$2)</f>
        <v>49.497365905576899</v>
      </c>
      <c r="M2" s="2">
        <f>('[1]Pc, Winter, S3'!M2*Main!$B$5)+(_xlfn.IFNA(VLOOKUP($A2,'FL Ratio'!$A$3:$B$10,2,FALSE),0)*'FL Characterization'!M$2)</f>
        <v>49.752481945261032</v>
      </c>
      <c r="N2" s="2">
        <f>('[1]Pc, Winter, S3'!N2*Main!$B$5)+(_xlfn.IFNA(VLOOKUP($A2,'FL Ratio'!$A$3:$B$10,2,FALSE),0)*'FL Characterization'!N$2)</f>
        <v>49.711596749584068</v>
      </c>
      <c r="O2" s="2">
        <f>('[1]Pc, Winter, S3'!O2*Main!$B$5)+(_xlfn.IFNA(VLOOKUP($A2,'FL Ratio'!$A$3:$B$10,2,FALSE),0)*'FL Characterization'!O$2)</f>
        <v>48.899833000776347</v>
      </c>
      <c r="P2" s="2">
        <f>('[1]Pc, Winter, S3'!P2*Main!$B$5)+(_xlfn.IFNA(VLOOKUP($A2,'FL Ratio'!$A$3:$B$10,2,FALSE),0)*'FL Characterization'!P$2)</f>
        <v>46.113053367462356</v>
      </c>
      <c r="Q2" s="2">
        <f>('[1]Pc, Winter, S3'!Q2*Main!$B$5)+(_xlfn.IFNA(VLOOKUP($A2,'FL Ratio'!$A$3:$B$10,2,FALSE),0)*'FL Characterization'!Q$2)</f>
        <v>44.791897352134391</v>
      </c>
      <c r="R2" s="2">
        <f>('[1]Pc, Winter, S3'!R2*Main!$B$5)+(_xlfn.IFNA(VLOOKUP($A2,'FL Ratio'!$A$3:$B$10,2,FALSE),0)*'FL Characterization'!R$2)</f>
        <v>46.648482040410741</v>
      </c>
      <c r="S2" s="2">
        <f>('[1]Pc, Winter, S3'!S2*Main!$B$5)+(_xlfn.IFNA(VLOOKUP($A2,'FL Ratio'!$A$3:$B$10,2,FALSE),0)*'FL Characterization'!S$2)</f>
        <v>51.710718241135119</v>
      </c>
      <c r="T2" s="2">
        <f>('[1]Pc, Winter, S3'!T2*Main!$B$5)+(_xlfn.IFNA(VLOOKUP($A2,'FL Ratio'!$A$3:$B$10,2,FALSE),0)*'FL Characterization'!T$2)</f>
        <v>51.523267705352509</v>
      </c>
      <c r="U2" s="2">
        <f>('[1]Pc, Winter, S3'!U2*Main!$B$5)+(_xlfn.IFNA(VLOOKUP($A2,'FL Ratio'!$A$3:$B$10,2,FALSE),0)*'FL Characterization'!U$2)</f>
        <v>50.456550796238417</v>
      </c>
      <c r="V2" s="2">
        <f>('[1]Pc, Winter, S3'!V2*Main!$B$5)+(_xlfn.IFNA(VLOOKUP($A2,'FL Ratio'!$A$3:$B$10,2,FALSE),0)*'FL Characterization'!V$2)</f>
        <v>49.588828694921659</v>
      </c>
      <c r="W2" s="2">
        <f>('[1]Pc, Winter, S3'!W2*Main!$B$5)+(_xlfn.IFNA(VLOOKUP($A2,'FL Ratio'!$A$3:$B$10,2,FALSE),0)*'FL Characterization'!W$2)</f>
        <v>46.478070451369383</v>
      </c>
      <c r="X2" s="2">
        <f>('[1]Pc, Winter, S3'!X2*Main!$B$5)+(_xlfn.IFNA(VLOOKUP($A2,'FL Ratio'!$A$3:$B$10,2,FALSE),0)*'FL Characterization'!X$2)</f>
        <v>40.659664055318501</v>
      </c>
      <c r="Y2" s="2">
        <f>('[1]Pc, Winter, S3'!Y2*Main!$B$5)+(_xlfn.IFNA(VLOOKUP($A2,'FL Ratio'!$A$3:$B$10,2,FALSE),0)*'FL Characterization'!Y$2)</f>
        <v>36.888636266506218</v>
      </c>
    </row>
    <row r="3" spans="1:25" x14ac:dyDescent="0.3">
      <c r="A3">
        <v>2</v>
      </c>
      <c r="B3" s="2">
        <f>('[1]Pc, Winter, S3'!B3*Main!$B$5)+(_xlfn.IFNA(VLOOKUP($A3,'FL Ratio'!$A$3:$B$10,2,FALSE),0)*'FL Characterization'!B$2)</f>
        <v>34.974605072582158</v>
      </c>
      <c r="C3" s="2">
        <f>('[1]Pc, Winter, S3'!C3*Main!$B$5)+(_xlfn.IFNA(VLOOKUP($A3,'FL Ratio'!$A$3:$B$10,2,FALSE),0)*'FL Characterization'!C$2)</f>
        <v>32.753474353530123</v>
      </c>
      <c r="D3" s="2">
        <f>('[1]Pc, Winter, S3'!D3*Main!$B$5)+(_xlfn.IFNA(VLOOKUP($A3,'FL Ratio'!$A$3:$B$10,2,FALSE),0)*'FL Characterization'!D$2)</f>
        <v>29.616431845178329</v>
      </c>
      <c r="E3" s="2">
        <f>('[1]Pc, Winter, S3'!E3*Main!$B$5)+(_xlfn.IFNA(VLOOKUP($A3,'FL Ratio'!$A$3:$B$10,2,FALSE),0)*'FL Characterization'!E$2)</f>
        <v>31.566709974885743</v>
      </c>
      <c r="F3" s="2">
        <f>('[1]Pc, Winter, S3'!F3*Main!$B$5)+(_xlfn.IFNA(VLOOKUP($A3,'FL Ratio'!$A$3:$B$10,2,FALSE),0)*'FL Characterization'!F$2)</f>
        <v>31.078483866370412</v>
      </c>
      <c r="G3" s="2">
        <f>('[1]Pc, Winter, S3'!G3*Main!$B$5)+(_xlfn.IFNA(VLOOKUP($A3,'FL Ratio'!$A$3:$B$10,2,FALSE),0)*'FL Characterization'!G$2)</f>
        <v>32.060496016539886</v>
      </c>
      <c r="H3" s="2">
        <f>('[1]Pc, Winter, S3'!H3*Main!$B$5)+(_xlfn.IFNA(VLOOKUP($A3,'FL Ratio'!$A$3:$B$10,2,FALSE),0)*'FL Characterization'!H$2)</f>
        <v>47.319455756936328</v>
      </c>
      <c r="I3" s="2">
        <f>('[1]Pc, Winter, S3'!I3*Main!$B$5)+(_xlfn.IFNA(VLOOKUP($A3,'FL Ratio'!$A$3:$B$10,2,FALSE),0)*'FL Characterization'!I$2)</f>
        <v>50.996584265100623</v>
      </c>
      <c r="J3" s="2">
        <f>('[1]Pc, Winter, S3'!J3*Main!$B$5)+(_xlfn.IFNA(VLOOKUP($A3,'FL Ratio'!$A$3:$B$10,2,FALSE),0)*'FL Characterization'!J$2)</f>
        <v>55.84177023564795</v>
      </c>
      <c r="K3" s="2">
        <f>('[1]Pc, Winter, S3'!K3*Main!$B$5)+(_xlfn.IFNA(VLOOKUP($A3,'FL Ratio'!$A$3:$B$10,2,FALSE),0)*'FL Characterization'!K$2)</f>
        <v>55.997972454367783</v>
      </c>
      <c r="L3" s="2">
        <f>('[1]Pc, Winter, S3'!L3*Main!$B$5)+(_xlfn.IFNA(VLOOKUP($A3,'FL Ratio'!$A$3:$B$10,2,FALSE),0)*'FL Characterization'!L$2)</f>
        <v>52.752418677736571</v>
      </c>
      <c r="M3" s="2">
        <f>('[1]Pc, Winter, S3'!M3*Main!$B$5)+(_xlfn.IFNA(VLOOKUP($A3,'FL Ratio'!$A$3:$B$10,2,FALSE),0)*'FL Characterization'!M$2)</f>
        <v>57.753650593558866</v>
      </c>
      <c r="N3" s="2">
        <f>('[1]Pc, Winter, S3'!N3*Main!$B$5)+(_xlfn.IFNA(VLOOKUP($A3,'FL Ratio'!$A$3:$B$10,2,FALSE),0)*'FL Characterization'!N$2)</f>
        <v>54.659886566458809</v>
      </c>
      <c r="O3" s="2">
        <f>('[1]Pc, Winter, S3'!O3*Main!$B$5)+(_xlfn.IFNA(VLOOKUP($A3,'FL Ratio'!$A$3:$B$10,2,FALSE),0)*'FL Characterization'!O$2)</f>
        <v>51.598159006530075</v>
      </c>
      <c r="P3" s="2">
        <f>('[1]Pc, Winter, S3'!P3*Main!$B$5)+(_xlfn.IFNA(VLOOKUP($A3,'FL Ratio'!$A$3:$B$10,2,FALSE),0)*'FL Characterization'!P$2)</f>
        <v>50.116804447452743</v>
      </c>
      <c r="Q3" s="2">
        <f>('[1]Pc, Winter, S3'!Q3*Main!$B$5)+(_xlfn.IFNA(VLOOKUP($A3,'FL Ratio'!$A$3:$B$10,2,FALSE),0)*'FL Characterization'!Q$2)</f>
        <v>46.875230420527828</v>
      </c>
      <c r="R3" s="2">
        <f>('[1]Pc, Winter, S3'!R3*Main!$B$5)+(_xlfn.IFNA(VLOOKUP($A3,'FL Ratio'!$A$3:$B$10,2,FALSE),0)*'FL Characterization'!R$2)</f>
        <v>46.50255591590696</v>
      </c>
      <c r="S3" s="2">
        <f>('[1]Pc, Winter, S3'!S3*Main!$B$5)+(_xlfn.IFNA(VLOOKUP($A3,'FL Ratio'!$A$3:$B$10,2,FALSE),0)*'FL Characterization'!S$2)</f>
        <v>49.733420623870749</v>
      </c>
      <c r="T3" s="2">
        <f>('[1]Pc, Winter, S3'!T3*Main!$B$5)+(_xlfn.IFNA(VLOOKUP($A3,'FL Ratio'!$A$3:$B$10,2,FALSE),0)*'FL Characterization'!T$2)</f>
        <v>49.30113258713439</v>
      </c>
      <c r="U3" s="2">
        <f>('[1]Pc, Winter, S3'!U3*Main!$B$5)+(_xlfn.IFNA(VLOOKUP($A3,'FL Ratio'!$A$3:$B$10,2,FALSE),0)*'FL Characterization'!U$2)</f>
        <v>49.852037955009905</v>
      </c>
      <c r="V3" s="2">
        <f>('[1]Pc, Winter, S3'!V3*Main!$B$5)+(_xlfn.IFNA(VLOOKUP($A3,'FL Ratio'!$A$3:$B$10,2,FALSE),0)*'FL Characterization'!V$2)</f>
        <v>48.741454165697128</v>
      </c>
      <c r="W3" s="2">
        <f>('[1]Pc, Winter, S3'!W3*Main!$B$5)+(_xlfn.IFNA(VLOOKUP($A3,'FL Ratio'!$A$3:$B$10,2,FALSE),0)*'FL Characterization'!W$2)</f>
        <v>43.85716425603551</v>
      </c>
      <c r="X3" s="2">
        <f>('[1]Pc, Winter, S3'!X3*Main!$B$5)+(_xlfn.IFNA(VLOOKUP($A3,'FL Ratio'!$A$3:$B$10,2,FALSE),0)*'FL Characterization'!X$2)</f>
        <v>38.599738125579563</v>
      </c>
      <c r="Y3" s="2">
        <f>('[1]Pc, Winter, S3'!Y3*Main!$B$5)+(_xlfn.IFNA(VLOOKUP($A3,'FL Ratio'!$A$3:$B$10,2,FALSE),0)*'FL Characterization'!Y$2)</f>
        <v>37.791962977490471</v>
      </c>
    </row>
    <row r="4" spans="1:25" x14ac:dyDescent="0.3">
      <c r="A4">
        <v>3</v>
      </c>
      <c r="B4" s="2">
        <f>('[1]Pc, Winter, S3'!B4*Main!$B$5)+(_xlfn.IFNA(VLOOKUP($A4,'FL Ratio'!$A$3:$B$10,2,FALSE),0)*'FL Characterization'!B$2)</f>
        <v>49.733088507562094</v>
      </c>
      <c r="C4" s="2">
        <f>('[1]Pc, Winter, S3'!C4*Main!$B$5)+(_xlfn.IFNA(VLOOKUP($A4,'FL Ratio'!$A$3:$B$10,2,FALSE),0)*'FL Characterization'!C$2)</f>
        <v>44.131809657547258</v>
      </c>
      <c r="D4" s="2">
        <f>('[1]Pc, Winter, S3'!D4*Main!$B$5)+(_xlfn.IFNA(VLOOKUP($A4,'FL Ratio'!$A$3:$B$10,2,FALSE),0)*'FL Characterization'!D$2)</f>
        <v>41.432385766673121</v>
      </c>
      <c r="E4" s="2">
        <f>('[1]Pc, Winter, S3'!E4*Main!$B$5)+(_xlfn.IFNA(VLOOKUP($A4,'FL Ratio'!$A$3:$B$10,2,FALSE),0)*'FL Characterization'!E$2)</f>
        <v>40.849714656586208</v>
      </c>
      <c r="F4" s="2">
        <f>('[1]Pc, Winter, S3'!F4*Main!$B$5)+(_xlfn.IFNA(VLOOKUP($A4,'FL Ratio'!$A$3:$B$10,2,FALSE),0)*'FL Characterization'!F$2)</f>
        <v>42.272311580977671</v>
      </c>
      <c r="G4" s="2">
        <f>('[1]Pc, Winter, S3'!G4*Main!$B$5)+(_xlfn.IFNA(VLOOKUP($A4,'FL Ratio'!$A$3:$B$10,2,FALSE),0)*'FL Characterization'!G$2)</f>
        <v>45.237799005555416</v>
      </c>
      <c r="H4" s="2">
        <f>('[1]Pc, Winter, S3'!H4*Main!$B$5)+(_xlfn.IFNA(VLOOKUP($A4,'FL Ratio'!$A$3:$B$10,2,FALSE),0)*'FL Characterization'!H$2)</f>
        <v>54.61142040282644</v>
      </c>
      <c r="I4" s="2">
        <f>('[1]Pc, Winter, S3'!I4*Main!$B$5)+(_xlfn.IFNA(VLOOKUP($A4,'FL Ratio'!$A$3:$B$10,2,FALSE),0)*'FL Characterization'!I$2)</f>
        <v>59.3387107126701</v>
      </c>
      <c r="J4" s="2">
        <f>('[1]Pc, Winter, S3'!J4*Main!$B$5)+(_xlfn.IFNA(VLOOKUP($A4,'FL Ratio'!$A$3:$B$10,2,FALSE),0)*'FL Characterization'!J$2)</f>
        <v>62.748219991077399</v>
      </c>
      <c r="K4" s="2">
        <f>('[1]Pc, Winter, S3'!K4*Main!$B$5)+(_xlfn.IFNA(VLOOKUP($A4,'FL Ratio'!$A$3:$B$10,2,FALSE),0)*'FL Characterization'!K$2)</f>
        <v>65.00031140219761</v>
      </c>
      <c r="L4" s="2">
        <f>('[1]Pc, Winter, S3'!L4*Main!$B$5)+(_xlfn.IFNA(VLOOKUP($A4,'FL Ratio'!$A$3:$B$10,2,FALSE),0)*'FL Characterization'!L$2)</f>
        <v>65.425272295977223</v>
      </c>
      <c r="M4" s="2">
        <f>('[1]Pc, Winter, S3'!M4*Main!$B$5)+(_xlfn.IFNA(VLOOKUP($A4,'FL Ratio'!$A$3:$B$10,2,FALSE),0)*'FL Characterization'!M$2)</f>
        <v>64.804725256075827</v>
      </c>
      <c r="N4" s="2">
        <f>('[1]Pc, Winter, S3'!N4*Main!$B$5)+(_xlfn.IFNA(VLOOKUP($A4,'FL Ratio'!$A$3:$B$10,2,FALSE),0)*'FL Characterization'!N$2)</f>
        <v>64.615055966729372</v>
      </c>
      <c r="O4" s="2">
        <f>('[1]Pc, Winter, S3'!O4*Main!$B$5)+(_xlfn.IFNA(VLOOKUP($A4,'FL Ratio'!$A$3:$B$10,2,FALSE),0)*'FL Characterization'!O$2)</f>
        <v>63.691367093394206</v>
      </c>
      <c r="P4" s="2">
        <f>('[1]Pc, Winter, S3'!P4*Main!$B$5)+(_xlfn.IFNA(VLOOKUP($A4,'FL Ratio'!$A$3:$B$10,2,FALSE),0)*'FL Characterization'!P$2)</f>
        <v>61.750128343170438</v>
      </c>
      <c r="Q4" s="2">
        <f>('[1]Pc, Winter, S3'!Q4*Main!$B$5)+(_xlfn.IFNA(VLOOKUP($A4,'FL Ratio'!$A$3:$B$10,2,FALSE),0)*'FL Characterization'!Q$2)</f>
        <v>60.633460081239036</v>
      </c>
      <c r="R4" s="2">
        <f>('[1]Pc, Winter, S3'!R4*Main!$B$5)+(_xlfn.IFNA(VLOOKUP($A4,'FL Ratio'!$A$3:$B$10,2,FALSE),0)*'FL Characterization'!R$2)</f>
        <v>62.363343420274823</v>
      </c>
      <c r="S4" s="2">
        <f>('[1]Pc, Winter, S3'!S4*Main!$B$5)+(_xlfn.IFNA(VLOOKUP($A4,'FL Ratio'!$A$3:$B$10,2,FALSE),0)*'FL Characterization'!S$2)</f>
        <v>71.068906205524527</v>
      </c>
      <c r="T4" s="2">
        <f>('[1]Pc, Winter, S3'!T4*Main!$B$5)+(_xlfn.IFNA(VLOOKUP($A4,'FL Ratio'!$A$3:$B$10,2,FALSE),0)*'FL Characterization'!T$2)</f>
        <v>72.010402980169218</v>
      </c>
      <c r="U4" s="2">
        <f>('[1]Pc, Winter, S3'!U4*Main!$B$5)+(_xlfn.IFNA(VLOOKUP($A4,'FL Ratio'!$A$3:$B$10,2,FALSE),0)*'FL Characterization'!U$2)</f>
        <v>72.252136236064644</v>
      </c>
      <c r="V4" s="2">
        <f>('[1]Pc, Winter, S3'!V4*Main!$B$5)+(_xlfn.IFNA(VLOOKUP($A4,'FL Ratio'!$A$3:$B$10,2,FALSE),0)*'FL Characterization'!V$2)</f>
        <v>70.340279637890447</v>
      </c>
      <c r="W4" s="2">
        <f>('[1]Pc, Winter, S3'!W4*Main!$B$5)+(_xlfn.IFNA(VLOOKUP($A4,'FL Ratio'!$A$3:$B$10,2,FALSE),0)*'FL Characterization'!W$2)</f>
        <v>66.904488920611939</v>
      </c>
      <c r="X4" s="2">
        <f>('[1]Pc, Winter, S3'!X4*Main!$B$5)+(_xlfn.IFNA(VLOOKUP($A4,'FL Ratio'!$A$3:$B$10,2,FALSE),0)*'FL Characterization'!X$2)</f>
        <v>62.486944797542478</v>
      </c>
      <c r="Y4" s="2">
        <f>('[1]Pc, Winter, S3'!Y4*Main!$B$5)+(_xlfn.IFNA(VLOOKUP($A4,'FL Ratio'!$A$3:$B$10,2,FALSE),0)*'FL Characterization'!Y$2)</f>
        <v>55.827364071847228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491D0-D1DE-4067-A278-C5302ED652E4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Ratio'!$A$3:$B$10,2,FALSE),0)*'FL Characterization'!B$2)</f>
        <v>32.911815088513997</v>
      </c>
      <c r="C2" s="2">
        <f>('[1]Pc, Winter, S3'!C2*Main!$B$5)+(_xlfn.IFNA(VLOOKUP($A2,'FL Ratio'!$A$3:$B$10,2,FALSE),0)*'FL Characterization'!C$2)</f>
        <v>30.698439375279516</v>
      </c>
      <c r="D2" s="2">
        <f>('[1]Pc, Winter, S3'!D2*Main!$B$5)+(_xlfn.IFNA(VLOOKUP($A2,'FL Ratio'!$A$3:$B$10,2,FALSE),0)*'FL Characterization'!D$2)</f>
        <v>29.087714713476807</v>
      </c>
      <c r="E2" s="2">
        <f>('[1]Pc, Winter, S3'!E2*Main!$B$5)+(_xlfn.IFNA(VLOOKUP($A2,'FL Ratio'!$A$3:$B$10,2,FALSE),0)*'FL Characterization'!E$2)</f>
        <v>28.881902943990038</v>
      </c>
      <c r="F2" s="2">
        <f>('[1]Pc, Winter, S3'!F2*Main!$B$5)+(_xlfn.IFNA(VLOOKUP($A2,'FL Ratio'!$A$3:$B$10,2,FALSE),0)*'FL Characterization'!F$2)</f>
        <v>29.230284267847892</v>
      </c>
      <c r="G2" s="2">
        <f>('[1]Pc, Winter, S3'!G2*Main!$B$5)+(_xlfn.IFNA(VLOOKUP($A2,'FL Ratio'!$A$3:$B$10,2,FALSE),0)*'FL Characterization'!G$2)</f>
        <v>32.130393663787686</v>
      </c>
      <c r="H2" s="2">
        <f>('[1]Pc, Winter, S3'!H2*Main!$B$5)+(_xlfn.IFNA(VLOOKUP($A2,'FL Ratio'!$A$3:$B$10,2,FALSE),0)*'FL Characterization'!H$2)</f>
        <v>38.339389881007925</v>
      </c>
      <c r="I2" s="2">
        <f>('[1]Pc, Winter, S3'!I2*Main!$B$5)+(_xlfn.IFNA(VLOOKUP($A2,'FL Ratio'!$A$3:$B$10,2,FALSE),0)*'FL Characterization'!I$2)</f>
        <v>46.148936585232484</v>
      </c>
      <c r="J2" s="2">
        <f>('[1]Pc, Winter, S3'!J2*Main!$B$5)+(_xlfn.IFNA(VLOOKUP($A2,'FL Ratio'!$A$3:$B$10,2,FALSE),0)*'FL Characterization'!J$2)</f>
        <v>50.243651871869602</v>
      </c>
      <c r="K2" s="2">
        <f>('[1]Pc, Winter, S3'!K2*Main!$B$5)+(_xlfn.IFNA(VLOOKUP($A2,'FL Ratio'!$A$3:$B$10,2,FALSE),0)*'FL Characterization'!K$2)</f>
        <v>50.87018165513836</v>
      </c>
      <c r="L2" s="2">
        <f>('[1]Pc, Winter, S3'!L2*Main!$B$5)+(_xlfn.IFNA(VLOOKUP($A2,'FL Ratio'!$A$3:$B$10,2,FALSE),0)*'FL Characterization'!L$2)</f>
        <v>49.497365905576899</v>
      </c>
      <c r="M2" s="2">
        <f>('[1]Pc, Winter, S3'!M2*Main!$B$5)+(_xlfn.IFNA(VLOOKUP($A2,'FL Ratio'!$A$3:$B$10,2,FALSE),0)*'FL Characterization'!M$2)</f>
        <v>49.752481945261032</v>
      </c>
      <c r="N2" s="2">
        <f>('[1]Pc, Winter, S3'!N2*Main!$B$5)+(_xlfn.IFNA(VLOOKUP($A2,'FL Ratio'!$A$3:$B$10,2,FALSE),0)*'FL Characterization'!N$2)</f>
        <v>49.711596749584068</v>
      </c>
      <c r="O2" s="2">
        <f>('[1]Pc, Winter, S3'!O2*Main!$B$5)+(_xlfn.IFNA(VLOOKUP($A2,'FL Ratio'!$A$3:$B$10,2,FALSE),0)*'FL Characterization'!O$2)</f>
        <v>48.899833000776347</v>
      </c>
      <c r="P2" s="2">
        <f>('[1]Pc, Winter, S3'!P2*Main!$B$5)+(_xlfn.IFNA(VLOOKUP($A2,'FL Ratio'!$A$3:$B$10,2,FALSE),0)*'FL Characterization'!P$2)</f>
        <v>46.113053367462356</v>
      </c>
      <c r="Q2" s="2">
        <f>('[1]Pc, Winter, S3'!Q2*Main!$B$5)+(_xlfn.IFNA(VLOOKUP($A2,'FL Ratio'!$A$3:$B$10,2,FALSE),0)*'FL Characterization'!Q$2)</f>
        <v>44.791897352134391</v>
      </c>
      <c r="R2" s="2">
        <f>('[1]Pc, Winter, S3'!R2*Main!$B$5)+(_xlfn.IFNA(VLOOKUP($A2,'FL Ratio'!$A$3:$B$10,2,FALSE),0)*'FL Characterization'!R$2)</f>
        <v>46.648482040410741</v>
      </c>
      <c r="S2" s="2">
        <f>('[1]Pc, Winter, S3'!S2*Main!$B$5)+(_xlfn.IFNA(VLOOKUP($A2,'FL Ratio'!$A$3:$B$10,2,FALSE),0)*'FL Characterization'!S$2)</f>
        <v>51.710718241135119</v>
      </c>
      <c r="T2" s="2">
        <f>('[1]Pc, Winter, S3'!T2*Main!$B$5)+(_xlfn.IFNA(VLOOKUP($A2,'FL Ratio'!$A$3:$B$10,2,FALSE),0)*'FL Characterization'!T$2)</f>
        <v>51.523267705352509</v>
      </c>
      <c r="U2" s="2">
        <f>('[1]Pc, Winter, S3'!U2*Main!$B$5)+(_xlfn.IFNA(VLOOKUP($A2,'FL Ratio'!$A$3:$B$10,2,FALSE),0)*'FL Characterization'!U$2)</f>
        <v>50.456550796238417</v>
      </c>
      <c r="V2" s="2">
        <f>('[1]Pc, Winter, S3'!V2*Main!$B$5)+(_xlfn.IFNA(VLOOKUP($A2,'FL Ratio'!$A$3:$B$10,2,FALSE),0)*'FL Characterization'!V$2)</f>
        <v>49.588828694921659</v>
      </c>
      <c r="W2" s="2">
        <f>('[1]Pc, Winter, S3'!W2*Main!$B$5)+(_xlfn.IFNA(VLOOKUP($A2,'FL Ratio'!$A$3:$B$10,2,FALSE),0)*'FL Characterization'!W$2)</f>
        <v>46.478070451369383</v>
      </c>
      <c r="X2" s="2">
        <f>('[1]Pc, Winter, S3'!X2*Main!$B$5)+(_xlfn.IFNA(VLOOKUP($A2,'FL Ratio'!$A$3:$B$10,2,FALSE),0)*'FL Characterization'!X$2)</f>
        <v>40.659664055318501</v>
      </c>
      <c r="Y2" s="2">
        <f>('[1]Pc, Winter, S3'!Y2*Main!$B$5)+(_xlfn.IFNA(VLOOKUP($A2,'FL Ratio'!$A$3:$B$10,2,FALSE),0)*'FL Characterization'!Y$2)</f>
        <v>36.888636266506218</v>
      </c>
    </row>
    <row r="3" spans="1:25" x14ac:dyDescent="0.3">
      <c r="A3">
        <v>2</v>
      </c>
      <c r="B3" s="2">
        <f>('[1]Pc, Winter, S3'!B3*Main!$B$5)+(_xlfn.IFNA(VLOOKUP($A3,'FL Ratio'!$A$3:$B$10,2,FALSE),0)*'FL Characterization'!B$2)</f>
        <v>34.974605072582158</v>
      </c>
      <c r="C3" s="2">
        <f>('[1]Pc, Winter, S3'!C3*Main!$B$5)+(_xlfn.IFNA(VLOOKUP($A3,'FL Ratio'!$A$3:$B$10,2,FALSE),0)*'FL Characterization'!C$2)</f>
        <v>32.753474353530123</v>
      </c>
      <c r="D3" s="2">
        <f>('[1]Pc, Winter, S3'!D3*Main!$B$5)+(_xlfn.IFNA(VLOOKUP($A3,'FL Ratio'!$A$3:$B$10,2,FALSE),0)*'FL Characterization'!D$2)</f>
        <v>29.616431845178329</v>
      </c>
      <c r="E3" s="2">
        <f>('[1]Pc, Winter, S3'!E3*Main!$B$5)+(_xlfn.IFNA(VLOOKUP($A3,'FL Ratio'!$A$3:$B$10,2,FALSE),0)*'FL Characterization'!E$2)</f>
        <v>31.566709974885743</v>
      </c>
      <c r="F3" s="2">
        <f>('[1]Pc, Winter, S3'!F3*Main!$B$5)+(_xlfn.IFNA(VLOOKUP($A3,'FL Ratio'!$A$3:$B$10,2,FALSE),0)*'FL Characterization'!F$2)</f>
        <v>31.078483866370412</v>
      </c>
      <c r="G3" s="2">
        <f>('[1]Pc, Winter, S3'!G3*Main!$B$5)+(_xlfn.IFNA(VLOOKUP($A3,'FL Ratio'!$A$3:$B$10,2,FALSE),0)*'FL Characterization'!G$2)</f>
        <v>32.060496016539886</v>
      </c>
      <c r="H3" s="2">
        <f>('[1]Pc, Winter, S3'!H3*Main!$B$5)+(_xlfn.IFNA(VLOOKUP($A3,'FL Ratio'!$A$3:$B$10,2,FALSE),0)*'FL Characterization'!H$2)</f>
        <v>47.319455756936328</v>
      </c>
      <c r="I3" s="2">
        <f>('[1]Pc, Winter, S3'!I3*Main!$B$5)+(_xlfn.IFNA(VLOOKUP($A3,'FL Ratio'!$A$3:$B$10,2,FALSE),0)*'FL Characterization'!I$2)</f>
        <v>50.996584265100623</v>
      </c>
      <c r="J3" s="2">
        <f>('[1]Pc, Winter, S3'!J3*Main!$B$5)+(_xlfn.IFNA(VLOOKUP($A3,'FL Ratio'!$A$3:$B$10,2,FALSE),0)*'FL Characterization'!J$2)</f>
        <v>55.84177023564795</v>
      </c>
      <c r="K3" s="2">
        <f>('[1]Pc, Winter, S3'!K3*Main!$B$5)+(_xlfn.IFNA(VLOOKUP($A3,'FL Ratio'!$A$3:$B$10,2,FALSE),0)*'FL Characterization'!K$2)</f>
        <v>55.997972454367783</v>
      </c>
      <c r="L3" s="2">
        <f>('[1]Pc, Winter, S3'!L3*Main!$B$5)+(_xlfn.IFNA(VLOOKUP($A3,'FL Ratio'!$A$3:$B$10,2,FALSE),0)*'FL Characterization'!L$2)</f>
        <v>52.752418677736571</v>
      </c>
      <c r="M3" s="2">
        <f>('[1]Pc, Winter, S3'!M3*Main!$B$5)+(_xlfn.IFNA(VLOOKUP($A3,'FL Ratio'!$A$3:$B$10,2,FALSE),0)*'FL Characterization'!M$2)</f>
        <v>57.753650593558866</v>
      </c>
      <c r="N3" s="2">
        <f>('[1]Pc, Winter, S3'!N3*Main!$B$5)+(_xlfn.IFNA(VLOOKUP($A3,'FL Ratio'!$A$3:$B$10,2,FALSE),0)*'FL Characterization'!N$2)</f>
        <v>54.659886566458809</v>
      </c>
      <c r="O3" s="2">
        <f>('[1]Pc, Winter, S3'!O3*Main!$B$5)+(_xlfn.IFNA(VLOOKUP($A3,'FL Ratio'!$A$3:$B$10,2,FALSE),0)*'FL Characterization'!O$2)</f>
        <v>51.598159006530075</v>
      </c>
      <c r="P3" s="2">
        <f>('[1]Pc, Winter, S3'!P3*Main!$B$5)+(_xlfn.IFNA(VLOOKUP($A3,'FL Ratio'!$A$3:$B$10,2,FALSE),0)*'FL Characterization'!P$2)</f>
        <v>50.116804447452743</v>
      </c>
      <c r="Q3" s="2">
        <f>('[1]Pc, Winter, S3'!Q3*Main!$B$5)+(_xlfn.IFNA(VLOOKUP($A3,'FL Ratio'!$A$3:$B$10,2,FALSE),0)*'FL Characterization'!Q$2)</f>
        <v>46.875230420527828</v>
      </c>
      <c r="R3" s="2">
        <f>('[1]Pc, Winter, S3'!R3*Main!$B$5)+(_xlfn.IFNA(VLOOKUP($A3,'FL Ratio'!$A$3:$B$10,2,FALSE),0)*'FL Characterization'!R$2)</f>
        <v>46.50255591590696</v>
      </c>
      <c r="S3" s="2">
        <f>('[1]Pc, Winter, S3'!S3*Main!$B$5)+(_xlfn.IFNA(VLOOKUP($A3,'FL Ratio'!$A$3:$B$10,2,FALSE),0)*'FL Characterization'!S$2)</f>
        <v>49.733420623870749</v>
      </c>
      <c r="T3" s="2">
        <f>('[1]Pc, Winter, S3'!T3*Main!$B$5)+(_xlfn.IFNA(VLOOKUP($A3,'FL Ratio'!$A$3:$B$10,2,FALSE),0)*'FL Characterization'!T$2)</f>
        <v>49.30113258713439</v>
      </c>
      <c r="U3" s="2">
        <f>('[1]Pc, Winter, S3'!U3*Main!$B$5)+(_xlfn.IFNA(VLOOKUP($A3,'FL Ratio'!$A$3:$B$10,2,FALSE),0)*'FL Characterization'!U$2)</f>
        <v>49.852037955009905</v>
      </c>
      <c r="V3" s="2">
        <f>('[1]Pc, Winter, S3'!V3*Main!$B$5)+(_xlfn.IFNA(VLOOKUP($A3,'FL Ratio'!$A$3:$B$10,2,FALSE),0)*'FL Characterization'!V$2)</f>
        <v>48.741454165697128</v>
      </c>
      <c r="W3" s="2">
        <f>('[1]Pc, Winter, S3'!W3*Main!$B$5)+(_xlfn.IFNA(VLOOKUP($A3,'FL Ratio'!$A$3:$B$10,2,FALSE),0)*'FL Characterization'!W$2)</f>
        <v>43.85716425603551</v>
      </c>
      <c r="X3" s="2">
        <f>('[1]Pc, Winter, S3'!X3*Main!$B$5)+(_xlfn.IFNA(VLOOKUP($A3,'FL Ratio'!$A$3:$B$10,2,FALSE),0)*'FL Characterization'!X$2)</f>
        <v>38.599738125579563</v>
      </c>
      <c r="Y3" s="2">
        <f>('[1]Pc, Winter, S3'!Y3*Main!$B$5)+(_xlfn.IFNA(VLOOKUP($A3,'FL Ratio'!$A$3:$B$10,2,FALSE),0)*'FL Characterization'!Y$2)</f>
        <v>37.791962977490471</v>
      </c>
    </row>
    <row r="4" spans="1:25" x14ac:dyDescent="0.3">
      <c r="A4">
        <v>3</v>
      </c>
      <c r="B4" s="2">
        <f>('[1]Pc, Winter, S3'!B4*Main!$B$5)+(_xlfn.IFNA(VLOOKUP($A4,'FL Ratio'!$A$3:$B$10,2,FALSE),0)*'FL Characterization'!B$2)</f>
        <v>49.733088507562094</v>
      </c>
      <c r="C4" s="2">
        <f>('[1]Pc, Winter, S3'!C4*Main!$B$5)+(_xlfn.IFNA(VLOOKUP($A4,'FL Ratio'!$A$3:$B$10,2,FALSE),0)*'FL Characterization'!C$2)</f>
        <v>44.131809657547258</v>
      </c>
      <c r="D4" s="2">
        <f>('[1]Pc, Winter, S3'!D4*Main!$B$5)+(_xlfn.IFNA(VLOOKUP($A4,'FL Ratio'!$A$3:$B$10,2,FALSE),0)*'FL Characterization'!D$2)</f>
        <v>41.432385766673121</v>
      </c>
      <c r="E4" s="2">
        <f>('[1]Pc, Winter, S3'!E4*Main!$B$5)+(_xlfn.IFNA(VLOOKUP($A4,'FL Ratio'!$A$3:$B$10,2,FALSE),0)*'FL Characterization'!E$2)</f>
        <v>40.849714656586208</v>
      </c>
      <c r="F4" s="2">
        <f>('[1]Pc, Winter, S3'!F4*Main!$B$5)+(_xlfn.IFNA(VLOOKUP($A4,'FL Ratio'!$A$3:$B$10,2,FALSE),0)*'FL Characterization'!F$2)</f>
        <v>42.272311580977671</v>
      </c>
      <c r="G4" s="2">
        <f>('[1]Pc, Winter, S3'!G4*Main!$B$5)+(_xlfn.IFNA(VLOOKUP($A4,'FL Ratio'!$A$3:$B$10,2,FALSE),0)*'FL Characterization'!G$2)</f>
        <v>45.237799005555416</v>
      </c>
      <c r="H4" s="2">
        <f>('[1]Pc, Winter, S3'!H4*Main!$B$5)+(_xlfn.IFNA(VLOOKUP($A4,'FL Ratio'!$A$3:$B$10,2,FALSE),0)*'FL Characterization'!H$2)</f>
        <v>54.61142040282644</v>
      </c>
      <c r="I4" s="2">
        <f>('[1]Pc, Winter, S3'!I4*Main!$B$5)+(_xlfn.IFNA(VLOOKUP($A4,'FL Ratio'!$A$3:$B$10,2,FALSE),0)*'FL Characterization'!I$2)</f>
        <v>59.3387107126701</v>
      </c>
      <c r="J4" s="2">
        <f>('[1]Pc, Winter, S3'!J4*Main!$B$5)+(_xlfn.IFNA(VLOOKUP($A4,'FL Ratio'!$A$3:$B$10,2,FALSE),0)*'FL Characterization'!J$2)</f>
        <v>62.748219991077399</v>
      </c>
      <c r="K4" s="2">
        <f>('[1]Pc, Winter, S3'!K4*Main!$B$5)+(_xlfn.IFNA(VLOOKUP($A4,'FL Ratio'!$A$3:$B$10,2,FALSE),0)*'FL Characterization'!K$2)</f>
        <v>65.00031140219761</v>
      </c>
      <c r="L4" s="2">
        <f>('[1]Pc, Winter, S3'!L4*Main!$B$5)+(_xlfn.IFNA(VLOOKUP($A4,'FL Ratio'!$A$3:$B$10,2,FALSE),0)*'FL Characterization'!L$2)</f>
        <v>65.425272295977223</v>
      </c>
      <c r="M4" s="2">
        <f>('[1]Pc, Winter, S3'!M4*Main!$B$5)+(_xlfn.IFNA(VLOOKUP($A4,'FL Ratio'!$A$3:$B$10,2,FALSE),0)*'FL Characterization'!M$2)</f>
        <v>64.804725256075827</v>
      </c>
      <c r="N4" s="2">
        <f>('[1]Pc, Winter, S3'!N4*Main!$B$5)+(_xlfn.IFNA(VLOOKUP($A4,'FL Ratio'!$A$3:$B$10,2,FALSE),0)*'FL Characterization'!N$2)</f>
        <v>64.615055966729372</v>
      </c>
      <c r="O4" s="2">
        <f>('[1]Pc, Winter, S3'!O4*Main!$B$5)+(_xlfn.IFNA(VLOOKUP($A4,'FL Ratio'!$A$3:$B$10,2,FALSE),0)*'FL Characterization'!O$2)</f>
        <v>63.691367093394206</v>
      </c>
      <c r="P4" s="2">
        <f>('[1]Pc, Winter, S3'!P4*Main!$B$5)+(_xlfn.IFNA(VLOOKUP($A4,'FL Ratio'!$A$3:$B$10,2,FALSE),0)*'FL Characterization'!P$2)</f>
        <v>61.750128343170438</v>
      </c>
      <c r="Q4" s="2">
        <f>('[1]Pc, Winter, S3'!Q4*Main!$B$5)+(_xlfn.IFNA(VLOOKUP($A4,'FL Ratio'!$A$3:$B$10,2,FALSE),0)*'FL Characterization'!Q$2)</f>
        <v>60.633460081239036</v>
      </c>
      <c r="R4" s="2">
        <f>('[1]Pc, Winter, S3'!R4*Main!$B$5)+(_xlfn.IFNA(VLOOKUP($A4,'FL Ratio'!$A$3:$B$10,2,FALSE),0)*'FL Characterization'!R$2)</f>
        <v>62.363343420274823</v>
      </c>
      <c r="S4" s="2">
        <f>('[1]Pc, Winter, S3'!S4*Main!$B$5)+(_xlfn.IFNA(VLOOKUP($A4,'FL Ratio'!$A$3:$B$10,2,FALSE),0)*'FL Characterization'!S$2)</f>
        <v>71.068906205524527</v>
      </c>
      <c r="T4" s="2">
        <f>('[1]Pc, Winter, S3'!T4*Main!$B$5)+(_xlfn.IFNA(VLOOKUP($A4,'FL Ratio'!$A$3:$B$10,2,FALSE),0)*'FL Characterization'!T$2)</f>
        <v>72.010402980169218</v>
      </c>
      <c r="U4" s="2">
        <f>('[1]Pc, Winter, S3'!U4*Main!$B$5)+(_xlfn.IFNA(VLOOKUP($A4,'FL Ratio'!$A$3:$B$10,2,FALSE),0)*'FL Characterization'!U$2)</f>
        <v>72.252136236064644</v>
      </c>
      <c r="V4" s="2">
        <f>('[1]Pc, Winter, S3'!V4*Main!$B$5)+(_xlfn.IFNA(VLOOKUP($A4,'FL Ratio'!$A$3:$B$10,2,FALSE),0)*'FL Characterization'!V$2)</f>
        <v>70.340279637890447</v>
      </c>
      <c r="W4" s="2">
        <f>('[1]Pc, Winter, S3'!W4*Main!$B$5)+(_xlfn.IFNA(VLOOKUP($A4,'FL Ratio'!$A$3:$B$10,2,FALSE),0)*'FL Characterization'!W$2)</f>
        <v>66.904488920611939</v>
      </c>
      <c r="X4" s="2">
        <f>('[1]Pc, Winter, S3'!X4*Main!$B$5)+(_xlfn.IFNA(VLOOKUP($A4,'FL Ratio'!$A$3:$B$10,2,FALSE),0)*'FL Characterization'!X$2)</f>
        <v>62.486944797542478</v>
      </c>
      <c r="Y4" s="2">
        <f>('[1]Pc, Winter, S3'!Y4*Main!$B$5)+(_xlfn.IFNA(VLOOKUP($A4,'FL Ratio'!$A$3:$B$10,2,FALSE),0)*'FL Characterization'!Y$2)</f>
        <v>55.827364071847228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CA2B4-273F-469D-B869-125A49711BDE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Ratio'!$A$3:$B$10,2,FALSE),0)*'FL Characterization'!B$2)</f>
        <v>32.911815088513997</v>
      </c>
      <c r="C2" s="2">
        <f>('[1]Pc, Winter, S3'!C2*Main!$B$5)+(_xlfn.IFNA(VLOOKUP($A2,'FL Ratio'!$A$3:$B$10,2,FALSE),0)*'FL Characterization'!C$2)</f>
        <v>30.698439375279516</v>
      </c>
      <c r="D2" s="2">
        <f>('[1]Pc, Winter, S3'!D2*Main!$B$5)+(_xlfn.IFNA(VLOOKUP($A2,'FL Ratio'!$A$3:$B$10,2,FALSE),0)*'FL Characterization'!D$2)</f>
        <v>29.087714713476807</v>
      </c>
      <c r="E2" s="2">
        <f>('[1]Pc, Winter, S3'!E2*Main!$B$5)+(_xlfn.IFNA(VLOOKUP($A2,'FL Ratio'!$A$3:$B$10,2,FALSE),0)*'FL Characterization'!E$2)</f>
        <v>28.881902943990038</v>
      </c>
      <c r="F2" s="2">
        <f>('[1]Pc, Winter, S3'!F2*Main!$B$5)+(_xlfn.IFNA(VLOOKUP($A2,'FL Ratio'!$A$3:$B$10,2,FALSE),0)*'FL Characterization'!F$2)</f>
        <v>29.230284267847892</v>
      </c>
      <c r="G2" s="2">
        <f>('[1]Pc, Winter, S3'!G2*Main!$B$5)+(_xlfn.IFNA(VLOOKUP($A2,'FL Ratio'!$A$3:$B$10,2,FALSE),0)*'FL Characterization'!G$2)</f>
        <v>32.130393663787686</v>
      </c>
      <c r="H2" s="2">
        <f>('[1]Pc, Winter, S3'!H2*Main!$B$5)+(_xlfn.IFNA(VLOOKUP($A2,'FL Ratio'!$A$3:$B$10,2,FALSE),0)*'FL Characterization'!H$2)</f>
        <v>38.339389881007925</v>
      </c>
      <c r="I2" s="2">
        <f>('[1]Pc, Winter, S3'!I2*Main!$B$5)+(_xlfn.IFNA(VLOOKUP($A2,'FL Ratio'!$A$3:$B$10,2,FALSE),0)*'FL Characterization'!I$2)</f>
        <v>46.148936585232484</v>
      </c>
      <c r="J2" s="2">
        <f>('[1]Pc, Winter, S3'!J2*Main!$B$5)+(_xlfn.IFNA(VLOOKUP($A2,'FL Ratio'!$A$3:$B$10,2,FALSE),0)*'FL Characterization'!J$2)</f>
        <v>50.243651871869602</v>
      </c>
      <c r="K2" s="2">
        <f>('[1]Pc, Winter, S3'!K2*Main!$B$5)+(_xlfn.IFNA(VLOOKUP($A2,'FL Ratio'!$A$3:$B$10,2,FALSE),0)*'FL Characterization'!K$2)</f>
        <v>50.87018165513836</v>
      </c>
      <c r="L2" s="2">
        <f>('[1]Pc, Winter, S3'!L2*Main!$B$5)+(_xlfn.IFNA(VLOOKUP($A2,'FL Ratio'!$A$3:$B$10,2,FALSE),0)*'FL Characterization'!L$2)</f>
        <v>49.497365905576899</v>
      </c>
      <c r="M2" s="2">
        <f>('[1]Pc, Winter, S3'!M2*Main!$B$5)+(_xlfn.IFNA(VLOOKUP($A2,'FL Ratio'!$A$3:$B$10,2,FALSE),0)*'FL Characterization'!M$2)</f>
        <v>49.752481945261032</v>
      </c>
      <c r="N2" s="2">
        <f>('[1]Pc, Winter, S3'!N2*Main!$B$5)+(_xlfn.IFNA(VLOOKUP($A2,'FL Ratio'!$A$3:$B$10,2,FALSE),0)*'FL Characterization'!N$2)</f>
        <v>49.711596749584068</v>
      </c>
      <c r="O2" s="2">
        <f>('[1]Pc, Winter, S3'!O2*Main!$B$5)+(_xlfn.IFNA(VLOOKUP($A2,'FL Ratio'!$A$3:$B$10,2,FALSE),0)*'FL Characterization'!O$2)</f>
        <v>48.899833000776347</v>
      </c>
      <c r="P2" s="2">
        <f>('[1]Pc, Winter, S3'!P2*Main!$B$5)+(_xlfn.IFNA(VLOOKUP($A2,'FL Ratio'!$A$3:$B$10,2,FALSE),0)*'FL Characterization'!P$2)</f>
        <v>46.113053367462356</v>
      </c>
      <c r="Q2" s="2">
        <f>('[1]Pc, Winter, S3'!Q2*Main!$B$5)+(_xlfn.IFNA(VLOOKUP($A2,'FL Ratio'!$A$3:$B$10,2,FALSE),0)*'FL Characterization'!Q$2)</f>
        <v>44.791897352134391</v>
      </c>
      <c r="R2" s="2">
        <f>('[1]Pc, Winter, S3'!R2*Main!$B$5)+(_xlfn.IFNA(VLOOKUP($A2,'FL Ratio'!$A$3:$B$10,2,FALSE),0)*'FL Characterization'!R$2)</f>
        <v>46.648482040410741</v>
      </c>
      <c r="S2" s="2">
        <f>('[1]Pc, Winter, S3'!S2*Main!$B$5)+(_xlfn.IFNA(VLOOKUP($A2,'FL Ratio'!$A$3:$B$10,2,FALSE),0)*'FL Characterization'!S$2)</f>
        <v>51.710718241135119</v>
      </c>
      <c r="T2" s="2">
        <f>('[1]Pc, Winter, S3'!T2*Main!$B$5)+(_xlfn.IFNA(VLOOKUP($A2,'FL Ratio'!$A$3:$B$10,2,FALSE),0)*'FL Characterization'!T$2)</f>
        <v>51.523267705352509</v>
      </c>
      <c r="U2" s="2">
        <f>('[1]Pc, Winter, S3'!U2*Main!$B$5)+(_xlfn.IFNA(VLOOKUP($A2,'FL Ratio'!$A$3:$B$10,2,FALSE),0)*'FL Characterization'!U$2)</f>
        <v>50.456550796238417</v>
      </c>
      <c r="V2" s="2">
        <f>('[1]Pc, Winter, S3'!V2*Main!$B$5)+(_xlfn.IFNA(VLOOKUP($A2,'FL Ratio'!$A$3:$B$10,2,FALSE),0)*'FL Characterization'!V$2)</f>
        <v>49.588828694921659</v>
      </c>
      <c r="W2" s="2">
        <f>('[1]Pc, Winter, S3'!W2*Main!$B$5)+(_xlfn.IFNA(VLOOKUP($A2,'FL Ratio'!$A$3:$B$10,2,FALSE),0)*'FL Characterization'!W$2)</f>
        <v>46.478070451369383</v>
      </c>
      <c r="X2" s="2">
        <f>('[1]Pc, Winter, S3'!X2*Main!$B$5)+(_xlfn.IFNA(VLOOKUP($A2,'FL Ratio'!$A$3:$B$10,2,FALSE),0)*'FL Characterization'!X$2)</f>
        <v>40.659664055318501</v>
      </c>
      <c r="Y2" s="2">
        <f>('[1]Pc, Winter, S3'!Y2*Main!$B$5)+(_xlfn.IFNA(VLOOKUP($A2,'FL Ratio'!$A$3:$B$10,2,FALSE),0)*'FL Characterization'!Y$2)</f>
        <v>36.888636266506218</v>
      </c>
    </row>
    <row r="3" spans="1:25" x14ac:dyDescent="0.3">
      <c r="A3">
        <v>2</v>
      </c>
      <c r="B3" s="2">
        <f>('[1]Pc, Winter, S3'!B3*Main!$B$5)+(_xlfn.IFNA(VLOOKUP($A3,'FL Ratio'!$A$3:$B$10,2,FALSE),0)*'FL Characterization'!B$2)</f>
        <v>34.974605072582158</v>
      </c>
      <c r="C3" s="2">
        <f>('[1]Pc, Winter, S3'!C3*Main!$B$5)+(_xlfn.IFNA(VLOOKUP($A3,'FL Ratio'!$A$3:$B$10,2,FALSE),0)*'FL Characterization'!C$2)</f>
        <v>32.753474353530123</v>
      </c>
      <c r="D3" s="2">
        <f>('[1]Pc, Winter, S3'!D3*Main!$B$5)+(_xlfn.IFNA(VLOOKUP($A3,'FL Ratio'!$A$3:$B$10,2,FALSE),0)*'FL Characterization'!D$2)</f>
        <v>29.616431845178329</v>
      </c>
      <c r="E3" s="2">
        <f>('[1]Pc, Winter, S3'!E3*Main!$B$5)+(_xlfn.IFNA(VLOOKUP($A3,'FL Ratio'!$A$3:$B$10,2,FALSE),0)*'FL Characterization'!E$2)</f>
        <v>31.566709974885743</v>
      </c>
      <c r="F3" s="2">
        <f>('[1]Pc, Winter, S3'!F3*Main!$B$5)+(_xlfn.IFNA(VLOOKUP($A3,'FL Ratio'!$A$3:$B$10,2,FALSE),0)*'FL Characterization'!F$2)</f>
        <v>31.078483866370412</v>
      </c>
      <c r="G3" s="2">
        <f>('[1]Pc, Winter, S3'!G3*Main!$B$5)+(_xlfn.IFNA(VLOOKUP($A3,'FL Ratio'!$A$3:$B$10,2,FALSE),0)*'FL Characterization'!G$2)</f>
        <v>32.060496016539886</v>
      </c>
      <c r="H3" s="2">
        <f>('[1]Pc, Winter, S3'!H3*Main!$B$5)+(_xlfn.IFNA(VLOOKUP($A3,'FL Ratio'!$A$3:$B$10,2,FALSE),0)*'FL Characterization'!H$2)</f>
        <v>47.319455756936328</v>
      </c>
      <c r="I3" s="2">
        <f>('[1]Pc, Winter, S3'!I3*Main!$B$5)+(_xlfn.IFNA(VLOOKUP($A3,'FL Ratio'!$A$3:$B$10,2,FALSE),0)*'FL Characterization'!I$2)</f>
        <v>50.996584265100623</v>
      </c>
      <c r="J3" s="2">
        <f>('[1]Pc, Winter, S3'!J3*Main!$B$5)+(_xlfn.IFNA(VLOOKUP($A3,'FL Ratio'!$A$3:$B$10,2,FALSE),0)*'FL Characterization'!J$2)</f>
        <v>55.84177023564795</v>
      </c>
      <c r="K3" s="2">
        <f>('[1]Pc, Winter, S3'!K3*Main!$B$5)+(_xlfn.IFNA(VLOOKUP($A3,'FL Ratio'!$A$3:$B$10,2,FALSE),0)*'FL Characterization'!K$2)</f>
        <v>55.997972454367783</v>
      </c>
      <c r="L3" s="2">
        <f>('[1]Pc, Winter, S3'!L3*Main!$B$5)+(_xlfn.IFNA(VLOOKUP($A3,'FL Ratio'!$A$3:$B$10,2,FALSE),0)*'FL Characterization'!L$2)</f>
        <v>52.752418677736571</v>
      </c>
      <c r="M3" s="2">
        <f>('[1]Pc, Winter, S3'!M3*Main!$B$5)+(_xlfn.IFNA(VLOOKUP($A3,'FL Ratio'!$A$3:$B$10,2,FALSE),0)*'FL Characterization'!M$2)</f>
        <v>57.753650593558866</v>
      </c>
      <c r="N3" s="2">
        <f>('[1]Pc, Winter, S3'!N3*Main!$B$5)+(_xlfn.IFNA(VLOOKUP($A3,'FL Ratio'!$A$3:$B$10,2,FALSE),0)*'FL Characterization'!N$2)</f>
        <v>54.659886566458809</v>
      </c>
      <c r="O3" s="2">
        <f>('[1]Pc, Winter, S3'!O3*Main!$B$5)+(_xlfn.IFNA(VLOOKUP($A3,'FL Ratio'!$A$3:$B$10,2,FALSE),0)*'FL Characterization'!O$2)</f>
        <v>51.598159006530075</v>
      </c>
      <c r="P3" s="2">
        <f>('[1]Pc, Winter, S3'!P3*Main!$B$5)+(_xlfn.IFNA(VLOOKUP($A3,'FL Ratio'!$A$3:$B$10,2,FALSE),0)*'FL Characterization'!P$2)</f>
        <v>50.116804447452743</v>
      </c>
      <c r="Q3" s="2">
        <f>('[1]Pc, Winter, S3'!Q3*Main!$B$5)+(_xlfn.IFNA(VLOOKUP($A3,'FL Ratio'!$A$3:$B$10,2,FALSE),0)*'FL Characterization'!Q$2)</f>
        <v>46.875230420527828</v>
      </c>
      <c r="R3" s="2">
        <f>('[1]Pc, Winter, S3'!R3*Main!$B$5)+(_xlfn.IFNA(VLOOKUP($A3,'FL Ratio'!$A$3:$B$10,2,FALSE),0)*'FL Characterization'!R$2)</f>
        <v>46.50255591590696</v>
      </c>
      <c r="S3" s="2">
        <f>('[1]Pc, Winter, S3'!S3*Main!$B$5)+(_xlfn.IFNA(VLOOKUP($A3,'FL Ratio'!$A$3:$B$10,2,FALSE),0)*'FL Characterization'!S$2)</f>
        <v>49.733420623870749</v>
      </c>
      <c r="T3" s="2">
        <f>('[1]Pc, Winter, S3'!T3*Main!$B$5)+(_xlfn.IFNA(VLOOKUP($A3,'FL Ratio'!$A$3:$B$10,2,FALSE),0)*'FL Characterization'!T$2)</f>
        <v>49.30113258713439</v>
      </c>
      <c r="U3" s="2">
        <f>('[1]Pc, Winter, S3'!U3*Main!$B$5)+(_xlfn.IFNA(VLOOKUP($A3,'FL Ratio'!$A$3:$B$10,2,FALSE),0)*'FL Characterization'!U$2)</f>
        <v>49.852037955009905</v>
      </c>
      <c r="V3" s="2">
        <f>('[1]Pc, Winter, S3'!V3*Main!$B$5)+(_xlfn.IFNA(VLOOKUP($A3,'FL Ratio'!$A$3:$B$10,2,FALSE),0)*'FL Characterization'!V$2)</f>
        <v>48.741454165697128</v>
      </c>
      <c r="W3" s="2">
        <f>('[1]Pc, Winter, S3'!W3*Main!$B$5)+(_xlfn.IFNA(VLOOKUP($A3,'FL Ratio'!$A$3:$B$10,2,FALSE),0)*'FL Characterization'!W$2)</f>
        <v>43.85716425603551</v>
      </c>
      <c r="X3" s="2">
        <f>('[1]Pc, Winter, S3'!X3*Main!$B$5)+(_xlfn.IFNA(VLOOKUP($A3,'FL Ratio'!$A$3:$B$10,2,FALSE),0)*'FL Characterization'!X$2)</f>
        <v>38.599738125579563</v>
      </c>
      <c r="Y3" s="2">
        <f>('[1]Pc, Winter, S3'!Y3*Main!$B$5)+(_xlfn.IFNA(VLOOKUP($A3,'FL Ratio'!$A$3:$B$10,2,FALSE),0)*'FL Characterization'!Y$2)</f>
        <v>37.791962977490471</v>
      </c>
    </row>
    <row r="4" spans="1:25" x14ac:dyDescent="0.3">
      <c r="A4">
        <v>3</v>
      </c>
      <c r="B4" s="2">
        <f>('[1]Pc, Winter, S3'!B4*Main!$B$5)+(_xlfn.IFNA(VLOOKUP($A4,'FL Ratio'!$A$3:$B$10,2,FALSE),0)*'FL Characterization'!B$2)</f>
        <v>49.733088507562094</v>
      </c>
      <c r="C4" s="2">
        <f>('[1]Pc, Winter, S3'!C4*Main!$B$5)+(_xlfn.IFNA(VLOOKUP($A4,'FL Ratio'!$A$3:$B$10,2,FALSE),0)*'FL Characterization'!C$2)</f>
        <v>44.131809657547258</v>
      </c>
      <c r="D4" s="2">
        <f>('[1]Pc, Winter, S3'!D4*Main!$B$5)+(_xlfn.IFNA(VLOOKUP($A4,'FL Ratio'!$A$3:$B$10,2,FALSE),0)*'FL Characterization'!D$2)</f>
        <v>41.432385766673121</v>
      </c>
      <c r="E4" s="2">
        <f>('[1]Pc, Winter, S3'!E4*Main!$B$5)+(_xlfn.IFNA(VLOOKUP($A4,'FL Ratio'!$A$3:$B$10,2,FALSE),0)*'FL Characterization'!E$2)</f>
        <v>40.849714656586208</v>
      </c>
      <c r="F4" s="2">
        <f>('[1]Pc, Winter, S3'!F4*Main!$B$5)+(_xlfn.IFNA(VLOOKUP($A4,'FL Ratio'!$A$3:$B$10,2,FALSE),0)*'FL Characterization'!F$2)</f>
        <v>42.272311580977671</v>
      </c>
      <c r="G4" s="2">
        <f>('[1]Pc, Winter, S3'!G4*Main!$B$5)+(_xlfn.IFNA(VLOOKUP($A4,'FL Ratio'!$A$3:$B$10,2,FALSE),0)*'FL Characterization'!G$2)</f>
        <v>45.237799005555416</v>
      </c>
      <c r="H4" s="2">
        <f>('[1]Pc, Winter, S3'!H4*Main!$B$5)+(_xlfn.IFNA(VLOOKUP($A4,'FL Ratio'!$A$3:$B$10,2,FALSE),0)*'FL Characterization'!H$2)</f>
        <v>54.61142040282644</v>
      </c>
      <c r="I4" s="2">
        <f>('[1]Pc, Winter, S3'!I4*Main!$B$5)+(_xlfn.IFNA(VLOOKUP($A4,'FL Ratio'!$A$3:$B$10,2,FALSE),0)*'FL Characterization'!I$2)</f>
        <v>59.3387107126701</v>
      </c>
      <c r="J4" s="2">
        <f>('[1]Pc, Winter, S3'!J4*Main!$B$5)+(_xlfn.IFNA(VLOOKUP($A4,'FL Ratio'!$A$3:$B$10,2,FALSE),0)*'FL Characterization'!J$2)</f>
        <v>62.748219991077399</v>
      </c>
      <c r="K4" s="2">
        <f>('[1]Pc, Winter, S3'!K4*Main!$B$5)+(_xlfn.IFNA(VLOOKUP($A4,'FL Ratio'!$A$3:$B$10,2,FALSE),0)*'FL Characterization'!K$2)</f>
        <v>65.00031140219761</v>
      </c>
      <c r="L4" s="2">
        <f>('[1]Pc, Winter, S3'!L4*Main!$B$5)+(_xlfn.IFNA(VLOOKUP($A4,'FL Ratio'!$A$3:$B$10,2,FALSE),0)*'FL Characterization'!L$2)</f>
        <v>65.425272295977223</v>
      </c>
      <c r="M4" s="2">
        <f>('[1]Pc, Winter, S3'!M4*Main!$B$5)+(_xlfn.IFNA(VLOOKUP($A4,'FL Ratio'!$A$3:$B$10,2,FALSE),0)*'FL Characterization'!M$2)</f>
        <v>64.804725256075827</v>
      </c>
      <c r="N4" s="2">
        <f>('[1]Pc, Winter, S3'!N4*Main!$B$5)+(_xlfn.IFNA(VLOOKUP($A4,'FL Ratio'!$A$3:$B$10,2,FALSE),0)*'FL Characterization'!N$2)</f>
        <v>64.615055966729372</v>
      </c>
      <c r="O4" s="2">
        <f>('[1]Pc, Winter, S3'!O4*Main!$B$5)+(_xlfn.IFNA(VLOOKUP($A4,'FL Ratio'!$A$3:$B$10,2,FALSE),0)*'FL Characterization'!O$2)</f>
        <v>63.691367093394206</v>
      </c>
      <c r="P4" s="2">
        <f>('[1]Pc, Winter, S3'!P4*Main!$B$5)+(_xlfn.IFNA(VLOOKUP($A4,'FL Ratio'!$A$3:$B$10,2,FALSE),0)*'FL Characterization'!P$2)</f>
        <v>61.750128343170438</v>
      </c>
      <c r="Q4" s="2">
        <f>('[1]Pc, Winter, S3'!Q4*Main!$B$5)+(_xlfn.IFNA(VLOOKUP($A4,'FL Ratio'!$A$3:$B$10,2,FALSE),0)*'FL Characterization'!Q$2)</f>
        <v>60.633460081239036</v>
      </c>
      <c r="R4" s="2">
        <f>('[1]Pc, Winter, S3'!R4*Main!$B$5)+(_xlfn.IFNA(VLOOKUP($A4,'FL Ratio'!$A$3:$B$10,2,FALSE),0)*'FL Characterization'!R$2)</f>
        <v>62.363343420274823</v>
      </c>
      <c r="S4" s="2">
        <f>('[1]Pc, Winter, S3'!S4*Main!$B$5)+(_xlfn.IFNA(VLOOKUP($A4,'FL Ratio'!$A$3:$B$10,2,FALSE),0)*'FL Characterization'!S$2)</f>
        <v>71.068906205524527</v>
      </c>
      <c r="T4" s="2">
        <f>('[1]Pc, Winter, S3'!T4*Main!$B$5)+(_xlfn.IFNA(VLOOKUP($A4,'FL Ratio'!$A$3:$B$10,2,FALSE),0)*'FL Characterization'!T$2)</f>
        <v>72.010402980169218</v>
      </c>
      <c r="U4" s="2">
        <f>('[1]Pc, Winter, S3'!U4*Main!$B$5)+(_xlfn.IFNA(VLOOKUP($A4,'FL Ratio'!$A$3:$B$10,2,FALSE),0)*'FL Characterization'!U$2)</f>
        <v>72.252136236064644</v>
      </c>
      <c r="V4" s="2">
        <f>('[1]Pc, Winter, S3'!V4*Main!$B$5)+(_xlfn.IFNA(VLOOKUP($A4,'FL Ratio'!$A$3:$B$10,2,FALSE),0)*'FL Characterization'!V$2)</f>
        <v>70.340279637890447</v>
      </c>
      <c r="W4" s="2">
        <f>('[1]Pc, Winter, S3'!W4*Main!$B$5)+(_xlfn.IFNA(VLOOKUP($A4,'FL Ratio'!$A$3:$B$10,2,FALSE),0)*'FL Characterization'!W$2)</f>
        <v>66.904488920611939</v>
      </c>
      <c r="X4" s="2">
        <f>('[1]Pc, Winter, S3'!X4*Main!$B$5)+(_xlfn.IFNA(VLOOKUP($A4,'FL Ratio'!$A$3:$B$10,2,FALSE),0)*'FL Characterization'!X$2)</f>
        <v>62.486944797542478</v>
      </c>
      <c r="Y4" s="2">
        <f>('[1]Pc, Winter, S3'!Y4*Main!$B$5)+(_xlfn.IFNA(VLOOKUP($A4,'FL Ratio'!$A$3:$B$10,2,FALSE),0)*'FL Characterization'!Y$2)</f>
        <v>55.827364071847228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9B8D7-0E6A-4716-B188-A5931C3A0548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-14.621804199416795</v>
      </c>
      <c r="C2" s="2">
        <f>('[1]Qc, Winter, S1'!C2*Main!$B$5)</f>
        <v>-15.891893247854092</v>
      </c>
      <c r="D2" s="2">
        <f>('[1]Qc, Winter, S1'!D2*Main!$B$5)</f>
        <v>-17.117763593050906</v>
      </c>
      <c r="E2" s="2">
        <f>('[1]Qc, Winter, S1'!E2*Main!$B$5)</f>
        <v>-16.993150662257641</v>
      </c>
      <c r="F2" s="2">
        <f>('[1]Qc, Winter, S1'!F2*Main!$B$5)</f>
        <v>-17.588679673855481</v>
      </c>
      <c r="G2" s="2">
        <f>('[1]Qc, Winter, S1'!G2*Main!$B$5)</f>
        <v>-15.657235799701155</v>
      </c>
      <c r="H2" s="2">
        <f>('[1]Qc, Winter, S1'!H2*Main!$B$5)</f>
        <v>-11.65971767698373</v>
      </c>
      <c r="I2" s="2">
        <f>('[1]Qc, Winter, S1'!I2*Main!$B$5)</f>
        <v>-4.7993717955707282</v>
      </c>
      <c r="J2" s="2">
        <f>('[1]Qc, Winter, S1'!J2*Main!$B$5)</f>
        <v>-1.4133873918674975</v>
      </c>
      <c r="K2" s="2">
        <f>('[1]Qc, Winter, S1'!K2*Main!$B$5)</f>
        <v>-0.22110093801263619</v>
      </c>
      <c r="L2" s="2">
        <f>('[1]Qc, Winter, S1'!L2*Main!$B$5)</f>
        <v>-1.9849181748213549</v>
      </c>
      <c r="M2" s="2">
        <f>('[1]Qc, Winter, S1'!M2*Main!$B$5)</f>
        <v>-1.4592732968719238</v>
      </c>
      <c r="N2" s="2">
        <f>('[1]Qc, Winter, S1'!N2*Main!$B$5)</f>
        <v>-2.0198328546394162</v>
      </c>
      <c r="O2" s="2">
        <f>('[1]Qc, Winter, S1'!O2*Main!$B$5)</f>
        <v>-2.0375440836228873</v>
      </c>
      <c r="P2" s="2">
        <f>('[1]Qc, Winter, S1'!P2*Main!$B$5)</f>
        <v>-5.1509689912519905</v>
      </c>
      <c r="Q2" s="2">
        <f>('[1]Qc, Winter, S1'!Q2*Main!$B$5)</f>
        <v>-7.4182063215540897</v>
      </c>
      <c r="R2" s="2">
        <f>('[1]Qc, Winter, S1'!R2*Main!$B$5)</f>
        <v>-6.5971396874757842</v>
      </c>
      <c r="S2" s="2">
        <f>('[1]Qc, Winter, S1'!S2*Main!$B$5)</f>
        <v>-2.251951896307899</v>
      </c>
      <c r="T2" s="2">
        <f>('[1]Qc, Winter, S1'!T2*Main!$B$5)</f>
        <v>-3.2757825018569782</v>
      </c>
      <c r="U2" s="2">
        <f>('[1]Qc, Winter, S1'!U2*Main!$B$5)</f>
        <v>-4.117815160320391</v>
      </c>
      <c r="V2" s="2">
        <f>('[1]Qc, Winter, S1'!V2*Main!$B$5)</f>
        <v>-6.4683578890266418</v>
      </c>
      <c r="W2" s="2">
        <f>('[1]Qc, Winter, S1'!W2*Main!$B$5)</f>
        <v>-8.3963486106892873</v>
      </c>
      <c r="X2" s="2">
        <f>('[1]Qc, Winter, S1'!X2*Main!$B$5)</f>
        <v>-11.264843653154294</v>
      </c>
      <c r="Y2" s="2">
        <f>('[1]Qc, Winter, S1'!Y2*Main!$B$5)</f>
        <v>-12.679539799669778</v>
      </c>
    </row>
    <row r="3" spans="1:25" x14ac:dyDescent="0.3">
      <c r="A3">
        <v>2</v>
      </c>
      <c r="B3" s="2">
        <f>('[1]Qc, Winter, S1'!B3*Main!$B$5)</f>
        <v>16.565658615168655</v>
      </c>
      <c r="C3" s="2">
        <f>('[1]Qc, Winter, S1'!C3*Main!$B$5)</f>
        <v>20.520126286164729</v>
      </c>
      <c r="D3" s="2">
        <f>('[1]Qc, Winter, S1'!D3*Main!$B$5)</f>
        <v>20.520126286164729</v>
      </c>
      <c r="E3" s="2">
        <f>('[1]Qc, Winter, S1'!E3*Main!$B$5)</f>
        <v>20.520126286164729</v>
      </c>
      <c r="F3" s="2">
        <f>('[1]Qc, Winter, S1'!F3*Main!$B$5)</f>
        <v>20.520126286164729</v>
      </c>
      <c r="G3" s="2">
        <f>('[1]Qc, Winter, S1'!G3*Main!$B$5)</f>
        <v>16.626498789015429</v>
      </c>
      <c r="H3" s="2">
        <f>('[1]Qc, Winter, S1'!H3*Main!$B$5)</f>
        <v>7.541367996588205</v>
      </c>
      <c r="I3" s="2">
        <f>('[1]Qc, Winter, S1'!I3*Main!$B$5)</f>
        <v>0.97087296461441319</v>
      </c>
      <c r="J3" s="2">
        <f>('[1]Qc, Winter, S1'!J3*Main!$B$5)</f>
        <v>-5.6807336099347365</v>
      </c>
      <c r="K3" s="2">
        <f>('[1]Qc, Winter, S1'!K3*Main!$B$5)</f>
        <v>-5.6807336099347365</v>
      </c>
      <c r="L3" s="2">
        <f>('[1]Qc, Winter, S1'!L3*Main!$B$5)</f>
        <v>-0.4892302804023328</v>
      </c>
      <c r="M3" s="2">
        <f>('[1]Qc, Winter, S1'!M3*Main!$B$5)</f>
        <v>-5.924094305321832</v>
      </c>
      <c r="N3" s="2">
        <f>('[1]Qc, Winter, S1'!N3*Main!$B$5)</f>
        <v>-5.924094305321832</v>
      </c>
      <c r="O3" s="2">
        <f>('[1]Qc, Winter, S1'!O3*Main!$B$5)</f>
        <v>-4.5856583570408818</v>
      </c>
      <c r="P3" s="2">
        <f>('[1]Qc, Winter, S1'!P3*Main!$B$5)</f>
        <v>-0.57035051219803157</v>
      </c>
      <c r="Q3" s="2">
        <f>('[1]Qc, Winter, S1'!Q3*Main!$B$5)</f>
        <v>3.4449442816870661</v>
      </c>
      <c r="R3" s="2">
        <f>('[1]Qc, Winter, S1'!R3*Main!$B$5)</f>
        <v>4.7833758796487666</v>
      </c>
      <c r="S3" s="2">
        <f>('[1]Qc, Winter, S1'!S3*Main!$B$5)</f>
        <v>4.7833758796487666</v>
      </c>
      <c r="T3" s="2">
        <f>('[1]Qc, Winter, S1'!T3*Main!$B$5)</f>
        <v>4.7833758796487666</v>
      </c>
      <c r="U3" s="2">
        <f>('[1]Qc, Winter, S1'!U3*Main!$B$5)</f>
        <v>4.7833758796487666</v>
      </c>
      <c r="V3" s="2">
        <f>('[1]Qc, Winter, S1'!V3*Main!$B$5)</f>
        <v>4.7833758796487666</v>
      </c>
      <c r="W3" s="2">
        <f>('[1]Qc, Winter, S1'!W3*Main!$B$5)</f>
        <v>9.9748791635085272</v>
      </c>
      <c r="X3" s="2">
        <f>('[1]Qc, Winter, S1'!X3*Main!$B$5)</f>
        <v>15.247502724836627</v>
      </c>
      <c r="Y3" s="2">
        <f>('[1]Qc, Winter, S1'!Y3*Main!$B$5)</f>
        <v>15.247502724836627</v>
      </c>
    </row>
    <row r="4" spans="1:25" x14ac:dyDescent="0.3">
      <c r="A4">
        <v>3</v>
      </c>
      <c r="B4" s="2">
        <f>('[1]Qc, Winter, S1'!B4*Main!$B$5)</f>
        <v>11.240603121304066</v>
      </c>
      <c r="C4" s="2">
        <f>('[1]Qc, Winter, S1'!C4*Main!$B$5)</f>
        <v>8.6706924673132839</v>
      </c>
      <c r="D4" s="2">
        <f>('[1]Qc, Winter, S1'!D4*Main!$B$5)</f>
        <v>7.4225564813348672</v>
      </c>
      <c r="E4" s="2">
        <f>('[1]Qc, Winter, S1'!E4*Main!$B$5)</f>
        <v>7.2634647983071501</v>
      </c>
      <c r="F4" s="2">
        <f>('[1]Qc, Winter, S1'!F4*Main!$B$5)</f>
        <v>8.2553691461792056</v>
      </c>
      <c r="G4" s="2">
        <f>('[1]Qc, Winter, S1'!G4*Main!$B$5)</f>
        <v>10.250178332083726</v>
      </c>
      <c r="H4" s="2">
        <f>('[1]Qc, Winter, S1'!H4*Main!$B$5)</f>
        <v>15.903235694102928</v>
      </c>
      <c r="I4" s="2">
        <f>('[1]Qc, Winter, S1'!I4*Main!$B$5)</f>
        <v>19.414807812539198</v>
      </c>
      <c r="J4" s="2">
        <f>('[1]Qc, Winter, S1'!J4*Main!$B$5)</f>
        <v>22.431060468266072</v>
      </c>
      <c r="K4" s="2">
        <f>('[1]Qc, Winter, S1'!K4*Main!$B$5)</f>
        <v>24.700725173086429</v>
      </c>
      <c r="L4" s="2">
        <f>('[1]Qc, Winter, S1'!L4*Main!$B$5)</f>
        <v>24.909180352869317</v>
      </c>
      <c r="M4" s="2">
        <f>('[1]Qc, Winter, S1'!M4*Main!$B$5)</f>
        <v>24.462538585339203</v>
      </c>
      <c r="N4" s="2">
        <f>('[1]Qc, Winter, S1'!N4*Main!$B$5)</f>
        <v>24.566723268948248</v>
      </c>
      <c r="O4" s="2">
        <f>('[1]Qc, Winter, S1'!O4*Main!$B$5)</f>
        <v>24.316033984458684</v>
      </c>
      <c r="P4" s="2">
        <f>('[1]Qc, Winter, S1'!P4*Main!$B$5)</f>
        <v>21.935869427993723</v>
      </c>
      <c r="Q4" s="2">
        <f>('[1]Qc, Winter, S1'!Q4*Main!$B$5)</f>
        <v>20.841045698206194</v>
      </c>
      <c r="R4" s="2">
        <f>('[1]Qc, Winter, S1'!R4*Main!$B$5)</f>
        <v>21.508022569922996</v>
      </c>
      <c r="S4" s="2">
        <f>('[1]Qc, Winter, S1'!S4*Main!$B$5)</f>
        <v>29.314466123092469</v>
      </c>
      <c r="T4" s="2">
        <f>('[1]Qc, Winter, S1'!T4*Main!$B$5)</f>
        <v>29.271910409726129</v>
      </c>
      <c r="U4" s="2">
        <f>('[1]Qc, Winter, S1'!U4*Main!$B$5)</f>
        <v>28.37866938207539</v>
      </c>
      <c r="V4" s="2">
        <f>('[1]Qc, Winter, S1'!V4*Main!$B$5)</f>
        <v>26.267452063445027</v>
      </c>
      <c r="W4" s="2">
        <f>('[1]Qc, Winter, S1'!W4*Main!$B$5)</f>
        <v>23.360520158128722</v>
      </c>
      <c r="X4" s="2">
        <f>('[1]Qc, Winter, S1'!X4*Main!$B$5)</f>
        <v>19.05338312548891</v>
      </c>
      <c r="Y4" s="2">
        <f>('[1]Qc, Winter, S1'!Y4*Main!$B$5)</f>
        <v>14.617615411215036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6B6BD-F78C-490A-A280-D296BC698427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-14.621804199416795</v>
      </c>
      <c r="C2" s="2">
        <f>('[1]Qc, Winter, S1'!C2*Main!$B$5)</f>
        <v>-15.891893247854092</v>
      </c>
      <c r="D2" s="2">
        <f>('[1]Qc, Winter, S1'!D2*Main!$B$5)</f>
        <v>-17.117763593050906</v>
      </c>
      <c r="E2" s="2">
        <f>('[1]Qc, Winter, S1'!E2*Main!$B$5)</f>
        <v>-16.993150662257641</v>
      </c>
      <c r="F2" s="2">
        <f>('[1]Qc, Winter, S1'!F2*Main!$B$5)</f>
        <v>-17.588679673855481</v>
      </c>
      <c r="G2" s="2">
        <f>('[1]Qc, Winter, S1'!G2*Main!$B$5)</f>
        <v>-15.657235799701155</v>
      </c>
      <c r="H2" s="2">
        <f>('[1]Qc, Winter, S1'!H2*Main!$B$5)</f>
        <v>-11.65971767698373</v>
      </c>
      <c r="I2" s="2">
        <f>('[1]Qc, Winter, S1'!I2*Main!$B$5)</f>
        <v>-4.7993717955707282</v>
      </c>
      <c r="J2" s="2">
        <f>('[1]Qc, Winter, S1'!J2*Main!$B$5)</f>
        <v>-1.4133873918674975</v>
      </c>
      <c r="K2" s="2">
        <f>('[1]Qc, Winter, S1'!K2*Main!$B$5)</f>
        <v>-0.22110093801263619</v>
      </c>
      <c r="L2" s="2">
        <f>('[1]Qc, Winter, S1'!L2*Main!$B$5)</f>
        <v>-1.9849181748213549</v>
      </c>
      <c r="M2" s="2">
        <f>('[1]Qc, Winter, S1'!M2*Main!$B$5)</f>
        <v>-1.4592732968719238</v>
      </c>
      <c r="N2" s="2">
        <f>('[1]Qc, Winter, S1'!N2*Main!$B$5)</f>
        <v>-2.0198328546394162</v>
      </c>
      <c r="O2" s="2">
        <f>('[1]Qc, Winter, S1'!O2*Main!$B$5)</f>
        <v>-2.0375440836228873</v>
      </c>
      <c r="P2" s="2">
        <f>('[1]Qc, Winter, S1'!P2*Main!$B$5)</f>
        <v>-5.1509689912519905</v>
      </c>
      <c r="Q2" s="2">
        <f>('[1]Qc, Winter, S1'!Q2*Main!$B$5)</f>
        <v>-7.4182063215540897</v>
      </c>
      <c r="R2" s="2">
        <f>('[1]Qc, Winter, S1'!R2*Main!$B$5)</f>
        <v>-6.5971396874757842</v>
      </c>
      <c r="S2" s="2">
        <f>('[1]Qc, Winter, S1'!S2*Main!$B$5)</f>
        <v>-2.251951896307899</v>
      </c>
      <c r="T2" s="2">
        <f>('[1]Qc, Winter, S1'!T2*Main!$B$5)</f>
        <v>-3.2757825018569782</v>
      </c>
      <c r="U2" s="2">
        <f>('[1]Qc, Winter, S1'!U2*Main!$B$5)</f>
        <v>-4.117815160320391</v>
      </c>
      <c r="V2" s="2">
        <f>('[1]Qc, Winter, S1'!V2*Main!$B$5)</f>
        <v>-6.4683578890266418</v>
      </c>
      <c r="W2" s="2">
        <f>('[1]Qc, Winter, S1'!W2*Main!$B$5)</f>
        <v>-8.3963486106892873</v>
      </c>
      <c r="X2" s="2">
        <f>('[1]Qc, Winter, S1'!X2*Main!$B$5)</f>
        <v>-11.264843653154294</v>
      </c>
      <c r="Y2" s="2">
        <f>('[1]Qc, Winter, S1'!Y2*Main!$B$5)</f>
        <v>-12.679539799669778</v>
      </c>
    </row>
    <row r="3" spans="1:25" x14ac:dyDescent="0.3">
      <c r="A3">
        <v>2</v>
      </c>
      <c r="B3" s="2">
        <f>('[1]Qc, Winter, S1'!B3*Main!$B$5)</f>
        <v>16.565658615168655</v>
      </c>
      <c r="C3" s="2">
        <f>('[1]Qc, Winter, S1'!C3*Main!$B$5)</f>
        <v>20.520126286164729</v>
      </c>
      <c r="D3" s="2">
        <f>('[1]Qc, Winter, S1'!D3*Main!$B$5)</f>
        <v>20.520126286164729</v>
      </c>
      <c r="E3" s="2">
        <f>('[1]Qc, Winter, S1'!E3*Main!$B$5)</f>
        <v>20.520126286164729</v>
      </c>
      <c r="F3" s="2">
        <f>('[1]Qc, Winter, S1'!F3*Main!$B$5)</f>
        <v>20.520126286164729</v>
      </c>
      <c r="G3" s="2">
        <f>('[1]Qc, Winter, S1'!G3*Main!$B$5)</f>
        <v>16.626498789015429</v>
      </c>
      <c r="H3" s="2">
        <f>('[1]Qc, Winter, S1'!H3*Main!$B$5)</f>
        <v>7.541367996588205</v>
      </c>
      <c r="I3" s="2">
        <f>('[1]Qc, Winter, S1'!I3*Main!$B$5)</f>
        <v>0.97087296461441319</v>
      </c>
      <c r="J3" s="2">
        <f>('[1]Qc, Winter, S1'!J3*Main!$B$5)</f>
        <v>-5.6807336099347365</v>
      </c>
      <c r="K3" s="2">
        <f>('[1]Qc, Winter, S1'!K3*Main!$B$5)</f>
        <v>-5.6807336099347365</v>
      </c>
      <c r="L3" s="2">
        <f>('[1]Qc, Winter, S1'!L3*Main!$B$5)</f>
        <v>-0.4892302804023328</v>
      </c>
      <c r="M3" s="2">
        <f>('[1]Qc, Winter, S1'!M3*Main!$B$5)</f>
        <v>-5.924094305321832</v>
      </c>
      <c r="N3" s="2">
        <f>('[1]Qc, Winter, S1'!N3*Main!$B$5)</f>
        <v>-5.924094305321832</v>
      </c>
      <c r="O3" s="2">
        <f>('[1]Qc, Winter, S1'!O3*Main!$B$5)</f>
        <v>-4.5856583570408818</v>
      </c>
      <c r="P3" s="2">
        <f>('[1]Qc, Winter, S1'!P3*Main!$B$5)</f>
        <v>-0.57035051219803157</v>
      </c>
      <c r="Q3" s="2">
        <f>('[1]Qc, Winter, S1'!Q3*Main!$B$5)</f>
        <v>3.4449442816870661</v>
      </c>
      <c r="R3" s="2">
        <f>('[1]Qc, Winter, S1'!R3*Main!$B$5)</f>
        <v>4.7833758796487666</v>
      </c>
      <c r="S3" s="2">
        <f>('[1]Qc, Winter, S1'!S3*Main!$B$5)</f>
        <v>4.7833758796487666</v>
      </c>
      <c r="T3" s="2">
        <f>('[1]Qc, Winter, S1'!T3*Main!$B$5)</f>
        <v>4.7833758796487666</v>
      </c>
      <c r="U3" s="2">
        <f>('[1]Qc, Winter, S1'!U3*Main!$B$5)</f>
        <v>4.7833758796487666</v>
      </c>
      <c r="V3" s="2">
        <f>('[1]Qc, Winter, S1'!V3*Main!$B$5)</f>
        <v>4.7833758796487666</v>
      </c>
      <c r="W3" s="2">
        <f>('[1]Qc, Winter, S1'!W3*Main!$B$5)</f>
        <v>9.9748791635085272</v>
      </c>
      <c r="X3" s="2">
        <f>('[1]Qc, Winter, S1'!X3*Main!$B$5)</f>
        <v>15.247502724836627</v>
      </c>
      <c r="Y3" s="2">
        <f>('[1]Qc, Winter, S1'!Y3*Main!$B$5)</f>
        <v>15.247502724836627</v>
      </c>
    </row>
    <row r="4" spans="1:25" x14ac:dyDescent="0.3">
      <c r="A4">
        <v>3</v>
      </c>
      <c r="B4" s="2">
        <f>('[1]Qc, Winter, S1'!B4*Main!$B$5)</f>
        <v>11.240603121304066</v>
      </c>
      <c r="C4" s="2">
        <f>('[1]Qc, Winter, S1'!C4*Main!$B$5)</f>
        <v>8.6706924673132839</v>
      </c>
      <c r="D4" s="2">
        <f>('[1]Qc, Winter, S1'!D4*Main!$B$5)</f>
        <v>7.4225564813348672</v>
      </c>
      <c r="E4" s="2">
        <f>('[1]Qc, Winter, S1'!E4*Main!$B$5)</f>
        <v>7.2634647983071501</v>
      </c>
      <c r="F4" s="2">
        <f>('[1]Qc, Winter, S1'!F4*Main!$B$5)</f>
        <v>8.2553691461792056</v>
      </c>
      <c r="G4" s="2">
        <f>('[1]Qc, Winter, S1'!G4*Main!$B$5)</f>
        <v>10.250178332083726</v>
      </c>
      <c r="H4" s="2">
        <f>('[1]Qc, Winter, S1'!H4*Main!$B$5)</f>
        <v>15.903235694102928</v>
      </c>
      <c r="I4" s="2">
        <f>('[1]Qc, Winter, S1'!I4*Main!$B$5)</f>
        <v>19.414807812539198</v>
      </c>
      <c r="J4" s="2">
        <f>('[1]Qc, Winter, S1'!J4*Main!$B$5)</f>
        <v>22.431060468266072</v>
      </c>
      <c r="K4" s="2">
        <f>('[1]Qc, Winter, S1'!K4*Main!$B$5)</f>
        <v>24.700725173086429</v>
      </c>
      <c r="L4" s="2">
        <f>('[1]Qc, Winter, S1'!L4*Main!$B$5)</f>
        <v>24.909180352869317</v>
      </c>
      <c r="M4" s="2">
        <f>('[1]Qc, Winter, S1'!M4*Main!$B$5)</f>
        <v>24.462538585339203</v>
      </c>
      <c r="N4" s="2">
        <f>('[1]Qc, Winter, S1'!N4*Main!$B$5)</f>
        <v>24.566723268948248</v>
      </c>
      <c r="O4" s="2">
        <f>('[1]Qc, Winter, S1'!O4*Main!$B$5)</f>
        <v>24.316033984458684</v>
      </c>
      <c r="P4" s="2">
        <f>('[1]Qc, Winter, S1'!P4*Main!$B$5)</f>
        <v>21.935869427993723</v>
      </c>
      <c r="Q4" s="2">
        <f>('[1]Qc, Winter, S1'!Q4*Main!$B$5)</f>
        <v>20.841045698206194</v>
      </c>
      <c r="R4" s="2">
        <f>('[1]Qc, Winter, S1'!R4*Main!$B$5)</f>
        <v>21.508022569922996</v>
      </c>
      <c r="S4" s="2">
        <f>('[1]Qc, Winter, S1'!S4*Main!$B$5)</f>
        <v>29.314466123092469</v>
      </c>
      <c r="T4" s="2">
        <f>('[1]Qc, Winter, S1'!T4*Main!$B$5)</f>
        <v>29.271910409726129</v>
      </c>
      <c r="U4" s="2">
        <f>('[1]Qc, Winter, S1'!U4*Main!$B$5)</f>
        <v>28.37866938207539</v>
      </c>
      <c r="V4" s="2">
        <f>('[1]Qc, Winter, S1'!V4*Main!$B$5)</f>
        <v>26.267452063445027</v>
      </c>
      <c r="W4" s="2">
        <f>('[1]Qc, Winter, S1'!W4*Main!$B$5)</f>
        <v>23.360520158128722</v>
      </c>
      <c r="X4" s="2">
        <f>('[1]Qc, Winter, S1'!X4*Main!$B$5)</f>
        <v>19.05338312548891</v>
      </c>
      <c r="Y4" s="2">
        <f>('[1]Qc, Winter, S1'!Y4*Main!$B$5)</f>
        <v>14.617615411215036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48F3-EBC0-4175-A379-0A9197F6CD38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-14.621804199416795</v>
      </c>
      <c r="C2" s="2">
        <f>('[1]Qc, Winter, S1'!C2*Main!$B$5)</f>
        <v>-15.891893247854092</v>
      </c>
      <c r="D2" s="2">
        <f>('[1]Qc, Winter, S1'!D2*Main!$B$5)</f>
        <v>-17.117763593050906</v>
      </c>
      <c r="E2" s="2">
        <f>('[1]Qc, Winter, S1'!E2*Main!$B$5)</f>
        <v>-16.993150662257641</v>
      </c>
      <c r="F2" s="2">
        <f>('[1]Qc, Winter, S1'!F2*Main!$B$5)</f>
        <v>-17.588679673855481</v>
      </c>
      <c r="G2" s="2">
        <f>('[1]Qc, Winter, S1'!G2*Main!$B$5)</f>
        <v>-15.657235799701155</v>
      </c>
      <c r="H2" s="2">
        <f>('[1]Qc, Winter, S1'!H2*Main!$B$5)</f>
        <v>-11.65971767698373</v>
      </c>
      <c r="I2" s="2">
        <f>('[1]Qc, Winter, S1'!I2*Main!$B$5)</f>
        <v>-4.7993717955707282</v>
      </c>
      <c r="J2" s="2">
        <f>('[1]Qc, Winter, S1'!J2*Main!$B$5)</f>
        <v>-1.4133873918674975</v>
      </c>
      <c r="K2" s="2">
        <f>('[1]Qc, Winter, S1'!K2*Main!$B$5)</f>
        <v>-0.22110093801263619</v>
      </c>
      <c r="L2" s="2">
        <f>('[1]Qc, Winter, S1'!L2*Main!$B$5)</f>
        <v>-1.9849181748213549</v>
      </c>
      <c r="M2" s="2">
        <f>('[1]Qc, Winter, S1'!M2*Main!$B$5)</f>
        <v>-1.4592732968719238</v>
      </c>
      <c r="N2" s="2">
        <f>('[1]Qc, Winter, S1'!N2*Main!$B$5)</f>
        <v>-2.0198328546394162</v>
      </c>
      <c r="O2" s="2">
        <f>('[1]Qc, Winter, S1'!O2*Main!$B$5)</f>
        <v>-2.0375440836228873</v>
      </c>
      <c r="P2" s="2">
        <f>('[1]Qc, Winter, S1'!P2*Main!$B$5)</f>
        <v>-5.1509689912519905</v>
      </c>
      <c r="Q2" s="2">
        <f>('[1]Qc, Winter, S1'!Q2*Main!$B$5)</f>
        <v>-7.4182063215540897</v>
      </c>
      <c r="R2" s="2">
        <f>('[1]Qc, Winter, S1'!R2*Main!$B$5)</f>
        <v>-6.5971396874757842</v>
      </c>
      <c r="S2" s="2">
        <f>('[1]Qc, Winter, S1'!S2*Main!$B$5)</f>
        <v>-2.251951896307899</v>
      </c>
      <c r="T2" s="2">
        <f>('[1]Qc, Winter, S1'!T2*Main!$B$5)</f>
        <v>-3.2757825018569782</v>
      </c>
      <c r="U2" s="2">
        <f>('[1]Qc, Winter, S1'!U2*Main!$B$5)</f>
        <v>-4.117815160320391</v>
      </c>
      <c r="V2" s="2">
        <f>('[1]Qc, Winter, S1'!V2*Main!$B$5)</f>
        <v>-6.4683578890266418</v>
      </c>
      <c r="W2" s="2">
        <f>('[1]Qc, Winter, S1'!W2*Main!$B$5)</f>
        <v>-8.3963486106892873</v>
      </c>
      <c r="X2" s="2">
        <f>('[1]Qc, Winter, S1'!X2*Main!$B$5)</f>
        <v>-11.264843653154294</v>
      </c>
      <c r="Y2" s="2">
        <f>('[1]Qc, Winter, S1'!Y2*Main!$B$5)</f>
        <v>-12.679539799669778</v>
      </c>
    </row>
    <row r="3" spans="1:25" x14ac:dyDescent="0.3">
      <c r="A3">
        <v>2</v>
      </c>
      <c r="B3" s="2">
        <f>('[1]Qc, Winter, S1'!B3*Main!$B$5)</f>
        <v>16.565658615168655</v>
      </c>
      <c r="C3" s="2">
        <f>('[1]Qc, Winter, S1'!C3*Main!$B$5)</f>
        <v>20.520126286164729</v>
      </c>
      <c r="D3" s="2">
        <f>('[1]Qc, Winter, S1'!D3*Main!$B$5)</f>
        <v>20.520126286164729</v>
      </c>
      <c r="E3" s="2">
        <f>('[1]Qc, Winter, S1'!E3*Main!$B$5)</f>
        <v>20.520126286164729</v>
      </c>
      <c r="F3" s="2">
        <f>('[1]Qc, Winter, S1'!F3*Main!$B$5)</f>
        <v>20.520126286164729</v>
      </c>
      <c r="G3" s="2">
        <f>('[1]Qc, Winter, S1'!G3*Main!$B$5)</f>
        <v>16.626498789015429</v>
      </c>
      <c r="H3" s="2">
        <f>('[1]Qc, Winter, S1'!H3*Main!$B$5)</f>
        <v>7.541367996588205</v>
      </c>
      <c r="I3" s="2">
        <f>('[1]Qc, Winter, S1'!I3*Main!$B$5)</f>
        <v>0.97087296461441319</v>
      </c>
      <c r="J3" s="2">
        <f>('[1]Qc, Winter, S1'!J3*Main!$B$5)</f>
        <v>-5.6807336099347365</v>
      </c>
      <c r="K3" s="2">
        <f>('[1]Qc, Winter, S1'!K3*Main!$B$5)</f>
        <v>-5.6807336099347365</v>
      </c>
      <c r="L3" s="2">
        <f>('[1]Qc, Winter, S1'!L3*Main!$B$5)</f>
        <v>-0.4892302804023328</v>
      </c>
      <c r="M3" s="2">
        <f>('[1]Qc, Winter, S1'!M3*Main!$B$5)</f>
        <v>-5.924094305321832</v>
      </c>
      <c r="N3" s="2">
        <f>('[1]Qc, Winter, S1'!N3*Main!$B$5)</f>
        <v>-5.924094305321832</v>
      </c>
      <c r="O3" s="2">
        <f>('[1]Qc, Winter, S1'!O3*Main!$B$5)</f>
        <v>-4.5856583570408818</v>
      </c>
      <c r="P3" s="2">
        <f>('[1]Qc, Winter, S1'!P3*Main!$B$5)</f>
        <v>-0.57035051219803157</v>
      </c>
      <c r="Q3" s="2">
        <f>('[1]Qc, Winter, S1'!Q3*Main!$B$5)</f>
        <v>3.4449442816870661</v>
      </c>
      <c r="R3" s="2">
        <f>('[1]Qc, Winter, S1'!R3*Main!$B$5)</f>
        <v>4.7833758796487666</v>
      </c>
      <c r="S3" s="2">
        <f>('[1]Qc, Winter, S1'!S3*Main!$B$5)</f>
        <v>4.7833758796487666</v>
      </c>
      <c r="T3" s="2">
        <f>('[1]Qc, Winter, S1'!T3*Main!$B$5)</f>
        <v>4.7833758796487666</v>
      </c>
      <c r="U3" s="2">
        <f>('[1]Qc, Winter, S1'!U3*Main!$B$5)</f>
        <v>4.7833758796487666</v>
      </c>
      <c r="V3" s="2">
        <f>('[1]Qc, Winter, S1'!V3*Main!$B$5)</f>
        <v>4.7833758796487666</v>
      </c>
      <c r="W3" s="2">
        <f>('[1]Qc, Winter, S1'!W3*Main!$B$5)</f>
        <v>9.9748791635085272</v>
      </c>
      <c r="X3" s="2">
        <f>('[1]Qc, Winter, S1'!X3*Main!$B$5)</f>
        <v>15.247502724836627</v>
      </c>
      <c r="Y3" s="2">
        <f>('[1]Qc, Winter, S1'!Y3*Main!$B$5)</f>
        <v>15.247502724836627</v>
      </c>
    </row>
    <row r="4" spans="1:25" x14ac:dyDescent="0.3">
      <c r="A4">
        <v>3</v>
      </c>
      <c r="B4" s="2">
        <f>('[1]Qc, Winter, S1'!B4*Main!$B$5)</f>
        <v>11.240603121304066</v>
      </c>
      <c r="C4" s="2">
        <f>('[1]Qc, Winter, S1'!C4*Main!$B$5)</f>
        <v>8.6706924673132839</v>
      </c>
      <c r="D4" s="2">
        <f>('[1]Qc, Winter, S1'!D4*Main!$B$5)</f>
        <v>7.4225564813348672</v>
      </c>
      <c r="E4" s="2">
        <f>('[1]Qc, Winter, S1'!E4*Main!$B$5)</f>
        <v>7.2634647983071501</v>
      </c>
      <c r="F4" s="2">
        <f>('[1]Qc, Winter, S1'!F4*Main!$B$5)</f>
        <v>8.2553691461792056</v>
      </c>
      <c r="G4" s="2">
        <f>('[1]Qc, Winter, S1'!G4*Main!$B$5)</f>
        <v>10.250178332083726</v>
      </c>
      <c r="H4" s="2">
        <f>('[1]Qc, Winter, S1'!H4*Main!$B$5)</f>
        <v>15.903235694102928</v>
      </c>
      <c r="I4" s="2">
        <f>('[1]Qc, Winter, S1'!I4*Main!$B$5)</f>
        <v>19.414807812539198</v>
      </c>
      <c r="J4" s="2">
        <f>('[1]Qc, Winter, S1'!J4*Main!$B$5)</f>
        <v>22.431060468266072</v>
      </c>
      <c r="K4" s="2">
        <f>('[1]Qc, Winter, S1'!K4*Main!$B$5)</f>
        <v>24.700725173086429</v>
      </c>
      <c r="L4" s="2">
        <f>('[1]Qc, Winter, S1'!L4*Main!$B$5)</f>
        <v>24.909180352869317</v>
      </c>
      <c r="M4" s="2">
        <f>('[1]Qc, Winter, S1'!M4*Main!$B$5)</f>
        <v>24.462538585339203</v>
      </c>
      <c r="N4" s="2">
        <f>('[1]Qc, Winter, S1'!N4*Main!$B$5)</f>
        <v>24.566723268948248</v>
      </c>
      <c r="O4" s="2">
        <f>('[1]Qc, Winter, S1'!O4*Main!$B$5)</f>
        <v>24.316033984458684</v>
      </c>
      <c r="P4" s="2">
        <f>('[1]Qc, Winter, S1'!P4*Main!$B$5)</f>
        <v>21.935869427993723</v>
      </c>
      <c r="Q4" s="2">
        <f>('[1]Qc, Winter, S1'!Q4*Main!$B$5)</f>
        <v>20.841045698206194</v>
      </c>
      <c r="R4" s="2">
        <f>('[1]Qc, Winter, S1'!R4*Main!$B$5)</f>
        <v>21.508022569922996</v>
      </c>
      <c r="S4" s="2">
        <f>('[1]Qc, Winter, S1'!S4*Main!$B$5)</f>
        <v>29.314466123092469</v>
      </c>
      <c r="T4" s="2">
        <f>('[1]Qc, Winter, S1'!T4*Main!$B$5)</f>
        <v>29.271910409726129</v>
      </c>
      <c r="U4" s="2">
        <f>('[1]Qc, Winter, S1'!U4*Main!$B$5)</f>
        <v>28.37866938207539</v>
      </c>
      <c r="V4" s="2">
        <f>('[1]Qc, Winter, S1'!V4*Main!$B$5)</f>
        <v>26.267452063445027</v>
      </c>
      <c r="W4" s="2">
        <f>('[1]Qc, Winter, S1'!W4*Main!$B$5)</f>
        <v>23.360520158128722</v>
      </c>
      <c r="X4" s="2">
        <f>('[1]Qc, Winter, S1'!X4*Main!$B$5)</f>
        <v>19.05338312548891</v>
      </c>
      <c r="Y4" s="2">
        <f>('[1]Qc, Winter, S1'!Y4*Main!$B$5)</f>
        <v>14.617615411215036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BC2B8-7F88-4ED9-B33F-D94E55579EE3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-15.060458325399299</v>
      </c>
      <c r="C2" s="2">
        <f>('[1]Qc, Winter, S2'!C2*Main!$B$5)</f>
        <v>-16.368650045289716</v>
      </c>
      <c r="D2" s="2">
        <f>('[1]Qc, Winter, S2'!D2*Main!$B$5)</f>
        <v>-17.631296500842431</v>
      </c>
      <c r="E2" s="2">
        <f>('[1]Qc, Winter, S2'!E2*Main!$B$5)</f>
        <v>-17.502945182125369</v>
      </c>
      <c r="F2" s="2">
        <f>('[1]Qc, Winter, S2'!F2*Main!$B$5)</f>
        <v>-18.116340064071146</v>
      </c>
      <c r="G2" s="2">
        <f>('[1]Qc, Winter, S2'!G2*Main!$B$5)</f>
        <v>-16.12695287369219</v>
      </c>
      <c r="H2" s="2">
        <f>('[1]Qc, Winter, S2'!H2*Main!$B$5)</f>
        <v>-12.00950920729324</v>
      </c>
      <c r="I2" s="2">
        <f>('[1]Qc, Winter, S2'!I2*Main!$B$5)</f>
        <v>-4.9433529494378501</v>
      </c>
      <c r="J2" s="2">
        <f>('[1]Qc, Winter, S2'!J2*Main!$B$5)</f>
        <v>-1.4557890136235223</v>
      </c>
      <c r="K2" s="2">
        <f>('[1]Qc, Winter, S2'!K2*Main!$B$5)</f>
        <v>-0.22773396615301528</v>
      </c>
      <c r="L2" s="2">
        <f>('[1]Qc, Winter, S2'!L2*Main!$B$5)</f>
        <v>-2.0444657200659955</v>
      </c>
      <c r="M2" s="2">
        <f>('[1]Qc, Winter, S2'!M2*Main!$B$5)</f>
        <v>-1.5030514957780814</v>
      </c>
      <c r="N2" s="2">
        <f>('[1]Qc, Winter, S2'!N2*Main!$B$5)</f>
        <v>-2.0804278402785989</v>
      </c>
      <c r="O2" s="2">
        <f>('[1]Qc, Winter, S2'!O2*Main!$B$5)</f>
        <v>-2.098670406131574</v>
      </c>
      <c r="P2" s="2">
        <f>('[1]Qc, Winter, S2'!P2*Main!$B$5)</f>
        <v>-5.3054980609895503</v>
      </c>
      <c r="Q2" s="2">
        <f>('[1]Qc, Winter, S2'!Q2*Main!$B$5)</f>
        <v>-7.6407525112007129</v>
      </c>
      <c r="R2" s="2">
        <f>('[1]Qc, Winter, S2'!R2*Main!$B$5)</f>
        <v>-6.7950538781000578</v>
      </c>
      <c r="S2" s="2">
        <f>('[1]Qc, Winter, S2'!S2*Main!$B$5)</f>
        <v>-2.3195104531971364</v>
      </c>
      <c r="T2" s="2">
        <f>('[1]Qc, Winter, S2'!T2*Main!$B$5)</f>
        <v>-3.3740559769126874</v>
      </c>
      <c r="U2" s="2">
        <f>('[1]Qc, Winter, S2'!U2*Main!$B$5)</f>
        <v>-4.2413496151300025</v>
      </c>
      <c r="V2" s="2">
        <f>('[1]Qc, Winter, S2'!V2*Main!$B$5)</f>
        <v>-6.6624086256974415</v>
      </c>
      <c r="W2" s="2">
        <f>('[1]Qc, Winter, S2'!W2*Main!$B$5)</f>
        <v>-8.6482390690099677</v>
      </c>
      <c r="X2" s="2">
        <f>('[1]Qc, Winter, S2'!X2*Main!$B$5)</f>
        <v>-11.602788962748924</v>
      </c>
      <c r="Y2" s="2">
        <f>('[1]Qc, Winter, S2'!Y2*Main!$B$5)</f>
        <v>-13.059925993659871</v>
      </c>
    </row>
    <row r="3" spans="1:25" x14ac:dyDescent="0.3">
      <c r="A3">
        <v>2</v>
      </c>
      <c r="B3" s="2">
        <f>('[1]Qc, Winter, S2'!B3*Main!$B$5)</f>
        <v>17.062628373623713</v>
      </c>
      <c r="C3" s="2">
        <f>('[1]Qc, Winter, S2'!C3*Main!$B$5)</f>
        <v>21.135730074749674</v>
      </c>
      <c r="D3" s="2">
        <f>('[1]Qc, Winter, S2'!D3*Main!$B$5)</f>
        <v>21.135730074749674</v>
      </c>
      <c r="E3" s="2">
        <f>('[1]Qc, Winter, S2'!E3*Main!$B$5)</f>
        <v>21.135730074749674</v>
      </c>
      <c r="F3" s="2">
        <f>('[1]Qc, Winter, S2'!F3*Main!$B$5)</f>
        <v>21.135730074749674</v>
      </c>
      <c r="G3" s="2">
        <f>('[1]Qc, Winter, S2'!G3*Main!$B$5)</f>
        <v>17.125293752685891</v>
      </c>
      <c r="H3" s="2">
        <f>('[1]Qc, Winter, S2'!H3*Main!$B$5)</f>
        <v>7.7676090364858519</v>
      </c>
      <c r="I3" s="2">
        <f>('[1]Qc, Winter, S2'!I3*Main!$B$5)</f>
        <v>0.99999915355284574</v>
      </c>
      <c r="J3" s="2">
        <f>('[1]Qc, Winter, S2'!J3*Main!$B$5)</f>
        <v>-5.8511556182327782</v>
      </c>
      <c r="K3" s="2">
        <f>('[1]Qc, Winter, S2'!K3*Main!$B$5)</f>
        <v>-5.8511556182327782</v>
      </c>
      <c r="L3" s="2">
        <f>('[1]Qc, Winter, S2'!L3*Main!$B$5)</f>
        <v>-0.50390718881440277</v>
      </c>
      <c r="M3" s="2">
        <f>('[1]Qc, Winter, S2'!M3*Main!$B$5)</f>
        <v>-6.1018171344814878</v>
      </c>
      <c r="N3" s="2">
        <f>('[1]Qc, Winter, S2'!N3*Main!$B$5)</f>
        <v>-6.1018171344814878</v>
      </c>
      <c r="O3" s="2">
        <f>('[1]Qc, Winter, S2'!O3*Main!$B$5)</f>
        <v>-4.7232281077521083</v>
      </c>
      <c r="P3" s="2">
        <f>('[1]Qc, Winter, S2'!P3*Main!$B$5)</f>
        <v>-0.58746102756397256</v>
      </c>
      <c r="Q3" s="2">
        <f>('[1]Qc, Winter, S2'!Q3*Main!$B$5)</f>
        <v>3.548292610137679</v>
      </c>
      <c r="R3" s="2">
        <f>('[1]Qc, Winter, S2'!R3*Main!$B$5)</f>
        <v>4.9268771560382296</v>
      </c>
      <c r="S3" s="2">
        <f>('[1]Qc, Winter, S2'!S3*Main!$B$5)</f>
        <v>4.9268771560382296</v>
      </c>
      <c r="T3" s="2">
        <f>('[1]Qc, Winter, S2'!T3*Main!$B$5)</f>
        <v>4.9268771560382296</v>
      </c>
      <c r="U3" s="2">
        <f>('[1]Qc, Winter, S2'!U3*Main!$B$5)</f>
        <v>4.9268771560382296</v>
      </c>
      <c r="V3" s="2">
        <f>('[1]Qc, Winter, S2'!V3*Main!$B$5)</f>
        <v>4.9268771560382296</v>
      </c>
      <c r="W3" s="2">
        <f>('[1]Qc, Winter, S2'!W3*Main!$B$5)</f>
        <v>10.274125538413783</v>
      </c>
      <c r="X3" s="2">
        <f>('[1]Qc, Winter, S2'!X3*Main!$B$5)</f>
        <v>15.704927806581727</v>
      </c>
      <c r="Y3" s="2">
        <f>('[1]Qc, Winter, S2'!Y3*Main!$B$5)</f>
        <v>15.704927806581727</v>
      </c>
    </row>
    <row r="4" spans="1:25" x14ac:dyDescent="0.3">
      <c r="A4">
        <v>3</v>
      </c>
      <c r="B4" s="2">
        <f>('[1]Qc, Winter, S2'!B4*Main!$B$5)</f>
        <v>11.577821214943189</v>
      </c>
      <c r="C4" s="2">
        <f>('[1]Qc, Winter, S2'!C4*Main!$B$5)</f>
        <v>8.9308132413326824</v>
      </c>
      <c r="D4" s="2">
        <f>('[1]Qc, Winter, S2'!D4*Main!$B$5)</f>
        <v>7.645233175774913</v>
      </c>
      <c r="E4" s="2">
        <f>('[1]Qc, Winter, S2'!E4*Main!$B$5)</f>
        <v>7.4813687422563646</v>
      </c>
      <c r="F4" s="2">
        <f>('[1]Qc, Winter, S2'!F4*Main!$B$5)</f>
        <v>8.5030302205645807</v>
      </c>
      <c r="G4" s="2">
        <f>('[1]Qc, Winter, S2'!G4*Main!$B$5)</f>
        <v>10.557683682046239</v>
      </c>
      <c r="H4" s="2">
        <f>('[1]Qc, Winter, S2'!H4*Main!$B$5)</f>
        <v>16.380332764926017</v>
      </c>
      <c r="I4" s="2">
        <f>('[1]Qc, Winter, S2'!I4*Main!$B$5)</f>
        <v>19.997252046915374</v>
      </c>
      <c r="J4" s="2">
        <f>('[1]Qc, Winter, S2'!J4*Main!$B$5)</f>
        <v>23.103992282314056</v>
      </c>
      <c r="K4" s="2">
        <f>('[1]Qc, Winter, S2'!K4*Main!$B$5)</f>
        <v>25.441746928279024</v>
      </c>
      <c r="L4" s="2">
        <f>('[1]Qc, Winter, S2'!L4*Main!$B$5)</f>
        <v>25.656455763455394</v>
      </c>
      <c r="M4" s="2">
        <f>('[1]Qc, Winter, S2'!M4*Main!$B$5)</f>
        <v>25.196414742899378</v>
      </c>
      <c r="N4" s="2">
        <f>('[1]Qc, Winter, S2'!N4*Main!$B$5)</f>
        <v>25.303724967016695</v>
      </c>
      <c r="O4" s="2">
        <f>('[1]Qc, Winter, S2'!O4*Main!$B$5)</f>
        <v>25.045515003992442</v>
      </c>
      <c r="P4" s="2">
        <f>('[1]Qc, Winter, S2'!P4*Main!$B$5)</f>
        <v>22.593945510833535</v>
      </c>
      <c r="Q4" s="2">
        <f>('[1]Qc, Winter, S2'!Q4*Main!$B$5)</f>
        <v>21.466277069152383</v>
      </c>
      <c r="R4" s="2">
        <f>('[1]Qc, Winter, S2'!R4*Main!$B$5)</f>
        <v>22.153263247020689</v>
      </c>
      <c r="S4" s="2">
        <f>('[1]Qc, Winter, S2'!S4*Main!$B$5)</f>
        <v>30.193900106785243</v>
      </c>
      <c r="T4" s="2">
        <f>('[1]Qc, Winter, S2'!T4*Main!$B$5)</f>
        <v>30.150067722017912</v>
      </c>
      <c r="U4" s="2">
        <f>('[1]Qc, Winter, S2'!U4*Main!$B$5)</f>
        <v>29.230029463537655</v>
      </c>
      <c r="V4" s="2">
        <f>('[1]Qc, Winter, S2'!V4*Main!$B$5)</f>
        <v>27.055475625348379</v>
      </c>
      <c r="W4" s="2">
        <f>('[1]Qc, Winter, S2'!W4*Main!$B$5)</f>
        <v>24.061335762872584</v>
      </c>
      <c r="X4" s="2">
        <f>('[1]Qc, Winter, S2'!X4*Main!$B$5)</f>
        <v>19.624984619253578</v>
      </c>
      <c r="Y4" s="2">
        <f>('[1]Qc, Winter, S2'!Y4*Main!$B$5)</f>
        <v>15.056143873551489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3A09C-8604-436F-9EBD-C4507759FD98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-15.060458325399299</v>
      </c>
      <c r="C2" s="2">
        <f>('[1]Qc, Winter, S2'!C2*Main!$B$5)</f>
        <v>-16.368650045289716</v>
      </c>
      <c r="D2" s="2">
        <f>('[1]Qc, Winter, S2'!D2*Main!$B$5)</f>
        <v>-17.631296500842431</v>
      </c>
      <c r="E2" s="2">
        <f>('[1]Qc, Winter, S2'!E2*Main!$B$5)</f>
        <v>-17.502945182125369</v>
      </c>
      <c r="F2" s="2">
        <f>('[1]Qc, Winter, S2'!F2*Main!$B$5)</f>
        <v>-18.116340064071146</v>
      </c>
      <c r="G2" s="2">
        <f>('[1]Qc, Winter, S2'!G2*Main!$B$5)</f>
        <v>-16.12695287369219</v>
      </c>
      <c r="H2" s="2">
        <f>('[1]Qc, Winter, S2'!H2*Main!$B$5)</f>
        <v>-12.00950920729324</v>
      </c>
      <c r="I2" s="2">
        <f>('[1]Qc, Winter, S2'!I2*Main!$B$5)</f>
        <v>-4.9433529494378501</v>
      </c>
      <c r="J2" s="2">
        <f>('[1]Qc, Winter, S2'!J2*Main!$B$5)</f>
        <v>-1.4557890136235223</v>
      </c>
      <c r="K2" s="2">
        <f>('[1]Qc, Winter, S2'!K2*Main!$B$5)</f>
        <v>-0.22773396615301528</v>
      </c>
      <c r="L2" s="2">
        <f>('[1]Qc, Winter, S2'!L2*Main!$B$5)</f>
        <v>-2.0444657200659955</v>
      </c>
      <c r="M2" s="2">
        <f>('[1]Qc, Winter, S2'!M2*Main!$B$5)</f>
        <v>-1.5030514957780814</v>
      </c>
      <c r="N2" s="2">
        <f>('[1]Qc, Winter, S2'!N2*Main!$B$5)</f>
        <v>-2.0804278402785989</v>
      </c>
      <c r="O2" s="2">
        <f>('[1]Qc, Winter, S2'!O2*Main!$B$5)</f>
        <v>-2.098670406131574</v>
      </c>
      <c r="P2" s="2">
        <f>('[1]Qc, Winter, S2'!P2*Main!$B$5)</f>
        <v>-5.3054980609895503</v>
      </c>
      <c r="Q2" s="2">
        <f>('[1]Qc, Winter, S2'!Q2*Main!$B$5)</f>
        <v>-7.6407525112007129</v>
      </c>
      <c r="R2" s="2">
        <f>('[1]Qc, Winter, S2'!R2*Main!$B$5)</f>
        <v>-6.7950538781000578</v>
      </c>
      <c r="S2" s="2">
        <f>('[1]Qc, Winter, S2'!S2*Main!$B$5)</f>
        <v>-2.3195104531971364</v>
      </c>
      <c r="T2" s="2">
        <f>('[1]Qc, Winter, S2'!T2*Main!$B$5)</f>
        <v>-3.3740559769126874</v>
      </c>
      <c r="U2" s="2">
        <f>('[1]Qc, Winter, S2'!U2*Main!$B$5)</f>
        <v>-4.2413496151300025</v>
      </c>
      <c r="V2" s="2">
        <f>('[1]Qc, Winter, S2'!V2*Main!$B$5)</f>
        <v>-6.6624086256974415</v>
      </c>
      <c r="W2" s="2">
        <f>('[1]Qc, Winter, S2'!W2*Main!$B$5)</f>
        <v>-8.6482390690099677</v>
      </c>
      <c r="X2" s="2">
        <f>('[1]Qc, Winter, S2'!X2*Main!$B$5)</f>
        <v>-11.602788962748924</v>
      </c>
      <c r="Y2" s="2">
        <f>('[1]Qc, Winter, S2'!Y2*Main!$B$5)</f>
        <v>-13.059925993659871</v>
      </c>
    </row>
    <row r="3" spans="1:25" x14ac:dyDescent="0.3">
      <c r="A3">
        <v>2</v>
      </c>
      <c r="B3" s="2">
        <f>('[1]Qc, Winter, S2'!B3*Main!$B$5)</f>
        <v>17.062628373623713</v>
      </c>
      <c r="C3" s="2">
        <f>('[1]Qc, Winter, S2'!C3*Main!$B$5)</f>
        <v>21.135730074749674</v>
      </c>
      <c r="D3" s="2">
        <f>('[1]Qc, Winter, S2'!D3*Main!$B$5)</f>
        <v>21.135730074749674</v>
      </c>
      <c r="E3" s="2">
        <f>('[1]Qc, Winter, S2'!E3*Main!$B$5)</f>
        <v>21.135730074749674</v>
      </c>
      <c r="F3" s="2">
        <f>('[1]Qc, Winter, S2'!F3*Main!$B$5)</f>
        <v>21.135730074749674</v>
      </c>
      <c r="G3" s="2">
        <f>('[1]Qc, Winter, S2'!G3*Main!$B$5)</f>
        <v>17.125293752685891</v>
      </c>
      <c r="H3" s="2">
        <f>('[1]Qc, Winter, S2'!H3*Main!$B$5)</f>
        <v>7.7676090364858519</v>
      </c>
      <c r="I3" s="2">
        <f>('[1]Qc, Winter, S2'!I3*Main!$B$5)</f>
        <v>0.99999915355284574</v>
      </c>
      <c r="J3" s="2">
        <f>('[1]Qc, Winter, S2'!J3*Main!$B$5)</f>
        <v>-5.8511556182327782</v>
      </c>
      <c r="K3" s="2">
        <f>('[1]Qc, Winter, S2'!K3*Main!$B$5)</f>
        <v>-5.8511556182327782</v>
      </c>
      <c r="L3" s="2">
        <f>('[1]Qc, Winter, S2'!L3*Main!$B$5)</f>
        <v>-0.50390718881440277</v>
      </c>
      <c r="M3" s="2">
        <f>('[1]Qc, Winter, S2'!M3*Main!$B$5)</f>
        <v>-6.1018171344814878</v>
      </c>
      <c r="N3" s="2">
        <f>('[1]Qc, Winter, S2'!N3*Main!$B$5)</f>
        <v>-6.1018171344814878</v>
      </c>
      <c r="O3" s="2">
        <f>('[1]Qc, Winter, S2'!O3*Main!$B$5)</f>
        <v>-4.7232281077521083</v>
      </c>
      <c r="P3" s="2">
        <f>('[1]Qc, Winter, S2'!P3*Main!$B$5)</f>
        <v>-0.58746102756397256</v>
      </c>
      <c r="Q3" s="2">
        <f>('[1]Qc, Winter, S2'!Q3*Main!$B$5)</f>
        <v>3.548292610137679</v>
      </c>
      <c r="R3" s="2">
        <f>('[1]Qc, Winter, S2'!R3*Main!$B$5)</f>
        <v>4.9268771560382296</v>
      </c>
      <c r="S3" s="2">
        <f>('[1]Qc, Winter, S2'!S3*Main!$B$5)</f>
        <v>4.9268771560382296</v>
      </c>
      <c r="T3" s="2">
        <f>('[1]Qc, Winter, S2'!T3*Main!$B$5)</f>
        <v>4.9268771560382296</v>
      </c>
      <c r="U3" s="2">
        <f>('[1]Qc, Winter, S2'!U3*Main!$B$5)</f>
        <v>4.9268771560382296</v>
      </c>
      <c r="V3" s="2">
        <f>('[1]Qc, Winter, S2'!V3*Main!$B$5)</f>
        <v>4.9268771560382296</v>
      </c>
      <c r="W3" s="2">
        <f>('[1]Qc, Winter, S2'!W3*Main!$B$5)</f>
        <v>10.274125538413783</v>
      </c>
      <c r="X3" s="2">
        <f>('[1]Qc, Winter, S2'!X3*Main!$B$5)</f>
        <v>15.704927806581727</v>
      </c>
      <c r="Y3" s="2">
        <f>('[1]Qc, Winter, S2'!Y3*Main!$B$5)</f>
        <v>15.704927806581727</v>
      </c>
    </row>
    <row r="4" spans="1:25" x14ac:dyDescent="0.3">
      <c r="A4">
        <v>3</v>
      </c>
      <c r="B4" s="2">
        <f>('[1]Qc, Winter, S2'!B4*Main!$B$5)</f>
        <v>11.577821214943189</v>
      </c>
      <c r="C4" s="2">
        <f>('[1]Qc, Winter, S2'!C4*Main!$B$5)</f>
        <v>8.9308132413326824</v>
      </c>
      <c r="D4" s="2">
        <f>('[1]Qc, Winter, S2'!D4*Main!$B$5)</f>
        <v>7.645233175774913</v>
      </c>
      <c r="E4" s="2">
        <f>('[1]Qc, Winter, S2'!E4*Main!$B$5)</f>
        <v>7.4813687422563646</v>
      </c>
      <c r="F4" s="2">
        <f>('[1]Qc, Winter, S2'!F4*Main!$B$5)</f>
        <v>8.5030302205645807</v>
      </c>
      <c r="G4" s="2">
        <f>('[1]Qc, Winter, S2'!G4*Main!$B$5)</f>
        <v>10.557683682046239</v>
      </c>
      <c r="H4" s="2">
        <f>('[1]Qc, Winter, S2'!H4*Main!$B$5)</f>
        <v>16.380332764926017</v>
      </c>
      <c r="I4" s="2">
        <f>('[1]Qc, Winter, S2'!I4*Main!$B$5)</f>
        <v>19.997252046915374</v>
      </c>
      <c r="J4" s="2">
        <f>('[1]Qc, Winter, S2'!J4*Main!$B$5)</f>
        <v>23.103992282314056</v>
      </c>
      <c r="K4" s="2">
        <f>('[1]Qc, Winter, S2'!K4*Main!$B$5)</f>
        <v>25.441746928279024</v>
      </c>
      <c r="L4" s="2">
        <f>('[1]Qc, Winter, S2'!L4*Main!$B$5)</f>
        <v>25.656455763455394</v>
      </c>
      <c r="M4" s="2">
        <f>('[1]Qc, Winter, S2'!M4*Main!$B$5)</f>
        <v>25.196414742899378</v>
      </c>
      <c r="N4" s="2">
        <f>('[1]Qc, Winter, S2'!N4*Main!$B$5)</f>
        <v>25.303724967016695</v>
      </c>
      <c r="O4" s="2">
        <f>('[1]Qc, Winter, S2'!O4*Main!$B$5)</f>
        <v>25.045515003992442</v>
      </c>
      <c r="P4" s="2">
        <f>('[1]Qc, Winter, S2'!P4*Main!$B$5)</f>
        <v>22.593945510833535</v>
      </c>
      <c r="Q4" s="2">
        <f>('[1]Qc, Winter, S2'!Q4*Main!$B$5)</f>
        <v>21.466277069152383</v>
      </c>
      <c r="R4" s="2">
        <f>('[1]Qc, Winter, S2'!R4*Main!$B$5)</f>
        <v>22.153263247020689</v>
      </c>
      <c r="S4" s="2">
        <f>('[1]Qc, Winter, S2'!S4*Main!$B$5)</f>
        <v>30.193900106785243</v>
      </c>
      <c r="T4" s="2">
        <f>('[1]Qc, Winter, S2'!T4*Main!$B$5)</f>
        <v>30.150067722017912</v>
      </c>
      <c r="U4" s="2">
        <f>('[1]Qc, Winter, S2'!U4*Main!$B$5)</f>
        <v>29.230029463537655</v>
      </c>
      <c r="V4" s="2">
        <f>('[1]Qc, Winter, S2'!V4*Main!$B$5)</f>
        <v>27.055475625348379</v>
      </c>
      <c r="W4" s="2">
        <f>('[1]Qc, Winter, S2'!W4*Main!$B$5)</f>
        <v>24.061335762872584</v>
      </c>
      <c r="X4" s="2">
        <f>('[1]Qc, Winter, S2'!X4*Main!$B$5)</f>
        <v>19.624984619253578</v>
      </c>
      <c r="Y4" s="2">
        <f>('[1]Qc, Winter, S2'!Y4*Main!$B$5)</f>
        <v>15.056143873551489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90954-8C5F-4EDD-907F-04905F62B6D9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-15.060458325399299</v>
      </c>
      <c r="C2" s="2">
        <f>('[1]Qc, Winter, S2'!C2*Main!$B$5)</f>
        <v>-16.368650045289716</v>
      </c>
      <c r="D2" s="2">
        <f>('[1]Qc, Winter, S2'!D2*Main!$B$5)</f>
        <v>-17.631296500842431</v>
      </c>
      <c r="E2" s="2">
        <f>('[1]Qc, Winter, S2'!E2*Main!$B$5)</f>
        <v>-17.502945182125369</v>
      </c>
      <c r="F2" s="2">
        <f>('[1]Qc, Winter, S2'!F2*Main!$B$5)</f>
        <v>-18.116340064071146</v>
      </c>
      <c r="G2" s="2">
        <f>('[1]Qc, Winter, S2'!G2*Main!$B$5)</f>
        <v>-16.12695287369219</v>
      </c>
      <c r="H2" s="2">
        <f>('[1]Qc, Winter, S2'!H2*Main!$B$5)</f>
        <v>-12.00950920729324</v>
      </c>
      <c r="I2" s="2">
        <f>('[1]Qc, Winter, S2'!I2*Main!$B$5)</f>
        <v>-4.9433529494378501</v>
      </c>
      <c r="J2" s="2">
        <f>('[1]Qc, Winter, S2'!J2*Main!$B$5)</f>
        <v>-1.4557890136235223</v>
      </c>
      <c r="K2" s="2">
        <f>('[1]Qc, Winter, S2'!K2*Main!$B$5)</f>
        <v>-0.22773396615301528</v>
      </c>
      <c r="L2" s="2">
        <f>('[1]Qc, Winter, S2'!L2*Main!$B$5)</f>
        <v>-2.0444657200659955</v>
      </c>
      <c r="M2" s="2">
        <f>('[1]Qc, Winter, S2'!M2*Main!$B$5)</f>
        <v>-1.5030514957780814</v>
      </c>
      <c r="N2" s="2">
        <f>('[1]Qc, Winter, S2'!N2*Main!$B$5)</f>
        <v>-2.0804278402785989</v>
      </c>
      <c r="O2" s="2">
        <f>('[1]Qc, Winter, S2'!O2*Main!$B$5)</f>
        <v>-2.098670406131574</v>
      </c>
      <c r="P2" s="2">
        <f>('[1]Qc, Winter, S2'!P2*Main!$B$5)</f>
        <v>-5.3054980609895503</v>
      </c>
      <c r="Q2" s="2">
        <f>('[1]Qc, Winter, S2'!Q2*Main!$B$5)</f>
        <v>-7.6407525112007129</v>
      </c>
      <c r="R2" s="2">
        <f>('[1]Qc, Winter, S2'!R2*Main!$B$5)</f>
        <v>-6.7950538781000578</v>
      </c>
      <c r="S2" s="2">
        <f>('[1]Qc, Winter, S2'!S2*Main!$B$5)</f>
        <v>-2.3195104531971364</v>
      </c>
      <c r="T2" s="2">
        <f>('[1]Qc, Winter, S2'!T2*Main!$B$5)</f>
        <v>-3.3740559769126874</v>
      </c>
      <c r="U2" s="2">
        <f>('[1]Qc, Winter, S2'!U2*Main!$B$5)</f>
        <v>-4.2413496151300025</v>
      </c>
      <c r="V2" s="2">
        <f>('[1]Qc, Winter, S2'!V2*Main!$B$5)</f>
        <v>-6.6624086256974415</v>
      </c>
      <c r="W2" s="2">
        <f>('[1]Qc, Winter, S2'!W2*Main!$B$5)</f>
        <v>-8.6482390690099677</v>
      </c>
      <c r="X2" s="2">
        <f>('[1]Qc, Winter, S2'!X2*Main!$B$5)</f>
        <v>-11.602788962748924</v>
      </c>
      <c r="Y2" s="2">
        <f>('[1]Qc, Winter, S2'!Y2*Main!$B$5)</f>
        <v>-13.059925993659871</v>
      </c>
    </row>
    <row r="3" spans="1:25" x14ac:dyDescent="0.3">
      <c r="A3">
        <v>2</v>
      </c>
      <c r="B3" s="2">
        <f>('[1]Qc, Winter, S2'!B3*Main!$B$5)</f>
        <v>17.062628373623713</v>
      </c>
      <c r="C3" s="2">
        <f>('[1]Qc, Winter, S2'!C3*Main!$B$5)</f>
        <v>21.135730074749674</v>
      </c>
      <c r="D3" s="2">
        <f>('[1]Qc, Winter, S2'!D3*Main!$B$5)</f>
        <v>21.135730074749674</v>
      </c>
      <c r="E3" s="2">
        <f>('[1]Qc, Winter, S2'!E3*Main!$B$5)</f>
        <v>21.135730074749674</v>
      </c>
      <c r="F3" s="2">
        <f>('[1]Qc, Winter, S2'!F3*Main!$B$5)</f>
        <v>21.135730074749674</v>
      </c>
      <c r="G3" s="2">
        <f>('[1]Qc, Winter, S2'!G3*Main!$B$5)</f>
        <v>17.125293752685891</v>
      </c>
      <c r="H3" s="2">
        <f>('[1]Qc, Winter, S2'!H3*Main!$B$5)</f>
        <v>7.7676090364858519</v>
      </c>
      <c r="I3" s="2">
        <f>('[1]Qc, Winter, S2'!I3*Main!$B$5)</f>
        <v>0.99999915355284574</v>
      </c>
      <c r="J3" s="2">
        <f>('[1]Qc, Winter, S2'!J3*Main!$B$5)</f>
        <v>-5.8511556182327782</v>
      </c>
      <c r="K3" s="2">
        <f>('[1]Qc, Winter, S2'!K3*Main!$B$5)</f>
        <v>-5.8511556182327782</v>
      </c>
      <c r="L3" s="2">
        <f>('[1]Qc, Winter, S2'!L3*Main!$B$5)</f>
        <v>-0.50390718881440277</v>
      </c>
      <c r="M3" s="2">
        <f>('[1]Qc, Winter, S2'!M3*Main!$B$5)</f>
        <v>-6.1018171344814878</v>
      </c>
      <c r="N3" s="2">
        <f>('[1]Qc, Winter, S2'!N3*Main!$B$5)</f>
        <v>-6.1018171344814878</v>
      </c>
      <c r="O3" s="2">
        <f>('[1]Qc, Winter, S2'!O3*Main!$B$5)</f>
        <v>-4.7232281077521083</v>
      </c>
      <c r="P3" s="2">
        <f>('[1]Qc, Winter, S2'!P3*Main!$B$5)</f>
        <v>-0.58746102756397256</v>
      </c>
      <c r="Q3" s="2">
        <f>('[1]Qc, Winter, S2'!Q3*Main!$B$5)</f>
        <v>3.548292610137679</v>
      </c>
      <c r="R3" s="2">
        <f>('[1]Qc, Winter, S2'!R3*Main!$B$5)</f>
        <v>4.9268771560382296</v>
      </c>
      <c r="S3" s="2">
        <f>('[1]Qc, Winter, S2'!S3*Main!$B$5)</f>
        <v>4.9268771560382296</v>
      </c>
      <c r="T3" s="2">
        <f>('[1]Qc, Winter, S2'!T3*Main!$B$5)</f>
        <v>4.9268771560382296</v>
      </c>
      <c r="U3" s="2">
        <f>('[1]Qc, Winter, S2'!U3*Main!$B$5)</f>
        <v>4.9268771560382296</v>
      </c>
      <c r="V3" s="2">
        <f>('[1]Qc, Winter, S2'!V3*Main!$B$5)</f>
        <v>4.9268771560382296</v>
      </c>
      <c r="W3" s="2">
        <f>('[1]Qc, Winter, S2'!W3*Main!$B$5)</f>
        <v>10.274125538413783</v>
      </c>
      <c r="X3" s="2">
        <f>('[1]Qc, Winter, S2'!X3*Main!$B$5)</f>
        <v>15.704927806581727</v>
      </c>
      <c r="Y3" s="2">
        <f>('[1]Qc, Winter, S2'!Y3*Main!$B$5)</f>
        <v>15.704927806581727</v>
      </c>
    </row>
    <row r="4" spans="1:25" x14ac:dyDescent="0.3">
      <c r="A4">
        <v>3</v>
      </c>
      <c r="B4" s="2">
        <f>('[1]Qc, Winter, S2'!B4*Main!$B$5)</f>
        <v>11.577821214943189</v>
      </c>
      <c r="C4" s="2">
        <f>('[1]Qc, Winter, S2'!C4*Main!$B$5)</f>
        <v>8.9308132413326824</v>
      </c>
      <c r="D4" s="2">
        <f>('[1]Qc, Winter, S2'!D4*Main!$B$5)</f>
        <v>7.645233175774913</v>
      </c>
      <c r="E4" s="2">
        <f>('[1]Qc, Winter, S2'!E4*Main!$B$5)</f>
        <v>7.4813687422563646</v>
      </c>
      <c r="F4" s="2">
        <f>('[1]Qc, Winter, S2'!F4*Main!$B$5)</f>
        <v>8.5030302205645807</v>
      </c>
      <c r="G4" s="2">
        <f>('[1]Qc, Winter, S2'!G4*Main!$B$5)</f>
        <v>10.557683682046239</v>
      </c>
      <c r="H4" s="2">
        <f>('[1]Qc, Winter, S2'!H4*Main!$B$5)</f>
        <v>16.380332764926017</v>
      </c>
      <c r="I4" s="2">
        <f>('[1]Qc, Winter, S2'!I4*Main!$B$5)</f>
        <v>19.997252046915374</v>
      </c>
      <c r="J4" s="2">
        <f>('[1]Qc, Winter, S2'!J4*Main!$B$5)</f>
        <v>23.103992282314056</v>
      </c>
      <c r="K4" s="2">
        <f>('[1]Qc, Winter, S2'!K4*Main!$B$5)</f>
        <v>25.441746928279024</v>
      </c>
      <c r="L4" s="2">
        <f>('[1]Qc, Winter, S2'!L4*Main!$B$5)</f>
        <v>25.656455763455394</v>
      </c>
      <c r="M4" s="2">
        <f>('[1]Qc, Winter, S2'!M4*Main!$B$5)</f>
        <v>25.196414742899378</v>
      </c>
      <c r="N4" s="2">
        <f>('[1]Qc, Winter, S2'!N4*Main!$B$5)</f>
        <v>25.303724967016695</v>
      </c>
      <c r="O4" s="2">
        <f>('[1]Qc, Winter, S2'!O4*Main!$B$5)</f>
        <v>25.045515003992442</v>
      </c>
      <c r="P4" s="2">
        <f>('[1]Qc, Winter, S2'!P4*Main!$B$5)</f>
        <v>22.593945510833535</v>
      </c>
      <c r="Q4" s="2">
        <f>('[1]Qc, Winter, S2'!Q4*Main!$B$5)</f>
        <v>21.466277069152383</v>
      </c>
      <c r="R4" s="2">
        <f>('[1]Qc, Winter, S2'!R4*Main!$B$5)</f>
        <v>22.153263247020689</v>
      </c>
      <c r="S4" s="2">
        <f>('[1]Qc, Winter, S2'!S4*Main!$B$5)</f>
        <v>30.193900106785243</v>
      </c>
      <c r="T4" s="2">
        <f>('[1]Qc, Winter, S2'!T4*Main!$B$5)</f>
        <v>30.150067722017912</v>
      </c>
      <c r="U4" s="2">
        <f>('[1]Qc, Winter, S2'!U4*Main!$B$5)</f>
        <v>29.230029463537655</v>
      </c>
      <c r="V4" s="2">
        <f>('[1]Qc, Winter, S2'!V4*Main!$B$5)</f>
        <v>27.055475625348379</v>
      </c>
      <c r="W4" s="2">
        <f>('[1]Qc, Winter, S2'!W4*Main!$B$5)</f>
        <v>24.061335762872584</v>
      </c>
      <c r="X4" s="2">
        <f>('[1]Qc, Winter, S2'!X4*Main!$B$5)</f>
        <v>19.624984619253578</v>
      </c>
      <c r="Y4" s="2">
        <f>('[1]Qc, Winter, S2'!Y4*Main!$B$5)</f>
        <v>15.056143873551489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DD3B4-1FA9-4246-8097-0DB47832469D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-14.329368115428458</v>
      </c>
      <c r="C2" s="2">
        <f>('[1]Qc, Winter, S3'!C2*Main!$B$5)</f>
        <v>-15.574055382897008</v>
      </c>
      <c r="D2" s="2">
        <f>('[1]Qc, Winter, S3'!D2*Main!$B$5)</f>
        <v>-16.775408321189886</v>
      </c>
      <c r="E2" s="2">
        <f>('[1]Qc, Winter, S3'!E2*Main!$B$5)</f>
        <v>-16.653287649012487</v>
      </c>
      <c r="F2" s="2">
        <f>('[1]Qc, Winter, S3'!F2*Main!$B$5)</f>
        <v>-17.236906080378372</v>
      </c>
      <c r="G2" s="2">
        <f>('[1]Qc, Winter, S3'!G2*Main!$B$5)</f>
        <v>-15.344091083707132</v>
      </c>
      <c r="H2" s="2">
        <f>('[1]Qc, Winter, S3'!H2*Main!$B$5)</f>
        <v>-11.426523323444053</v>
      </c>
      <c r="I2" s="2">
        <f>('[1]Qc, Winter, S3'!I2*Main!$B$5)</f>
        <v>-4.7033843596593137</v>
      </c>
      <c r="J2" s="2">
        <f>('[1]Qc, Winter, S3'!J2*Main!$B$5)</f>
        <v>-1.3851196440301474</v>
      </c>
      <c r="K2" s="2">
        <f>('[1]Qc, Winter, S3'!K2*Main!$B$5)</f>
        <v>-0.21667891925238347</v>
      </c>
      <c r="L2" s="2">
        <f>('[1]Qc, Winter, S3'!L2*Main!$B$5)</f>
        <v>-1.9452198113249279</v>
      </c>
      <c r="M2" s="2">
        <f>('[1]Qc, Winter, S3'!M2*Main!$B$5)</f>
        <v>-1.4300878309344851</v>
      </c>
      <c r="N2" s="2">
        <f>('[1]Qc, Winter, S3'!N2*Main!$B$5)</f>
        <v>-1.9794361975466279</v>
      </c>
      <c r="O2" s="2">
        <f>('[1]Qc, Winter, S3'!O2*Main!$B$5)</f>
        <v>-1.9967932019504298</v>
      </c>
      <c r="P2" s="2">
        <f>('[1]Qc, Winter, S3'!P2*Main!$B$5)</f>
        <v>-5.0479496114269509</v>
      </c>
      <c r="Q2" s="2">
        <f>('[1]Qc, Winter, S3'!Q2*Main!$B$5)</f>
        <v>-7.2698421951230072</v>
      </c>
      <c r="R2" s="2">
        <f>('[1]Qc, Winter, S3'!R2*Main!$B$5)</f>
        <v>-6.4651968937262678</v>
      </c>
      <c r="S2" s="2">
        <f>('[1]Qc, Winter, S3'!S2*Main!$B$5)</f>
        <v>-2.2069128583817408</v>
      </c>
      <c r="T2" s="2">
        <f>('[1]Qc, Winter, S3'!T2*Main!$B$5)</f>
        <v>-3.2102668518198385</v>
      </c>
      <c r="U2" s="2">
        <f>('[1]Qc, Winter, S3'!U2*Main!$B$5)</f>
        <v>-4.0354588571139827</v>
      </c>
      <c r="V2" s="2">
        <f>('[1]Qc, Winter, S3'!V2*Main!$B$5)</f>
        <v>-6.3389907312461089</v>
      </c>
      <c r="W2" s="2">
        <f>('[1]Qc, Winter, S3'!W2*Main!$B$5)</f>
        <v>-8.2284216384755027</v>
      </c>
      <c r="X2" s="2">
        <f>('[1]Qc, Winter, S3'!X2*Main!$B$5)</f>
        <v>-11.039546780091207</v>
      </c>
      <c r="Y2" s="2">
        <f>('[1]Qc, Winter, S3'!Y2*Main!$B$5)</f>
        <v>-12.425949003676383</v>
      </c>
    </row>
    <row r="3" spans="1:25" x14ac:dyDescent="0.3">
      <c r="A3">
        <v>2</v>
      </c>
      <c r="B3" s="2">
        <f>('[1]Qc, Winter, S3'!B3*Main!$B$5)</f>
        <v>16.234345442865283</v>
      </c>
      <c r="C3" s="2">
        <f>('[1]Qc, Winter, S3'!C3*Main!$B$5)</f>
        <v>20.109723760441433</v>
      </c>
      <c r="D3" s="2">
        <f>('[1]Qc, Winter, S3'!D3*Main!$B$5)</f>
        <v>20.109723760441433</v>
      </c>
      <c r="E3" s="2">
        <f>('[1]Qc, Winter, S3'!E3*Main!$B$5)</f>
        <v>20.109723760441433</v>
      </c>
      <c r="F3" s="2">
        <f>('[1]Qc, Winter, S3'!F3*Main!$B$5)</f>
        <v>20.109723760441433</v>
      </c>
      <c r="G3" s="2">
        <f>('[1]Qc, Winter, S3'!G3*Main!$B$5)</f>
        <v>16.293968813235118</v>
      </c>
      <c r="H3" s="2">
        <f>('[1]Qc, Winter, S3'!H3*Main!$B$5)</f>
        <v>7.3905406366564419</v>
      </c>
      <c r="I3" s="2">
        <f>('[1]Qc, Winter, S3'!I3*Main!$B$5)</f>
        <v>0.95145550532212486</v>
      </c>
      <c r="J3" s="2">
        <f>('[1]Qc, Winter, S3'!J3*Main!$B$5)</f>
        <v>-5.5671189377360424</v>
      </c>
      <c r="K3" s="2">
        <f>('[1]Qc, Winter, S3'!K3*Main!$B$5)</f>
        <v>-5.5671189377360424</v>
      </c>
      <c r="L3" s="2">
        <f>('[1]Qc, Winter, S3'!L3*Main!$B$5)</f>
        <v>-0.47944567479428613</v>
      </c>
      <c r="M3" s="2">
        <f>('[1]Qc, Winter, S3'!M3*Main!$B$5)</f>
        <v>-5.8056124192153948</v>
      </c>
      <c r="N3" s="2">
        <f>('[1]Qc, Winter, S3'!N3*Main!$B$5)</f>
        <v>-5.8056124192153948</v>
      </c>
      <c r="O3" s="2">
        <f>('[1]Qc, Winter, S3'!O3*Main!$B$5)</f>
        <v>-4.4939451899000638</v>
      </c>
      <c r="P3" s="2">
        <f>('[1]Qc, Winter, S3'!P3*Main!$B$5)</f>
        <v>-0.55894350195407094</v>
      </c>
      <c r="Q3" s="2">
        <f>('[1]Qc, Winter, S3'!Q3*Main!$B$5)</f>
        <v>3.3760453960533248</v>
      </c>
      <c r="R3" s="2">
        <f>('[1]Qc, Winter, S3'!R3*Main!$B$5)</f>
        <v>4.6877083620557913</v>
      </c>
      <c r="S3" s="2">
        <f>('[1]Qc, Winter, S3'!S3*Main!$B$5)</f>
        <v>4.6877083620557913</v>
      </c>
      <c r="T3" s="2">
        <f>('[1]Qc, Winter, S3'!T3*Main!$B$5)</f>
        <v>4.6877083620557913</v>
      </c>
      <c r="U3" s="2">
        <f>('[1]Qc, Winter, S3'!U3*Main!$B$5)</f>
        <v>4.6877083620557913</v>
      </c>
      <c r="V3" s="2">
        <f>('[1]Qc, Winter, S3'!V3*Main!$B$5)</f>
        <v>4.6877083620557913</v>
      </c>
      <c r="W3" s="2">
        <f>('[1]Qc, Winter, S3'!W3*Main!$B$5)</f>
        <v>9.7753815802383546</v>
      </c>
      <c r="X3" s="2">
        <f>('[1]Qc, Winter, S3'!X3*Main!$B$5)</f>
        <v>14.942552670339897</v>
      </c>
      <c r="Y3" s="2">
        <f>('[1]Qc, Winter, S3'!Y3*Main!$B$5)</f>
        <v>14.942552670339897</v>
      </c>
    </row>
    <row r="4" spans="1:25" x14ac:dyDescent="0.3">
      <c r="A4">
        <v>3</v>
      </c>
      <c r="B4" s="2">
        <f>('[1]Qc, Winter, S3'!B4*Main!$B$5)</f>
        <v>11.015791058877983</v>
      </c>
      <c r="C4" s="2">
        <f>('[1]Qc, Winter, S3'!C4*Main!$B$5)</f>
        <v>8.4972786179670194</v>
      </c>
      <c r="D4" s="2">
        <f>('[1]Qc, Winter, S3'!D4*Main!$B$5)</f>
        <v>7.2741053517081697</v>
      </c>
      <c r="E4" s="2">
        <f>('[1]Qc, Winter, S3'!E4*Main!$B$5)</f>
        <v>7.1181955023410071</v>
      </c>
      <c r="F4" s="2">
        <f>('[1]Qc, Winter, S3'!F4*Main!$B$5)</f>
        <v>8.0902617632556204</v>
      </c>
      <c r="G4" s="2">
        <f>('[1]Qc, Winter, S3'!G4*Main!$B$5)</f>
        <v>10.045174765442052</v>
      </c>
      <c r="H4" s="2">
        <f>('[1]Qc, Winter, S3'!H4*Main!$B$5)</f>
        <v>15.585170980220868</v>
      </c>
      <c r="I4" s="2">
        <f>('[1]Qc, Winter, S3'!I4*Main!$B$5)</f>
        <v>19.026511656288413</v>
      </c>
      <c r="J4" s="2">
        <f>('[1]Qc, Winter, S3'!J4*Main!$B$5)</f>
        <v>21.982439258900751</v>
      </c>
      <c r="K4" s="2">
        <f>('[1]Qc, Winter, S3'!K4*Main!$B$5)</f>
        <v>24.206710669624698</v>
      </c>
      <c r="L4" s="2">
        <f>('[1]Qc, Winter, S3'!L4*Main!$B$5)</f>
        <v>24.410996745811929</v>
      </c>
      <c r="M4" s="2">
        <f>('[1]Qc, Winter, S3'!M4*Main!$B$5)</f>
        <v>23.973287813632417</v>
      </c>
      <c r="N4" s="2">
        <f>('[1]Qc, Winter, S3'!N4*Main!$B$5)</f>
        <v>24.075388803569282</v>
      </c>
      <c r="O4" s="2">
        <f>('[1]Qc, Winter, S3'!O4*Main!$B$5)</f>
        <v>23.829713304769513</v>
      </c>
      <c r="P4" s="2">
        <f>('[1]Qc, Winter, S3'!P4*Main!$B$5)</f>
        <v>21.497152039433846</v>
      </c>
      <c r="Q4" s="2">
        <f>('[1]Qc, Winter, S3'!Q4*Main!$B$5)</f>
        <v>20.424224784242075</v>
      </c>
      <c r="R4" s="2">
        <f>('[1]Qc, Winter, S3'!R4*Main!$B$5)</f>
        <v>21.077862118524539</v>
      </c>
      <c r="S4" s="2">
        <f>('[1]Qc, Winter, S3'!S4*Main!$B$5)</f>
        <v>28.728176800630621</v>
      </c>
      <c r="T4" s="2">
        <f>('[1]Qc, Winter, S3'!T4*Main!$B$5)</f>
        <v>28.686472201531608</v>
      </c>
      <c r="U4" s="2">
        <f>('[1]Qc, Winter, S3'!U4*Main!$B$5)</f>
        <v>27.811095994433881</v>
      </c>
      <c r="V4" s="2">
        <f>('[1]Qc, Winter, S3'!V4*Main!$B$5)</f>
        <v>25.742103022176128</v>
      </c>
      <c r="W4" s="2">
        <f>('[1]Qc, Winter, S3'!W4*Main!$B$5)</f>
        <v>22.89330975496615</v>
      </c>
      <c r="X4" s="2">
        <f>('[1]Qc, Winter, S3'!X4*Main!$B$5)</f>
        <v>18.672315462979132</v>
      </c>
      <c r="Y4" s="2">
        <f>('[1]Qc, Winter, S3'!Y4*Main!$B$5)</f>
        <v>14.325263102990736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3FA67-5FE1-4E20-8A17-7A25E053B447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-14.329368115428458</v>
      </c>
      <c r="C2" s="2">
        <f>('[1]Qc, Winter, S3'!C2*Main!$B$5)</f>
        <v>-15.574055382897008</v>
      </c>
      <c r="D2" s="2">
        <f>('[1]Qc, Winter, S3'!D2*Main!$B$5)</f>
        <v>-16.775408321189886</v>
      </c>
      <c r="E2" s="2">
        <f>('[1]Qc, Winter, S3'!E2*Main!$B$5)</f>
        <v>-16.653287649012487</v>
      </c>
      <c r="F2" s="2">
        <f>('[1]Qc, Winter, S3'!F2*Main!$B$5)</f>
        <v>-17.236906080378372</v>
      </c>
      <c r="G2" s="2">
        <f>('[1]Qc, Winter, S3'!G2*Main!$B$5)</f>
        <v>-15.344091083707132</v>
      </c>
      <c r="H2" s="2">
        <f>('[1]Qc, Winter, S3'!H2*Main!$B$5)</f>
        <v>-11.426523323444053</v>
      </c>
      <c r="I2" s="2">
        <f>('[1]Qc, Winter, S3'!I2*Main!$B$5)</f>
        <v>-4.7033843596593137</v>
      </c>
      <c r="J2" s="2">
        <f>('[1]Qc, Winter, S3'!J2*Main!$B$5)</f>
        <v>-1.3851196440301474</v>
      </c>
      <c r="K2" s="2">
        <f>('[1]Qc, Winter, S3'!K2*Main!$B$5)</f>
        <v>-0.21667891925238347</v>
      </c>
      <c r="L2" s="2">
        <f>('[1]Qc, Winter, S3'!L2*Main!$B$5)</f>
        <v>-1.9452198113249279</v>
      </c>
      <c r="M2" s="2">
        <f>('[1]Qc, Winter, S3'!M2*Main!$B$5)</f>
        <v>-1.4300878309344851</v>
      </c>
      <c r="N2" s="2">
        <f>('[1]Qc, Winter, S3'!N2*Main!$B$5)</f>
        <v>-1.9794361975466279</v>
      </c>
      <c r="O2" s="2">
        <f>('[1]Qc, Winter, S3'!O2*Main!$B$5)</f>
        <v>-1.9967932019504298</v>
      </c>
      <c r="P2" s="2">
        <f>('[1]Qc, Winter, S3'!P2*Main!$B$5)</f>
        <v>-5.0479496114269509</v>
      </c>
      <c r="Q2" s="2">
        <f>('[1]Qc, Winter, S3'!Q2*Main!$B$5)</f>
        <v>-7.2698421951230072</v>
      </c>
      <c r="R2" s="2">
        <f>('[1]Qc, Winter, S3'!R2*Main!$B$5)</f>
        <v>-6.4651968937262678</v>
      </c>
      <c r="S2" s="2">
        <f>('[1]Qc, Winter, S3'!S2*Main!$B$5)</f>
        <v>-2.2069128583817408</v>
      </c>
      <c r="T2" s="2">
        <f>('[1]Qc, Winter, S3'!T2*Main!$B$5)</f>
        <v>-3.2102668518198385</v>
      </c>
      <c r="U2" s="2">
        <f>('[1]Qc, Winter, S3'!U2*Main!$B$5)</f>
        <v>-4.0354588571139827</v>
      </c>
      <c r="V2" s="2">
        <f>('[1]Qc, Winter, S3'!V2*Main!$B$5)</f>
        <v>-6.3389907312461089</v>
      </c>
      <c r="W2" s="2">
        <f>('[1]Qc, Winter, S3'!W2*Main!$B$5)</f>
        <v>-8.2284216384755027</v>
      </c>
      <c r="X2" s="2">
        <f>('[1]Qc, Winter, S3'!X2*Main!$B$5)</f>
        <v>-11.039546780091207</v>
      </c>
      <c r="Y2" s="2">
        <f>('[1]Qc, Winter, S3'!Y2*Main!$B$5)</f>
        <v>-12.425949003676383</v>
      </c>
    </row>
    <row r="3" spans="1:25" x14ac:dyDescent="0.3">
      <c r="A3">
        <v>2</v>
      </c>
      <c r="B3" s="2">
        <f>('[1]Qc, Winter, S3'!B3*Main!$B$5)</f>
        <v>16.234345442865283</v>
      </c>
      <c r="C3" s="2">
        <f>('[1]Qc, Winter, S3'!C3*Main!$B$5)</f>
        <v>20.109723760441433</v>
      </c>
      <c r="D3" s="2">
        <f>('[1]Qc, Winter, S3'!D3*Main!$B$5)</f>
        <v>20.109723760441433</v>
      </c>
      <c r="E3" s="2">
        <f>('[1]Qc, Winter, S3'!E3*Main!$B$5)</f>
        <v>20.109723760441433</v>
      </c>
      <c r="F3" s="2">
        <f>('[1]Qc, Winter, S3'!F3*Main!$B$5)</f>
        <v>20.109723760441433</v>
      </c>
      <c r="G3" s="2">
        <f>('[1]Qc, Winter, S3'!G3*Main!$B$5)</f>
        <v>16.293968813235118</v>
      </c>
      <c r="H3" s="2">
        <f>('[1]Qc, Winter, S3'!H3*Main!$B$5)</f>
        <v>7.3905406366564419</v>
      </c>
      <c r="I3" s="2">
        <f>('[1]Qc, Winter, S3'!I3*Main!$B$5)</f>
        <v>0.95145550532212486</v>
      </c>
      <c r="J3" s="2">
        <f>('[1]Qc, Winter, S3'!J3*Main!$B$5)</f>
        <v>-5.5671189377360424</v>
      </c>
      <c r="K3" s="2">
        <f>('[1]Qc, Winter, S3'!K3*Main!$B$5)</f>
        <v>-5.5671189377360424</v>
      </c>
      <c r="L3" s="2">
        <f>('[1]Qc, Winter, S3'!L3*Main!$B$5)</f>
        <v>-0.47944567479428613</v>
      </c>
      <c r="M3" s="2">
        <f>('[1]Qc, Winter, S3'!M3*Main!$B$5)</f>
        <v>-5.8056124192153948</v>
      </c>
      <c r="N3" s="2">
        <f>('[1]Qc, Winter, S3'!N3*Main!$B$5)</f>
        <v>-5.8056124192153948</v>
      </c>
      <c r="O3" s="2">
        <f>('[1]Qc, Winter, S3'!O3*Main!$B$5)</f>
        <v>-4.4939451899000638</v>
      </c>
      <c r="P3" s="2">
        <f>('[1]Qc, Winter, S3'!P3*Main!$B$5)</f>
        <v>-0.55894350195407094</v>
      </c>
      <c r="Q3" s="2">
        <f>('[1]Qc, Winter, S3'!Q3*Main!$B$5)</f>
        <v>3.3760453960533248</v>
      </c>
      <c r="R3" s="2">
        <f>('[1]Qc, Winter, S3'!R3*Main!$B$5)</f>
        <v>4.6877083620557913</v>
      </c>
      <c r="S3" s="2">
        <f>('[1]Qc, Winter, S3'!S3*Main!$B$5)</f>
        <v>4.6877083620557913</v>
      </c>
      <c r="T3" s="2">
        <f>('[1]Qc, Winter, S3'!T3*Main!$B$5)</f>
        <v>4.6877083620557913</v>
      </c>
      <c r="U3" s="2">
        <f>('[1]Qc, Winter, S3'!U3*Main!$B$5)</f>
        <v>4.6877083620557913</v>
      </c>
      <c r="V3" s="2">
        <f>('[1]Qc, Winter, S3'!V3*Main!$B$5)</f>
        <v>4.6877083620557913</v>
      </c>
      <c r="W3" s="2">
        <f>('[1]Qc, Winter, S3'!W3*Main!$B$5)</f>
        <v>9.7753815802383546</v>
      </c>
      <c r="X3" s="2">
        <f>('[1]Qc, Winter, S3'!X3*Main!$B$5)</f>
        <v>14.942552670339897</v>
      </c>
      <c r="Y3" s="2">
        <f>('[1]Qc, Winter, S3'!Y3*Main!$B$5)</f>
        <v>14.942552670339897</v>
      </c>
    </row>
    <row r="4" spans="1:25" x14ac:dyDescent="0.3">
      <c r="A4">
        <v>3</v>
      </c>
      <c r="B4" s="2">
        <f>('[1]Qc, Winter, S3'!B4*Main!$B$5)</f>
        <v>11.015791058877983</v>
      </c>
      <c r="C4" s="2">
        <f>('[1]Qc, Winter, S3'!C4*Main!$B$5)</f>
        <v>8.4972786179670194</v>
      </c>
      <c r="D4" s="2">
        <f>('[1]Qc, Winter, S3'!D4*Main!$B$5)</f>
        <v>7.2741053517081697</v>
      </c>
      <c r="E4" s="2">
        <f>('[1]Qc, Winter, S3'!E4*Main!$B$5)</f>
        <v>7.1181955023410071</v>
      </c>
      <c r="F4" s="2">
        <f>('[1]Qc, Winter, S3'!F4*Main!$B$5)</f>
        <v>8.0902617632556204</v>
      </c>
      <c r="G4" s="2">
        <f>('[1]Qc, Winter, S3'!G4*Main!$B$5)</f>
        <v>10.045174765442052</v>
      </c>
      <c r="H4" s="2">
        <f>('[1]Qc, Winter, S3'!H4*Main!$B$5)</f>
        <v>15.585170980220868</v>
      </c>
      <c r="I4" s="2">
        <f>('[1]Qc, Winter, S3'!I4*Main!$B$5)</f>
        <v>19.026511656288413</v>
      </c>
      <c r="J4" s="2">
        <f>('[1]Qc, Winter, S3'!J4*Main!$B$5)</f>
        <v>21.982439258900751</v>
      </c>
      <c r="K4" s="2">
        <f>('[1]Qc, Winter, S3'!K4*Main!$B$5)</f>
        <v>24.206710669624698</v>
      </c>
      <c r="L4" s="2">
        <f>('[1]Qc, Winter, S3'!L4*Main!$B$5)</f>
        <v>24.410996745811929</v>
      </c>
      <c r="M4" s="2">
        <f>('[1]Qc, Winter, S3'!M4*Main!$B$5)</f>
        <v>23.973287813632417</v>
      </c>
      <c r="N4" s="2">
        <f>('[1]Qc, Winter, S3'!N4*Main!$B$5)</f>
        <v>24.075388803569282</v>
      </c>
      <c r="O4" s="2">
        <f>('[1]Qc, Winter, S3'!O4*Main!$B$5)</f>
        <v>23.829713304769513</v>
      </c>
      <c r="P4" s="2">
        <f>('[1]Qc, Winter, S3'!P4*Main!$B$5)</f>
        <v>21.497152039433846</v>
      </c>
      <c r="Q4" s="2">
        <f>('[1]Qc, Winter, S3'!Q4*Main!$B$5)</f>
        <v>20.424224784242075</v>
      </c>
      <c r="R4" s="2">
        <f>('[1]Qc, Winter, S3'!R4*Main!$B$5)</f>
        <v>21.077862118524539</v>
      </c>
      <c r="S4" s="2">
        <f>('[1]Qc, Winter, S3'!S4*Main!$B$5)</f>
        <v>28.728176800630621</v>
      </c>
      <c r="T4" s="2">
        <f>('[1]Qc, Winter, S3'!T4*Main!$B$5)</f>
        <v>28.686472201531608</v>
      </c>
      <c r="U4" s="2">
        <f>('[1]Qc, Winter, S3'!U4*Main!$B$5)</f>
        <v>27.811095994433881</v>
      </c>
      <c r="V4" s="2">
        <f>('[1]Qc, Winter, S3'!V4*Main!$B$5)</f>
        <v>25.742103022176128</v>
      </c>
      <c r="W4" s="2">
        <f>('[1]Qc, Winter, S3'!W4*Main!$B$5)</f>
        <v>22.89330975496615</v>
      </c>
      <c r="X4" s="2">
        <f>('[1]Qc, Winter, S3'!X4*Main!$B$5)</f>
        <v>18.672315462979132</v>
      </c>
      <c r="Y4" s="2">
        <f>('[1]Qc, Winter, S3'!Y4*Main!$B$5)</f>
        <v>14.325263102990736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2FB1C-8FD9-4768-8219-4FF100197BFC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-14.329368115428458</v>
      </c>
      <c r="C2" s="2">
        <f>('[1]Qc, Winter, S3'!C2*Main!$B$5)</f>
        <v>-15.574055382897008</v>
      </c>
      <c r="D2" s="2">
        <f>('[1]Qc, Winter, S3'!D2*Main!$B$5)</f>
        <v>-16.775408321189886</v>
      </c>
      <c r="E2" s="2">
        <f>('[1]Qc, Winter, S3'!E2*Main!$B$5)</f>
        <v>-16.653287649012487</v>
      </c>
      <c r="F2" s="2">
        <f>('[1]Qc, Winter, S3'!F2*Main!$B$5)</f>
        <v>-17.236906080378372</v>
      </c>
      <c r="G2" s="2">
        <f>('[1]Qc, Winter, S3'!G2*Main!$B$5)</f>
        <v>-15.344091083707132</v>
      </c>
      <c r="H2" s="2">
        <f>('[1]Qc, Winter, S3'!H2*Main!$B$5)</f>
        <v>-11.426523323444053</v>
      </c>
      <c r="I2" s="2">
        <f>('[1]Qc, Winter, S3'!I2*Main!$B$5)</f>
        <v>-4.7033843596593137</v>
      </c>
      <c r="J2" s="2">
        <f>('[1]Qc, Winter, S3'!J2*Main!$B$5)</f>
        <v>-1.3851196440301474</v>
      </c>
      <c r="K2" s="2">
        <f>('[1]Qc, Winter, S3'!K2*Main!$B$5)</f>
        <v>-0.21667891925238347</v>
      </c>
      <c r="L2" s="2">
        <f>('[1]Qc, Winter, S3'!L2*Main!$B$5)</f>
        <v>-1.9452198113249279</v>
      </c>
      <c r="M2" s="2">
        <f>('[1]Qc, Winter, S3'!M2*Main!$B$5)</f>
        <v>-1.4300878309344851</v>
      </c>
      <c r="N2" s="2">
        <f>('[1]Qc, Winter, S3'!N2*Main!$B$5)</f>
        <v>-1.9794361975466279</v>
      </c>
      <c r="O2" s="2">
        <f>('[1]Qc, Winter, S3'!O2*Main!$B$5)</f>
        <v>-1.9967932019504298</v>
      </c>
      <c r="P2" s="2">
        <f>('[1]Qc, Winter, S3'!P2*Main!$B$5)</f>
        <v>-5.0479496114269509</v>
      </c>
      <c r="Q2" s="2">
        <f>('[1]Qc, Winter, S3'!Q2*Main!$B$5)</f>
        <v>-7.2698421951230072</v>
      </c>
      <c r="R2" s="2">
        <f>('[1]Qc, Winter, S3'!R2*Main!$B$5)</f>
        <v>-6.4651968937262678</v>
      </c>
      <c r="S2" s="2">
        <f>('[1]Qc, Winter, S3'!S2*Main!$B$5)</f>
        <v>-2.2069128583817408</v>
      </c>
      <c r="T2" s="2">
        <f>('[1]Qc, Winter, S3'!T2*Main!$B$5)</f>
        <v>-3.2102668518198385</v>
      </c>
      <c r="U2" s="2">
        <f>('[1]Qc, Winter, S3'!U2*Main!$B$5)</f>
        <v>-4.0354588571139827</v>
      </c>
      <c r="V2" s="2">
        <f>('[1]Qc, Winter, S3'!V2*Main!$B$5)</f>
        <v>-6.3389907312461089</v>
      </c>
      <c r="W2" s="2">
        <f>('[1]Qc, Winter, S3'!W2*Main!$B$5)</f>
        <v>-8.2284216384755027</v>
      </c>
      <c r="X2" s="2">
        <f>('[1]Qc, Winter, S3'!X2*Main!$B$5)</f>
        <v>-11.039546780091207</v>
      </c>
      <c r="Y2" s="2">
        <f>('[1]Qc, Winter, S3'!Y2*Main!$B$5)</f>
        <v>-12.425949003676383</v>
      </c>
    </row>
    <row r="3" spans="1:25" x14ac:dyDescent="0.3">
      <c r="A3">
        <v>2</v>
      </c>
      <c r="B3" s="2">
        <f>('[1]Qc, Winter, S3'!B3*Main!$B$5)</f>
        <v>16.234345442865283</v>
      </c>
      <c r="C3" s="2">
        <f>('[1]Qc, Winter, S3'!C3*Main!$B$5)</f>
        <v>20.109723760441433</v>
      </c>
      <c r="D3" s="2">
        <f>('[1]Qc, Winter, S3'!D3*Main!$B$5)</f>
        <v>20.109723760441433</v>
      </c>
      <c r="E3" s="2">
        <f>('[1]Qc, Winter, S3'!E3*Main!$B$5)</f>
        <v>20.109723760441433</v>
      </c>
      <c r="F3" s="2">
        <f>('[1]Qc, Winter, S3'!F3*Main!$B$5)</f>
        <v>20.109723760441433</v>
      </c>
      <c r="G3" s="2">
        <f>('[1]Qc, Winter, S3'!G3*Main!$B$5)</f>
        <v>16.293968813235118</v>
      </c>
      <c r="H3" s="2">
        <f>('[1]Qc, Winter, S3'!H3*Main!$B$5)</f>
        <v>7.3905406366564419</v>
      </c>
      <c r="I3" s="2">
        <f>('[1]Qc, Winter, S3'!I3*Main!$B$5)</f>
        <v>0.95145550532212486</v>
      </c>
      <c r="J3" s="2">
        <f>('[1]Qc, Winter, S3'!J3*Main!$B$5)</f>
        <v>-5.5671189377360424</v>
      </c>
      <c r="K3" s="2">
        <f>('[1]Qc, Winter, S3'!K3*Main!$B$5)</f>
        <v>-5.5671189377360424</v>
      </c>
      <c r="L3" s="2">
        <f>('[1]Qc, Winter, S3'!L3*Main!$B$5)</f>
        <v>-0.47944567479428613</v>
      </c>
      <c r="M3" s="2">
        <f>('[1]Qc, Winter, S3'!M3*Main!$B$5)</f>
        <v>-5.8056124192153948</v>
      </c>
      <c r="N3" s="2">
        <f>('[1]Qc, Winter, S3'!N3*Main!$B$5)</f>
        <v>-5.8056124192153948</v>
      </c>
      <c r="O3" s="2">
        <f>('[1]Qc, Winter, S3'!O3*Main!$B$5)</f>
        <v>-4.4939451899000638</v>
      </c>
      <c r="P3" s="2">
        <f>('[1]Qc, Winter, S3'!P3*Main!$B$5)</f>
        <v>-0.55894350195407094</v>
      </c>
      <c r="Q3" s="2">
        <f>('[1]Qc, Winter, S3'!Q3*Main!$B$5)</f>
        <v>3.3760453960533248</v>
      </c>
      <c r="R3" s="2">
        <f>('[1]Qc, Winter, S3'!R3*Main!$B$5)</f>
        <v>4.6877083620557913</v>
      </c>
      <c r="S3" s="2">
        <f>('[1]Qc, Winter, S3'!S3*Main!$B$5)</f>
        <v>4.6877083620557913</v>
      </c>
      <c r="T3" s="2">
        <f>('[1]Qc, Winter, S3'!T3*Main!$B$5)</f>
        <v>4.6877083620557913</v>
      </c>
      <c r="U3" s="2">
        <f>('[1]Qc, Winter, S3'!U3*Main!$B$5)</f>
        <v>4.6877083620557913</v>
      </c>
      <c r="V3" s="2">
        <f>('[1]Qc, Winter, S3'!V3*Main!$B$5)</f>
        <v>4.6877083620557913</v>
      </c>
      <c r="W3" s="2">
        <f>('[1]Qc, Winter, S3'!W3*Main!$B$5)</f>
        <v>9.7753815802383546</v>
      </c>
      <c r="X3" s="2">
        <f>('[1]Qc, Winter, S3'!X3*Main!$B$5)</f>
        <v>14.942552670339897</v>
      </c>
      <c r="Y3" s="2">
        <f>('[1]Qc, Winter, S3'!Y3*Main!$B$5)</f>
        <v>14.942552670339897</v>
      </c>
    </row>
    <row r="4" spans="1:25" x14ac:dyDescent="0.3">
      <c r="A4">
        <v>3</v>
      </c>
      <c r="B4" s="2">
        <f>('[1]Qc, Winter, S3'!B4*Main!$B$5)</f>
        <v>11.015791058877983</v>
      </c>
      <c r="C4" s="2">
        <f>('[1]Qc, Winter, S3'!C4*Main!$B$5)</f>
        <v>8.4972786179670194</v>
      </c>
      <c r="D4" s="2">
        <f>('[1]Qc, Winter, S3'!D4*Main!$B$5)</f>
        <v>7.2741053517081697</v>
      </c>
      <c r="E4" s="2">
        <f>('[1]Qc, Winter, S3'!E4*Main!$B$5)</f>
        <v>7.1181955023410071</v>
      </c>
      <c r="F4" s="2">
        <f>('[1]Qc, Winter, S3'!F4*Main!$B$5)</f>
        <v>8.0902617632556204</v>
      </c>
      <c r="G4" s="2">
        <f>('[1]Qc, Winter, S3'!G4*Main!$B$5)</f>
        <v>10.045174765442052</v>
      </c>
      <c r="H4" s="2">
        <f>('[1]Qc, Winter, S3'!H4*Main!$B$5)</f>
        <v>15.585170980220868</v>
      </c>
      <c r="I4" s="2">
        <f>('[1]Qc, Winter, S3'!I4*Main!$B$5)</f>
        <v>19.026511656288413</v>
      </c>
      <c r="J4" s="2">
        <f>('[1]Qc, Winter, S3'!J4*Main!$B$5)</f>
        <v>21.982439258900751</v>
      </c>
      <c r="K4" s="2">
        <f>('[1]Qc, Winter, S3'!K4*Main!$B$5)</f>
        <v>24.206710669624698</v>
      </c>
      <c r="L4" s="2">
        <f>('[1]Qc, Winter, S3'!L4*Main!$B$5)</f>
        <v>24.410996745811929</v>
      </c>
      <c r="M4" s="2">
        <f>('[1]Qc, Winter, S3'!M4*Main!$B$5)</f>
        <v>23.973287813632417</v>
      </c>
      <c r="N4" s="2">
        <f>('[1]Qc, Winter, S3'!N4*Main!$B$5)</f>
        <v>24.075388803569282</v>
      </c>
      <c r="O4" s="2">
        <f>('[1]Qc, Winter, S3'!O4*Main!$B$5)</f>
        <v>23.829713304769513</v>
      </c>
      <c r="P4" s="2">
        <f>('[1]Qc, Winter, S3'!P4*Main!$B$5)</f>
        <v>21.497152039433846</v>
      </c>
      <c r="Q4" s="2">
        <f>('[1]Qc, Winter, S3'!Q4*Main!$B$5)</f>
        <v>20.424224784242075</v>
      </c>
      <c r="R4" s="2">
        <f>('[1]Qc, Winter, S3'!R4*Main!$B$5)</f>
        <v>21.077862118524539</v>
      </c>
      <c r="S4" s="2">
        <f>('[1]Qc, Winter, S3'!S4*Main!$B$5)</f>
        <v>28.728176800630621</v>
      </c>
      <c r="T4" s="2">
        <f>('[1]Qc, Winter, S3'!T4*Main!$B$5)</f>
        <v>28.686472201531608</v>
      </c>
      <c r="U4" s="2">
        <f>('[1]Qc, Winter, S3'!U4*Main!$B$5)</f>
        <v>27.811095994433881</v>
      </c>
      <c r="V4" s="2">
        <f>('[1]Qc, Winter, S3'!V4*Main!$B$5)</f>
        <v>25.742103022176128</v>
      </c>
      <c r="W4" s="2">
        <f>('[1]Qc, Winter, S3'!W4*Main!$B$5)</f>
        <v>22.89330975496615</v>
      </c>
      <c r="X4" s="2">
        <f>('[1]Qc, Winter, S3'!X4*Main!$B$5)</f>
        <v>18.672315462979132</v>
      </c>
      <c r="Y4" s="2">
        <f>('[1]Qc, Winter, S3'!Y4*Main!$B$5)</f>
        <v>14.325263102990736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C93A0-0BE5-4740-9A7A-7931CB930513}">
  <dimension ref="A1:Y4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Ratio'!$A$2:$B$21,2,FALSE)</f>
        <v>2.8587421638184591</v>
      </c>
      <c r="C2" s="2">
        <f>('FL Characterization'!C$4-'FL Characterization'!C$2)*VLOOKUP($A2,'FL Ratio'!$A$2:$B$21,2,FALSE)</f>
        <v>3.1471123289838432</v>
      </c>
      <c r="D2" s="2">
        <f>('FL Characterization'!D$4-'FL Characterization'!D$2)*VLOOKUP($A2,'FL Ratio'!$A$2:$B$21,2,FALSE)</f>
        <v>4.0962656360176561</v>
      </c>
      <c r="E2" s="2">
        <f>('FL Characterization'!E$4-'FL Characterization'!E$2)*VLOOKUP($A2,'FL Ratio'!$A$2:$B$21,2,FALSE)</f>
        <v>4.6962038408472786</v>
      </c>
      <c r="F2" s="2">
        <f>('FL Characterization'!F$4-'FL Characterization'!F$2)*VLOOKUP($A2,'FL Ratio'!$A$2:$B$21,2,FALSE)</f>
        <v>5.5216681395676526</v>
      </c>
      <c r="G2" s="2">
        <f>('FL Characterization'!G$4-'FL Characterization'!G$2)*VLOOKUP($A2,'FL Ratio'!$A$2:$B$21,2,FALSE)</f>
        <v>6.4544325045493744</v>
      </c>
      <c r="H2" s="2">
        <f>('FL Characterization'!H$4-'FL Characterization'!H$2)*VLOOKUP($A2,'FL Ratio'!$A$2:$B$21,2,FALSE)</f>
        <v>5.7535479175148341</v>
      </c>
      <c r="I2" s="2">
        <f>('FL Characterization'!I$4-'FL Characterization'!I$2)*VLOOKUP($A2,'FL Ratio'!$A$2:$B$21,2,FALSE)</f>
        <v>8.225328949547773</v>
      </c>
      <c r="J2" s="2">
        <f>('FL Characterization'!J$4-'FL Characterization'!J$2)*VLOOKUP($A2,'FL Ratio'!$A$2:$B$21,2,FALSE)</f>
        <v>7.5458212434507441</v>
      </c>
      <c r="K2" s="2">
        <f>('FL Characterization'!K$4-'FL Characterization'!K$2)*VLOOKUP($A2,'FL Ratio'!$A$2:$B$21,2,FALSE)</f>
        <v>8.5225665616205681</v>
      </c>
      <c r="L2" s="2">
        <f>('FL Characterization'!L$4-'FL Characterization'!L$2)*VLOOKUP($A2,'FL Ratio'!$A$2:$B$21,2,FALSE)</f>
        <v>8.7589196498380062</v>
      </c>
      <c r="M2" s="2">
        <f>('FL Characterization'!M$4-'FL Characterization'!M$2)*VLOOKUP($A2,'FL Ratio'!$A$2:$B$21,2,FALSE)</f>
        <v>8.1246200882421586</v>
      </c>
      <c r="N2" s="2">
        <f>('FL Characterization'!N$4-'FL Characterization'!N$2)*VLOOKUP($A2,'FL Ratio'!$A$2:$B$21,2,FALSE)</f>
        <v>7.6644035524291105</v>
      </c>
      <c r="O2" s="2">
        <f>('FL Characterization'!O$4-'FL Characterization'!O$2)*VLOOKUP($A2,'FL Ratio'!$A$2:$B$21,2,FALSE)</f>
        <v>7.0561917029403398</v>
      </c>
      <c r="P2" s="2">
        <f>('FL Characterization'!P$4-'FL Characterization'!P$2)*VLOOKUP($A2,'FL Ratio'!$A$2:$B$21,2,FALSE)</f>
        <v>6.4995218886009036</v>
      </c>
      <c r="Q2" s="2">
        <f>('FL Characterization'!Q$4-'FL Characterization'!Q$2)*VLOOKUP($A2,'FL Ratio'!$A$2:$B$21,2,FALSE)</f>
        <v>5.849486567426057</v>
      </c>
      <c r="R2" s="2">
        <f>('FL Characterization'!R$4-'FL Characterization'!R$2)*VLOOKUP($A2,'FL Ratio'!$A$2:$B$21,2,FALSE)</f>
        <v>5.7886020435706982</v>
      </c>
      <c r="S2" s="2">
        <f>('FL Characterization'!S$4-'FL Characterization'!S$2)*VLOOKUP($A2,'FL Ratio'!$A$2:$B$21,2,FALSE)</f>
        <v>4.586370218326671</v>
      </c>
      <c r="T2" s="2">
        <f>('FL Characterization'!T$4-'FL Characterization'!T$2)*VLOOKUP($A2,'FL Ratio'!$A$2:$B$21,2,FALSE)</f>
        <v>3.7946734741242558</v>
      </c>
      <c r="U2" s="2">
        <f>('FL Characterization'!U$4-'FL Characterization'!U$2)*VLOOKUP($A2,'FL Ratio'!$A$2:$B$21,2,FALSE)</f>
        <v>4.5028816222207215</v>
      </c>
      <c r="V2" s="2">
        <f>('FL Characterization'!V$4-'FL Characterization'!V$2)*VLOOKUP($A2,'FL Ratio'!$A$2:$B$21,2,FALSE)</f>
        <v>4.5879932778052606</v>
      </c>
      <c r="W2" s="2">
        <f>('FL Characterization'!W$4-'FL Characterization'!W$2)*VLOOKUP($A2,'FL Ratio'!$A$2:$B$21,2,FALSE)</f>
        <v>5.2431550917234553</v>
      </c>
      <c r="X2" s="2">
        <f>('FL Characterization'!X$4-'FL Characterization'!X$2)*VLOOKUP($A2,'FL Ratio'!$A$2:$B$21,2,FALSE)</f>
        <v>2.545828172391488</v>
      </c>
      <c r="Y2" s="2">
        <f>('FL Characterization'!Y$4-'FL Characterization'!Y$2)*VLOOKUP($A2,'FL Ratio'!$A$2:$B$21,2,FALSE)</f>
        <v>2.4442879879383059</v>
      </c>
    </row>
    <row r="3" spans="1:25" x14ac:dyDescent="0.3">
      <c r="A3">
        <v>2</v>
      </c>
      <c r="B3" s="2">
        <f>('FL Characterization'!B$4-'FL Characterization'!B$2)*VLOOKUP($A3,'FL Ratio'!$A$2:$B$21,2,FALSE)</f>
        <v>2.8587421638184591</v>
      </c>
      <c r="C3" s="2">
        <f>('FL Characterization'!C$4-'FL Characterization'!C$2)*VLOOKUP($A3,'FL Ratio'!$A$2:$B$21,2,FALSE)</f>
        <v>3.1471123289838432</v>
      </c>
      <c r="D3" s="2">
        <f>('FL Characterization'!D$4-'FL Characterization'!D$2)*VLOOKUP($A3,'FL Ratio'!$A$2:$B$21,2,FALSE)</f>
        <v>4.0962656360176561</v>
      </c>
      <c r="E3" s="2">
        <f>('FL Characterization'!E$4-'FL Characterization'!E$2)*VLOOKUP($A3,'FL Ratio'!$A$2:$B$21,2,FALSE)</f>
        <v>4.6962038408472786</v>
      </c>
      <c r="F3" s="2">
        <f>('FL Characterization'!F$4-'FL Characterization'!F$2)*VLOOKUP($A3,'FL Ratio'!$A$2:$B$21,2,FALSE)</f>
        <v>5.5216681395676526</v>
      </c>
      <c r="G3" s="2">
        <f>('FL Characterization'!G$4-'FL Characterization'!G$2)*VLOOKUP($A3,'FL Ratio'!$A$2:$B$21,2,FALSE)</f>
        <v>6.4544325045493744</v>
      </c>
      <c r="H3" s="2">
        <f>('FL Characterization'!H$4-'FL Characterization'!H$2)*VLOOKUP($A3,'FL Ratio'!$A$2:$B$21,2,FALSE)</f>
        <v>5.7535479175148341</v>
      </c>
      <c r="I3" s="2">
        <f>('FL Characterization'!I$4-'FL Characterization'!I$2)*VLOOKUP($A3,'FL Ratio'!$A$2:$B$21,2,FALSE)</f>
        <v>8.225328949547773</v>
      </c>
      <c r="J3" s="2">
        <f>('FL Characterization'!J$4-'FL Characterization'!J$2)*VLOOKUP($A3,'FL Ratio'!$A$2:$B$21,2,FALSE)</f>
        <v>7.5458212434507441</v>
      </c>
      <c r="K3" s="2">
        <f>('FL Characterization'!K$4-'FL Characterization'!K$2)*VLOOKUP($A3,'FL Ratio'!$A$2:$B$21,2,FALSE)</f>
        <v>8.5225665616205681</v>
      </c>
      <c r="L3" s="2">
        <f>('FL Characterization'!L$4-'FL Characterization'!L$2)*VLOOKUP($A3,'FL Ratio'!$A$2:$B$21,2,FALSE)</f>
        <v>8.7589196498380062</v>
      </c>
      <c r="M3" s="2">
        <f>('FL Characterization'!M$4-'FL Characterization'!M$2)*VLOOKUP($A3,'FL Ratio'!$A$2:$B$21,2,FALSE)</f>
        <v>8.1246200882421586</v>
      </c>
      <c r="N3" s="2">
        <f>('FL Characterization'!N$4-'FL Characterization'!N$2)*VLOOKUP($A3,'FL Ratio'!$A$2:$B$21,2,FALSE)</f>
        <v>7.6644035524291105</v>
      </c>
      <c r="O3" s="2">
        <f>('FL Characterization'!O$4-'FL Characterization'!O$2)*VLOOKUP($A3,'FL Ratio'!$A$2:$B$21,2,FALSE)</f>
        <v>7.0561917029403398</v>
      </c>
      <c r="P3" s="2">
        <f>('FL Characterization'!P$4-'FL Characterization'!P$2)*VLOOKUP($A3,'FL Ratio'!$A$2:$B$21,2,FALSE)</f>
        <v>6.4995218886009036</v>
      </c>
      <c r="Q3" s="2">
        <f>('FL Characterization'!Q$4-'FL Characterization'!Q$2)*VLOOKUP($A3,'FL Ratio'!$A$2:$B$21,2,FALSE)</f>
        <v>5.849486567426057</v>
      </c>
      <c r="R3" s="2">
        <f>('FL Characterization'!R$4-'FL Characterization'!R$2)*VLOOKUP($A3,'FL Ratio'!$A$2:$B$21,2,FALSE)</f>
        <v>5.7886020435706982</v>
      </c>
      <c r="S3" s="2">
        <f>('FL Characterization'!S$4-'FL Characterization'!S$2)*VLOOKUP($A3,'FL Ratio'!$A$2:$B$21,2,FALSE)</f>
        <v>4.586370218326671</v>
      </c>
      <c r="T3" s="2">
        <f>('FL Characterization'!T$4-'FL Characterization'!T$2)*VLOOKUP($A3,'FL Ratio'!$A$2:$B$21,2,FALSE)</f>
        <v>3.7946734741242558</v>
      </c>
      <c r="U3" s="2">
        <f>('FL Characterization'!U$4-'FL Characterization'!U$2)*VLOOKUP($A3,'FL Ratio'!$A$2:$B$21,2,FALSE)</f>
        <v>4.5028816222207215</v>
      </c>
      <c r="V3" s="2">
        <f>('FL Characterization'!V$4-'FL Characterization'!V$2)*VLOOKUP($A3,'FL Ratio'!$A$2:$B$21,2,FALSE)</f>
        <v>4.5879932778052606</v>
      </c>
      <c r="W3" s="2">
        <f>('FL Characterization'!W$4-'FL Characterization'!W$2)*VLOOKUP($A3,'FL Ratio'!$A$2:$B$21,2,FALSE)</f>
        <v>5.2431550917234553</v>
      </c>
      <c r="X3" s="2">
        <f>('FL Characterization'!X$4-'FL Characterization'!X$2)*VLOOKUP($A3,'FL Ratio'!$A$2:$B$21,2,FALSE)</f>
        <v>2.545828172391488</v>
      </c>
      <c r="Y3" s="2">
        <f>('FL Characterization'!Y$4-'FL Characterization'!Y$2)*VLOOKUP($A3,'FL Ratio'!$A$2:$B$21,2,FALSE)</f>
        <v>2.4442879879383059</v>
      </c>
    </row>
    <row r="4" spans="1:25" x14ac:dyDescent="0.3">
      <c r="A4">
        <v>3</v>
      </c>
      <c r="B4" s="2">
        <f>('FL Characterization'!B$4-'FL Characterization'!B$2)*VLOOKUP($A4,'FL Ratio'!$A$2:$B$21,2,FALSE)</f>
        <v>2.8587421638184591</v>
      </c>
      <c r="C4" s="2">
        <f>('FL Characterization'!C$4-'FL Characterization'!C$2)*VLOOKUP($A4,'FL Ratio'!$A$2:$B$21,2,FALSE)</f>
        <v>3.1471123289838432</v>
      </c>
      <c r="D4" s="2">
        <f>('FL Characterization'!D$4-'FL Characterization'!D$2)*VLOOKUP($A4,'FL Ratio'!$A$2:$B$21,2,FALSE)</f>
        <v>4.0962656360176561</v>
      </c>
      <c r="E4" s="2">
        <f>('FL Characterization'!E$4-'FL Characterization'!E$2)*VLOOKUP($A4,'FL Ratio'!$A$2:$B$21,2,FALSE)</f>
        <v>4.6962038408472786</v>
      </c>
      <c r="F4" s="2">
        <f>('FL Characterization'!F$4-'FL Characterization'!F$2)*VLOOKUP($A4,'FL Ratio'!$A$2:$B$21,2,FALSE)</f>
        <v>5.5216681395676526</v>
      </c>
      <c r="G4" s="2">
        <f>('FL Characterization'!G$4-'FL Characterization'!G$2)*VLOOKUP($A4,'FL Ratio'!$A$2:$B$21,2,FALSE)</f>
        <v>6.4544325045493744</v>
      </c>
      <c r="H4" s="2">
        <f>('FL Characterization'!H$4-'FL Characterization'!H$2)*VLOOKUP($A4,'FL Ratio'!$A$2:$B$21,2,FALSE)</f>
        <v>5.7535479175148341</v>
      </c>
      <c r="I4" s="2">
        <f>('FL Characterization'!I$4-'FL Characterization'!I$2)*VLOOKUP($A4,'FL Ratio'!$A$2:$B$21,2,FALSE)</f>
        <v>8.225328949547773</v>
      </c>
      <c r="J4" s="2">
        <f>('FL Characterization'!J$4-'FL Characterization'!J$2)*VLOOKUP($A4,'FL Ratio'!$A$2:$B$21,2,FALSE)</f>
        <v>7.5458212434507441</v>
      </c>
      <c r="K4" s="2">
        <f>('FL Characterization'!K$4-'FL Characterization'!K$2)*VLOOKUP($A4,'FL Ratio'!$A$2:$B$21,2,FALSE)</f>
        <v>8.5225665616205681</v>
      </c>
      <c r="L4" s="2">
        <f>('FL Characterization'!L$4-'FL Characterization'!L$2)*VLOOKUP($A4,'FL Ratio'!$A$2:$B$21,2,FALSE)</f>
        <v>8.7589196498380062</v>
      </c>
      <c r="M4" s="2">
        <f>('FL Characterization'!M$4-'FL Characterization'!M$2)*VLOOKUP($A4,'FL Ratio'!$A$2:$B$21,2,FALSE)</f>
        <v>8.1246200882421586</v>
      </c>
      <c r="N4" s="2">
        <f>('FL Characterization'!N$4-'FL Characterization'!N$2)*VLOOKUP($A4,'FL Ratio'!$A$2:$B$21,2,FALSE)</f>
        <v>7.6644035524291105</v>
      </c>
      <c r="O4" s="2">
        <f>('FL Characterization'!O$4-'FL Characterization'!O$2)*VLOOKUP($A4,'FL Ratio'!$A$2:$B$21,2,FALSE)</f>
        <v>7.0561917029403398</v>
      </c>
      <c r="P4" s="2">
        <f>('FL Characterization'!P$4-'FL Characterization'!P$2)*VLOOKUP($A4,'FL Ratio'!$A$2:$B$21,2,FALSE)</f>
        <v>6.4995218886009036</v>
      </c>
      <c r="Q4" s="2">
        <f>('FL Characterization'!Q$4-'FL Characterization'!Q$2)*VLOOKUP($A4,'FL Ratio'!$A$2:$B$21,2,FALSE)</f>
        <v>5.849486567426057</v>
      </c>
      <c r="R4" s="2">
        <f>('FL Characterization'!R$4-'FL Characterization'!R$2)*VLOOKUP($A4,'FL Ratio'!$A$2:$B$21,2,FALSE)</f>
        <v>5.7886020435706982</v>
      </c>
      <c r="S4" s="2">
        <f>('FL Characterization'!S$4-'FL Characterization'!S$2)*VLOOKUP($A4,'FL Ratio'!$A$2:$B$21,2,FALSE)</f>
        <v>4.586370218326671</v>
      </c>
      <c r="T4" s="2">
        <f>('FL Characterization'!T$4-'FL Characterization'!T$2)*VLOOKUP($A4,'FL Ratio'!$A$2:$B$21,2,FALSE)</f>
        <v>3.7946734741242558</v>
      </c>
      <c r="U4" s="2">
        <f>('FL Characterization'!U$4-'FL Characterization'!U$2)*VLOOKUP($A4,'FL Ratio'!$A$2:$B$21,2,FALSE)</f>
        <v>4.5028816222207215</v>
      </c>
      <c r="V4" s="2">
        <f>('FL Characterization'!V$4-'FL Characterization'!V$2)*VLOOKUP($A4,'FL Ratio'!$A$2:$B$21,2,FALSE)</f>
        <v>4.5879932778052606</v>
      </c>
      <c r="W4" s="2">
        <f>('FL Characterization'!W$4-'FL Characterization'!W$2)*VLOOKUP($A4,'FL Ratio'!$A$2:$B$21,2,FALSE)</f>
        <v>5.2431550917234553</v>
      </c>
      <c r="X4" s="2">
        <f>('FL Characterization'!X$4-'FL Characterization'!X$2)*VLOOKUP($A4,'FL Ratio'!$A$2:$B$21,2,FALSE)</f>
        <v>2.545828172391488</v>
      </c>
      <c r="Y4" s="2">
        <f>('FL Characterization'!Y$4-'FL Characterization'!Y$2)*VLOOKUP($A4,'FL Ratio'!$A$2:$B$21,2,FALSE)</f>
        <v>2.4442879879383059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27C5-ECAC-4498-ABD1-B02555F56FCB}">
  <dimension ref="A1:Y4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Ratio'!$A$2:$B$21,2,FALSE)</f>
        <v>7.9254786075826136</v>
      </c>
      <c r="C2" s="2">
        <f>('FL Characterization'!C$2-'FL Characterization'!C$3)*VLOOKUP($A2,'FL Ratio'!$A$2:$B$21,2,FALSE)</f>
        <v>8.3874567567321812</v>
      </c>
      <c r="D2" s="2">
        <f>('FL Characterization'!D$2-'FL Characterization'!D$3)*VLOOKUP($A2,'FL Ratio'!$A$2:$B$21,2,FALSE)</f>
        <v>8.8569564010264283</v>
      </c>
      <c r="E2" s="2">
        <f>('FL Characterization'!E$2-'FL Characterization'!E$3)*VLOOKUP($A2,'FL Ratio'!$A$2:$B$21,2,FALSE)</f>
        <v>9.2595543253495727</v>
      </c>
      <c r="F2" s="2">
        <f>('FL Characterization'!F$2-'FL Characterization'!F$3)*VLOOKUP($A2,'FL Ratio'!$A$2:$B$21,2,FALSE)</f>
        <v>9.3646573232923416</v>
      </c>
      <c r="G2" s="2">
        <f>('FL Characterization'!G$2-'FL Characterization'!G$3)*VLOOKUP($A2,'FL Ratio'!$A$2:$B$21,2,FALSE)</f>
        <v>9.7959556896149227</v>
      </c>
      <c r="H2" s="2">
        <f>('FL Characterization'!H$2-'FL Characterization'!H$3)*VLOOKUP($A2,'FL Ratio'!$A$2:$B$21,2,FALSE)</f>
        <v>9.7458783666779745</v>
      </c>
      <c r="I2" s="2">
        <f>('FL Characterization'!I$2-'FL Characterization'!I$3)*VLOOKUP($A2,'FL Ratio'!$A$2:$B$21,2,FALSE)</f>
        <v>9.2121293191215372</v>
      </c>
      <c r="J2" s="2">
        <f>('FL Characterization'!J$2-'FL Characterization'!J$3)*VLOOKUP($A2,'FL Ratio'!$A$2:$B$21,2,FALSE)</f>
        <v>8.3465635752350504</v>
      </c>
      <c r="K2" s="2">
        <f>('FL Characterization'!K$2-'FL Characterization'!K$3)*VLOOKUP($A2,'FL Ratio'!$A$2:$B$21,2,FALSE)</f>
        <v>12.256691999830148</v>
      </c>
      <c r="L2" s="2">
        <f>('FL Characterization'!L$2-'FL Characterization'!L$3)*VLOOKUP($A2,'FL Ratio'!$A$2:$B$21,2,FALSE)</f>
        <v>11.969153157812336</v>
      </c>
      <c r="M2" s="2">
        <f>('FL Characterization'!M$2-'FL Characterization'!M$3)*VLOOKUP($A2,'FL Ratio'!$A$2:$B$21,2,FALSE)</f>
        <v>11.021444769582633</v>
      </c>
      <c r="N2" s="2">
        <f>('FL Characterization'!N$2-'FL Characterization'!N$3)*VLOOKUP($A2,'FL Ratio'!$A$2:$B$21,2,FALSE)</f>
        <v>10.753639955615466</v>
      </c>
      <c r="O2" s="2">
        <f>('FL Characterization'!O$2-'FL Characterization'!O$3)*VLOOKUP($A2,'FL Ratio'!$A$2:$B$21,2,FALSE)</f>
        <v>10.797838636294601</v>
      </c>
      <c r="P2" s="2">
        <f>('FL Characterization'!P$2-'FL Characterization'!P$3)*VLOOKUP($A2,'FL Ratio'!$A$2:$B$21,2,FALSE)</f>
        <v>10.28627799941497</v>
      </c>
      <c r="Q2" s="2">
        <f>('FL Characterization'!Q$2-'FL Characterization'!Q$3)*VLOOKUP($A2,'FL Ratio'!$A$2:$B$21,2,FALSE)</f>
        <v>9.4289067265545299</v>
      </c>
      <c r="R2" s="2">
        <f>('FL Characterization'!R$2-'FL Characterization'!R$3)*VLOOKUP($A2,'FL Ratio'!$A$2:$B$21,2,FALSE)</f>
        <v>8.4740331245291056</v>
      </c>
      <c r="S2" s="2">
        <f>('FL Characterization'!S$2-'FL Characterization'!S$3)*VLOOKUP($A2,'FL Ratio'!$A$2:$B$21,2,FALSE)</f>
        <v>8.170045960234372</v>
      </c>
      <c r="T2" s="2">
        <f>('FL Characterization'!T$2-'FL Characterization'!T$3)*VLOOKUP($A2,'FL Ratio'!$A$2:$B$21,2,FALSE)</f>
        <v>5.1356570913793558</v>
      </c>
      <c r="U2" s="2">
        <f>('FL Characterization'!U$2-'FL Characterization'!U$3)*VLOOKUP($A2,'FL Ratio'!$A$2:$B$21,2,FALSE)</f>
        <v>5.49211658101237</v>
      </c>
      <c r="V2" s="2">
        <f>('FL Characterization'!V$2-'FL Characterization'!V$3)*VLOOKUP($A2,'FL Ratio'!$A$2:$B$21,2,FALSE)</f>
        <v>6.0046470948974973</v>
      </c>
      <c r="W2" s="2">
        <f>('FL Characterization'!W$2-'FL Characterization'!W$3)*VLOOKUP($A2,'FL Ratio'!$A$2:$B$21,2,FALSE)</f>
        <v>6.1479315774036554</v>
      </c>
      <c r="X2" s="2">
        <f>('FL Characterization'!X$2-'FL Characterization'!X$3)*VLOOKUP($A2,'FL Ratio'!$A$2:$B$21,2,FALSE)</f>
        <v>6.411876676757104</v>
      </c>
      <c r="Y2" s="2">
        <f>('FL Characterization'!Y$2-'FL Characterization'!Y$3)*VLOOKUP($A2,'FL Ratio'!$A$2:$B$21,2,FALSE)</f>
        <v>7.0775289970613002</v>
      </c>
    </row>
    <row r="3" spans="1:25" x14ac:dyDescent="0.3">
      <c r="A3">
        <v>2</v>
      </c>
      <c r="B3" s="2">
        <f>('FL Characterization'!B$2-'FL Characterization'!B$3)*VLOOKUP($A3,'FL Ratio'!$A$2:$B$21,2,FALSE)</f>
        <v>7.9254786075826136</v>
      </c>
      <c r="C3" s="2">
        <f>('FL Characterization'!C$2-'FL Characterization'!C$3)*VLOOKUP($A3,'FL Ratio'!$A$2:$B$21,2,FALSE)</f>
        <v>8.3874567567321812</v>
      </c>
      <c r="D3" s="2">
        <f>('FL Characterization'!D$2-'FL Characterization'!D$3)*VLOOKUP($A3,'FL Ratio'!$A$2:$B$21,2,FALSE)</f>
        <v>8.8569564010264283</v>
      </c>
      <c r="E3" s="2">
        <f>('FL Characterization'!E$2-'FL Characterization'!E$3)*VLOOKUP($A3,'FL Ratio'!$A$2:$B$21,2,FALSE)</f>
        <v>9.2595543253495727</v>
      </c>
      <c r="F3" s="2">
        <f>('FL Characterization'!F$2-'FL Characterization'!F$3)*VLOOKUP($A3,'FL Ratio'!$A$2:$B$21,2,FALSE)</f>
        <v>9.3646573232923416</v>
      </c>
      <c r="G3" s="2">
        <f>('FL Characterization'!G$2-'FL Characterization'!G$3)*VLOOKUP($A3,'FL Ratio'!$A$2:$B$21,2,FALSE)</f>
        <v>9.7959556896149227</v>
      </c>
      <c r="H3" s="2">
        <f>('FL Characterization'!H$2-'FL Characterization'!H$3)*VLOOKUP($A3,'FL Ratio'!$A$2:$B$21,2,FALSE)</f>
        <v>9.7458783666779745</v>
      </c>
      <c r="I3" s="2">
        <f>('FL Characterization'!I$2-'FL Characterization'!I$3)*VLOOKUP($A3,'FL Ratio'!$A$2:$B$21,2,FALSE)</f>
        <v>9.2121293191215372</v>
      </c>
      <c r="J3" s="2">
        <f>('FL Characterization'!J$2-'FL Characterization'!J$3)*VLOOKUP($A3,'FL Ratio'!$A$2:$B$21,2,FALSE)</f>
        <v>8.3465635752350504</v>
      </c>
      <c r="K3" s="2">
        <f>('FL Characterization'!K$2-'FL Characterization'!K$3)*VLOOKUP($A3,'FL Ratio'!$A$2:$B$21,2,FALSE)</f>
        <v>12.256691999830148</v>
      </c>
      <c r="L3" s="2">
        <f>('FL Characterization'!L$2-'FL Characterization'!L$3)*VLOOKUP($A3,'FL Ratio'!$A$2:$B$21,2,FALSE)</f>
        <v>11.969153157812336</v>
      </c>
      <c r="M3" s="2">
        <f>('FL Characterization'!M$2-'FL Characterization'!M$3)*VLOOKUP($A3,'FL Ratio'!$A$2:$B$21,2,FALSE)</f>
        <v>11.021444769582633</v>
      </c>
      <c r="N3" s="2">
        <f>('FL Characterization'!N$2-'FL Characterization'!N$3)*VLOOKUP($A3,'FL Ratio'!$A$2:$B$21,2,FALSE)</f>
        <v>10.753639955615466</v>
      </c>
      <c r="O3" s="2">
        <f>('FL Characterization'!O$2-'FL Characterization'!O$3)*VLOOKUP($A3,'FL Ratio'!$A$2:$B$21,2,FALSE)</f>
        <v>10.797838636294601</v>
      </c>
      <c r="P3" s="2">
        <f>('FL Characterization'!P$2-'FL Characterization'!P$3)*VLOOKUP($A3,'FL Ratio'!$A$2:$B$21,2,FALSE)</f>
        <v>10.28627799941497</v>
      </c>
      <c r="Q3" s="2">
        <f>('FL Characterization'!Q$2-'FL Characterization'!Q$3)*VLOOKUP($A3,'FL Ratio'!$A$2:$B$21,2,FALSE)</f>
        <v>9.4289067265545299</v>
      </c>
      <c r="R3" s="2">
        <f>('FL Characterization'!R$2-'FL Characterization'!R$3)*VLOOKUP($A3,'FL Ratio'!$A$2:$B$21,2,FALSE)</f>
        <v>8.4740331245291056</v>
      </c>
      <c r="S3" s="2">
        <f>('FL Characterization'!S$2-'FL Characterization'!S$3)*VLOOKUP($A3,'FL Ratio'!$A$2:$B$21,2,FALSE)</f>
        <v>8.170045960234372</v>
      </c>
      <c r="T3" s="2">
        <f>('FL Characterization'!T$2-'FL Characterization'!T$3)*VLOOKUP($A3,'FL Ratio'!$A$2:$B$21,2,FALSE)</f>
        <v>5.1356570913793558</v>
      </c>
      <c r="U3" s="2">
        <f>('FL Characterization'!U$2-'FL Characterization'!U$3)*VLOOKUP($A3,'FL Ratio'!$A$2:$B$21,2,FALSE)</f>
        <v>5.49211658101237</v>
      </c>
      <c r="V3" s="2">
        <f>('FL Characterization'!V$2-'FL Characterization'!V$3)*VLOOKUP($A3,'FL Ratio'!$A$2:$B$21,2,FALSE)</f>
        <v>6.0046470948974973</v>
      </c>
      <c r="W3" s="2">
        <f>('FL Characterization'!W$2-'FL Characterization'!W$3)*VLOOKUP($A3,'FL Ratio'!$A$2:$B$21,2,FALSE)</f>
        <v>6.1479315774036554</v>
      </c>
      <c r="X3" s="2">
        <f>('FL Characterization'!X$2-'FL Characterization'!X$3)*VLOOKUP($A3,'FL Ratio'!$A$2:$B$21,2,FALSE)</f>
        <v>6.411876676757104</v>
      </c>
      <c r="Y3" s="2">
        <f>('FL Characterization'!Y$2-'FL Characterization'!Y$3)*VLOOKUP($A3,'FL Ratio'!$A$2:$B$21,2,FALSE)</f>
        <v>7.0775289970613002</v>
      </c>
    </row>
    <row r="4" spans="1:25" x14ac:dyDescent="0.3">
      <c r="A4">
        <v>3</v>
      </c>
      <c r="B4" s="2">
        <f>('FL Characterization'!B$2-'FL Characterization'!B$3)*VLOOKUP($A4,'FL Ratio'!$A$2:$B$21,2,FALSE)</f>
        <v>7.9254786075826136</v>
      </c>
      <c r="C4" s="2">
        <f>('FL Characterization'!C$2-'FL Characterization'!C$3)*VLOOKUP($A4,'FL Ratio'!$A$2:$B$21,2,FALSE)</f>
        <v>8.3874567567321812</v>
      </c>
      <c r="D4" s="2">
        <f>('FL Characterization'!D$2-'FL Characterization'!D$3)*VLOOKUP($A4,'FL Ratio'!$A$2:$B$21,2,FALSE)</f>
        <v>8.8569564010264283</v>
      </c>
      <c r="E4" s="2">
        <f>('FL Characterization'!E$2-'FL Characterization'!E$3)*VLOOKUP($A4,'FL Ratio'!$A$2:$B$21,2,FALSE)</f>
        <v>9.2595543253495727</v>
      </c>
      <c r="F4" s="2">
        <f>('FL Characterization'!F$2-'FL Characterization'!F$3)*VLOOKUP($A4,'FL Ratio'!$A$2:$B$21,2,FALSE)</f>
        <v>9.3646573232923416</v>
      </c>
      <c r="G4" s="2">
        <f>('FL Characterization'!G$2-'FL Characterization'!G$3)*VLOOKUP($A4,'FL Ratio'!$A$2:$B$21,2,FALSE)</f>
        <v>9.7959556896149227</v>
      </c>
      <c r="H4" s="2">
        <f>('FL Characterization'!H$2-'FL Characterization'!H$3)*VLOOKUP($A4,'FL Ratio'!$A$2:$B$21,2,FALSE)</f>
        <v>9.7458783666779745</v>
      </c>
      <c r="I4" s="2">
        <f>('FL Characterization'!I$2-'FL Characterization'!I$3)*VLOOKUP($A4,'FL Ratio'!$A$2:$B$21,2,FALSE)</f>
        <v>9.2121293191215372</v>
      </c>
      <c r="J4" s="2">
        <f>('FL Characterization'!J$2-'FL Characterization'!J$3)*VLOOKUP($A4,'FL Ratio'!$A$2:$B$21,2,FALSE)</f>
        <v>8.3465635752350504</v>
      </c>
      <c r="K4" s="2">
        <f>('FL Characterization'!K$2-'FL Characterization'!K$3)*VLOOKUP($A4,'FL Ratio'!$A$2:$B$21,2,FALSE)</f>
        <v>12.256691999830148</v>
      </c>
      <c r="L4" s="2">
        <f>('FL Characterization'!L$2-'FL Characterization'!L$3)*VLOOKUP($A4,'FL Ratio'!$A$2:$B$21,2,FALSE)</f>
        <v>11.969153157812336</v>
      </c>
      <c r="M4" s="2">
        <f>('FL Characterization'!M$2-'FL Characterization'!M$3)*VLOOKUP($A4,'FL Ratio'!$A$2:$B$21,2,FALSE)</f>
        <v>11.021444769582633</v>
      </c>
      <c r="N4" s="2">
        <f>('FL Characterization'!N$2-'FL Characterization'!N$3)*VLOOKUP($A4,'FL Ratio'!$A$2:$B$21,2,FALSE)</f>
        <v>10.753639955615466</v>
      </c>
      <c r="O4" s="2">
        <f>('FL Characterization'!O$2-'FL Characterization'!O$3)*VLOOKUP($A4,'FL Ratio'!$A$2:$B$21,2,FALSE)</f>
        <v>10.797838636294601</v>
      </c>
      <c r="P4" s="2">
        <f>('FL Characterization'!P$2-'FL Characterization'!P$3)*VLOOKUP($A4,'FL Ratio'!$A$2:$B$21,2,FALSE)</f>
        <v>10.28627799941497</v>
      </c>
      <c r="Q4" s="2">
        <f>('FL Characterization'!Q$2-'FL Characterization'!Q$3)*VLOOKUP($A4,'FL Ratio'!$A$2:$B$21,2,FALSE)</f>
        <v>9.4289067265545299</v>
      </c>
      <c r="R4" s="2">
        <f>('FL Characterization'!R$2-'FL Characterization'!R$3)*VLOOKUP($A4,'FL Ratio'!$A$2:$B$21,2,FALSE)</f>
        <v>8.4740331245291056</v>
      </c>
      <c r="S4" s="2">
        <f>('FL Characterization'!S$2-'FL Characterization'!S$3)*VLOOKUP($A4,'FL Ratio'!$A$2:$B$21,2,FALSE)</f>
        <v>8.170045960234372</v>
      </c>
      <c r="T4" s="2">
        <f>('FL Characterization'!T$2-'FL Characterization'!T$3)*VLOOKUP($A4,'FL Ratio'!$A$2:$B$21,2,FALSE)</f>
        <v>5.1356570913793558</v>
      </c>
      <c r="U4" s="2">
        <f>('FL Characterization'!U$2-'FL Characterization'!U$3)*VLOOKUP($A4,'FL Ratio'!$A$2:$B$21,2,FALSE)</f>
        <v>5.49211658101237</v>
      </c>
      <c r="V4" s="2">
        <f>('FL Characterization'!V$2-'FL Characterization'!V$3)*VLOOKUP($A4,'FL Ratio'!$A$2:$B$21,2,FALSE)</f>
        <v>6.0046470948974973</v>
      </c>
      <c r="W4" s="2">
        <f>('FL Characterization'!W$2-'FL Characterization'!W$3)*VLOOKUP($A4,'FL Ratio'!$A$2:$B$21,2,FALSE)</f>
        <v>6.1479315774036554</v>
      </c>
      <c r="X4" s="2">
        <f>('FL Characterization'!X$2-'FL Characterization'!X$3)*VLOOKUP($A4,'FL Ratio'!$A$2:$B$21,2,FALSE)</f>
        <v>6.411876676757104</v>
      </c>
      <c r="Y4" s="2">
        <f>('FL Characterization'!Y$2-'FL Characterization'!Y$3)*VLOOKUP($A4,'FL Ratio'!$A$2:$B$21,2,FALSE)</f>
        <v>7.0775289970613002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C6C14-5D41-4BE0-A146-2AAE7ACE2474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Winter'!B$5</f>
        <v>24.396828582898433</v>
      </c>
      <c r="C5" s="9">
        <f>VLOOKUP($A5,'RES installed'!$A$2:$C$7,3,FALSE)*'[1]Profiles, RES, Winter'!C$5</f>
        <v>26.248494580489762</v>
      </c>
      <c r="D5" s="9">
        <f>VLOOKUP($A5,'RES installed'!$A$2:$C$7,3,FALSE)*'[1]Profiles, RES, Winter'!D$5</f>
        <v>26.113006824568448</v>
      </c>
      <c r="E5" s="9">
        <f>VLOOKUP($A5,'RES installed'!$A$2:$C$7,3,FALSE)*'[1]Profiles, RES, Winter'!E$5</f>
        <v>26.167201926936976</v>
      </c>
      <c r="F5" s="9">
        <f>VLOOKUP($A5,'RES installed'!$A$2:$C$7,3,FALSE)*'[1]Profiles, RES, Winter'!F$5</f>
        <v>27.088518667201928</v>
      </c>
      <c r="G5" s="9">
        <f>VLOOKUP($A5,'RES installed'!$A$2:$C$7,3,FALSE)*'[1]Profiles, RES, Winter'!G$5</f>
        <v>28.596949016459256</v>
      </c>
      <c r="H5" s="9">
        <f>VLOOKUP($A5,'RES installed'!$A$2:$C$7,3,FALSE)*'[1]Profiles, RES, Winter'!H$5</f>
        <v>30.466680048173423</v>
      </c>
      <c r="I5" s="9">
        <f>VLOOKUP($A5,'RES installed'!$A$2:$C$7,3,FALSE)*'[1]Profiles, RES, Winter'!I$5</f>
        <v>30.520875150541951</v>
      </c>
      <c r="J5" s="9">
        <f>VLOOKUP($A5,'RES installed'!$A$2:$C$7,3,FALSE)*'[1]Profiles, RES, Winter'!J$5</f>
        <v>30.249899638699318</v>
      </c>
      <c r="K5" s="9">
        <f>VLOOKUP($A5,'RES installed'!$A$2:$C$7,3,FALSE)*'[1]Profiles, RES, Winter'!K$5</f>
        <v>28.389201124046568</v>
      </c>
      <c r="L5" s="9">
        <f>VLOOKUP($A5,'RES installed'!$A$2:$C$7,3,FALSE)*'[1]Profiles, RES, Winter'!L$5</f>
        <v>24.758129265355279</v>
      </c>
      <c r="M5" s="9">
        <f>VLOOKUP($A5,'RES installed'!$A$2:$C$7,3,FALSE)*'[1]Profiles, RES, Winter'!M$5</f>
        <v>22.780008028904053</v>
      </c>
      <c r="N5" s="9">
        <f>VLOOKUP($A5,'RES installed'!$A$2:$C$7,3,FALSE)*'[1]Profiles, RES, Winter'!N$5</f>
        <v>21.885788839823366</v>
      </c>
      <c r="O5" s="9">
        <f>VLOOKUP($A5,'RES installed'!$A$2:$C$7,3,FALSE)*'[1]Profiles, RES, Winter'!O$5</f>
        <v>20.39542352468888</v>
      </c>
      <c r="P5" s="9">
        <f>VLOOKUP($A5,'RES installed'!$A$2:$C$7,3,FALSE)*'[1]Profiles, RES, Winter'!P$5</f>
        <v>18.643115214773182</v>
      </c>
      <c r="Q5" s="9">
        <f>VLOOKUP($A5,'RES installed'!$A$2:$C$7,3,FALSE)*'[1]Profiles, RES, Winter'!Q$5</f>
        <v>18.805700521878762</v>
      </c>
      <c r="R5" s="9">
        <f>VLOOKUP($A5,'RES installed'!$A$2:$C$7,3,FALSE)*'[1]Profiles, RES, Winter'!R$5</f>
        <v>19.51023685266961</v>
      </c>
      <c r="S5" s="9">
        <f>VLOOKUP($A5,'RES installed'!$A$2:$C$7,3,FALSE)*'[1]Profiles, RES, Winter'!S$5</f>
        <v>22.481934965877159</v>
      </c>
      <c r="T5" s="9">
        <f>VLOOKUP($A5,'RES installed'!$A$2:$C$7,3,FALSE)*'[1]Profiles, RES, Winter'!T$5</f>
        <v>24.342633480529908</v>
      </c>
      <c r="U5" s="9">
        <f>VLOOKUP($A5,'RES installed'!$A$2:$C$7,3,FALSE)*'[1]Profiles, RES, Winter'!U$5</f>
        <v>24.947812123645122</v>
      </c>
      <c r="V5" s="9">
        <f>VLOOKUP($A5,'RES installed'!$A$2:$C$7,3,FALSE)*'[1]Profiles, RES, Winter'!V$5</f>
        <v>24.125853071055801</v>
      </c>
      <c r="W5" s="9">
        <f>VLOOKUP($A5,'RES installed'!$A$2:$C$7,3,FALSE)*'[1]Profiles, RES, Winter'!W$5</f>
        <v>22.816138097149736</v>
      </c>
      <c r="X5" s="9">
        <f>VLOOKUP($A5,'RES installed'!$A$2:$C$7,3,FALSE)*'[1]Profiles, RES, Winter'!X$5</f>
        <v>23.060016057808109</v>
      </c>
      <c r="Y5" s="9">
        <f>VLOOKUP($A5,'RES installed'!$A$2:$C$7,3,FALSE)*'[1]Profiles, RES, Winter'!Y$5</f>
        <v>24.008430349257328</v>
      </c>
    </row>
    <row r="6" spans="1:25" x14ac:dyDescent="0.3">
      <c r="A6" s="8">
        <v>5</v>
      </c>
      <c r="B6" s="9">
        <f>VLOOKUP($A6,'RES installed'!$A$2:$C$7,3,FALSE)*'[1]Profiles, RES, Winter'!B$5</f>
        <v>32.529104777197915</v>
      </c>
      <c r="C6" s="9">
        <f>VLOOKUP($A6,'RES installed'!$A$2:$C$7,3,FALSE)*'[1]Profiles, RES, Winter'!C$5</f>
        <v>34.997992773986347</v>
      </c>
      <c r="D6" s="9">
        <f>VLOOKUP($A6,'RES installed'!$A$2:$C$7,3,FALSE)*'[1]Profiles, RES, Winter'!D$5</f>
        <v>34.817342432757933</v>
      </c>
      <c r="E6" s="9">
        <f>VLOOKUP($A6,'RES installed'!$A$2:$C$7,3,FALSE)*'[1]Profiles, RES, Winter'!E$5</f>
        <v>34.889602569249298</v>
      </c>
      <c r="F6" s="9">
        <f>VLOOKUP($A6,'RES installed'!$A$2:$C$7,3,FALSE)*'[1]Profiles, RES, Winter'!F$5</f>
        <v>36.118024889602573</v>
      </c>
      <c r="G6" s="9">
        <f>VLOOKUP($A6,'RES installed'!$A$2:$C$7,3,FALSE)*'[1]Profiles, RES, Winter'!G$5</f>
        <v>38.12926535527901</v>
      </c>
      <c r="H6" s="9">
        <f>VLOOKUP($A6,'RES installed'!$A$2:$C$7,3,FALSE)*'[1]Profiles, RES, Winter'!H$5</f>
        <v>40.622240064231228</v>
      </c>
      <c r="I6" s="9">
        <f>VLOOKUP($A6,'RES installed'!$A$2:$C$7,3,FALSE)*'[1]Profiles, RES, Winter'!I$5</f>
        <v>40.694500200722601</v>
      </c>
      <c r="J6" s="9">
        <f>VLOOKUP($A6,'RES installed'!$A$2:$C$7,3,FALSE)*'[1]Profiles, RES, Winter'!J$5</f>
        <v>40.333199518265758</v>
      </c>
      <c r="K6" s="9">
        <f>VLOOKUP($A6,'RES installed'!$A$2:$C$7,3,FALSE)*'[1]Profiles, RES, Winter'!K$5</f>
        <v>37.852268165395422</v>
      </c>
      <c r="L6" s="9">
        <f>VLOOKUP($A6,'RES installed'!$A$2:$C$7,3,FALSE)*'[1]Profiles, RES, Winter'!L$5</f>
        <v>33.010839020473703</v>
      </c>
      <c r="M6" s="9">
        <f>VLOOKUP($A6,'RES installed'!$A$2:$C$7,3,FALSE)*'[1]Profiles, RES, Winter'!M$5</f>
        <v>30.373344038538736</v>
      </c>
      <c r="N6" s="9">
        <f>VLOOKUP($A6,'RES installed'!$A$2:$C$7,3,FALSE)*'[1]Profiles, RES, Winter'!N$5</f>
        <v>29.181051786431155</v>
      </c>
      <c r="O6" s="9">
        <f>VLOOKUP($A6,'RES installed'!$A$2:$C$7,3,FALSE)*'[1]Profiles, RES, Winter'!O$5</f>
        <v>27.193898032918508</v>
      </c>
      <c r="P6" s="9">
        <f>VLOOKUP($A6,'RES installed'!$A$2:$C$7,3,FALSE)*'[1]Profiles, RES, Winter'!P$5</f>
        <v>24.857486953030911</v>
      </c>
      <c r="Q6" s="9">
        <f>VLOOKUP($A6,'RES installed'!$A$2:$C$7,3,FALSE)*'[1]Profiles, RES, Winter'!Q$5</f>
        <v>25.074267362505019</v>
      </c>
      <c r="R6" s="9">
        <f>VLOOKUP($A6,'RES installed'!$A$2:$C$7,3,FALSE)*'[1]Profiles, RES, Winter'!R$5</f>
        <v>26.013649136892816</v>
      </c>
      <c r="S6" s="9">
        <f>VLOOKUP($A6,'RES installed'!$A$2:$C$7,3,FALSE)*'[1]Profiles, RES, Winter'!S$5</f>
        <v>29.97591328783621</v>
      </c>
      <c r="T6" s="9">
        <f>VLOOKUP($A6,'RES installed'!$A$2:$C$7,3,FALSE)*'[1]Profiles, RES, Winter'!T$5</f>
        <v>32.456844640706549</v>
      </c>
      <c r="U6" s="9">
        <f>VLOOKUP($A6,'RES installed'!$A$2:$C$7,3,FALSE)*'[1]Profiles, RES, Winter'!U$5</f>
        <v>33.263749498193498</v>
      </c>
      <c r="V6" s="9">
        <f>VLOOKUP($A6,'RES installed'!$A$2:$C$7,3,FALSE)*'[1]Profiles, RES, Winter'!V$5</f>
        <v>32.167804094741065</v>
      </c>
      <c r="W6" s="9">
        <f>VLOOKUP($A6,'RES installed'!$A$2:$C$7,3,FALSE)*'[1]Profiles, RES, Winter'!W$5</f>
        <v>30.421517462866316</v>
      </c>
      <c r="X6" s="9">
        <f>VLOOKUP($A6,'RES installed'!$A$2:$C$7,3,FALSE)*'[1]Profiles, RES, Winter'!X$5</f>
        <v>30.746688077077479</v>
      </c>
      <c r="Y6" s="9">
        <f>VLOOKUP($A6,'RES installed'!$A$2:$C$7,3,FALSE)*'[1]Profiles, RES, Winter'!Y$5</f>
        <v>32.011240465676437</v>
      </c>
    </row>
    <row r="7" spans="1:25" x14ac:dyDescent="0.3">
      <c r="A7" s="8">
        <v>6</v>
      </c>
      <c r="B7" s="9">
        <f>VLOOKUP($A7,'RES installed'!$A$2:$C$7,3,FALSE)*'[1]Profiles, RES, Winter'!B$5</f>
        <v>24.396828582898433</v>
      </c>
      <c r="C7" s="9">
        <f>VLOOKUP($A7,'RES installed'!$A$2:$C$7,3,FALSE)*'[1]Profiles, RES, Winter'!C$5</f>
        <v>26.248494580489762</v>
      </c>
      <c r="D7" s="9">
        <f>VLOOKUP($A7,'RES installed'!$A$2:$C$7,3,FALSE)*'[1]Profiles, RES, Winter'!D$5</f>
        <v>26.113006824568448</v>
      </c>
      <c r="E7" s="9">
        <f>VLOOKUP($A7,'RES installed'!$A$2:$C$7,3,FALSE)*'[1]Profiles, RES, Winter'!E$5</f>
        <v>26.167201926936976</v>
      </c>
      <c r="F7" s="9">
        <f>VLOOKUP($A7,'RES installed'!$A$2:$C$7,3,FALSE)*'[1]Profiles, RES, Winter'!F$5</f>
        <v>27.088518667201928</v>
      </c>
      <c r="G7" s="9">
        <f>VLOOKUP($A7,'RES installed'!$A$2:$C$7,3,FALSE)*'[1]Profiles, RES, Winter'!G$5</f>
        <v>28.596949016459256</v>
      </c>
      <c r="H7" s="9">
        <f>VLOOKUP($A7,'RES installed'!$A$2:$C$7,3,FALSE)*'[1]Profiles, RES, Winter'!H$5</f>
        <v>30.466680048173423</v>
      </c>
      <c r="I7" s="9">
        <f>VLOOKUP($A7,'RES installed'!$A$2:$C$7,3,FALSE)*'[1]Profiles, RES, Winter'!I$5</f>
        <v>30.520875150541951</v>
      </c>
      <c r="J7" s="9">
        <f>VLOOKUP($A7,'RES installed'!$A$2:$C$7,3,FALSE)*'[1]Profiles, RES, Winter'!J$5</f>
        <v>30.249899638699318</v>
      </c>
      <c r="K7" s="9">
        <f>VLOOKUP($A7,'RES installed'!$A$2:$C$7,3,FALSE)*'[1]Profiles, RES, Winter'!K$5</f>
        <v>28.389201124046568</v>
      </c>
      <c r="L7" s="9">
        <f>VLOOKUP($A7,'RES installed'!$A$2:$C$7,3,FALSE)*'[1]Profiles, RES, Winter'!L$5</f>
        <v>24.758129265355279</v>
      </c>
      <c r="M7" s="9">
        <f>VLOOKUP($A7,'RES installed'!$A$2:$C$7,3,FALSE)*'[1]Profiles, RES, Winter'!M$5</f>
        <v>22.780008028904053</v>
      </c>
      <c r="N7" s="9">
        <f>VLOOKUP($A7,'RES installed'!$A$2:$C$7,3,FALSE)*'[1]Profiles, RES, Winter'!N$5</f>
        <v>21.885788839823366</v>
      </c>
      <c r="O7" s="9">
        <f>VLOOKUP($A7,'RES installed'!$A$2:$C$7,3,FALSE)*'[1]Profiles, RES, Winter'!O$5</f>
        <v>20.39542352468888</v>
      </c>
      <c r="P7" s="9">
        <f>VLOOKUP($A7,'RES installed'!$A$2:$C$7,3,FALSE)*'[1]Profiles, RES, Winter'!P$5</f>
        <v>18.643115214773182</v>
      </c>
      <c r="Q7" s="9">
        <f>VLOOKUP($A7,'RES installed'!$A$2:$C$7,3,FALSE)*'[1]Profiles, RES, Winter'!Q$5</f>
        <v>18.805700521878762</v>
      </c>
      <c r="R7" s="9">
        <f>VLOOKUP($A7,'RES installed'!$A$2:$C$7,3,FALSE)*'[1]Profiles, RES, Winter'!R$5</f>
        <v>19.51023685266961</v>
      </c>
      <c r="S7" s="9">
        <f>VLOOKUP($A7,'RES installed'!$A$2:$C$7,3,FALSE)*'[1]Profiles, RES, Winter'!S$5</f>
        <v>22.481934965877159</v>
      </c>
      <c r="T7" s="9">
        <f>VLOOKUP($A7,'RES installed'!$A$2:$C$7,3,FALSE)*'[1]Profiles, RES, Winter'!T$5</f>
        <v>24.342633480529908</v>
      </c>
      <c r="U7" s="9">
        <f>VLOOKUP($A7,'RES installed'!$A$2:$C$7,3,FALSE)*'[1]Profiles, RES, Winter'!U$5</f>
        <v>24.947812123645122</v>
      </c>
      <c r="V7" s="9">
        <f>VLOOKUP($A7,'RES installed'!$A$2:$C$7,3,FALSE)*'[1]Profiles, RES, Winter'!V$5</f>
        <v>24.125853071055801</v>
      </c>
      <c r="W7" s="9">
        <f>VLOOKUP($A7,'RES installed'!$A$2:$C$7,3,FALSE)*'[1]Profiles, RES, Winter'!W$5</f>
        <v>22.816138097149736</v>
      </c>
      <c r="X7" s="9">
        <f>VLOOKUP($A7,'RES installed'!$A$2:$C$7,3,FALSE)*'[1]Profiles, RES, Winter'!X$5</f>
        <v>23.060016057808109</v>
      </c>
      <c r="Y7" s="9">
        <f>VLOOKUP($A7,'RES installed'!$A$2:$C$7,3,FALSE)*'[1]Profiles, RES, Winter'!Y$5</f>
        <v>24.008430349257328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2.843062926459439E-2</v>
      </c>
      <c r="J8" s="6">
        <f>VLOOKUP($A8,'RES installed'!$A$2:$C$7,3,FALSE)*'[1]Profiles, RES, Winter'!J$2</f>
        <v>3.3263836239575437</v>
      </c>
      <c r="K8" s="6">
        <f>VLOOKUP($A8,'RES installed'!$A$2:$C$7,3,FALSE)*'[1]Profiles, RES, Winter'!K$2</f>
        <v>14.044730856709629</v>
      </c>
      <c r="L8" s="6">
        <f>VLOOKUP($A8,'RES installed'!$A$2:$C$7,3,FALSE)*'[1]Profiles, RES, Winter'!L$2</f>
        <v>24.706216830932526</v>
      </c>
      <c r="M8" s="6">
        <f>VLOOKUP($A8,'RES installed'!$A$2:$C$7,3,FALSE)*'[1]Profiles, RES, Winter'!M$2</f>
        <v>29.3972706595906</v>
      </c>
      <c r="N8" s="6">
        <f>VLOOKUP($A8,'RES installed'!$A$2:$C$7,3,FALSE)*'[1]Profiles, RES, Winter'!N$2</f>
        <v>28.288476118271419</v>
      </c>
      <c r="O8" s="6">
        <f>VLOOKUP($A8,'RES installed'!$A$2:$C$7,3,FALSE)*'[1]Profiles, RES, Winter'!O$2</f>
        <v>28.515921152388174</v>
      </c>
      <c r="P8" s="6">
        <f>VLOOKUP($A8,'RES installed'!$A$2:$C$7,3,FALSE)*'[1]Profiles, RES, Winter'!P$2</f>
        <v>26.923805913570888</v>
      </c>
      <c r="Q8" s="6">
        <f>VLOOKUP($A8,'RES installed'!$A$2:$C$7,3,FALSE)*'[1]Profiles, RES, Winter'!Q$2</f>
        <v>20.15731614859742</v>
      </c>
      <c r="R8" s="6">
        <f>VLOOKUP($A8,'RES installed'!$A$2:$C$7,3,FALSE)*'[1]Profiles, RES, Winter'!R$2</f>
        <v>7.5909780136467022</v>
      </c>
      <c r="S8" s="6">
        <f>VLOOKUP($A8,'RES installed'!$A$2:$C$7,3,FALSE)*'[1]Profiles, RES, Winter'!S$2</f>
        <v>0.3411675511751327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  <row r="9" spans="1:25" x14ac:dyDescent="0.3">
      <c r="A9" s="5">
        <v>8</v>
      </c>
      <c r="B9" s="6">
        <f>VLOOKUP($A9,'RES installed'!$A$2:$C$7,3,FALSE)*'[1]Profiles, RES, Winter'!B$2</f>
        <v>0</v>
      </c>
      <c r="C9" s="6">
        <f>VLOOKUP($A9,'RES installed'!$A$2:$C$7,3,FALSE)*'[1]Profiles, RES, Winter'!C$2</f>
        <v>0</v>
      </c>
      <c r="D9" s="6">
        <f>VLOOKUP($A9,'RES installed'!$A$2:$C$7,3,FALSE)*'[1]Profiles, RES, Winter'!D$2</f>
        <v>0</v>
      </c>
      <c r="E9" s="6">
        <f>VLOOKUP($A9,'RES installed'!$A$2:$C$7,3,FALSE)*'[1]Profiles, RES, Winter'!E$2</f>
        <v>0</v>
      </c>
      <c r="F9" s="6">
        <f>VLOOKUP($A9,'RES installed'!$A$2:$C$7,3,FALSE)*'[1]Profiles, RES, Winter'!F$2</f>
        <v>0</v>
      </c>
      <c r="G9" s="6">
        <f>VLOOKUP($A9,'RES installed'!$A$2:$C$7,3,FALSE)*'[1]Profiles, RES, Winter'!G$2</f>
        <v>0</v>
      </c>
      <c r="H9" s="6">
        <f>VLOOKUP($A9,'RES installed'!$A$2:$C$7,3,FALSE)*'[1]Profiles, RES, Winter'!H$2</f>
        <v>0</v>
      </c>
      <c r="I9" s="6">
        <f>VLOOKUP($A9,'RES installed'!$A$2:$C$7,3,FALSE)*'[1]Profiles, RES, Winter'!I$2</f>
        <v>1.8953752843062926E-2</v>
      </c>
      <c r="J9" s="6">
        <f>VLOOKUP($A9,'RES installed'!$A$2:$C$7,3,FALSE)*'[1]Profiles, RES, Winter'!J$2</f>
        <v>2.2175890826383626</v>
      </c>
      <c r="K9" s="6">
        <f>VLOOKUP($A9,'RES installed'!$A$2:$C$7,3,FALSE)*'[1]Profiles, RES, Winter'!K$2</f>
        <v>9.3631539044730854</v>
      </c>
      <c r="L9" s="6">
        <f>VLOOKUP($A9,'RES installed'!$A$2:$C$7,3,FALSE)*'[1]Profiles, RES, Winter'!L$2</f>
        <v>16.470811220621684</v>
      </c>
      <c r="M9" s="6">
        <f>VLOOKUP($A9,'RES installed'!$A$2:$C$7,3,FALSE)*'[1]Profiles, RES, Winter'!M$2</f>
        <v>19.598180439727066</v>
      </c>
      <c r="N9" s="6">
        <f>VLOOKUP($A9,'RES installed'!$A$2:$C$7,3,FALSE)*'[1]Profiles, RES, Winter'!N$2</f>
        <v>18.858984078847612</v>
      </c>
      <c r="O9" s="6">
        <f>VLOOKUP($A9,'RES installed'!$A$2:$C$7,3,FALSE)*'[1]Profiles, RES, Winter'!O$2</f>
        <v>19.010614101592115</v>
      </c>
      <c r="P9" s="6">
        <f>VLOOKUP($A9,'RES installed'!$A$2:$C$7,3,FALSE)*'[1]Profiles, RES, Winter'!P$2</f>
        <v>17.949203942380592</v>
      </c>
      <c r="Q9" s="6">
        <f>VLOOKUP($A9,'RES installed'!$A$2:$C$7,3,FALSE)*'[1]Profiles, RES, Winter'!Q$2</f>
        <v>13.438210765731615</v>
      </c>
      <c r="R9" s="6">
        <f>VLOOKUP($A9,'RES installed'!$A$2:$C$7,3,FALSE)*'[1]Profiles, RES, Winter'!R$2</f>
        <v>5.0606520090978009</v>
      </c>
      <c r="S9" s="6">
        <f>VLOOKUP($A9,'RES installed'!$A$2:$C$7,3,FALSE)*'[1]Profiles, RES, Winter'!S$2</f>
        <v>0.22744503411675512</v>
      </c>
      <c r="T9" s="6">
        <f>VLOOKUP($A9,'RES installed'!$A$2:$C$7,3,FALSE)*'[1]Profiles, RES, Winter'!T$2</f>
        <v>0</v>
      </c>
      <c r="U9" s="6">
        <f>VLOOKUP($A9,'RES installed'!$A$2:$C$7,3,FALSE)*'[1]Profiles, RES, Winter'!U$2</f>
        <v>0</v>
      </c>
      <c r="V9" s="6">
        <f>VLOOKUP($A9,'RES installed'!$A$2:$C$7,3,FALSE)*'[1]Profiles, RES, Winter'!V$2</f>
        <v>0</v>
      </c>
      <c r="W9" s="6">
        <f>VLOOKUP($A9,'RES installed'!$A$2:$C$7,3,FALSE)*'[1]Profiles, RES, Winter'!W$2</f>
        <v>0</v>
      </c>
      <c r="X9" s="6">
        <f>VLOOKUP($A9,'RES installed'!$A$2:$C$7,3,FALSE)*'[1]Profiles, RES, Winter'!X$2</f>
        <v>0</v>
      </c>
      <c r="Y9" s="6">
        <f>VLOOKUP($A9,'RES installed'!$A$2:$C$7,3,FALSE)*'[1]Profiles, RES, Winter'!Y$2</f>
        <v>0</v>
      </c>
    </row>
    <row r="10" spans="1:25" x14ac:dyDescent="0.3">
      <c r="A10" s="5">
        <v>9</v>
      </c>
      <c r="B10" s="6">
        <f>VLOOKUP($A10,'RES installed'!$A$2:$C$7,3,FALSE)*'[1]Profiles, RES, Winter'!B$2</f>
        <v>0</v>
      </c>
      <c r="C10" s="6">
        <f>VLOOKUP($A10,'RES installed'!$A$2:$C$7,3,FALSE)*'[1]Profiles, RES, Winter'!C$2</f>
        <v>0</v>
      </c>
      <c r="D10" s="6">
        <f>VLOOKUP($A10,'RES installed'!$A$2:$C$7,3,FALSE)*'[1]Profiles, RES, Winter'!D$2</f>
        <v>0</v>
      </c>
      <c r="E10" s="6">
        <f>VLOOKUP($A10,'RES installed'!$A$2:$C$7,3,FALSE)*'[1]Profiles, RES, Winter'!E$2</f>
        <v>0</v>
      </c>
      <c r="F10" s="6">
        <f>VLOOKUP($A10,'RES installed'!$A$2:$C$7,3,FALSE)*'[1]Profiles, RES, Winter'!F$2</f>
        <v>0</v>
      </c>
      <c r="G10" s="6">
        <f>VLOOKUP($A10,'RES installed'!$A$2:$C$7,3,FALSE)*'[1]Profiles, RES, Winter'!G$2</f>
        <v>0</v>
      </c>
      <c r="H10" s="6">
        <f>VLOOKUP($A10,'RES installed'!$A$2:$C$7,3,FALSE)*'[1]Profiles, RES, Winter'!H$2</f>
        <v>0</v>
      </c>
      <c r="I10" s="6">
        <f>VLOOKUP($A10,'RES installed'!$A$2:$C$7,3,FALSE)*'[1]Profiles, RES, Winter'!I$2</f>
        <v>2.2744503411675512E-2</v>
      </c>
      <c r="J10" s="6">
        <f>VLOOKUP($A10,'RES installed'!$A$2:$C$7,3,FALSE)*'[1]Profiles, RES, Winter'!J$2</f>
        <v>2.6611068991660352</v>
      </c>
      <c r="K10" s="6">
        <f>VLOOKUP($A10,'RES installed'!$A$2:$C$7,3,FALSE)*'[1]Profiles, RES, Winter'!K$2</f>
        <v>11.235784685367703</v>
      </c>
      <c r="L10" s="6">
        <f>VLOOKUP($A10,'RES installed'!$A$2:$C$7,3,FALSE)*'[1]Profiles, RES, Winter'!L$2</f>
        <v>19.764973464746021</v>
      </c>
      <c r="M10" s="6">
        <f>VLOOKUP($A10,'RES installed'!$A$2:$C$7,3,FALSE)*'[1]Profiles, RES, Winter'!M$2</f>
        <v>23.51781652767248</v>
      </c>
      <c r="N10" s="6">
        <f>VLOOKUP($A10,'RES installed'!$A$2:$C$7,3,FALSE)*'[1]Profiles, RES, Winter'!N$2</f>
        <v>22.630780894617136</v>
      </c>
      <c r="O10" s="6">
        <f>VLOOKUP($A10,'RES installed'!$A$2:$C$7,3,FALSE)*'[1]Profiles, RES, Winter'!O$2</f>
        <v>22.812736921910538</v>
      </c>
      <c r="P10" s="6">
        <f>VLOOKUP($A10,'RES installed'!$A$2:$C$7,3,FALSE)*'[1]Profiles, RES, Winter'!P$2</f>
        <v>21.539044730856713</v>
      </c>
      <c r="Q10" s="6">
        <f>VLOOKUP($A10,'RES installed'!$A$2:$C$7,3,FALSE)*'[1]Profiles, RES, Winter'!Q$2</f>
        <v>16.125852918877939</v>
      </c>
      <c r="R10" s="6">
        <f>VLOOKUP($A10,'RES installed'!$A$2:$C$7,3,FALSE)*'[1]Profiles, RES, Winter'!R$2</f>
        <v>6.0727824109173616</v>
      </c>
      <c r="S10" s="6">
        <f>VLOOKUP($A10,'RES installed'!$A$2:$C$7,3,FALSE)*'[1]Profiles, RES, Winter'!S$2</f>
        <v>0.27293404094010615</v>
      </c>
      <c r="T10" s="6">
        <f>VLOOKUP($A10,'RES installed'!$A$2:$C$7,3,FALSE)*'[1]Profiles, RES, Winter'!T$2</f>
        <v>0</v>
      </c>
      <c r="U10" s="6">
        <f>VLOOKUP($A10,'RES installed'!$A$2:$C$7,3,FALSE)*'[1]Profiles, RES, Winter'!U$2</f>
        <v>0</v>
      </c>
      <c r="V10" s="6">
        <f>VLOOKUP($A10,'RES installed'!$A$2:$C$7,3,FALSE)*'[1]Profiles, RES, Winter'!V$2</f>
        <v>0</v>
      </c>
      <c r="W10" s="6">
        <f>VLOOKUP($A10,'RES installed'!$A$2:$C$7,3,FALSE)*'[1]Profiles, RES, Winter'!W$2</f>
        <v>0</v>
      </c>
      <c r="X10" s="6">
        <f>VLOOKUP($A10,'RES installed'!$A$2:$C$7,3,FALSE)*'[1]Profiles, RES, Winter'!X$2</f>
        <v>0</v>
      </c>
      <c r="Y10" s="6">
        <f>VLOOKUP($A10,'RES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A1633-9A4E-4871-A42D-D700FE4E6E2E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Winter'!B$6</f>
        <v>23.610999598554798</v>
      </c>
      <c r="C5" s="9">
        <f>VLOOKUP($A5,'RES installed'!$A$2:$C$7,3,FALSE)*'[1]Profiles, RES, Winter'!C$6</f>
        <v>23.972300281011641</v>
      </c>
      <c r="D5" s="9">
        <f>VLOOKUP($A5,'RES installed'!$A$2:$C$7,3,FALSE)*'[1]Profiles, RES, Winter'!D$6</f>
        <v>24.053592934564428</v>
      </c>
      <c r="E5" s="9">
        <f>VLOOKUP($A5,'RES installed'!$A$2:$C$7,3,FALSE)*'[1]Profiles, RES, Winter'!E$6</f>
        <v>21.994179044560418</v>
      </c>
      <c r="F5" s="9">
        <f>VLOOKUP($A5,'RES installed'!$A$2:$C$7,3,FALSE)*'[1]Profiles, RES, Winter'!F$6</f>
        <v>22.698715375351266</v>
      </c>
      <c r="G5" s="9">
        <f>VLOOKUP($A5,'RES installed'!$A$2:$C$7,3,FALSE)*'[1]Profiles, RES, Winter'!G$6</f>
        <v>23.963267763950221</v>
      </c>
      <c r="H5" s="9">
        <f>VLOOKUP($A5,'RES installed'!$A$2:$C$7,3,FALSE)*'[1]Profiles, RES, Winter'!H$6</f>
        <v>24.532316338819751</v>
      </c>
      <c r="I5" s="9">
        <f>VLOOKUP($A5,'RES installed'!$A$2:$C$7,3,FALSE)*'[1]Profiles, RES, Winter'!I$6</f>
        <v>23.367121637896425</v>
      </c>
      <c r="J5" s="9">
        <f>VLOOKUP($A5,'RES installed'!$A$2:$C$7,3,FALSE)*'[1]Profiles, RES, Winter'!J$6</f>
        <v>22.238057005218788</v>
      </c>
      <c r="K5" s="9">
        <f>VLOOKUP($A5,'RES installed'!$A$2:$C$7,3,FALSE)*'[1]Profiles, RES, Winter'!K$6</f>
        <v>20.946407065435569</v>
      </c>
      <c r="L5" s="9">
        <f>VLOOKUP($A5,'RES installed'!$A$2:$C$7,3,FALSE)*'[1]Profiles, RES, Winter'!L$6</f>
        <v>19.681854676836611</v>
      </c>
      <c r="M5" s="9">
        <f>VLOOKUP($A5,'RES installed'!$A$2:$C$7,3,FALSE)*'[1]Profiles, RES, Winter'!M$6</f>
        <v>18.597952629466079</v>
      </c>
      <c r="N5" s="9">
        <f>VLOOKUP($A5,'RES installed'!$A$2:$C$7,3,FALSE)*'[1]Profiles, RES, Winter'!N$6</f>
        <v>17.143717382577279</v>
      </c>
      <c r="O5" s="9">
        <f>VLOOKUP($A5,'RES installed'!$A$2:$C$7,3,FALSE)*'[1]Profiles, RES, Winter'!O$6</f>
        <v>13.27780008028904</v>
      </c>
      <c r="P5" s="9">
        <f>VLOOKUP($A5,'RES installed'!$A$2:$C$7,3,FALSE)*'[1]Profiles, RES, Winter'!P$6</f>
        <v>12.988759534323565</v>
      </c>
      <c r="Q5" s="9">
        <f>VLOOKUP($A5,'RES installed'!$A$2:$C$7,3,FALSE)*'[1]Profiles, RES, Winter'!Q$6</f>
        <v>13.214572460859094</v>
      </c>
      <c r="R5" s="9">
        <f>VLOOKUP($A5,'RES installed'!$A$2:$C$7,3,FALSE)*'[1]Profiles, RES, Winter'!R$6</f>
        <v>16.764351665997591</v>
      </c>
      <c r="S5" s="9">
        <f>VLOOKUP($A5,'RES installed'!$A$2:$C$7,3,FALSE)*'[1]Profiles, RES, Winter'!S$6</f>
        <v>19.645724608590928</v>
      </c>
      <c r="T5" s="9">
        <f>VLOOKUP($A5,'RES installed'!$A$2:$C$7,3,FALSE)*'[1]Profiles, RES, Winter'!T$6</f>
        <v>20.928342031312724</v>
      </c>
      <c r="U5" s="9">
        <f>VLOOKUP($A5,'RES installed'!$A$2:$C$7,3,FALSE)*'[1]Profiles, RES, Winter'!U$6</f>
        <v>21.8586912886391</v>
      </c>
      <c r="V5" s="9">
        <f>VLOOKUP($A5,'RES installed'!$A$2:$C$7,3,FALSE)*'[1]Profiles, RES, Winter'!V$6</f>
        <v>22.590325170614211</v>
      </c>
      <c r="W5" s="9">
        <f>VLOOKUP($A5,'RES installed'!$A$2:$C$7,3,FALSE)*'[1]Profiles, RES, Winter'!W$6</f>
        <v>23.448414291449218</v>
      </c>
      <c r="X5" s="9">
        <f>VLOOKUP($A5,'RES installed'!$A$2:$C$7,3,FALSE)*'[1]Profiles, RES, Winter'!X$6</f>
        <v>23.005820955439585</v>
      </c>
      <c r="Y5" s="9">
        <f>VLOOKUP($A5,'RES installed'!$A$2:$C$7,3,FALSE)*'[1]Profiles, RES, Winter'!Y$6</f>
        <v>22.382577278201524</v>
      </c>
    </row>
    <row r="6" spans="1:25" x14ac:dyDescent="0.3">
      <c r="A6" s="8">
        <v>5</v>
      </c>
      <c r="B6" s="9">
        <f>VLOOKUP($A6,'RES installed'!$A$2:$C$7,3,FALSE)*'[1]Profiles, RES, Winter'!B$6</f>
        <v>31.481332798073062</v>
      </c>
      <c r="C6" s="9">
        <f>VLOOKUP($A6,'RES installed'!$A$2:$C$7,3,FALSE)*'[1]Profiles, RES, Winter'!C$6</f>
        <v>31.963067041348857</v>
      </c>
      <c r="D6" s="9">
        <f>VLOOKUP($A6,'RES installed'!$A$2:$C$7,3,FALSE)*'[1]Profiles, RES, Winter'!D$6</f>
        <v>32.071457246085906</v>
      </c>
      <c r="E6" s="9">
        <f>VLOOKUP($A6,'RES installed'!$A$2:$C$7,3,FALSE)*'[1]Profiles, RES, Winter'!E$6</f>
        <v>29.32557205941389</v>
      </c>
      <c r="F6" s="9">
        <f>VLOOKUP($A6,'RES installed'!$A$2:$C$7,3,FALSE)*'[1]Profiles, RES, Winter'!F$6</f>
        <v>30.264953833801687</v>
      </c>
      <c r="G6" s="9">
        <f>VLOOKUP($A6,'RES installed'!$A$2:$C$7,3,FALSE)*'[1]Profiles, RES, Winter'!G$6</f>
        <v>31.951023685266961</v>
      </c>
      <c r="H6" s="9">
        <f>VLOOKUP($A6,'RES installed'!$A$2:$C$7,3,FALSE)*'[1]Profiles, RES, Winter'!H$6</f>
        <v>32.709755118426337</v>
      </c>
      <c r="I6" s="9">
        <f>VLOOKUP($A6,'RES installed'!$A$2:$C$7,3,FALSE)*'[1]Profiles, RES, Winter'!I$6</f>
        <v>31.156162183861898</v>
      </c>
      <c r="J6" s="9">
        <f>VLOOKUP($A6,'RES installed'!$A$2:$C$7,3,FALSE)*'[1]Profiles, RES, Winter'!J$6</f>
        <v>29.65074267362505</v>
      </c>
      <c r="K6" s="9">
        <f>VLOOKUP($A6,'RES installed'!$A$2:$C$7,3,FALSE)*'[1]Profiles, RES, Winter'!K$6</f>
        <v>27.92854275391409</v>
      </c>
      <c r="L6" s="9">
        <f>VLOOKUP($A6,'RES installed'!$A$2:$C$7,3,FALSE)*'[1]Profiles, RES, Winter'!L$6</f>
        <v>26.242472902448814</v>
      </c>
      <c r="M6" s="9">
        <f>VLOOKUP($A6,'RES installed'!$A$2:$C$7,3,FALSE)*'[1]Profiles, RES, Winter'!M$6</f>
        <v>24.797270172621438</v>
      </c>
      <c r="N6" s="9">
        <f>VLOOKUP($A6,'RES installed'!$A$2:$C$7,3,FALSE)*'[1]Profiles, RES, Winter'!N$6</f>
        <v>22.858289843436374</v>
      </c>
      <c r="O6" s="9">
        <f>VLOOKUP($A6,'RES installed'!$A$2:$C$7,3,FALSE)*'[1]Profiles, RES, Winter'!O$6</f>
        <v>17.703733440385388</v>
      </c>
      <c r="P6" s="9">
        <f>VLOOKUP($A6,'RES installed'!$A$2:$C$7,3,FALSE)*'[1]Profiles, RES, Winter'!P$6</f>
        <v>17.318346045764756</v>
      </c>
      <c r="Q6" s="9">
        <f>VLOOKUP($A6,'RES installed'!$A$2:$C$7,3,FALSE)*'[1]Profiles, RES, Winter'!Q$6</f>
        <v>17.619429947812122</v>
      </c>
      <c r="R6" s="9">
        <f>VLOOKUP($A6,'RES installed'!$A$2:$C$7,3,FALSE)*'[1]Profiles, RES, Winter'!R$6</f>
        <v>22.352468887996789</v>
      </c>
      <c r="S6" s="9">
        <f>VLOOKUP($A6,'RES installed'!$A$2:$C$7,3,FALSE)*'[1]Profiles, RES, Winter'!S$6</f>
        <v>26.194299478121238</v>
      </c>
      <c r="T6" s="9">
        <f>VLOOKUP($A6,'RES installed'!$A$2:$C$7,3,FALSE)*'[1]Profiles, RES, Winter'!T$6</f>
        <v>27.904456041750301</v>
      </c>
      <c r="U6" s="9">
        <f>VLOOKUP($A6,'RES installed'!$A$2:$C$7,3,FALSE)*'[1]Profiles, RES, Winter'!U$6</f>
        <v>29.144921718185469</v>
      </c>
      <c r="V6" s="9">
        <f>VLOOKUP($A6,'RES installed'!$A$2:$C$7,3,FALSE)*'[1]Profiles, RES, Winter'!V$6</f>
        <v>30.120433560818945</v>
      </c>
      <c r="W6" s="9">
        <f>VLOOKUP($A6,'RES installed'!$A$2:$C$7,3,FALSE)*'[1]Profiles, RES, Winter'!W$6</f>
        <v>31.264552388598958</v>
      </c>
      <c r="X6" s="9">
        <f>VLOOKUP($A6,'RES installed'!$A$2:$C$7,3,FALSE)*'[1]Profiles, RES, Winter'!X$6</f>
        <v>30.674427940586114</v>
      </c>
      <c r="Y6" s="9">
        <f>VLOOKUP($A6,'RES installed'!$A$2:$C$7,3,FALSE)*'[1]Profiles, RES, Winter'!Y$6</f>
        <v>29.843436370935368</v>
      </c>
    </row>
    <row r="7" spans="1:25" x14ac:dyDescent="0.3">
      <c r="A7" s="8">
        <v>6</v>
      </c>
      <c r="B7" s="9">
        <f>VLOOKUP($A7,'RES installed'!$A$2:$C$7,3,FALSE)*'[1]Profiles, RES, Winter'!B$6</f>
        <v>23.610999598554798</v>
      </c>
      <c r="C7" s="9">
        <f>VLOOKUP($A7,'RES installed'!$A$2:$C$7,3,FALSE)*'[1]Profiles, RES, Winter'!C$6</f>
        <v>23.972300281011641</v>
      </c>
      <c r="D7" s="9">
        <f>VLOOKUP($A7,'RES installed'!$A$2:$C$7,3,FALSE)*'[1]Profiles, RES, Winter'!D$6</f>
        <v>24.053592934564428</v>
      </c>
      <c r="E7" s="9">
        <f>VLOOKUP($A7,'RES installed'!$A$2:$C$7,3,FALSE)*'[1]Profiles, RES, Winter'!E$6</f>
        <v>21.994179044560418</v>
      </c>
      <c r="F7" s="9">
        <f>VLOOKUP($A7,'RES installed'!$A$2:$C$7,3,FALSE)*'[1]Profiles, RES, Winter'!F$6</f>
        <v>22.698715375351266</v>
      </c>
      <c r="G7" s="9">
        <f>VLOOKUP($A7,'RES installed'!$A$2:$C$7,3,FALSE)*'[1]Profiles, RES, Winter'!G$6</f>
        <v>23.963267763950221</v>
      </c>
      <c r="H7" s="9">
        <f>VLOOKUP($A7,'RES installed'!$A$2:$C$7,3,FALSE)*'[1]Profiles, RES, Winter'!H$6</f>
        <v>24.532316338819751</v>
      </c>
      <c r="I7" s="9">
        <f>VLOOKUP($A7,'RES installed'!$A$2:$C$7,3,FALSE)*'[1]Profiles, RES, Winter'!I$6</f>
        <v>23.367121637896425</v>
      </c>
      <c r="J7" s="9">
        <f>VLOOKUP($A7,'RES installed'!$A$2:$C$7,3,FALSE)*'[1]Profiles, RES, Winter'!J$6</f>
        <v>22.238057005218788</v>
      </c>
      <c r="K7" s="9">
        <f>VLOOKUP($A7,'RES installed'!$A$2:$C$7,3,FALSE)*'[1]Profiles, RES, Winter'!K$6</f>
        <v>20.946407065435569</v>
      </c>
      <c r="L7" s="9">
        <f>VLOOKUP($A7,'RES installed'!$A$2:$C$7,3,FALSE)*'[1]Profiles, RES, Winter'!L$6</f>
        <v>19.681854676836611</v>
      </c>
      <c r="M7" s="9">
        <f>VLOOKUP($A7,'RES installed'!$A$2:$C$7,3,FALSE)*'[1]Profiles, RES, Winter'!M$6</f>
        <v>18.597952629466079</v>
      </c>
      <c r="N7" s="9">
        <f>VLOOKUP($A7,'RES installed'!$A$2:$C$7,3,FALSE)*'[1]Profiles, RES, Winter'!N$6</f>
        <v>17.143717382577279</v>
      </c>
      <c r="O7" s="9">
        <f>VLOOKUP($A7,'RES installed'!$A$2:$C$7,3,FALSE)*'[1]Profiles, RES, Winter'!O$6</f>
        <v>13.27780008028904</v>
      </c>
      <c r="P7" s="9">
        <f>VLOOKUP($A7,'RES installed'!$A$2:$C$7,3,FALSE)*'[1]Profiles, RES, Winter'!P$6</f>
        <v>12.988759534323565</v>
      </c>
      <c r="Q7" s="9">
        <f>VLOOKUP($A7,'RES installed'!$A$2:$C$7,3,FALSE)*'[1]Profiles, RES, Winter'!Q$6</f>
        <v>13.214572460859094</v>
      </c>
      <c r="R7" s="9">
        <f>VLOOKUP($A7,'RES installed'!$A$2:$C$7,3,FALSE)*'[1]Profiles, RES, Winter'!R$6</f>
        <v>16.764351665997591</v>
      </c>
      <c r="S7" s="9">
        <f>VLOOKUP($A7,'RES installed'!$A$2:$C$7,3,FALSE)*'[1]Profiles, RES, Winter'!S$6</f>
        <v>19.645724608590928</v>
      </c>
      <c r="T7" s="9">
        <f>VLOOKUP($A7,'RES installed'!$A$2:$C$7,3,FALSE)*'[1]Profiles, RES, Winter'!T$6</f>
        <v>20.928342031312724</v>
      </c>
      <c r="U7" s="9">
        <f>VLOOKUP($A7,'RES installed'!$A$2:$C$7,3,FALSE)*'[1]Profiles, RES, Winter'!U$6</f>
        <v>21.8586912886391</v>
      </c>
      <c r="V7" s="9">
        <f>VLOOKUP($A7,'RES installed'!$A$2:$C$7,3,FALSE)*'[1]Profiles, RES, Winter'!V$6</f>
        <v>22.590325170614211</v>
      </c>
      <c r="W7" s="9">
        <f>VLOOKUP($A7,'RES installed'!$A$2:$C$7,3,FALSE)*'[1]Profiles, RES, Winter'!W$6</f>
        <v>23.448414291449218</v>
      </c>
      <c r="X7" s="9">
        <f>VLOOKUP($A7,'RES installed'!$A$2:$C$7,3,FALSE)*'[1]Profiles, RES, Winter'!X$6</f>
        <v>23.005820955439585</v>
      </c>
      <c r="Y7" s="9">
        <f>VLOOKUP($A7,'RES installed'!$A$2:$C$7,3,FALSE)*'[1]Profiles, RES, Winter'!Y$6</f>
        <v>22.382577278201524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5.6861258529188781E-2</v>
      </c>
      <c r="J8" s="6">
        <f>VLOOKUP($A8,'RES installed'!$A$2:$C$7,3,FALSE)*'[1]Profiles, RES, Winter'!J$3</f>
        <v>4.8616376042456411</v>
      </c>
      <c r="K8" s="6">
        <f>VLOOKUP($A8,'RES installed'!$A$2:$C$7,3,FALSE)*'[1]Profiles, RES, Winter'!K$3</f>
        <v>16.717210007581503</v>
      </c>
      <c r="L8" s="6">
        <f>VLOOKUP($A8,'RES installed'!$A$2:$C$7,3,FALSE)*'[1]Profiles, RES, Winter'!L$3</f>
        <v>25.672858225928731</v>
      </c>
      <c r="M8" s="6">
        <f>VLOOKUP($A8,'RES installed'!$A$2:$C$7,3,FALSE)*'[1]Profiles, RES, Winter'!M$3</f>
        <v>25.473843821076574</v>
      </c>
      <c r="N8" s="6">
        <f>VLOOKUP($A8,'RES installed'!$A$2:$C$7,3,FALSE)*'[1]Profiles, RES, Winter'!N$3</f>
        <v>28.316906747536013</v>
      </c>
      <c r="O8" s="6">
        <f>VLOOKUP($A8,'RES installed'!$A$2:$C$7,3,FALSE)*'[1]Profiles, RES, Winter'!O$3</f>
        <v>27.691432903714933</v>
      </c>
      <c r="P8" s="6">
        <f>VLOOKUP($A8,'RES installed'!$A$2:$C$7,3,FALSE)*'[1]Profiles, RES, Winter'!P$3</f>
        <v>23.426838514025775</v>
      </c>
      <c r="Q8" s="6">
        <f>VLOOKUP($A8,'RES installed'!$A$2:$C$7,3,FALSE)*'[1]Profiles, RES, Winter'!Q$3</f>
        <v>15.068233510235027</v>
      </c>
      <c r="R8" s="6">
        <f>VLOOKUP($A8,'RES installed'!$A$2:$C$7,3,FALSE)*'[1]Profiles, RES, Winter'!R$3</f>
        <v>4.8047763457164523</v>
      </c>
      <c r="S8" s="6">
        <f>VLOOKUP($A8,'RES installed'!$A$2:$C$7,3,FALSE)*'[1]Profiles, RES, Winter'!S$3</f>
        <v>0.28430629264594387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  <row r="9" spans="1:25" x14ac:dyDescent="0.3">
      <c r="A9" s="5">
        <v>8</v>
      </c>
      <c r="B9" s="6">
        <f>VLOOKUP($A9,'RES installed'!$A$2:$C$7,3,FALSE)*'[1]Profiles, RES, Winter'!B$3</f>
        <v>0</v>
      </c>
      <c r="C9" s="6">
        <f>VLOOKUP($A9,'RES installed'!$A$2:$C$7,3,FALSE)*'[1]Profiles, RES, Winter'!C$3</f>
        <v>0</v>
      </c>
      <c r="D9" s="6">
        <f>VLOOKUP($A9,'RES installed'!$A$2:$C$7,3,FALSE)*'[1]Profiles, RES, Winter'!D$3</f>
        <v>0</v>
      </c>
      <c r="E9" s="6">
        <f>VLOOKUP($A9,'RES installed'!$A$2:$C$7,3,FALSE)*'[1]Profiles, RES, Winter'!E$3</f>
        <v>0</v>
      </c>
      <c r="F9" s="6">
        <f>VLOOKUP($A9,'RES installed'!$A$2:$C$7,3,FALSE)*'[1]Profiles, RES, Winter'!F$3</f>
        <v>0</v>
      </c>
      <c r="G9" s="6">
        <f>VLOOKUP($A9,'RES installed'!$A$2:$C$7,3,FALSE)*'[1]Profiles, RES, Winter'!G$3</f>
        <v>0</v>
      </c>
      <c r="H9" s="6">
        <f>VLOOKUP($A9,'RES installed'!$A$2:$C$7,3,FALSE)*'[1]Profiles, RES, Winter'!H$3</f>
        <v>0</v>
      </c>
      <c r="I9" s="6">
        <f>VLOOKUP($A9,'RES installed'!$A$2:$C$7,3,FALSE)*'[1]Profiles, RES, Winter'!I$3</f>
        <v>3.7907505686125852E-2</v>
      </c>
      <c r="J9" s="6">
        <f>VLOOKUP($A9,'RES installed'!$A$2:$C$7,3,FALSE)*'[1]Profiles, RES, Winter'!J$3</f>
        <v>3.2410917361637606</v>
      </c>
      <c r="K9" s="6">
        <f>VLOOKUP($A9,'RES installed'!$A$2:$C$7,3,FALSE)*'[1]Profiles, RES, Winter'!K$3</f>
        <v>11.144806671721001</v>
      </c>
      <c r="L9" s="6">
        <f>VLOOKUP($A9,'RES installed'!$A$2:$C$7,3,FALSE)*'[1]Profiles, RES, Winter'!L$3</f>
        <v>17.115238817285821</v>
      </c>
      <c r="M9" s="6">
        <f>VLOOKUP($A9,'RES installed'!$A$2:$C$7,3,FALSE)*'[1]Profiles, RES, Winter'!M$3</f>
        <v>16.982562547384383</v>
      </c>
      <c r="N9" s="6">
        <f>VLOOKUP($A9,'RES installed'!$A$2:$C$7,3,FALSE)*'[1]Profiles, RES, Winter'!N$3</f>
        <v>18.877937831690677</v>
      </c>
      <c r="O9" s="6">
        <f>VLOOKUP($A9,'RES installed'!$A$2:$C$7,3,FALSE)*'[1]Profiles, RES, Winter'!O$3</f>
        <v>18.460955269143291</v>
      </c>
      <c r="P9" s="6">
        <f>VLOOKUP($A9,'RES installed'!$A$2:$C$7,3,FALSE)*'[1]Profiles, RES, Winter'!P$3</f>
        <v>15.617892342683851</v>
      </c>
      <c r="Q9" s="6">
        <f>VLOOKUP($A9,'RES installed'!$A$2:$C$7,3,FALSE)*'[1]Profiles, RES, Winter'!Q$3</f>
        <v>10.045489006823351</v>
      </c>
      <c r="R9" s="6">
        <f>VLOOKUP($A9,'RES installed'!$A$2:$C$7,3,FALSE)*'[1]Profiles, RES, Winter'!R$3</f>
        <v>3.2031842304776346</v>
      </c>
      <c r="S9" s="6">
        <f>VLOOKUP($A9,'RES installed'!$A$2:$C$7,3,FALSE)*'[1]Profiles, RES, Winter'!S$3</f>
        <v>0.18953752843062927</v>
      </c>
      <c r="T9" s="6">
        <f>VLOOKUP($A9,'RES installed'!$A$2:$C$7,3,FALSE)*'[1]Profiles, RES, Winter'!T$3</f>
        <v>0</v>
      </c>
      <c r="U9" s="6">
        <f>VLOOKUP($A9,'RES installed'!$A$2:$C$7,3,FALSE)*'[1]Profiles, RES, Winter'!U$3</f>
        <v>0</v>
      </c>
      <c r="V9" s="6">
        <f>VLOOKUP($A9,'RES installed'!$A$2:$C$7,3,FALSE)*'[1]Profiles, RES, Winter'!V$3</f>
        <v>0</v>
      </c>
      <c r="W9" s="6">
        <f>VLOOKUP($A9,'RES installed'!$A$2:$C$7,3,FALSE)*'[1]Profiles, RES, Winter'!W$3</f>
        <v>0</v>
      </c>
      <c r="X9" s="6">
        <f>VLOOKUP($A9,'RES installed'!$A$2:$C$7,3,FALSE)*'[1]Profiles, RES, Winter'!X$3</f>
        <v>0</v>
      </c>
      <c r="Y9" s="6">
        <f>VLOOKUP($A9,'RES installed'!$A$2:$C$7,3,FALSE)*'[1]Profiles, RES, Winter'!Y$3</f>
        <v>0</v>
      </c>
    </row>
    <row r="10" spans="1:25" x14ac:dyDescent="0.3">
      <c r="A10" s="5">
        <v>9</v>
      </c>
      <c r="B10" s="6">
        <f>VLOOKUP($A10,'RES installed'!$A$2:$C$7,3,FALSE)*'[1]Profiles, RES, Winter'!B$3</f>
        <v>0</v>
      </c>
      <c r="C10" s="6">
        <f>VLOOKUP($A10,'RES installed'!$A$2:$C$7,3,FALSE)*'[1]Profiles, RES, Winter'!C$3</f>
        <v>0</v>
      </c>
      <c r="D10" s="6">
        <f>VLOOKUP($A10,'RES installed'!$A$2:$C$7,3,FALSE)*'[1]Profiles, RES, Winter'!D$3</f>
        <v>0</v>
      </c>
      <c r="E10" s="6">
        <f>VLOOKUP($A10,'RES installed'!$A$2:$C$7,3,FALSE)*'[1]Profiles, RES, Winter'!E$3</f>
        <v>0</v>
      </c>
      <c r="F10" s="6">
        <f>VLOOKUP($A10,'RES installed'!$A$2:$C$7,3,FALSE)*'[1]Profiles, RES, Winter'!F$3</f>
        <v>0</v>
      </c>
      <c r="G10" s="6">
        <f>VLOOKUP($A10,'RES installed'!$A$2:$C$7,3,FALSE)*'[1]Profiles, RES, Winter'!G$3</f>
        <v>0</v>
      </c>
      <c r="H10" s="6">
        <f>VLOOKUP($A10,'RES installed'!$A$2:$C$7,3,FALSE)*'[1]Profiles, RES, Winter'!H$3</f>
        <v>0</v>
      </c>
      <c r="I10" s="6">
        <f>VLOOKUP($A10,'RES installed'!$A$2:$C$7,3,FALSE)*'[1]Profiles, RES, Winter'!I$3</f>
        <v>4.5489006823351025E-2</v>
      </c>
      <c r="J10" s="6">
        <f>VLOOKUP($A10,'RES installed'!$A$2:$C$7,3,FALSE)*'[1]Profiles, RES, Winter'!J$3</f>
        <v>3.8893100833965129</v>
      </c>
      <c r="K10" s="6">
        <f>VLOOKUP($A10,'RES installed'!$A$2:$C$7,3,FALSE)*'[1]Profiles, RES, Winter'!K$3</f>
        <v>13.373768006065202</v>
      </c>
      <c r="L10" s="6">
        <f>VLOOKUP($A10,'RES installed'!$A$2:$C$7,3,FALSE)*'[1]Profiles, RES, Winter'!L$3</f>
        <v>20.538286580742987</v>
      </c>
      <c r="M10" s="6">
        <f>VLOOKUP($A10,'RES installed'!$A$2:$C$7,3,FALSE)*'[1]Profiles, RES, Winter'!M$3</f>
        <v>20.379075056861261</v>
      </c>
      <c r="N10" s="6">
        <f>VLOOKUP($A10,'RES installed'!$A$2:$C$7,3,FALSE)*'[1]Profiles, RES, Winter'!N$3</f>
        <v>22.653525398028808</v>
      </c>
      <c r="O10" s="6">
        <f>VLOOKUP($A10,'RES installed'!$A$2:$C$7,3,FALSE)*'[1]Profiles, RES, Winter'!O$3</f>
        <v>22.153146322971946</v>
      </c>
      <c r="P10" s="6">
        <f>VLOOKUP($A10,'RES installed'!$A$2:$C$7,3,FALSE)*'[1]Profiles, RES, Winter'!P$3</f>
        <v>18.741470811220619</v>
      </c>
      <c r="Q10" s="6">
        <f>VLOOKUP($A10,'RES installed'!$A$2:$C$7,3,FALSE)*'[1]Profiles, RES, Winter'!Q$3</f>
        <v>12.05458680818802</v>
      </c>
      <c r="R10" s="6">
        <f>VLOOKUP($A10,'RES installed'!$A$2:$C$7,3,FALSE)*'[1]Profiles, RES, Winter'!R$3</f>
        <v>3.8438210765731617</v>
      </c>
      <c r="S10" s="6">
        <f>VLOOKUP($A10,'RES installed'!$A$2:$C$7,3,FALSE)*'[1]Profiles, RES, Winter'!S$3</f>
        <v>0.22744503411675512</v>
      </c>
      <c r="T10" s="6">
        <f>VLOOKUP($A10,'RES installed'!$A$2:$C$7,3,FALSE)*'[1]Profiles, RES, Winter'!T$3</f>
        <v>0</v>
      </c>
      <c r="U10" s="6">
        <f>VLOOKUP($A10,'RES installed'!$A$2:$C$7,3,FALSE)*'[1]Profiles, RES, Winter'!U$3</f>
        <v>0</v>
      </c>
      <c r="V10" s="6">
        <f>VLOOKUP($A10,'RES installed'!$A$2:$C$7,3,FALSE)*'[1]Profiles, RES, Winter'!V$3</f>
        <v>0</v>
      </c>
      <c r="W10" s="6">
        <f>VLOOKUP($A10,'RES installed'!$A$2:$C$7,3,FALSE)*'[1]Profiles, RES, Winter'!W$3</f>
        <v>0</v>
      </c>
      <c r="X10" s="6">
        <f>VLOOKUP($A10,'RES installed'!$A$2:$C$7,3,FALSE)*'[1]Profiles, RES, Winter'!X$3</f>
        <v>0</v>
      </c>
      <c r="Y10" s="6">
        <f>VLOOKUP($A10,'RES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5EC8-2CC0-49B9-ACBB-FB81D5456BBA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Winter'!B$7</f>
        <v>22.608390204737056</v>
      </c>
      <c r="C5" s="9">
        <f>VLOOKUP($A5,'RES installed'!$A$2:$C$7,3,FALSE)*'[1]Profiles, RES, Winter'!C$7</f>
        <v>22.509032517061421</v>
      </c>
      <c r="D5" s="9">
        <f>VLOOKUP($A5,'RES installed'!$A$2:$C$7,3,FALSE)*'[1]Profiles, RES, Winter'!D$7</f>
        <v>21.939983942191891</v>
      </c>
      <c r="E5" s="9">
        <f>VLOOKUP($A5,'RES installed'!$A$2:$C$7,3,FALSE)*'[1]Profiles, RES, Winter'!E$7</f>
        <v>22.481934965877159</v>
      </c>
      <c r="F5" s="9">
        <f>VLOOKUP($A5,'RES installed'!$A$2:$C$7,3,FALSE)*'[1]Profiles, RES, Winter'!F$7</f>
        <v>21.84965877157768</v>
      </c>
      <c r="G5" s="9">
        <f>VLOOKUP($A5,'RES installed'!$A$2:$C$7,3,FALSE)*'[1]Profiles, RES, Winter'!G$7</f>
        <v>21.732236049779207</v>
      </c>
      <c r="H5" s="9">
        <f>VLOOKUP($A5,'RES installed'!$A$2:$C$7,3,FALSE)*'[1]Profiles, RES, Winter'!H$7</f>
        <v>22.518065034122841</v>
      </c>
      <c r="I5" s="9">
        <f>VLOOKUP($A5,'RES installed'!$A$2:$C$7,3,FALSE)*'[1]Profiles, RES, Winter'!I$7</f>
        <v>21.163187474909677</v>
      </c>
      <c r="J5" s="9">
        <f>VLOOKUP($A5,'RES installed'!$A$2:$C$7,3,FALSE)*'[1]Profiles, RES, Winter'!J$7</f>
        <v>19.483139301485345</v>
      </c>
      <c r="K5" s="9">
        <f>VLOOKUP($A5,'RES installed'!$A$2:$C$7,3,FALSE)*'[1]Profiles, RES, Winter'!K$7</f>
        <v>18.245684464070653</v>
      </c>
      <c r="L5" s="9">
        <f>VLOOKUP($A5,'RES installed'!$A$2:$C$7,3,FALSE)*'[1]Profiles, RES, Winter'!L$7</f>
        <v>16.502408671216379</v>
      </c>
      <c r="M5" s="9">
        <f>VLOOKUP($A5,'RES installed'!$A$2:$C$7,3,FALSE)*'[1]Profiles, RES, Winter'!M$7</f>
        <v>14.217181854676838</v>
      </c>
      <c r="N5" s="9">
        <f>VLOOKUP($A5,'RES installed'!$A$2:$C$7,3,FALSE)*'[1]Profiles, RES, Winter'!N$7</f>
        <v>12.817141710156562</v>
      </c>
      <c r="O5" s="9">
        <f>VLOOKUP($A5,'RES installed'!$A$2:$C$7,3,FALSE)*'[1]Profiles, RES, Winter'!O$7</f>
        <v>12.735849056603774</v>
      </c>
      <c r="P5" s="9">
        <f>VLOOKUP($A5,'RES installed'!$A$2:$C$7,3,FALSE)*'[1]Profiles, RES, Winter'!P$7</f>
        <v>14.452027298273785</v>
      </c>
      <c r="Q5" s="9">
        <f>VLOOKUP($A5,'RES installed'!$A$2:$C$7,3,FALSE)*'[1]Profiles, RES, Winter'!Q$7</f>
        <v>14.957848253713367</v>
      </c>
      <c r="R5" s="9">
        <f>VLOOKUP($A5,'RES installed'!$A$2:$C$7,3,FALSE)*'[1]Profiles, RES, Winter'!R$7</f>
        <v>16.538538739462066</v>
      </c>
      <c r="S5" s="9">
        <f>VLOOKUP($A5,'RES installed'!$A$2:$C$7,3,FALSE)*'[1]Profiles, RES, Winter'!S$7</f>
        <v>19.167001204335609</v>
      </c>
      <c r="T5" s="9">
        <f>VLOOKUP($A5,'RES installed'!$A$2:$C$7,3,FALSE)*'[1]Profiles, RES, Winter'!T$7</f>
        <v>20.847049377759937</v>
      </c>
      <c r="U5" s="9">
        <f>VLOOKUP($A5,'RES installed'!$A$2:$C$7,3,FALSE)*'[1]Profiles, RES, Winter'!U$7</f>
        <v>22.09353673223605</v>
      </c>
      <c r="V5" s="9">
        <f>VLOOKUP($A5,'RES installed'!$A$2:$C$7,3,FALSE)*'[1]Profiles, RES, Winter'!V$7</f>
        <v>22.274187073464471</v>
      </c>
      <c r="W5" s="9">
        <f>VLOOKUP($A5,'RES installed'!$A$2:$C$7,3,FALSE)*'[1]Profiles, RES, Winter'!W$7</f>
        <v>20.530911280610194</v>
      </c>
      <c r="X5" s="9">
        <f>VLOOKUP($A5,'RES installed'!$A$2:$C$7,3,FALSE)*'[1]Profiles, RES, Winter'!X$7</f>
        <v>18.932155760738659</v>
      </c>
      <c r="Y5" s="9">
        <f>VLOOKUP($A5,'RES installed'!$A$2:$C$7,3,FALSE)*'[1]Profiles, RES, Winter'!Y$7</f>
        <v>18.182456844640708</v>
      </c>
    </row>
    <row r="6" spans="1:25" x14ac:dyDescent="0.3">
      <c r="A6" s="8">
        <v>5</v>
      </c>
      <c r="B6" s="9">
        <f>VLOOKUP($A6,'RES installed'!$A$2:$C$7,3,FALSE)*'[1]Profiles, RES, Winter'!B$7</f>
        <v>30.144520272982739</v>
      </c>
      <c r="C6" s="9">
        <f>VLOOKUP($A6,'RES installed'!$A$2:$C$7,3,FALSE)*'[1]Profiles, RES, Winter'!C$7</f>
        <v>30.012043356081897</v>
      </c>
      <c r="D6" s="9">
        <f>VLOOKUP($A6,'RES installed'!$A$2:$C$7,3,FALSE)*'[1]Profiles, RES, Winter'!D$7</f>
        <v>29.253311922922521</v>
      </c>
      <c r="E6" s="9">
        <f>VLOOKUP($A6,'RES installed'!$A$2:$C$7,3,FALSE)*'[1]Profiles, RES, Winter'!E$7</f>
        <v>29.97591328783621</v>
      </c>
      <c r="F6" s="9">
        <f>VLOOKUP($A6,'RES installed'!$A$2:$C$7,3,FALSE)*'[1]Profiles, RES, Winter'!F$7</f>
        <v>29.132878362103575</v>
      </c>
      <c r="G6" s="9">
        <f>VLOOKUP($A6,'RES installed'!$A$2:$C$7,3,FALSE)*'[1]Profiles, RES, Winter'!G$7</f>
        <v>28.97631473303894</v>
      </c>
      <c r="H6" s="9">
        <f>VLOOKUP($A6,'RES installed'!$A$2:$C$7,3,FALSE)*'[1]Profiles, RES, Winter'!H$7</f>
        <v>30.024086712163786</v>
      </c>
      <c r="I6" s="9">
        <f>VLOOKUP($A6,'RES installed'!$A$2:$C$7,3,FALSE)*'[1]Profiles, RES, Winter'!I$7</f>
        <v>28.217583299879568</v>
      </c>
      <c r="J6" s="9">
        <f>VLOOKUP($A6,'RES installed'!$A$2:$C$7,3,FALSE)*'[1]Profiles, RES, Winter'!J$7</f>
        <v>25.977519068647126</v>
      </c>
      <c r="K6" s="9">
        <f>VLOOKUP($A6,'RES installed'!$A$2:$C$7,3,FALSE)*'[1]Profiles, RES, Winter'!K$7</f>
        <v>24.327579285427539</v>
      </c>
      <c r="L6" s="9">
        <f>VLOOKUP($A6,'RES installed'!$A$2:$C$7,3,FALSE)*'[1]Profiles, RES, Winter'!L$7</f>
        <v>22.003211561621839</v>
      </c>
      <c r="M6" s="9">
        <f>VLOOKUP($A6,'RES installed'!$A$2:$C$7,3,FALSE)*'[1]Profiles, RES, Winter'!M$7</f>
        <v>18.956242472902449</v>
      </c>
      <c r="N6" s="9">
        <f>VLOOKUP($A6,'RES installed'!$A$2:$C$7,3,FALSE)*'[1]Profiles, RES, Winter'!N$7</f>
        <v>17.089522280208751</v>
      </c>
      <c r="O6" s="9">
        <f>VLOOKUP($A6,'RES installed'!$A$2:$C$7,3,FALSE)*'[1]Profiles, RES, Winter'!O$7</f>
        <v>16.981132075471699</v>
      </c>
      <c r="P6" s="9">
        <f>VLOOKUP($A6,'RES installed'!$A$2:$C$7,3,FALSE)*'[1]Profiles, RES, Winter'!P$7</f>
        <v>19.269369731031713</v>
      </c>
      <c r="Q6" s="9">
        <f>VLOOKUP($A6,'RES installed'!$A$2:$C$7,3,FALSE)*'[1]Profiles, RES, Winter'!Q$7</f>
        <v>19.943797671617823</v>
      </c>
      <c r="R6" s="9">
        <f>VLOOKUP($A6,'RES installed'!$A$2:$C$7,3,FALSE)*'[1]Profiles, RES, Winter'!R$7</f>
        <v>22.051384985949419</v>
      </c>
      <c r="S6" s="9">
        <f>VLOOKUP($A6,'RES installed'!$A$2:$C$7,3,FALSE)*'[1]Profiles, RES, Winter'!S$7</f>
        <v>25.556001605780811</v>
      </c>
      <c r="T6" s="9">
        <f>VLOOKUP($A6,'RES installed'!$A$2:$C$7,3,FALSE)*'[1]Profiles, RES, Winter'!T$7</f>
        <v>27.796065837013249</v>
      </c>
      <c r="U6" s="9">
        <f>VLOOKUP($A6,'RES installed'!$A$2:$C$7,3,FALSE)*'[1]Profiles, RES, Winter'!U$7</f>
        <v>29.458048976314732</v>
      </c>
      <c r="V6" s="9">
        <f>VLOOKUP($A6,'RES installed'!$A$2:$C$7,3,FALSE)*'[1]Profiles, RES, Winter'!V$7</f>
        <v>29.69891609795263</v>
      </c>
      <c r="W6" s="9">
        <f>VLOOKUP($A6,'RES installed'!$A$2:$C$7,3,FALSE)*'[1]Profiles, RES, Winter'!W$7</f>
        <v>27.374548374146926</v>
      </c>
      <c r="X6" s="9">
        <f>VLOOKUP($A6,'RES installed'!$A$2:$C$7,3,FALSE)*'[1]Profiles, RES, Winter'!X$7</f>
        <v>25.242874347651544</v>
      </c>
      <c r="Y6" s="9">
        <f>VLOOKUP($A6,'RES installed'!$A$2:$C$7,3,FALSE)*'[1]Profiles, RES, Winter'!Y$7</f>
        <v>24.243275792854277</v>
      </c>
    </row>
    <row r="7" spans="1:25" x14ac:dyDescent="0.3">
      <c r="A7" s="8">
        <v>6</v>
      </c>
      <c r="B7" s="9">
        <f>VLOOKUP($A7,'RES installed'!$A$2:$C$7,3,FALSE)*'[1]Profiles, RES, Winter'!B$7</f>
        <v>22.608390204737056</v>
      </c>
      <c r="C7" s="9">
        <f>VLOOKUP($A7,'RES installed'!$A$2:$C$7,3,FALSE)*'[1]Profiles, RES, Winter'!C$7</f>
        <v>22.509032517061421</v>
      </c>
      <c r="D7" s="9">
        <f>VLOOKUP($A7,'RES installed'!$A$2:$C$7,3,FALSE)*'[1]Profiles, RES, Winter'!D$7</f>
        <v>21.939983942191891</v>
      </c>
      <c r="E7" s="9">
        <f>VLOOKUP($A7,'RES installed'!$A$2:$C$7,3,FALSE)*'[1]Profiles, RES, Winter'!E$7</f>
        <v>22.481934965877159</v>
      </c>
      <c r="F7" s="9">
        <f>VLOOKUP($A7,'RES installed'!$A$2:$C$7,3,FALSE)*'[1]Profiles, RES, Winter'!F$7</f>
        <v>21.84965877157768</v>
      </c>
      <c r="G7" s="9">
        <f>VLOOKUP($A7,'RES installed'!$A$2:$C$7,3,FALSE)*'[1]Profiles, RES, Winter'!G$7</f>
        <v>21.732236049779207</v>
      </c>
      <c r="H7" s="9">
        <f>VLOOKUP($A7,'RES installed'!$A$2:$C$7,3,FALSE)*'[1]Profiles, RES, Winter'!H$7</f>
        <v>22.518065034122841</v>
      </c>
      <c r="I7" s="9">
        <f>VLOOKUP($A7,'RES installed'!$A$2:$C$7,3,FALSE)*'[1]Profiles, RES, Winter'!I$7</f>
        <v>21.163187474909677</v>
      </c>
      <c r="J7" s="9">
        <f>VLOOKUP($A7,'RES installed'!$A$2:$C$7,3,FALSE)*'[1]Profiles, RES, Winter'!J$7</f>
        <v>19.483139301485345</v>
      </c>
      <c r="K7" s="9">
        <f>VLOOKUP($A7,'RES installed'!$A$2:$C$7,3,FALSE)*'[1]Profiles, RES, Winter'!K$7</f>
        <v>18.245684464070653</v>
      </c>
      <c r="L7" s="9">
        <f>VLOOKUP($A7,'RES installed'!$A$2:$C$7,3,FALSE)*'[1]Profiles, RES, Winter'!L$7</f>
        <v>16.502408671216379</v>
      </c>
      <c r="M7" s="9">
        <f>VLOOKUP($A7,'RES installed'!$A$2:$C$7,3,FALSE)*'[1]Profiles, RES, Winter'!M$7</f>
        <v>14.217181854676838</v>
      </c>
      <c r="N7" s="9">
        <f>VLOOKUP($A7,'RES installed'!$A$2:$C$7,3,FALSE)*'[1]Profiles, RES, Winter'!N$7</f>
        <v>12.817141710156562</v>
      </c>
      <c r="O7" s="9">
        <f>VLOOKUP($A7,'RES installed'!$A$2:$C$7,3,FALSE)*'[1]Profiles, RES, Winter'!O$7</f>
        <v>12.735849056603774</v>
      </c>
      <c r="P7" s="9">
        <f>VLOOKUP($A7,'RES installed'!$A$2:$C$7,3,FALSE)*'[1]Profiles, RES, Winter'!P$7</f>
        <v>14.452027298273785</v>
      </c>
      <c r="Q7" s="9">
        <f>VLOOKUP($A7,'RES installed'!$A$2:$C$7,3,FALSE)*'[1]Profiles, RES, Winter'!Q$7</f>
        <v>14.957848253713367</v>
      </c>
      <c r="R7" s="9">
        <f>VLOOKUP($A7,'RES installed'!$A$2:$C$7,3,FALSE)*'[1]Profiles, RES, Winter'!R$7</f>
        <v>16.538538739462066</v>
      </c>
      <c r="S7" s="9">
        <f>VLOOKUP($A7,'RES installed'!$A$2:$C$7,3,FALSE)*'[1]Profiles, RES, Winter'!S$7</f>
        <v>19.167001204335609</v>
      </c>
      <c r="T7" s="9">
        <f>VLOOKUP($A7,'RES installed'!$A$2:$C$7,3,FALSE)*'[1]Profiles, RES, Winter'!T$7</f>
        <v>20.847049377759937</v>
      </c>
      <c r="U7" s="9">
        <f>VLOOKUP($A7,'RES installed'!$A$2:$C$7,3,FALSE)*'[1]Profiles, RES, Winter'!U$7</f>
        <v>22.09353673223605</v>
      </c>
      <c r="V7" s="9">
        <f>VLOOKUP($A7,'RES installed'!$A$2:$C$7,3,FALSE)*'[1]Profiles, RES, Winter'!V$7</f>
        <v>22.274187073464471</v>
      </c>
      <c r="W7" s="9">
        <f>VLOOKUP($A7,'RES installed'!$A$2:$C$7,3,FALSE)*'[1]Profiles, RES, Winter'!W$7</f>
        <v>20.530911280610194</v>
      </c>
      <c r="X7" s="9">
        <f>VLOOKUP($A7,'RES installed'!$A$2:$C$7,3,FALSE)*'[1]Profiles, RES, Winter'!X$7</f>
        <v>18.932155760738659</v>
      </c>
      <c r="Y7" s="9">
        <f>VLOOKUP($A7,'RES installed'!$A$2:$C$7,3,FALSE)*'[1]Profiles, RES, Winter'!Y$7</f>
        <v>18.182456844640708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2.843062926459439E-2</v>
      </c>
      <c r="J8" s="6">
        <f>VLOOKUP($A8,'RES installed'!$A$2:$C$7,3,FALSE)*'[1]Profiles, RES, Winter'!J$4</f>
        <v>2.5303260045489009</v>
      </c>
      <c r="K8" s="6">
        <f>VLOOKUP($A8,'RES installed'!$A$2:$C$7,3,FALSE)*'[1]Profiles, RES, Winter'!K$4</f>
        <v>10.860500379075058</v>
      </c>
      <c r="L8" s="6">
        <f>VLOOKUP($A8,'RES installed'!$A$2:$C$7,3,FALSE)*'[1]Profiles, RES, Winter'!L$4</f>
        <v>17.911296436694464</v>
      </c>
      <c r="M8" s="6">
        <f>VLOOKUP($A8,'RES installed'!$A$2:$C$7,3,FALSE)*'[1]Profiles, RES, Winter'!M$4</f>
        <v>20.356330553449585</v>
      </c>
      <c r="N8" s="6">
        <f>VLOOKUP($A8,'RES installed'!$A$2:$C$7,3,FALSE)*'[1]Profiles, RES, Winter'!N$4</f>
        <v>19.446550416982564</v>
      </c>
      <c r="O8" s="6">
        <f>VLOOKUP($A8,'RES installed'!$A$2:$C$7,3,FALSE)*'[1]Profiles, RES, Winter'!O$4</f>
        <v>19.816148597422291</v>
      </c>
      <c r="P8" s="6">
        <f>VLOOKUP($A8,'RES installed'!$A$2:$C$7,3,FALSE)*'[1]Profiles, RES, Winter'!P$4</f>
        <v>21.436694465504171</v>
      </c>
      <c r="Q8" s="6">
        <f>VLOOKUP($A8,'RES installed'!$A$2:$C$7,3,FALSE)*'[1]Profiles, RES, Winter'!Q$4</f>
        <v>19.531842304776344</v>
      </c>
      <c r="R8" s="6">
        <f>VLOOKUP($A8,'RES installed'!$A$2:$C$7,3,FALSE)*'[1]Profiles, RES, Winter'!R$4</f>
        <v>8.8987869598180431</v>
      </c>
      <c r="S8" s="6">
        <f>VLOOKUP($A8,'RES installed'!$A$2:$C$7,3,FALSE)*'[1]Profiles, RES, Winter'!S$4</f>
        <v>0.45489006823351025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  <row r="9" spans="1:25" x14ac:dyDescent="0.3">
      <c r="A9" s="5">
        <v>8</v>
      </c>
      <c r="B9" s="6">
        <f>VLOOKUP($A9,'RES installed'!$A$2:$C$7,3,FALSE)*'[1]Profiles, RES, Winter'!B$4</f>
        <v>0</v>
      </c>
      <c r="C9" s="6">
        <f>VLOOKUP($A9,'RES installed'!$A$2:$C$7,3,FALSE)*'[1]Profiles, RES, Winter'!C$4</f>
        <v>0</v>
      </c>
      <c r="D9" s="6">
        <f>VLOOKUP($A9,'RES installed'!$A$2:$C$7,3,FALSE)*'[1]Profiles, RES, Winter'!D$4</f>
        <v>0</v>
      </c>
      <c r="E9" s="6">
        <f>VLOOKUP($A9,'RES installed'!$A$2:$C$7,3,FALSE)*'[1]Profiles, RES, Winter'!E$4</f>
        <v>0</v>
      </c>
      <c r="F9" s="6">
        <f>VLOOKUP($A9,'RES installed'!$A$2:$C$7,3,FALSE)*'[1]Profiles, RES, Winter'!F$4</f>
        <v>0</v>
      </c>
      <c r="G9" s="6">
        <f>VLOOKUP($A9,'RES installed'!$A$2:$C$7,3,FALSE)*'[1]Profiles, RES, Winter'!G$4</f>
        <v>0</v>
      </c>
      <c r="H9" s="6">
        <f>VLOOKUP($A9,'RES installed'!$A$2:$C$7,3,FALSE)*'[1]Profiles, RES, Winter'!H$4</f>
        <v>0</v>
      </c>
      <c r="I9" s="6">
        <f>VLOOKUP($A9,'RES installed'!$A$2:$C$7,3,FALSE)*'[1]Profiles, RES, Winter'!I$4</f>
        <v>1.8953752843062926E-2</v>
      </c>
      <c r="J9" s="6">
        <f>VLOOKUP($A9,'RES installed'!$A$2:$C$7,3,FALSE)*'[1]Profiles, RES, Winter'!J$4</f>
        <v>1.6868840030326004</v>
      </c>
      <c r="K9" s="6">
        <f>VLOOKUP($A9,'RES installed'!$A$2:$C$7,3,FALSE)*'[1]Profiles, RES, Winter'!K$4</f>
        <v>7.2403335860500375</v>
      </c>
      <c r="L9" s="6">
        <f>VLOOKUP($A9,'RES installed'!$A$2:$C$7,3,FALSE)*'[1]Profiles, RES, Winter'!L$4</f>
        <v>11.940864291129644</v>
      </c>
      <c r="M9" s="6">
        <f>VLOOKUP($A9,'RES installed'!$A$2:$C$7,3,FALSE)*'[1]Profiles, RES, Winter'!M$4</f>
        <v>13.570887035633056</v>
      </c>
      <c r="N9" s="6">
        <f>VLOOKUP($A9,'RES installed'!$A$2:$C$7,3,FALSE)*'[1]Profiles, RES, Winter'!N$4</f>
        <v>12.964366944655042</v>
      </c>
      <c r="O9" s="6">
        <f>VLOOKUP($A9,'RES installed'!$A$2:$C$7,3,FALSE)*'[1]Profiles, RES, Winter'!O$4</f>
        <v>13.21076573161486</v>
      </c>
      <c r="P9" s="6">
        <f>VLOOKUP($A9,'RES installed'!$A$2:$C$7,3,FALSE)*'[1]Profiles, RES, Winter'!P$4</f>
        <v>14.291129643669448</v>
      </c>
      <c r="Q9" s="6">
        <f>VLOOKUP($A9,'RES installed'!$A$2:$C$7,3,FALSE)*'[1]Profiles, RES, Winter'!Q$4</f>
        <v>13.021228203184229</v>
      </c>
      <c r="R9" s="6">
        <f>VLOOKUP($A9,'RES installed'!$A$2:$C$7,3,FALSE)*'[1]Profiles, RES, Winter'!R$4</f>
        <v>5.9325246398786957</v>
      </c>
      <c r="S9" s="6">
        <f>VLOOKUP($A9,'RES installed'!$A$2:$C$7,3,FALSE)*'[1]Profiles, RES, Winter'!S$4</f>
        <v>0.30326004548900681</v>
      </c>
      <c r="T9" s="6">
        <f>VLOOKUP($A9,'RES installed'!$A$2:$C$7,3,FALSE)*'[1]Profiles, RES, Winter'!T$4</f>
        <v>0</v>
      </c>
      <c r="U9" s="6">
        <f>VLOOKUP($A9,'RES installed'!$A$2:$C$7,3,FALSE)*'[1]Profiles, RES, Winter'!U$4</f>
        <v>0</v>
      </c>
      <c r="V9" s="6">
        <f>VLOOKUP($A9,'RES installed'!$A$2:$C$7,3,FALSE)*'[1]Profiles, RES, Winter'!V$4</f>
        <v>0</v>
      </c>
      <c r="W9" s="6">
        <f>VLOOKUP($A9,'RES installed'!$A$2:$C$7,3,FALSE)*'[1]Profiles, RES, Winter'!W$4</f>
        <v>0</v>
      </c>
      <c r="X9" s="6">
        <f>VLOOKUP($A9,'RES installed'!$A$2:$C$7,3,FALSE)*'[1]Profiles, RES, Winter'!X$4</f>
        <v>0</v>
      </c>
      <c r="Y9" s="6">
        <f>VLOOKUP($A9,'RES installed'!$A$2:$C$7,3,FALSE)*'[1]Profiles, RES, Winter'!Y$4</f>
        <v>0</v>
      </c>
    </row>
    <row r="10" spans="1:25" x14ac:dyDescent="0.3">
      <c r="A10" s="5">
        <v>9</v>
      </c>
      <c r="B10" s="6">
        <f>VLOOKUP($A10,'RES installed'!$A$2:$C$7,3,FALSE)*'[1]Profiles, RES, Winter'!B$4</f>
        <v>0</v>
      </c>
      <c r="C10" s="6">
        <f>VLOOKUP($A10,'RES installed'!$A$2:$C$7,3,FALSE)*'[1]Profiles, RES, Winter'!C$4</f>
        <v>0</v>
      </c>
      <c r="D10" s="6">
        <f>VLOOKUP($A10,'RES installed'!$A$2:$C$7,3,FALSE)*'[1]Profiles, RES, Winter'!D$4</f>
        <v>0</v>
      </c>
      <c r="E10" s="6">
        <f>VLOOKUP($A10,'RES installed'!$A$2:$C$7,3,FALSE)*'[1]Profiles, RES, Winter'!E$4</f>
        <v>0</v>
      </c>
      <c r="F10" s="6">
        <f>VLOOKUP($A10,'RES installed'!$A$2:$C$7,3,FALSE)*'[1]Profiles, RES, Winter'!F$4</f>
        <v>0</v>
      </c>
      <c r="G10" s="6">
        <f>VLOOKUP($A10,'RES installed'!$A$2:$C$7,3,FALSE)*'[1]Profiles, RES, Winter'!G$4</f>
        <v>0</v>
      </c>
      <c r="H10" s="6">
        <f>VLOOKUP($A10,'RES installed'!$A$2:$C$7,3,FALSE)*'[1]Profiles, RES, Winter'!H$4</f>
        <v>0</v>
      </c>
      <c r="I10" s="6">
        <f>VLOOKUP($A10,'RES installed'!$A$2:$C$7,3,FALSE)*'[1]Profiles, RES, Winter'!I$4</f>
        <v>2.2744503411675512E-2</v>
      </c>
      <c r="J10" s="6">
        <f>VLOOKUP($A10,'RES installed'!$A$2:$C$7,3,FALSE)*'[1]Profiles, RES, Winter'!J$4</f>
        <v>2.0242608036391205</v>
      </c>
      <c r="K10" s="6">
        <f>VLOOKUP($A10,'RES installed'!$A$2:$C$7,3,FALSE)*'[1]Profiles, RES, Winter'!K$4</f>
        <v>8.6884003032600461</v>
      </c>
      <c r="L10" s="6">
        <f>VLOOKUP($A10,'RES installed'!$A$2:$C$7,3,FALSE)*'[1]Profiles, RES, Winter'!L$4</f>
        <v>14.329037149355573</v>
      </c>
      <c r="M10" s="6">
        <f>VLOOKUP($A10,'RES installed'!$A$2:$C$7,3,FALSE)*'[1]Profiles, RES, Winter'!M$4</f>
        <v>16.285064442759666</v>
      </c>
      <c r="N10" s="6">
        <f>VLOOKUP($A10,'RES installed'!$A$2:$C$7,3,FALSE)*'[1]Profiles, RES, Winter'!N$4</f>
        <v>15.557240333586051</v>
      </c>
      <c r="O10" s="6">
        <f>VLOOKUP($A10,'RES installed'!$A$2:$C$7,3,FALSE)*'[1]Profiles, RES, Winter'!O$4</f>
        <v>15.852918877937832</v>
      </c>
      <c r="P10" s="6">
        <f>VLOOKUP($A10,'RES installed'!$A$2:$C$7,3,FALSE)*'[1]Profiles, RES, Winter'!P$4</f>
        <v>17.149355572403337</v>
      </c>
      <c r="Q10" s="6">
        <f>VLOOKUP($A10,'RES installed'!$A$2:$C$7,3,FALSE)*'[1]Profiles, RES, Winter'!Q$4</f>
        <v>15.625473843821075</v>
      </c>
      <c r="R10" s="6">
        <f>VLOOKUP($A10,'RES installed'!$A$2:$C$7,3,FALSE)*'[1]Profiles, RES, Winter'!R$4</f>
        <v>7.1190295678544349</v>
      </c>
      <c r="S10" s="6">
        <f>VLOOKUP($A10,'RES installed'!$A$2:$C$7,3,FALSE)*'[1]Profiles, RES, Winter'!S$4</f>
        <v>0.3639120545868082</v>
      </c>
      <c r="T10" s="6">
        <f>VLOOKUP($A10,'RES installed'!$A$2:$C$7,3,FALSE)*'[1]Profiles, RES, Winter'!T$4</f>
        <v>0</v>
      </c>
      <c r="U10" s="6">
        <f>VLOOKUP($A10,'RES installed'!$A$2:$C$7,3,FALSE)*'[1]Profiles, RES, Winter'!U$4</f>
        <v>0</v>
      </c>
      <c r="V10" s="6">
        <f>VLOOKUP($A10,'RES installed'!$A$2:$C$7,3,FALSE)*'[1]Profiles, RES, Winter'!V$4</f>
        <v>0</v>
      </c>
      <c r="W10" s="6">
        <f>VLOOKUP($A10,'RES installed'!$A$2:$C$7,3,FALSE)*'[1]Profiles, RES, Winter'!W$4</f>
        <v>0</v>
      </c>
      <c r="X10" s="6">
        <f>VLOOKUP($A10,'RES installed'!$A$2:$C$7,3,FALSE)*'[1]Profiles, RES, Winter'!X$4</f>
        <v>0</v>
      </c>
      <c r="Y10" s="6">
        <f>VLOOKUP($A10,'RES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BFD42-4C76-4AC7-A518-39977CCB74F7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Winter'!B$5</f>
        <v>24.396828582898433</v>
      </c>
      <c r="C5" s="9">
        <f>VLOOKUP($A5,'RES installed'!$A$2:$C$7,3,FALSE)*'[1]Profiles, RES, Winter'!C$5</f>
        <v>26.248494580489762</v>
      </c>
      <c r="D5" s="9">
        <f>VLOOKUP($A5,'RES installed'!$A$2:$C$7,3,FALSE)*'[1]Profiles, RES, Winter'!D$5</f>
        <v>26.113006824568448</v>
      </c>
      <c r="E5" s="9">
        <f>VLOOKUP($A5,'RES installed'!$A$2:$C$7,3,FALSE)*'[1]Profiles, RES, Winter'!E$5</f>
        <v>26.167201926936976</v>
      </c>
      <c r="F5" s="9">
        <f>VLOOKUP($A5,'RES installed'!$A$2:$C$7,3,FALSE)*'[1]Profiles, RES, Winter'!F$5</f>
        <v>27.088518667201928</v>
      </c>
      <c r="G5" s="9">
        <f>VLOOKUP($A5,'RES installed'!$A$2:$C$7,3,FALSE)*'[1]Profiles, RES, Winter'!G$5</f>
        <v>28.596949016459256</v>
      </c>
      <c r="H5" s="9">
        <f>VLOOKUP($A5,'RES installed'!$A$2:$C$7,3,FALSE)*'[1]Profiles, RES, Winter'!H$5</f>
        <v>30.466680048173423</v>
      </c>
      <c r="I5" s="9">
        <f>VLOOKUP($A5,'RES installed'!$A$2:$C$7,3,FALSE)*'[1]Profiles, RES, Winter'!I$5</f>
        <v>30.520875150541951</v>
      </c>
      <c r="J5" s="9">
        <f>VLOOKUP($A5,'RES installed'!$A$2:$C$7,3,FALSE)*'[1]Profiles, RES, Winter'!J$5</f>
        <v>30.249899638699318</v>
      </c>
      <c r="K5" s="9">
        <f>VLOOKUP($A5,'RES installed'!$A$2:$C$7,3,FALSE)*'[1]Profiles, RES, Winter'!K$5</f>
        <v>28.389201124046568</v>
      </c>
      <c r="L5" s="9">
        <f>VLOOKUP($A5,'RES installed'!$A$2:$C$7,3,FALSE)*'[1]Profiles, RES, Winter'!L$5</f>
        <v>24.758129265355279</v>
      </c>
      <c r="M5" s="9">
        <f>VLOOKUP($A5,'RES installed'!$A$2:$C$7,3,FALSE)*'[1]Profiles, RES, Winter'!M$5</f>
        <v>22.780008028904053</v>
      </c>
      <c r="N5" s="9">
        <f>VLOOKUP($A5,'RES installed'!$A$2:$C$7,3,FALSE)*'[1]Profiles, RES, Winter'!N$5</f>
        <v>21.885788839823366</v>
      </c>
      <c r="O5" s="9">
        <f>VLOOKUP($A5,'RES installed'!$A$2:$C$7,3,FALSE)*'[1]Profiles, RES, Winter'!O$5</f>
        <v>20.39542352468888</v>
      </c>
      <c r="P5" s="9">
        <f>VLOOKUP($A5,'RES installed'!$A$2:$C$7,3,FALSE)*'[1]Profiles, RES, Winter'!P$5</f>
        <v>18.643115214773182</v>
      </c>
      <c r="Q5" s="9">
        <f>VLOOKUP($A5,'RES installed'!$A$2:$C$7,3,FALSE)*'[1]Profiles, RES, Winter'!Q$5</f>
        <v>18.805700521878762</v>
      </c>
      <c r="R5" s="9">
        <f>VLOOKUP($A5,'RES installed'!$A$2:$C$7,3,FALSE)*'[1]Profiles, RES, Winter'!R$5</f>
        <v>19.51023685266961</v>
      </c>
      <c r="S5" s="9">
        <f>VLOOKUP($A5,'RES installed'!$A$2:$C$7,3,FALSE)*'[1]Profiles, RES, Winter'!S$5</f>
        <v>22.481934965877159</v>
      </c>
      <c r="T5" s="9">
        <f>VLOOKUP($A5,'RES installed'!$A$2:$C$7,3,FALSE)*'[1]Profiles, RES, Winter'!T$5</f>
        <v>24.342633480529908</v>
      </c>
      <c r="U5" s="9">
        <f>VLOOKUP($A5,'RES installed'!$A$2:$C$7,3,FALSE)*'[1]Profiles, RES, Winter'!U$5</f>
        <v>24.947812123645122</v>
      </c>
      <c r="V5" s="9">
        <f>VLOOKUP($A5,'RES installed'!$A$2:$C$7,3,FALSE)*'[1]Profiles, RES, Winter'!V$5</f>
        <v>24.125853071055801</v>
      </c>
      <c r="W5" s="9">
        <f>VLOOKUP($A5,'RES installed'!$A$2:$C$7,3,FALSE)*'[1]Profiles, RES, Winter'!W$5</f>
        <v>22.816138097149736</v>
      </c>
      <c r="X5" s="9">
        <f>VLOOKUP($A5,'RES installed'!$A$2:$C$7,3,FALSE)*'[1]Profiles, RES, Winter'!X$5</f>
        <v>23.060016057808109</v>
      </c>
      <c r="Y5" s="9">
        <f>VLOOKUP($A5,'RES installed'!$A$2:$C$7,3,FALSE)*'[1]Profiles, RES, Winter'!Y$5</f>
        <v>24.008430349257328</v>
      </c>
    </row>
    <row r="6" spans="1:25" x14ac:dyDescent="0.3">
      <c r="A6" s="8">
        <v>5</v>
      </c>
      <c r="B6" s="9">
        <f>VLOOKUP($A6,'RES installed'!$A$2:$C$7,3,FALSE)*'[1]Profiles, RES, Winter'!B$5</f>
        <v>32.529104777197915</v>
      </c>
      <c r="C6" s="9">
        <f>VLOOKUP($A6,'RES installed'!$A$2:$C$7,3,FALSE)*'[1]Profiles, RES, Winter'!C$5</f>
        <v>34.997992773986347</v>
      </c>
      <c r="D6" s="9">
        <f>VLOOKUP($A6,'RES installed'!$A$2:$C$7,3,FALSE)*'[1]Profiles, RES, Winter'!D$5</f>
        <v>34.817342432757933</v>
      </c>
      <c r="E6" s="9">
        <f>VLOOKUP($A6,'RES installed'!$A$2:$C$7,3,FALSE)*'[1]Profiles, RES, Winter'!E$5</f>
        <v>34.889602569249298</v>
      </c>
      <c r="F6" s="9">
        <f>VLOOKUP($A6,'RES installed'!$A$2:$C$7,3,FALSE)*'[1]Profiles, RES, Winter'!F$5</f>
        <v>36.118024889602573</v>
      </c>
      <c r="G6" s="9">
        <f>VLOOKUP($A6,'RES installed'!$A$2:$C$7,3,FALSE)*'[1]Profiles, RES, Winter'!G$5</f>
        <v>38.12926535527901</v>
      </c>
      <c r="H6" s="9">
        <f>VLOOKUP($A6,'RES installed'!$A$2:$C$7,3,FALSE)*'[1]Profiles, RES, Winter'!H$5</f>
        <v>40.622240064231228</v>
      </c>
      <c r="I6" s="9">
        <f>VLOOKUP($A6,'RES installed'!$A$2:$C$7,3,FALSE)*'[1]Profiles, RES, Winter'!I$5</f>
        <v>40.694500200722601</v>
      </c>
      <c r="J6" s="9">
        <f>VLOOKUP($A6,'RES installed'!$A$2:$C$7,3,FALSE)*'[1]Profiles, RES, Winter'!J$5</f>
        <v>40.333199518265758</v>
      </c>
      <c r="K6" s="9">
        <f>VLOOKUP($A6,'RES installed'!$A$2:$C$7,3,FALSE)*'[1]Profiles, RES, Winter'!K$5</f>
        <v>37.852268165395422</v>
      </c>
      <c r="L6" s="9">
        <f>VLOOKUP($A6,'RES installed'!$A$2:$C$7,3,FALSE)*'[1]Profiles, RES, Winter'!L$5</f>
        <v>33.010839020473703</v>
      </c>
      <c r="M6" s="9">
        <f>VLOOKUP($A6,'RES installed'!$A$2:$C$7,3,FALSE)*'[1]Profiles, RES, Winter'!M$5</f>
        <v>30.373344038538736</v>
      </c>
      <c r="N6" s="9">
        <f>VLOOKUP($A6,'RES installed'!$A$2:$C$7,3,FALSE)*'[1]Profiles, RES, Winter'!N$5</f>
        <v>29.181051786431155</v>
      </c>
      <c r="O6" s="9">
        <f>VLOOKUP($A6,'RES installed'!$A$2:$C$7,3,FALSE)*'[1]Profiles, RES, Winter'!O$5</f>
        <v>27.193898032918508</v>
      </c>
      <c r="P6" s="9">
        <f>VLOOKUP($A6,'RES installed'!$A$2:$C$7,3,FALSE)*'[1]Profiles, RES, Winter'!P$5</f>
        <v>24.857486953030911</v>
      </c>
      <c r="Q6" s="9">
        <f>VLOOKUP($A6,'RES installed'!$A$2:$C$7,3,FALSE)*'[1]Profiles, RES, Winter'!Q$5</f>
        <v>25.074267362505019</v>
      </c>
      <c r="R6" s="9">
        <f>VLOOKUP($A6,'RES installed'!$A$2:$C$7,3,FALSE)*'[1]Profiles, RES, Winter'!R$5</f>
        <v>26.013649136892816</v>
      </c>
      <c r="S6" s="9">
        <f>VLOOKUP($A6,'RES installed'!$A$2:$C$7,3,FALSE)*'[1]Profiles, RES, Winter'!S$5</f>
        <v>29.97591328783621</v>
      </c>
      <c r="T6" s="9">
        <f>VLOOKUP($A6,'RES installed'!$A$2:$C$7,3,FALSE)*'[1]Profiles, RES, Winter'!T$5</f>
        <v>32.456844640706549</v>
      </c>
      <c r="U6" s="9">
        <f>VLOOKUP($A6,'RES installed'!$A$2:$C$7,3,FALSE)*'[1]Profiles, RES, Winter'!U$5</f>
        <v>33.263749498193498</v>
      </c>
      <c r="V6" s="9">
        <f>VLOOKUP($A6,'RES installed'!$A$2:$C$7,3,FALSE)*'[1]Profiles, RES, Winter'!V$5</f>
        <v>32.167804094741065</v>
      </c>
      <c r="W6" s="9">
        <f>VLOOKUP($A6,'RES installed'!$A$2:$C$7,3,FALSE)*'[1]Profiles, RES, Winter'!W$5</f>
        <v>30.421517462866316</v>
      </c>
      <c r="X6" s="9">
        <f>VLOOKUP($A6,'RES installed'!$A$2:$C$7,3,FALSE)*'[1]Profiles, RES, Winter'!X$5</f>
        <v>30.746688077077479</v>
      </c>
      <c r="Y6" s="9">
        <f>VLOOKUP($A6,'RES installed'!$A$2:$C$7,3,FALSE)*'[1]Profiles, RES, Winter'!Y$5</f>
        <v>32.011240465676437</v>
      </c>
    </row>
    <row r="7" spans="1:25" x14ac:dyDescent="0.3">
      <c r="A7" s="8">
        <v>6</v>
      </c>
      <c r="B7" s="9">
        <f>VLOOKUP($A7,'RES installed'!$A$2:$C$7,3,FALSE)*'[1]Profiles, RES, Winter'!B$5</f>
        <v>24.396828582898433</v>
      </c>
      <c r="C7" s="9">
        <f>VLOOKUP($A7,'RES installed'!$A$2:$C$7,3,FALSE)*'[1]Profiles, RES, Winter'!C$5</f>
        <v>26.248494580489762</v>
      </c>
      <c r="D7" s="9">
        <f>VLOOKUP($A7,'RES installed'!$A$2:$C$7,3,FALSE)*'[1]Profiles, RES, Winter'!D$5</f>
        <v>26.113006824568448</v>
      </c>
      <c r="E7" s="9">
        <f>VLOOKUP($A7,'RES installed'!$A$2:$C$7,3,FALSE)*'[1]Profiles, RES, Winter'!E$5</f>
        <v>26.167201926936976</v>
      </c>
      <c r="F7" s="9">
        <f>VLOOKUP($A7,'RES installed'!$A$2:$C$7,3,FALSE)*'[1]Profiles, RES, Winter'!F$5</f>
        <v>27.088518667201928</v>
      </c>
      <c r="G7" s="9">
        <f>VLOOKUP($A7,'RES installed'!$A$2:$C$7,3,FALSE)*'[1]Profiles, RES, Winter'!G$5</f>
        <v>28.596949016459256</v>
      </c>
      <c r="H7" s="9">
        <f>VLOOKUP($A7,'RES installed'!$A$2:$C$7,3,FALSE)*'[1]Profiles, RES, Winter'!H$5</f>
        <v>30.466680048173423</v>
      </c>
      <c r="I7" s="9">
        <f>VLOOKUP($A7,'RES installed'!$A$2:$C$7,3,FALSE)*'[1]Profiles, RES, Winter'!I$5</f>
        <v>30.520875150541951</v>
      </c>
      <c r="J7" s="9">
        <f>VLOOKUP($A7,'RES installed'!$A$2:$C$7,3,FALSE)*'[1]Profiles, RES, Winter'!J$5</f>
        <v>30.249899638699318</v>
      </c>
      <c r="K7" s="9">
        <f>VLOOKUP($A7,'RES installed'!$A$2:$C$7,3,FALSE)*'[1]Profiles, RES, Winter'!K$5</f>
        <v>28.389201124046568</v>
      </c>
      <c r="L7" s="9">
        <f>VLOOKUP($A7,'RES installed'!$A$2:$C$7,3,FALSE)*'[1]Profiles, RES, Winter'!L$5</f>
        <v>24.758129265355279</v>
      </c>
      <c r="M7" s="9">
        <f>VLOOKUP($A7,'RES installed'!$A$2:$C$7,3,FALSE)*'[1]Profiles, RES, Winter'!M$5</f>
        <v>22.780008028904053</v>
      </c>
      <c r="N7" s="9">
        <f>VLOOKUP($A7,'RES installed'!$A$2:$C$7,3,FALSE)*'[1]Profiles, RES, Winter'!N$5</f>
        <v>21.885788839823366</v>
      </c>
      <c r="O7" s="9">
        <f>VLOOKUP($A7,'RES installed'!$A$2:$C$7,3,FALSE)*'[1]Profiles, RES, Winter'!O$5</f>
        <v>20.39542352468888</v>
      </c>
      <c r="P7" s="9">
        <f>VLOOKUP($A7,'RES installed'!$A$2:$C$7,3,FALSE)*'[1]Profiles, RES, Winter'!P$5</f>
        <v>18.643115214773182</v>
      </c>
      <c r="Q7" s="9">
        <f>VLOOKUP($A7,'RES installed'!$A$2:$C$7,3,FALSE)*'[1]Profiles, RES, Winter'!Q$5</f>
        <v>18.805700521878762</v>
      </c>
      <c r="R7" s="9">
        <f>VLOOKUP($A7,'RES installed'!$A$2:$C$7,3,FALSE)*'[1]Profiles, RES, Winter'!R$5</f>
        <v>19.51023685266961</v>
      </c>
      <c r="S7" s="9">
        <f>VLOOKUP($A7,'RES installed'!$A$2:$C$7,3,FALSE)*'[1]Profiles, RES, Winter'!S$5</f>
        <v>22.481934965877159</v>
      </c>
      <c r="T7" s="9">
        <f>VLOOKUP($A7,'RES installed'!$A$2:$C$7,3,FALSE)*'[1]Profiles, RES, Winter'!T$5</f>
        <v>24.342633480529908</v>
      </c>
      <c r="U7" s="9">
        <f>VLOOKUP($A7,'RES installed'!$A$2:$C$7,3,FALSE)*'[1]Profiles, RES, Winter'!U$5</f>
        <v>24.947812123645122</v>
      </c>
      <c r="V7" s="9">
        <f>VLOOKUP($A7,'RES installed'!$A$2:$C$7,3,FALSE)*'[1]Profiles, RES, Winter'!V$5</f>
        <v>24.125853071055801</v>
      </c>
      <c r="W7" s="9">
        <f>VLOOKUP($A7,'RES installed'!$A$2:$C$7,3,FALSE)*'[1]Profiles, RES, Winter'!W$5</f>
        <v>22.816138097149736</v>
      </c>
      <c r="X7" s="9">
        <f>VLOOKUP($A7,'RES installed'!$A$2:$C$7,3,FALSE)*'[1]Profiles, RES, Winter'!X$5</f>
        <v>23.060016057808109</v>
      </c>
      <c r="Y7" s="9">
        <f>VLOOKUP($A7,'RES installed'!$A$2:$C$7,3,FALSE)*'[1]Profiles, RES, Winter'!Y$5</f>
        <v>24.008430349257328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2.843062926459439E-2</v>
      </c>
      <c r="J8" s="6">
        <f>VLOOKUP($A8,'RES installed'!$A$2:$C$7,3,FALSE)*'[1]Profiles, RES, Winter'!J$2</f>
        <v>3.3263836239575437</v>
      </c>
      <c r="K8" s="6">
        <f>VLOOKUP($A8,'RES installed'!$A$2:$C$7,3,FALSE)*'[1]Profiles, RES, Winter'!K$2</f>
        <v>14.044730856709629</v>
      </c>
      <c r="L8" s="6">
        <f>VLOOKUP($A8,'RES installed'!$A$2:$C$7,3,FALSE)*'[1]Profiles, RES, Winter'!L$2</f>
        <v>24.706216830932526</v>
      </c>
      <c r="M8" s="6">
        <f>VLOOKUP($A8,'RES installed'!$A$2:$C$7,3,FALSE)*'[1]Profiles, RES, Winter'!M$2</f>
        <v>29.3972706595906</v>
      </c>
      <c r="N8" s="6">
        <f>VLOOKUP($A8,'RES installed'!$A$2:$C$7,3,FALSE)*'[1]Profiles, RES, Winter'!N$2</f>
        <v>28.288476118271419</v>
      </c>
      <c r="O8" s="6">
        <f>VLOOKUP($A8,'RES installed'!$A$2:$C$7,3,FALSE)*'[1]Profiles, RES, Winter'!O$2</f>
        <v>28.515921152388174</v>
      </c>
      <c r="P8" s="6">
        <f>VLOOKUP($A8,'RES installed'!$A$2:$C$7,3,FALSE)*'[1]Profiles, RES, Winter'!P$2</f>
        <v>26.923805913570888</v>
      </c>
      <c r="Q8" s="6">
        <f>VLOOKUP($A8,'RES installed'!$A$2:$C$7,3,FALSE)*'[1]Profiles, RES, Winter'!Q$2</f>
        <v>20.15731614859742</v>
      </c>
      <c r="R8" s="6">
        <f>VLOOKUP($A8,'RES installed'!$A$2:$C$7,3,FALSE)*'[1]Profiles, RES, Winter'!R$2</f>
        <v>7.5909780136467022</v>
      </c>
      <c r="S8" s="6">
        <f>VLOOKUP($A8,'RES installed'!$A$2:$C$7,3,FALSE)*'[1]Profiles, RES, Winter'!S$2</f>
        <v>0.3411675511751327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  <row r="9" spans="1:25" x14ac:dyDescent="0.3">
      <c r="A9" s="5">
        <v>8</v>
      </c>
      <c r="B9" s="6">
        <f>VLOOKUP($A9,'RES installed'!$A$2:$C$7,3,FALSE)*'[1]Profiles, RES, Winter'!B$2</f>
        <v>0</v>
      </c>
      <c r="C9" s="6">
        <f>VLOOKUP($A9,'RES installed'!$A$2:$C$7,3,FALSE)*'[1]Profiles, RES, Winter'!C$2</f>
        <v>0</v>
      </c>
      <c r="D9" s="6">
        <f>VLOOKUP($A9,'RES installed'!$A$2:$C$7,3,FALSE)*'[1]Profiles, RES, Winter'!D$2</f>
        <v>0</v>
      </c>
      <c r="E9" s="6">
        <f>VLOOKUP($A9,'RES installed'!$A$2:$C$7,3,FALSE)*'[1]Profiles, RES, Winter'!E$2</f>
        <v>0</v>
      </c>
      <c r="F9" s="6">
        <f>VLOOKUP($A9,'RES installed'!$A$2:$C$7,3,FALSE)*'[1]Profiles, RES, Winter'!F$2</f>
        <v>0</v>
      </c>
      <c r="G9" s="6">
        <f>VLOOKUP($A9,'RES installed'!$A$2:$C$7,3,FALSE)*'[1]Profiles, RES, Winter'!G$2</f>
        <v>0</v>
      </c>
      <c r="H9" s="6">
        <f>VLOOKUP($A9,'RES installed'!$A$2:$C$7,3,FALSE)*'[1]Profiles, RES, Winter'!H$2</f>
        <v>0</v>
      </c>
      <c r="I9" s="6">
        <f>VLOOKUP($A9,'RES installed'!$A$2:$C$7,3,FALSE)*'[1]Profiles, RES, Winter'!I$2</f>
        <v>1.8953752843062926E-2</v>
      </c>
      <c r="J9" s="6">
        <f>VLOOKUP($A9,'RES installed'!$A$2:$C$7,3,FALSE)*'[1]Profiles, RES, Winter'!J$2</f>
        <v>2.2175890826383626</v>
      </c>
      <c r="K9" s="6">
        <f>VLOOKUP($A9,'RES installed'!$A$2:$C$7,3,FALSE)*'[1]Profiles, RES, Winter'!K$2</f>
        <v>9.3631539044730854</v>
      </c>
      <c r="L9" s="6">
        <f>VLOOKUP($A9,'RES installed'!$A$2:$C$7,3,FALSE)*'[1]Profiles, RES, Winter'!L$2</f>
        <v>16.470811220621684</v>
      </c>
      <c r="M9" s="6">
        <f>VLOOKUP($A9,'RES installed'!$A$2:$C$7,3,FALSE)*'[1]Profiles, RES, Winter'!M$2</f>
        <v>19.598180439727066</v>
      </c>
      <c r="N9" s="6">
        <f>VLOOKUP($A9,'RES installed'!$A$2:$C$7,3,FALSE)*'[1]Profiles, RES, Winter'!N$2</f>
        <v>18.858984078847612</v>
      </c>
      <c r="O9" s="6">
        <f>VLOOKUP($A9,'RES installed'!$A$2:$C$7,3,FALSE)*'[1]Profiles, RES, Winter'!O$2</f>
        <v>19.010614101592115</v>
      </c>
      <c r="P9" s="6">
        <f>VLOOKUP($A9,'RES installed'!$A$2:$C$7,3,FALSE)*'[1]Profiles, RES, Winter'!P$2</f>
        <v>17.949203942380592</v>
      </c>
      <c r="Q9" s="6">
        <f>VLOOKUP($A9,'RES installed'!$A$2:$C$7,3,FALSE)*'[1]Profiles, RES, Winter'!Q$2</f>
        <v>13.438210765731615</v>
      </c>
      <c r="R9" s="6">
        <f>VLOOKUP($A9,'RES installed'!$A$2:$C$7,3,FALSE)*'[1]Profiles, RES, Winter'!R$2</f>
        <v>5.0606520090978009</v>
      </c>
      <c r="S9" s="6">
        <f>VLOOKUP($A9,'RES installed'!$A$2:$C$7,3,FALSE)*'[1]Profiles, RES, Winter'!S$2</f>
        <v>0.22744503411675512</v>
      </c>
      <c r="T9" s="6">
        <f>VLOOKUP($A9,'RES installed'!$A$2:$C$7,3,FALSE)*'[1]Profiles, RES, Winter'!T$2</f>
        <v>0</v>
      </c>
      <c r="U9" s="6">
        <f>VLOOKUP($A9,'RES installed'!$A$2:$C$7,3,FALSE)*'[1]Profiles, RES, Winter'!U$2</f>
        <v>0</v>
      </c>
      <c r="V9" s="6">
        <f>VLOOKUP($A9,'RES installed'!$A$2:$C$7,3,FALSE)*'[1]Profiles, RES, Winter'!V$2</f>
        <v>0</v>
      </c>
      <c r="W9" s="6">
        <f>VLOOKUP($A9,'RES installed'!$A$2:$C$7,3,FALSE)*'[1]Profiles, RES, Winter'!W$2</f>
        <v>0</v>
      </c>
      <c r="X9" s="6">
        <f>VLOOKUP($A9,'RES installed'!$A$2:$C$7,3,FALSE)*'[1]Profiles, RES, Winter'!X$2</f>
        <v>0</v>
      </c>
      <c r="Y9" s="6">
        <f>VLOOKUP($A9,'RES installed'!$A$2:$C$7,3,FALSE)*'[1]Profiles, RES, Winter'!Y$2</f>
        <v>0</v>
      </c>
    </row>
    <row r="10" spans="1:25" x14ac:dyDescent="0.3">
      <c r="A10" s="5">
        <v>9</v>
      </c>
      <c r="B10" s="6">
        <f>VLOOKUP($A10,'RES installed'!$A$2:$C$7,3,FALSE)*'[1]Profiles, RES, Winter'!B$2</f>
        <v>0</v>
      </c>
      <c r="C10" s="6">
        <f>VLOOKUP($A10,'RES installed'!$A$2:$C$7,3,FALSE)*'[1]Profiles, RES, Winter'!C$2</f>
        <v>0</v>
      </c>
      <c r="D10" s="6">
        <f>VLOOKUP($A10,'RES installed'!$A$2:$C$7,3,FALSE)*'[1]Profiles, RES, Winter'!D$2</f>
        <v>0</v>
      </c>
      <c r="E10" s="6">
        <f>VLOOKUP($A10,'RES installed'!$A$2:$C$7,3,FALSE)*'[1]Profiles, RES, Winter'!E$2</f>
        <v>0</v>
      </c>
      <c r="F10" s="6">
        <f>VLOOKUP($A10,'RES installed'!$A$2:$C$7,3,FALSE)*'[1]Profiles, RES, Winter'!F$2</f>
        <v>0</v>
      </c>
      <c r="G10" s="6">
        <f>VLOOKUP($A10,'RES installed'!$A$2:$C$7,3,FALSE)*'[1]Profiles, RES, Winter'!G$2</f>
        <v>0</v>
      </c>
      <c r="H10" s="6">
        <f>VLOOKUP($A10,'RES installed'!$A$2:$C$7,3,FALSE)*'[1]Profiles, RES, Winter'!H$2</f>
        <v>0</v>
      </c>
      <c r="I10" s="6">
        <f>VLOOKUP($A10,'RES installed'!$A$2:$C$7,3,FALSE)*'[1]Profiles, RES, Winter'!I$2</f>
        <v>2.2744503411675512E-2</v>
      </c>
      <c r="J10" s="6">
        <f>VLOOKUP($A10,'RES installed'!$A$2:$C$7,3,FALSE)*'[1]Profiles, RES, Winter'!J$2</f>
        <v>2.6611068991660352</v>
      </c>
      <c r="K10" s="6">
        <f>VLOOKUP($A10,'RES installed'!$A$2:$C$7,3,FALSE)*'[1]Profiles, RES, Winter'!K$2</f>
        <v>11.235784685367703</v>
      </c>
      <c r="L10" s="6">
        <f>VLOOKUP($A10,'RES installed'!$A$2:$C$7,3,FALSE)*'[1]Profiles, RES, Winter'!L$2</f>
        <v>19.764973464746021</v>
      </c>
      <c r="M10" s="6">
        <f>VLOOKUP($A10,'RES installed'!$A$2:$C$7,3,FALSE)*'[1]Profiles, RES, Winter'!M$2</f>
        <v>23.51781652767248</v>
      </c>
      <c r="N10" s="6">
        <f>VLOOKUP($A10,'RES installed'!$A$2:$C$7,3,FALSE)*'[1]Profiles, RES, Winter'!N$2</f>
        <v>22.630780894617136</v>
      </c>
      <c r="O10" s="6">
        <f>VLOOKUP($A10,'RES installed'!$A$2:$C$7,3,FALSE)*'[1]Profiles, RES, Winter'!O$2</f>
        <v>22.812736921910538</v>
      </c>
      <c r="P10" s="6">
        <f>VLOOKUP($A10,'RES installed'!$A$2:$C$7,3,FALSE)*'[1]Profiles, RES, Winter'!P$2</f>
        <v>21.539044730856713</v>
      </c>
      <c r="Q10" s="6">
        <f>VLOOKUP($A10,'RES installed'!$A$2:$C$7,3,FALSE)*'[1]Profiles, RES, Winter'!Q$2</f>
        <v>16.125852918877939</v>
      </c>
      <c r="R10" s="6">
        <f>VLOOKUP($A10,'RES installed'!$A$2:$C$7,3,FALSE)*'[1]Profiles, RES, Winter'!R$2</f>
        <v>6.0727824109173616</v>
      </c>
      <c r="S10" s="6">
        <f>VLOOKUP($A10,'RES installed'!$A$2:$C$7,3,FALSE)*'[1]Profiles, RES, Winter'!S$2</f>
        <v>0.27293404094010615</v>
      </c>
      <c r="T10" s="6">
        <f>VLOOKUP($A10,'RES installed'!$A$2:$C$7,3,FALSE)*'[1]Profiles, RES, Winter'!T$2</f>
        <v>0</v>
      </c>
      <c r="U10" s="6">
        <f>VLOOKUP($A10,'RES installed'!$A$2:$C$7,3,FALSE)*'[1]Profiles, RES, Winter'!U$2</f>
        <v>0</v>
      </c>
      <c r="V10" s="6">
        <f>VLOOKUP($A10,'RES installed'!$A$2:$C$7,3,FALSE)*'[1]Profiles, RES, Winter'!V$2</f>
        <v>0</v>
      </c>
      <c r="W10" s="6">
        <f>VLOOKUP($A10,'RES installed'!$A$2:$C$7,3,FALSE)*'[1]Profiles, RES, Winter'!W$2</f>
        <v>0</v>
      </c>
      <c r="X10" s="6">
        <f>VLOOKUP($A10,'RES installed'!$A$2:$C$7,3,FALSE)*'[1]Profiles, RES, Winter'!X$2</f>
        <v>0</v>
      </c>
      <c r="Y10" s="6">
        <f>VLOOKUP($A10,'RES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4C0DD-63EC-452B-B727-E7633F01A28A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Winter'!B$6</f>
        <v>23.610999598554798</v>
      </c>
      <c r="C5" s="9">
        <f>VLOOKUP($A5,'RES installed'!$A$2:$C$7,3,FALSE)*'[1]Profiles, RES, Winter'!C$6</f>
        <v>23.972300281011641</v>
      </c>
      <c r="D5" s="9">
        <f>VLOOKUP($A5,'RES installed'!$A$2:$C$7,3,FALSE)*'[1]Profiles, RES, Winter'!D$6</f>
        <v>24.053592934564428</v>
      </c>
      <c r="E5" s="9">
        <f>VLOOKUP($A5,'RES installed'!$A$2:$C$7,3,FALSE)*'[1]Profiles, RES, Winter'!E$6</f>
        <v>21.994179044560418</v>
      </c>
      <c r="F5" s="9">
        <f>VLOOKUP($A5,'RES installed'!$A$2:$C$7,3,FALSE)*'[1]Profiles, RES, Winter'!F$6</f>
        <v>22.698715375351266</v>
      </c>
      <c r="G5" s="9">
        <f>VLOOKUP($A5,'RES installed'!$A$2:$C$7,3,FALSE)*'[1]Profiles, RES, Winter'!G$6</f>
        <v>23.963267763950221</v>
      </c>
      <c r="H5" s="9">
        <f>VLOOKUP($A5,'RES installed'!$A$2:$C$7,3,FALSE)*'[1]Profiles, RES, Winter'!H$6</f>
        <v>24.532316338819751</v>
      </c>
      <c r="I5" s="9">
        <f>VLOOKUP($A5,'RES installed'!$A$2:$C$7,3,FALSE)*'[1]Profiles, RES, Winter'!I$6</f>
        <v>23.367121637896425</v>
      </c>
      <c r="J5" s="9">
        <f>VLOOKUP($A5,'RES installed'!$A$2:$C$7,3,FALSE)*'[1]Profiles, RES, Winter'!J$6</f>
        <v>22.238057005218788</v>
      </c>
      <c r="K5" s="9">
        <f>VLOOKUP($A5,'RES installed'!$A$2:$C$7,3,FALSE)*'[1]Profiles, RES, Winter'!K$6</f>
        <v>20.946407065435569</v>
      </c>
      <c r="L5" s="9">
        <f>VLOOKUP($A5,'RES installed'!$A$2:$C$7,3,FALSE)*'[1]Profiles, RES, Winter'!L$6</f>
        <v>19.681854676836611</v>
      </c>
      <c r="M5" s="9">
        <f>VLOOKUP($A5,'RES installed'!$A$2:$C$7,3,FALSE)*'[1]Profiles, RES, Winter'!M$6</f>
        <v>18.597952629466079</v>
      </c>
      <c r="N5" s="9">
        <f>VLOOKUP($A5,'RES installed'!$A$2:$C$7,3,FALSE)*'[1]Profiles, RES, Winter'!N$6</f>
        <v>17.143717382577279</v>
      </c>
      <c r="O5" s="9">
        <f>VLOOKUP($A5,'RES installed'!$A$2:$C$7,3,FALSE)*'[1]Profiles, RES, Winter'!O$6</f>
        <v>13.27780008028904</v>
      </c>
      <c r="P5" s="9">
        <f>VLOOKUP($A5,'RES installed'!$A$2:$C$7,3,FALSE)*'[1]Profiles, RES, Winter'!P$6</f>
        <v>12.988759534323565</v>
      </c>
      <c r="Q5" s="9">
        <f>VLOOKUP($A5,'RES installed'!$A$2:$C$7,3,FALSE)*'[1]Profiles, RES, Winter'!Q$6</f>
        <v>13.214572460859094</v>
      </c>
      <c r="R5" s="9">
        <f>VLOOKUP($A5,'RES installed'!$A$2:$C$7,3,FALSE)*'[1]Profiles, RES, Winter'!R$6</f>
        <v>16.764351665997591</v>
      </c>
      <c r="S5" s="9">
        <f>VLOOKUP($A5,'RES installed'!$A$2:$C$7,3,FALSE)*'[1]Profiles, RES, Winter'!S$6</f>
        <v>19.645724608590928</v>
      </c>
      <c r="T5" s="9">
        <f>VLOOKUP($A5,'RES installed'!$A$2:$C$7,3,FALSE)*'[1]Profiles, RES, Winter'!T$6</f>
        <v>20.928342031312724</v>
      </c>
      <c r="U5" s="9">
        <f>VLOOKUP($A5,'RES installed'!$A$2:$C$7,3,FALSE)*'[1]Profiles, RES, Winter'!U$6</f>
        <v>21.8586912886391</v>
      </c>
      <c r="V5" s="9">
        <f>VLOOKUP($A5,'RES installed'!$A$2:$C$7,3,FALSE)*'[1]Profiles, RES, Winter'!V$6</f>
        <v>22.590325170614211</v>
      </c>
      <c r="W5" s="9">
        <f>VLOOKUP($A5,'RES installed'!$A$2:$C$7,3,FALSE)*'[1]Profiles, RES, Winter'!W$6</f>
        <v>23.448414291449218</v>
      </c>
      <c r="X5" s="9">
        <f>VLOOKUP($A5,'RES installed'!$A$2:$C$7,3,FALSE)*'[1]Profiles, RES, Winter'!X$6</f>
        <v>23.005820955439585</v>
      </c>
      <c r="Y5" s="9">
        <f>VLOOKUP($A5,'RES installed'!$A$2:$C$7,3,FALSE)*'[1]Profiles, RES, Winter'!Y$6</f>
        <v>22.382577278201524</v>
      </c>
    </row>
    <row r="6" spans="1:25" x14ac:dyDescent="0.3">
      <c r="A6" s="8">
        <v>5</v>
      </c>
      <c r="B6" s="9">
        <f>VLOOKUP($A6,'RES installed'!$A$2:$C$7,3,FALSE)*'[1]Profiles, RES, Winter'!B$6</f>
        <v>31.481332798073062</v>
      </c>
      <c r="C6" s="9">
        <f>VLOOKUP($A6,'RES installed'!$A$2:$C$7,3,FALSE)*'[1]Profiles, RES, Winter'!C$6</f>
        <v>31.963067041348857</v>
      </c>
      <c r="D6" s="9">
        <f>VLOOKUP($A6,'RES installed'!$A$2:$C$7,3,FALSE)*'[1]Profiles, RES, Winter'!D$6</f>
        <v>32.071457246085906</v>
      </c>
      <c r="E6" s="9">
        <f>VLOOKUP($A6,'RES installed'!$A$2:$C$7,3,FALSE)*'[1]Profiles, RES, Winter'!E$6</f>
        <v>29.32557205941389</v>
      </c>
      <c r="F6" s="9">
        <f>VLOOKUP($A6,'RES installed'!$A$2:$C$7,3,FALSE)*'[1]Profiles, RES, Winter'!F$6</f>
        <v>30.264953833801687</v>
      </c>
      <c r="G6" s="9">
        <f>VLOOKUP($A6,'RES installed'!$A$2:$C$7,3,FALSE)*'[1]Profiles, RES, Winter'!G$6</f>
        <v>31.951023685266961</v>
      </c>
      <c r="H6" s="9">
        <f>VLOOKUP($A6,'RES installed'!$A$2:$C$7,3,FALSE)*'[1]Profiles, RES, Winter'!H$6</f>
        <v>32.709755118426337</v>
      </c>
      <c r="I6" s="9">
        <f>VLOOKUP($A6,'RES installed'!$A$2:$C$7,3,FALSE)*'[1]Profiles, RES, Winter'!I$6</f>
        <v>31.156162183861898</v>
      </c>
      <c r="J6" s="9">
        <f>VLOOKUP($A6,'RES installed'!$A$2:$C$7,3,FALSE)*'[1]Profiles, RES, Winter'!J$6</f>
        <v>29.65074267362505</v>
      </c>
      <c r="K6" s="9">
        <f>VLOOKUP($A6,'RES installed'!$A$2:$C$7,3,FALSE)*'[1]Profiles, RES, Winter'!K$6</f>
        <v>27.92854275391409</v>
      </c>
      <c r="L6" s="9">
        <f>VLOOKUP($A6,'RES installed'!$A$2:$C$7,3,FALSE)*'[1]Profiles, RES, Winter'!L$6</f>
        <v>26.242472902448814</v>
      </c>
      <c r="M6" s="9">
        <f>VLOOKUP($A6,'RES installed'!$A$2:$C$7,3,FALSE)*'[1]Profiles, RES, Winter'!M$6</f>
        <v>24.797270172621438</v>
      </c>
      <c r="N6" s="9">
        <f>VLOOKUP($A6,'RES installed'!$A$2:$C$7,3,FALSE)*'[1]Profiles, RES, Winter'!N$6</f>
        <v>22.858289843436374</v>
      </c>
      <c r="O6" s="9">
        <f>VLOOKUP($A6,'RES installed'!$A$2:$C$7,3,FALSE)*'[1]Profiles, RES, Winter'!O$6</f>
        <v>17.703733440385388</v>
      </c>
      <c r="P6" s="9">
        <f>VLOOKUP($A6,'RES installed'!$A$2:$C$7,3,FALSE)*'[1]Profiles, RES, Winter'!P$6</f>
        <v>17.318346045764756</v>
      </c>
      <c r="Q6" s="9">
        <f>VLOOKUP($A6,'RES installed'!$A$2:$C$7,3,FALSE)*'[1]Profiles, RES, Winter'!Q$6</f>
        <v>17.619429947812122</v>
      </c>
      <c r="R6" s="9">
        <f>VLOOKUP($A6,'RES installed'!$A$2:$C$7,3,FALSE)*'[1]Profiles, RES, Winter'!R$6</f>
        <v>22.352468887996789</v>
      </c>
      <c r="S6" s="9">
        <f>VLOOKUP($A6,'RES installed'!$A$2:$C$7,3,FALSE)*'[1]Profiles, RES, Winter'!S$6</f>
        <v>26.194299478121238</v>
      </c>
      <c r="T6" s="9">
        <f>VLOOKUP($A6,'RES installed'!$A$2:$C$7,3,FALSE)*'[1]Profiles, RES, Winter'!T$6</f>
        <v>27.904456041750301</v>
      </c>
      <c r="U6" s="9">
        <f>VLOOKUP($A6,'RES installed'!$A$2:$C$7,3,FALSE)*'[1]Profiles, RES, Winter'!U$6</f>
        <v>29.144921718185469</v>
      </c>
      <c r="V6" s="9">
        <f>VLOOKUP($A6,'RES installed'!$A$2:$C$7,3,FALSE)*'[1]Profiles, RES, Winter'!V$6</f>
        <v>30.120433560818945</v>
      </c>
      <c r="W6" s="9">
        <f>VLOOKUP($A6,'RES installed'!$A$2:$C$7,3,FALSE)*'[1]Profiles, RES, Winter'!W$6</f>
        <v>31.264552388598958</v>
      </c>
      <c r="X6" s="9">
        <f>VLOOKUP($A6,'RES installed'!$A$2:$C$7,3,FALSE)*'[1]Profiles, RES, Winter'!X$6</f>
        <v>30.674427940586114</v>
      </c>
      <c r="Y6" s="9">
        <f>VLOOKUP($A6,'RES installed'!$A$2:$C$7,3,FALSE)*'[1]Profiles, RES, Winter'!Y$6</f>
        <v>29.843436370935368</v>
      </c>
    </row>
    <row r="7" spans="1:25" x14ac:dyDescent="0.3">
      <c r="A7" s="8">
        <v>6</v>
      </c>
      <c r="B7" s="9">
        <f>VLOOKUP($A7,'RES installed'!$A$2:$C$7,3,FALSE)*'[1]Profiles, RES, Winter'!B$6</f>
        <v>23.610999598554798</v>
      </c>
      <c r="C7" s="9">
        <f>VLOOKUP($A7,'RES installed'!$A$2:$C$7,3,FALSE)*'[1]Profiles, RES, Winter'!C$6</f>
        <v>23.972300281011641</v>
      </c>
      <c r="D7" s="9">
        <f>VLOOKUP($A7,'RES installed'!$A$2:$C$7,3,FALSE)*'[1]Profiles, RES, Winter'!D$6</f>
        <v>24.053592934564428</v>
      </c>
      <c r="E7" s="9">
        <f>VLOOKUP($A7,'RES installed'!$A$2:$C$7,3,FALSE)*'[1]Profiles, RES, Winter'!E$6</f>
        <v>21.994179044560418</v>
      </c>
      <c r="F7" s="9">
        <f>VLOOKUP($A7,'RES installed'!$A$2:$C$7,3,FALSE)*'[1]Profiles, RES, Winter'!F$6</f>
        <v>22.698715375351266</v>
      </c>
      <c r="G7" s="9">
        <f>VLOOKUP($A7,'RES installed'!$A$2:$C$7,3,FALSE)*'[1]Profiles, RES, Winter'!G$6</f>
        <v>23.963267763950221</v>
      </c>
      <c r="H7" s="9">
        <f>VLOOKUP($A7,'RES installed'!$A$2:$C$7,3,FALSE)*'[1]Profiles, RES, Winter'!H$6</f>
        <v>24.532316338819751</v>
      </c>
      <c r="I7" s="9">
        <f>VLOOKUP($A7,'RES installed'!$A$2:$C$7,3,FALSE)*'[1]Profiles, RES, Winter'!I$6</f>
        <v>23.367121637896425</v>
      </c>
      <c r="J7" s="9">
        <f>VLOOKUP($A7,'RES installed'!$A$2:$C$7,3,FALSE)*'[1]Profiles, RES, Winter'!J$6</f>
        <v>22.238057005218788</v>
      </c>
      <c r="K7" s="9">
        <f>VLOOKUP($A7,'RES installed'!$A$2:$C$7,3,FALSE)*'[1]Profiles, RES, Winter'!K$6</f>
        <v>20.946407065435569</v>
      </c>
      <c r="L7" s="9">
        <f>VLOOKUP($A7,'RES installed'!$A$2:$C$7,3,FALSE)*'[1]Profiles, RES, Winter'!L$6</f>
        <v>19.681854676836611</v>
      </c>
      <c r="M7" s="9">
        <f>VLOOKUP($A7,'RES installed'!$A$2:$C$7,3,FALSE)*'[1]Profiles, RES, Winter'!M$6</f>
        <v>18.597952629466079</v>
      </c>
      <c r="N7" s="9">
        <f>VLOOKUP($A7,'RES installed'!$A$2:$C$7,3,FALSE)*'[1]Profiles, RES, Winter'!N$6</f>
        <v>17.143717382577279</v>
      </c>
      <c r="O7" s="9">
        <f>VLOOKUP($A7,'RES installed'!$A$2:$C$7,3,FALSE)*'[1]Profiles, RES, Winter'!O$6</f>
        <v>13.27780008028904</v>
      </c>
      <c r="P7" s="9">
        <f>VLOOKUP($A7,'RES installed'!$A$2:$C$7,3,FALSE)*'[1]Profiles, RES, Winter'!P$6</f>
        <v>12.988759534323565</v>
      </c>
      <c r="Q7" s="9">
        <f>VLOOKUP($A7,'RES installed'!$A$2:$C$7,3,FALSE)*'[1]Profiles, RES, Winter'!Q$6</f>
        <v>13.214572460859094</v>
      </c>
      <c r="R7" s="9">
        <f>VLOOKUP($A7,'RES installed'!$A$2:$C$7,3,FALSE)*'[1]Profiles, RES, Winter'!R$6</f>
        <v>16.764351665997591</v>
      </c>
      <c r="S7" s="9">
        <f>VLOOKUP($A7,'RES installed'!$A$2:$C$7,3,FALSE)*'[1]Profiles, RES, Winter'!S$6</f>
        <v>19.645724608590928</v>
      </c>
      <c r="T7" s="9">
        <f>VLOOKUP($A7,'RES installed'!$A$2:$C$7,3,FALSE)*'[1]Profiles, RES, Winter'!T$6</f>
        <v>20.928342031312724</v>
      </c>
      <c r="U7" s="9">
        <f>VLOOKUP($A7,'RES installed'!$A$2:$C$7,3,FALSE)*'[1]Profiles, RES, Winter'!U$6</f>
        <v>21.8586912886391</v>
      </c>
      <c r="V7" s="9">
        <f>VLOOKUP($A7,'RES installed'!$A$2:$C$7,3,FALSE)*'[1]Profiles, RES, Winter'!V$6</f>
        <v>22.590325170614211</v>
      </c>
      <c r="W7" s="9">
        <f>VLOOKUP($A7,'RES installed'!$A$2:$C$7,3,FALSE)*'[1]Profiles, RES, Winter'!W$6</f>
        <v>23.448414291449218</v>
      </c>
      <c r="X7" s="9">
        <f>VLOOKUP($A7,'RES installed'!$A$2:$C$7,3,FALSE)*'[1]Profiles, RES, Winter'!X$6</f>
        <v>23.005820955439585</v>
      </c>
      <c r="Y7" s="9">
        <f>VLOOKUP($A7,'RES installed'!$A$2:$C$7,3,FALSE)*'[1]Profiles, RES, Winter'!Y$6</f>
        <v>22.382577278201524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5.6861258529188781E-2</v>
      </c>
      <c r="J8" s="6">
        <f>VLOOKUP($A8,'RES installed'!$A$2:$C$7,3,FALSE)*'[1]Profiles, RES, Winter'!J$3</f>
        <v>4.8616376042456411</v>
      </c>
      <c r="K8" s="6">
        <f>VLOOKUP($A8,'RES installed'!$A$2:$C$7,3,FALSE)*'[1]Profiles, RES, Winter'!K$3</f>
        <v>16.717210007581503</v>
      </c>
      <c r="L8" s="6">
        <f>VLOOKUP($A8,'RES installed'!$A$2:$C$7,3,FALSE)*'[1]Profiles, RES, Winter'!L$3</f>
        <v>25.672858225928731</v>
      </c>
      <c r="M8" s="6">
        <f>VLOOKUP($A8,'RES installed'!$A$2:$C$7,3,FALSE)*'[1]Profiles, RES, Winter'!M$3</f>
        <v>25.473843821076574</v>
      </c>
      <c r="N8" s="6">
        <f>VLOOKUP($A8,'RES installed'!$A$2:$C$7,3,FALSE)*'[1]Profiles, RES, Winter'!N$3</f>
        <v>28.316906747536013</v>
      </c>
      <c r="O8" s="6">
        <f>VLOOKUP($A8,'RES installed'!$A$2:$C$7,3,FALSE)*'[1]Profiles, RES, Winter'!O$3</f>
        <v>27.691432903714933</v>
      </c>
      <c r="P8" s="6">
        <f>VLOOKUP($A8,'RES installed'!$A$2:$C$7,3,FALSE)*'[1]Profiles, RES, Winter'!P$3</f>
        <v>23.426838514025775</v>
      </c>
      <c r="Q8" s="6">
        <f>VLOOKUP($A8,'RES installed'!$A$2:$C$7,3,FALSE)*'[1]Profiles, RES, Winter'!Q$3</f>
        <v>15.068233510235027</v>
      </c>
      <c r="R8" s="6">
        <f>VLOOKUP($A8,'RES installed'!$A$2:$C$7,3,FALSE)*'[1]Profiles, RES, Winter'!R$3</f>
        <v>4.8047763457164523</v>
      </c>
      <c r="S8" s="6">
        <f>VLOOKUP($A8,'RES installed'!$A$2:$C$7,3,FALSE)*'[1]Profiles, RES, Winter'!S$3</f>
        <v>0.28430629264594387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  <row r="9" spans="1:25" x14ac:dyDescent="0.3">
      <c r="A9" s="5">
        <v>8</v>
      </c>
      <c r="B9" s="6">
        <f>VLOOKUP($A9,'RES installed'!$A$2:$C$7,3,FALSE)*'[1]Profiles, RES, Winter'!B$3</f>
        <v>0</v>
      </c>
      <c r="C9" s="6">
        <f>VLOOKUP($A9,'RES installed'!$A$2:$C$7,3,FALSE)*'[1]Profiles, RES, Winter'!C$3</f>
        <v>0</v>
      </c>
      <c r="D9" s="6">
        <f>VLOOKUP($A9,'RES installed'!$A$2:$C$7,3,FALSE)*'[1]Profiles, RES, Winter'!D$3</f>
        <v>0</v>
      </c>
      <c r="E9" s="6">
        <f>VLOOKUP($A9,'RES installed'!$A$2:$C$7,3,FALSE)*'[1]Profiles, RES, Winter'!E$3</f>
        <v>0</v>
      </c>
      <c r="F9" s="6">
        <f>VLOOKUP($A9,'RES installed'!$A$2:$C$7,3,FALSE)*'[1]Profiles, RES, Winter'!F$3</f>
        <v>0</v>
      </c>
      <c r="G9" s="6">
        <f>VLOOKUP($A9,'RES installed'!$A$2:$C$7,3,FALSE)*'[1]Profiles, RES, Winter'!G$3</f>
        <v>0</v>
      </c>
      <c r="H9" s="6">
        <f>VLOOKUP($A9,'RES installed'!$A$2:$C$7,3,FALSE)*'[1]Profiles, RES, Winter'!H$3</f>
        <v>0</v>
      </c>
      <c r="I9" s="6">
        <f>VLOOKUP($A9,'RES installed'!$A$2:$C$7,3,FALSE)*'[1]Profiles, RES, Winter'!I$3</f>
        <v>3.7907505686125852E-2</v>
      </c>
      <c r="J9" s="6">
        <f>VLOOKUP($A9,'RES installed'!$A$2:$C$7,3,FALSE)*'[1]Profiles, RES, Winter'!J$3</f>
        <v>3.2410917361637606</v>
      </c>
      <c r="K9" s="6">
        <f>VLOOKUP($A9,'RES installed'!$A$2:$C$7,3,FALSE)*'[1]Profiles, RES, Winter'!K$3</f>
        <v>11.144806671721001</v>
      </c>
      <c r="L9" s="6">
        <f>VLOOKUP($A9,'RES installed'!$A$2:$C$7,3,FALSE)*'[1]Profiles, RES, Winter'!L$3</f>
        <v>17.115238817285821</v>
      </c>
      <c r="M9" s="6">
        <f>VLOOKUP($A9,'RES installed'!$A$2:$C$7,3,FALSE)*'[1]Profiles, RES, Winter'!M$3</f>
        <v>16.982562547384383</v>
      </c>
      <c r="N9" s="6">
        <f>VLOOKUP($A9,'RES installed'!$A$2:$C$7,3,FALSE)*'[1]Profiles, RES, Winter'!N$3</f>
        <v>18.877937831690677</v>
      </c>
      <c r="O9" s="6">
        <f>VLOOKUP($A9,'RES installed'!$A$2:$C$7,3,FALSE)*'[1]Profiles, RES, Winter'!O$3</f>
        <v>18.460955269143291</v>
      </c>
      <c r="P9" s="6">
        <f>VLOOKUP($A9,'RES installed'!$A$2:$C$7,3,FALSE)*'[1]Profiles, RES, Winter'!P$3</f>
        <v>15.617892342683851</v>
      </c>
      <c r="Q9" s="6">
        <f>VLOOKUP($A9,'RES installed'!$A$2:$C$7,3,FALSE)*'[1]Profiles, RES, Winter'!Q$3</f>
        <v>10.045489006823351</v>
      </c>
      <c r="R9" s="6">
        <f>VLOOKUP($A9,'RES installed'!$A$2:$C$7,3,FALSE)*'[1]Profiles, RES, Winter'!R$3</f>
        <v>3.2031842304776346</v>
      </c>
      <c r="S9" s="6">
        <f>VLOOKUP($A9,'RES installed'!$A$2:$C$7,3,FALSE)*'[1]Profiles, RES, Winter'!S$3</f>
        <v>0.18953752843062927</v>
      </c>
      <c r="T9" s="6">
        <f>VLOOKUP($A9,'RES installed'!$A$2:$C$7,3,FALSE)*'[1]Profiles, RES, Winter'!T$3</f>
        <v>0</v>
      </c>
      <c r="U9" s="6">
        <f>VLOOKUP($A9,'RES installed'!$A$2:$C$7,3,FALSE)*'[1]Profiles, RES, Winter'!U$3</f>
        <v>0</v>
      </c>
      <c r="V9" s="6">
        <f>VLOOKUP($A9,'RES installed'!$A$2:$C$7,3,FALSE)*'[1]Profiles, RES, Winter'!V$3</f>
        <v>0</v>
      </c>
      <c r="W9" s="6">
        <f>VLOOKUP($A9,'RES installed'!$A$2:$C$7,3,FALSE)*'[1]Profiles, RES, Winter'!W$3</f>
        <v>0</v>
      </c>
      <c r="X9" s="6">
        <f>VLOOKUP($A9,'RES installed'!$A$2:$C$7,3,FALSE)*'[1]Profiles, RES, Winter'!X$3</f>
        <v>0</v>
      </c>
      <c r="Y9" s="6">
        <f>VLOOKUP($A9,'RES installed'!$A$2:$C$7,3,FALSE)*'[1]Profiles, RES, Winter'!Y$3</f>
        <v>0</v>
      </c>
    </row>
    <row r="10" spans="1:25" x14ac:dyDescent="0.3">
      <c r="A10" s="5">
        <v>9</v>
      </c>
      <c r="B10" s="6">
        <f>VLOOKUP($A10,'RES installed'!$A$2:$C$7,3,FALSE)*'[1]Profiles, RES, Winter'!B$3</f>
        <v>0</v>
      </c>
      <c r="C10" s="6">
        <f>VLOOKUP($A10,'RES installed'!$A$2:$C$7,3,FALSE)*'[1]Profiles, RES, Winter'!C$3</f>
        <v>0</v>
      </c>
      <c r="D10" s="6">
        <f>VLOOKUP($A10,'RES installed'!$A$2:$C$7,3,FALSE)*'[1]Profiles, RES, Winter'!D$3</f>
        <v>0</v>
      </c>
      <c r="E10" s="6">
        <f>VLOOKUP($A10,'RES installed'!$A$2:$C$7,3,FALSE)*'[1]Profiles, RES, Winter'!E$3</f>
        <v>0</v>
      </c>
      <c r="F10" s="6">
        <f>VLOOKUP($A10,'RES installed'!$A$2:$C$7,3,FALSE)*'[1]Profiles, RES, Winter'!F$3</f>
        <v>0</v>
      </c>
      <c r="G10" s="6">
        <f>VLOOKUP($A10,'RES installed'!$A$2:$C$7,3,FALSE)*'[1]Profiles, RES, Winter'!G$3</f>
        <v>0</v>
      </c>
      <c r="H10" s="6">
        <f>VLOOKUP($A10,'RES installed'!$A$2:$C$7,3,FALSE)*'[1]Profiles, RES, Winter'!H$3</f>
        <v>0</v>
      </c>
      <c r="I10" s="6">
        <f>VLOOKUP($A10,'RES installed'!$A$2:$C$7,3,FALSE)*'[1]Profiles, RES, Winter'!I$3</f>
        <v>4.5489006823351025E-2</v>
      </c>
      <c r="J10" s="6">
        <f>VLOOKUP($A10,'RES installed'!$A$2:$C$7,3,FALSE)*'[1]Profiles, RES, Winter'!J$3</f>
        <v>3.8893100833965129</v>
      </c>
      <c r="K10" s="6">
        <f>VLOOKUP($A10,'RES installed'!$A$2:$C$7,3,FALSE)*'[1]Profiles, RES, Winter'!K$3</f>
        <v>13.373768006065202</v>
      </c>
      <c r="L10" s="6">
        <f>VLOOKUP($A10,'RES installed'!$A$2:$C$7,3,FALSE)*'[1]Profiles, RES, Winter'!L$3</f>
        <v>20.538286580742987</v>
      </c>
      <c r="M10" s="6">
        <f>VLOOKUP($A10,'RES installed'!$A$2:$C$7,3,FALSE)*'[1]Profiles, RES, Winter'!M$3</f>
        <v>20.379075056861261</v>
      </c>
      <c r="N10" s="6">
        <f>VLOOKUP($A10,'RES installed'!$A$2:$C$7,3,FALSE)*'[1]Profiles, RES, Winter'!N$3</f>
        <v>22.653525398028808</v>
      </c>
      <c r="O10" s="6">
        <f>VLOOKUP($A10,'RES installed'!$A$2:$C$7,3,FALSE)*'[1]Profiles, RES, Winter'!O$3</f>
        <v>22.153146322971946</v>
      </c>
      <c r="P10" s="6">
        <f>VLOOKUP($A10,'RES installed'!$A$2:$C$7,3,FALSE)*'[1]Profiles, RES, Winter'!P$3</f>
        <v>18.741470811220619</v>
      </c>
      <c r="Q10" s="6">
        <f>VLOOKUP($A10,'RES installed'!$A$2:$C$7,3,FALSE)*'[1]Profiles, RES, Winter'!Q$3</f>
        <v>12.05458680818802</v>
      </c>
      <c r="R10" s="6">
        <f>VLOOKUP($A10,'RES installed'!$A$2:$C$7,3,FALSE)*'[1]Profiles, RES, Winter'!R$3</f>
        <v>3.8438210765731617</v>
      </c>
      <c r="S10" s="6">
        <f>VLOOKUP($A10,'RES installed'!$A$2:$C$7,3,FALSE)*'[1]Profiles, RES, Winter'!S$3</f>
        <v>0.22744503411675512</v>
      </c>
      <c r="T10" s="6">
        <f>VLOOKUP($A10,'RES installed'!$A$2:$C$7,3,FALSE)*'[1]Profiles, RES, Winter'!T$3</f>
        <v>0</v>
      </c>
      <c r="U10" s="6">
        <f>VLOOKUP($A10,'RES installed'!$A$2:$C$7,3,FALSE)*'[1]Profiles, RES, Winter'!U$3</f>
        <v>0</v>
      </c>
      <c r="V10" s="6">
        <f>VLOOKUP($A10,'RES installed'!$A$2:$C$7,3,FALSE)*'[1]Profiles, RES, Winter'!V$3</f>
        <v>0</v>
      </c>
      <c r="W10" s="6">
        <f>VLOOKUP($A10,'RES installed'!$A$2:$C$7,3,FALSE)*'[1]Profiles, RES, Winter'!W$3</f>
        <v>0</v>
      </c>
      <c r="X10" s="6">
        <f>VLOOKUP($A10,'RES installed'!$A$2:$C$7,3,FALSE)*'[1]Profiles, RES, Winter'!X$3</f>
        <v>0</v>
      </c>
      <c r="Y10" s="6">
        <f>VLOOKUP($A10,'RES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1AF3F-B272-458C-AA52-13D468BF343E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Winter'!B$7</f>
        <v>22.608390204737056</v>
      </c>
      <c r="C5" s="9">
        <f>VLOOKUP($A5,'RES installed'!$A$2:$C$7,3,FALSE)*'[1]Profiles, RES, Winter'!C$7</f>
        <v>22.509032517061421</v>
      </c>
      <c r="D5" s="9">
        <f>VLOOKUP($A5,'RES installed'!$A$2:$C$7,3,FALSE)*'[1]Profiles, RES, Winter'!D$7</f>
        <v>21.939983942191891</v>
      </c>
      <c r="E5" s="9">
        <f>VLOOKUP($A5,'RES installed'!$A$2:$C$7,3,FALSE)*'[1]Profiles, RES, Winter'!E$7</f>
        <v>22.481934965877159</v>
      </c>
      <c r="F5" s="9">
        <f>VLOOKUP($A5,'RES installed'!$A$2:$C$7,3,FALSE)*'[1]Profiles, RES, Winter'!F$7</f>
        <v>21.84965877157768</v>
      </c>
      <c r="G5" s="9">
        <f>VLOOKUP($A5,'RES installed'!$A$2:$C$7,3,FALSE)*'[1]Profiles, RES, Winter'!G$7</f>
        <v>21.732236049779207</v>
      </c>
      <c r="H5" s="9">
        <f>VLOOKUP($A5,'RES installed'!$A$2:$C$7,3,FALSE)*'[1]Profiles, RES, Winter'!H$7</f>
        <v>22.518065034122841</v>
      </c>
      <c r="I5" s="9">
        <f>VLOOKUP($A5,'RES installed'!$A$2:$C$7,3,FALSE)*'[1]Profiles, RES, Winter'!I$7</f>
        <v>21.163187474909677</v>
      </c>
      <c r="J5" s="9">
        <f>VLOOKUP($A5,'RES installed'!$A$2:$C$7,3,FALSE)*'[1]Profiles, RES, Winter'!J$7</f>
        <v>19.483139301485345</v>
      </c>
      <c r="K5" s="9">
        <f>VLOOKUP($A5,'RES installed'!$A$2:$C$7,3,FALSE)*'[1]Profiles, RES, Winter'!K$7</f>
        <v>18.245684464070653</v>
      </c>
      <c r="L5" s="9">
        <f>VLOOKUP($A5,'RES installed'!$A$2:$C$7,3,FALSE)*'[1]Profiles, RES, Winter'!L$7</f>
        <v>16.502408671216379</v>
      </c>
      <c r="M5" s="9">
        <f>VLOOKUP($A5,'RES installed'!$A$2:$C$7,3,FALSE)*'[1]Profiles, RES, Winter'!M$7</f>
        <v>14.217181854676838</v>
      </c>
      <c r="N5" s="9">
        <f>VLOOKUP($A5,'RES installed'!$A$2:$C$7,3,FALSE)*'[1]Profiles, RES, Winter'!N$7</f>
        <v>12.817141710156562</v>
      </c>
      <c r="O5" s="9">
        <f>VLOOKUP($A5,'RES installed'!$A$2:$C$7,3,FALSE)*'[1]Profiles, RES, Winter'!O$7</f>
        <v>12.735849056603774</v>
      </c>
      <c r="P5" s="9">
        <f>VLOOKUP($A5,'RES installed'!$A$2:$C$7,3,FALSE)*'[1]Profiles, RES, Winter'!P$7</f>
        <v>14.452027298273785</v>
      </c>
      <c r="Q5" s="9">
        <f>VLOOKUP($A5,'RES installed'!$A$2:$C$7,3,FALSE)*'[1]Profiles, RES, Winter'!Q$7</f>
        <v>14.957848253713367</v>
      </c>
      <c r="R5" s="9">
        <f>VLOOKUP($A5,'RES installed'!$A$2:$C$7,3,FALSE)*'[1]Profiles, RES, Winter'!R$7</f>
        <v>16.538538739462066</v>
      </c>
      <c r="S5" s="9">
        <f>VLOOKUP($A5,'RES installed'!$A$2:$C$7,3,FALSE)*'[1]Profiles, RES, Winter'!S$7</f>
        <v>19.167001204335609</v>
      </c>
      <c r="T5" s="9">
        <f>VLOOKUP($A5,'RES installed'!$A$2:$C$7,3,FALSE)*'[1]Profiles, RES, Winter'!T$7</f>
        <v>20.847049377759937</v>
      </c>
      <c r="U5" s="9">
        <f>VLOOKUP($A5,'RES installed'!$A$2:$C$7,3,FALSE)*'[1]Profiles, RES, Winter'!U$7</f>
        <v>22.09353673223605</v>
      </c>
      <c r="V5" s="9">
        <f>VLOOKUP($A5,'RES installed'!$A$2:$C$7,3,FALSE)*'[1]Profiles, RES, Winter'!V$7</f>
        <v>22.274187073464471</v>
      </c>
      <c r="W5" s="9">
        <f>VLOOKUP($A5,'RES installed'!$A$2:$C$7,3,FALSE)*'[1]Profiles, RES, Winter'!W$7</f>
        <v>20.530911280610194</v>
      </c>
      <c r="X5" s="9">
        <f>VLOOKUP($A5,'RES installed'!$A$2:$C$7,3,FALSE)*'[1]Profiles, RES, Winter'!X$7</f>
        <v>18.932155760738659</v>
      </c>
      <c r="Y5" s="9">
        <f>VLOOKUP($A5,'RES installed'!$A$2:$C$7,3,FALSE)*'[1]Profiles, RES, Winter'!Y$7</f>
        <v>18.182456844640708</v>
      </c>
    </row>
    <row r="6" spans="1:25" x14ac:dyDescent="0.3">
      <c r="A6" s="8">
        <v>5</v>
      </c>
      <c r="B6" s="9">
        <f>VLOOKUP($A6,'RES installed'!$A$2:$C$7,3,FALSE)*'[1]Profiles, RES, Winter'!B$7</f>
        <v>30.144520272982739</v>
      </c>
      <c r="C6" s="9">
        <f>VLOOKUP($A6,'RES installed'!$A$2:$C$7,3,FALSE)*'[1]Profiles, RES, Winter'!C$7</f>
        <v>30.012043356081897</v>
      </c>
      <c r="D6" s="9">
        <f>VLOOKUP($A6,'RES installed'!$A$2:$C$7,3,FALSE)*'[1]Profiles, RES, Winter'!D$7</f>
        <v>29.253311922922521</v>
      </c>
      <c r="E6" s="9">
        <f>VLOOKUP($A6,'RES installed'!$A$2:$C$7,3,FALSE)*'[1]Profiles, RES, Winter'!E$7</f>
        <v>29.97591328783621</v>
      </c>
      <c r="F6" s="9">
        <f>VLOOKUP($A6,'RES installed'!$A$2:$C$7,3,FALSE)*'[1]Profiles, RES, Winter'!F$7</f>
        <v>29.132878362103575</v>
      </c>
      <c r="G6" s="9">
        <f>VLOOKUP($A6,'RES installed'!$A$2:$C$7,3,FALSE)*'[1]Profiles, RES, Winter'!G$7</f>
        <v>28.97631473303894</v>
      </c>
      <c r="H6" s="9">
        <f>VLOOKUP($A6,'RES installed'!$A$2:$C$7,3,FALSE)*'[1]Profiles, RES, Winter'!H$7</f>
        <v>30.024086712163786</v>
      </c>
      <c r="I6" s="9">
        <f>VLOOKUP($A6,'RES installed'!$A$2:$C$7,3,FALSE)*'[1]Profiles, RES, Winter'!I$7</f>
        <v>28.217583299879568</v>
      </c>
      <c r="J6" s="9">
        <f>VLOOKUP($A6,'RES installed'!$A$2:$C$7,3,FALSE)*'[1]Profiles, RES, Winter'!J$7</f>
        <v>25.977519068647126</v>
      </c>
      <c r="K6" s="9">
        <f>VLOOKUP($A6,'RES installed'!$A$2:$C$7,3,FALSE)*'[1]Profiles, RES, Winter'!K$7</f>
        <v>24.327579285427539</v>
      </c>
      <c r="L6" s="9">
        <f>VLOOKUP($A6,'RES installed'!$A$2:$C$7,3,FALSE)*'[1]Profiles, RES, Winter'!L$7</f>
        <v>22.003211561621839</v>
      </c>
      <c r="M6" s="9">
        <f>VLOOKUP($A6,'RES installed'!$A$2:$C$7,3,FALSE)*'[1]Profiles, RES, Winter'!M$7</f>
        <v>18.956242472902449</v>
      </c>
      <c r="N6" s="9">
        <f>VLOOKUP($A6,'RES installed'!$A$2:$C$7,3,FALSE)*'[1]Profiles, RES, Winter'!N$7</f>
        <v>17.089522280208751</v>
      </c>
      <c r="O6" s="9">
        <f>VLOOKUP($A6,'RES installed'!$A$2:$C$7,3,FALSE)*'[1]Profiles, RES, Winter'!O$7</f>
        <v>16.981132075471699</v>
      </c>
      <c r="P6" s="9">
        <f>VLOOKUP($A6,'RES installed'!$A$2:$C$7,3,FALSE)*'[1]Profiles, RES, Winter'!P$7</f>
        <v>19.269369731031713</v>
      </c>
      <c r="Q6" s="9">
        <f>VLOOKUP($A6,'RES installed'!$A$2:$C$7,3,FALSE)*'[1]Profiles, RES, Winter'!Q$7</f>
        <v>19.943797671617823</v>
      </c>
      <c r="R6" s="9">
        <f>VLOOKUP($A6,'RES installed'!$A$2:$C$7,3,FALSE)*'[1]Profiles, RES, Winter'!R$7</f>
        <v>22.051384985949419</v>
      </c>
      <c r="S6" s="9">
        <f>VLOOKUP($A6,'RES installed'!$A$2:$C$7,3,FALSE)*'[1]Profiles, RES, Winter'!S$7</f>
        <v>25.556001605780811</v>
      </c>
      <c r="T6" s="9">
        <f>VLOOKUP($A6,'RES installed'!$A$2:$C$7,3,FALSE)*'[1]Profiles, RES, Winter'!T$7</f>
        <v>27.796065837013249</v>
      </c>
      <c r="U6" s="9">
        <f>VLOOKUP($A6,'RES installed'!$A$2:$C$7,3,FALSE)*'[1]Profiles, RES, Winter'!U$7</f>
        <v>29.458048976314732</v>
      </c>
      <c r="V6" s="9">
        <f>VLOOKUP($A6,'RES installed'!$A$2:$C$7,3,FALSE)*'[1]Profiles, RES, Winter'!V$7</f>
        <v>29.69891609795263</v>
      </c>
      <c r="W6" s="9">
        <f>VLOOKUP($A6,'RES installed'!$A$2:$C$7,3,FALSE)*'[1]Profiles, RES, Winter'!W$7</f>
        <v>27.374548374146926</v>
      </c>
      <c r="X6" s="9">
        <f>VLOOKUP($A6,'RES installed'!$A$2:$C$7,3,FALSE)*'[1]Profiles, RES, Winter'!X$7</f>
        <v>25.242874347651544</v>
      </c>
      <c r="Y6" s="9">
        <f>VLOOKUP($A6,'RES installed'!$A$2:$C$7,3,FALSE)*'[1]Profiles, RES, Winter'!Y$7</f>
        <v>24.243275792854277</v>
      </c>
    </row>
    <row r="7" spans="1:25" x14ac:dyDescent="0.3">
      <c r="A7" s="8">
        <v>6</v>
      </c>
      <c r="B7" s="9">
        <f>VLOOKUP($A7,'RES installed'!$A$2:$C$7,3,FALSE)*'[1]Profiles, RES, Winter'!B$7</f>
        <v>22.608390204737056</v>
      </c>
      <c r="C7" s="9">
        <f>VLOOKUP($A7,'RES installed'!$A$2:$C$7,3,FALSE)*'[1]Profiles, RES, Winter'!C$7</f>
        <v>22.509032517061421</v>
      </c>
      <c r="D7" s="9">
        <f>VLOOKUP($A7,'RES installed'!$A$2:$C$7,3,FALSE)*'[1]Profiles, RES, Winter'!D$7</f>
        <v>21.939983942191891</v>
      </c>
      <c r="E7" s="9">
        <f>VLOOKUP($A7,'RES installed'!$A$2:$C$7,3,FALSE)*'[1]Profiles, RES, Winter'!E$7</f>
        <v>22.481934965877159</v>
      </c>
      <c r="F7" s="9">
        <f>VLOOKUP($A7,'RES installed'!$A$2:$C$7,3,FALSE)*'[1]Profiles, RES, Winter'!F$7</f>
        <v>21.84965877157768</v>
      </c>
      <c r="G7" s="9">
        <f>VLOOKUP($A7,'RES installed'!$A$2:$C$7,3,FALSE)*'[1]Profiles, RES, Winter'!G$7</f>
        <v>21.732236049779207</v>
      </c>
      <c r="H7" s="9">
        <f>VLOOKUP($A7,'RES installed'!$A$2:$C$7,3,FALSE)*'[1]Profiles, RES, Winter'!H$7</f>
        <v>22.518065034122841</v>
      </c>
      <c r="I7" s="9">
        <f>VLOOKUP($A7,'RES installed'!$A$2:$C$7,3,FALSE)*'[1]Profiles, RES, Winter'!I$7</f>
        <v>21.163187474909677</v>
      </c>
      <c r="J7" s="9">
        <f>VLOOKUP($A7,'RES installed'!$A$2:$C$7,3,FALSE)*'[1]Profiles, RES, Winter'!J$7</f>
        <v>19.483139301485345</v>
      </c>
      <c r="K7" s="9">
        <f>VLOOKUP($A7,'RES installed'!$A$2:$C$7,3,FALSE)*'[1]Profiles, RES, Winter'!K$7</f>
        <v>18.245684464070653</v>
      </c>
      <c r="L7" s="9">
        <f>VLOOKUP($A7,'RES installed'!$A$2:$C$7,3,FALSE)*'[1]Profiles, RES, Winter'!L$7</f>
        <v>16.502408671216379</v>
      </c>
      <c r="M7" s="9">
        <f>VLOOKUP($A7,'RES installed'!$A$2:$C$7,3,FALSE)*'[1]Profiles, RES, Winter'!M$7</f>
        <v>14.217181854676838</v>
      </c>
      <c r="N7" s="9">
        <f>VLOOKUP($A7,'RES installed'!$A$2:$C$7,3,FALSE)*'[1]Profiles, RES, Winter'!N$7</f>
        <v>12.817141710156562</v>
      </c>
      <c r="O7" s="9">
        <f>VLOOKUP($A7,'RES installed'!$A$2:$C$7,3,FALSE)*'[1]Profiles, RES, Winter'!O$7</f>
        <v>12.735849056603774</v>
      </c>
      <c r="P7" s="9">
        <f>VLOOKUP($A7,'RES installed'!$A$2:$C$7,3,FALSE)*'[1]Profiles, RES, Winter'!P$7</f>
        <v>14.452027298273785</v>
      </c>
      <c r="Q7" s="9">
        <f>VLOOKUP($A7,'RES installed'!$A$2:$C$7,3,FALSE)*'[1]Profiles, RES, Winter'!Q$7</f>
        <v>14.957848253713367</v>
      </c>
      <c r="R7" s="9">
        <f>VLOOKUP($A7,'RES installed'!$A$2:$C$7,3,FALSE)*'[1]Profiles, RES, Winter'!R$7</f>
        <v>16.538538739462066</v>
      </c>
      <c r="S7" s="9">
        <f>VLOOKUP($A7,'RES installed'!$A$2:$C$7,3,FALSE)*'[1]Profiles, RES, Winter'!S$7</f>
        <v>19.167001204335609</v>
      </c>
      <c r="T7" s="9">
        <f>VLOOKUP($A7,'RES installed'!$A$2:$C$7,3,FALSE)*'[1]Profiles, RES, Winter'!T$7</f>
        <v>20.847049377759937</v>
      </c>
      <c r="U7" s="9">
        <f>VLOOKUP($A7,'RES installed'!$A$2:$C$7,3,FALSE)*'[1]Profiles, RES, Winter'!U$7</f>
        <v>22.09353673223605</v>
      </c>
      <c r="V7" s="9">
        <f>VLOOKUP($A7,'RES installed'!$A$2:$C$7,3,FALSE)*'[1]Profiles, RES, Winter'!V$7</f>
        <v>22.274187073464471</v>
      </c>
      <c r="W7" s="9">
        <f>VLOOKUP($A7,'RES installed'!$A$2:$C$7,3,FALSE)*'[1]Profiles, RES, Winter'!W$7</f>
        <v>20.530911280610194</v>
      </c>
      <c r="X7" s="9">
        <f>VLOOKUP($A7,'RES installed'!$A$2:$C$7,3,FALSE)*'[1]Profiles, RES, Winter'!X$7</f>
        <v>18.932155760738659</v>
      </c>
      <c r="Y7" s="9">
        <f>VLOOKUP($A7,'RES installed'!$A$2:$C$7,3,FALSE)*'[1]Profiles, RES, Winter'!Y$7</f>
        <v>18.182456844640708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2.843062926459439E-2</v>
      </c>
      <c r="J8" s="6">
        <f>VLOOKUP($A8,'RES installed'!$A$2:$C$7,3,FALSE)*'[1]Profiles, RES, Winter'!J$4</f>
        <v>2.5303260045489009</v>
      </c>
      <c r="K8" s="6">
        <f>VLOOKUP($A8,'RES installed'!$A$2:$C$7,3,FALSE)*'[1]Profiles, RES, Winter'!K$4</f>
        <v>10.860500379075058</v>
      </c>
      <c r="L8" s="6">
        <f>VLOOKUP($A8,'RES installed'!$A$2:$C$7,3,FALSE)*'[1]Profiles, RES, Winter'!L$4</f>
        <v>17.911296436694464</v>
      </c>
      <c r="M8" s="6">
        <f>VLOOKUP($A8,'RES installed'!$A$2:$C$7,3,FALSE)*'[1]Profiles, RES, Winter'!M$4</f>
        <v>20.356330553449585</v>
      </c>
      <c r="N8" s="6">
        <f>VLOOKUP($A8,'RES installed'!$A$2:$C$7,3,FALSE)*'[1]Profiles, RES, Winter'!N$4</f>
        <v>19.446550416982564</v>
      </c>
      <c r="O8" s="6">
        <f>VLOOKUP($A8,'RES installed'!$A$2:$C$7,3,FALSE)*'[1]Profiles, RES, Winter'!O$4</f>
        <v>19.816148597422291</v>
      </c>
      <c r="P8" s="6">
        <f>VLOOKUP($A8,'RES installed'!$A$2:$C$7,3,FALSE)*'[1]Profiles, RES, Winter'!P$4</f>
        <v>21.436694465504171</v>
      </c>
      <c r="Q8" s="6">
        <f>VLOOKUP($A8,'RES installed'!$A$2:$C$7,3,FALSE)*'[1]Profiles, RES, Winter'!Q$4</f>
        <v>19.531842304776344</v>
      </c>
      <c r="R8" s="6">
        <f>VLOOKUP($A8,'RES installed'!$A$2:$C$7,3,FALSE)*'[1]Profiles, RES, Winter'!R$4</f>
        <v>8.8987869598180431</v>
      </c>
      <c r="S8" s="6">
        <f>VLOOKUP($A8,'RES installed'!$A$2:$C$7,3,FALSE)*'[1]Profiles, RES, Winter'!S$4</f>
        <v>0.45489006823351025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  <row r="9" spans="1:25" x14ac:dyDescent="0.3">
      <c r="A9" s="5">
        <v>8</v>
      </c>
      <c r="B9" s="6">
        <f>VLOOKUP($A9,'RES installed'!$A$2:$C$7,3,FALSE)*'[1]Profiles, RES, Winter'!B$4</f>
        <v>0</v>
      </c>
      <c r="C9" s="6">
        <f>VLOOKUP($A9,'RES installed'!$A$2:$C$7,3,FALSE)*'[1]Profiles, RES, Winter'!C$4</f>
        <v>0</v>
      </c>
      <c r="D9" s="6">
        <f>VLOOKUP($A9,'RES installed'!$A$2:$C$7,3,FALSE)*'[1]Profiles, RES, Winter'!D$4</f>
        <v>0</v>
      </c>
      <c r="E9" s="6">
        <f>VLOOKUP($A9,'RES installed'!$A$2:$C$7,3,FALSE)*'[1]Profiles, RES, Winter'!E$4</f>
        <v>0</v>
      </c>
      <c r="F9" s="6">
        <f>VLOOKUP($A9,'RES installed'!$A$2:$C$7,3,FALSE)*'[1]Profiles, RES, Winter'!F$4</f>
        <v>0</v>
      </c>
      <c r="G9" s="6">
        <f>VLOOKUP($A9,'RES installed'!$A$2:$C$7,3,FALSE)*'[1]Profiles, RES, Winter'!G$4</f>
        <v>0</v>
      </c>
      <c r="H9" s="6">
        <f>VLOOKUP($A9,'RES installed'!$A$2:$C$7,3,FALSE)*'[1]Profiles, RES, Winter'!H$4</f>
        <v>0</v>
      </c>
      <c r="I9" s="6">
        <f>VLOOKUP($A9,'RES installed'!$A$2:$C$7,3,FALSE)*'[1]Profiles, RES, Winter'!I$4</f>
        <v>1.8953752843062926E-2</v>
      </c>
      <c r="J9" s="6">
        <f>VLOOKUP($A9,'RES installed'!$A$2:$C$7,3,FALSE)*'[1]Profiles, RES, Winter'!J$4</f>
        <v>1.6868840030326004</v>
      </c>
      <c r="K9" s="6">
        <f>VLOOKUP($A9,'RES installed'!$A$2:$C$7,3,FALSE)*'[1]Profiles, RES, Winter'!K$4</f>
        <v>7.2403335860500375</v>
      </c>
      <c r="L9" s="6">
        <f>VLOOKUP($A9,'RES installed'!$A$2:$C$7,3,FALSE)*'[1]Profiles, RES, Winter'!L$4</f>
        <v>11.940864291129644</v>
      </c>
      <c r="M9" s="6">
        <f>VLOOKUP($A9,'RES installed'!$A$2:$C$7,3,FALSE)*'[1]Profiles, RES, Winter'!M$4</f>
        <v>13.570887035633056</v>
      </c>
      <c r="N9" s="6">
        <f>VLOOKUP($A9,'RES installed'!$A$2:$C$7,3,FALSE)*'[1]Profiles, RES, Winter'!N$4</f>
        <v>12.964366944655042</v>
      </c>
      <c r="O9" s="6">
        <f>VLOOKUP($A9,'RES installed'!$A$2:$C$7,3,FALSE)*'[1]Profiles, RES, Winter'!O$4</f>
        <v>13.21076573161486</v>
      </c>
      <c r="P9" s="6">
        <f>VLOOKUP($A9,'RES installed'!$A$2:$C$7,3,FALSE)*'[1]Profiles, RES, Winter'!P$4</f>
        <v>14.291129643669448</v>
      </c>
      <c r="Q9" s="6">
        <f>VLOOKUP($A9,'RES installed'!$A$2:$C$7,3,FALSE)*'[1]Profiles, RES, Winter'!Q$4</f>
        <v>13.021228203184229</v>
      </c>
      <c r="R9" s="6">
        <f>VLOOKUP($A9,'RES installed'!$A$2:$C$7,3,FALSE)*'[1]Profiles, RES, Winter'!R$4</f>
        <v>5.9325246398786957</v>
      </c>
      <c r="S9" s="6">
        <f>VLOOKUP($A9,'RES installed'!$A$2:$C$7,3,FALSE)*'[1]Profiles, RES, Winter'!S$4</f>
        <v>0.30326004548900681</v>
      </c>
      <c r="T9" s="6">
        <f>VLOOKUP($A9,'RES installed'!$A$2:$C$7,3,FALSE)*'[1]Profiles, RES, Winter'!T$4</f>
        <v>0</v>
      </c>
      <c r="U9" s="6">
        <f>VLOOKUP($A9,'RES installed'!$A$2:$C$7,3,FALSE)*'[1]Profiles, RES, Winter'!U$4</f>
        <v>0</v>
      </c>
      <c r="V9" s="6">
        <f>VLOOKUP($A9,'RES installed'!$A$2:$C$7,3,FALSE)*'[1]Profiles, RES, Winter'!V$4</f>
        <v>0</v>
      </c>
      <c r="W9" s="6">
        <f>VLOOKUP($A9,'RES installed'!$A$2:$C$7,3,FALSE)*'[1]Profiles, RES, Winter'!W$4</f>
        <v>0</v>
      </c>
      <c r="X9" s="6">
        <f>VLOOKUP($A9,'RES installed'!$A$2:$C$7,3,FALSE)*'[1]Profiles, RES, Winter'!X$4</f>
        <v>0</v>
      </c>
      <c r="Y9" s="6">
        <f>VLOOKUP($A9,'RES installed'!$A$2:$C$7,3,FALSE)*'[1]Profiles, RES, Winter'!Y$4</f>
        <v>0</v>
      </c>
    </row>
    <row r="10" spans="1:25" x14ac:dyDescent="0.3">
      <c r="A10" s="5">
        <v>9</v>
      </c>
      <c r="B10" s="6">
        <f>VLOOKUP($A10,'RES installed'!$A$2:$C$7,3,FALSE)*'[1]Profiles, RES, Winter'!B$4</f>
        <v>0</v>
      </c>
      <c r="C10" s="6">
        <f>VLOOKUP($A10,'RES installed'!$A$2:$C$7,3,FALSE)*'[1]Profiles, RES, Winter'!C$4</f>
        <v>0</v>
      </c>
      <c r="D10" s="6">
        <f>VLOOKUP($A10,'RES installed'!$A$2:$C$7,3,FALSE)*'[1]Profiles, RES, Winter'!D$4</f>
        <v>0</v>
      </c>
      <c r="E10" s="6">
        <f>VLOOKUP($A10,'RES installed'!$A$2:$C$7,3,FALSE)*'[1]Profiles, RES, Winter'!E$4</f>
        <v>0</v>
      </c>
      <c r="F10" s="6">
        <f>VLOOKUP($A10,'RES installed'!$A$2:$C$7,3,FALSE)*'[1]Profiles, RES, Winter'!F$4</f>
        <v>0</v>
      </c>
      <c r="G10" s="6">
        <f>VLOOKUP($A10,'RES installed'!$A$2:$C$7,3,FALSE)*'[1]Profiles, RES, Winter'!G$4</f>
        <v>0</v>
      </c>
      <c r="H10" s="6">
        <f>VLOOKUP($A10,'RES installed'!$A$2:$C$7,3,FALSE)*'[1]Profiles, RES, Winter'!H$4</f>
        <v>0</v>
      </c>
      <c r="I10" s="6">
        <f>VLOOKUP($A10,'RES installed'!$A$2:$C$7,3,FALSE)*'[1]Profiles, RES, Winter'!I$4</f>
        <v>2.2744503411675512E-2</v>
      </c>
      <c r="J10" s="6">
        <f>VLOOKUP($A10,'RES installed'!$A$2:$C$7,3,FALSE)*'[1]Profiles, RES, Winter'!J$4</f>
        <v>2.0242608036391205</v>
      </c>
      <c r="K10" s="6">
        <f>VLOOKUP($A10,'RES installed'!$A$2:$C$7,3,FALSE)*'[1]Profiles, RES, Winter'!K$4</f>
        <v>8.6884003032600461</v>
      </c>
      <c r="L10" s="6">
        <f>VLOOKUP($A10,'RES installed'!$A$2:$C$7,3,FALSE)*'[1]Profiles, RES, Winter'!L$4</f>
        <v>14.329037149355573</v>
      </c>
      <c r="M10" s="6">
        <f>VLOOKUP($A10,'RES installed'!$A$2:$C$7,3,FALSE)*'[1]Profiles, RES, Winter'!M$4</f>
        <v>16.285064442759666</v>
      </c>
      <c r="N10" s="6">
        <f>VLOOKUP($A10,'RES installed'!$A$2:$C$7,3,FALSE)*'[1]Profiles, RES, Winter'!N$4</f>
        <v>15.557240333586051</v>
      </c>
      <c r="O10" s="6">
        <f>VLOOKUP($A10,'RES installed'!$A$2:$C$7,3,FALSE)*'[1]Profiles, RES, Winter'!O$4</f>
        <v>15.852918877937832</v>
      </c>
      <c r="P10" s="6">
        <f>VLOOKUP($A10,'RES installed'!$A$2:$C$7,3,FALSE)*'[1]Profiles, RES, Winter'!P$4</f>
        <v>17.149355572403337</v>
      </c>
      <c r="Q10" s="6">
        <f>VLOOKUP($A10,'RES installed'!$A$2:$C$7,3,FALSE)*'[1]Profiles, RES, Winter'!Q$4</f>
        <v>15.625473843821075</v>
      </c>
      <c r="R10" s="6">
        <f>VLOOKUP($A10,'RES installed'!$A$2:$C$7,3,FALSE)*'[1]Profiles, RES, Winter'!R$4</f>
        <v>7.1190295678544349</v>
      </c>
      <c r="S10" s="6">
        <f>VLOOKUP($A10,'RES installed'!$A$2:$C$7,3,FALSE)*'[1]Profiles, RES, Winter'!S$4</f>
        <v>0.3639120545868082</v>
      </c>
      <c r="T10" s="6">
        <f>VLOOKUP($A10,'RES installed'!$A$2:$C$7,3,FALSE)*'[1]Profiles, RES, Winter'!T$4</f>
        <v>0</v>
      </c>
      <c r="U10" s="6">
        <f>VLOOKUP($A10,'RES installed'!$A$2:$C$7,3,FALSE)*'[1]Profiles, RES, Winter'!U$4</f>
        <v>0</v>
      </c>
      <c r="V10" s="6">
        <f>VLOOKUP($A10,'RES installed'!$A$2:$C$7,3,FALSE)*'[1]Profiles, RES, Winter'!V$4</f>
        <v>0</v>
      </c>
      <c r="W10" s="6">
        <f>VLOOKUP($A10,'RES installed'!$A$2:$C$7,3,FALSE)*'[1]Profiles, RES, Winter'!W$4</f>
        <v>0</v>
      </c>
      <c r="X10" s="6">
        <f>VLOOKUP($A10,'RES installed'!$A$2:$C$7,3,FALSE)*'[1]Profiles, RES, Winter'!X$4</f>
        <v>0</v>
      </c>
      <c r="Y10" s="6">
        <f>VLOOKUP($A10,'RES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7FE1B-2682-4FFE-8108-DD927AA6BC0D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Winter'!B$5</f>
        <v>24.396828582898433</v>
      </c>
      <c r="C5" s="9">
        <f>VLOOKUP($A5,'RES installed'!$A$2:$C$7,3,FALSE)*'[1]Profiles, RES, Winter'!C$5</f>
        <v>26.248494580489762</v>
      </c>
      <c r="D5" s="9">
        <f>VLOOKUP($A5,'RES installed'!$A$2:$C$7,3,FALSE)*'[1]Profiles, RES, Winter'!D$5</f>
        <v>26.113006824568448</v>
      </c>
      <c r="E5" s="9">
        <f>VLOOKUP($A5,'RES installed'!$A$2:$C$7,3,FALSE)*'[1]Profiles, RES, Winter'!E$5</f>
        <v>26.167201926936976</v>
      </c>
      <c r="F5" s="9">
        <f>VLOOKUP($A5,'RES installed'!$A$2:$C$7,3,FALSE)*'[1]Profiles, RES, Winter'!F$5</f>
        <v>27.088518667201928</v>
      </c>
      <c r="G5" s="9">
        <f>VLOOKUP($A5,'RES installed'!$A$2:$C$7,3,FALSE)*'[1]Profiles, RES, Winter'!G$5</f>
        <v>28.596949016459256</v>
      </c>
      <c r="H5" s="9">
        <f>VLOOKUP($A5,'RES installed'!$A$2:$C$7,3,FALSE)*'[1]Profiles, RES, Winter'!H$5</f>
        <v>30.466680048173423</v>
      </c>
      <c r="I5" s="9">
        <f>VLOOKUP($A5,'RES installed'!$A$2:$C$7,3,FALSE)*'[1]Profiles, RES, Winter'!I$5</f>
        <v>30.520875150541951</v>
      </c>
      <c r="J5" s="9">
        <f>VLOOKUP($A5,'RES installed'!$A$2:$C$7,3,FALSE)*'[1]Profiles, RES, Winter'!J$5</f>
        <v>30.249899638699318</v>
      </c>
      <c r="K5" s="9">
        <f>VLOOKUP($A5,'RES installed'!$A$2:$C$7,3,FALSE)*'[1]Profiles, RES, Winter'!K$5</f>
        <v>28.389201124046568</v>
      </c>
      <c r="L5" s="9">
        <f>VLOOKUP($A5,'RES installed'!$A$2:$C$7,3,FALSE)*'[1]Profiles, RES, Winter'!L$5</f>
        <v>24.758129265355279</v>
      </c>
      <c r="M5" s="9">
        <f>VLOOKUP($A5,'RES installed'!$A$2:$C$7,3,FALSE)*'[1]Profiles, RES, Winter'!M$5</f>
        <v>22.780008028904053</v>
      </c>
      <c r="N5" s="9">
        <f>VLOOKUP($A5,'RES installed'!$A$2:$C$7,3,FALSE)*'[1]Profiles, RES, Winter'!N$5</f>
        <v>21.885788839823366</v>
      </c>
      <c r="O5" s="9">
        <f>VLOOKUP($A5,'RES installed'!$A$2:$C$7,3,FALSE)*'[1]Profiles, RES, Winter'!O$5</f>
        <v>20.39542352468888</v>
      </c>
      <c r="P5" s="9">
        <f>VLOOKUP($A5,'RES installed'!$A$2:$C$7,3,FALSE)*'[1]Profiles, RES, Winter'!P$5</f>
        <v>18.643115214773182</v>
      </c>
      <c r="Q5" s="9">
        <f>VLOOKUP($A5,'RES installed'!$A$2:$C$7,3,FALSE)*'[1]Profiles, RES, Winter'!Q$5</f>
        <v>18.805700521878762</v>
      </c>
      <c r="R5" s="9">
        <f>VLOOKUP($A5,'RES installed'!$A$2:$C$7,3,FALSE)*'[1]Profiles, RES, Winter'!R$5</f>
        <v>19.51023685266961</v>
      </c>
      <c r="S5" s="9">
        <f>VLOOKUP($A5,'RES installed'!$A$2:$C$7,3,FALSE)*'[1]Profiles, RES, Winter'!S$5</f>
        <v>22.481934965877159</v>
      </c>
      <c r="T5" s="9">
        <f>VLOOKUP($A5,'RES installed'!$A$2:$C$7,3,FALSE)*'[1]Profiles, RES, Winter'!T$5</f>
        <v>24.342633480529908</v>
      </c>
      <c r="U5" s="9">
        <f>VLOOKUP($A5,'RES installed'!$A$2:$C$7,3,FALSE)*'[1]Profiles, RES, Winter'!U$5</f>
        <v>24.947812123645122</v>
      </c>
      <c r="V5" s="9">
        <f>VLOOKUP($A5,'RES installed'!$A$2:$C$7,3,FALSE)*'[1]Profiles, RES, Winter'!V$5</f>
        <v>24.125853071055801</v>
      </c>
      <c r="W5" s="9">
        <f>VLOOKUP($A5,'RES installed'!$A$2:$C$7,3,FALSE)*'[1]Profiles, RES, Winter'!W$5</f>
        <v>22.816138097149736</v>
      </c>
      <c r="X5" s="9">
        <f>VLOOKUP($A5,'RES installed'!$A$2:$C$7,3,FALSE)*'[1]Profiles, RES, Winter'!X$5</f>
        <v>23.060016057808109</v>
      </c>
      <c r="Y5" s="9">
        <f>VLOOKUP($A5,'RES installed'!$A$2:$C$7,3,FALSE)*'[1]Profiles, RES, Winter'!Y$5</f>
        <v>24.008430349257328</v>
      </c>
    </row>
    <row r="6" spans="1:25" x14ac:dyDescent="0.3">
      <c r="A6" s="8">
        <v>5</v>
      </c>
      <c r="B6" s="9">
        <f>VLOOKUP($A6,'RES installed'!$A$2:$C$7,3,FALSE)*'[1]Profiles, RES, Winter'!B$5</f>
        <v>32.529104777197915</v>
      </c>
      <c r="C6" s="9">
        <f>VLOOKUP($A6,'RES installed'!$A$2:$C$7,3,FALSE)*'[1]Profiles, RES, Winter'!C$5</f>
        <v>34.997992773986347</v>
      </c>
      <c r="D6" s="9">
        <f>VLOOKUP($A6,'RES installed'!$A$2:$C$7,3,FALSE)*'[1]Profiles, RES, Winter'!D$5</f>
        <v>34.817342432757933</v>
      </c>
      <c r="E6" s="9">
        <f>VLOOKUP($A6,'RES installed'!$A$2:$C$7,3,FALSE)*'[1]Profiles, RES, Winter'!E$5</f>
        <v>34.889602569249298</v>
      </c>
      <c r="F6" s="9">
        <f>VLOOKUP($A6,'RES installed'!$A$2:$C$7,3,FALSE)*'[1]Profiles, RES, Winter'!F$5</f>
        <v>36.118024889602573</v>
      </c>
      <c r="G6" s="9">
        <f>VLOOKUP($A6,'RES installed'!$A$2:$C$7,3,FALSE)*'[1]Profiles, RES, Winter'!G$5</f>
        <v>38.12926535527901</v>
      </c>
      <c r="H6" s="9">
        <f>VLOOKUP($A6,'RES installed'!$A$2:$C$7,3,FALSE)*'[1]Profiles, RES, Winter'!H$5</f>
        <v>40.622240064231228</v>
      </c>
      <c r="I6" s="9">
        <f>VLOOKUP($A6,'RES installed'!$A$2:$C$7,3,FALSE)*'[1]Profiles, RES, Winter'!I$5</f>
        <v>40.694500200722601</v>
      </c>
      <c r="J6" s="9">
        <f>VLOOKUP($A6,'RES installed'!$A$2:$C$7,3,FALSE)*'[1]Profiles, RES, Winter'!J$5</f>
        <v>40.333199518265758</v>
      </c>
      <c r="K6" s="9">
        <f>VLOOKUP($A6,'RES installed'!$A$2:$C$7,3,FALSE)*'[1]Profiles, RES, Winter'!K$5</f>
        <v>37.852268165395422</v>
      </c>
      <c r="L6" s="9">
        <f>VLOOKUP($A6,'RES installed'!$A$2:$C$7,3,FALSE)*'[1]Profiles, RES, Winter'!L$5</f>
        <v>33.010839020473703</v>
      </c>
      <c r="M6" s="9">
        <f>VLOOKUP($A6,'RES installed'!$A$2:$C$7,3,FALSE)*'[1]Profiles, RES, Winter'!M$5</f>
        <v>30.373344038538736</v>
      </c>
      <c r="N6" s="9">
        <f>VLOOKUP($A6,'RES installed'!$A$2:$C$7,3,FALSE)*'[1]Profiles, RES, Winter'!N$5</f>
        <v>29.181051786431155</v>
      </c>
      <c r="O6" s="9">
        <f>VLOOKUP($A6,'RES installed'!$A$2:$C$7,3,FALSE)*'[1]Profiles, RES, Winter'!O$5</f>
        <v>27.193898032918508</v>
      </c>
      <c r="P6" s="9">
        <f>VLOOKUP($A6,'RES installed'!$A$2:$C$7,3,FALSE)*'[1]Profiles, RES, Winter'!P$5</f>
        <v>24.857486953030911</v>
      </c>
      <c r="Q6" s="9">
        <f>VLOOKUP($A6,'RES installed'!$A$2:$C$7,3,FALSE)*'[1]Profiles, RES, Winter'!Q$5</f>
        <v>25.074267362505019</v>
      </c>
      <c r="R6" s="9">
        <f>VLOOKUP($A6,'RES installed'!$A$2:$C$7,3,FALSE)*'[1]Profiles, RES, Winter'!R$5</f>
        <v>26.013649136892816</v>
      </c>
      <c r="S6" s="9">
        <f>VLOOKUP($A6,'RES installed'!$A$2:$C$7,3,FALSE)*'[1]Profiles, RES, Winter'!S$5</f>
        <v>29.97591328783621</v>
      </c>
      <c r="T6" s="9">
        <f>VLOOKUP($A6,'RES installed'!$A$2:$C$7,3,FALSE)*'[1]Profiles, RES, Winter'!T$5</f>
        <v>32.456844640706549</v>
      </c>
      <c r="U6" s="9">
        <f>VLOOKUP($A6,'RES installed'!$A$2:$C$7,3,FALSE)*'[1]Profiles, RES, Winter'!U$5</f>
        <v>33.263749498193498</v>
      </c>
      <c r="V6" s="9">
        <f>VLOOKUP($A6,'RES installed'!$A$2:$C$7,3,FALSE)*'[1]Profiles, RES, Winter'!V$5</f>
        <v>32.167804094741065</v>
      </c>
      <c r="W6" s="9">
        <f>VLOOKUP($A6,'RES installed'!$A$2:$C$7,3,FALSE)*'[1]Profiles, RES, Winter'!W$5</f>
        <v>30.421517462866316</v>
      </c>
      <c r="X6" s="9">
        <f>VLOOKUP($A6,'RES installed'!$A$2:$C$7,3,FALSE)*'[1]Profiles, RES, Winter'!X$5</f>
        <v>30.746688077077479</v>
      </c>
      <c r="Y6" s="9">
        <f>VLOOKUP($A6,'RES installed'!$A$2:$C$7,3,FALSE)*'[1]Profiles, RES, Winter'!Y$5</f>
        <v>32.011240465676437</v>
      </c>
    </row>
    <row r="7" spans="1:25" x14ac:dyDescent="0.3">
      <c r="A7" s="8">
        <v>6</v>
      </c>
      <c r="B7" s="9">
        <f>VLOOKUP($A7,'RES installed'!$A$2:$C$7,3,FALSE)*'[1]Profiles, RES, Winter'!B$5</f>
        <v>24.396828582898433</v>
      </c>
      <c r="C7" s="9">
        <f>VLOOKUP($A7,'RES installed'!$A$2:$C$7,3,FALSE)*'[1]Profiles, RES, Winter'!C$5</f>
        <v>26.248494580489762</v>
      </c>
      <c r="D7" s="9">
        <f>VLOOKUP($A7,'RES installed'!$A$2:$C$7,3,FALSE)*'[1]Profiles, RES, Winter'!D$5</f>
        <v>26.113006824568448</v>
      </c>
      <c r="E7" s="9">
        <f>VLOOKUP($A7,'RES installed'!$A$2:$C$7,3,FALSE)*'[1]Profiles, RES, Winter'!E$5</f>
        <v>26.167201926936976</v>
      </c>
      <c r="F7" s="9">
        <f>VLOOKUP($A7,'RES installed'!$A$2:$C$7,3,FALSE)*'[1]Profiles, RES, Winter'!F$5</f>
        <v>27.088518667201928</v>
      </c>
      <c r="G7" s="9">
        <f>VLOOKUP($A7,'RES installed'!$A$2:$C$7,3,FALSE)*'[1]Profiles, RES, Winter'!G$5</f>
        <v>28.596949016459256</v>
      </c>
      <c r="H7" s="9">
        <f>VLOOKUP($A7,'RES installed'!$A$2:$C$7,3,FALSE)*'[1]Profiles, RES, Winter'!H$5</f>
        <v>30.466680048173423</v>
      </c>
      <c r="I7" s="9">
        <f>VLOOKUP($A7,'RES installed'!$A$2:$C$7,3,FALSE)*'[1]Profiles, RES, Winter'!I$5</f>
        <v>30.520875150541951</v>
      </c>
      <c r="J7" s="9">
        <f>VLOOKUP($A7,'RES installed'!$A$2:$C$7,3,FALSE)*'[1]Profiles, RES, Winter'!J$5</f>
        <v>30.249899638699318</v>
      </c>
      <c r="K7" s="9">
        <f>VLOOKUP($A7,'RES installed'!$A$2:$C$7,3,FALSE)*'[1]Profiles, RES, Winter'!K$5</f>
        <v>28.389201124046568</v>
      </c>
      <c r="L7" s="9">
        <f>VLOOKUP($A7,'RES installed'!$A$2:$C$7,3,FALSE)*'[1]Profiles, RES, Winter'!L$5</f>
        <v>24.758129265355279</v>
      </c>
      <c r="M7" s="9">
        <f>VLOOKUP($A7,'RES installed'!$A$2:$C$7,3,FALSE)*'[1]Profiles, RES, Winter'!M$5</f>
        <v>22.780008028904053</v>
      </c>
      <c r="N7" s="9">
        <f>VLOOKUP($A7,'RES installed'!$A$2:$C$7,3,FALSE)*'[1]Profiles, RES, Winter'!N$5</f>
        <v>21.885788839823366</v>
      </c>
      <c r="O7" s="9">
        <f>VLOOKUP($A7,'RES installed'!$A$2:$C$7,3,FALSE)*'[1]Profiles, RES, Winter'!O$5</f>
        <v>20.39542352468888</v>
      </c>
      <c r="P7" s="9">
        <f>VLOOKUP($A7,'RES installed'!$A$2:$C$7,3,FALSE)*'[1]Profiles, RES, Winter'!P$5</f>
        <v>18.643115214773182</v>
      </c>
      <c r="Q7" s="9">
        <f>VLOOKUP($A7,'RES installed'!$A$2:$C$7,3,FALSE)*'[1]Profiles, RES, Winter'!Q$5</f>
        <v>18.805700521878762</v>
      </c>
      <c r="R7" s="9">
        <f>VLOOKUP($A7,'RES installed'!$A$2:$C$7,3,FALSE)*'[1]Profiles, RES, Winter'!R$5</f>
        <v>19.51023685266961</v>
      </c>
      <c r="S7" s="9">
        <f>VLOOKUP($A7,'RES installed'!$A$2:$C$7,3,FALSE)*'[1]Profiles, RES, Winter'!S$5</f>
        <v>22.481934965877159</v>
      </c>
      <c r="T7" s="9">
        <f>VLOOKUP($A7,'RES installed'!$A$2:$C$7,3,FALSE)*'[1]Profiles, RES, Winter'!T$5</f>
        <v>24.342633480529908</v>
      </c>
      <c r="U7" s="9">
        <f>VLOOKUP($A7,'RES installed'!$A$2:$C$7,3,FALSE)*'[1]Profiles, RES, Winter'!U$5</f>
        <v>24.947812123645122</v>
      </c>
      <c r="V7" s="9">
        <f>VLOOKUP($A7,'RES installed'!$A$2:$C$7,3,FALSE)*'[1]Profiles, RES, Winter'!V$5</f>
        <v>24.125853071055801</v>
      </c>
      <c r="W7" s="9">
        <f>VLOOKUP($A7,'RES installed'!$A$2:$C$7,3,FALSE)*'[1]Profiles, RES, Winter'!W$5</f>
        <v>22.816138097149736</v>
      </c>
      <c r="X7" s="9">
        <f>VLOOKUP($A7,'RES installed'!$A$2:$C$7,3,FALSE)*'[1]Profiles, RES, Winter'!X$5</f>
        <v>23.060016057808109</v>
      </c>
      <c r="Y7" s="9">
        <f>VLOOKUP($A7,'RES installed'!$A$2:$C$7,3,FALSE)*'[1]Profiles, RES, Winter'!Y$5</f>
        <v>24.008430349257328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2.843062926459439E-2</v>
      </c>
      <c r="J8" s="6">
        <f>VLOOKUP($A8,'RES installed'!$A$2:$C$7,3,FALSE)*'[1]Profiles, RES, Winter'!J$2</f>
        <v>3.3263836239575437</v>
      </c>
      <c r="K8" s="6">
        <f>VLOOKUP($A8,'RES installed'!$A$2:$C$7,3,FALSE)*'[1]Profiles, RES, Winter'!K$2</f>
        <v>14.044730856709629</v>
      </c>
      <c r="L8" s="6">
        <f>VLOOKUP($A8,'RES installed'!$A$2:$C$7,3,FALSE)*'[1]Profiles, RES, Winter'!L$2</f>
        <v>24.706216830932526</v>
      </c>
      <c r="M8" s="6">
        <f>VLOOKUP($A8,'RES installed'!$A$2:$C$7,3,FALSE)*'[1]Profiles, RES, Winter'!M$2</f>
        <v>29.3972706595906</v>
      </c>
      <c r="N8" s="6">
        <f>VLOOKUP($A8,'RES installed'!$A$2:$C$7,3,FALSE)*'[1]Profiles, RES, Winter'!N$2</f>
        <v>28.288476118271419</v>
      </c>
      <c r="O8" s="6">
        <f>VLOOKUP($A8,'RES installed'!$A$2:$C$7,3,FALSE)*'[1]Profiles, RES, Winter'!O$2</f>
        <v>28.515921152388174</v>
      </c>
      <c r="P8" s="6">
        <f>VLOOKUP($A8,'RES installed'!$A$2:$C$7,3,FALSE)*'[1]Profiles, RES, Winter'!P$2</f>
        <v>26.923805913570888</v>
      </c>
      <c r="Q8" s="6">
        <f>VLOOKUP($A8,'RES installed'!$A$2:$C$7,3,FALSE)*'[1]Profiles, RES, Winter'!Q$2</f>
        <v>20.15731614859742</v>
      </c>
      <c r="R8" s="6">
        <f>VLOOKUP($A8,'RES installed'!$A$2:$C$7,3,FALSE)*'[1]Profiles, RES, Winter'!R$2</f>
        <v>7.5909780136467022</v>
      </c>
      <c r="S8" s="6">
        <f>VLOOKUP($A8,'RES installed'!$A$2:$C$7,3,FALSE)*'[1]Profiles, RES, Winter'!S$2</f>
        <v>0.3411675511751327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  <row r="9" spans="1:25" x14ac:dyDescent="0.3">
      <c r="A9" s="5">
        <v>8</v>
      </c>
      <c r="B9" s="6">
        <f>VLOOKUP($A9,'RES installed'!$A$2:$C$7,3,FALSE)*'[1]Profiles, RES, Winter'!B$2</f>
        <v>0</v>
      </c>
      <c r="C9" s="6">
        <f>VLOOKUP($A9,'RES installed'!$A$2:$C$7,3,FALSE)*'[1]Profiles, RES, Winter'!C$2</f>
        <v>0</v>
      </c>
      <c r="D9" s="6">
        <f>VLOOKUP($A9,'RES installed'!$A$2:$C$7,3,FALSE)*'[1]Profiles, RES, Winter'!D$2</f>
        <v>0</v>
      </c>
      <c r="E9" s="6">
        <f>VLOOKUP($A9,'RES installed'!$A$2:$C$7,3,FALSE)*'[1]Profiles, RES, Winter'!E$2</f>
        <v>0</v>
      </c>
      <c r="F9" s="6">
        <f>VLOOKUP($A9,'RES installed'!$A$2:$C$7,3,FALSE)*'[1]Profiles, RES, Winter'!F$2</f>
        <v>0</v>
      </c>
      <c r="G9" s="6">
        <f>VLOOKUP($A9,'RES installed'!$A$2:$C$7,3,FALSE)*'[1]Profiles, RES, Winter'!G$2</f>
        <v>0</v>
      </c>
      <c r="H9" s="6">
        <f>VLOOKUP($A9,'RES installed'!$A$2:$C$7,3,FALSE)*'[1]Profiles, RES, Winter'!H$2</f>
        <v>0</v>
      </c>
      <c r="I9" s="6">
        <f>VLOOKUP($A9,'RES installed'!$A$2:$C$7,3,FALSE)*'[1]Profiles, RES, Winter'!I$2</f>
        <v>1.8953752843062926E-2</v>
      </c>
      <c r="J9" s="6">
        <f>VLOOKUP($A9,'RES installed'!$A$2:$C$7,3,FALSE)*'[1]Profiles, RES, Winter'!J$2</f>
        <v>2.2175890826383626</v>
      </c>
      <c r="K9" s="6">
        <f>VLOOKUP($A9,'RES installed'!$A$2:$C$7,3,FALSE)*'[1]Profiles, RES, Winter'!K$2</f>
        <v>9.3631539044730854</v>
      </c>
      <c r="L9" s="6">
        <f>VLOOKUP($A9,'RES installed'!$A$2:$C$7,3,FALSE)*'[1]Profiles, RES, Winter'!L$2</f>
        <v>16.470811220621684</v>
      </c>
      <c r="M9" s="6">
        <f>VLOOKUP($A9,'RES installed'!$A$2:$C$7,3,FALSE)*'[1]Profiles, RES, Winter'!M$2</f>
        <v>19.598180439727066</v>
      </c>
      <c r="N9" s="6">
        <f>VLOOKUP($A9,'RES installed'!$A$2:$C$7,3,FALSE)*'[1]Profiles, RES, Winter'!N$2</f>
        <v>18.858984078847612</v>
      </c>
      <c r="O9" s="6">
        <f>VLOOKUP($A9,'RES installed'!$A$2:$C$7,3,FALSE)*'[1]Profiles, RES, Winter'!O$2</f>
        <v>19.010614101592115</v>
      </c>
      <c r="P9" s="6">
        <f>VLOOKUP($A9,'RES installed'!$A$2:$C$7,3,FALSE)*'[1]Profiles, RES, Winter'!P$2</f>
        <v>17.949203942380592</v>
      </c>
      <c r="Q9" s="6">
        <f>VLOOKUP($A9,'RES installed'!$A$2:$C$7,3,FALSE)*'[1]Profiles, RES, Winter'!Q$2</f>
        <v>13.438210765731615</v>
      </c>
      <c r="R9" s="6">
        <f>VLOOKUP($A9,'RES installed'!$A$2:$C$7,3,FALSE)*'[1]Profiles, RES, Winter'!R$2</f>
        <v>5.0606520090978009</v>
      </c>
      <c r="S9" s="6">
        <f>VLOOKUP($A9,'RES installed'!$A$2:$C$7,3,FALSE)*'[1]Profiles, RES, Winter'!S$2</f>
        <v>0.22744503411675512</v>
      </c>
      <c r="T9" s="6">
        <f>VLOOKUP($A9,'RES installed'!$A$2:$C$7,3,FALSE)*'[1]Profiles, RES, Winter'!T$2</f>
        <v>0</v>
      </c>
      <c r="U9" s="6">
        <f>VLOOKUP($A9,'RES installed'!$A$2:$C$7,3,FALSE)*'[1]Profiles, RES, Winter'!U$2</f>
        <v>0</v>
      </c>
      <c r="V9" s="6">
        <f>VLOOKUP($A9,'RES installed'!$A$2:$C$7,3,FALSE)*'[1]Profiles, RES, Winter'!V$2</f>
        <v>0</v>
      </c>
      <c r="W9" s="6">
        <f>VLOOKUP($A9,'RES installed'!$A$2:$C$7,3,FALSE)*'[1]Profiles, RES, Winter'!W$2</f>
        <v>0</v>
      </c>
      <c r="X9" s="6">
        <f>VLOOKUP($A9,'RES installed'!$A$2:$C$7,3,FALSE)*'[1]Profiles, RES, Winter'!X$2</f>
        <v>0</v>
      </c>
      <c r="Y9" s="6">
        <f>VLOOKUP($A9,'RES installed'!$A$2:$C$7,3,FALSE)*'[1]Profiles, RES, Winter'!Y$2</f>
        <v>0</v>
      </c>
    </row>
    <row r="10" spans="1:25" x14ac:dyDescent="0.3">
      <c r="A10" s="5">
        <v>9</v>
      </c>
      <c r="B10" s="6">
        <f>VLOOKUP($A10,'RES installed'!$A$2:$C$7,3,FALSE)*'[1]Profiles, RES, Winter'!B$2</f>
        <v>0</v>
      </c>
      <c r="C10" s="6">
        <f>VLOOKUP($A10,'RES installed'!$A$2:$C$7,3,FALSE)*'[1]Profiles, RES, Winter'!C$2</f>
        <v>0</v>
      </c>
      <c r="D10" s="6">
        <f>VLOOKUP($A10,'RES installed'!$A$2:$C$7,3,FALSE)*'[1]Profiles, RES, Winter'!D$2</f>
        <v>0</v>
      </c>
      <c r="E10" s="6">
        <f>VLOOKUP($A10,'RES installed'!$A$2:$C$7,3,FALSE)*'[1]Profiles, RES, Winter'!E$2</f>
        <v>0</v>
      </c>
      <c r="F10" s="6">
        <f>VLOOKUP($A10,'RES installed'!$A$2:$C$7,3,FALSE)*'[1]Profiles, RES, Winter'!F$2</f>
        <v>0</v>
      </c>
      <c r="G10" s="6">
        <f>VLOOKUP($A10,'RES installed'!$A$2:$C$7,3,FALSE)*'[1]Profiles, RES, Winter'!G$2</f>
        <v>0</v>
      </c>
      <c r="H10" s="6">
        <f>VLOOKUP($A10,'RES installed'!$A$2:$C$7,3,FALSE)*'[1]Profiles, RES, Winter'!H$2</f>
        <v>0</v>
      </c>
      <c r="I10" s="6">
        <f>VLOOKUP($A10,'RES installed'!$A$2:$C$7,3,FALSE)*'[1]Profiles, RES, Winter'!I$2</f>
        <v>2.2744503411675512E-2</v>
      </c>
      <c r="J10" s="6">
        <f>VLOOKUP($A10,'RES installed'!$A$2:$C$7,3,FALSE)*'[1]Profiles, RES, Winter'!J$2</f>
        <v>2.6611068991660352</v>
      </c>
      <c r="K10" s="6">
        <f>VLOOKUP($A10,'RES installed'!$A$2:$C$7,3,FALSE)*'[1]Profiles, RES, Winter'!K$2</f>
        <v>11.235784685367703</v>
      </c>
      <c r="L10" s="6">
        <f>VLOOKUP($A10,'RES installed'!$A$2:$C$7,3,FALSE)*'[1]Profiles, RES, Winter'!L$2</f>
        <v>19.764973464746021</v>
      </c>
      <c r="M10" s="6">
        <f>VLOOKUP($A10,'RES installed'!$A$2:$C$7,3,FALSE)*'[1]Profiles, RES, Winter'!M$2</f>
        <v>23.51781652767248</v>
      </c>
      <c r="N10" s="6">
        <f>VLOOKUP($A10,'RES installed'!$A$2:$C$7,3,FALSE)*'[1]Profiles, RES, Winter'!N$2</f>
        <v>22.630780894617136</v>
      </c>
      <c r="O10" s="6">
        <f>VLOOKUP($A10,'RES installed'!$A$2:$C$7,3,FALSE)*'[1]Profiles, RES, Winter'!O$2</f>
        <v>22.812736921910538</v>
      </c>
      <c r="P10" s="6">
        <f>VLOOKUP($A10,'RES installed'!$A$2:$C$7,3,FALSE)*'[1]Profiles, RES, Winter'!P$2</f>
        <v>21.539044730856713</v>
      </c>
      <c r="Q10" s="6">
        <f>VLOOKUP($A10,'RES installed'!$A$2:$C$7,3,FALSE)*'[1]Profiles, RES, Winter'!Q$2</f>
        <v>16.125852918877939</v>
      </c>
      <c r="R10" s="6">
        <f>VLOOKUP($A10,'RES installed'!$A$2:$C$7,3,FALSE)*'[1]Profiles, RES, Winter'!R$2</f>
        <v>6.0727824109173616</v>
      </c>
      <c r="S10" s="6">
        <f>VLOOKUP($A10,'RES installed'!$A$2:$C$7,3,FALSE)*'[1]Profiles, RES, Winter'!S$2</f>
        <v>0.27293404094010615</v>
      </c>
      <c r="T10" s="6">
        <f>VLOOKUP($A10,'RES installed'!$A$2:$C$7,3,FALSE)*'[1]Profiles, RES, Winter'!T$2</f>
        <v>0</v>
      </c>
      <c r="U10" s="6">
        <f>VLOOKUP($A10,'RES installed'!$A$2:$C$7,3,FALSE)*'[1]Profiles, RES, Winter'!U$2</f>
        <v>0</v>
      </c>
      <c r="V10" s="6">
        <f>VLOOKUP($A10,'RES installed'!$A$2:$C$7,3,FALSE)*'[1]Profiles, RES, Winter'!V$2</f>
        <v>0</v>
      </c>
      <c r="W10" s="6">
        <f>VLOOKUP($A10,'RES installed'!$A$2:$C$7,3,FALSE)*'[1]Profiles, RES, Winter'!W$2</f>
        <v>0</v>
      </c>
      <c r="X10" s="6">
        <f>VLOOKUP($A10,'RES installed'!$A$2:$C$7,3,FALSE)*'[1]Profiles, RES, Winter'!X$2</f>
        <v>0</v>
      </c>
      <c r="Y10" s="6">
        <f>VLOOKUP($A10,'RES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05BE9-F0D1-4445-8605-4F4CF3448268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Winter'!B$6</f>
        <v>23.610999598554798</v>
      </c>
      <c r="C5" s="9">
        <f>VLOOKUP($A5,'RES installed'!$A$2:$C$7,3,FALSE)*'[1]Profiles, RES, Winter'!C$6</f>
        <v>23.972300281011641</v>
      </c>
      <c r="D5" s="9">
        <f>VLOOKUP($A5,'RES installed'!$A$2:$C$7,3,FALSE)*'[1]Profiles, RES, Winter'!D$6</f>
        <v>24.053592934564428</v>
      </c>
      <c r="E5" s="9">
        <f>VLOOKUP($A5,'RES installed'!$A$2:$C$7,3,FALSE)*'[1]Profiles, RES, Winter'!E$6</f>
        <v>21.994179044560418</v>
      </c>
      <c r="F5" s="9">
        <f>VLOOKUP($A5,'RES installed'!$A$2:$C$7,3,FALSE)*'[1]Profiles, RES, Winter'!F$6</f>
        <v>22.698715375351266</v>
      </c>
      <c r="G5" s="9">
        <f>VLOOKUP($A5,'RES installed'!$A$2:$C$7,3,FALSE)*'[1]Profiles, RES, Winter'!G$6</f>
        <v>23.963267763950221</v>
      </c>
      <c r="H5" s="9">
        <f>VLOOKUP($A5,'RES installed'!$A$2:$C$7,3,FALSE)*'[1]Profiles, RES, Winter'!H$6</f>
        <v>24.532316338819751</v>
      </c>
      <c r="I5" s="9">
        <f>VLOOKUP($A5,'RES installed'!$A$2:$C$7,3,FALSE)*'[1]Profiles, RES, Winter'!I$6</f>
        <v>23.367121637896425</v>
      </c>
      <c r="J5" s="9">
        <f>VLOOKUP($A5,'RES installed'!$A$2:$C$7,3,FALSE)*'[1]Profiles, RES, Winter'!J$6</f>
        <v>22.238057005218788</v>
      </c>
      <c r="K5" s="9">
        <f>VLOOKUP($A5,'RES installed'!$A$2:$C$7,3,FALSE)*'[1]Profiles, RES, Winter'!K$6</f>
        <v>20.946407065435569</v>
      </c>
      <c r="L5" s="9">
        <f>VLOOKUP($A5,'RES installed'!$A$2:$C$7,3,FALSE)*'[1]Profiles, RES, Winter'!L$6</f>
        <v>19.681854676836611</v>
      </c>
      <c r="M5" s="9">
        <f>VLOOKUP($A5,'RES installed'!$A$2:$C$7,3,FALSE)*'[1]Profiles, RES, Winter'!M$6</f>
        <v>18.597952629466079</v>
      </c>
      <c r="N5" s="9">
        <f>VLOOKUP($A5,'RES installed'!$A$2:$C$7,3,FALSE)*'[1]Profiles, RES, Winter'!N$6</f>
        <v>17.143717382577279</v>
      </c>
      <c r="O5" s="9">
        <f>VLOOKUP($A5,'RES installed'!$A$2:$C$7,3,FALSE)*'[1]Profiles, RES, Winter'!O$6</f>
        <v>13.27780008028904</v>
      </c>
      <c r="P5" s="9">
        <f>VLOOKUP($A5,'RES installed'!$A$2:$C$7,3,FALSE)*'[1]Profiles, RES, Winter'!P$6</f>
        <v>12.988759534323565</v>
      </c>
      <c r="Q5" s="9">
        <f>VLOOKUP($A5,'RES installed'!$A$2:$C$7,3,FALSE)*'[1]Profiles, RES, Winter'!Q$6</f>
        <v>13.214572460859094</v>
      </c>
      <c r="R5" s="9">
        <f>VLOOKUP($A5,'RES installed'!$A$2:$C$7,3,FALSE)*'[1]Profiles, RES, Winter'!R$6</f>
        <v>16.764351665997591</v>
      </c>
      <c r="S5" s="9">
        <f>VLOOKUP($A5,'RES installed'!$A$2:$C$7,3,FALSE)*'[1]Profiles, RES, Winter'!S$6</f>
        <v>19.645724608590928</v>
      </c>
      <c r="T5" s="9">
        <f>VLOOKUP($A5,'RES installed'!$A$2:$C$7,3,FALSE)*'[1]Profiles, RES, Winter'!T$6</f>
        <v>20.928342031312724</v>
      </c>
      <c r="U5" s="9">
        <f>VLOOKUP($A5,'RES installed'!$A$2:$C$7,3,FALSE)*'[1]Profiles, RES, Winter'!U$6</f>
        <v>21.8586912886391</v>
      </c>
      <c r="V5" s="9">
        <f>VLOOKUP($A5,'RES installed'!$A$2:$C$7,3,FALSE)*'[1]Profiles, RES, Winter'!V$6</f>
        <v>22.590325170614211</v>
      </c>
      <c r="W5" s="9">
        <f>VLOOKUP($A5,'RES installed'!$A$2:$C$7,3,FALSE)*'[1]Profiles, RES, Winter'!W$6</f>
        <v>23.448414291449218</v>
      </c>
      <c r="X5" s="9">
        <f>VLOOKUP($A5,'RES installed'!$A$2:$C$7,3,FALSE)*'[1]Profiles, RES, Winter'!X$6</f>
        <v>23.005820955439585</v>
      </c>
      <c r="Y5" s="9">
        <f>VLOOKUP($A5,'RES installed'!$A$2:$C$7,3,FALSE)*'[1]Profiles, RES, Winter'!Y$6</f>
        <v>22.382577278201524</v>
      </c>
    </row>
    <row r="6" spans="1:25" x14ac:dyDescent="0.3">
      <c r="A6" s="8">
        <v>5</v>
      </c>
      <c r="B6" s="9">
        <f>VLOOKUP($A6,'RES installed'!$A$2:$C$7,3,FALSE)*'[1]Profiles, RES, Winter'!B$6</f>
        <v>31.481332798073062</v>
      </c>
      <c r="C6" s="9">
        <f>VLOOKUP($A6,'RES installed'!$A$2:$C$7,3,FALSE)*'[1]Profiles, RES, Winter'!C$6</f>
        <v>31.963067041348857</v>
      </c>
      <c r="D6" s="9">
        <f>VLOOKUP($A6,'RES installed'!$A$2:$C$7,3,FALSE)*'[1]Profiles, RES, Winter'!D$6</f>
        <v>32.071457246085906</v>
      </c>
      <c r="E6" s="9">
        <f>VLOOKUP($A6,'RES installed'!$A$2:$C$7,3,FALSE)*'[1]Profiles, RES, Winter'!E$6</f>
        <v>29.32557205941389</v>
      </c>
      <c r="F6" s="9">
        <f>VLOOKUP($A6,'RES installed'!$A$2:$C$7,3,FALSE)*'[1]Profiles, RES, Winter'!F$6</f>
        <v>30.264953833801687</v>
      </c>
      <c r="G6" s="9">
        <f>VLOOKUP($A6,'RES installed'!$A$2:$C$7,3,FALSE)*'[1]Profiles, RES, Winter'!G$6</f>
        <v>31.951023685266961</v>
      </c>
      <c r="H6" s="9">
        <f>VLOOKUP($A6,'RES installed'!$A$2:$C$7,3,FALSE)*'[1]Profiles, RES, Winter'!H$6</f>
        <v>32.709755118426337</v>
      </c>
      <c r="I6" s="9">
        <f>VLOOKUP($A6,'RES installed'!$A$2:$C$7,3,FALSE)*'[1]Profiles, RES, Winter'!I$6</f>
        <v>31.156162183861898</v>
      </c>
      <c r="J6" s="9">
        <f>VLOOKUP($A6,'RES installed'!$A$2:$C$7,3,FALSE)*'[1]Profiles, RES, Winter'!J$6</f>
        <v>29.65074267362505</v>
      </c>
      <c r="K6" s="9">
        <f>VLOOKUP($A6,'RES installed'!$A$2:$C$7,3,FALSE)*'[1]Profiles, RES, Winter'!K$6</f>
        <v>27.92854275391409</v>
      </c>
      <c r="L6" s="9">
        <f>VLOOKUP($A6,'RES installed'!$A$2:$C$7,3,FALSE)*'[1]Profiles, RES, Winter'!L$6</f>
        <v>26.242472902448814</v>
      </c>
      <c r="M6" s="9">
        <f>VLOOKUP($A6,'RES installed'!$A$2:$C$7,3,FALSE)*'[1]Profiles, RES, Winter'!M$6</f>
        <v>24.797270172621438</v>
      </c>
      <c r="N6" s="9">
        <f>VLOOKUP($A6,'RES installed'!$A$2:$C$7,3,FALSE)*'[1]Profiles, RES, Winter'!N$6</f>
        <v>22.858289843436374</v>
      </c>
      <c r="O6" s="9">
        <f>VLOOKUP($A6,'RES installed'!$A$2:$C$7,3,FALSE)*'[1]Profiles, RES, Winter'!O$6</f>
        <v>17.703733440385388</v>
      </c>
      <c r="P6" s="9">
        <f>VLOOKUP($A6,'RES installed'!$A$2:$C$7,3,FALSE)*'[1]Profiles, RES, Winter'!P$6</f>
        <v>17.318346045764756</v>
      </c>
      <c r="Q6" s="9">
        <f>VLOOKUP($A6,'RES installed'!$A$2:$C$7,3,FALSE)*'[1]Profiles, RES, Winter'!Q$6</f>
        <v>17.619429947812122</v>
      </c>
      <c r="R6" s="9">
        <f>VLOOKUP($A6,'RES installed'!$A$2:$C$7,3,FALSE)*'[1]Profiles, RES, Winter'!R$6</f>
        <v>22.352468887996789</v>
      </c>
      <c r="S6" s="9">
        <f>VLOOKUP($A6,'RES installed'!$A$2:$C$7,3,FALSE)*'[1]Profiles, RES, Winter'!S$6</f>
        <v>26.194299478121238</v>
      </c>
      <c r="T6" s="9">
        <f>VLOOKUP($A6,'RES installed'!$A$2:$C$7,3,FALSE)*'[1]Profiles, RES, Winter'!T$6</f>
        <v>27.904456041750301</v>
      </c>
      <c r="U6" s="9">
        <f>VLOOKUP($A6,'RES installed'!$A$2:$C$7,3,FALSE)*'[1]Profiles, RES, Winter'!U$6</f>
        <v>29.144921718185469</v>
      </c>
      <c r="V6" s="9">
        <f>VLOOKUP($A6,'RES installed'!$A$2:$C$7,3,FALSE)*'[1]Profiles, RES, Winter'!V$6</f>
        <v>30.120433560818945</v>
      </c>
      <c r="W6" s="9">
        <f>VLOOKUP($A6,'RES installed'!$A$2:$C$7,3,FALSE)*'[1]Profiles, RES, Winter'!W$6</f>
        <v>31.264552388598958</v>
      </c>
      <c r="X6" s="9">
        <f>VLOOKUP($A6,'RES installed'!$A$2:$C$7,3,FALSE)*'[1]Profiles, RES, Winter'!X$6</f>
        <v>30.674427940586114</v>
      </c>
      <c r="Y6" s="9">
        <f>VLOOKUP($A6,'RES installed'!$A$2:$C$7,3,FALSE)*'[1]Profiles, RES, Winter'!Y$6</f>
        <v>29.843436370935368</v>
      </c>
    </row>
    <row r="7" spans="1:25" x14ac:dyDescent="0.3">
      <c r="A7" s="8">
        <v>6</v>
      </c>
      <c r="B7" s="9">
        <f>VLOOKUP($A7,'RES installed'!$A$2:$C$7,3,FALSE)*'[1]Profiles, RES, Winter'!B$6</f>
        <v>23.610999598554798</v>
      </c>
      <c r="C7" s="9">
        <f>VLOOKUP($A7,'RES installed'!$A$2:$C$7,3,FALSE)*'[1]Profiles, RES, Winter'!C$6</f>
        <v>23.972300281011641</v>
      </c>
      <c r="D7" s="9">
        <f>VLOOKUP($A7,'RES installed'!$A$2:$C$7,3,FALSE)*'[1]Profiles, RES, Winter'!D$6</f>
        <v>24.053592934564428</v>
      </c>
      <c r="E7" s="9">
        <f>VLOOKUP($A7,'RES installed'!$A$2:$C$7,3,FALSE)*'[1]Profiles, RES, Winter'!E$6</f>
        <v>21.994179044560418</v>
      </c>
      <c r="F7" s="9">
        <f>VLOOKUP($A7,'RES installed'!$A$2:$C$7,3,FALSE)*'[1]Profiles, RES, Winter'!F$6</f>
        <v>22.698715375351266</v>
      </c>
      <c r="G7" s="9">
        <f>VLOOKUP($A7,'RES installed'!$A$2:$C$7,3,FALSE)*'[1]Profiles, RES, Winter'!G$6</f>
        <v>23.963267763950221</v>
      </c>
      <c r="H7" s="9">
        <f>VLOOKUP($A7,'RES installed'!$A$2:$C$7,3,FALSE)*'[1]Profiles, RES, Winter'!H$6</f>
        <v>24.532316338819751</v>
      </c>
      <c r="I7" s="9">
        <f>VLOOKUP($A7,'RES installed'!$A$2:$C$7,3,FALSE)*'[1]Profiles, RES, Winter'!I$6</f>
        <v>23.367121637896425</v>
      </c>
      <c r="J7" s="9">
        <f>VLOOKUP($A7,'RES installed'!$A$2:$C$7,3,FALSE)*'[1]Profiles, RES, Winter'!J$6</f>
        <v>22.238057005218788</v>
      </c>
      <c r="K7" s="9">
        <f>VLOOKUP($A7,'RES installed'!$A$2:$C$7,3,FALSE)*'[1]Profiles, RES, Winter'!K$6</f>
        <v>20.946407065435569</v>
      </c>
      <c r="L7" s="9">
        <f>VLOOKUP($A7,'RES installed'!$A$2:$C$7,3,FALSE)*'[1]Profiles, RES, Winter'!L$6</f>
        <v>19.681854676836611</v>
      </c>
      <c r="M7" s="9">
        <f>VLOOKUP($A7,'RES installed'!$A$2:$C$7,3,FALSE)*'[1]Profiles, RES, Winter'!M$6</f>
        <v>18.597952629466079</v>
      </c>
      <c r="N7" s="9">
        <f>VLOOKUP($A7,'RES installed'!$A$2:$C$7,3,FALSE)*'[1]Profiles, RES, Winter'!N$6</f>
        <v>17.143717382577279</v>
      </c>
      <c r="O7" s="9">
        <f>VLOOKUP($A7,'RES installed'!$A$2:$C$7,3,FALSE)*'[1]Profiles, RES, Winter'!O$6</f>
        <v>13.27780008028904</v>
      </c>
      <c r="P7" s="9">
        <f>VLOOKUP($A7,'RES installed'!$A$2:$C$7,3,FALSE)*'[1]Profiles, RES, Winter'!P$6</f>
        <v>12.988759534323565</v>
      </c>
      <c r="Q7" s="9">
        <f>VLOOKUP($A7,'RES installed'!$A$2:$C$7,3,FALSE)*'[1]Profiles, RES, Winter'!Q$6</f>
        <v>13.214572460859094</v>
      </c>
      <c r="R7" s="9">
        <f>VLOOKUP($A7,'RES installed'!$A$2:$C$7,3,FALSE)*'[1]Profiles, RES, Winter'!R$6</f>
        <v>16.764351665997591</v>
      </c>
      <c r="S7" s="9">
        <f>VLOOKUP($A7,'RES installed'!$A$2:$C$7,3,FALSE)*'[1]Profiles, RES, Winter'!S$6</f>
        <v>19.645724608590928</v>
      </c>
      <c r="T7" s="9">
        <f>VLOOKUP($A7,'RES installed'!$A$2:$C$7,3,FALSE)*'[1]Profiles, RES, Winter'!T$6</f>
        <v>20.928342031312724</v>
      </c>
      <c r="U7" s="9">
        <f>VLOOKUP($A7,'RES installed'!$A$2:$C$7,3,FALSE)*'[1]Profiles, RES, Winter'!U$6</f>
        <v>21.8586912886391</v>
      </c>
      <c r="V7" s="9">
        <f>VLOOKUP($A7,'RES installed'!$A$2:$C$7,3,FALSE)*'[1]Profiles, RES, Winter'!V$6</f>
        <v>22.590325170614211</v>
      </c>
      <c r="W7" s="9">
        <f>VLOOKUP($A7,'RES installed'!$A$2:$C$7,3,FALSE)*'[1]Profiles, RES, Winter'!W$6</f>
        <v>23.448414291449218</v>
      </c>
      <c r="X7" s="9">
        <f>VLOOKUP($A7,'RES installed'!$A$2:$C$7,3,FALSE)*'[1]Profiles, RES, Winter'!X$6</f>
        <v>23.005820955439585</v>
      </c>
      <c r="Y7" s="9">
        <f>VLOOKUP($A7,'RES installed'!$A$2:$C$7,3,FALSE)*'[1]Profiles, RES, Winter'!Y$6</f>
        <v>22.382577278201524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5.6861258529188781E-2</v>
      </c>
      <c r="J8" s="6">
        <f>VLOOKUP($A8,'RES installed'!$A$2:$C$7,3,FALSE)*'[1]Profiles, RES, Winter'!J$3</f>
        <v>4.8616376042456411</v>
      </c>
      <c r="K8" s="6">
        <f>VLOOKUP($A8,'RES installed'!$A$2:$C$7,3,FALSE)*'[1]Profiles, RES, Winter'!K$3</f>
        <v>16.717210007581503</v>
      </c>
      <c r="L8" s="6">
        <f>VLOOKUP($A8,'RES installed'!$A$2:$C$7,3,FALSE)*'[1]Profiles, RES, Winter'!L$3</f>
        <v>25.672858225928731</v>
      </c>
      <c r="M8" s="6">
        <f>VLOOKUP($A8,'RES installed'!$A$2:$C$7,3,FALSE)*'[1]Profiles, RES, Winter'!M$3</f>
        <v>25.473843821076574</v>
      </c>
      <c r="N8" s="6">
        <f>VLOOKUP($A8,'RES installed'!$A$2:$C$7,3,FALSE)*'[1]Profiles, RES, Winter'!N$3</f>
        <v>28.316906747536013</v>
      </c>
      <c r="O8" s="6">
        <f>VLOOKUP($A8,'RES installed'!$A$2:$C$7,3,FALSE)*'[1]Profiles, RES, Winter'!O$3</f>
        <v>27.691432903714933</v>
      </c>
      <c r="P8" s="6">
        <f>VLOOKUP($A8,'RES installed'!$A$2:$C$7,3,FALSE)*'[1]Profiles, RES, Winter'!P$3</f>
        <v>23.426838514025775</v>
      </c>
      <c r="Q8" s="6">
        <f>VLOOKUP($A8,'RES installed'!$A$2:$C$7,3,FALSE)*'[1]Profiles, RES, Winter'!Q$3</f>
        <v>15.068233510235027</v>
      </c>
      <c r="R8" s="6">
        <f>VLOOKUP($A8,'RES installed'!$A$2:$C$7,3,FALSE)*'[1]Profiles, RES, Winter'!R$3</f>
        <v>4.8047763457164523</v>
      </c>
      <c r="S8" s="6">
        <f>VLOOKUP($A8,'RES installed'!$A$2:$C$7,3,FALSE)*'[1]Profiles, RES, Winter'!S$3</f>
        <v>0.28430629264594387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  <row r="9" spans="1:25" x14ac:dyDescent="0.3">
      <c r="A9" s="5">
        <v>8</v>
      </c>
      <c r="B9" s="6">
        <f>VLOOKUP($A9,'RES installed'!$A$2:$C$7,3,FALSE)*'[1]Profiles, RES, Winter'!B$3</f>
        <v>0</v>
      </c>
      <c r="C9" s="6">
        <f>VLOOKUP($A9,'RES installed'!$A$2:$C$7,3,FALSE)*'[1]Profiles, RES, Winter'!C$3</f>
        <v>0</v>
      </c>
      <c r="D9" s="6">
        <f>VLOOKUP($A9,'RES installed'!$A$2:$C$7,3,FALSE)*'[1]Profiles, RES, Winter'!D$3</f>
        <v>0</v>
      </c>
      <c r="E9" s="6">
        <f>VLOOKUP($A9,'RES installed'!$A$2:$C$7,3,FALSE)*'[1]Profiles, RES, Winter'!E$3</f>
        <v>0</v>
      </c>
      <c r="F9" s="6">
        <f>VLOOKUP($A9,'RES installed'!$A$2:$C$7,3,FALSE)*'[1]Profiles, RES, Winter'!F$3</f>
        <v>0</v>
      </c>
      <c r="G9" s="6">
        <f>VLOOKUP($A9,'RES installed'!$A$2:$C$7,3,FALSE)*'[1]Profiles, RES, Winter'!G$3</f>
        <v>0</v>
      </c>
      <c r="H9" s="6">
        <f>VLOOKUP($A9,'RES installed'!$A$2:$C$7,3,FALSE)*'[1]Profiles, RES, Winter'!H$3</f>
        <v>0</v>
      </c>
      <c r="I9" s="6">
        <f>VLOOKUP($A9,'RES installed'!$A$2:$C$7,3,FALSE)*'[1]Profiles, RES, Winter'!I$3</f>
        <v>3.7907505686125852E-2</v>
      </c>
      <c r="J9" s="6">
        <f>VLOOKUP($A9,'RES installed'!$A$2:$C$7,3,FALSE)*'[1]Profiles, RES, Winter'!J$3</f>
        <v>3.2410917361637606</v>
      </c>
      <c r="K9" s="6">
        <f>VLOOKUP($A9,'RES installed'!$A$2:$C$7,3,FALSE)*'[1]Profiles, RES, Winter'!K$3</f>
        <v>11.144806671721001</v>
      </c>
      <c r="L9" s="6">
        <f>VLOOKUP($A9,'RES installed'!$A$2:$C$7,3,FALSE)*'[1]Profiles, RES, Winter'!L$3</f>
        <v>17.115238817285821</v>
      </c>
      <c r="M9" s="6">
        <f>VLOOKUP($A9,'RES installed'!$A$2:$C$7,3,FALSE)*'[1]Profiles, RES, Winter'!M$3</f>
        <v>16.982562547384383</v>
      </c>
      <c r="N9" s="6">
        <f>VLOOKUP($A9,'RES installed'!$A$2:$C$7,3,FALSE)*'[1]Profiles, RES, Winter'!N$3</f>
        <v>18.877937831690677</v>
      </c>
      <c r="O9" s="6">
        <f>VLOOKUP($A9,'RES installed'!$A$2:$C$7,3,FALSE)*'[1]Profiles, RES, Winter'!O$3</f>
        <v>18.460955269143291</v>
      </c>
      <c r="P9" s="6">
        <f>VLOOKUP($A9,'RES installed'!$A$2:$C$7,3,FALSE)*'[1]Profiles, RES, Winter'!P$3</f>
        <v>15.617892342683851</v>
      </c>
      <c r="Q9" s="6">
        <f>VLOOKUP($A9,'RES installed'!$A$2:$C$7,3,FALSE)*'[1]Profiles, RES, Winter'!Q$3</f>
        <v>10.045489006823351</v>
      </c>
      <c r="R9" s="6">
        <f>VLOOKUP($A9,'RES installed'!$A$2:$C$7,3,FALSE)*'[1]Profiles, RES, Winter'!R$3</f>
        <v>3.2031842304776346</v>
      </c>
      <c r="S9" s="6">
        <f>VLOOKUP($A9,'RES installed'!$A$2:$C$7,3,FALSE)*'[1]Profiles, RES, Winter'!S$3</f>
        <v>0.18953752843062927</v>
      </c>
      <c r="T9" s="6">
        <f>VLOOKUP($A9,'RES installed'!$A$2:$C$7,3,FALSE)*'[1]Profiles, RES, Winter'!T$3</f>
        <v>0</v>
      </c>
      <c r="U9" s="6">
        <f>VLOOKUP($A9,'RES installed'!$A$2:$C$7,3,FALSE)*'[1]Profiles, RES, Winter'!U$3</f>
        <v>0</v>
      </c>
      <c r="V9" s="6">
        <f>VLOOKUP($A9,'RES installed'!$A$2:$C$7,3,FALSE)*'[1]Profiles, RES, Winter'!V$3</f>
        <v>0</v>
      </c>
      <c r="W9" s="6">
        <f>VLOOKUP($A9,'RES installed'!$A$2:$C$7,3,FALSE)*'[1]Profiles, RES, Winter'!W$3</f>
        <v>0</v>
      </c>
      <c r="X9" s="6">
        <f>VLOOKUP($A9,'RES installed'!$A$2:$C$7,3,FALSE)*'[1]Profiles, RES, Winter'!X$3</f>
        <v>0</v>
      </c>
      <c r="Y9" s="6">
        <f>VLOOKUP($A9,'RES installed'!$A$2:$C$7,3,FALSE)*'[1]Profiles, RES, Winter'!Y$3</f>
        <v>0</v>
      </c>
    </row>
    <row r="10" spans="1:25" x14ac:dyDescent="0.3">
      <c r="A10" s="5">
        <v>9</v>
      </c>
      <c r="B10" s="6">
        <f>VLOOKUP($A10,'RES installed'!$A$2:$C$7,3,FALSE)*'[1]Profiles, RES, Winter'!B$3</f>
        <v>0</v>
      </c>
      <c r="C10" s="6">
        <f>VLOOKUP($A10,'RES installed'!$A$2:$C$7,3,FALSE)*'[1]Profiles, RES, Winter'!C$3</f>
        <v>0</v>
      </c>
      <c r="D10" s="6">
        <f>VLOOKUP($A10,'RES installed'!$A$2:$C$7,3,FALSE)*'[1]Profiles, RES, Winter'!D$3</f>
        <v>0</v>
      </c>
      <c r="E10" s="6">
        <f>VLOOKUP($A10,'RES installed'!$A$2:$C$7,3,FALSE)*'[1]Profiles, RES, Winter'!E$3</f>
        <v>0</v>
      </c>
      <c r="F10" s="6">
        <f>VLOOKUP($A10,'RES installed'!$A$2:$C$7,3,FALSE)*'[1]Profiles, RES, Winter'!F$3</f>
        <v>0</v>
      </c>
      <c r="G10" s="6">
        <f>VLOOKUP($A10,'RES installed'!$A$2:$C$7,3,FALSE)*'[1]Profiles, RES, Winter'!G$3</f>
        <v>0</v>
      </c>
      <c r="H10" s="6">
        <f>VLOOKUP($A10,'RES installed'!$A$2:$C$7,3,FALSE)*'[1]Profiles, RES, Winter'!H$3</f>
        <v>0</v>
      </c>
      <c r="I10" s="6">
        <f>VLOOKUP($A10,'RES installed'!$A$2:$C$7,3,FALSE)*'[1]Profiles, RES, Winter'!I$3</f>
        <v>4.5489006823351025E-2</v>
      </c>
      <c r="J10" s="6">
        <f>VLOOKUP($A10,'RES installed'!$A$2:$C$7,3,FALSE)*'[1]Profiles, RES, Winter'!J$3</f>
        <v>3.8893100833965129</v>
      </c>
      <c r="K10" s="6">
        <f>VLOOKUP($A10,'RES installed'!$A$2:$C$7,3,FALSE)*'[1]Profiles, RES, Winter'!K$3</f>
        <v>13.373768006065202</v>
      </c>
      <c r="L10" s="6">
        <f>VLOOKUP($A10,'RES installed'!$A$2:$C$7,3,FALSE)*'[1]Profiles, RES, Winter'!L$3</f>
        <v>20.538286580742987</v>
      </c>
      <c r="M10" s="6">
        <f>VLOOKUP($A10,'RES installed'!$A$2:$C$7,3,FALSE)*'[1]Profiles, RES, Winter'!M$3</f>
        <v>20.379075056861261</v>
      </c>
      <c r="N10" s="6">
        <f>VLOOKUP($A10,'RES installed'!$A$2:$C$7,3,FALSE)*'[1]Profiles, RES, Winter'!N$3</f>
        <v>22.653525398028808</v>
      </c>
      <c r="O10" s="6">
        <f>VLOOKUP($A10,'RES installed'!$A$2:$C$7,3,FALSE)*'[1]Profiles, RES, Winter'!O$3</f>
        <v>22.153146322971946</v>
      </c>
      <c r="P10" s="6">
        <f>VLOOKUP($A10,'RES installed'!$A$2:$C$7,3,FALSE)*'[1]Profiles, RES, Winter'!P$3</f>
        <v>18.741470811220619</v>
      </c>
      <c r="Q10" s="6">
        <f>VLOOKUP($A10,'RES installed'!$A$2:$C$7,3,FALSE)*'[1]Profiles, RES, Winter'!Q$3</f>
        <v>12.05458680818802</v>
      </c>
      <c r="R10" s="6">
        <f>VLOOKUP($A10,'RES installed'!$A$2:$C$7,3,FALSE)*'[1]Profiles, RES, Winter'!R$3</f>
        <v>3.8438210765731617</v>
      </c>
      <c r="S10" s="6">
        <f>VLOOKUP($A10,'RES installed'!$A$2:$C$7,3,FALSE)*'[1]Profiles, RES, Winter'!S$3</f>
        <v>0.22744503411675512</v>
      </c>
      <c r="T10" s="6">
        <f>VLOOKUP($A10,'RES installed'!$A$2:$C$7,3,FALSE)*'[1]Profiles, RES, Winter'!T$3</f>
        <v>0</v>
      </c>
      <c r="U10" s="6">
        <f>VLOOKUP($A10,'RES installed'!$A$2:$C$7,3,FALSE)*'[1]Profiles, RES, Winter'!U$3</f>
        <v>0</v>
      </c>
      <c r="V10" s="6">
        <f>VLOOKUP($A10,'RES installed'!$A$2:$C$7,3,FALSE)*'[1]Profiles, RES, Winter'!V$3</f>
        <v>0</v>
      </c>
      <c r="W10" s="6">
        <f>VLOOKUP($A10,'RES installed'!$A$2:$C$7,3,FALSE)*'[1]Profiles, RES, Winter'!W$3</f>
        <v>0</v>
      </c>
      <c r="X10" s="6">
        <f>VLOOKUP($A10,'RES installed'!$A$2:$C$7,3,FALSE)*'[1]Profiles, RES, Winter'!X$3</f>
        <v>0</v>
      </c>
      <c r="Y10" s="6">
        <f>VLOOKUP($A10,'RES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82E7E-1977-4512-8AB6-AD858BA47043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Winter'!B$7</f>
        <v>22.608390204737056</v>
      </c>
      <c r="C5" s="9">
        <f>VLOOKUP($A5,'RES installed'!$A$2:$C$7,3,FALSE)*'[1]Profiles, RES, Winter'!C$7</f>
        <v>22.509032517061421</v>
      </c>
      <c r="D5" s="9">
        <f>VLOOKUP($A5,'RES installed'!$A$2:$C$7,3,FALSE)*'[1]Profiles, RES, Winter'!D$7</f>
        <v>21.939983942191891</v>
      </c>
      <c r="E5" s="9">
        <f>VLOOKUP($A5,'RES installed'!$A$2:$C$7,3,FALSE)*'[1]Profiles, RES, Winter'!E$7</f>
        <v>22.481934965877159</v>
      </c>
      <c r="F5" s="9">
        <f>VLOOKUP($A5,'RES installed'!$A$2:$C$7,3,FALSE)*'[1]Profiles, RES, Winter'!F$7</f>
        <v>21.84965877157768</v>
      </c>
      <c r="G5" s="9">
        <f>VLOOKUP($A5,'RES installed'!$A$2:$C$7,3,FALSE)*'[1]Profiles, RES, Winter'!G$7</f>
        <v>21.732236049779207</v>
      </c>
      <c r="H5" s="9">
        <f>VLOOKUP($A5,'RES installed'!$A$2:$C$7,3,FALSE)*'[1]Profiles, RES, Winter'!H$7</f>
        <v>22.518065034122841</v>
      </c>
      <c r="I5" s="9">
        <f>VLOOKUP($A5,'RES installed'!$A$2:$C$7,3,FALSE)*'[1]Profiles, RES, Winter'!I$7</f>
        <v>21.163187474909677</v>
      </c>
      <c r="J5" s="9">
        <f>VLOOKUP($A5,'RES installed'!$A$2:$C$7,3,FALSE)*'[1]Profiles, RES, Winter'!J$7</f>
        <v>19.483139301485345</v>
      </c>
      <c r="K5" s="9">
        <f>VLOOKUP($A5,'RES installed'!$A$2:$C$7,3,FALSE)*'[1]Profiles, RES, Winter'!K$7</f>
        <v>18.245684464070653</v>
      </c>
      <c r="L5" s="9">
        <f>VLOOKUP($A5,'RES installed'!$A$2:$C$7,3,FALSE)*'[1]Profiles, RES, Winter'!L$7</f>
        <v>16.502408671216379</v>
      </c>
      <c r="M5" s="9">
        <f>VLOOKUP($A5,'RES installed'!$A$2:$C$7,3,FALSE)*'[1]Profiles, RES, Winter'!M$7</f>
        <v>14.217181854676838</v>
      </c>
      <c r="N5" s="9">
        <f>VLOOKUP($A5,'RES installed'!$A$2:$C$7,3,FALSE)*'[1]Profiles, RES, Winter'!N$7</f>
        <v>12.817141710156562</v>
      </c>
      <c r="O5" s="9">
        <f>VLOOKUP($A5,'RES installed'!$A$2:$C$7,3,FALSE)*'[1]Profiles, RES, Winter'!O$7</f>
        <v>12.735849056603774</v>
      </c>
      <c r="P5" s="9">
        <f>VLOOKUP($A5,'RES installed'!$A$2:$C$7,3,FALSE)*'[1]Profiles, RES, Winter'!P$7</f>
        <v>14.452027298273785</v>
      </c>
      <c r="Q5" s="9">
        <f>VLOOKUP($A5,'RES installed'!$A$2:$C$7,3,FALSE)*'[1]Profiles, RES, Winter'!Q$7</f>
        <v>14.957848253713367</v>
      </c>
      <c r="R5" s="9">
        <f>VLOOKUP($A5,'RES installed'!$A$2:$C$7,3,FALSE)*'[1]Profiles, RES, Winter'!R$7</f>
        <v>16.538538739462066</v>
      </c>
      <c r="S5" s="9">
        <f>VLOOKUP($A5,'RES installed'!$A$2:$C$7,3,FALSE)*'[1]Profiles, RES, Winter'!S$7</f>
        <v>19.167001204335609</v>
      </c>
      <c r="T5" s="9">
        <f>VLOOKUP($A5,'RES installed'!$A$2:$C$7,3,FALSE)*'[1]Profiles, RES, Winter'!T$7</f>
        <v>20.847049377759937</v>
      </c>
      <c r="U5" s="9">
        <f>VLOOKUP($A5,'RES installed'!$A$2:$C$7,3,FALSE)*'[1]Profiles, RES, Winter'!U$7</f>
        <v>22.09353673223605</v>
      </c>
      <c r="V5" s="9">
        <f>VLOOKUP($A5,'RES installed'!$A$2:$C$7,3,FALSE)*'[1]Profiles, RES, Winter'!V$7</f>
        <v>22.274187073464471</v>
      </c>
      <c r="W5" s="9">
        <f>VLOOKUP($A5,'RES installed'!$A$2:$C$7,3,FALSE)*'[1]Profiles, RES, Winter'!W$7</f>
        <v>20.530911280610194</v>
      </c>
      <c r="X5" s="9">
        <f>VLOOKUP($A5,'RES installed'!$A$2:$C$7,3,FALSE)*'[1]Profiles, RES, Winter'!X$7</f>
        <v>18.932155760738659</v>
      </c>
      <c r="Y5" s="9">
        <f>VLOOKUP($A5,'RES installed'!$A$2:$C$7,3,FALSE)*'[1]Profiles, RES, Winter'!Y$7</f>
        <v>18.182456844640708</v>
      </c>
    </row>
    <row r="6" spans="1:25" x14ac:dyDescent="0.3">
      <c r="A6" s="8">
        <v>5</v>
      </c>
      <c r="B6" s="9">
        <f>VLOOKUP($A6,'RES installed'!$A$2:$C$7,3,FALSE)*'[1]Profiles, RES, Winter'!B$7</f>
        <v>30.144520272982739</v>
      </c>
      <c r="C6" s="9">
        <f>VLOOKUP($A6,'RES installed'!$A$2:$C$7,3,FALSE)*'[1]Profiles, RES, Winter'!C$7</f>
        <v>30.012043356081897</v>
      </c>
      <c r="D6" s="9">
        <f>VLOOKUP($A6,'RES installed'!$A$2:$C$7,3,FALSE)*'[1]Profiles, RES, Winter'!D$7</f>
        <v>29.253311922922521</v>
      </c>
      <c r="E6" s="9">
        <f>VLOOKUP($A6,'RES installed'!$A$2:$C$7,3,FALSE)*'[1]Profiles, RES, Winter'!E$7</f>
        <v>29.97591328783621</v>
      </c>
      <c r="F6" s="9">
        <f>VLOOKUP($A6,'RES installed'!$A$2:$C$7,3,FALSE)*'[1]Profiles, RES, Winter'!F$7</f>
        <v>29.132878362103575</v>
      </c>
      <c r="G6" s="9">
        <f>VLOOKUP($A6,'RES installed'!$A$2:$C$7,3,FALSE)*'[1]Profiles, RES, Winter'!G$7</f>
        <v>28.97631473303894</v>
      </c>
      <c r="H6" s="9">
        <f>VLOOKUP($A6,'RES installed'!$A$2:$C$7,3,FALSE)*'[1]Profiles, RES, Winter'!H$7</f>
        <v>30.024086712163786</v>
      </c>
      <c r="I6" s="9">
        <f>VLOOKUP($A6,'RES installed'!$A$2:$C$7,3,FALSE)*'[1]Profiles, RES, Winter'!I$7</f>
        <v>28.217583299879568</v>
      </c>
      <c r="J6" s="9">
        <f>VLOOKUP($A6,'RES installed'!$A$2:$C$7,3,FALSE)*'[1]Profiles, RES, Winter'!J$7</f>
        <v>25.977519068647126</v>
      </c>
      <c r="K6" s="9">
        <f>VLOOKUP($A6,'RES installed'!$A$2:$C$7,3,FALSE)*'[1]Profiles, RES, Winter'!K$7</f>
        <v>24.327579285427539</v>
      </c>
      <c r="L6" s="9">
        <f>VLOOKUP($A6,'RES installed'!$A$2:$C$7,3,FALSE)*'[1]Profiles, RES, Winter'!L$7</f>
        <v>22.003211561621839</v>
      </c>
      <c r="M6" s="9">
        <f>VLOOKUP($A6,'RES installed'!$A$2:$C$7,3,FALSE)*'[1]Profiles, RES, Winter'!M$7</f>
        <v>18.956242472902449</v>
      </c>
      <c r="N6" s="9">
        <f>VLOOKUP($A6,'RES installed'!$A$2:$C$7,3,FALSE)*'[1]Profiles, RES, Winter'!N$7</f>
        <v>17.089522280208751</v>
      </c>
      <c r="O6" s="9">
        <f>VLOOKUP($A6,'RES installed'!$A$2:$C$7,3,FALSE)*'[1]Profiles, RES, Winter'!O$7</f>
        <v>16.981132075471699</v>
      </c>
      <c r="P6" s="9">
        <f>VLOOKUP($A6,'RES installed'!$A$2:$C$7,3,FALSE)*'[1]Profiles, RES, Winter'!P$7</f>
        <v>19.269369731031713</v>
      </c>
      <c r="Q6" s="9">
        <f>VLOOKUP($A6,'RES installed'!$A$2:$C$7,3,FALSE)*'[1]Profiles, RES, Winter'!Q$7</f>
        <v>19.943797671617823</v>
      </c>
      <c r="R6" s="9">
        <f>VLOOKUP($A6,'RES installed'!$A$2:$C$7,3,FALSE)*'[1]Profiles, RES, Winter'!R$7</f>
        <v>22.051384985949419</v>
      </c>
      <c r="S6" s="9">
        <f>VLOOKUP($A6,'RES installed'!$A$2:$C$7,3,FALSE)*'[1]Profiles, RES, Winter'!S$7</f>
        <v>25.556001605780811</v>
      </c>
      <c r="T6" s="9">
        <f>VLOOKUP($A6,'RES installed'!$A$2:$C$7,3,FALSE)*'[1]Profiles, RES, Winter'!T$7</f>
        <v>27.796065837013249</v>
      </c>
      <c r="U6" s="9">
        <f>VLOOKUP($A6,'RES installed'!$A$2:$C$7,3,FALSE)*'[1]Profiles, RES, Winter'!U$7</f>
        <v>29.458048976314732</v>
      </c>
      <c r="V6" s="9">
        <f>VLOOKUP($A6,'RES installed'!$A$2:$C$7,3,FALSE)*'[1]Profiles, RES, Winter'!V$7</f>
        <v>29.69891609795263</v>
      </c>
      <c r="W6" s="9">
        <f>VLOOKUP($A6,'RES installed'!$A$2:$C$7,3,FALSE)*'[1]Profiles, RES, Winter'!W$7</f>
        <v>27.374548374146926</v>
      </c>
      <c r="X6" s="9">
        <f>VLOOKUP($A6,'RES installed'!$A$2:$C$7,3,FALSE)*'[1]Profiles, RES, Winter'!X$7</f>
        <v>25.242874347651544</v>
      </c>
      <c r="Y6" s="9">
        <f>VLOOKUP($A6,'RES installed'!$A$2:$C$7,3,FALSE)*'[1]Profiles, RES, Winter'!Y$7</f>
        <v>24.243275792854277</v>
      </c>
    </row>
    <row r="7" spans="1:25" x14ac:dyDescent="0.3">
      <c r="A7" s="8">
        <v>6</v>
      </c>
      <c r="B7" s="9">
        <f>VLOOKUP($A7,'RES installed'!$A$2:$C$7,3,FALSE)*'[1]Profiles, RES, Winter'!B$7</f>
        <v>22.608390204737056</v>
      </c>
      <c r="C7" s="9">
        <f>VLOOKUP($A7,'RES installed'!$A$2:$C$7,3,FALSE)*'[1]Profiles, RES, Winter'!C$7</f>
        <v>22.509032517061421</v>
      </c>
      <c r="D7" s="9">
        <f>VLOOKUP($A7,'RES installed'!$A$2:$C$7,3,FALSE)*'[1]Profiles, RES, Winter'!D$7</f>
        <v>21.939983942191891</v>
      </c>
      <c r="E7" s="9">
        <f>VLOOKUP($A7,'RES installed'!$A$2:$C$7,3,FALSE)*'[1]Profiles, RES, Winter'!E$7</f>
        <v>22.481934965877159</v>
      </c>
      <c r="F7" s="9">
        <f>VLOOKUP($A7,'RES installed'!$A$2:$C$7,3,FALSE)*'[1]Profiles, RES, Winter'!F$7</f>
        <v>21.84965877157768</v>
      </c>
      <c r="G7" s="9">
        <f>VLOOKUP($A7,'RES installed'!$A$2:$C$7,3,FALSE)*'[1]Profiles, RES, Winter'!G$7</f>
        <v>21.732236049779207</v>
      </c>
      <c r="H7" s="9">
        <f>VLOOKUP($A7,'RES installed'!$A$2:$C$7,3,FALSE)*'[1]Profiles, RES, Winter'!H$7</f>
        <v>22.518065034122841</v>
      </c>
      <c r="I7" s="9">
        <f>VLOOKUP($A7,'RES installed'!$A$2:$C$7,3,FALSE)*'[1]Profiles, RES, Winter'!I$7</f>
        <v>21.163187474909677</v>
      </c>
      <c r="J7" s="9">
        <f>VLOOKUP($A7,'RES installed'!$A$2:$C$7,3,FALSE)*'[1]Profiles, RES, Winter'!J$7</f>
        <v>19.483139301485345</v>
      </c>
      <c r="K7" s="9">
        <f>VLOOKUP($A7,'RES installed'!$A$2:$C$7,3,FALSE)*'[1]Profiles, RES, Winter'!K$7</f>
        <v>18.245684464070653</v>
      </c>
      <c r="L7" s="9">
        <f>VLOOKUP($A7,'RES installed'!$A$2:$C$7,3,FALSE)*'[1]Profiles, RES, Winter'!L$7</f>
        <v>16.502408671216379</v>
      </c>
      <c r="M7" s="9">
        <f>VLOOKUP($A7,'RES installed'!$A$2:$C$7,3,FALSE)*'[1]Profiles, RES, Winter'!M$7</f>
        <v>14.217181854676838</v>
      </c>
      <c r="N7" s="9">
        <f>VLOOKUP($A7,'RES installed'!$A$2:$C$7,3,FALSE)*'[1]Profiles, RES, Winter'!N$7</f>
        <v>12.817141710156562</v>
      </c>
      <c r="O7" s="9">
        <f>VLOOKUP($A7,'RES installed'!$A$2:$C$7,3,FALSE)*'[1]Profiles, RES, Winter'!O$7</f>
        <v>12.735849056603774</v>
      </c>
      <c r="P7" s="9">
        <f>VLOOKUP($A7,'RES installed'!$A$2:$C$7,3,FALSE)*'[1]Profiles, RES, Winter'!P$7</f>
        <v>14.452027298273785</v>
      </c>
      <c r="Q7" s="9">
        <f>VLOOKUP($A7,'RES installed'!$A$2:$C$7,3,FALSE)*'[1]Profiles, RES, Winter'!Q$7</f>
        <v>14.957848253713367</v>
      </c>
      <c r="R7" s="9">
        <f>VLOOKUP($A7,'RES installed'!$A$2:$C$7,3,FALSE)*'[1]Profiles, RES, Winter'!R$7</f>
        <v>16.538538739462066</v>
      </c>
      <c r="S7" s="9">
        <f>VLOOKUP($A7,'RES installed'!$A$2:$C$7,3,FALSE)*'[1]Profiles, RES, Winter'!S$7</f>
        <v>19.167001204335609</v>
      </c>
      <c r="T7" s="9">
        <f>VLOOKUP($A7,'RES installed'!$A$2:$C$7,3,FALSE)*'[1]Profiles, RES, Winter'!T$7</f>
        <v>20.847049377759937</v>
      </c>
      <c r="U7" s="9">
        <f>VLOOKUP($A7,'RES installed'!$A$2:$C$7,3,FALSE)*'[1]Profiles, RES, Winter'!U$7</f>
        <v>22.09353673223605</v>
      </c>
      <c r="V7" s="9">
        <f>VLOOKUP($A7,'RES installed'!$A$2:$C$7,3,FALSE)*'[1]Profiles, RES, Winter'!V$7</f>
        <v>22.274187073464471</v>
      </c>
      <c r="W7" s="9">
        <f>VLOOKUP($A7,'RES installed'!$A$2:$C$7,3,FALSE)*'[1]Profiles, RES, Winter'!W$7</f>
        <v>20.530911280610194</v>
      </c>
      <c r="X7" s="9">
        <f>VLOOKUP($A7,'RES installed'!$A$2:$C$7,3,FALSE)*'[1]Profiles, RES, Winter'!X$7</f>
        <v>18.932155760738659</v>
      </c>
      <c r="Y7" s="9">
        <f>VLOOKUP($A7,'RES installed'!$A$2:$C$7,3,FALSE)*'[1]Profiles, RES, Winter'!Y$7</f>
        <v>18.182456844640708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2.843062926459439E-2</v>
      </c>
      <c r="J8" s="6">
        <f>VLOOKUP($A8,'RES installed'!$A$2:$C$7,3,FALSE)*'[1]Profiles, RES, Winter'!J$4</f>
        <v>2.5303260045489009</v>
      </c>
      <c r="K8" s="6">
        <f>VLOOKUP($A8,'RES installed'!$A$2:$C$7,3,FALSE)*'[1]Profiles, RES, Winter'!K$4</f>
        <v>10.860500379075058</v>
      </c>
      <c r="L8" s="6">
        <f>VLOOKUP($A8,'RES installed'!$A$2:$C$7,3,FALSE)*'[1]Profiles, RES, Winter'!L$4</f>
        <v>17.911296436694464</v>
      </c>
      <c r="M8" s="6">
        <f>VLOOKUP($A8,'RES installed'!$A$2:$C$7,3,FALSE)*'[1]Profiles, RES, Winter'!M$4</f>
        <v>20.356330553449585</v>
      </c>
      <c r="N8" s="6">
        <f>VLOOKUP($A8,'RES installed'!$A$2:$C$7,3,FALSE)*'[1]Profiles, RES, Winter'!N$4</f>
        <v>19.446550416982564</v>
      </c>
      <c r="O8" s="6">
        <f>VLOOKUP($A8,'RES installed'!$A$2:$C$7,3,FALSE)*'[1]Profiles, RES, Winter'!O$4</f>
        <v>19.816148597422291</v>
      </c>
      <c r="P8" s="6">
        <f>VLOOKUP($A8,'RES installed'!$A$2:$C$7,3,FALSE)*'[1]Profiles, RES, Winter'!P$4</f>
        <v>21.436694465504171</v>
      </c>
      <c r="Q8" s="6">
        <f>VLOOKUP($A8,'RES installed'!$A$2:$C$7,3,FALSE)*'[1]Profiles, RES, Winter'!Q$4</f>
        <v>19.531842304776344</v>
      </c>
      <c r="R8" s="6">
        <f>VLOOKUP($A8,'RES installed'!$A$2:$C$7,3,FALSE)*'[1]Profiles, RES, Winter'!R$4</f>
        <v>8.8987869598180431</v>
      </c>
      <c r="S8" s="6">
        <f>VLOOKUP($A8,'RES installed'!$A$2:$C$7,3,FALSE)*'[1]Profiles, RES, Winter'!S$4</f>
        <v>0.45489006823351025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  <row r="9" spans="1:25" x14ac:dyDescent="0.3">
      <c r="A9" s="5">
        <v>8</v>
      </c>
      <c r="B9" s="6">
        <f>VLOOKUP($A9,'RES installed'!$A$2:$C$7,3,FALSE)*'[1]Profiles, RES, Winter'!B$4</f>
        <v>0</v>
      </c>
      <c r="C9" s="6">
        <f>VLOOKUP($A9,'RES installed'!$A$2:$C$7,3,FALSE)*'[1]Profiles, RES, Winter'!C$4</f>
        <v>0</v>
      </c>
      <c r="D9" s="6">
        <f>VLOOKUP($A9,'RES installed'!$A$2:$C$7,3,FALSE)*'[1]Profiles, RES, Winter'!D$4</f>
        <v>0</v>
      </c>
      <c r="E9" s="6">
        <f>VLOOKUP($A9,'RES installed'!$A$2:$C$7,3,FALSE)*'[1]Profiles, RES, Winter'!E$4</f>
        <v>0</v>
      </c>
      <c r="F9" s="6">
        <f>VLOOKUP($A9,'RES installed'!$A$2:$C$7,3,FALSE)*'[1]Profiles, RES, Winter'!F$4</f>
        <v>0</v>
      </c>
      <c r="G9" s="6">
        <f>VLOOKUP($A9,'RES installed'!$A$2:$C$7,3,FALSE)*'[1]Profiles, RES, Winter'!G$4</f>
        <v>0</v>
      </c>
      <c r="H9" s="6">
        <f>VLOOKUP($A9,'RES installed'!$A$2:$C$7,3,FALSE)*'[1]Profiles, RES, Winter'!H$4</f>
        <v>0</v>
      </c>
      <c r="I9" s="6">
        <f>VLOOKUP($A9,'RES installed'!$A$2:$C$7,3,FALSE)*'[1]Profiles, RES, Winter'!I$4</f>
        <v>1.8953752843062926E-2</v>
      </c>
      <c r="J9" s="6">
        <f>VLOOKUP($A9,'RES installed'!$A$2:$C$7,3,FALSE)*'[1]Profiles, RES, Winter'!J$4</f>
        <v>1.6868840030326004</v>
      </c>
      <c r="K9" s="6">
        <f>VLOOKUP($A9,'RES installed'!$A$2:$C$7,3,FALSE)*'[1]Profiles, RES, Winter'!K$4</f>
        <v>7.2403335860500375</v>
      </c>
      <c r="L9" s="6">
        <f>VLOOKUP($A9,'RES installed'!$A$2:$C$7,3,FALSE)*'[1]Profiles, RES, Winter'!L$4</f>
        <v>11.940864291129644</v>
      </c>
      <c r="M9" s="6">
        <f>VLOOKUP($A9,'RES installed'!$A$2:$C$7,3,FALSE)*'[1]Profiles, RES, Winter'!M$4</f>
        <v>13.570887035633056</v>
      </c>
      <c r="N9" s="6">
        <f>VLOOKUP($A9,'RES installed'!$A$2:$C$7,3,FALSE)*'[1]Profiles, RES, Winter'!N$4</f>
        <v>12.964366944655042</v>
      </c>
      <c r="O9" s="6">
        <f>VLOOKUP($A9,'RES installed'!$A$2:$C$7,3,FALSE)*'[1]Profiles, RES, Winter'!O$4</f>
        <v>13.21076573161486</v>
      </c>
      <c r="P9" s="6">
        <f>VLOOKUP($A9,'RES installed'!$A$2:$C$7,3,FALSE)*'[1]Profiles, RES, Winter'!P$4</f>
        <v>14.291129643669448</v>
      </c>
      <c r="Q9" s="6">
        <f>VLOOKUP($A9,'RES installed'!$A$2:$C$7,3,FALSE)*'[1]Profiles, RES, Winter'!Q$4</f>
        <v>13.021228203184229</v>
      </c>
      <c r="R9" s="6">
        <f>VLOOKUP($A9,'RES installed'!$A$2:$C$7,3,FALSE)*'[1]Profiles, RES, Winter'!R$4</f>
        <v>5.9325246398786957</v>
      </c>
      <c r="S9" s="6">
        <f>VLOOKUP($A9,'RES installed'!$A$2:$C$7,3,FALSE)*'[1]Profiles, RES, Winter'!S$4</f>
        <v>0.30326004548900681</v>
      </c>
      <c r="T9" s="6">
        <f>VLOOKUP($A9,'RES installed'!$A$2:$C$7,3,FALSE)*'[1]Profiles, RES, Winter'!T$4</f>
        <v>0</v>
      </c>
      <c r="U9" s="6">
        <f>VLOOKUP($A9,'RES installed'!$A$2:$C$7,3,FALSE)*'[1]Profiles, RES, Winter'!U$4</f>
        <v>0</v>
      </c>
      <c r="V9" s="6">
        <f>VLOOKUP($A9,'RES installed'!$A$2:$C$7,3,FALSE)*'[1]Profiles, RES, Winter'!V$4</f>
        <v>0</v>
      </c>
      <c r="W9" s="6">
        <f>VLOOKUP($A9,'RES installed'!$A$2:$C$7,3,FALSE)*'[1]Profiles, RES, Winter'!W$4</f>
        <v>0</v>
      </c>
      <c r="X9" s="6">
        <f>VLOOKUP($A9,'RES installed'!$A$2:$C$7,3,FALSE)*'[1]Profiles, RES, Winter'!X$4</f>
        <v>0</v>
      </c>
      <c r="Y9" s="6">
        <f>VLOOKUP($A9,'RES installed'!$A$2:$C$7,3,FALSE)*'[1]Profiles, RES, Winter'!Y$4</f>
        <v>0</v>
      </c>
    </row>
    <row r="10" spans="1:25" x14ac:dyDescent="0.3">
      <c r="A10" s="5">
        <v>9</v>
      </c>
      <c r="B10" s="6">
        <f>VLOOKUP($A10,'RES installed'!$A$2:$C$7,3,FALSE)*'[1]Profiles, RES, Winter'!B$4</f>
        <v>0</v>
      </c>
      <c r="C10" s="6">
        <f>VLOOKUP($A10,'RES installed'!$A$2:$C$7,3,FALSE)*'[1]Profiles, RES, Winter'!C$4</f>
        <v>0</v>
      </c>
      <c r="D10" s="6">
        <f>VLOOKUP($A10,'RES installed'!$A$2:$C$7,3,FALSE)*'[1]Profiles, RES, Winter'!D$4</f>
        <v>0</v>
      </c>
      <c r="E10" s="6">
        <f>VLOOKUP($A10,'RES installed'!$A$2:$C$7,3,FALSE)*'[1]Profiles, RES, Winter'!E$4</f>
        <v>0</v>
      </c>
      <c r="F10" s="6">
        <f>VLOOKUP($A10,'RES installed'!$A$2:$C$7,3,FALSE)*'[1]Profiles, RES, Winter'!F$4</f>
        <v>0</v>
      </c>
      <c r="G10" s="6">
        <f>VLOOKUP($A10,'RES installed'!$A$2:$C$7,3,FALSE)*'[1]Profiles, RES, Winter'!G$4</f>
        <v>0</v>
      </c>
      <c r="H10" s="6">
        <f>VLOOKUP($A10,'RES installed'!$A$2:$C$7,3,FALSE)*'[1]Profiles, RES, Winter'!H$4</f>
        <v>0</v>
      </c>
      <c r="I10" s="6">
        <f>VLOOKUP($A10,'RES installed'!$A$2:$C$7,3,FALSE)*'[1]Profiles, RES, Winter'!I$4</f>
        <v>2.2744503411675512E-2</v>
      </c>
      <c r="J10" s="6">
        <f>VLOOKUP($A10,'RES installed'!$A$2:$C$7,3,FALSE)*'[1]Profiles, RES, Winter'!J$4</f>
        <v>2.0242608036391205</v>
      </c>
      <c r="K10" s="6">
        <f>VLOOKUP($A10,'RES installed'!$A$2:$C$7,3,FALSE)*'[1]Profiles, RES, Winter'!K$4</f>
        <v>8.6884003032600461</v>
      </c>
      <c r="L10" s="6">
        <f>VLOOKUP($A10,'RES installed'!$A$2:$C$7,3,FALSE)*'[1]Profiles, RES, Winter'!L$4</f>
        <v>14.329037149355573</v>
      </c>
      <c r="M10" s="6">
        <f>VLOOKUP($A10,'RES installed'!$A$2:$C$7,3,FALSE)*'[1]Profiles, RES, Winter'!M$4</f>
        <v>16.285064442759666</v>
      </c>
      <c r="N10" s="6">
        <f>VLOOKUP($A10,'RES installed'!$A$2:$C$7,3,FALSE)*'[1]Profiles, RES, Winter'!N$4</f>
        <v>15.557240333586051</v>
      </c>
      <c r="O10" s="6">
        <f>VLOOKUP($A10,'RES installed'!$A$2:$C$7,3,FALSE)*'[1]Profiles, RES, Winter'!O$4</f>
        <v>15.852918877937832</v>
      </c>
      <c r="P10" s="6">
        <f>VLOOKUP($A10,'RES installed'!$A$2:$C$7,3,FALSE)*'[1]Profiles, RES, Winter'!P$4</f>
        <v>17.149355572403337</v>
      </c>
      <c r="Q10" s="6">
        <f>VLOOKUP($A10,'RES installed'!$A$2:$C$7,3,FALSE)*'[1]Profiles, RES, Winter'!Q$4</f>
        <v>15.625473843821075</v>
      </c>
      <c r="R10" s="6">
        <f>VLOOKUP($A10,'RES installed'!$A$2:$C$7,3,FALSE)*'[1]Profiles, RES, Winter'!R$4</f>
        <v>7.1190295678544349</v>
      </c>
      <c r="S10" s="6">
        <f>VLOOKUP($A10,'RES installed'!$A$2:$C$7,3,FALSE)*'[1]Profiles, RES, Winter'!S$4</f>
        <v>0.3639120545868082</v>
      </c>
      <c r="T10" s="6">
        <f>VLOOKUP($A10,'RES installed'!$A$2:$C$7,3,FALSE)*'[1]Profiles, RES, Winter'!T$4</f>
        <v>0</v>
      </c>
      <c r="U10" s="6">
        <f>VLOOKUP($A10,'RES installed'!$A$2:$C$7,3,FALSE)*'[1]Profiles, RES, Winter'!U$4</f>
        <v>0</v>
      </c>
      <c r="V10" s="6">
        <f>VLOOKUP($A10,'RES installed'!$A$2:$C$7,3,FALSE)*'[1]Profiles, RES, Winter'!V$4</f>
        <v>0</v>
      </c>
      <c r="W10" s="6">
        <f>VLOOKUP($A10,'RES installed'!$A$2:$C$7,3,FALSE)*'[1]Profiles, RES, Winter'!W$4</f>
        <v>0</v>
      </c>
      <c r="X10" s="6">
        <f>VLOOKUP($A10,'RES installed'!$A$2:$C$7,3,FALSE)*'[1]Profiles, RES, Winter'!X$4</f>
        <v>0</v>
      </c>
      <c r="Y10" s="6">
        <f>VLOOKUP($A10,'RES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D7102-EAD2-4881-BDED-A03D641C897B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3DA2B-5C0A-41B9-AFED-50FD25D0560C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E2395-DF57-4936-A586-D22BA6207182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E30A9-1751-4885-858B-66E541C25255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0EC6-19FC-4B33-8444-28B5BC6963F7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5041-3FFB-46CC-92F3-30F59F131FBC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F275A-B89F-4DBC-8FFA-13ABE3788667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2C341-4C98-40DD-BA66-59D6B3BA9EB2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F0A7-505F-4E22-8E0E-426325E5C323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CD27A-91A8-4D31-B70E-255219E25912}">
  <dimension ref="A1:Y10"/>
  <sheetViews>
    <sheetView workbookViewId="0">
      <selection activeCell="O2" sqref="L2:O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0</v>
      </c>
      <c r="M2">
        <v>0</v>
      </c>
      <c r="N2">
        <v>0</v>
      </c>
      <c r="O2">
        <v>0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</row>
    <row r="4" spans="1:25" x14ac:dyDescent="0.3">
      <c r="A4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8">
        <v>5</v>
      </c>
      <c r="B6" s="8">
        <v>1</v>
      </c>
      <c r="C6" s="8">
        <v>1</v>
      </c>
      <c r="D6" s="8">
        <v>1</v>
      </c>
      <c r="E6" s="8">
        <v>1</v>
      </c>
      <c r="F6" s="8">
        <v>1</v>
      </c>
      <c r="G6" s="8">
        <v>1</v>
      </c>
      <c r="H6" s="8">
        <v>1</v>
      </c>
      <c r="I6" s="8">
        <v>1</v>
      </c>
      <c r="J6" s="8">
        <v>1</v>
      </c>
      <c r="K6" s="8">
        <v>1</v>
      </c>
      <c r="L6" s="8">
        <v>1</v>
      </c>
      <c r="M6" s="8">
        <v>1</v>
      </c>
      <c r="N6" s="8">
        <v>1</v>
      </c>
      <c r="O6" s="8">
        <v>1</v>
      </c>
      <c r="P6" s="8">
        <v>1</v>
      </c>
      <c r="Q6" s="8">
        <v>1</v>
      </c>
      <c r="R6" s="8">
        <v>1</v>
      </c>
      <c r="S6" s="8">
        <v>1</v>
      </c>
      <c r="T6" s="8">
        <v>1</v>
      </c>
      <c r="U6" s="8">
        <v>1</v>
      </c>
      <c r="V6" s="8">
        <v>1</v>
      </c>
      <c r="W6" s="8">
        <v>1</v>
      </c>
      <c r="X6" s="8">
        <v>1</v>
      </c>
      <c r="Y6" s="8">
        <v>1</v>
      </c>
    </row>
    <row r="7" spans="1:25" x14ac:dyDescent="0.3">
      <c r="A7" s="8">
        <v>6</v>
      </c>
      <c r="B7" s="8">
        <v>1</v>
      </c>
      <c r="C7" s="8">
        <v>1</v>
      </c>
      <c r="D7" s="8">
        <v>1</v>
      </c>
      <c r="E7" s="8">
        <v>1</v>
      </c>
      <c r="F7" s="8">
        <v>1</v>
      </c>
      <c r="G7" s="8">
        <v>1</v>
      </c>
      <c r="H7" s="8">
        <v>1</v>
      </c>
      <c r="I7" s="8">
        <v>1</v>
      </c>
      <c r="J7" s="8">
        <v>1</v>
      </c>
      <c r="K7" s="8">
        <v>1</v>
      </c>
      <c r="L7" s="8">
        <v>1</v>
      </c>
      <c r="M7" s="8">
        <v>1</v>
      </c>
      <c r="N7" s="8">
        <v>1</v>
      </c>
      <c r="O7" s="8">
        <v>1</v>
      </c>
      <c r="P7" s="8">
        <v>1</v>
      </c>
      <c r="Q7" s="8">
        <v>1</v>
      </c>
      <c r="R7" s="8">
        <v>1</v>
      </c>
      <c r="S7" s="8">
        <v>1</v>
      </c>
      <c r="T7" s="8">
        <v>1</v>
      </c>
      <c r="U7" s="8">
        <v>1</v>
      </c>
      <c r="V7" s="8">
        <v>1</v>
      </c>
      <c r="W7" s="8">
        <v>1</v>
      </c>
      <c r="X7" s="8">
        <v>1</v>
      </c>
      <c r="Y7" s="8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  <row r="9" spans="1:25" x14ac:dyDescent="0.3">
      <c r="A9" s="5">
        <v>8</v>
      </c>
      <c r="B9" s="5">
        <v>1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</row>
    <row r="10" spans="1:25" x14ac:dyDescent="0.3">
      <c r="A10" s="5">
        <v>9</v>
      </c>
      <c r="B10" s="5">
        <v>1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1</v>
      </c>
      <c r="Y10" s="5">
        <v>1</v>
      </c>
    </row>
  </sheetData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082E8-6F48-4FD6-B495-96CE5FAE95CC}">
  <dimension ref="A1:Y28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Ratio'!$A$3:$B$10,2,FALSE),0)*'FL Characterization'!B$2)</f>
        <v>34.947741326467231</v>
      </c>
      <c r="C2" s="2">
        <f>('[1]Pc, Spring, S1'!C2*Main!$B$5)+(_xlfn.IFNA(VLOOKUP($A2,'FL Ratio'!$A$3:$B$10,2,FALSE),0)*'FL Characterization'!C$2)</f>
        <v>31.243147247343913</v>
      </c>
      <c r="D2" s="2">
        <f>('[1]Pc, Spring, S1'!D2*Main!$B$5)+(_xlfn.IFNA(VLOOKUP($A2,'FL Ratio'!$A$3:$B$10,2,FALSE),0)*'FL Characterization'!D$2)</f>
        <v>29.797093841972107</v>
      </c>
      <c r="E2" s="2">
        <f>('[1]Pc, Spring, S1'!E2*Main!$B$5)+(_xlfn.IFNA(VLOOKUP($A2,'FL Ratio'!$A$3:$B$10,2,FALSE),0)*'FL Characterization'!E$2)</f>
        <v>29.728559681865285</v>
      </c>
      <c r="F2" s="2">
        <f>('[1]Pc, Spring, S1'!F2*Main!$B$5)+(_xlfn.IFNA(VLOOKUP($A2,'FL Ratio'!$A$3:$B$10,2,FALSE),0)*'FL Characterization'!F$2)</f>
        <v>29.36056439006223</v>
      </c>
      <c r="G2" s="2">
        <f>('[1]Pc, Spring, S1'!G2*Main!$B$5)+(_xlfn.IFNA(VLOOKUP($A2,'FL Ratio'!$A$3:$B$10,2,FALSE),0)*'FL Characterization'!G$2)</f>
        <v>30.681662127197885</v>
      </c>
      <c r="H2" s="2">
        <f>('[1]Pc, Spring, S1'!H2*Main!$B$5)+(_xlfn.IFNA(VLOOKUP($A2,'FL Ratio'!$A$3:$B$10,2,FALSE),0)*'FL Characterization'!H$2)</f>
        <v>34.509432013098206</v>
      </c>
      <c r="I2" s="2">
        <f>('[1]Pc, Spring, S1'!I2*Main!$B$5)+(_xlfn.IFNA(VLOOKUP($A2,'FL Ratio'!$A$3:$B$10,2,FALSE),0)*'FL Characterization'!I$2)</f>
        <v>43.07155104514495</v>
      </c>
      <c r="J2" s="2">
        <f>('[1]Pc, Spring, S1'!J2*Main!$B$5)+(_xlfn.IFNA(VLOOKUP($A2,'FL Ratio'!$A$3:$B$10,2,FALSE),0)*'FL Characterization'!J$2)</f>
        <v>46.161048284187643</v>
      </c>
      <c r="K2" s="2">
        <f>('[1]Pc, Spring, S1'!K2*Main!$B$5)+(_xlfn.IFNA(VLOOKUP($A2,'FL Ratio'!$A$3:$B$10,2,FALSE),0)*'FL Characterization'!K$2)</f>
        <v>48.368626726725239</v>
      </c>
      <c r="L2" s="2">
        <f>('[1]Pc, Spring, S1'!L2*Main!$B$5)+(_xlfn.IFNA(VLOOKUP($A2,'FL Ratio'!$A$3:$B$10,2,FALSE),0)*'FL Characterization'!L$2)</f>
        <v>49.967870859643263</v>
      </c>
      <c r="M2" s="2">
        <f>('[1]Pc, Spring, S1'!M2*Main!$B$5)+(_xlfn.IFNA(VLOOKUP($A2,'FL Ratio'!$A$3:$B$10,2,FALSE),0)*'FL Characterization'!M$2)</f>
        <v>48.649104117230408</v>
      </c>
      <c r="N2" s="2">
        <f>('[1]Pc, Spring, S1'!N2*Main!$B$5)+(_xlfn.IFNA(VLOOKUP($A2,'FL Ratio'!$A$3:$B$10,2,FALSE),0)*'FL Characterization'!N$2)</f>
        <v>49.417301192796131</v>
      </c>
      <c r="O2" s="2">
        <f>('[1]Pc, Spring, S1'!O2*Main!$B$5)+(_xlfn.IFNA(VLOOKUP($A2,'FL Ratio'!$A$3:$B$10,2,FALSE),0)*'FL Characterization'!O$2)</f>
        <v>50.411615608649143</v>
      </c>
      <c r="P2" s="2">
        <f>('[1]Pc, Spring, S1'!P2*Main!$B$5)+(_xlfn.IFNA(VLOOKUP($A2,'FL Ratio'!$A$3:$B$10,2,FALSE),0)*'FL Characterization'!P$2)</f>
        <v>46.292631289456537</v>
      </c>
      <c r="Q2" s="2">
        <f>('[1]Pc, Spring, S1'!Q2*Main!$B$5)+(_xlfn.IFNA(VLOOKUP($A2,'FL Ratio'!$A$3:$B$10,2,FALSE),0)*'FL Characterization'!Q$2)</f>
        <v>42.715728336458973</v>
      </c>
      <c r="R2" s="2">
        <f>('[1]Pc, Spring, S1'!R2*Main!$B$5)+(_xlfn.IFNA(VLOOKUP($A2,'FL Ratio'!$A$3:$B$10,2,FALSE),0)*'FL Characterization'!R$2)</f>
        <v>44.330333901390162</v>
      </c>
      <c r="S2" s="2">
        <f>('[1]Pc, Spring, S1'!S2*Main!$B$5)+(_xlfn.IFNA(VLOOKUP($A2,'FL Ratio'!$A$3:$B$10,2,FALSE),0)*'FL Characterization'!S$2)</f>
        <v>46.591631476660517</v>
      </c>
      <c r="T2" s="2">
        <f>('[1]Pc, Spring, S1'!T2*Main!$B$5)+(_xlfn.IFNA(VLOOKUP($A2,'FL Ratio'!$A$3:$B$10,2,FALSE),0)*'FL Characterization'!T$2)</f>
        <v>49.378589660797218</v>
      </c>
      <c r="U2" s="2">
        <f>('[1]Pc, Spring, S1'!U2*Main!$B$5)+(_xlfn.IFNA(VLOOKUP($A2,'FL Ratio'!$A$3:$B$10,2,FALSE),0)*'FL Characterization'!U$2)</f>
        <v>48.512717541662013</v>
      </c>
      <c r="V2" s="2">
        <f>('[1]Pc, Spring, S1'!V2*Main!$B$5)+(_xlfn.IFNA(VLOOKUP($A2,'FL Ratio'!$A$3:$B$10,2,FALSE),0)*'FL Characterization'!V$2)</f>
        <v>46.736318448427738</v>
      </c>
      <c r="W2" s="2">
        <f>('[1]Pc, Spring, S1'!W2*Main!$B$5)+(_xlfn.IFNA(VLOOKUP($A2,'FL Ratio'!$A$3:$B$10,2,FALSE),0)*'FL Characterization'!W$2)</f>
        <v>48.436289171365701</v>
      </c>
      <c r="X2" s="2">
        <f>('[1]Pc, Spring, S1'!X2*Main!$B$5)+(_xlfn.IFNA(VLOOKUP($A2,'FL Ratio'!$A$3:$B$10,2,FALSE),0)*'FL Characterization'!X$2)</f>
        <v>40.585661431318975</v>
      </c>
      <c r="Y2" s="2">
        <f>('[1]Pc, Spring, S1'!Y2*Main!$B$5)+(_xlfn.IFNA(VLOOKUP($A2,'FL Ratio'!$A$3:$B$10,2,FALSE),0)*'FL Characterization'!Y$2)</f>
        <v>40.753227324047295</v>
      </c>
    </row>
    <row r="3" spans="1:25" x14ac:dyDescent="0.3">
      <c r="A3">
        <v>2</v>
      </c>
      <c r="B3" s="2">
        <f>('[1]Pc, Spring, S1'!B3*Main!$B$5)+(_xlfn.IFNA(VLOOKUP($A3,'FL Ratio'!$A$3:$B$10,2,FALSE),0)*'FL Characterization'!B$2)</f>
        <v>36.291427708218443</v>
      </c>
      <c r="C3" s="2">
        <f>('[1]Pc, Spring, S1'!C3*Main!$B$5)+(_xlfn.IFNA(VLOOKUP($A3,'FL Ratio'!$A$3:$B$10,2,FALSE),0)*'FL Characterization'!C$2)</f>
        <v>35.218768492660672</v>
      </c>
      <c r="D3" s="2">
        <f>('[1]Pc, Spring, S1'!D3*Main!$B$5)+(_xlfn.IFNA(VLOOKUP($A3,'FL Ratio'!$A$3:$B$10,2,FALSE),0)*'FL Characterization'!D$2)</f>
        <v>31.624570655274027</v>
      </c>
      <c r="E3" s="2">
        <f>('[1]Pc, Spring, S1'!E3*Main!$B$5)+(_xlfn.IFNA(VLOOKUP($A3,'FL Ratio'!$A$3:$B$10,2,FALSE),0)*'FL Characterization'!E$2)</f>
        <v>32.600338215072732</v>
      </c>
      <c r="F3" s="2">
        <f>('[1]Pc, Spring, S1'!F3*Main!$B$5)+(_xlfn.IFNA(VLOOKUP($A3,'FL Ratio'!$A$3:$B$10,2,FALSE),0)*'FL Characterization'!F$2)</f>
        <v>31.18368880742776</v>
      </c>
      <c r="G3" s="2">
        <f>('[1]Pc, Spring, S1'!G3*Main!$B$5)+(_xlfn.IFNA(VLOOKUP($A3,'FL Ratio'!$A$3:$B$10,2,FALSE),0)*'FL Characterization'!G$2)</f>
        <v>34.133226153066886</v>
      </c>
      <c r="H3" s="2">
        <f>('[1]Pc, Spring, S1'!H3*Main!$B$5)+(_xlfn.IFNA(VLOOKUP($A3,'FL Ratio'!$A$3:$B$10,2,FALSE),0)*'FL Characterization'!H$2)</f>
        <v>44.366768969673025</v>
      </c>
      <c r="I3" s="2">
        <f>('[1]Pc, Spring, S1'!I3*Main!$B$5)+(_xlfn.IFNA(VLOOKUP($A3,'FL Ratio'!$A$3:$B$10,2,FALSE),0)*'FL Characterization'!I$2)</f>
        <v>50.466052184379258</v>
      </c>
      <c r="J3" s="2">
        <f>('[1]Pc, Spring, S1'!J3*Main!$B$5)+(_xlfn.IFNA(VLOOKUP($A3,'FL Ratio'!$A$3:$B$10,2,FALSE),0)*'FL Characterization'!J$2)</f>
        <v>54.771303322397138</v>
      </c>
      <c r="K3" s="2">
        <f>('[1]Pc, Spring, S1'!K3*Main!$B$5)+(_xlfn.IFNA(VLOOKUP($A3,'FL Ratio'!$A$3:$B$10,2,FALSE),0)*'FL Characterization'!K$2)</f>
        <v>53.35754259962598</v>
      </c>
      <c r="L3" s="2">
        <f>('[1]Pc, Spring, S1'!L3*Main!$B$5)+(_xlfn.IFNA(VLOOKUP($A3,'FL Ratio'!$A$3:$B$10,2,FALSE),0)*'FL Characterization'!L$2)</f>
        <v>50.230333357280841</v>
      </c>
      <c r="M3" s="2">
        <f>('[1]Pc, Spring, S1'!M3*Main!$B$5)+(_xlfn.IFNA(VLOOKUP($A3,'FL Ratio'!$A$3:$B$10,2,FALSE),0)*'FL Characterization'!M$2)</f>
        <v>54.822203981249615</v>
      </c>
      <c r="N3" s="2">
        <f>('[1]Pc, Spring, S1'!N3*Main!$B$5)+(_xlfn.IFNA(VLOOKUP($A3,'FL Ratio'!$A$3:$B$10,2,FALSE),0)*'FL Characterization'!N$2)</f>
        <v>52.923098647682622</v>
      </c>
      <c r="O3" s="2">
        <f>('[1]Pc, Spring, S1'!O3*Main!$B$5)+(_xlfn.IFNA(VLOOKUP($A3,'FL Ratio'!$A$3:$B$10,2,FALSE),0)*'FL Characterization'!O$2)</f>
        <v>51.166160037723067</v>
      </c>
      <c r="P3" s="2">
        <f>('[1]Pc, Spring, S1'!P3*Main!$B$5)+(_xlfn.IFNA(VLOOKUP($A3,'FL Ratio'!$A$3:$B$10,2,FALSE),0)*'FL Characterization'!P$2)</f>
        <v>50.474271034157326</v>
      </c>
      <c r="Q3" s="2">
        <f>('[1]Pc, Spring, S1'!Q3*Main!$B$5)+(_xlfn.IFNA(VLOOKUP($A3,'FL Ratio'!$A$3:$B$10,2,FALSE),0)*'FL Characterization'!Q$2)</f>
        <v>48.459387912923646</v>
      </c>
      <c r="R3" s="2">
        <f>('[1]Pc, Spring, S1'!R3*Main!$B$5)+(_xlfn.IFNA(VLOOKUP($A3,'FL Ratio'!$A$3:$B$10,2,FALSE),0)*'FL Characterization'!R$2)</f>
        <v>44.704367244180837</v>
      </c>
      <c r="S3" s="2">
        <f>('[1]Pc, Spring, S1'!S3*Main!$B$5)+(_xlfn.IFNA(VLOOKUP($A3,'FL Ratio'!$A$3:$B$10,2,FALSE),0)*'FL Characterization'!S$2)</f>
        <v>49.391413180970424</v>
      </c>
      <c r="T3" s="2">
        <f>('[1]Pc, Spring, S1'!T3*Main!$B$5)+(_xlfn.IFNA(VLOOKUP($A3,'FL Ratio'!$A$3:$B$10,2,FALSE),0)*'FL Characterization'!T$2)</f>
        <v>49.164688317836685</v>
      </c>
      <c r="U3" s="2">
        <f>('[1]Pc, Spring, S1'!U3*Main!$B$5)+(_xlfn.IFNA(VLOOKUP($A3,'FL Ratio'!$A$3:$B$10,2,FALSE),0)*'FL Characterization'!U$2)</f>
        <v>47.664939245525673</v>
      </c>
      <c r="V3" s="2">
        <f>('[1]Pc, Spring, S1'!V3*Main!$B$5)+(_xlfn.IFNA(VLOOKUP($A3,'FL Ratio'!$A$3:$B$10,2,FALSE),0)*'FL Characterization'!V$2)</f>
        <v>45.820911021723269</v>
      </c>
      <c r="W3" s="2">
        <f>('[1]Pc, Spring, S1'!W3*Main!$B$5)+(_xlfn.IFNA(VLOOKUP($A3,'FL Ratio'!$A$3:$B$10,2,FALSE),0)*'FL Characterization'!W$2)</f>
        <v>44.8950989101413</v>
      </c>
      <c r="X3" s="2">
        <f>('[1]Pc, Spring, S1'!X3*Main!$B$5)+(_xlfn.IFNA(VLOOKUP($A3,'FL Ratio'!$A$3:$B$10,2,FALSE),0)*'FL Characterization'!X$2)</f>
        <v>42.802447119015696</v>
      </c>
      <c r="Y3" s="2">
        <f>('[1]Pc, Spring, S1'!Y3*Main!$B$5)+(_xlfn.IFNA(VLOOKUP($A3,'FL Ratio'!$A$3:$B$10,2,FALSE),0)*'FL Characterization'!Y$2)</f>
        <v>40.157358724142895</v>
      </c>
    </row>
    <row r="4" spans="1:25" x14ac:dyDescent="0.3">
      <c r="A4">
        <v>3</v>
      </c>
      <c r="B4" s="2">
        <f>('[1]Pc, Spring, S1'!B4*Main!$B$5)+(_xlfn.IFNA(VLOOKUP($A4,'FL Ratio'!$A$3:$B$10,2,FALSE),0)*'FL Characterization'!B$2)</f>
        <v>49.49811330209053</v>
      </c>
      <c r="C4" s="2">
        <f>('[1]Pc, Spring, S1'!C4*Main!$B$5)+(_xlfn.IFNA(VLOOKUP($A4,'FL Ratio'!$A$3:$B$10,2,FALSE),0)*'FL Characterization'!C$2)</f>
        <v>43.489892950518559</v>
      </c>
      <c r="D4" s="2">
        <f>('[1]Pc, Spring, S1'!D4*Main!$B$5)+(_xlfn.IFNA(VLOOKUP($A4,'FL Ratio'!$A$3:$B$10,2,FALSE),0)*'FL Characterization'!D$2)</f>
        <v>43.570827865106715</v>
      </c>
      <c r="E4" s="2">
        <f>('[1]Pc, Spring, S1'!E4*Main!$B$5)+(_xlfn.IFNA(VLOOKUP($A4,'FL Ratio'!$A$3:$B$10,2,FALSE),0)*'FL Characterization'!E$2)</f>
        <v>40.175193374245474</v>
      </c>
      <c r="F4" s="2">
        <f>('[1]Pc, Spring, S1'!F4*Main!$B$5)+(_xlfn.IFNA(VLOOKUP($A4,'FL Ratio'!$A$3:$B$10,2,FALSE),0)*'FL Characterization'!F$2)</f>
        <v>42.336120184984146</v>
      </c>
      <c r="G4" s="2">
        <f>('[1]Pc, Spring, S1'!G4*Main!$B$5)+(_xlfn.IFNA(VLOOKUP($A4,'FL Ratio'!$A$3:$B$10,2,FALSE),0)*'FL Characterization'!G$2)</f>
        <v>41.492568930894642</v>
      </c>
      <c r="H4" s="2">
        <f>('[1]Pc, Spring, S1'!H4*Main!$B$5)+(_xlfn.IFNA(VLOOKUP($A4,'FL Ratio'!$A$3:$B$10,2,FALSE),0)*'FL Characterization'!H$2)</f>
        <v>48.585196544785148</v>
      </c>
      <c r="I4" s="2">
        <f>('[1]Pc, Spring, S1'!I4*Main!$B$5)+(_xlfn.IFNA(VLOOKUP($A4,'FL Ratio'!$A$3:$B$10,2,FALSE),0)*'FL Characterization'!I$2)</f>
        <v>52.262922387023451</v>
      </c>
      <c r="J4" s="2">
        <f>('[1]Pc, Spring, S1'!J4*Main!$B$5)+(_xlfn.IFNA(VLOOKUP($A4,'FL Ratio'!$A$3:$B$10,2,FALSE),0)*'FL Characterization'!J$2)</f>
        <v>60.374556153732598</v>
      </c>
      <c r="K4" s="2">
        <f>('[1]Pc, Spring, S1'!K4*Main!$B$5)+(_xlfn.IFNA(VLOOKUP($A4,'FL Ratio'!$A$3:$B$10,2,FALSE),0)*'FL Characterization'!K$2)</f>
        <v>62.068204115487383</v>
      </c>
      <c r="L4" s="2">
        <f>('[1]Pc, Spring, S1'!L4*Main!$B$5)+(_xlfn.IFNA(VLOOKUP($A4,'FL Ratio'!$A$3:$B$10,2,FALSE),0)*'FL Characterization'!L$2)</f>
        <v>64.119412227502579</v>
      </c>
      <c r="M4" s="2">
        <f>('[1]Pc, Spring, S1'!M4*Main!$B$5)+(_xlfn.IFNA(VLOOKUP($A4,'FL Ratio'!$A$3:$B$10,2,FALSE),0)*'FL Characterization'!M$2)</f>
        <v>67.672893196769408</v>
      </c>
      <c r="N4" s="2">
        <f>('[1]Pc, Spring, S1'!N4*Main!$B$5)+(_xlfn.IFNA(VLOOKUP($A4,'FL Ratio'!$A$3:$B$10,2,FALSE),0)*'FL Characterization'!N$2)</f>
        <v>68.289105082877128</v>
      </c>
      <c r="O4" s="2">
        <f>('[1]Pc, Spring, S1'!O4*Main!$B$5)+(_xlfn.IFNA(VLOOKUP($A4,'FL Ratio'!$A$3:$B$10,2,FALSE),0)*'FL Characterization'!O$2)</f>
        <v>68.173326563477261</v>
      </c>
      <c r="P4" s="2">
        <f>('[1]Pc, Spring, S1'!P4*Main!$B$5)+(_xlfn.IFNA(VLOOKUP($A4,'FL Ratio'!$A$3:$B$10,2,FALSE),0)*'FL Characterization'!P$2)</f>
        <v>64.471458713366189</v>
      </c>
      <c r="Q4" s="2">
        <f>('[1]Pc, Spring, S1'!Q4*Main!$B$5)+(_xlfn.IFNA(VLOOKUP($A4,'FL Ratio'!$A$3:$B$10,2,FALSE),0)*'FL Characterization'!Q$2)</f>
        <v>65.116112400680123</v>
      </c>
      <c r="R4" s="2">
        <f>('[1]Pc, Spring, S1'!R4*Main!$B$5)+(_xlfn.IFNA(VLOOKUP($A4,'FL Ratio'!$A$3:$B$10,2,FALSE),0)*'FL Characterization'!R$2)</f>
        <v>64.46215079183203</v>
      </c>
      <c r="S4" s="2">
        <f>('[1]Pc, Spring, S1'!S4*Main!$B$5)+(_xlfn.IFNA(VLOOKUP($A4,'FL Ratio'!$A$3:$B$10,2,FALSE),0)*'FL Characterization'!S$2)</f>
        <v>67.056817031787546</v>
      </c>
      <c r="T4" s="2">
        <f>('[1]Pc, Spring, S1'!T4*Main!$B$5)+(_xlfn.IFNA(VLOOKUP($A4,'FL Ratio'!$A$3:$B$10,2,FALSE),0)*'FL Characterization'!T$2)</f>
        <v>66.569261051706761</v>
      </c>
      <c r="U4" s="2">
        <f>('[1]Pc, Spring, S1'!U4*Main!$B$5)+(_xlfn.IFNA(VLOOKUP($A4,'FL Ratio'!$A$3:$B$10,2,FALSE),0)*'FL Characterization'!U$2)</f>
        <v>65.044028743440606</v>
      </c>
      <c r="V4" s="2">
        <f>('[1]Pc, Spring, S1'!V4*Main!$B$5)+(_xlfn.IFNA(VLOOKUP($A4,'FL Ratio'!$A$3:$B$10,2,FALSE),0)*'FL Characterization'!V$2)</f>
        <v>63.75382145523637</v>
      </c>
      <c r="W4" s="2">
        <f>('[1]Pc, Spring, S1'!W4*Main!$B$5)+(_xlfn.IFNA(VLOOKUP($A4,'FL Ratio'!$A$3:$B$10,2,FALSE),0)*'FL Characterization'!W$2)</f>
        <v>66.520835012820768</v>
      </c>
      <c r="X4" s="2">
        <f>('[1]Pc, Spring, S1'!X4*Main!$B$5)+(_xlfn.IFNA(VLOOKUP($A4,'FL Ratio'!$A$3:$B$10,2,FALSE),0)*'FL Characterization'!X$2)</f>
        <v>62.611340503905211</v>
      </c>
      <c r="Y4" s="2">
        <f>('[1]Pc, Spring, S1'!Y4*Main!$B$5)+(_xlfn.IFNA(VLOOKUP($A4,'FL Ratio'!$A$3:$B$10,2,FALSE),0)*'FL Characterization'!Y$2)</f>
        <v>57.480650928051467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CA6AE-8FD8-47E3-ACEB-AC17C2C6115E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Ratio'!$A$3:$B$10,2,FALSE),0)*'FL Characterization'!B$2)</f>
        <v>34.947741326467231</v>
      </c>
      <c r="C2" s="2">
        <f>('[1]Pc, Spring, S1'!C2*Main!$B$5)+(_xlfn.IFNA(VLOOKUP($A2,'FL Ratio'!$A$3:$B$10,2,FALSE),0)*'FL Characterization'!C$2)</f>
        <v>31.243147247343913</v>
      </c>
      <c r="D2" s="2">
        <f>('[1]Pc, Spring, S1'!D2*Main!$B$5)+(_xlfn.IFNA(VLOOKUP($A2,'FL Ratio'!$A$3:$B$10,2,FALSE),0)*'FL Characterization'!D$2)</f>
        <v>29.797093841972107</v>
      </c>
      <c r="E2" s="2">
        <f>('[1]Pc, Spring, S1'!E2*Main!$B$5)+(_xlfn.IFNA(VLOOKUP($A2,'FL Ratio'!$A$3:$B$10,2,FALSE),0)*'FL Characterization'!E$2)</f>
        <v>29.728559681865285</v>
      </c>
      <c r="F2" s="2">
        <f>('[1]Pc, Spring, S1'!F2*Main!$B$5)+(_xlfn.IFNA(VLOOKUP($A2,'FL Ratio'!$A$3:$B$10,2,FALSE),0)*'FL Characterization'!F$2)</f>
        <v>29.36056439006223</v>
      </c>
      <c r="G2" s="2">
        <f>('[1]Pc, Spring, S1'!G2*Main!$B$5)+(_xlfn.IFNA(VLOOKUP($A2,'FL Ratio'!$A$3:$B$10,2,FALSE),0)*'FL Characterization'!G$2)</f>
        <v>30.681662127197885</v>
      </c>
      <c r="H2" s="2">
        <f>('[1]Pc, Spring, S1'!H2*Main!$B$5)+(_xlfn.IFNA(VLOOKUP($A2,'FL Ratio'!$A$3:$B$10,2,FALSE),0)*'FL Characterization'!H$2)</f>
        <v>34.509432013098206</v>
      </c>
      <c r="I2" s="2">
        <f>('[1]Pc, Spring, S1'!I2*Main!$B$5)+(_xlfn.IFNA(VLOOKUP($A2,'FL Ratio'!$A$3:$B$10,2,FALSE),0)*'FL Characterization'!I$2)</f>
        <v>43.07155104514495</v>
      </c>
      <c r="J2" s="2">
        <f>('[1]Pc, Spring, S1'!J2*Main!$B$5)+(_xlfn.IFNA(VLOOKUP($A2,'FL Ratio'!$A$3:$B$10,2,FALSE),0)*'FL Characterization'!J$2)</f>
        <v>46.161048284187643</v>
      </c>
      <c r="K2" s="2">
        <f>('[1]Pc, Spring, S1'!K2*Main!$B$5)+(_xlfn.IFNA(VLOOKUP($A2,'FL Ratio'!$A$3:$B$10,2,FALSE),0)*'FL Characterization'!K$2)</f>
        <v>48.368626726725239</v>
      </c>
      <c r="L2" s="2">
        <f>('[1]Pc, Spring, S1'!L2*Main!$B$5)+(_xlfn.IFNA(VLOOKUP($A2,'FL Ratio'!$A$3:$B$10,2,FALSE),0)*'FL Characterization'!L$2)</f>
        <v>49.967870859643263</v>
      </c>
      <c r="M2" s="2">
        <f>('[1]Pc, Spring, S1'!M2*Main!$B$5)+(_xlfn.IFNA(VLOOKUP($A2,'FL Ratio'!$A$3:$B$10,2,FALSE),0)*'FL Characterization'!M$2)</f>
        <v>48.649104117230408</v>
      </c>
      <c r="N2" s="2">
        <f>('[1]Pc, Spring, S1'!N2*Main!$B$5)+(_xlfn.IFNA(VLOOKUP($A2,'FL Ratio'!$A$3:$B$10,2,FALSE),0)*'FL Characterization'!N$2)</f>
        <v>49.417301192796131</v>
      </c>
      <c r="O2" s="2">
        <f>('[1]Pc, Spring, S1'!O2*Main!$B$5)+(_xlfn.IFNA(VLOOKUP($A2,'FL Ratio'!$A$3:$B$10,2,FALSE),0)*'FL Characterization'!O$2)</f>
        <v>50.411615608649143</v>
      </c>
      <c r="P2" s="2">
        <f>('[1]Pc, Spring, S1'!P2*Main!$B$5)+(_xlfn.IFNA(VLOOKUP($A2,'FL Ratio'!$A$3:$B$10,2,FALSE),0)*'FL Characterization'!P$2)</f>
        <v>46.292631289456537</v>
      </c>
      <c r="Q2" s="2">
        <f>('[1]Pc, Spring, S1'!Q2*Main!$B$5)+(_xlfn.IFNA(VLOOKUP($A2,'FL Ratio'!$A$3:$B$10,2,FALSE),0)*'FL Characterization'!Q$2)</f>
        <v>42.715728336458973</v>
      </c>
      <c r="R2" s="2">
        <f>('[1]Pc, Spring, S1'!R2*Main!$B$5)+(_xlfn.IFNA(VLOOKUP($A2,'FL Ratio'!$A$3:$B$10,2,FALSE),0)*'FL Characterization'!R$2)</f>
        <v>44.330333901390162</v>
      </c>
      <c r="S2" s="2">
        <f>('[1]Pc, Spring, S1'!S2*Main!$B$5)+(_xlfn.IFNA(VLOOKUP($A2,'FL Ratio'!$A$3:$B$10,2,FALSE),0)*'FL Characterization'!S$2)</f>
        <v>46.591631476660517</v>
      </c>
      <c r="T2" s="2">
        <f>('[1]Pc, Spring, S1'!T2*Main!$B$5)+(_xlfn.IFNA(VLOOKUP($A2,'FL Ratio'!$A$3:$B$10,2,FALSE),0)*'FL Characterization'!T$2)</f>
        <v>49.378589660797218</v>
      </c>
      <c r="U2" s="2">
        <f>('[1]Pc, Spring, S1'!U2*Main!$B$5)+(_xlfn.IFNA(VLOOKUP($A2,'FL Ratio'!$A$3:$B$10,2,FALSE),0)*'FL Characterization'!U$2)</f>
        <v>48.512717541662013</v>
      </c>
      <c r="V2" s="2">
        <f>('[1]Pc, Spring, S1'!V2*Main!$B$5)+(_xlfn.IFNA(VLOOKUP($A2,'FL Ratio'!$A$3:$B$10,2,FALSE),0)*'FL Characterization'!V$2)</f>
        <v>46.736318448427738</v>
      </c>
      <c r="W2" s="2">
        <f>('[1]Pc, Spring, S1'!W2*Main!$B$5)+(_xlfn.IFNA(VLOOKUP($A2,'FL Ratio'!$A$3:$B$10,2,FALSE),0)*'FL Characterization'!W$2)</f>
        <v>48.436289171365701</v>
      </c>
      <c r="X2" s="2">
        <f>('[1]Pc, Spring, S1'!X2*Main!$B$5)+(_xlfn.IFNA(VLOOKUP($A2,'FL Ratio'!$A$3:$B$10,2,FALSE),0)*'FL Characterization'!X$2)</f>
        <v>40.585661431318975</v>
      </c>
      <c r="Y2" s="2">
        <f>('[1]Pc, Spring, S1'!Y2*Main!$B$5)+(_xlfn.IFNA(VLOOKUP($A2,'FL Ratio'!$A$3:$B$10,2,FALSE),0)*'FL Characterization'!Y$2)</f>
        <v>40.753227324047295</v>
      </c>
    </row>
    <row r="3" spans="1:25" x14ac:dyDescent="0.3">
      <c r="A3">
        <v>2</v>
      </c>
      <c r="B3" s="2">
        <f>('[1]Pc, Spring, S1'!B3*Main!$B$5)+(_xlfn.IFNA(VLOOKUP($A3,'FL Ratio'!$A$3:$B$10,2,FALSE),0)*'FL Characterization'!B$2)</f>
        <v>36.291427708218443</v>
      </c>
      <c r="C3" s="2">
        <f>('[1]Pc, Spring, S1'!C3*Main!$B$5)+(_xlfn.IFNA(VLOOKUP($A3,'FL Ratio'!$A$3:$B$10,2,FALSE),0)*'FL Characterization'!C$2)</f>
        <v>35.218768492660672</v>
      </c>
      <c r="D3" s="2">
        <f>('[1]Pc, Spring, S1'!D3*Main!$B$5)+(_xlfn.IFNA(VLOOKUP($A3,'FL Ratio'!$A$3:$B$10,2,FALSE),0)*'FL Characterization'!D$2)</f>
        <v>31.624570655274027</v>
      </c>
      <c r="E3" s="2">
        <f>('[1]Pc, Spring, S1'!E3*Main!$B$5)+(_xlfn.IFNA(VLOOKUP($A3,'FL Ratio'!$A$3:$B$10,2,FALSE),0)*'FL Characterization'!E$2)</f>
        <v>32.600338215072732</v>
      </c>
      <c r="F3" s="2">
        <f>('[1]Pc, Spring, S1'!F3*Main!$B$5)+(_xlfn.IFNA(VLOOKUP($A3,'FL Ratio'!$A$3:$B$10,2,FALSE),0)*'FL Characterization'!F$2)</f>
        <v>31.18368880742776</v>
      </c>
      <c r="G3" s="2">
        <f>('[1]Pc, Spring, S1'!G3*Main!$B$5)+(_xlfn.IFNA(VLOOKUP($A3,'FL Ratio'!$A$3:$B$10,2,FALSE),0)*'FL Characterization'!G$2)</f>
        <v>34.133226153066886</v>
      </c>
      <c r="H3" s="2">
        <f>('[1]Pc, Spring, S1'!H3*Main!$B$5)+(_xlfn.IFNA(VLOOKUP($A3,'FL Ratio'!$A$3:$B$10,2,FALSE),0)*'FL Characterization'!H$2)</f>
        <v>44.366768969673025</v>
      </c>
      <c r="I3" s="2">
        <f>('[1]Pc, Spring, S1'!I3*Main!$B$5)+(_xlfn.IFNA(VLOOKUP($A3,'FL Ratio'!$A$3:$B$10,2,FALSE),0)*'FL Characterization'!I$2)</f>
        <v>50.466052184379258</v>
      </c>
      <c r="J3" s="2">
        <f>('[1]Pc, Spring, S1'!J3*Main!$B$5)+(_xlfn.IFNA(VLOOKUP($A3,'FL Ratio'!$A$3:$B$10,2,FALSE),0)*'FL Characterization'!J$2)</f>
        <v>54.771303322397138</v>
      </c>
      <c r="K3" s="2">
        <f>('[1]Pc, Spring, S1'!K3*Main!$B$5)+(_xlfn.IFNA(VLOOKUP($A3,'FL Ratio'!$A$3:$B$10,2,FALSE),0)*'FL Characterization'!K$2)</f>
        <v>53.35754259962598</v>
      </c>
      <c r="L3" s="2">
        <f>('[1]Pc, Spring, S1'!L3*Main!$B$5)+(_xlfn.IFNA(VLOOKUP($A3,'FL Ratio'!$A$3:$B$10,2,FALSE),0)*'FL Characterization'!L$2)</f>
        <v>50.230333357280841</v>
      </c>
      <c r="M3" s="2">
        <f>('[1]Pc, Spring, S1'!M3*Main!$B$5)+(_xlfn.IFNA(VLOOKUP($A3,'FL Ratio'!$A$3:$B$10,2,FALSE),0)*'FL Characterization'!M$2)</f>
        <v>54.822203981249615</v>
      </c>
      <c r="N3" s="2">
        <f>('[1]Pc, Spring, S1'!N3*Main!$B$5)+(_xlfn.IFNA(VLOOKUP($A3,'FL Ratio'!$A$3:$B$10,2,FALSE),0)*'FL Characterization'!N$2)</f>
        <v>52.923098647682622</v>
      </c>
      <c r="O3" s="2">
        <f>('[1]Pc, Spring, S1'!O3*Main!$B$5)+(_xlfn.IFNA(VLOOKUP($A3,'FL Ratio'!$A$3:$B$10,2,FALSE),0)*'FL Characterization'!O$2)</f>
        <v>51.166160037723067</v>
      </c>
      <c r="P3" s="2">
        <f>('[1]Pc, Spring, S1'!P3*Main!$B$5)+(_xlfn.IFNA(VLOOKUP($A3,'FL Ratio'!$A$3:$B$10,2,FALSE),0)*'FL Characterization'!P$2)</f>
        <v>50.474271034157326</v>
      </c>
      <c r="Q3" s="2">
        <f>('[1]Pc, Spring, S1'!Q3*Main!$B$5)+(_xlfn.IFNA(VLOOKUP($A3,'FL Ratio'!$A$3:$B$10,2,FALSE),0)*'FL Characterization'!Q$2)</f>
        <v>48.459387912923646</v>
      </c>
      <c r="R3" s="2">
        <f>('[1]Pc, Spring, S1'!R3*Main!$B$5)+(_xlfn.IFNA(VLOOKUP($A3,'FL Ratio'!$A$3:$B$10,2,FALSE),0)*'FL Characterization'!R$2)</f>
        <v>44.704367244180837</v>
      </c>
      <c r="S3" s="2">
        <f>('[1]Pc, Spring, S1'!S3*Main!$B$5)+(_xlfn.IFNA(VLOOKUP($A3,'FL Ratio'!$A$3:$B$10,2,FALSE),0)*'FL Characterization'!S$2)</f>
        <v>49.391413180970424</v>
      </c>
      <c r="T3" s="2">
        <f>('[1]Pc, Spring, S1'!T3*Main!$B$5)+(_xlfn.IFNA(VLOOKUP($A3,'FL Ratio'!$A$3:$B$10,2,FALSE),0)*'FL Characterization'!T$2)</f>
        <v>49.164688317836685</v>
      </c>
      <c r="U3" s="2">
        <f>('[1]Pc, Spring, S1'!U3*Main!$B$5)+(_xlfn.IFNA(VLOOKUP($A3,'FL Ratio'!$A$3:$B$10,2,FALSE),0)*'FL Characterization'!U$2)</f>
        <v>47.664939245525673</v>
      </c>
      <c r="V3" s="2">
        <f>('[1]Pc, Spring, S1'!V3*Main!$B$5)+(_xlfn.IFNA(VLOOKUP($A3,'FL Ratio'!$A$3:$B$10,2,FALSE),0)*'FL Characterization'!V$2)</f>
        <v>45.820911021723269</v>
      </c>
      <c r="W3" s="2">
        <f>('[1]Pc, Spring, S1'!W3*Main!$B$5)+(_xlfn.IFNA(VLOOKUP($A3,'FL Ratio'!$A$3:$B$10,2,FALSE),0)*'FL Characterization'!W$2)</f>
        <v>44.8950989101413</v>
      </c>
      <c r="X3" s="2">
        <f>('[1]Pc, Spring, S1'!X3*Main!$B$5)+(_xlfn.IFNA(VLOOKUP($A3,'FL Ratio'!$A$3:$B$10,2,FALSE),0)*'FL Characterization'!X$2)</f>
        <v>42.802447119015696</v>
      </c>
      <c r="Y3" s="2">
        <f>('[1]Pc, Spring, S1'!Y3*Main!$B$5)+(_xlfn.IFNA(VLOOKUP($A3,'FL Ratio'!$A$3:$B$10,2,FALSE),0)*'FL Characterization'!Y$2)</f>
        <v>40.157358724142895</v>
      </c>
    </row>
    <row r="4" spans="1:25" x14ac:dyDescent="0.3">
      <c r="A4">
        <v>3</v>
      </c>
      <c r="B4" s="2">
        <f>('[1]Pc, Spring, S1'!B4*Main!$B$5)+(_xlfn.IFNA(VLOOKUP($A4,'FL Ratio'!$A$3:$B$10,2,FALSE),0)*'FL Characterization'!B$2)</f>
        <v>49.49811330209053</v>
      </c>
      <c r="C4" s="2">
        <f>('[1]Pc, Spring, S1'!C4*Main!$B$5)+(_xlfn.IFNA(VLOOKUP($A4,'FL Ratio'!$A$3:$B$10,2,FALSE),0)*'FL Characterization'!C$2)</f>
        <v>43.489892950518559</v>
      </c>
      <c r="D4" s="2">
        <f>('[1]Pc, Spring, S1'!D4*Main!$B$5)+(_xlfn.IFNA(VLOOKUP($A4,'FL Ratio'!$A$3:$B$10,2,FALSE),0)*'FL Characterization'!D$2)</f>
        <v>43.570827865106715</v>
      </c>
      <c r="E4" s="2">
        <f>('[1]Pc, Spring, S1'!E4*Main!$B$5)+(_xlfn.IFNA(VLOOKUP($A4,'FL Ratio'!$A$3:$B$10,2,FALSE),0)*'FL Characterization'!E$2)</f>
        <v>40.175193374245474</v>
      </c>
      <c r="F4" s="2">
        <f>('[1]Pc, Spring, S1'!F4*Main!$B$5)+(_xlfn.IFNA(VLOOKUP($A4,'FL Ratio'!$A$3:$B$10,2,FALSE),0)*'FL Characterization'!F$2)</f>
        <v>42.336120184984146</v>
      </c>
      <c r="G4" s="2">
        <f>('[1]Pc, Spring, S1'!G4*Main!$B$5)+(_xlfn.IFNA(VLOOKUP($A4,'FL Ratio'!$A$3:$B$10,2,FALSE),0)*'FL Characterization'!G$2)</f>
        <v>41.492568930894642</v>
      </c>
      <c r="H4" s="2">
        <f>('[1]Pc, Spring, S1'!H4*Main!$B$5)+(_xlfn.IFNA(VLOOKUP($A4,'FL Ratio'!$A$3:$B$10,2,FALSE),0)*'FL Characterization'!H$2)</f>
        <v>48.585196544785148</v>
      </c>
      <c r="I4" s="2">
        <f>('[1]Pc, Spring, S1'!I4*Main!$B$5)+(_xlfn.IFNA(VLOOKUP($A4,'FL Ratio'!$A$3:$B$10,2,FALSE),0)*'FL Characterization'!I$2)</f>
        <v>52.262922387023451</v>
      </c>
      <c r="J4" s="2">
        <f>('[1]Pc, Spring, S1'!J4*Main!$B$5)+(_xlfn.IFNA(VLOOKUP($A4,'FL Ratio'!$A$3:$B$10,2,FALSE),0)*'FL Characterization'!J$2)</f>
        <v>60.374556153732598</v>
      </c>
      <c r="K4" s="2">
        <f>('[1]Pc, Spring, S1'!K4*Main!$B$5)+(_xlfn.IFNA(VLOOKUP($A4,'FL Ratio'!$A$3:$B$10,2,FALSE),0)*'FL Characterization'!K$2)</f>
        <v>62.068204115487383</v>
      </c>
      <c r="L4" s="2">
        <f>('[1]Pc, Spring, S1'!L4*Main!$B$5)+(_xlfn.IFNA(VLOOKUP($A4,'FL Ratio'!$A$3:$B$10,2,FALSE),0)*'FL Characterization'!L$2)</f>
        <v>64.119412227502579</v>
      </c>
      <c r="M4" s="2">
        <f>('[1]Pc, Spring, S1'!M4*Main!$B$5)+(_xlfn.IFNA(VLOOKUP($A4,'FL Ratio'!$A$3:$B$10,2,FALSE),0)*'FL Characterization'!M$2)</f>
        <v>67.672893196769408</v>
      </c>
      <c r="N4" s="2">
        <f>('[1]Pc, Spring, S1'!N4*Main!$B$5)+(_xlfn.IFNA(VLOOKUP($A4,'FL Ratio'!$A$3:$B$10,2,FALSE),0)*'FL Characterization'!N$2)</f>
        <v>68.289105082877128</v>
      </c>
      <c r="O4" s="2">
        <f>('[1]Pc, Spring, S1'!O4*Main!$B$5)+(_xlfn.IFNA(VLOOKUP($A4,'FL Ratio'!$A$3:$B$10,2,FALSE),0)*'FL Characterization'!O$2)</f>
        <v>68.173326563477261</v>
      </c>
      <c r="P4" s="2">
        <f>('[1]Pc, Spring, S1'!P4*Main!$B$5)+(_xlfn.IFNA(VLOOKUP($A4,'FL Ratio'!$A$3:$B$10,2,FALSE),0)*'FL Characterization'!P$2)</f>
        <v>64.471458713366189</v>
      </c>
      <c r="Q4" s="2">
        <f>('[1]Pc, Spring, S1'!Q4*Main!$B$5)+(_xlfn.IFNA(VLOOKUP($A4,'FL Ratio'!$A$3:$B$10,2,FALSE),0)*'FL Characterization'!Q$2)</f>
        <v>65.116112400680123</v>
      </c>
      <c r="R4" s="2">
        <f>('[1]Pc, Spring, S1'!R4*Main!$B$5)+(_xlfn.IFNA(VLOOKUP($A4,'FL Ratio'!$A$3:$B$10,2,FALSE),0)*'FL Characterization'!R$2)</f>
        <v>64.46215079183203</v>
      </c>
      <c r="S4" s="2">
        <f>('[1]Pc, Spring, S1'!S4*Main!$B$5)+(_xlfn.IFNA(VLOOKUP($A4,'FL Ratio'!$A$3:$B$10,2,FALSE),0)*'FL Characterization'!S$2)</f>
        <v>67.056817031787546</v>
      </c>
      <c r="T4" s="2">
        <f>('[1]Pc, Spring, S1'!T4*Main!$B$5)+(_xlfn.IFNA(VLOOKUP($A4,'FL Ratio'!$A$3:$B$10,2,FALSE),0)*'FL Characterization'!T$2)</f>
        <v>66.569261051706761</v>
      </c>
      <c r="U4" s="2">
        <f>('[1]Pc, Spring, S1'!U4*Main!$B$5)+(_xlfn.IFNA(VLOOKUP($A4,'FL Ratio'!$A$3:$B$10,2,FALSE),0)*'FL Characterization'!U$2)</f>
        <v>65.044028743440606</v>
      </c>
      <c r="V4" s="2">
        <f>('[1]Pc, Spring, S1'!V4*Main!$B$5)+(_xlfn.IFNA(VLOOKUP($A4,'FL Ratio'!$A$3:$B$10,2,FALSE),0)*'FL Characterization'!V$2)</f>
        <v>63.75382145523637</v>
      </c>
      <c r="W4" s="2">
        <f>('[1]Pc, Spring, S1'!W4*Main!$B$5)+(_xlfn.IFNA(VLOOKUP($A4,'FL Ratio'!$A$3:$B$10,2,FALSE),0)*'FL Characterization'!W$2)</f>
        <v>66.520835012820768</v>
      </c>
      <c r="X4" s="2">
        <f>('[1]Pc, Spring, S1'!X4*Main!$B$5)+(_xlfn.IFNA(VLOOKUP($A4,'FL Ratio'!$A$3:$B$10,2,FALSE),0)*'FL Characterization'!X$2)</f>
        <v>62.611340503905211</v>
      </c>
      <c r="Y4" s="2">
        <f>('[1]Pc, Spring, S1'!Y4*Main!$B$5)+(_xlfn.IFNA(VLOOKUP($A4,'FL Ratio'!$A$3:$B$10,2,FALSE),0)*'FL Characterization'!Y$2)</f>
        <v>57.480650928051467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14B1F-CBF1-423B-9907-DFEE7C9E44C5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Ratio'!$A$3:$B$10,2,FALSE),0)*'FL Characterization'!B$2)</f>
        <v>34.947741326467231</v>
      </c>
      <c r="C2" s="2">
        <f>('[1]Pc, Spring, S1'!C2*Main!$B$5)+(_xlfn.IFNA(VLOOKUP($A2,'FL Ratio'!$A$3:$B$10,2,FALSE),0)*'FL Characterization'!C$2)</f>
        <v>31.243147247343913</v>
      </c>
      <c r="D2" s="2">
        <f>('[1]Pc, Spring, S1'!D2*Main!$B$5)+(_xlfn.IFNA(VLOOKUP($A2,'FL Ratio'!$A$3:$B$10,2,FALSE),0)*'FL Characterization'!D$2)</f>
        <v>29.797093841972107</v>
      </c>
      <c r="E2" s="2">
        <f>('[1]Pc, Spring, S1'!E2*Main!$B$5)+(_xlfn.IFNA(VLOOKUP($A2,'FL Ratio'!$A$3:$B$10,2,FALSE),0)*'FL Characterization'!E$2)</f>
        <v>29.728559681865285</v>
      </c>
      <c r="F2" s="2">
        <f>('[1]Pc, Spring, S1'!F2*Main!$B$5)+(_xlfn.IFNA(VLOOKUP($A2,'FL Ratio'!$A$3:$B$10,2,FALSE),0)*'FL Characterization'!F$2)</f>
        <v>29.36056439006223</v>
      </c>
      <c r="G2" s="2">
        <f>('[1]Pc, Spring, S1'!G2*Main!$B$5)+(_xlfn.IFNA(VLOOKUP($A2,'FL Ratio'!$A$3:$B$10,2,FALSE),0)*'FL Characterization'!G$2)</f>
        <v>30.681662127197885</v>
      </c>
      <c r="H2" s="2">
        <f>('[1]Pc, Spring, S1'!H2*Main!$B$5)+(_xlfn.IFNA(VLOOKUP($A2,'FL Ratio'!$A$3:$B$10,2,FALSE),0)*'FL Characterization'!H$2)</f>
        <v>34.509432013098206</v>
      </c>
      <c r="I2" s="2">
        <f>('[1]Pc, Spring, S1'!I2*Main!$B$5)+(_xlfn.IFNA(VLOOKUP($A2,'FL Ratio'!$A$3:$B$10,2,FALSE),0)*'FL Characterization'!I$2)</f>
        <v>43.07155104514495</v>
      </c>
      <c r="J2" s="2">
        <f>('[1]Pc, Spring, S1'!J2*Main!$B$5)+(_xlfn.IFNA(VLOOKUP($A2,'FL Ratio'!$A$3:$B$10,2,FALSE),0)*'FL Characterization'!J$2)</f>
        <v>46.161048284187643</v>
      </c>
      <c r="K2" s="2">
        <f>('[1]Pc, Spring, S1'!K2*Main!$B$5)+(_xlfn.IFNA(VLOOKUP($A2,'FL Ratio'!$A$3:$B$10,2,FALSE),0)*'FL Characterization'!K$2)</f>
        <v>48.368626726725239</v>
      </c>
      <c r="L2" s="2">
        <f>('[1]Pc, Spring, S1'!L2*Main!$B$5)+(_xlfn.IFNA(VLOOKUP($A2,'FL Ratio'!$A$3:$B$10,2,FALSE),0)*'FL Characterization'!L$2)</f>
        <v>49.967870859643263</v>
      </c>
      <c r="M2" s="2">
        <f>('[1]Pc, Spring, S1'!M2*Main!$B$5)+(_xlfn.IFNA(VLOOKUP($A2,'FL Ratio'!$A$3:$B$10,2,FALSE),0)*'FL Characterization'!M$2)</f>
        <v>48.649104117230408</v>
      </c>
      <c r="N2" s="2">
        <f>('[1]Pc, Spring, S1'!N2*Main!$B$5)+(_xlfn.IFNA(VLOOKUP($A2,'FL Ratio'!$A$3:$B$10,2,FALSE),0)*'FL Characterization'!N$2)</f>
        <v>49.417301192796131</v>
      </c>
      <c r="O2" s="2">
        <f>('[1]Pc, Spring, S1'!O2*Main!$B$5)+(_xlfn.IFNA(VLOOKUP($A2,'FL Ratio'!$A$3:$B$10,2,FALSE),0)*'FL Characterization'!O$2)</f>
        <v>50.411615608649143</v>
      </c>
      <c r="P2" s="2">
        <f>('[1]Pc, Spring, S1'!P2*Main!$B$5)+(_xlfn.IFNA(VLOOKUP($A2,'FL Ratio'!$A$3:$B$10,2,FALSE),0)*'FL Characterization'!P$2)</f>
        <v>46.292631289456537</v>
      </c>
      <c r="Q2" s="2">
        <f>('[1]Pc, Spring, S1'!Q2*Main!$B$5)+(_xlfn.IFNA(VLOOKUP($A2,'FL Ratio'!$A$3:$B$10,2,FALSE),0)*'FL Characterization'!Q$2)</f>
        <v>42.715728336458973</v>
      </c>
      <c r="R2" s="2">
        <f>('[1]Pc, Spring, S1'!R2*Main!$B$5)+(_xlfn.IFNA(VLOOKUP($A2,'FL Ratio'!$A$3:$B$10,2,FALSE),0)*'FL Characterization'!R$2)</f>
        <v>44.330333901390162</v>
      </c>
      <c r="S2" s="2">
        <f>('[1]Pc, Spring, S1'!S2*Main!$B$5)+(_xlfn.IFNA(VLOOKUP($A2,'FL Ratio'!$A$3:$B$10,2,FALSE),0)*'FL Characterization'!S$2)</f>
        <v>46.591631476660517</v>
      </c>
      <c r="T2" s="2">
        <f>('[1]Pc, Spring, S1'!T2*Main!$B$5)+(_xlfn.IFNA(VLOOKUP($A2,'FL Ratio'!$A$3:$B$10,2,FALSE),0)*'FL Characterization'!T$2)</f>
        <v>49.378589660797218</v>
      </c>
      <c r="U2" s="2">
        <f>('[1]Pc, Spring, S1'!U2*Main!$B$5)+(_xlfn.IFNA(VLOOKUP($A2,'FL Ratio'!$A$3:$B$10,2,FALSE),0)*'FL Characterization'!U$2)</f>
        <v>48.512717541662013</v>
      </c>
      <c r="V2" s="2">
        <f>('[1]Pc, Spring, S1'!V2*Main!$B$5)+(_xlfn.IFNA(VLOOKUP($A2,'FL Ratio'!$A$3:$B$10,2,FALSE),0)*'FL Characterization'!V$2)</f>
        <v>46.736318448427738</v>
      </c>
      <c r="W2" s="2">
        <f>('[1]Pc, Spring, S1'!W2*Main!$B$5)+(_xlfn.IFNA(VLOOKUP($A2,'FL Ratio'!$A$3:$B$10,2,FALSE),0)*'FL Characterization'!W$2)</f>
        <v>48.436289171365701</v>
      </c>
      <c r="X2" s="2">
        <f>('[1]Pc, Spring, S1'!X2*Main!$B$5)+(_xlfn.IFNA(VLOOKUP($A2,'FL Ratio'!$A$3:$B$10,2,FALSE),0)*'FL Characterization'!X$2)</f>
        <v>40.585661431318975</v>
      </c>
      <c r="Y2" s="2">
        <f>('[1]Pc, Spring, S1'!Y2*Main!$B$5)+(_xlfn.IFNA(VLOOKUP($A2,'FL Ratio'!$A$3:$B$10,2,FALSE),0)*'FL Characterization'!Y$2)</f>
        <v>40.753227324047295</v>
      </c>
    </row>
    <row r="3" spans="1:25" x14ac:dyDescent="0.3">
      <c r="A3">
        <v>2</v>
      </c>
      <c r="B3" s="2">
        <f>('[1]Pc, Spring, S1'!B3*Main!$B$5)+(_xlfn.IFNA(VLOOKUP($A3,'FL Ratio'!$A$3:$B$10,2,FALSE),0)*'FL Characterization'!B$2)</f>
        <v>36.291427708218443</v>
      </c>
      <c r="C3" s="2">
        <f>('[1]Pc, Spring, S1'!C3*Main!$B$5)+(_xlfn.IFNA(VLOOKUP($A3,'FL Ratio'!$A$3:$B$10,2,FALSE),0)*'FL Characterization'!C$2)</f>
        <v>35.218768492660672</v>
      </c>
      <c r="D3" s="2">
        <f>('[1]Pc, Spring, S1'!D3*Main!$B$5)+(_xlfn.IFNA(VLOOKUP($A3,'FL Ratio'!$A$3:$B$10,2,FALSE),0)*'FL Characterization'!D$2)</f>
        <v>31.624570655274027</v>
      </c>
      <c r="E3" s="2">
        <f>('[1]Pc, Spring, S1'!E3*Main!$B$5)+(_xlfn.IFNA(VLOOKUP($A3,'FL Ratio'!$A$3:$B$10,2,FALSE),0)*'FL Characterization'!E$2)</f>
        <v>32.600338215072732</v>
      </c>
      <c r="F3" s="2">
        <f>('[1]Pc, Spring, S1'!F3*Main!$B$5)+(_xlfn.IFNA(VLOOKUP($A3,'FL Ratio'!$A$3:$B$10,2,FALSE),0)*'FL Characterization'!F$2)</f>
        <v>31.18368880742776</v>
      </c>
      <c r="G3" s="2">
        <f>('[1]Pc, Spring, S1'!G3*Main!$B$5)+(_xlfn.IFNA(VLOOKUP($A3,'FL Ratio'!$A$3:$B$10,2,FALSE),0)*'FL Characterization'!G$2)</f>
        <v>34.133226153066886</v>
      </c>
      <c r="H3" s="2">
        <f>('[1]Pc, Spring, S1'!H3*Main!$B$5)+(_xlfn.IFNA(VLOOKUP($A3,'FL Ratio'!$A$3:$B$10,2,FALSE),0)*'FL Characterization'!H$2)</f>
        <v>44.366768969673025</v>
      </c>
      <c r="I3" s="2">
        <f>('[1]Pc, Spring, S1'!I3*Main!$B$5)+(_xlfn.IFNA(VLOOKUP($A3,'FL Ratio'!$A$3:$B$10,2,FALSE),0)*'FL Characterization'!I$2)</f>
        <v>50.466052184379258</v>
      </c>
      <c r="J3" s="2">
        <f>('[1]Pc, Spring, S1'!J3*Main!$B$5)+(_xlfn.IFNA(VLOOKUP($A3,'FL Ratio'!$A$3:$B$10,2,FALSE),0)*'FL Characterization'!J$2)</f>
        <v>54.771303322397138</v>
      </c>
      <c r="K3" s="2">
        <f>('[1]Pc, Spring, S1'!K3*Main!$B$5)+(_xlfn.IFNA(VLOOKUP($A3,'FL Ratio'!$A$3:$B$10,2,FALSE),0)*'FL Characterization'!K$2)</f>
        <v>53.35754259962598</v>
      </c>
      <c r="L3" s="2">
        <f>('[1]Pc, Spring, S1'!L3*Main!$B$5)+(_xlfn.IFNA(VLOOKUP($A3,'FL Ratio'!$A$3:$B$10,2,FALSE),0)*'FL Characterization'!L$2)</f>
        <v>50.230333357280841</v>
      </c>
      <c r="M3" s="2">
        <f>('[1]Pc, Spring, S1'!M3*Main!$B$5)+(_xlfn.IFNA(VLOOKUP($A3,'FL Ratio'!$A$3:$B$10,2,FALSE),0)*'FL Characterization'!M$2)</f>
        <v>54.822203981249615</v>
      </c>
      <c r="N3" s="2">
        <f>('[1]Pc, Spring, S1'!N3*Main!$B$5)+(_xlfn.IFNA(VLOOKUP($A3,'FL Ratio'!$A$3:$B$10,2,FALSE),0)*'FL Characterization'!N$2)</f>
        <v>52.923098647682622</v>
      </c>
      <c r="O3" s="2">
        <f>('[1]Pc, Spring, S1'!O3*Main!$B$5)+(_xlfn.IFNA(VLOOKUP($A3,'FL Ratio'!$A$3:$B$10,2,FALSE),0)*'FL Characterization'!O$2)</f>
        <v>51.166160037723067</v>
      </c>
      <c r="P3" s="2">
        <f>('[1]Pc, Spring, S1'!P3*Main!$B$5)+(_xlfn.IFNA(VLOOKUP($A3,'FL Ratio'!$A$3:$B$10,2,FALSE),0)*'FL Characterization'!P$2)</f>
        <v>50.474271034157326</v>
      </c>
      <c r="Q3" s="2">
        <f>('[1]Pc, Spring, S1'!Q3*Main!$B$5)+(_xlfn.IFNA(VLOOKUP($A3,'FL Ratio'!$A$3:$B$10,2,FALSE),0)*'FL Characterization'!Q$2)</f>
        <v>48.459387912923646</v>
      </c>
      <c r="R3" s="2">
        <f>('[1]Pc, Spring, S1'!R3*Main!$B$5)+(_xlfn.IFNA(VLOOKUP($A3,'FL Ratio'!$A$3:$B$10,2,FALSE),0)*'FL Characterization'!R$2)</f>
        <v>44.704367244180837</v>
      </c>
      <c r="S3" s="2">
        <f>('[1]Pc, Spring, S1'!S3*Main!$B$5)+(_xlfn.IFNA(VLOOKUP($A3,'FL Ratio'!$A$3:$B$10,2,FALSE),0)*'FL Characterization'!S$2)</f>
        <v>49.391413180970424</v>
      </c>
      <c r="T3" s="2">
        <f>('[1]Pc, Spring, S1'!T3*Main!$B$5)+(_xlfn.IFNA(VLOOKUP($A3,'FL Ratio'!$A$3:$B$10,2,FALSE),0)*'FL Characterization'!T$2)</f>
        <v>49.164688317836685</v>
      </c>
      <c r="U3" s="2">
        <f>('[1]Pc, Spring, S1'!U3*Main!$B$5)+(_xlfn.IFNA(VLOOKUP($A3,'FL Ratio'!$A$3:$B$10,2,FALSE),0)*'FL Characterization'!U$2)</f>
        <v>47.664939245525673</v>
      </c>
      <c r="V3" s="2">
        <f>('[1]Pc, Spring, S1'!V3*Main!$B$5)+(_xlfn.IFNA(VLOOKUP($A3,'FL Ratio'!$A$3:$B$10,2,FALSE),0)*'FL Characterization'!V$2)</f>
        <v>45.820911021723269</v>
      </c>
      <c r="W3" s="2">
        <f>('[1]Pc, Spring, S1'!W3*Main!$B$5)+(_xlfn.IFNA(VLOOKUP($A3,'FL Ratio'!$A$3:$B$10,2,FALSE),0)*'FL Characterization'!W$2)</f>
        <v>44.8950989101413</v>
      </c>
      <c r="X3" s="2">
        <f>('[1]Pc, Spring, S1'!X3*Main!$B$5)+(_xlfn.IFNA(VLOOKUP($A3,'FL Ratio'!$A$3:$B$10,2,FALSE),0)*'FL Characterization'!X$2)</f>
        <v>42.802447119015696</v>
      </c>
      <c r="Y3" s="2">
        <f>('[1]Pc, Spring, S1'!Y3*Main!$B$5)+(_xlfn.IFNA(VLOOKUP($A3,'FL Ratio'!$A$3:$B$10,2,FALSE),0)*'FL Characterization'!Y$2)</f>
        <v>40.157358724142895</v>
      </c>
    </row>
    <row r="4" spans="1:25" x14ac:dyDescent="0.3">
      <c r="A4">
        <v>3</v>
      </c>
      <c r="B4" s="2">
        <f>('[1]Pc, Spring, S1'!B4*Main!$B$5)+(_xlfn.IFNA(VLOOKUP($A4,'FL Ratio'!$A$3:$B$10,2,FALSE),0)*'FL Characterization'!B$2)</f>
        <v>49.49811330209053</v>
      </c>
      <c r="C4" s="2">
        <f>('[1]Pc, Spring, S1'!C4*Main!$B$5)+(_xlfn.IFNA(VLOOKUP($A4,'FL Ratio'!$A$3:$B$10,2,FALSE),0)*'FL Characterization'!C$2)</f>
        <v>43.489892950518559</v>
      </c>
      <c r="D4" s="2">
        <f>('[1]Pc, Spring, S1'!D4*Main!$B$5)+(_xlfn.IFNA(VLOOKUP($A4,'FL Ratio'!$A$3:$B$10,2,FALSE),0)*'FL Characterization'!D$2)</f>
        <v>43.570827865106715</v>
      </c>
      <c r="E4" s="2">
        <f>('[1]Pc, Spring, S1'!E4*Main!$B$5)+(_xlfn.IFNA(VLOOKUP($A4,'FL Ratio'!$A$3:$B$10,2,FALSE),0)*'FL Characterization'!E$2)</f>
        <v>40.175193374245474</v>
      </c>
      <c r="F4" s="2">
        <f>('[1]Pc, Spring, S1'!F4*Main!$B$5)+(_xlfn.IFNA(VLOOKUP($A4,'FL Ratio'!$A$3:$B$10,2,FALSE),0)*'FL Characterization'!F$2)</f>
        <v>42.336120184984146</v>
      </c>
      <c r="G4" s="2">
        <f>('[1]Pc, Spring, S1'!G4*Main!$B$5)+(_xlfn.IFNA(VLOOKUP($A4,'FL Ratio'!$A$3:$B$10,2,FALSE),0)*'FL Characterization'!G$2)</f>
        <v>41.492568930894642</v>
      </c>
      <c r="H4" s="2">
        <f>('[1]Pc, Spring, S1'!H4*Main!$B$5)+(_xlfn.IFNA(VLOOKUP($A4,'FL Ratio'!$A$3:$B$10,2,FALSE),0)*'FL Characterization'!H$2)</f>
        <v>48.585196544785148</v>
      </c>
      <c r="I4" s="2">
        <f>('[1]Pc, Spring, S1'!I4*Main!$B$5)+(_xlfn.IFNA(VLOOKUP($A4,'FL Ratio'!$A$3:$B$10,2,FALSE),0)*'FL Characterization'!I$2)</f>
        <v>52.262922387023451</v>
      </c>
      <c r="J4" s="2">
        <f>('[1]Pc, Spring, S1'!J4*Main!$B$5)+(_xlfn.IFNA(VLOOKUP($A4,'FL Ratio'!$A$3:$B$10,2,FALSE),0)*'FL Characterization'!J$2)</f>
        <v>60.374556153732598</v>
      </c>
      <c r="K4" s="2">
        <f>('[1]Pc, Spring, S1'!K4*Main!$B$5)+(_xlfn.IFNA(VLOOKUP($A4,'FL Ratio'!$A$3:$B$10,2,FALSE),0)*'FL Characterization'!K$2)</f>
        <v>62.068204115487383</v>
      </c>
      <c r="L4" s="2">
        <f>('[1]Pc, Spring, S1'!L4*Main!$B$5)+(_xlfn.IFNA(VLOOKUP($A4,'FL Ratio'!$A$3:$B$10,2,FALSE),0)*'FL Characterization'!L$2)</f>
        <v>64.119412227502579</v>
      </c>
      <c r="M4" s="2">
        <f>('[1]Pc, Spring, S1'!M4*Main!$B$5)+(_xlfn.IFNA(VLOOKUP($A4,'FL Ratio'!$A$3:$B$10,2,FALSE),0)*'FL Characterization'!M$2)</f>
        <v>67.672893196769408</v>
      </c>
      <c r="N4" s="2">
        <f>('[1]Pc, Spring, S1'!N4*Main!$B$5)+(_xlfn.IFNA(VLOOKUP($A4,'FL Ratio'!$A$3:$B$10,2,FALSE),0)*'FL Characterization'!N$2)</f>
        <v>68.289105082877128</v>
      </c>
      <c r="O4" s="2">
        <f>('[1]Pc, Spring, S1'!O4*Main!$B$5)+(_xlfn.IFNA(VLOOKUP($A4,'FL Ratio'!$A$3:$B$10,2,FALSE),0)*'FL Characterization'!O$2)</f>
        <v>68.173326563477261</v>
      </c>
      <c r="P4" s="2">
        <f>('[1]Pc, Spring, S1'!P4*Main!$B$5)+(_xlfn.IFNA(VLOOKUP($A4,'FL Ratio'!$A$3:$B$10,2,FALSE),0)*'FL Characterization'!P$2)</f>
        <v>64.471458713366189</v>
      </c>
      <c r="Q4" s="2">
        <f>('[1]Pc, Spring, S1'!Q4*Main!$B$5)+(_xlfn.IFNA(VLOOKUP($A4,'FL Ratio'!$A$3:$B$10,2,FALSE),0)*'FL Characterization'!Q$2)</f>
        <v>65.116112400680123</v>
      </c>
      <c r="R4" s="2">
        <f>('[1]Pc, Spring, S1'!R4*Main!$B$5)+(_xlfn.IFNA(VLOOKUP($A4,'FL Ratio'!$A$3:$B$10,2,FALSE),0)*'FL Characterization'!R$2)</f>
        <v>64.46215079183203</v>
      </c>
      <c r="S4" s="2">
        <f>('[1]Pc, Spring, S1'!S4*Main!$B$5)+(_xlfn.IFNA(VLOOKUP($A4,'FL Ratio'!$A$3:$B$10,2,FALSE),0)*'FL Characterization'!S$2)</f>
        <v>67.056817031787546</v>
      </c>
      <c r="T4" s="2">
        <f>('[1]Pc, Spring, S1'!T4*Main!$B$5)+(_xlfn.IFNA(VLOOKUP($A4,'FL Ratio'!$A$3:$B$10,2,FALSE),0)*'FL Characterization'!T$2)</f>
        <v>66.569261051706761</v>
      </c>
      <c r="U4" s="2">
        <f>('[1]Pc, Spring, S1'!U4*Main!$B$5)+(_xlfn.IFNA(VLOOKUP($A4,'FL Ratio'!$A$3:$B$10,2,FALSE),0)*'FL Characterization'!U$2)</f>
        <v>65.044028743440606</v>
      </c>
      <c r="V4" s="2">
        <f>('[1]Pc, Spring, S1'!V4*Main!$B$5)+(_xlfn.IFNA(VLOOKUP($A4,'FL Ratio'!$A$3:$B$10,2,FALSE),0)*'FL Characterization'!V$2)</f>
        <v>63.75382145523637</v>
      </c>
      <c r="W4" s="2">
        <f>('[1]Pc, Spring, S1'!W4*Main!$B$5)+(_xlfn.IFNA(VLOOKUP($A4,'FL Ratio'!$A$3:$B$10,2,FALSE),0)*'FL Characterization'!W$2)</f>
        <v>66.520835012820768</v>
      </c>
      <c r="X4" s="2">
        <f>('[1]Pc, Spring, S1'!X4*Main!$B$5)+(_xlfn.IFNA(VLOOKUP($A4,'FL Ratio'!$A$3:$B$10,2,FALSE),0)*'FL Characterization'!X$2)</f>
        <v>62.611340503905211</v>
      </c>
      <c r="Y4" s="2">
        <f>('[1]Pc, Spring, S1'!Y4*Main!$B$5)+(_xlfn.IFNA(VLOOKUP($A4,'FL Ratio'!$A$3:$B$10,2,FALSE),0)*'FL Characterization'!Y$2)</f>
        <v>57.480650928051467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E6CD5-359B-48BB-A2E5-55802D9FB142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Ratio'!$A$3:$B$10,2,FALSE),0)*'FL Characterization'!B$2)</f>
        <v>35.996173566261248</v>
      </c>
      <c r="C2" s="2">
        <f>('[1]Pc, Spring, S2'!C2*Main!$B$5)+(_xlfn.IFNA(VLOOKUP($A2,'FL Ratio'!$A$3:$B$10,2,FALSE),0)*'FL Characterization'!C$2)</f>
        <v>32.180441664764231</v>
      </c>
      <c r="D2" s="2">
        <f>('[1]Pc, Spring, S2'!D2*Main!$B$5)+(_xlfn.IFNA(VLOOKUP($A2,'FL Ratio'!$A$3:$B$10,2,FALSE),0)*'FL Characterization'!D$2)</f>
        <v>30.691006657231274</v>
      </c>
      <c r="E2" s="2">
        <f>('[1]Pc, Spring, S2'!E2*Main!$B$5)+(_xlfn.IFNA(VLOOKUP($A2,'FL Ratio'!$A$3:$B$10,2,FALSE),0)*'FL Characterization'!E$2)</f>
        <v>30.620416472321246</v>
      </c>
      <c r="F2" s="2">
        <f>('[1]Pc, Spring, S2'!F2*Main!$B$5)+(_xlfn.IFNA(VLOOKUP($A2,'FL Ratio'!$A$3:$B$10,2,FALSE),0)*'FL Characterization'!F$2)</f>
        <v>30.241381321764102</v>
      </c>
      <c r="G2" s="2">
        <f>('[1]Pc, Spring, S2'!G2*Main!$B$5)+(_xlfn.IFNA(VLOOKUP($A2,'FL Ratio'!$A$3:$B$10,2,FALSE),0)*'FL Characterization'!G$2)</f>
        <v>31.602111991013821</v>
      </c>
      <c r="H2" s="2">
        <f>('[1]Pc, Spring, S2'!H2*Main!$B$5)+(_xlfn.IFNA(VLOOKUP($A2,'FL Ratio'!$A$3:$B$10,2,FALSE),0)*'FL Characterization'!H$2)</f>
        <v>35.544714973491146</v>
      </c>
      <c r="I2" s="2">
        <f>('[1]Pc, Spring, S2'!I2*Main!$B$5)+(_xlfn.IFNA(VLOOKUP($A2,'FL Ratio'!$A$3:$B$10,2,FALSE),0)*'FL Characterization'!I$2)</f>
        <v>44.363697576499298</v>
      </c>
      <c r="J2" s="2">
        <f>('[1]Pc, Spring, S2'!J2*Main!$B$5)+(_xlfn.IFNA(VLOOKUP($A2,'FL Ratio'!$A$3:$B$10,2,FALSE),0)*'FL Characterization'!J$2)</f>
        <v>47.545879732713267</v>
      </c>
      <c r="K2" s="2">
        <f>('[1]Pc, Spring, S2'!K2*Main!$B$5)+(_xlfn.IFNA(VLOOKUP($A2,'FL Ratio'!$A$3:$B$10,2,FALSE),0)*'FL Characterization'!K$2)</f>
        <v>49.819685528527003</v>
      </c>
      <c r="L2" s="2">
        <f>('[1]Pc, Spring, S2'!L2*Main!$B$5)+(_xlfn.IFNA(VLOOKUP($A2,'FL Ratio'!$A$3:$B$10,2,FALSE),0)*'FL Characterization'!L$2)</f>
        <v>51.466906985432558</v>
      </c>
      <c r="M2" s="2">
        <f>('[1]Pc, Spring, S2'!M2*Main!$B$5)+(_xlfn.IFNA(VLOOKUP($A2,'FL Ratio'!$A$3:$B$10,2,FALSE),0)*'FL Characterization'!M$2)</f>
        <v>50.108577240747323</v>
      </c>
      <c r="N2" s="2">
        <f>('[1]Pc, Spring, S2'!N2*Main!$B$5)+(_xlfn.IFNA(VLOOKUP($A2,'FL Ratio'!$A$3:$B$10,2,FALSE),0)*'FL Characterization'!N$2)</f>
        <v>50.899820228580019</v>
      </c>
      <c r="O2" s="2">
        <f>('[1]Pc, Spring, S2'!O2*Main!$B$5)+(_xlfn.IFNA(VLOOKUP($A2,'FL Ratio'!$A$3:$B$10,2,FALSE),0)*'FL Characterization'!O$2)</f>
        <v>51.923964076908618</v>
      </c>
      <c r="P2" s="2">
        <f>('[1]Pc, Spring, S2'!P2*Main!$B$5)+(_xlfn.IFNA(VLOOKUP($A2,'FL Ratio'!$A$3:$B$10,2,FALSE),0)*'FL Characterization'!P$2)</f>
        <v>47.681410228140237</v>
      </c>
      <c r="Q2" s="2">
        <f>('[1]Pc, Spring, S2'!Q2*Main!$B$5)+(_xlfn.IFNA(VLOOKUP($A2,'FL Ratio'!$A$3:$B$10,2,FALSE),0)*'FL Characterization'!Q$2)</f>
        <v>43.997200186552746</v>
      </c>
      <c r="R2" s="2">
        <f>('[1]Pc, Spring, S2'!R2*Main!$B$5)+(_xlfn.IFNA(VLOOKUP($A2,'FL Ratio'!$A$3:$B$10,2,FALSE),0)*'FL Characterization'!R$2)</f>
        <v>45.660243918431867</v>
      </c>
      <c r="S2" s="2">
        <f>('[1]Pc, Spring, S2'!S2*Main!$B$5)+(_xlfn.IFNA(VLOOKUP($A2,'FL Ratio'!$A$3:$B$10,2,FALSE),0)*'FL Characterization'!S$2)</f>
        <v>47.98938042096033</v>
      </c>
      <c r="T2" s="2">
        <f>('[1]Pc, Spring, S2'!T2*Main!$B$5)+(_xlfn.IFNA(VLOOKUP($A2,'FL Ratio'!$A$3:$B$10,2,FALSE),0)*'FL Characterization'!T$2)</f>
        <v>50.859947350621141</v>
      </c>
      <c r="U2" s="2">
        <f>('[1]Pc, Spring, S2'!U2*Main!$B$5)+(_xlfn.IFNA(VLOOKUP($A2,'FL Ratio'!$A$3:$B$10,2,FALSE),0)*'FL Characterization'!U$2)</f>
        <v>49.968099067911872</v>
      </c>
      <c r="V2" s="2">
        <f>('[1]Pc, Spring, S2'!V2*Main!$B$5)+(_xlfn.IFNA(VLOOKUP($A2,'FL Ratio'!$A$3:$B$10,2,FALSE),0)*'FL Characterization'!V$2)</f>
        <v>48.13840800188057</v>
      </c>
      <c r="W2" s="2">
        <f>('[1]Pc, Spring, S2'!W2*Main!$B$5)+(_xlfn.IFNA(VLOOKUP($A2,'FL Ratio'!$A$3:$B$10,2,FALSE),0)*'FL Characterization'!W$2)</f>
        <v>49.889377846506676</v>
      </c>
      <c r="X2" s="2">
        <f>('[1]Pc, Spring, S2'!X2*Main!$B$5)+(_xlfn.IFNA(VLOOKUP($A2,'FL Ratio'!$A$3:$B$10,2,FALSE),0)*'FL Characterization'!X$2)</f>
        <v>41.803231274258543</v>
      </c>
      <c r="Y2" s="2">
        <f>('[1]Pc, Spring, S2'!Y2*Main!$B$5)+(_xlfn.IFNA(VLOOKUP($A2,'FL Ratio'!$A$3:$B$10,2,FALSE),0)*'FL Characterization'!Y$2)</f>
        <v>41.975824143768719</v>
      </c>
    </row>
    <row r="3" spans="1:25" x14ac:dyDescent="0.3">
      <c r="A3">
        <v>2</v>
      </c>
      <c r="B3" s="2">
        <f>('[1]Pc, Spring, S2'!B3*Main!$B$5)+(_xlfn.IFNA(VLOOKUP($A3,'FL Ratio'!$A$3:$B$10,2,FALSE),0)*'FL Characterization'!B$2)</f>
        <v>37.307186305130841</v>
      </c>
      <c r="C3" s="2">
        <f>('[1]Pc, Spring, S2'!C3*Main!$B$5)+(_xlfn.IFNA(VLOOKUP($A3,'FL Ratio'!$A$3:$B$10,2,FALSE),0)*'FL Characterization'!C$2)</f>
        <v>36.19991272388846</v>
      </c>
      <c r="D3" s="2">
        <f>('[1]Pc, Spring, S2'!D3*Main!$B$5)+(_xlfn.IFNA(VLOOKUP($A3,'FL Ratio'!$A$3:$B$10,2,FALSE),0)*'FL Characterization'!D$2)</f>
        <v>32.50577464523716</v>
      </c>
      <c r="E3" s="2">
        <f>('[1]Pc, Spring, S2'!E3*Main!$B$5)+(_xlfn.IFNA(VLOOKUP($A3,'FL Ratio'!$A$3:$B$10,2,FALSE),0)*'FL Characterization'!E$2)</f>
        <v>33.514336479162026</v>
      </c>
      <c r="F3" s="2">
        <f>('[1]Pc, Spring, S2'!F3*Main!$B$5)+(_xlfn.IFNA(VLOOKUP($A3,'FL Ratio'!$A$3:$B$10,2,FALSE),0)*'FL Characterization'!F$2)</f>
        <v>32.0667548570839</v>
      </c>
      <c r="G3" s="2">
        <f>('[1]Pc, Spring, S2'!G3*Main!$B$5)+(_xlfn.IFNA(VLOOKUP($A3,'FL Ratio'!$A$3:$B$10,2,FALSE),0)*'FL Characterization'!G$2)</f>
        <v>35.112711521129</v>
      </c>
      <c r="H3" s="2">
        <f>('[1]Pc, Spring, S2'!H3*Main!$B$5)+(_xlfn.IFNA(VLOOKUP($A3,'FL Ratio'!$A$3:$B$10,2,FALSE),0)*'FL Characterization'!H$2)</f>
        <v>45.643338186664828</v>
      </c>
      <c r="I3" s="2">
        <f>('[1]Pc, Spring, S2'!I3*Main!$B$5)+(_xlfn.IFNA(VLOOKUP($A3,'FL Ratio'!$A$3:$B$10,2,FALSE),0)*'FL Characterization'!I$2)</f>
        <v>51.970580418118267</v>
      </c>
      <c r="J3" s="2">
        <f>('[1]Pc, Spring, S2'!J3*Main!$B$5)+(_xlfn.IFNA(VLOOKUP($A3,'FL Ratio'!$A$3:$B$10,2,FALSE),0)*'FL Characterization'!J$2)</f>
        <v>56.406129190593354</v>
      </c>
      <c r="K3" s="2">
        <f>('[1]Pc, Spring, S2'!K3*Main!$B$5)+(_xlfn.IFNA(VLOOKUP($A3,'FL Ratio'!$A$3:$B$10,2,FALSE),0)*'FL Characterization'!K$2)</f>
        <v>54.946149373727692</v>
      </c>
      <c r="L3" s="2">
        <f>('[1]Pc, Spring, S2'!L3*Main!$B$5)+(_xlfn.IFNA(VLOOKUP($A3,'FL Ratio'!$A$3:$B$10,2,FALSE),0)*'FL Characterization'!L$2)</f>
        <v>51.730105854975136</v>
      </c>
      <c r="M3" s="2">
        <f>('[1]Pc, Spring, S2'!M3*Main!$B$5)+(_xlfn.IFNA(VLOOKUP($A3,'FL Ratio'!$A$3:$B$10,2,FALSE),0)*'FL Characterization'!M$2)</f>
        <v>56.45795119091818</v>
      </c>
      <c r="N3" s="2">
        <f>('[1]Pc, Spring, S2'!N3*Main!$B$5)+(_xlfn.IFNA(VLOOKUP($A3,'FL Ratio'!$A$3:$B$10,2,FALSE),0)*'FL Characterization'!N$2)</f>
        <v>54.496581919312135</v>
      </c>
      <c r="O3" s="2">
        <f>('[1]Pc, Spring, S2'!O3*Main!$B$5)+(_xlfn.IFNA(VLOOKUP($A3,'FL Ratio'!$A$3:$B$10,2,FALSE),0)*'FL Characterization'!O$2)</f>
        <v>52.67496409772879</v>
      </c>
      <c r="P3" s="2">
        <f>('[1]Pc, Spring, S2'!P3*Main!$B$5)+(_xlfn.IFNA(VLOOKUP($A3,'FL Ratio'!$A$3:$B$10,2,FALSE),0)*'FL Characterization'!P$2)</f>
        <v>51.960566707423695</v>
      </c>
      <c r="Q3" s="2">
        <f>('[1]Pc, Spring, S2'!Q3*Main!$B$5)+(_xlfn.IFNA(VLOOKUP($A3,'FL Ratio'!$A$3:$B$10,2,FALSE),0)*'FL Characterization'!Q$2)</f>
        <v>49.885700258306649</v>
      </c>
      <c r="R3" s="2">
        <f>('[1]Pc, Spring, S2'!R3*Main!$B$5)+(_xlfn.IFNA(VLOOKUP($A3,'FL Ratio'!$A$3:$B$10,2,FALSE),0)*'FL Characterization'!R$2)</f>
        <v>46.030089093163816</v>
      </c>
      <c r="S3" s="2">
        <f>('[1]Pc, Spring, S2'!S3*Main!$B$5)+(_xlfn.IFNA(VLOOKUP($A3,'FL Ratio'!$A$3:$B$10,2,FALSE),0)*'FL Characterization'!S$2)</f>
        <v>50.8417671895563</v>
      </c>
      <c r="T3" s="2">
        <f>('[1]Pc, Spring, S2'!T3*Main!$B$5)+(_xlfn.IFNA(VLOOKUP($A3,'FL Ratio'!$A$3:$B$10,2,FALSE),0)*'FL Characterization'!T$2)</f>
        <v>50.621209221630629</v>
      </c>
      <c r="U3" s="2">
        <f>('[1]Pc, Spring, S2'!U3*Main!$B$5)+(_xlfn.IFNA(VLOOKUP($A3,'FL Ratio'!$A$3:$B$10,2,FALSE),0)*'FL Characterization'!U$2)</f>
        <v>49.08193659585681</v>
      </c>
      <c r="V3" s="2">
        <f>('[1]Pc, Spring, S2'!V3*Main!$B$5)+(_xlfn.IFNA(VLOOKUP($A3,'FL Ratio'!$A$3:$B$10,2,FALSE),0)*'FL Characterization'!V$2)</f>
        <v>47.175871621912464</v>
      </c>
      <c r="W3" s="2">
        <f>('[1]Pc, Spring, S2'!W3*Main!$B$5)+(_xlfn.IFNA(VLOOKUP($A3,'FL Ratio'!$A$3:$B$10,2,FALSE),0)*'FL Characterization'!W$2)</f>
        <v>46.22979674542357</v>
      </c>
      <c r="X3" s="2">
        <f>('[1]Pc, Spring, S2'!X3*Main!$B$5)+(_xlfn.IFNA(VLOOKUP($A3,'FL Ratio'!$A$3:$B$10,2,FALSE),0)*'FL Characterization'!X$2)</f>
        <v>44.03104158853084</v>
      </c>
      <c r="Y3" s="2">
        <f>('[1]Pc, Spring, S2'!Y3*Main!$B$5)+(_xlfn.IFNA(VLOOKUP($A3,'FL Ratio'!$A$3:$B$10,2,FALSE),0)*'FL Characterization'!Y$2)</f>
        <v>41.295199538645178</v>
      </c>
    </row>
    <row r="4" spans="1:25" x14ac:dyDescent="0.3">
      <c r="A4">
        <v>3</v>
      </c>
      <c r="B4" s="2">
        <f>('[1]Pc, Spring, S2'!B4*Main!$B$5)+(_xlfn.IFNA(VLOOKUP($A4,'FL Ratio'!$A$3:$B$10,2,FALSE),0)*'FL Characterization'!B$2)</f>
        <v>50.910072466819095</v>
      </c>
      <c r="C4" s="2">
        <f>('[1]Pc, Spring, S2'!C4*Main!$B$5)+(_xlfn.IFNA(VLOOKUP($A4,'FL Ratio'!$A$3:$B$10,2,FALSE),0)*'FL Characterization'!C$2)</f>
        <v>44.719170915482067</v>
      </c>
      <c r="D4" s="2">
        <f>('[1]Pc, Spring, S2'!D4*Main!$B$5)+(_xlfn.IFNA(VLOOKUP($A4,'FL Ratio'!$A$3:$B$10,2,FALSE),0)*'FL Characterization'!D$2)</f>
        <v>44.810419571364825</v>
      </c>
      <c r="E4" s="2">
        <f>('[1]Pc, Spring, S2'!E4*Main!$B$5)+(_xlfn.IFNA(VLOOKUP($A4,'FL Ratio'!$A$3:$B$10,2,FALSE),0)*'FL Characterization'!E$2)</f>
        <v>41.316437293109963</v>
      </c>
      <c r="F4" s="2">
        <f>('[1]Pc, Spring, S2'!F4*Main!$B$5)+(_xlfn.IFNA(VLOOKUP($A4,'FL Ratio'!$A$3:$B$10,2,FALSE),0)*'FL Characterization'!F$2)</f>
        <v>43.553759175966974</v>
      </c>
      <c r="G4" s="2">
        <f>('[1]Pc, Spring, S2'!G4*Main!$B$5)+(_xlfn.IFNA(VLOOKUP($A4,'FL Ratio'!$A$3:$B$10,2,FALSE),0)*'FL Characterization'!G$2)</f>
        <v>42.692834582291596</v>
      </c>
      <c r="H4" s="2">
        <f>('[1]Pc, Spring, S2'!H4*Main!$B$5)+(_xlfn.IFNA(VLOOKUP($A4,'FL Ratio'!$A$3:$B$10,2,FALSE),0)*'FL Characterization'!H$2)</f>
        <v>49.988318589030314</v>
      </c>
      <c r="I4" s="2">
        <f>('[1]Pc, Spring, S2'!I4*Main!$B$5)+(_xlfn.IFNA(VLOOKUP($A4,'FL Ratio'!$A$3:$B$10,2,FALSE),0)*'FL Characterization'!I$2)</f>
        <v>53.821356726841792</v>
      </c>
      <c r="J4" s="2">
        <f>('[1]Pc, Spring, S2'!J4*Main!$B$5)+(_xlfn.IFNA(VLOOKUP($A4,'FL Ratio'!$A$3:$B$10,2,FALSE),0)*'FL Characterization'!J$2)</f>
        <v>62.177479606868879</v>
      </c>
      <c r="K4" s="2">
        <f>('[1]Pc, Spring, S2'!K4*Main!$B$5)+(_xlfn.IFNA(VLOOKUP($A4,'FL Ratio'!$A$3:$B$10,2,FALSE),0)*'FL Characterization'!K$2)</f>
        <v>63.918130735064935</v>
      </c>
      <c r="L4" s="2">
        <f>('[1]Pc, Spring, S2'!L4*Main!$B$5)+(_xlfn.IFNA(VLOOKUP($A4,'FL Ratio'!$A$3:$B$10,2,FALSE),0)*'FL Characterization'!L$2)</f>
        <v>66.035857091303541</v>
      </c>
      <c r="M4" s="2">
        <f>('[1]Pc, Spring, S2'!M4*Main!$B$5)+(_xlfn.IFNA(VLOOKUP($A4,'FL Ratio'!$A$3:$B$10,2,FALSE),0)*'FL Characterization'!M$2)</f>
        <v>69.694161082903562</v>
      </c>
      <c r="N4" s="2">
        <f>('[1]Pc, Spring, S2'!N4*Main!$B$5)+(_xlfn.IFNA(VLOOKUP($A4,'FL Ratio'!$A$3:$B$10,2,FALSE),0)*'FL Characterization'!N$2)</f>
        <v>70.323568547562488</v>
      </c>
      <c r="O4" s="2">
        <f>('[1]Pc, Spring, S2'!O4*Main!$B$5)+(_xlfn.IFNA(VLOOKUP($A4,'FL Ratio'!$A$3:$B$10,2,FALSE),0)*'FL Characterization'!O$2)</f>
        <v>70.192345619255605</v>
      </c>
      <c r="P4" s="2">
        <f>('[1]Pc, Spring, S2'!P4*Main!$B$5)+(_xlfn.IFNA(VLOOKUP($A4,'FL Ratio'!$A$3:$B$10,2,FALSE),0)*'FL Characterization'!P$2)</f>
        <v>66.377670017008825</v>
      </c>
      <c r="Q4" s="2">
        <f>('[1]Pc, Spring, S2'!Q4*Main!$B$5)+(_xlfn.IFNA(VLOOKUP($A4,'FL Ratio'!$A$3:$B$10,2,FALSE),0)*'FL Characterization'!Q$2)</f>
        <v>67.042126480695842</v>
      </c>
      <c r="R4" s="2">
        <f>('[1]Pc, Spring, S2'!R4*Main!$B$5)+(_xlfn.IFNA(VLOOKUP($A4,'FL Ratio'!$A$3:$B$10,2,FALSE),0)*'FL Characterization'!R$2)</f>
        <v>66.380606147244535</v>
      </c>
      <c r="S4" s="2">
        <f>('[1]Pc, Spring, S2'!S4*Main!$B$5)+(_xlfn.IFNA(VLOOKUP($A4,'FL Ratio'!$A$3:$B$10,2,FALSE),0)*'FL Characterization'!S$2)</f>
        <v>69.037133155897919</v>
      </c>
      <c r="T4" s="2">
        <f>('[1]Pc, Spring, S2'!T4*Main!$B$5)+(_xlfn.IFNA(VLOOKUP($A4,'FL Ratio'!$A$3:$B$10,2,FALSE),0)*'FL Characterization'!T$2)</f>
        <v>68.5479191375168</v>
      </c>
      <c r="U4" s="2">
        <f>('[1]Pc, Spring, S2'!U4*Main!$B$5)+(_xlfn.IFNA(VLOOKUP($A4,'FL Ratio'!$A$3:$B$10,2,FALSE),0)*'FL Characterization'!U$2)</f>
        <v>66.982398778709197</v>
      </c>
      <c r="V4" s="2">
        <f>('[1]Pc, Spring, S2'!V4*Main!$B$5)+(_xlfn.IFNA(VLOOKUP($A4,'FL Ratio'!$A$3:$B$10,2,FALSE),0)*'FL Characterization'!V$2)</f>
        <v>65.646769368430952</v>
      </c>
      <c r="W4" s="2">
        <f>('[1]Pc, Spring, S2'!W4*Main!$B$5)+(_xlfn.IFNA(VLOOKUP($A4,'FL Ratio'!$A$3:$B$10,2,FALSE),0)*'FL Characterization'!W$2)</f>
        <v>68.504304931183427</v>
      </c>
      <c r="X4" s="2">
        <f>('[1]Pc, Spring, S2'!X4*Main!$B$5)+(_xlfn.IFNA(VLOOKUP($A4,'FL Ratio'!$A$3:$B$10,2,FALSE),0)*'FL Characterization'!X$2)</f>
        <v>64.434201774967036</v>
      </c>
      <c r="Y4" s="2">
        <f>('[1]Pc, Spring, S2'!Y4*Main!$B$5)+(_xlfn.IFNA(VLOOKUP($A4,'FL Ratio'!$A$3:$B$10,2,FALSE),0)*'FL Characterization'!Y$2)</f>
        <v>59.138190508671009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A5F3B-A6BB-4568-9E99-BFA17EFF7F46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Ratio'!$A$3:$B$10,2,FALSE),0)*'FL Characterization'!B$2)</f>
        <v>35.996173566261248</v>
      </c>
      <c r="C2" s="2">
        <f>('[1]Pc, Spring, S2'!C2*Main!$B$5)+(_xlfn.IFNA(VLOOKUP($A2,'FL Ratio'!$A$3:$B$10,2,FALSE),0)*'FL Characterization'!C$2)</f>
        <v>32.180441664764231</v>
      </c>
      <c r="D2" s="2">
        <f>('[1]Pc, Spring, S2'!D2*Main!$B$5)+(_xlfn.IFNA(VLOOKUP($A2,'FL Ratio'!$A$3:$B$10,2,FALSE),0)*'FL Characterization'!D$2)</f>
        <v>30.691006657231274</v>
      </c>
      <c r="E2" s="2">
        <f>('[1]Pc, Spring, S2'!E2*Main!$B$5)+(_xlfn.IFNA(VLOOKUP($A2,'FL Ratio'!$A$3:$B$10,2,FALSE),0)*'FL Characterization'!E$2)</f>
        <v>30.620416472321246</v>
      </c>
      <c r="F2" s="2">
        <f>('[1]Pc, Spring, S2'!F2*Main!$B$5)+(_xlfn.IFNA(VLOOKUP($A2,'FL Ratio'!$A$3:$B$10,2,FALSE),0)*'FL Characterization'!F$2)</f>
        <v>30.241381321764102</v>
      </c>
      <c r="G2" s="2">
        <f>('[1]Pc, Spring, S2'!G2*Main!$B$5)+(_xlfn.IFNA(VLOOKUP($A2,'FL Ratio'!$A$3:$B$10,2,FALSE),0)*'FL Characterization'!G$2)</f>
        <v>31.602111991013821</v>
      </c>
      <c r="H2" s="2">
        <f>('[1]Pc, Spring, S2'!H2*Main!$B$5)+(_xlfn.IFNA(VLOOKUP($A2,'FL Ratio'!$A$3:$B$10,2,FALSE),0)*'FL Characterization'!H$2)</f>
        <v>35.544714973491146</v>
      </c>
      <c r="I2" s="2">
        <f>('[1]Pc, Spring, S2'!I2*Main!$B$5)+(_xlfn.IFNA(VLOOKUP($A2,'FL Ratio'!$A$3:$B$10,2,FALSE),0)*'FL Characterization'!I$2)</f>
        <v>44.363697576499298</v>
      </c>
      <c r="J2" s="2">
        <f>('[1]Pc, Spring, S2'!J2*Main!$B$5)+(_xlfn.IFNA(VLOOKUP($A2,'FL Ratio'!$A$3:$B$10,2,FALSE),0)*'FL Characterization'!J$2)</f>
        <v>47.545879732713267</v>
      </c>
      <c r="K2" s="2">
        <f>('[1]Pc, Spring, S2'!K2*Main!$B$5)+(_xlfn.IFNA(VLOOKUP($A2,'FL Ratio'!$A$3:$B$10,2,FALSE),0)*'FL Characterization'!K$2)</f>
        <v>49.819685528527003</v>
      </c>
      <c r="L2" s="2">
        <f>('[1]Pc, Spring, S2'!L2*Main!$B$5)+(_xlfn.IFNA(VLOOKUP($A2,'FL Ratio'!$A$3:$B$10,2,FALSE),0)*'FL Characterization'!L$2)</f>
        <v>51.466906985432558</v>
      </c>
      <c r="M2" s="2">
        <f>('[1]Pc, Spring, S2'!M2*Main!$B$5)+(_xlfn.IFNA(VLOOKUP($A2,'FL Ratio'!$A$3:$B$10,2,FALSE),0)*'FL Characterization'!M$2)</f>
        <v>50.108577240747323</v>
      </c>
      <c r="N2" s="2">
        <f>('[1]Pc, Spring, S2'!N2*Main!$B$5)+(_xlfn.IFNA(VLOOKUP($A2,'FL Ratio'!$A$3:$B$10,2,FALSE),0)*'FL Characterization'!N$2)</f>
        <v>50.899820228580019</v>
      </c>
      <c r="O2" s="2">
        <f>('[1]Pc, Spring, S2'!O2*Main!$B$5)+(_xlfn.IFNA(VLOOKUP($A2,'FL Ratio'!$A$3:$B$10,2,FALSE),0)*'FL Characterization'!O$2)</f>
        <v>51.923964076908618</v>
      </c>
      <c r="P2" s="2">
        <f>('[1]Pc, Spring, S2'!P2*Main!$B$5)+(_xlfn.IFNA(VLOOKUP($A2,'FL Ratio'!$A$3:$B$10,2,FALSE),0)*'FL Characterization'!P$2)</f>
        <v>47.681410228140237</v>
      </c>
      <c r="Q2" s="2">
        <f>('[1]Pc, Spring, S2'!Q2*Main!$B$5)+(_xlfn.IFNA(VLOOKUP($A2,'FL Ratio'!$A$3:$B$10,2,FALSE),0)*'FL Characterization'!Q$2)</f>
        <v>43.997200186552746</v>
      </c>
      <c r="R2" s="2">
        <f>('[1]Pc, Spring, S2'!R2*Main!$B$5)+(_xlfn.IFNA(VLOOKUP($A2,'FL Ratio'!$A$3:$B$10,2,FALSE),0)*'FL Characterization'!R$2)</f>
        <v>45.660243918431867</v>
      </c>
      <c r="S2" s="2">
        <f>('[1]Pc, Spring, S2'!S2*Main!$B$5)+(_xlfn.IFNA(VLOOKUP($A2,'FL Ratio'!$A$3:$B$10,2,FALSE),0)*'FL Characterization'!S$2)</f>
        <v>47.98938042096033</v>
      </c>
      <c r="T2" s="2">
        <f>('[1]Pc, Spring, S2'!T2*Main!$B$5)+(_xlfn.IFNA(VLOOKUP($A2,'FL Ratio'!$A$3:$B$10,2,FALSE),0)*'FL Characterization'!T$2)</f>
        <v>50.859947350621141</v>
      </c>
      <c r="U2" s="2">
        <f>('[1]Pc, Spring, S2'!U2*Main!$B$5)+(_xlfn.IFNA(VLOOKUP($A2,'FL Ratio'!$A$3:$B$10,2,FALSE),0)*'FL Characterization'!U$2)</f>
        <v>49.968099067911872</v>
      </c>
      <c r="V2" s="2">
        <f>('[1]Pc, Spring, S2'!V2*Main!$B$5)+(_xlfn.IFNA(VLOOKUP($A2,'FL Ratio'!$A$3:$B$10,2,FALSE),0)*'FL Characterization'!V$2)</f>
        <v>48.13840800188057</v>
      </c>
      <c r="W2" s="2">
        <f>('[1]Pc, Spring, S2'!W2*Main!$B$5)+(_xlfn.IFNA(VLOOKUP($A2,'FL Ratio'!$A$3:$B$10,2,FALSE),0)*'FL Characterization'!W$2)</f>
        <v>49.889377846506676</v>
      </c>
      <c r="X2" s="2">
        <f>('[1]Pc, Spring, S2'!X2*Main!$B$5)+(_xlfn.IFNA(VLOOKUP($A2,'FL Ratio'!$A$3:$B$10,2,FALSE),0)*'FL Characterization'!X$2)</f>
        <v>41.803231274258543</v>
      </c>
      <c r="Y2" s="2">
        <f>('[1]Pc, Spring, S2'!Y2*Main!$B$5)+(_xlfn.IFNA(VLOOKUP($A2,'FL Ratio'!$A$3:$B$10,2,FALSE),0)*'FL Characterization'!Y$2)</f>
        <v>41.975824143768719</v>
      </c>
    </row>
    <row r="3" spans="1:25" x14ac:dyDescent="0.3">
      <c r="A3">
        <v>2</v>
      </c>
      <c r="B3" s="2">
        <f>('[1]Pc, Spring, S2'!B3*Main!$B$5)+(_xlfn.IFNA(VLOOKUP($A3,'FL Ratio'!$A$3:$B$10,2,FALSE),0)*'FL Characterization'!B$2)</f>
        <v>37.307186305130841</v>
      </c>
      <c r="C3" s="2">
        <f>('[1]Pc, Spring, S2'!C3*Main!$B$5)+(_xlfn.IFNA(VLOOKUP($A3,'FL Ratio'!$A$3:$B$10,2,FALSE),0)*'FL Characterization'!C$2)</f>
        <v>36.19991272388846</v>
      </c>
      <c r="D3" s="2">
        <f>('[1]Pc, Spring, S2'!D3*Main!$B$5)+(_xlfn.IFNA(VLOOKUP($A3,'FL Ratio'!$A$3:$B$10,2,FALSE),0)*'FL Characterization'!D$2)</f>
        <v>32.50577464523716</v>
      </c>
      <c r="E3" s="2">
        <f>('[1]Pc, Spring, S2'!E3*Main!$B$5)+(_xlfn.IFNA(VLOOKUP($A3,'FL Ratio'!$A$3:$B$10,2,FALSE),0)*'FL Characterization'!E$2)</f>
        <v>33.514336479162026</v>
      </c>
      <c r="F3" s="2">
        <f>('[1]Pc, Spring, S2'!F3*Main!$B$5)+(_xlfn.IFNA(VLOOKUP($A3,'FL Ratio'!$A$3:$B$10,2,FALSE),0)*'FL Characterization'!F$2)</f>
        <v>32.0667548570839</v>
      </c>
      <c r="G3" s="2">
        <f>('[1]Pc, Spring, S2'!G3*Main!$B$5)+(_xlfn.IFNA(VLOOKUP($A3,'FL Ratio'!$A$3:$B$10,2,FALSE),0)*'FL Characterization'!G$2)</f>
        <v>35.112711521129</v>
      </c>
      <c r="H3" s="2">
        <f>('[1]Pc, Spring, S2'!H3*Main!$B$5)+(_xlfn.IFNA(VLOOKUP($A3,'FL Ratio'!$A$3:$B$10,2,FALSE),0)*'FL Characterization'!H$2)</f>
        <v>45.643338186664828</v>
      </c>
      <c r="I3" s="2">
        <f>('[1]Pc, Spring, S2'!I3*Main!$B$5)+(_xlfn.IFNA(VLOOKUP($A3,'FL Ratio'!$A$3:$B$10,2,FALSE),0)*'FL Characterization'!I$2)</f>
        <v>51.970580418118267</v>
      </c>
      <c r="J3" s="2">
        <f>('[1]Pc, Spring, S2'!J3*Main!$B$5)+(_xlfn.IFNA(VLOOKUP($A3,'FL Ratio'!$A$3:$B$10,2,FALSE),0)*'FL Characterization'!J$2)</f>
        <v>56.406129190593354</v>
      </c>
      <c r="K3" s="2">
        <f>('[1]Pc, Spring, S2'!K3*Main!$B$5)+(_xlfn.IFNA(VLOOKUP($A3,'FL Ratio'!$A$3:$B$10,2,FALSE),0)*'FL Characterization'!K$2)</f>
        <v>54.946149373727692</v>
      </c>
      <c r="L3" s="2">
        <f>('[1]Pc, Spring, S2'!L3*Main!$B$5)+(_xlfn.IFNA(VLOOKUP($A3,'FL Ratio'!$A$3:$B$10,2,FALSE),0)*'FL Characterization'!L$2)</f>
        <v>51.730105854975136</v>
      </c>
      <c r="M3" s="2">
        <f>('[1]Pc, Spring, S2'!M3*Main!$B$5)+(_xlfn.IFNA(VLOOKUP($A3,'FL Ratio'!$A$3:$B$10,2,FALSE),0)*'FL Characterization'!M$2)</f>
        <v>56.45795119091818</v>
      </c>
      <c r="N3" s="2">
        <f>('[1]Pc, Spring, S2'!N3*Main!$B$5)+(_xlfn.IFNA(VLOOKUP($A3,'FL Ratio'!$A$3:$B$10,2,FALSE),0)*'FL Characterization'!N$2)</f>
        <v>54.496581919312135</v>
      </c>
      <c r="O3" s="2">
        <f>('[1]Pc, Spring, S2'!O3*Main!$B$5)+(_xlfn.IFNA(VLOOKUP($A3,'FL Ratio'!$A$3:$B$10,2,FALSE),0)*'FL Characterization'!O$2)</f>
        <v>52.67496409772879</v>
      </c>
      <c r="P3" s="2">
        <f>('[1]Pc, Spring, S2'!P3*Main!$B$5)+(_xlfn.IFNA(VLOOKUP($A3,'FL Ratio'!$A$3:$B$10,2,FALSE),0)*'FL Characterization'!P$2)</f>
        <v>51.960566707423695</v>
      </c>
      <c r="Q3" s="2">
        <f>('[1]Pc, Spring, S2'!Q3*Main!$B$5)+(_xlfn.IFNA(VLOOKUP($A3,'FL Ratio'!$A$3:$B$10,2,FALSE),0)*'FL Characterization'!Q$2)</f>
        <v>49.885700258306649</v>
      </c>
      <c r="R3" s="2">
        <f>('[1]Pc, Spring, S2'!R3*Main!$B$5)+(_xlfn.IFNA(VLOOKUP($A3,'FL Ratio'!$A$3:$B$10,2,FALSE),0)*'FL Characterization'!R$2)</f>
        <v>46.030089093163816</v>
      </c>
      <c r="S3" s="2">
        <f>('[1]Pc, Spring, S2'!S3*Main!$B$5)+(_xlfn.IFNA(VLOOKUP($A3,'FL Ratio'!$A$3:$B$10,2,FALSE),0)*'FL Characterization'!S$2)</f>
        <v>50.8417671895563</v>
      </c>
      <c r="T3" s="2">
        <f>('[1]Pc, Spring, S2'!T3*Main!$B$5)+(_xlfn.IFNA(VLOOKUP($A3,'FL Ratio'!$A$3:$B$10,2,FALSE),0)*'FL Characterization'!T$2)</f>
        <v>50.621209221630629</v>
      </c>
      <c r="U3" s="2">
        <f>('[1]Pc, Spring, S2'!U3*Main!$B$5)+(_xlfn.IFNA(VLOOKUP($A3,'FL Ratio'!$A$3:$B$10,2,FALSE),0)*'FL Characterization'!U$2)</f>
        <v>49.08193659585681</v>
      </c>
      <c r="V3" s="2">
        <f>('[1]Pc, Spring, S2'!V3*Main!$B$5)+(_xlfn.IFNA(VLOOKUP($A3,'FL Ratio'!$A$3:$B$10,2,FALSE),0)*'FL Characterization'!V$2)</f>
        <v>47.175871621912464</v>
      </c>
      <c r="W3" s="2">
        <f>('[1]Pc, Spring, S2'!W3*Main!$B$5)+(_xlfn.IFNA(VLOOKUP($A3,'FL Ratio'!$A$3:$B$10,2,FALSE),0)*'FL Characterization'!W$2)</f>
        <v>46.22979674542357</v>
      </c>
      <c r="X3" s="2">
        <f>('[1]Pc, Spring, S2'!X3*Main!$B$5)+(_xlfn.IFNA(VLOOKUP($A3,'FL Ratio'!$A$3:$B$10,2,FALSE),0)*'FL Characterization'!X$2)</f>
        <v>44.03104158853084</v>
      </c>
      <c r="Y3" s="2">
        <f>('[1]Pc, Spring, S2'!Y3*Main!$B$5)+(_xlfn.IFNA(VLOOKUP($A3,'FL Ratio'!$A$3:$B$10,2,FALSE),0)*'FL Characterization'!Y$2)</f>
        <v>41.295199538645178</v>
      </c>
    </row>
    <row r="4" spans="1:25" x14ac:dyDescent="0.3">
      <c r="A4">
        <v>3</v>
      </c>
      <c r="B4" s="2">
        <f>('[1]Pc, Spring, S2'!B4*Main!$B$5)+(_xlfn.IFNA(VLOOKUP($A4,'FL Ratio'!$A$3:$B$10,2,FALSE),0)*'FL Characterization'!B$2)</f>
        <v>50.910072466819095</v>
      </c>
      <c r="C4" s="2">
        <f>('[1]Pc, Spring, S2'!C4*Main!$B$5)+(_xlfn.IFNA(VLOOKUP($A4,'FL Ratio'!$A$3:$B$10,2,FALSE),0)*'FL Characterization'!C$2)</f>
        <v>44.719170915482067</v>
      </c>
      <c r="D4" s="2">
        <f>('[1]Pc, Spring, S2'!D4*Main!$B$5)+(_xlfn.IFNA(VLOOKUP($A4,'FL Ratio'!$A$3:$B$10,2,FALSE),0)*'FL Characterization'!D$2)</f>
        <v>44.810419571364825</v>
      </c>
      <c r="E4" s="2">
        <f>('[1]Pc, Spring, S2'!E4*Main!$B$5)+(_xlfn.IFNA(VLOOKUP($A4,'FL Ratio'!$A$3:$B$10,2,FALSE),0)*'FL Characterization'!E$2)</f>
        <v>41.316437293109963</v>
      </c>
      <c r="F4" s="2">
        <f>('[1]Pc, Spring, S2'!F4*Main!$B$5)+(_xlfn.IFNA(VLOOKUP($A4,'FL Ratio'!$A$3:$B$10,2,FALSE),0)*'FL Characterization'!F$2)</f>
        <v>43.553759175966974</v>
      </c>
      <c r="G4" s="2">
        <f>('[1]Pc, Spring, S2'!G4*Main!$B$5)+(_xlfn.IFNA(VLOOKUP($A4,'FL Ratio'!$A$3:$B$10,2,FALSE),0)*'FL Characterization'!G$2)</f>
        <v>42.692834582291596</v>
      </c>
      <c r="H4" s="2">
        <f>('[1]Pc, Spring, S2'!H4*Main!$B$5)+(_xlfn.IFNA(VLOOKUP($A4,'FL Ratio'!$A$3:$B$10,2,FALSE),0)*'FL Characterization'!H$2)</f>
        <v>49.988318589030314</v>
      </c>
      <c r="I4" s="2">
        <f>('[1]Pc, Spring, S2'!I4*Main!$B$5)+(_xlfn.IFNA(VLOOKUP($A4,'FL Ratio'!$A$3:$B$10,2,FALSE),0)*'FL Characterization'!I$2)</f>
        <v>53.821356726841792</v>
      </c>
      <c r="J4" s="2">
        <f>('[1]Pc, Spring, S2'!J4*Main!$B$5)+(_xlfn.IFNA(VLOOKUP($A4,'FL Ratio'!$A$3:$B$10,2,FALSE),0)*'FL Characterization'!J$2)</f>
        <v>62.177479606868879</v>
      </c>
      <c r="K4" s="2">
        <f>('[1]Pc, Spring, S2'!K4*Main!$B$5)+(_xlfn.IFNA(VLOOKUP($A4,'FL Ratio'!$A$3:$B$10,2,FALSE),0)*'FL Characterization'!K$2)</f>
        <v>63.918130735064935</v>
      </c>
      <c r="L4" s="2">
        <f>('[1]Pc, Spring, S2'!L4*Main!$B$5)+(_xlfn.IFNA(VLOOKUP($A4,'FL Ratio'!$A$3:$B$10,2,FALSE),0)*'FL Characterization'!L$2)</f>
        <v>66.035857091303541</v>
      </c>
      <c r="M4" s="2">
        <f>('[1]Pc, Spring, S2'!M4*Main!$B$5)+(_xlfn.IFNA(VLOOKUP($A4,'FL Ratio'!$A$3:$B$10,2,FALSE),0)*'FL Characterization'!M$2)</f>
        <v>69.694161082903562</v>
      </c>
      <c r="N4" s="2">
        <f>('[1]Pc, Spring, S2'!N4*Main!$B$5)+(_xlfn.IFNA(VLOOKUP($A4,'FL Ratio'!$A$3:$B$10,2,FALSE),0)*'FL Characterization'!N$2)</f>
        <v>70.323568547562488</v>
      </c>
      <c r="O4" s="2">
        <f>('[1]Pc, Spring, S2'!O4*Main!$B$5)+(_xlfn.IFNA(VLOOKUP($A4,'FL Ratio'!$A$3:$B$10,2,FALSE),0)*'FL Characterization'!O$2)</f>
        <v>70.192345619255605</v>
      </c>
      <c r="P4" s="2">
        <f>('[1]Pc, Spring, S2'!P4*Main!$B$5)+(_xlfn.IFNA(VLOOKUP($A4,'FL Ratio'!$A$3:$B$10,2,FALSE),0)*'FL Characterization'!P$2)</f>
        <v>66.377670017008825</v>
      </c>
      <c r="Q4" s="2">
        <f>('[1]Pc, Spring, S2'!Q4*Main!$B$5)+(_xlfn.IFNA(VLOOKUP($A4,'FL Ratio'!$A$3:$B$10,2,FALSE),0)*'FL Characterization'!Q$2)</f>
        <v>67.042126480695842</v>
      </c>
      <c r="R4" s="2">
        <f>('[1]Pc, Spring, S2'!R4*Main!$B$5)+(_xlfn.IFNA(VLOOKUP($A4,'FL Ratio'!$A$3:$B$10,2,FALSE),0)*'FL Characterization'!R$2)</f>
        <v>66.380606147244535</v>
      </c>
      <c r="S4" s="2">
        <f>('[1]Pc, Spring, S2'!S4*Main!$B$5)+(_xlfn.IFNA(VLOOKUP($A4,'FL Ratio'!$A$3:$B$10,2,FALSE),0)*'FL Characterization'!S$2)</f>
        <v>69.037133155897919</v>
      </c>
      <c r="T4" s="2">
        <f>('[1]Pc, Spring, S2'!T4*Main!$B$5)+(_xlfn.IFNA(VLOOKUP($A4,'FL Ratio'!$A$3:$B$10,2,FALSE),0)*'FL Characterization'!T$2)</f>
        <v>68.5479191375168</v>
      </c>
      <c r="U4" s="2">
        <f>('[1]Pc, Spring, S2'!U4*Main!$B$5)+(_xlfn.IFNA(VLOOKUP($A4,'FL Ratio'!$A$3:$B$10,2,FALSE),0)*'FL Characterization'!U$2)</f>
        <v>66.982398778709197</v>
      </c>
      <c r="V4" s="2">
        <f>('[1]Pc, Spring, S2'!V4*Main!$B$5)+(_xlfn.IFNA(VLOOKUP($A4,'FL Ratio'!$A$3:$B$10,2,FALSE),0)*'FL Characterization'!V$2)</f>
        <v>65.646769368430952</v>
      </c>
      <c r="W4" s="2">
        <f>('[1]Pc, Spring, S2'!W4*Main!$B$5)+(_xlfn.IFNA(VLOOKUP($A4,'FL Ratio'!$A$3:$B$10,2,FALSE),0)*'FL Characterization'!W$2)</f>
        <v>68.504304931183427</v>
      </c>
      <c r="X4" s="2">
        <f>('[1]Pc, Spring, S2'!X4*Main!$B$5)+(_xlfn.IFNA(VLOOKUP($A4,'FL Ratio'!$A$3:$B$10,2,FALSE),0)*'FL Characterization'!X$2)</f>
        <v>64.434201774967036</v>
      </c>
      <c r="Y4" s="2">
        <f>('[1]Pc, Spring, S2'!Y4*Main!$B$5)+(_xlfn.IFNA(VLOOKUP($A4,'FL Ratio'!$A$3:$B$10,2,FALSE),0)*'FL Characterization'!Y$2)</f>
        <v>59.138190508671009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4355B-28E7-4651-81FC-2564B66FAF14}">
  <dimension ref="A1:Y28"/>
  <sheetViews>
    <sheetView workbookViewId="0">
      <selection activeCell="E17" sqref="E17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Ratio'!$A$3:$B$10,2,FALSE),0)*'FL Characterization'!B$2)</f>
        <v>35.996173566261248</v>
      </c>
      <c r="C2" s="2">
        <f>('[1]Pc, Spring, S2'!C2*Main!$B$5)+(_xlfn.IFNA(VLOOKUP($A2,'FL Ratio'!$A$3:$B$10,2,FALSE),0)*'FL Characterization'!C$2)</f>
        <v>32.180441664764231</v>
      </c>
      <c r="D2" s="2">
        <f>('[1]Pc, Spring, S2'!D2*Main!$B$5)+(_xlfn.IFNA(VLOOKUP($A2,'FL Ratio'!$A$3:$B$10,2,FALSE),0)*'FL Characterization'!D$2)</f>
        <v>30.691006657231274</v>
      </c>
      <c r="E2" s="2">
        <f>('[1]Pc, Spring, S2'!E2*Main!$B$5)+(_xlfn.IFNA(VLOOKUP($A2,'FL Ratio'!$A$3:$B$10,2,FALSE),0)*'FL Characterization'!E$2)</f>
        <v>30.620416472321246</v>
      </c>
      <c r="F2" s="2">
        <f>('[1]Pc, Spring, S2'!F2*Main!$B$5)+(_xlfn.IFNA(VLOOKUP($A2,'FL Ratio'!$A$3:$B$10,2,FALSE),0)*'FL Characterization'!F$2)</f>
        <v>30.241381321764102</v>
      </c>
      <c r="G2" s="2">
        <f>('[1]Pc, Spring, S2'!G2*Main!$B$5)+(_xlfn.IFNA(VLOOKUP($A2,'FL Ratio'!$A$3:$B$10,2,FALSE),0)*'FL Characterization'!G$2)</f>
        <v>31.602111991013821</v>
      </c>
      <c r="H2" s="2">
        <f>('[1]Pc, Spring, S2'!H2*Main!$B$5)+(_xlfn.IFNA(VLOOKUP($A2,'FL Ratio'!$A$3:$B$10,2,FALSE),0)*'FL Characterization'!H$2)</f>
        <v>35.544714973491146</v>
      </c>
      <c r="I2" s="2">
        <f>('[1]Pc, Spring, S2'!I2*Main!$B$5)+(_xlfn.IFNA(VLOOKUP($A2,'FL Ratio'!$A$3:$B$10,2,FALSE),0)*'FL Characterization'!I$2)</f>
        <v>44.363697576499298</v>
      </c>
      <c r="J2" s="2">
        <f>('[1]Pc, Spring, S2'!J2*Main!$B$5)+(_xlfn.IFNA(VLOOKUP($A2,'FL Ratio'!$A$3:$B$10,2,FALSE),0)*'FL Characterization'!J$2)</f>
        <v>47.545879732713267</v>
      </c>
      <c r="K2" s="2">
        <f>('[1]Pc, Spring, S2'!K2*Main!$B$5)+(_xlfn.IFNA(VLOOKUP($A2,'FL Ratio'!$A$3:$B$10,2,FALSE),0)*'FL Characterization'!K$2)</f>
        <v>49.819685528527003</v>
      </c>
      <c r="L2" s="2">
        <f>('[1]Pc, Spring, S2'!L2*Main!$B$5)+(_xlfn.IFNA(VLOOKUP($A2,'FL Ratio'!$A$3:$B$10,2,FALSE),0)*'FL Characterization'!L$2)</f>
        <v>51.466906985432558</v>
      </c>
      <c r="M2" s="2">
        <f>('[1]Pc, Spring, S2'!M2*Main!$B$5)+(_xlfn.IFNA(VLOOKUP($A2,'FL Ratio'!$A$3:$B$10,2,FALSE),0)*'FL Characterization'!M$2)</f>
        <v>50.108577240747323</v>
      </c>
      <c r="N2" s="2">
        <f>('[1]Pc, Spring, S2'!N2*Main!$B$5)+(_xlfn.IFNA(VLOOKUP($A2,'FL Ratio'!$A$3:$B$10,2,FALSE),0)*'FL Characterization'!N$2)</f>
        <v>50.899820228580019</v>
      </c>
      <c r="O2" s="2">
        <f>('[1]Pc, Spring, S2'!O2*Main!$B$5)+(_xlfn.IFNA(VLOOKUP($A2,'FL Ratio'!$A$3:$B$10,2,FALSE),0)*'FL Characterization'!O$2)</f>
        <v>51.923964076908618</v>
      </c>
      <c r="P2" s="2">
        <f>('[1]Pc, Spring, S2'!P2*Main!$B$5)+(_xlfn.IFNA(VLOOKUP($A2,'FL Ratio'!$A$3:$B$10,2,FALSE),0)*'FL Characterization'!P$2)</f>
        <v>47.681410228140237</v>
      </c>
      <c r="Q2" s="2">
        <f>('[1]Pc, Spring, S2'!Q2*Main!$B$5)+(_xlfn.IFNA(VLOOKUP($A2,'FL Ratio'!$A$3:$B$10,2,FALSE),0)*'FL Characterization'!Q$2)</f>
        <v>43.997200186552746</v>
      </c>
      <c r="R2" s="2">
        <f>('[1]Pc, Spring, S2'!R2*Main!$B$5)+(_xlfn.IFNA(VLOOKUP($A2,'FL Ratio'!$A$3:$B$10,2,FALSE),0)*'FL Characterization'!R$2)</f>
        <v>45.660243918431867</v>
      </c>
      <c r="S2" s="2">
        <f>('[1]Pc, Spring, S2'!S2*Main!$B$5)+(_xlfn.IFNA(VLOOKUP($A2,'FL Ratio'!$A$3:$B$10,2,FALSE),0)*'FL Characterization'!S$2)</f>
        <v>47.98938042096033</v>
      </c>
      <c r="T2" s="2">
        <f>('[1]Pc, Spring, S2'!T2*Main!$B$5)+(_xlfn.IFNA(VLOOKUP($A2,'FL Ratio'!$A$3:$B$10,2,FALSE),0)*'FL Characterization'!T$2)</f>
        <v>50.859947350621141</v>
      </c>
      <c r="U2" s="2">
        <f>('[1]Pc, Spring, S2'!U2*Main!$B$5)+(_xlfn.IFNA(VLOOKUP($A2,'FL Ratio'!$A$3:$B$10,2,FALSE),0)*'FL Characterization'!U$2)</f>
        <v>49.968099067911872</v>
      </c>
      <c r="V2" s="2">
        <f>('[1]Pc, Spring, S2'!V2*Main!$B$5)+(_xlfn.IFNA(VLOOKUP($A2,'FL Ratio'!$A$3:$B$10,2,FALSE),0)*'FL Characterization'!V$2)</f>
        <v>48.13840800188057</v>
      </c>
      <c r="W2" s="2">
        <f>('[1]Pc, Spring, S2'!W2*Main!$B$5)+(_xlfn.IFNA(VLOOKUP($A2,'FL Ratio'!$A$3:$B$10,2,FALSE),0)*'FL Characterization'!W$2)</f>
        <v>49.889377846506676</v>
      </c>
      <c r="X2" s="2">
        <f>('[1]Pc, Spring, S2'!X2*Main!$B$5)+(_xlfn.IFNA(VLOOKUP($A2,'FL Ratio'!$A$3:$B$10,2,FALSE),0)*'FL Characterization'!X$2)</f>
        <v>41.803231274258543</v>
      </c>
      <c r="Y2" s="2">
        <f>('[1]Pc, Spring, S2'!Y2*Main!$B$5)+(_xlfn.IFNA(VLOOKUP($A2,'FL Ratio'!$A$3:$B$10,2,FALSE),0)*'FL Characterization'!Y$2)</f>
        <v>41.975824143768719</v>
      </c>
    </row>
    <row r="3" spans="1:25" x14ac:dyDescent="0.3">
      <c r="A3">
        <v>2</v>
      </c>
      <c r="B3" s="2">
        <f>('[1]Pc, Spring, S2'!B3*Main!$B$5)+(_xlfn.IFNA(VLOOKUP($A3,'FL Ratio'!$A$3:$B$10,2,FALSE),0)*'FL Characterization'!B$2)</f>
        <v>37.307186305130841</v>
      </c>
      <c r="C3" s="2">
        <f>('[1]Pc, Spring, S2'!C3*Main!$B$5)+(_xlfn.IFNA(VLOOKUP($A3,'FL Ratio'!$A$3:$B$10,2,FALSE),0)*'FL Characterization'!C$2)</f>
        <v>36.19991272388846</v>
      </c>
      <c r="D3" s="2">
        <f>('[1]Pc, Spring, S2'!D3*Main!$B$5)+(_xlfn.IFNA(VLOOKUP($A3,'FL Ratio'!$A$3:$B$10,2,FALSE),0)*'FL Characterization'!D$2)</f>
        <v>32.50577464523716</v>
      </c>
      <c r="E3" s="2">
        <f>('[1]Pc, Spring, S2'!E3*Main!$B$5)+(_xlfn.IFNA(VLOOKUP($A3,'FL Ratio'!$A$3:$B$10,2,FALSE),0)*'FL Characterization'!E$2)</f>
        <v>33.514336479162026</v>
      </c>
      <c r="F3" s="2">
        <f>('[1]Pc, Spring, S2'!F3*Main!$B$5)+(_xlfn.IFNA(VLOOKUP($A3,'FL Ratio'!$A$3:$B$10,2,FALSE),0)*'FL Characterization'!F$2)</f>
        <v>32.0667548570839</v>
      </c>
      <c r="G3" s="2">
        <f>('[1]Pc, Spring, S2'!G3*Main!$B$5)+(_xlfn.IFNA(VLOOKUP($A3,'FL Ratio'!$A$3:$B$10,2,FALSE),0)*'FL Characterization'!G$2)</f>
        <v>35.112711521129</v>
      </c>
      <c r="H3" s="2">
        <f>('[1]Pc, Spring, S2'!H3*Main!$B$5)+(_xlfn.IFNA(VLOOKUP($A3,'FL Ratio'!$A$3:$B$10,2,FALSE),0)*'FL Characterization'!H$2)</f>
        <v>45.643338186664828</v>
      </c>
      <c r="I3" s="2">
        <f>('[1]Pc, Spring, S2'!I3*Main!$B$5)+(_xlfn.IFNA(VLOOKUP($A3,'FL Ratio'!$A$3:$B$10,2,FALSE),0)*'FL Characterization'!I$2)</f>
        <v>51.970580418118267</v>
      </c>
      <c r="J3" s="2">
        <f>('[1]Pc, Spring, S2'!J3*Main!$B$5)+(_xlfn.IFNA(VLOOKUP($A3,'FL Ratio'!$A$3:$B$10,2,FALSE),0)*'FL Characterization'!J$2)</f>
        <v>56.406129190593354</v>
      </c>
      <c r="K3" s="2">
        <f>('[1]Pc, Spring, S2'!K3*Main!$B$5)+(_xlfn.IFNA(VLOOKUP($A3,'FL Ratio'!$A$3:$B$10,2,FALSE),0)*'FL Characterization'!K$2)</f>
        <v>54.946149373727692</v>
      </c>
      <c r="L3" s="2">
        <f>('[1]Pc, Spring, S2'!L3*Main!$B$5)+(_xlfn.IFNA(VLOOKUP($A3,'FL Ratio'!$A$3:$B$10,2,FALSE),0)*'FL Characterization'!L$2)</f>
        <v>51.730105854975136</v>
      </c>
      <c r="M3" s="2">
        <f>('[1]Pc, Spring, S2'!M3*Main!$B$5)+(_xlfn.IFNA(VLOOKUP($A3,'FL Ratio'!$A$3:$B$10,2,FALSE),0)*'FL Characterization'!M$2)</f>
        <v>56.45795119091818</v>
      </c>
      <c r="N3" s="2">
        <f>('[1]Pc, Spring, S2'!N3*Main!$B$5)+(_xlfn.IFNA(VLOOKUP($A3,'FL Ratio'!$A$3:$B$10,2,FALSE),0)*'FL Characterization'!N$2)</f>
        <v>54.496581919312135</v>
      </c>
      <c r="O3" s="2">
        <f>('[1]Pc, Spring, S2'!O3*Main!$B$5)+(_xlfn.IFNA(VLOOKUP($A3,'FL Ratio'!$A$3:$B$10,2,FALSE),0)*'FL Characterization'!O$2)</f>
        <v>52.67496409772879</v>
      </c>
      <c r="P3" s="2">
        <f>('[1]Pc, Spring, S2'!P3*Main!$B$5)+(_xlfn.IFNA(VLOOKUP($A3,'FL Ratio'!$A$3:$B$10,2,FALSE),0)*'FL Characterization'!P$2)</f>
        <v>51.960566707423695</v>
      </c>
      <c r="Q3" s="2">
        <f>('[1]Pc, Spring, S2'!Q3*Main!$B$5)+(_xlfn.IFNA(VLOOKUP($A3,'FL Ratio'!$A$3:$B$10,2,FALSE),0)*'FL Characterization'!Q$2)</f>
        <v>49.885700258306649</v>
      </c>
      <c r="R3" s="2">
        <f>('[1]Pc, Spring, S2'!R3*Main!$B$5)+(_xlfn.IFNA(VLOOKUP($A3,'FL Ratio'!$A$3:$B$10,2,FALSE),0)*'FL Characterization'!R$2)</f>
        <v>46.030089093163816</v>
      </c>
      <c r="S3" s="2">
        <f>('[1]Pc, Spring, S2'!S3*Main!$B$5)+(_xlfn.IFNA(VLOOKUP($A3,'FL Ratio'!$A$3:$B$10,2,FALSE),0)*'FL Characterization'!S$2)</f>
        <v>50.8417671895563</v>
      </c>
      <c r="T3" s="2">
        <f>('[1]Pc, Spring, S2'!T3*Main!$B$5)+(_xlfn.IFNA(VLOOKUP($A3,'FL Ratio'!$A$3:$B$10,2,FALSE),0)*'FL Characterization'!T$2)</f>
        <v>50.621209221630629</v>
      </c>
      <c r="U3" s="2">
        <f>('[1]Pc, Spring, S2'!U3*Main!$B$5)+(_xlfn.IFNA(VLOOKUP($A3,'FL Ratio'!$A$3:$B$10,2,FALSE),0)*'FL Characterization'!U$2)</f>
        <v>49.08193659585681</v>
      </c>
      <c r="V3" s="2">
        <f>('[1]Pc, Spring, S2'!V3*Main!$B$5)+(_xlfn.IFNA(VLOOKUP($A3,'FL Ratio'!$A$3:$B$10,2,FALSE),0)*'FL Characterization'!V$2)</f>
        <v>47.175871621912464</v>
      </c>
      <c r="W3" s="2">
        <f>('[1]Pc, Spring, S2'!W3*Main!$B$5)+(_xlfn.IFNA(VLOOKUP($A3,'FL Ratio'!$A$3:$B$10,2,FALSE),0)*'FL Characterization'!W$2)</f>
        <v>46.22979674542357</v>
      </c>
      <c r="X3" s="2">
        <f>('[1]Pc, Spring, S2'!X3*Main!$B$5)+(_xlfn.IFNA(VLOOKUP($A3,'FL Ratio'!$A$3:$B$10,2,FALSE),0)*'FL Characterization'!X$2)</f>
        <v>44.03104158853084</v>
      </c>
      <c r="Y3" s="2">
        <f>('[1]Pc, Spring, S2'!Y3*Main!$B$5)+(_xlfn.IFNA(VLOOKUP($A3,'FL Ratio'!$A$3:$B$10,2,FALSE),0)*'FL Characterization'!Y$2)</f>
        <v>41.295199538645178</v>
      </c>
    </row>
    <row r="4" spans="1:25" x14ac:dyDescent="0.3">
      <c r="A4">
        <v>3</v>
      </c>
      <c r="B4" s="2">
        <f>('[1]Pc, Spring, S2'!B4*Main!$B$5)+(_xlfn.IFNA(VLOOKUP($A4,'FL Ratio'!$A$3:$B$10,2,FALSE),0)*'FL Characterization'!B$2)</f>
        <v>50.910072466819095</v>
      </c>
      <c r="C4" s="2">
        <f>('[1]Pc, Spring, S2'!C4*Main!$B$5)+(_xlfn.IFNA(VLOOKUP($A4,'FL Ratio'!$A$3:$B$10,2,FALSE),0)*'FL Characterization'!C$2)</f>
        <v>44.719170915482067</v>
      </c>
      <c r="D4" s="2">
        <f>('[1]Pc, Spring, S2'!D4*Main!$B$5)+(_xlfn.IFNA(VLOOKUP($A4,'FL Ratio'!$A$3:$B$10,2,FALSE),0)*'FL Characterization'!D$2)</f>
        <v>44.810419571364825</v>
      </c>
      <c r="E4" s="2">
        <f>('[1]Pc, Spring, S2'!E4*Main!$B$5)+(_xlfn.IFNA(VLOOKUP($A4,'FL Ratio'!$A$3:$B$10,2,FALSE),0)*'FL Characterization'!E$2)</f>
        <v>41.316437293109963</v>
      </c>
      <c r="F4" s="2">
        <f>('[1]Pc, Spring, S2'!F4*Main!$B$5)+(_xlfn.IFNA(VLOOKUP($A4,'FL Ratio'!$A$3:$B$10,2,FALSE),0)*'FL Characterization'!F$2)</f>
        <v>43.553759175966974</v>
      </c>
      <c r="G4" s="2">
        <f>('[1]Pc, Spring, S2'!G4*Main!$B$5)+(_xlfn.IFNA(VLOOKUP($A4,'FL Ratio'!$A$3:$B$10,2,FALSE),0)*'FL Characterization'!G$2)</f>
        <v>42.692834582291596</v>
      </c>
      <c r="H4" s="2">
        <f>('[1]Pc, Spring, S2'!H4*Main!$B$5)+(_xlfn.IFNA(VLOOKUP($A4,'FL Ratio'!$A$3:$B$10,2,FALSE),0)*'FL Characterization'!H$2)</f>
        <v>49.988318589030314</v>
      </c>
      <c r="I4" s="2">
        <f>('[1]Pc, Spring, S2'!I4*Main!$B$5)+(_xlfn.IFNA(VLOOKUP($A4,'FL Ratio'!$A$3:$B$10,2,FALSE),0)*'FL Characterization'!I$2)</f>
        <v>53.821356726841792</v>
      </c>
      <c r="J4" s="2">
        <f>('[1]Pc, Spring, S2'!J4*Main!$B$5)+(_xlfn.IFNA(VLOOKUP($A4,'FL Ratio'!$A$3:$B$10,2,FALSE),0)*'FL Characterization'!J$2)</f>
        <v>62.177479606868879</v>
      </c>
      <c r="K4" s="2">
        <f>('[1]Pc, Spring, S2'!K4*Main!$B$5)+(_xlfn.IFNA(VLOOKUP($A4,'FL Ratio'!$A$3:$B$10,2,FALSE),0)*'FL Characterization'!K$2)</f>
        <v>63.918130735064935</v>
      </c>
      <c r="L4" s="2">
        <f>('[1]Pc, Spring, S2'!L4*Main!$B$5)+(_xlfn.IFNA(VLOOKUP($A4,'FL Ratio'!$A$3:$B$10,2,FALSE),0)*'FL Characterization'!L$2)</f>
        <v>66.035857091303541</v>
      </c>
      <c r="M4" s="2">
        <f>('[1]Pc, Spring, S2'!M4*Main!$B$5)+(_xlfn.IFNA(VLOOKUP($A4,'FL Ratio'!$A$3:$B$10,2,FALSE),0)*'FL Characterization'!M$2)</f>
        <v>69.694161082903562</v>
      </c>
      <c r="N4" s="2">
        <f>('[1]Pc, Spring, S2'!N4*Main!$B$5)+(_xlfn.IFNA(VLOOKUP($A4,'FL Ratio'!$A$3:$B$10,2,FALSE),0)*'FL Characterization'!N$2)</f>
        <v>70.323568547562488</v>
      </c>
      <c r="O4" s="2">
        <f>('[1]Pc, Spring, S2'!O4*Main!$B$5)+(_xlfn.IFNA(VLOOKUP($A4,'FL Ratio'!$A$3:$B$10,2,FALSE),0)*'FL Characterization'!O$2)</f>
        <v>70.192345619255605</v>
      </c>
      <c r="P4" s="2">
        <f>('[1]Pc, Spring, S2'!P4*Main!$B$5)+(_xlfn.IFNA(VLOOKUP($A4,'FL Ratio'!$A$3:$B$10,2,FALSE),0)*'FL Characterization'!P$2)</f>
        <v>66.377670017008825</v>
      </c>
      <c r="Q4" s="2">
        <f>('[1]Pc, Spring, S2'!Q4*Main!$B$5)+(_xlfn.IFNA(VLOOKUP($A4,'FL Ratio'!$A$3:$B$10,2,FALSE),0)*'FL Characterization'!Q$2)</f>
        <v>67.042126480695842</v>
      </c>
      <c r="R4" s="2">
        <f>('[1]Pc, Spring, S2'!R4*Main!$B$5)+(_xlfn.IFNA(VLOOKUP($A4,'FL Ratio'!$A$3:$B$10,2,FALSE),0)*'FL Characterization'!R$2)</f>
        <v>66.380606147244535</v>
      </c>
      <c r="S4" s="2">
        <f>('[1]Pc, Spring, S2'!S4*Main!$B$5)+(_xlfn.IFNA(VLOOKUP($A4,'FL Ratio'!$A$3:$B$10,2,FALSE),0)*'FL Characterization'!S$2)</f>
        <v>69.037133155897919</v>
      </c>
      <c r="T4" s="2">
        <f>('[1]Pc, Spring, S2'!T4*Main!$B$5)+(_xlfn.IFNA(VLOOKUP($A4,'FL Ratio'!$A$3:$B$10,2,FALSE),0)*'FL Characterization'!T$2)</f>
        <v>68.5479191375168</v>
      </c>
      <c r="U4" s="2">
        <f>('[1]Pc, Spring, S2'!U4*Main!$B$5)+(_xlfn.IFNA(VLOOKUP($A4,'FL Ratio'!$A$3:$B$10,2,FALSE),0)*'FL Characterization'!U$2)</f>
        <v>66.982398778709197</v>
      </c>
      <c r="V4" s="2">
        <f>('[1]Pc, Spring, S2'!V4*Main!$B$5)+(_xlfn.IFNA(VLOOKUP($A4,'FL Ratio'!$A$3:$B$10,2,FALSE),0)*'FL Characterization'!V$2)</f>
        <v>65.646769368430952</v>
      </c>
      <c r="W4" s="2">
        <f>('[1]Pc, Spring, S2'!W4*Main!$B$5)+(_xlfn.IFNA(VLOOKUP($A4,'FL Ratio'!$A$3:$B$10,2,FALSE),0)*'FL Characterization'!W$2)</f>
        <v>68.504304931183427</v>
      </c>
      <c r="X4" s="2">
        <f>('[1]Pc, Spring, S2'!X4*Main!$B$5)+(_xlfn.IFNA(VLOOKUP($A4,'FL Ratio'!$A$3:$B$10,2,FALSE),0)*'FL Characterization'!X$2)</f>
        <v>64.434201774967036</v>
      </c>
      <c r="Y4" s="2">
        <f>('[1]Pc, Spring, S2'!Y4*Main!$B$5)+(_xlfn.IFNA(VLOOKUP($A4,'FL Ratio'!$A$3:$B$10,2,FALSE),0)*'FL Characterization'!Y$2)</f>
        <v>59.138190508671009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C3171-7D56-4100-BF8F-9607196E6BB9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Ratio'!$A$3:$B$10,2,FALSE),0)*'FL Characterization'!B$2)</f>
        <v>34.248786499937886</v>
      </c>
      <c r="C2" s="2">
        <f>('[1]Pc, Spring, S3'!C2*Main!$B$5)+(_xlfn.IFNA(VLOOKUP($A2,'FL Ratio'!$A$3:$B$10,2,FALSE),0)*'FL Characterization'!C$2)</f>
        <v>30.618284302397033</v>
      </c>
      <c r="D2" s="2">
        <f>('[1]Pc, Spring, S3'!D2*Main!$B$5)+(_xlfn.IFNA(VLOOKUP($A2,'FL Ratio'!$A$3:$B$10,2,FALSE),0)*'FL Characterization'!D$2)</f>
        <v>29.201151965132667</v>
      </c>
      <c r="E2" s="2">
        <f>('[1]Pc, Spring, S3'!E2*Main!$B$5)+(_xlfn.IFNA(VLOOKUP($A2,'FL Ratio'!$A$3:$B$10,2,FALSE),0)*'FL Characterization'!E$2)</f>
        <v>29.133988488227981</v>
      </c>
      <c r="F2" s="2">
        <f>('[1]Pc, Spring, S3'!F2*Main!$B$5)+(_xlfn.IFNA(VLOOKUP($A2,'FL Ratio'!$A$3:$B$10,2,FALSE),0)*'FL Characterization'!F$2)</f>
        <v>28.77335310226098</v>
      </c>
      <c r="G2" s="2">
        <f>('[1]Pc, Spring, S3'!G2*Main!$B$5)+(_xlfn.IFNA(VLOOKUP($A2,'FL Ratio'!$A$3:$B$10,2,FALSE),0)*'FL Characterization'!G$2)</f>
        <v>30.068028884653927</v>
      </c>
      <c r="H2" s="2">
        <f>('[1]Pc, Spring, S3'!H2*Main!$B$5)+(_xlfn.IFNA(VLOOKUP($A2,'FL Ratio'!$A$3:$B$10,2,FALSE),0)*'FL Characterization'!H$2)</f>
        <v>33.81924337283624</v>
      </c>
      <c r="I2" s="2">
        <f>('[1]Pc, Spring, S3'!I2*Main!$B$5)+(_xlfn.IFNA(VLOOKUP($A2,'FL Ratio'!$A$3:$B$10,2,FALSE),0)*'FL Characterization'!I$2)</f>
        <v>42.210120024242045</v>
      </c>
      <c r="J2" s="2">
        <f>('[1]Pc, Spring, S3'!J2*Main!$B$5)+(_xlfn.IFNA(VLOOKUP($A2,'FL Ratio'!$A$3:$B$10,2,FALSE),0)*'FL Characterization'!J$2)</f>
        <v>45.237827318503882</v>
      </c>
      <c r="K2" s="2">
        <f>('[1]Pc, Spring, S3'!K2*Main!$B$5)+(_xlfn.IFNA(VLOOKUP($A2,'FL Ratio'!$A$3:$B$10,2,FALSE),0)*'FL Characterization'!K$2)</f>
        <v>47.401254192190741</v>
      </c>
      <c r="L2" s="2">
        <f>('[1]Pc, Spring, S3'!L2*Main!$B$5)+(_xlfn.IFNA(VLOOKUP($A2,'FL Ratio'!$A$3:$B$10,2,FALSE),0)*'FL Characterization'!L$2)</f>
        <v>48.968513442450401</v>
      </c>
      <c r="M2" s="2">
        <f>('[1]Pc, Spring, S3'!M2*Main!$B$5)+(_xlfn.IFNA(VLOOKUP($A2,'FL Ratio'!$A$3:$B$10,2,FALSE),0)*'FL Characterization'!M$2)</f>
        <v>47.6761220348858</v>
      </c>
      <c r="N2" s="2">
        <f>('[1]Pc, Spring, S3'!N2*Main!$B$5)+(_xlfn.IFNA(VLOOKUP($A2,'FL Ratio'!$A$3:$B$10,2,FALSE),0)*'FL Characterization'!N$2)</f>
        <v>48.428955168940213</v>
      </c>
      <c r="O2" s="2">
        <f>('[1]Pc, Spring, S3'!O2*Main!$B$5)+(_xlfn.IFNA(VLOOKUP($A2,'FL Ratio'!$A$3:$B$10,2,FALSE),0)*'FL Characterization'!O$2)</f>
        <v>49.403383296476157</v>
      </c>
      <c r="P2" s="2">
        <f>('[1]Pc, Spring, S3'!P2*Main!$B$5)+(_xlfn.IFNA(VLOOKUP($A2,'FL Ratio'!$A$3:$B$10,2,FALSE),0)*'FL Characterization'!P$2)</f>
        <v>45.366778663667411</v>
      </c>
      <c r="Q2" s="2">
        <f>('[1]Pc, Spring, S3'!Q2*Main!$B$5)+(_xlfn.IFNA(VLOOKUP($A2,'FL Ratio'!$A$3:$B$10,2,FALSE),0)*'FL Characterization'!Q$2)</f>
        <v>41.861413769729793</v>
      </c>
      <c r="R2" s="2">
        <f>('[1]Pc, Spring, S3'!R2*Main!$B$5)+(_xlfn.IFNA(VLOOKUP($A2,'FL Ratio'!$A$3:$B$10,2,FALSE),0)*'FL Characterization'!R$2)</f>
        <v>43.443727223362359</v>
      </c>
      <c r="S2" s="2">
        <f>('[1]Pc, Spring, S3'!S2*Main!$B$5)+(_xlfn.IFNA(VLOOKUP($A2,'FL Ratio'!$A$3:$B$10,2,FALSE),0)*'FL Characterization'!S$2)</f>
        <v>45.659798847127306</v>
      </c>
      <c r="T2" s="2">
        <f>('[1]Pc, Spring, S3'!T2*Main!$B$5)+(_xlfn.IFNA(VLOOKUP($A2,'FL Ratio'!$A$3:$B$10,2,FALSE),0)*'FL Characterization'!T$2)</f>
        <v>48.391017867581269</v>
      </c>
      <c r="U2" s="2">
        <f>('[1]Pc, Spring, S3'!U2*Main!$B$5)+(_xlfn.IFNA(VLOOKUP($A2,'FL Ratio'!$A$3:$B$10,2,FALSE),0)*'FL Characterization'!U$2)</f>
        <v>47.542463190828769</v>
      </c>
      <c r="V2" s="2">
        <f>('[1]Pc, Spring, S3'!V2*Main!$B$5)+(_xlfn.IFNA(VLOOKUP($A2,'FL Ratio'!$A$3:$B$10,2,FALSE),0)*'FL Characterization'!V$2)</f>
        <v>45.801592079459184</v>
      </c>
      <c r="W2" s="2">
        <f>('[1]Pc, Spring, S3'!W2*Main!$B$5)+(_xlfn.IFNA(VLOOKUP($A2,'FL Ratio'!$A$3:$B$10,2,FALSE),0)*'FL Characterization'!W$2)</f>
        <v>47.467563387938391</v>
      </c>
      <c r="X2" s="2">
        <f>('[1]Pc, Spring, S3'!X2*Main!$B$5)+(_xlfn.IFNA(VLOOKUP($A2,'FL Ratio'!$A$3:$B$10,2,FALSE),0)*'FL Characterization'!X$2)</f>
        <v>39.773948202692594</v>
      </c>
      <c r="Y2" s="2">
        <f>('[1]Pc, Spring, S3'!Y2*Main!$B$5)+(_xlfn.IFNA(VLOOKUP($A2,'FL Ratio'!$A$3:$B$10,2,FALSE),0)*'FL Characterization'!Y$2)</f>
        <v>39.938162777566347</v>
      </c>
    </row>
    <row r="3" spans="1:25" x14ac:dyDescent="0.3">
      <c r="A3">
        <v>2</v>
      </c>
      <c r="B3" s="2">
        <f>('[1]Pc, Spring, S3'!B3*Main!$B$5)+(_xlfn.IFNA(VLOOKUP($A3,'FL Ratio'!$A$3:$B$10,2,FALSE),0)*'FL Characterization'!B$2)</f>
        <v>35.614255310276846</v>
      </c>
      <c r="C3" s="2">
        <f>('[1]Pc, Spring, S3'!C3*Main!$B$5)+(_xlfn.IFNA(VLOOKUP($A3,'FL Ratio'!$A$3:$B$10,2,FALSE),0)*'FL Characterization'!C$2)</f>
        <v>34.564672338508821</v>
      </c>
      <c r="D3" s="2">
        <f>('[1]Pc, Spring, S3'!D3*Main!$B$5)+(_xlfn.IFNA(VLOOKUP($A3,'FL Ratio'!$A$3:$B$10,2,FALSE),0)*'FL Characterization'!D$2)</f>
        <v>31.037101328631941</v>
      </c>
      <c r="E3" s="2">
        <f>('[1]Pc, Spring, S3'!E3*Main!$B$5)+(_xlfn.IFNA(VLOOKUP($A3,'FL Ratio'!$A$3:$B$10,2,FALSE),0)*'FL Characterization'!E$2)</f>
        <v>31.991006039013197</v>
      </c>
      <c r="F3" s="2">
        <f>('[1]Pc, Spring, S3'!F3*Main!$B$5)+(_xlfn.IFNA(VLOOKUP($A3,'FL Ratio'!$A$3:$B$10,2,FALSE),0)*'FL Characterization'!F$2)</f>
        <v>30.594978107657003</v>
      </c>
      <c r="G3" s="2">
        <f>('[1]Pc, Spring, S3'!G3*Main!$B$5)+(_xlfn.IFNA(VLOOKUP($A3,'FL Ratio'!$A$3:$B$10,2,FALSE),0)*'FL Characterization'!G$2)</f>
        <v>33.480235907692126</v>
      </c>
      <c r="H3" s="2">
        <f>('[1]Pc, Spring, S3'!H3*Main!$B$5)+(_xlfn.IFNA(VLOOKUP($A3,'FL Ratio'!$A$3:$B$10,2,FALSE),0)*'FL Characterization'!H$2)</f>
        <v>43.515722825011821</v>
      </c>
      <c r="I3" s="2">
        <f>('[1]Pc, Spring, S3'!I3*Main!$B$5)+(_xlfn.IFNA(VLOOKUP($A3,'FL Ratio'!$A$3:$B$10,2,FALSE),0)*'FL Characterization'!I$2)</f>
        <v>49.463033361886581</v>
      </c>
      <c r="J3" s="2">
        <f>('[1]Pc, Spring, S3'!J3*Main!$B$5)+(_xlfn.IFNA(VLOOKUP($A3,'FL Ratio'!$A$3:$B$10,2,FALSE),0)*'FL Characterization'!J$2)</f>
        <v>53.681419410266322</v>
      </c>
      <c r="K3" s="2">
        <f>('[1]Pc, Spring, S3'!K3*Main!$B$5)+(_xlfn.IFNA(VLOOKUP($A3,'FL Ratio'!$A$3:$B$10,2,FALSE),0)*'FL Characterization'!K$2)</f>
        <v>52.298471416891509</v>
      </c>
      <c r="L3" s="2">
        <f>('[1]Pc, Spring, S3'!L3*Main!$B$5)+(_xlfn.IFNA(VLOOKUP($A3,'FL Ratio'!$A$3:$B$10,2,FALSE),0)*'FL Characterization'!L$2)</f>
        <v>49.230485025484647</v>
      </c>
      <c r="M3" s="2">
        <f>('[1]Pc, Spring, S3'!M3*Main!$B$5)+(_xlfn.IFNA(VLOOKUP($A3,'FL Ratio'!$A$3:$B$10,2,FALSE),0)*'FL Characterization'!M$2)</f>
        <v>53.731705841470578</v>
      </c>
      <c r="N3" s="2">
        <f>('[1]Pc, Spring, S3'!N3*Main!$B$5)+(_xlfn.IFNA(VLOOKUP($A3,'FL Ratio'!$A$3:$B$10,2,FALSE),0)*'FL Characterization'!N$2)</f>
        <v>51.874109799929606</v>
      </c>
      <c r="O3" s="2">
        <f>('[1]Pc, Spring, S3'!O3*Main!$B$5)+(_xlfn.IFNA(VLOOKUP($A3,'FL Ratio'!$A$3:$B$10,2,FALSE),0)*'FL Characterization'!O$2)</f>
        <v>50.160290664385919</v>
      </c>
      <c r="P3" s="2">
        <f>('[1]Pc, Spring, S3'!P3*Main!$B$5)+(_xlfn.IFNA(VLOOKUP($A3,'FL Ratio'!$A$3:$B$10,2,FALSE),0)*'FL Characterization'!P$2)</f>
        <v>49.483407251979749</v>
      </c>
      <c r="Q3" s="2">
        <f>('[1]Pc, Spring, S3'!Q3*Main!$B$5)+(_xlfn.IFNA(VLOOKUP($A3,'FL Ratio'!$A$3:$B$10,2,FALSE),0)*'FL Characterization'!Q$2)</f>
        <v>47.508513016001643</v>
      </c>
      <c r="R3" s="2">
        <f>('[1]Pc, Spring, S3'!R3*Main!$B$5)+(_xlfn.IFNA(VLOOKUP($A3,'FL Ratio'!$A$3:$B$10,2,FALSE),0)*'FL Characterization'!R$2)</f>
        <v>43.8205526781922</v>
      </c>
      <c r="S3" s="2">
        <f>('[1]Pc, Spring, S3'!S3*Main!$B$5)+(_xlfn.IFNA(VLOOKUP($A3,'FL Ratio'!$A$3:$B$10,2,FALSE),0)*'FL Characterization'!S$2)</f>
        <v>48.42451050857985</v>
      </c>
      <c r="T3" s="2">
        <f>('[1]Pc, Spring, S3'!T3*Main!$B$5)+(_xlfn.IFNA(VLOOKUP($A3,'FL Ratio'!$A$3:$B$10,2,FALSE),0)*'FL Characterization'!T$2)</f>
        <v>48.193674381974056</v>
      </c>
      <c r="U3" s="2">
        <f>('[1]Pc, Spring, S3'!U3*Main!$B$5)+(_xlfn.IFNA(VLOOKUP($A3,'FL Ratio'!$A$3:$B$10,2,FALSE),0)*'FL Characterization'!U$2)</f>
        <v>46.720274345304922</v>
      </c>
      <c r="V3" s="2">
        <f>('[1]Pc, Spring, S3'!V3*Main!$B$5)+(_xlfn.IFNA(VLOOKUP($A3,'FL Ratio'!$A$3:$B$10,2,FALSE),0)*'FL Characterization'!V$2)</f>
        <v>44.917603954930478</v>
      </c>
      <c r="W3" s="2">
        <f>('[1]Pc, Spring, S3'!W3*Main!$B$5)+(_xlfn.IFNA(VLOOKUP($A3,'FL Ratio'!$A$3:$B$10,2,FALSE),0)*'FL Characterization'!W$2)</f>
        <v>44.005300353286451</v>
      </c>
      <c r="X3" s="2">
        <f>('[1]Pc, Spring, S3'!X3*Main!$B$5)+(_xlfn.IFNA(VLOOKUP($A3,'FL Ratio'!$A$3:$B$10,2,FALSE),0)*'FL Characterization'!X$2)</f>
        <v>41.983384139338931</v>
      </c>
      <c r="Y3" s="2">
        <f>('[1]Pc, Spring, S3'!Y3*Main!$B$5)+(_xlfn.IFNA(VLOOKUP($A3,'FL Ratio'!$A$3:$B$10,2,FALSE),0)*'FL Characterization'!Y$2)</f>
        <v>39.398798181141373</v>
      </c>
    </row>
    <row r="4" spans="1:25" x14ac:dyDescent="0.3">
      <c r="A4">
        <v>3</v>
      </c>
      <c r="B4" s="2">
        <f>('[1]Pc, Spring, S3'!B4*Main!$B$5)+(_xlfn.IFNA(VLOOKUP($A4,'FL Ratio'!$A$3:$B$10,2,FALSE),0)*'FL Characterization'!B$2)</f>
        <v>48.556807192271485</v>
      </c>
      <c r="C4" s="2">
        <f>('[1]Pc, Spring, S3'!C4*Main!$B$5)+(_xlfn.IFNA(VLOOKUP($A4,'FL Ratio'!$A$3:$B$10,2,FALSE),0)*'FL Characterization'!C$2)</f>
        <v>42.670374307209542</v>
      </c>
      <c r="D4" s="2">
        <f>('[1]Pc, Spring, S3'!D4*Main!$B$5)+(_xlfn.IFNA(VLOOKUP($A4,'FL Ratio'!$A$3:$B$10,2,FALSE),0)*'FL Characterization'!D$2)</f>
        <v>42.744433394267972</v>
      </c>
      <c r="E4" s="2">
        <f>('[1]Pc, Spring, S3'!E4*Main!$B$5)+(_xlfn.IFNA(VLOOKUP($A4,'FL Ratio'!$A$3:$B$10,2,FALSE),0)*'FL Characterization'!E$2)</f>
        <v>39.41436409500249</v>
      </c>
      <c r="F4" s="2">
        <f>('[1]Pc, Spring, S3'!F4*Main!$B$5)+(_xlfn.IFNA(VLOOKUP($A4,'FL Ratio'!$A$3:$B$10,2,FALSE),0)*'FL Characterization'!F$2)</f>
        <v>41.524360857662252</v>
      </c>
      <c r="G4" s="2">
        <f>('[1]Pc, Spring, S3'!G4*Main!$B$5)+(_xlfn.IFNA(VLOOKUP($A4,'FL Ratio'!$A$3:$B$10,2,FALSE),0)*'FL Characterization'!G$2)</f>
        <v>40.692391829963334</v>
      </c>
      <c r="H4" s="2">
        <f>('[1]Pc, Spring, S3'!H4*Main!$B$5)+(_xlfn.IFNA(VLOOKUP($A4,'FL Ratio'!$A$3:$B$10,2,FALSE),0)*'FL Characterization'!H$2)</f>
        <v>47.6497818486217</v>
      </c>
      <c r="I4" s="2">
        <f>('[1]Pc, Spring, S3'!I4*Main!$B$5)+(_xlfn.IFNA(VLOOKUP($A4,'FL Ratio'!$A$3:$B$10,2,FALSE),0)*'FL Characterization'!I$2)</f>
        <v>51.223966160477886</v>
      </c>
      <c r="J4" s="2">
        <f>('[1]Pc, Spring, S3'!J4*Main!$B$5)+(_xlfn.IFNA(VLOOKUP($A4,'FL Ratio'!$A$3:$B$10,2,FALSE),0)*'FL Characterization'!J$2)</f>
        <v>59.172607184975071</v>
      </c>
      <c r="K4" s="2">
        <f>('[1]Pc, Spring, S3'!K4*Main!$B$5)+(_xlfn.IFNA(VLOOKUP($A4,'FL Ratio'!$A$3:$B$10,2,FALSE),0)*'FL Characterization'!K$2)</f>
        <v>60.834919702435677</v>
      </c>
      <c r="L4" s="2">
        <f>('[1]Pc, Spring, S3'!L4*Main!$B$5)+(_xlfn.IFNA(VLOOKUP($A4,'FL Ratio'!$A$3:$B$10,2,FALSE),0)*'FL Characterization'!L$2)</f>
        <v>62.841782318301959</v>
      </c>
      <c r="M4" s="2">
        <f>('[1]Pc, Spring, S3'!M4*Main!$B$5)+(_xlfn.IFNA(VLOOKUP($A4,'FL Ratio'!$A$3:$B$10,2,FALSE),0)*'FL Characterization'!M$2)</f>
        <v>66.325381272679977</v>
      </c>
      <c r="N4" s="2">
        <f>('[1]Pc, Spring, S3'!N4*Main!$B$5)+(_xlfn.IFNA(VLOOKUP($A4,'FL Ratio'!$A$3:$B$10,2,FALSE),0)*'FL Characterization'!N$2)</f>
        <v>66.932796106420227</v>
      </c>
      <c r="O4" s="2">
        <f>('[1]Pc, Spring, S3'!O4*Main!$B$5)+(_xlfn.IFNA(VLOOKUP($A4,'FL Ratio'!$A$3:$B$10,2,FALSE),0)*'FL Characterization'!O$2)</f>
        <v>66.827313859625022</v>
      </c>
      <c r="P4" s="2">
        <f>('[1]Pc, Spring, S3'!P4*Main!$B$5)+(_xlfn.IFNA(VLOOKUP($A4,'FL Ratio'!$A$3:$B$10,2,FALSE),0)*'FL Characterization'!P$2)</f>
        <v>63.200651177604435</v>
      </c>
      <c r="Q4" s="2">
        <f>('[1]Pc, Spring, S3'!Q4*Main!$B$5)+(_xlfn.IFNA(VLOOKUP($A4,'FL Ratio'!$A$3:$B$10,2,FALSE),0)*'FL Characterization'!Q$2)</f>
        <v>63.832103014002996</v>
      </c>
      <c r="R4" s="2">
        <f>('[1]Pc, Spring, S3'!R4*Main!$B$5)+(_xlfn.IFNA(VLOOKUP($A4,'FL Ratio'!$A$3:$B$10,2,FALSE),0)*'FL Characterization'!R$2)</f>
        <v>63.183180554890363</v>
      </c>
      <c r="S4" s="2">
        <f>('[1]Pc, Spring, S3'!S4*Main!$B$5)+(_xlfn.IFNA(VLOOKUP($A4,'FL Ratio'!$A$3:$B$10,2,FALSE),0)*'FL Characterization'!S$2)</f>
        <v>65.736606282380606</v>
      </c>
      <c r="T4" s="2">
        <f>('[1]Pc, Spring, S3'!T4*Main!$B$5)+(_xlfn.IFNA(VLOOKUP($A4,'FL Ratio'!$A$3:$B$10,2,FALSE),0)*'FL Characterization'!T$2)</f>
        <v>65.25015566116673</v>
      </c>
      <c r="U4" s="2">
        <f>('[1]Pc, Spring, S3'!U4*Main!$B$5)+(_xlfn.IFNA(VLOOKUP($A4,'FL Ratio'!$A$3:$B$10,2,FALSE),0)*'FL Characterization'!U$2)</f>
        <v>63.751782053261557</v>
      </c>
      <c r="V4" s="2">
        <f>('[1]Pc, Spring, S3'!V4*Main!$B$5)+(_xlfn.IFNA(VLOOKUP($A4,'FL Ratio'!$A$3:$B$10,2,FALSE),0)*'FL Characterization'!V$2)</f>
        <v>62.491856179773315</v>
      </c>
      <c r="W4" s="2">
        <f>('[1]Pc, Spring, S3'!W4*Main!$B$5)+(_xlfn.IFNA(VLOOKUP($A4,'FL Ratio'!$A$3:$B$10,2,FALSE),0)*'FL Characterization'!W$2)</f>
        <v>65.19852173391233</v>
      </c>
      <c r="X4" s="2">
        <f>('[1]Pc, Spring, S3'!X4*Main!$B$5)+(_xlfn.IFNA(VLOOKUP($A4,'FL Ratio'!$A$3:$B$10,2,FALSE),0)*'FL Characterization'!X$2)</f>
        <v>61.396099656530659</v>
      </c>
      <c r="Y4" s="2">
        <f>('[1]Pc, Spring, S3'!Y4*Main!$B$5)+(_xlfn.IFNA(VLOOKUP($A4,'FL Ratio'!$A$3:$B$10,2,FALSE),0)*'FL Characterization'!Y$2)</f>
        <v>56.375624540971764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53E46-6D7A-469F-8A04-3A5E4D10568A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Ratio'!$A$3:$B$10,2,FALSE),0)*'FL Characterization'!B$2)</f>
        <v>34.248786499937886</v>
      </c>
      <c r="C2" s="2">
        <f>('[1]Pc, Spring, S3'!C2*Main!$B$5)+(_xlfn.IFNA(VLOOKUP($A2,'FL Ratio'!$A$3:$B$10,2,FALSE),0)*'FL Characterization'!C$2)</f>
        <v>30.618284302397033</v>
      </c>
      <c r="D2" s="2">
        <f>('[1]Pc, Spring, S3'!D2*Main!$B$5)+(_xlfn.IFNA(VLOOKUP($A2,'FL Ratio'!$A$3:$B$10,2,FALSE),0)*'FL Characterization'!D$2)</f>
        <v>29.201151965132667</v>
      </c>
      <c r="E2" s="2">
        <f>('[1]Pc, Spring, S3'!E2*Main!$B$5)+(_xlfn.IFNA(VLOOKUP($A2,'FL Ratio'!$A$3:$B$10,2,FALSE),0)*'FL Characterization'!E$2)</f>
        <v>29.133988488227981</v>
      </c>
      <c r="F2" s="2">
        <f>('[1]Pc, Spring, S3'!F2*Main!$B$5)+(_xlfn.IFNA(VLOOKUP($A2,'FL Ratio'!$A$3:$B$10,2,FALSE),0)*'FL Characterization'!F$2)</f>
        <v>28.77335310226098</v>
      </c>
      <c r="G2" s="2">
        <f>('[1]Pc, Spring, S3'!G2*Main!$B$5)+(_xlfn.IFNA(VLOOKUP($A2,'FL Ratio'!$A$3:$B$10,2,FALSE),0)*'FL Characterization'!G$2)</f>
        <v>30.068028884653927</v>
      </c>
      <c r="H2" s="2">
        <f>('[1]Pc, Spring, S3'!H2*Main!$B$5)+(_xlfn.IFNA(VLOOKUP($A2,'FL Ratio'!$A$3:$B$10,2,FALSE),0)*'FL Characterization'!H$2)</f>
        <v>33.81924337283624</v>
      </c>
      <c r="I2" s="2">
        <f>('[1]Pc, Spring, S3'!I2*Main!$B$5)+(_xlfn.IFNA(VLOOKUP($A2,'FL Ratio'!$A$3:$B$10,2,FALSE),0)*'FL Characterization'!I$2)</f>
        <v>42.210120024242045</v>
      </c>
      <c r="J2" s="2">
        <f>('[1]Pc, Spring, S3'!J2*Main!$B$5)+(_xlfn.IFNA(VLOOKUP($A2,'FL Ratio'!$A$3:$B$10,2,FALSE),0)*'FL Characterization'!J$2)</f>
        <v>45.237827318503882</v>
      </c>
      <c r="K2" s="2">
        <f>('[1]Pc, Spring, S3'!K2*Main!$B$5)+(_xlfn.IFNA(VLOOKUP($A2,'FL Ratio'!$A$3:$B$10,2,FALSE),0)*'FL Characterization'!K$2)</f>
        <v>47.401254192190741</v>
      </c>
      <c r="L2" s="2">
        <f>('[1]Pc, Spring, S3'!L2*Main!$B$5)+(_xlfn.IFNA(VLOOKUP($A2,'FL Ratio'!$A$3:$B$10,2,FALSE),0)*'FL Characterization'!L$2)</f>
        <v>48.968513442450401</v>
      </c>
      <c r="M2" s="2">
        <f>('[1]Pc, Spring, S3'!M2*Main!$B$5)+(_xlfn.IFNA(VLOOKUP($A2,'FL Ratio'!$A$3:$B$10,2,FALSE),0)*'FL Characterization'!M$2)</f>
        <v>47.6761220348858</v>
      </c>
      <c r="N2" s="2">
        <f>('[1]Pc, Spring, S3'!N2*Main!$B$5)+(_xlfn.IFNA(VLOOKUP($A2,'FL Ratio'!$A$3:$B$10,2,FALSE),0)*'FL Characterization'!N$2)</f>
        <v>48.428955168940213</v>
      </c>
      <c r="O2" s="2">
        <f>('[1]Pc, Spring, S3'!O2*Main!$B$5)+(_xlfn.IFNA(VLOOKUP($A2,'FL Ratio'!$A$3:$B$10,2,FALSE),0)*'FL Characterization'!O$2)</f>
        <v>49.403383296476157</v>
      </c>
      <c r="P2" s="2">
        <f>('[1]Pc, Spring, S3'!P2*Main!$B$5)+(_xlfn.IFNA(VLOOKUP($A2,'FL Ratio'!$A$3:$B$10,2,FALSE),0)*'FL Characterization'!P$2)</f>
        <v>45.366778663667411</v>
      </c>
      <c r="Q2" s="2">
        <f>('[1]Pc, Spring, S3'!Q2*Main!$B$5)+(_xlfn.IFNA(VLOOKUP($A2,'FL Ratio'!$A$3:$B$10,2,FALSE),0)*'FL Characterization'!Q$2)</f>
        <v>41.861413769729793</v>
      </c>
      <c r="R2" s="2">
        <f>('[1]Pc, Spring, S3'!R2*Main!$B$5)+(_xlfn.IFNA(VLOOKUP($A2,'FL Ratio'!$A$3:$B$10,2,FALSE),0)*'FL Characterization'!R$2)</f>
        <v>43.443727223362359</v>
      </c>
      <c r="S2" s="2">
        <f>('[1]Pc, Spring, S3'!S2*Main!$B$5)+(_xlfn.IFNA(VLOOKUP($A2,'FL Ratio'!$A$3:$B$10,2,FALSE),0)*'FL Characterization'!S$2)</f>
        <v>45.659798847127306</v>
      </c>
      <c r="T2" s="2">
        <f>('[1]Pc, Spring, S3'!T2*Main!$B$5)+(_xlfn.IFNA(VLOOKUP($A2,'FL Ratio'!$A$3:$B$10,2,FALSE),0)*'FL Characterization'!T$2)</f>
        <v>48.391017867581269</v>
      </c>
      <c r="U2" s="2">
        <f>('[1]Pc, Spring, S3'!U2*Main!$B$5)+(_xlfn.IFNA(VLOOKUP($A2,'FL Ratio'!$A$3:$B$10,2,FALSE),0)*'FL Characterization'!U$2)</f>
        <v>47.542463190828769</v>
      </c>
      <c r="V2" s="2">
        <f>('[1]Pc, Spring, S3'!V2*Main!$B$5)+(_xlfn.IFNA(VLOOKUP($A2,'FL Ratio'!$A$3:$B$10,2,FALSE),0)*'FL Characterization'!V$2)</f>
        <v>45.801592079459184</v>
      </c>
      <c r="W2" s="2">
        <f>('[1]Pc, Spring, S3'!W2*Main!$B$5)+(_xlfn.IFNA(VLOOKUP($A2,'FL Ratio'!$A$3:$B$10,2,FALSE),0)*'FL Characterization'!W$2)</f>
        <v>47.467563387938391</v>
      </c>
      <c r="X2" s="2">
        <f>('[1]Pc, Spring, S3'!X2*Main!$B$5)+(_xlfn.IFNA(VLOOKUP($A2,'FL Ratio'!$A$3:$B$10,2,FALSE),0)*'FL Characterization'!X$2)</f>
        <v>39.773948202692594</v>
      </c>
      <c r="Y2" s="2">
        <f>('[1]Pc, Spring, S3'!Y2*Main!$B$5)+(_xlfn.IFNA(VLOOKUP($A2,'FL Ratio'!$A$3:$B$10,2,FALSE),0)*'FL Characterization'!Y$2)</f>
        <v>39.938162777566347</v>
      </c>
    </row>
    <row r="3" spans="1:25" x14ac:dyDescent="0.3">
      <c r="A3">
        <v>2</v>
      </c>
      <c r="B3" s="2">
        <f>('[1]Pc, Spring, S3'!B3*Main!$B$5)+(_xlfn.IFNA(VLOOKUP($A3,'FL Ratio'!$A$3:$B$10,2,FALSE),0)*'FL Characterization'!B$2)</f>
        <v>35.614255310276846</v>
      </c>
      <c r="C3" s="2">
        <f>('[1]Pc, Spring, S3'!C3*Main!$B$5)+(_xlfn.IFNA(VLOOKUP($A3,'FL Ratio'!$A$3:$B$10,2,FALSE),0)*'FL Characterization'!C$2)</f>
        <v>34.564672338508821</v>
      </c>
      <c r="D3" s="2">
        <f>('[1]Pc, Spring, S3'!D3*Main!$B$5)+(_xlfn.IFNA(VLOOKUP($A3,'FL Ratio'!$A$3:$B$10,2,FALSE),0)*'FL Characterization'!D$2)</f>
        <v>31.037101328631941</v>
      </c>
      <c r="E3" s="2">
        <f>('[1]Pc, Spring, S3'!E3*Main!$B$5)+(_xlfn.IFNA(VLOOKUP($A3,'FL Ratio'!$A$3:$B$10,2,FALSE),0)*'FL Characterization'!E$2)</f>
        <v>31.991006039013197</v>
      </c>
      <c r="F3" s="2">
        <f>('[1]Pc, Spring, S3'!F3*Main!$B$5)+(_xlfn.IFNA(VLOOKUP($A3,'FL Ratio'!$A$3:$B$10,2,FALSE),0)*'FL Characterization'!F$2)</f>
        <v>30.594978107657003</v>
      </c>
      <c r="G3" s="2">
        <f>('[1]Pc, Spring, S3'!G3*Main!$B$5)+(_xlfn.IFNA(VLOOKUP($A3,'FL Ratio'!$A$3:$B$10,2,FALSE),0)*'FL Characterization'!G$2)</f>
        <v>33.480235907692126</v>
      </c>
      <c r="H3" s="2">
        <f>('[1]Pc, Spring, S3'!H3*Main!$B$5)+(_xlfn.IFNA(VLOOKUP($A3,'FL Ratio'!$A$3:$B$10,2,FALSE),0)*'FL Characterization'!H$2)</f>
        <v>43.515722825011821</v>
      </c>
      <c r="I3" s="2">
        <f>('[1]Pc, Spring, S3'!I3*Main!$B$5)+(_xlfn.IFNA(VLOOKUP($A3,'FL Ratio'!$A$3:$B$10,2,FALSE),0)*'FL Characterization'!I$2)</f>
        <v>49.463033361886581</v>
      </c>
      <c r="J3" s="2">
        <f>('[1]Pc, Spring, S3'!J3*Main!$B$5)+(_xlfn.IFNA(VLOOKUP($A3,'FL Ratio'!$A$3:$B$10,2,FALSE),0)*'FL Characterization'!J$2)</f>
        <v>53.681419410266322</v>
      </c>
      <c r="K3" s="2">
        <f>('[1]Pc, Spring, S3'!K3*Main!$B$5)+(_xlfn.IFNA(VLOOKUP($A3,'FL Ratio'!$A$3:$B$10,2,FALSE),0)*'FL Characterization'!K$2)</f>
        <v>52.298471416891509</v>
      </c>
      <c r="L3" s="2">
        <f>('[1]Pc, Spring, S3'!L3*Main!$B$5)+(_xlfn.IFNA(VLOOKUP($A3,'FL Ratio'!$A$3:$B$10,2,FALSE),0)*'FL Characterization'!L$2)</f>
        <v>49.230485025484647</v>
      </c>
      <c r="M3" s="2">
        <f>('[1]Pc, Spring, S3'!M3*Main!$B$5)+(_xlfn.IFNA(VLOOKUP($A3,'FL Ratio'!$A$3:$B$10,2,FALSE),0)*'FL Characterization'!M$2)</f>
        <v>53.731705841470578</v>
      </c>
      <c r="N3" s="2">
        <f>('[1]Pc, Spring, S3'!N3*Main!$B$5)+(_xlfn.IFNA(VLOOKUP($A3,'FL Ratio'!$A$3:$B$10,2,FALSE),0)*'FL Characterization'!N$2)</f>
        <v>51.874109799929606</v>
      </c>
      <c r="O3" s="2">
        <f>('[1]Pc, Spring, S3'!O3*Main!$B$5)+(_xlfn.IFNA(VLOOKUP($A3,'FL Ratio'!$A$3:$B$10,2,FALSE),0)*'FL Characterization'!O$2)</f>
        <v>50.160290664385919</v>
      </c>
      <c r="P3" s="2">
        <f>('[1]Pc, Spring, S3'!P3*Main!$B$5)+(_xlfn.IFNA(VLOOKUP($A3,'FL Ratio'!$A$3:$B$10,2,FALSE),0)*'FL Characterization'!P$2)</f>
        <v>49.483407251979749</v>
      </c>
      <c r="Q3" s="2">
        <f>('[1]Pc, Spring, S3'!Q3*Main!$B$5)+(_xlfn.IFNA(VLOOKUP($A3,'FL Ratio'!$A$3:$B$10,2,FALSE),0)*'FL Characterization'!Q$2)</f>
        <v>47.508513016001643</v>
      </c>
      <c r="R3" s="2">
        <f>('[1]Pc, Spring, S3'!R3*Main!$B$5)+(_xlfn.IFNA(VLOOKUP($A3,'FL Ratio'!$A$3:$B$10,2,FALSE),0)*'FL Characterization'!R$2)</f>
        <v>43.8205526781922</v>
      </c>
      <c r="S3" s="2">
        <f>('[1]Pc, Spring, S3'!S3*Main!$B$5)+(_xlfn.IFNA(VLOOKUP($A3,'FL Ratio'!$A$3:$B$10,2,FALSE),0)*'FL Characterization'!S$2)</f>
        <v>48.42451050857985</v>
      </c>
      <c r="T3" s="2">
        <f>('[1]Pc, Spring, S3'!T3*Main!$B$5)+(_xlfn.IFNA(VLOOKUP($A3,'FL Ratio'!$A$3:$B$10,2,FALSE),0)*'FL Characterization'!T$2)</f>
        <v>48.193674381974056</v>
      </c>
      <c r="U3" s="2">
        <f>('[1]Pc, Spring, S3'!U3*Main!$B$5)+(_xlfn.IFNA(VLOOKUP($A3,'FL Ratio'!$A$3:$B$10,2,FALSE),0)*'FL Characterization'!U$2)</f>
        <v>46.720274345304922</v>
      </c>
      <c r="V3" s="2">
        <f>('[1]Pc, Spring, S3'!V3*Main!$B$5)+(_xlfn.IFNA(VLOOKUP($A3,'FL Ratio'!$A$3:$B$10,2,FALSE),0)*'FL Characterization'!V$2)</f>
        <v>44.917603954930478</v>
      </c>
      <c r="W3" s="2">
        <f>('[1]Pc, Spring, S3'!W3*Main!$B$5)+(_xlfn.IFNA(VLOOKUP($A3,'FL Ratio'!$A$3:$B$10,2,FALSE),0)*'FL Characterization'!W$2)</f>
        <v>44.005300353286451</v>
      </c>
      <c r="X3" s="2">
        <f>('[1]Pc, Spring, S3'!X3*Main!$B$5)+(_xlfn.IFNA(VLOOKUP($A3,'FL Ratio'!$A$3:$B$10,2,FALSE),0)*'FL Characterization'!X$2)</f>
        <v>41.983384139338931</v>
      </c>
      <c r="Y3" s="2">
        <f>('[1]Pc, Spring, S3'!Y3*Main!$B$5)+(_xlfn.IFNA(VLOOKUP($A3,'FL Ratio'!$A$3:$B$10,2,FALSE),0)*'FL Characterization'!Y$2)</f>
        <v>39.398798181141373</v>
      </c>
    </row>
    <row r="4" spans="1:25" x14ac:dyDescent="0.3">
      <c r="A4">
        <v>3</v>
      </c>
      <c r="B4" s="2">
        <f>('[1]Pc, Spring, S3'!B4*Main!$B$5)+(_xlfn.IFNA(VLOOKUP($A4,'FL Ratio'!$A$3:$B$10,2,FALSE),0)*'FL Characterization'!B$2)</f>
        <v>48.556807192271485</v>
      </c>
      <c r="C4" s="2">
        <f>('[1]Pc, Spring, S3'!C4*Main!$B$5)+(_xlfn.IFNA(VLOOKUP($A4,'FL Ratio'!$A$3:$B$10,2,FALSE),0)*'FL Characterization'!C$2)</f>
        <v>42.670374307209542</v>
      </c>
      <c r="D4" s="2">
        <f>('[1]Pc, Spring, S3'!D4*Main!$B$5)+(_xlfn.IFNA(VLOOKUP($A4,'FL Ratio'!$A$3:$B$10,2,FALSE),0)*'FL Characterization'!D$2)</f>
        <v>42.744433394267972</v>
      </c>
      <c r="E4" s="2">
        <f>('[1]Pc, Spring, S3'!E4*Main!$B$5)+(_xlfn.IFNA(VLOOKUP($A4,'FL Ratio'!$A$3:$B$10,2,FALSE),0)*'FL Characterization'!E$2)</f>
        <v>39.41436409500249</v>
      </c>
      <c r="F4" s="2">
        <f>('[1]Pc, Spring, S3'!F4*Main!$B$5)+(_xlfn.IFNA(VLOOKUP($A4,'FL Ratio'!$A$3:$B$10,2,FALSE),0)*'FL Characterization'!F$2)</f>
        <v>41.524360857662252</v>
      </c>
      <c r="G4" s="2">
        <f>('[1]Pc, Spring, S3'!G4*Main!$B$5)+(_xlfn.IFNA(VLOOKUP($A4,'FL Ratio'!$A$3:$B$10,2,FALSE),0)*'FL Characterization'!G$2)</f>
        <v>40.692391829963334</v>
      </c>
      <c r="H4" s="2">
        <f>('[1]Pc, Spring, S3'!H4*Main!$B$5)+(_xlfn.IFNA(VLOOKUP($A4,'FL Ratio'!$A$3:$B$10,2,FALSE),0)*'FL Characterization'!H$2)</f>
        <v>47.6497818486217</v>
      </c>
      <c r="I4" s="2">
        <f>('[1]Pc, Spring, S3'!I4*Main!$B$5)+(_xlfn.IFNA(VLOOKUP($A4,'FL Ratio'!$A$3:$B$10,2,FALSE),0)*'FL Characterization'!I$2)</f>
        <v>51.223966160477886</v>
      </c>
      <c r="J4" s="2">
        <f>('[1]Pc, Spring, S3'!J4*Main!$B$5)+(_xlfn.IFNA(VLOOKUP($A4,'FL Ratio'!$A$3:$B$10,2,FALSE),0)*'FL Characterization'!J$2)</f>
        <v>59.172607184975071</v>
      </c>
      <c r="K4" s="2">
        <f>('[1]Pc, Spring, S3'!K4*Main!$B$5)+(_xlfn.IFNA(VLOOKUP($A4,'FL Ratio'!$A$3:$B$10,2,FALSE),0)*'FL Characterization'!K$2)</f>
        <v>60.834919702435677</v>
      </c>
      <c r="L4" s="2">
        <f>('[1]Pc, Spring, S3'!L4*Main!$B$5)+(_xlfn.IFNA(VLOOKUP($A4,'FL Ratio'!$A$3:$B$10,2,FALSE),0)*'FL Characterization'!L$2)</f>
        <v>62.841782318301959</v>
      </c>
      <c r="M4" s="2">
        <f>('[1]Pc, Spring, S3'!M4*Main!$B$5)+(_xlfn.IFNA(VLOOKUP($A4,'FL Ratio'!$A$3:$B$10,2,FALSE),0)*'FL Characterization'!M$2)</f>
        <v>66.325381272679977</v>
      </c>
      <c r="N4" s="2">
        <f>('[1]Pc, Spring, S3'!N4*Main!$B$5)+(_xlfn.IFNA(VLOOKUP($A4,'FL Ratio'!$A$3:$B$10,2,FALSE),0)*'FL Characterization'!N$2)</f>
        <v>66.932796106420227</v>
      </c>
      <c r="O4" s="2">
        <f>('[1]Pc, Spring, S3'!O4*Main!$B$5)+(_xlfn.IFNA(VLOOKUP($A4,'FL Ratio'!$A$3:$B$10,2,FALSE),0)*'FL Characterization'!O$2)</f>
        <v>66.827313859625022</v>
      </c>
      <c r="P4" s="2">
        <f>('[1]Pc, Spring, S3'!P4*Main!$B$5)+(_xlfn.IFNA(VLOOKUP($A4,'FL Ratio'!$A$3:$B$10,2,FALSE),0)*'FL Characterization'!P$2)</f>
        <v>63.200651177604435</v>
      </c>
      <c r="Q4" s="2">
        <f>('[1]Pc, Spring, S3'!Q4*Main!$B$5)+(_xlfn.IFNA(VLOOKUP($A4,'FL Ratio'!$A$3:$B$10,2,FALSE),0)*'FL Characterization'!Q$2)</f>
        <v>63.832103014002996</v>
      </c>
      <c r="R4" s="2">
        <f>('[1]Pc, Spring, S3'!R4*Main!$B$5)+(_xlfn.IFNA(VLOOKUP($A4,'FL Ratio'!$A$3:$B$10,2,FALSE),0)*'FL Characterization'!R$2)</f>
        <v>63.183180554890363</v>
      </c>
      <c r="S4" s="2">
        <f>('[1]Pc, Spring, S3'!S4*Main!$B$5)+(_xlfn.IFNA(VLOOKUP($A4,'FL Ratio'!$A$3:$B$10,2,FALSE),0)*'FL Characterization'!S$2)</f>
        <v>65.736606282380606</v>
      </c>
      <c r="T4" s="2">
        <f>('[1]Pc, Spring, S3'!T4*Main!$B$5)+(_xlfn.IFNA(VLOOKUP($A4,'FL Ratio'!$A$3:$B$10,2,FALSE),0)*'FL Characterization'!T$2)</f>
        <v>65.25015566116673</v>
      </c>
      <c r="U4" s="2">
        <f>('[1]Pc, Spring, S3'!U4*Main!$B$5)+(_xlfn.IFNA(VLOOKUP($A4,'FL Ratio'!$A$3:$B$10,2,FALSE),0)*'FL Characterization'!U$2)</f>
        <v>63.751782053261557</v>
      </c>
      <c r="V4" s="2">
        <f>('[1]Pc, Spring, S3'!V4*Main!$B$5)+(_xlfn.IFNA(VLOOKUP($A4,'FL Ratio'!$A$3:$B$10,2,FALSE),0)*'FL Characterization'!V$2)</f>
        <v>62.491856179773315</v>
      </c>
      <c r="W4" s="2">
        <f>('[1]Pc, Spring, S3'!W4*Main!$B$5)+(_xlfn.IFNA(VLOOKUP($A4,'FL Ratio'!$A$3:$B$10,2,FALSE),0)*'FL Characterization'!W$2)</f>
        <v>65.19852173391233</v>
      </c>
      <c r="X4" s="2">
        <f>('[1]Pc, Spring, S3'!X4*Main!$B$5)+(_xlfn.IFNA(VLOOKUP($A4,'FL Ratio'!$A$3:$B$10,2,FALSE),0)*'FL Characterization'!X$2)</f>
        <v>61.396099656530659</v>
      </c>
      <c r="Y4" s="2">
        <f>('[1]Pc, Spring, S3'!Y4*Main!$B$5)+(_xlfn.IFNA(VLOOKUP($A4,'FL Ratio'!$A$3:$B$10,2,FALSE),0)*'FL Characterization'!Y$2)</f>
        <v>56.375624540971764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15FD7-DA4E-4F62-8BFF-59F914C0DD2D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Ratio'!$A$3:$B$10,2,FALSE),0)*'FL Characterization'!B$2)</f>
        <v>34.248786499937886</v>
      </c>
      <c r="C2" s="2">
        <f>('[1]Pc, Spring, S3'!C2*Main!$B$5)+(_xlfn.IFNA(VLOOKUP($A2,'FL Ratio'!$A$3:$B$10,2,FALSE),0)*'FL Characterization'!C$2)</f>
        <v>30.618284302397033</v>
      </c>
      <c r="D2" s="2">
        <f>('[1]Pc, Spring, S3'!D2*Main!$B$5)+(_xlfn.IFNA(VLOOKUP($A2,'FL Ratio'!$A$3:$B$10,2,FALSE),0)*'FL Characterization'!D$2)</f>
        <v>29.201151965132667</v>
      </c>
      <c r="E2" s="2">
        <f>('[1]Pc, Spring, S3'!E2*Main!$B$5)+(_xlfn.IFNA(VLOOKUP($A2,'FL Ratio'!$A$3:$B$10,2,FALSE),0)*'FL Characterization'!E$2)</f>
        <v>29.133988488227981</v>
      </c>
      <c r="F2" s="2">
        <f>('[1]Pc, Spring, S3'!F2*Main!$B$5)+(_xlfn.IFNA(VLOOKUP($A2,'FL Ratio'!$A$3:$B$10,2,FALSE),0)*'FL Characterization'!F$2)</f>
        <v>28.77335310226098</v>
      </c>
      <c r="G2" s="2">
        <f>('[1]Pc, Spring, S3'!G2*Main!$B$5)+(_xlfn.IFNA(VLOOKUP($A2,'FL Ratio'!$A$3:$B$10,2,FALSE),0)*'FL Characterization'!G$2)</f>
        <v>30.068028884653927</v>
      </c>
      <c r="H2" s="2">
        <f>('[1]Pc, Spring, S3'!H2*Main!$B$5)+(_xlfn.IFNA(VLOOKUP($A2,'FL Ratio'!$A$3:$B$10,2,FALSE),0)*'FL Characterization'!H$2)</f>
        <v>33.81924337283624</v>
      </c>
      <c r="I2" s="2">
        <f>('[1]Pc, Spring, S3'!I2*Main!$B$5)+(_xlfn.IFNA(VLOOKUP($A2,'FL Ratio'!$A$3:$B$10,2,FALSE),0)*'FL Characterization'!I$2)</f>
        <v>42.210120024242045</v>
      </c>
      <c r="J2" s="2">
        <f>('[1]Pc, Spring, S3'!J2*Main!$B$5)+(_xlfn.IFNA(VLOOKUP($A2,'FL Ratio'!$A$3:$B$10,2,FALSE),0)*'FL Characterization'!J$2)</f>
        <v>45.237827318503882</v>
      </c>
      <c r="K2" s="2">
        <f>('[1]Pc, Spring, S3'!K2*Main!$B$5)+(_xlfn.IFNA(VLOOKUP($A2,'FL Ratio'!$A$3:$B$10,2,FALSE),0)*'FL Characterization'!K$2)</f>
        <v>47.401254192190741</v>
      </c>
      <c r="L2" s="2">
        <f>('[1]Pc, Spring, S3'!L2*Main!$B$5)+(_xlfn.IFNA(VLOOKUP($A2,'FL Ratio'!$A$3:$B$10,2,FALSE),0)*'FL Characterization'!L$2)</f>
        <v>48.968513442450401</v>
      </c>
      <c r="M2" s="2">
        <f>('[1]Pc, Spring, S3'!M2*Main!$B$5)+(_xlfn.IFNA(VLOOKUP($A2,'FL Ratio'!$A$3:$B$10,2,FALSE),0)*'FL Characterization'!M$2)</f>
        <v>47.6761220348858</v>
      </c>
      <c r="N2" s="2">
        <f>('[1]Pc, Spring, S3'!N2*Main!$B$5)+(_xlfn.IFNA(VLOOKUP($A2,'FL Ratio'!$A$3:$B$10,2,FALSE),0)*'FL Characterization'!N$2)</f>
        <v>48.428955168940213</v>
      </c>
      <c r="O2" s="2">
        <f>('[1]Pc, Spring, S3'!O2*Main!$B$5)+(_xlfn.IFNA(VLOOKUP($A2,'FL Ratio'!$A$3:$B$10,2,FALSE),0)*'FL Characterization'!O$2)</f>
        <v>49.403383296476157</v>
      </c>
      <c r="P2" s="2">
        <f>('[1]Pc, Spring, S3'!P2*Main!$B$5)+(_xlfn.IFNA(VLOOKUP($A2,'FL Ratio'!$A$3:$B$10,2,FALSE),0)*'FL Characterization'!P$2)</f>
        <v>45.366778663667411</v>
      </c>
      <c r="Q2" s="2">
        <f>('[1]Pc, Spring, S3'!Q2*Main!$B$5)+(_xlfn.IFNA(VLOOKUP($A2,'FL Ratio'!$A$3:$B$10,2,FALSE),0)*'FL Characterization'!Q$2)</f>
        <v>41.861413769729793</v>
      </c>
      <c r="R2" s="2">
        <f>('[1]Pc, Spring, S3'!R2*Main!$B$5)+(_xlfn.IFNA(VLOOKUP($A2,'FL Ratio'!$A$3:$B$10,2,FALSE),0)*'FL Characterization'!R$2)</f>
        <v>43.443727223362359</v>
      </c>
      <c r="S2" s="2">
        <f>('[1]Pc, Spring, S3'!S2*Main!$B$5)+(_xlfn.IFNA(VLOOKUP($A2,'FL Ratio'!$A$3:$B$10,2,FALSE),0)*'FL Characterization'!S$2)</f>
        <v>45.659798847127306</v>
      </c>
      <c r="T2" s="2">
        <f>('[1]Pc, Spring, S3'!T2*Main!$B$5)+(_xlfn.IFNA(VLOOKUP($A2,'FL Ratio'!$A$3:$B$10,2,FALSE),0)*'FL Characterization'!T$2)</f>
        <v>48.391017867581269</v>
      </c>
      <c r="U2" s="2">
        <f>('[1]Pc, Spring, S3'!U2*Main!$B$5)+(_xlfn.IFNA(VLOOKUP($A2,'FL Ratio'!$A$3:$B$10,2,FALSE),0)*'FL Characterization'!U$2)</f>
        <v>47.542463190828769</v>
      </c>
      <c r="V2" s="2">
        <f>('[1]Pc, Spring, S3'!V2*Main!$B$5)+(_xlfn.IFNA(VLOOKUP($A2,'FL Ratio'!$A$3:$B$10,2,FALSE),0)*'FL Characterization'!V$2)</f>
        <v>45.801592079459184</v>
      </c>
      <c r="W2" s="2">
        <f>('[1]Pc, Spring, S3'!W2*Main!$B$5)+(_xlfn.IFNA(VLOOKUP($A2,'FL Ratio'!$A$3:$B$10,2,FALSE),0)*'FL Characterization'!W$2)</f>
        <v>47.467563387938391</v>
      </c>
      <c r="X2" s="2">
        <f>('[1]Pc, Spring, S3'!X2*Main!$B$5)+(_xlfn.IFNA(VLOOKUP($A2,'FL Ratio'!$A$3:$B$10,2,FALSE),0)*'FL Characterization'!X$2)</f>
        <v>39.773948202692594</v>
      </c>
      <c r="Y2" s="2">
        <f>('[1]Pc, Spring, S3'!Y2*Main!$B$5)+(_xlfn.IFNA(VLOOKUP($A2,'FL Ratio'!$A$3:$B$10,2,FALSE),0)*'FL Characterization'!Y$2)</f>
        <v>39.938162777566347</v>
      </c>
    </row>
    <row r="3" spans="1:25" x14ac:dyDescent="0.3">
      <c r="A3">
        <v>2</v>
      </c>
      <c r="B3" s="2">
        <f>('[1]Pc, Spring, S3'!B3*Main!$B$5)+(_xlfn.IFNA(VLOOKUP($A3,'FL Ratio'!$A$3:$B$10,2,FALSE),0)*'FL Characterization'!B$2)</f>
        <v>35.614255310276846</v>
      </c>
      <c r="C3" s="2">
        <f>('[1]Pc, Spring, S3'!C3*Main!$B$5)+(_xlfn.IFNA(VLOOKUP($A3,'FL Ratio'!$A$3:$B$10,2,FALSE),0)*'FL Characterization'!C$2)</f>
        <v>34.564672338508821</v>
      </c>
      <c r="D3" s="2">
        <f>('[1]Pc, Spring, S3'!D3*Main!$B$5)+(_xlfn.IFNA(VLOOKUP($A3,'FL Ratio'!$A$3:$B$10,2,FALSE),0)*'FL Characterization'!D$2)</f>
        <v>31.037101328631941</v>
      </c>
      <c r="E3" s="2">
        <f>('[1]Pc, Spring, S3'!E3*Main!$B$5)+(_xlfn.IFNA(VLOOKUP($A3,'FL Ratio'!$A$3:$B$10,2,FALSE),0)*'FL Characterization'!E$2)</f>
        <v>31.991006039013197</v>
      </c>
      <c r="F3" s="2">
        <f>('[1]Pc, Spring, S3'!F3*Main!$B$5)+(_xlfn.IFNA(VLOOKUP($A3,'FL Ratio'!$A$3:$B$10,2,FALSE),0)*'FL Characterization'!F$2)</f>
        <v>30.594978107657003</v>
      </c>
      <c r="G3" s="2">
        <f>('[1]Pc, Spring, S3'!G3*Main!$B$5)+(_xlfn.IFNA(VLOOKUP($A3,'FL Ratio'!$A$3:$B$10,2,FALSE),0)*'FL Characterization'!G$2)</f>
        <v>33.480235907692126</v>
      </c>
      <c r="H3" s="2">
        <f>('[1]Pc, Spring, S3'!H3*Main!$B$5)+(_xlfn.IFNA(VLOOKUP($A3,'FL Ratio'!$A$3:$B$10,2,FALSE),0)*'FL Characterization'!H$2)</f>
        <v>43.515722825011821</v>
      </c>
      <c r="I3" s="2">
        <f>('[1]Pc, Spring, S3'!I3*Main!$B$5)+(_xlfn.IFNA(VLOOKUP($A3,'FL Ratio'!$A$3:$B$10,2,FALSE),0)*'FL Characterization'!I$2)</f>
        <v>49.463033361886581</v>
      </c>
      <c r="J3" s="2">
        <f>('[1]Pc, Spring, S3'!J3*Main!$B$5)+(_xlfn.IFNA(VLOOKUP($A3,'FL Ratio'!$A$3:$B$10,2,FALSE),0)*'FL Characterization'!J$2)</f>
        <v>53.681419410266322</v>
      </c>
      <c r="K3" s="2">
        <f>('[1]Pc, Spring, S3'!K3*Main!$B$5)+(_xlfn.IFNA(VLOOKUP($A3,'FL Ratio'!$A$3:$B$10,2,FALSE),0)*'FL Characterization'!K$2)</f>
        <v>52.298471416891509</v>
      </c>
      <c r="L3" s="2">
        <f>('[1]Pc, Spring, S3'!L3*Main!$B$5)+(_xlfn.IFNA(VLOOKUP($A3,'FL Ratio'!$A$3:$B$10,2,FALSE),0)*'FL Characterization'!L$2)</f>
        <v>49.230485025484647</v>
      </c>
      <c r="M3" s="2">
        <f>('[1]Pc, Spring, S3'!M3*Main!$B$5)+(_xlfn.IFNA(VLOOKUP($A3,'FL Ratio'!$A$3:$B$10,2,FALSE),0)*'FL Characterization'!M$2)</f>
        <v>53.731705841470578</v>
      </c>
      <c r="N3" s="2">
        <f>('[1]Pc, Spring, S3'!N3*Main!$B$5)+(_xlfn.IFNA(VLOOKUP($A3,'FL Ratio'!$A$3:$B$10,2,FALSE),0)*'FL Characterization'!N$2)</f>
        <v>51.874109799929606</v>
      </c>
      <c r="O3" s="2">
        <f>('[1]Pc, Spring, S3'!O3*Main!$B$5)+(_xlfn.IFNA(VLOOKUP($A3,'FL Ratio'!$A$3:$B$10,2,FALSE),0)*'FL Characterization'!O$2)</f>
        <v>50.160290664385919</v>
      </c>
      <c r="P3" s="2">
        <f>('[1]Pc, Spring, S3'!P3*Main!$B$5)+(_xlfn.IFNA(VLOOKUP($A3,'FL Ratio'!$A$3:$B$10,2,FALSE),0)*'FL Characterization'!P$2)</f>
        <v>49.483407251979749</v>
      </c>
      <c r="Q3" s="2">
        <f>('[1]Pc, Spring, S3'!Q3*Main!$B$5)+(_xlfn.IFNA(VLOOKUP($A3,'FL Ratio'!$A$3:$B$10,2,FALSE),0)*'FL Characterization'!Q$2)</f>
        <v>47.508513016001643</v>
      </c>
      <c r="R3" s="2">
        <f>('[1]Pc, Spring, S3'!R3*Main!$B$5)+(_xlfn.IFNA(VLOOKUP($A3,'FL Ratio'!$A$3:$B$10,2,FALSE),0)*'FL Characterization'!R$2)</f>
        <v>43.8205526781922</v>
      </c>
      <c r="S3" s="2">
        <f>('[1]Pc, Spring, S3'!S3*Main!$B$5)+(_xlfn.IFNA(VLOOKUP($A3,'FL Ratio'!$A$3:$B$10,2,FALSE),0)*'FL Characterization'!S$2)</f>
        <v>48.42451050857985</v>
      </c>
      <c r="T3" s="2">
        <f>('[1]Pc, Spring, S3'!T3*Main!$B$5)+(_xlfn.IFNA(VLOOKUP($A3,'FL Ratio'!$A$3:$B$10,2,FALSE),0)*'FL Characterization'!T$2)</f>
        <v>48.193674381974056</v>
      </c>
      <c r="U3" s="2">
        <f>('[1]Pc, Spring, S3'!U3*Main!$B$5)+(_xlfn.IFNA(VLOOKUP($A3,'FL Ratio'!$A$3:$B$10,2,FALSE),0)*'FL Characterization'!U$2)</f>
        <v>46.720274345304922</v>
      </c>
      <c r="V3" s="2">
        <f>('[1]Pc, Spring, S3'!V3*Main!$B$5)+(_xlfn.IFNA(VLOOKUP($A3,'FL Ratio'!$A$3:$B$10,2,FALSE),0)*'FL Characterization'!V$2)</f>
        <v>44.917603954930478</v>
      </c>
      <c r="W3" s="2">
        <f>('[1]Pc, Spring, S3'!W3*Main!$B$5)+(_xlfn.IFNA(VLOOKUP($A3,'FL Ratio'!$A$3:$B$10,2,FALSE),0)*'FL Characterization'!W$2)</f>
        <v>44.005300353286451</v>
      </c>
      <c r="X3" s="2">
        <f>('[1]Pc, Spring, S3'!X3*Main!$B$5)+(_xlfn.IFNA(VLOOKUP($A3,'FL Ratio'!$A$3:$B$10,2,FALSE),0)*'FL Characterization'!X$2)</f>
        <v>41.983384139338931</v>
      </c>
      <c r="Y3" s="2">
        <f>('[1]Pc, Spring, S3'!Y3*Main!$B$5)+(_xlfn.IFNA(VLOOKUP($A3,'FL Ratio'!$A$3:$B$10,2,FALSE),0)*'FL Characterization'!Y$2)</f>
        <v>39.398798181141373</v>
      </c>
    </row>
    <row r="4" spans="1:25" x14ac:dyDescent="0.3">
      <c r="A4">
        <v>3</v>
      </c>
      <c r="B4" s="2">
        <f>('[1]Pc, Spring, S3'!B4*Main!$B$5)+(_xlfn.IFNA(VLOOKUP($A4,'FL Ratio'!$A$3:$B$10,2,FALSE),0)*'FL Characterization'!B$2)</f>
        <v>48.556807192271485</v>
      </c>
      <c r="C4" s="2">
        <f>('[1]Pc, Spring, S3'!C4*Main!$B$5)+(_xlfn.IFNA(VLOOKUP($A4,'FL Ratio'!$A$3:$B$10,2,FALSE),0)*'FL Characterization'!C$2)</f>
        <v>42.670374307209542</v>
      </c>
      <c r="D4" s="2">
        <f>('[1]Pc, Spring, S3'!D4*Main!$B$5)+(_xlfn.IFNA(VLOOKUP($A4,'FL Ratio'!$A$3:$B$10,2,FALSE),0)*'FL Characterization'!D$2)</f>
        <v>42.744433394267972</v>
      </c>
      <c r="E4" s="2">
        <f>('[1]Pc, Spring, S3'!E4*Main!$B$5)+(_xlfn.IFNA(VLOOKUP($A4,'FL Ratio'!$A$3:$B$10,2,FALSE),0)*'FL Characterization'!E$2)</f>
        <v>39.41436409500249</v>
      </c>
      <c r="F4" s="2">
        <f>('[1]Pc, Spring, S3'!F4*Main!$B$5)+(_xlfn.IFNA(VLOOKUP($A4,'FL Ratio'!$A$3:$B$10,2,FALSE),0)*'FL Characterization'!F$2)</f>
        <v>41.524360857662252</v>
      </c>
      <c r="G4" s="2">
        <f>('[1]Pc, Spring, S3'!G4*Main!$B$5)+(_xlfn.IFNA(VLOOKUP($A4,'FL Ratio'!$A$3:$B$10,2,FALSE),0)*'FL Characterization'!G$2)</f>
        <v>40.692391829963334</v>
      </c>
      <c r="H4" s="2">
        <f>('[1]Pc, Spring, S3'!H4*Main!$B$5)+(_xlfn.IFNA(VLOOKUP($A4,'FL Ratio'!$A$3:$B$10,2,FALSE),0)*'FL Characterization'!H$2)</f>
        <v>47.6497818486217</v>
      </c>
      <c r="I4" s="2">
        <f>('[1]Pc, Spring, S3'!I4*Main!$B$5)+(_xlfn.IFNA(VLOOKUP($A4,'FL Ratio'!$A$3:$B$10,2,FALSE),0)*'FL Characterization'!I$2)</f>
        <v>51.223966160477886</v>
      </c>
      <c r="J4" s="2">
        <f>('[1]Pc, Spring, S3'!J4*Main!$B$5)+(_xlfn.IFNA(VLOOKUP($A4,'FL Ratio'!$A$3:$B$10,2,FALSE),0)*'FL Characterization'!J$2)</f>
        <v>59.172607184975071</v>
      </c>
      <c r="K4" s="2">
        <f>('[1]Pc, Spring, S3'!K4*Main!$B$5)+(_xlfn.IFNA(VLOOKUP($A4,'FL Ratio'!$A$3:$B$10,2,FALSE),0)*'FL Characterization'!K$2)</f>
        <v>60.834919702435677</v>
      </c>
      <c r="L4" s="2">
        <f>('[1]Pc, Spring, S3'!L4*Main!$B$5)+(_xlfn.IFNA(VLOOKUP($A4,'FL Ratio'!$A$3:$B$10,2,FALSE),0)*'FL Characterization'!L$2)</f>
        <v>62.841782318301959</v>
      </c>
      <c r="M4" s="2">
        <f>('[1]Pc, Spring, S3'!M4*Main!$B$5)+(_xlfn.IFNA(VLOOKUP($A4,'FL Ratio'!$A$3:$B$10,2,FALSE),0)*'FL Characterization'!M$2)</f>
        <v>66.325381272679977</v>
      </c>
      <c r="N4" s="2">
        <f>('[1]Pc, Spring, S3'!N4*Main!$B$5)+(_xlfn.IFNA(VLOOKUP($A4,'FL Ratio'!$A$3:$B$10,2,FALSE),0)*'FL Characterization'!N$2)</f>
        <v>66.932796106420227</v>
      </c>
      <c r="O4" s="2">
        <f>('[1]Pc, Spring, S3'!O4*Main!$B$5)+(_xlfn.IFNA(VLOOKUP($A4,'FL Ratio'!$A$3:$B$10,2,FALSE),0)*'FL Characterization'!O$2)</f>
        <v>66.827313859625022</v>
      </c>
      <c r="P4" s="2">
        <f>('[1]Pc, Spring, S3'!P4*Main!$B$5)+(_xlfn.IFNA(VLOOKUP($A4,'FL Ratio'!$A$3:$B$10,2,FALSE),0)*'FL Characterization'!P$2)</f>
        <v>63.200651177604435</v>
      </c>
      <c r="Q4" s="2">
        <f>('[1]Pc, Spring, S3'!Q4*Main!$B$5)+(_xlfn.IFNA(VLOOKUP($A4,'FL Ratio'!$A$3:$B$10,2,FALSE),0)*'FL Characterization'!Q$2)</f>
        <v>63.832103014002996</v>
      </c>
      <c r="R4" s="2">
        <f>('[1]Pc, Spring, S3'!R4*Main!$B$5)+(_xlfn.IFNA(VLOOKUP($A4,'FL Ratio'!$A$3:$B$10,2,FALSE),0)*'FL Characterization'!R$2)</f>
        <v>63.183180554890363</v>
      </c>
      <c r="S4" s="2">
        <f>('[1]Pc, Spring, S3'!S4*Main!$B$5)+(_xlfn.IFNA(VLOOKUP($A4,'FL Ratio'!$A$3:$B$10,2,FALSE),0)*'FL Characterization'!S$2)</f>
        <v>65.736606282380606</v>
      </c>
      <c r="T4" s="2">
        <f>('[1]Pc, Spring, S3'!T4*Main!$B$5)+(_xlfn.IFNA(VLOOKUP($A4,'FL Ratio'!$A$3:$B$10,2,FALSE),0)*'FL Characterization'!T$2)</f>
        <v>65.25015566116673</v>
      </c>
      <c r="U4" s="2">
        <f>('[1]Pc, Spring, S3'!U4*Main!$B$5)+(_xlfn.IFNA(VLOOKUP($A4,'FL Ratio'!$A$3:$B$10,2,FALSE),0)*'FL Characterization'!U$2)</f>
        <v>63.751782053261557</v>
      </c>
      <c r="V4" s="2">
        <f>('[1]Pc, Spring, S3'!V4*Main!$B$5)+(_xlfn.IFNA(VLOOKUP($A4,'FL Ratio'!$A$3:$B$10,2,FALSE),0)*'FL Characterization'!V$2)</f>
        <v>62.491856179773315</v>
      </c>
      <c r="W4" s="2">
        <f>('[1]Pc, Spring, S3'!W4*Main!$B$5)+(_xlfn.IFNA(VLOOKUP($A4,'FL Ratio'!$A$3:$B$10,2,FALSE),0)*'FL Characterization'!W$2)</f>
        <v>65.19852173391233</v>
      </c>
      <c r="X4" s="2">
        <f>('[1]Pc, Spring, S3'!X4*Main!$B$5)+(_xlfn.IFNA(VLOOKUP($A4,'FL Ratio'!$A$3:$B$10,2,FALSE),0)*'FL Characterization'!X$2)</f>
        <v>61.396099656530659</v>
      </c>
      <c r="Y4" s="2">
        <f>('[1]Pc, Spring, S3'!Y4*Main!$B$5)+(_xlfn.IFNA(VLOOKUP($A4,'FL Ratio'!$A$3:$B$10,2,FALSE),0)*'FL Characterization'!Y$2)</f>
        <v>56.375624540971764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5064D-398A-4E65-BE27-04F7B80F51C8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-13.002539239343168</v>
      </c>
      <c r="C2" s="2">
        <f>('[1]Qc, Spring, S1'!C2*Main!$B$5)</f>
        <v>-15.320118777576843</v>
      </c>
      <c r="D2" s="2">
        <f>('[1]Qc, Spring, S1'!D2*Main!$B$5)</f>
        <v>-17.219228283379511</v>
      </c>
      <c r="E2" s="2">
        <f>('[1]Qc, Spring, S1'!E2*Main!$B$5)</f>
        <v>-16.21716965302948</v>
      </c>
      <c r="F2" s="2">
        <f>('[1]Qc, Spring, S1'!F2*Main!$B$5)</f>
        <v>-16.380219356816497</v>
      </c>
      <c r="G2" s="2">
        <f>('[1]Qc, Spring, S1'!G2*Main!$B$5)</f>
        <v>-16.104006422517049</v>
      </c>
      <c r="H2" s="2">
        <f>('[1]Qc, Spring, S1'!H2*Main!$B$5)</f>
        <v>-13.395942259461581</v>
      </c>
      <c r="I2" s="2">
        <f>('[1]Qc, Spring, S1'!I2*Main!$B$5)</f>
        <v>-3.209682291603694</v>
      </c>
      <c r="J2" s="2">
        <f>('[1]Qc, Spring, S1'!J2*Main!$B$5)</f>
        <v>3.5968367233272418</v>
      </c>
      <c r="K2" s="2">
        <f>('[1]Qc, Spring, S1'!K2*Main!$B$5)</f>
        <v>6.5664392143862136</v>
      </c>
      <c r="L2" s="2">
        <f>('[1]Qc, Spring, S1'!L2*Main!$B$5)</f>
        <v>4.3035020928331225</v>
      </c>
      <c r="M2" s="2">
        <f>('[1]Qc, Spring, S1'!M2*Main!$B$5)</f>
        <v>5.9149680061693672</v>
      </c>
      <c r="N2" s="2">
        <f>('[1]Qc, Spring, S1'!N2*Main!$B$5)</f>
        <v>5.1855566868070335</v>
      </c>
      <c r="O2" s="2">
        <f>('[1]Qc, Spring, S1'!O2*Main!$B$5)</f>
        <v>5.184282447842933</v>
      </c>
      <c r="P2" s="2">
        <f>('[1]Qc, Spring, S1'!P2*Main!$B$5)</f>
        <v>1.1914517018289705</v>
      </c>
      <c r="Q2" s="2">
        <f>('[1]Qc, Spring, S1'!Q2*Main!$B$5)</f>
        <v>-2.1571766391573761</v>
      </c>
      <c r="R2" s="2">
        <f>('[1]Qc, Spring, S1'!R2*Main!$B$5)</f>
        <v>-0.93172384555159082</v>
      </c>
      <c r="S2" s="2">
        <f>('[1]Qc, Spring, S1'!S2*Main!$B$5)</f>
        <v>1.3339832584253246</v>
      </c>
      <c r="T2" s="2">
        <f>('[1]Qc, Spring, S1'!T2*Main!$B$5)</f>
        <v>8.0579073398564807E-2</v>
      </c>
      <c r="U2" s="2">
        <f>('[1]Qc, Spring, S1'!U2*Main!$B$5)</f>
        <v>-1.7258043959327021</v>
      </c>
      <c r="V2" s="2">
        <f>('[1]Qc, Spring, S1'!V2*Main!$B$5)</f>
        <v>-3.5027297249236362</v>
      </c>
      <c r="W2" s="2">
        <f>('[1]Qc, Spring, S1'!W2*Main!$B$5)</f>
        <v>-3.8617103102618886</v>
      </c>
      <c r="X2" s="2">
        <f>('[1]Qc, Spring, S1'!X2*Main!$B$5)</f>
        <v>-7.3967159231600199</v>
      </c>
      <c r="Y2" s="2">
        <f>('[1]Qc, Spring, S1'!Y2*Main!$B$5)</f>
        <v>-9.3204977186071112</v>
      </c>
    </row>
    <row r="3" spans="1:25" x14ac:dyDescent="0.3">
      <c r="A3">
        <v>2</v>
      </c>
      <c r="B3" s="2">
        <f>('[1]Qc, Spring, S1'!B3*Main!$B$5)</f>
        <v>-2.3939942545049888</v>
      </c>
      <c r="C3" s="2">
        <f>('[1]Qc, Spring, S1'!C3*Main!$B$5)</f>
        <v>-0.73343765172619513</v>
      </c>
      <c r="D3" s="2">
        <f>('[1]Qc, Spring, S1'!D3*Main!$B$5)</f>
        <v>-3.0714453642304376</v>
      </c>
      <c r="E3" s="2">
        <f>('[1]Qc, Spring, S1'!E3*Main!$B$5)</f>
        <v>-4.4733875303839099</v>
      </c>
      <c r="F3" s="2">
        <f>('[1]Qc, Spring, S1'!F3*Main!$B$5)</f>
        <v>-3.2832202057863573</v>
      </c>
      <c r="G3" s="2">
        <f>('[1]Qc, Spring, S1'!G3*Main!$B$5)</f>
        <v>-5.0189314027322034</v>
      </c>
      <c r="H3" s="2">
        <f>('[1]Qc, Spring, S1'!H3*Main!$B$5)</f>
        <v>-1.7188210385924463</v>
      </c>
      <c r="I3" s="2">
        <f>('[1]Qc, Spring, S1'!I3*Main!$B$5)</f>
        <v>1.3652489025741321</v>
      </c>
      <c r="J3" s="2">
        <f>('[1]Qc, Spring, S1'!J3*Main!$B$5)</f>
        <v>0.78201731222592086</v>
      </c>
      <c r="K3" s="2">
        <f>('[1]Qc, Spring, S1'!K3*Main!$B$5)</f>
        <v>0.94005589998371364</v>
      </c>
      <c r="L3" s="2">
        <f>('[1]Qc, Spring, S1'!L3*Main!$B$5)</f>
        <v>2.5068636245716394</v>
      </c>
      <c r="M3" s="2">
        <f>('[1]Qc, Spring, S1'!M3*Main!$B$5)</f>
        <v>1.5111338039348203</v>
      </c>
      <c r="N3" s="2">
        <f>('[1]Qc, Spring, S1'!N3*Main!$B$5)</f>
        <v>2.768399864253662</v>
      </c>
      <c r="O3" s="2">
        <f>('[1]Qc, Spring, S1'!O3*Main!$B$5)</f>
        <v>3.9199585540732169</v>
      </c>
      <c r="P3" s="2">
        <f>('[1]Qc, Spring, S1'!P3*Main!$B$5)</f>
        <v>2.8191650731593825</v>
      </c>
      <c r="Q3" s="2">
        <f>('[1]Qc, Spring, S1'!Q3*Main!$B$5)</f>
        <v>3.8371385938840907</v>
      </c>
      <c r="R3" s="2">
        <f>('[1]Qc, Spring, S1'!R3*Main!$B$5)</f>
        <v>1.446681508488747</v>
      </c>
      <c r="S3" s="2">
        <f>('[1]Qc, Spring, S1'!S3*Main!$B$5)</f>
        <v>1.3510139908957717</v>
      </c>
      <c r="T3" s="2">
        <f>('[1]Qc, Spring, S1'!T3*Main!$B$5)</f>
        <v>1.446681508488747</v>
      </c>
      <c r="U3" s="2">
        <f>('[1]Qc, Spring, S1'!U3*Main!$B$5)</f>
        <v>1.3330473618365883</v>
      </c>
      <c r="V3" s="2">
        <f>('[1]Qc, Spring, S1'!V3*Main!$B$5)</f>
        <v>-0.68917124099789273</v>
      </c>
      <c r="W3" s="2">
        <f>('[1]Qc, Spring, S1'!W3*Main!$B$5)</f>
        <v>0.62190990612938812</v>
      </c>
      <c r="X3" s="2">
        <f>('[1]Qc, Spring, S1'!X3*Main!$B$5)</f>
        <v>-3.446875061204941</v>
      </c>
      <c r="Y3" s="2">
        <f>('[1]Qc, Spring, S1'!Y3*Main!$B$5)</f>
        <v>-3.1088521119007568</v>
      </c>
    </row>
    <row r="4" spans="1:25" x14ac:dyDescent="0.3">
      <c r="A4">
        <v>3</v>
      </c>
      <c r="B4" s="2">
        <f>('[1]Qc, Spring, S1'!B4*Main!$B$5)</f>
        <v>11.068344000518151</v>
      </c>
      <c r="C4" s="2">
        <f>('[1]Qc, Spring, S1'!C4*Main!$B$5)</f>
        <v>8.7904172932012141</v>
      </c>
      <c r="D4" s="2">
        <f>('[1]Qc, Spring, S1'!D4*Main!$B$5)</f>
        <v>8.160902070968703</v>
      </c>
      <c r="E4" s="2">
        <f>('[1]Qc, Spring, S1'!E4*Main!$B$5)</f>
        <v>7.5383741922759793</v>
      </c>
      <c r="F4" s="2">
        <f>('[1]Qc, Spring, S1'!F4*Main!$B$5)</f>
        <v>8.0438612253649424</v>
      </c>
      <c r="G4" s="2">
        <f>('[1]Qc, Spring, S1'!G4*Main!$B$5)</f>
        <v>6.2275141182145362</v>
      </c>
      <c r="H4" s="2">
        <f>('[1]Qc, Spring, S1'!H4*Main!$B$5)</f>
        <v>10.653402167700992</v>
      </c>
      <c r="I4" s="2">
        <f>('[1]Qc, Spring, S1'!I4*Main!$B$5)</f>
        <v>15.35161377086756</v>
      </c>
      <c r="J4" s="2">
        <f>('[1]Qc, Spring, S1'!J4*Main!$B$5)</f>
        <v>20.775536122855087</v>
      </c>
      <c r="K4" s="2">
        <f>('[1]Qc, Spring, S1'!K4*Main!$B$5)</f>
        <v>24.446241996754697</v>
      </c>
      <c r="L4" s="2">
        <f>('[1]Qc, Spring, S1'!L4*Main!$B$5)</f>
        <v>24.853087825733493</v>
      </c>
      <c r="M4" s="2">
        <f>('[1]Qc, Spring, S1'!M4*Main!$B$5)</f>
        <v>25.223451480530077</v>
      </c>
      <c r="N4" s="2">
        <f>('[1]Qc, Spring, S1'!N4*Main!$B$5)</f>
        <v>27.086759702931186</v>
      </c>
      <c r="O4" s="2">
        <f>('[1]Qc, Spring, S1'!O4*Main!$B$5)</f>
        <v>26.083885690469074</v>
      </c>
      <c r="P4" s="2">
        <f>('[1]Qc, Spring, S1'!P4*Main!$B$5)</f>
        <v>24.226023562071617</v>
      </c>
      <c r="Q4" s="2">
        <f>('[1]Qc, Spring, S1'!Q4*Main!$B$5)</f>
        <v>24.041326561289555</v>
      </c>
      <c r="R4" s="2">
        <f>('[1]Qc, Spring, S1'!R4*Main!$B$5)</f>
        <v>23.338679031432605</v>
      </c>
      <c r="S4" s="2">
        <f>('[1]Qc, Spring, S1'!S4*Main!$B$5)</f>
        <v>24.541175827673417</v>
      </c>
      <c r="T4" s="2">
        <f>('[1]Qc, Spring, S1'!T4*Main!$B$5)</f>
        <v>24.370737601820601</v>
      </c>
      <c r="U4" s="2">
        <f>('[1]Qc, Spring, S1'!U4*Main!$B$5)</f>
        <v>24.084497751622465</v>
      </c>
      <c r="V4" s="2">
        <f>('[1]Qc, Spring, S1'!V4*Main!$B$5)</f>
        <v>20.723529096012154</v>
      </c>
      <c r="W4" s="2">
        <f>('[1]Qc, Spring, S1'!W4*Main!$B$5)</f>
        <v>22.484998678541047</v>
      </c>
      <c r="X4" s="2">
        <f>('[1]Qc, Spring, S1'!X4*Main!$B$5)</f>
        <v>18.982952424356348</v>
      </c>
      <c r="Y4" s="2">
        <f>('[1]Qc, Spring, S1'!Y4*Main!$B$5)</f>
        <v>15.770299574748154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594AD-079E-420B-872E-C5172D7B66A6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-13.002539239343168</v>
      </c>
      <c r="C2" s="2">
        <f>('[1]Qc, Spring, S1'!C2*Main!$B$5)</f>
        <v>-15.320118777576843</v>
      </c>
      <c r="D2" s="2">
        <f>('[1]Qc, Spring, S1'!D2*Main!$B$5)</f>
        <v>-17.219228283379511</v>
      </c>
      <c r="E2" s="2">
        <f>('[1]Qc, Spring, S1'!E2*Main!$B$5)</f>
        <v>-16.21716965302948</v>
      </c>
      <c r="F2" s="2">
        <f>('[1]Qc, Spring, S1'!F2*Main!$B$5)</f>
        <v>-16.380219356816497</v>
      </c>
      <c r="G2" s="2">
        <f>('[1]Qc, Spring, S1'!G2*Main!$B$5)</f>
        <v>-16.104006422517049</v>
      </c>
      <c r="H2" s="2">
        <f>('[1]Qc, Spring, S1'!H2*Main!$B$5)</f>
        <v>-13.395942259461581</v>
      </c>
      <c r="I2" s="2">
        <f>('[1]Qc, Spring, S1'!I2*Main!$B$5)</f>
        <v>-3.209682291603694</v>
      </c>
      <c r="J2" s="2">
        <f>('[1]Qc, Spring, S1'!J2*Main!$B$5)</f>
        <v>3.5968367233272418</v>
      </c>
      <c r="K2" s="2">
        <f>('[1]Qc, Spring, S1'!K2*Main!$B$5)</f>
        <v>6.5664392143862136</v>
      </c>
      <c r="L2" s="2">
        <f>('[1]Qc, Spring, S1'!L2*Main!$B$5)</f>
        <v>4.3035020928331225</v>
      </c>
      <c r="M2" s="2">
        <f>('[1]Qc, Spring, S1'!M2*Main!$B$5)</f>
        <v>5.9149680061693672</v>
      </c>
      <c r="N2" s="2">
        <f>('[1]Qc, Spring, S1'!N2*Main!$B$5)</f>
        <v>5.1855566868070335</v>
      </c>
      <c r="O2" s="2">
        <f>('[1]Qc, Spring, S1'!O2*Main!$B$5)</f>
        <v>5.184282447842933</v>
      </c>
      <c r="P2" s="2">
        <f>('[1]Qc, Spring, S1'!P2*Main!$B$5)</f>
        <v>1.1914517018289705</v>
      </c>
      <c r="Q2" s="2">
        <f>('[1]Qc, Spring, S1'!Q2*Main!$B$5)</f>
        <v>-2.1571766391573761</v>
      </c>
      <c r="R2" s="2">
        <f>('[1]Qc, Spring, S1'!R2*Main!$B$5)</f>
        <v>-0.93172384555159082</v>
      </c>
      <c r="S2" s="2">
        <f>('[1]Qc, Spring, S1'!S2*Main!$B$5)</f>
        <v>1.3339832584253246</v>
      </c>
      <c r="T2" s="2">
        <f>('[1]Qc, Spring, S1'!T2*Main!$B$5)</f>
        <v>8.0579073398564807E-2</v>
      </c>
      <c r="U2" s="2">
        <f>('[1]Qc, Spring, S1'!U2*Main!$B$5)</f>
        <v>-1.7258043959327021</v>
      </c>
      <c r="V2" s="2">
        <f>('[1]Qc, Spring, S1'!V2*Main!$B$5)</f>
        <v>-3.5027297249236362</v>
      </c>
      <c r="W2" s="2">
        <f>('[1]Qc, Spring, S1'!W2*Main!$B$5)</f>
        <v>-3.8617103102618886</v>
      </c>
      <c r="X2" s="2">
        <f>('[1]Qc, Spring, S1'!X2*Main!$B$5)</f>
        <v>-7.3967159231600199</v>
      </c>
      <c r="Y2" s="2">
        <f>('[1]Qc, Spring, S1'!Y2*Main!$B$5)</f>
        <v>-9.3204977186071112</v>
      </c>
    </row>
    <row r="3" spans="1:25" x14ac:dyDescent="0.3">
      <c r="A3">
        <v>2</v>
      </c>
      <c r="B3" s="2">
        <f>('[1]Qc, Spring, S1'!B3*Main!$B$5)</f>
        <v>-2.3939942545049888</v>
      </c>
      <c r="C3" s="2">
        <f>('[1]Qc, Spring, S1'!C3*Main!$B$5)</f>
        <v>-0.73343765172619513</v>
      </c>
      <c r="D3" s="2">
        <f>('[1]Qc, Spring, S1'!D3*Main!$B$5)</f>
        <v>-3.0714453642304376</v>
      </c>
      <c r="E3" s="2">
        <f>('[1]Qc, Spring, S1'!E3*Main!$B$5)</f>
        <v>-4.4733875303839099</v>
      </c>
      <c r="F3" s="2">
        <f>('[1]Qc, Spring, S1'!F3*Main!$B$5)</f>
        <v>-3.2832202057863573</v>
      </c>
      <c r="G3" s="2">
        <f>('[1]Qc, Spring, S1'!G3*Main!$B$5)</f>
        <v>-5.0189314027322034</v>
      </c>
      <c r="H3" s="2">
        <f>('[1]Qc, Spring, S1'!H3*Main!$B$5)</f>
        <v>-1.7188210385924463</v>
      </c>
      <c r="I3" s="2">
        <f>('[1]Qc, Spring, S1'!I3*Main!$B$5)</f>
        <v>1.3652489025741321</v>
      </c>
      <c r="J3" s="2">
        <f>('[1]Qc, Spring, S1'!J3*Main!$B$5)</f>
        <v>0.78201731222592086</v>
      </c>
      <c r="K3" s="2">
        <f>('[1]Qc, Spring, S1'!K3*Main!$B$5)</f>
        <v>0.94005589998371364</v>
      </c>
      <c r="L3" s="2">
        <f>('[1]Qc, Spring, S1'!L3*Main!$B$5)</f>
        <v>2.5068636245716394</v>
      </c>
      <c r="M3" s="2">
        <f>('[1]Qc, Spring, S1'!M3*Main!$B$5)</f>
        <v>1.5111338039348203</v>
      </c>
      <c r="N3" s="2">
        <f>('[1]Qc, Spring, S1'!N3*Main!$B$5)</f>
        <v>2.768399864253662</v>
      </c>
      <c r="O3" s="2">
        <f>('[1]Qc, Spring, S1'!O3*Main!$B$5)</f>
        <v>3.9199585540732169</v>
      </c>
      <c r="P3" s="2">
        <f>('[1]Qc, Spring, S1'!P3*Main!$B$5)</f>
        <v>2.8191650731593825</v>
      </c>
      <c r="Q3" s="2">
        <f>('[1]Qc, Spring, S1'!Q3*Main!$B$5)</f>
        <v>3.8371385938840907</v>
      </c>
      <c r="R3" s="2">
        <f>('[1]Qc, Spring, S1'!R3*Main!$B$5)</f>
        <v>1.446681508488747</v>
      </c>
      <c r="S3" s="2">
        <f>('[1]Qc, Spring, S1'!S3*Main!$B$5)</f>
        <v>1.3510139908957717</v>
      </c>
      <c r="T3" s="2">
        <f>('[1]Qc, Spring, S1'!T3*Main!$B$5)</f>
        <v>1.446681508488747</v>
      </c>
      <c r="U3" s="2">
        <f>('[1]Qc, Spring, S1'!U3*Main!$B$5)</f>
        <v>1.3330473618365883</v>
      </c>
      <c r="V3" s="2">
        <f>('[1]Qc, Spring, S1'!V3*Main!$B$5)</f>
        <v>-0.68917124099789273</v>
      </c>
      <c r="W3" s="2">
        <f>('[1]Qc, Spring, S1'!W3*Main!$B$5)</f>
        <v>0.62190990612938812</v>
      </c>
      <c r="X3" s="2">
        <f>('[1]Qc, Spring, S1'!X3*Main!$B$5)</f>
        <v>-3.446875061204941</v>
      </c>
      <c r="Y3" s="2">
        <f>('[1]Qc, Spring, S1'!Y3*Main!$B$5)</f>
        <v>-3.1088521119007568</v>
      </c>
    </row>
    <row r="4" spans="1:25" x14ac:dyDescent="0.3">
      <c r="A4">
        <v>3</v>
      </c>
      <c r="B4" s="2">
        <f>('[1]Qc, Spring, S1'!B4*Main!$B$5)</f>
        <v>11.068344000518151</v>
      </c>
      <c r="C4" s="2">
        <f>('[1]Qc, Spring, S1'!C4*Main!$B$5)</f>
        <v>8.7904172932012141</v>
      </c>
      <c r="D4" s="2">
        <f>('[1]Qc, Spring, S1'!D4*Main!$B$5)</f>
        <v>8.160902070968703</v>
      </c>
      <c r="E4" s="2">
        <f>('[1]Qc, Spring, S1'!E4*Main!$B$5)</f>
        <v>7.5383741922759793</v>
      </c>
      <c r="F4" s="2">
        <f>('[1]Qc, Spring, S1'!F4*Main!$B$5)</f>
        <v>8.0438612253649424</v>
      </c>
      <c r="G4" s="2">
        <f>('[1]Qc, Spring, S1'!G4*Main!$B$5)</f>
        <v>6.2275141182145362</v>
      </c>
      <c r="H4" s="2">
        <f>('[1]Qc, Spring, S1'!H4*Main!$B$5)</f>
        <v>10.653402167700992</v>
      </c>
      <c r="I4" s="2">
        <f>('[1]Qc, Spring, S1'!I4*Main!$B$5)</f>
        <v>15.35161377086756</v>
      </c>
      <c r="J4" s="2">
        <f>('[1]Qc, Spring, S1'!J4*Main!$B$5)</f>
        <v>20.775536122855087</v>
      </c>
      <c r="K4" s="2">
        <f>('[1]Qc, Spring, S1'!K4*Main!$B$5)</f>
        <v>24.446241996754697</v>
      </c>
      <c r="L4" s="2">
        <f>('[1]Qc, Spring, S1'!L4*Main!$B$5)</f>
        <v>24.853087825733493</v>
      </c>
      <c r="M4" s="2">
        <f>('[1]Qc, Spring, S1'!M4*Main!$B$5)</f>
        <v>25.223451480530077</v>
      </c>
      <c r="N4" s="2">
        <f>('[1]Qc, Spring, S1'!N4*Main!$B$5)</f>
        <v>27.086759702931186</v>
      </c>
      <c r="O4" s="2">
        <f>('[1]Qc, Spring, S1'!O4*Main!$B$5)</f>
        <v>26.083885690469074</v>
      </c>
      <c r="P4" s="2">
        <f>('[1]Qc, Spring, S1'!P4*Main!$B$5)</f>
        <v>24.226023562071617</v>
      </c>
      <c r="Q4" s="2">
        <f>('[1]Qc, Spring, S1'!Q4*Main!$B$5)</f>
        <v>24.041326561289555</v>
      </c>
      <c r="R4" s="2">
        <f>('[1]Qc, Spring, S1'!R4*Main!$B$5)</f>
        <v>23.338679031432605</v>
      </c>
      <c r="S4" s="2">
        <f>('[1]Qc, Spring, S1'!S4*Main!$B$5)</f>
        <v>24.541175827673417</v>
      </c>
      <c r="T4" s="2">
        <f>('[1]Qc, Spring, S1'!T4*Main!$B$5)</f>
        <v>24.370737601820601</v>
      </c>
      <c r="U4" s="2">
        <f>('[1]Qc, Spring, S1'!U4*Main!$B$5)</f>
        <v>24.084497751622465</v>
      </c>
      <c r="V4" s="2">
        <f>('[1]Qc, Spring, S1'!V4*Main!$B$5)</f>
        <v>20.723529096012154</v>
      </c>
      <c r="W4" s="2">
        <f>('[1]Qc, Spring, S1'!W4*Main!$B$5)</f>
        <v>22.484998678541047</v>
      </c>
      <c r="X4" s="2">
        <f>('[1]Qc, Spring, S1'!X4*Main!$B$5)</f>
        <v>18.982952424356348</v>
      </c>
      <c r="Y4" s="2">
        <f>('[1]Qc, Spring, S1'!Y4*Main!$B$5)</f>
        <v>15.770299574748154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EA5EA-0B6A-47A3-A1C6-41E65EF57CD8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-13.002539239343168</v>
      </c>
      <c r="C2" s="2">
        <f>('[1]Qc, Spring, S1'!C2*Main!$B$5)</f>
        <v>-15.320118777576843</v>
      </c>
      <c r="D2" s="2">
        <f>('[1]Qc, Spring, S1'!D2*Main!$B$5)</f>
        <v>-17.219228283379511</v>
      </c>
      <c r="E2" s="2">
        <f>('[1]Qc, Spring, S1'!E2*Main!$B$5)</f>
        <v>-16.21716965302948</v>
      </c>
      <c r="F2" s="2">
        <f>('[1]Qc, Spring, S1'!F2*Main!$B$5)</f>
        <v>-16.380219356816497</v>
      </c>
      <c r="G2" s="2">
        <f>('[1]Qc, Spring, S1'!G2*Main!$B$5)</f>
        <v>-16.104006422517049</v>
      </c>
      <c r="H2" s="2">
        <f>('[1]Qc, Spring, S1'!H2*Main!$B$5)</f>
        <v>-13.395942259461581</v>
      </c>
      <c r="I2" s="2">
        <f>('[1]Qc, Spring, S1'!I2*Main!$B$5)</f>
        <v>-3.209682291603694</v>
      </c>
      <c r="J2" s="2">
        <f>('[1]Qc, Spring, S1'!J2*Main!$B$5)</f>
        <v>3.5968367233272418</v>
      </c>
      <c r="K2" s="2">
        <f>('[1]Qc, Spring, S1'!K2*Main!$B$5)</f>
        <v>6.5664392143862136</v>
      </c>
      <c r="L2" s="2">
        <f>('[1]Qc, Spring, S1'!L2*Main!$B$5)</f>
        <v>4.3035020928331225</v>
      </c>
      <c r="M2" s="2">
        <f>('[1]Qc, Spring, S1'!M2*Main!$B$5)</f>
        <v>5.9149680061693672</v>
      </c>
      <c r="N2" s="2">
        <f>('[1]Qc, Spring, S1'!N2*Main!$B$5)</f>
        <v>5.1855566868070335</v>
      </c>
      <c r="O2" s="2">
        <f>('[1]Qc, Spring, S1'!O2*Main!$B$5)</f>
        <v>5.184282447842933</v>
      </c>
      <c r="P2" s="2">
        <f>('[1]Qc, Spring, S1'!P2*Main!$B$5)</f>
        <v>1.1914517018289705</v>
      </c>
      <c r="Q2" s="2">
        <f>('[1]Qc, Spring, S1'!Q2*Main!$B$5)</f>
        <v>-2.1571766391573761</v>
      </c>
      <c r="R2" s="2">
        <f>('[1]Qc, Spring, S1'!R2*Main!$B$5)</f>
        <v>-0.93172384555159082</v>
      </c>
      <c r="S2" s="2">
        <f>('[1]Qc, Spring, S1'!S2*Main!$B$5)</f>
        <v>1.3339832584253246</v>
      </c>
      <c r="T2" s="2">
        <f>('[1]Qc, Spring, S1'!T2*Main!$B$5)</f>
        <v>8.0579073398564807E-2</v>
      </c>
      <c r="U2" s="2">
        <f>('[1]Qc, Spring, S1'!U2*Main!$B$5)</f>
        <v>-1.7258043959327021</v>
      </c>
      <c r="V2" s="2">
        <f>('[1]Qc, Spring, S1'!V2*Main!$B$5)</f>
        <v>-3.5027297249236362</v>
      </c>
      <c r="W2" s="2">
        <f>('[1]Qc, Spring, S1'!W2*Main!$B$5)</f>
        <v>-3.8617103102618886</v>
      </c>
      <c r="X2" s="2">
        <f>('[1]Qc, Spring, S1'!X2*Main!$B$5)</f>
        <v>-7.3967159231600199</v>
      </c>
      <c r="Y2" s="2">
        <f>('[1]Qc, Spring, S1'!Y2*Main!$B$5)</f>
        <v>-9.3204977186071112</v>
      </c>
    </row>
    <row r="3" spans="1:25" x14ac:dyDescent="0.3">
      <c r="A3">
        <v>2</v>
      </c>
      <c r="B3" s="2">
        <f>('[1]Qc, Spring, S1'!B3*Main!$B$5)</f>
        <v>-2.3939942545049888</v>
      </c>
      <c r="C3" s="2">
        <f>('[1]Qc, Spring, S1'!C3*Main!$B$5)</f>
        <v>-0.73343765172619513</v>
      </c>
      <c r="D3" s="2">
        <f>('[1]Qc, Spring, S1'!D3*Main!$B$5)</f>
        <v>-3.0714453642304376</v>
      </c>
      <c r="E3" s="2">
        <f>('[1]Qc, Spring, S1'!E3*Main!$B$5)</f>
        <v>-4.4733875303839099</v>
      </c>
      <c r="F3" s="2">
        <f>('[1]Qc, Spring, S1'!F3*Main!$B$5)</f>
        <v>-3.2832202057863573</v>
      </c>
      <c r="G3" s="2">
        <f>('[1]Qc, Spring, S1'!G3*Main!$B$5)</f>
        <v>-5.0189314027322034</v>
      </c>
      <c r="H3" s="2">
        <f>('[1]Qc, Spring, S1'!H3*Main!$B$5)</f>
        <v>-1.7188210385924463</v>
      </c>
      <c r="I3" s="2">
        <f>('[1]Qc, Spring, S1'!I3*Main!$B$5)</f>
        <v>1.3652489025741321</v>
      </c>
      <c r="J3" s="2">
        <f>('[1]Qc, Spring, S1'!J3*Main!$B$5)</f>
        <v>0.78201731222592086</v>
      </c>
      <c r="K3" s="2">
        <f>('[1]Qc, Spring, S1'!K3*Main!$B$5)</f>
        <v>0.94005589998371364</v>
      </c>
      <c r="L3" s="2">
        <f>('[1]Qc, Spring, S1'!L3*Main!$B$5)</f>
        <v>2.5068636245716394</v>
      </c>
      <c r="M3" s="2">
        <f>('[1]Qc, Spring, S1'!M3*Main!$B$5)</f>
        <v>1.5111338039348203</v>
      </c>
      <c r="N3" s="2">
        <f>('[1]Qc, Spring, S1'!N3*Main!$B$5)</f>
        <v>2.768399864253662</v>
      </c>
      <c r="O3" s="2">
        <f>('[1]Qc, Spring, S1'!O3*Main!$B$5)</f>
        <v>3.9199585540732169</v>
      </c>
      <c r="P3" s="2">
        <f>('[1]Qc, Spring, S1'!P3*Main!$B$5)</f>
        <v>2.8191650731593825</v>
      </c>
      <c r="Q3" s="2">
        <f>('[1]Qc, Spring, S1'!Q3*Main!$B$5)</f>
        <v>3.8371385938840907</v>
      </c>
      <c r="R3" s="2">
        <f>('[1]Qc, Spring, S1'!R3*Main!$B$5)</f>
        <v>1.446681508488747</v>
      </c>
      <c r="S3" s="2">
        <f>('[1]Qc, Spring, S1'!S3*Main!$B$5)</f>
        <v>1.3510139908957717</v>
      </c>
      <c r="T3" s="2">
        <f>('[1]Qc, Spring, S1'!T3*Main!$B$5)</f>
        <v>1.446681508488747</v>
      </c>
      <c r="U3" s="2">
        <f>('[1]Qc, Spring, S1'!U3*Main!$B$5)</f>
        <v>1.3330473618365883</v>
      </c>
      <c r="V3" s="2">
        <f>('[1]Qc, Spring, S1'!V3*Main!$B$5)</f>
        <v>-0.68917124099789273</v>
      </c>
      <c r="W3" s="2">
        <f>('[1]Qc, Spring, S1'!W3*Main!$B$5)</f>
        <v>0.62190990612938812</v>
      </c>
      <c r="X3" s="2">
        <f>('[1]Qc, Spring, S1'!X3*Main!$B$5)</f>
        <v>-3.446875061204941</v>
      </c>
      <c r="Y3" s="2">
        <f>('[1]Qc, Spring, S1'!Y3*Main!$B$5)</f>
        <v>-3.1088521119007568</v>
      </c>
    </row>
    <row r="4" spans="1:25" x14ac:dyDescent="0.3">
      <c r="A4">
        <v>3</v>
      </c>
      <c r="B4" s="2">
        <f>('[1]Qc, Spring, S1'!B4*Main!$B$5)</f>
        <v>11.068344000518151</v>
      </c>
      <c r="C4" s="2">
        <f>('[1]Qc, Spring, S1'!C4*Main!$B$5)</f>
        <v>8.7904172932012141</v>
      </c>
      <c r="D4" s="2">
        <f>('[1]Qc, Spring, S1'!D4*Main!$B$5)</f>
        <v>8.160902070968703</v>
      </c>
      <c r="E4" s="2">
        <f>('[1]Qc, Spring, S1'!E4*Main!$B$5)</f>
        <v>7.5383741922759793</v>
      </c>
      <c r="F4" s="2">
        <f>('[1]Qc, Spring, S1'!F4*Main!$B$5)</f>
        <v>8.0438612253649424</v>
      </c>
      <c r="G4" s="2">
        <f>('[1]Qc, Spring, S1'!G4*Main!$B$5)</f>
        <v>6.2275141182145362</v>
      </c>
      <c r="H4" s="2">
        <f>('[1]Qc, Spring, S1'!H4*Main!$B$5)</f>
        <v>10.653402167700992</v>
      </c>
      <c r="I4" s="2">
        <f>('[1]Qc, Spring, S1'!I4*Main!$B$5)</f>
        <v>15.35161377086756</v>
      </c>
      <c r="J4" s="2">
        <f>('[1]Qc, Spring, S1'!J4*Main!$B$5)</f>
        <v>20.775536122855087</v>
      </c>
      <c r="K4" s="2">
        <f>('[1]Qc, Spring, S1'!K4*Main!$B$5)</f>
        <v>24.446241996754697</v>
      </c>
      <c r="L4" s="2">
        <f>('[1]Qc, Spring, S1'!L4*Main!$B$5)</f>
        <v>24.853087825733493</v>
      </c>
      <c r="M4" s="2">
        <f>('[1]Qc, Spring, S1'!M4*Main!$B$5)</f>
        <v>25.223451480530077</v>
      </c>
      <c r="N4" s="2">
        <f>('[1]Qc, Spring, S1'!N4*Main!$B$5)</f>
        <v>27.086759702931186</v>
      </c>
      <c r="O4" s="2">
        <f>('[1]Qc, Spring, S1'!O4*Main!$B$5)</f>
        <v>26.083885690469074</v>
      </c>
      <c r="P4" s="2">
        <f>('[1]Qc, Spring, S1'!P4*Main!$B$5)</f>
        <v>24.226023562071617</v>
      </c>
      <c r="Q4" s="2">
        <f>('[1]Qc, Spring, S1'!Q4*Main!$B$5)</f>
        <v>24.041326561289555</v>
      </c>
      <c r="R4" s="2">
        <f>('[1]Qc, Spring, S1'!R4*Main!$B$5)</f>
        <v>23.338679031432605</v>
      </c>
      <c r="S4" s="2">
        <f>('[1]Qc, Spring, S1'!S4*Main!$B$5)</f>
        <v>24.541175827673417</v>
      </c>
      <c r="T4" s="2">
        <f>('[1]Qc, Spring, S1'!T4*Main!$B$5)</f>
        <v>24.370737601820601</v>
      </c>
      <c r="U4" s="2">
        <f>('[1]Qc, Spring, S1'!U4*Main!$B$5)</f>
        <v>24.084497751622465</v>
      </c>
      <c r="V4" s="2">
        <f>('[1]Qc, Spring, S1'!V4*Main!$B$5)</f>
        <v>20.723529096012154</v>
      </c>
      <c r="W4" s="2">
        <f>('[1]Qc, Spring, S1'!W4*Main!$B$5)</f>
        <v>22.484998678541047</v>
      </c>
      <c r="X4" s="2">
        <f>('[1]Qc, Spring, S1'!X4*Main!$B$5)</f>
        <v>18.982952424356348</v>
      </c>
      <c r="Y4" s="2">
        <f>('[1]Qc, Spring, S1'!Y4*Main!$B$5)</f>
        <v>15.770299574748154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54F07-C1AD-4D86-B5D4-DA6C81A87E64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-13.392615416523464</v>
      </c>
      <c r="C2" s="2">
        <f>('[1]Qc, Spring, S2'!C2*Main!$B$5)</f>
        <v>-15.779722340904147</v>
      </c>
      <c r="D2" s="2">
        <f>('[1]Qc, Spring, S2'!D2*Main!$B$5)</f>
        <v>-17.735805131880898</v>
      </c>
      <c r="E2" s="2">
        <f>('[1]Qc, Spring, S2'!E2*Main!$B$5)</f>
        <v>-16.703684742620364</v>
      </c>
      <c r="F2" s="2">
        <f>('[1]Qc, Spring, S2'!F2*Main!$B$5)</f>
        <v>-16.871625937520992</v>
      </c>
      <c r="G2" s="2">
        <f>('[1]Qc, Spring, S2'!G2*Main!$B$5)</f>
        <v>-16.587126615192563</v>
      </c>
      <c r="H2" s="2">
        <f>('[1]Qc, Spring, S2'!H2*Main!$B$5)</f>
        <v>-13.797820527245429</v>
      </c>
      <c r="I2" s="2">
        <f>('[1]Qc, Spring, S2'!I2*Main!$B$5)</f>
        <v>-3.3059727603518052</v>
      </c>
      <c r="J2" s="2">
        <f>('[1]Qc, Spring, S2'!J2*Main!$B$5)</f>
        <v>3.704741825027059</v>
      </c>
      <c r="K2" s="2">
        <f>('[1]Qc, Spring, S2'!K2*Main!$B$5)</f>
        <v>6.7634323908178002</v>
      </c>
      <c r="L2" s="2">
        <f>('[1]Qc, Spring, S2'!L2*Main!$B$5)</f>
        <v>4.4326071556181166</v>
      </c>
      <c r="M2" s="2">
        <f>('[1]Qc, Spring, S2'!M2*Main!$B$5)</f>
        <v>6.0924170463544494</v>
      </c>
      <c r="N2" s="2">
        <f>('[1]Qc, Spring, S2'!N2*Main!$B$5)</f>
        <v>5.3411233874112449</v>
      </c>
      <c r="O2" s="2">
        <f>('[1]Qc, Spring, S2'!O2*Main!$B$5)</f>
        <v>5.3398109212782217</v>
      </c>
      <c r="P2" s="2">
        <f>('[1]Qc, Spring, S2'!P2*Main!$B$5)</f>
        <v>1.2271952528838397</v>
      </c>
      <c r="Q2" s="2">
        <f>('[1]Qc, Spring, S2'!Q2*Main!$B$5)</f>
        <v>-2.2218919383320976</v>
      </c>
      <c r="R2" s="2">
        <f>('[1]Qc, Spring, S2'!R2*Main!$B$5)</f>
        <v>-0.95967556091813866</v>
      </c>
      <c r="S2" s="2">
        <f>('[1]Qc, Spring, S2'!S2*Main!$B$5)</f>
        <v>1.3740027561780841</v>
      </c>
      <c r="T2" s="2">
        <f>('[1]Qc, Spring, S2'!T2*Main!$B$5)</f>
        <v>8.2996445600521759E-2</v>
      </c>
      <c r="U2" s="2">
        <f>('[1]Qc, Spring, S2'!U2*Main!$B$5)</f>
        <v>-1.777578527810683</v>
      </c>
      <c r="V2" s="2">
        <f>('[1]Qc, Spring, S2'!V2*Main!$B$5)</f>
        <v>-3.607811616671345</v>
      </c>
      <c r="W2" s="2">
        <f>('[1]Qc, Spring, S2'!W2*Main!$B$5)</f>
        <v>-3.9775616195697454</v>
      </c>
      <c r="X2" s="2">
        <f>('[1]Qc, Spring, S2'!X2*Main!$B$5)</f>
        <v>-7.6186174008548218</v>
      </c>
      <c r="Y2" s="2">
        <f>('[1]Qc, Spring, S2'!Y2*Main!$B$5)</f>
        <v>-9.6001126501653253</v>
      </c>
    </row>
    <row r="3" spans="1:25" x14ac:dyDescent="0.3">
      <c r="A3">
        <v>2</v>
      </c>
      <c r="B3" s="2">
        <f>('[1]Qc, Spring, S2'!B3*Main!$B$5)</f>
        <v>-2.4658140821401386</v>
      </c>
      <c r="C3" s="2">
        <f>('[1]Qc, Spring, S2'!C3*Main!$B$5)</f>
        <v>-0.75544078127798109</v>
      </c>
      <c r="D3" s="2">
        <f>('[1]Qc, Spring, S2'!D3*Main!$B$5)</f>
        <v>-3.1635887251573505</v>
      </c>
      <c r="E3" s="2">
        <f>('[1]Qc, Spring, S2'!E3*Main!$B$5)</f>
        <v>-4.6075891562954281</v>
      </c>
      <c r="F3" s="2">
        <f>('[1]Qc, Spring, S2'!F3*Main!$B$5)</f>
        <v>-3.3817168119599477</v>
      </c>
      <c r="G3" s="2">
        <f>('[1]Qc, Spring, S2'!G3*Main!$B$5)</f>
        <v>-5.1694993448141702</v>
      </c>
      <c r="H3" s="2">
        <f>('[1]Qc, Spring, S2'!H3*Main!$B$5)</f>
        <v>-1.7703856697502196</v>
      </c>
      <c r="I3" s="2">
        <f>('[1]Qc, Spring, S2'!I3*Main!$B$5)</f>
        <v>1.4062063696513563</v>
      </c>
      <c r="J3" s="2">
        <f>('[1]Qc, Spring, S2'!J3*Main!$B$5)</f>
        <v>0.80547783159269848</v>
      </c>
      <c r="K3" s="2">
        <f>('[1]Qc, Spring, S2'!K3*Main!$B$5)</f>
        <v>0.96825757698322501</v>
      </c>
      <c r="L3" s="2">
        <f>('[1]Qc, Spring, S2'!L3*Main!$B$5)</f>
        <v>2.5820695333087884</v>
      </c>
      <c r="M3" s="2">
        <f>('[1]Qc, Spring, S2'!M3*Main!$B$5)</f>
        <v>1.5564678180528648</v>
      </c>
      <c r="N3" s="2">
        <f>('[1]Qc, Spring, S2'!N3*Main!$B$5)</f>
        <v>2.8514518601812724</v>
      </c>
      <c r="O3" s="2">
        <f>('[1]Qc, Spring, S2'!O3*Main!$B$5)</f>
        <v>4.037557310695413</v>
      </c>
      <c r="P3" s="2">
        <f>('[1]Qc, Spring, S2'!P3*Main!$B$5)</f>
        <v>2.9037400253541645</v>
      </c>
      <c r="Q3" s="2">
        <f>('[1]Qc, Spring, S2'!Q3*Main!$B$5)</f>
        <v>3.9522527517006139</v>
      </c>
      <c r="R3" s="2">
        <f>('[1]Qc, Spring, S2'!R3*Main!$B$5)</f>
        <v>1.4900819537434091</v>
      </c>
      <c r="S3" s="2">
        <f>('[1]Qc, Spring, S2'!S3*Main!$B$5)</f>
        <v>1.3915444106226447</v>
      </c>
      <c r="T3" s="2">
        <f>('[1]Qc, Spring, S2'!T3*Main!$B$5)</f>
        <v>1.4900819537434091</v>
      </c>
      <c r="U3" s="2">
        <f>('[1]Qc, Spring, S2'!U3*Main!$B$5)</f>
        <v>1.3730387826916859</v>
      </c>
      <c r="V3" s="2">
        <f>('[1]Qc, Spring, S2'!V3*Main!$B$5)</f>
        <v>-0.70984637822782948</v>
      </c>
      <c r="W3" s="2">
        <f>('[1]Qc, Spring, S2'!W3*Main!$B$5)</f>
        <v>0.64056720331326977</v>
      </c>
      <c r="X3" s="2">
        <f>('[1]Qc, Spring, S2'!X3*Main!$B$5)</f>
        <v>-3.5502813130410895</v>
      </c>
      <c r="Y3" s="2">
        <f>('[1]Qc, Spring, S2'!Y3*Main!$B$5)</f>
        <v>-3.2021176752577794</v>
      </c>
    </row>
    <row r="4" spans="1:25" x14ac:dyDescent="0.3">
      <c r="A4">
        <v>3</v>
      </c>
      <c r="B4" s="2">
        <f>('[1]Qc, Spring, S2'!B4*Main!$B$5)</f>
        <v>11.400394320533694</v>
      </c>
      <c r="C4" s="2">
        <f>('[1]Qc, Spring, S2'!C4*Main!$B$5)</f>
        <v>9.0541298119972513</v>
      </c>
      <c r="D4" s="2">
        <f>('[1]Qc, Spring, S2'!D4*Main!$B$5)</f>
        <v>8.405729133097763</v>
      </c>
      <c r="E4" s="2">
        <f>('[1]Qc, Spring, S2'!E4*Main!$B$5)</f>
        <v>7.7645254180442587</v>
      </c>
      <c r="F4" s="2">
        <f>('[1]Qc, Spring, S2'!F4*Main!$B$5)</f>
        <v>8.2851770621258911</v>
      </c>
      <c r="G4" s="2">
        <f>('[1]Qc, Spring, S2'!G4*Main!$B$5)</f>
        <v>6.414339541760973</v>
      </c>
      <c r="H4" s="2">
        <f>('[1]Qc, Spring, S2'!H4*Main!$B$5)</f>
        <v>10.973004232732023</v>
      </c>
      <c r="I4" s="2">
        <f>('[1]Qc, Spring, S2'!I4*Main!$B$5)</f>
        <v>15.812162183993587</v>
      </c>
      <c r="J4" s="2">
        <f>('[1]Qc, Spring, S2'!J4*Main!$B$5)</f>
        <v>21.39880220654074</v>
      </c>
      <c r="K4" s="2">
        <f>('[1]Qc, Spring, S2'!K4*Main!$B$5)</f>
        <v>25.179629256657339</v>
      </c>
      <c r="L4" s="2">
        <f>('[1]Qc, Spring, S2'!L4*Main!$B$5)</f>
        <v>25.598680460505495</v>
      </c>
      <c r="M4" s="2">
        <f>('[1]Qc, Spring, S2'!M4*Main!$B$5)</f>
        <v>25.980155024945979</v>
      </c>
      <c r="N4" s="2">
        <f>('[1]Qc, Spring, S2'!N4*Main!$B$5)</f>
        <v>27.899362494019126</v>
      </c>
      <c r="O4" s="2">
        <f>('[1]Qc, Spring, S2'!O4*Main!$B$5)</f>
        <v>26.866402261183147</v>
      </c>
      <c r="P4" s="2">
        <f>('[1]Qc, Spring, S2'!P4*Main!$B$5)</f>
        <v>24.952804268933765</v>
      </c>
      <c r="Q4" s="2">
        <f>('[1]Qc, Spring, S2'!Q4*Main!$B$5)</f>
        <v>24.762566358128243</v>
      </c>
      <c r="R4" s="2">
        <f>('[1]Qc, Spring, S2'!R4*Main!$B$5)</f>
        <v>24.038839402375579</v>
      </c>
      <c r="S4" s="2">
        <f>('[1]Qc, Spring, S2'!S4*Main!$B$5)</f>
        <v>25.277411102503617</v>
      </c>
      <c r="T4" s="2">
        <f>('[1]Qc, Spring, S2'!T4*Main!$B$5)</f>
        <v>25.101859729875223</v>
      </c>
      <c r="U4" s="2">
        <f>('[1]Qc, Spring, S2'!U4*Main!$B$5)</f>
        <v>24.807032684171137</v>
      </c>
      <c r="V4" s="2">
        <f>('[1]Qc, Spring, S2'!V4*Main!$B$5)</f>
        <v>21.34523496889252</v>
      </c>
      <c r="W4" s="2">
        <f>('[1]Qc, Spring, S2'!W4*Main!$B$5)</f>
        <v>23.159548638897274</v>
      </c>
      <c r="X4" s="2">
        <f>('[1]Qc, Spring, S2'!X4*Main!$B$5)</f>
        <v>19.552440997087036</v>
      </c>
      <c r="Y4" s="2">
        <f>('[1]Qc, Spring, S2'!Y4*Main!$B$5)</f>
        <v>16.243408561990599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A6530-5877-4027-8363-AD7F85A7384A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-13.392615416523464</v>
      </c>
      <c r="C2" s="2">
        <f>('[1]Qc, Spring, S2'!C2*Main!$B$5)</f>
        <v>-15.779722340904147</v>
      </c>
      <c r="D2" s="2">
        <f>('[1]Qc, Spring, S2'!D2*Main!$B$5)</f>
        <v>-17.735805131880898</v>
      </c>
      <c r="E2" s="2">
        <f>('[1]Qc, Spring, S2'!E2*Main!$B$5)</f>
        <v>-16.703684742620364</v>
      </c>
      <c r="F2" s="2">
        <f>('[1]Qc, Spring, S2'!F2*Main!$B$5)</f>
        <v>-16.871625937520992</v>
      </c>
      <c r="G2" s="2">
        <f>('[1]Qc, Spring, S2'!G2*Main!$B$5)</f>
        <v>-16.587126615192563</v>
      </c>
      <c r="H2" s="2">
        <f>('[1]Qc, Spring, S2'!H2*Main!$B$5)</f>
        <v>-13.797820527245429</v>
      </c>
      <c r="I2" s="2">
        <f>('[1]Qc, Spring, S2'!I2*Main!$B$5)</f>
        <v>-3.3059727603518052</v>
      </c>
      <c r="J2" s="2">
        <f>('[1]Qc, Spring, S2'!J2*Main!$B$5)</f>
        <v>3.704741825027059</v>
      </c>
      <c r="K2" s="2">
        <f>('[1]Qc, Spring, S2'!K2*Main!$B$5)</f>
        <v>6.7634323908178002</v>
      </c>
      <c r="L2" s="2">
        <f>('[1]Qc, Spring, S2'!L2*Main!$B$5)</f>
        <v>4.4326071556181166</v>
      </c>
      <c r="M2" s="2">
        <f>('[1]Qc, Spring, S2'!M2*Main!$B$5)</f>
        <v>6.0924170463544494</v>
      </c>
      <c r="N2" s="2">
        <f>('[1]Qc, Spring, S2'!N2*Main!$B$5)</f>
        <v>5.3411233874112449</v>
      </c>
      <c r="O2" s="2">
        <f>('[1]Qc, Spring, S2'!O2*Main!$B$5)</f>
        <v>5.3398109212782217</v>
      </c>
      <c r="P2" s="2">
        <f>('[1]Qc, Spring, S2'!P2*Main!$B$5)</f>
        <v>1.2271952528838397</v>
      </c>
      <c r="Q2" s="2">
        <f>('[1]Qc, Spring, S2'!Q2*Main!$B$5)</f>
        <v>-2.2218919383320976</v>
      </c>
      <c r="R2" s="2">
        <f>('[1]Qc, Spring, S2'!R2*Main!$B$5)</f>
        <v>-0.95967556091813866</v>
      </c>
      <c r="S2" s="2">
        <f>('[1]Qc, Spring, S2'!S2*Main!$B$5)</f>
        <v>1.3740027561780841</v>
      </c>
      <c r="T2" s="2">
        <f>('[1]Qc, Spring, S2'!T2*Main!$B$5)</f>
        <v>8.2996445600521759E-2</v>
      </c>
      <c r="U2" s="2">
        <f>('[1]Qc, Spring, S2'!U2*Main!$B$5)</f>
        <v>-1.777578527810683</v>
      </c>
      <c r="V2" s="2">
        <f>('[1]Qc, Spring, S2'!V2*Main!$B$5)</f>
        <v>-3.607811616671345</v>
      </c>
      <c r="W2" s="2">
        <f>('[1]Qc, Spring, S2'!W2*Main!$B$5)</f>
        <v>-3.9775616195697454</v>
      </c>
      <c r="X2" s="2">
        <f>('[1]Qc, Spring, S2'!X2*Main!$B$5)</f>
        <v>-7.6186174008548218</v>
      </c>
      <c r="Y2" s="2">
        <f>('[1]Qc, Spring, S2'!Y2*Main!$B$5)</f>
        <v>-9.6001126501653253</v>
      </c>
    </row>
    <row r="3" spans="1:25" x14ac:dyDescent="0.3">
      <c r="A3">
        <v>2</v>
      </c>
      <c r="B3" s="2">
        <f>('[1]Qc, Spring, S2'!B3*Main!$B$5)</f>
        <v>-2.4658140821401386</v>
      </c>
      <c r="C3" s="2">
        <f>('[1]Qc, Spring, S2'!C3*Main!$B$5)</f>
        <v>-0.75544078127798109</v>
      </c>
      <c r="D3" s="2">
        <f>('[1]Qc, Spring, S2'!D3*Main!$B$5)</f>
        <v>-3.1635887251573505</v>
      </c>
      <c r="E3" s="2">
        <f>('[1]Qc, Spring, S2'!E3*Main!$B$5)</f>
        <v>-4.6075891562954281</v>
      </c>
      <c r="F3" s="2">
        <f>('[1]Qc, Spring, S2'!F3*Main!$B$5)</f>
        <v>-3.3817168119599477</v>
      </c>
      <c r="G3" s="2">
        <f>('[1]Qc, Spring, S2'!G3*Main!$B$5)</f>
        <v>-5.1694993448141702</v>
      </c>
      <c r="H3" s="2">
        <f>('[1]Qc, Spring, S2'!H3*Main!$B$5)</f>
        <v>-1.7703856697502196</v>
      </c>
      <c r="I3" s="2">
        <f>('[1]Qc, Spring, S2'!I3*Main!$B$5)</f>
        <v>1.4062063696513563</v>
      </c>
      <c r="J3" s="2">
        <f>('[1]Qc, Spring, S2'!J3*Main!$B$5)</f>
        <v>0.80547783159269848</v>
      </c>
      <c r="K3" s="2">
        <f>('[1]Qc, Spring, S2'!K3*Main!$B$5)</f>
        <v>0.96825757698322501</v>
      </c>
      <c r="L3" s="2">
        <f>('[1]Qc, Spring, S2'!L3*Main!$B$5)</f>
        <v>2.5820695333087884</v>
      </c>
      <c r="M3" s="2">
        <f>('[1]Qc, Spring, S2'!M3*Main!$B$5)</f>
        <v>1.5564678180528648</v>
      </c>
      <c r="N3" s="2">
        <f>('[1]Qc, Spring, S2'!N3*Main!$B$5)</f>
        <v>2.8514518601812724</v>
      </c>
      <c r="O3" s="2">
        <f>('[1]Qc, Spring, S2'!O3*Main!$B$5)</f>
        <v>4.037557310695413</v>
      </c>
      <c r="P3" s="2">
        <f>('[1]Qc, Spring, S2'!P3*Main!$B$5)</f>
        <v>2.9037400253541645</v>
      </c>
      <c r="Q3" s="2">
        <f>('[1]Qc, Spring, S2'!Q3*Main!$B$5)</f>
        <v>3.9522527517006139</v>
      </c>
      <c r="R3" s="2">
        <f>('[1]Qc, Spring, S2'!R3*Main!$B$5)</f>
        <v>1.4900819537434091</v>
      </c>
      <c r="S3" s="2">
        <f>('[1]Qc, Spring, S2'!S3*Main!$B$5)</f>
        <v>1.3915444106226447</v>
      </c>
      <c r="T3" s="2">
        <f>('[1]Qc, Spring, S2'!T3*Main!$B$5)</f>
        <v>1.4900819537434091</v>
      </c>
      <c r="U3" s="2">
        <f>('[1]Qc, Spring, S2'!U3*Main!$B$5)</f>
        <v>1.3730387826916859</v>
      </c>
      <c r="V3" s="2">
        <f>('[1]Qc, Spring, S2'!V3*Main!$B$5)</f>
        <v>-0.70984637822782948</v>
      </c>
      <c r="W3" s="2">
        <f>('[1]Qc, Spring, S2'!W3*Main!$B$5)</f>
        <v>0.64056720331326977</v>
      </c>
      <c r="X3" s="2">
        <f>('[1]Qc, Spring, S2'!X3*Main!$B$5)</f>
        <v>-3.5502813130410895</v>
      </c>
      <c r="Y3" s="2">
        <f>('[1]Qc, Spring, S2'!Y3*Main!$B$5)</f>
        <v>-3.2021176752577794</v>
      </c>
    </row>
    <row r="4" spans="1:25" x14ac:dyDescent="0.3">
      <c r="A4">
        <v>3</v>
      </c>
      <c r="B4" s="2">
        <f>('[1]Qc, Spring, S2'!B4*Main!$B$5)</f>
        <v>11.400394320533694</v>
      </c>
      <c r="C4" s="2">
        <f>('[1]Qc, Spring, S2'!C4*Main!$B$5)</f>
        <v>9.0541298119972513</v>
      </c>
      <c r="D4" s="2">
        <f>('[1]Qc, Spring, S2'!D4*Main!$B$5)</f>
        <v>8.405729133097763</v>
      </c>
      <c r="E4" s="2">
        <f>('[1]Qc, Spring, S2'!E4*Main!$B$5)</f>
        <v>7.7645254180442587</v>
      </c>
      <c r="F4" s="2">
        <f>('[1]Qc, Spring, S2'!F4*Main!$B$5)</f>
        <v>8.2851770621258911</v>
      </c>
      <c r="G4" s="2">
        <f>('[1]Qc, Spring, S2'!G4*Main!$B$5)</f>
        <v>6.414339541760973</v>
      </c>
      <c r="H4" s="2">
        <f>('[1]Qc, Spring, S2'!H4*Main!$B$5)</f>
        <v>10.973004232732023</v>
      </c>
      <c r="I4" s="2">
        <f>('[1]Qc, Spring, S2'!I4*Main!$B$5)</f>
        <v>15.812162183993587</v>
      </c>
      <c r="J4" s="2">
        <f>('[1]Qc, Spring, S2'!J4*Main!$B$5)</f>
        <v>21.39880220654074</v>
      </c>
      <c r="K4" s="2">
        <f>('[1]Qc, Spring, S2'!K4*Main!$B$5)</f>
        <v>25.179629256657339</v>
      </c>
      <c r="L4" s="2">
        <f>('[1]Qc, Spring, S2'!L4*Main!$B$5)</f>
        <v>25.598680460505495</v>
      </c>
      <c r="M4" s="2">
        <f>('[1]Qc, Spring, S2'!M4*Main!$B$5)</f>
        <v>25.980155024945979</v>
      </c>
      <c r="N4" s="2">
        <f>('[1]Qc, Spring, S2'!N4*Main!$B$5)</f>
        <v>27.899362494019126</v>
      </c>
      <c r="O4" s="2">
        <f>('[1]Qc, Spring, S2'!O4*Main!$B$5)</f>
        <v>26.866402261183147</v>
      </c>
      <c r="P4" s="2">
        <f>('[1]Qc, Spring, S2'!P4*Main!$B$5)</f>
        <v>24.952804268933765</v>
      </c>
      <c r="Q4" s="2">
        <f>('[1]Qc, Spring, S2'!Q4*Main!$B$5)</f>
        <v>24.762566358128243</v>
      </c>
      <c r="R4" s="2">
        <f>('[1]Qc, Spring, S2'!R4*Main!$B$5)</f>
        <v>24.038839402375579</v>
      </c>
      <c r="S4" s="2">
        <f>('[1]Qc, Spring, S2'!S4*Main!$B$5)</f>
        <v>25.277411102503617</v>
      </c>
      <c r="T4" s="2">
        <f>('[1]Qc, Spring, S2'!T4*Main!$B$5)</f>
        <v>25.101859729875223</v>
      </c>
      <c r="U4" s="2">
        <f>('[1]Qc, Spring, S2'!U4*Main!$B$5)</f>
        <v>24.807032684171137</v>
      </c>
      <c r="V4" s="2">
        <f>('[1]Qc, Spring, S2'!V4*Main!$B$5)</f>
        <v>21.34523496889252</v>
      </c>
      <c r="W4" s="2">
        <f>('[1]Qc, Spring, S2'!W4*Main!$B$5)</f>
        <v>23.159548638897274</v>
      </c>
      <c r="X4" s="2">
        <f>('[1]Qc, Spring, S2'!X4*Main!$B$5)</f>
        <v>19.552440997087036</v>
      </c>
      <c r="Y4" s="2">
        <f>('[1]Qc, Spring, S2'!Y4*Main!$B$5)</f>
        <v>16.243408561990599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449A7-1C83-42B0-A3E1-8713694E41CD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-13.392615416523464</v>
      </c>
      <c r="C2" s="2">
        <f>('[1]Qc, Spring, S2'!C2*Main!$B$5)</f>
        <v>-15.779722340904147</v>
      </c>
      <c r="D2" s="2">
        <f>('[1]Qc, Spring, S2'!D2*Main!$B$5)</f>
        <v>-17.735805131880898</v>
      </c>
      <c r="E2" s="2">
        <f>('[1]Qc, Spring, S2'!E2*Main!$B$5)</f>
        <v>-16.703684742620364</v>
      </c>
      <c r="F2" s="2">
        <f>('[1]Qc, Spring, S2'!F2*Main!$B$5)</f>
        <v>-16.871625937520992</v>
      </c>
      <c r="G2" s="2">
        <f>('[1]Qc, Spring, S2'!G2*Main!$B$5)</f>
        <v>-16.587126615192563</v>
      </c>
      <c r="H2" s="2">
        <f>('[1]Qc, Spring, S2'!H2*Main!$B$5)</f>
        <v>-13.797820527245429</v>
      </c>
      <c r="I2" s="2">
        <f>('[1]Qc, Spring, S2'!I2*Main!$B$5)</f>
        <v>-3.3059727603518052</v>
      </c>
      <c r="J2" s="2">
        <f>('[1]Qc, Spring, S2'!J2*Main!$B$5)</f>
        <v>3.704741825027059</v>
      </c>
      <c r="K2" s="2">
        <f>('[1]Qc, Spring, S2'!K2*Main!$B$5)</f>
        <v>6.7634323908178002</v>
      </c>
      <c r="L2" s="2">
        <f>('[1]Qc, Spring, S2'!L2*Main!$B$5)</f>
        <v>4.4326071556181166</v>
      </c>
      <c r="M2" s="2">
        <f>('[1]Qc, Spring, S2'!M2*Main!$B$5)</f>
        <v>6.0924170463544494</v>
      </c>
      <c r="N2" s="2">
        <f>('[1]Qc, Spring, S2'!N2*Main!$B$5)</f>
        <v>5.3411233874112449</v>
      </c>
      <c r="O2" s="2">
        <f>('[1]Qc, Spring, S2'!O2*Main!$B$5)</f>
        <v>5.3398109212782217</v>
      </c>
      <c r="P2" s="2">
        <f>('[1]Qc, Spring, S2'!P2*Main!$B$5)</f>
        <v>1.2271952528838397</v>
      </c>
      <c r="Q2" s="2">
        <f>('[1]Qc, Spring, S2'!Q2*Main!$B$5)</f>
        <v>-2.2218919383320976</v>
      </c>
      <c r="R2" s="2">
        <f>('[1]Qc, Spring, S2'!R2*Main!$B$5)</f>
        <v>-0.95967556091813866</v>
      </c>
      <c r="S2" s="2">
        <f>('[1]Qc, Spring, S2'!S2*Main!$B$5)</f>
        <v>1.3740027561780841</v>
      </c>
      <c r="T2" s="2">
        <f>('[1]Qc, Spring, S2'!T2*Main!$B$5)</f>
        <v>8.2996445600521759E-2</v>
      </c>
      <c r="U2" s="2">
        <f>('[1]Qc, Spring, S2'!U2*Main!$B$5)</f>
        <v>-1.777578527810683</v>
      </c>
      <c r="V2" s="2">
        <f>('[1]Qc, Spring, S2'!V2*Main!$B$5)</f>
        <v>-3.607811616671345</v>
      </c>
      <c r="W2" s="2">
        <f>('[1]Qc, Spring, S2'!W2*Main!$B$5)</f>
        <v>-3.9775616195697454</v>
      </c>
      <c r="X2" s="2">
        <f>('[1]Qc, Spring, S2'!X2*Main!$B$5)</f>
        <v>-7.6186174008548218</v>
      </c>
      <c r="Y2" s="2">
        <f>('[1]Qc, Spring, S2'!Y2*Main!$B$5)</f>
        <v>-9.6001126501653253</v>
      </c>
    </row>
    <row r="3" spans="1:25" x14ac:dyDescent="0.3">
      <c r="A3">
        <v>2</v>
      </c>
      <c r="B3" s="2">
        <f>('[1]Qc, Spring, S2'!B3*Main!$B$5)</f>
        <v>-2.4658140821401386</v>
      </c>
      <c r="C3" s="2">
        <f>('[1]Qc, Spring, S2'!C3*Main!$B$5)</f>
        <v>-0.75544078127798109</v>
      </c>
      <c r="D3" s="2">
        <f>('[1]Qc, Spring, S2'!D3*Main!$B$5)</f>
        <v>-3.1635887251573505</v>
      </c>
      <c r="E3" s="2">
        <f>('[1]Qc, Spring, S2'!E3*Main!$B$5)</f>
        <v>-4.6075891562954281</v>
      </c>
      <c r="F3" s="2">
        <f>('[1]Qc, Spring, S2'!F3*Main!$B$5)</f>
        <v>-3.3817168119599477</v>
      </c>
      <c r="G3" s="2">
        <f>('[1]Qc, Spring, S2'!G3*Main!$B$5)</f>
        <v>-5.1694993448141702</v>
      </c>
      <c r="H3" s="2">
        <f>('[1]Qc, Spring, S2'!H3*Main!$B$5)</f>
        <v>-1.7703856697502196</v>
      </c>
      <c r="I3" s="2">
        <f>('[1]Qc, Spring, S2'!I3*Main!$B$5)</f>
        <v>1.4062063696513563</v>
      </c>
      <c r="J3" s="2">
        <f>('[1]Qc, Spring, S2'!J3*Main!$B$5)</f>
        <v>0.80547783159269848</v>
      </c>
      <c r="K3" s="2">
        <f>('[1]Qc, Spring, S2'!K3*Main!$B$5)</f>
        <v>0.96825757698322501</v>
      </c>
      <c r="L3" s="2">
        <f>('[1]Qc, Spring, S2'!L3*Main!$B$5)</f>
        <v>2.5820695333087884</v>
      </c>
      <c r="M3" s="2">
        <f>('[1]Qc, Spring, S2'!M3*Main!$B$5)</f>
        <v>1.5564678180528648</v>
      </c>
      <c r="N3" s="2">
        <f>('[1]Qc, Spring, S2'!N3*Main!$B$5)</f>
        <v>2.8514518601812724</v>
      </c>
      <c r="O3" s="2">
        <f>('[1]Qc, Spring, S2'!O3*Main!$B$5)</f>
        <v>4.037557310695413</v>
      </c>
      <c r="P3" s="2">
        <f>('[1]Qc, Spring, S2'!P3*Main!$B$5)</f>
        <v>2.9037400253541645</v>
      </c>
      <c r="Q3" s="2">
        <f>('[1]Qc, Spring, S2'!Q3*Main!$B$5)</f>
        <v>3.9522527517006139</v>
      </c>
      <c r="R3" s="2">
        <f>('[1]Qc, Spring, S2'!R3*Main!$B$5)</f>
        <v>1.4900819537434091</v>
      </c>
      <c r="S3" s="2">
        <f>('[1]Qc, Spring, S2'!S3*Main!$B$5)</f>
        <v>1.3915444106226447</v>
      </c>
      <c r="T3" s="2">
        <f>('[1]Qc, Spring, S2'!T3*Main!$B$5)</f>
        <v>1.4900819537434091</v>
      </c>
      <c r="U3" s="2">
        <f>('[1]Qc, Spring, S2'!U3*Main!$B$5)</f>
        <v>1.3730387826916859</v>
      </c>
      <c r="V3" s="2">
        <f>('[1]Qc, Spring, S2'!V3*Main!$B$5)</f>
        <v>-0.70984637822782948</v>
      </c>
      <c r="W3" s="2">
        <f>('[1]Qc, Spring, S2'!W3*Main!$B$5)</f>
        <v>0.64056720331326977</v>
      </c>
      <c r="X3" s="2">
        <f>('[1]Qc, Spring, S2'!X3*Main!$B$5)</f>
        <v>-3.5502813130410895</v>
      </c>
      <c r="Y3" s="2">
        <f>('[1]Qc, Spring, S2'!Y3*Main!$B$5)</f>
        <v>-3.2021176752577794</v>
      </c>
    </row>
    <row r="4" spans="1:25" x14ac:dyDescent="0.3">
      <c r="A4">
        <v>3</v>
      </c>
      <c r="B4" s="2">
        <f>('[1]Qc, Spring, S2'!B4*Main!$B$5)</f>
        <v>11.400394320533694</v>
      </c>
      <c r="C4" s="2">
        <f>('[1]Qc, Spring, S2'!C4*Main!$B$5)</f>
        <v>9.0541298119972513</v>
      </c>
      <c r="D4" s="2">
        <f>('[1]Qc, Spring, S2'!D4*Main!$B$5)</f>
        <v>8.405729133097763</v>
      </c>
      <c r="E4" s="2">
        <f>('[1]Qc, Spring, S2'!E4*Main!$B$5)</f>
        <v>7.7645254180442587</v>
      </c>
      <c r="F4" s="2">
        <f>('[1]Qc, Spring, S2'!F4*Main!$B$5)</f>
        <v>8.2851770621258911</v>
      </c>
      <c r="G4" s="2">
        <f>('[1]Qc, Spring, S2'!G4*Main!$B$5)</f>
        <v>6.414339541760973</v>
      </c>
      <c r="H4" s="2">
        <f>('[1]Qc, Spring, S2'!H4*Main!$B$5)</f>
        <v>10.973004232732023</v>
      </c>
      <c r="I4" s="2">
        <f>('[1]Qc, Spring, S2'!I4*Main!$B$5)</f>
        <v>15.812162183993587</v>
      </c>
      <c r="J4" s="2">
        <f>('[1]Qc, Spring, S2'!J4*Main!$B$5)</f>
        <v>21.39880220654074</v>
      </c>
      <c r="K4" s="2">
        <f>('[1]Qc, Spring, S2'!K4*Main!$B$5)</f>
        <v>25.179629256657339</v>
      </c>
      <c r="L4" s="2">
        <f>('[1]Qc, Spring, S2'!L4*Main!$B$5)</f>
        <v>25.598680460505495</v>
      </c>
      <c r="M4" s="2">
        <f>('[1]Qc, Spring, S2'!M4*Main!$B$5)</f>
        <v>25.980155024945979</v>
      </c>
      <c r="N4" s="2">
        <f>('[1]Qc, Spring, S2'!N4*Main!$B$5)</f>
        <v>27.899362494019126</v>
      </c>
      <c r="O4" s="2">
        <f>('[1]Qc, Spring, S2'!O4*Main!$B$5)</f>
        <v>26.866402261183147</v>
      </c>
      <c r="P4" s="2">
        <f>('[1]Qc, Spring, S2'!P4*Main!$B$5)</f>
        <v>24.952804268933765</v>
      </c>
      <c r="Q4" s="2">
        <f>('[1]Qc, Spring, S2'!Q4*Main!$B$5)</f>
        <v>24.762566358128243</v>
      </c>
      <c r="R4" s="2">
        <f>('[1]Qc, Spring, S2'!R4*Main!$B$5)</f>
        <v>24.038839402375579</v>
      </c>
      <c r="S4" s="2">
        <f>('[1]Qc, Spring, S2'!S4*Main!$B$5)</f>
        <v>25.277411102503617</v>
      </c>
      <c r="T4" s="2">
        <f>('[1]Qc, Spring, S2'!T4*Main!$B$5)</f>
        <v>25.101859729875223</v>
      </c>
      <c r="U4" s="2">
        <f>('[1]Qc, Spring, S2'!U4*Main!$B$5)</f>
        <v>24.807032684171137</v>
      </c>
      <c r="V4" s="2">
        <f>('[1]Qc, Spring, S2'!V4*Main!$B$5)</f>
        <v>21.34523496889252</v>
      </c>
      <c r="W4" s="2">
        <f>('[1]Qc, Spring, S2'!W4*Main!$B$5)</f>
        <v>23.159548638897274</v>
      </c>
      <c r="X4" s="2">
        <f>('[1]Qc, Spring, S2'!X4*Main!$B$5)</f>
        <v>19.552440997087036</v>
      </c>
      <c r="Y4" s="2">
        <f>('[1]Qc, Spring, S2'!Y4*Main!$B$5)</f>
        <v>16.243408561990599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270E4-9B43-4938-B307-FF5A33680FEB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-12.742488454556305</v>
      </c>
      <c r="C2" s="2">
        <f>('[1]Qc, Spring, S3'!C2*Main!$B$5)</f>
        <v>-15.013716402025306</v>
      </c>
      <c r="D2" s="2">
        <f>('[1]Qc, Spring, S3'!D2*Main!$B$5)</f>
        <v>-16.874843717711922</v>
      </c>
      <c r="E2" s="2">
        <f>('[1]Qc, Spring, S3'!E2*Main!$B$5)</f>
        <v>-15.89282625996889</v>
      </c>
      <c r="F2" s="2">
        <f>('[1]Qc, Spring, S3'!F2*Main!$B$5)</f>
        <v>-16.052614969680167</v>
      </c>
      <c r="G2" s="2">
        <f>('[1]Qc, Spring, S3'!G2*Main!$B$5)</f>
        <v>-15.781926294066707</v>
      </c>
      <c r="H2" s="2">
        <f>('[1]Qc, Spring, S3'!H2*Main!$B$5)</f>
        <v>-13.128023414272349</v>
      </c>
      <c r="I2" s="2">
        <f>('[1]Qc, Spring, S3'!I2*Main!$B$5)</f>
        <v>-3.14548864577162</v>
      </c>
      <c r="J2" s="2">
        <f>('[1]Qc, Spring, S3'!J2*Main!$B$5)</f>
        <v>3.5248999888606973</v>
      </c>
      <c r="K2" s="2">
        <f>('[1]Qc, Spring, S3'!K2*Main!$B$5)</f>
        <v>6.4351104300984892</v>
      </c>
      <c r="L2" s="2">
        <f>('[1]Qc, Spring, S3'!L2*Main!$B$5)</f>
        <v>4.21743205097646</v>
      </c>
      <c r="M2" s="2">
        <f>('[1]Qc, Spring, S3'!M2*Main!$B$5)</f>
        <v>5.7966686460459789</v>
      </c>
      <c r="N2" s="2">
        <f>('[1]Qc, Spring, S3'!N2*Main!$B$5)</f>
        <v>5.0818455530708926</v>
      </c>
      <c r="O2" s="2">
        <f>('[1]Qc, Spring, S3'!O2*Main!$B$5)</f>
        <v>5.0805967988860754</v>
      </c>
      <c r="P2" s="2">
        <f>('[1]Qc, Spring, S3'!P2*Main!$B$5)</f>
        <v>1.1676226677923909</v>
      </c>
      <c r="Q2" s="2">
        <f>('[1]Qc, Spring, S3'!Q2*Main!$B$5)</f>
        <v>-2.1140331063742286</v>
      </c>
      <c r="R2" s="2">
        <f>('[1]Qc, Spring, S3'!R2*Main!$B$5)</f>
        <v>-0.91308936864055901</v>
      </c>
      <c r="S2" s="2">
        <f>('[1]Qc, Spring, S3'!S2*Main!$B$5)</f>
        <v>1.307303593256818</v>
      </c>
      <c r="T2" s="2">
        <f>('[1]Qc, Spring, S3'!T2*Main!$B$5)</f>
        <v>7.8967491930593506E-2</v>
      </c>
      <c r="U2" s="2">
        <f>('[1]Qc, Spring, S3'!U2*Main!$B$5)</f>
        <v>-1.6912883080140479</v>
      </c>
      <c r="V2" s="2">
        <f>('[1]Qc, Spring, S3'!V2*Main!$B$5)</f>
        <v>-3.4326751304251628</v>
      </c>
      <c r="W2" s="2">
        <f>('[1]Qc, Spring, S3'!W2*Main!$B$5)</f>
        <v>-3.784476104056651</v>
      </c>
      <c r="X2" s="2">
        <f>('[1]Qc, Spring, S3'!X2*Main!$B$5)</f>
        <v>-7.2487816046968199</v>
      </c>
      <c r="Y2" s="2">
        <f>('[1]Qc, Spring, S3'!Y2*Main!$B$5)</f>
        <v>-9.1340877642349696</v>
      </c>
    </row>
    <row r="3" spans="1:25" x14ac:dyDescent="0.3">
      <c r="A3">
        <v>2</v>
      </c>
      <c r="B3" s="2">
        <f>('[1]Qc, Spring, S3'!B3*Main!$B$5)</f>
        <v>-2.3461143694148889</v>
      </c>
      <c r="C3" s="2">
        <f>('[1]Qc, Spring, S3'!C3*Main!$B$5)</f>
        <v>-0.71876889869167127</v>
      </c>
      <c r="D3" s="2">
        <f>('[1]Qc, Spring, S3'!D3*Main!$B$5)</f>
        <v>-3.0100164569458285</v>
      </c>
      <c r="E3" s="2">
        <f>('[1]Qc, Spring, S3'!E3*Main!$B$5)</f>
        <v>-4.3839197797762317</v>
      </c>
      <c r="F3" s="2">
        <f>('[1]Qc, Spring, S3'!F3*Main!$B$5)</f>
        <v>-3.2175558016706298</v>
      </c>
      <c r="G3" s="2">
        <f>('[1]Qc, Spring, S3'!G3*Main!$B$5)</f>
        <v>-4.9185527746775595</v>
      </c>
      <c r="H3" s="2">
        <f>('[1]Qc, Spring, S3'!H3*Main!$B$5)</f>
        <v>-1.6844446178205974</v>
      </c>
      <c r="I3" s="2">
        <f>('[1]Qc, Spring, S3'!I3*Main!$B$5)</f>
        <v>1.3379439245226497</v>
      </c>
      <c r="J3" s="2">
        <f>('[1]Qc, Spring, S3'!J3*Main!$B$5)</f>
        <v>0.76637696598140248</v>
      </c>
      <c r="K3" s="2">
        <f>('[1]Qc, Spring, S3'!K3*Main!$B$5)</f>
        <v>0.92125478198403921</v>
      </c>
      <c r="L3" s="2">
        <f>('[1]Qc, Spring, S3'!L3*Main!$B$5)</f>
        <v>2.456726352080207</v>
      </c>
      <c r="M3" s="2">
        <f>('[1]Qc, Spring, S3'!M3*Main!$B$5)</f>
        <v>1.4809111278561238</v>
      </c>
      <c r="N3" s="2">
        <f>('[1]Qc, Spring, S3'!N3*Main!$B$5)</f>
        <v>2.7130318669685893</v>
      </c>
      <c r="O3" s="2">
        <f>('[1]Qc, Spring, S3'!O3*Main!$B$5)</f>
        <v>3.8415593829917527</v>
      </c>
      <c r="P3" s="2">
        <f>('[1]Qc, Spring, S3'!P3*Main!$B$5)</f>
        <v>2.7627817716961949</v>
      </c>
      <c r="Q3" s="2">
        <f>('[1]Qc, Spring, S3'!Q3*Main!$B$5)</f>
        <v>3.7603958220064087</v>
      </c>
      <c r="R3" s="2">
        <f>('[1]Qc, Spring, S3'!R3*Main!$B$5)</f>
        <v>1.4177478783189719</v>
      </c>
      <c r="S3" s="2">
        <f>('[1]Qc, Spring, S3'!S3*Main!$B$5)</f>
        <v>1.3239937110778564</v>
      </c>
      <c r="T3" s="2">
        <f>('[1]Qc, Spring, S3'!T3*Main!$B$5)</f>
        <v>1.4177478783189719</v>
      </c>
      <c r="U3" s="2">
        <f>('[1]Qc, Spring, S3'!U3*Main!$B$5)</f>
        <v>1.3063864145998567</v>
      </c>
      <c r="V3" s="2">
        <f>('[1]Qc, Spring, S3'!V3*Main!$B$5)</f>
        <v>-0.67538781617793475</v>
      </c>
      <c r="W3" s="2">
        <f>('[1]Qc, Spring, S3'!W3*Main!$B$5)</f>
        <v>0.60947170800680039</v>
      </c>
      <c r="X3" s="2">
        <f>('[1]Qc, Spring, S3'!X3*Main!$B$5)</f>
        <v>-3.3779375599808419</v>
      </c>
      <c r="Y3" s="2">
        <f>('[1]Qc, Spring, S3'!Y3*Main!$B$5)</f>
        <v>-3.0466750696627414</v>
      </c>
    </row>
    <row r="4" spans="1:25" x14ac:dyDescent="0.3">
      <c r="A4">
        <v>3</v>
      </c>
      <c r="B4" s="2">
        <f>('[1]Qc, Spring, S3'!B4*Main!$B$5)</f>
        <v>10.846977120507784</v>
      </c>
      <c r="C4" s="2">
        <f>('[1]Qc, Spring, S3'!C4*Main!$B$5)</f>
        <v>8.6146089473371887</v>
      </c>
      <c r="D4" s="2">
        <f>('[1]Qc, Spring, S3'!D4*Main!$B$5)</f>
        <v>7.9976840295493279</v>
      </c>
      <c r="E4" s="2">
        <f>('[1]Qc, Spring, S3'!E4*Main!$B$5)</f>
        <v>7.3876067084304591</v>
      </c>
      <c r="F4" s="2">
        <f>('[1]Qc, Spring, S3'!F4*Main!$B$5)</f>
        <v>7.8829840008576442</v>
      </c>
      <c r="G4" s="2">
        <f>('[1]Qc, Spring, S3'!G4*Main!$B$5)</f>
        <v>6.1029638358502458</v>
      </c>
      <c r="H4" s="2">
        <f>('[1]Qc, Spring, S3'!H4*Main!$B$5)</f>
        <v>10.440334124346974</v>
      </c>
      <c r="I4" s="2">
        <f>('[1]Qc, Spring, S3'!I4*Main!$B$5)</f>
        <v>15.044581495450212</v>
      </c>
      <c r="J4" s="2">
        <f>('[1]Qc, Spring, S3'!J4*Main!$B$5)</f>
        <v>20.360025400397983</v>
      </c>
      <c r="K4" s="2">
        <f>('[1]Qc, Spring, S3'!K4*Main!$B$5)</f>
        <v>23.957317156819602</v>
      </c>
      <c r="L4" s="2">
        <f>('[1]Qc, Spring, S3'!L4*Main!$B$5)</f>
        <v>24.356026069218821</v>
      </c>
      <c r="M4" s="2">
        <f>('[1]Qc, Spring, S3'!M4*Main!$B$5)</f>
        <v>24.718982450919476</v>
      </c>
      <c r="N4" s="2">
        <f>('[1]Qc, Spring, S3'!N4*Main!$B$5)</f>
        <v>26.545024508872562</v>
      </c>
      <c r="O4" s="2">
        <f>('[1]Qc, Spring, S3'!O4*Main!$B$5)</f>
        <v>25.562207976659693</v>
      </c>
      <c r="P4" s="2">
        <f>('[1]Qc, Spring, S3'!P4*Main!$B$5)</f>
        <v>23.741503090830182</v>
      </c>
      <c r="Q4" s="2">
        <f>('[1]Qc, Spring, S3'!Q4*Main!$B$5)</f>
        <v>23.560500030063768</v>
      </c>
      <c r="R4" s="2">
        <f>('[1]Qc, Spring, S3'!R4*Main!$B$5)</f>
        <v>22.871905450803954</v>
      </c>
      <c r="S4" s="2">
        <f>('[1]Qc, Spring, S3'!S4*Main!$B$5)</f>
        <v>24.050352311119951</v>
      </c>
      <c r="T4" s="2">
        <f>('[1]Qc, Spring, S3'!T4*Main!$B$5)</f>
        <v>23.883322849784189</v>
      </c>
      <c r="U4" s="2">
        <f>('[1]Qc, Spring, S3'!U4*Main!$B$5)</f>
        <v>23.602807796590014</v>
      </c>
      <c r="V4" s="2">
        <f>('[1]Qc, Spring, S3'!V4*Main!$B$5)</f>
        <v>20.309058514091916</v>
      </c>
      <c r="W4" s="2">
        <f>('[1]Qc, Spring, S3'!W4*Main!$B$5)</f>
        <v>22.035298704970224</v>
      </c>
      <c r="X4" s="2">
        <f>('[1]Qc, Spring, S3'!X4*Main!$B$5)</f>
        <v>18.603293375869217</v>
      </c>
      <c r="Y4" s="2">
        <f>('[1]Qc, Spring, S3'!Y4*Main!$B$5)</f>
        <v>15.45489358325319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855EC-B3D7-4687-8F9B-F40946549B6E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-12.742488454556305</v>
      </c>
      <c r="C2" s="2">
        <f>('[1]Qc, Spring, S3'!C2*Main!$B$5)</f>
        <v>-15.013716402025306</v>
      </c>
      <c r="D2" s="2">
        <f>('[1]Qc, Spring, S3'!D2*Main!$B$5)</f>
        <v>-16.874843717711922</v>
      </c>
      <c r="E2" s="2">
        <f>('[1]Qc, Spring, S3'!E2*Main!$B$5)</f>
        <v>-15.89282625996889</v>
      </c>
      <c r="F2" s="2">
        <f>('[1]Qc, Spring, S3'!F2*Main!$B$5)</f>
        <v>-16.052614969680167</v>
      </c>
      <c r="G2" s="2">
        <f>('[1]Qc, Spring, S3'!G2*Main!$B$5)</f>
        <v>-15.781926294066707</v>
      </c>
      <c r="H2" s="2">
        <f>('[1]Qc, Spring, S3'!H2*Main!$B$5)</f>
        <v>-13.128023414272349</v>
      </c>
      <c r="I2" s="2">
        <f>('[1]Qc, Spring, S3'!I2*Main!$B$5)</f>
        <v>-3.14548864577162</v>
      </c>
      <c r="J2" s="2">
        <f>('[1]Qc, Spring, S3'!J2*Main!$B$5)</f>
        <v>3.5248999888606973</v>
      </c>
      <c r="K2" s="2">
        <f>('[1]Qc, Spring, S3'!K2*Main!$B$5)</f>
        <v>6.4351104300984892</v>
      </c>
      <c r="L2" s="2">
        <f>('[1]Qc, Spring, S3'!L2*Main!$B$5)</f>
        <v>4.21743205097646</v>
      </c>
      <c r="M2" s="2">
        <f>('[1]Qc, Spring, S3'!M2*Main!$B$5)</f>
        <v>5.7966686460459789</v>
      </c>
      <c r="N2" s="2">
        <f>('[1]Qc, Spring, S3'!N2*Main!$B$5)</f>
        <v>5.0818455530708926</v>
      </c>
      <c r="O2" s="2">
        <f>('[1]Qc, Spring, S3'!O2*Main!$B$5)</f>
        <v>5.0805967988860754</v>
      </c>
      <c r="P2" s="2">
        <f>('[1]Qc, Spring, S3'!P2*Main!$B$5)</f>
        <v>1.1676226677923909</v>
      </c>
      <c r="Q2" s="2">
        <f>('[1]Qc, Spring, S3'!Q2*Main!$B$5)</f>
        <v>-2.1140331063742286</v>
      </c>
      <c r="R2" s="2">
        <f>('[1]Qc, Spring, S3'!R2*Main!$B$5)</f>
        <v>-0.91308936864055901</v>
      </c>
      <c r="S2" s="2">
        <f>('[1]Qc, Spring, S3'!S2*Main!$B$5)</f>
        <v>1.307303593256818</v>
      </c>
      <c r="T2" s="2">
        <f>('[1]Qc, Spring, S3'!T2*Main!$B$5)</f>
        <v>7.8967491930593506E-2</v>
      </c>
      <c r="U2" s="2">
        <f>('[1]Qc, Spring, S3'!U2*Main!$B$5)</f>
        <v>-1.6912883080140479</v>
      </c>
      <c r="V2" s="2">
        <f>('[1]Qc, Spring, S3'!V2*Main!$B$5)</f>
        <v>-3.4326751304251628</v>
      </c>
      <c r="W2" s="2">
        <f>('[1]Qc, Spring, S3'!W2*Main!$B$5)</f>
        <v>-3.784476104056651</v>
      </c>
      <c r="X2" s="2">
        <f>('[1]Qc, Spring, S3'!X2*Main!$B$5)</f>
        <v>-7.2487816046968199</v>
      </c>
      <c r="Y2" s="2">
        <f>('[1]Qc, Spring, S3'!Y2*Main!$B$5)</f>
        <v>-9.1340877642349696</v>
      </c>
    </row>
    <row r="3" spans="1:25" x14ac:dyDescent="0.3">
      <c r="A3">
        <v>2</v>
      </c>
      <c r="B3" s="2">
        <f>('[1]Qc, Spring, S3'!B3*Main!$B$5)</f>
        <v>-2.3461143694148889</v>
      </c>
      <c r="C3" s="2">
        <f>('[1]Qc, Spring, S3'!C3*Main!$B$5)</f>
        <v>-0.71876889869167127</v>
      </c>
      <c r="D3" s="2">
        <f>('[1]Qc, Spring, S3'!D3*Main!$B$5)</f>
        <v>-3.0100164569458285</v>
      </c>
      <c r="E3" s="2">
        <f>('[1]Qc, Spring, S3'!E3*Main!$B$5)</f>
        <v>-4.3839197797762317</v>
      </c>
      <c r="F3" s="2">
        <f>('[1]Qc, Spring, S3'!F3*Main!$B$5)</f>
        <v>-3.2175558016706298</v>
      </c>
      <c r="G3" s="2">
        <f>('[1]Qc, Spring, S3'!G3*Main!$B$5)</f>
        <v>-4.9185527746775595</v>
      </c>
      <c r="H3" s="2">
        <f>('[1]Qc, Spring, S3'!H3*Main!$B$5)</f>
        <v>-1.6844446178205974</v>
      </c>
      <c r="I3" s="2">
        <f>('[1]Qc, Spring, S3'!I3*Main!$B$5)</f>
        <v>1.3379439245226497</v>
      </c>
      <c r="J3" s="2">
        <f>('[1]Qc, Spring, S3'!J3*Main!$B$5)</f>
        <v>0.76637696598140248</v>
      </c>
      <c r="K3" s="2">
        <f>('[1]Qc, Spring, S3'!K3*Main!$B$5)</f>
        <v>0.92125478198403921</v>
      </c>
      <c r="L3" s="2">
        <f>('[1]Qc, Spring, S3'!L3*Main!$B$5)</f>
        <v>2.456726352080207</v>
      </c>
      <c r="M3" s="2">
        <f>('[1]Qc, Spring, S3'!M3*Main!$B$5)</f>
        <v>1.4809111278561238</v>
      </c>
      <c r="N3" s="2">
        <f>('[1]Qc, Spring, S3'!N3*Main!$B$5)</f>
        <v>2.7130318669685893</v>
      </c>
      <c r="O3" s="2">
        <f>('[1]Qc, Spring, S3'!O3*Main!$B$5)</f>
        <v>3.8415593829917527</v>
      </c>
      <c r="P3" s="2">
        <f>('[1]Qc, Spring, S3'!P3*Main!$B$5)</f>
        <v>2.7627817716961949</v>
      </c>
      <c r="Q3" s="2">
        <f>('[1]Qc, Spring, S3'!Q3*Main!$B$5)</f>
        <v>3.7603958220064087</v>
      </c>
      <c r="R3" s="2">
        <f>('[1]Qc, Spring, S3'!R3*Main!$B$5)</f>
        <v>1.4177478783189719</v>
      </c>
      <c r="S3" s="2">
        <f>('[1]Qc, Spring, S3'!S3*Main!$B$5)</f>
        <v>1.3239937110778564</v>
      </c>
      <c r="T3" s="2">
        <f>('[1]Qc, Spring, S3'!T3*Main!$B$5)</f>
        <v>1.4177478783189719</v>
      </c>
      <c r="U3" s="2">
        <f>('[1]Qc, Spring, S3'!U3*Main!$B$5)</f>
        <v>1.3063864145998567</v>
      </c>
      <c r="V3" s="2">
        <f>('[1]Qc, Spring, S3'!V3*Main!$B$5)</f>
        <v>-0.67538781617793475</v>
      </c>
      <c r="W3" s="2">
        <f>('[1]Qc, Spring, S3'!W3*Main!$B$5)</f>
        <v>0.60947170800680039</v>
      </c>
      <c r="X3" s="2">
        <f>('[1]Qc, Spring, S3'!X3*Main!$B$5)</f>
        <v>-3.3779375599808419</v>
      </c>
      <c r="Y3" s="2">
        <f>('[1]Qc, Spring, S3'!Y3*Main!$B$5)</f>
        <v>-3.0466750696627414</v>
      </c>
    </row>
    <row r="4" spans="1:25" x14ac:dyDescent="0.3">
      <c r="A4">
        <v>3</v>
      </c>
      <c r="B4" s="2">
        <f>('[1]Qc, Spring, S3'!B4*Main!$B$5)</f>
        <v>10.846977120507784</v>
      </c>
      <c r="C4" s="2">
        <f>('[1]Qc, Spring, S3'!C4*Main!$B$5)</f>
        <v>8.6146089473371887</v>
      </c>
      <c r="D4" s="2">
        <f>('[1]Qc, Spring, S3'!D4*Main!$B$5)</f>
        <v>7.9976840295493279</v>
      </c>
      <c r="E4" s="2">
        <f>('[1]Qc, Spring, S3'!E4*Main!$B$5)</f>
        <v>7.3876067084304591</v>
      </c>
      <c r="F4" s="2">
        <f>('[1]Qc, Spring, S3'!F4*Main!$B$5)</f>
        <v>7.8829840008576442</v>
      </c>
      <c r="G4" s="2">
        <f>('[1]Qc, Spring, S3'!G4*Main!$B$5)</f>
        <v>6.1029638358502458</v>
      </c>
      <c r="H4" s="2">
        <f>('[1]Qc, Spring, S3'!H4*Main!$B$5)</f>
        <v>10.440334124346974</v>
      </c>
      <c r="I4" s="2">
        <f>('[1]Qc, Spring, S3'!I4*Main!$B$5)</f>
        <v>15.044581495450212</v>
      </c>
      <c r="J4" s="2">
        <f>('[1]Qc, Spring, S3'!J4*Main!$B$5)</f>
        <v>20.360025400397983</v>
      </c>
      <c r="K4" s="2">
        <f>('[1]Qc, Spring, S3'!K4*Main!$B$5)</f>
        <v>23.957317156819602</v>
      </c>
      <c r="L4" s="2">
        <f>('[1]Qc, Spring, S3'!L4*Main!$B$5)</f>
        <v>24.356026069218821</v>
      </c>
      <c r="M4" s="2">
        <f>('[1]Qc, Spring, S3'!M4*Main!$B$5)</f>
        <v>24.718982450919476</v>
      </c>
      <c r="N4" s="2">
        <f>('[1]Qc, Spring, S3'!N4*Main!$B$5)</f>
        <v>26.545024508872562</v>
      </c>
      <c r="O4" s="2">
        <f>('[1]Qc, Spring, S3'!O4*Main!$B$5)</f>
        <v>25.562207976659693</v>
      </c>
      <c r="P4" s="2">
        <f>('[1]Qc, Spring, S3'!P4*Main!$B$5)</f>
        <v>23.741503090830182</v>
      </c>
      <c r="Q4" s="2">
        <f>('[1]Qc, Spring, S3'!Q4*Main!$B$5)</f>
        <v>23.560500030063768</v>
      </c>
      <c r="R4" s="2">
        <f>('[1]Qc, Spring, S3'!R4*Main!$B$5)</f>
        <v>22.871905450803954</v>
      </c>
      <c r="S4" s="2">
        <f>('[1]Qc, Spring, S3'!S4*Main!$B$5)</f>
        <v>24.050352311119951</v>
      </c>
      <c r="T4" s="2">
        <f>('[1]Qc, Spring, S3'!T4*Main!$B$5)</f>
        <v>23.883322849784189</v>
      </c>
      <c r="U4" s="2">
        <f>('[1]Qc, Spring, S3'!U4*Main!$B$5)</f>
        <v>23.602807796590014</v>
      </c>
      <c r="V4" s="2">
        <f>('[1]Qc, Spring, S3'!V4*Main!$B$5)</f>
        <v>20.309058514091916</v>
      </c>
      <c r="W4" s="2">
        <f>('[1]Qc, Spring, S3'!W4*Main!$B$5)</f>
        <v>22.035298704970224</v>
      </c>
      <c r="X4" s="2">
        <f>('[1]Qc, Spring, S3'!X4*Main!$B$5)</f>
        <v>18.603293375869217</v>
      </c>
      <c r="Y4" s="2">
        <f>('[1]Qc, Spring, S3'!Y4*Main!$B$5)</f>
        <v>15.45489358325319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ED014-69BC-498C-8ED1-58EA159F995E}">
  <dimension ref="A1:Y10"/>
  <sheetViews>
    <sheetView workbookViewId="0">
      <selection activeCell="T53" sqref="T5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-12.742488454556305</v>
      </c>
      <c r="C2" s="2">
        <f>('[1]Qc, Spring, S3'!C2*Main!$B$5)</f>
        <v>-15.013716402025306</v>
      </c>
      <c r="D2" s="2">
        <f>('[1]Qc, Spring, S3'!D2*Main!$B$5)</f>
        <v>-16.874843717711922</v>
      </c>
      <c r="E2" s="2">
        <f>('[1]Qc, Spring, S3'!E2*Main!$B$5)</f>
        <v>-15.89282625996889</v>
      </c>
      <c r="F2" s="2">
        <f>('[1]Qc, Spring, S3'!F2*Main!$B$5)</f>
        <v>-16.052614969680167</v>
      </c>
      <c r="G2" s="2">
        <f>('[1]Qc, Spring, S3'!G2*Main!$B$5)</f>
        <v>-15.781926294066707</v>
      </c>
      <c r="H2" s="2">
        <f>('[1]Qc, Spring, S3'!H2*Main!$B$5)</f>
        <v>-13.128023414272349</v>
      </c>
      <c r="I2" s="2">
        <f>('[1]Qc, Spring, S3'!I2*Main!$B$5)</f>
        <v>-3.14548864577162</v>
      </c>
      <c r="J2" s="2">
        <f>('[1]Qc, Spring, S3'!J2*Main!$B$5)</f>
        <v>3.5248999888606973</v>
      </c>
      <c r="K2" s="2">
        <f>('[1]Qc, Spring, S3'!K2*Main!$B$5)</f>
        <v>6.4351104300984892</v>
      </c>
      <c r="L2" s="2">
        <f>('[1]Qc, Spring, S3'!L2*Main!$B$5)</f>
        <v>4.21743205097646</v>
      </c>
      <c r="M2" s="2">
        <f>('[1]Qc, Spring, S3'!M2*Main!$B$5)</f>
        <v>5.7966686460459789</v>
      </c>
      <c r="N2" s="2">
        <f>('[1]Qc, Spring, S3'!N2*Main!$B$5)</f>
        <v>5.0818455530708926</v>
      </c>
      <c r="O2" s="2">
        <f>('[1]Qc, Spring, S3'!O2*Main!$B$5)</f>
        <v>5.0805967988860754</v>
      </c>
      <c r="P2" s="2">
        <f>('[1]Qc, Spring, S3'!P2*Main!$B$5)</f>
        <v>1.1676226677923909</v>
      </c>
      <c r="Q2" s="2">
        <f>('[1]Qc, Spring, S3'!Q2*Main!$B$5)</f>
        <v>-2.1140331063742286</v>
      </c>
      <c r="R2" s="2">
        <f>('[1]Qc, Spring, S3'!R2*Main!$B$5)</f>
        <v>-0.91308936864055901</v>
      </c>
      <c r="S2" s="2">
        <f>('[1]Qc, Spring, S3'!S2*Main!$B$5)</f>
        <v>1.307303593256818</v>
      </c>
      <c r="T2" s="2">
        <f>('[1]Qc, Spring, S3'!T2*Main!$B$5)</f>
        <v>7.8967491930593506E-2</v>
      </c>
      <c r="U2" s="2">
        <f>('[1]Qc, Spring, S3'!U2*Main!$B$5)</f>
        <v>-1.6912883080140479</v>
      </c>
      <c r="V2" s="2">
        <f>('[1]Qc, Spring, S3'!V2*Main!$B$5)</f>
        <v>-3.4326751304251628</v>
      </c>
      <c r="W2" s="2">
        <f>('[1]Qc, Spring, S3'!W2*Main!$B$5)</f>
        <v>-3.784476104056651</v>
      </c>
      <c r="X2" s="2">
        <f>('[1]Qc, Spring, S3'!X2*Main!$B$5)</f>
        <v>-7.2487816046968199</v>
      </c>
      <c r="Y2" s="2">
        <f>('[1]Qc, Spring, S3'!Y2*Main!$B$5)</f>
        <v>-9.1340877642349696</v>
      </c>
    </row>
    <row r="3" spans="1:25" x14ac:dyDescent="0.3">
      <c r="A3">
        <v>2</v>
      </c>
      <c r="B3" s="2">
        <f>('[1]Qc, Spring, S3'!B3*Main!$B$5)</f>
        <v>-2.3461143694148889</v>
      </c>
      <c r="C3" s="2">
        <f>('[1]Qc, Spring, S3'!C3*Main!$B$5)</f>
        <v>-0.71876889869167127</v>
      </c>
      <c r="D3" s="2">
        <f>('[1]Qc, Spring, S3'!D3*Main!$B$5)</f>
        <v>-3.0100164569458285</v>
      </c>
      <c r="E3" s="2">
        <f>('[1]Qc, Spring, S3'!E3*Main!$B$5)</f>
        <v>-4.3839197797762317</v>
      </c>
      <c r="F3" s="2">
        <f>('[1]Qc, Spring, S3'!F3*Main!$B$5)</f>
        <v>-3.2175558016706298</v>
      </c>
      <c r="G3" s="2">
        <f>('[1]Qc, Spring, S3'!G3*Main!$B$5)</f>
        <v>-4.9185527746775595</v>
      </c>
      <c r="H3" s="2">
        <f>('[1]Qc, Spring, S3'!H3*Main!$B$5)</f>
        <v>-1.6844446178205974</v>
      </c>
      <c r="I3" s="2">
        <f>('[1]Qc, Spring, S3'!I3*Main!$B$5)</f>
        <v>1.3379439245226497</v>
      </c>
      <c r="J3" s="2">
        <f>('[1]Qc, Spring, S3'!J3*Main!$B$5)</f>
        <v>0.76637696598140248</v>
      </c>
      <c r="K3" s="2">
        <f>('[1]Qc, Spring, S3'!K3*Main!$B$5)</f>
        <v>0.92125478198403921</v>
      </c>
      <c r="L3" s="2">
        <f>('[1]Qc, Spring, S3'!L3*Main!$B$5)</f>
        <v>2.456726352080207</v>
      </c>
      <c r="M3" s="2">
        <f>('[1]Qc, Spring, S3'!M3*Main!$B$5)</f>
        <v>1.4809111278561238</v>
      </c>
      <c r="N3" s="2">
        <f>('[1]Qc, Spring, S3'!N3*Main!$B$5)</f>
        <v>2.7130318669685893</v>
      </c>
      <c r="O3" s="2">
        <f>('[1]Qc, Spring, S3'!O3*Main!$B$5)</f>
        <v>3.8415593829917527</v>
      </c>
      <c r="P3" s="2">
        <f>('[1]Qc, Spring, S3'!P3*Main!$B$5)</f>
        <v>2.7627817716961949</v>
      </c>
      <c r="Q3" s="2">
        <f>('[1]Qc, Spring, S3'!Q3*Main!$B$5)</f>
        <v>3.7603958220064087</v>
      </c>
      <c r="R3" s="2">
        <f>('[1]Qc, Spring, S3'!R3*Main!$B$5)</f>
        <v>1.4177478783189719</v>
      </c>
      <c r="S3" s="2">
        <f>('[1]Qc, Spring, S3'!S3*Main!$B$5)</f>
        <v>1.3239937110778564</v>
      </c>
      <c r="T3" s="2">
        <f>('[1]Qc, Spring, S3'!T3*Main!$B$5)</f>
        <v>1.4177478783189719</v>
      </c>
      <c r="U3" s="2">
        <f>('[1]Qc, Spring, S3'!U3*Main!$B$5)</f>
        <v>1.3063864145998567</v>
      </c>
      <c r="V3" s="2">
        <f>('[1]Qc, Spring, S3'!V3*Main!$B$5)</f>
        <v>-0.67538781617793475</v>
      </c>
      <c r="W3" s="2">
        <f>('[1]Qc, Spring, S3'!W3*Main!$B$5)</f>
        <v>0.60947170800680039</v>
      </c>
      <c r="X3" s="2">
        <f>('[1]Qc, Spring, S3'!X3*Main!$B$5)</f>
        <v>-3.3779375599808419</v>
      </c>
      <c r="Y3" s="2">
        <f>('[1]Qc, Spring, S3'!Y3*Main!$B$5)</f>
        <v>-3.0466750696627414</v>
      </c>
    </row>
    <row r="4" spans="1:25" x14ac:dyDescent="0.3">
      <c r="A4">
        <v>3</v>
      </c>
      <c r="B4" s="2">
        <f>('[1]Qc, Spring, S3'!B4*Main!$B$5)</f>
        <v>10.846977120507784</v>
      </c>
      <c r="C4" s="2">
        <f>('[1]Qc, Spring, S3'!C4*Main!$B$5)</f>
        <v>8.6146089473371887</v>
      </c>
      <c r="D4" s="2">
        <f>('[1]Qc, Spring, S3'!D4*Main!$B$5)</f>
        <v>7.9976840295493279</v>
      </c>
      <c r="E4" s="2">
        <f>('[1]Qc, Spring, S3'!E4*Main!$B$5)</f>
        <v>7.3876067084304591</v>
      </c>
      <c r="F4" s="2">
        <f>('[1]Qc, Spring, S3'!F4*Main!$B$5)</f>
        <v>7.8829840008576442</v>
      </c>
      <c r="G4" s="2">
        <f>('[1]Qc, Spring, S3'!G4*Main!$B$5)</f>
        <v>6.1029638358502458</v>
      </c>
      <c r="H4" s="2">
        <f>('[1]Qc, Spring, S3'!H4*Main!$B$5)</f>
        <v>10.440334124346974</v>
      </c>
      <c r="I4" s="2">
        <f>('[1]Qc, Spring, S3'!I4*Main!$B$5)</f>
        <v>15.044581495450212</v>
      </c>
      <c r="J4" s="2">
        <f>('[1]Qc, Spring, S3'!J4*Main!$B$5)</f>
        <v>20.360025400397983</v>
      </c>
      <c r="K4" s="2">
        <f>('[1]Qc, Spring, S3'!K4*Main!$B$5)</f>
        <v>23.957317156819602</v>
      </c>
      <c r="L4" s="2">
        <f>('[1]Qc, Spring, S3'!L4*Main!$B$5)</f>
        <v>24.356026069218821</v>
      </c>
      <c r="M4" s="2">
        <f>('[1]Qc, Spring, S3'!M4*Main!$B$5)</f>
        <v>24.718982450919476</v>
      </c>
      <c r="N4" s="2">
        <f>('[1]Qc, Spring, S3'!N4*Main!$B$5)</f>
        <v>26.545024508872562</v>
      </c>
      <c r="O4" s="2">
        <f>('[1]Qc, Spring, S3'!O4*Main!$B$5)</f>
        <v>25.562207976659693</v>
      </c>
      <c r="P4" s="2">
        <f>('[1]Qc, Spring, S3'!P4*Main!$B$5)</f>
        <v>23.741503090830182</v>
      </c>
      <c r="Q4" s="2">
        <f>('[1]Qc, Spring, S3'!Q4*Main!$B$5)</f>
        <v>23.560500030063768</v>
      </c>
      <c r="R4" s="2">
        <f>('[1]Qc, Spring, S3'!R4*Main!$B$5)</f>
        <v>22.871905450803954</v>
      </c>
      <c r="S4" s="2">
        <f>('[1]Qc, Spring, S3'!S4*Main!$B$5)</f>
        <v>24.050352311119951</v>
      </c>
      <c r="T4" s="2">
        <f>('[1]Qc, Spring, S3'!T4*Main!$B$5)</f>
        <v>23.883322849784189</v>
      </c>
      <c r="U4" s="2">
        <f>('[1]Qc, Spring, S3'!U4*Main!$B$5)</f>
        <v>23.602807796590014</v>
      </c>
      <c r="V4" s="2">
        <f>('[1]Qc, Spring, S3'!V4*Main!$B$5)</f>
        <v>20.309058514091916</v>
      </c>
      <c r="W4" s="2">
        <f>('[1]Qc, Spring, S3'!W4*Main!$B$5)</f>
        <v>22.035298704970224</v>
      </c>
      <c r="X4" s="2">
        <f>('[1]Qc, Spring, S3'!X4*Main!$B$5)</f>
        <v>18.603293375869217</v>
      </c>
      <c r="Y4" s="2">
        <f>('[1]Qc, Spring, S3'!Y4*Main!$B$5)</f>
        <v>15.45489358325319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73252-224E-42D0-AEF3-875AB7F1DC39}">
  <dimension ref="A1:Y4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Ratio'!$A$2:$B$21,2,FALSE)</f>
        <v>2.8587421638184591</v>
      </c>
      <c r="C2" s="2">
        <f>('FL Characterization'!C$4-'FL Characterization'!C$2)*VLOOKUP($A2,'FL Ratio'!$A$2:$B$21,2,FALSE)</f>
        <v>3.1471123289838432</v>
      </c>
      <c r="D2" s="2">
        <f>('FL Characterization'!D$4-'FL Characterization'!D$2)*VLOOKUP($A2,'FL Ratio'!$A$2:$B$21,2,FALSE)</f>
        <v>4.0962656360176561</v>
      </c>
      <c r="E2" s="2">
        <f>('FL Characterization'!E$4-'FL Characterization'!E$2)*VLOOKUP($A2,'FL Ratio'!$A$2:$B$21,2,FALSE)</f>
        <v>4.6962038408472786</v>
      </c>
      <c r="F2" s="2">
        <f>('FL Characterization'!F$4-'FL Characterization'!F$2)*VLOOKUP($A2,'FL Ratio'!$A$2:$B$21,2,FALSE)</f>
        <v>5.5216681395676526</v>
      </c>
      <c r="G2" s="2">
        <f>('FL Characterization'!G$4-'FL Characterization'!G$2)*VLOOKUP($A2,'FL Ratio'!$A$2:$B$21,2,FALSE)</f>
        <v>6.4544325045493744</v>
      </c>
      <c r="H2" s="2">
        <f>('FL Characterization'!H$4-'FL Characterization'!H$2)*VLOOKUP($A2,'FL Ratio'!$A$2:$B$21,2,FALSE)</f>
        <v>5.7535479175148341</v>
      </c>
      <c r="I2" s="2">
        <f>('FL Characterization'!I$4-'FL Characterization'!I$2)*VLOOKUP($A2,'FL Ratio'!$A$2:$B$21,2,FALSE)</f>
        <v>8.225328949547773</v>
      </c>
      <c r="J2" s="2">
        <f>('FL Characterization'!J$4-'FL Characterization'!J$2)*VLOOKUP($A2,'FL Ratio'!$A$2:$B$21,2,FALSE)</f>
        <v>7.5458212434507441</v>
      </c>
      <c r="K2" s="2">
        <f>('FL Characterization'!K$4-'FL Characterization'!K$2)*VLOOKUP($A2,'FL Ratio'!$A$2:$B$21,2,FALSE)</f>
        <v>8.5225665616205681</v>
      </c>
      <c r="L2" s="2">
        <f>('FL Characterization'!L$4-'FL Characterization'!L$2)*VLOOKUP($A2,'FL Ratio'!$A$2:$B$21,2,FALSE)</f>
        <v>8.7589196498380062</v>
      </c>
      <c r="M2" s="2">
        <f>('FL Characterization'!M$4-'FL Characterization'!M$2)*VLOOKUP($A2,'FL Ratio'!$A$2:$B$21,2,FALSE)</f>
        <v>8.1246200882421586</v>
      </c>
      <c r="N2" s="2">
        <f>('FL Characterization'!N$4-'FL Characterization'!N$2)*VLOOKUP($A2,'FL Ratio'!$A$2:$B$21,2,FALSE)</f>
        <v>7.6644035524291105</v>
      </c>
      <c r="O2" s="2">
        <f>('FL Characterization'!O$4-'FL Characterization'!O$2)*VLOOKUP($A2,'FL Ratio'!$A$2:$B$21,2,FALSE)</f>
        <v>7.0561917029403398</v>
      </c>
      <c r="P2" s="2">
        <f>('FL Characterization'!P$4-'FL Characterization'!P$2)*VLOOKUP($A2,'FL Ratio'!$A$2:$B$21,2,FALSE)</f>
        <v>6.4995218886009036</v>
      </c>
      <c r="Q2" s="2">
        <f>('FL Characterization'!Q$4-'FL Characterization'!Q$2)*VLOOKUP($A2,'FL Ratio'!$A$2:$B$21,2,FALSE)</f>
        <v>5.849486567426057</v>
      </c>
      <c r="R2" s="2">
        <f>('FL Characterization'!R$4-'FL Characterization'!R$2)*VLOOKUP($A2,'FL Ratio'!$A$2:$B$21,2,FALSE)</f>
        <v>5.7886020435706982</v>
      </c>
      <c r="S2" s="2">
        <f>('FL Characterization'!S$4-'FL Characterization'!S$2)*VLOOKUP($A2,'FL Ratio'!$A$2:$B$21,2,FALSE)</f>
        <v>4.586370218326671</v>
      </c>
      <c r="T2" s="2">
        <f>('FL Characterization'!T$4-'FL Characterization'!T$2)*VLOOKUP($A2,'FL Ratio'!$A$2:$B$21,2,FALSE)</f>
        <v>3.7946734741242558</v>
      </c>
      <c r="U2" s="2">
        <f>('FL Characterization'!U$4-'FL Characterization'!U$2)*VLOOKUP($A2,'FL Ratio'!$A$2:$B$21,2,FALSE)</f>
        <v>4.5028816222207215</v>
      </c>
      <c r="V2" s="2">
        <f>('FL Characterization'!V$4-'FL Characterization'!V$2)*VLOOKUP($A2,'FL Ratio'!$A$2:$B$21,2,FALSE)</f>
        <v>4.5879932778052606</v>
      </c>
      <c r="W2" s="2">
        <f>('FL Characterization'!W$4-'FL Characterization'!W$2)*VLOOKUP($A2,'FL Ratio'!$A$2:$B$21,2,FALSE)</f>
        <v>5.2431550917234553</v>
      </c>
      <c r="X2" s="2">
        <f>('FL Characterization'!X$4-'FL Characterization'!X$2)*VLOOKUP($A2,'FL Ratio'!$A$2:$B$21,2,FALSE)</f>
        <v>2.545828172391488</v>
      </c>
      <c r="Y2" s="2">
        <f>('FL Characterization'!Y$4-'FL Characterization'!Y$2)*VLOOKUP($A2,'FL Ratio'!$A$2:$B$21,2,FALSE)</f>
        <v>2.4442879879383059</v>
      </c>
    </row>
    <row r="3" spans="1:25" x14ac:dyDescent="0.3">
      <c r="A3">
        <v>2</v>
      </c>
      <c r="B3" s="2">
        <f>('FL Characterization'!B$4-'FL Characterization'!B$2)*VLOOKUP($A3,'FL Ratio'!$A$2:$B$21,2,FALSE)</f>
        <v>2.8587421638184591</v>
      </c>
      <c r="C3" s="2">
        <f>('FL Characterization'!C$4-'FL Characterization'!C$2)*VLOOKUP($A3,'FL Ratio'!$A$2:$B$21,2,FALSE)</f>
        <v>3.1471123289838432</v>
      </c>
      <c r="D3" s="2">
        <f>('FL Characterization'!D$4-'FL Characterization'!D$2)*VLOOKUP($A3,'FL Ratio'!$A$2:$B$21,2,FALSE)</f>
        <v>4.0962656360176561</v>
      </c>
      <c r="E3" s="2">
        <f>('FL Characterization'!E$4-'FL Characterization'!E$2)*VLOOKUP($A3,'FL Ratio'!$A$2:$B$21,2,FALSE)</f>
        <v>4.6962038408472786</v>
      </c>
      <c r="F3" s="2">
        <f>('FL Characterization'!F$4-'FL Characterization'!F$2)*VLOOKUP($A3,'FL Ratio'!$A$2:$B$21,2,FALSE)</f>
        <v>5.5216681395676526</v>
      </c>
      <c r="G3" s="2">
        <f>('FL Characterization'!G$4-'FL Characterization'!G$2)*VLOOKUP($A3,'FL Ratio'!$A$2:$B$21,2,FALSE)</f>
        <v>6.4544325045493744</v>
      </c>
      <c r="H3" s="2">
        <f>('FL Characterization'!H$4-'FL Characterization'!H$2)*VLOOKUP($A3,'FL Ratio'!$A$2:$B$21,2,FALSE)</f>
        <v>5.7535479175148341</v>
      </c>
      <c r="I3" s="2">
        <f>('FL Characterization'!I$4-'FL Characterization'!I$2)*VLOOKUP($A3,'FL Ratio'!$A$2:$B$21,2,FALSE)</f>
        <v>8.225328949547773</v>
      </c>
      <c r="J3" s="2">
        <f>('FL Characterization'!J$4-'FL Characterization'!J$2)*VLOOKUP($A3,'FL Ratio'!$A$2:$B$21,2,FALSE)</f>
        <v>7.5458212434507441</v>
      </c>
      <c r="K3" s="2">
        <f>('FL Characterization'!K$4-'FL Characterization'!K$2)*VLOOKUP($A3,'FL Ratio'!$A$2:$B$21,2,FALSE)</f>
        <v>8.5225665616205681</v>
      </c>
      <c r="L3" s="2">
        <f>('FL Characterization'!L$4-'FL Characterization'!L$2)*VLOOKUP($A3,'FL Ratio'!$A$2:$B$21,2,FALSE)</f>
        <v>8.7589196498380062</v>
      </c>
      <c r="M3" s="2">
        <f>('FL Characterization'!M$4-'FL Characterization'!M$2)*VLOOKUP($A3,'FL Ratio'!$A$2:$B$21,2,FALSE)</f>
        <v>8.1246200882421586</v>
      </c>
      <c r="N3" s="2">
        <f>('FL Characterization'!N$4-'FL Characterization'!N$2)*VLOOKUP($A3,'FL Ratio'!$A$2:$B$21,2,FALSE)</f>
        <v>7.6644035524291105</v>
      </c>
      <c r="O3" s="2">
        <f>('FL Characterization'!O$4-'FL Characterization'!O$2)*VLOOKUP($A3,'FL Ratio'!$A$2:$B$21,2,FALSE)</f>
        <v>7.0561917029403398</v>
      </c>
      <c r="P3" s="2">
        <f>('FL Characterization'!P$4-'FL Characterization'!P$2)*VLOOKUP($A3,'FL Ratio'!$A$2:$B$21,2,FALSE)</f>
        <v>6.4995218886009036</v>
      </c>
      <c r="Q3" s="2">
        <f>('FL Characterization'!Q$4-'FL Characterization'!Q$2)*VLOOKUP($A3,'FL Ratio'!$A$2:$B$21,2,FALSE)</f>
        <v>5.849486567426057</v>
      </c>
      <c r="R3" s="2">
        <f>('FL Characterization'!R$4-'FL Characterization'!R$2)*VLOOKUP($A3,'FL Ratio'!$A$2:$B$21,2,FALSE)</f>
        <v>5.7886020435706982</v>
      </c>
      <c r="S3" s="2">
        <f>('FL Characterization'!S$4-'FL Characterization'!S$2)*VLOOKUP($A3,'FL Ratio'!$A$2:$B$21,2,FALSE)</f>
        <v>4.586370218326671</v>
      </c>
      <c r="T3" s="2">
        <f>('FL Characterization'!T$4-'FL Characterization'!T$2)*VLOOKUP($A3,'FL Ratio'!$A$2:$B$21,2,FALSE)</f>
        <v>3.7946734741242558</v>
      </c>
      <c r="U3" s="2">
        <f>('FL Characterization'!U$4-'FL Characterization'!U$2)*VLOOKUP($A3,'FL Ratio'!$A$2:$B$21,2,FALSE)</f>
        <v>4.5028816222207215</v>
      </c>
      <c r="V3" s="2">
        <f>('FL Characterization'!V$4-'FL Characterization'!V$2)*VLOOKUP($A3,'FL Ratio'!$A$2:$B$21,2,FALSE)</f>
        <v>4.5879932778052606</v>
      </c>
      <c r="W3" s="2">
        <f>('FL Characterization'!W$4-'FL Characterization'!W$2)*VLOOKUP($A3,'FL Ratio'!$A$2:$B$21,2,FALSE)</f>
        <v>5.2431550917234553</v>
      </c>
      <c r="X3" s="2">
        <f>('FL Characterization'!X$4-'FL Characterization'!X$2)*VLOOKUP($A3,'FL Ratio'!$A$2:$B$21,2,FALSE)</f>
        <v>2.545828172391488</v>
      </c>
      <c r="Y3" s="2">
        <f>('FL Characterization'!Y$4-'FL Characterization'!Y$2)*VLOOKUP($A3,'FL Ratio'!$A$2:$B$21,2,FALSE)</f>
        <v>2.4442879879383059</v>
      </c>
    </row>
    <row r="4" spans="1:25" x14ac:dyDescent="0.3">
      <c r="A4">
        <v>3</v>
      </c>
      <c r="B4" s="2">
        <f>('FL Characterization'!B$4-'FL Characterization'!B$2)*VLOOKUP($A4,'FL Ratio'!$A$2:$B$21,2,FALSE)</f>
        <v>2.8587421638184591</v>
      </c>
      <c r="C4" s="2">
        <f>('FL Characterization'!C$4-'FL Characterization'!C$2)*VLOOKUP($A4,'FL Ratio'!$A$2:$B$21,2,FALSE)</f>
        <v>3.1471123289838432</v>
      </c>
      <c r="D4" s="2">
        <f>('FL Characterization'!D$4-'FL Characterization'!D$2)*VLOOKUP($A4,'FL Ratio'!$A$2:$B$21,2,FALSE)</f>
        <v>4.0962656360176561</v>
      </c>
      <c r="E4" s="2">
        <f>('FL Characterization'!E$4-'FL Characterization'!E$2)*VLOOKUP($A4,'FL Ratio'!$A$2:$B$21,2,FALSE)</f>
        <v>4.6962038408472786</v>
      </c>
      <c r="F4" s="2">
        <f>('FL Characterization'!F$4-'FL Characterization'!F$2)*VLOOKUP($A4,'FL Ratio'!$A$2:$B$21,2,FALSE)</f>
        <v>5.5216681395676526</v>
      </c>
      <c r="G4" s="2">
        <f>('FL Characterization'!G$4-'FL Characterization'!G$2)*VLOOKUP($A4,'FL Ratio'!$A$2:$B$21,2,FALSE)</f>
        <v>6.4544325045493744</v>
      </c>
      <c r="H4" s="2">
        <f>('FL Characterization'!H$4-'FL Characterization'!H$2)*VLOOKUP($A4,'FL Ratio'!$A$2:$B$21,2,FALSE)</f>
        <v>5.7535479175148341</v>
      </c>
      <c r="I4" s="2">
        <f>('FL Characterization'!I$4-'FL Characterization'!I$2)*VLOOKUP($A4,'FL Ratio'!$A$2:$B$21,2,FALSE)</f>
        <v>8.225328949547773</v>
      </c>
      <c r="J4" s="2">
        <f>('FL Characterization'!J$4-'FL Characterization'!J$2)*VLOOKUP($A4,'FL Ratio'!$A$2:$B$21,2,FALSE)</f>
        <v>7.5458212434507441</v>
      </c>
      <c r="K4" s="2">
        <f>('FL Characterization'!K$4-'FL Characterization'!K$2)*VLOOKUP($A4,'FL Ratio'!$A$2:$B$21,2,FALSE)</f>
        <v>8.5225665616205681</v>
      </c>
      <c r="L4" s="2">
        <f>('FL Characterization'!L$4-'FL Characterization'!L$2)*VLOOKUP($A4,'FL Ratio'!$A$2:$B$21,2,FALSE)</f>
        <v>8.7589196498380062</v>
      </c>
      <c r="M4" s="2">
        <f>('FL Characterization'!M$4-'FL Characterization'!M$2)*VLOOKUP($A4,'FL Ratio'!$A$2:$B$21,2,FALSE)</f>
        <v>8.1246200882421586</v>
      </c>
      <c r="N4" s="2">
        <f>('FL Characterization'!N$4-'FL Characterization'!N$2)*VLOOKUP($A4,'FL Ratio'!$A$2:$B$21,2,FALSE)</f>
        <v>7.6644035524291105</v>
      </c>
      <c r="O4" s="2">
        <f>('FL Characterization'!O$4-'FL Characterization'!O$2)*VLOOKUP($A4,'FL Ratio'!$A$2:$B$21,2,FALSE)</f>
        <v>7.0561917029403398</v>
      </c>
      <c r="P4" s="2">
        <f>('FL Characterization'!P$4-'FL Characterization'!P$2)*VLOOKUP($A4,'FL Ratio'!$A$2:$B$21,2,FALSE)</f>
        <v>6.4995218886009036</v>
      </c>
      <c r="Q4" s="2">
        <f>('FL Characterization'!Q$4-'FL Characterization'!Q$2)*VLOOKUP($A4,'FL Ratio'!$A$2:$B$21,2,FALSE)</f>
        <v>5.849486567426057</v>
      </c>
      <c r="R4" s="2">
        <f>('FL Characterization'!R$4-'FL Characterization'!R$2)*VLOOKUP($A4,'FL Ratio'!$A$2:$B$21,2,FALSE)</f>
        <v>5.7886020435706982</v>
      </c>
      <c r="S4" s="2">
        <f>('FL Characterization'!S$4-'FL Characterization'!S$2)*VLOOKUP($A4,'FL Ratio'!$A$2:$B$21,2,FALSE)</f>
        <v>4.586370218326671</v>
      </c>
      <c r="T4" s="2">
        <f>('FL Characterization'!T$4-'FL Characterization'!T$2)*VLOOKUP($A4,'FL Ratio'!$A$2:$B$21,2,FALSE)</f>
        <v>3.7946734741242558</v>
      </c>
      <c r="U4" s="2">
        <f>('FL Characterization'!U$4-'FL Characterization'!U$2)*VLOOKUP($A4,'FL Ratio'!$A$2:$B$21,2,FALSE)</f>
        <v>4.5028816222207215</v>
      </c>
      <c r="V4" s="2">
        <f>('FL Characterization'!V$4-'FL Characterization'!V$2)*VLOOKUP($A4,'FL Ratio'!$A$2:$B$21,2,FALSE)</f>
        <v>4.5879932778052606</v>
      </c>
      <c r="W4" s="2">
        <f>('FL Characterization'!W$4-'FL Characterization'!W$2)*VLOOKUP($A4,'FL Ratio'!$A$2:$B$21,2,FALSE)</f>
        <v>5.2431550917234553</v>
      </c>
      <c r="X4" s="2">
        <f>('FL Characterization'!X$4-'FL Characterization'!X$2)*VLOOKUP($A4,'FL Ratio'!$A$2:$B$21,2,FALSE)</f>
        <v>2.545828172391488</v>
      </c>
      <c r="Y4" s="2">
        <f>('FL Characterization'!Y$4-'FL Characterization'!Y$2)*VLOOKUP($A4,'FL Ratio'!$A$2:$B$21,2,FALSE)</f>
        <v>2.4442879879383059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FC90F-E5D8-4B0C-962A-1D3E48794422}">
  <dimension ref="A1:Y4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Ratio'!$A$2:$B$21,2,FALSE)</f>
        <v>7.9254786075826136</v>
      </c>
      <c r="C2" s="2">
        <f>('FL Characterization'!C$2-'FL Characterization'!C$3)*VLOOKUP($A2,'FL Ratio'!$A$2:$B$21,2,FALSE)</f>
        <v>8.3874567567321812</v>
      </c>
      <c r="D2" s="2">
        <f>('FL Characterization'!D$2-'FL Characterization'!D$3)*VLOOKUP($A2,'FL Ratio'!$A$2:$B$21,2,FALSE)</f>
        <v>8.8569564010264283</v>
      </c>
      <c r="E2" s="2">
        <f>('FL Characterization'!E$2-'FL Characterization'!E$3)*VLOOKUP($A2,'FL Ratio'!$A$2:$B$21,2,FALSE)</f>
        <v>9.2595543253495727</v>
      </c>
      <c r="F2" s="2">
        <f>('FL Characterization'!F$2-'FL Characterization'!F$3)*VLOOKUP($A2,'FL Ratio'!$A$2:$B$21,2,FALSE)</f>
        <v>9.3646573232923416</v>
      </c>
      <c r="G2" s="2">
        <f>('FL Characterization'!G$2-'FL Characterization'!G$3)*VLOOKUP($A2,'FL Ratio'!$A$2:$B$21,2,FALSE)</f>
        <v>9.7959556896149227</v>
      </c>
      <c r="H2" s="2">
        <f>('FL Characterization'!H$2-'FL Characterization'!H$3)*VLOOKUP($A2,'FL Ratio'!$A$2:$B$21,2,FALSE)</f>
        <v>9.7458783666779745</v>
      </c>
      <c r="I2" s="2">
        <f>('FL Characterization'!I$2-'FL Characterization'!I$3)*VLOOKUP($A2,'FL Ratio'!$A$2:$B$21,2,FALSE)</f>
        <v>9.2121293191215372</v>
      </c>
      <c r="J2" s="2">
        <f>('FL Characterization'!J$2-'FL Characterization'!J$3)*VLOOKUP($A2,'FL Ratio'!$A$2:$B$21,2,FALSE)</f>
        <v>8.3465635752350504</v>
      </c>
      <c r="K2" s="2">
        <f>('FL Characterization'!K$2-'FL Characterization'!K$3)*VLOOKUP($A2,'FL Ratio'!$A$2:$B$21,2,FALSE)</f>
        <v>12.256691999830148</v>
      </c>
      <c r="L2" s="2">
        <f>('FL Characterization'!L$2-'FL Characterization'!L$3)*VLOOKUP($A2,'FL Ratio'!$A$2:$B$21,2,FALSE)</f>
        <v>11.969153157812336</v>
      </c>
      <c r="M2" s="2">
        <f>('FL Characterization'!M$2-'FL Characterization'!M$3)*VLOOKUP($A2,'FL Ratio'!$A$2:$B$21,2,FALSE)</f>
        <v>11.021444769582633</v>
      </c>
      <c r="N2" s="2">
        <f>('FL Characterization'!N$2-'FL Characterization'!N$3)*VLOOKUP($A2,'FL Ratio'!$A$2:$B$21,2,FALSE)</f>
        <v>10.753639955615466</v>
      </c>
      <c r="O2" s="2">
        <f>('FL Characterization'!O$2-'FL Characterization'!O$3)*VLOOKUP($A2,'FL Ratio'!$A$2:$B$21,2,FALSE)</f>
        <v>10.797838636294601</v>
      </c>
      <c r="P2" s="2">
        <f>('FL Characterization'!P$2-'FL Characterization'!P$3)*VLOOKUP($A2,'FL Ratio'!$A$2:$B$21,2,FALSE)</f>
        <v>10.28627799941497</v>
      </c>
      <c r="Q2" s="2">
        <f>('FL Characterization'!Q$2-'FL Characterization'!Q$3)*VLOOKUP($A2,'FL Ratio'!$A$2:$B$21,2,FALSE)</f>
        <v>9.4289067265545299</v>
      </c>
      <c r="R2" s="2">
        <f>('FL Characterization'!R$2-'FL Characterization'!R$3)*VLOOKUP($A2,'FL Ratio'!$A$2:$B$21,2,FALSE)</f>
        <v>8.4740331245291056</v>
      </c>
      <c r="S2" s="2">
        <f>('FL Characterization'!S$2-'FL Characterization'!S$3)*VLOOKUP($A2,'FL Ratio'!$A$2:$B$21,2,FALSE)</f>
        <v>8.170045960234372</v>
      </c>
      <c r="T2" s="2">
        <f>('FL Characterization'!T$2-'FL Characterization'!T$3)*VLOOKUP($A2,'FL Ratio'!$A$2:$B$21,2,FALSE)</f>
        <v>5.1356570913793558</v>
      </c>
      <c r="U2" s="2">
        <f>('FL Characterization'!U$2-'FL Characterization'!U$3)*VLOOKUP($A2,'FL Ratio'!$A$2:$B$21,2,FALSE)</f>
        <v>5.49211658101237</v>
      </c>
      <c r="V2" s="2">
        <f>('FL Characterization'!V$2-'FL Characterization'!V$3)*VLOOKUP($A2,'FL Ratio'!$A$2:$B$21,2,FALSE)</f>
        <v>6.0046470948974973</v>
      </c>
      <c r="W2" s="2">
        <f>('FL Characterization'!W$2-'FL Characterization'!W$3)*VLOOKUP($A2,'FL Ratio'!$A$2:$B$21,2,FALSE)</f>
        <v>6.1479315774036554</v>
      </c>
      <c r="X2" s="2">
        <f>('FL Characterization'!X$2-'FL Characterization'!X$3)*VLOOKUP($A2,'FL Ratio'!$A$2:$B$21,2,FALSE)</f>
        <v>6.411876676757104</v>
      </c>
      <c r="Y2" s="2">
        <f>('FL Characterization'!Y$2-'FL Characterization'!Y$3)*VLOOKUP($A2,'FL Ratio'!$A$2:$B$21,2,FALSE)</f>
        <v>7.0775289970613002</v>
      </c>
    </row>
    <row r="3" spans="1:25" x14ac:dyDescent="0.3">
      <c r="A3">
        <v>2</v>
      </c>
      <c r="B3" s="2">
        <f>('FL Characterization'!B$2-'FL Characterization'!B$3)*VLOOKUP($A3,'FL Ratio'!$A$2:$B$21,2,FALSE)</f>
        <v>7.9254786075826136</v>
      </c>
      <c r="C3" s="2">
        <f>('FL Characterization'!C$2-'FL Characterization'!C$3)*VLOOKUP($A3,'FL Ratio'!$A$2:$B$21,2,FALSE)</f>
        <v>8.3874567567321812</v>
      </c>
      <c r="D3" s="2">
        <f>('FL Characterization'!D$2-'FL Characterization'!D$3)*VLOOKUP($A3,'FL Ratio'!$A$2:$B$21,2,FALSE)</f>
        <v>8.8569564010264283</v>
      </c>
      <c r="E3" s="2">
        <f>('FL Characterization'!E$2-'FL Characterization'!E$3)*VLOOKUP($A3,'FL Ratio'!$A$2:$B$21,2,FALSE)</f>
        <v>9.2595543253495727</v>
      </c>
      <c r="F3" s="2">
        <f>('FL Characterization'!F$2-'FL Characterization'!F$3)*VLOOKUP($A3,'FL Ratio'!$A$2:$B$21,2,FALSE)</f>
        <v>9.3646573232923416</v>
      </c>
      <c r="G3" s="2">
        <f>('FL Characterization'!G$2-'FL Characterization'!G$3)*VLOOKUP($A3,'FL Ratio'!$A$2:$B$21,2,FALSE)</f>
        <v>9.7959556896149227</v>
      </c>
      <c r="H3" s="2">
        <f>('FL Characterization'!H$2-'FL Characterization'!H$3)*VLOOKUP($A3,'FL Ratio'!$A$2:$B$21,2,FALSE)</f>
        <v>9.7458783666779745</v>
      </c>
      <c r="I3" s="2">
        <f>('FL Characterization'!I$2-'FL Characterization'!I$3)*VLOOKUP($A3,'FL Ratio'!$A$2:$B$21,2,FALSE)</f>
        <v>9.2121293191215372</v>
      </c>
      <c r="J3" s="2">
        <f>('FL Characterization'!J$2-'FL Characterization'!J$3)*VLOOKUP($A3,'FL Ratio'!$A$2:$B$21,2,FALSE)</f>
        <v>8.3465635752350504</v>
      </c>
      <c r="K3" s="2">
        <f>('FL Characterization'!K$2-'FL Characterization'!K$3)*VLOOKUP($A3,'FL Ratio'!$A$2:$B$21,2,FALSE)</f>
        <v>12.256691999830148</v>
      </c>
      <c r="L3" s="2">
        <f>('FL Characterization'!L$2-'FL Characterization'!L$3)*VLOOKUP($A3,'FL Ratio'!$A$2:$B$21,2,FALSE)</f>
        <v>11.969153157812336</v>
      </c>
      <c r="M3" s="2">
        <f>('FL Characterization'!M$2-'FL Characterization'!M$3)*VLOOKUP($A3,'FL Ratio'!$A$2:$B$21,2,FALSE)</f>
        <v>11.021444769582633</v>
      </c>
      <c r="N3" s="2">
        <f>('FL Characterization'!N$2-'FL Characterization'!N$3)*VLOOKUP($A3,'FL Ratio'!$A$2:$B$21,2,FALSE)</f>
        <v>10.753639955615466</v>
      </c>
      <c r="O3" s="2">
        <f>('FL Characterization'!O$2-'FL Characterization'!O$3)*VLOOKUP($A3,'FL Ratio'!$A$2:$B$21,2,FALSE)</f>
        <v>10.797838636294601</v>
      </c>
      <c r="P3" s="2">
        <f>('FL Characterization'!P$2-'FL Characterization'!P$3)*VLOOKUP($A3,'FL Ratio'!$A$2:$B$21,2,FALSE)</f>
        <v>10.28627799941497</v>
      </c>
      <c r="Q3" s="2">
        <f>('FL Characterization'!Q$2-'FL Characterization'!Q$3)*VLOOKUP($A3,'FL Ratio'!$A$2:$B$21,2,FALSE)</f>
        <v>9.4289067265545299</v>
      </c>
      <c r="R3" s="2">
        <f>('FL Characterization'!R$2-'FL Characterization'!R$3)*VLOOKUP($A3,'FL Ratio'!$A$2:$B$21,2,FALSE)</f>
        <v>8.4740331245291056</v>
      </c>
      <c r="S3" s="2">
        <f>('FL Characterization'!S$2-'FL Characterization'!S$3)*VLOOKUP($A3,'FL Ratio'!$A$2:$B$21,2,FALSE)</f>
        <v>8.170045960234372</v>
      </c>
      <c r="T3" s="2">
        <f>('FL Characterization'!T$2-'FL Characterization'!T$3)*VLOOKUP($A3,'FL Ratio'!$A$2:$B$21,2,FALSE)</f>
        <v>5.1356570913793558</v>
      </c>
      <c r="U3" s="2">
        <f>('FL Characterization'!U$2-'FL Characterization'!U$3)*VLOOKUP($A3,'FL Ratio'!$A$2:$B$21,2,FALSE)</f>
        <v>5.49211658101237</v>
      </c>
      <c r="V3" s="2">
        <f>('FL Characterization'!V$2-'FL Characterization'!V$3)*VLOOKUP($A3,'FL Ratio'!$A$2:$B$21,2,FALSE)</f>
        <v>6.0046470948974973</v>
      </c>
      <c r="W3" s="2">
        <f>('FL Characterization'!W$2-'FL Characterization'!W$3)*VLOOKUP($A3,'FL Ratio'!$A$2:$B$21,2,FALSE)</f>
        <v>6.1479315774036554</v>
      </c>
      <c r="X3" s="2">
        <f>('FL Characterization'!X$2-'FL Characterization'!X$3)*VLOOKUP($A3,'FL Ratio'!$A$2:$B$21,2,FALSE)</f>
        <v>6.411876676757104</v>
      </c>
      <c r="Y3" s="2">
        <f>('FL Characterization'!Y$2-'FL Characterization'!Y$3)*VLOOKUP($A3,'FL Ratio'!$A$2:$B$21,2,FALSE)</f>
        <v>7.0775289970613002</v>
      </c>
    </row>
    <row r="4" spans="1:25" x14ac:dyDescent="0.3">
      <c r="A4">
        <v>3</v>
      </c>
      <c r="B4" s="2">
        <f>('FL Characterization'!B$2-'FL Characterization'!B$3)*VLOOKUP($A4,'FL Ratio'!$A$2:$B$21,2,FALSE)</f>
        <v>7.9254786075826136</v>
      </c>
      <c r="C4" s="2">
        <f>('FL Characterization'!C$2-'FL Characterization'!C$3)*VLOOKUP($A4,'FL Ratio'!$A$2:$B$21,2,FALSE)</f>
        <v>8.3874567567321812</v>
      </c>
      <c r="D4" s="2">
        <f>('FL Characterization'!D$2-'FL Characterization'!D$3)*VLOOKUP($A4,'FL Ratio'!$A$2:$B$21,2,FALSE)</f>
        <v>8.8569564010264283</v>
      </c>
      <c r="E4" s="2">
        <f>('FL Characterization'!E$2-'FL Characterization'!E$3)*VLOOKUP($A4,'FL Ratio'!$A$2:$B$21,2,FALSE)</f>
        <v>9.2595543253495727</v>
      </c>
      <c r="F4" s="2">
        <f>('FL Characterization'!F$2-'FL Characterization'!F$3)*VLOOKUP($A4,'FL Ratio'!$A$2:$B$21,2,FALSE)</f>
        <v>9.3646573232923416</v>
      </c>
      <c r="G4" s="2">
        <f>('FL Characterization'!G$2-'FL Characterization'!G$3)*VLOOKUP($A4,'FL Ratio'!$A$2:$B$21,2,FALSE)</f>
        <v>9.7959556896149227</v>
      </c>
      <c r="H4" s="2">
        <f>('FL Characterization'!H$2-'FL Characterization'!H$3)*VLOOKUP($A4,'FL Ratio'!$A$2:$B$21,2,FALSE)</f>
        <v>9.7458783666779745</v>
      </c>
      <c r="I4" s="2">
        <f>('FL Characterization'!I$2-'FL Characterization'!I$3)*VLOOKUP($A4,'FL Ratio'!$A$2:$B$21,2,FALSE)</f>
        <v>9.2121293191215372</v>
      </c>
      <c r="J4" s="2">
        <f>('FL Characterization'!J$2-'FL Characterization'!J$3)*VLOOKUP($A4,'FL Ratio'!$A$2:$B$21,2,FALSE)</f>
        <v>8.3465635752350504</v>
      </c>
      <c r="K4" s="2">
        <f>('FL Characterization'!K$2-'FL Characterization'!K$3)*VLOOKUP($A4,'FL Ratio'!$A$2:$B$21,2,FALSE)</f>
        <v>12.256691999830148</v>
      </c>
      <c r="L4" s="2">
        <f>('FL Characterization'!L$2-'FL Characterization'!L$3)*VLOOKUP($A4,'FL Ratio'!$A$2:$B$21,2,FALSE)</f>
        <v>11.969153157812336</v>
      </c>
      <c r="M4" s="2">
        <f>('FL Characterization'!M$2-'FL Characterization'!M$3)*VLOOKUP($A4,'FL Ratio'!$A$2:$B$21,2,FALSE)</f>
        <v>11.021444769582633</v>
      </c>
      <c r="N4" s="2">
        <f>('FL Characterization'!N$2-'FL Characterization'!N$3)*VLOOKUP($A4,'FL Ratio'!$A$2:$B$21,2,FALSE)</f>
        <v>10.753639955615466</v>
      </c>
      <c r="O4" s="2">
        <f>('FL Characterization'!O$2-'FL Characterization'!O$3)*VLOOKUP($A4,'FL Ratio'!$A$2:$B$21,2,FALSE)</f>
        <v>10.797838636294601</v>
      </c>
      <c r="P4" s="2">
        <f>('FL Characterization'!P$2-'FL Characterization'!P$3)*VLOOKUP($A4,'FL Ratio'!$A$2:$B$21,2,FALSE)</f>
        <v>10.28627799941497</v>
      </c>
      <c r="Q4" s="2">
        <f>('FL Characterization'!Q$2-'FL Characterization'!Q$3)*VLOOKUP($A4,'FL Ratio'!$A$2:$B$21,2,FALSE)</f>
        <v>9.4289067265545299</v>
      </c>
      <c r="R4" s="2">
        <f>('FL Characterization'!R$2-'FL Characterization'!R$3)*VLOOKUP($A4,'FL Ratio'!$A$2:$B$21,2,FALSE)</f>
        <v>8.4740331245291056</v>
      </c>
      <c r="S4" s="2">
        <f>('FL Characterization'!S$2-'FL Characterization'!S$3)*VLOOKUP($A4,'FL Ratio'!$A$2:$B$21,2,FALSE)</f>
        <v>8.170045960234372</v>
      </c>
      <c r="T4" s="2">
        <f>('FL Characterization'!T$2-'FL Characterization'!T$3)*VLOOKUP($A4,'FL Ratio'!$A$2:$B$21,2,FALSE)</f>
        <v>5.1356570913793558</v>
      </c>
      <c r="U4" s="2">
        <f>('FL Characterization'!U$2-'FL Characterization'!U$3)*VLOOKUP($A4,'FL Ratio'!$A$2:$B$21,2,FALSE)</f>
        <v>5.49211658101237</v>
      </c>
      <c r="V4" s="2">
        <f>('FL Characterization'!V$2-'FL Characterization'!V$3)*VLOOKUP($A4,'FL Ratio'!$A$2:$B$21,2,FALSE)</f>
        <v>6.0046470948974973</v>
      </c>
      <c r="W4" s="2">
        <f>('FL Characterization'!W$2-'FL Characterization'!W$3)*VLOOKUP($A4,'FL Ratio'!$A$2:$B$21,2,FALSE)</f>
        <v>6.1479315774036554</v>
      </c>
      <c r="X4" s="2">
        <f>('FL Characterization'!X$2-'FL Characterization'!X$3)*VLOOKUP($A4,'FL Ratio'!$A$2:$B$21,2,FALSE)</f>
        <v>6.411876676757104</v>
      </c>
      <c r="Y4" s="2">
        <f>('FL Characterization'!Y$2-'FL Characterization'!Y$3)*VLOOKUP($A4,'FL Ratio'!$A$2:$B$21,2,FALSE)</f>
        <v>7.0775289970613002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7BEDA-3CED-4A36-B8B5-3C997C5803E9}">
  <dimension ref="A1:Y10"/>
  <sheetViews>
    <sheetView workbookViewId="0">
      <selection activeCell="B5" sqref="B5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Spring'!B$5</f>
        <v>11.615816940987557</v>
      </c>
      <c r="C5" s="9">
        <f>VLOOKUP($A5,'RES installed'!$A$2:$C$7,3,FALSE)*'[1]Profiles, RES, Spring'!C$5</f>
        <v>10.784825371336813</v>
      </c>
      <c r="D5" s="9">
        <f>VLOOKUP($A5,'RES installed'!$A$2:$C$7,3,FALSE)*'[1]Profiles, RES, Spring'!D$5</f>
        <v>10.839020473705339</v>
      </c>
      <c r="E5" s="9">
        <f>VLOOKUP($A5,'RES installed'!$A$2:$C$7,3,FALSE)*'[1]Profiles, RES, Spring'!E$5</f>
        <v>10.405459654757125</v>
      </c>
      <c r="F5" s="9">
        <f>VLOOKUP($A5,'RES installed'!$A$2:$C$7,3,FALSE)*'[1]Profiles, RES, Spring'!F$5</f>
        <v>10.306101967081492</v>
      </c>
      <c r="G5" s="9">
        <f>VLOOKUP($A5,'RES installed'!$A$2:$C$7,3,FALSE)*'[1]Profiles, RES, Spring'!G$5</f>
        <v>10.486752308309915</v>
      </c>
      <c r="H5" s="9">
        <f>VLOOKUP($A5,'RES installed'!$A$2:$C$7,3,FALSE)*'[1]Profiles, RES, Spring'!H$5</f>
        <v>9.4118827780008036</v>
      </c>
      <c r="I5" s="9">
        <f>VLOOKUP($A5,'RES installed'!$A$2:$C$7,3,FALSE)*'[1]Profiles, RES, Spring'!I$5</f>
        <v>7.5511842633480528</v>
      </c>
      <c r="J5" s="9">
        <f>VLOOKUP($A5,'RES installed'!$A$2:$C$7,3,FALSE)*'[1]Profiles, RES, Spring'!J$5</f>
        <v>5.9524287434765153</v>
      </c>
      <c r="K5" s="9">
        <f>VLOOKUP($A5,'RES installed'!$A$2:$C$7,3,FALSE)*'[1]Profiles, RES, Spring'!K$5</f>
        <v>4.4981934965877164</v>
      </c>
      <c r="L5" s="9">
        <f>VLOOKUP($A5,'RES installed'!$A$2:$C$7,3,FALSE)*'[1]Profiles, RES, Spring'!L$5</f>
        <v>4.2723805700521877</v>
      </c>
      <c r="M5" s="9">
        <f>VLOOKUP($A5,'RES installed'!$A$2:$C$7,3,FALSE)*'[1]Profiles, RES, Spring'!M$5</f>
        <v>5.2027298273785627</v>
      </c>
      <c r="N5" s="9">
        <f>VLOOKUP($A5,'RES installed'!$A$2:$C$7,3,FALSE)*'[1]Profiles, RES, Spring'!N$5</f>
        <v>6.8737454837414687</v>
      </c>
      <c r="O5" s="9">
        <f>VLOOKUP($A5,'RES installed'!$A$2:$C$7,3,FALSE)*'[1]Profiles, RES, Spring'!O$5</f>
        <v>9.5022079486150144</v>
      </c>
      <c r="P5" s="9">
        <f>VLOOKUP($A5,'RES installed'!$A$2:$C$7,3,FALSE)*'[1]Profiles, RES, Spring'!P$5</f>
        <v>12.401645925331193</v>
      </c>
      <c r="Q5" s="9">
        <f>VLOOKUP($A5,'RES installed'!$A$2:$C$7,3,FALSE)*'[1]Profiles, RES, Spring'!Q$5</f>
        <v>15.472701726214373</v>
      </c>
      <c r="R5" s="9">
        <f>VLOOKUP($A5,'RES installed'!$A$2:$C$7,3,FALSE)*'[1]Profiles, RES, Spring'!R$5</f>
        <v>19.26635889201124</v>
      </c>
      <c r="S5" s="9">
        <f>VLOOKUP($A5,'RES installed'!$A$2:$C$7,3,FALSE)*'[1]Profiles, RES, Spring'!S$5</f>
        <v>21.389000401445202</v>
      </c>
      <c r="T5" s="9">
        <f>VLOOKUP($A5,'RES installed'!$A$2:$C$7,3,FALSE)*'[1]Profiles, RES, Spring'!T$5</f>
        <v>21.461260537936575</v>
      </c>
      <c r="U5" s="9">
        <f>VLOOKUP($A5,'RES installed'!$A$2:$C$7,3,FALSE)*'[1]Profiles, RES, Spring'!U$5</f>
        <v>20.901244480128462</v>
      </c>
      <c r="V5" s="9">
        <f>VLOOKUP($A5,'RES installed'!$A$2:$C$7,3,FALSE)*'[1]Profiles, RES, Spring'!V$5</f>
        <v>18.950220794861501</v>
      </c>
      <c r="W5" s="9">
        <f>VLOOKUP($A5,'RES installed'!$A$2:$C$7,3,FALSE)*'[1]Profiles, RES, Spring'!W$5</f>
        <v>17.514050582095543</v>
      </c>
      <c r="X5" s="9">
        <f>VLOOKUP($A5,'RES installed'!$A$2:$C$7,3,FALSE)*'[1]Profiles, RES, Spring'!X$5</f>
        <v>17.48695303091128</v>
      </c>
      <c r="Y5" s="9">
        <f>VLOOKUP($A5,'RES installed'!$A$2:$C$7,3,FALSE)*'[1]Profiles, RES, Spring'!Y$5</f>
        <v>16.583701324769169</v>
      </c>
    </row>
    <row r="6" spans="1:25" x14ac:dyDescent="0.3">
      <c r="A6" s="8">
        <v>5</v>
      </c>
      <c r="B6" s="9">
        <f>VLOOKUP($A6,'RES installed'!$A$2:$C$7,3,FALSE)*'[1]Profiles, RES, Spring'!B$5</f>
        <v>15.487755921316742</v>
      </c>
      <c r="C6" s="9">
        <f>VLOOKUP($A6,'RES installed'!$A$2:$C$7,3,FALSE)*'[1]Profiles, RES, Spring'!C$5</f>
        <v>14.379767161782416</v>
      </c>
      <c r="D6" s="9">
        <f>VLOOKUP($A6,'RES installed'!$A$2:$C$7,3,FALSE)*'[1]Profiles, RES, Spring'!D$5</f>
        <v>14.452027298273785</v>
      </c>
      <c r="E6" s="9">
        <f>VLOOKUP($A6,'RES installed'!$A$2:$C$7,3,FALSE)*'[1]Profiles, RES, Spring'!E$5</f>
        <v>13.873946206342834</v>
      </c>
      <c r="F6" s="9">
        <f>VLOOKUP($A6,'RES installed'!$A$2:$C$7,3,FALSE)*'[1]Profiles, RES, Spring'!F$5</f>
        <v>13.741469289441991</v>
      </c>
      <c r="G6" s="9">
        <f>VLOOKUP($A6,'RES installed'!$A$2:$C$7,3,FALSE)*'[1]Profiles, RES, Spring'!G$5</f>
        <v>13.982336411079887</v>
      </c>
      <c r="H6" s="9">
        <f>VLOOKUP($A6,'RES installed'!$A$2:$C$7,3,FALSE)*'[1]Profiles, RES, Spring'!H$5</f>
        <v>12.549177037334404</v>
      </c>
      <c r="I6" s="9">
        <f>VLOOKUP($A6,'RES installed'!$A$2:$C$7,3,FALSE)*'[1]Profiles, RES, Spring'!I$5</f>
        <v>10.06824568446407</v>
      </c>
      <c r="J6" s="9">
        <f>VLOOKUP($A6,'RES installed'!$A$2:$C$7,3,FALSE)*'[1]Profiles, RES, Spring'!J$5</f>
        <v>7.9365716579686874</v>
      </c>
      <c r="K6" s="9">
        <f>VLOOKUP($A6,'RES installed'!$A$2:$C$7,3,FALSE)*'[1]Profiles, RES, Spring'!K$5</f>
        <v>5.9975913287836216</v>
      </c>
      <c r="L6" s="9">
        <f>VLOOKUP($A6,'RES installed'!$A$2:$C$7,3,FALSE)*'[1]Profiles, RES, Spring'!L$5</f>
        <v>5.6965074267362503</v>
      </c>
      <c r="M6" s="9">
        <f>VLOOKUP($A6,'RES installed'!$A$2:$C$7,3,FALSE)*'[1]Profiles, RES, Spring'!M$5</f>
        <v>6.9369731031714172</v>
      </c>
      <c r="N6" s="9">
        <f>VLOOKUP($A6,'RES installed'!$A$2:$C$7,3,FALSE)*'[1]Profiles, RES, Spring'!N$5</f>
        <v>9.1649939783219594</v>
      </c>
      <c r="O6" s="9">
        <f>VLOOKUP($A6,'RES installed'!$A$2:$C$7,3,FALSE)*'[1]Profiles, RES, Spring'!O$5</f>
        <v>12.669610598153353</v>
      </c>
      <c r="P6" s="9">
        <f>VLOOKUP($A6,'RES installed'!$A$2:$C$7,3,FALSE)*'[1]Profiles, RES, Spring'!P$5</f>
        <v>16.53552790044159</v>
      </c>
      <c r="Q6" s="9">
        <f>VLOOKUP($A6,'RES installed'!$A$2:$C$7,3,FALSE)*'[1]Profiles, RES, Spring'!Q$5</f>
        <v>20.630268968285829</v>
      </c>
      <c r="R6" s="9">
        <f>VLOOKUP($A6,'RES installed'!$A$2:$C$7,3,FALSE)*'[1]Profiles, RES, Spring'!R$5</f>
        <v>25.688478522681656</v>
      </c>
      <c r="S6" s="9">
        <f>VLOOKUP($A6,'RES installed'!$A$2:$C$7,3,FALSE)*'[1]Profiles, RES, Spring'!S$5</f>
        <v>28.518667201926938</v>
      </c>
      <c r="T6" s="9">
        <f>VLOOKUP($A6,'RES installed'!$A$2:$C$7,3,FALSE)*'[1]Profiles, RES, Spring'!T$5</f>
        <v>28.615014050582097</v>
      </c>
      <c r="U6" s="9">
        <f>VLOOKUP($A6,'RES installed'!$A$2:$C$7,3,FALSE)*'[1]Profiles, RES, Spring'!U$5</f>
        <v>27.868325973504618</v>
      </c>
      <c r="V6" s="9">
        <f>VLOOKUP($A6,'RES installed'!$A$2:$C$7,3,FALSE)*'[1]Profiles, RES, Spring'!V$5</f>
        <v>25.266961059815333</v>
      </c>
      <c r="W6" s="9">
        <f>VLOOKUP($A6,'RES installed'!$A$2:$C$7,3,FALSE)*'[1]Profiles, RES, Spring'!W$5</f>
        <v>23.352067442794059</v>
      </c>
      <c r="X6" s="9">
        <f>VLOOKUP($A6,'RES installed'!$A$2:$C$7,3,FALSE)*'[1]Profiles, RES, Spring'!X$5</f>
        <v>23.315937374548376</v>
      </c>
      <c r="Y6" s="9">
        <f>VLOOKUP($A6,'RES installed'!$A$2:$C$7,3,FALSE)*'[1]Profiles, RES, Spring'!Y$5</f>
        <v>22.111601766358891</v>
      </c>
    </row>
    <row r="7" spans="1:25" x14ac:dyDescent="0.3">
      <c r="A7" s="8">
        <v>6</v>
      </c>
      <c r="B7" s="9">
        <f>VLOOKUP($A7,'RES installed'!$A$2:$C$7,3,FALSE)*'[1]Profiles, RES, Spring'!B$5</f>
        <v>11.615816940987557</v>
      </c>
      <c r="C7" s="9">
        <f>VLOOKUP($A7,'RES installed'!$A$2:$C$7,3,FALSE)*'[1]Profiles, RES, Spring'!C$5</f>
        <v>10.784825371336813</v>
      </c>
      <c r="D7" s="9">
        <f>VLOOKUP($A7,'RES installed'!$A$2:$C$7,3,FALSE)*'[1]Profiles, RES, Spring'!D$5</f>
        <v>10.839020473705339</v>
      </c>
      <c r="E7" s="9">
        <f>VLOOKUP($A7,'RES installed'!$A$2:$C$7,3,FALSE)*'[1]Profiles, RES, Spring'!E$5</f>
        <v>10.405459654757125</v>
      </c>
      <c r="F7" s="9">
        <f>VLOOKUP($A7,'RES installed'!$A$2:$C$7,3,FALSE)*'[1]Profiles, RES, Spring'!F$5</f>
        <v>10.306101967081492</v>
      </c>
      <c r="G7" s="9">
        <f>VLOOKUP($A7,'RES installed'!$A$2:$C$7,3,FALSE)*'[1]Profiles, RES, Spring'!G$5</f>
        <v>10.486752308309915</v>
      </c>
      <c r="H7" s="9">
        <f>VLOOKUP($A7,'RES installed'!$A$2:$C$7,3,FALSE)*'[1]Profiles, RES, Spring'!H$5</f>
        <v>9.4118827780008036</v>
      </c>
      <c r="I7" s="9">
        <f>VLOOKUP($A7,'RES installed'!$A$2:$C$7,3,FALSE)*'[1]Profiles, RES, Spring'!I$5</f>
        <v>7.5511842633480528</v>
      </c>
      <c r="J7" s="9">
        <f>VLOOKUP($A7,'RES installed'!$A$2:$C$7,3,FALSE)*'[1]Profiles, RES, Spring'!J$5</f>
        <v>5.9524287434765153</v>
      </c>
      <c r="K7" s="9">
        <f>VLOOKUP($A7,'RES installed'!$A$2:$C$7,3,FALSE)*'[1]Profiles, RES, Spring'!K$5</f>
        <v>4.4981934965877164</v>
      </c>
      <c r="L7" s="9">
        <f>VLOOKUP($A7,'RES installed'!$A$2:$C$7,3,FALSE)*'[1]Profiles, RES, Spring'!L$5</f>
        <v>4.2723805700521877</v>
      </c>
      <c r="M7" s="9">
        <f>VLOOKUP($A7,'RES installed'!$A$2:$C$7,3,FALSE)*'[1]Profiles, RES, Spring'!M$5</f>
        <v>5.2027298273785627</v>
      </c>
      <c r="N7" s="9">
        <f>VLOOKUP($A7,'RES installed'!$A$2:$C$7,3,FALSE)*'[1]Profiles, RES, Spring'!N$5</f>
        <v>6.8737454837414687</v>
      </c>
      <c r="O7" s="9">
        <f>VLOOKUP($A7,'RES installed'!$A$2:$C$7,3,FALSE)*'[1]Profiles, RES, Spring'!O$5</f>
        <v>9.5022079486150144</v>
      </c>
      <c r="P7" s="9">
        <f>VLOOKUP($A7,'RES installed'!$A$2:$C$7,3,FALSE)*'[1]Profiles, RES, Spring'!P$5</f>
        <v>12.401645925331193</v>
      </c>
      <c r="Q7" s="9">
        <f>VLOOKUP($A7,'RES installed'!$A$2:$C$7,3,FALSE)*'[1]Profiles, RES, Spring'!Q$5</f>
        <v>15.472701726214373</v>
      </c>
      <c r="R7" s="9">
        <f>VLOOKUP($A7,'RES installed'!$A$2:$C$7,3,FALSE)*'[1]Profiles, RES, Spring'!R$5</f>
        <v>19.26635889201124</v>
      </c>
      <c r="S7" s="9">
        <f>VLOOKUP($A7,'RES installed'!$A$2:$C$7,3,FALSE)*'[1]Profiles, RES, Spring'!S$5</f>
        <v>21.389000401445202</v>
      </c>
      <c r="T7" s="9">
        <f>VLOOKUP($A7,'RES installed'!$A$2:$C$7,3,FALSE)*'[1]Profiles, RES, Spring'!T$5</f>
        <v>21.461260537936575</v>
      </c>
      <c r="U7" s="9">
        <f>VLOOKUP($A7,'RES installed'!$A$2:$C$7,3,FALSE)*'[1]Profiles, RES, Spring'!U$5</f>
        <v>20.901244480128462</v>
      </c>
      <c r="V7" s="9">
        <f>VLOOKUP($A7,'RES installed'!$A$2:$C$7,3,FALSE)*'[1]Profiles, RES, Spring'!V$5</f>
        <v>18.950220794861501</v>
      </c>
      <c r="W7" s="9">
        <f>VLOOKUP($A7,'RES installed'!$A$2:$C$7,3,FALSE)*'[1]Profiles, RES, Spring'!W$5</f>
        <v>17.514050582095543</v>
      </c>
      <c r="X7" s="9">
        <f>VLOOKUP($A7,'RES installed'!$A$2:$C$7,3,FALSE)*'[1]Profiles, RES, Spring'!X$5</f>
        <v>17.48695303091128</v>
      </c>
      <c r="Y7" s="9">
        <f>VLOOKUP($A7,'RES installed'!$A$2:$C$7,3,FALSE)*'[1]Profiles, RES, Spring'!Y$5</f>
        <v>16.583701324769169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0.71076573161485967</v>
      </c>
      <c r="H8" s="6">
        <f>VLOOKUP($A8,'RES installed'!$A$2:$C$7,3,FALSE)*'[1]Profiles, RES, Spring'!H$2</f>
        <v>7.136087945413192</v>
      </c>
      <c r="I8" s="6">
        <f>VLOOKUP($A8,'RES installed'!$A$2:$C$7,3,FALSE)*'[1]Profiles, RES, Spring'!I$2</f>
        <v>19.929871114480665</v>
      </c>
      <c r="J8" s="6">
        <f>VLOOKUP($A8,'RES installed'!$A$2:$C$7,3,FALSE)*'[1]Profiles, RES, Spring'!J$2</f>
        <v>30.790371493555725</v>
      </c>
      <c r="K8" s="6">
        <f>VLOOKUP($A8,'RES installed'!$A$2:$C$7,3,FALSE)*'[1]Profiles, RES, Spring'!K$2</f>
        <v>36.021607278241092</v>
      </c>
      <c r="L8" s="6">
        <f>VLOOKUP($A8,'RES installed'!$A$2:$C$7,3,FALSE)*'[1]Profiles, RES, Spring'!L$2</f>
        <v>41.167551175132679</v>
      </c>
      <c r="M8" s="6">
        <f>VLOOKUP($A8,'RES installed'!$A$2:$C$7,3,FALSE)*'[1]Profiles, RES, Spring'!M$2</f>
        <v>43.385140257771042</v>
      </c>
      <c r="N8" s="6">
        <f>VLOOKUP($A8,'RES installed'!$A$2:$C$7,3,FALSE)*'[1]Profiles, RES, Spring'!N$2</f>
        <v>46.796815769522368</v>
      </c>
      <c r="O8" s="6">
        <f>VLOOKUP($A8,'RES installed'!$A$2:$C$7,3,FALSE)*'[1]Profiles, RES, Spring'!O$2</f>
        <v>47.052691432903721</v>
      </c>
      <c r="P8" s="6">
        <f>VLOOKUP($A8,'RES installed'!$A$2:$C$7,3,FALSE)*'[1]Profiles, RES, Spring'!P$2</f>
        <v>47.30856709628506</v>
      </c>
      <c r="Q8" s="6">
        <f>VLOOKUP($A8,'RES installed'!$A$2:$C$7,3,FALSE)*'[1]Profiles, RES, Spring'!Q$2</f>
        <v>43.271417740712657</v>
      </c>
      <c r="R8" s="6">
        <f>VLOOKUP($A8,'RES installed'!$A$2:$C$7,3,FALSE)*'[1]Profiles, RES, Spring'!R$2</f>
        <v>34.429492039423806</v>
      </c>
      <c r="S8" s="6">
        <f>VLOOKUP($A8,'RES installed'!$A$2:$C$7,3,FALSE)*'[1]Profiles, RES, Spring'!S$2</f>
        <v>22.687642153146324</v>
      </c>
      <c r="T8" s="6">
        <f>VLOOKUP($A8,'RES installed'!$A$2:$C$7,3,FALSE)*'[1]Profiles, RES, Spring'!T$2</f>
        <v>8.3586050037907516</v>
      </c>
      <c r="U8" s="6">
        <f>VLOOKUP($A8,'RES installed'!$A$2:$C$7,3,FALSE)*'[1]Profiles, RES, Spring'!U$2</f>
        <v>0.73919636087945406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  <row r="9" spans="1:25" x14ac:dyDescent="0.3">
      <c r="A9" s="5">
        <v>8</v>
      </c>
      <c r="B9" s="6">
        <f>VLOOKUP($A9,'RES installed'!$A$2:$C$7,3,FALSE)*'[1]Profiles, RES, Spring'!B$2</f>
        <v>0</v>
      </c>
      <c r="C9" s="6">
        <f>VLOOKUP($A9,'RES installed'!$A$2:$C$7,3,FALSE)*'[1]Profiles, RES, Spring'!C$2</f>
        <v>0</v>
      </c>
      <c r="D9" s="6">
        <f>VLOOKUP($A9,'RES installed'!$A$2:$C$7,3,FALSE)*'[1]Profiles, RES, Spring'!D$2</f>
        <v>0</v>
      </c>
      <c r="E9" s="6">
        <f>VLOOKUP($A9,'RES installed'!$A$2:$C$7,3,FALSE)*'[1]Profiles, RES, Spring'!E$2</f>
        <v>0</v>
      </c>
      <c r="F9" s="6">
        <f>VLOOKUP($A9,'RES installed'!$A$2:$C$7,3,FALSE)*'[1]Profiles, RES, Spring'!F$2</f>
        <v>0</v>
      </c>
      <c r="G9" s="6">
        <f>VLOOKUP($A9,'RES installed'!$A$2:$C$7,3,FALSE)*'[1]Profiles, RES, Spring'!G$2</f>
        <v>0.47384382107657314</v>
      </c>
      <c r="H9" s="6">
        <f>VLOOKUP($A9,'RES installed'!$A$2:$C$7,3,FALSE)*'[1]Profiles, RES, Spring'!H$2</f>
        <v>4.7573919636087947</v>
      </c>
      <c r="I9" s="6">
        <f>VLOOKUP($A9,'RES installed'!$A$2:$C$7,3,FALSE)*'[1]Profiles, RES, Spring'!I$2</f>
        <v>13.286580742987111</v>
      </c>
      <c r="J9" s="6">
        <f>VLOOKUP($A9,'RES installed'!$A$2:$C$7,3,FALSE)*'[1]Profiles, RES, Spring'!J$2</f>
        <v>20.526914329037147</v>
      </c>
      <c r="K9" s="6">
        <f>VLOOKUP($A9,'RES installed'!$A$2:$C$7,3,FALSE)*'[1]Profiles, RES, Spring'!K$2</f>
        <v>24.014404852160727</v>
      </c>
      <c r="L9" s="6">
        <f>VLOOKUP($A9,'RES installed'!$A$2:$C$7,3,FALSE)*'[1]Profiles, RES, Spring'!L$2</f>
        <v>27.445034116755117</v>
      </c>
      <c r="M9" s="6">
        <f>VLOOKUP($A9,'RES installed'!$A$2:$C$7,3,FALSE)*'[1]Profiles, RES, Spring'!M$2</f>
        <v>28.923426838514025</v>
      </c>
      <c r="N9" s="6">
        <f>VLOOKUP($A9,'RES installed'!$A$2:$C$7,3,FALSE)*'[1]Profiles, RES, Spring'!N$2</f>
        <v>31.197877179681576</v>
      </c>
      <c r="O9" s="6">
        <f>VLOOKUP($A9,'RES installed'!$A$2:$C$7,3,FALSE)*'[1]Profiles, RES, Spring'!O$2</f>
        <v>31.368460955269146</v>
      </c>
      <c r="P9" s="6">
        <f>VLOOKUP($A9,'RES installed'!$A$2:$C$7,3,FALSE)*'[1]Profiles, RES, Spring'!P$2</f>
        <v>31.539044730856709</v>
      </c>
      <c r="Q9" s="6">
        <f>VLOOKUP($A9,'RES installed'!$A$2:$C$7,3,FALSE)*'[1]Profiles, RES, Spring'!Q$2</f>
        <v>28.847611827141773</v>
      </c>
      <c r="R9" s="6">
        <f>VLOOKUP($A9,'RES installed'!$A$2:$C$7,3,FALSE)*'[1]Profiles, RES, Spring'!R$2</f>
        <v>22.952994692949204</v>
      </c>
      <c r="S9" s="6">
        <f>VLOOKUP($A9,'RES installed'!$A$2:$C$7,3,FALSE)*'[1]Profiles, RES, Spring'!S$2</f>
        <v>15.125094768764216</v>
      </c>
      <c r="T9" s="6">
        <f>VLOOKUP($A9,'RES installed'!$A$2:$C$7,3,FALSE)*'[1]Profiles, RES, Spring'!T$2</f>
        <v>5.5724033358605007</v>
      </c>
      <c r="U9" s="6">
        <f>VLOOKUP($A9,'RES installed'!$A$2:$C$7,3,FALSE)*'[1]Profiles, RES, Spring'!U$2</f>
        <v>0.49279757391963608</v>
      </c>
      <c r="V9" s="6">
        <f>VLOOKUP($A9,'RES installed'!$A$2:$C$7,3,FALSE)*'[1]Profiles, RES, Spring'!V$2</f>
        <v>0</v>
      </c>
      <c r="W9" s="6">
        <f>VLOOKUP($A9,'RES installed'!$A$2:$C$7,3,FALSE)*'[1]Profiles, RES, Spring'!W$2</f>
        <v>0</v>
      </c>
      <c r="X9" s="6">
        <f>VLOOKUP($A9,'RES installed'!$A$2:$C$7,3,FALSE)*'[1]Profiles, RES, Spring'!X$2</f>
        <v>0</v>
      </c>
      <c r="Y9" s="6">
        <f>VLOOKUP($A9,'RES installed'!$A$2:$C$7,3,FALSE)*'[1]Profiles, RES, Spring'!Y$2</f>
        <v>0</v>
      </c>
    </row>
    <row r="10" spans="1:25" x14ac:dyDescent="0.3">
      <c r="A10" s="5">
        <v>9</v>
      </c>
      <c r="B10" s="6">
        <f>VLOOKUP($A10,'RES installed'!$A$2:$C$7,3,FALSE)*'[1]Profiles, RES, Spring'!B$2</f>
        <v>0</v>
      </c>
      <c r="C10" s="6">
        <f>VLOOKUP($A10,'RES installed'!$A$2:$C$7,3,FALSE)*'[1]Profiles, RES, Spring'!C$2</f>
        <v>0</v>
      </c>
      <c r="D10" s="6">
        <f>VLOOKUP($A10,'RES installed'!$A$2:$C$7,3,FALSE)*'[1]Profiles, RES, Spring'!D$2</f>
        <v>0</v>
      </c>
      <c r="E10" s="6">
        <f>VLOOKUP($A10,'RES installed'!$A$2:$C$7,3,FALSE)*'[1]Profiles, RES, Spring'!E$2</f>
        <v>0</v>
      </c>
      <c r="F10" s="6">
        <f>VLOOKUP($A10,'RES installed'!$A$2:$C$7,3,FALSE)*'[1]Profiles, RES, Spring'!F$2</f>
        <v>0</v>
      </c>
      <c r="G10" s="6">
        <f>VLOOKUP($A10,'RES installed'!$A$2:$C$7,3,FALSE)*'[1]Profiles, RES, Spring'!G$2</f>
        <v>0.56861258529188774</v>
      </c>
      <c r="H10" s="6">
        <f>VLOOKUP($A10,'RES installed'!$A$2:$C$7,3,FALSE)*'[1]Profiles, RES, Spring'!H$2</f>
        <v>5.7088703563305536</v>
      </c>
      <c r="I10" s="6">
        <f>VLOOKUP($A10,'RES installed'!$A$2:$C$7,3,FALSE)*'[1]Profiles, RES, Spring'!I$2</f>
        <v>15.943896891584533</v>
      </c>
      <c r="J10" s="6">
        <f>VLOOKUP($A10,'RES installed'!$A$2:$C$7,3,FALSE)*'[1]Profiles, RES, Spring'!J$2</f>
        <v>24.632297194844579</v>
      </c>
      <c r="K10" s="6">
        <f>VLOOKUP($A10,'RES installed'!$A$2:$C$7,3,FALSE)*'[1]Profiles, RES, Spring'!K$2</f>
        <v>28.817285822592876</v>
      </c>
      <c r="L10" s="6">
        <f>VLOOKUP($A10,'RES installed'!$A$2:$C$7,3,FALSE)*'[1]Profiles, RES, Spring'!L$2</f>
        <v>32.934040940106144</v>
      </c>
      <c r="M10" s="6">
        <f>VLOOKUP($A10,'RES installed'!$A$2:$C$7,3,FALSE)*'[1]Profiles, RES, Spring'!M$2</f>
        <v>34.708112206216832</v>
      </c>
      <c r="N10" s="6">
        <f>VLOOKUP($A10,'RES installed'!$A$2:$C$7,3,FALSE)*'[1]Profiles, RES, Spring'!N$2</f>
        <v>37.437452615617893</v>
      </c>
      <c r="O10" s="6">
        <f>VLOOKUP($A10,'RES installed'!$A$2:$C$7,3,FALSE)*'[1]Profiles, RES, Spring'!O$2</f>
        <v>37.642153146322975</v>
      </c>
      <c r="P10" s="6">
        <f>VLOOKUP($A10,'RES installed'!$A$2:$C$7,3,FALSE)*'[1]Profiles, RES, Spring'!P$2</f>
        <v>37.846853677028051</v>
      </c>
      <c r="Q10" s="6">
        <f>VLOOKUP($A10,'RES installed'!$A$2:$C$7,3,FALSE)*'[1]Profiles, RES, Spring'!Q$2</f>
        <v>34.617134192570127</v>
      </c>
      <c r="R10" s="6">
        <f>VLOOKUP($A10,'RES installed'!$A$2:$C$7,3,FALSE)*'[1]Profiles, RES, Spring'!R$2</f>
        <v>27.543593631539046</v>
      </c>
      <c r="S10" s="6">
        <f>VLOOKUP($A10,'RES installed'!$A$2:$C$7,3,FALSE)*'[1]Profiles, RES, Spring'!S$2</f>
        <v>18.150113722517059</v>
      </c>
      <c r="T10" s="6">
        <f>VLOOKUP($A10,'RES installed'!$A$2:$C$7,3,FALSE)*'[1]Profiles, RES, Spring'!T$2</f>
        <v>6.6868840030326009</v>
      </c>
      <c r="U10" s="6">
        <f>VLOOKUP($A10,'RES installed'!$A$2:$C$7,3,FALSE)*'[1]Profiles, RES, Spring'!U$2</f>
        <v>0.59135708870356329</v>
      </c>
      <c r="V10" s="6">
        <f>VLOOKUP($A10,'RES installed'!$A$2:$C$7,3,FALSE)*'[1]Profiles, RES, Spring'!V$2</f>
        <v>0</v>
      </c>
      <c r="W10" s="6">
        <f>VLOOKUP($A10,'RES installed'!$A$2:$C$7,3,FALSE)*'[1]Profiles, RES, Spring'!W$2</f>
        <v>0</v>
      </c>
      <c r="X10" s="6">
        <f>VLOOKUP($A10,'RES installed'!$A$2:$C$7,3,FALSE)*'[1]Profiles, RES, Spring'!X$2</f>
        <v>0</v>
      </c>
      <c r="Y10" s="6">
        <f>VLOOKUP($A10,'RES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8DCCF-8843-49E7-A2BE-F57333158CF0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Spring'!B$6</f>
        <v>15.228823765556003</v>
      </c>
      <c r="C5" s="9">
        <f>VLOOKUP($A5,'RES installed'!$A$2:$C$7,3,FALSE)*'[1]Profiles, RES, Spring'!C$6</f>
        <v>13.819751103974308</v>
      </c>
      <c r="D5" s="9">
        <f>VLOOKUP($A5,'RES installed'!$A$2:$C$7,3,FALSE)*'[1]Profiles, RES, Spring'!D$6</f>
        <v>12.058410276997192</v>
      </c>
      <c r="E5" s="9">
        <f>VLOOKUP($A5,'RES installed'!$A$2:$C$7,3,FALSE)*'[1]Profiles, RES, Spring'!E$6</f>
        <v>10.857085507828181</v>
      </c>
      <c r="F5" s="9">
        <f>VLOOKUP($A5,'RES installed'!$A$2:$C$7,3,FALSE)*'[1]Profiles, RES, Spring'!F$6</f>
        <v>10.613207547169811</v>
      </c>
      <c r="G5" s="9">
        <f>VLOOKUP($A5,'RES installed'!$A$2:$C$7,3,FALSE)*'[1]Profiles, RES, Spring'!G$6</f>
        <v>10.730630268968287</v>
      </c>
      <c r="H5" s="9">
        <f>VLOOKUP($A5,'RES installed'!$A$2:$C$7,3,FALSE)*'[1]Profiles, RES, Spring'!H$6</f>
        <v>9.1589723002810111</v>
      </c>
      <c r="I5" s="9">
        <f>VLOOKUP($A5,'RES installed'!$A$2:$C$7,3,FALSE)*'[1]Profiles, RES, Spring'!I$6</f>
        <v>6.8918105178643119</v>
      </c>
      <c r="J5" s="9">
        <f>VLOOKUP($A5,'RES installed'!$A$2:$C$7,3,FALSE)*'[1]Profiles, RES, Spring'!J$6</f>
        <v>6.2775993576876754</v>
      </c>
      <c r="K5" s="9">
        <f>VLOOKUP($A5,'RES installed'!$A$2:$C$7,3,FALSE)*'[1]Profiles, RES, Spring'!K$6</f>
        <v>6.5395423524688878</v>
      </c>
      <c r="L5" s="9">
        <f>VLOOKUP($A5,'RES installed'!$A$2:$C$7,3,FALSE)*'[1]Profiles, RES, Spring'!L$6</f>
        <v>7.3253713368125251</v>
      </c>
      <c r="M5" s="9">
        <f>VLOOKUP($A5,'RES installed'!$A$2:$C$7,3,FALSE)*'[1]Profiles, RES, Spring'!M$6</f>
        <v>8.4002408671216386</v>
      </c>
      <c r="N5" s="9">
        <f>VLOOKUP($A5,'RES installed'!$A$2:$C$7,3,FALSE)*'[1]Profiles, RES, Spring'!N$6</f>
        <v>10.92031312725813</v>
      </c>
      <c r="O5" s="9">
        <f>VLOOKUP($A5,'RES installed'!$A$2:$C$7,3,FALSE)*'[1]Profiles, RES, Spring'!O$6</f>
        <v>13.557808109193095</v>
      </c>
      <c r="P5" s="9">
        <f>VLOOKUP($A5,'RES installed'!$A$2:$C$7,3,FALSE)*'[1]Profiles, RES, Spring'!P$6</f>
        <v>15.400441589723002</v>
      </c>
      <c r="Q5" s="9">
        <f>VLOOKUP($A5,'RES installed'!$A$2:$C$7,3,FALSE)*'[1]Profiles, RES, Spring'!Q$6</f>
        <v>16.945002007226016</v>
      </c>
      <c r="R5" s="9">
        <f>VLOOKUP($A5,'RES installed'!$A$2:$C$7,3,FALSE)*'[1]Profiles, RES, Spring'!R$6</f>
        <v>18.570855078281813</v>
      </c>
      <c r="S5" s="9">
        <f>VLOOKUP($A5,'RES installed'!$A$2:$C$7,3,FALSE)*'[1]Profiles, RES, Spring'!S$6</f>
        <v>17.766961059815333</v>
      </c>
      <c r="T5" s="9">
        <f>VLOOKUP($A5,'RES installed'!$A$2:$C$7,3,FALSE)*'[1]Profiles, RES, Spring'!T$6</f>
        <v>15.716579686872743</v>
      </c>
      <c r="U5" s="9">
        <f>VLOOKUP($A5,'RES installed'!$A$2:$C$7,3,FALSE)*'[1]Profiles, RES, Spring'!U$6</f>
        <v>15.120433560818947</v>
      </c>
      <c r="V5" s="9">
        <f>VLOOKUP($A5,'RES installed'!$A$2:$C$7,3,FALSE)*'[1]Profiles, RES, Spring'!V$6</f>
        <v>14.063629064632678</v>
      </c>
      <c r="W5" s="9">
        <f>VLOOKUP($A5,'RES installed'!$A$2:$C$7,3,FALSE)*'[1]Profiles, RES, Spring'!W$6</f>
        <v>13.341027699718989</v>
      </c>
      <c r="X5" s="9">
        <f>VLOOKUP($A5,'RES installed'!$A$2:$C$7,3,FALSE)*'[1]Profiles, RES, Spring'!X$6</f>
        <v>12.094540345242873</v>
      </c>
      <c r="Y5" s="9">
        <f>VLOOKUP($A5,'RES installed'!$A$2:$C$7,3,FALSE)*'[1]Profiles, RES, Spring'!Y$6</f>
        <v>10.784825371336813</v>
      </c>
    </row>
    <row r="6" spans="1:25" x14ac:dyDescent="0.3">
      <c r="A6" s="8">
        <v>5</v>
      </c>
      <c r="B6" s="9">
        <f>VLOOKUP($A6,'RES installed'!$A$2:$C$7,3,FALSE)*'[1]Profiles, RES, Spring'!B$6</f>
        <v>20.305098354074669</v>
      </c>
      <c r="C6" s="9">
        <f>VLOOKUP($A6,'RES installed'!$A$2:$C$7,3,FALSE)*'[1]Profiles, RES, Spring'!C$6</f>
        <v>18.426334805299078</v>
      </c>
      <c r="D6" s="9">
        <f>VLOOKUP($A6,'RES installed'!$A$2:$C$7,3,FALSE)*'[1]Profiles, RES, Spring'!D$6</f>
        <v>16.077880369329588</v>
      </c>
      <c r="E6" s="9">
        <f>VLOOKUP($A6,'RES installed'!$A$2:$C$7,3,FALSE)*'[1]Profiles, RES, Spring'!E$6</f>
        <v>14.476114010437575</v>
      </c>
      <c r="F6" s="9">
        <f>VLOOKUP($A6,'RES installed'!$A$2:$C$7,3,FALSE)*'[1]Profiles, RES, Spring'!F$6</f>
        <v>14.150943396226415</v>
      </c>
      <c r="G6" s="9">
        <f>VLOOKUP($A6,'RES installed'!$A$2:$C$7,3,FALSE)*'[1]Profiles, RES, Spring'!G$6</f>
        <v>14.307507025291049</v>
      </c>
      <c r="H6" s="9">
        <f>VLOOKUP($A6,'RES installed'!$A$2:$C$7,3,FALSE)*'[1]Profiles, RES, Spring'!H$6</f>
        <v>12.211963067041349</v>
      </c>
      <c r="I6" s="9">
        <f>VLOOKUP($A6,'RES installed'!$A$2:$C$7,3,FALSE)*'[1]Profiles, RES, Spring'!I$6</f>
        <v>9.1890806904857492</v>
      </c>
      <c r="J6" s="9">
        <f>VLOOKUP($A6,'RES installed'!$A$2:$C$7,3,FALSE)*'[1]Profiles, RES, Spring'!J$6</f>
        <v>8.3701324769169005</v>
      </c>
      <c r="K6" s="9">
        <f>VLOOKUP($A6,'RES installed'!$A$2:$C$7,3,FALSE)*'[1]Profiles, RES, Spring'!K$6</f>
        <v>8.7193898032918504</v>
      </c>
      <c r="L6" s="9">
        <f>VLOOKUP($A6,'RES installed'!$A$2:$C$7,3,FALSE)*'[1]Profiles, RES, Spring'!L$6</f>
        <v>9.7671617824167001</v>
      </c>
      <c r="M6" s="9">
        <f>VLOOKUP($A6,'RES installed'!$A$2:$C$7,3,FALSE)*'[1]Profiles, RES, Spring'!M$6</f>
        <v>11.200321156162184</v>
      </c>
      <c r="N6" s="9">
        <f>VLOOKUP($A6,'RES installed'!$A$2:$C$7,3,FALSE)*'[1]Profiles, RES, Spring'!N$6</f>
        <v>14.560417503010839</v>
      </c>
      <c r="O6" s="9">
        <f>VLOOKUP($A6,'RES installed'!$A$2:$C$7,3,FALSE)*'[1]Profiles, RES, Spring'!O$6</f>
        <v>18.077077478924128</v>
      </c>
      <c r="P6" s="9">
        <f>VLOOKUP($A6,'RES installed'!$A$2:$C$7,3,FALSE)*'[1]Profiles, RES, Spring'!P$6</f>
        <v>20.53392211963067</v>
      </c>
      <c r="Q6" s="9">
        <f>VLOOKUP($A6,'RES installed'!$A$2:$C$7,3,FALSE)*'[1]Profiles, RES, Spring'!Q$6</f>
        <v>22.593336009634687</v>
      </c>
      <c r="R6" s="9">
        <f>VLOOKUP($A6,'RES installed'!$A$2:$C$7,3,FALSE)*'[1]Profiles, RES, Spring'!R$6</f>
        <v>24.761140104375752</v>
      </c>
      <c r="S6" s="9">
        <f>VLOOKUP($A6,'RES installed'!$A$2:$C$7,3,FALSE)*'[1]Profiles, RES, Spring'!S$6</f>
        <v>23.689281413087112</v>
      </c>
      <c r="T6" s="9">
        <f>VLOOKUP($A6,'RES installed'!$A$2:$C$7,3,FALSE)*'[1]Profiles, RES, Spring'!T$6</f>
        <v>20.955439582496989</v>
      </c>
      <c r="U6" s="9">
        <f>VLOOKUP($A6,'RES installed'!$A$2:$C$7,3,FALSE)*'[1]Profiles, RES, Spring'!U$6</f>
        <v>20.160578081091931</v>
      </c>
      <c r="V6" s="9">
        <f>VLOOKUP($A6,'RES installed'!$A$2:$C$7,3,FALSE)*'[1]Profiles, RES, Spring'!V$6</f>
        <v>18.751505419510238</v>
      </c>
      <c r="W6" s="9">
        <f>VLOOKUP($A6,'RES installed'!$A$2:$C$7,3,FALSE)*'[1]Profiles, RES, Spring'!W$6</f>
        <v>17.788036932958651</v>
      </c>
      <c r="X6" s="9">
        <f>VLOOKUP($A6,'RES installed'!$A$2:$C$7,3,FALSE)*'[1]Profiles, RES, Spring'!X$6</f>
        <v>16.126053793657164</v>
      </c>
      <c r="Y6" s="9">
        <f>VLOOKUP($A6,'RES installed'!$A$2:$C$7,3,FALSE)*'[1]Profiles, RES, Spring'!Y$6</f>
        <v>14.379767161782416</v>
      </c>
    </row>
    <row r="7" spans="1:25" x14ac:dyDescent="0.3">
      <c r="A7" s="8">
        <v>6</v>
      </c>
      <c r="B7" s="9">
        <f>VLOOKUP($A7,'RES installed'!$A$2:$C$7,3,FALSE)*'[1]Profiles, RES, Spring'!B$6</f>
        <v>15.228823765556003</v>
      </c>
      <c r="C7" s="9">
        <f>VLOOKUP($A7,'RES installed'!$A$2:$C$7,3,FALSE)*'[1]Profiles, RES, Spring'!C$6</f>
        <v>13.819751103974308</v>
      </c>
      <c r="D7" s="9">
        <f>VLOOKUP($A7,'RES installed'!$A$2:$C$7,3,FALSE)*'[1]Profiles, RES, Spring'!D$6</f>
        <v>12.058410276997192</v>
      </c>
      <c r="E7" s="9">
        <f>VLOOKUP($A7,'RES installed'!$A$2:$C$7,3,FALSE)*'[1]Profiles, RES, Spring'!E$6</f>
        <v>10.857085507828181</v>
      </c>
      <c r="F7" s="9">
        <f>VLOOKUP($A7,'RES installed'!$A$2:$C$7,3,FALSE)*'[1]Profiles, RES, Spring'!F$6</f>
        <v>10.613207547169811</v>
      </c>
      <c r="G7" s="9">
        <f>VLOOKUP($A7,'RES installed'!$A$2:$C$7,3,FALSE)*'[1]Profiles, RES, Spring'!G$6</f>
        <v>10.730630268968287</v>
      </c>
      <c r="H7" s="9">
        <f>VLOOKUP($A7,'RES installed'!$A$2:$C$7,3,FALSE)*'[1]Profiles, RES, Spring'!H$6</f>
        <v>9.1589723002810111</v>
      </c>
      <c r="I7" s="9">
        <f>VLOOKUP($A7,'RES installed'!$A$2:$C$7,3,FALSE)*'[1]Profiles, RES, Spring'!I$6</f>
        <v>6.8918105178643119</v>
      </c>
      <c r="J7" s="9">
        <f>VLOOKUP($A7,'RES installed'!$A$2:$C$7,3,FALSE)*'[1]Profiles, RES, Spring'!J$6</f>
        <v>6.2775993576876754</v>
      </c>
      <c r="K7" s="9">
        <f>VLOOKUP($A7,'RES installed'!$A$2:$C$7,3,FALSE)*'[1]Profiles, RES, Spring'!K$6</f>
        <v>6.5395423524688878</v>
      </c>
      <c r="L7" s="9">
        <f>VLOOKUP($A7,'RES installed'!$A$2:$C$7,3,FALSE)*'[1]Profiles, RES, Spring'!L$6</f>
        <v>7.3253713368125251</v>
      </c>
      <c r="M7" s="9">
        <f>VLOOKUP($A7,'RES installed'!$A$2:$C$7,3,FALSE)*'[1]Profiles, RES, Spring'!M$6</f>
        <v>8.4002408671216386</v>
      </c>
      <c r="N7" s="9">
        <f>VLOOKUP($A7,'RES installed'!$A$2:$C$7,3,FALSE)*'[1]Profiles, RES, Spring'!N$6</f>
        <v>10.92031312725813</v>
      </c>
      <c r="O7" s="9">
        <f>VLOOKUP($A7,'RES installed'!$A$2:$C$7,3,FALSE)*'[1]Profiles, RES, Spring'!O$6</f>
        <v>13.557808109193095</v>
      </c>
      <c r="P7" s="9">
        <f>VLOOKUP($A7,'RES installed'!$A$2:$C$7,3,FALSE)*'[1]Profiles, RES, Spring'!P$6</f>
        <v>15.400441589723002</v>
      </c>
      <c r="Q7" s="9">
        <f>VLOOKUP($A7,'RES installed'!$A$2:$C$7,3,FALSE)*'[1]Profiles, RES, Spring'!Q$6</f>
        <v>16.945002007226016</v>
      </c>
      <c r="R7" s="9">
        <f>VLOOKUP($A7,'RES installed'!$A$2:$C$7,3,FALSE)*'[1]Profiles, RES, Spring'!R$6</f>
        <v>18.570855078281813</v>
      </c>
      <c r="S7" s="9">
        <f>VLOOKUP($A7,'RES installed'!$A$2:$C$7,3,FALSE)*'[1]Profiles, RES, Spring'!S$6</f>
        <v>17.766961059815333</v>
      </c>
      <c r="T7" s="9">
        <f>VLOOKUP($A7,'RES installed'!$A$2:$C$7,3,FALSE)*'[1]Profiles, RES, Spring'!T$6</f>
        <v>15.716579686872743</v>
      </c>
      <c r="U7" s="9">
        <f>VLOOKUP($A7,'RES installed'!$A$2:$C$7,3,FALSE)*'[1]Profiles, RES, Spring'!U$6</f>
        <v>15.120433560818947</v>
      </c>
      <c r="V7" s="9">
        <f>VLOOKUP($A7,'RES installed'!$A$2:$C$7,3,FALSE)*'[1]Profiles, RES, Spring'!V$6</f>
        <v>14.063629064632678</v>
      </c>
      <c r="W7" s="9">
        <f>VLOOKUP($A7,'RES installed'!$A$2:$C$7,3,FALSE)*'[1]Profiles, RES, Spring'!W$6</f>
        <v>13.341027699718989</v>
      </c>
      <c r="X7" s="9">
        <f>VLOOKUP($A7,'RES installed'!$A$2:$C$7,3,FALSE)*'[1]Profiles, RES, Spring'!X$6</f>
        <v>12.094540345242873</v>
      </c>
      <c r="Y7" s="9">
        <f>VLOOKUP($A7,'RES installed'!$A$2:$C$7,3,FALSE)*'[1]Profiles, RES, Spring'!Y$6</f>
        <v>10.784825371336813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0.85291887793783172</v>
      </c>
      <c r="H8" s="6">
        <f>VLOOKUP($A8,'RES installed'!$A$2:$C$7,3,FALSE)*'[1]Profiles, RES, Spring'!H$3</f>
        <v>7.4772554965883247</v>
      </c>
      <c r="I8" s="6">
        <f>VLOOKUP($A8,'RES installed'!$A$2:$C$7,3,FALSE)*'[1]Profiles, RES, Spring'!I$3</f>
        <v>17.996588324488251</v>
      </c>
      <c r="J8" s="6">
        <f>VLOOKUP($A8,'RES installed'!$A$2:$C$7,3,FALSE)*'[1]Profiles, RES, Spring'!J$3</f>
        <v>27.151250947687643</v>
      </c>
      <c r="K8" s="6">
        <f>VLOOKUP($A8,'RES installed'!$A$2:$C$7,3,FALSE)*'[1]Profiles, RES, Spring'!K$3</f>
        <v>37.812736921910542</v>
      </c>
      <c r="L8" s="6">
        <f>VLOOKUP($A8,'RES installed'!$A$2:$C$7,3,FALSE)*'[1]Profiles, RES, Spring'!L$3</f>
        <v>44.749810462471572</v>
      </c>
      <c r="M8" s="6">
        <f>VLOOKUP($A8,'RES installed'!$A$2:$C$7,3,FALSE)*'[1]Profiles, RES, Spring'!M$3</f>
        <v>45.801743745261561</v>
      </c>
      <c r="N8" s="6">
        <f>VLOOKUP($A8,'RES installed'!$A$2:$C$7,3,FALSE)*'[1]Profiles, RES, Spring'!N$3</f>
        <v>46.882107657316148</v>
      </c>
      <c r="O8" s="6">
        <f>VLOOKUP($A8,'RES installed'!$A$2:$C$7,3,FALSE)*'[1]Profiles, RES, Spring'!O$3</f>
        <v>45.23313115996968</v>
      </c>
      <c r="P8" s="6">
        <f>VLOOKUP($A8,'RES installed'!$A$2:$C$7,3,FALSE)*'[1]Profiles, RES, Spring'!P$3</f>
        <v>48.076194086429112</v>
      </c>
      <c r="Q8" s="6">
        <f>VLOOKUP($A8,'RES installed'!$A$2:$C$7,3,FALSE)*'[1]Profiles, RES, Spring'!Q$3</f>
        <v>42.674374526156178</v>
      </c>
      <c r="R8" s="6">
        <f>VLOOKUP($A8,'RES installed'!$A$2:$C$7,3,FALSE)*'[1]Profiles, RES, Spring'!R$3</f>
        <v>35.794162244124337</v>
      </c>
      <c r="S8" s="6">
        <f>VLOOKUP($A8,'RES installed'!$A$2:$C$7,3,FALSE)*'[1]Profiles, RES, Spring'!S$3</f>
        <v>23.398407884761184</v>
      </c>
      <c r="T8" s="6">
        <f>VLOOKUP($A8,'RES installed'!$A$2:$C$7,3,FALSE)*'[1]Profiles, RES, Spring'!T$3</f>
        <v>8.5291887793783179</v>
      </c>
      <c r="U8" s="6">
        <f>VLOOKUP($A8,'RES installed'!$A$2:$C$7,3,FALSE)*'[1]Profiles, RES, Spring'!U$3</f>
        <v>0.76762699014404845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  <row r="9" spans="1:25" x14ac:dyDescent="0.3">
      <c r="A9" s="5">
        <v>8</v>
      </c>
      <c r="B9" s="6">
        <f>VLOOKUP($A9,'RES installed'!$A$2:$C$7,3,FALSE)*'[1]Profiles, RES, Spring'!B$3</f>
        <v>0</v>
      </c>
      <c r="C9" s="6">
        <f>VLOOKUP($A9,'RES installed'!$A$2:$C$7,3,FALSE)*'[1]Profiles, RES, Spring'!C$3</f>
        <v>0</v>
      </c>
      <c r="D9" s="6">
        <f>VLOOKUP($A9,'RES installed'!$A$2:$C$7,3,FALSE)*'[1]Profiles, RES, Spring'!D$3</f>
        <v>0</v>
      </c>
      <c r="E9" s="6">
        <f>VLOOKUP($A9,'RES installed'!$A$2:$C$7,3,FALSE)*'[1]Profiles, RES, Spring'!E$3</f>
        <v>0</v>
      </c>
      <c r="F9" s="6">
        <f>VLOOKUP($A9,'RES installed'!$A$2:$C$7,3,FALSE)*'[1]Profiles, RES, Spring'!F$3</f>
        <v>0</v>
      </c>
      <c r="G9" s="6">
        <f>VLOOKUP($A9,'RES installed'!$A$2:$C$7,3,FALSE)*'[1]Profiles, RES, Spring'!G$3</f>
        <v>0.56861258529188785</v>
      </c>
      <c r="H9" s="6">
        <f>VLOOKUP($A9,'RES installed'!$A$2:$C$7,3,FALSE)*'[1]Profiles, RES, Spring'!H$3</f>
        <v>4.9848369977255498</v>
      </c>
      <c r="I9" s="6">
        <f>VLOOKUP($A9,'RES installed'!$A$2:$C$7,3,FALSE)*'[1]Profiles, RES, Spring'!I$3</f>
        <v>11.997725549658833</v>
      </c>
      <c r="J9" s="6">
        <f>VLOOKUP($A9,'RES installed'!$A$2:$C$7,3,FALSE)*'[1]Profiles, RES, Spring'!J$3</f>
        <v>18.100833965125098</v>
      </c>
      <c r="K9" s="6">
        <f>VLOOKUP($A9,'RES installed'!$A$2:$C$7,3,FALSE)*'[1]Profiles, RES, Spring'!K$3</f>
        <v>25.208491281273695</v>
      </c>
      <c r="L9" s="6">
        <f>VLOOKUP($A9,'RES installed'!$A$2:$C$7,3,FALSE)*'[1]Profiles, RES, Spring'!L$3</f>
        <v>29.833206974981046</v>
      </c>
      <c r="M9" s="6">
        <f>VLOOKUP($A9,'RES installed'!$A$2:$C$7,3,FALSE)*'[1]Profiles, RES, Spring'!M$3</f>
        <v>30.534495830174375</v>
      </c>
      <c r="N9" s="6">
        <f>VLOOKUP($A9,'RES installed'!$A$2:$C$7,3,FALSE)*'[1]Profiles, RES, Spring'!N$3</f>
        <v>31.254738438210765</v>
      </c>
      <c r="O9" s="6">
        <f>VLOOKUP($A9,'RES installed'!$A$2:$C$7,3,FALSE)*'[1]Profiles, RES, Spring'!O$3</f>
        <v>30.155420773313118</v>
      </c>
      <c r="P9" s="6">
        <f>VLOOKUP($A9,'RES installed'!$A$2:$C$7,3,FALSE)*'[1]Profiles, RES, Spring'!P$3</f>
        <v>32.050796057619408</v>
      </c>
      <c r="Q9" s="6">
        <f>VLOOKUP($A9,'RES installed'!$A$2:$C$7,3,FALSE)*'[1]Profiles, RES, Spring'!Q$3</f>
        <v>28.449583017437451</v>
      </c>
      <c r="R9" s="6">
        <f>VLOOKUP($A9,'RES installed'!$A$2:$C$7,3,FALSE)*'[1]Profiles, RES, Spring'!R$3</f>
        <v>23.862774829416225</v>
      </c>
      <c r="S9" s="6">
        <f>VLOOKUP($A9,'RES installed'!$A$2:$C$7,3,FALSE)*'[1]Profiles, RES, Spring'!S$3</f>
        <v>15.598938589840788</v>
      </c>
      <c r="T9" s="6">
        <f>VLOOKUP($A9,'RES installed'!$A$2:$C$7,3,FALSE)*'[1]Profiles, RES, Spring'!T$3</f>
        <v>5.6861258529188783</v>
      </c>
      <c r="U9" s="6">
        <f>VLOOKUP($A9,'RES installed'!$A$2:$C$7,3,FALSE)*'[1]Profiles, RES, Spring'!U$3</f>
        <v>0.51175132676269897</v>
      </c>
      <c r="V9" s="6">
        <f>VLOOKUP($A9,'RES installed'!$A$2:$C$7,3,FALSE)*'[1]Profiles, RES, Spring'!V$3</f>
        <v>0</v>
      </c>
      <c r="W9" s="6">
        <f>VLOOKUP($A9,'RES installed'!$A$2:$C$7,3,FALSE)*'[1]Profiles, RES, Spring'!W$3</f>
        <v>0</v>
      </c>
      <c r="X9" s="6">
        <f>VLOOKUP($A9,'RES installed'!$A$2:$C$7,3,FALSE)*'[1]Profiles, RES, Spring'!X$3</f>
        <v>0</v>
      </c>
      <c r="Y9" s="6">
        <f>VLOOKUP($A9,'RES installed'!$A$2:$C$7,3,FALSE)*'[1]Profiles, RES, Spring'!Y$3</f>
        <v>0</v>
      </c>
    </row>
    <row r="10" spans="1:25" x14ac:dyDescent="0.3">
      <c r="A10" s="5">
        <v>9</v>
      </c>
      <c r="B10" s="6">
        <f>VLOOKUP($A10,'RES installed'!$A$2:$C$7,3,FALSE)*'[1]Profiles, RES, Spring'!B$3</f>
        <v>0</v>
      </c>
      <c r="C10" s="6">
        <f>VLOOKUP($A10,'RES installed'!$A$2:$C$7,3,FALSE)*'[1]Profiles, RES, Spring'!C$3</f>
        <v>0</v>
      </c>
      <c r="D10" s="6">
        <f>VLOOKUP($A10,'RES installed'!$A$2:$C$7,3,FALSE)*'[1]Profiles, RES, Spring'!D$3</f>
        <v>0</v>
      </c>
      <c r="E10" s="6">
        <f>VLOOKUP($A10,'RES installed'!$A$2:$C$7,3,FALSE)*'[1]Profiles, RES, Spring'!E$3</f>
        <v>0</v>
      </c>
      <c r="F10" s="6">
        <f>VLOOKUP($A10,'RES installed'!$A$2:$C$7,3,FALSE)*'[1]Profiles, RES, Spring'!F$3</f>
        <v>0</v>
      </c>
      <c r="G10" s="6">
        <f>VLOOKUP($A10,'RES installed'!$A$2:$C$7,3,FALSE)*'[1]Profiles, RES, Spring'!G$3</f>
        <v>0.6823351023502654</v>
      </c>
      <c r="H10" s="6">
        <f>VLOOKUP($A10,'RES installed'!$A$2:$C$7,3,FALSE)*'[1]Profiles, RES, Spring'!H$3</f>
        <v>5.9818043972706594</v>
      </c>
      <c r="I10" s="6">
        <f>VLOOKUP($A10,'RES installed'!$A$2:$C$7,3,FALSE)*'[1]Profiles, RES, Spring'!I$3</f>
        <v>14.3972706595906</v>
      </c>
      <c r="J10" s="6">
        <f>VLOOKUP($A10,'RES installed'!$A$2:$C$7,3,FALSE)*'[1]Profiles, RES, Spring'!J$3</f>
        <v>21.721000758150115</v>
      </c>
      <c r="K10" s="6">
        <f>VLOOKUP($A10,'RES installed'!$A$2:$C$7,3,FALSE)*'[1]Profiles, RES, Spring'!K$3</f>
        <v>30.250189537528431</v>
      </c>
      <c r="L10" s="6">
        <f>VLOOKUP($A10,'RES installed'!$A$2:$C$7,3,FALSE)*'[1]Profiles, RES, Spring'!L$3</f>
        <v>35.799848369977255</v>
      </c>
      <c r="M10" s="6">
        <f>VLOOKUP($A10,'RES installed'!$A$2:$C$7,3,FALSE)*'[1]Profiles, RES, Spring'!M$3</f>
        <v>36.64139499620925</v>
      </c>
      <c r="N10" s="6">
        <f>VLOOKUP($A10,'RES installed'!$A$2:$C$7,3,FALSE)*'[1]Profiles, RES, Spring'!N$3</f>
        <v>37.505686125852918</v>
      </c>
      <c r="O10" s="6">
        <f>VLOOKUP($A10,'RES installed'!$A$2:$C$7,3,FALSE)*'[1]Profiles, RES, Spring'!O$3</f>
        <v>36.18650492797574</v>
      </c>
      <c r="P10" s="6">
        <f>VLOOKUP($A10,'RES installed'!$A$2:$C$7,3,FALSE)*'[1]Profiles, RES, Spring'!P$3</f>
        <v>38.460955269143291</v>
      </c>
      <c r="Q10" s="6">
        <f>VLOOKUP($A10,'RES installed'!$A$2:$C$7,3,FALSE)*'[1]Profiles, RES, Spring'!Q$3</f>
        <v>34.139499620924944</v>
      </c>
      <c r="R10" s="6">
        <f>VLOOKUP($A10,'RES installed'!$A$2:$C$7,3,FALSE)*'[1]Profiles, RES, Spring'!R$3</f>
        <v>28.635329795299469</v>
      </c>
      <c r="S10" s="6">
        <f>VLOOKUP($A10,'RES installed'!$A$2:$C$7,3,FALSE)*'[1]Profiles, RES, Spring'!S$3</f>
        <v>18.718726307808947</v>
      </c>
      <c r="T10" s="6">
        <f>VLOOKUP($A10,'RES installed'!$A$2:$C$7,3,FALSE)*'[1]Profiles, RES, Spring'!T$3</f>
        <v>6.8233510235026538</v>
      </c>
      <c r="U10" s="6">
        <f>VLOOKUP($A10,'RES installed'!$A$2:$C$7,3,FALSE)*'[1]Profiles, RES, Spring'!U$3</f>
        <v>0.61410159211523874</v>
      </c>
      <c r="V10" s="6">
        <f>VLOOKUP($A10,'RES installed'!$A$2:$C$7,3,FALSE)*'[1]Profiles, RES, Spring'!V$3</f>
        <v>0</v>
      </c>
      <c r="W10" s="6">
        <f>VLOOKUP($A10,'RES installed'!$A$2:$C$7,3,FALSE)*'[1]Profiles, RES, Spring'!W$3</f>
        <v>0</v>
      </c>
      <c r="X10" s="6">
        <f>VLOOKUP($A10,'RES installed'!$A$2:$C$7,3,FALSE)*'[1]Profiles, RES, Spring'!X$3</f>
        <v>0</v>
      </c>
      <c r="Y10" s="6">
        <f>VLOOKUP($A10,'RES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E612B-8B1B-4085-8089-2EC67F7C85E9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Spring'!B$7</f>
        <v>11.146126053793658</v>
      </c>
      <c r="C5" s="9">
        <f>VLOOKUP($A5,'RES installed'!$A$2:$C$7,3,FALSE)*'[1]Profiles, RES, Spring'!C$7</f>
        <v>10.568044961862705</v>
      </c>
      <c r="D5" s="9">
        <f>VLOOKUP($A5,'RES installed'!$A$2:$C$7,3,FALSE)*'[1]Profiles, RES, Spring'!D$7</f>
        <v>10.27900441589723</v>
      </c>
      <c r="E5" s="9">
        <f>VLOOKUP($A5,'RES installed'!$A$2:$C$7,3,FALSE)*'[1]Profiles, RES, Spring'!E$7</f>
        <v>10.820955439582496</v>
      </c>
      <c r="F5" s="9">
        <f>VLOOKUP($A5,'RES installed'!$A$2:$C$7,3,FALSE)*'[1]Profiles, RES, Spring'!F$7</f>
        <v>10.84805299076676</v>
      </c>
      <c r="G5" s="9">
        <f>VLOOKUP($A5,'RES installed'!$A$2:$C$7,3,FALSE)*'[1]Profiles, RES, Spring'!G$7</f>
        <v>9.6467282215977512</v>
      </c>
      <c r="H5" s="9">
        <f>VLOOKUP($A5,'RES installed'!$A$2:$C$7,3,FALSE)*'[1]Profiles, RES, Spring'!H$7</f>
        <v>8.2105580088317947</v>
      </c>
      <c r="I5" s="9">
        <f>VLOOKUP($A5,'RES installed'!$A$2:$C$7,3,FALSE)*'[1]Profiles, RES, Spring'!I$7</f>
        <v>6.1872741870734638</v>
      </c>
      <c r="J5" s="9">
        <f>VLOOKUP($A5,'RES installed'!$A$2:$C$7,3,FALSE)*'[1]Profiles, RES, Spring'!J$7</f>
        <v>5.2117623444399843</v>
      </c>
      <c r="K5" s="9">
        <f>VLOOKUP($A5,'RES installed'!$A$2:$C$7,3,FALSE)*'[1]Profiles, RES, Spring'!K$7</f>
        <v>5.6633881975110389</v>
      </c>
      <c r="L5" s="9">
        <f>VLOOKUP($A5,'RES installed'!$A$2:$C$7,3,FALSE)*'[1]Profiles, RES, Spring'!L$7</f>
        <v>6.6930951425130463</v>
      </c>
      <c r="M5" s="9">
        <f>VLOOKUP($A5,'RES installed'!$A$2:$C$7,3,FALSE)*'[1]Profiles, RES, Spring'!M$7</f>
        <v>6.6208350060216778</v>
      </c>
      <c r="N5" s="9">
        <f>VLOOKUP($A5,'RES installed'!$A$2:$C$7,3,FALSE)*'[1]Profiles, RES, Spring'!N$7</f>
        <v>7.6053793657165798</v>
      </c>
      <c r="O5" s="9">
        <f>VLOOKUP($A5,'RES installed'!$A$2:$C$7,3,FALSE)*'[1]Profiles, RES, Spring'!O$7</f>
        <v>9.7009233239662773</v>
      </c>
      <c r="P5" s="9">
        <f>VLOOKUP($A5,'RES installed'!$A$2:$C$7,3,FALSE)*'[1]Profiles, RES, Spring'!P$7</f>
        <v>11.326776395022078</v>
      </c>
      <c r="Q5" s="9">
        <f>VLOOKUP($A5,'RES installed'!$A$2:$C$7,3,FALSE)*'[1]Profiles, RES, Spring'!Q$7</f>
        <v>12.762946607788036</v>
      </c>
      <c r="R5" s="9">
        <f>VLOOKUP($A5,'RES installed'!$A$2:$C$7,3,FALSE)*'[1]Profiles, RES, Spring'!R$7</f>
        <v>14.343637093536733</v>
      </c>
      <c r="S5" s="9">
        <f>VLOOKUP($A5,'RES installed'!$A$2:$C$7,3,FALSE)*'[1]Profiles, RES, Spring'!S$7</f>
        <v>14.930750702529105</v>
      </c>
      <c r="T5" s="9">
        <f>VLOOKUP($A5,'RES installed'!$A$2:$C$7,3,FALSE)*'[1]Profiles, RES, Spring'!T$7</f>
        <v>14.939783219590526</v>
      </c>
      <c r="U5" s="9">
        <f>VLOOKUP($A5,'RES installed'!$A$2:$C$7,3,FALSE)*'[1]Profiles, RES, Spring'!U$7</f>
        <v>13.35909273384183</v>
      </c>
      <c r="V5" s="9">
        <f>VLOOKUP($A5,'RES installed'!$A$2:$C$7,3,FALSE)*'[1]Profiles, RES, Spring'!V$7</f>
        <v>12.753914090726616</v>
      </c>
      <c r="W5" s="9">
        <f>VLOOKUP($A5,'RES installed'!$A$2:$C$7,3,FALSE)*'[1]Profiles, RES, Spring'!W$7</f>
        <v>12.681653954235246</v>
      </c>
      <c r="X5" s="9">
        <f>VLOOKUP($A5,'RES installed'!$A$2:$C$7,3,FALSE)*'[1]Profiles, RES, Spring'!X$7</f>
        <v>12.889401846647933</v>
      </c>
      <c r="Y5" s="9">
        <f>VLOOKUP($A5,'RES installed'!$A$2:$C$7,3,FALSE)*'[1]Profiles, RES, Spring'!Y$7</f>
        <v>13.91910879164994</v>
      </c>
    </row>
    <row r="6" spans="1:25" x14ac:dyDescent="0.3">
      <c r="A6" s="8">
        <v>5</v>
      </c>
      <c r="B6" s="9">
        <f>VLOOKUP($A6,'RES installed'!$A$2:$C$7,3,FALSE)*'[1]Profiles, RES, Spring'!B$7</f>
        <v>14.86150140505821</v>
      </c>
      <c r="C6" s="9">
        <f>VLOOKUP($A6,'RES installed'!$A$2:$C$7,3,FALSE)*'[1]Profiles, RES, Spring'!C$7</f>
        <v>14.090726615816941</v>
      </c>
      <c r="D6" s="9">
        <f>VLOOKUP($A6,'RES installed'!$A$2:$C$7,3,FALSE)*'[1]Profiles, RES, Spring'!D$7</f>
        <v>13.705339221196308</v>
      </c>
      <c r="E6" s="9">
        <f>VLOOKUP($A6,'RES installed'!$A$2:$C$7,3,FALSE)*'[1]Profiles, RES, Spring'!E$7</f>
        <v>14.427940586109996</v>
      </c>
      <c r="F6" s="9">
        <f>VLOOKUP($A6,'RES installed'!$A$2:$C$7,3,FALSE)*'[1]Profiles, RES, Spring'!F$7</f>
        <v>14.46407065435568</v>
      </c>
      <c r="G6" s="9">
        <f>VLOOKUP($A6,'RES installed'!$A$2:$C$7,3,FALSE)*'[1]Profiles, RES, Spring'!G$7</f>
        <v>12.862304295463669</v>
      </c>
      <c r="H6" s="9">
        <f>VLOOKUP($A6,'RES installed'!$A$2:$C$7,3,FALSE)*'[1]Profiles, RES, Spring'!H$7</f>
        <v>10.947410678442393</v>
      </c>
      <c r="I6" s="9">
        <f>VLOOKUP($A6,'RES installed'!$A$2:$C$7,3,FALSE)*'[1]Profiles, RES, Spring'!I$7</f>
        <v>8.2496989160979517</v>
      </c>
      <c r="J6" s="9">
        <f>VLOOKUP($A6,'RES installed'!$A$2:$C$7,3,FALSE)*'[1]Profiles, RES, Spring'!J$7</f>
        <v>6.9490164592533121</v>
      </c>
      <c r="K6" s="9">
        <f>VLOOKUP($A6,'RES installed'!$A$2:$C$7,3,FALSE)*'[1]Profiles, RES, Spring'!K$7</f>
        <v>7.5511842633480528</v>
      </c>
      <c r="L6" s="9">
        <f>VLOOKUP($A6,'RES installed'!$A$2:$C$7,3,FALSE)*'[1]Profiles, RES, Spring'!L$7</f>
        <v>8.9241268566840617</v>
      </c>
      <c r="M6" s="9">
        <f>VLOOKUP($A6,'RES installed'!$A$2:$C$7,3,FALSE)*'[1]Profiles, RES, Spring'!M$7</f>
        <v>8.8277800080289044</v>
      </c>
      <c r="N6" s="9">
        <f>VLOOKUP($A6,'RES installed'!$A$2:$C$7,3,FALSE)*'[1]Profiles, RES, Spring'!N$7</f>
        <v>10.14050582095544</v>
      </c>
      <c r="O6" s="9">
        <f>VLOOKUP($A6,'RES installed'!$A$2:$C$7,3,FALSE)*'[1]Profiles, RES, Spring'!O$7</f>
        <v>12.934564431955037</v>
      </c>
      <c r="P6" s="9">
        <f>VLOOKUP($A6,'RES installed'!$A$2:$C$7,3,FALSE)*'[1]Profiles, RES, Spring'!P$7</f>
        <v>15.102368526696106</v>
      </c>
      <c r="Q6" s="9">
        <f>VLOOKUP($A6,'RES installed'!$A$2:$C$7,3,FALSE)*'[1]Profiles, RES, Spring'!Q$7</f>
        <v>17.017262143717382</v>
      </c>
      <c r="R6" s="9">
        <f>VLOOKUP($A6,'RES installed'!$A$2:$C$7,3,FALSE)*'[1]Profiles, RES, Spring'!R$7</f>
        <v>19.124849458048978</v>
      </c>
      <c r="S6" s="9">
        <f>VLOOKUP($A6,'RES installed'!$A$2:$C$7,3,FALSE)*'[1]Profiles, RES, Spring'!S$7</f>
        <v>19.90766760337214</v>
      </c>
      <c r="T6" s="9">
        <f>VLOOKUP($A6,'RES installed'!$A$2:$C$7,3,FALSE)*'[1]Profiles, RES, Spring'!T$7</f>
        <v>19.919710959454033</v>
      </c>
      <c r="U6" s="9">
        <f>VLOOKUP($A6,'RES installed'!$A$2:$C$7,3,FALSE)*'[1]Profiles, RES, Spring'!U$7</f>
        <v>17.812123645122441</v>
      </c>
      <c r="V6" s="9">
        <f>VLOOKUP($A6,'RES installed'!$A$2:$C$7,3,FALSE)*'[1]Profiles, RES, Spring'!V$7</f>
        <v>17.005218787635489</v>
      </c>
      <c r="W6" s="9">
        <f>VLOOKUP($A6,'RES installed'!$A$2:$C$7,3,FALSE)*'[1]Profiles, RES, Spring'!W$7</f>
        <v>16.908871938980326</v>
      </c>
      <c r="X6" s="9">
        <f>VLOOKUP($A6,'RES installed'!$A$2:$C$7,3,FALSE)*'[1]Profiles, RES, Spring'!X$7</f>
        <v>17.18586912886391</v>
      </c>
      <c r="Y6" s="9">
        <f>VLOOKUP($A6,'RES installed'!$A$2:$C$7,3,FALSE)*'[1]Profiles, RES, Spring'!Y$7</f>
        <v>18.55881172219992</v>
      </c>
    </row>
    <row r="7" spans="1:25" x14ac:dyDescent="0.3">
      <c r="A7" s="8">
        <v>6</v>
      </c>
      <c r="B7" s="9">
        <f>VLOOKUP($A7,'RES installed'!$A$2:$C$7,3,FALSE)*'[1]Profiles, RES, Spring'!B$7</f>
        <v>11.146126053793658</v>
      </c>
      <c r="C7" s="9">
        <f>VLOOKUP($A7,'RES installed'!$A$2:$C$7,3,FALSE)*'[1]Profiles, RES, Spring'!C$7</f>
        <v>10.568044961862705</v>
      </c>
      <c r="D7" s="9">
        <f>VLOOKUP($A7,'RES installed'!$A$2:$C$7,3,FALSE)*'[1]Profiles, RES, Spring'!D$7</f>
        <v>10.27900441589723</v>
      </c>
      <c r="E7" s="9">
        <f>VLOOKUP($A7,'RES installed'!$A$2:$C$7,3,FALSE)*'[1]Profiles, RES, Spring'!E$7</f>
        <v>10.820955439582496</v>
      </c>
      <c r="F7" s="9">
        <f>VLOOKUP($A7,'RES installed'!$A$2:$C$7,3,FALSE)*'[1]Profiles, RES, Spring'!F$7</f>
        <v>10.84805299076676</v>
      </c>
      <c r="G7" s="9">
        <f>VLOOKUP($A7,'RES installed'!$A$2:$C$7,3,FALSE)*'[1]Profiles, RES, Spring'!G$7</f>
        <v>9.6467282215977512</v>
      </c>
      <c r="H7" s="9">
        <f>VLOOKUP($A7,'RES installed'!$A$2:$C$7,3,FALSE)*'[1]Profiles, RES, Spring'!H$7</f>
        <v>8.2105580088317947</v>
      </c>
      <c r="I7" s="9">
        <f>VLOOKUP($A7,'RES installed'!$A$2:$C$7,3,FALSE)*'[1]Profiles, RES, Spring'!I$7</f>
        <v>6.1872741870734638</v>
      </c>
      <c r="J7" s="9">
        <f>VLOOKUP($A7,'RES installed'!$A$2:$C$7,3,FALSE)*'[1]Profiles, RES, Spring'!J$7</f>
        <v>5.2117623444399843</v>
      </c>
      <c r="K7" s="9">
        <f>VLOOKUP($A7,'RES installed'!$A$2:$C$7,3,FALSE)*'[1]Profiles, RES, Spring'!K$7</f>
        <v>5.6633881975110389</v>
      </c>
      <c r="L7" s="9">
        <f>VLOOKUP($A7,'RES installed'!$A$2:$C$7,3,FALSE)*'[1]Profiles, RES, Spring'!L$7</f>
        <v>6.6930951425130463</v>
      </c>
      <c r="M7" s="9">
        <f>VLOOKUP($A7,'RES installed'!$A$2:$C$7,3,FALSE)*'[1]Profiles, RES, Spring'!M$7</f>
        <v>6.6208350060216778</v>
      </c>
      <c r="N7" s="9">
        <f>VLOOKUP($A7,'RES installed'!$A$2:$C$7,3,FALSE)*'[1]Profiles, RES, Spring'!N$7</f>
        <v>7.6053793657165798</v>
      </c>
      <c r="O7" s="9">
        <f>VLOOKUP($A7,'RES installed'!$A$2:$C$7,3,FALSE)*'[1]Profiles, RES, Spring'!O$7</f>
        <v>9.7009233239662773</v>
      </c>
      <c r="P7" s="9">
        <f>VLOOKUP($A7,'RES installed'!$A$2:$C$7,3,FALSE)*'[1]Profiles, RES, Spring'!P$7</f>
        <v>11.326776395022078</v>
      </c>
      <c r="Q7" s="9">
        <f>VLOOKUP($A7,'RES installed'!$A$2:$C$7,3,FALSE)*'[1]Profiles, RES, Spring'!Q$7</f>
        <v>12.762946607788036</v>
      </c>
      <c r="R7" s="9">
        <f>VLOOKUP($A7,'RES installed'!$A$2:$C$7,3,FALSE)*'[1]Profiles, RES, Spring'!R$7</f>
        <v>14.343637093536733</v>
      </c>
      <c r="S7" s="9">
        <f>VLOOKUP($A7,'RES installed'!$A$2:$C$7,3,FALSE)*'[1]Profiles, RES, Spring'!S$7</f>
        <v>14.930750702529105</v>
      </c>
      <c r="T7" s="9">
        <f>VLOOKUP($A7,'RES installed'!$A$2:$C$7,3,FALSE)*'[1]Profiles, RES, Spring'!T$7</f>
        <v>14.939783219590526</v>
      </c>
      <c r="U7" s="9">
        <f>VLOOKUP($A7,'RES installed'!$A$2:$C$7,3,FALSE)*'[1]Profiles, RES, Spring'!U$7</f>
        <v>13.35909273384183</v>
      </c>
      <c r="V7" s="9">
        <f>VLOOKUP($A7,'RES installed'!$A$2:$C$7,3,FALSE)*'[1]Profiles, RES, Spring'!V$7</f>
        <v>12.753914090726616</v>
      </c>
      <c r="W7" s="9">
        <f>VLOOKUP($A7,'RES installed'!$A$2:$C$7,3,FALSE)*'[1]Profiles, RES, Spring'!W$7</f>
        <v>12.681653954235246</v>
      </c>
      <c r="X7" s="9">
        <f>VLOOKUP($A7,'RES installed'!$A$2:$C$7,3,FALSE)*'[1]Profiles, RES, Spring'!X$7</f>
        <v>12.889401846647933</v>
      </c>
      <c r="Y7" s="9">
        <f>VLOOKUP($A7,'RES installed'!$A$2:$C$7,3,FALSE)*'[1]Profiles, RES, Spring'!Y$7</f>
        <v>13.91910879164994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0.82448824867323733</v>
      </c>
      <c r="H8" s="6">
        <f>VLOOKUP($A8,'RES installed'!$A$2:$C$7,3,FALSE)*'[1]Profiles, RES, Spring'!H$4</f>
        <v>7.9037149355572396</v>
      </c>
      <c r="I8" s="6">
        <f>VLOOKUP($A8,'RES installed'!$A$2:$C$7,3,FALSE)*'[1]Profiles, RES, Spring'!I$4</f>
        <v>21.948445792266867</v>
      </c>
      <c r="J8" s="6">
        <f>VLOOKUP($A8,'RES installed'!$A$2:$C$7,3,FALSE)*'[1]Profiles, RES, Spring'!J$4</f>
        <v>35.225549658832449</v>
      </c>
      <c r="K8" s="6">
        <f>VLOOKUP($A8,'RES installed'!$A$2:$C$7,3,FALSE)*'[1]Profiles, RES, Spring'!K$4</f>
        <v>41.764594389689158</v>
      </c>
      <c r="L8" s="6">
        <f>VLOOKUP($A8,'RES installed'!$A$2:$C$7,3,FALSE)*'[1]Profiles, RES, Spring'!L$4</f>
        <v>46.171341925701284</v>
      </c>
      <c r="M8" s="6">
        <f>VLOOKUP($A8,'RES installed'!$A$2:$C$7,3,FALSE)*'[1]Profiles, RES, Spring'!M$4</f>
        <v>51.345716451857463</v>
      </c>
      <c r="N8" s="6">
        <f>VLOOKUP($A8,'RES installed'!$A$2:$C$7,3,FALSE)*'[1]Profiles, RES, Spring'!N$4</f>
        <v>50.123199393479908</v>
      </c>
      <c r="O8" s="6">
        <f>VLOOKUP($A8,'RES installed'!$A$2:$C$7,3,FALSE)*'[1]Profiles, RES, Spring'!O$4</f>
        <v>49.867323730098562</v>
      </c>
      <c r="P8" s="6">
        <f>VLOOKUP($A8,'RES installed'!$A$2:$C$7,3,FALSE)*'[1]Profiles, RES, Spring'!P$4</f>
        <v>50.208491281273687</v>
      </c>
      <c r="Q8" s="6">
        <f>VLOOKUP($A8,'RES installed'!$A$2:$C$7,3,FALSE)*'[1]Profiles, RES, Spring'!Q$4</f>
        <v>46.39878695981804</v>
      </c>
      <c r="R8" s="6">
        <f>VLOOKUP($A8,'RES installed'!$A$2:$C$7,3,FALSE)*'[1]Profiles, RES, Spring'!R$4</f>
        <v>37.727445034116755</v>
      </c>
      <c r="S8" s="6">
        <f>VLOOKUP($A8,'RES installed'!$A$2:$C$7,3,FALSE)*'[1]Profiles, RES, Spring'!S$4</f>
        <v>24.73464746019712</v>
      </c>
      <c r="T8" s="6">
        <f>VLOOKUP($A8,'RES installed'!$A$2:$C$7,3,FALSE)*'[1]Profiles, RES, Spring'!T$4</f>
        <v>8.7850644427596674</v>
      </c>
      <c r="U8" s="6">
        <f>VLOOKUP($A8,'RES installed'!$A$2:$C$7,3,FALSE)*'[1]Profiles, RES, Spring'!U$4</f>
        <v>0.90978013646702049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  <row r="9" spans="1:25" x14ac:dyDescent="0.3">
      <c r="A9" s="5">
        <v>8</v>
      </c>
      <c r="B9" s="6">
        <f>VLOOKUP($A9,'RES installed'!$A$2:$C$7,3,FALSE)*'[1]Profiles, RES, Spring'!B$4</f>
        <v>0</v>
      </c>
      <c r="C9" s="6">
        <f>VLOOKUP($A9,'RES installed'!$A$2:$C$7,3,FALSE)*'[1]Profiles, RES, Spring'!C$4</f>
        <v>0</v>
      </c>
      <c r="D9" s="6">
        <f>VLOOKUP($A9,'RES installed'!$A$2:$C$7,3,FALSE)*'[1]Profiles, RES, Spring'!D$4</f>
        <v>0</v>
      </c>
      <c r="E9" s="6">
        <f>VLOOKUP($A9,'RES installed'!$A$2:$C$7,3,FALSE)*'[1]Profiles, RES, Spring'!E$4</f>
        <v>0</v>
      </c>
      <c r="F9" s="6">
        <f>VLOOKUP($A9,'RES installed'!$A$2:$C$7,3,FALSE)*'[1]Profiles, RES, Spring'!F$4</f>
        <v>0</v>
      </c>
      <c r="G9" s="6">
        <f>VLOOKUP($A9,'RES installed'!$A$2:$C$7,3,FALSE)*'[1]Profiles, RES, Spring'!G$4</f>
        <v>0.54965883244882485</v>
      </c>
      <c r="H9" s="6">
        <f>VLOOKUP($A9,'RES installed'!$A$2:$C$7,3,FALSE)*'[1]Profiles, RES, Spring'!H$4</f>
        <v>5.2691432903714936</v>
      </c>
      <c r="I9" s="6">
        <f>VLOOKUP($A9,'RES installed'!$A$2:$C$7,3,FALSE)*'[1]Profiles, RES, Spring'!I$4</f>
        <v>14.632297194844579</v>
      </c>
      <c r="J9" s="6">
        <f>VLOOKUP($A9,'RES installed'!$A$2:$C$7,3,FALSE)*'[1]Profiles, RES, Spring'!J$4</f>
        <v>23.483699772554967</v>
      </c>
      <c r="K9" s="6">
        <f>VLOOKUP($A9,'RES installed'!$A$2:$C$7,3,FALSE)*'[1]Profiles, RES, Spring'!K$4</f>
        <v>27.843062926459439</v>
      </c>
      <c r="L9" s="6">
        <f>VLOOKUP($A9,'RES installed'!$A$2:$C$7,3,FALSE)*'[1]Profiles, RES, Spring'!L$4</f>
        <v>30.780894617134191</v>
      </c>
      <c r="M9" s="6">
        <f>VLOOKUP($A9,'RES installed'!$A$2:$C$7,3,FALSE)*'[1]Profiles, RES, Spring'!M$4</f>
        <v>34.230477634571642</v>
      </c>
      <c r="N9" s="6">
        <f>VLOOKUP($A9,'RES installed'!$A$2:$C$7,3,FALSE)*'[1]Profiles, RES, Spring'!N$4</f>
        <v>33.415466262319939</v>
      </c>
      <c r="O9" s="6">
        <f>VLOOKUP($A9,'RES installed'!$A$2:$C$7,3,FALSE)*'[1]Profiles, RES, Spring'!O$4</f>
        <v>33.244882486732372</v>
      </c>
      <c r="P9" s="6">
        <f>VLOOKUP($A9,'RES installed'!$A$2:$C$7,3,FALSE)*'[1]Profiles, RES, Spring'!P$4</f>
        <v>33.472327520849127</v>
      </c>
      <c r="Q9" s="6">
        <f>VLOOKUP($A9,'RES installed'!$A$2:$C$7,3,FALSE)*'[1]Profiles, RES, Spring'!Q$4</f>
        <v>30.932524639878693</v>
      </c>
      <c r="R9" s="6">
        <f>VLOOKUP($A9,'RES installed'!$A$2:$C$7,3,FALSE)*'[1]Profiles, RES, Spring'!R$4</f>
        <v>25.151630022744502</v>
      </c>
      <c r="S9" s="6">
        <f>VLOOKUP($A9,'RES installed'!$A$2:$C$7,3,FALSE)*'[1]Profiles, RES, Spring'!S$4</f>
        <v>16.489764973464744</v>
      </c>
      <c r="T9" s="6">
        <f>VLOOKUP($A9,'RES installed'!$A$2:$C$7,3,FALSE)*'[1]Profiles, RES, Spring'!T$4</f>
        <v>5.8567096285064446</v>
      </c>
      <c r="U9" s="6">
        <f>VLOOKUP($A9,'RES installed'!$A$2:$C$7,3,FALSE)*'[1]Profiles, RES, Spring'!U$4</f>
        <v>0.60652009097801363</v>
      </c>
      <c r="V9" s="6">
        <f>VLOOKUP($A9,'RES installed'!$A$2:$C$7,3,FALSE)*'[1]Profiles, RES, Spring'!V$4</f>
        <v>0</v>
      </c>
      <c r="W9" s="6">
        <f>VLOOKUP($A9,'RES installed'!$A$2:$C$7,3,FALSE)*'[1]Profiles, RES, Spring'!W$4</f>
        <v>0</v>
      </c>
      <c r="X9" s="6">
        <f>VLOOKUP($A9,'RES installed'!$A$2:$C$7,3,FALSE)*'[1]Profiles, RES, Spring'!X$4</f>
        <v>0</v>
      </c>
      <c r="Y9" s="6">
        <f>VLOOKUP($A9,'RES installed'!$A$2:$C$7,3,FALSE)*'[1]Profiles, RES, Spring'!Y$4</f>
        <v>0</v>
      </c>
    </row>
    <row r="10" spans="1:25" x14ac:dyDescent="0.3">
      <c r="A10" s="5">
        <v>9</v>
      </c>
      <c r="B10" s="6">
        <f>VLOOKUP($A10,'RES installed'!$A$2:$C$7,3,FALSE)*'[1]Profiles, RES, Spring'!B$4</f>
        <v>0</v>
      </c>
      <c r="C10" s="6">
        <f>VLOOKUP($A10,'RES installed'!$A$2:$C$7,3,FALSE)*'[1]Profiles, RES, Spring'!C$4</f>
        <v>0</v>
      </c>
      <c r="D10" s="6">
        <f>VLOOKUP($A10,'RES installed'!$A$2:$C$7,3,FALSE)*'[1]Profiles, RES, Spring'!D$4</f>
        <v>0</v>
      </c>
      <c r="E10" s="6">
        <f>VLOOKUP($A10,'RES installed'!$A$2:$C$7,3,FALSE)*'[1]Profiles, RES, Spring'!E$4</f>
        <v>0</v>
      </c>
      <c r="F10" s="6">
        <f>VLOOKUP($A10,'RES installed'!$A$2:$C$7,3,FALSE)*'[1]Profiles, RES, Spring'!F$4</f>
        <v>0</v>
      </c>
      <c r="G10" s="6">
        <f>VLOOKUP($A10,'RES installed'!$A$2:$C$7,3,FALSE)*'[1]Profiles, RES, Spring'!G$4</f>
        <v>0.65959059893858984</v>
      </c>
      <c r="H10" s="6">
        <f>VLOOKUP($A10,'RES installed'!$A$2:$C$7,3,FALSE)*'[1]Profiles, RES, Spring'!H$4</f>
        <v>6.322971948445792</v>
      </c>
      <c r="I10" s="6">
        <f>VLOOKUP($A10,'RES installed'!$A$2:$C$7,3,FALSE)*'[1]Profiles, RES, Spring'!I$4</f>
        <v>17.558756633813495</v>
      </c>
      <c r="J10" s="6">
        <f>VLOOKUP($A10,'RES installed'!$A$2:$C$7,3,FALSE)*'[1]Profiles, RES, Spring'!J$4</f>
        <v>28.180439727065959</v>
      </c>
      <c r="K10" s="6">
        <f>VLOOKUP($A10,'RES installed'!$A$2:$C$7,3,FALSE)*'[1]Profiles, RES, Spring'!K$4</f>
        <v>33.411675511751326</v>
      </c>
      <c r="L10" s="6">
        <f>VLOOKUP($A10,'RES installed'!$A$2:$C$7,3,FALSE)*'[1]Profiles, RES, Spring'!L$4</f>
        <v>36.93707354056103</v>
      </c>
      <c r="M10" s="6">
        <f>VLOOKUP($A10,'RES installed'!$A$2:$C$7,3,FALSE)*'[1]Profiles, RES, Spring'!M$4</f>
        <v>41.076573161485975</v>
      </c>
      <c r="N10" s="6">
        <f>VLOOKUP($A10,'RES installed'!$A$2:$C$7,3,FALSE)*'[1]Profiles, RES, Spring'!N$4</f>
        <v>40.098559514783922</v>
      </c>
      <c r="O10" s="6">
        <f>VLOOKUP($A10,'RES installed'!$A$2:$C$7,3,FALSE)*'[1]Profiles, RES, Spring'!O$4</f>
        <v>39.893858984078847</v>
      </c>
      <c r="P10" s="6">
        <f>VLOOKUP($A10,'RES installed'!$A$2:$C$7,3,FALSE)*'[1]Profiles, RES, Spring'!P$4</f>
        <v>40.166793025018954</v>
      </c>
      <c r="Q10" s="6">
        <f>VLOOKUP($A10,'RES installed'!$A$2:$C$7,3,FALSE)*'[1]Profiles, RES, Spring'!Q$4</f>
        <v>37.119029567854433</v>
      </c>
      <c r="R10" s="6">
        <f>VLOOKUP($A10,'RES installed'!$A$2:$C$7,3,FALSE)*'[1]Profiles, RES, Spring'!R$4</f>
        <v>30.181956027293403</v>
      </c>
      <c r="S10" s="6">
        <f>VLOOKUP($A10,'RES installed'!$A$2:$C$7,3,FALSE)*'[1]Profiles, RES, Spring'!S$4</f>
        <v>19.787717968157697</v>
      </c>
      <c r="T10" s="6">
        <f>VLOOKUP($A10,'RES installed'!$A$2:$C$7,3,FALSE)*'[1]Profiles, RES, Spring'!T$4</f>
        <v>7.0280515542077335</v>
      </c>
      <c r="U10" s="6">
        <f>VLOOKUP($A10,'RES installed'!$A$2:$C$7,3,FALSE)*'[1]Profiles, RES, Spring'!U$4</f>
        <v>0.7278241091736164</v>
      </c>
      <c r="V10" s="6">
        <f>VLOOKUP($A10,'RES installed'!$A$2:$C$7,3,FALSE)*'[1]Profiles, RES, Spring'!V$4</f>
        <v>0</v>
      </c>
      <c r="W10" s="6">
        <f>VLOOKUP($A10,'RES installed'!$A$2:$C$7,3,FALSE)*'[1]Profiles, RES, Spring'!W$4</f>
        <v>0</v>
      </c>
      <c r="X10" s="6">
        <f>VLOOKUP($A10,'RES installed'!$A$2:$C$7,3,FALSE)*'[1]Profiles, RES, Spring'!X$4</f>
        <v>0</v>
      </c>
      <c r="Y10" s="6">
        <f>VLOOKUP($A10,'RES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AEBAD-52D5-4B74-B4F0-0AD05103540C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Spring'!B$5</f>
        <v>11.615816940987557</v>
      </c>
      <c r="C5" s="9">
        <f>VLOOKUP($A5,'RES installed'!$A$2:$C$7,3,FALSE)*'[1]Profiles, RES, Spring'!C$5</f>
        <v>10.784825371336813</v>
      </c>
      <c r="D5" s="9">
        <f>VLOOKUP($A5,'RES installed'!$A$2:$C$7,3,FALSE)*'[1]Profiles, RES, Spring'!D$5</f>
        <v>10.839020473705339</v>
      </c>
      <c r="E5" s="9">
        <f>VLOOKUP($A5,'RES installed'!$A$2:$C$7,3,FALSE)*'[1]Profiles, RES, Spring'!E$5</f>
        <v>10.405459654757125</v>
      </c>
      <c r="F5" s="9">
        <f>VLOOKUP($A5,'RES installed'!$A$2:$C$7,3,FALSE)*'[1]Profiles, RES, Spring'!F$5</f>
        <v>10.306101967081492</v>
      </c>
      <c r="G5" s="9">
        <f>VLOOKUP($A5,'RES installed'!$A$2:$C$7,3,FALSE)*'[1]Profiles, RES, Spring'!G$5</f>
        <v>10.486752308309915</v>
      </c>
      <c r="H5" s="9">
        <f>VLOOKUP($A5,'RES installed'!$A$2:$C$7,3,FALSE)*'[1]Profiles, RES, Spring'!H$5</f>
        <v>9.4118827780008036</v>
      </c>
      <c r="I5" s="9">
        <f>VLOOKUP($A5,'RES installed'!$A$2:$C$7,3,FALSE)*'[1]Profiles, RES, Spring'!I$5</f>
        <v>7.5511842633480528</v>
      </c>
      <c r="J5" s="9">
        <f>VLOOKUP($A5,'RES installed'!$A$2:$C$7,3,FALSE)*'[1]Profiles, RES, Spring'!J$5</f>
        <v>5.9524287434765153</v>
      </c>
      <c r="K5" s="9">
        <f>VLOOKUP($A5,'RES installed'!$A$2:$C$7,3,FALSE)*'[1]Profiles, RES, Spring'!K$5</f>
        <v>4.4981934965877164</v>
      </c>
      <c r="L5" s="9">
        <f>VLOOKUP($A5,'RES installed'!$A$2:$C$7,3,FALSE)*'[1]Profiles, RES, Spring'!L$5</f>
        <v>4.2723805700521877</v>
      </c>
      <c r="M5" s="9">
        <f>VLOOKUP($A5,'RES installed'!$A$2:$C$7,3,FALSE)*'[1]Profiles, RES, Spring'!M$5</f>
        <v>5.2027298273785627</v>
      </c>
      <c r="N5" s="9">
        <f>VLOOKUP($A5,'RES installed'!$A$2:$C$7,3,FALSE)*'[1]Profiles, RES, Spring'!N$5</f>
        <v>6.8737454837414687</v>
      </c>
      <c r="O5" s="9">
        <f>VLOOKUP($A5,'RES installed'!$A$2:$C$7,3,FALSE)*'[1]Profiles, RES, Spring'!O$5</f>
        <v>9.5022079486150144</v>
      </c>
      <c r="P5" s="9">
        <f>VLOOKUP($A5,'RES installed'!$A$2:$C$7,3,FALSE)*'[1]Profiles, RES, Spring'!P$5</f>
        <v>12.401645925331193</v>
      </c>
      <c r="Q5" s="9">
        <f>VLOOKUP($A5,'RES installed'!$A$2:$C$7,3,FALSE)*'[1]Profiles, RES, Spring'!Q$5</f>
        <v>15.472701726214373</v>
      </c>
      <c r="R5" s="9">
        <f>VLOOKUP($A5,'RES installed'!$A$2:$C$7,3,FALSE)*'[1]Profiles, RES, Spring'!R$5</f>
        <v>19.26635889201124</v>
      </c>
      <c r="S5" s="9">
        <f>VLOOKUP($A5,'RES installed'!$A$2:$C$7,3,FALSE)*'[1]Profiles, RES, Spring'!S$5</f>
        <v>21.389000401445202</v>
      </c>
      <c r="T5" s="9">
        <f>VLOOKUP($A5,'RES installed'!$A$2:$C$7,3,FALSE)*'[1]Profiles, RES, Spring'!T$5</f>
        <v>21.461260537936575</v>
      </c>
      <c r="U5" s="9">
        <f>VLOOKUP($A5,'RES installed'!$A$2:$C$7,3,FALSE)*'[1]Profiles, RES, Spring'!U$5</f>
        <v>20.901244480128462</v>
      </c>
      <c r="V5" s="9">
        <f>VLOOKUP($A5,'RES installed'!$A$2:$C$7,3,FALSE)*'[1]Profiles, RES, Spring'!V$5</f>
        <v>18.950220794861501</v>
      </c>
      <c r="W5" s="9">
        <f>VLOOKUP($A5,'RES installed'!$A$2:$C$7,3,FALSE)*'[1]Profiles, RES, Spring'!W$5</f>
        <v>17.514050582095543</v>
      </c>
      <c r="X5" s="9">
        <f>VLOOKUP($A5,'RES installed'!$A$2:$C$7,3,FALSE)*'[1]Profiles, RES, Spring'!X$5</f>
        <v>17.48695303091128</v>
      </c>
      <c r="Y5" s="9">
        <f>VLOOKUP($A5,'RES installed'!$A$2:$C$7,3,FALSE)*'[1]Profiles, RES, Spring'!Y$5</f>
        <v>16.583701324769169</v>
      </c>
    </row>
    <row r="6" spans="1:25" x14ac:dyDescent="0.3">
      <c r="A6" s="8">
        <v>5</v>
      </c>
      <c r="B6" s="9">
        <f>VLOOKUP($A6,'RES installed'!$A$2:$C$7,3,FALSE)*'[1]Profiles, RES, Spring'!B$5</f>
        <v>15.487755921316742</v>
      </c>
      <c r="C6" s="9">
        <f>VLOOKUP($A6,'RES installed'!$A$2:$C$7,3,FALSE)*'[1]Profiles, RES, Spring'!C$5</f>
        <v>14.379767161782416</v>
      </c>
      <c r="D6" s="9">
        <f>VLOOKUP($A6,'RES installed'!$A$2:$C$7,3,FALSE)*'[1]Profiles, RES, Spring'!D$5</f>
        <v>14.452027298273785</v>
      </c>
      <c r="E6" s="9">
        <f>VLOOKUP($A6,'RES installed'!$A$2:$C$7,3,FALSE)*'[1]Profiles, RES, Spring'!E$5</f>
        <v>13.873946206342834</v>
      </c>
      <c r="F6" s="9">
        <f>VLOOKUP($A6,'RES installed'!$A$2:$C$7,3,FALSE)*'[1]Profiles, RES, Spring'!F$5</f>
        <v>13.741469289441991</v>
      </c>
      <c r="G6" s="9">
        <f>VLOOKUP($A6,'RES installed'!$A$2:$C$7,3,FALSE)*'[1]Profiles, RES, Spring'!G$5</f>
        <v>13.982336411079887</v>
      </c>
      <c r="H6" s="9">
        <f>VLOOKUP($A6,'RES installed'!$A$2:$C$7,3,FALSE)*'[1]Profiles, RES, Spring'!H$5</f>
        <v>12.549177037334404</v>
      </c>
      <c r="I6" s="9">
        <f>VLOOKUP($A6,'RES installed'!$A$2:$C$7,3,FALSE)*'[1]Profiles, RES, Spring'!I$5</f>
        <v>10.06824568446407</v>
      </c>
      <c r="J6" s="9">
        <f>VLOOKUP($A6,'RES installed'!$A$2:$C$7,3,FALSE)*'[1]Profiles, RES, Spring'!J$5</f>
        <v>7.9365716579686874</v>
      </c>
      <c r="K6" s="9">
        <f>VLOOKUP($A6,'RES installed'!$A$2:$C$7,3,FALSE)*'[1]Profiles, RES, Spring'!K$5</f>
        <v>5.9975913287836216</v>
      </c>
      <c r="L6" s="9">
        <f>VLOOKUP($A6,'RES installed'!$A$2:$C$7,3,FALSE)*'[1]Profiles, RES, Spring'!L$5</f>
        <v>5.6965074267362503</v>
      </c>
      <c r="M6" s="9">
        <f>VLOOKUP($A6,'RES installed'!$A$2:$C$7,3,FALSE)*'[1]Profiles, RES, Spring'!M$5</f>
        <v>6.9369731031714172</v>
      </c>
      <c r="N6" s="9">
        <f>VLOOKUP($A6,'RES installed'!$A$2:$C$7,3,FALSE)*'[1]Profiles, RES, Spring'!N$5</f>
        <v>9.1649939783219594</v>
      </c>
      <c r="O6" s="9">
        <f>VLOOKUP($A6,'RES installed'!$A$2:$C$7,3,FALSE)*'[1]Profiles, RES, Spring'!O$5</f>
        <v>12.669610598153353</v>
      </c>
      <c r="P6" s="9">
        <f>VLOOKUP($A6,'RES installed'!$A$2:$C$7,3,FALSE)*'[1]Profiles, RES, Spring'!P$5</f>
        <v>16.53552790044159</v>
      </c>
      <c r="Q6" s="9">
        <f>VLOOKUP($A6,'RES installed'!$A$2:$C$7,3,FALSE)*'[1]Profiles, RES, Spring'!Q$5</f>
        <v>20.630268968285829</v>
      </c>
      <c r="R6" s="9">
        <f>VLOOKUP($A6,'RES installed'!$A$2:$C$7,3,FALSE)*'[1]Profiles, RES, Spring'!R$5</f>
        <v>25.688478522681656</v>
      </c>
      <c r="S6" s="9">
        <f>VLOOKUP($A6,'RES installed'!$A$2:$C$7,3,FALSE)*'[1]Profiles, RES, Spring'!S$5</f>
        <v>28.518667201926938</v>
      </c>
      <c r="T6" s="9">
        <f>VLOOKUP($A6,'RES installed'!$A$2:$C$7,3,FALSE)*'[1]Profiles, RES, Spring'!T$5</f>
        <v>28.615014050582097</v>
      </c>
      <c r="U6" s="9">
        <f>VLOOKUP($A6,'RES installed'!$A$2:$C$7,3,FALSE)*'[1]Profiles, RES, Spring'!U$5</f>
        <v>27.868325973504618</v>
      </c>
      <c r="V6" s="9">
        <f>VLOOKUP($A6,'RES installed'!$A$2:$C$7,3,FALSE)*'[1]Profiles, RES, Spring'!V$5</f>
        <v>25.266961059815333</v>
      </c>
      <c r="W6" s="9">
        <f>VLOOKUP($A6,'RES installed'!$A$2:$C$7,3,FALSE)*'[1]Profiles, RES, Spring'!W$5</f>
        <v>23.352067442794059</v>
      </c>
      <c r="X6" s="9">
        <f>VLOOKUP($A6,'RES installed'!$A$2:$C$7,3,FALSE)*'[1]Profiles, RES, Spring'!X$5</f>
        <v>23.315937374548376</v>
      </c>
      <c r="Y6" s="9">
        <f>VLOOKUP($A6,'RES installed'!$A$2:$C$7,3,FALSE)*'[1]Profiles, RES, Spring'!Y$5</f>
        <v>22.111601766358891</v>
      </c>
    </row>
    <row r="7" spans="1:25" x14ac:dyDescent="0.3">
      <c r="A7" s="8">
        <v>6</v>
      </c>
      <c r="B7" s="9">
        <f>VLOOKUP($A7,'RES installed'!$A$2:$C$7,3,FALSE)*'[1]Profiles, RES, Spring'!B$5</f>
        <v>11.615816940987557</v>
      </c>
      <c r="C7" s="9">
        <f>VLOOKUP($A7,'RES installed'!$A$2:$C$7,3,FALSE)*'[1]Profiles, RES, Spring'!C$5</f>
        <v>10.784825371336813</v>
      </c>
      <c r="D7" s="9">
        <f>VLOOKUP($A7,'RES installed'!$A$2:$C$7,3,FALSE)*'[1]Profiles, RES, Spring'!D$5</f>
        <v>10.839020473705339</v>
      </c>
      <c r="E7" s="9">
        <f>VLOOKUP($A7,'RES installed'!$A$2:$C$7,3,FALSE)*'[1]Profiles, RES, Spring'!E$5</f>
        <v>10.405459654757125</v>
      </c>
      <c r="F7" s="9">
        <f>VLOOKUP($A7,'RES installed'!$A$2:$C$7,3,FALSE)*'[1]Profiles, RES, Spring'!F$5</f>
        <v>10.306101967081492</v>
      </c>
      <c r="G7" s="9">
        <f>VLOOKUP($A7,'RES installed'!$A$2:$C$7,3,FALSE)*'[1]Profiles, RES, Spring'!G$5</f>
        <v>10.486752308309915</v>
      </c>
      <c r="H7" s="9">
        <f>VLOOKUP($A7,'RES installed'!$A$2:$C$7,3,FALSE)*'[1]Profiles, RES, Spring'!H$5</f>
        <v>9.4118827780008036</v>
      </c>
      <c r="I7" s="9">
        <f>VLOOKUP($A7,'RES installed'!$A$2:$C$7,3,FALSE)*'[1]Profiles, RES, Spring'!I$5</f>
        <v>7.5511842633480528</v>
      </c>
      <c r="J7" s="9">
        <f>VLOOKUP($A7,'RES installed'!$A$2:$C$7,3,FALSE)*'[1]Profiles, RES, Spring'!J$5</f>
        <v>5.9524287434765153</v>
      </c>
      <c r="K7" s="9">
        <f>VLOOKUP($A7,'RES installed'!$A$2:$C$7,3,FALSE)*'[1]Profiles, RES, Spring'!K$5</f>
        <v>4.4981934965877164</v>
      </c>
      <c r="L7" s="9">
        <f>VLOOKUP($A7,'RES installed'!$A$2:$C$7,3,FALSE)*'[1]Profiles, RES, Spring'!L$5</f>
        <v>4.2723805700521877</v>
      </c>
      <c r="M7" s="9">
        <f>VLOOKUP($A7,'RES installed'!$A$2:$C$7,3,FALSE)*'[1]Profiles, RES, Spring'!M$5</f>
        <v>5.2027298273785627</v>
      </c>
      <c r="N7" s="9">
        <f>VLOOKUP($A7,'RES installed'!$A$2:$C$7,3,FALSE)*'[1]Profiles, RES, Spring'!N$5</f>
        <v>6.8737454837414687</v>
      </c>
      <c r="O7" s="9">
        <f>VLOOKUP($A7,'RES installed'!$A$2:$C$7,3,FALSE)*'[1]Profiles, RES, Spring'!O$5</f>
        <v>9.5022079486150144</v>
      </c>
      <c r="P7" s="9">
        <f>VLOOKUP($A7,'RES installed'!$A$2:$C$7,3,FALSE)*'[1]Profiles, RES, Spring'!P$5</f>
        <v>12.401645925331193</v>
      </c>
      <c r="Q7" s="9">
        <f>VLOOKUP($A7,'RES installed'!$A$2:$C$7,3,FALSE)*'[1]Profiles, RES, Spring'!Q$5</f>
        <v>15.472701726214373</v>
      </c>
      <c r="R7" s="9">
        <f>VLOOKUP($A7,'RES installed'!$A$2:$C$7,3,FALSE)*'[1]Profiles, RES, Spring'!R$5</f>
        <v>19.26635889201124</v>
      </c>
      <c r="S7" s="9">
        <f>VLOOKUP($A7,'RES installed'!$A$2:$C$7,3,FALSE)*'[1]Profiles, RES, Spring'!S$5</f>
        <v>21.389000401445202</v>
      </c>
      <c r="T7" s="9">
        <f>VLOOKUP($A7,'RES installed'!$A$2:$C$7,3,FALSE)*'[1]Profiles, RES, Spring'!T$5</f>
        <v>21.461260537936575</v>
      </c>
      <c r="U7" s="9">
        <f>VLOOKUP($A7,'RES installed'!$A$2:$C$7,3,FALSE)*'[1]Profiles, RES, Spring'!U$5</f>
        <v>20.901244480128462</v>
      </c>
      <c r="V7" s="9">
        <f>VLOOKUP($A7,'RES installed'!$A$2:$C$7,3,FALSE)*'[1]Profiles, RES, Spring'!V$5</f>
        <v>18.950220794861501</v>
      </c>
      <c r="W7" s="9">
        <f>VLOOKUP($A7,'RES installed'!$A$2:$C$7,3,FALSE)*'[1]Profiles, RES, Spring'!W$5</f>
        <v>17.514050582095543</v>
      </c>
      <c r="X7" s="9">
        <f>VLOOKUP($A7,'RES installed'!$A$2:$C$7,3,FALSE)*'[1]Profiles, RES, Spring'!X$5</f>
        <v>17.48695303091128</v>
      </c>
      <c r="Y7" s="9">
        <f>VLOOKUP($A7,'RES installed'!$A$2:$C$7,3,FALSE)*'[1]Profiles, RES, Spring'!Y$5</f>
        <v>16.583701324769169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0.71076573161485967</v>
      </c>
      <c r="H8" s="6">
        <f>VLOOKUP($A8,'RES installed'!$A$2:$C$7,3,FALSE)*'[1]Profiles, RES, Spring'!H$2</f>
        <v>7.136087945413192</v>
      </c>
      <c r="I8" s="6">
        <f>VLOOKUP($A8,'RES installed'!$A$2:$C$7,3,FALSE)*'[1]Profiles, RES, Spring'!I$2</f>
        <v>19.929871114480665</v>
      </c>
      <c r="J8" s="6">
        <f>VLOOKUP($A8,'RES installed'!$A$2:$C$7,3,FALSE)*'[1]Profiles, RES, Spring'!J$2</f>
        <v>30.790371493555725</v>
      </c>
      <c r="K8" s="6">
        <f>VLOOKUP($A8,'RES installed'!$A$2:$C$7,3,FALSE)*'[1]Profiles, RES, Spring'!K$2</f>
        <v>36.021607278241092</v>
      </c>
      <c r="L8" s="6">
        <f>VLOOKUP($A8,'RES installed'!$A$2:$C$7,3,FALSE)*'[1]Profiles, RES, Spring'!L$2</f>
        <v>41.167551175132679</v>
      </c>
      <c r="M8" s="6">
        <f>VLOOKUP($A8,'RES installed'!$A$2:$C$7,3,FALSE)*'[1]Profiles, RES, Spring'!M$2</f>
        <v>43.385140257771042</v>
      </c>
      <c r="N8" s="6">
        <f>VLOOKUP($A8,'RES installed'!$A$2:$C$7,3,FALSE)*'[1]Profiles, RES, Spring'!N$2</f>
        <v>46.796815769522368</v>
      </c>
      <c r="O8" s="6">
        <f>VLOOKUP($A8,'RES installed'!$A$2:$C$7,3,FALSE)*'[1]Profiles, RES, Spring'!O$2</f>
        <v>47.052691432903721</v>
      </c>
      <c r="P8" s="6">
        <f>VLOOKUP($A8,'RES installed'!$A$2:$C$7,3,FALSE)*'[1]Profiles, RES, Spring'!P$2</f>
        <v>47.30856709628506</v>
      </c>
      <c r="Q8" s="6">
        <f>VLOOKUP($A8,'RES installed'!$A$2:$C$7,3,FALSE)*'[1]Profiles, RES, Spring'!Q$2</f>
        <v>43.271417740712657</v>
      </c>
      <c r="R8" s="6">
        <f>VLOOKUP($A8,'RES installed'!$A$2:$C$7,3,FALSE)*'[1]Profiles, RES, Spring'!R$2</f>
        <v>34.429492039423806</v>
      </c>
      <c r="S8" s="6">
        <f>VLOOKUP($A8,'RES installed'!$A$2:$C$7,3,FALSE)*'[1]Profiles, RES, Spring'!S$2</f>
        <v>22.687642153146324</v>
      </c>
      <c r="T8" s="6">
        <f>VLOOKUP($A8,'RES installed'!$A$2:$C$7,3,FALSE)*'[1]Profiles, RES, Spring'!T$2</f>
        <v>8.3586050037907516</v>
      </c>
      <c r="U8" s="6">
        <f>VLOOKUP($A8,'RES installed'!$A$2:$C$7,3,FALSE)*'[1]Profiles, RES, Spring'!U$2</f>
        <v>0.73919636087945406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  <row r="9" spans="1:25" x14ac:dyDescent="0.3">
      <c r="A9" s="5">
        <v>8</v>
      </c>
      <c r="B9" s="6">
        <f>VLOOKUP($A9,'RES installed'!$A$2:$C$7,3,FALSE)*'[1]Profiles, RES, Spring'!B$2</f>
        <v>0</v>
      </c>
      <c r="C9" s="6">
        <f>VLOOKUP($A9,'RES installed'!$A$2:$C$7,3,FALSE)*'[1]Profiles, RES, Spring'!C$2</f>
        <v>0</v>
      </c>
      <c r="D9" s="6">
        <f>VLOOKUP($A9,'RES installed'!$A$2:$C$7,3,FALSE)*'[1]Profiles, RES, Spring'!D$2</f>
        <v>0</v>
      </c>
      <c r="E9" s="6">
        <f>VLOOKUP($A9,'RES installed'!$A$2:$C$7,3,FALSE)*'[1]Profiles, RES, Spring'!E$2</f>
        <v>0</v>
      </c>
      <c r="F9" s="6">
        <f>VLOOKUP($A9,'RES installed'!$A$2:$C$7,3,FALSE)*'[1]Profiles, RES, Spring'!F$2</f>
        <v>0</v>
      </c>
      <c r="G9" s="6">
        <f>VLOOKUP($A9,'RES installed'!$A$2:$C$7,3,FALSE)*'[1]Profiles, RES, Spring'!G$2</f>
        <v>0.47384382107657314</v>
      </c>
      <c r="H9" s="6">
        <f>VLOOKUP($A9,'RES installed'!$A$2:$C$7,3,FALSE)*'[1]Profiles, RES, Spring'!H$2</f>
        <v>4.7573919636087947</v>
      </c>
      <c r="I9" s="6">
        <f>VLOOKUP($A9,'RES installed'!$A$2:$C$7,3,FALSE)*'[1]Profiles, RES, Spring'!I$2</f>
        <v>13.286580742987111</v>
      </c>
      <c r="J9" s="6">
        <f>VLOOKUP($A9,'RES installed'!$A$2:$C$7,3,FALSE)*'[1]Profiles, RES, Spring'!J$2</f>
        <v>20.526914329037147</v>
      </c>
      <c r="K9" s="6">
        <f>VLOOKUP($A9,'RES installed'!$A$2:$C$7,3,FALSE)*'[1]Profiles, RES, Spring'!K$2</f>
        <v>24.014404852160727</v>
      </c>
      <c r="L9" s="6">
        <f>VLOOKUP($A9,'RES installed'!$A$2:$C$7,3,FALSE)*'[1]Profiles, RES, Spring'!L$2</f>
        <v>27.445034116755117</v>
      </c>
      <c r="M9" s="6">
        <f>VLOOKUP($A9,'RES installed'!$A$2:$C$7,3,FALSE)*'[1]Profiles, RES, Spring'!M$2</f>
        <v>28.923426838514025</v>
      </c>
      <c r="N9" s="6">
        <f>VLOOKUP($A9,'RES installed'!$A$2:$C$7,3,FALSE)*'[1]Profiles, RES, Spring'!N$2</f>
        <v>31.197877179681576</v>
      </c>
      <c r="O9" s="6">
        <f>VLOOKUP($A9,'RES installed'!$A$2:$C$7,3,FALSE)*'[1]Profiles, RES, Spring'!O$2</f>
        <v>31.368460955269146</v>
      </c>
      <c r="P9" s="6">
        <f>VLOOKUP($A9,'RES installed'!$A$2:$C$7,3,FALSE)*'[1]Profiles, RES, Spring'!P$2</f>
        <v>31.539044730856709</v>
      </c>
      <c r="Q9" s="6">
        <f>VLOOKUP($A9,'RES installed'!$A$2:$C$7,3,FALSE)*'[1]Profiles, RES, Spring'!Q$2</f>
        <v>28.847611827141773</v>
      </c>
      <c r="R9" s="6">
        <f>VLOOKUP($A9,'RES installed'!$A$2:$C$7,3,FALSE)*'[1]Profiles, RES, Spring'!R$2</f>
        <v>22.952994692949204</v>
      </c>
      <c r="S9" s="6">
        <f>VLOOKUP($A9,'RES installed'!$A$2:$C$7,3,FALSE)*'[1]Profiles, RES, Spring'!S$2</f>
        <v>15.125094768764216</v>
      </c>
      <c r="T9" s="6">
        <f>VLOOKUP($A9,'RES installed'!$A$2:$C$7,3,FALSE)*'[1]Profiles, RES, Spring'!T$2</f>
        <v>5.5724033358605007</v>
      </c>
      <c r="U9" s="6">
        <f>VLOOKUP($A9,'RES installed'!$A$2:$C$7,3,FALSE)*'[1]Profiles, RES, Spring'!U$2</f>
        <v>0.49279757391963608</v>
      </c>
      <c r="V9" s="6">
        <f>VLOOKUP($A9,'RES installed'!$A$2:$C$7,3,FALSE)*'[1]Profiles, RES, Spring'!V$2</f>
        <v>0</v>
      </c>
      <c r="W9" s="6">
        <f>VLOOKUP($A9,'RES installed'!$A$2:$C$7,3,FALSE)*'[1]Profiles, RES, Spring'!W$2</f>
        <v>0</v>
      </c>
      <c r="X9" s="6">
        <f>VLOOKUP($A9,'RES installed'!$A$2:$C$7,3,FALSE)*'[1]Profiles, RES, Spring'!X$2</f>
        <v>0</v>
      </c>
      <c r="Y9" s="6">
        <f>VLOOKUP($A9,'RES installed'!$A$2:$C$7,3,FALSE)*'[1]Profiles, RES, Spring'!Y$2</f>
        <v>0</v>
      </c>
    </row>
    <row r="10" spans="1:25" x14ac:dyDescent="0.3">
      <c r="A10" s="5">
        <v>9</v>
      </c>
      <c r="B10" s="6">
        <f>VLOOKUP($A10,'RES installed'!$A$2:$C$7,3,FALSE)*'[1]Profiles, RES, Spring'!B$2</f>
        <v>0</v>
      </c>
      <c r="C10" s="6">
        <f>VLOOKUP($A10,'RES installed'!$A$2:$C$7,3,FALSE)*'[1]Profiles, RES, Spring'!C$2</f>
        <v>0</v>
      </c>
      <c r="D10" s="6">
        <f>VLOOKUP($A10,'RES installed'!$A$2:$C$7,3,FALSE)*'[1]Profiles, RES, Spring'!D$2</f>
        <v>0</v>
      </c>
      <c r="E10" s="6">
        <f>VLOOKUP($A10,'RES installed'!$A$2:$C$7,3,FALSE)*'[1]Profiles, RES, Spring'!E$2</f>
        <v>0</v>
      </c>
      <c r="F10" s="6">
        <f>VLOOKUP($A10,'RES installed'!$A$2:$C$7,3,FALSE)*'[1]Profiles, RES, Spring'!F$2</f>
        <v>0</v>
      </c>
      <c r="G10" s="6">
        <f>VLOOKUP($A10,'RES installed'!$A$2:$C$7,3,FALSE)*'[1]Profiles, RES, Spring'!G$2</f>
        <v>0.56861258529188774</v>
      </c>
      <c r="H10" s="6">
        <f>VLOOKUP($A10,'RES installed'!$A$2:$C$7,3,FALSE)*'[1]Profiles, RES, Spring'!H$2</f>
        <v>5.7088703563305536</v>
      </c>
      <c r="I10" s="6">
        <f>VLOOKUP($A10,'RES installed'!$A$2:$C$7,3,FALSE)*'[1]Profiles, RES, Spring'!I$2</f>
        <v>15.943896891584533</v>
      </c>
      <c r="J10" s="6">
        <f>VLOOKUP($A10,'RES installed'!$A$2:$C$7,3,FALSE)*'[1]Profiles, RES, Spring'!J$2</f>
        <v>24.632297194844579</v>
      </c>
      <c r="K10" s="6">
        <f>VLOOKUP($A10,'RES installed'!$A$2:$C$7,3,FALSE)*'[1]Profiles, RES, Spring'!K$2</f>
        <v>28.817285822592876</v>
      </c>
      <c r="L10" s="6">
        <f>VLOOKUP($A10,'RES installed'!$A$2:$C$7,3,FALSE)*'[1]Profiles, RES, Spring'!L$2</f>
        <v>32.934040940106144</v>
      </c>
      <c r="M10" s="6">
        <f>VLOOKUP($A10,'RES installed'!$A$2:$C$7,3,FALSE)*'[1]Profiles, RES, Spring'!M$2</f>
        <v>34.708112206216832</v>
      </c>
      <c r="N10" s="6">
        <f>VLOOKUP($A10,'RES installed'!$A$2:$C$7,3,FALSE)*'[1]Profiles, RES, Spring'!N$2</f>
        <v>37.437452615617893</v>
      </c>
      <c r="O10" s="6">
        <f>VLOOKUP($A10,'RES installed'!$A$2:$C$7,3,FALSE)*'[1]Profiles, RES, Spring'!O$2</f>
        <v>37.642153146322975</v>
      </c>
      <c r="P10" s="6">
        <f>VLOOKUP($A10,'RES installed'!$A$2:$C$7,3,FALSE)*'[1]Profiles, RES, Spring'!P$2</f>
        <v>37.846853677028051</v>
      </c>
      <c r="Q10" s="6">
        <f>VLOOKUP($A10,'RES installed'!$A$2:$C$7,3,FALSE)*'[1]Profiles, RES, Spring'!Q$2</f>
        <v>34.617134192570127</v>
      </c>
      <c r="R10" s="6">
        <f>VLOOKUP($A10,'RES installed'!$A$2:$C$7,3,FALSE)*'[1]Profiles, RES, Spring'!R$2</f>
        <v>27.543593631539046</v>
      </c>
      <c r="S10" s="6">
        <f>VLOOKUP($A10,'RES installed'!$A$2:$C$7,3,FALSE)*'[1]Profiles, RES, Spring'!S$2</f>
        <v>18.150113722517059</v>
      </c>
      <c r="T10" s="6">
        <f>VLOOKUP($A10,'RES installed'!$A$2:$C$7,3,FALSE)*'[1]Profiles, RES, Spring'!T$2</f>
        <v>6.6868840030326009</v>
      </c>
      <c r="U10" s="6">
        <f>VLOOKUP($A10,'RES installed'!$A$2:$C$7,3,FALSE)*'[1]Profiles, RES, Spring'!U$2</f>
        <v>0.59135708870356329</v>
      </c>
      <c r="V10" s="6">
        <f>VLOOKUP($A10,'RES installed'!$A$2:$C$7,3,FALSE)*'[1]Profiles, RES, Spring'!V$2</f>
        <v>0</v>
      </c>
      <c r="W10" s="6">
        <f>VLOOKUP($A10,'RES installed'!$A$2:$C$7,3,FALSE)*'[1]Profiles, RES, Spring'!W$2</f>
        <v>0</v>
      </c>
      <c r="X10" s="6">
        <f>VLOOKUP($A10,'RES installed'!$A$2:$C$7,3,FALSE)*'[1]Profiles, RES, Spring'!X$2</f>
        <v>0</v>
      </c>
      <c r="Y10" s="6">
        <f>VLOOKUP($A10,'RES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B76AB-CAAD-4D01-A6E3-BD56703B3D63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Spring'!B$6</f>
        <v>15.228823765556003</v>
      </c>
      <c r="C5" s="9">
        <f>VLOOKUP($A5,'RES installed'!$A$2:$C$7,3,FALSE)*'[1]Profiles, RES, Spring'!C$6</f>
        <v>13.819751103974308</v>
      </c>
      <c r="D5" s="9">
        <f>VLOOKUP($A5,'RES installed'!$A$2:$C$7,3,FALSE)*'[1]Profiles, RES, Spring'!D$6</f>
        <v>12.058410276997192</v>
      </c>
      <c r="E5" s="9">
        <f>VLOOKUP($A5,'RES installed'!$A$2:$C$7,3,FALSE)*'[1]Profiles, RES, Spring'!E$6</f>
        <v>10.857085507828181</v>
      </c>
      <c r="F5" s="9">
        <f>VLOOKUP($A5,'RES installed'!$A$2:$C$7,3,FALSE)*'[1]Profiles, RES, Spring'!F$6</f>
        <v>10.613207547169811</v>
      </c>
      <c r="G5" s="9">
        <f>VLOOKUP($A5,'RES installed'!$A$2:$C$7,3,FALSE)*'[1]Profiles, RES, Spring'!G$6</f>
        <v>10.730630268968287</v>
      </c>
      <c r="H5" s="9">
        <f>VLOOKUP($A5,'RES installed'!$A$2:$C$7,3,FALSE)*'[1]Profiles, RES, Spring'!H$6</f>
        <v>9.1589723002810111</v>
      </c>
      <c r="I5" s="9">
        <f>VLOOKUP($A5,'RES installed'!$A$2:$C$7,3,FALSE)*'[1]Profiles, RES, Spring'!I$6</f>
        <v>6.8918105178643119</v>
      </c>
      <c r="J5" s="9">
        <f>VLOOKUP($A5,'RES installed'!$A$2:$C$7,3,FALSE)*'[1]Profiles, RES, Spring'!J$6</f>
        <v>6.2775993576876754</v>
      </c>
      <c r="K5" s="9">
        <f>VLOOKUP($A5,'RES installed'!$A$2:$C$7,3,FALSE)*'[1]Profiles, RES, Spring'!K$6</f>
        <v>6.5395423524688878</v>
      </c>
      <c r="L5" s="9">
        <f>VLOOKUP($A5,'RES installed'!$A$2:$C$7,3,FALSE)*'[1]Profiles, RES, Spring'!L$6</f>
        <v>7.3253713368125251</v>
      </c>
      <c r="M5" s="9">
        <f>VLOOKUP($A5,'RES installed'!$A$2:$C$7,3,FALSE)*'[1]Profiles, RES, Spring'!M$6</f>
        <v>8.4002408671216386</v>
      </c>
      <c r="N5" s="9">
        <f>VLOOKUP($A5,'RES installed'!$A$2:$C$7,3,FALSE)*'[1]Profiles, RES, Spring'!N$6</f>
        <v>10.92031312725813</v>
      </c>
      <c r="O5" s="9">
        <f>VLOOKUP($A5,'RES installed'!$A$2:$C$7,3,FALSE)*'[1]Profiles, RES, Spring'!O$6</f>
        <v>13.557808109193095</v>
      </c>
      <c r="P5" s="9">
        <f>VLOOKUP($A5,'RES installed'!$A$2:$C$7,3,FALSE)*'[1]Profiles, RES, Spring'!P$6</f>
        <v>15.400441589723002</v>
      </c>
      <c r="Q5" s="9">
        <f>VLOOKUP($A5,'RES installed'!$A$2:$C$7,3,FALSE)*'[1]Profiles, RES, Spring'!Q$6</f>
        <v>16.945002007226016</v>
      </c>
      <c r="R5" s="9">
        <f>VLOOKUP($A5,'RES installed'!$A$2:$C$7,3,FALSE)*'[1]Profiles, RES, Spring'!R$6</f>
        <v>18.570855078281813</v>
      </c>
      <c r="S5" s="9">
        <f>VLOOKUP($A5,'RES installed'!$A$2:$C$7,3,FALSE)*'[1]Profiles, RES, Spring'!S$6</f>
        <v>17.766961059815333</v>
      </c>
      <c r="T5" s="9">
        <f>VLOOKUP($A5,'RES installed'!$A$2:$C$7,3,FALSE)*'[1]Profiles, RES, Spring'!T$6</f>
        <v>15.716579686872743</v>
      </c>
      <c r="U5" s="9">
        <f>VLOOKUP($A5,'RES installed'!$A$2:$C$7,3,FALSE)*'[1]Profiles, RES, Spring'!U$6</f>
        <v>15.120433560818947</v>
      </c>
      <c r="V5" s="9">
        <f>VLOOKUP($A5,'RES installed'!$A$2:$C$7,3,FALSE)*'[1]Profiles, RES, Spring'!V$6</f>
        <v>14.063629064632678</v>
      </c>
      <c r="W5" s="9">
        <f>VLOOKUP($A5,'RES installed'!$A$2:$C$7,3,FALSE)*'[1]Profiles, RES, Spring'!W$6</f>
        <v>13.341027699718989</v>
      </c>
      <c r="X5" s="9">
        <f>VLOOKUP($A5,'RES installed'!$A$2:$C$7,3,FALSE)*'[1]Profiles, RES, Spring'!X$6</f>
        <v>12.094540345242873</v>
      </c>
      <c r="Y5" s="9">
        <f>VLOOKUP($A5,'RES installed'!$A$2:$C$7,3,FALSE)*'[1]Profiles, RES, Spring'!Y$6</f>
        <v>10.784825371336813</v>
      </c>
    </row>
    <row r="6" spans="1:25" x14ac:dyDescent="0.3">
      <c r="A6" s="8">
        <v>5</v>
      </c>
      <c r="B6" s="9">
        <f>VLOOKUP($A6,'RES installed'!$A$2:$C$7,3,FALSE)*'[1]Profiles, RES, Spring'!B$6</f>
        <v>20.305098354074669</v>
      </c>
      <c r="C6" s="9">
        <f>VLOOKUP($A6,'RES installed'!$A$2:$C$7,3,FALSE)*'[1]Profiles, RES, Spring'!C$6</f>
        <v>18.426334805299078</v>
      </c>
      <c r="D6" s="9">
        <f>VLOOKUP($A6,'RES installed'!$A$2:$C$7,3,FALSE)*'[1]Profiles, RES, Spring'!D$6</f>
        <v>16.077880369329588</v>
      </c>
      <c r="E6" s="9">
        <f>VLOOKUP($A6,'RES installed'!$A$2:$C$7,3,FALSE)*'[1]Profiles, RES, Spring'!E$6</f>
        <v>14.476114010437575</v>
      </c>
      <c r="F6" s="9">
        <f>VLOOKUP($A6,'RES installed'!$A$2:$C$7,3,FALSE)*'[1]Profiles, RES, Spring'!F$6</f>
        <v>14.150943396226415</v>
      </c>
      <c r="G6" s="9">
        <f>VLOOKUP($A6,'RES installed'!$A$2:$C$7,3,FALSE)*'[1]Profiles, RES, Spring'!G$6</f>
        <v>14.307507025291049</v>
      </c>
      <c r="H6" s="9">
        <f>VLOOKUP($A6,'RES installed'!$A$2:$C$7,3,FALSE)*'[1]Profiles, RES, Spring'!H$6</f>
        <v>12.211963067041349</v>
      </c>
      <c r="I6" s="9">
        <f>VLOOKUP($A6,'RES installed'!$A$2:$C$7,3,FALSE)*'[1]Profiles, RES, Spring'!I$6</f>
        <v>9.1890806904857492</v>
      </c>
      <c r="J6" s="9">
        <f>VLOOKUP($A6,'RES installed'!$A$2:$C$7,3,FALSE)*'[1]Profiles, RES, Spring'!J$6</f>
        <v>8.3701324769169005</v>
      </c>
      <c r="K6" s="9">
        <f>VLOOKUP($A6,'RES installed'!$A$2:$C$7,3,FALSE)*'[1]Profiles, RES, Spring'!K$6</f>
        <v>8.7193898032918504</v>
      </c>
      <c r="L6" s="9">
        <f>VLOOKUP($A6,'RES installed'!$A$2:$C$7,3,FALSE)*'[1]Profiles, RES, Spring'!L$6</f>
        <v>9.7671617824167001</v>
      </c>
      <c r="M6" s="9">
        <f>VLOOKUP($A6,'RES installed'!$A$2:$C$7,3,FALSE)*'[1]Profiles, RES, Spring'!M$6</f>
        <v>11.200321156162184</v>
      </c>
      <c r="N6" s="9">
        <f>VLOOKUP($A6,'RES installed'!$A$2:$C$7,3,FALSE)*'[1]Profiles, RES, Spring'!N$6</f>
        <v>14.560417503010839</v>
      </c>
      <c r="O6" s="9">
        <f>VLOOKUP($A6,'RES installed'!$A$2:$C$7,3,FALSE)*'[1]Profiles, RES, Spring'!O$6</f>
        <v>18.077077478924128</v>
      </c>
      <c r="P6" s="9">
        <f>VLOOKUP($A6,'RES installed'!$A$2:$C$7,3,FALSE)*'[1]Profiles, RES, Spring'!P$6</f>
        <v>20.53392211963067</v>
      </c>
      <c r="Q6" s="9">
        <f>VLOOKUP($A6,'RES installed'!$A$2:$C$7,3,FALSE)*'[1]Profiles, RES, Spring'!Q$6</f>
        <v>22.593336009634687</v>
      </c>
      <c r="R6" s="9">
        <f>VLOOKUP($A6,'RES installed'!$A$2:$C$7,3,FALSE)*'[1]Profiles, RES, Spring'!R$6</f>
        <v>24.761140104375752</v>
      </c>
      <c r="S6" s="9">
        <f>VLOOKUP($A6,'RES installed'!$A$2:$C$7,3,FALSE)*'[1]Profiles, RES, Spring'!S$6</f>
        <v>23.689281413087112</v>
      </c>
      <c r="T6" s="9">
        <f>VLOOKUP($A6,'RES installed'!$A$2:$C$7,3,FALSE)*'[1]Profiles, RES, Spring'!T$6</f>
        <v>20.955439582496989</v>
      </c>
      <c r="U6" s="9">
        <f>VLOOKUP($A6,'RES installed'!$A$2:$C$7,3,FALSE)*'[1]Profiles, RES, Spring'!U$6</f>
        <v>20.160578081091931</v>
      </c>
      <c r="V6" s="9">
        <f>VLOOKUP($A6,'RES installed'!$A$2:$C$7,3,FALSE)*'[1]Profiles, RES, Spring'!V$6</f>
        <v>18.751505419510238</v>
      </c>
      <c r="W6" s="9">
        <f>VLOOKUP($A6,'RES installed'!$A$2:$C$7,3,FALSE)*'[1]Profiles, RES, Spring'!W$6</f>
        <v>17.788036932958651</v>
      </c>
      <c r="X6" s="9">
        <f>VLOOKUP($A6,'RES installed'!$A$2:$C$7,3,FALSE)*'[1]Profiles, RES, Spring'!X$6</f>
        <v>16.126053793657164</v>
      </c>
      <c r="Y6" s="9">
        <f>VLOOKUP($A6,'RES installed'!$A$2:$C$7,3,FALSE)*'[1]Profiles, RES, Spring'!Y$6</f>
        <v>14.379767161782416</v>
      </c>
    </row>
    <row r="7" spans="1:25" x14ac:dyDescent="0.3">
      <c r="A7" s="8">
        <v>6</v>
      </c>
      <c r="B7" s="9">
        <f>VLOOKUP($A7,'RES installed'!$A$2:$C$7,3,FALSE)*'[1]Profiles, RES, Spring'!B$6</f>
        <v>15.228823765556003</v>
      </c>
      <c r="C7" s="9">
        <f>VLOOKUP($A7,'RES installed'!$A$2:$C$7,3,FALSE)*'[1]Profiles, RES, Spring'!C$6</f>
        <v>13.819751103974308</v>
      </c>
      <c r="D7" s="9">
        <f>VLOOKUP($A7,'RES installed'!$A$2:$C$7,3,FALSE)*'[1]Profiles, RES, Spring'!D$6</f>
        <v>12.058410276997192</v>
      </c>
      <c r="E7" s="9">
        <f>VLOOKUP($A7,'RES installed'!$A$2:$C$7,3,FALSE)*'[1]Profiles, RES, Spring'!E$6</f>
        <v>10.857085507828181</v>
      </c>
      <c r="F7" s="9">
        <f>VLOOKUP($A7,'RES installed'!$A$2:$C$7,3,FALSE)*'[1]Profiles, RES, Spring'!F$6</f>
        <v>10.613207547169811</v>
      </c>
      <c r="G7" s="9">
        <f>VLOOKUP($A7,'RES installed'!$A$2:$C$7,3,FALSE)*'[1]Profiles, RES, Spring'!G$6</f>
        <v>10.730630268968287</v>
      </c>
      <c r="H7" s="9">
        <f>VLOOKUP($A7,'RES installed'!$A$2:$C$7,3,FALSE)*'[1]Profiles, RES, Spring'!H$6</f>
        <v>9.1589723002810111</v>
      </c>
      <c r="I7" s="9">
        <f>VLOOKUP($A7,'RES installed'!$A$2:$C$7,3,FALSE)*'[1]Profiles, RES, Spring'!I$6</f>
        <v>6.8918105178643119</v>
      </c>
      <c r="J7" s="9">
        <f>VLOOKUP($A7,'RES installed'!$A$2:$C$7,3,FALSE)*'[1]Profiles, RES, Spring'!J$6</f>
        <v>6.2775993576876754</v>
      </c>
      <c r="K7" s="9">
        <f>VLOOKUP($A7,'RES installed'!$A$2:$C$7,3,FALSE)*'[1]Profiles, RES, Spring'!K$6</f>
        <v>6.5395423524688878</v>
      </c>
      <c r="L7" s="9">
        <f>VLOOKUP($A7,'RES installed'!$A$2:$C$7,3,FALSE)*'[1]Profiles, RES, Spring'!L$6</f>
        <v>7.3253713368125251</v>
      </c>
      <c r="M7" s="9">
        <f>VLOOKUP($A7,'RES installed'!$A$2:$C$7,3,FALSE)*'[1]Profiles, RES, Spring'!M$6</f>
        <v>8.4002408671216386</v>
      </c>
      <c r="N7" s="9">
        <f>VLOOKUP($A7,'RES installed'!$A$2:$C$7,3,FALSE)*'[1]Profiles, RES, Spring'!N$6</f>
        <v>10.92031312725813</v>
      </c>
      <c r="O7" s="9">
        <f>VLOOKUP($A7,'RES installed'!$A$2:$C$7,3,FALSE)*'[1]Profiles, RES, Spring'!O$6</f>
        <v>13.557808109193095</v>
      </c>
      <c r="P7" s="9">
        <f>VLOOKUP($A7,'RES installed'!$A$2:$C$7,3,FALSE)*'[1]Profiles, RES, Spring'!P$6</f>
        <v>15.400441589723002</v>
      </c>
      <c r="Q7" s="9">
        <f>VLOOKUP($A7,'RES installed'!$A$2:$C$7,3,FALSE)*'[1]Profiles, RES, Spring'!Q$6</f>
        <v>16.945002007226016</v>
      </c>
      <c r="R7" s="9">
        <f>VLOOKUP($A7,'RES installed'!$A$2:$C$7,3,FALSE)*'[1]Profiles, RES, Spring'!R$6</f>
        <v>18.570855078281813</v>
      </c>
      <c r="S7" s="9">
        <f>VLOOKUP($A7,'RES installed'!$A$2:$C$7,3,FALSE)*'[1]Profiles, RES, Spring'!S$6</f>
        <v>17.766961059815333</v>
      </c>
      <c r="T7" s="9">
        <f>VLOOKUP($A7,'RES installed'!$A$2:$C$7,3,FALSE)*'[1]Profiles, RES, Spring'!T$6</f>
        <v>15.716579686872743</v>
      </c>
      <c r="U7" s="9">
        <f>VLOOKUP($A7,'RES installed'!$A$2:$C$7,3,FALSE)*'[1]Profiles, RES, Spring'!U$6</f>
        <v>15.120433560818947</v>
      </c>
      <c r="V7" s="9">
        <f>VLOOKUP($A7,'RES installed'!$A$2:$C$7,3,FALSE)*'[1]Profiles, RES, Spring'!V$6</f>
        <v>14.063629064632678</v>
      </c>
      <c r="W7" s="9">
        <f>VLOOKUP($A7,'RES installed'!$A$2:$C$7,3,FALSE)*'[1]Profiles, RES, Spring'!W$6</f>
        <v>13.341027699718989</v>
      </c>
      <c r="X7" s="9">
        <f>VLOOKUP($A7,'RES installed'!$A$2:$C$7,3,FALSE)*'[1]Profiles, RES, Spring'!X$6</f>
        <v>12.094540345242873</v>
      </c>
      <c r="Y7" s="9">
        <f>VLOOKUP($A7,'RES installed'!$A$2:$C$7,3,FALSE)*'[1]Profiles, RES, Spring'!Y$6</f>
        <v>10.784825371336813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0.85291887793783172</v>
      </c>
      <c r="H8" s="6">
        <f>VLOOKUP($A8,'RES installed'!$A$2:$C$7,3,FALSE)*'[1]Profiles, RES, Spring'!H$3</f>
        <v>7.4772554965883247</v>
      </c>
      <c r="I8" s="6">
        <f>VLOOKUP($A8,'RES installed'!$A$2:$C$7,3,FALSE)*'[1]Profiles, RES, Spring'!I$3</f>
        <v>17.996588324488251</v>
      </c>
      <c r="J8" s="6">
        <f>VLOOKUP($A8,'RES installed'!$A$2:$C$7,3,FALSE)*'[1]Profiles, RES, Spring'!J$3</f>
        <v>27.151250947687643</v>
      </c>
      <c r="K8" s="6">
        <f>VLOOKUP($A8,'RES installed'!$A$2:$C$7,3,FALSE)*'[1]Profiles, RES, Spring'!K$3</f>
        <v>37.812736921910542</v>
      </c>
      <c r="L8" s="6">
        <f>VLOOKUP($A8,'RES installed'!$A$2:$C$7,3,FALSE)*'[1]Profiles, RES, Spring'!L$3</f>
        <v>44.749810462471572</v>
      </c>
      <c r="M8" s="6">
        <f>VLOOKUP($A8,'RES installed'!$A$2:$C$7,3,FALSE)*'[1]Profiles, RES, Spring'!M$3</f>
        <v>45.801743745261561</v>
      </c>
      <c r="N8" s="6">
        <f>VLOOKUP($A8,'RES installed'!$A$2:$C$7,3,FALSE)*'[1]Profiles, RES, Spring'!N$3</f>
        <v>46.882107657316148</v>
      </c>
      <c r="O8" s="6">
        <f>VLOOKUP($A8,'RES installed'!$A$2:$C$7,3,FALSE)*'[1]Profiles, RES, Spring'!O$3</f>
        <v>45.23313115996968</v>
      </c>
      <c r="P8" s="6">
        <f>VLOOKUP($A8,'RES installed'!$A$2:$C$7,3,FALSE)*'[1]Profiles, RES, Spring'!P$3</f>
        <v>48.076194086429112</v>
      </c>
      <c r="Q8" s="6">
        <f>VLOOKUP($A8,'RES installed'!$A$2:$C$7,3,FALSE)*'[1]Profiles, RES, Spring'!Q$3</f>
        <v>42.674374526156178</v>
      </c>
      <c r="R8" s="6">
        <f>VLOOKUP($A8,'RES installed'!$A$2:$C$7,3,FALSE)*'[1]Profiles, RES, Spring'!R$3</f>
        <v>35.794162244124337</v>
      </c>
      <c r="S8" s="6">
        <f>VLOOKUP($A8,'RES installed'!$A$2:$C$7,3,FALSE)*'[1]Profiles, RES, Spring'!S$3</f>
        <v>23.398407884761184</v>
      </c>
      <c r="T8" s="6">
        <f>VLOOKUP($A8,'RES installed'!$A$2:$C$7,3,FALSE)*'[1]Profiles, RES, Spring'!T$3</f>
        <v>8.5291887793783179</v>
      </c>
      <c r="U8" s="6">
        <f>VLOOKUP($A8,'RES installed'!$A$2:$C$7,3,FALSE)*'[1]Profiles, RES, Spring'!U$3</f>
        <v>0.76762699014404845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  <row r="9" spans="1:25" x14ac:dyDescent="0.3">
      <c r="A9" s="5">
        <v>8</v>
      </c>
      <c r="B9" s="6">
        <f>VLOOKUP($A9,'RES installed'!$A$2:$C$7,3,FALSE)*'[1]Profiles, RES, Spring'!B$3</f>
        <v>0</v>
      </c>
      <c r="C9" s="6">
        <f>VLOOKUP($A9,'RES installed'!$A$2:$C$7,3,FALSE)*'[1]Profiles, RES, Spring'!C$3</f>
        <v>0</v>
      </c>
      <c r="D9" s="6">
        <f>VLOOKUP($A9,'RES installed'!$A$2:$C$7,3,FALSE)*'[1]Profiles, RES, Spring'!D$3</f>
        <v>0</v>
      </c>
      <c r="E9" s="6">
        <f>VLOOKUP($A9,'RES installed'!$A$2:$C$7,3,FALSE)*'[1]Profiles, RES, Spring'!E$3</f>
        <v>0</v>
      </c>
      <c r="F9" s="6">
        <f>VLOOKUP($A9,'RES installed'!$A$2:$C$7,3,FALSE)*'[1]Profiles, RES, Spring'!F$3</f>
        <v>0</v>
      </c>
      <c r="G9" s="6">
        <f>VLOOKUP($A9,'RES installed'!$A$2:$C$7,3,FALSE)*'[1]Profiles, RES, Spring'!G$3</f>
        <v>0.56861258529188785</v>
      </c>
      <c r="H9" s="6">
        <f>VLOOKUP($A9,'RES installed'!$A$2:$C$7,3,FALSE)*'[1]Profiles, RES, Spring'!H$3</f>
        <v>4.9848369977255498</v>
      </c>
      <c r="I9" s="6">
        <f>VLOOKUP($A9,'RES installed'!$A$2:$C$7,3,FALSE)*'[1]Profiles, RES, Spring'!I$3</f>
        <v>11.997725549658833</v>
      </c>
      <c r="J9" s="6">
        <f>VLOOKUP($A9,'RES installed'!$A$2:$C$7,3,FALSE)*'[1]Profiles, RES, Spring'!J$3</f>
        <v>18.100833965125098</v>
      </c>
      <c r="K9" s="6">
        <f>VLOOKUP($A9,'RES installed'!$A$2:$C$7,3,FALSE)*'[1]Profiles, RES, Spring'!K$3</f>
        <v>25.208491281273695</v>
      </c>
      <c r="L9" s="6">
        <f>VLOOKUP($A9,'RES installed'!$A$2:$C$7,3,FALSE)*'[1]Profiles, RES, Spring'!L$3</f>
        <v>29.833206974981046</v>
      </c>
      <c r="M9" s="6">
        <f>VLOOKUP($A9,'RES installed'!$A$2:$C$7,3,FALSE)*'[1]Profiles, RES, Spring'!M$3</f>
        <v>30.534495830174375</v>
      </c>
      <c r="N9" s="6">
        <f>VLOOKUP($A9,'RES installed'!$A$2:$C$7,3,FALSE)*'[1]Profiles, RES, Spring'!N$3</f>
        <v>31.254738438210765</v>
      </c>
      <c r="O9" s="6">
        <f>VLOOKUP($A9,'RES installed'!$A$2:$C$7,3,FALSE)*'[1]Profiles, RES, Spring'!O$3</f>
        <v>30.155420773313118</v>
      </c>
      <c r="P9" s="6">
        <f>VLOOKUP($A9,'RES installed'!$A$2:$C$7,3,FALSE)*'[1]Profiles, RES, Spring'!P$3</f>
        <v>32.050796057619408</v>
      </c>
      <c r="Q9" s="6">
        <f>VLOOKUP($A9,'RES installed'!$A$2:$C$7,3,FALSE)*'[1]Profiles, RES, Spring'!Q$3</f>
        <v>28.449583017437451</v>
      </c>
      <c r="R9" s="6">
        <f>VLOOKUP($A9,'RES installed'!$A$2:$C$7,3,FALSE)*'[1]Profiles, RES, Spring'!R$3</f>
        <v>23.862774829416225</v>
      </c>
      <c r="S9" s="6">
        <f>VLOOKUP($A9,'RES installed'!$A$2:$C$7,3,FALSE)*'[1]Profiles, RES, Spring'!S$3</f>
        <v>15.598938589840788</v>
      </c>
      <c r="T9" s="6">
        <f>VLOOKUP($A9,'RES installed'!$A$2:$C$7,3,FALSE)*'[1]Profiles, RES, Spring'!T$3</f>
        <v>5.6861258529188783</v>
      </c>
      <c r="U9" s="6">
        <f>VLOOKUP($A9,'RES installed'!$A$2:$C$7,3,FALSE)*'[1]Profiles, RES, Spring'!U$3</f>
        <v>0.51175132676269897</v>
      </c>
      <c r="V9" s="6">
        <f>VLOOKUP($A9,'RES installed'!$A$2:$C$7,3,FALSE)*'[1]Profiles, RES, Spring'!V$3</f>
        <v>0</v>
      </c>
      <c r="W9" s="6">
        <f>VLOOKUP($A9,'RES installed'!$A$2:$C$7,3,FALSE)*'[1]Profiles, RES, Spring'!W$3</f>
        <v>0</v>
      </c>
      <c r="X9" s="6">
        <f>VLOOKUP($A9,'RES installed'!$A$2:$C$7,3,FALSE)*'[1]Profiles, RES, Spring'!X$3</f>
        <v>0</v>
      </c>
      <c r="Y9" s="6">
        <f>VLOOKUP($A9,'RES installed'!$A$2:$C$7,3,FALSE)*'[1]Profiles, RES, Spring'!Y$3</f>
        <v>0</v>
      </c>
    </row>
    <row r="10" spans="1:25" x14ac:dyDescent="0.3">
      <c r="A10" s="5">
        <v>9</v>
      </c>
      <c r="B10" s="6">
        <f>VLOOKUP($A10,'RES installed'!$A$2:$C$7,3,FALSE)*'[1]Profiles, RES, Spring'!B$3</f>
        <v>0</v>
      </c>
      <c r="C10" s="6">
        <f>VLOOKUP($A10,'RES installed'!$A$2:$C$7,3,FALSE)*'[1]Profiles, RES, Spring'!C$3</f>
        <v>0</v>
      </c>
      <c r="D10" s="6">
        <f>VLOOKUP($A10,'RES installed'!$A$2:$C$7,3,FALSE)*'[1]Profiles, RES, Spring'!D$3</f>
        <v>0</v>
      </c>
      <c r="E10" s="6">
        <f>VLOOKUP($A10,'RES installed'!$A$2:$C$7,3,FALSE)*'[1]Profiles, RES, Spring'!E$3</f>
        <v>0</v>
      </c>
      <c r="F10" s="6">
        <f>VLOOKUP($A10,'RES installed'!$A$2:$C$7,3,FALSE)*'[1]Profiles, RES, Spring'!F$3</f>
        <v>0</v>
      </c>
      <c r="G10" s="6">
        <f>VLOOKUP($A10,'RES installed'!$A$2:$C$7,3,FALSE)*'[1]Profiles, RES, Spring'!G$3</f>
        <v>0.6823351023502654</v>
      </c>
      <c r="H10" s="6">
        <f>VLOOKUP($A10,'RES installed'!$A$2:$C$7,3,FALSE)*'[1]Profiles, RES, Spring'!H$3</f>
        <v>5.9818043972706594</v>
      </c>
      <c r="I10" s="6">
        <f>VLOOKUP($A10,'RES installed'!$A$2:$C$7,3,FALSE)*'[1]Profiles, RES, Spring'!I$3</f>
        <v>14.3972706595906</v>
      </c>
      <c r="J10" s="6">
        <f>VLOOKUP($A10,'RES installed'!$A$2:$C$7,3,FALSE)*'[1]Profiles, RES, Spring'!J$3</f>
        <v>21.721000758150115</v>
      </c>
      <c r="K10" s="6">
        <f>VLOOKUP($A10,'RES installed'!$A$2:$C$7,3,FALSE)*'[1]Profiles, RES, Spring'!K$3</f>
        <v>30.250189537528431</v>
      </c>
      <c r="L10" s="6">
        <f>VLOOKUP($A10,'RES installed'!$A$2:$C$7,3,FALSE)*'[1]Profiles, RES, Spring'!L$3</f>
        <v>35.799848369977255</v>
      </c>
      <c r="M10" s="6">
        <f>VLOOKUP($A10,'RES installed'!$A$2:$C$7,3,FALSE)*'[1]Profiles, RES, Spring'!M$3</f>
        <v>36.64139499620925</v>
      </c>
      <c r="N10" s="6">
        <f>VLOOKUP($A10,'RES installed'!$A$2:$C$7,3,FALSE)*'[1]Profiles, RES, Spring'!N$3</f>
        <v>37.505686125852918</v>
      </c>
      <c r="O10" s="6">
        <f>VLOOKUP($A10,'RES installed'!$A$2:$C$7,3,FALSE)*'[1]Profiles, RES, Spring'!O$3</f>
        <v>36.18650492797574</v>
      </c>
      <c r="P10" s="6">
        <f>VLOOKUP($A10,'RES installed'!$A$2:$C$7,3,FALSE)*'[1]Profiles, RES, Spring'!P$3</f>
        <v>38.460955269143291</v>
      </c>
      <c r="Q10" s="6">
        <f>VLOOKUP($A10,'RES installed'!$A$2:$C$7,3,FALSE)*'[1]Profiles, RES, Spring'!Q$3</f>
        <v>34.139499620924944</v>
      </c>
      <c r="R10" s="6">
        <f>VLOOKUP($A10,'RES installed'!$A$2:$C$7,3,FALSE)*'[1]Profiles, RES, Spring'!R$3</f>
        <v>28.635329795299469</v>
      </c>
      <c r="S10" s="6">
        <f>VLOOKUP($A10,'RES installed'!$A$2:$C$7,3,FALSE)*'[1]Profiles, RES, Spring'!S$3</f>
        <v>18.718726307808947</v>
      </c>
      <c r="T10" s="6">
        <f>VLOOKUP($A10,'RES installed'!$A$2:$C$7,3,FALSE)*'[1]Profiles, RES, Spring'!T$3</f>
        <v>6.8233510235026538</v>
      </c>
      <c r="U10" s="6">
        <f>VLOOKUP($A10,'RES installed'!$A$2:$C$7,3,FALSE)*'[1]Profiles, RES, Spring'!U$3</f>
        <v>0.61410159211523874</v>
      </c>
      <c r="V10" s="6">
        <f>VLOOKUP($A10,'RES installed'!$A$2:$C$7,3,FALSE)*'[1]Profiles, RES, Spring'!V$3</f>
        <v>0</v>
      </c>
      <c r="W10" s="6">
        <f>VLOOKUP($A10,'RES installed'!$A$2:$C$7,3,FALSE)*'[1]Profiles, RES, Spring'!W$3</f>
        <v>0</v>
      </c>
      <c r="X10" s="6">
        <f>VLOOKUP($A10,'RES installed'!$A$2:$C$7,3,FALSE)*'[1]Profiles, RES, Spring'!X$3</f>
        <v>0</v>
      </c>
      <c r="Y10" s="6">
        <f>VLOOKUP($A10,'RES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7D921-D097-4973-885E-7DCB80C972A8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Spring'!B$7</f>
        <v>11.146126053793658</v>
      </c>
      <c r="C5" s="9">
        <f>VLOOKUP($A5,'RES installed'!$A$2:$C$7,3,FALSE)*'[1]Profiles, RES, Spring'!C$7</f>
        <v>10.568044961862705</v>
      </c>
      <c r="D5" s="9">
        <f>VLOOKUP($A5,'RES installed'!$A$2:$C$7,3,FALSE)*'[1]Profiles, RES, Spring'!D$7</f>
        <v>10.27900441589723</v>
      </c>
      <c r="E5" s="9">
        <f>VLOOKUP($A5,'RES installed'!$A$2:$C$7,3,FALSE)*'[1]Profiles, RES, Spring'!E$7</f>
        <v>10.820955439582496</v>
      </c>
      <c r="F5" s="9">
        <f>VLOOKUP($A5,'RES installed'!$A$2:$C$7,3,FALSE)*'[1]Profiles, RES, Spring'!F$7</f>
        <v>10.84805299076676</v>
      </c>
      <c r="G5" s="9">
        <f>VLOOKUP($A5,'RES installed'!$A$2:$C$7,3,FALSE)*'[1]Profiles, RES, Spring'!G$7</f>
        <v>9.6467282215977512</v>
      </c>
      <c r="H5" s="9">
        <f>VLOOKUP($A5,'RES installed'!$A$2:$C$7,3,FALSE)*'[1]Profiles, RES, Spring'!H$7</f>
        <v>8.2105580088317947</v>
      </c>
      <c r="I5" s="9">
        <f>VLOOKUP($A5,'RES installed'!$A$2:$C$7,3,FALSE)*'[1]Profiles, RES, Spring'!I$7</f>
        <v>6.1872741870734638</v>
      </c>
      <c r="J5" s="9">
        <f>VLOOKUP($A5,'RES installed'!$A$2:$C$7,3,FALSE)*'[1]Profiles, RES, Spring'!J$7</f>
        <v>5.2117623444399843</v>
      </c>
      <c r="K5" s="9">
        <f>VLOOKUP($A5,'RES installed'!$A$2:$C$7,3,FALSE)*'[1]Profiles, RES, Spring'!K$7</f>
        <v>5.6633881975110389</v>
      </c>
      <c r="L5" s="9">
        <f>VLOOKUP($A5,'RES installed'!$A$2:$C$7,3,FALSE)*'[1]Profiles, RES, Spring'!L$7</f>
        <v>6.6930951425130463</v>
      </c>
      <c r="M5" s="9">
        <f>VLOOKUP($A5,'RES installed'!$A$2:$C$7,3,FALSE)*'[1]Profiles, RES, Spring'!M$7</f>
        <v>6.6208350060216778</v>
      </c>
      <c r="N5" s="9">
        <f>VLOOKUP($A5,'RES installed'!$A$2:$C$7,3,FALSE)*'[1]Profiles, RES, Spring'!N$7</f>
        <v>7.6053793657165798</v>
      </c>
      <c r="O5" s="9">
        <f>VLOOKUP($A5,'RES installed'!$A$2:$C$7,3,FALSE)*'[1]Profiles, RES, Spring'!O$7</f>
        <v>9.7009233239662773</v>
      </c>
      <c r="P5" s="9">
        <f>VLOOKUP($A5,'RES installed'!$A$2:$C$7,3,FALSE)*'[1]Profiles, RES, Spring'!P$7</f>
        <v>11.326776395022078</v>
      </c>
      <c r="Q5" s="9">
        <f>VLOOKUP($A5,'RES installed'!$A$2:$C$7,3,FALSE)*'[1]Profiles, RES, Spring'!Q$7</f>
        <v>12.762946607788036</v>
      </c>
      <c r="R5" s="9">
        <f>VLOOKUP($A5,'RES installed'!$A$2:$C$7,3,FALSE)*'[1]Profiles, RES, Spring'!R$7</f>
        <v>14.343637093536733</v>
      </c>
      <c r="S5" s="9">
        <f>VLOOKUP($A5,'RES installed'!$A$2:$C$7,3,FALSE)*'[1]Profiles, RES, Spring'!S$7</f>
        <v>14.930750702529105</v>
      </c>
      <c r="T5" s="9">
        <f>VLOOKUP($A5,'RES installed'!$A$2:$C$7,3,FALSE)*'[1]Profiles, RES, Spring'!T$7</f>
        <v>14.939783219590526</v>
      </c>
      <c r="U5" s="9">
        <f>VLOOKUP($A5,'RES installed'!$A$2:$C$7,3,FALSE)*'[1]Profiles, RES, Spring'!U$7</f>
        <v>13.35909273384183</v>
      </c>
      <c r="V5" s="9">
        <f>VLOOKUP($A5,'RES installed'!$A$2:$C$7,3,FALSE)*'[1]Profiles, RES, Spring'!V$7</f>
        <v>12.753914090726616</v>
      </c>
      <c r="W5" s="9">
        <f>VLOOKUP($A5,'RES installed'!$A$2:$C$7,3,FALSE)*'[1]Profiles, RES, Spring'!W$7</f>
        <v>12.681653954235246</v>
      </c>
      <c r="X5" s="9">
        <f>VLOOKUP($A5,'RES installed'!$A$2:$C$7,3,FALSE)*'[1]Profiles, RES, Spring'!X$7</f>
        <v>12.889401846647933</v>
      </c>
      <c r="Y5" s="9">
        <f>VLOOKUP($A5,'RES installed'!$A$2:$C$7,3,FALSE)*'[1]Profiles, RES, Spring'!Y$7</f>
        <v>13.91910879164994</v>
      </c>
    </row>
    <row r="6" spans="1:25" x14ac:dyDescent="0.3">
      <c r="A6" s="8">
        <v>5</v>
      </c>
      <c r="B6" s="9">
        <f>VLOOKUP($A6,'RES installed'!$A$2:$C$7,3,FALSE)*'[1]Profiles, RES, Spring'!B$7</f>
        <v>14.86150140505821</v>
      </c>
      <c r="C6" s="9">
        <f>VLOOKUP($A6,'RES installed'!$A$2:$C$7,3,FALSE)*'[1]Profiles, RES, Spring'!C$7</f>
        <v>14.090726615816941</v>
      </c>
      <c r="D6" s="9">
        <f>VLOOKUP($A6,'RES installed'!$A$2:$C$7,3,FALSE)*'[1]Profiles, RES, Spring'!D$7</f>
        <v>13.705339221196308</v>
      </c>
      <c r="E6" s="9">
        <f>VLOOKUP($A6,'RES installed'!$A$2:$C$7,3,FALSE)*'[1]Profiles, RES, Spring'!E$7</f>
        <v>14.427940586109996</v>
      </c>
      <c r="F6" s="9">
        <f>VLOOKUP($A6,'RES installed'!$A$2:$C$7,3,FALSE)*'[1]Profiles, RES, Spring'!F$7</f>
        <v>14.46407065435568</v>
      </c>
      <c r="G6" s="9">
        <f>VLOOKUP($A6,'RES installed'!$A$2:$C$7,3,FALSE)*'[1]Profiles, RES, Spring'!G$7</f>
        <v>12.862304295463669</v>
      </c>
      <c r="H6" s="9">
        <f>VLOOKUP($A6,'RES installed'!$A$2:$C$7,3,FALSE)*'[1]Profiles, RES, Spring'!H$7</f>
        <v>10.947410678442393</v>
      </c>
      <c r="I6" s="9">
        <f>VLOOKUP($A6,'RES installed'!$A$2:$C$7,3,FALSE)*'[1]Profiles, RES, Spring'!I$7</f>
        <v>8.2496989160979517</v>
      </c>
      <c r="J6" s="9">
        <f>VLOOKUP($A6,'RES installed'!$A$2:$C$7,3,FALSE)*'[1]Profiles, RES, Spring'!J$7</f>
        <v>6.9490164592533121</v>
      </c>
      <c r="K6" s="9">
        <f>VLOOKUP($A6,'RES installed'!$A$2:$C$7,3,FALSE)*'[1]Profiles, RES, Spring'!K$7</f>
        <v>7.5511842633480528</v>
      </c>
      <c r="L6" s="9">
        <f>VLOOKUP($A6,'RES installed'!$A$2:$C$7,3,FALSE)*'[1]Profiles, RES, Spring'!L$7</f>
        <v>8.9241268566840617</v>
      </c>
      <c r="M6" s="9">
        <f>VLOOKUP($A6,'RES installed'!$A$2:$C$7,3,FALSE)*'[1]Profiles, RES, Spring'!M$7</f>
        <v>8.8277800080289044</v>
      </c>
      <c r="N6" s="9">
        <f>VLOOKUP($A6,'RES installed'!$A$2:$C$7,3,FALSE)*'[1]Profiles, RES, Spring'!N$7</f>
        <v>10.14050582095544</v>
      </c>
      <c r="O6" s="9">
        <f>VLOOKUP($A6,'RES installed'!$A$2:$C$7,3,FALSE)*'[1]Profiles, RES, Spring'!O$7</f>
        <v>12.934564431955037</v>
      </c>
      <c r="P6" s="9">
        <f>VLOOKUP($A6,'RES installed'!$A$2:$C$7,3,FALSE)*'[1]Profiles, RES, Spring'!P$7</f>
        <v>15.102368526696106</v>
      </c>
      <c r="Q6" s="9">
        <f>VLOOKUP($A6,'RES installed'!$A$2:$C$7,3,FALSE)*'[1]Profiles, RES, Spring'!Q$7</f>
        <v>17.017262143717382</v>
      </c>
      <c r="R6" s="9">
        <f>VLOOKUP($A6,'RES installed'!$A$2:$C$7,3,FALSE)*'[1]Profiles, RES, Spring'!R$7</f>
        <v>19.124849458048978</v>
      </c>
      <c r="S6" s="9">
        <f>VLOOKUP($A6,'RES installed'!$A$2:$C$7,3,FALSE)*'[1]Profiles, RES, Spring'!S$7</f>
        <v>19.90766760337214</v>
      </c>
      <c r="T6" s="9">
        <f>VLOOKUP($A6,'RES installed'!$A$2:$C$7,3,FALSE)*'[1]Profiles, RES, Spring'!T$7</f>
        <v>19.919710959454033</v>
      </c>
      <c r="U6" s="9">
        <f>VLOOKUP($A6,'RES installed'!$A$2:$C$7,3,FALSE)*'[1]Profiles, RES, Spring'!U$7</f>
        <v>17.812123645122441</v>
      </c>
      <c r="V6" s="9">
        <f>VLOOKUP($A6,'RES installed'!$A$2:$C$7,3,FALSE)*'[1]Profiles, RES, Spring'!V$7</f>
        <v>17.005218787635489</v>
      </c>
      <c r="W6" s="9">
        <f>VLOOKUP($A6,'RES installed'!$A$2:$C$7,3,FALSE)*'[1]Profiles, RES, Spring'!W$7</f>
        <v>16.908871938980326</v>
      </c>
      <c r="X6" s="9">
        <f>VLOOKUP($A6,'RES installed'!$A$2:$C$7,3,FALSE)*'[1]Profiles, RES, Spring'!X$7</f>
        <v>17.18586912886391</v>
      </c>
      <c r="Y6" s="9">
        <f>VLOOKUP($A6,'RES installed'!$A$2:$C$7,3,FALSE)*'[1]Profiles, RES, Spring'!Y$7</f>
        <v>18.55881172219992</v>
      </c>
    </row>
    <row r="7" spans="1:25" x14ac:dyDescent="0.3">
      <c r="A7" s="8">
        <v>6</v>
      </c>
      <c r="B7" s="9">
        <f>VLOOKUP($A7,'RES installed'!$A$2:$C$7,3,FALSE)*'[1]Profiles, RES, Spring'!B$7</f>
        <v>11.146126053793658</v>
      </c>
      <c r="C7" s="9">
        <f>VLOOKUP($A7,'RES installed'!$A$2:$C$7,3,FALSE)*'[1]Profiles, RES, Spring'!C$7</f>
        <v>10.568044961862705</v>
      </c>
      <c r="D7" s="9">
        <f>VLOOKUP($A7,'RES installed'!$A$2:$C$7,3,FALSE)*'[1]Profiles, RES, Spring'!D$7</f>
        <v>10.27900441589723</v>
      </c>
      <c r="E7" s="9">
        <f>VLOOKUP($A7,'RES installed'!$A$2:$C$7,3,FALSE)*'[1]Profiles, RES, Spring'!E$7</f>
        <v>10.820955439582496</v>
      </c>
      <c r="F7" s="9">
        <f>VLOOKUP($A7,'RES installed'!$A$2:$C$7,3,FALSE)*'[1]Profiles, RES, Spring'!F$7</f>
        <v>10.84805299076676</v>
      </c>
      <c r="G7" s="9">
        <f>VLOOKUP($A7,'RES installed'!$A$2:$C$7,3,FALSE)*'[1]Profiles, RES, Spring'!G$7</f>
        <v>9.6467282215977512</v>
      </c>
      <c r="H7" s="9">
        <f>VLOOKUP($A7,'RES installed'!$A$2:$C$7,3,FALSE)*'[1]Profiles, RES, Spring'!H$7</f>
        <v>8.2105580088317947</v>
      </c>
      <c r="I7" s="9">
        <f>VLOOKUP($A7,'RES installed'!$A$2:$C$7,3,FALSE)*'[1]Profiles, RES, Spring'!I$7</f>
        <v>6.1872741870734638</v>
      </c>
      <c r="J7" s="9">
        <f>VLOOKUP($A7,'RES installed'!$A$2:$C$7,3,FALSE)*'[1]Profiles, RES, Spring'!J$7</f>
        <v>5.2117623444399843</v>
      </c>
      <c r="K7" s="9">
        <f>VLOOKUP($A7,'RES installed'!$A$2:$C$7,3,FALSE)*'[1]Profiles, RES, Spring'!K$7</f>
        <v>5.6633881975110389</v>
      </c>
      <c r="L7" s="9">
        <f>VLOOKUP($A7,'RES installed'!$A$2:$C$7,3,FALSE)*'[1]Profiles, RES, Spring'!L$7</f>
        <v>6.6930951425130463</v>
      </c>
      <c r="M7" s="9">
        <f>VLOOKUP($A7,'RES installed'!$A$2:$C$7,3,FALSE)*'[1]Profiles, RES, Spring'!M$7</f>
        <v>6.6208350060216778</v>
      </c>
      <c r="N7" s="9">
        <f>VLOOKUP($A7,'RES installed'!$A$2:$C$7,3,FALSE)*'[1]Profiles, RES, Spring'!N$7</f>
        <v>7.6053793657165798</v>
      </c>
      <c r="O7" s="9">
        <f>VLOOKUP($A7,'RES installed'!$A$2:$C$7,3,FALSE)*'[1]Profiles, RES, Spring'!O$7</f>
        <v>9.7009233239662773</v>
      </c>
      <c r="P7" s="9">
        <f>VLOOKUP($A7,'RES installed'!$A$2:$C$7,3,FALSE)*'[1]Profiles, RES, Spring'!P$7</f>
        <v>11.326776395022078</v>
      </c>
      <c r="Q7" s="9">
        <f>VLOOKUP($A7,'RES installed'!$A$2:$C$7,3,FALSE)*'[1]Profiles, RES, Spring'!Q$7</f>
        <v>12.762946607788036</v>
      </c>
      <c r="R7" s="9">
        <f>VLOOKUP($A7,'RES installed'!$A$2:$C$7,3,FALSE)*'[1]Profiles, RES, Spring'!R$7</f>
        <v>14.343637093536733</v>
      </c>
      <c r="S7" s="9">
        <f>VLOOKUP($A7,'RES installed'!$A$2:$C$7,3,FALSE)*'[1]Profiles, RES, Spring'!S$7</f>
        <v>14.930750702529105</v>
      </c>
      <c r="T7" s="9">
        <f>VLOOKUP($A7,'RES installed'!$A$2:$C$7,3,FALSE)*'[1]Profiles, RES, Spring'!T$7</f>
        <v>14.939783219590526</v>
      </c>
      <c r="U7" s="9">
        <f>VLOOKUP($A7,'RES installed'!$A$2:$C$7,3,FALSE)*'[1]Profiles, RES, Spring'!U$7</f>
        <v>13.35909273384183</v>
      </c>
      <c r="V7" s="9">
        <f>VLOOKUP($A7,'RES installed'!$A$2:$C$7,3,FALSE)*'[1]Profiles, RES, Spring'!V$7</f>
        <v>12.753914090726616</v>
      </c>
      <c r="W7" s="9">
        <f>VLOOKUP($A7,'RES installed'!$A$2:$C$7,3,FALSE)*'[1]Profiles, RES, Spring'!W$7</f>
        <v>12.681653954235246</v>
      </c>
      <c r="X7" s="9">
        <f>VLOOKUP($A7,'RES installed'!$A$2:$C$7,3,FALSE)*'[1]Profiles, RES, Spring'!X$7</f>
        <v>12.889401846647933</v>
      </c>
      <c r="Y7" s="9">
        <f>VLOOKUP($A7,'RES installed'!$A$2:$C$7,3,FALSE)*'[1]Profiles, RES, Spring'!Y$7</f>
        <v>13.91910879164994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0.82448824867323733</v>
      </c>
      <c r="H8" s="6">
        <f>VLOOKUP($A8,'RES installed'!$A$2:$C$7,3,FALSE)*'[1]Profiles, RES, Spring'!H$4</f>
        <v>7.9037149355572396</v>
      </c>
      <c r="I8" s="6">
        <f>VLOOKUP($A8,'RES installed'!$A$2:$C$7,3,FALSE)*'[1]Profiles, RES, Spring'!I$4</f>
        <v>21.948445792266867</v>
      </c>
      <c r="J8" s="6">
        <f>VLOOKUP($A8,'RES installed'!$A$2:$C$7,3,FALSE)*'[1]Profiles, RES, Spring'!J$4</f>
        <v>35.225549658832449</v>
      </c>
      <c r="K8" s="6">
        <f>VLOOKUP($A8,'RES installed'!$A$2:$C$7,3,FALSE)*'[1]Profiles, RES, Spring'!K$4</f>
        <v>41.764594389689158</v>
      </c>
      <c r="L8" s="6">
        <f>VLOOKUP($A8,'RES installed'!$A$2:$C$7,3,FALSE)*'[1]Profiles, RES, Spring'!L$4</f>
        <v>46.171341925701284</v>
      </c>
      <c r="M8" s="6">
        <f>VLOOKUP($A8,'RES installed'!$A$2:$C$7,3,FALSE)*'[1]Profiles, RES, Spring'!M$4</f>
        <v>51.345716451857463</v>
      </c>
      <c r="N8" s="6">
        <f>VLOOKUP($A8,'RES installed'!$A$2:$C$7,3,FALSE)*'[1]Profiles, RES, Spring'!N$4</f>
        <v>50.123199393479908</v>
      </c>
      <c r="O8" s="6">
        <f>VLOOKUP($A8,'RES installed'!$A$2:$C$7,3,FALSE)*'[1]Profiles, RES, Spring'!O$4</f>
        <v>49.867323730098562</v>
      </c>
      <c r="P8" s="6">
        <f>VLOOKUP($A8,'RES installed'!$A$2:$C$7,3,FALSE)*'[1]Profiles, RES, Spring'!P$4</f>
        <v>50.208491281273687</v>
      </c>
      <c r="Q8" s="6">
        <f>VLOOKUP($A8,'RES installed'!$A$2:$C$7,3,FALSE)*'[1]Profiles, RES, Spring'!Q$4</f>
        <v>46.39878695981804</v>
      </c>
      <c r="R8" s="6">
        <f>VLOOKUP($A8,'RES installed'!$A$2:$C$7,3,FALSE)*'[1]Profiles, RES, Spring'!R$4</f>
        <v>37.727445034116755</v>
      </c>
      <c r="S8" s="6">
        <f>VLOOKUP($A8,'RES installed'!$A$2:$C$7,3,FALSE)*'[1]Profiles, RES, Spring'!S$4</f>
        <v>24.73464746019712</v>
      </c>
      <c r="T8" s="6">
        <f>VLOOKUP($A8,'RES installed'!$A$2:$C$7,3,FALSE)*'[1]Profiles, RES, Spring'!T$4</f>
        <v>8.7850644427596674</v>
      </c>
      <c r="U8" s="6">
        <f>VLOOKUP($A8,'RES installed'!$A$2:$C$7,3,FALSE)*'[1]Profiles, RES, Spring'!U$4</f>
        <v>0.90978013646702049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  <row r="9" spans="1:25" x14ac:dyDescent="0.3">
      <c r="A9" s="5">
        <v>8</v>
      </c>
      <c r="B9" s="6">
        <f>VLOOKUP($A9,'RES installed'!$A$2:$C$7,3,FALSE)*'[1]Profiles, RES, Spring'!B$4</f>
        <v>0</v>
      </c>
      <c r="C9" s="6">
        <f>VLOOKUP($A9,'RES installed'!$A$2:$C$7,3,FALSE)*'[1]Profiles, RES, Spring'!C$4</f>
        <v>0</v>
      </c>
      <c r="D9" s="6">
        <f>VLOOKUP($A9,'RES installed'!$A$2:$C$7,3,FALSE)*'[1]Profiles, RES, Spring'!D$4</f>
        <v>0</v>
      </c>
      <c r="E9" s="6">
        <f>VLOOKUP($A9,'RES installed'!$A$2:$C$7,3,FALSE)*'[1]Profiles, RES, Spring'!E$4</f>
        <v>0</v>
      </c>
      <c r="F9" s="6">
        <f>VLOOKUP($A9,'RES installed'!$A$2:$C$7,3,FALSE)*'[1]Profiles, RES, Spring'!F$4</f>
        <v>0</v>
      </c>
      <c r="G9" s="6">
        <f>VLOOKUP($A9,'RES installed'!$A$2:$C$7,3,FALSE)*'[1]Profiles, RES, Spring'!G$4</f>
        <v>0.54965883244882485</v>
      </c>
      <c r="H9" s="6">
        <f>VLOOKUP($A9,'RES installed'!$A$2:$C$7,3,FALSE)*'[1]Profiles, RES, Spring'!H$4</f>
        <v>5.2691432903714936</v>
      </c>
      <c r="I9" s="6">
        <f>VLOOKUP($A9,'RES installed'!$A$2:$C$7,3,FALSE)*'[1]Profiles, RES, Spring'!I$4</f>
        <v>14.632297194844579</v>
      </c>
      <c r="J9" s="6">
        <f>VLOOKUP($A9,'RES installed'!$A$2:$C$7,3,FALSE)*'[1]Profiles, RES, Spring'!J$4</f>
        <v>23.483699772554967</v>
      </c>
      <c r="K9" s="6">
        <f>VLOOKUP($A9,'RES installed'!$A$2:$C$7,3,FALSE)*'[1]Profiles, RES, Spring'!K$4</f>
        <v>27.843062926459439</v>
      </c>
      <c r="L9" s="6">
        <f>VLOOKUP($A9,'RES installed'!$A$2:$C$7,3,FALSE)*'[1]Profiles, RES, Spring'!L$4</f>
        <v>30.780894617134191</v>
      </c>
      <c r="M9" s="6">
        <f>VLOOKUP($A9,'RES installed'!$A$2:$C$7,3,FALSE)*'[1]Profiles, RES, Spring'!M$4</f>
        <v>34.230477634571642</v>
      </c>
      <c r="N9" s="6">
        <f>VLOOKUP($A9,'RES installed'!$A$2:$C$7,3,FALSE)*'[1]Profiles, RES, Spring'!N$4</f>
        <v>33.415466262319939</v>
      </c>
      <c r="O9" s="6">
        <f>VLOOKUP($A9,'RES installed'!$A$2:$C$7,3,FALSE)*'[1]Profiles, RES, Spring'!O$4</f>
        <v>33.244882486732372</v>
      </c>
      <c r="P9" s="6">
        <f>VLOOKUP($A9,'RES installed'!$A$2:$C$7,3,FALSE)*'[1]Profiles, RES, Spring'!P$4</f>
        <v>33.472327520849127</v>
      </c>
      <c r="Q9" s="6">
        <f>VLOOKUP($A9,'RES installed'!$A$2:$C$7,3,FALSE)*'[1]Profiles, RES, Spring'!Q$4</f>
        <v>30.932524639878693</v>
      </c>
      <c r="R9" s="6">
        <f>VLOOKUP($A9,'RES installed'!$A$2:$C$7,3,FALSE)*'[1]Profiles, RES, Spring'!R$4</f>
        <v>25.151630022744502</v>
      </c>
      <c r="S9" s="6">
        <f>VLOOKUP($A9,'RES installed'!$A$2:$C$7,3,FALSE)*'[1]Profiles, RES, Spring'!S$4</f>
        <v>16.489764973464744</v>
      </c>
      <c r="T9" s="6">
        <f>VLOOKUP($A9,'RES installed'!$A$2:$C$7,3,FALSE)*'[1]Profiles, RES, Spring'!T$4</f>
        <v>5.8567096285064446</v>
      </c>
      <c r="U9" s="6">
        <f>VLOOKUP($A9,'RES installed'!$A$2:$C$7,3,FALSE)*'[1]Profiles, RES, Spring'!U$4</f>
        <v>0.60652009097801363</v>
      </c>
      <c r="V9" s="6">
        <f>VLOOKUP($A9,'RES installed'!$A$2:$C$7,3,FALSE)*'[1]Profiles, RES, Spring'!V$4</f>
        <v>0</v>
      </c>
      <c r="W9" s="6">
        <f>VLOOKUP($A9,'RES installed'!$A$2:$C$7,3,FALSE)*'[1]Profiles, RES, Spring'!W$4</f>
        <v>0</v>
      </c>
      <c r="X9" s="6">
        <f>VLOOKUP($A9,'RES installed'!$A$2:$C$7,3,FALSE)*'[1]Profiles, RES, Spring'!X$4</f>
        <v>0</v>
      </c>
      <c r="Y9" s="6">
        <f>VLOOKUP($A9,'RES installed'!$A$2:$C$7,3,FALSE)*'[1]Profiles, RES, Spring'!Y$4</f>
        <v>0</v>
      </c>
    </row>
    <row r="10" spans="1:25" x14ac:dyDescent="0.3">
      <c r="A10" s="5">
        <v>9</v>
      </c>
      <c r="B10" s="6">
        <f>VLOOKUP($A10,'RES installed'!$A$2:$C$7,3,FALSE)*'[1]Profiles, RES, Spring'!B$4</f>
        <v>0</v>
      </c>
      <c r="C10" s="6">
        <f>VLOOKUP($A10,'RES installed'!$A$2:$C$7,3,FALSE)*'[1]Profiles, RES, Spring'!C$4</f>
        <v>0</v>
      </c>
      <c r="D10" s="6">
        <f>VLOOKUP($A10,'RES installed'!$A$2:$C$7,3,FALSE)*'[1]Profiles, RES, Spring'!D$4</f>
        <v>0</v>
      </c>
      <c r="E10" s="6">
        <f>VLOOKUP($A10,'RES installed'!$A$2:$C$7,3,FALSE)*'[1]Profiles, RES, Spring'!E$4</f>
        <v>0</v>
      </c>
      <c r="F10" s="6">
        <f>VLOOKUP($A10,'RES installed'!$A$2:$C$7,3,FALSE)*'[1]Profiles, RES, Spring'!F$4</f>
        <v>0</v>
      </c>
      <c r="G10" s="6">
        <f>VLOOKUP($A10,'RES installed'!$A$2:$C$7,3,FALSE)*'[1]Profiles, RES, Spring'!G$4</f>
        <v>0.65959059893858984</v>
      </c>
      <c r="H10" s="6">
        <f>VLOOKUP($A10,'RES installed'!$A$2:$C$7,3,FALSE)*'[1]Profiles, RES, Spring'!H$4</f>
        <v>6.322971948445792</v>
      </c>
      <c r="I10" s="6">
        <f>VLOOKUP($A10,'RES installed'!$A$2:$C$7,3,FALSE)*'[1]Profiles, RES, Spring'!I$4</f>
        <v>17.558756633813495</v>
      </c>
      <c r="J10" s="6">
        <f>VLOOKUP($A10,'RES installed'!$A$2:$C$7,3,FALSE)*'[1]Profiles, RES, Spring'!J$4</f>
        <v>28.180439727065959</v>
      </c>
      <c r="K10" s="6">
        <f>VLOOKUP($A10,'RES installed'!$A$2:$C$7,3,FALSE)*'[1]Profiles, RES, Spring'!K$4</f>
        <v>33.411675511751326</v>
      </c>
      <c r="L10" s="6">
        <f>VLOOKUP($A10,'RES installed'!$A$2:$C$7,3,FALSE)*'[1]Profiles, RES, Spring'!L$4</f>
        <v>36.93707354056103</v>
      </c>
      <c r="M10" s="6">
        <f>VLOOKUP($A10,'RES installed'!$A$2:$C$7,3,FALSE)*'[1]Profiles, RES, Spring'!M$4</f>
        <v>41.076573161485975</v>
      </c>
      <c r="N10" s="6">
        <f>VLOOKUP($A10,'RES installed'!$A$2:$C$7,3,FALSE)*'[1]Profiles, RES, Spring'!N$4</f>
        <v>40.098559514783922</v>
      </c>
      <c r="O10" s="6">
        <f>VLOOKUP($A10,'RES installed'!$A$2:$C$7,3,FALSE)*'[1]Profiles, RES, Spring'!O$4</f>
        <v>39.893858984078847</v>
      </c>
      <c r="P10" s="6">
        <f>VLOOKUP($A10,'RES installed'!$A$2:$C$7,3,FALSE)*'[1]Profiles, RES, Spring'!P$4</f>
        <v>40.166793025018954</v>
      </c>
      <c r="Q10" s="6">
        <f>VLOOKUP($A10,'RES installed'!$A$2:$C$7,3,FALSE)*'[1]Profiles, RES, Spring'!Q$4</f>
        <v>37.119029567854433</v>
      </c>
      <c r="R10" s="6">
        <f>VLOOKUP($A10,'RES installed'!$A$2:$C$7,3,FALSE)*'[1]Profiles, RES, Spring'!R$4</f>
        <v>30.181956027293403</v>
      </c>
      <c r="S10" s="6">
        <f>VLOOKUP($A10,'RES installed'!$A$2:$C$7,3,FALSE)*'[1]Profiles, RES, Spring'!S$4</f>
        <v>19.787717968157697</v>
      </c>
      <c r="T10" s="6">
        <f>VLOOKUP($A10,'RES installed'!$A$2:$C$7,3,FALSE)*'[1]Profiles, RES, Spring'!T$4</f>
        <v>7.0280515542077335</v>
      </c>
      <c r="U10" s="6">
        <f>VLOOKUP($A10,'RES installed'!$A$2:$C$7,3,FALSE)*'[1]Profiles, RES, Spring'!U$4</f>
        <v>0.7278241091736164</v>
      </c>
      <c r="V10" s="6">
        <f>VLOOKUP($A10,'RES installed'!$A$2:$C$7,3,FALSE)*'[1]Profiles, RES, Spring'!V$4</f>
        <v>0</v>
      </c>
      <c r="W10" s="6">
        <f>VLOOKUP($A10,'RES installed'!$A$2:$C$7,3,FALSE)*'[1]Profiles, RES, Spring'!W$4</f>
        <v>0</v>
      </c>
      <c r="X10" s="6">
        <f>VLOOKUP($A10,'RES installed'!$A$2:$C$7,3,FALSE)*'[1]Profiles, RES, Spring'!X$4</f>
        <v>0</v>
      </c>
      <c r="Y10" s="6">
        <f>VLOOKUP($A10,'RES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B5C99-6CFD-4194-9CB5-EC46C97B209A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Spring'!B$5</f>
        <v>11.615816940987557</v>
      </c>
      <c r="C5" s="9">
        <f>VLOOKUP($A5,'RES installed'!$A$2:$C$7,3,FALSE)*'[1]Profiles, RES, Spring'!C$5</f>
        <v>10.784825371336813</v>
      </c>
      <c r="D5" s="9">
        <f>VLOOKUP($A5,'RES installed'!$A$2:$C$7,3,FALSE)*'[1]Profiles, RES, Spring'!D$5</f>
        <v>10.839020473705339</v>
      </c>
      <c r="E5" s="9">
        <f>VLOOKUP($A5,'RES installed'!$A$2:$C$7,3,FALSE)*'[1]Profiles, RES, Spring'!E$5</f>
        <v>10.405459654757125</v>
      </c>
      <c r="F5" s="9">
        <f>VLOOKUP($A5,'RES installed'!$A$2:$C$7,3,FALSE)*'[1]Profiles, RES, Spring'!F$5</f>
        <v>10.306101967081492</v>
      </c>
      <c r="G5" s="9">
        <f>VLOOKUP($A5,'RES installed'!$A$2:$C$7,3,FALSE)*'[1]Profiles, RES, Spring'!G$5</f>
        <v>10.486752308309915</v>
      </c>
      <c r="H5" s="9">
        <f>VLOOKUP($A5,'RES installed'!$A$2:$C$7,3,FALSE)*'[1]Profiles, RES, Spring'!H$5</f>
        <v>9.4118827780008036</v>
      </c>
      <c r="I5" s="9">
        <f>VLOOKUP($A5,'RES installed'!$A$2:$C$7,3,FALSE)*'[1]Profiles, RES, Spring'!I$5</f>
        <v>7.5511842633480528</v>
      </c>
      <c r="J5" s="9">
        <f>VLOOKUP($A5,'RES installed'!$A$2:$C$7,3,FALSE)*'[1]Profiles, RES, Spring'!J$5</f>
        <v>5.9524287434765153</v>
      </c>
      <c r="K5" s="9">
        <f>VLOOKUP($A5,'RES installed'!$A$2:$C$7,3,FALSE)*'[1]Profiles, RES, Spring'!K$5</f>
        <v>4.4981934965877164</v>
      </c>
      <c r="L5" s="9">
        <f>VLOOKUP($A5,'RES installed'!$A$2:$C$7,3,FALSE)*'[1]Profiles, RES, Spring'!L$5</f>
        <v>4.2723805700521877</v>
      </c>
      <c r="M5" s="9">
        <f>VLOOKUP($A5,'RES installed'!$A$2:$C$7,3,FALSE)*'[1]Profiles, RES, Spring'!M$5</f>
        <v>5.2027298273785627</v>
      </c>
      <c r="N5" s="9">
        <f>VLOOKUP($A5,'RES installed'!$A$2:$C$7,3,FALSE)*'[1]Profiles, RES, Spring'!N$5</f>
        <v>6.8737454837414687</v>
      </c>
      <c r="O5" s="9">
        <f>VLOOKUP($A5,'RES installed'!$A$2:$C$7,3,FALSE)*'[1]Profiles, RES, Spring'!O$5</f>
        <v>9.5022079486150144</v>
      </c>
      <c r="P5" s="9">
        <f>VLOOKUP($A5,'RES installed'!$A$2:$C$7,3,FALSE)*'[1]Profiles, RES, Spring'!P$5</f>
        <v>12.401645925331193</v>
      </c>
      <c r="Q5" s="9">
        <f>VLOOKUP($A5,'RES installed'!$A$2:$C$7,3,FALSE)*'[1]Profiles, RES, Spring'!Q$5</f>
        <v>15.472701726214373</v>
      </c>
      <c r="R5" s="9">
        <f>VLOOKUP($A5,'RES installed'!$A$2:$C$7,3,FALSE)*'[1]Profiles, RES, Spring'!R$5</f>
        <v>19.26635889201124</v>
      </c>
      <c r="S5" s="9">
        <f>VLOOKUP($A5,'RES installed'!$A$2:$C$7,3,FALSE)*'[1]Profiles, RES, Spring'!S$5</f>
        <v>21.389000401445202</v>
      </c>
      <c r="T5" s="9">
        <f>VLOOKUP($A5,'RES installed'!$A$2:$C$7,3,FALSE)*'[1]Profiles, RES, Spring'!T$5</f>
        <v>21.461260537936575</v>
      </c>
      <c r="U5" s="9">
        <f>VLOOKUP($A5,'RES installed'!$A$2:$C$7,3,FALSE)*'[1]Profiles, RES, Spring'!U$5</f>
        <v>20.901244480128462</v>
      </c>
      <c r="V5" s="9">
        <f>VLOOKUP($A5,'RES installed'!$A$2:$C$7,3,FALSE)*'[1]Profiles, RES, Spring'!V$5</f>
        <v>18.950220794861501</v>
      </c>
      <c r="W5" s="9">
        <f>VLOOKUP($A5,'RES installed'!$A$2:$C$7,3,FALSE)*'[1]Profiles, RES, Spring'!W$5</f>
        <v>17.514050582095543</v>
      </c>
      <c r="X5" s="9">
        <f>VLOOKUP($A5,'RES installed'!$A$2:$C$7,3,FALSE)*'[1]Profiles, RES, Spring'!X$5</f>
        <v>17.48695303091128</v>
      </c>
      <c r="Y5" s="9">
        <f>VLOOKUP($A5,'RES installed'!$A$2:$C$7,3,FALSE)*'[1]Profiles, RES, Spring'!Y$5</f>
        <v>16.583701324769169</v>
      </c>
    </row>
    <row r="6" spans="1:25" x14ac:dyDescent="0.3">
      <c r="A6" s="8">
        <v>5</v>
      </c>
      <c r="B6" s="9">
        <f>VLOOKUP($A6,'RES installed'!$A$2:$C$7,3,FALSE)*'[1]Profiles, RES, Spring'!B$5</f>
        <v>15.487755921316742</v>
      </c>
      <c r="C6" s="9">
        <f>VLOOKUP($A6,'RES installed'!$A$2:$C$7,3,FALSE)*'[1]Profiles, RES, Spring'!C$5</f>
        <v>14.379767161782416</v>
      </c>
      <c r="D6" s="9">
        <f>VLOOKUP($A6,'RES installed'!$A$2:$C$7,3,FALSE)*'[1]Profiles, RES, Spring'!D$5</f>
        <v>14.452027298273785</v>
      </c>
      <c r="E6" s="9">
        <f>VLOOKUP($A6,'RES installed'!$A$2:$C$7,3,FALSE)*'[1]Profiles, RES, Spring'!E$5</f>
        <v>13.873946206342834</v>
      </c>
      <c r="F6" s="9">
        <f>VLOOKUP($A6,'RES installed'!$A$2:$C$7,3,FALSE)*'[1]Profiles, RES, Spring'!F$5</f>
        <v>13.741469289441991</v>
      </c>
      <c r="G6" s="9">
        <f>VLOOKUP($A6,'RES installed'!$A$2:$C$7,3,FALSE)*'[1]Profiles, RES, Spring'!G$5</f>
        <v>13.982336411079887</v>
      </c>
      <c r="H6" s="9">
        <f>VLOOKUP($A6,'RES installed'!$A$2:$C$7,3,FALSE)*'[1]Profiles, RES, Spring'!H$5</f>
        <v>12.549177037334404</v>
      </c>
      <c r="I6" s="9">
        <f>VLOOKUP($A6,'RES installed'!$A$2:$C$7,3,FALSE)*'[1]Profiles, RES, Spring'!I$5</f>
        <v>10.06824568446407</v>
      </c>
      <c r="J6" s="9">
        <f>VLOOKUP($A6,'RES installed'!$A$2:$C$7,3,FALSE)*'[1]Profiles, RES, Spring'!J$5</f>
        <v>7.9365716579686874</v>
      </c>
      <c r="K6" s="9">
        <f>VLOOKUP($A6,'RES installed'!$A$2:$C$7,3,FALSE)*'[1]Profiles, RES, Spring'!K$5</f>
        <v>5.9975913287836216</v>
      </c>
      <c r="L6" s="9">
        <f>VLOOKUP($A6,'RES installed'!$A$2:$C$7,3,FALSE)*'[1]Profiles, RES, Spring'!L$5</f>
        <v>5.6965074267362503</v>
      </c>
      <c r="M6" s="9">
        <f>VLOOKUP($A6,'RES installed'!$A$2:$C$7,3,FALSE)*'[1]Profiles, RES, Spring'!M$5</f>
        <v>6.9369731031714172</v>
      </c>
      <c r="N6" s="9">
        <f>VLOOKUP($A6,'RES installed'!$A$2:$C$7,3,FALSE)*'[1]Profiles, RES, Spring'!N$5</f>
        <v>9.1649939783219594</v>
      </c>
      <c r="O6" s="9">
        <f>VLOOKUP($A6,'RES installed'!$A$2:$C$7,3,FALSE)*'[1]Profiles, RES, Spring'!O$5</f>
        <v>12.669610598153353</v>
      </c>
      <c r="P6" s="9">
        <f>VLOOKUP($A6,'RES installed'!$A$2:$C$7,3,FALSE)*'[1]Profiles, RES, Spring'!P$5</f>
        <v>16.53552790044159</v>
      </c>
      <c r="Q6" s="9">
        <f>VLOOKUP($A6,'RES installed'!$A$2:$C$7,3,FALSE)*'[1]Profiles, RES, Spring'!Q$5</f>
        <v>20.630268968285829</v>
      </c>
      <c r="R6" s="9">
        <f>VLOOKUP($A6,'RES installed'!$A$2:$C$7,3,FALSE)*'[1]Profiles, RES, Spring'!R$5</f>
        <v>25.688478522681656</v>
      </c>
      <c r="S6" s="9">
        <f>VLOOKUP($A6,'RES installed'!$A$2:$C$7,3,FALSE)*'[1]Profiles, RES, Spring'!S$5</f>
        <v>28.518667201926938</v>
      </c>
      <c r="T6" s="9">
        <f>VLOOKUP($A6,'RES installed'!$A$2:$C$7,3,FALSE)*'[1]Profiles, RES, Spring'!T$5</f>
        <v>28.615014050582097</v>
      </c>
      <c r="U6" s="9">
        <f>VLOOKUP($A6,'RES installed'!$A$2:$C$7,3,FALSE)*'[1]Profiles, RES, Spring'!U$5</f>
        <v>27.868325973504618</v>
      </c>
      <c r="V6" s="9">
        <f>VLOOKUP($A6,'RES installed'!$A$2:$C$7,3,FALSE)*'[1]Profiles, RES, Spring'!V$5</f>
        <v>25.266961059815333</v>
      </c>
      <c r="W6" s="9">
        <f>VLOOKUP($A6,'RES installed'!$A$2:$C$7,3,FALSE)*'[1]Profiles, RES, Spring'!W$5</f>
        <v>23.352067442794059</v>
      </c>
      <c r="X6" s="9">
        <f>VLOOKUP($A6,'RES installed'!$A$2:$C$7,3,FALSE)*'[1]Profiles, RES, Spring'!X$5</f>
        <v>23.315937374548376</v>
      </c>
      <c r="Y6" s="9">
        <f>VLOOKUP($A6,'RES installed'!$A$2:$C$7,3,FALSE)*'[1]Profiles, RES, Spring'!Y$5</f>
        <v>22.111601766358891</v>
      </c>
    </row>
    <row r="7" spans="1:25" x14ac:dyDescent="0.3">
      <c r="A7" s="8">
        <v>6</v>
      </c>
      <c r="B7" s="9">
        <f>VLOOKUP($A7,'RES installed'!$A$2:$C$7,3,FALSE)*'[1]Profiles, RES, Spring'!B$5</f>
        <v>11.615816940987557</v>
      </c>
      <c r="C7" s="9">
        <f>VLOOKUP($A7,'RES installed'!$A$2:$C$7,3,FALSE)*'[1]Profiles, RES, Spring'!C$5</f>
        <v>10.784825371336813</v>
      </c>
      <c r="D7" s="9">
        <f>VLOOKUP($A7,'RES installed'!$A$2:$C$7,3,FALSE)*'[1]Profiles, RES, Spring'!D$5</f>
        <v>10.839020473705339</v>
      </c>
      <c r="E7" s="9">
        <f>VLOOKUP($A7,'RES installed'!$A$2:$C$7,3,FALSE)*'[1]Profiles, RES, Spring'!E$5</f>
        <v>10.405459654757125</v>
      </c>
      <c r="F7" s="9">
        <f>VLOOKUP($A7,'RES installed'!$A$2:$C$7,3,FALSE)*'[1]Profiles, RES, Spring'!F$5</f>
        <v>10.306101967081492</v>
      </c>
      <c r="G7" s="9">
        <f>VLOOKUP($A7,'RES installed'!$A$2:$C$7,3,FALSE)*'[1]Profiles, RES, Spring'!G$5</f>
        <v>10.486752308309915</v>
      </c>
      <c r="H7" s="9">
        <f>VLOOKUP($A7,'RES installed'!$A$2:$C$7,3,FALSE)*'[1]Profiles, RES, Spring'!H$5</f>
        <v>9.4118827780008036</v>
      </c>
      <c r="I7" s="9">
        <f>VLOOKUP($A7,'RES installed'!$A$2:$C$7,3,FALSE)*'[1]Profiles, RES, Spring'!I$5</f>
        <v>7.5511842633480528</v>
      </c>
      <c r="J7" s="9">
        <f>VLOOKUP($A7,'RES installed'!$A$2:$C$7,3,FALSE)*'[1]Profiles, RES, Spring'!J$5</f>
        <v>5.9524287434765153</v>
      </c>
      <c r="K7" s="9">
        <f>VLOOKUP($A7,'RES installed'!$A$2:$C$7,3,FALSE)*'[1]Profiles, RES, Spring'!K$5</f>
        <v>4.4981934965877164</v>
      </c>
      <c r="L7" s="9">
        <f>VLOOKUP($A7,'RES installed'!$A$2:$C$7,3,FALSE)*'[1]Profiles, RES, Spring'!L$5</f>
        <v>4.2723805700521877</v>
      </c>
      <c r="M7" s="9">
        <f>VLOOKUP($A7,'RES installed'!$A$2:$C$7,3,FALSE)*'[1]Profiles, RES, Spring'!M$5</f>
        <v>5.2027298273785627</v>
      </c>
      <c r="N7" s="9">
        <f>VLOOKUP($A7,'RES installed'!$A$2:$C$7,3,FALSE)*'[1]Profiles, RES, Spring'!N$5</f>
        <v>6.8737454837414687</v>
      </c>
      <c r="O7" s="9">
        <f>VLOOKUP($A7,'RES installed'!$A$2:$C$7,3,FALSE)*'[1]Profiles, RES, Spring'!O$5</f>
        <v>9.5022079486150144</v>
      </c>
      <c r="P7" s="9">
        <f>VLOOKUP($A7,'RES installed'!$A$2:$C$7,3,FALSE)*'[1]Profiles, RES, Spring'!P$5</f>
        <v>12.401645925331193</v>
      </c>
      <c r="Q7" s="9">
        <f>VLOOKUP($A7,'RES installed'!$A$2:$C$7,3,FALSE)*'[1]Profiles, RES, Spring'!Q$5</f>
        <v>15.472701726214373</v>
      </c>
      <c r="R7" s="9">
        <f>VLOOKUP($A7,'RES installed'!$A$2:$C$7,3,FALSE)*'[1]Profiles, RES, Spring'!R$5</f>
        <v>19.26635889201124</v>
      </c>
      <c r="S7" s="9">
        <f>VLOOKUP($A7,'RES installed'!$A$2:$C$7,3,FALSE)*'[1]Profiles, RES, Spring'!S$5</f>
        <v>21.389000401445202</v>
      </c>
      <c r="T7" s="9">
        <f>VLOOKUP($A7,'RES installed'!$A$2:$C$7,3,FALSE)*'[1]Profiles, RES, Spring'!T$5</f>
        <v>21.461260537936575</v>
      </c>
      <c r="U7" s="9">
        <f>VLOOKUP($A7,'RES installed'!$A$2:$C$7,3,FALSE)*'[1]Profiles, RES, Spring'!U$5</f>
        <v>20.901244480128462</v>
      </c>
      <c r="V7" s="9">
        <f>VLOOKUP($A7,'RES installed'!$A$2:$C$7,3,FALSE)*'[1]Profiles, RES, Spring'!V$5</f>
        <v>18.950220794861501</v>
      </c>
      <c r="W7" s="9">
        <f>VLOOKUP($A7,'RES installed'!$A$2:$C$7,3,FALSE)*'[1]Profiles, RES, Spring'!W$5</f>
        <v>17.514050582095543</v>
      </c>
      <c r="X7" s="9">
        <f>VLOOKUP($A7,'RES installed'!$A$2:$C$7,3,FALSE)*'[1]Profiles, RES, Spring'!X$5</f>
        <v>17.48695303091128</v>
      </c>
      <c r="Y7" s="9">
        <f>VLOOKUP($A7,'RES installed'!$A$2:$C$7,3,FALSE)*'[1]Profiles, RES, Spring'!Y$5</f>
        <v>16.583701324769169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0.71076573161485967</v>
      </c>
      <c r="H8" s="6">
        <f>VLOOKUP($A8,'RES installed'!$A$2:$C$7,3,FALSE)*'[1]Profiles, RES, Spring'!H$2</f>
        <v>7.136087945413192</v>
      </c>
      <c r="I8" s="6">
        <f>VLOOKUP($A8,'RES installed'!$A$2:$C$7,3,FALSE)*'[1]Profiles, RES, Spring'!I$2</f>
        <v>19.929871114480665</v>
      </c>
      <c r="J8" s="6">
        <f>VLOOKUP($A8,'RES installed'!$A$2:$C$7,3,FALSE)*'[1]Profiles, RES, Spring'!J$2</f>
        <v>30.790371493555725</v>
      </c>
      <c r="K8" s="6">
        <f>VLOOKUP($A8,'RES installed'!$A$2:$C$7,3,FALSE)*'[1]Profiles, RES, Spring'!K$2</f>
        <v>36.021607278241092</v>
      </c>
      <c r="L8" s="6">
        <f>VLOOKUP($A8,'RES installed'!$A$2:$C$7,3,FALSE)*'[1]Profiles, RES, Spring'!L$2</f>
        <v>41.167551175132679</v>
      </c>
      <c r="M8" s="6">
        <f>VLOOKUP($A8,'RES installed'!$A$2:$C$7,3,FALSE)*'[1]Profiles, RES, Spring'!M$2</f>
        <v>43.385140257771042</v>
      </c>
      <c r="N8" s="6">
        <f>VLOOKUP($A8,'RES installed'!$A$2:$C$7,3,FALSE)*'[1]Profiles, RES, Spring'!N$2</f>
        <v>46.796815769522368</v>
      </c>
      <c r="O8" s="6">
        <f>VLOOKUP($A8,'RES installed'!$A$2:$C$7,3,FALSE)*'[1]Profiles, RES, Spring'!O$2</f>
        <v>47.052691432903721</v>
      </c>
      <c r="P8" s="6">
        <f>VLOOKUP($A8,'RES installed'!$A$2:$C$7,3,FALSE)*'[1]Profiles, RES, Spring'!P$2</f>
        <v>47.30856709628506</v>
      </c>
      <c r="Q8" s="6">
        <f>VLOOKUP($A8,'RES installed'!$A$2:$C$7,3,FALSE)*'[1]Profiles, RES, Spring'!Q$2</f>
        <v>43.271417740712657</v>
      </c>
      <c r="R8" s="6">
        <f>VLOOKUP($A8,'RES installed'!$A$2:$C$7,3,FALSE)*'[1]Profiles, RES, Spring'!R$2</f>
        <v>34.429492039423806</v>
      </c>
      <c r="S8" s="6">
        <f>VLOOKUP($A8,'RES installed'!$A$2:$C$7,3,FALSE)*'[1]Profiles, RES, Spring'!S$2</f>
        <v>22.687642153146324</v>
      </c>
      <c r="T8" s="6">
        <f>VLOOKUP($A8,'RES installed'!$A$2:$C$7,3,FALSE)*'[1]Profiles, RES, Spring'!T$2</f>
        <v>8.3586050037907516</v>
      </c>
      <c r="U8" s="6">
        <f>VLOOKUP($A8,'RES installed'!$A$2:$C$7,3,FALSE)*'[1]Profiles, RES, Spring'!U$2</f>
        <v>0.73919636087945406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  <row r="9" spans="1:25" x14ac:dyDescent="0.3">
      <c r="A9" s="5">
        <v>8</v>
      </c>
      <c r="B9" s="6">
        <f>VLOOKUP($A9,'RES installed'!$A$2:$C$7,3,FALSE)*'[1]Profiles, RES, Spring'!B$2</f>
        <v>0</v>
      </c>
      <c r="C9" s="6">
        <f>VLOOKUP($A9,'RES installed'!$A$2:$C$7,3,FALSE)*'[1]Profiles, RES, Spring'!C$2</f>
        <v>0</v>
      </c>
      <c r="D9" s="6">
        <f>VLOOKUP($A9,'RES installed'!$A$2:$C$7,3,FALSE)*'[1]Profiles, RES, Spring'!D$2</f>
        <v>0</v>
      </c>
      <c r="E9" s="6">
        <f>VLOOKUP($A9,'RES installed'!$A$2:$C$7,3,FALSE)*'[1]Profiles, RES, Spring'!E$2</f>
        <v>0</v>
      </c>
      <c r="F9" s="6">
        <f>VLOOKUP($A9,'RES installed'!$A$2:$C$7,3,FALSE)*'[1]Profiles, RES, Spring'!F$2</f>
        <v>0</v>
      </c>
      <c r="G9" s="6">
        <f>VLOOKUP($A9,'RES installed'!$A$2:$C$7,3,FALSE)*'[1]Profiles, RES, Spring'!G$2</f>
        <v>0.47384382107657314</v>
      </c>
      <c r="H9" s="6">
        <f>VLOOKUP($A9,'RES installed'!$A$2:$C$7,3,FALSE)*'[1]Profiles, RES, Spring'!H$2</f>
        <v>4.7573919636087947</v>
      </c>
      <c r="I9" s="6">
        <f>VLOOKUP($A9,'RES installed'!$A$2:$C$7,3,FALSE)*'[1]Profiles, RES, Spring'!I$2</f>
        <v>13.286580742987111</v>
      </c>
      <c r="J9" s="6">
        <f>VLOOKUP($A9,'RES installed'!$A$2:$C$7,3,FALSE)*'[1]Profiles, RES, Spring'!J$2</f>
        <v>20.526914329037147</v>
      </c>
      <c r="K9" s="6">
        <f>VLOOKUP($A9,'RES installed'!$A$2:$C$7,3,FALSE)*'[1]Profiles, RES, Spring'!K$2</f>
        <v>24.014404852160727</v>
      </c>
      <c r="L9" s="6">
        <f>VLOOKUP($A9,'RES installed'!$A$2:$C$7,3,FALSE)*'[1]Profiles, RES, Spring'!L$2</f>
        <v>27.445034116755117</v>
      </c>
      <c r="M9" s="6">
        <f>VLOOKUP($A9,'RES installed'!$A$2:$C$7,3,FALSE)*'[1]Profiles, RES, Spring'!M$2</f>
        <v>28.923426838514025</v>
      </c>
      <c r="N9" s="6">
        <f>VLOOKUP($A9,'RES installed'!$A$2:$C$7,3,FALSE)*'[1]Profiles, RES, Spring'!N$2</f>
        <v>31.197877179681576</v>
      </c>
      <c r="O9" s="6">
        <f>VLOOKUP($A9,'RES installed'!$A$2:$C$7,3,FALSE)*'[1]Profiles, RES, Spring'!O$2</f>
        <v>31.368460955269146</v>
      </c>
      <c r="P9" s="6">
        <f>VLOOKUP($A9,'RES installed'!$A$2:$C$7,3,FALSE)*'[1]Profiles, RES, Spring'!P$2</f>
        <v>31.539044730856709</v>
      </c>
      <c r="Q9" s="6">
        <f>VLOOKUP($A9,'RES installed'!$A$2:$C$7,3,FALSE)*'[1]Profiles, RES, Spring'!Q$2</f>
        <v>28.847611827141773</v>
      </c>
      <c r="R9" s="6">
        <f>VLOOKUP($A9,'RES installed'!$A$2:$C$7,3,FALSE)*'[1]Profiles, RES, Spring'!R$2</f>
        <v>22.952994692949204</v>
      </c>
      <c r="S9" s="6">
        <f>VLOOKUP($A9,'RES installed'!$A$2:$C$7,3,FALSE)*'[1]Profiles, RES, Spring'!S$2</f>
        <v>15.125094768764216</v>
      </c>
      <c r="T9" s="6">
        <f>VLOOKUP($A9,'RES installed'!$A$2:$C$7,3,FALSE)*'[1]Profiles, RES, Spring'!T$2</f>
        <v>5.5724033358605007</v>
      </c>
      <c r="U9" s="6">
        <f>VLOOKUP($A9,'RES installed'!$A$2:$C$7,3,FALSE)*'[1]Profiles, RES, Spring'!U$2</f>
        <v>0.49279757391963608</v>
      </c>
      <c r="V9" s="6">
        <f>VLOOKUP($A9,'RES installed'!$A$2:$C$7,3,FALSE)*'[1]Profiles, RES, Spring'!V$2</f>
        <v>0</v>
      </c>
      <c r="W9" s="6">
        <f>VLOOKUP($A9,'RES installed'!$A$2:$C$7,3,FALSE)*'[1]Profiles, RES, Spring'!W$2</f>
        <v>0</v>
      </c>
      <c r="X9" s="6">
        <f>VLOOKUP($A9,'RES installed'!$A$2:$C$7,3,FALSE)*'[1]Profiles, RES, Spring'!X$2</f>
        <v>0</v>
      </c>
      <c r="Y9" s="6">
        <f>VLOOKUP($A9,'RES installed'!$A$2:$C$7,3,FALSE)*'[1]Profiles, RES, Spring'!Y$2</f>
        <v>0</v>
      </c>
    </row>
    <row r="10" spans="1:25" x14ac:dyDescent="0.3">
      <c r="A10" s="5">
        <v>9</v>
      </c>
      <c r="B10" s="6">
        <f>VLOOKUP($A10,'RES installed'!$A$2:$C$7,3,FALSE)*'[1]Profiles, RES, Spring'!B$2</f>
        <v>0</v>
      </c>
      <c r="C10" s="6">
        <f>VLOOKUP($A10,'RES installed'!$A$2:$C$7,3,FALSE)*'[1]Profiles, RES, Spring'!C$2</f>
        <v>0</v>
      </c>
      <c r="D10" s="6">
        <f>VLOOKUP($A10,'RES installed'!$A$2:$C$7,3,FALSE)*'[1]Profiles, RES, Spring'!D$2</f>
        <v>0</v>
      </c>
      <c r="E10" s="6">
        <f>VLOOKUP($A10,'RES installed'!$A$2:$C$7,3,FALSE)*'[1]Profiles, RES, Spring'!E$2</f>
        <v>0</v>
      </c>
      <c r="F10" s="6">
        <f>VLOOKUP($A10,'RES installed'!$A$2:$C$7,3,FALSE)*'[1]Profiles, RES, Spring'!F$2</f>
        <v>0</v>
      </c>
      <c r="G10" s="6">
        <f>VLOOKUP($A10,'RES installed'!$A$2:$C$7,3,FALSE)*'[1]Profiles, RES, Spring'!G$2</f>
        <v>0.56861258529188774</v>
      </c>
      <c r="H10" s="6">
        <f>VLOOKUP($A10,'RES installed'!$A$2:$C$7,3,FALSE)*'[1]Profiles, RES, Spring'!H$2</f>
        <v>5.7088703563305536</v>
      </c>
      <c r="I10" s="6">
        <f>VLOOKUP($A10,'RES installed'!$A$2:$C$7,3,FALSE)*'[1]Profiles, RES, Spring'!I$2</f>
        <v>15.943896891584533</v>
      </c>
      <c r="J10" s="6">
        <f>VLOOKUP($A10,'RES installed'!$A$2:$C$7,3,FALSE)*'[1]Profiles, RES, Spring'!J$2</f>
        <v>24.632297194844579</v>
      </c>
      <c r="K10" s="6">
        <f>VLOOKUP($A10,'RES installed'!$A$2:$C$7,3,FALSE)*'[1]Profiles, RES, Spring'!K$2</f>
        <v>28.817285822592876</v>
      </c>
      <c r="L10" s="6">
        <f>VLOOKUP($A10,'RES installed'!$A$2:$C$7,3,FALSE)*'[1]Profiles, RES, Spring'!L$2</f>
        <v>32.934040940106144</v>
      </c>
      <c r="M10" s="6">
        <f>VLOOKUP($A10,'RES installed'!$A$2:$C$7,3,FALSE)*'[1]Profiles, RES, Spring'!M$2</f>
        <v>34.708112206216832</v>
      </c>
      <c r="N10" s="6">
        <f>VLOOKUP($A10,'RES installed'!$A$2:$C$7,3,FALSE)*'[1]Profiles, RES, Spring'!N$2</f>
        <v>37.437452615617893</v>
      </c>
      <c r="O10" s="6">
        <f>VLOOKUP($A10,'RES installed'!$A$2:$C$7,3,FALSE)*'[1]Profiles, RES, Spring'!O$2</f>
        <v>37.642153146322975</v>
      </c>
      <c r="P10" s="6">
        <f>VLOOKUP($A10,'RES installed'!$A$2:$C$7,3,FALSE)*'[1]Profiles, RES, Spring'!P$2</f>
        <v>37.846853677028051</v>
      </c>
      <c r="Q10" s="6">
        <f>VLOOKUP($A10,'RES installed'!$A$2:$C$7,3,FALSE)*'[1]Profiles, RES, Spring'!Q$2</f>
        <v>34.617134192570127</v>
      </c>
      <c r="R10" s="6">
        <f>VLOOKUP($A10,'RES installed'!$A$2:$C$7,3,FALSE)*'[1]Profiles, RES, Spring'!R$2</f>
        <v>27.543593631539046</v>
      </c>
      <c r="S10" s="6">
        <f>VLOOKUP($A10,'RES installed'!$A$2:$C$7,3,FALSE)*'[1]Profiles, RES, Spring'!S$2</f>
        <v>18.150113722517059</v>
      </c>
      <c r="T10" s="6">
        <f>VLOOKUP($A10,'RES installed'!$A$2:$C$7,3,FALSE)*'[1]Profiles, RES, Spring'!T$2</f>
        <v>6.6868840030326009</v>
      </c>
      <c r="U10" s="6">
        <f>VLOOKUP($A10,'RES installed'!$A$2:$C$7,3,FALSE)*'[1]Profiles, RES, Spring'!U$2</f>
        <v>0.59135708870356329</v>
      </c>
      <c r="V10" s="6">
        <f>VLOOKUP($A10,'RES installed'!$A$2:$C$7,3,FALSE)*'[1]Profiles, RES, Spring'!V$2</f>
        <v>0</v>
      </c>
      <c r="W10" s="6">
        <f>VLOOKUP($A10,'RES installed'!$A$2:$C$7,3,FALSE)*'[1]Profiles, RES, Spring'!W$2</f>
        <v>0</v>
      </c>
      <c r="X10" s="6">
        <f>VLOOKUP($A10,'RES installed'!$A$2:$C$7,3,FALSE)*'[1]Profiles, RES, Spring'!X$2</f>
        <v>0</v>
      </c>
      <c r="Y10" s="6">
        <f>VLOOKUP($A10,'RES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F42AE-FA04-479C-87E0-280EEE6608D5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Spring'!B$6</f>
        <v>15.228823765556003</v>
      </c>
      <c r="C5" s="9">
        <f>VLOOKUP($A5,'RES installed'!$A$2:$C$7,3,FALSE)*'[1]Profiles, RES, Spring'!C$6</f>
        <v>13.819751103974308</v>
      </c>
      <c r="D5" s="9">
        <f>VLOOKUP($A5,'RES installed'!$A$2:$C$7,3,FALSE)*'[1]Profiles, RES, Spring'!D$6</f>
        <v>12.058410276997192</v>
      </c>
      <c r="E5" s="9">
        <f>VLOOKUP($A5,'RES installed'!$A$2:$C$7,3,FALSE)*'[1]Profiles, RES, Spring'!E$6</f>
        <v>10.857085507828181</v>
      </c>
      <c r="F5" s="9">
        <f>VLOOKUP($A5,'RES installed'!$A$2:$C$7,3,FALSE)*'[1]Profiles, RES, Spring'!F$6</f>
        <v>10.613207547169811</v>
      </c>
      <c r="G5" s="9">
        <f>VLOOKUP($A5,'RES installed'!$A$2:$C$7,3,FALSE)*'[1]Profiles, RES, Spring'!G$6</f>
        <v>10.730630268968287</v>
      </c>
      <c r="H5" s="9">
        <f>VLOOKUP($A5,'RES installed'!$A$2:$C$7,3,FALSE)*'[1]Profiles, RES, Spring'!H$6</f>
        <v>9.1589723002810111</v>
      </c>
      <c r="I5" s="9">
        <f>VLOOKUP($A5,'RES installed'!$A$2:$C$7,3,FALSE)*'[1]Profiles, RES, Spring'!I$6</f>
        <v>6.8918105178643119</v>
      </c>
      <c r="J5" s="9">
        <f>VLOOKUP($A5,'RES installed'!$A$2:$C$7,3,FALSE)*'[1]Profiles, RES, Spring'!J$6</f>
        <v>6.2775993576876754</v>
      </c>
      <c r="K5" s="9">
        <f>VLOOKUP($A5,'RES installed'!$A$2:$C$7,3,FALSE)*'[1]Profiles, RES, Spring'!K$6</f>
        <v>6.5395423524688878</v>
      </c>
      <c r="L5" s="9">
        <f>VLOOKUP($A5,'RES installed'!$A$2:$C$7,3,FALSE)*'[1]Profiles, RES, Spring'!L$6</f>
        <v>7.3253713368125251</v>
      </c>
      <c r="M5" s="9">
        <f>VLOOKUP($A5,'RES installed'!$A$2:$C$7,3,FALSE)*'[1]Profiles, RES, Spring'!M$6</f>
        <v>8.4002408671216386</v>
      </c>
      <c r="N5" s="9">
        <f>VLOOKUP($A5,'RES installed'!$A$2:$C$7,3,FALSE)*'[1]Profiles, RES, Spring'!N$6</f>
        <v>10.92031312725813</v>
      </c>
      <c r="O5" s="9">
        <f>VLOOKUP($A5,'RES installed'!$A$2:$C$7,3,FALSE)*'[1]Profiles, RES, Spring'!O$6</f>
        <v>13.557808109193095</v>
      </c>
      <c r="P5" s="9">
        <f>VLOOKUP($A5,'RES installed'!$A$2:$C$7,3,FALSE)*'[1]Profiles, RES, Spring'!P$6</f>
        <v>15.400441589723002</v>
      </c>
      <c r="Q5" s="9">
        <f>VLOOKUP($A5,'RES installed'!$A$2:$C$7,3,FALSE)*'[1]Profiles, RES, Spring'!Q$6</f>
        <v>16.945002007226016</v>
      </c>
      <c r="R5" s="9">
        <f>VLOOKUP($A5,'RES installed'!$A$2:$C$7,3,FALSE)*'[1]Profiles, RES, Spring'!R$6</f>
        <v>18.570855078281813</v>
      </c>
      <c r="S5" s="9">
        <f>VLOOKUP($A5,'RES installed'!$A$2:$C$7,3,FALSE)*'[1]Profiles, RES, Spring'!S$6</f>
        <v>17.766961059815333</v>
      </c>
      <c r="T5" s="9">
        <f>VLOOKUP($A5,'RES installed'!$A$2:$C$7,3,FALSE)*'[1]Profiles, RES, Spring'!T$6</f>
        <v>15.716579686872743</v>
      </c>
      <c r="U5" s="9">
        <f>VLOOKUP($A5,'RES installed'!$A$2:$C$7,3,FALSE)*'[1]Profiles, RES, Spring'!U$6</f>
        <v>15.120433560818947</v>
      </c>
      <c r="V5" s="9">
        <f>VLOOKUP($A5,'RES installed'!$A$2:$C$7,3,FALSE)*'[1]Profiles, RES, Spring'!V$6</f>
        <v>14.063629064632678</v>
      </c>
      <c r="W5" s="9">
        <f>VLOOKUP($A5,'RES installed'!$A$2:$C$7,3,FALSE)*'[1]Profiles, RES, Spring'!W$6</f>
        <v>13.341027699718989</v>
      </c>
      <c r="X5" s="9">
        <f>VLOOKUP($A5,'RES installed'!$A$2:$C$7,3,FALSE)*'[1]Profiles, RES, Spring'!X$6</f>
        <v>12.094540345242873</v>
      </c>
      <c r="Y5" s="9">
        <f>VLOOKUP($A5,'RES installed'!$A$2:$C$7,3,FALSE)*'[1]Profiles, RES, Spring'!Y$6</f>
        <v>10.784825371336813</v>
      </c>
    </row>
    <row r="6" spans="1:25" x14ac:dyDescent="0.3">
      <c r="A6" s="8">
        <v>5</v>
      </c>
      <c r="B6" s="9">
        <f>VLOOKUP($A6,'RES installed'!$A$2:$C$7,3,FALSE)*'[1]Profiles, RES, Spring'!B$6</f>
        <v>20.305098354074669</v>
      </c>
      <c r="C6" s="9">
        <f>VLOOKUP($A6,'RES installed'!$A$2:$C$7,3,FALSE)*'[1]Profiles, RES, Spring'!C$6</f>
        <v>18.426334805299078</v>
      </c>
      <c r="D6" s="9">
        <f>VLOOKUP($A6,'RES installed'!$A$2:$C$7,3,FALSE)*'[1]Profiles, RES, Spring'!D$6</f>
        <v>16.077880369329588</v>
      </c>
      <c r="E6" s="9">
        <f>VLOOKUP($A6,'RES installed'!$A$2:$C$7,3,FALSE)*'[1]Profiles, RES, Spring'!E$6</f>
        <v>14.476114010437575</v>
      </c>
      <c r="F6" s="9">
        <f>VLOOKUP($A6,'RES installed'!$A$2:$C$7,3,FALSE)*'[1]Profiles, RES, Spring'!F$6</f>
        <v>14.150943396226415</v>
      </c>
      <c r="G6" s="9">
        <f>VLOOKUP($A6,'RES installed'!$A$2:$C$7,3,FALSE)*'[1]Profiles, RES, Spring'!G$6</f>
        <v>14.307507025291049</v>
      </c>
      <c r="H6" s="9">
        <f>VLOOKUP($A6,'RES installed'!$A$2:$C$7,3,FALSE)*'[1]Profiles, RES, Spring'!H$6</f>
        <v>12.211963067041349</v>
      </c>
      <c r="I6" s="9">
        <f>VLOOKUP($A6,'RES installed'!$A$2:$C$7,3,FALSE)*'[1]Profiles, RES, Spring'!I$6</f>
        <v>9.1890806904857492</v>
      </c>
      <c r="J6" s="9">
        <f>VLOOKUP($A6,'RES installed'!$A$2:$C$7,3,FALSE)*'[1]Profiles, RES, Spring'!J$6</f>
        <v>8.3701324769169005</v>
      </c>
      <c r="K6" s="9">
        <f>VLOOKUP($A6,'RES installed'!$A$2:$C$7,3,FALSE)*'[1]Profiles, RES, Spring'!K$6</f>
        <v>8.7193898032918504</v>
      </c>
      <c r="L6" s="9">
        <f>VLOOKUP($A6,'RES installed'!$A$2:$C$7,3,FALSE)*'[1]Profiles, RES, Spring'!L$6</f>
        <v>9.7671617824167001</v>
      </c>
      <c r="M6" s="9">
        <f>VLOOKUP($A6,'RES installed'!$A$2:$C$7,3,FALSE)*'[1]Profiles, RES, Spring'!M$6</f>
        <v>11.200321156162184</v>
      </c>
      <c r="N6" s="9">
        <f>VLOOKUP($A6,'RES installed'!$A$2:$C$7,3,FALSE)*'[1]Profiles, RES, Spring'!N$6</f>
        <v>14.560417503010839</v>
      </c>
      <c r="O6" s="9">
        <f>VLOOKUP($A6,'RES installed'!$A$2:$C$7,3,FALSE)*'[1]Profiles, RES, Spring'!O$6</f>
        <v>18.077077478924128</v>
      </c>
      <c r="P6" s="9">
        <f>VLOOKUP($A6,'RES installed'!$A$2:$C$7,3,FALSE)*'[1]Profiles, RES, Spring'!P$6</f>
        <v>20.53392211963067</v>
      </c>
      <c r="Q6" s="9">
        <f>VLOOKUP($A6,'RES installed'!$A$2:$C$7,3,FALSE)*'[1]Profiles, RES, Spring'!Q$6</f>
        <v>22.593336009634687</v>
      </c>
      <c r="R6" s="9">
        <f>VLOOKUP($A6,'RES installed'!$A$2:$C$7,3,FALSE)*'[1]Profiles, RES, Spring'!R$6</f>
        <v>24.761140104375752</v>
      </c>
      <c r="S6" s="9">
        <f>VLOOKUP($A6,'RES installed'!$A$2:$C$7,3,FALSE)*'[1]Profiles, RES, Spring'!S$6</f>
        <v>23.689281413087112</v>
      </c>
      <c r="T6" s="9">
        <f>VLOOKUP($A6,'RES installed'!$A$2:$C$7,3,FALSE)*'[1]Profiles, RES, Spring'!T$6</f>
        <v>20.955439582496989</v>
      </c>
      <c r="U6" s="9">
        <f>VLOOKUP($A6,'RES installed'!$A$2:$C$7,3,FALSE)*'[1]Profiles, RES, Spring'!U$6</f>
        <v>20.160578081091931</v>
      </c>
      <c r="V6" s="9">
        <f>VLOOKUP($A6,'RES installed'!$A$2:$C$7,3,FALSE)*'[1]Profiles, RES, Spring'!V$6</f>
        <v>18.751505419510238</v>
      </c>
      <c r="W6" s="9">
        <f>VLOOKUP($A6,'RES installed'!$A$2:$C$7,3,FALSE)*'[1]Profiles, RES, Spring'!W$6</f>
        <v>17.788036932958651</v>
      </c>
      <c r="X6" s="9">
        <f>VLOOKUP($A6,'RES installed'!$A$2:$C$7,3,FALSE)*'[1]Profiles, RES, Spring'!X$6</f>
        <v>16.126053793657164</v>
      </c>
      <c r="Y6" s="9">
        <f>VLOOKUP($A6,'RES installed'!$A$2:$C$7,3,FALSE)*'[1]Profiles, RES, Spring'!Y$6</f>
        <v>14.379767161782416</v>
      </c>
    </row>
    <row r="7" spans="1:25" x14ac:dyDescent="0.3">
      <c r="A7" s="8">
        <v>6</v>
      </c>
      <c r="B7" s="9">
        <f>VLOOKUP($A7,'RES installed'!$A$2:$C$7,3,FALSE)*'[1]Profiles, RES, Spring'!B$6</f>
        <v>15.228823765556003</v>
      </c>
      <c r="C7" s="9">
        <f>VLOOKUP($A7,'RES installed'!$A$2:$C$7,3,FALSE)*'[1]Profiles, RES, Spring'!C$6</f>
        <v>13.819751103974308</v>
      </c>
      <c r="D7" s="9">
        <f>VLOOKUP($A7,'RES installed'!$A$2:$C$7,3,FALSE)*'[1]Profiles, RES, Spring'!D$6</f>
        <v>12.058410276997192</v>
      </c>
      <c r="E7" s="9">
        <f>VLOOKUP($A7,'RES installed'!$A$2:$C$7,3,FALSE)*'[1]Profiles, RES, Spring'!E$6</f>
        <v>10.857085507828181</v>
      </c>
      <c r="F7" s="9">
        <f>VLOOKUP($A7,'RES installed'!$A$2:$C$7,3,FALSE)*'[1]Profiles, RES, Spring'!F$6</f>
        <v>10.613207547169811</v>
      </c>
      <c r="G7" s="9">
        <f>VLOOKUP($A7,'RES installed'!$A$2:$C$7,3,FALSE)*'[1]Profiles, RES, Spring'!G$6</f>
        <v>10.730630268968287</v>
      </c>
      <c r="H7" s="9">
        <f>VLOOKUP($A7,'RES installed'!$A$2:$C$7,3,FALSE)*'[1]Profiles, RES, Spring'!H$6</f>
        <v>9.1589723002810111</v>
      </c>
      <c r="I7" s="9">
        <f>VLOOKUP($A7,'RES installed'!$A$2:$C$7,3,FALSE)*'[1]Profiles, RES, Spring'!I$6</f>
        <v>6.8918105178643119</v>
      </c>
      <c r="J7" s="9">
        <f>VLOOKUP($A7,'RES installed'!$A$2:$C$7,3,FALSE)*'[1]Profiles, RES, Spring'!J$6</f>
        <v>6.2775993576876754</v>
      </c>
      <c r="K7" s="9">
        <f>VLOOKUP($A7,'RES installed'!$A$2:$C$7,3,FALSE)*'[1]Profiles, RES, Spring'!K$6</f>
        <v>6.5395423524688878</v>
      </c>
      <c r="L7" s="9">
        <f>VLOOKUP($A7,'RES installed'!$A$2:$C$7,3,FALSE)*'[1]Profiles, RES, Spring'!L$6</f>
        <v>7.3253713368125251</v>
      </c>
      <c r="M7" s="9">
        <f>VLOOKUP($A7,'RES installed'!$A$2:$C$7,3,FALSE)*'[1]Profiles, RES, Spring'!M$6</f>
        <v>8.4002408671216386</v>
      </c>
      <c r="N7" s="9">
        <f>VLOOKUP($A7,'RES installed'!$A$2:$C$7,3,FALSE)*'[1]Profiles, RES, Spring'!N$6</f>
        <v>10.92031312725813</v>
      </c>
      <c r="O7" s="9">
        <f>VLOOKUP($A7,'RES installed'!$A$2:$C$7,3,FALSE)*'[1]Profiles, RES, Spring'!O$6</f>
        <v>13.557808109193095</v>
      </c>
      <c r="P7" s="9">
        <f>VLOOKUP($A7,'RES installed'!$A$2:$C$7,3,FALSE)*'[1]Profiles, RES, Spring'!P$6</f>
        <v>15.400441589723002</v>
      </c>
      <c r="Q7" s="9">
        <f>VLOOKUP($A7,'RES installed'!$A$2:$C$7,3,FALSE)*'[1]Profiles, RES, Spring'!Q$6</f>
        <v>16.945002007226016</v>
      </c>
      <c r="R7" s="9">
        <f>VLOOKUP($A7,'RES installed'!$A$2:$C$7,3,FALSE)*'[1]Profiles, RES, Spring'!R$6</f>
        <v>18.570855078281813</v>
      </c>
      <c r="S7" s="9">
        <f>VLOOKUP($A7,'RES installed'!$A$2:$C$7,3,FALSE)*'[1]Profiles, RES, Spring'!S$6</f>
        <v>17.766961059815333</v>
      </c>
      <c r="T7" s="9">
        <f>VLOOKUP($A7,'RES installed'!$A$2:$C$7,3,FALSE)*'[1]Profiles, RES, Spring'!T$6</f>
        <v>15.716579686872743</v>
      </c>
      <c r="U7" s="9">
        <f>VLOOKUP($A7,'RES installed'!$A$2:$C$7,3,FALSE)*'[1]Profiles, RES, Spring'!U$6</f>
        <v>15.120433560818947</v>
      </c>
      <c r="V7" s="9">
        <f>VLOOKUP($A7,'RES installed'!$A$2:$C$7,3,FALSE)*'[1]Profiles, RES, Spring'!V$6</f>
        <v>14.063629064632678</v>
      </c>
      <c r="W7" s="9">
        <f>VLOOKUP($A7,'RES installed'!$A$2:$C$7,3,FALSE)*'[1]Profiles, RES, Spring'!W$6</f>
        <v>13.341027699718989</v>
      </c>
      <c r="X7" s="9">
        <f>VLOOKUP($A7,'RES installed'!$A$2:$C$7,3,FALSE)*'[1]Profiles, RES, Spring'!X$6</f>
        <v>12.094540345242873</v>
      </c>
      <c r="Y7" s="9">
        <f>VLOOKUP($A7,'RES installed'!$A$2:$C$7,3,FALSE)*'[1]Profiles, RES, Spring'!Y$6</f>
        <v>10.784825371336813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0.85291887793783172</v>
      </c>
      <c r="H8" s="6">
        <f>VLOOKUP($A8,'RES installed'!$A$2:$C$7,3,FALSE)*'[1]Profiles, RES, Spring'!H$3</f>
        <v>7.4772554965883247</v>
      </c>
      <c r="I8" s="6">
        <f>VLOOKUP($A8,'RES installed'!$A$2:$C$7,3,FALSE)*'[1]Profiles, RES, Spring'!I$3</f>
        <v>17.996588324488251</v>
      </c>
      <c r="J8" s="6">
        <f>VLOOKUP($A8,'RES installed'!$A$2:$C$7,3,FALSE)*'[1]Profiles, RES, Spring'!J$3</f>
        <v>27.151250947687643</v>
      </c>
      <c r="K8" s="6">
        <f>VLOOKUP($A8,'RES installed'!$A$2:$C$7,3,FALSE)*'[1]Profiles, RES, Spring'!K$3</f>
        <v>37.812736921910542</v>
      </c>
      <c r="L8" s="6">
        <f>VLOOKUP($A8,'RES installed'!$A$2:$C$7,3,FALSE)*'[1]Profiles, RES, Spring'!L$3</f>
        <v>44.749810462471572</v>
      </c>
      <c r="M8" s="6">
        <f>VLOOKUP($A8,'RES installed'!$A$2:$C$7,3,FALSE)*'[1]Profiles, RES, Spring'!M$3</f>
        <v>45.801743745261561</v>
      </c>
      <c r="N8" s="6">
        <f>VLOOKUP($A8,'RES installed'!$A$2:$C$7,3,FALSE)*'[1]Profiles, RES, Spring'!N$3</f>
        <v>46.882107657316148</v>
      </c>
      <c r="O8" s="6">
        <f>VLOOKUP($A8,'RES installed'!$A$2:$C$7,3,FALSE)*'[1]Profiles, RES, Spring'!O$3</f>
        <v>45.23313115996968</v>
      </c>
      <c r="P8" s="6">
        <f>VLOOKUP($A8,'RES installed'!$A$2:$C$7,3,FALSE)*'[1]Profiles, RES, Spring'!P$3</f>
        <v>48.076194086429112</v>
      </c>
      <c r="Q8" s="6">
        <f>VLOOKUP($A8,'RES installed'!$A$2:$C$7,3,FALSE)*'[1]Profiles, RES, Spring'!Q$3</f>
        <v>42.674374526156178</v>
      </c>
      <c r="R8" s="6">
        <f>VLOOKUP($A8,'RES installed'!$A$2:$C$7,3,FALSE)*'[1]Profiles, RES, Spring'!R$3</f>
        <v>35.794162244124337</v>
      </c>
      <c r="S8" s="6">
        <f>VLOOKUP($A8,'RES installed'!$A$2:$C$7,3,FALSE)*'[1]Profiles, RES, Spring'!S$3</f>
        <v>23.398407884761184</v>
      </c>
      <c r="T8" s="6">
        <f>VLOOKUP($A8,'RES installed'!$A$2:$C$7,3,FALSE)*'[1]Profiles, RES, Spring'!T$3</f>
        <v>8.5291887793783179</v>
      </c>
      <c r="U8" s="6">
        <f>VLOOKUP($A8,'RES installed'!$A$2:$C$7,3,FALSE)*'[1]Profiles, RES, Spring'!U$3</f>
        <v>0.76762699014404845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  <row r="9" spans="1:25" x14ac:dyDescent="0.3">
      <c r="A9" s="5">
        <v>8</v>
      </c>
      <c r="B9" s="6">
        <f>VLOOKUP($A9,'RES installed'!$A$2:$C$7,3,FALSE)*'[1]Profiles, RES, Spring'!B$3</f>
        <v>0</v>
      </c>
      <c r="C9" s="6">
        <f>VLOOKUP($A9,'RES installed'!$A$2:$C$7,3,FALSE)*'[1]Profiles, RES, Spring'!C$3</f>
        <v>0</v>
      </c>
      <c r="D9" s="6">
        <f>VLOOKUP($A9,'RES installed'!$A$2:$C$7,3,FALSE)*'[1]Profiles, RES, Spring'!D$3</f>
        <v>0</v>
      </c>
      <c r="E9" s="6">
        <f>VLOOKUP($A9,'RES installed'!$A$2:$C$7,3,FALSE)*'[1]Profiles, RES, Spring'!E$3</f>
        <v>0</v>
      </c>
      <c r="F9" s="6">
        <f>VLOOKUP($A9,'RES installed'!$A$2:$C$7,3,FALSE)*'[1]Profiles, RES, Spring'!F$3</f>
        <v>0</v>
      </c>
      <c r="G9" s="6">
        <f>VLOOKUP($A9,'RES installed'!$A$2:$C$7,3,FALSE)*'[1]Profiles, RES, Spring'!G$3</f>
        <v>0.56861258529188785</v>
      </c>
      <c r="H9" s="6">
        <f>VLOOKUP($A9,'RES installed'!$A$2:$C$7,3,FALSE)*'[1]Profiles, RES, Spring'!H$3</f>
        <v>4.9848369977255498</v>
      </c>
      <c r="I9" s="6">
        <f>VLOOKUP($A9,'RES installed'!$A$2:$C$7,3,FALSE)*'[1]Profiles, RES, Spring'!I$3</f>
        <v>11.997725549658833</v>
      </c>
      <c r="J9" s="6">
        <f>VLOOKUP($A9,'RES installed'!$A$2:$C$7,3,FALSE)*'[1]Profiles, RES, Spring'!J$3</f>
        <v>18.100833965125098</v>
      </c>
      <c r="K9" s="6">
        <f>VLOOKUP($A9,'RES installed'!$A$2:$C$7,3,FALSE)*'[1]Profiles, RES, Spring'!K$3</f>
        <v>25.208491281273695</v>
      </c>
      <c r="L9" s="6">
        <f>VLOOKUP($A9,'RES installed'!$A$2:$C$7,3,FALSE)*'[1]Profiles, RES, Spring'!L$3</f>
        <v>29.833206974981046</v>
      </c>
      <c r="M9" s="6">
        <f>VLOOKUP($A9,'RES installed'!$A$2:$C$7,3,FALSE)*'[1]Profiles, RES, Spring'!M$3</f>
        <v>30.534495830174375</v>
      </c>
      <c r="N9" s="6">
        <f>VLOOKUP($A9,'RES installed'!$A$2:$C$7,3,FALSE)*'[1]Profiles, RES, Spring'!N$3</f>
        <v>31.254738438210765</v>
      </c>
      <c r="O9" s="6">
        <f>VLOOKUP($A9,'RES installed'!$A$2:$C$7,3,FALSE)*'[1]Profiles, RES, Spring'!O$3</f>
        <v>30.155420773313118</v>
      </c>
      <c r="P9" s="6">
        <f>VLOOKUP($A9,'RES installed'!$A$2:$C$7,3,FALSE)*'[1]Profiles, RES, Spring'!P$3</f>
        <v>32.050796057619408</v>
      </c>
      <c r="Q9" s="6">
        <f>VLOOKUP($A9,'RES installed'!$A$2:$C$7,3,FALSE)*'[1]Profiles, RES, Spring'!Q$3</f>
        <v>28.449583017437451</v>
      </c>
      <c r="R9" s="6">
        <f>VLOOKUP($A9,'RES installed'!$A$2:$C$7,3,FALSE)*'[1]Profiles, RES, Spring'!R$3</f>
        <v>23.862774829416225</v>
      </c>
      <c r="S9" s="6">
        <f>VLOOKUP($A9,'RES installed'!$A$2:$C$7,3,FALSE)*'[1]Profiles, RES, Spring'!S$3</f>
        <v>15.598938589840788</v>
      </c>
      <c r="T9" s="6">
        <f>VLOOKUP($A9,'RES installed'!$A$2:$C$7,3,FALSE)*'[1]Profiles, RES, Spring'!T$3</f>
        <v>5.6861258529188783</v>
      </c>
      <c r="U9" s="6">
        <f>VLOOKUP($A9,'RES installed'!$A$2:$C$7,3,FALSE)*'[1]Profiles, RES, Spring'!U$3</f>
        <v>0.51175132676269897</v>
      </c>
      <c r="V9" s="6">
        <f>VLOOKUP($A9,'RES installed'!$A$2:$C$7,3,FALSE)*'[1]Profiles, RES, Spring'!V$3</f>
        <v>0</v>
      </c>
      <c r="W9" s="6">
        <f>VLOOKUP($A9,'RES installed'!$A$2:$C$7,3,FALSE)*'[1]Profiles, RES, Spring'!W$3</f>
        <v>0</v>
      </c>
      <c r="X9" s="6">
        <f>VLOOKUP($A9,'RES installed'!$A$2:$C$7,3,FALSE)*'[1]Profiles, RES, Spring'!X$3</f>
        <v>0</v>
      </c>
      <c r="Y9" s="6">
        <f>VLOOKUP($A9,'RES installed'!$A$2:$C$7,3,FALSE)*'[1]Profiles, RES, Spring'!Y$3</f>
        <v>0</v>
      </c>
    </row>
    <row r="10" spans="1:25" x14ac:dyDescent="0.3">
      <c r="A10" s="5">
        <v>9</v>
      </c>
      <c r="B10" s="6">
        <f>VLOOKUP($A10,'RES installed'!$A$2:$C$7,3,FALSE)*'[1]Profiles, RES, Spring'!B$3</f>
        <v>0</v>
      </c>
      <c r="C10" s="6">
        <f>VLOOKUP($A10,'RES installed'!$A$2:$C$7,3,FALSE)*'[1]Profiles, RES, Spring'!C$3</f>
        <v>0</v>
      </c>
      <c r="D10" s="6">
        <f>VLOOKUP($A10,'RES installed'!$A$2:$C$7,3,FALSE)*'[1]Profiles, RES, Spring'!D$3</f>
        <v>0</v>
      </c>
      <c r="E10" s="6">
        <f>VLOOKUP($A10,'RES installed'!$A$2:$C$7,3,FALSE)*'[1]Profiles, RES, Spring'!E$3</f>
        <v>0</v>
      </c>
      <c r="F10" s="6">
        <f>VLOOKUP($A10,'RES installed'!$A$2:$C$7,3,FALSE)*'[1]Profiles, RES, Spring'!F$3</f>
        <v>0</v>
      </c>
      <c r="G10" s="6">
        <f>VLOOKUP($A10,'RES installed'!$A$2:$C$7,3,FALSE)*'[1]Profiles, RES, Spring'!G$3</f>
        <v>0.6823351023502654</v>
      </c>
      <c r="H10" s="6">
        <f>VLOOKUP($A10,'RES installed'!$A$2:$C$7,3,FALSE)*'[1]Profiles, RES, Spring'!H$3</f>
        <v>5.9818043972706594</v>
      </c>
      <c r="I10" s="6">
        <f>VLOOKUP($A10,'RES installed'!$A$2:$C$7,3,FALSE)*'[1]Profiles, RES, Spring'!I$3</f>
        <v>14.3972706595906</v>
      </c>
      <c r="J10" s="6">
        <f>VLOOKUP($A10,'RES installed'!$A$2:$C$7,3,FALSE)*'[1]Profiles, RES, Spring'!J$3</f>
        <v>21.721000758150115</v>
      </c>
      <c r="K10" s="6">
        <f>VLOOKUP($A10,'RES installed'!$A$2:$C$7,3,FALSE)*'[1]Profiles, RES, Spring'!K$3</f>
        <v>30.250189537528431</v>
      </c>
      <c r="L10" s="6">
        <f>VLOOKUP($A10,'RES installed'!$A$2:$C$7,3,FALSE)*'[1]Profiles, RES, Spring'!L$3</f>
        <v>35.799848369977255</v>
      </c>
      <c r="M10" s="6">
        <f>VLOOKUP($A10,'RES installed'!$A$2:$C$7,3,FALSE)*'[1]Profiles, RES, Spring'!M$3</f>
        <v>36.64139499620925</v>
      </c>
      <c r="N10" s="6">
        <f>VLOOKUP($A10,'RES installed'!$A$2:$C$7,3,FALSE)*'[1]Profiles, RES, Spring'!N$3</f>
        <v>37.505686125852918</v>
      </c>
      <c r="O10" s="6">
        <f>VLOOKUP($A10,'RES installed'!$A$2:$C$7,3,FALSE)*'[1]Profiles, RES, Spring'!O$3</f>
        <v>36.18650492797574</v>
      </c>
      <c r="P10" s="6">
        <f>VLOOKUP($A10,'RES installed'!$A$2:$C$7,3,FALSE)*'[1]Profiles, RES, Spring'!P$3</f>
        <v>38.460955269143291</v>
      </c>
      <c r="Q10" s="6">
        <f>VLOOKUP($A10,'RES installed'!$A$2:$C$7,3,FALSE)*'[1]Profiles, RES, Spring'!Q$3</f>
        <v>34.139499620924944</v>
      </c>
      <c r="R10" s="6">
        <f>VLOOKUP($A10,'RES installed'!$A$2:$C$7,3,FALSE)*'[1]Profiles, RES, Spring'!R$3</f>
        <v>28.635329795299469</v>
      </c>
      <c r="S10" s="6">
        <f>VLOOKUP($A10,'RES installed'!$A$2:$C$7,3,FALSE)*'[1]Profiles, RES, Spring'!S$3</f>
        <v>18.718726307808947</v>
      </c>
      <c r="T10" s="6">
        <f>VLOOKUP($A10,'RES installed'!$A$2:$C$7,3,FALSE)*'[1]Profiles, RES, Spring'!T$3</f>
        <v>6.8233510235026538</v>
      </c>
      <c r="U10" s="6">
        <f>VLOOKUP($A10,'RES installed'!$A$2:$C$7,3,FALSE)*'[1]Profiles, RES, Spring'!U$3</f>
        <v>0.61410159211523874</v>
      </c>
      <c r="V10" s="6">
        <f>VLOOKUP($A10,'RES installed'!$A$2:$C$7,3,FALSE)*'[1]Profiles, RES, Spring'!V$3</f>
        <v>0</v>
      </c>
      <c r="W10" s="6">
        <f>VLOOKUP($A10,'RES installed'!$A$2:$C$7,3,FALSE)*'[1]Profiles, RES, Spring'!W$3</f>
        <v>0</v>
      </c>
      <c r="X10" s="6">
        <f>VLOOKUP($A10,'RES installed'!$A$2:$C$7,3,FALSE)*'[1]Profiles, RES, Spring'!X$3</f>
        <v>0</v>
      </c>
      <c r="Y10" s="6">
        <f>VLOOKUP($A10,'RES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4C291-8F02-4CFD-8967-9A87F45EB76F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Spring'!B$7</f>
        <v>11.146126053793658</v>
      </c>
      <c r="C5" s="9">
        <f>VLOOKUP($A5,'RES installed'!$A$2:$C$7,3,FALSE)*'[1]Profiles, RES, Spring'!C$7</f>
        <v>10.568044961862705</v>
      </c>
      <c r="D5" s="9">
        <f>VLOOKUP($A5,'RES installed'!$A$2:$C$7,3,FALSE)*'[1]Profiles, RES, Spring'!D$7</f>
        <v>10.27900441589723</v>
      </c>
      <c r="E5" s="9">
        <f>VLOOKUP($A5,'RES installed'!$A$2:$C$7,3,FALSE)*'[1]Profiles, RES, Spring'!E$7</f>
        <v>10.820955439582496</v>
      </c>
      <c r="F5" s="9">
        <f>VLOOKUP($A5,'RES installed'!$A$2:$C$7,3,FALSE)*'[1]Profiles, RES, Spring'!F$7</f>
        <v>10.84805299076676</v>
      </c>
      <c r="G5" s="9">
        <f>VLOOKUP($A5,'RES installed'!$A$2:$C$7,3,FALSE)*'[1]Profiles, RES, Spring'!G$7</f>
        <v>9.6467282215977512</v>
      </c>
      <c r="H5" s="9">
        <f>VLOOKUP($A5,'RES installed'!$A$2:$C$7,3,FALSE)*'[1]Profiles, RES, Spring'!H$7</f>
        <v>8.2105580088317947</v>
      </c>
      <c r="I5" s="9">
        <f>VLOOKUP($A5,'RES installed'!$A$2:$C$7,3,FALSE)*'[1]Profiles, RES, Spring'!I$7</f>
        <v>6.1872741870734638</v>
      </c>
      <c r="J5" s="9">
        <f>VLOOKUP($A5,'RES installed'!$A$2:$C$7,3,FALSE)*'[1]Profiles, RES, Spring'!J$7</f>
        <v>5.2117623444399843</v>
      </c>
      <c r="K5" s="9">
        <f>VLOOKUP($A5,'RES installed'!$A$2:$C$7,3,FALSE)*'[1]Profiles, RES, Spring'!K$7</f>
        <v>5.6633881975110389</v>
      </c>
      <c r="L5" s="9">
        <f>VLOOKUP($A5,'RES installed'!$A$2:$C$7,3,FALSE)*'[1]Profiles, RES, Spring'!L$7</f>
        <v>6.6930951425130463</v>
      </c>
      <c r="M5" s="9">
        <f>VLOOKUP($A5,'RES installed'!$A$2:$C$7,3,FALSE)*'[1]Profiles, RES, Spring'!M$7</f>
        <v>6.6208350060216778</v>
      </c>
      <c r="N5" s="9">
        <f>VLOOKUP($A5,'RES installed'!$A$2:$C$7,3,FALSE)*'[1]Profiles, RES, Spring'!N$7</f>
        <v>7.6053793657165798</v>
      </c>
      <c r="O5" s="9">
        <f>VLOOKUP($A5,'RES installed'!$A$2:$C$7,3,FALSE)*'[1]Profiles, RES, Spring'!O$7</f>
        <v>9.7009233239662773</v>
      </c>
      <c r="P5" s="9">
        <f>VLOOKUP($A5,'RES installed'!$A$2:$C$7,3,FALSE)*'[1]Profiles, RES, Spring'!P$7</f>
        <v>11.326776395022078</v>
      </c>
      <c r="Q5" s="9">
        <f>VLOOKUP($A5,'RES installed'!$A$2:$C$7,3,FALSE)*'[1]Profiles, RES, Spring'!Q$7</f>
        <v>12.762946607788036</v>
      </c>
      <c r="R5" s="9">
        <f>VLOOKUP($A5,'RES installed'!$A$2:$C$7,3,FALSE)*'[1]Profiles, RES, Spring'!R$7</f>
        <v>14.343637093536733</v>
      </c>
      <c r="S5" s="9">
        <f>VLOOKUP($A5,'RES installed'!$A$2:$C$7,3,FALSE)*'[1]Profiles, RES, Spring'!S$7</f>
        <v>14.930750702529105</v>
      </c>
      <c r="T5" s="9">
        <f>VLOOKUP($A5,'RES installed'!$A$2:$C$7,3,FALSE)*'[1]Profiles, RES, Spring'!T$7</f>
        <v>14.939783219590526</v>
      </c>
      <c r="U5" s="9">
        <f>VLOOKUP($A5,'RES installed'!$A$2:$C$7,3,FALSE)*'[1]Profiles, RES, Spring'!U$7</f>
        <v>13.35909273384183</v>
      </c>
      <c r="V5" s="9">
        <f>VLOOKUP($A5,'RES installed'!$A$2:$C$7,3,FALSE)*'[1]Profiles, RES, Spring'!V$7</f>
        <v>12.753914090726616</v>
      </c>
      <c r="W5" s="9">
        <f>VLOOKUP($A5,'RES installed'!$A$2:$C$7,3,FALSE)*'[1]Profiles, RES, Spring'!W$7</f>
        <v>12.681653954235246</v>
      </c>
      <c r="X5" s="9">
        <f>VLOOKUP($A5,'RES installed'!$A$2:$C$7,3,FALSE)*'[1]Profiles, RES, Spring'!X$7</f>
        <v>12.889401846647933</v>
      </c>
      <c r="Y5" s="9">
        <f>VLOOKUP($A5,'RES installed'!$A$2:$C$7,3,FALSE)*'[1]Profiles, RES, Spring'!Y$7</f>
        <v>13.91910879164994</v>
      </c>
    </row>
    <row r="6" spans="1:25" x14ac:dyDescent="0.3">
      <c r="A6" s="8">
        <v>5</v>
      </c>
      <c r="B6" s="9">
        <f>VLOOKUP($A6,'RES installed'!$A$2:$C$7,3,FALSE)*'[1]Profiles, RES, Spring'!B$7</f>
        <v>14.86150140505821</v>
      </c>
      <c r="C6" s="9">
        <f>VLOOKUP($A6,'RES installed'!$A$2:$C$7,3,FALSE)*'[1]Profiles, RES, Spring'!C$7</f>
        <v>14.090726615816941</v>
      </c>
      <c r="D6" s="9">
        <f>VLOOKUP($A6,'RES installed'!$A$2:$C$7,3,FALSE)*'[1]Profiles, RES, Spring'!D$7</f>
        <v>13.705339221196308</v>
      </c>
      <c r="E6" s="9">
        <f>VLOOKUP($A6,'RES installed'!$A$2:$C$7,3,FALSE)*'[1]Profiles, RES, Spring'!E$7</f>
        <v>14.427940586109996</v>
      </c>
      <c r="F6" s="9">
        <f>VLOOKUP($A6,'RES installed'!$A$2:$C$7,3,FALSE)*'[1]Profiles, RES, Spring'!F$7</f>
        <v>14.46407065435568</v>
      </c>
      <c r="G6" s="9">
        <f>VLOOKUP($A6,'RES installed'!$A$2:$C$7,3,FALSE)*'[1]Profiles, RES, Spring'!G$7</f>
        <v>12.862304295463669</v>
      </c>
      <c r="H6" s="9">
        <f>VLOOKUP($A6,'RES installed'!$A$2:$C$7,3,FALSE)*'[1]Profiles, RES, Spring'!H$7</f>
        <v>10.947410678442393</v>
      </c>
      <c r="I6" s="9">
        <f>VLOOKUP($A6,'RES installed'!$A$2:$C$7,3,FALSE)*'[1]Profiles, RES, Spring'!I$7</f>
        <v>8.2496989160979517</v>
      </c>
      <c r="J6" s="9">
        <f>VLOOKUP($A6,'RES installed'!$A$2:$C$7,3,FALSE)*'[1]Profiles, RES, Spring'!J$7</f>
        <v>6.9490164592533121</v>
      </c>
      <c r="K6" s="9">
        <f>VLOOKUP($A6,'RES installed'!$A$2:$C$7,3,FALSE)*'[1]Profiles, RES, Spring'!K$7</f>
        <v>7.5511842633480528</v>
      </c>
      <c r="L6" s="9">
        <f>VLOOKUP($A6,'RES installed'!$A$2:$C$7,3,FALSE)*'[1]Profiles, RES, Spring'!L$7</f>
        <v>8.9241268566840617</v>
      </c>
      <c r="M6" s="9">
        <f>VLOOKUP($A6,'RES installed'!$A$2:$C$7,3,FALSE)*'[1]Profiles, RES, Spring'!M$7</f>
        <v>8.8277800080289044</v>
      </c>
      <c r="N6" s="9">
        <f>VLOOKUP($A6,'RES installed'!$A$2:$C$7,3,FALSE)*'[1]Profiles, RES, Spring'!N$7</f>
        <v>10.14050582095544</v>
      </c>
      <c r="O6" s="9">
        <f>VLOOKUP($A6,'RES installed'!$A$2:$C$7,3,FALSE)*'[1]Profiles, RES, Spring'!O$7</f>
        <v>12.934564431955037</v>
      </c>
      <c r="P6" s="9">
        <f>VLOOKUP($A6,'RES installed'!$A$2:$C$7,3,FALSE)*'[1]Profiles, RES, Spring'!P$7</f>
        <v>15.102368526696106</v>
      </c>
      <c r="Q6" s="9">
        <f>VLOOKUP($A6,'RES installed'!$A$2:$C$7,3,FALSE)*'[1]Profiles, RES, Spring'!Q$7</f>
        <v>17.017262143717382</v>
      </c>
      <c r="R6" s="9">
        <f>VLOOKUP($A6,'RES installed'!$A$2:$C$7,3,FALSE)*'[1]Profiles, RES, Spring'!R$7</f>
        <v>19.124849458048978</v>
      </c>
      <c r="S6" s="9">
        <f>VLOOKUP($A6,'RES installed'!$A$2:$C$7,3,FALSE)*'[1]Profiles, RES, Spring'!S$7</f>
        <v>19.90766760337214</v>
      </c>
      <c r="T6" s="9">
        <f>VLOOKUP($A6,'RES installed'!$A$2:$C$7,3,FALSE)*'[1]Profiles, RES, Spring'!T$7</f>
        <v>19.919710959454033</v>
      </c>
      <c r="U6" s="9">
        <f>VLOOKUP($A6,'RES installed'!$A$2:$C$7,3,FALSE)*'[1]Profiles, RES, Spring'!U$7</f>
        <v>17.812123645122441</v>
      </c>
      <c r="V6" s="9">
        <f>VLOOKUP($A6,'RES installed'!$A$2:$C$7,3,FALSE)*'[1]Profiles, RES, Spring'!V$7</f>
        <v>17.005218787635489</v>
      </c>
      <c r="W6" s="9">
        <f>VLOOKUP($A6,'RES installed'!$A$2:$C$7,3,FALSE)*'[1]Profiles, RES, Spring'!W$7</f>
        <v>16.908871938980326</v>
      </c>
      <c r="X6" s="9">
        <f>VLOOKUP($A6,'RES installed'!$A$2:$C$7,3,FALSE)*'[1]Profiles, RES, Spring'!X$7</f>
        <v>17.18586912886391</v>
      </c>
      <c r="Y6" s="9">
        <f>VLOOKUP($A6,'RES installed'!$A$2:$C$7,3,FALSE)*'[1]Profiles, RES, Spring'!Y$7</f>
        <v>18.55881172219992</v>
      </c>
    </row>
    <row r="7" spans="1:25" x14ac:dyDescent="0.3">
      <c r="A7" s="8">
        <v>6</v>
      </c>
      <c r="B7" s="9">
        <f>VLOOKUP($A7,'RES installed'!$A$2:$C$7,3,FALSE)*'[1]Profiles, RES, Spring'!B$7</f>
        <v>11.146126053793658</v>
      </c>
      <c r="C7" s="9">
        <f>VLOOKUP($A7,'RES installed'!$A$2:$C$7,3,FALSE)*'[1]Profiles, RES, Spring'!C$7</f>
        <v>10.568044961862705</v>
      </c>
      <c r="D7" s="9">
        <f>VLOOKUP($A7,'RES installed'!$A$2:$C$7,3,FALSE)*'[1]Profiles, RES, Spring'!D$7</f>
        <v>10.27900441589723</v>
      </c>
      <c r="E7" s="9">
        <f>VLOOKUP($A7,'RES installed'!$A$2:$C$7,3,FALSE)*'[1]Profiles, RES, Spring'!E$7</f>
        <v>10.820955439582496</v>
      </c>
      <c r="F7" s="9">
        <f>VLOOKUP($A7,'RES installed'!$A$2:$C$7,3,FALSE)*'[1]Profiles, RES, Spring'!F$7</f>
        <v>10.84805299076676</v>
      </c>
      <c r="G7" s="9">
        <f>VLOOKUP($A7,'RES installed'!$A$2:$C$7,3,FALSE)*'[1]Profiles, RES, Spring'!G$7</f>
        <v>9.6467282215977512</v>
      </c>
      <c r="H7" s="9">
        <f>VLOOKUP($A7,'RES installed'!$A$2:$C$7,3,FALSE)*'[1]Profiles, RES, Spring'!H$7</f>
        <v>8.2105580088317947</v>
      </c>
      <c r="I7" s="9">
        <f>VLOOKUP($A7,'RES installed'!$A$2:$C$7,3,FALSE)*'[1]Profiles, RES, Spring'!I$7</f>
        <v>6.1872741870734638</v>
      </c>
      <c r="J7" s="9">
        <f>VLOOKUP($A7,'RES installed'!$A$2:$C$7,3,FALSE)*'[1]Profiles, RES, Spring'!J$7</f>
        <v>5.2117623444399843</v>
      </c>
      <c r="K7" s="9">
        <f>VLOOKUP($A7,'RES installed'!$A$2:$C$7,3,FALSE)*'[1]Profiles, RES, Spring'!K$7</f>
        <v>5.6633881975110389</v>
      </c>
      <c r="L7" s="9">
        <f>VLOOKUP($A7,'RES installed'!$A$2:$C$7,3,FALSE)*'[1]Profiles, RES, Spring'!L$7</f>
        <v>6.6930951425130463</v>
      </c>
      <c r="M7" s="9">
        <f>VLOOKUP($A7,'RES installed'!$A$2:$C$7,3,FALSE)*'[1]Profiles, RES, Spring'!M$7</f>
        <v>6.6208350060216778</v>
      </c>
      <c r="N7" s="9">
        <f>VLOOKUP($A7,'RES installed'!$A$2:$C$7,3,FALSE)*'[1]Profiles, RES, Spring'!N$7</f>
        <v>7.6053793657165798</v>
      </c>
      <c r="O7" s="9">
        <f>VLOOKUP($A7,'RES installed'!$A$2:$C$7,3,FALSE)*'[1]Profiles, RES, Spring'!O$7</f>
        <v>9.7009233239662773</v>
      </c>
      <c r="P7" s="9">
        <f>VLOOKUP($A7,'RES installed'!$A$2:$C$7,3,FALSE)*'[1]Profiles, RES, Spring'!P$7</f>
        <v>11.326776395022078</v>
      </c>
      <c r="Q7" s="9">
        <f>VLOOKUP($A7,'RES installed'!$A$2:$C$7,3,FALSE)*'[1]Profiles, RES, Spring'!Q$7</f>
        <v>12.762946607788036</v>
      </c>
      <c r="R7" s="9">
        <f>VLOOKUP($A7,'RES installed'!$A$2:$C$7,3,FALSE)*'[1]Profiles, RES, Spring'!R$7</f>
        <v>14.343637093536733</v>
      </c>
      <c r="S7" s="9">
        <f>VLOOKUP($A7,'RES installed'!$A$2:$C$7,3,FALSE)*'[1]Profiles, RES, Spring'!S$7</f>
        <v>14.930750702529105</v>
      </c>
      <c r="T7" s="9">
        <f>VLOOKUP($A7,'RES installed'!$A$2:$C$7,3,FALSE)*'[1]Profiles, RES, Spring'!T$7</f>
        <v>14.939783219590526</v>
      </c>
      <c r="U7" s="9">
        <f>VLOOKUP($A7,'RES installed'!$A$2:$C$7,3,FALSE)*'[1]Profiles, RES, Spring'!U$7</f>
        <v>13.35909273384183</v>
      </c>
      <c r="V7" s="9">
        <f>VLOOKUP($A7,'RES installed'!$A$2:$C$7,3,FALSE)*'[1]Profiles, RES, Spring'!V$7</f>
        <v>12.753914090726616</v>
      </c>
      <c r="W7" s="9">
        <f>VLOOKUP($A7,'RES installed'!$A$2:$C$7,3,FALSE)*'[1]Profiles, RES, Spring'!W$7</f>
        <v>12.681653954235246</v>
      </c>
      <c r="X7" s="9">
        <f>VLOOKUP($A7,'RES installed'!$A$2:$C$7,3,FALSE)*'[1]Profiles, RES, Spring'!X$7</f>
        <v>12.889401846647933</v>
      </c>
      <c r="Y7" s="9">
        <f>VLOOKUP($A7,'RES installed'!$A$2:$C$7,3,FALSE)*'[1]Profiles, RES, Spring'!Y$7</f>
        <v>13.91910879164994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0.82448824867323733</v>
      </c>
      <c r="H8" s="6">
        <f>VLOOKUP($A8,'RES installed'!$A$2:$C$7,3,FALSE)*'[1]Profiles, RES, Spring'!H$4</f>
        <v>7.9037149355572396</v>
      </c>
      <c r="I8" s="6">
        <f>VLOOKUP($A8,'RES installed'!$A$2:$C$7,3,FALSE)*'[1]Profiles, RES, Spring'!I$4</f>
        <v>21.948445792266867</v>
      </c>
      <c r="J8" s="6">
        <f>VLOOKUP($A8,'RES installed'!$A$2:$C$7,3,FALSE)*'[1]Profiles, RES, Spring'!J$4</f>
        <v>35.225549658832449</v>
      </c>
      <c r="K8" s="6">
        <f>VLOOKUP($A8,'RES installed'!$A$2:$C$7,3,FALSE)*'[1]Profiles, RES, Spring'!K$4</f>
        <v>41.764594389689158</v>
      </c>
      <c r="L8" s="6">
        <f>VLOOKUP($A8,'RES installed'!$A$2:$C$7,3,FALSE)*'[1]Profiles, RES, Spring'!L$4</f>
        <v>46.171341925701284</v>
      </c>
      <c r="M8" s="6">
        <f>VLOOKUP($A8,'RES installed'!$A$2:$C$7,3,FALSE)*'[1]Profiles, RES, Spring'!M$4</f>
        <v>51.345716451857463</v>
      </c>
      <c r="N8" s="6">
        <f>VLOOKUP($A8,'RES installed'!$A$2:$C$7,3,FALSE)*'[1]Profiles, RES, Spring'!N$4</f>
        <v>50.123199393479908</v>
      </c>
      <c r="O8" s="6">
        <f>VLOOKUP($A8,'RES installed'!$A$2:$C$7,3,FALSE)*'[1]Profiles, RES, Spring'!O$4</f>
        <v>49.867323730098562</v>
      </c>
      <c r="P8" s="6">
        <f>VLOOKUP($A8,'RES installed'!$A$2:$C$7,3,FALSE)*'[1]Profiles, RES, Spring'!P$4</f>
        <v>50.208491281273687</v>
      </c>
      <c r="Q8" s="6">
        <f>VLOOKUP($A8,'RES installed'!$A$2:$C$7,3,FALSE)*'[1]Profiles, RES, Spring'!Q$4</f>
        <v>46.39878695981804</v>
      </c>
      <c r="R8" s="6">
        <f>VLOOKUP($A8,'RES installed'!$A$2:$C$7,3,FALSE)*'[1]Profiles, RES, Spring'!R$4</f>
        <v>37.727445034116755</v>
      </c>
      <c r="S8" s="6">
        <f>VLOOKUP($A8,'RES installed'!$A$2:$C$7,3,FALSE)*'[1]Profiles, RES, Spring'!S$4</f>
        <v>24.73464746019712</v>
      </c>
      <c r="T8" s="6">
        <f>VLOOKUP($A8,'RES installed'!$A$2:$C$7,3,FALSE)*'[1]Profiles, RES, Spring'!T$4</f>
        <v>8.7850644427596674</v>
      </c>
      <c r="U8" s="6">
        <f>VLOOKUP($A8,'RES installed'!$A$2:$C$7,3,FALSE)*'[1]Profiles, RES, Spring'!U$4</f>
        <v>0.90978013646702049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  <row r="9" spans="1:25" x14ac:dyDescent="0.3">
      <c r="A9" s="5">
        <v>8</v>
      </c>
      <c r="B9" s="6">
        <f>VLOOKUP($A9,'RES installed'!$A$2:$C$7,3,FALSE)*'[1]Profiles, RES, Spring'!B$4</f>
        <v>0</v>
      </c>
      <c r="C9" s="6">
        <f>VLOOKUP($A9,'RES installed'!$A$2:$C$7,3,FALSE)*'[1]Profiles, RES, Spring'!C$4</f>
        <v>0</v>
      </c>
      <c r="D9" s="6">
        <f>VLOOKUP($A9,'RES installed'!$A$2:$C$7,3,FALSE)*'[1]Profiles, RES, Spring'!D$4</f>
        <v>0</v>
      </c>
      <c r="E9" s="6">
        <f>VLOOKUP($A9,'RES installed'!$A$2:$C$7,3,FALSE)*'[1]Profiles, RES, Spring'!E$4</f>
        <v>0</v>
      </c>
      <c r="F9" s="6">
        <f>VLOOKUP($A9,'RES installed'!$A$2:$C$7,3,FALSE)*'[1]Profiles, RES, Spring'!F$4</f>
        <v>0</v>
      </c>
      <c r="G9" s="6">
        <f>VLOOKUP($A9,'RES installed'!$A$2:$C$7,3,FALSE)*'[1]Profiles, RES, Spring'!G$4</f>
        <v>0.54965883244882485</v>
      </c>
      <c r="H9" s="6">
        <f>VLOOKUP($A9,'RES installed'!$A$2:$C$7,3,FALSE)*'[1]Profiles, RES, Spring'!H$4</f>
        <v>5.2691432903714936</v>
      </c>
      <c r="I9" s="6">
        <f>VLOOKUP($A9,'RES installed'!$A$2:$C$7,3,FALSE)*'[1]Profiles, RES, Spring'!I$4</f>
        <v>14.632297194844579</v>
      </c>
      <c r="J9" s="6">
        <f>VLOOKUP($A9,'RES installed'!$A$2:$C$7,3,FALSE)*'[1]Profiles, RES, Spring'!J$4</f>
        <v>23.483699772554967</v>
      </c>
      <c r="K9" s="6">
        <f>VLOOKUP($A9,'RES installed'!$A$2:$C$7,3,FALSE)*'[1]Profiles, RES, Spring'!K$4</f>
        <v>27.843062926459439</v>
      </c>
      <c r="L9" s="6">
        <f>VLOOKUP($A9,'RES installed'!$A$2:$C$7,3,FALSE)*'[1]Profiles, RES, Spring'!L$4</f>
        <v>30.780894617134191</v>
      </c>
      <c r="M9" s="6">
        <f>VLOOKUP($A9,'RES installed'!$A$2:$C$7,3,FALSE)*'[1]Profiles, RES, Spring'!M$4</f>
        <v>34.230477634571642</v>
      </c>
      <c r="N9" s="6">
        <f>VLOOKUP($A9,'RES installed'!$A$2:$C$7,3,FALSE)*'[1]Profiles, RES, Spring'!N$4</f>
        <v>33.415466262319939</v>
      </c>
      <c r="O9" s="6">
        <f>VLOOKUP($A9,'RES installed'!$A$2:$C$7,3,FALSE)*'[1]Profiles, RES, Spring'!O$4</f>
        <v>33.244882486732372</v>
      </c>
      <c r="P9" s="6">
        <f>VLOOKUP($A9,'RES installed'!$A$2:$C$7,3,FALSE)*'[1]Profiles, RES, Spring'!P$4</f>
        <v>33.472327520849127</v>
      </c>
      <c r="Q9" s="6">
        <f>VLOOKUP($A9,'RES installed'!$A$2:$C$7,3,FALSE)*'[1]Profiles, RES, Spring'!Q$4</f>
        <v>30.932524639878693</v>
      </c>
      <c r="R9" s="6">
        <f>VLOOKUP($A9,'RES installed'!$A$2:$C$7,3,FALSE)*'[1]Profiles, RES, Spring'!R$4</f>
        <v>25.151630022744502</v>
      </c>
      <c r="S9" s="6">
        <f>VLOOKUP($A9,'RES installed'!$A$2:$C$7,3,FALSE)*'[1]Profiles, RES, Spring'!S$4</f>
        <v>16.489764973464744</v>
      </c>
      <c r="T9" s="6">
        <f>VLOOKUP($A9,'RES installed'!$A$2:$C$7,3,FALSE)*'[1]Profiles, RES, Spring'!T$4</f>
        <v>5.8567096285064446</v>
      </c>
      <c r="U9" s="6">
        <f>VLOOKUP($A9,'RES installed'!$A$2:$C$7,3,FALSE)*'[1]Profiles, RES, Spring'!U$4</f>
        <v>0.60652009097801363</v>
      </c>
      <c r="V9" s="6">
        <f>VLOOKUP($A9,'RES installed'!$A$2:$C$7,3,FALSE)*'[1]Profiles, RES, Spring'!V$4</f>
        <v>0</v>
      </c>
      <c r="W9" s="6">
        <f>VLOOKUP($A9,'RES installed'!$A$2:$C$7,3,FALSE)*'[1]Profiles, RES, Spring'!W$4</f>
        <v>0</v>
      </c>
      <c r="X9" s="6">
        <f>VLOOKUP($A9,'RES installed'!$A$2:$C$7,3,FALSE)*'[1]Profiles, RES, Spring'!X$4</f>
        <v>0</v>
      </c>
      <c r="Y9" s="6">
        <f>VLOOKUP($A9,'RES installed'!$A$2:$C$7,3,FALSE)*'[1]Profiles, RES, Spring'!Y$4</f>
        <v>0</v>
      </c>
    </row>
    <row r="10" spans="1:25" x14ac:dyDescent="0.3">
      <c r="A10" s="5">
        <v>9</v>
      </c>
      <c r="B10" s="6">
        <f>VLOOKUP($A10,'RES installed'!$A$2:$C$7,3,FALSE)*'[1]Profiles, RES, Spring'!B$4</f>
        <v>0</v>
      </c>
      <c r="C10" s="6">
        <f>VLOOKUP($A10,'RES installed'!$A$2:$C$7,3,FALSE)*'[1]Profiles, RES, Spring'!C$4</f>
        <v>0</v>
      </c>
      <c r="D10" s="6">
        <f>VLOOKUP($A10,'RES installed'!$A$2:$C$7,3,FALSE)*'[1]Profiles, RES, Spring'!D$4</f>
        <v>0</v>
      </c>
      <c r="E10" s="6">
        <f>VLOOKUP($A10,'RES installed'!$A$2:$C$7,3,FALSE)*'[1]Profiles, RES, Spring'!E$4</f>
        <v>0</v>
      </c>
      <c r="F10" s="6">
        <f>VLOOKUP($A10,'RES installed'!$A$2:$C$7,3,FALSE)*'[1]Profiles, RES, Spring'!F$4</f>
        <v>0</v>
      </c>
      <c r="G10" s="6">
        <f>VLOOKUP($A10,'RES installed'!$A$2:$C$7,3,FALSE)*'[1]Profiles, RES, Spring'!G$4</f>
        <v>0.65959059893858984</v>
      </c>
      <c r="H10" s="6">
        <f>VLOOKUP($A10,'RES installed'!$A$2:$C$7,3,FALSE)*'[1]Profiles, RES, Spring'!H$4</f>
        <v>6.322971948445792</v>
      </c>
      <c r="I10" s="6">
        <f>VLOOKUP($A10,'RES installed'!$A$2:$C$7,3,FALSE)*'[1]Profiles, RES, Spring'!I$4</f>
        <v>17.558756633813495</v>
      </c>
      <c r="J10" s="6">
        <f>VLOOKUP($A10,'RES installed'!$A$2:$C$7,3,FALSE)*'[1]Profiles, RES, Spring'!J$4</f>
        <v>28.180439727065959</v>
      </c>
      <c r="K10" s="6">
        <f>VLOOKUP($A10,'RES installed'!$A$2:$C$7,3,FALSE)*'[1]Profiles, RES, Spring'!K$4</f>
        <v>33.411675511751326</v>
      </c>
      <c r="L10" s="6">
        <f>VLOOKUP($A10,'RES installed'!$A$2:$C$7,3,FALSE)*'[1]Profiles, RES, Spring'!L$4</f>
        <v>36.93707354056103</v>
      </c>
      <c r="M10" s="6">
        <f>VLOOKUP($A10,'RES installed'!$A$2:$C$7,3,FALSE)*'[1]Profiles, RES, Spring'!M$4</f>
        <v>41.076573161485975</v>
      </c>
      <c r="N10" s="6">
        <f>VLOOKUP($A10,'RES installed'!$A$2:$C$7,3,FALSE)*'[1]Profiles, RES, Spring'!N$4</f>
        <v>40.098559514783922</v>
      </c>
      <c r="O10" s="6">
        <f>VLOOKUP($A10,'RES installed'!$A$2:$C$7,3,FALSE)*'[1]Profiles, RES, Spring'!O$4</f>
        <v>39.893858984078847</v>
      </c>
      <c r="P10" s="6">
        <f>VLOOKUP($A10,'RES installed'!$A$2:$C$7,3,FALSE)*'[1]Profiles, RES, Spring'!P$4</f>
        <v>40.166793025018954</v>
      </c>
      <c r="Q10" s="6">
        <f>VLOOKUP($A10,'RES installed'!$A$2:$C$7,3,FALSE)*'[1]Profiles, RES, Spring'!Q$4</f>
        <v>37.119029567854433</v>
      </c>
      <c r="R10" s="6">
        <f>VLOOKUP($A10,'RES installed'!$A$2:$C$7,3,FALSE)*'[1]Profiles, RES, Spring'!R$4</f>
        <v>30.181956027293403</v>
      </c>
      <c r="S10" s="6">
        <f>VLOOKUP($A10,'RES installed'!$A$2:$C$7,3,FALSE)*'[1]Profiles, RES, Spring'!S$4</f>
        <v>19.787717968157697</v>
      </c>
      <c r="T10" s="6">
        <f>VLOOKUP($A10,'RES installed'!$A$2:$C$7,3,FALSE)*'[1]Profiles, RES, Spring'!T$4</f>
        <v>7.0280515542077335</v>
      </c>
      <c r="U10" s="6">
        <f>VLOOKUP($A10,'RES installed'!$A$2:$C$7,3,FALSE)*'[1]Profiles, RES, Spring'!U$4</f>
        <v>0.7278241091736164</v>
      </c>
      <c r="V10" s="6">
        <f>VLOOKUP($A10,'RES installed'!$A$2:$C$7,3,FALSE)*'[1]Profiles, RES, Spring'!V$4</f>
        <v>0</v>
      </c>
      <c r="W10" s="6">
        <f>VLOOKUP($A10,'RES installed'!$A$2:$C$7,3,FALSE)*'[1]Profiles, RES, Spring'!W$4</f>
        <v>0</v>
      </c>
      <c r="X10" s="6">
        <f>VLOOKUP($A10,'RES installed'!$A$2:$C$7,3,FALSE)*'[1]Profiles, RES, Spring'!X$4</f>
        <v>0</v>
      </c>
      <c r="Y10" s="6">
        <f>VLOOKUP($A10,'RES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1504A-A722-4235-A916-8500BF5DCFDD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2B266-9AF9-4D1C-8001-16512D48BE25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6446D-A4B7-4C21-9AB7-EEB0420E813A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1F037-2461-4625-B59F-B0FEB5F9D263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FB5D3-9FFF-47C8-A462-6DD6471A1662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A0660-12AF-4198-BF2A-456BAD655B28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7CBB4-4605-4586-A136-29D57872046D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87C91-FD0F-41E9-AAF2-509FDA627147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7D011-67AD-4857-A72E-FFBE2D347BCB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BB815-0429-42A9-92EF-4B1286E2BDE5}">
  <dimension ref="A1:Y10"/>
  <sheetViews>
    <sheetView topLeftCell="G1" workbookViewId="0">
      <selection activeCell="J27" sqref="J27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</row>
    <row r="4" spans="1:25" x14ac:dyDescent="0.3">
      <c r="A4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8">
        <v>5</v>
      </c>
      <c r="B6" s="8">
        <v>1</v>
      </c>
      <c r="C6" s="8">
        <v>1</v>
      </c>
      <c r="D6" s="8">
        <v>1</v>
      </c>
      <c r="E6" s="8">
        <v>1</v>
      </c>
      <c r="F6" s="8">
        <v>1</v>
      </c>
      <c r="G6" s="8">
        <v>1</v>
      </c>
      <c r="H6" s="8">
        <v>1</v>
      </c>
      <c r="I6" s="8">
        <v>1</v>
      </c>
      <c r="J6" s="8">
        <v>1</v>
      </c>
      <c r="K6" s="8">
        <v>1</v>
      </c>
      <c r="L6" s="8">
        <v>1</v>
      </c>
      <c r="M6" s="8">
        <v>1</v>
      </c>
      <c r="N6" s="8">
        <v>1</v>
      </c>
      <c r="O6" s="8">
        <v>1</v>
      </c>
      <c r="P6" s="8">
        <v>1</v>
      </c>
      <c r="Q6" s="8">
        <v>1</v>
      </c>
      <c r="R6" s="8">
        <v>1</v>
      </c>
      <c r="S6" s="8">
        <v>1</v>
      </c>
      <c r="T6" s="8">
        <v>1</v>
      </c>
      <c r="U6" s="8">
        <v>1</v>
      </c>
      <c r="V6" s="8">
        <v>1</v>
      </c>
      <c r="W6" s="8">
        <v>1</v>
      </c>
      <c r="X6" s="8">
        <v>1</v>
      </c>
      <c r="Y6" s="8">
        <v>1</v>
      </c>
    </row>
    <row r="7" spans="1:25" x14ac:dyDescent="0.3">
      <c r="A7" s="8">
        <v>6</v>
      </c>
      <c r="B7" s="8">
        <v>1</v>
      </c>
      <c r="C7" s="8">
        <v>1</v>
      </c>
      <c r="D7" s="8">
        <v>1</v>
      </c>
      <c r="E7" s="8">
        <v>1</v>
      </c>
      <c r="F7" s="8">
        <v>1</v>
      </c>
      <c r="G7" s="8">
        <v>1</v>
      </c>
      <c r="H7" s="8">
        <v>1</v>
      </c>
      <c r="I7" s="8">
        <v>1</v>
      </c>
      <c r="J7" s="8">
        <v>1</v>
      </c>
      <c r="K7" s="8">
        <v>1</v>
      </c>
      <c r="L7" s="8">
        <v>1</v>
      </c>
      <c r="M7" s="8">
        <v>1</v>
      </c>
      <c r="N7" s="8">
        <v>1</v>
      </c>
      <c r="O7" s="8">
        <v>1</v>
      </c>
      <c r="P7" s="8">
        <v>1</v>
      </c>
      <c r="Q7" s="8">
        <v>1</v>
      </c>
      <c r="R7" s="8">
        <v>1</v>
      </c>
      <c r="S7" s="8">
        <v>1</v>
      </c>
      <c r="T7" s="8">
        <v>1</v>
      </c>
      <c r="U7" s="8">
        <v>1</v>
      </c>
      <c r="V7" s="8">
        <v>1</v>
      </c>
      <c r="W7" s="8">
        <v>1</v>
      </c>
      <c r="X7" s="8">
        <v>1</v>
      </c>
      <c r="Y7" s="8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  <row r="9" spans="1:25" x14ac:dyDescent="0.3">
      <c r="A9" s="5">
        <v>8</v>
      </c>
      <c r="B9" s="5">
        <v>1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</row>
    <row r="10" spans="1:25" x14ac:dyDescent="0.3">
      <c r="A10" s="5">
        <v>9</v>
      </c>
      <c r="B10" s="5">
        <v>1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1</v>
      </c>
      <c r="Y10" s="5">
        <v>1</v>
      </c>
    </row>
  </sheetData>
  <pageMargins left="0.7" right="0.7" top="0.75" bottom="0.75" header="0.3" footer="0.3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06B0-43DA-4FC5-93A6-096C66183003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38.480954215750771</v>
      </c>
      <c r="C2" s="2">
        <f>('[1]Pc, Summer, S1'!C2*Main!$B$5)+(_xlfn.IFNA(VLOOKUP($A2,'FL Ratio'!$A$3:$B$10,2,FALSE),0)*'FL Characterization'!C$2)</f>
        <v>34.96166895564884</v>
      </c>
      <c r="D2" s="2">
        <f>('[1]Pc, Summer, S1'!D2*Main!$B$5)+(_xlfn.IFNA(VLOOKUP($A2,'FL Ratio'!$A$3:$B$10,2,FALSE),0)*'FL Characterization'!D$2)</f>
        <v>34.350979464228324</v>
      </c>
      <c r="E2" s="2">
        <f>('[1]Pc, Summer, S1'!E2*Main!$B$5)+(_xlfn.IFNA(VLOOKUP($A2,'FL Ratio'!$A$3:$B$10,2,FALSE),0)*'FL Characterization'!E$2)</f>
        <v>34.263227687059405</v>
      </c>
      <c r="F2" s="2">
        <f>('[1]Pc, Summer, S1'!F2*Main!$B$5)+(_xlfn.IFNA(VLOOKUP($A2,'FL Ratio'!$A$3:$B$10,2,FALSE),0)*'FL Characterization'!F$2)</f>
        <v>34.265929003711932</v>
      </c>
      <c r="G2" s="2">
        <f>('[1]Pc, Summer, S1'!G2*Main!$B$5)+(_xlfn.IFNA(VLOOKUP($A2,'FL Ratio'!$A$3:$B$10,2,FALSE),0)*'FL Characterization'!G$2)</f>
        <v>33.962891139890573</v>
      </c>
      <c r="H2" s="2">
        <f>('[1]Pc, Summer, S1'!H2*Main!$B$5)+(_xlfn.IFNA(VLOOKUP($A2,'FL Ratio'!$A$3:$B$10,2,FALSE),0)*'FL Characterization'!H$2)</f>
        <v>36.665972746744636</v>
      </c>
      <c r="I2" s="2">
        <f>('[1]Pc, Summer, S1'!I2*Main!$B$5)+(_xlfn.IFNA(VLOOKUP($A2,'FL Ratio'!$A$3:$B$10,2,FALSE),0)*'FL Characterization'!I$2)</f>
        <v>43.531467438024414</v>
      </c>
      <c r="J2" s="2">
        <f>('[1]Pc, Summer, S1'!J2*Main!$B$5)+(_xlfn.IFNA(VLOOKUP($A2,'FL Ratio'!$A$3:$B$10,2,FALSE),0)*'FL Characterization'!J$2)</f>
        <v>49.613494845945262</v>
      </c>
      <c r="K2" s="2">
        <f>('[1]Pc, Summer, S1'!K2*Main!$B$5)+(_xlfn.IFNA(VLOOKUP($A2,'FL Ratio'!$A$3:$B$10,2,FALSE),0)*'FL Characterization'!K$2)</f>
        <v>51.138020759385277</v>
      </c>
      <c r="L2" s="2">
        <f>('[1]Pc, Summer, S1'!L2*Main!$B$5)+(_xlfn.IFNA(VLOOKUP($A2,'FL Ratio'!$A$3:$B$10,2,FALSE),0)*'FL Characterization'!L$2)</f>
        <v>50.620517631923562</v>
      </c>
      <c r="M2" s="2">
        <f>('[1]Pc, Summer, S1'!M2*Main!$B$5)+(_xlfn.IFNA(VLOOKUP($A2,'FL Ratio'!$A$3:$B$10,2,FALSE),0)*'FL Characterization'!M$2)</f>
        <v>52.051995396740857</v>
      </c>
      <c r="N2" s="2">
        <f>('[1]Pc, Summer, S1'!N2*Main!$B$5)+(_xlfn.IFNA(VLOOKUP($A2,'FL Ratio'!$A$3:$B$10,2,FALSE),0)*'FL Characterization'!N$2)</f>
        <v>52.766039021566442</v>
      </c>
      <c r="O2" s="2">
        <f>('[1]Pc, Summer, S1'!O2*Main!$B$5)+(_xlfn.IFNA(VLOOKUP($A2,'FL Ratio'!$A$3:$B$10,2,FALSE),0)*'FL Characterization'!O$2)</f>
        <v>51.789966153279217</v>
      </c>
      <c r="P2" s="2">
        <f>('[1]Pc, Summer, S1'!P2*Main!$B$5)+(_xlfn.IFNA(VLOOKUP($A2,'FL Ratio'!$A$3:$B$10,2,FALSE),0)*'FL Characterization'!P$2)</f>
        <v>49.766262416227569</v>
      </c>
      <c r="Q2" s="2">
        <f>('[1]Pc, Summer, S1'!Q2*Main!$B$5)+(_xlfn.IFNA(VLOOKUP($A2,'FL Ratio'!$A$3:$B$10,2,FALSE),0)*'FL Characterization'!Q$2)</f>
        <v>47.763256211319565</v>
      </c>
      <c r="R2" s="2">
        <f>('[1]Pc, Summer, S1'!R2*Main!$B$5)+(_xlfn.IFNA(VLOOKUP($A2,'FL Ratio'!$A$3:$B$10,2,FALSE),0)*'FL Characterization'!R$2)</f>
        <v>48.59656849585464</v>
      </c>
      <c r="S2" s="2">
        <f>('[1]Pc, Summer, S1'!S2*Main!$B$5)+(_xlfn.IFNA(VLOOKUP($A2,'FL Ratio'!$A$3:$B$10,2,FALSE),0)*'FL Characterization'!S$2)</f>
        <v>49.076690453065105</v>
      </c>
      <c r="T2" s="2">
        <f>('[1]Pc, Summer, S1'!T2*Main!$B$5)+(_xlfn.IFNA(VLOOKUP($A2,'FL Ratio'!$A$3:$B$10,2,FALSE),0)*'FL Characterization'!T$2)</f>
        <v>49.285002772984349</v>
      </c>
      <c r="U2" s="2">
        <f>('[1]Pc, Summer, S1'!U2*Main!$B$5)+(_xlfn.IFNA(VLOOKUP($A2,'FL Ratio'!$A$3:$B$10,2,FALSE),0)*'FL Characterization'!U$2)</f>
        <v>48.469109396849142</v>
      </c>
      <c r="V2" s="2">
        <f>('[1]Pc, Summer, S1'!V2*Main!$B$5)+(_xlfn.IFNA(VLOOKUP($A2,'FL Ratio'!$A$3:$B$10,2,FALSE),0)*'FL Characterization'!V$2)</f>
        <v>48.61473771960015</v>
      </c>
      <c r="W2" s="2">
        <f>('[1]Pc, Summer, S1'!W2*Main!$B$5)+(_xlfn.IFNA(VLOOKUP($A2,'FL Ratio'!$A$3:$B$10,2,FALSE),0)*'FL Characterization'!W$2)</f>
        <v>50.628261461867297</v>
      </c>
      <c r="X2" s="2">
        <f>('[1]Pc, Summer, S1'!X2*Main!$B$5)+(_xlfn.IFNA(VLOOKUP($A2,'FL Ratio'!$A$3:$B$10,2,FALSE),0)*'FL Characterization'!X$2)</f>
        <v>47.191667586085899</v>
      </c>
      <c r="Y2" s="2">
        <f>('[1]Pc, Summer, S1'!Y2*Main!$B$5)+(_xlfn.IFNA(VLOOKUP($A2,'FL Ratio'!$A$3:$B$10,2,FALSE),0)*'FL Characterization'!Y$2)</f>
        <v>43.260338540101472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41.450131518206099</v>
      </c>
      <c r="C3" s="2">
        <f>('[1]Pc, Summer, S1'!C3*Main!$B$5)+(_xlfn.IFNA(VLOOKUP($A3,'FL Ratio'!$A$3:$B$10,2,FALSE),0)*'FL Characterization'!C$2)</f>
        <v>38.040406280325101</v>
      </c>
      <c r="D3" s="2">
        <f>('[1]Pc, Summer, S1'!D3*Main!$B$5)+(_xlfn.IFNA(VLOOKUP($A3,'FL Ratio'!$A$3:$B$10,2,FALSE),0)*'FL Characterization'!D$2)</f>
        <v>36.038650975437754</v>
      </c>
      <c r="E3" s="2">
        <f>('[1]Pc, Summer, S1'!E3*Main!$B$5)+(_xlfn.IFNA(VLOOKUP($A3,'FL Ratio'!$A$3:$B$10,2,FALSE),0)*'FL Characterization'!E$2)</f>
        <v>34.718434610900964</v>
      </c>
      <c r="F3" s="2">
        <f>('[1]Pc, Summer, S1'!F3*Main!$B$5)+(_xlfn.IFNA(VLOOKUP($A3,'FL Ratio'!$A$3:$B$10,2,FALSE),0)*'FL Characterization'!F$2)</f>
        <v>34.33285901769473</v>
      </c>
      <c r="G3" s="2">
        <f>('[1]Pc, Summer, S1'!G3*Main!$B$5)+(_xlfn.IFNA(VLOOKUP($A3,'FL Ratio'!$A$3:$B$10,2,FALSE),0)*'FL Characterization'!G$2)</f>
        <v>36.421813558189349</v>
      </c>
      <c r="H3" s="2">
        <f>('[1]Pc, Summer, S1'!H3*Main!$B$5)+(_xlfn.IFNA(VLOOKUP($A3,'FL Ratio'!$A$3:$B$10,2,FALSE),0)*'FL Characterization'!H$2)</f>
        <v>45.590865641431833</v>
      </c>
      <c r="I3" s="2">
        <f>('[1]Pc, Summer, S1'!I3*Main!$B$5)+(_xlfn.IFNA(VLOOKUP($A3,'FL Ratio'!$A$3:$B$10,2,FALSE),0)*'FL Characterization'!I$2)</f>
        <v>54.184943456679896</v>
      </c>
      <c r="J3" s="2">
        <f>('[1]Pc, Summer, S1'!J3*Main!$B$5)+(_xlfn.IFNA(VLOOKUP($A3,'FL Ratio'!$A$3:$B$10,2,FALSE),0)*'FL Characterization'!J$2)</f>
        <v>56.500337407296826</v>
      </c>
      <c r="K3" s="2">
        <f>('[1]Pc, Summer, S1'!K3*Main!$B$5)+(_xlfn.IFNA(VLOOKUP($A3,'FL Ratio'!$A$3:$B$10,2,FALSE),0)*'FL Characterization'!K$2)</f>
        <v>55.450513104725751</v>
      </c>
      <c r="L3" s="2">
        <f>('[1]Pc, Summer, S1'!L3*Main!$B$5)+(_xlfn.IFNA(VLOOKUP($A3,'FL Ratio'!$A$3:$B$10,2,FALSE),0)*'FL Characterization'!L$2)</f>
        <v>55.258302200720259</v>
      </c>
      <c r="M3" s="2">
        <f>('[1]Pc, Summer, S1'!M3*Main!$B$5)+(_xlfn.IFNA(VLOOKUP($A3,'FL Ratio'!$A$3:$B$10,2,FALSE),0)*'FL Characterization'!M$2)</f>
        <v>58.926229238482563</v>
      </c>
      <c r="N3" s="2">
        <f>('[1]Pc, Summer, S1'!N3*Main!$B$5)+(_xlfn.IFNA(VLOOKUP($A3,'FL Ratio'!$A$3:$B$10,2,FALSE),0)*'FL Characterization'!N$2)</f>
        <v>59.102588506217032</v>
      </c>
      <c r="O3" s="2">
        <f>('[1]Pc, Summer, S1'!O3*Main!$B$5)+(_xlfn.IFNA(VLOOKUP($A3,'FL Ratio'!$A$3:$B$10,2,FALSE),0)*'FL Characterization'!O$2)</f>
        <v>59.501623617050598</v>
      </c>
      <c r="P3" s="2">
        <f>('[1]Pc, Summer, S1'!P3*Main!$B$5)+(_xlfn.IFNA(VLOOKUP($A3,'FL Ratio'!$A$3:$B$10,2,FALSE),0)*'FL Characterization'!P$2)</f>
        <v>56.618265449785021</v>
      </c>
      <c r="Q3" s="2">
        <f>('[1]Pc, Summer, S1'!Q3*Main!$B$5)+(_xlfn.IFNA(VLOOKUP($A3,'FL Ratio'!$A$3:$B$10,2,FALSE),0)*'FL Characterization'!Q$2)</f>
        <v>53.634928047941109</v>
      </c>
      <c r="R3" s="2">
        <f>('[1]Pc, Summer, S1'!R3*Main!$B$5)+(_xlfn.IFNA(VLOOKUP($A3,'FL Ratio'!$A$3:$B$10,2,FALSE),0)*'FL Characterization'!R$2)</f>
        <v>49.624382726066912</v>
      </c>
      <c r="S3" s="2">
        <f>('[1]Pc, Summer, S1'!S3*Main!$B$5)+(_xlfn.IFNA(VLOOKUP($A3,'FL Ratio'!$A$3:$B$10,2,FALSE),0)*'FL Characterization'!S$2)</f>
        <v>50.157023342759921</v>
      </c>
      <c r="T3" s="2">
        <f>('[1]Pc, Summer, S1'!T3*Main!$B$5)+(_xlfn.IFNA(VLOOKUP($A3,'FL Ratio'!$A$3:$B$10,2,FALSE),0)*'FL Characterization'!T$2)</f>
        <v>49.724735306023561</v>
      </c>
      <c r="U3" s="2">
        <f>('[1]Pc, Summer, S1'!U3*Main!$B$5)+(_xlfn.IFNA(VLOOKUP($A3,'FL Ratio'!$A$3:$B$10,2,FALSE),0)*'FL Characterization'!U$2)</f>
        <v>49.542438015806447</v>
      </c>
      <c r="V3" s="2">
        <f>('[1]Pc, Summer, S1'!V3*Main!$B$5)+(_xlfn.IFNA(VLOOKUP($A3,'FL Ratio'!$A$3:$B$10,2,FALSE),0)*'FL Characterization'!V$2)</f>
        <v>49.766301463402058</v>
      </c>
      <c r="W3" s="2">
        <f>('[1]Pc, Summer, S1'!W3*Main!$B$5)+(_xlfn.IFNA(VLOOKUP($A3,'FL Ratio'!$A$3:$B$10,2,FALSE),0)*'FL Characterization'!W$2)</f>
        <v>49.515914848717308</v>
      </c>
      <c r="X3" s="2">
        <f>('[1]Pc, Summer, S1'!X3*Main!$B$5)+(_xlfn.IFNA(VLOOKUP($A3,'FL Ratio'!$A$3:$B$10,2,FALSE),0)*'FL Characterization'!X$2)</f>
        <v>49.195004474388405</v>
      </c>
      <c r="Y3" s="2">
        <f>('[1]Pc, Summer, S1'!Y3*Main!$B$5)+(_xlfn.IFNA(VLOOKUP($A3,'FL Ratio'!$A$3:$B$10,2,FALSE),0)*'FL Characterization'!Y$2)</f>
        <v>46.528703924714819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55.041562981378497</v>
      </c>
      <c r="C4" s="2">
        <f>('[1]Pc, Summer, S1'!C4*Main!$B$5)+(_xlfn.IFNA(VLOOKUP($A4,'FL Ratio'!$A$3:$B$10,2,FALSE),0)*'FL Characterization'!C$2)</f>
        <v>48.825567637088682</v>
      </c>
      <c r="D4" s="2">
        <f>('[1]Pc, Summer, S1'!D4*Main!$B$5)+(_xlfn.IFNA(VLOOKUP($A4,'FL Ratio'!$A$3:$B$10,2,FALSE),0)*'FL Characterization'!D$2)</f>
        <v>46.043694300501407</v>
      </c>
      <c r="E4" s="2">
        <f>('[1]Pc, Summer, S1'!E4*Main!$B$5)+(_xlfn.IFNA(VLOOKUP($A4,'FL Ratio'!$A$3:$B$10,2,FALSE),0)*'FL Characterization'!E$2)</f>
        <v>44.537386887613607</v>
      </c>
      <c r="F4" s="2">
        <f>('[1]Pc, Summer, S1'!F4*Main!$B$5)+(_xlfn.IFNA(VLOOKUP($A4,'FL Ratio'!$A$3:$B$10,2,FALSE),0)*'FL Characterization'!F$2)</f>
        <v>46.699999948594431</v>
      </c>
      <c r="G4" s="2">
        <f>('[1]Pc, Summer, S1'!G4*Main!$B$5)+(_xlfn.IFNA(VLOOKUP($A4,'FL Ratio'!$A$3:$B$10,2,FALSE),0)*'FL Characterization'!G$2)</f>
        <v>42.656716381168572</v>
      </c>
      <c r="H4" s="2">
        <f>('[1]Pc, Summer, S1'!H4*Main!$B$5)+(_xlfn.IFNA(VLOOKUP($A4,'FL Ratio'!$A$3:$B$10,2,FALSE),0)*'FL Characterization'!H$2)</f>
        <v>50.10288124294425</v>
      </c>
      <c r="I4" s="2">
        <f>('[1]Pc, Summer, S1'!I4*Main!$B$5)+(_xlfn.IFNA(VLOOKUP($A4,'FL Ratio'!$A$3:$B$10,2,FALSE),0)*'FL Characterization'!I$2)</f>
        <v>56.362653058384069</v>
      </c>
      <c r="J4" s="2">
        <f>('[1]Pc, Summer, S1'!J4*Main!$B$5)+(_xlfn.IFNA(VLOOKUP($A4,'FL Ratio'!$A$3:$B$10,2,FALSE),0)*'FL Characterization'!J$2)</f>
        <v>63.418447201458179</v>
      </c>
      <c r="K4" s="2">
        <f>('[1]Pc, Summer, S1'!K4*Main!$B$5)+(_xlfn.IFNA(VLOOKUP($A4,'FL Ratio'!$A$3:$B$10,2,FALSE),0)*'FL Characterization'!K$2)</f>
        <v>68.171447892569361</v>
      </c>
      <c r="L4" s="2">
        <f>('[1]Pc, Summer, S1'!L4*Main!$B$5)+(_xlfn.IFNA(VLOOKUP($A4,'FL Ratio'!$A$3:$B$10,2,FALSE),0)*'FL Characterization'!L$2)</f>
        <v>70.174086632153376</v>
      </c>
      <c r="M4" s="2">
        <f>('[1]Pc, Summer, S1'!M4*Main!$B$5)+(_xlfn.IFNA(VLOOKUP($A4,'FL Ratio'!$A$3:$B$10,2,FALSE),0)*'FL Characterization'!M$2)</f>
        <v>71.340309327674746</v>
      </c>
      <c r="N4" s="2">
        <f>('[1]Pc, Summer, S1'!N4*Main!$B$5)+(_xlfn.IFNA(VLOOKUP($A4,'FL Ratio'!$A$3:$B$10,2,FALSE),0)*'FL Characterization'!N$2)</f>
        <v>72.911609765472193</v>
      </c>
      <c r="O4" s="2">
        <f>('[1]Pc, Summer, S1'!O4*Main!$B$5)+(_xlfn.IFNA(VLOOKUP($A4,'FL Ratio'!$A$3:$B$10,2,FALSE),0)*'FL Characterization'!O$2)</f>
        <v>73.903938271807149</v>
      </c>
      <c r="P4" s="2">
        <f>('[1]Pc, Summer, S1'!P4*Main!$B$5)+(_xlfn.IFNA(VLOOKUP($A4,'FL Ratio'!$A$3:$B$10,2,FALSE),0)*'FL Characterization'!P$2)</f>
        <v>74.217247233009473</v>
      </c>
      <c r="Q4" s="2">
        <f>('[1]Pc, Summer, S1'!Q4*Main!$B$5)+(_xlfn.IFNA(VLOOKUP($A4,'FL Ratio'!$A$3:$B$10,2,FALSE),0)*'FL Characterization'!Q$2)</f>
        <v>71.438978296681114</v>
      </c>
      <c r="R4" s="2">
        <f>('[1]Pc, Summer, S1'!R4*Main!$B$5)+(_xlfn.IFNA(VLOOKUP($A4,'FL Ratio'!$A$3:$B$10,2,FALSE),0)*'FL Characterization'!R$2)</f>
        <v>71.072272541855469</v>
      </c>
      <c r="S4" s="2">
        <f>('[1]Pc, Summer, S1'!S4*Main!$B$5)+(_xlfn.IFNA(VLOOKUP($A4,'FL Ratio'!$A$3:$B$10,2,FALSE),0)*'FL Characterization'!S$2)</f>
        <v>68.854021470835733</v>
      </c>
      <c r="T4" s="2">
        <f>('[1]Pc, Summer, S1'!T4*Main!$B$5)+(_xlfn.IFNA(VLOOKUP($A4,'FL Ratio'!$A$3:$B$10,2,FALSE),0)*'FL Characterization'!T$2)</f>
        <v>68.778508307785955</v>
      </c>
      <c r="U4" s="2">
        <f>('[1]Pc, Summer, S1'!U4*Main!$B$5)+(_xlfn.IFNA(VLOOKUP($A4,'FL Ratio'!$A$3:$B$10,2,FALSE),0)*'FL Characterization'!U$2)</f>
        <v>69.156640497057609</v>
      </c>
      <c r="V4" s="2">
        <f>('[1]Pc, Summer, S1'!V4*Main!$B$5)+(_xlfn.IFNA(VLOOKUP($A4,'FL Ratio'!$A$3:$B$10,2,FALSE),0)*'FL Characterization'!V$2)</f>
        <v>68.815570588146286</v>
      </c>
      <c r="W4" s="2">
        <f>('[1]Pc, Summer, S1'!W4*Main!$B$5)+(_xlfn.IFNA(VLOOKUP($A4,'FL Ratio'!$A$3:$B$10,2,FALSE),0)*'FL Characterization'!W$2)</f>
        <v>71.008586338820479</v>
      </c>
      <c r="X4" s="2">
        <f>('[1]Pc, Summer, S1'!X4*Main!$B$5)+(_xlfn.IFNA(VLOOKUP($A4,'FL Ratio'!$A$3:$B$10,2,FALSE),0)*'FL Characterization'!X$2)</f>
        <v>70.829826838228271</v>
      </c>
      <c r="Y4" s="2">
        <f>('[1]Pc, Summer, S1'!Y4*Main!$B$5)+(_xlfn.IFNA(VLOOKUP($A4,'FL Ratio'!$A$3:$B$10,2,FALSE),0)*'FL Characterization'!Y$2)</f>
        <v>63.87946533213799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FBAC3-A7D7-487D-BAA9-4CD30B536E09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38.480954215750771</v>
      </c>
      <c r="C2" s="2">
        <f>('[1]Pc, Summer, S1'!C2*Main!$B$5)+(_xlfn.IFNA(VLOOKUP($A2,'FL Ratio'!$A$3:$B$10,2,FALSE),0)*'FL Characterization'!C$2)</f>
        <v>34.96166895564884</v>
      </c>
      <c r="D2" s="2">
        <f>('[1]Pc, Summer, S1'!D2*Main!$B$5)+(_xlfn.IFNA(VLOOKUP($A2,'FL Ratio'!$A$3:$B$10,2,FALSE),0)*'FL Characterization'!D$2)</f>
        <v>34.350979464228324</v>
      </c>
      <c r="E2" s="2">
        <f>('[1]Pc, Summer, S1'!E2*Main!$B$5)+(_xlfn.IFNA(VLOOKUP($A2,'FL Ratio'!$A$3:$B$10,2,FALSE),0)*'FL Characterization'!E$2)</f>
        <v>34.263227687059405</v>
      </c>
      <c r="F2" s="2">
        <f>('[1]Pc, Summer, S1'!F2*Main!$B$5)+(_xlfn.IFNA(VLOOKUP($A2,'FL Ratio'!$A$3:$B$10,2,FALSE),0)*'FL Characterization'!F$2)</f>
        <v>34.265929003711932</v>
      </c>
      <c r="G2" s="2">
        <f>('[1]Pc, Summer, S1'!G2*Main!$B$5)+(_xlfn.IFNA(VLOOKUP($A2,'FL Ratio'!$A$3:$B$10,2,FALSE),0)*'FL Characterization'!G$2)</f>
        <v>33.962891139890573</v>
      </c>
      <c r="H2" s="2">
        <f>('[1]Pc, Summer, S1'!H2*Main!$B$5)+(_xlfn.IFNA(VLOOKUP($A2,'FL Ratio'!$A$3:$B$10,2,FALSE),0)*'FL Characterization'!H$2)</f>
        <v>36.665972746744636</v>
      </c>
      <c r="I2" s="2">
        <f>('[1]Pc, Summer, S1'!I2*Main!$B$5)+(_xlfn.IFNA(VLOOKUP($A2,'FL Ratio'!$A$3:$B$10,2,FALSE),0)*'FL Characterization'!I$2)</f>
        <v>43.531467438024414</v>
      </c>
      <c r="J2" s="2">
        <f>('[1]Pc, Summer, S1'!J2*Main!$B$5)+(_xlfn.IFNA(VLOOKUP($A2,'FL Ratio'!$A$3:$B$10,2,FALSE),0)*'FL Characterization'!J$2)</f>
        <v>49.613494845945262</v>
      </c>
      <c r="K2" s="2">
        <f>('[1]Pc, Summer, S1'!K2*Main!$B$5)+(_xlfn.IFNA(VLOOKUP($A2,'FL Ratio'!$A$3:$B$10,2,FALSE),0)*'FL Characterization'!K$2)</f>
        <v>51.138020759385277</v>
      </c>
      <c r="L2" s="2">
        <f>('[1]Pc, Summer, S1'!L2*Main!$B$5)+(_xlfn.IFNA(VLOOKUP($A2,'FL Ratio'!$A$3:$B$10,2,FALSE),0)*'FL Characterization'!L$2)</f>
        <v>50.620517631923562</v>
      </c>
      <c r="M2" s="2">
        <f>('[1]Pc, Summer, S1'!M2*Main!$B$5)+(_xlfn.IFNA(VLOOKUP($A2,'FL Ratio'!$A$3:$B$10,2,FALSE),0)*'FL Characterization'!M$2)</f>
        <v>52.051995396740857</v>
      </c>
      <c r="N2" s="2">
        <f>('[1]Pc, Summer, S1'!N2*Main!$B$5)+(_xlfn.IFNA(VLOOKUP($A2,'FL Ratio'!$A$3:$B$10,2,FALSE),0)*'FL Characterization'!N$2)</f>
        <v>52.766039021566442</v>
      </c>
      <c r="O2" s="2">
        <f>('[1]Pc, Summer, S1'!O2*Main!$B$5)+(_xlfn.IFNA(VLOOKUP($A2,'FL Ratio'!$A$3:$B$10,2,FALSE),0)*'FL Characterization'!O$2)</f>
        <v>51.789966153279217</v>
      </c>
      <c r="P2" s="2">
        <f>('[1]Pc, Summer, S1'!P2*Main!$B$5)+(_xlfn.IFNA(VLOOKUP($A2,'FL Ratio'!$A$3:$B$10,2,FALSE),0)*'FL Characterization'!P$2)</f>
        <v>49.766262416227569</v>
      </c>
      <c r="Q2" s="2">
        <f>('[1]Pc, Summer, S1'!Q2*Main!$B$5)+(_xlfn.IFNA(VLOOKUP($A2,'FL Ratio'!$A$3:$B$10,2,FALSE),0)*'FL Characterization'!Q$2)</f>
        <v>47.763256211319565</v>
      </c>
      <c r="R2" s="2">
        <f>('[1]Pc, Summer, S1'!R2*Main!$B$5)+(_xlfn.IFNA(VLOOKUP($A2,'FL Ratio'!$A$3:$B$10,2,FALSE),0)*'FL Characterization'!R$2)</f>
        <v>48.59656849585464</v>
      </c>
      <c r="S2" s="2">
        <f>('[1]Pc, Summer, S1'!S2*Main!$B$5)+(_xlfn.IFNA(VLOOKUP($A2,'FL Ratio'!$A$3:$B$10,2,FALSE),0)*'FL Characterization'!S$2)</f>
        <v>49.076690453065105</v>
      </c>
      <c r="T2" s="2">
        <f>('[1]Pc, Summer, S1'!T2*Main!$B$5)+(_xlfn.IFNA(VLOOKUP($A2,'FL Ratio'!$A$3:$B$10,2,FALSE),0)*'FL Characterization'!T$2)</f>
        <v>49.285002772984349</v>
      </c>
      <c r="U2" s="2">
        <f>('[1]Pc, Summer, S1'!U2*Main!$B$5)+(_xlfn.IFNA(VLOOKUP($A2,'FL Ratio'!$A$3:$B$10,2,FALSE),0)*'FL Characterization'!U$2)</f>
        <v>48.469109396849142</v>
      </c>
      <c r="V2" s="2">
        <f>('[1]Pc, Summer, S1'!V2*Main!$B$5)+(_xlfn.IFNA(VLOOKUP($A2,'FL Ratio'!$A$3:$B$10,2,FALSE),0)*'FL Characterization'!V$2)</f>
        <v>48.61473771960015</v>
      </c>
      <c r="W2" s="2">
        <f>('[1]Pc, Summer, S1'!W2*Main!$B$5)+(_xlfn.IFNA(VLOOKUP($A2,'FL Ratio'!$A$3:$B$10,2,FALSE),0)*'FL Characterization'!W$2)</f>
        <v>50.628261461867297</v>
      </c>
      <c r="X2" s="2">
        <f>('[1]Pc, Summer, S1'!X2*Main!$B$5)+(_xlfn.IFNA(VLOOKUP($A2,'FL Ratio'!$A$3:$B$10,2,FALSE),0)*'FL Characterization'!X$2)</f>
        <v>47.191667586085899</v>
      </c>
      <c r="Y2" s="2">
        <f>('[1]Pc, Summer, S1'!Y2*Main!$B$5)+(_xlfn.IFNA(VLOOKUP($A2,'FL Ratio'!$A$3:$B$10,2,FALSE),0)*'FL Characterization'!Y$2)</f>
        <v>43.260338540101472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41.450131518206099</v>
      </c>
      <c r="C3" s="2">
        <f>('[1]Pc, Summer, S1'!C3*Main!$B$5)+(_xlfn.IFNA(VLOOKUP($A3,'FL Ratio'!$A$3:$B$10,2,FALSE),0)*'FL Characterization'!C$2)</f>
        <v>38.040406280325101</v>
      </c>
      <c r="D3" s="2">
        <f>('[1]Pc, Summer, S1'!D3*Main!$B$5)+(_xlfn.IFNA(VLOOKUP($A3,'FL Ratio'!$A$3:$B$10,2,FALSE),0)*'FL Characterization'!D$2)</f>
        <v>36.038650975437754</v>
      </c>
      <c r="E3" s="2">
        <f>('[1]Pc, Summer, S1'!E3*Main!$B$5)+(_xlfn.IFNA(VLOOKUP($A3,'FL Ratio'!$A$3:$B$10,2,FALSE),0)*'FL Characterization'!E$2)</f>
        <v>34.718434610900964</v>
      </c>
      <c r="F3" s="2">
        <f>('[1]Pc, Summer, S1'!F3*Main!$B$5)+(_xlfn.IFNA(VLOOKUP($A3,'FL Ratio'!$A$3:$B$10,2,FALSE),0)*'FL Characterization'!F$2)</f>
        <v>34.33285901769473</v>
      </c>
      <c r="G3" s="2">
        <f>('[1]Pc, Summer, S1'!G3*Main!$B$5)+(_xlfn.IFNA(VLOOKUP($A3,'FL Ratio'!$A$3:$B$10,2,FALSE),0)*'FL Characterization'!G$2)</f>
        <v>36.421813558189349</v>
      </c>
      <c r="H3" s="2">
        <f>('[1]Pc, Summer, S1'!H3*Main!$B$5)+(_xlfn.IFNA(VLOOKUP($A3,'FL Ratio'!$A$3:$B$10,2,FALSE),0)*'FL Characterization'!H$2)</f>
        <v>45.590865641431833</v>
      </c>
      <c r="I3" s="2">
        <f>('[1]Pc, Summer, S1'!I3*Main!$B$5)+(_xlfn.IFNA(VLOOKUP($A3,'FL Ratio'!$A$3:$B$10,2,FALSE),0)*'FL Characterization'!I$2)</f>
        <v>54.184943456679896</v>
      </c>
      <c r="J3" s="2">
        <f>('[1]Pc, Summer, S1'!J3*Main!$B$5)+(_xlfn.IFNA(VLOOKUP($A3,'FL Ratio'!$A$3:$B$10,2,FALSE),0)*'FL Characterization'!J$2)</f>
        <v>56.500337407296826</v>
      </c>
      <c r="K3" s="2">
        <f>('[1]Pc, Summer, S1'!K3*Main!$B$5)+(_xlfn.IFNA(VLOOKUP($A3,'FL Ratio'!$A$3:$B$10,2,FALSE),0)*'FL Characterization'!K$2)</f>
        <v>55.450513104725751</v>
      </c>
      <c r="L3" s="2">
        <f>('[1]Pc, Summer, S1'!L3*Main!$B$5)+(_xlfn.IFNA(VLOOKUP($A3,'FL Ratio'!$A$3:$B$10,2,FALSE),0)*'FL Characterization'!L$2)</f>
        <v>55.258302200720259</v>
      </c>
      <c r="M3" s="2">
        <f>('[1]Pc, Summer, S1'!M3*Main!$B$5)+(_xlfn.IFNA(VLOOKUP($A3,'FL Ratio'!$A$3:$B$10,2,FALSE),0)*'FL Characterization'!M$2)</f>
        <v>58.926229238482563</v>
      </c>
      <c r="N3" s="2">
        <f>('[1]Pc, Summer, S1'!N3*Main!$B$5)+(_xlfn.IFNA(VLOOKUP($A3,'FL Ratio'!$A$3:$B$10,2,FALSE),0)*'FL Characterization'!N$2)</f>
        <v>59.102588506217032</v>
      </c>
      <c r="O3" s="2">
        <f>('[1]Pc, Summer, S1'!O3*Main!$B$5)+(_xlfn.IFNA(VLOOKUP($A3,'FL Ratio'!$A$3:$B$10,2,FALSE),0)*'FL Characterization'!O$2)</f>
        <v>59.501623617050598</v>
      </c>
      <c r="P3" s="2">
        <f>('[1]Pc, Summer, S1'!P3*Main!$B$5)+(_xlfn.IFNA(VLOOKUP($A3,'FL Ratio'!$A$3:$B$10,2,FALSE),0)*'FL Characterization'!P$2)</f>
        <v>56.618265449785021</v>
      </c>
      <c r="Q3" s="2">
        <f>('[1]Pc, Summer, S1'!Q3*Main!$B$5)+(_xlfn.IFNA(VLOOKUP($A3,'FL Ratio'!$A$3:$B$10,2,FALSE),0)*'FL Characterization'!Q$2)</f>
        <v>53.634928047941109</v>
      </c>
      <c r="R3" s="2">
        <f>('[1]Pc, Summer, S1'!R3*Main!$B$5)+(_xlfn.IFNA(VLOOKUP($A3,'FL Ratio'!$A$3:$B$10,2,FALSE),0)*'FL Characterization'!R$2)</f>
        <v>49.624382726066912</v>
      </c>
      <c r="S3" s="2">
        <f>('[1]Pc, Summer, S1'!S3*Main!$B$5)+(_xlfn.IFNA(VLOOKUP($A3,'FL Ratio'!$A$3:$B$10,2,FALSE),0)*'FL Characterization'!S$2)</f>
        <v>50.157023342759921</v>
      </c>
      <c r="T3" s="2">
        <f>('[1]Pc, Summer, S1'!T3*Main!$B$5)+(_xlfn.IFNA(VLOOKUP($A3,'FL Ratio'!$A$3:$B$10,2,FALSE),0)*'FL Characterization'!T$2)</f>
        <v>49.724735306023561</v>
      </c>
      <c r="U3" s="2">
        <f>('[1]Pc, Summer, S1'!U3*Main!$B$5)+(_xlfn.IFNA(VLOOKUP($A3,'FL Ratio'!$A$3:$B$10,2,FALSE),0)*'FL Characterization'!U$2)</f>
        <v>49.542438015806447</v>
      </c>
      <c r="V3" s="2">
        <f>('[1]Pc, Summer, S1'!V3*Main!$B$5)+(_xlfn.IFNA(VLOOKUP($A3,'FL Ratio'!$A$3:$B$10,2,FALSE),0)*'FL Characterization'!V$2)</f>
        <v>49.766301463402058</v>
      </c>
      <c r="W3" s="2">
        <f>('[1]Pc, Summer, S1'!W3*Main!$B$5)+(_xlfn.IFNA(VLOOKUP($A3,'FL Ratio'!$A$3:$B$10,2,FALSE),0)*'FL Characterization'!W$2)</f>
        <v>49.515914848717308</v>
      </c>
      <c r="X3" s="2">
        <f>('[1]Pc, Summer, S1'!X3*Main!$B$5)+(_xlfn.IFNA(VLOOKUP($A3,'FL Ratio'!$A$3:$B$10,2,FALSE),0)*'FL Characterization'!X$2)</f>
        <v>49.195004474388405</v>
      </c>
      <c r="Y3" s="2">
        <f>('[1]Pc, Summer, S1'!Y3*Main!$B$5)+(_xlfn.IFNA(VLOOKUP($A3,'FL Ratio'!$A$3:$B$10,2,FALSE),0)*'FL Characterization'!Y$2)</f>
        <v>46.528703924714819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55.041562981378497</v>
      </c>
      <c r="C4" s="2">
        <f>('[1]Pc, Summer, S1'!C4*Main!$B$5)+(_xlfn.IFNA(VLOOKUP($A4,'FL Ratio'!$A$3:$B$10,2,FALSE),0)*'FL Characterization'!C$2)</f>
        <v>48.825567637088682</v>
      </c>
      <c r="D4" s="2">
        <f>('[1]Pc, Summer, S1'!D4*Main!$B$5)+(_xlfn.IFNA(VLOOKUP($A4,'FL Ratio'!$A$3:$B$10,2,FALSE),0)*'FL Characterization'!D$2)</f>
        <v>46.043694300501407</v>
      </c>
      <c r="E4" s="2">
        <f>('[1]Pc, Summer, S1'!E4*Main!$B$5)+(_xlfn.IFNA(VLOOKUP($A4,'FL Ratio'!$A$3:$B$10,2,FALSE),0)*'FL Characterization'!E$2)</f>
        <v>44.537386887613607</v>
      </c>
      <c r="F4" s="2">
        <f>('[1]Pc, Summer, S1'!F4*Main!$B$5)+(_xlfn.IFNA(VLOOKUP($A4,'FL Ratio'!$A$3:$B$10,2,FALSE),0)*'FL Characterization'!F$2)</f>
        <v>46.699999948594431</v>
      </c>
      <c r="G4" s="2">
        <f>('[1]Pc, Summer, S1'!G4*Main!$B$5)+(_xlfn.IFNA(VLOOKUP($A4,'FL Ratio'!$A$3:$B$10,2,FALSE),0)*'FL Characterization'!G$2)</f>
        <v>42.656716381168572</v>
      </c>
      <c r="H4" s="2">
        <f>('[1]Pc, Summer, S1'!H4*Main!$B$5)+(_xlfn.IFNA(VLOOKUP($A4,'FL Ratio'!$A$3:$B$10,2,FALSE),0)*'FL Characterization'!H$2)</f>
        <v>50.10288124294425</v>
      </c>
      <c r="I4" s="2">
        <f>('[1]Pc, Summer, S1'!I4*Main!$B$5)+(_xlfn.IFNA(VLOOKUP($A4,'FL Ratio'!$A$3:$B$10,2,FALSE),0)*'FL Characterization'!I$2)</f>
        <v>56.362653058384069</v>
      </c>
      <c r="J4" s="2">
        <f>('[1]Pc, Summer, S1'!J4*Main!$B$5)+(_xlfn.IFNA(VLOOKUP($A4,'FL Ratio'!$A$3:$B$10,2,FALSE),0)*'FL Characterization'!J$2)</f>
        <v>63.418447201458179</v>
      </c>
      <c r="K4" s="2">
        <f>('[1]Pc, Summer, S1'!K4*Main!$B$5)+(_xlfn.IFNA(VLOOKUP($A4,'FL Ratio'!$A$3:$B$10,2,FALSE),0)*'FL Characterization'!K$2)</f>
        <v>68.171447892569361</v>
      </c>
      <c r="L4" s="2">
        <f>('[1]Pc, Summer, S1'!L4*Main!$B$5)+(_xlfn.IFNA(VLOOKUP($A4,'FL Ratio'!$A$3:$B$10,2,FALSE),0)*'FL Characterization'!L$2)</f>
        <v>70.174086632153376</v>
      </c>
      <c r="M4" s="2">
        <f>('[1]Pc, Summer, S1'!M4*Main!$B$5)+(_xlfn.IFNA(VLOOKUP($A4,'FL Ratio'!$A$3:$B$10,2,FALSE),0)*'FL Characterization'!M$2)</f>
        <v>71.340309327674746</v>
      </c>
      <c r="N4" s="2">
        <f>('[1]Pc, Summer, S1'!N4*Main!$B$5)+(_xlfn.IFNA(VLOOKUP($A4,'FL Ratio'!$A$3:$B$10,2,FALSE),0)*'FL Characterization'!N$2)</f>
        <v>72.911609765472193</v>
      </c>
      <c r="O4" s="2">
        <f>('[1]Pc, Summer, S1'!O4*Main!$B$5)+(_xlfn.IFNA(VLOOKUP($A4,'FL Ratio'!$A$3:$B$10,2,FALSE),0)*'FL Characterization'!O$2)</f>
        <v>73.903938271807149</v>
      </c>
      <c r="P4" s="2">
        <f>('[1]Pc, Summer, S1'!P4*Main!$B$5)+(_xlfn.IFNA(VLOOKUP($A4,'FL Ratio'!$A$3:$B$10,2,FALSE),0)*'FL Characterization'!P$2)</f>
        <v>74.217247233009473</v>
      </c>
      <c r="Q4" s="2">
        <f>('[1]Pc, Summer, S1'!Q4*Main!$B$5)+(_xlfn.IFNA(VLOOKUP($A4,'FL Ratio'!$A$3:$B$10,2,FALSE),0)*'FL Characterization'!Q$2)</f>
        <v>71.438978296681114</v>
      </c>
      <c r="R4" s="2">
        <f>('[1]Pc, Summer, S1'!R4*Main!$B$5)+(_xlfn.IFNA(VLOOKUP($A4,'FL Ratio'!$A$3:$B$10,2,FALSE),0)*'FL Characterization'!R$2)</f>
        <v>71.072272541855469</v>
      </c>
      <c r="S4" s="2">
        <f>('[1]Pc, Summer, S1'!S4*Main!$B$5)+(_xlfn.IFNA(VLOOKUP($A4,'FL Ratio'!$A$3:$B$10,2,FALSE),0)*'FL Characterization'!S$2)</f>
        <v>68.854021470835733</v>
      </c>
      <c r="T4" s="2">
        <f>('[1]Pc, Summer, S1'!T4*Main!$B$5)+(_xlfn.IFNA(VLOOKUP($A4,'FL Ratio'!$A$3:$B$10,2,FALSE),0)*'FL Characterization'!T$2)</f>
        <v>68.778508307785955</v>
      </c>
      <c r="U4" s="2">
        <f>('[1]Pc, Summer, S1'!U4*Main!$B$5)+(_xlfn.IFNA(VLOOKUP($A4,'FL Ratio'!$A$3:$B$10,2,FALSE),0)*'FL Characterization'!U$2)</f>
        <v>69.156640497057609</v>
      </c>
      <c r="V4" s="2">
        <f>('[1]Pc, Summer, S1'!V4*Main!$B$5)+(_xlfn.IFNA(VLOOKUP($A4,'FL Ratio'!$A$3:$B$10,2,FALSE),0)*'FL Characterization'!V$2)</f>
        <v>68.815570588146286</v>
      </c>
      <c r="W4" s="2">
        <f>('[1]Pc, Summer, S1'!W4*Main!$B$5)+(_xlfn.IFNA(VLOOKUP($A4,'FL Ratio'!$A$3:$B$10,2,FALSE),0)*'FL Characterization'!W$2)</f>
        <v>71.008586338820479</v>
      </c>
      <c r="X4" s="2">
        <f>('[1]Pc, Summer, S1'!X4*Main!$B$5)+(_xlfn.IFNA(VLOOKUP($A4,'FL Ratio'!$A$3:$B$10,2,FALSE),0)*'FL Characterization'!X$2)</f>
        <v>70.829826838228271</v>
      </c>
      <c r="Y4" s="2">
        <f>('[1]Pc, Summer, S1'!Y4*Main!$B$5)+(_xlfn.IFNA(VLOOKUP($A4,'FL Ratio'!$A$3:$B$10,2,FALSE),0)*'FL Characterization'!Y$2)</f>
        <v>63.87946533213799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110E-3EC0-4EFF-8770-1EE4F619D840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38.480954215750771</v>
      </c>
      <c r="C2" s="2">
        <f>('[1]Pc, Summer, S1'!C2*Main!$B$5)+(_xlfn.IFNA(VLOOKUP($A2,'FL Ratio'!$A$3:$B$10,2,FALSE),0)*'FL Characterization'!C$2)</f>
        <v>34.96166895564884</v>
      </c>
      <c r="D2" s="2">
        <f>('[1]Pc, Summer, S1'!D2*Main!$B$5)+(_xlfn.IFNA(VLOOKUP($A2,'FL Ratio'!$A$3:$B$10,2,FALSE),0)*'FL Characterization'!D$2)</f>
        <v>34.350979464228324</v>
      </c>
      <c r="E2" s="2">
        <f>('[1]Pc, Summer, S1'!E2*Main!$B$5)+(_xlfn.IFNA(VLOOKUP($A2,'FL Ratio'!$A$3:$B$10,2,FALSE),0)*'FL Characterization'!E$2)</f>
        <v>34.263227687059405</v>
      </c>
      <c r="F2" s="2">
        <f>('[1]Pc, Summer, S1'!F2*Main!$B$5)+(_xlfn.IFNA(VLOOKUP($A2,'FL Ratio'!$A$3:$B$10,2,FALSE),0)*'FL Characterization'!F$2)</f>
        <v>34.265929003711932</v>
      </c>
      <c r="G2" s="2">
        <f>('[1]Pc, Summer, S1'!G2*Main!$B$5)+(_xlfn.IFNA(VLOOKUP($A2,'FL Ratio'!$A$3:$B$10,2,FALSE),0)*'FL Characterization'!G$2)</f>
        <v>33.962891139890573</v>
      </c>
      <c r="H2" s="2">
        <f>('[1]Pc, Summer, S1'!H2*Main!$B$5)+(_xlfn.IFNA(VLOOKUP($A2,'FL Ratio'!$A$3:$B$10,2,FALSE),0)*'FL Characterization'!H$2)</f>
        <v>36.665972746744636</v>
      </c>
      <c r="I2" s="2">
        <f>('[1]Pc, Summer, S1'!I2*Main!$B$5)+(_xlfn.IFNA(VLOOKUP($A2,'FL Ratio'!$A$3:$B$10,2,FALSE),0)*'FL Characterization'!I$2)</f>
        <v>43.531467438024414</v>
      </c>
      <c r="J2" s="2">
        <f>('[1]Pc, Summer, S1'!J2*Main!$B$5)+(_xlfn.IFNA(VLOOKUP($A2,'FL Ratio'!$A$3:$B$10,2,FALSE),0)*'FL Characterization'!J$2)</f>
        <v>49.613494845945262</v>
      </c>
      <c r="K2" s="2">
        <f>('[1]Pc, Summer, S1'!K2*Main!$B$5)+(_xlfn.IFNA(VLOOKUP($A2,'FL Ratio'!$A$3:$B$10,2,FALSE),0)*'FL Characterization'!K$2)</f>
        <v>51.138020759385277</v>
      </c>
      <c r="L2" s="2">
        <f>('[1]Pc, Summer, S1'!L2*Main!$B$5)+(_xlfn.IFNA(VLOOKUP($A2,'FL Ratio'!$A$3:$B$10,2,FALSE),0)*'FL Characterization'!L$2)</f>
        <v>50.620517631923562</v>
      </c>
      <c r="M2" s="2">
        <f>('[1]Pc, Summer, S1'!M2*Main!$B$5)+(_xlfn.IFNA(VLOOKUP($A2,'FL Ratio'!$A$3:$B$10,2,FALSE),0)*'FL Characterization'!M$2)</f>
        <v>52.051995396740857</v>
      </c>
      <c r="N2" s="2">
        <f>('[1]Pc, Summer, S1'!N2*Main!$B$5)+(_xlfn.IFNA(VLOOKUP($A2,'FL Ratio'!$A$3:$B$10,2,FALSE),0)*'FL Characterization'!N$2)</f>
        <v>52.766039021566442</v>
      </c>
      <c r="O2" s="2">
        <f>('[1]Pc, Summer, S1'!O2*Main!$B$5)+(_xlfn.IFNA(VLOOKUP($A2,'FL Ratio'!$A$3:$B$10,2,FALSE),0)*'FL Characterization'!O$2)</f>
        <v>51.789966153279217</v>
      </c>
      <c r="P2" s="2">
        <f>('[1]Pc, Summer, S1'!P2*Main!$B$5)+(_xlfn.IFNA(VLOOKUP($A2,'FL Ratio'!$A$3:$B$10,2,FALSE),0)*'FL Characterization'!P$2)</f>
        <v>49.766262416227569</v>
      </c>
      <c r="Q2" s="2">
        <f>('[1]Pc, Summer, S1'!Q2*Main!$B$5)+(_xlfn.IFNA(VLOOKUP($A2,'FL Ratio'!$A$3:$B$10,2,FALSE),0)*'FL Characterization'!Q$2)</f>
        <v>47.763256211319565</v>
      </c>
      <c r="R2" s="2">
        <f>('[1]Pc, Summer, S1'!R2*Main!$B$5)+(_xlfn.IFNA(VLOOKUP($A2,'FL Ratio'!$A$3:$B$10,2,FALSE),0)*'FL Characterization'!R$2)</f>
        <v>48.59656849585464</v>
      </c>
      <c r="S2" s="2">
        <f>('[1]Pc, Summer, S1'!S2*Main!$B$5)+(_xlfn.IFNA(VLOOKUP($A2,'FL Ratio'!$A$3:$B$10,2,FALSE),0)*'FL Characterization'!S$2)</f>
        <v>49.076690453065105</v>
      </c>
      <c r="T2" s="2">
        <f>('[1]Pc, Summer, S1'!T2*Main!$B$5)+(_xlfn.IFNA(VLOOKUP($A2,'FL Ratio'!$A$3:$B$10,2,FALSE),0)*'FL Characterization'!T$2)</f>
        <v>49.285002772984349</v>
      </c>
      <c r="U2" s="2">
        <f>('[1]Pc, Summer, S1'!U2*Main!$B$5)+(_xlfn.IFNA(VLOOKUP($A2,'FL Ratio'!$A$3:$B$10,2,FALSE),0)*'FL Characterization'!U$2)</f>
        <v>48.469109396849142</v>
      </c>
      <c r="V2" s="2">
        <f>('[1]Pc, Summer, S1'!V2*Main!$B$5)+(_xlfn.IFNA(VLOOKUP($A2,'FL Ratio'!$A$3:$B$10,2,FALSE),0)*'FL Characterization'!V$2)</f>
        <v>48.61473771960015</v>
      </c>
      <c r="W2" s="2">
        <f>('[1]Pc, Summer, S1'!W2*Main!$B$5)+(_xlfn.IFNA(VLOOKUP($A2,'FL Ratio'!$A$3:$B$10,2,FALSE),0)*'FL Characterization'!W$2)</f>
        <v>50.628261461867297</v>
      </c>
      <c r="X2" s="2">
        <f>('[1]Pc, Summer, S1'!X2*Main!$B$5)+(_xlfn.IFNA(VLOOKUP($A2,'FL Ratio'!$A$3:$B$10,2,FALSE),0)*'FL Characterization'!X$2)</f>
        <v>47.191667586085899</v>
      </c>
      <c r="Y2" s="2">
        <f>('[1]Pc, Summer, S1'!Y2*Main!$B$5)+(_xlfn.IFNA(VLOOKUP($A2,'FL Ratio'!$A$3:$B$10,2,FALSE),0)*'FL Characterization'!Y$2)</f>
        <v>43.260338540101472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41.450131518206099</v>
      </c>
      <c r="C3" s="2">
        <f>('[1]Pc, Summer, S1'!C3*Main!$B$5)+(_xlfn.IFNA(VLOOKUP($A3,'FL Ratio'!$A$3:$B$10,2,FALSE),0)*'FL Characterization'!C$2)</f>
        <v>38.040406280325101</v>
      </c>
      <c r="D3" s="2">
        <f>('[1]Pc, Summer, S1'!D3*Main!$B$5)+(_xlfn.IFNA(VLOOKUP($A3,'FL Ratio'!$A$3:$B$10,2,FALSE),0)*'FL Characterization'!D$2)</f>
        <v>36.038650975437754</v>
      </c>
      <c r="E3" s="2">
        <f>('[1]Pc, Summer, S1'!E3*Main!$B$5)+(_xlfn.IFNA(VLOOKUP($A3,'FL Ratio'!$A$3:$B$10,2,FALSE),0)*'FL Characterization'!E$2)</f>
        <v>34.718434610900964</v>
      </c>
      <c r="F3" s="2">
        <f>('[1]Pc, Summer, S1'!F3*Main!$B$5)+(_xlfn.IFNA(VLOOKUP($A3,'FL Ratio'!$A$3:$B$10,2,FALSE),0)*'FL Characterization'!F$2)</f>
        <v>34.33285901769473</v>
      </c>
      <c r="G3" s="2">
        <f>('[1]Pc, Summer, S1'!G3*Main!$B$5)+(_xlfn.IFNA(VLOOKUP($A3,'FL Ratio'!$A$3:$B$10,2,FALSE),0)*'FL Characterization'!G$2)</f>
        <v>36.421813558189349</v>
      </c>
      <c r="H3" s="2">
        <f>('[1]Pc, Summer, S1'!H3*Main!$B$5)+(_xlfn.IFNA(VLOOKUP($A3,'FL Ratio'!$A$3:$B$10,2,FALSE),0)*'FL Characterization'!H$2)</f>
        <v>45.590865641431833</v>
      </c>
      <c r="I3" s="2">
        <f>('[1]Pc, Summer, S1'!I3*Main!$B$5)+(_xlfn.IFNA(VLOOKUP($A3,'FL Ratio'!$A$3:$B$10,2,FALSE),0)*'FL Characterization'!I$2)</f>
        <v>54.184943456679896</v>
      </c>
      <c r="J3" s="2">
        <f>('[1]Pc, Summer, S1'!J3*Main!$B$5)+(_xlfn.IFNA(VLOOKUP($A3,'FL Ratio'!$A$3:$B$10,2,FALSE),0)*'FL Characterization'!J$2)</f>
        <v>56.500337407296826</v>
      </c>
      <c r="K3" s="2">
        <f>('[1]Pc, Summer, S1'!K3*Main!$B$5)+(_xlfn.IFNA(VLOOKUP($A3,'FL Ratio'!$A$3:$B$10,2,FALSE),0)*'FL Characterization'!K$2)</f>
        <v>55.450513104725751</v>
      </c>
      <c r="L3" s="2">
        <f>('[1]Pc, Summer, S1'!L3*Main!$B$5)+(_xlfn.IFNA(VLOOKUP($A3,'FL Ratio'!$A$3:$B$10,2,FALSE),0)*'FL Characterization'!L$2)</f>
        <v>55.258302200720259</v>
      </c>
      <c r="M3" s="2">
        <f>('[1]Pc, Summer, S1'!M3*Main!$B$5)+(_xlfn.IFNA(VLOOKUP($A3,'FL Ratio'!$A$3:$B$10,2,FALSE),0)*'FL Characterization'!M$2)</f>
        <v>58.926229238482563</v>
      </c>
      <c r="N3" s="2">
        <f>('[1]Pc, Summer, S1'!N3*Main!$B$5)+(_xlfn.IFNA(VLOOKUP($A3,'FL Ratio'!$A$3:$B$10,2,FALSE),0)*'FL Characterization'!N$2)</f>
        <v>59.102588506217032</v>
      </c>
      <c r="O3" s="2">
        <f>('[1]Pc, Summer, S1'!O3*Main!$B$5)+(_xlfn.IFNA(VLOOKUP($A3,'FL Ratio'!$A$3:$B$10,2,FALSE),0)*'FL Characterization'!O$2)</f>
        <v>59.501623617050598</v>
      </c>
      <c r="P3" s="2">
        <f>('[1]Pc, Summer, S1'!P3*Main!$B$5)+(_xlfn.IFNA(VLOOKUP($A3,'FL Ratio'!$A$3:$B$10,2,FALSE),0)*'FL Characterization'!P$2)</f>
        <v>56.618265449785021</v>
      </c>
      <c r="Q3" s="2">
        <f>('[1]Pc, Summer, S1'!Q3*Main!$B$5)+(_xlfn.IFNA(VLOOKUP($A3,'FL Ratio'!$A$3:$B$10,2,FALSE),0)*'FL Characterization'!Q$2)</f>
        <v>53.634928047941109</v>
      </c>
      <c r="R3" s="2">
        <f>('[1]Pc, Summer, S1'!R3*Main!$B$5)+(_xlfn.IFNA(VLOOKUP($A3,'FL Ratio'!$A$3:$B$10,2,FALSE),0)*'FL Characterization'!R$2)</f>
        <v>49.624382726066912</v>
      </c>
      <c r="S3" s="2">
        <f>('[1]Pc, Summer, S1'!S3*Main!$B$5)+(_xlfn.IFNA(VLOOKUP($A3,'FL Ratio'!$A$3:$B$10,2,FALSE),0)*'FL Characterization'!S$2)</f>
        <v>50.157023342759921</v>
      </c>
      <c r="T3" s="2">
        <f>('[1]Pc, Summer, S1'!T3*Main!$B$5)+(_xlfn.IFNA(VLOOKUP($A3,'FL Ratio'!$A$3:$B$10,2,FALSE),0)*'FL Characterization'!T$2)</f>
        <v>49.724735306023561</v>
      </c>
      <c r="U3" s="2">
        <f>('[1]Pc, Summer, S1'!U3*Main!$B$5)+(_xlfn.IFNA(VLOOKUP($A3,'FL Ratio'!$A$3:$B$10,2,FALSE),0)*'FL Characterization'!U$2)</f>
        <v>49.542438015806447</v>
      </c>
      <c r="V3" s="2">
        <f>('[1]Pc, Summer, S1'!V3*Main!$B$5)+(_xlfn.IFNA(VLOOKUP($A3,'FL Ratio'!$A$3:$B$10,2,FALSE),0)*'FL Characterization'!V$2)</f>
        <v>49.766301463402058</v>
      </c>
      <c r="W3" s="2">
        <f>('[1]Pc, Summer, S1'!W3*Main!$B$5)+(_xlfn.IFNA(VLOOKUP($A3,'FL Ratio'!$A$3:$B$10,2,FALSE),0)*'FL Characterization'!W$2)</f>
        <v>49.515914848717308</v>
      </c>
      <c r="X3" s="2">
        <f>('[1]Pc, Summer, S1'!X3*Main!$B$5)+(_xlfn.IFNA(VLOOKUP($A3,'FL Ratio'!$A$3:$B$10,2,FALSE),0)*'FL Characterization'!X$2)</f>
        <v>49.195004474388405</v>
      </c>
      <c r="Y3" s="2">
        <f>('[1]Pc, Summer, S1'!Y3*Main!$B$5)+(_xlfn.IFNA(VLOOKUP($A3,'FL Ratio'!$A$3:$B$10,2,FALSE),0)*'FL Characterization'!Y$2)</f>
        <v>46.528703924714819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55.041562981378497</v>
      </c>
      <c r="C4" s="2">
        <f>('[1]Pc, Summer, S1'!C4*Main!$B$5)+(_xlfn.IFNA(VLOOKUP($A4,'FL Ratio'!$A$3:$B$10,2,FALSE),0)*'FL Characterization'!C$2)</f>
        <v>48.825567637088682</v>
      </c>
      <c r="D4" s="2">
        <f>('[1]Pc, Summer, S1'!D4*Main!$B$5)+(_xlfn.IFNA(VLOOKUP($A4,'FL Ratio'!$A$3:$B$10,2,FALSE),0)*'FL Characterization'!D$2)</f>
        <v>46.043694300501407</v>
      </c>
      <c r="E4" s="2">
        <f>('[1]Pc, Summer, S1'!E4*Main!$B$5)+(_xlfn.IFNA(VLOOKUP($A4,'FL Ratio'!$A$3:$B$10,2,FALSE),0)*'FL Characterization'!E$2)</f>
        <v>44.537386887613607</v>
      </c>
      <c r="F4" s="2">
        <f>('[1]Pc, Summer, S1'!F4*Main!$B$5)+(_xlfn.IFNA(VLOOKUP($A4,'FL Ratio'!$A$3:$B$10,2,FALSE),0)*'FL Characterization'!F$2)</f>
        <v>46.699999948594431</v>
      </c>
      <c r="G4" s="2">
        <f>('[1]Pc, Summer, S1'!G4*Main!$B$5)+(_xlfn.IFNA(VLOOKUP($A4,'FL Ratio'!$A$3:$B$10,2,FALSE),0)*'FL Characterization'!G$2)</f>
        <v>42.656716381168572</v>
      </c>
      <c r="H4" s="2">
        <f>('[1]Pc, Summer, S1'!H4*Main!$B$5)+(_xlfn.IFNA(VLOOKUP($A4,'FL Ratio'!$A$3:$B$10,2,FALSE),0)*'FL Characterization'!H$2)</f>
        <v>50.10288124294425</v>
      </c>
      <c r="I4" s="2">
        <f>('[1]Pc, Summer, S1'!I4*Main!$B$5)+(_xlfn.IFNA(VLOOKUP($A4,'FL Ratio'!$A$3:$B$10,2,FALSE),0)*'FL Characterization'!I$2)</f>
        <v>56.362653058384069</v>
      </c>
      <c r="J4" s="2">
        <f>('[1]Pc, Summer, S1'!J4*Main!$B$5)+(_xlfn.IFNA(VLOOKUP($A4,'FL Ratio'!$A$3:$B$10,2,FALSE),0)*'FL Characterization'!J$2)</f>
        <v>63.418447201458179</v>
      </c>
      <c r="K4" s="2">
        <f>('[1]Pc, Summer, S1'!K4*Main!$B$5)+(_xlfn.IFNA(VLOOKUP($A4,'FL Ratio'!$A$3:$B$10,2,FALSE),0)*'FL Characterization'!K$2)</f>
        <v>68.171447892569361</v>
      </c>
      <c r="L4" s="2">
        <f>('[1]Pc, Summer, S1'!L4*Main!$B$5)+(_xlfn.IFNA(VLOOKUP($A4,'FL Ratio'!$A$3:$B$10,2,FALSE),0)*'FL Characterization'!L$2)</f>
        <v>70.174086632153376</v>
      </c>
      <c r="M4" s="2">
        <f>('[1]Pc, Summer, S1'!M4*Main!$B$5)+(_xlfn.IFNA(VLOOKUP($A4,'FL Ratio'!$A$3:$B$10,2,FALSE),0)*'FL Characterization'!M$2)</f>
        <v>71.340309327674746</v>
      </c>
      <c r="N4" s="2">
        <f>('[1]Pc, Summer, S1'!N4*Main!$B$5)+(_xlfn.IFNA(VLOOKUP($A4,'FL Ratio'!$A$3:$B$10,2,FALSE),0)*'FL Characterization'!N$2)</f>
        <v>72.911609765472193</v>
      </c>
      <c r="O4" s="2">
        <f>('[1]Pc, Summer, S1'!O4*Main!$B$5)+(_xlfn.IFNA(VLOOKUP($A4,'FL Ratio'!$A$3:$B$10,2,FALSE),0)*'FL Characterization'!O$2)</f>
        <v>73.903938271807149</v>
      </c>
      <c r="P4" s="2">
        <f>('[1]Pc, Summer, S1'!P4*Main!$B$5)+(_xlfn.IFNA(VLOOKUP($A4,'FL Ratio'!$A$3:$B$10,2,FALSE),0)*'FL Characterization'!P$2)</f>
        <v>74.217247233009473</v>
      </c>
      <c r="Q4" s="2">
        <f>('[1]Pc, Summer, S1'!Q4*Main!$B$5)+(_xlfn.IFNA(VLOOKUP($A4,'FL Ratio'!$A$3:$B$10,2,FALSE),0)*'FL Characterization'!Q$2)</f>
        <v>71.438978296681114</v>
      </c>
      <c r="R4" s="2">
        <f>('[1]Pc, Summer, S1'!R4*Main!$B$5)+(_xlfn.IFNA(VLOOKUP($A4,'FL Ratio'!$A$3:$B$10,2,FALSE),0)*'FL Characterization'!R$2)</f>
        <v>71.072272541855469</v>
      </c>
      <c r="S4" s="2">
        <f>('[1]Pc, Summer, S1'!S4*Main!$B$5)+(_xlfn.IFNA(VLOOKUP($A4,'FL Ratio'!$A$3:$B$10,2,FALSE),0)*'FL Characterization'!S$2)</f>
        <v>68.854021470835733</v>
      </c>
      <c r="T4" s="2">
        <f>('[1]Pc, Summer, S1'!T4*Main!$B$5)+(_xlfn.IFNA(VLOOKUP($A4,'FL Ratio'!$A$3:$B$10,2,FALSE),0)*'FL Characterization'!T$2)</f>
        <v>68.778508307785955</v>
      </c>
      <c r="U4" s="2">
        <f>('[1]Pc, Summer, S1'!U4*Main!$B$5)+(_xlfn.IFNA(VLOOKUP($A4,'FL Ratio'!$A$3:$B$10,2,FALSE),0)*'FL Characterization'!U$2)</f>
        <v>69.156640497057609</v>
      </c>
      <c r="V4" s="2">
        <f>('[1]Pc, Summer, S1'!V4*Main!$B$5)+(_xlfn.IFNA(VLOOKUP($A4,'FL Ratio'!$A$3:$B$10,2,FALSE),0)*'FL Characterization'!V$2)</f>
        <v>68.815570588146286</v>
      </c>
      <c r="W4" s="2">
        <f>('[1]Pc, Summer, S1'!W4*Main!$B$5)+(_xlfn.IFNA(VLOOKUP($A4,'FL Ratio'!$A$3:$B$10,2,FALSE),0)*'FL Characterization'!W$2)</f>
        <v>71.008586338820479</v>
      </c>
      <c r="X4" s="2">
        <f>('[1]Pc, Summer, S1'!X4*Main!$B$5)+(_xlfn.IFNA(VLOOKUP($A4,'FL Ratio'!$A$3:$B$10,2,FALSE),0)*'FL Characterization'!X$2)</f>
        <v>70.829826838228271</v>
      </c>
      <c r="Y4" s="2">
        <f>('[1]Pc, Summer, S1'!Y4*Main!$B$5)+(_xlfn.IFNA(VLOOKUP($A4,'FL Ratio'!$A$3:$B$10,2,FALSE),0)*'FL Characterization'!Y$2)</f>
        <v>63.87946533213799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14B3-ED13-40FF-A1FC-35B5286A2EEB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Ratio'!$A$3:$B$10,2,FALSE),0)*'FL Characterization'!B$2)</f>
        <v>39.635382842223301</v>
      </c>
      <c r="C2" s="2">
        <f>('[1]Pc, Summer, S2'!C2*Main!$B$5)+(_xlfn.IFNA(VLOOKUP($A2,'FL Ratio'!$A$3:$B$10,2,FALSE),0)*'FL Characterization'!C$2)</f>
        <v>36.010519024318306</v>
      </c>
      <c r="D2" s="2">
        <f>('[1]Pc, Summer, S2'!D2*Main!$B$5)+(_xlfn.IFNA(VLOOKUP($A2,'FL Ratio'!$A$3:$B$10,2,FALSE),0)*'FL Characterization'!D$2)</f>
        <v>35.381508848155178</v>
      </c>
      <c r="E2" s="2">
        <f>('[1]Pc, Summer, S2'!E2*Main!$B$5)+(_xlfn.IFNA(VLOOKUP($A2,'FL Ratio'!$A$3:$B$10,2,FALSE),0)*'FL Characterization'!E$2)</f>
        <v>35.291124517671193</v>
      </c>
      <c r="F2" s="2">
        <f>('[1]Pc, Summer, S2'!F2*Main!$B$5)+(_xlfn.IFNA(VLOOKUP($A2,'FL Ratio'!$A$3:$B$10,2,FALSE),0)*'FL Characterization'!F$2)</f>
        <v>35.293906873823289</v>
      </c>
      <c r="G2" s="2">
        <f>('[1]Pc, Summer, S2'!G2*Main!$B$5)+(_xlfn.IFNA(VLOOKUP($A2,'FL Ratio'!$A$3:$B$10,2,FALSE),0)*'FL Characterization'!G$2)</f>
        <v>34.981777874087292</v>
      </c>
      <c r="H2" s="2">
        <f>('[1]Pc, Summer, S2'!H2*Main!$B$5)+(_xlfn.IFNA(VLOOKUP($A2,'FL Ratio'!$A$3:$B$10,2,FALSE),0)*'FL Characterization'!H$2)</f>
        <v>37.765951929146979</v>
      </c>
      <c r="I2" s="2">
        <f>('[1]Pc, Summer, S2'!I2*Main!$B$5)+(_xlfn.IFNA(VLOOKUP($A2,'FL Ratio'!$A$3:$B$10,2,FALSE),0)*'FL Characterization'!I$2)</f>
        <v>44.837411461165146</v>
      </c>
      <c r="J2" s="2">
        <f>('[1]Pc, Summer, S2'!J2*Main!$B$5)+(_xlfn.IFNA(VLOOKUP($A2,'FL Ratio'!$A$3:$B$10,2,FALSE),0)*'FL Characterization'!J$2)</f>
        <v>51.101899691323624</v>
      </c>
      <c r="K2" s="2">
        <f>('[1]Pc, Summer, S2'!K2*Main!$B$5)+(_xlfn.IFNA(VLOOKUP($A2,'FL Ratio'!$A$3:$B$10,2,FALSE),0)*'FL Characterization'!K$2)</f>
        <v>52.672161382166834</v>
      </c>
      <c r="L2" s="2">
        <f>('[1]Pc, Summer, S2'!L2*Main!$B$5)+(_xlfn.IFNA(VLOOKUP($A2,'FL Ratio'!$A$3:$B$10,2,FALSE),0)*'FL Characterization'!L$2)</f>
        <v>52.139133160881272</v>
      </c>
      <c r="M2" s="2">
        <f>('[1]Pc, Summer, S2'!M2*Main!$B$5)+(_xlfn.IFNA(VLOOKUP($A2,'FL Ratio'!$A$3:$B$10,2,FALSE),0)*'FL Characterization'!M$2)</f>
        <v>53.613555258643082</v>
      </c>
      <c r="N2" s="2">
        <f>('[1]Pc, Summer, S2'!N2*Main!$B$5)+(_xlfn.IFNA(VLOOKUP($A2,'FL Ratio'!$A$3:$B$10,2,FALSE),0)*'FL Characterization'!N$2)</f>
        <v>54.349020192213437</v>
      </c>
      <c r="O2" s="2">
        <f>('[1]Pc, Summer, S2'!O2*Main!$B$5)+(_xlfn.IFNA(VLOOKUP($A2,'FL Ratio'!$A$3:$B$10,2,FALSE),0)*'FL Characterization'!O$2)</f>
        <v>53.343665137877586</v>
      </c>
      <c r="P2" s="2">
        <f>('[1]Pc, Summer, S2'!P2*Main!$B$5)+(_xlfn.IFNA(VLOOKUP($A2,'FL Ratio'!$A$3:$B$10,2,FALSE),0)*'FL Characterization'!P$2)</f>
        <v>51.259250288714398</v>
      </c>
      <c r="Q2" s="2">
        <f>('[1]Pc, Summer, S2'!Q2*Main!$B$5)+(_xlfn.IFNA(VLOOKUP($A2,'FL Ratio'!$A$3:$B$10,2,FALSE),0)*'FL Characterization'!Q$2)</f>
        <v>49.196153897659158</v>
      </c>
      <c r="R2" s="2">
        <f>('[1]Pc, Summer, S2'!R2*Main!$B$5)+(_xlfn.IFNA(VLOOKUP($A2,'FL Ratio'!$A$3:$B$10,2,FALSE),0)*'FL Characterization'!R$2)</f>
        <v>50.054465550730278</v>
      </c>
      <c r="S2" s="2">
        <f>('[1]Pc, Summer, S2'!S2*Main!$B$5)+(_xlfn.IFNA(VLOOKUP($A2,'FL Ratio'!$A$3:$B$10,2,FALSE),0)*'FL Characterization'!S$2)</f>
        <v>50.548991166657061</v>
      </c>
      <c r="T2" s="2">
        <f>('[1]Pc, Summer, S2'!T2*Main!$B$5)+(_xlfn.IFNA(VLOOKUP($A2,'FL Ratio'!$A$3:$B$10,2,FALSE),0)*'FL Characterization'!T$2)</f>
        <v>50.763552856173881</v>
      </c>
      <c r="U2" s="2">
        <f>('[1]Pc, Summer, S2'!U2*Main!$B$5)+(_xlfn.IFNA(VLOOKUP($A2,'FL Ratio'!$A$3:$B$10,2,FALSE),0)*'FL Characterization'!U$2)</f>
        <v>49.923182678754614</v>
      </c>
      <c r="V2" s="2">
        <f>('[1]Pc, Summer, S2'!V2*Main!$B$5)+(_xlfn.IFNA(VLOOKUP($A2,'FL Ratio'!$A$3:$B$10,2,FALSE),0)*'FL Characterization'!V$2)</f>
        <v>50.073179851188151</v>
      </c>
      <c r="W2" s="2">
        <f>('[1]Pc, Summer, S2'!W2*Main!$B$5)+(_xlfn.IFNA(VLOOKUP($A2,'FL Ratio'!$A$3:$B$10,2,FALSE),0)*'FL Characterization'!W$2)</f>
        <v>52.147109305723319</v>
      </c>
      <c r="X2" s="2">
        <f>('[1]Pc, Summer, S2'!X2*Main!$B$5)+(_xlfn.IFNA(VLOOKUP($A2,'FL Ratio'!$A$3:$B$10,2,FALSE),0)*'FL Characterization'!X$2)</f>
        <v>48.607417613668481</v>
      </c>
      <c r="Y2" s="2">
        <f>('[1]Pc, Summer, S2'!Y2*Main!$B$5)+(_xlfn.IFNA(VLOOKUP($A2,'FL Ratio'!$A$3:$B$10,2,FALSE),0)*'FL Characterization'!Y$2)</f>
        <v>44.558148696304507</v>
      </c>
    </row>
    <row r="3" spans="1:25" x14ac:dyDescent="0.3">
      <c r="A3">
        <v>2</v>
      </c>
      <c r="B3" s="2">
        <f>('[1]Pc, Summer, S2'!B3*Main!$B$5)+(_xlfn.IFNA(VLOOKUP($A3,'FL Ratio'!$A$3:$B$10,2,FALSE),0)*'FL Characterization'!B$2)</f>
        <v>42.620651229418129</v>
      </c>
      <c r="C3" s="2">
        <f>('[1]Pc, Summer, S2'!C3*Main!$B$5)+(_xlfn.IFNA(VLOOKUP($A3,'FL Ratio'!$A$3:$B$10,2,FALSE),0)*'FL Characterization'!C$2)</f>
        <v>39.106199645182812</v>
      </c>
      <c r="D3" s="2">
        <f>('[1]Pc, Summer, S2'!D3*Main!$B$5)+(_xlfn.IFNA(VLOOKUP($A3,'FL Ratio'!$A$3:$B$10,2,FALSE),0)*'FL Characterization'!D$2)</f>
        <v>37.052277375005801</v>
      </c>
      <c r="E3" s="2">
        <f>('[1]Pc, Summer, S2'!E3*Main!$B$5)+(_xlfn.IFNA(VLOOKUP($A3,'FL Ratio'!$A$3:$B$10,2,FALSE),0)*'FL Characterization'!E$2)</f>
        <v>35.695975766865111</v>
      </c>
      <c r="F3" s="2">
        <f>('[1]Pc, Summer, S2'!F3*Main!$B$5)+(_xlfn.IFNA(VLOOKUP($A3,'FL Ratio'!$A$3:$B$10,2,FALSE),0)*'FL Characterization'!F$2)</f>
        <v>35.310400173658877</v>
      </c>
      <c r="G3" s="2">
        <f>('[1]Pc, Summer, S2'!G3*Main!$B$5)+(_xlfn.IFNA(VLOOKUP($A3,'FL Ratio'!$A$3:$B$10,2,FALSE),0)*'FL Characterization'!G$2)</f>
        <v>37.46995654840515</v>
      </c>
      <c r="H3" s="2">
        <f>('[1]Pc, Summer, S2'!H3*Main!$B$5)+(_xlfn.IFNA(VLOOKUP($A3,'FL Ratio'!$A$3:$B$10,2,FALSE),0)*'FL Characterization'!H$2)</f>
        <v>46.90415775857641</v>
      </c>
      <c r="I3" s="2">
        <f>('[1]Pc, Summer, S2'!I3*Main!$B$5)+(_xlfn.IFNA(VLOOKUP($A3,'FL Ratio'!$A$3:$B$10,2,FALSE),0)*'FL Characterization'!I$2)</f>
        <v>55.80103842858793</v>
      </c>
      <c r="J3" s="2">
        <f>('[1]Pc, Summer, S2'!J3*Main!$B$5)+(_xlfn.IFNA(VLOOKUP($A3,'FL Ratio'!$A$3:$B$10,2,FALSE),0)*'FL Characterization'!J$2)</f>
        <v>58.187034298040032</v>
      </c>
      <c r="K3" s="2">
        <f>('[1]Pc, Summer, S2'!K3*Main!$B$5)+(_xlfn.IFNA(VLOOKUP($A3,'FL Ratio'!$A$3:$B$10,2,FALSE),0)*'FL Characterization'!K$2)</f>
        <v>57.101908993980452</v>
      </c>
      <c r="L3" s="2">
        <f>('[1]Pc, Summer, S2'!L3*Main!$B$5)+(_xlfn.IFNA(VLOOKUP($A3,'FL Ratio'!$A$3:$B$10,2,FALSE),0)*'FL Characterization'!L$2)</f>
        <v>56.908913763717734</v>
      </c>
      <c r="M3" s="2">
        <f>('[1]Pc, Summer, S2'!M3*Main!$B$5)+(_xlfn.IFNA(VLOOKUP($A3,'FL Ratio'!$A$3:$B$10,2,FALSE),0)*'FL Characterization'!M$2)</f>
        <v>60.685097205868111</v>
      </c>
      <c r="N3" s="2">
        <f>('[1]Pc, Summer, S2'!N3*Main!$B$5)+(_xlfn.IFNA(VLOOKUP($A3,'FL Ratio'!$A$3:$B$10,2,FALSE),0)*'FL Characterization'!N$2)</f>
        <v>60.86145647360258</v>
      </c>
      <c r="O3" s="2">
        <f>('[1]Pc, Summer, S2'!O3*Main!$B$5)+(_xlfn.IFNA(VLOOKUP($A3,'FL Ratio'!$A$3:$B$10,2,FALSE),0)*'FL Characterization'!O$2)</f>
        <v>61.260491584436146</v>
      </c>
      <c r="P3" s="2">
        <f>('[1]Pc, Summer, S2'!P3*Main!$B$5)+(_xlfn.IFNA(VLOOKUP($A3,'FL Ratio'!$A$3:$B$10,2,FALSE),0)*'FL Characterization'!P$2)</f>
        <v>58.288880955520227</v>
      </c>
      <c r="Q3" s="2">
        <f>('[1]Pc, Summer, S2'!Q3*Main!$B$5)+(_xlfn.IFNA(VLOOKUP($A3,'FL Ratio'!$A$3:$B$10,2,FALSE),0)*'FL Characterization'!Q$2)</f>
        <v>55.216506597374647</v>
      </c>
      <c r="R3" s="2">
        <f>('[1]Pc, Summer, S2'!R3*Main!$B$5)+(_xlfn.IFNA(VLOOKUP($A3,'FL Ratio'!$A$3:$B$10,2,FALSE),0)*'FL Characterization'!R$2)</f>
        <v>51.097705039506465</v>
      </c>
      <c r="S3" s="2">
        <f>('[1]Pc, Summer, S2'!S3*Main!$B$5)+(_xlfn.IFNA(VLOOKUP($A3,'FL Ratio'!$A$3:$B$10,2,FALSE),0)*'FL Characterization'!S$2)</f>
        <v>51.630345656199474</v>
      </c>
      <c r="T3" s="2">
        <f>('[1]Pc, Summer, S2'!T3*Main!$B$5)+(_xlfn.IFNA(VLOOKUP($A3,'FL Ratio'!$A$3:$B$10,2,FALSE),0)*'FL Characterization'!T$2)</f>
        <v>51.198057619463114</v>
      </c>
      <c r="U3" s="2">
        <f>('[1]Pc, Summer, S2'!U3*Main!$B$5)+(_xlfn.IFNA(VLOOKUP($A3,'FL Ratio'!$A$3:$B$10,2,FALSE),0)*'FL Characterization'!U$2)</f>
        <v>51.015760329246</v>
      </c>
      <c r="V3" s="2">
        <f>('[1]Pc, Summer, S2'!V3*Main!$B$5)+(_xlfn.IFNA(VLOOKUP($A3,'FL Ratio'!$A$3:$B$10,2,FALSE),0)*'FL Characterization'!V$2)</f>
        <v>51.239623776841611</v>
      </c>
      <c r="W3" s="2">
        <f>('[1]Pc, Summer, S2'!W3*Main!$B$5)+(_xlfn.IFNA(VLOOKUP($A3,'FL Ratio'!$A$3:$B$10,2,FALSE),0)*'FL Characterization'!W$2)</f>
        <v>50.989237162156861</v>
      </c>
      <c r="X3" s="2">
        <f>('[1]Pc, Summer, S2'!X3*Main!$B$5)+(_xlfn.IFNA(VLOOKUP($A3,'FL Ratio'!$A$3:$B$10,2,FALSE),0)*'FL Characterization'!X$2)</f>
        <v>50.615375664564723</v>
      </c>
      <c r="Y3" s="2">
        <f>('[1]Pc, Summer, S2'!Y3*Main!$B$5)+(_xlfn.IFNA(VLOOKUP($A3,'FL Ratio'!$A$3:$B$10,2,FALSE),0)*'FL Characterization'!Y$2)</f>
        <v>47.857685095234267</v>
      </c>
    </row>
    <row r="4" spans="1:25" x14ac:dyDescent="0.3">
      <c r="A4">
        <v>3</v>
      </c>
      <c r="B4" s="2">
        <f>('[1]Pc, Summer, S2'!B4*Main!$B$5)+(_xlfn.IFNA(VLOOKUP($A4,'FL Ratio'!$A$3:$B$10,2,FALSE),0)*'FL Characterization'!B$2)</f>
        <v>56.619825636485707</v>
      </c>
      <c r="C4" s="2">
        <f>('[1]Pc, Summer, S2'!C4*Main!$B$5)+(_xlfn.IFNA(VLOOKUP($A4,'FL Ratio'!$A$3:$B$10,2,FALSE),0)*'FL Characterization'!C$2)</f>
        <v>50.214915842649305</v>
      </c>
      <c r="D4" s="2">
        <f>('[1]Pc, Summer, S2'!D4*Main!$B$5)+(_xlfn.IFNA(VLOOKUP($A4,'FL Ratio'!$A$3:$B$10,2,FALSE),0)*'FL Characterization'!D$2)</f>
        <v>47.357471999821357</v>
      </c>
      <c r="E4" s="2">
        <f>('[1]Pc, Summer, S2'!E4*Main!$B$5)+(_xlfn.IFNA(VLOOKUP($A4,'FL Ratio'!$A$3:$B$10,2,FALSE),0)*'FL Characterization'!E$2)</f>
        <v>45.80949661187914</v>
      </c>
      <c r="F4" s="2">
        <f>('[1]Pc, Summer, S2'!F4*Main!$B$5)+(_xlfn.IFNA(VLOOKUP($A4,'FL Ratio'!$A$3:$B$10,2,FALSE),0)*'FL Characterization'!F$2)</f>
        <v>48.048555332485563</v>
      </c>
      <c r="G4" s="2">
        <f>('[1]Pc, Summer, S2'!G4*Main!$B$5)+(_xlfn.IFNA(VLOOKUP($A4,'FL Ratio'!$A$3:$B$10,2,FALSE),0)*'FL Characterization'!G$2)</f>
        <v>43.891906456073748</v>
      </c>
      <c r="H4" s="2">
        <f>('[1]Pc, Summer, S2'!H4*Main!$B$5)+(_xlfn.IFNA(VLOOKUP($A4,'FL Ratio'!$A$3:$B$10,2,FALSE),0)*'FL Characterization'!H$2)</f>
        <v>51.55153382813419</v>
      </c>
      <c r="I4" s="2">
        <f>('[1]Pc, Summer, S2'!I4*Main!$B$5)+(_xlfn.IFNA(VLOOKUP($A4,'FL Ratio'!$A$3:$B$10,2,FALSE),0)*'FL Characterization'!I$2)</f>
        <v>58.044079318343222</v>
      </c>
      <c r="J4" s="2">
        <f>('[1]Pc, Summer, S2'!J4*Main!$B$5)+(_xlfn.IFNA(VLOOKUP($A4,'FL Ratio'!$A$3:$B$10,2,FALSE),0)*'FL Characterization'!J$2)</f>
        <v>65.312687386026226</v>
      </c>
      <c r="K4" s="2">
        <f>('[1]Pc, Summer, S2'!K4*Main!$B$5)+(_xlfn.IFNA(VLOOKUP($A4,'FL Ratio'!$A$3:$B$10,2,FALSE),0)*'FL Characterization'!K$2)</f>
        <v>70.204471825459379</v>
      </c>
      <c r="L4" s="2">
        <f>('[1]Pc, Summer, S2'!L4*Main!$B$5)+(_xlfn.IFNA(VLOOKUP($A4,'FL Ratio'!$A$3:$B$10,2,FALSE),0)*'FL Characterization'!L$2)</f>
        <v>72.272171728093852</v>
      </c>
      <c r="M4" s="2">
        <f>('[1]Pc, Summer, S2'!M4*Main!$B$5)+(_xlfn.IFNA(VLOOKUP($A4,'FL Ratio'!$A$3:$B$10,2,FALSE),0)*'FL Characterization'!M$2)</f>
        <v>73.471599697736053</v>
      </c>
      <c r="N4" s="2">
        <f>('[1]Pc, Summer, S2'!N4*Main!$B$5)+(_xlfn.IFNA(VLOOKUP($A4,'FL Ratio'!$A$3:$B$10,2,FALSE),0)*'FL Characterization'!N$2)</f>
        <v>75.084748370635396</v>
      </c>
      <c r="O4" s="2">
        <f>('[1]Pc, Summer, S2'!O4*Main!$B$5)+(_xlfn.IFNA(VLOOKUP($A4,'FL Ratio'!$A$3:$B$10,2,FALSE),0)*'FL Characterization'!O$2)</f>
        <v>76.094875678835393</v>
      </c>
      <c r="P4" s="2">
        <f>('[1]Pc, Summer, S2'!P4*Main!$B$5)+(_xlfn.IFNA(VLOOKUP($A4,'FL Ratio'!$A$3:$B$10,2,FALSE),0)*'FL Characterization'!P$2)</f>
        <v>76.41583219224141</v>
      </c>
      <c r="Q4" s="2">
        <f>('[1]Pc, Summer, S2'!Q4*Main!$B$5)+(_xlfn.IFNA(VLOOKUP($A4,'FL Ratio'!$A$3:$B$10,2,FALSE),0)*'FL Characterization'!Q$2)</f>
        <v>73.554678353576847</v>
      </c>
      <c r="R4" s="2">
        <f>('[1]Pc, Summer, S2'!R4*Main!$B$5)+(_xlfn.IFNA(VLOOKUP($A4,'FL Ratio'!$A$3:$B$10,2,FALSE),0)*'FL Characterization'!R$2)</f>
        <v>73.189031549768686</v>
      </c>
      <c r="S4" s="2">
        <f>('[1]Pc, Summer, S2'!S4*Main!$B$5)+(_xlfn.IFNA(VLOOKUP($A4,'FL Ratio'!$A$3:$B$10,2,FALSE),0)*'FL Characterization'!S$2)</f>
        <v>70.888253728117562</v>
      </c>
      <c r="T4" s="2">
        <f>('[1]Pc, Summer, S2'!T4*Main!$B$5)+(_xlfn.IFNA(VLOOKUP($A4,'FL Ratio'!$A$3:$B$10,2,FALSE),0)*'FL Characterization'!T$2)</f>
        <v>70.823443811278381</v>
      </c>
      <c r="U4" s="2">
        <f>('[1]Pc, Summer, S2'!U4*Main!$B$5)+(_xlfn.IFNA(VLOOKUP($A4,'FL Ratio'!$A$3:$B$10,2,FALSE),0)*'FL Characterization'!U$2)</f>
        <v>71.218388884934697</v>
      </c>
      <c r="V4" s="2">
        <f>('[1]Pc, Summer, S2'!V4*Main!$B$5)+(_xlfn.IFNA(VLOOKUP($A4,'FL Ratio'!$A$3:$B$10,2,FALSE),0)*'FL Characterization'!V$2)</f>
        <v>70.860370975328166</v>
      </c>
      <c r="W4" s="2">
        <f>('[1]Pc, Summer, S2'!W4*Main!$B$5)+(_xlfn.IFNA(VLOOKUP($A4,'FL Ratio'!$A$3:$B$10,2,FALSE),0)*'FL Characterization'!W$2)</f>
        <v>73.126688796963123</v>
      </c>
      <c r="X4" s="2">
        <f>('[1]Pc, Summer, S2'!X4*Main!$B$5)+(_xlfn.IFNA(VLOOKUP($A4,'FL Ratio'!$A$3:$B$10,2,FALSE),0)*'FL Characterization'!X$2)</f>
        <v>72.899242699319785</v>
      </c>
      <c r="Y4" s="2">
        <f>('[1]Pc, Summer, S2'!Y4*Main!$B$5)+(_xlfn.IFNA(VLOOKUP($A4,'FL Ratio'!$A$3:$B$10,2,FALSE),0)*'FL Characterization'!Y$2)</f>
        <v>65.728969344880127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EA07D-0A76-4D97-AF2F-59AB9E2854EA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Ratio'!$A$3:$B$10,2,FALSE),0)*'FL Characterization'!B$2)</f>
        <v>39.635382842223301</v>
      </c>
      <c r="C2" s="2">
        <f>('[1]Pc, Summer, S2'!C2*Main!$B$5)+(_xlfn.IFNA(VLOOKUP($A2,'FL Ratio'!$A$3:$B$10,2,FALSE),0)*'FL Characterization'!C$2)</f>
        <v>36.010519024318306</v>
      </c>
      <c r="D2" s="2">
        <f>('[1]Pc, Summer, S2'!D2*Main!$B$5)+(_xlfn.IFNA(VLOOKUP($A2,'FL Ratio'!$A$3:$B$10,2,FALSE),0)*'FL Characterization'!D$2)</f>
        <v>35.381508848155178</v>
      </c>
      <c r="E2" s="2">
        <f>('[1]Pc, Summer, S2'!E2*Main!$B$5)+(_xlfn.IFNA(VLOOKUP($A2,'FL Ratio'!$A$3:$B$10,2,FALSE),0)*'FL Characterization'!E$2)</f>
        <v>35.291124517671193</v>
      </c>
      <c r="F2" s="2">
        <f>('[1]Pc, Summer, S2'!F2*Main!$B$5)+(_xlfn.IFNA(VLOOKUP($A2,'FL Ratio'!$A$3:$B$10,2,FALSE),0)*'FL Characterization'!F$2)</f>
        <v>35.293906873823289</v>
      </c>
      <c r="G2" s="2">
        <f>('[1]Pc, Summer, S2'!G2*Main!$B$5)+(_xlfn.IFNA(VLOOKUP($A2,'FL Ratio'!$A$3:$B$10,2,FALSE),0)*'FL Characterization'!G$2)</f>
        <v>34.981777874087292</v>
      </c>
      <c r="H2" s="2">
        <f>('[1]Pc, Summer, S2'!H2*Main!$B$5)+(_xlfn.IFNA(VLOOKUP($A2,'FL Ratio'!$A$3:$B$10,2,FALSE),0)*'FL Characterization'!H$2)</f>
        <v>37.765951929146979</v>
      </c>
      <c r="I2" s="2">
        <f>('[1]Pc, Summer, S2'!I2*Main!$B$5)+(_xlfn.IFNA(VLOOKUP($A2,'FL Ratio'!$A$3:$B$10,2,FALSE),0)*'FL Characterization'!I$2)</f>
        <v>44.837411461165146</v>
      </c>
      <c r="J2" s="2">
        <f>('[1]Pc, Summer, S2'!J2*Main!$B$5)+(_xlfn.IFNA(VLOOKUP($A2,'FL Ratio'!$A$3:$B$10,2,FALSE),0)*'FL Characterization'!J$2)</f>
        <v>51.101899691323624</v>
      </c>
      <c r="K2" s="2">
        <f>('[1]Pc, Summer, S2'!K2*Main!$B$5)+(_xlfn.IFNA(VLOOKUP($A2,'FL Ratio'!$A$3:$B$10,2,FALSE),0)*'FL Characterization'!K$2)</f>
        <v>52.672161382166834</v>
      </c>
      <c r="L2" s="2">
        <f>('[1]Pc, Summer, S2'!L2*Main!$B$5)+(_xlfn.IFNA(VLOOKUP($A2,'FL Ratio'!$A$3:$B$10,2,FALSE),0)*'FL Characterization'!L$2)</f>
        <v>52.139133160881272</v>
      </c>
      <c r="M2" s="2">
        <f>('[1]Pc, Summer, S2'!M2*Main!$B$5)+(_xlfn.IFNA(VLOOKUP($A2,'FL Ratio'!$A$3:$B$10,2,FALSE),0)*'FL Characterization'!M$2)</f>
        <v>53.613555258643082</v>
      </c>
      <c r="N2" s="2">
        <f>('[1]Pc, Summer, S2'!N2*Main!$B$5)+(_xlfn.IFNA(VLOOKUP($A2,'FL Ratio'!$A$3:$B$10,2,FALSE),0)*'FL Characterization'!N$2)</f>
        <v>54.349020192213437</v>
      </c>
      <c r="O2" s="2">
        <f>('[1]Pc, Summer, S2'!O2*Main!$B$5)+(_xlfn.IFNA(VLOOKUP($A2,'FL Ratio'!$A$3:$B$10,2,FALSE),0)*'FL Characterization'!O$2)</f>
        <v>53.343665137877586</v>
      </c>
      <c r="P2" s="2">
        <f>('[1]Pc, Summer, S2'!P2*Main!$B$5)+(_xlfn.IFNA(VLOOKUP($A2,'FL Ratio'!$A$3:$B$10,2,FALSE),0)*'FL Characterization'!P$2)</f>
        <v>51.259250288714398</v>
      </c>
      <c r="Q2" s="2">
        <f>('[1]Pc, Summer, S2'!Q2*Main!$B$5)+(_xlfn.IFNA(VLOOKUP($A2,'FL Ratio'!$A$3:$B$10,2,FALSE),0)*'FL Characterization'!Q$2)</f>
        <v>49.196153897659158</v>
      </c>
      <c r="R2" s="2">
        <f>('[1]Pc, Summer, S2'!R2*Main!$B$5)+(_xlfn.IFNA(VLOOKUP($A2,'FL Ratio'!$A$3:$B$10,2,FALSE),0)*'FL Characterization'!R$2)</f>
        <v>50.054465550730278</v>
      </c>
      <c r="S2" s="2">
        <f>('[1]Pc, Summer, S2'!S2*Main!$B$5)+(_xlfn.IFNA(VLOOKUP($A2,'FL Ratio'!$A$3:$B$10,2,FALSE),0)*'FL Characterization'!S$2)</f>
        <v>50.548991166657061</v>
      </c>
      <c r="T2" s="2">
        <f>('[1]Pc, Summer, S2'!T2*Main!$B$5)+(_xlfn.IFNA(VLOOKUP($A2,'FL Ratio'!$A$3:$B$10,2,FALSE),0)*'FL Characterization'!T$2)</f>
        <v>50.763552856173881</v>
      </c>
      <c r="U2" s="2">
        <f>('[1]Pc, Summer, S2'!U2*Main!$B$5)+(_xlfn.IFNA(VLOOKUP($A2,'FL Ratio'!$A$3:$B$10,2,FALSE),0)*'FL Characterization'!U$2)</f>
        <v>49.923182678754614</v>
      </c>
      <c r="V2" s="2">
        <f>('[1]Pc, Summer, S2'!V2*Main!$B$5)+(_xlfn.IFNA(VLOOKUP($A2,'FL Ratio'!$A$3:$B$10,2,FALSE),0)*'FL Characterization'!V$2)</f>
        <v>50.073179851188151</v>
      </c>
      <c r="W2" s="2">
        <f>('[1]Pc, Summer, S2'!W2*Main!$B$5)+(_xlfn.IFNA(VLOOKUP($A2,'FL Ratio'!$A$3:$B$10,2,FALSE),0)*'FL Characterization'!W$2)</f>
        <v>52.147109305723319</v>
      </c>
      <c r="X2" s="2">
        <f>('[1]Pc, Summer, S2'!X2*Main!$B$5)+(_xlfn.IFNA(VLOOKUP($A2,'FL Ratio'!$A$3:$B$10,2,FALSE),0)*'FL Characterization'!X$2)</f>
        <v>48.607417613668481</v>
      </c>
      <c r="Y2" s="2">
        <f>('[1]Pc, Summer, S2'!Y2*Main!$B$5)+(_xlfn.IFNA(VLOOKUP($A2,'FL Ratio'!$A$3:$B$10,2,FALSE),0)*'FL Characterization'!Y$2)</f>
        <v>44.558148696304507</v>
      </c>
    </row>
    <row r="3" spans="1:25" x14ac:dyDescent="0.3">
      <c r="A3">
        <v>2</v>
      </c>
      <c r="B3" s="2">
        <f>('[1]Pc, Summer, S2'!B3*Main!$B$5)+(_xlfn.IFNA(VLOOKUP($A3,'FL Ratio'!$A$3:$B$10,2,FALSE),0)*'FL Characterization'!B$2)</f>
        <v>42.620651229418129</v>
      </c>
      <c r="C3" s="2">
        <f>('[1]Pc, Summer, S2'!C3*Main!$B$5)+(_xlfn.IFNA(VLOOKUP($A3,'FL Ratio'!$A$3:$B$10,2,FALSE),0)*'FL Characterization'!C$2)</f>
        <v>39.106199645182812</v>
      </c>
      <c r="D3" s="2">
        <f>('[1]Pc, Summer, S2'!D3*Main!$B$5)+(_xlfn.IFNA(VLOOKUP($A3,'FL Ratio'!$A$3:$B$10,2,FALSE),0)*'FL Characterization'!D$2)</f>
        <v>37.052277375005801</v>
      </c>
      <c r="E3" s="2">
        <f>('[1]Pc, Summer, S2'!E3*Main!$B$5)+(_xlfn.IFNA(VLOOKUP($A3,'FL Ratio'!$A$3:$B$10,2,FALSE),0)*'FL Characterization'!E$2)</f>
        <v>35.695975766865111</v>
      </c>
      <c r="F3" s="2">
        <f>('[1]Pc, Summer, S2'!F3*Main!$B$5)+(_xlfn.IFNA(VLOOKUP($A3,'FL Ratio'!$A$3:$B$10,2,FALSE),0)*'FL Characterization'!F$2)</f>
        <v>35.310400173658877</v>
      </c>
      <c r="G3" s="2">
        <f>('[1]Pc, Summer, S2'!G3*Main!$B$5)+(_xlfn.IFNA(VLOOKUP($A3,'FL Ratio'!$A$3:$B$10,2,FALSE),0)*'FL Characterization'!G$2)</f>
        <v>37.46995654840515</v>
      </c>
      <c r="H3" s="2">
        <f>('[1]Pc, Summer, S2'!H3*Main!$B$5)+(_xlfn.IFNA(VLOOKUP($A3,'FL Ratio'!$A$3:$B$10,2,FALSE),0)*'FL Characterization'!H$2)</f>
        <v>46.90415775857641</v>
      </c>
      <c r="I3" s="2">
        <f>('[1]Pc, Summer, S2'!I3*Main!$B$5)+(_xlfn.IFNA(VLOOKUP($A3,'FL Ratio'!$A$3:$B$10,2,FALSE),0)*'FL Characterization'!I$2)</f>
        <v>55.80103842858793</v>
      </c>
      <c r="J3" s="2">
        <f>('[1]Pc, Summer, S2'!J3*Main!$B$5)+(_xlfn.IFNA(VLOOKUP($A3,'FL Ratio'!$A$3:$B$10,2,FALSE),0)*'FL Characterization'!J$2)</f>
        <v>58.187034298040032</v>
      </c>
      <c r="K3" s="2">
        <f>('[1]Pc, Summer, S2'!K3*Main!$B$5)+(_xlfn.IFNA(VLOOKUP($A3,'FL Ratio'!$A$3:$B$10,2,FALSE),0)*'FL Characterization'!K$2)</f>
        <v>57.101908993980452</v>
      </c>
      <c r="L3" s="2">
        <f>('[1]Pc, Summer, S2'!L3*Main!$B$5)+(_xlfn.IFNA(VLOOKUP($A3,'FL Ratio'!$A$3:$B$10,2,FALSE),0)*'FL Characterization'!L$2)</f>
        <v>56.908913763717734</v>
      </c>
      <c r="M3" s="2">
        <f>('[1]Pc, Summer, S2'!M3*Main!$B$5)+(_xlfn.IFNA(VLOOKUP($A3,'FL Ratio'!$A$3:$B$10,2,FALSE),0)*'FL Characterization'!M$2)</f>
        <v>60.685097205868111</v>
      </c>
      <c r="N3" s="2">
        <f>('[1]Pc, Summer, S2'!N3*Main!$B$5)+(_xlfn.IFNA(VLOOKUP($A3,'FL Ratio'!$A$3:$B$10,2,FALSE),0)*'FL Characterization'!N$2)</f>
        <v>60.86145647360258</v>
      </c>
      <c r="O3" s="2">
        <f>('[1]Pc, Summer, S2'!O3*Main!$B$5)+(_xlfn.IFNA(VLOOKUP($A3,'FL Ratio'!$A$3:$B$10,2,FALSE),0)*'FL Characterization'!O$2)</f>
        <v>61.260491584436146</v>
      </c>
      <c r="P3" s="2">
        <f>('[1]Pc, Summer, S2'!P3*Main!$B$5)+(_xlfn.IFNA(VLOOKUP($A3,'FL Ratio'!$A$3:$B$10,2,FALSE),0)*'FL Characterization'!P$2)</f>
        <v>58.288880955520227</v>
      </c>
      <c r="Q3" s="2">
        <f>('[1]Pc, Summer, S2'!Q3*Main!$B$5)+(_xlfn.IFNA(VLOOKUP($A3,'FL Ratio'!$A$3:$B$10,2,FALSE),0)*'FL Characterization'!Q$2)</f>
        <v>55.216506597374647</v>
      </c>
      <c r="R3" s="2">
        <f>('[1]Pc, Summer, S2'!R3*Main!$B$5)+(_xlfn.IFNA(VLOOKUP($A3,'FL Ratio'!$A$3:$B$10,2,FALSE),0)*'FL Characterization'!R$2)</f>
        <v>51.097705039506465</v>
      </c>
      <c r="S3" s="2">
        <f>('[1]Pc, Summer, S2'!S3*Main!$B$5)+(_xlfn.IFNA(VLOOKUP($A3,'FL Ratio'!$A$3:$B$10,2,FALSE),0)*'FL Characterization'!S$2)</f>
        <v>51.630345656199474</v>
      </c>
      <c r="T3" s="2">
        <f>('[1]Pc, Summer, S2'!T3*Main!$B$5)+(_xlfn.IFNA(VLOOKUP($A3,'FL Ratio'!$A$3:$B$10,2,FALSE),0)*'FL Characterization'!T$2)</f>
        <v>51.198057619463114</v>
      </c>
      <c r="U3" s="2">
        <f>('[1]Pc, Summer, S2'!U3*Main!$B$5)+(_xlfn.IFNA(VLOOKUP($A3,'FL Ratio'!$A$3:$B$10,2,FALSE),0)*'FL Characterization'!U$2)</f>
        <v>51.015760329246</v>
      </c>
      <c r="V3" s="2">
        <f>('[1]Pc, Summer, S2'!V3*Main!$B$5)+(_xlfn.IFNA(VLOOKUP($A3,'FL Ratio'!$A$3:$B$10,2,FALSE),0)*'FL Characterization'!V$2)</f>
        <v>51.239623776841611</v>
      </c>
      <c r="W3" s="2">
        <f>('[1]Pc, Summer, S2'!W3*Main!$B$5)+(_xlfn.IFNA(VLOOKUP($A3,'FL Ratio'!$A$3:$B$10,2,FALSE),0)*'FL Characterization'!W$2)</f>
        <v>50.989237162156861</v>
      </c>
      <c r="X3" s="2">
        <f>('[1]Pc, Summer, S2'!X3*Main!$B$5)+(_xlfn.IFNA(VLOOKUP($A3,'FL Ratio'!$A$3:$B$10,2,FALSE),0)*'FL Characterization'!X$2)</f>
        <v>50.615375664564723</v>
      </c>
      <c r="Y3" s="2">
        <f>('[1]Pc, Summer, S2'!Y3*Main!$B$5)+(_xlfn.IFNA(VLOOKUP($A3,'FL Ratio'!$A$3:$B$10,2,FALSE),0)*'FL Characterization'!Y$2)</f>
        <v>47.857685095234267</v>
      </c>
    </row>
    <row r="4" spans="1:25" x14ac:dyDescent="0.3">
      <c r="A4">
        <v>3</v>
      </c>
      <c r="B4" s="2">
        <f>('[1]Pc, Summer, S2'!B4*Main!$B$5)+(_xlfn.IFNA(VLOOKUP($A4,'FL Ratio'!$A$3:$B$10,2,FALSE),0)*'FL Characterization'!B$2)</f>
        <v>56.619825636485707</v>
      </c>
      <c r="C4" s="2">
        <f>('[1]Pc, Summer, S2'!C4*Main!$B$5)+(_xlfn.IFNA(VLOOKUP($A4,'FL Ratio'!$A$3:$B$10,2,FALSE),0)*'FL Characterization'!C$2)</f>
        <v>50.214915842649305</v>
      </c>
      <c r="D4" s="2">
        <f>('[1]Pc, Summer, S2'!D4*Main!$B$5)+(_xlfn.IFNA(VLOOKUP($A4,'FL Ratio'!$A$3:$B$10,2,FALSE),0)*'FL Characterization'!D$2)</f>
        <v>47.357471999821357</v>
      </c>
      <c r="E4" s="2">
        <f>('[1]Pc, Summer, S2'!E4*Main!$B$5)+(_xlfn.IFNA(VLOOKUP($A4,'FL Ratio'!$A$3:$B$10,2,FALSE),0)*'FL Characterization'!E$2)</f>
        <v>45.80949661187914</v>
      </c>
      <c r="F4" s="2">
        <f>('[1]Pc, Summer, S2'!F4*Main!$B$5)+(_xlfn.IFNA(VLOOKUP($A4,'FL Ratio'!$A$3:$B$10,2,FALSE),0)*'FL Characterization'!F$2)</f>
        <v>48.048555332485563</v>
      </c>
      <c r="G4" s="2">
        <f>('[1]Pc, Summer, S2'!G4*Main!$B$5)+(_xlfn.IFNA(VLOOKUP($A4,'FL Ratio'!$A$3:$B$10,2,FALSE),0)*'FL Characterization'!G$2)</f>
        <v>43.891906456073748</v>
      </c>
      <c r="H4" s="2">
        <f>('[1]Pc, Summer, S2'!H4*Main!$B$5)+(_xlfn.IFNA(VLOOKUP($A4,'FL Ratio'!$A$3:$B$10,2,FALSE),0)*'FL Characterization'!H$2)</f>
        <v>51.55153382813419</v>
      </c>
      <c r="I4" s="2">
        <f>('[1]Pc, Summer, S2'!I4*Main!$B$5)+(_xlfn.IFNA(VLOOKUP($A4,'FL Ratio'!$A$3:$B$10,2,FALSE),0)*'FL Characterization'!I$2)</f>
        <v>58.044079318343222</v>
      </c>
      <c r="J4" s="2">
        <f>('[1]Pc, Summer, S2'!J4*Main!$B$5)+(_xlfn.IFNA(VLOOKUP($A4,'FL Ratio'!$A$3:$B$10,2,FALSE),0)*'FL Characterization'!J$2)</f>
        <v>65.312687386026226</v>
      </c>
      <c r="K4" s="2">
        <f>('[1]Pc, Summer, S2'!K4*Main!$B$5)+(_xlfn.IFNA(VLOOKUP($A4,'FL Ratio'!$A$3:$B$10,2,FALSE),0)*'FL Characterization'!K$2)</f>
        <v>70.204471825459379</v>
      </c>
      <c r="L4" s="2">
        <f>('[1]Pc, Summer, S2'!L4*Main!$B$5)+(_xlfn.IFNA(VLOOKUP($A4,'FL Ratio'!$A$3:$B$10,2,FALSE),0)*'FL Characterization'!L$2)</f>
        <v>72.272171728093852</v>
      </c>
      <c r="M4" s="2">
        <f>('[1]Pc, Summer, S2'!M4*Main!$B$5)+(_xlfn.IFNA(VLOOKUP($A4,'FL Ratio'!$A$3:$B$10,2,FALSE),0)*'FL Characterization'!M$2)</f>
        <v>73.471599697736053</v>
      </c>
      <c r="N4" s="2">
        <f>('[1]Pc, Summer, S2'!N4*Main!$B$5)+(_xlfn.IFNA(VLOOKUP($A4,'FL Ratio'!$A$3:$B$10,2,FALSE),0)*'FL Characterization'!N$2)</f>
        <v>75.084748370635396</v>
      </c>
      <c r="O4" s="2">
        <f>('[1]Pc, Summer, S2'!O4*Main!$B$5)+(_xlfn.IFNA(VLOOKUP($A4,'FL Ratio'!$A$3:$B$10,2,FALSE),0)*'FL Characterization'!O$2)</f>
        <v>76.094875678835393</v>
      </c>
      <c r="P4" s="2">
        <f>('[1]Pc, Summer, S2'!P4*Main!$B$5)+(_xlfn.IFNA(VLOOKUP($A4,'FL Ratio'!$A$3:$B$10,2,FALSE),0)*'FL Characterization'!P$2)</f>
        <v>76.41583219224141</v>
      </c>
      <c r="Q4" s="2">
        <f>('[1]Pc, Summer, S2'!Q4*Main!$B$5)+(_xlfn.IFNA(VLOOKUP($A4,'FL Ratio'!$A$3:$B$10,2,FALSE),0)*'FL Characterization'!Q$2)</f>
        <v>73.554678353576847</v>
      </c>
      <c r="R4" s="2">
        <f>('[1]Pc, Summer, S2'!R4*Main!$B$5)+(_xlfn.IFNA(VLOOKUP($A4,'FL Ratio'!$A$3:$B$10,2,FALSE),0)*'FL Characterization'!R$2)</f>
        <v>73.189031549768686</v>
      </c>
      <c r="S4" s="2">
        <f>('[1]Pc, Summer, S2'!S4*Main!$B$5)+(_xlfn.IFNA(VLOOKUP($A4,'FL Ratio'!$A$3:$B$10,2,FALSE),0)*'FL Characterization'!S$2)</f>
        <v>70.888253728117562</v>
      </c>
      <c r="T4" s="2">
        <f>('[1]Pc, Summer, S2'!T4*Main!$B$5)+(_xlfn.IFNA(VLOOKUP($A4,'FL Ratio'!$A$3:$B$10,2,FALSE),0)*'FL Characterization'!T$2)</f>
        <v>70.823443811278381</v>
      </c>
      <c r="U4" s="2">
        <f>('[1]Pc, Summer, S2'!U4*Main!$B$5)+(_xlfn.IFNA(VLOOKUP($A4,'FL Ratio'!$A$3:$B$10,2,FALSE),0)*'FL Characterization'!U$2)</f>
        <v>71.218388884934697</v>
      </c>
      <c r="V4" s="2">
        <f>('[1]Pc, Summer, S2'!V4*Main!$B$5)+(_xlfn.IFNA(VLOOKUP($A4,'FL Ratio'!$A$3:$B$10,2,FALSE),0)*'FL Characterization'!V$2)</f>
        <v>70.860370975328166</v>
      </c>
      <c r="W4" s="2">
        <f>('[1]Pc, Summer, S2'!W4*Main!$B$5)+(_xlfn.IFNA(VLOOKUP($A4,'FL Ratio'!$A$3:$B$10,2,FALSE),0)*'FL Characterization'!W$2)</f>
        <v>73.126688796963123</v>
      </c>
      <c r="X4" s="2">
        <f>('[1]Pc, Summer, S2'!X4*Main!$B$5)+(_xlfn.IFNA(VLOOKUP($A4,'FL Ratio'!$A$3:$B$10,2,FALSE),0)*'FL Characterization'!X$2)</f>
        <v>72.899242699319785</v>
      </c>
      <c r="Y4" s="2">
        <f>('[1]Pc, Summer, S2'!Y4*Main!$B$5)+(_xlfn.IFNA(VLOOKUP($A4,'FL Ratio'!$A$3:$B$10,2,FALSE),0)*'FL Characterization'!Y$2)</f>
        <v>65.728969344880127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52950-9564-4F28-9D1A-239901636696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Ratio'!$A$3:$B$10,2,FALSE),0)*'FL Characterization'!B$2)</f>
        <v>39.635382842223301</v>
      </c>
      <c r="C2" s="2">
        <f>('[1]Pc, Summer, S2'!C2*Main!$B$5)+(_xlfn.IFNA(VLOOKUP($A2,'FL Ratio'!$A$3:$B$10,2,FALSE),0)*'FL Characterization'!C$2)</f>
        <v>36.010519024318306</v>
      </c>
      <c r="D2" s="2">
        <f>('[1]Pc, Summer, S2'!D2*Main!$B$5)+(_xlfn.IFNA(VLOOKUP($A2,'FL Ratio'!$A$3:$B$10,2,FALSE),0)*'FL Characterization'!D$2)</f>
        <v>35.381508848155178</v>
      </c>
      <c r="E2" s="2">
        <f>('[1]Pc, Summer, S2'!E2*Main!$B$5)+(_xlfn.IFNA(VLOOKUP($A2,'FL Ratio'!$A$3:$B$10,2,FALSE),0)*'FL Characterization'!E$2)</f>
        <v>35.291124517671193</v>
      </c>
      <c r="F2" s="2">
        <f>('[1]Pc, Summer, S2'!F2*Main!$B$5)+(_xlfn.IFNA(VLOOKUP($A2,'FL Ratio'!$A$3:$B$10,2,FALSE),0)*'FL Characterization'!F$2)</f>
        <v>35.293906873823289</v>
      </c>
      <c r="G2" s="2">
        <f>('[1]Pc, Summer, S2'!G2*Main!$B$5)+(_xlfn.IFNA(VLOOKUP($A2,'FL Ratio'!$A$3:$B$10,2,FALSE),0)*'FL Characterization'!G$2)</f>
        <v>34.981777874087292</v>
      </c>
      <c r="H2" s="2">
        <f>('[1]Pc, Summer, S2'!H2*Main!$B$5)+(_xlfn.IFNA(VLOOKUP($A2,'FL Ratio'!$A$3:$B$10,2,FALSE),0)*'FL Characterization'!H$2)</f>
        <v>37.765951929146979</v>
      </c>
      <c r="I2" s="2">
        <f>('[1]Pc, Summer, S2'!I2*Main!$B$5)+(_xlfn.IFNA(VLOOKUP($A2,'FL Ratio'!$A$3:$B$10,2,FALSE),0)*'FL Characterization'!I$2)</f>
        <v>44.837411461165146</v>
      </c>
      <c r="J2" s="2">
        <f>('[1]Pc, Summer, S2'!J2*Main!$B$5)+(_xlfn.IFNA(VLOOKUP($A2,'FL Ratio'!$A$3:$B$10,2,FALSE),0)*'FL Characterization'!J$2)</f>
        <v>51.101899691323624</v>
      </c>
      <c r="K2" s="2">
        <f>('[1]Pc, Summer, S2'!K2*Main!$B$5)+(_xlfn.IFNA(VLOOKUP($A2,'FL Ratio'!$A$3:$B$10,2,FALSE),0)*'FL Characterization'!K$2)</f>
        <v>52.672161382166834</v>
      </c>
      <c r="L2" s="2">
        <f>('[1]Pc, Summer, S2'!L2*Main!$B$5)+(_xlfn.IFNA(VLOOKUP($A2,'FL Ratio'!$A$3:$B$10,2,FALSE),0)*'FL Characterization'!L$2)</f>
        <v>52.139133160881272</v>
      </c>
      <c r="M2" s="2">
        <f>('[1]Pc, Summer, S2'!M2*Main!$B$5)+(_xlfn.IFNA(VLOOKUP($A2,'FL Ratio'!$A$3:$B$10,2,FALSE),0)*'FL Characterization'!M$2)</f>
        <v>53.613555258643082</v>
      </c>
      <c r="N2" s="2">
        <f>('[1]Pc, Summer, S2'!N2*Main!$B$5)+(_xlfn.IFNA(VLOOKUP($A2,'FL Ratio'!$A$3:$B$10,2,FALSE),0)*'FL Characterization'!N$2)</f>
        <v>54.349020192213437</v>
      </c>
      <c r="O2" s="2">
        <f>('[1]Pc, Summer, S2'!O2*Main!$B$5)+(_xlfn.IFNA(VLOOKUP($A2,'FL Ratio'!$A$3:$B$10,2,FALSE),0)*'FL Characterization'!O$2)</f>
        <v>53.343665137877586</v>
      </c>
      <c r="P2" s="2">
        <f>('[1]Pc, Summer, S2'!P2*Main!$B$5)+(_xlfn.IFNA(VLOOKUP($A2,'FL Ratio'!$A$3:$B$10,2,FALSE),0)*'FL Characterization'!P$2)</f>
        <v>51.259250288714398</v>
      </c>
      <c r="Q2" s="2">
        <f>('[1]Pc, Summer, S2'!Q2*Main!$B$5)+(_xlfn.IFNA(VLOOKUP($A2,'FL Ratio'!$A$3:$B$10,2,FALSE),0)*'FL Characterization'!Q$2)</f>
        <v>49.196153897659158</v>
      </c>
      <c r="R2" s="2">
        <f>('[1]Pc, Summer, S2'!R2*Main!$B$5)+(_xlfn.IFNA(VLOOKUP($A2,'FL Ratio'!$A$3:$B$10,2,FALSE),0)*'FL Characterization'!R$2)</f>
        <v>50.054465550730278</v>
      </c>
      <c r="S2" s="2">
        <f>('[1]Pc, Summer, S2'!S2*Main!$B$5)+(_xlfn.IFNA(VLOOKUP($A2,'FL Ratio'!$A$3:$B$10,2,FALSE),0)*'FL Characterization'!S$2)</f>
        <v>50.548991166657061</v>
      </c>
      <c r="T2" s="2">
        <f>('[1]Pc, Summer, S2'!T2*Main!$B$5)+(_xlfn.IFNA(VLOOKUP($A2,'FL Ratio'!$A$3:$B$10,2,FALSE),0)*'FL Characterization'!T$2)</f>
        <v>50.763552856173881</v>
      </c>
      <c r="U2" s="2">
        <f>('[1]Pc, Summer, S2'!U2*Main!$B$5)+(_xlfn.IFNA(VLOOKUP($A2,'FL Ratio'!$A$3:$B$10,2,FALSE),0)*'FL Characterization'!U$2)</f>
        <v>49.923182678754614</v>
      </c>
      <c r="V2" s="2">
        <f>('[1]Pc, Summer, S2'!V2*Main!$B$5)+(_xlfn.IFNA(VLOOKUP($A2,'FL Ratio'!$A$3:$B$10,2,FALSE),0)*'FL Characterization'!V$2)</f>
        <v>50.073179851188151</v>
      </c>
      <c r="W2" s="2">
        <f>('[1]Pc, Summer, S2'!W2*Main!$B$5)+(_xlfn.IFNA(VLOOKUP($A2,'FL Ratio'!$A$3:$B$10,2,FALSE),0)*'FL Characterization'!W$2)</f>
        <v>52.147109305723319</v>
      </c>
      <c r="X2" s="2">
        <f>('[1]Pc, Summer, S2'!X2*Main!$B$5)+(_xlfn.IFNA(VLOOKUP($A2,'FL Ratio'!$A$3:$B$10,2,FALSE),0)*'FL Characterization'!X$2)</f>
        <v>48.607417613668481</v>
      </c>
      <c r="Y2" s="2">
        <f>('[1]Pc, Summer, S2'!Y2*Main!$B$5)+(_xlfn.IFNA(VLOOKUP($A2,'FL Ratio'!$A$3:$B$10,2,FALSE),0)*'FL Characterization'!Y$2)</f>
        <v>44.558148696304507</v>
      </c>
    </row>
    <row r="3" spans="1:25" x14ac:dyDescent="0.3">
      <c r="A3">
        <v>2</v>
      </c>
      <c r="B3" s="2">
        <f>('[1]Pc, Summer, S2'!B3*Main!$B$5)+(_xlfn.IFNA(VLOOKUP($A3,'FL Ratio'!$A$3:$B$10,2,FALSE),0)*'FL Characterization'!B$2)</f>
        <v>42.620651229418129</v>
      </c>
      <c r="C3" s="2">
        <f>('[1]Pc, Summer, S2'!C3*Main!$B$5)+(_xlfn.IFNA(VLOOKUP($A3,'FL Ratio'!$A$3:$B$10,2,FALSE),0)*'FL Characterization'!C$2)</f>
        <v>39.106199645182812</v>
      </c>
      <c r="D3" s="2">
        <f>('[1]Pc, Summer, S2'!D3*Main!$B$5)+(_xlfn.IFNA(VLOOKUP($A3,'FL Ratio'!$A$3:$B$10,2,FALSE),0)*'FL Characterization'!D$2)</f>
        <v>37.052277375005801</v>
      </c>
      <c r="E3" s="2">
        <f>('[1]Pc, Summer, S2'!E3*Main!$B$5)+(_xlfn.IFNA(VLOOKUP($A3,'FL Ratio'!$A$3:$B$10,2,FALSE),0)*'FL Characterization'!E$2)</f>
        <v>35.695975766865111</v>
      </c>
      <c r="F3" s="2">
        <f>('[1]Pc, Summer, S2'!F3*Main!$B$5)+(_xlfn.IFNA(VLOOKUP($A3,'FL Ratio'!$A$3:$B$10,2,FALSE),0)*'FL Characterization'!F$2)</f>
        <v>35.310400173658877</v>
      </c>
      <c r="G3" s="2">
        <f>('[1]Pc, Summer, S2'!G3*Main!$B$5)+(_xlfn.IFNA(VLOOKUP($A3,'FL Ratio'!$A$3:$B$10,2,FALSE),0)*'FL Characterization'!G$2)</f>
        <v>37.46995654840515</v>
      </c>
      <c r="H3" s="2">
        <f>('[1]Pc, Summer, S2'!H3*Main!$B$5)+(_xlfn.IFNA(VLOOKUP($A3,'FL Ratio'!$A$3:$B$10,2,FALSE),0)*'FL Characterization'!H$2)</f>
        <v>46.90415775857641</v>
      </c>
      <c r="I3" s="2">
        <f>('[1]Pc, Summer, S2'!I3*Main!$B$5)+(_xlfn.IFNA(VLOOKUP($A3,'FL Ratio'!$A$3:$B$10,2,FALSE),0)*'FL Characterization'!I$2)</f>
        <v>55.80103842858793</v>
      </c>
      <c r="J3" s="2">
        <f>('[1]Pc, Summer, S2'!J3*Main!$B$5)+(_xlfn.IFNA(VLOOKUP($A3,'FL Ratio'!$A$3:$B$10,2,FALSE),0)*'FL Characterization'!J$2)</f>
        <v>58.187034298040032</v>
      </c>
      <c r="K3" s="2">
        <f>('[1]Pc, Summer, S2'!K3*Main!$B$5)+(_xlfn.IFNA(VLOOKUP($A3,'FL Ratio'!$A$3:$B$10,2,FALSE),0)*'FL Characterization'!K$2)</f>
        <v>57.101908993980452</v>
      </c>
      <c r="L3" s="2">
        <f>('[1]Pc, Summer, S2'!L3*Main!$B$5)+(_xlfn.IFNA(VLOOKUP($A3,'FL Ratio'!$A$3:$B$10,2,FALSE),0)*'FL Characterization'!L$2)</f>
        <v>56.908913763717734</v>
      </c>
      <c r="M3" s="2">
        <f>('[1]Pc, Summer, S2'!M3*Main!$B$5)+(_xlfn.IFNA(VLOOKUP($A3,'FL Ratio'!$A$3:$B$10,2,FALSE),0)*'FL Characterization'!M$2)</f>
        <v>60.685097205868111</v>
      </c>
      <c r="N3" s="2">
        <f>('[1]Pc, Summer, S2'!N3*Main!$B$5)+(_xlfn.IFNA(VLOOKUP($A3,'FL Ratio'!$A$3:$B$10,2,FALSE),0)*'FL Characterization'!N$2)</f>
        <v>60.86145647360258</v>
      </c>
      <c r="O3" s="2">
        <f>('[1]Pc, Summer, S2'!O3*Main!$B$5)+(_xlfn.IFNA(VLOOKUP($A3,'FL Ratio'!$A$3:$B$10,2,FALSE),0)*'FL Characterization'!O$2)</f>
        <v>61.260491584436146</v>
      </c>
      <c r="P3" s="2">
        <f>('[1]Pc, Summer, S2'!P3*Main!$B$5)+(_xlfn.IFNA(VLOOKUP($A3,'FL Ratio'!$A$3:$B$10,2,FALSE),0)*'FL Characterization'!P$2)</f>
        <v>58.288880955520227</v>
      </c>
      <c r="Q3" s="2">
        <f>('[1]Pc, Summer, S2'!Q3*Main!$B$5)+(_xlfn.IFNA(VLOOKUP($A3,'FL Ratio'!$A$3:$B$10,2,FALSE),0)*'FL Characterization'!Q$2)</f>
        <v>55.216506597374647</v>
      </c>
      <c r="R3" s="2">
        <f>('[1]Pc, Summer, S2'!R3*Main!$B$5)+(_xlfn.IFNA(VLOOKUP($A3,'FL Ratio'!$A$3:$B$10,2,FALSE),0)*'FL Characterization'!R$2)</f>
        <v>51.097705039506465</v>
      </c>
      <c r="S3" s="2">
        <f>('[1]Pc, Summer, S2'!S3*Main!$B$5)+(_xlfn.IFNA(VLOOKUP($A3,'FL Ratio'!$A$3:$B$10,2,FALSE),0)*'FL Characterization'!S$2)</f>
        <v>51.630345656199474</v>
      </c>
      <c r="T3" s="2">
        <f>('[1]Pc, Summer, S2'!T3*Main!$B$5)+(_xlfn.IFNA(VLOOKUP($A3,'FL Ratio'!$A$3:$B$10,2,FALSE),0)*'FL Characterization'!T$2)</f>
        <v>51.198057619463114</v>
      </c>
      <c r="U3" s="2">
        <f>('[1]Pc, Summer, S2'!U3*Main!$B$5)+(_xlfn.IFNA(VLOOKUP($A3,'FL Ratio'!$A$3:$B$10,2,FALSE),0)*'FL Characterization'!U$2)</f>
        <v>51.015760329246</v>
      </c>
      <c r="V3" s="2">
        <f>('[1]Pc, Summer, S2'!V3*Main!$B$5)+(_xlfn.IFNA(VLOOKUP($A3,'FL Ratio'!$A$3:$B$10,2,FALSE),0)*'FL Characterization'!V$2)</f>
        <v>51.239623776841611</v>
      </c>
      <c r="W3" s="2">
        <f>('[1]Pc, Summer, S2'!W3*Main!$B$5)+(_xlfn.IFNA(VLOOKUP($A3,'FL Ratio'!$A$3:$B$10,2,FALSE),0)*'FL Characterization'!W$2)</f>
        <v>50.989237162156861</v>
      </c>
      <c r="X3" s="2">
        <f>('[1]Pc, Summer, S2'!X3*Main!$B$5)+(_xlfn.IFNA(VLOOKUP($A3,'FL Ratio'!$A$3:$B$10,2,FALSE),0)*'FL Characterization'!X$2)</f>
        <v>50.615375664564723</v>
      </c>
      <c r="Y3" s="2">
        <f>('[1]Pc, Summer, S2'!Y3*Main!$B$5)+(_xlfn.IFNA(VLOOKUP($A3,'FL Ratio'!$A$3:$B$10,2,FALSE),0)*'FL Characterization'!Y$2)</f>
        <v>47.857685095234267</v>
      </c>
    </row>
    <row r="4" spans="1:25" x14ac:dyDescent="0.3">
      <c r="A4">
        <v>3</v>
      </c>
      <c r="B4" s="2">
        <f>('[1]Pc, Summer, S2'!B4*Main!$B$5)+(_xlfn.IFNA(VLOOKUP($A4,'FL Ratio'!$A$3:$B$10,2,FALSE),0)*'FL Characterization'!B$2)</f>
        <v>56.619825636485707</v>
      </c>
      <c r="C4" s="2">
        <f>('[1]Pc, Summer, S2'!C4*Main!$B$5)+(_xlfn.IFNA(VLOOKUP($A4,'FL Ratio'!$A$3:$B$10,2,FALSE),0)*'FL Characterization'!C$2)</f>
        <v>50.214915842649305</v>
      </c>
      <c r="D4" s="2">
        <f>('[1]Pc, Summer, S2'!D4*Main!$B$5)+(_xlfn.IFNA(VLOOKUP($A4,'FL Ratio'!$A$3:$B$10,2,FALSE),0)*'FL Characterization'!D$2)</f>
        <v>47.357471999821357</v>
      </c>
      <c r="E4" s="2">
        <f>('[1]Pc, Summer, S2'!E4*Main!$B$5)+(_xlfn.IFNA(VLOOKUP($A4,'FL Ratio'!$A$3:$B$10,2,FALSE),0)*'FL Characterization'!E$2)</f>
        <v>45.80949661187914</v>
      </c>
      <c r="F4" s="2">
        <f>('[1]Pc, Summer, S2'!F4*Main!$B$5)+(_xlfn.IFNA(VLOOKUP($A4,'FL Ratio'!$A$3:$B$10,2,FALSE),0)*'FL Characterization'!F$2)</f>
        <v>48.048555332485563</v>
      </c>
      <c r="G4" s="2">
        <f>('[1]Pc, Summer, S2'!G4*Main!$B$5)+(_xlfn.IFNA(VLOOKUP($A4,'FL Ratio'!$A$3:$B$10,2,FALSE),0)*'FL Characterization'!G$2)</f>
        <v>43.891906456073748</v>
      </c>
      <c r="H4" s="2">
        <f>('[1]Pc, Summer, S2'!H4*Main!$B$5)+(_xlfn.IFNA(VLOOKUP($A4,'FL Ratio'!$A$3:$B$10,2,FALSE),0)*'FL Characterization'!H$2)</f>
        <v>51.55153382813419</v>
      </c>
      <c r="I4" s="2">
        <f>('[1]Pc, Summer, S2'!I4*Main!$B$5)+(_xlfn.IFNA(VLOOKUP($A4,'FL Ratio'!$A$3:$B$10,2,FALSE),0)*'FL Characterization'!I$2)</f>
        <v>58.044079318343222</v>
      </c>
      <c r="J4" s="2">
        <f>('[1]Pc, Summer, S2'!J4*Main!$B$5)+(_xlfn.IFNA(VLOOKUP($A4,'FL Ratio'!$A$3:$B$10,2,FALSE),0)*'FL Characterization'!J$2)</f>
        <v>65.312687386026226</v>
      </c>
      <c r="K4" s="2">
        <f>('[1]Pc, Summer, S2'!K4*Main!$B$5)+(_xlfn.IFNA(VLOOKUP($A4,'FL Ratio'!$A$3:$B$10,2,FALSE),0)*'FL Characterization'!K$2)</f>
        <v>70.204471825459379</v>
      </c>
      <c r="L4" s="2">
        <f>('[1]Pc, Summer, S2'!L4*Main!$B$5)+(_xlfn.IFNA(VLOOKUP($A4,'FL Ratio'!$A$3:$B$10,2,FALSE),0)*'FL Characterization'!L$2)</f>
        <v>72.272171728093852</v>
      </c>
      <c r="M4" s="2">
        <f>('[1]Pc, Summer, S2'!M4*Main!$B$5)+(_xlfn.IFNA(VLOOKUP($A4,'FL Ratio'!$A$3:$B$10,2,FALSE),0)*'FL Characterization'!M$2)</f>
        <v>73.471599697736053</v>
      </c>
      <c r="N4" s="2">
        <f>('[1]Pc, Summer, S2'!N4*Main!$B$5)+(_xlfn.IFNA(VLOOKUP($A4,'FL Ratio'!$A$3:$B$10,2,FALSE),0)*'FL Characterization'!N$2)</f>
        <v>75.084748370635396</v>
      </c>
      <c r="O4" s="2">
        <f>('[1]Pc, Summer, S2'!O4*Main!$B$5)+(_xlfn.IFNA(VLOOKUP($A4,'FL Ratio'!$A$3:$B$10,2,FALSE),0)*'FL Characterization'!O$2)</f>
        <v>76.094875678835393</v>
      </c>
      <c r="P4" s="2">
        <f>('[1]Pc, Summer, S2'!P4*Main!$B$5)+(_xlfn.IFNA(VLOOKUP($A4,'FL Ratio'!$A$3:$B$10,2,FALSE),0)*'FL Characterization'!P$2)</f>
        <v>76.41583219224141</v>
      </c>
      <c r="Q4" s="2">
        <f>('[1]Pc, Summer, S2'!Q4*Main!$B$5)+(_xlfn.IFNA(VLOOKUP($A4,'FL Ratio'!$A$3:$B$10,2,FALSE),0)*'FL Characterization'!Q$2)</f>
        <v>73.554678353576847</v>
      </c>
      <c r="R4" s="2">
        <f>('[1]Pc, Summer, S2'!R4*Main!$B$5)+(_xlfn.IFNA(VLOOKUP($A4,'FL Ratio'!$A$3:$B$10,2,FALSE),0)*'FL Characterization'!R$2)</f>
        <v>73.189031549768686</v>
      </c>
      <c r="S4" s="2">
        <f>('[1]Pc, Summer, S2'!S4*Main!$B$5)+(_xlfn.IFNA(VLOOKUP($A4,'FL Ratio'!$A$3:$B$10,2,FALSE),0)*'FL Characterization'!S$2)</f>
        <v>70.888253728117562</v>
      </c>
      <c r="T4" s="2">
        <f>('[1]Pc, Summer, S2'!T4*Main!$B$5)+(_xlfn.IFNA(VLOOKUP($A4,'FL Ratio'!$A$3:$B$10,2,FALSE),0)*'FL Characterization'!T$2)</f>
        <v>70.823443811278381</v>
      </c>
      <c r="U4" s="2">
        <f>('[1]Pc, Summer, S2'!U4*Main!$B$5)+(_xlfn.IFNA(VLOOKUP($A4,'FL Ratio'!$A$3:$B$10,2,FALSE),0)*'FL Characterization'!U$2)</f>
        <v>71.218388884934697</v>
      </c>
      <c r="V4" s="2">
        <f>('[1]Pc, Summer, S2'!V4*Main!$B$5)+(_xlfn.IFNA(VLOOKUP($A4,'FL Ratio'!$A$3:$B$10,2,FALSE),0)*'FL Characterization'!V$2)</f>
        <v>70.860370975328166</v>
      </c>
      <c r="W4" s="2">
        <f>('[1]Pc, Summer, S2'!W4*Main!$B$5)+(_xlfn.IFNA(VLOOKUP($A4,'FL Ratio'!$A$3:$B$10,2,FALSE),0)*'FL Characterization'!W$2)</f>
        <v>73.126688796963123</v>
      </c>
      <c r="X4" s="2">
        <f>('[1]Pc, Summer, S2'!X4*Main!$B$5)+(_xlfn.IFNA(VLOOKUP($A4,'FL Ratio'!$A$3:$B$10,2,FALSE),0)*'FL Characterization'!X$2)</f>
        <v>72.899242699319785</v>
      </c>
      <c r="Y4" s="2">
        <f>('[1]Pc, Summer, S2'!Y4*Main!$B$5)+(_xlfn.IFNA(VLOOKUP($A4,'FL Ratio'!$A$3:$B$10,2,FALSE),0)*'FL Characterization'!Y$2)</f>
        <v>65.728969344880127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90A78-CB14-4A8D-8A27-27E14EA32DC1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Ratio'!$A$3:$B$10,2,FALSE),0)*'FL Characterization'!B$2)</f>
        <v>37.71133513143576</v>
      </c>
      <c r="C2" s="2">
        <f>('[1]Pc, Summer, S3'!C2*Main!$B$5)+(_xlfn.IFNA(VLOOKUP($A2,'FL Ratio'!$A$3:$B$10,2,FALSE),0)*'FL Characterization'!C$2)</f>
        <v>34.262435576535864</v>
      </c>
      <c r="D2" s="2">
        <f>('[1]Pc, Summer, S3'!D2*Main!$B$5)+(_xlfn.IFNA(VLOOKUP($A2,'FL Ratio'!$A$3:$B$10,2,FALSE),0)*'FL Characterization'!D$2)</f>
        <v>33.663959874943764</v>
      </c>
      <c r="E2" s="2">
        <f>('[1]Pc, Summer, S3'!E2*Main!$B$5)+(_xlfn.IFNA(VLOOKUP($A2,'FL Ratio'!$A$3:$B$10,2,FALSE),0)*'FL Characterization'!E$2)</f>
        <v>33.577963133318214</v>
      </c>
      <c r="F2" s="2">
        <f>('[1]Pc, Summer, S3'!F2*Main!$B$5)+(_xlfn.IFNA(VLOOKUP($A2,'FL Ratio'!$A$3:$B$10,2,FALSE),0)*'FL Characterization'!F$2)</f>
        <v>33.580610423637694</v>
      </c>
      <c r="G2" s="2">
        <f>('[1]Pc, Summer, S3'!G2*Main!$B$5)+(_xlfn.IFNA(VLOOKUP($A2,'FL Ratio'!$A$3:$B$10,2,FALSE),0)*'FL Characterization'!G$2)</f>
        <v>33.283633317092765</v>
      </c>
      <c r="H2" s="2">
        <f>('[1]Pc, Summer, S3'!H2*Main!$B$5)+(_xlfn.IFNA(VLOOKUP($A2,'FL Ratio'!$A$3:$B$10,2,FALSE),0)*'FL Characterization'!H$2)</f>
        <v>35.93265329180975</v>
      </c>
      <c r="I2" s="2">
        <f>('[1]Pc, Summer, S3'!I2*Main!$B$5)+(_xlfn.IFNA(VLOOKUP($A2,'FL Ratio'!$A$3:$B$10,2,FALSE),0)*'FL Characterization'!I$2)</f>
        <v>42.660838089263926</v>
      </c>
      <c r="J2" s="2">
        <f>('[1]Pc, Summer, S3'!J2*Main!$B$5)+(_xlfn.IFNA(VLOOKUP($A2,'FL Ratio'!$A$3:$B$10,2,FALSE),0)*'FL Characterization'!J$2)</f>
        <v>48.621224949026363</v>
      </c>
      <c r="K2" s="2">
        <f>('[1]Pc, Summer, S3'!K2*Main!$B$5)+(_xlfn.IFNA(VLOOKUP($A2,'FL Ratio'!$A$3:$B$10,2,FALSE),0)*'FL Characterization'!K$2)</f>
        <v>50.115260344197559</v>
      </c>
      <c r="L2" s="2">
        <f>('[1]Pc, Summer, S3'!L2*Main!$B$5)+(_xlfn.IFNA(VLOOKUP($A2,'FL Ratio'!$A$3:$B$10,2,FALSE),0)*'FL Characterization'!L$2)</f>
        <v>49.608107279285093</v>
      </c>
      <c r="M2" s="2">
        <f>('[1]Pc, Summer, S3'!M2*Main!$B$5)+(_xlfn.IFNA(VLOOKUP($A2,'FL Ratio'!$A$3:$B$10,2,FALSE),0)*'FL Characterization'!M$2)</f>
        <v>51.01095548880604</v>
      </c>
      <c r="N2" s="2">
        <f>('[1]Pc, Summer, S3'!N2*Main!$B$5)+(_xlfn.IFNA(VLOOKUP($A2,'FL Ratio'!$A$3:$B$10,2,FALSE),0)*'FL Characterization'!N$2)</f>
        <v>51.710718241135119</v>
      </c>
      <c r="O2" s="2">
        <f>('[1]Pc, Summer, S3'!O2*Main!$B$5)+(_xlfn.IFNA(VLOOKUP($A2,'FL Ratio'!$A$3:$B$10,2,FALSE),0)*'FL Characterization'!O$2)</f>
        <v>50.754166830213627</v>
      </c>
      <c r="P2" s="2">
        <f>('[1]Pc, Summer, S3'!P2*Main!$B$5)+(_xlfn.IFNA(VLOOKUP($A2,'FL Ratio'!$A$3:$B$10,2,FALSE),0)*'FL Characterization'!P$2)</f>
        <v>48.770937167903014</v>
      </c>
      <c r="Q2" s="2">
        <f>('[1]Pc, Summer, S3'!Q2*Main!$B$5)+(_xlfn.IFNA(VLOOKUP($A2,'FL Ratio'!$A$3:$B$10,2,FALSE),0)*'FL Characterization'!Q$2)</f>
        <v>46.807991087093178</v>
      </c>
      <c r="R2" s="2">
        <f>('[1]Pc, Summer, S3'!R2*Main!$B$5)+(_xlfn.IFNA(VLOOKUP($A2,'FL Ratio'!$A$3:$B$10,2,FALSE),0)*'FL Characterization'!R$2)</f>
        <v>47.624637125937539</v>
      </c>
      <c r="S2" s="2">
        <f>('[1]Pc, Summer, S3'!S2*Main!$B$5)+(_xlfn.IFNA(VLOOKUP($A2,'FL Ratio'!$A$3:$B$10,2,FALSE),0)*'FL Characterization'!S$2)</f>
        <v>48.095156644003801</v>
      </c>
      <c r="T2" s="2">
        <f>('[1]Pc, Summer, S3'!T2*Main!$B$5)+(_xlfn.IFNA(VLOOKUP($A2,'FL Ratio'!$A$3:$B$10,2,FALSE),0)*'FL Characterization'!T$2)</f>
        <v>48.299302717524661</v>
      </c>
      <c r="U2" s="2">
        <f>('[1]Pc, Summer, S3'!U2*Main!$B$5)+(_xlfn.IFNA(VLOOKUP($A2,'FL Ratio'!$A$3:$B$10,2,FALSE),0)*'FL Characterization'!U$2)</f>
        <v>47.499727208912155</v>
      </c>
      <c r="V2" s="2">
        <f>('[1]Pc, Summer, S3'!V2*Main!$B$5)+(_xlfn.IFNA(VLOOKUP($A2,'FL Ratio'!$A$3:$B$10,2,FALSE),0)*'FL Characterization'!V$2)</f>
        <v>47.64244296520814</v>
      </c>
      <c r="W2" s="2">
        <f>('[1]Pc, Summer, S3'!W2*Main!$B$5)+(_xlfn.IFNA(VLOOKUP($A2,'FL Ratio'!$A$3:$B$10,2,FALSE),0)*'FL Characterization'!W$2)</f>
        <v>49.615696232629958</v>
      </c>
      <c r="X2" s="2">
        <f>('[1]Pc, Summer, S3'!X2*Main!$B$5)+(_xlfn.IFNA(VLOOKUP($A2,'FL Ratio'!$A$3:$B$10,2,FALSE),0)*'FL Characterization'!X$2)</f>
        <v>46.247834234364184</v>
      </c>
      <c r="Y2" s="2">
        <f>('[1]Pc, Summer, S3'!Y2*Main!$B$5)+(_xlfn.IFNA(VLOOKUP($A2,'FL Ratio'!$A$3:$B$10,2,FALSE),0)*'FL Characterization'!Y$2)</f>
        <v>42.395131769299432</v>
      </c>
    </row>
    <row r="3" spans="1:25" x14ac:dyDescent="0.3">
      <c r="A3">
        <v>2</v>
      </c>
      <c r="B3" s="2">
        <f>('[1]Pc, Summer, S3'!B3*Main!$B$5)+(_xlfn.IFNA(VLOOKUP($A3,'FL Ratio'!$A$3:$B$10,2,FALSE),0)*'FL Characterization'!B$2)</f>
        <v>40.669785044064753</v>
      </c>
      <c r="C3" s="2">
        <f>('[1]Pc, Summer, S3'!C3*Main!$B$5)+(_xlfn.IFNA(VLOOKUP($A3,'FL Ratio'!$A$3:$B$10,2,FALSE),0)*'FL Characterization'!C$2)</f>
        <v>37.329877370419958</v>
      </c>
      <c r="D3" s="2">
        <f>('[1]Pc, Summer, S3'!D3*Main!$B$5)+(_xlfn.IFNA(VLOOKUP($A3,'FL Ratio'!$A$3:$B$10,2,FALSE),0)*'FL Characterization'!D$2)</f>
        <v>35.36290004239239</v>
      </c>
      <c r="E3" s="2">
        <f>('[1]Pc, Summer, S3'!E3*Main!$B$5)+(_xlfn.IFNA(VLOOKUP($A3,'FL Ratio'!$A$3:$B$10,2,FALSE),0)*'FL Characterization'!E$2)</f>
        <v>34.066740506924859</v>
      </c>
      <c r="F3" s="2">
        <f>('[1]Pc, Summer, S3'!F3*Main!$B$5)+(_xlfn.IFNA(VLOOKUP($A3,'FL Ratio'!$A$3:$B$10,2,FALSE),0)*'FL Characterization'!F$2)</f>
        <v>33.681164913718625</v>
      </c>
      <c r="G3" s="2">
        <f>('[1]Pc, Summer, S3'!G3*Main!$B$5)+(_xlfn.IFNA(VLOOKUP($A3,'FL Ratio'!$A$3:$B$10,2,FALSE),0)*'FL Characterization'!G$2)</f>
        <v>35.723051564712158</v>
      </c>
      <c r="H3" s="2">
        <f>('[1]Pc, Summer, S3'!H3*Main!$B$5)+(_xlfn.IFNA(VLOOKUP($A3,'FL Ratio'!$A$3:$B$10,2,FALSE),0)*'FL Characterization'!H$2)</f>
        <v>44.715337563335453</v>
      </c>
      <c r="I3" s="2">
        <f>('[1]Pc, Summer, S3'!I3*Main!$B$5)+(_xlfn.IFNA(VLOOKUP($A3,'FL Ratio'!$A$3:$B$10,2,FALSE),0)*'FL Characterization'!I$2)</f>
        <v>53.107546808741212</v>
      </c>
      <c r="J3" s="2">
        <f>('[1]Pc, Summer, S3'!J3*Main!$B$5)+(_xlfn.IFNA(VLOOKUP($A3,'FL Ratio'!$A$3:$B$10,2,FALSE),0)*'FL Characterization'!J$2)</f>
        <v>55.375872813468028</v>
      </c>
      <c r="K3" s="2">
        <f>('[1]Pc, Summer, S3'!K3*Main!$B$5)+(_xlfn.IFNA(VLOOKUP($A3,'FL Ratio'!$A$3:$B$10,2,FALSE),0)*'FL Characterization'!K$2)</f>
        <v>54.349582511889281</v>
      </c>
      <c r="L3" s="2">
        <f>('[1]Pc, Summer, S3'!L3*Main!$B$5)+(_xlfn.IFNA(VLOOKUP($A3,'FL Ratio'!$A$3:$B$10,2,FALSE),0)*'FL Characterization'!L$2)</f>
        <v>54.157894492055284</v>
      </c>
      <c r="M3" s="2">
        <f>('[1]Pc, Summer, S3'!M3*Main!$B$5)+(_xlfn.IFNA(VLOOKUP($A3,'FL Ratio'!$A$3:$B$10,2,FALSE),0)*'FL Characterization'!M$2)</f>
        <v>57.753650593558866</v>
      </c>
      <c r="N3" s="2">
        <f>('[1]Pc, Summer, S3'!N3*Main!$B$5)+(_xlfn.IFNA(VLOOKUP($A3,'FL Ratio'!$A$3:$B$10,2,FALSE),0)*'FL Characterization'!N$2)</f>
        <v>57.930009861293335</v>
      </c>
      <c r="O3" s="2">
        <f>('[1]Pc, Summer, S3'!O3*Main!$B$5)+(_xlfn.IFNA(VLOOKUP($A3,'FL Ratio'!$A$3:$B$10,2,FALSE),0)*'FL Characterization'!O$2)</f>
        <v>58.329044972126901</v>
      </c>
      <c r="P3" s="2">
        <f>('[1]Pc, Summer, S3'!P3*Main!$B$5)+(_xlfn.IFNA(VLOOKUP($A3,'FL Ratio'!$A$3:$B$10,2,FALSE),0)*'FL Characterization'!P$2)</f>
        <v>55.504521779294876</v>
      </c>
      <c r="Q3" s="2">
        <f>('[1]Pc, Summer, S3'!Q3*Main!$B$5)+(_xlfn.IFNA(VLOOKUP($A3,'FL Ratio'!$A$3:$B$10,2,FALSE),0)*'FL Characterization'!Q$2)</f>
        <v>52.580542348318758</v>
      </c>
      <c r="R3" s="2">
        <f>('[1]Pc, Summer, S3'!R3*Main!$B$5)+(_xlfn.IFNA(VLOOKUP($A3,'FL Ratio'!$A$3:$B$10,2,FALSE),0)*'FL Characterization'!R$2)</f>
        <v>48.642167850440543</v>
      </c>
      <c r="S3" s="2">
        <f>('[1]Pc, Summer, S3'!S3*Main!$B$5)+(_xlfn.IFNA(VLOOKUP($A3,'FL Ratio'!$A$3:$B$10,2,FALSE),0)*'FL Characterization'!S$2)</f>
        <v>49.174808467133552</v>
      </c>
      <c r="T3" s="2">
        <f>('[1]Pc, Summer, S3'!T3*Main!$B$5)+(_xlfn.IFNA(VLOOKUP($A3,'FL Ratio'!$A$3:$B$10,2,FALSE),0)*'FL Characterization'!T$2)</f>
        <v>48.742520430397192</v>
      </c>
      <c r="U3" s="2">
        <f>('[1]Pc, Summer, S3'!U3*Main!$B$5)+(_xlfn.IFNA(VLOOKUP($A3,'FL Ratio'!$A$3:$B$10,2,FALSE),0)*'FL Characterization'!U$2)</f>
        <v>48.560223140180078</v>
      </c>
      <c r="V3" s="2">
        <f>('[1]Pc, Summer, S3'!V3*Main!$B$5)+(_xlfn.IFNA(VLOOKUP($A3,'FL Ratio'!$A$3:$B$10,2,FALSE),0)*'FL Characterization'!V$2)</f>
        <v>48.78408658777569</v>
      </c>
      <c r="W3" s="2">
        <f>('[1]Pc, Summer, S3'!W3*Main!$B$5)+(_xlfn.IFNA(VLOOKUP($A3,'FL Ratio'!$A$3:$B$10,2,FALSE),0)*'FL Characterization'!W$2)</f>
        <v>48.53369997309094</v>
      </c>
      <c r="X3" s="2">
        <f>('[1]Pc, Summer, S3'!X3*Main!$B$5)+(_xlfn.IFNA(VLOOKUP($A3,'FL Ratio'!$A$3:$B$10,2,FALSE),0)*'FL Characterization'!X$2)</f>
        <v>48.24809034760419</v>
      </c>
      <c r="Y3" s="2">
        <f>('[1]Pc, Summer, S3'!Y3*Main!$B$5)+(_xlfn.IFNA(VLOOKUP($A3,'FL Ratio'!$A$3:$B$10,2,FALSE),0)*'FL Characterization'!Y$2)</f>
        <v>45.642716477701853</v>
      </c>
    </row>
    <row r="4" spans="1:25" x14ac:dyDescent="0.3">
      <c r="A4">
        <v>3</v>
      </c>
      <c r="B4" s="2">
        <f>('[1]Pc, Summer, S3'!B4*Main!$B$5)+(_xlfn.IFNA(VLOOKUP($A4,'FL Ratio'!$A$3:$B$10,2,FALSE),0)*'FL Characterization'!B$2)</f>
        <v>53.989387877973705</v>
      </c>
      <c r="C4" s="2">
        <f>('[1]Pc, Summer, S3'!C4*Main!$B$5)+(_xlfn.IFNA(VLOOKUP($A4,'FL Ratio'!$A$3:$B$10,2,FALSE),0)*'FL Characterization'!C$2)</f>
        <v>47.899335500048274</v>
      </c>
      <c r="D4" s="2">
        <f>('[1]Pc, Summer, S3'!D4*Main!$B$5)+(_xlfn.IFNA(VLOOKUP($A4,'FL Ratio'!$A$3:$B$10,2,FALSE),0)*'FL Characterization'!D$2)</f>
        <v>45.167842500954769</v>
      </c>
      <c r="E4" s="2">
        <f>('[1]Pc, Summer, S3'!E4*Main!$B$5)+(_xlfn.IFNA(VLOOKUP($A4,'FL Ratio'!$A$3:$B$10,2,FALSE),0)*'FL Characterization'!E$2)</f>
        <v>43.689313738103266</v>
      </c>
      <c r="F4" s="2">
        <f>('[1]Pc, Summer, S3'!F4*Main!$B$5)+(_xlfn.IFNA(VLOOKUP($A4,'FL Ratio'!$A$3:$B$10,2,FALSE),0)*'FL Characterization'!F$2)</f>
        <v>45.800963026000339</v>
      </c>
      <c r="G4" s="2">
        <f>('[1]Pc, Summer, S3'!G4*Main!$B$5)+(_xlfn.IFNA(VLOOKUP($A4,'FL Ratio'!$A$3:$B$10,2,FALSE),0)*'FL Characterization'!G$2)</f>
        <v>41.833256331231794</v>
      </c>
      <c r="H4" s="2">
        <f>('[1]Pc, Summer, S3'!H4*Main!$B$5)+(_xlfn.IFNA(VLOOKUP($A4,'FL Ratio'!$A$3:$B$10,2,FALSE),0)*'FL Characterization'!H$2)</f>
        <v>49.137112852817623</v>
      </c>
      <c r="I4" s="2">
        <f>('[1]Pc, Summer, S3'!I4*Main!$B$5)+(_xlfn.IFNA(VLOOKUP($A4,'FL Ratio'!$A$3:$B$10,2,FALSE),0)*'FL Characterization'!I$2)</f>
        <v>55.241702218411291</v>
      </c>
      <c r="J4" s="2">
        <f>('[1]Pc, Summer, S3'!J4*Main!$B$5)+(_xlfn.IFNA(VLOOKUP($A4,'FL Ratio'!$A$3:$B$10,2,FALSE),0)*'FL Characterization'!J$2)</f>
        <v>62.155620411746142</v>
      </c>
      <c r="K4" s="2">
        <f>('[1]Pc, Summer, S3'!K4*Main!$B$5)+(_xlfn.IFNA(VLOOKUP($A4,'FL Ratio'!$A$3:$B$10,2,FALSE),0)*'FL Characterization'!K$2)</f>
        <v>66.816098603976016</v>
      </c>
      <c r="L4" s="2">
        <f>('[1]Pc, Summer, S3'!L4*Main!$B$5)+(_xlfn.IFNA(VLOOKUP($A4,'FL Ratio'!$A$3:$B$10,2,FALSE),0)*'FL Characterization'!L$2)</f>
        <v>68.775363234859725</v>
      </c>
      <c r="M4" s="2">
        <f>('[1]Pc, Summer, S3'!M4*Main!$B$5)+(_xlfn.IFNA(VLOOKUP($A4,'FL Ratio'!$A$3:$B$10,2,FALSE),0)*'FL Characterization'!M$2)</f>
        <v>69.919449080967198</v>
      </c>
      <c r="N4" s="2">
        <f>('[1]Pc, Summer, S3'!N4*Main!$B$5)+(_xlfn.IFNA(VLOOKUP($A4,'FL Ratio'!$A$3:$B$10,2,FALSE),0)*'FL Characterization'!N$2)</f>
        <v>71.462850695363386</v>
      </c>
      <c r="O4" s="2">
        <f>('[1]Pc, Summer, S3'!O4*Main!$B$5)+(_xlfn.IFNA(VLOOKUP($A4,'FL Ratio'!$A$3:$B$10,2,FALSE),0)*'FL Characterization'!O$2)</f>
        <v>72.443313333788325</v>
      </c>
      <c r="P4" s="2">
        <f>('[1]Pc, Summer, S3'!P4*Main!$B$5)+(_xlfn.IFNA(VLOOKUP($A4,'FL Ratio'!$A$3:$B$10,2,FALSE),0)*'FL Characterization'!P$2)</f>
        <v>72.751523926854858</v>
      </c>
      <c r="Q4" s="2">
        <f>('[1]Pc, Summer, S3'!Q4*Main!$B$5)+(_xlfn.IFNA(VLOOKUP($A4,'FL Ratio'!$A$3:$B$10,2,FALSE),0)*'FL Characterization'!Q$2)</f>
        <v>70.028511592083959</v>
      </c>
      <c r="R4" s="2">
        <f>('[1]Pc, Summer, S3'!R4*Main!$B$5)+(_xlfn.IFNA(VLOOKUP($A4,'FL Ratio'!$A$3:$B$10,2,FALSE),0)*'FL Characterization'!R$2)</f>
        <v>69.661099869913329</v>
      </c>
      <c r="S4" s="2">
        <f>('[1]Pc, Summer, S3'!S4*Main!$B$5)+(_xlfn.IFNA(VLOOKUP($A4,'FL Ratio'!$A$3:$B$10,2,FALSE),0)*'FL Characterization'!S$2)</f>
        <v>67.497866632647856</v>
      </c>
      <c r="T4" s="2">
        <f>('[1]Pc, Summer, S3'!T4*Main!$B$5)+(_xlfn.IFNA(VLOOKUP($A4,'FL Ratio'!$A$3:$B$10,2,FALSE),0)*'FL Characterization'!T$2)</f>
        <v>67.415217972124339</v>
      </c>
      <c r="U4" s="2">
        <f>('[1]Pc, Summer, S3'!U4*Main!$B$5)+(_xlfn.IFNA(VLOOKUP($A4,'FL Ratio'!$A$3:$B$10,2,FALSE),0)*'FL Characterization'!U$2)</f>
        <v>67.782141571806207</v>
      </c>
      <c r="V4" s="2">
        <f>('[1]Pc, Summer, S3'!V4*Main!$B$5)+(_xlfn.IFNA(VLOOKUP($A4,'FL Ratio'!$A$3:$B$10,2,FALSE),0)*'FL Characterization'!V$2)</f>
        <v>67.452370330025033</v>
      </c>
      <c r="W4" s="2">
        <f>('[1]Pc, Summer, S3'!W4*Main!$B$5)+(_xlfn.IFNA(VLOOKUP($A4,'FL Ratio'!$A$3:$B$10,2,FALSE),0)*'FL Characterization'!W$2)</f>
        <v>69.596518033392044</v>
      </c>
      <c r="X4" s="2">
        <f>('[1]Pc, Summer, S3'!X4*Main!$B$5)+(_xlfn.IFNA(VLOOKUP($A4,'FL Ratio'!$A$3:$B$10,2,FALSE),0)*'FL Characterization'!X$2)</f>
        <v>69.450216264167253</v>
      </c>
      <c r="Y4" s="2">
        <f>('[1]Pc, Summer, S3'!Y4*Main!$B$5)+(_xlfn.IFNA(VLOOKUP($A4,'FL Ratio'!$A$3:$B$10,2,FALSE),0)*'FL Characterization'!Y$2)</f>
        <v>62.646462656976567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FEBAA-0CFB-48D0-8531-A56B667A7245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Ratio'!$A$3:$B$10,2,FALSE),0)*'FL Characterization'!B$2)</f>
        <v>37.71133513143576</v>
      </c>
      <c r="C2" s="2">
        <f>('[1]Pc, Summer, S3'!C2*Main!$B$5)+(_xlfn.IFNA(VLOOKUP($A2,'FL Ratio'!$A$3:$B$10,2,FALSE),0)*'FL Characterization'!C$2)</f>
        <v>34.262435576535864</v>
      </c>
      <c r="D2" s="2">
        <f>('[1]Pc, Summer, S3'!D2*Main!$B$5)+(_xlfn.IFNA(VLOOKUP($A2,'FL Ratio'!$A$3:$B$10,2,FALSE),0)*'FL Characterization'!D$2)</f>
        <v>33.663959874943764</v>
      </c>
      <c r="E2" s="2">
        <f>('[1]Pc, Summer, S3'!E2*Main!$B$5)+(_xlfn.IFNA(VLOOKUP($A2,'FL Ratio'!$A$3:$B$10,2,FALSE),0)*'FL Characterization'!E$2)</f>
        <v>33.577963133318214</v>
      </c>
      <c r="F2" s="2">
        <f>('[1]Pc, Summer, S3'!F2*Main!$B$5)+(_xlfn.IFNA(VLOOKUP($A2,'FL Ratio'!$A$3:$B$10,2,FALSE),0)*'FL Characterization'!F$2)</f>
        <v>33.580610423637694</v>
      </c>
      <c r="G2" s="2">
        <f>('[1]Pc, Summer, S3'!G2*Main!$B$5)+(_xlfn.IFNA(VLOOKUP($A2,'FL Ratio'!$A$3:$B$10,2,FALSE),0)*'FL Characterization'!G$2)</f>
        <v>33.283633317092765</v>
      </c>
      <c r="H2" s="2">
        <f>('[1]Pc, Summer, S3'!H2*Main!$B$5)+(_xlfn.IFNA(VLOOKUP($A2,'FL Ratio'!$A$3:$B$10,2,FALSE),0)*'FL Characterization'!H$2)</f>
        <v>35.93265329180975</v>
      </c>
      <c r="I2" s="2">
        <f>('[1]Pc, Summer, S3'!I2*Main!$B$5)+(_xlfn.IFNA(VLOOKUP($A2,'FL Ratio'!$A$3:$B$10,2,FALSE),0)*'FL Characterization'!I$2)</f>
        <v>42.660838089263926</v>
      </c>
      <c r="J2" s="2">
        <f>('[1]Pc, Summer, S3'!J2*Main!$B$5)+(_xlfn.IFNA(VLOOKUP($A2,'FL Ratio'!$A$3:$B$10,2,FALSE),0)*'FL Characterization'!J$2)</f>
        <v>48.621224949026363</v>
      </c>
      <c r="K2" s="2">
        <f>('[1]Pc, Summer, S3'!K2*Main!$B$5)+(_xlfn.IFNA(VLOOKUP($A2,'FL Ratio'!$A$3:$B$10,2,FALSE),0)*'FL Characterization'!K$2)</f>
        <v>50.115260344197559</v>
      </c>
      <c r="L2" s="2">
        <f>('[1]Pc, Summer, S3'!L2*Main!$B$5)+(_xlfn.IFNA(VLOOKUP($A2,'FL Ratio'!$A$3:$B$10,2,FALSE),0)*'FL Characterization'!L$2)</f>
        <v>49.608107279285093</v>
      </c>
      <c r="M2" s="2">
        <f>('[1]Pc, Summer, S3'!M2*Main!$B$5)+(_xlfn.IFNA(VLOOKUP($A2,'FL Ratio'!$A$3:$B$10,2,FALSE),0)*'FL Characterization'!M$2)</f>
        <v>51.01095548880604</v>
      </c>
      <c r="N2" s="2">
        <f>('[1]Pc, Summer, S3'!N2*Main!$B$5)+(_xlfn.IFNA(VLOOKUP($A2,'FL Ratio'!$A$3:$B$10,2,FALSE),0)*'FL Characterization'!N$2)</f>
        <v>51.710718241135119</v>
      </c>
      <c r="O2" s="2">
        <f>('[1]Pc, Summer, S3'!O2*Main!$B$5)+(_xlfn.IFNA(VLOOKUP($A2,'FL Ratio'!$A$3:$B$10,2,FALSE),0)*'FL Characterization'!O$2)</f>
        <v>50.754166830213627</v>
      </c>
      <c r="P2" s="2">
        <f>('[1]Pc, Summer, S3'!P2*Main!$B$5)+(_xlfn.IFNA(VLOOKUP($A2,'FL Ratio'!$A$3:$B$10,2,FALSE),0)*'FL Characterization'!P$2)</f>
        <v>48.770937167903014</v>
      </c>
      <c r="Q2" s="2">
        <f>('[1]Pc, Summer, S3'!Q2*Main!$B$5)+(_xlfn.IFNA(VLOOKUP($A2,'FL Ratio'!$A$3:$B$10,2,FALSE),0)*'FL Characterization'!Q$2)</f>
        <v>46.807991087093178</v>
      </c>
      <c r="R2" s="2">
        <f>('[1]Pc, Summer, S3'!R2*Main!$B$5)+(_xlfn.IFNA(VLOOKUP($A2,'FL Ratio'!$A$3:$B$10,2,FALSE),0)*'FL Characterization'!R$2)</f>
        <v>47.624637125937539</v>
      </c>
      <c r="S2" s="2">
        <f>('[1]Pc, Summer, S3'!S2*Main!$B$5)+(_xlfn.IFNA(VLOOKUP($A2,'FL Ratio'!$A$3:$B$10,2,FALSE),0)*'FL Characterization'!S$2)</f>
        <v>48.095156644003801</v>
      </c>
      <c r="T2" s="2">
        <f>('[1]Pc, Summer, S3'!T2*Main!$B$5)+(_xlfn.IFNA(VLOOKUP($A2,'FL Ratio'!$A$3:$B$10,2,FALSE),0)*'FL Characterization'!T$2)</f>
        <v>48.299302717524661</v>
      </c>
      <c r="U2" s="2">
        <f>('[1]Pc, Summer, S3'!U2*Main!$B$5)+(_xlfn.IFNA(VLOOKUP($A2,'FL Ratio'!$A$3:$B$10,2,FALSE),0)*'FL Characterization'!U$2)</f>
        <v>47.499727208912155</v>
      </c>
      <c r="V2" s="2">
        <f>('[1]Pc, Summer, S3'!V2*Main!$B$5)+(_xlfn.IFNA(VLOOKUP($A2,'FL Ratio'!$A$3:$B$10,2,FALSE),0)*'FL Characterization'!V$2)</f>
        <v>47.64244296520814</v>
      </c>
      <c r="W2" s="2">
        <f>('[1]Pc, Summer, S3'!W2*Main!$B$5)+(_xlfn.IFNA(VLOOKUP($A2,'FL Ratio'!$A$3:$B$10,2,FALSE),0)*'FL Characterization'!W$2)</f>
        <v>49.615696232629958</v>
      </c>
      <c r="X2" s="2">
        <f>('[1]Pc, Summer, S3'!X2*Main!$B$5)+(_xlfn.IFNA(VLOOKUP($A2,'FL Ratio'!$A$3:$B$10,2,FALSE),0)*'FL Characterization'!X$2)</f>
        <v>46.247834234364184</v>
      </c>
      <c r="Y2" s="2">
        <f>('[1]Pc, Summer, S3'!Y2*Main!$B$5)+(_xlfn.IFNA(VLOOKUP($A2,'FL Ratio'!$A$3:$B$10,2,FALSE),0)*'FL Characterization'!Y$2)</f>
        <v>42.395131769299432</v>
      </c>
    </row>
    <row r="3" spans="1:25" x14ac:dyDescent="0.3">
      <c r="A3">
        <v>2</v>
      </c>
      <c r="B3" s="2">
        <f>('[1]Pc, Summer, S3'!B3*Main!$B$5)+(_xlfn.IFNA(VLOOKUP($A3,'FL Ratio'!$A$3:$B$10,2,FALSE),0)*'FL Characterization'!B$2)</f>
        <v>40.669785044064753</v>
      </c>
      <c r="C3" s="2">
        <f>('[1]Pc, Summer, S3'!C3*Main!$B$5)+(_xlfn.IFNA(VLOOKUP($A3,'FL Ratio'!$A$3:$B$10,2,FALSE),0)*'FL Characterization'!C$2)</f>
        <v>37.329877370419958</v>
      </c>
      <c r="D3" s="2">
        <f>('[1]Pc, Summer, S3'!D3*Main!$B$5)+(_xlfn.IFNA(VLOOKUP($A3,'FL Ratio'!$A$3:$B$10,2,FALSE),0)*'FL Characterization'!D$2)</f>
        <v>35.36290004239239</v>
      </c>
      <c r="E3" s="2">
        <f>('[1]Pc, Summer, S3'!E3*Main!$B$5)+(_xlfn.IFNA(VLOOKUP($A3,'FL Ratio'!$A$3:$B$10,2,FALSE),0)*'FL Characterization'!E$2)</f>
        <v>34.066740506924859</v>
      </c>
      <c r="F3" s="2">
        <f>('[1]Pc, Summer, S3'!F3*Main!$B$5)+(_xlfn.IFNA(VLOOKUP($A3,'FL Ratio'!$A$3:$B$10,2,FALSE),0)*'FL Characterization'!F$2)</f>
        <v>33.681164913718625</v>
      </c>
      <c r="G3" s="2">
        <f>('[1]Pc, Summer, S3'!G3*Main!$B$5)+(_xlfn.IFNA(VLOOKUP($A3,'FL Ratio'!$A$3:$B$10,2,FALSE),0)*'FL Characterization'!G$2)</f>
        <v>35.723051564712158</v>
      </c>
      <c r="H3" s="2">
        <f>('[1]Pc, Summer, S3'!H3*Main!$B$5)+(_xlfn.IFNA(VLOOKUP($A3,'FL Ratio'!$A$3:$B$10,2,FALSE),0)*'FL Characterization'!H$2)</f>
        <v>44.715337563335453</v>
      </c>
      <c r="I3" s="2">
        <f>('[1]Pc, Summer, S3'!I3*Main!$B$5)+(_xlfn.IFNA(VLOOKUP($A3,'FL Ratio'!$A$3:$B$10,2,FALSE),0)*'FL Characterization'!I$2)</f>
        <v>53.107546808741212</v>
      </c>
      <c r="J3" s="2">
        <f>('[1]Pc, Summer, S3'!J3*Main!$B$5)+(_xlfn.IFNA(VLOOKUP($A3,'FL Ratio'!$A$3:$B$10,2,FALSE),0)*'FL Characterization'!J$2)</f>
        <v>55.375872813468028</v>
      </c>
      <c r="K3" s="2">
        <f>('[1]Pc, Summer, S3'!K3*Main!$B$5)+(_xlfn.IFNA(VLOOKUP($A3,'FL Ratio'!$A$3:$B$10,2,FALSE),0)*'FL Characterization'!K$2)</f>
        <v>54.349582511889281</v>
      </c>
      <c r="L3" s="2">
        <f>('[1]Pc, Summer, S3'!L3*Main!$B$5)+(_xlfn.IFNA(VLOOKUP($A3,'FL Ratio'!$A$3:$B$10,2,FALSE),0)*'FL Characterization'!L$2)</f>
        <v>54.157894492055284</v>
      </c>
      <c r="M3" s="2">
        <f>('[1]Pc, Summer, S3'!M3*Main!$B$5)+(_xlfn.IFNA(VLOOKUP($A3,'FL Ratio'!$A$3:$B$10,2,FALSE),0)*'FL Characterization'!M$2)</f>
        <v>57.753650593558866</v>
      </c>
      <c r="N3" s="2">
        <f>('[1]Pc, Summer, S3'!N3*Main!$B$5)+(_xlfn.IFNA(VLOOKUP($A3,'FL Ratio'!$A$3:$B$10,2,FALSE),0)*'FL Characterization'!N$2)</f>
        <v>57.930009861293335</v>
      </c>
      <c r="O3" s="2">
        <f>('[1]Pc, Summer, S3'!O3*Main!$B$5)+(_xlfn.IFNA(VLOOKUP($A3,'FL Ratio'!$A$3:$B$10,2,FALSE),0)*'FL Characterization'!O$2)</f>
        <v>58.329044972126901</v>
      </c>
      <c r="P3" s="2">
        <f>('[1]Pc, Summer, S3'!P3*Main!$B$5)+(_xlfn.IFNA(VLOOKUP($A3,'FL Ratio'!$A$3:$B$10,2,FALSE),0)*'FL Characterization'!P$2)</f>
        <v>55.504521779294876</v>
      </c>
      <c r="Q3" s="2">
        <f>('[1]Pc, Summer, S3'!Q3*Main!$B$5)+(_xlfn.IFNA(VLOOKUP($A3,'FL Ratio'!$A$3:$B$10,2,FALSE),0)*'FL Characterization'!Q$2)</f>
        <v>52.580542348318758</v>
      </c>
      <c r="R3" s="2">
        <f>('[1]Pc, Summer, S3'!R3*Main!$B$5)+(_xlfn.IFNA(VLOOKUP($A3,'FL Ratio'!$A$3:$B$10,2,FALSE),0)*'FL Characterization'!R$2)</f>
        <v>48.642167850440543</v>
      </c>
      <c r="S3" s="2">
        <f>('[1]Pc, Summer, S3'!S3*Main!$B$5)+(_xlfn.IFNA(VLOOKUP($A3,'FL Ratio'!$A$3:$B$10,2,FALSE),0)*'FL Characterization'!S$2)</f>
        <v>49.174808467133552</v>
      </c>
      <c r="T3" s="2">
        <f>('[1]Pc, Summer, S3'!T3*Main!$B$5)+(_xlfn.IFNA(VLOOKUP($A3,'FL Ratio'!$A$3:$B$10,2,FALSE),0)*'FL Characterization'!T$2)</f>
        <v>48.742520430397192</v>
      </c>
      <c r="U3" s="2">
        <f>('[1]Pc, Summer, S3'!U3*Main!$B$5)+(_xlfn.IFNA(VLOOKUP($A3,'FL Ratio'!$A$3:$B$10,2,FALSE),0)*'FL Characterization'!U$2)</f>
        <v>48.560223140180078</v>
      </c>
      <c r="V3" s="2">
        <f>('[1]Pc, Summer, S3'!V3*Main!$B$5)+(_xlfn.IFNA(VLOOKUP($A3,'FL Ratio'!$A$3:$B$10,2,FALSE),0)*'FL Characterization'!V$2)</f>
        <v>48.78408658777569</v>
      </c>
      <c r="W3" s="2">
        <f>('[1]Pc, Summer, S3'!W3*Main!$B$5)+(_xlfn.IFNA(VLOOKUP($A3,'FL Ratio'!$A$3:$B$10,2,FALSE),0)*'FL Characterization'!W$2)</f>
        <v>48.53369997309094</v>
      </c>
      <c r="X3" s="2">
        <f>('[1]Pc, Summer, S3'!X3*Main!$B$5)+(_xlfn.IFNA(VLOOKUP($A3,'FL Ratio'!$A$3:$B$10,2,FALSE),0)*'FL Characterization'!X$2)</f>
        <v>48.24809034760419</v>
      </c>
      <c r="Y3" s="2">
        <f>('[1]Pc, Summer, S3'!Y3*Main!$B$5)+(_xlfn.IFNA(VLOOKUP($A3,'FL Ratio'!$A$3:$B$10,2,FALSE),0)*'FL Characterization'!Y$2)</f>
        <v>45.642716477701853</v>
      </c>
    </row>
    <row r="4" spans="1:25" x14ac:dyDescent="0.3">
      <c r="A4">
        <v>3</v>
      </c>
      <c r="B4" s="2">
        <f>('[1]Pc, Summer, S3'!B4*Main!$B$5)+(_xlfn.IFNA(VLOOKUP($A4,'FL Ratio'!$A$3:$B$10,2,FALSE),0)*'FL Characterization'!B$2)</f>
        <v>53.989387877973705</v>
      </c>
      <c r="C4" s="2">
        <f>('[1]Pc, Summer, S3'!C4*Main!$B$5)+(_xlfn.IFNA(VLOOKUP($A4,'FL Ratio'!$A$3:$B$10,2,FALSE),0)*'FL Characterization'!C$2)</f>
        <v>47.899335500048274</v>
      </c>
      <c r="D4" s="2">
        <f>('[1]Pc, Summer, S3'!D4*Main!$B$5)+(_xlfn.IFNA(VLOOKUP($A4,'FL Ratio'!$A$3:$B$10,2,FALSE),0)*'FL Characterization'!D$2)</f>
        <v>45.167842500954769</v>
      </c>
      <c r="E4" s="2">
        <f>('[1]Pc, Summer, S3'!E4*Main!$B$5)+(_xlfn.IFNA(VLOOKUP($A4,'FL Ratio'!$A$3:$B$10,2,FALSE),0)*'FL Characterization'!E$2)</f>
        <v>43.689313738103266</v>
      </c>
      <c r="F4" s="2">
        <f>('[1]Pc, Summer, S3'!F4*Main!$B$5)+(_xlfn.IFNA(VLOOKUP($A4,'FL Ratio'!$A$3:$B$10,2,FALSE),0)*'FL Characterization'!F$2)</f>
        <v>45.800963026000339</v>
      </c>
      <c r="G4" s="2">
        <f>('[1]Pc, Summer, S3'!G4*Main!$B$5)+(_xlfn.IFNA(VLOOKUP($A4,'FL Ratio'!$A$3:$B$10,2,FALSE),0)*'FL Characterization'!G$2)</f>
        <v>41.833256331231794</v>
      </c>
      <c r="H4" s="2">
        <f>('[1]Pc, Summer, S3'!H4*Main!$B$5)+(_xlfn.IFNA(VLOOKUP($A4,'FL Ratio'!$A$3:$B$10,2,FALSE),0)*'FL Characterization'!H$2)</f>
        <v>49.137112852817623</v>
      </c>
      <c r="I4" s="2">
        <f>('[1]Pc, Summer, S3'!I4*Main!$B$5)+(_xlfn.IFNA(VLOOKUP($A4,'FL Ratio'!$A$3:$B$10,2,FALSE),0)*'FL Characterization'!I$2)</f>
        <v>55.241702218411291</v>
      </c>
      <c r="J4" s="2">
        <f>('[1]Pc, Summer, S3'!J4*Main!$B$5)+(_xlfn.IFNA(VLOOKUP($A4,'FL Ratio'!$A$3:$B$10,2,FALSE),0)*'FL Characterization'!J$2)</f>
        <v>62.155620411746142</v>
      </c>
      <c r="K4" s="2">
        <f>('[1]Pc, Summer, S3'!K4*Main!$B$5)+(_xlfn.IFNA(VLOOKUP($A4,'FL Ratio'!$A$3:$B$10,2,FALSE),0)*'FL Characterization'!K$2)</f>
        <v>66.816098603976016</v>
      </c>
      <c r="L4" s="2">
        <f>('[1]Pc, Summer, S3'!L4*Main!$B$5)+(_xlfn.IFNA(VLOOKUP($A4,'FL Ratio'!$A$3:$B$10,2,FALSE),0)*'FL Characterization'!L$2)</f>
        <v>68.775363234859725</v>
      </c>
      <c r="M4" s="2">
        <f>('[1]Pc, Summer, S3'!M4*Main!$B$5)+(_xlfn.IFNA(VLOOKUP($A4,'FL Ratio'!$A$3:$B$10,2,FALSE),0)*'FL Characterization'!M$2)</f>
        <v>69.919449080967198</v>
      </c>
      <c r="N4" s="2">
        <f>('[1]Pc, Summer, S3'!N4*Main!$B$5)+(_xlfn.IFNA(VLOOKUP($A4,'FL Ratio'!$A$3:$B$10,2,FALSE),0)*'FL Characterization'!N$2)</f>
        <v>71.462850695363386</v>
      </c>
      <c r="O4" s="2">
        <f>('[1]Pc, Summer, S3'!O4*Main!$B$5)+(_xlfn.IFNA(VLOOKUP($A4,'FL Ratio'!$A$3:$B$10,2,FALSE),0)*'FL Characterization'!O$2)</f>
        <v>72.443313333788325</v>
      </c>
      <c r="P4" s="2">
        <f>('[1]Pc, Summer, S3'!P4*Main!$B$5)+(_xlfn.IFNA(VLOOKUP($A4,'FL Ratio'!$A$3:$B$10,2,FALSE),0)*'FL Characterization'!P$2)</f>
        <v>72.751523926854858</v>
      </c>
      <c r="Q4" s="2">
        <f>('[1]Pc, Summer, S3'!Q4*Main!$B$5)+(_xlfn.IFNA(VLOOKUP($A4,'FL Ratio'!$A$3:$B$10,2,FALSE),0)*'FL Characterization'!Q$2)</f>
        <v>70.028511592083959</v>
      </c>
      <c r="R4" s="2">
        <f>('[1]Pc, Summer, S3'!R4*Main!$B$5)+(_xlfn.IFNA(VLOOKUP($A4,'FL Ratio'!$A$3:$B$10,2,FALSE),0)*'FL Characterization'!R$2)</f>
        <v>69.661099869913329</v>
      </c>
      <c r="S4" s="2">
        <f>('[1]Pc, Summer, S3'!S4*Main!$B$5)+(_xlfn.IFNA(VLOOKUP($A4,'FL Ratio'!$A$3:$B$10,2,FALSE),0)*'FL Characterization'!S$2)</f>
        <v>67.497866632647856</v>
      </c>
      <c r="T4" s="2">
        <f>('[1]Pc, Summer, S3'!T4*Main!$B$5)+(_xlfn.IFNA(VLOOKUP($A4,'FL Ratio'!$A$3:$B$10,2,FALSE),0)*'FL Characterization'!T$2)</f>
        <v>67.415217972124339</v>
      </c>
      <c r="U4" s="2">
        <f>('[1]Pc, Summer, S3'!U4*Main!$B$5)+(_xlfn.IFNA(VLOOKUP($A4,'FL Ratio'!$A$3:$B$10,2,FALSE),0)*'FL Characterization'!U$2)</f>
        <v>67.782141571806207</v>
      </c>
      <c r="V4" s="2">
        <f>('[1]Pc, Summer, S3'!V4*Main!$B$5)+(_xlfn.IFNA(VLOOKUP($A4,'FL Ratio'!$A$3:$B$10,2,FALSE),0)*'FL Characterization'!V$2)</f>
        <v>67.452370330025033</v>
      </c>
      <c r="W4" s="2">
        <f>('[1]Pc, Summer, S3'!W4*Main!$B$5)+(_xlfn.IFNA(VLOOKUP($A4,'FL Ratio'!$A$3:$B$10,2,FALSE),0)*'FL Characterization'!W$2)</f>
        <v>69.596518033392044</v>
      </c>
      <c r="X4" s="2">
        <f>('[1]Pc, Summer, S3'!X4*Main!$B$5)+(_xlfn.IFNA(VLOOKUP($A4,'FL Ratio'!$A$3:$B$10,2,FALSE),0)*'FL Characterization'!X$2)</f>
        <v>69.450216264167253</v>
      </c>
      <c r="Y4" s="2">
        <f>('[1]Pc, Summer, S3'!Y4*Main!$B$5)+(_xlfn.IFNA(VLOOKUP($A4,'FL Ratio'!$A$3:$B$10,2,FALSE),0)*'FL Characterization'!Y$2)</f>
        <v>62.646462656976567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D639B-7138-4369-A2F8-5B7066B0FB9A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Ratio'!$A$3:$B$10,2,FALSE),0)*'FL Characterization'!B$2)</f>
        <v>37.71133513143576</v>
      </c>
      <c r="C2" s="2">
        <f>('[1]Pc, Summer, S3'!C2*Main!$B$5)+(_xlfn.IFNA(VLOOKUP($A2,'FL Ratio'!$A$3:$B$10,2,FALSE),0)*'FL Characterization'!C$2)</f>
        <v>34.262435576535864</v>
      </c>
      <c r="D2" s="2">
        <f>('[1]Pc, Summer, S3'!D2*Main!$B$5)+(_xlfn.IFNA(VLOOKUP($A2,'FL Ratio'!$A$3:$B$10,2,FALSE),0)*'FL Characterization'!D$2)</f>
        <v>33.663959874943764</v>
      </c>
      <c r="E2" s="2">
        <f>('[1]Pc, Summer, S3'!E2*Main!$B$5)+(_xlfn.IFNA(VLOOKUP($A2,'FL Ratio'!$A$3:$B$10,2,FALSE),0)*'FL Characterization'!E$2)</f>
        <v>33.577963133318214</v>
      </c>
      <c r="F2" s="2">
        <f>('[1]Pc, Summer, S3'!F2*Main!$B$5)+(_xlfn.IFNA(VLOOKUP($A2,'FL Ratio'!$A$3:$B$10,2,FALSE),0)*'FL Characterization'!F$2)</f>
        <v>33.580610423637694</v>
      </c>
      <c r="G2" s="2">
        <f>('[1]Pc, Summer, S3'!G2*Main!$B$5)+(_xlfn.IFNA(VLOOKUP($A2,'FL Ratio'!$A$3:$B$10,2,FALSE),0)*'FL Characterization'!G$2)</f>
        <v>33.283633317092765</v>
      </c>
      <c r="H2" s="2">
        <f>('[1]Pc, Summer, S3'!H2*Main!$B$5)+(_xlfn.IFNA(VLOOKUP($A2,'FL Ratio'!$A$3:$B$10,2,FALSE),0)*'FL Characterization'!H$2)</f>
        <v>35.93265329180975</v>
      </c>
      <c r="I2" s="2">
        <f>('[1]Pc, Summer, S3'!I2*Main!$B$5)+(_xlfn.IFNA(VLOOKUP($A2,'FL Ratio'!$A$3:$B$10,2,FALSE),0)*'FL Characterization'!I$2)</f>
        <v>42.660838089263926</v>
      </c>
      <c r="J2" s="2">
        <f>('[1]Pc, Summer, S3'!J2*Main!$B$5)+(_xlfn.IFNA(VLOOKUP($A2,'FL Ratio'!$A$3:$B$10,2,FALSE),0)*'FL Characterization'!J$2)</f>
        <v>48.621224949026363</v>
      </c>
      <c r="K2" s="2">
        <f>('[1]Pc, Summer, S3'!K2*Main!$B$5)+(_xlfn.IFNA(VLOOKUP($A2,'FL Ratio'!$A$3:$B$10,2,FALSE),0)*'FL Characterization'!K$2)</f>
        <v>50.115260344197559</v>
      </c>
      <c r="L2" s="2">
        <f>('[1]Pc, Summer, S3'!L2*Main!$B$5)+(_xlfn.IFNA(VLOOKUP($A2,'FL Ratio'!$A$3:$B$10,2,FALSE),0)*'FL Characterization'!L$2)</f>
        <v>49.608107279285093</v>
      </c>
      <c r="M2" s="2">
        <f>('[1]Pc, Summer, S3'!M2*Main!$B$5)+(_xlfn.IFNA(VLOOKUP($A2,'FL Ratio'!$A$3:$B$10,2,FALSE),0)*'FL Characterization'!M$2)</f>
        <v>51.01095548880604</v>
      </c>
      <c r="N2" s="2">
        <f>('[1]Pc, Summer, S3'!N2*Main!$B$5)+(_xlfn.IFNA(VLOOKUP($A2,'FL Ratio'!$A$3:$B$10,2,FALSE),0)*'FL Characterization'!N$2)</f>
        <v>51.710718241135119</v>
      </c>
      <c r="O2" s="2">
        <f>('[1]Pc, Summer, S3'!O2*Main!$B$5)+(_xlfn.IFNA(VLOOKUP($A2,'FL Ratio'!$A$3:$B$10,2,FALSE),0)*'FL Characterization'!O$2)</f>
        <v>50.754166830213627</v>
      </c>
      <c r="P2" s="2">
        <f>('[1]Pc, Summer, S3'!P2*Main!$B$5)+(_xlfn.IFNA(VLOOKUP($A2,'FL Ratio'!$A$3:$B$10,2,FALSE),0)*'FL Characterization'!P$2)</f>
        <v>48.770937167903014</v>
      </c>
      <c r="Q2" s="2">
        <f>('[1]Pc, Summer, S3'!Q2*Main!$B$5)+(_xlfn.IFNA(VLOOKUP($A2,'FL Ratio'!$A$3:$B$10,2,FALSE),0)*'FL Characterization'!Q$2)</f>
        <v>46.807991087093178</v>
      </c>
      <c r="R2" s="2">
        <f>('[1]Pc, Summer, S3'!R2*Main!$B$5)+(_xlfn.IFNA(VLOOKUP($A2,'FL Ratio'!$A$3:$B$10,2,FALSE),0)*'FL Characterization'!R$2)</f>
        <v>47.624637125937539</v>
      </c>
      <c r="S2" s="2">
        <f>('[1]Pc, Summer, S3'!S2*Main!$B$5)+(_xlfn.IFNA(VLOOKUP($A2,'FL Ratio'!$A$3:$B$10,2,FALSE),0)*'FL Characterization'!S$2)</f>
        <v>48.095156644003801</v>
      </c>
      <c r="T2" s="2">
        <f>('[1]Pc, Summer, S3'!T2*Main!$B$5)+(_xlfn.IFNA(VLOOKUP($A2,'FL Ratio'!$A$3:$B$10,2,FALSE),0)*'FL Characterization'!T$2)</f>
        <v>48.299302717524661</v>
      </c>
      <c r="U2" s="2">
        <f>('[1]Pc, Summer, S3'!U2*Main!$B$5)+(_xlfn.IFNA(VLOOKUP($A2,'FL Ratio'!$A$3:$B$10,2,FALSE),0)*'FL Characterization'!U$2)</f>
        <v>47.499727208912155</v>
      </c>
      <c r="V2" s="2">
        <f>('[1]Pc, Summer, S3'!V2*Main!$B$5)+(_xlfn.IFNA(VLOOKUP($A2,'FL Ratio'!$A$3:$B$10,2,FALSE),0)*'FL Characterization'!V$2)</f>
        <v>47.64244296520814</v>
      </c>
      <c r="W2" s="2">
        <f>('[1]Pc, Summer, S3'!W2*Main!$B$5)+(_xlfn.IFNA(VLOOKUP($A2,'FL Ratio'!$A$3:$B$10,2,FALSE),0)*'FL Characterization'!W$2)</f>
        <v>49.615696232629958</v>
      </c>
      <c r="X2" s="2">
        <f>('[1]Pc, Summer, S3'!X2*Main!$B$5)+(_xlfn.IFNA(VLOOKUP($A2,'FL Ratio'!$A$3:$B$10,2,FALSE),0)*'FL Characterization'!X$2)</f>
        <v>46.247834234364184</v>
      </c>
      <c r="Y2" s="2">
        <f>('[1]Pc, Summer, S3'!Y2*Main!$B$5)+(_xlfn.IFNA(VLOOKUP($A2,'FL Ratio'!$A$3:$B$10,2,FALSE),0)*'FL Characterization'!Y$2)</f>
        <v>42.395131769299432</v>
      </c>
    </row>
    <row r="3" spans="1:25" x14ac:dyDescent="0.3">
      <c r="A3">
        <v>2</v>
      </c>
      <c r="B3" s="2">
        <f>('[1]Pc, Summer, S3'!B3*Main!$B$5)+(_xlfn.IFNA(VLOOKUP($A3,'FL Ratio'!$A$3:$B$10,2,FALSE),0)*'FL Characterization'!B$2)</f>
        <v>40.669785044064753</v>
      </c>
      <c r="C3" s="2">
        <f>('[1]Pc, Summer, S3'!C3*Main!$B$5)+(_xlfn.IFNA(VLOOKUP($A3,'FL Ratio'!$A$3:$B$10,2,FALSE),0)*'FL Characterization'!C$2)</f>
        <v>37.329877370419958</v>
      </c>
      <c r="D3" s="2">
        <f>('[1]Pc, Summer, S3'!D3*Main!$B$5)+(_xlfn.IFNA(VLOOKUP($A3,'FL Ratio'!$A$3:$B$10,2,FALSE),0)*'FL Characterization'!D$2)</f>
        <v>35.36290004239239</v>
      </c>
      <c r="E3" s="2">
        <f>('[1]Pc, Summer, S3'!E3*Main!$B$5)+(_xlfn.IFNA(VLOOKUP($A3,'FL Ratio'!$A$3:$B$10,2,FALSE),0)*'FL Characterization'!E$2)</f>
        <v>34.066740506924859</v>
      </c>
      <c r="F3" s="2">
        <f>('[1]Pc, Summer, S3'!F3*Main!$B$5)+(_xlfn.IFNA(VLOOKUP($A3,'FL Ratio'!$A$3:$B$10,2,FALSE),0)*'FL Characterization'!F$2)</f>
        <v>33.681164913718625</v>
      </c>
      <c r="G3" s="2">
        <f>('[1]Pc, Summer, S3'!G3*Main!$B$5)+(_xlfn.IFNA(VLOOKUP($A3,'FL Ratio'!$A$3:$B$10,2,FALSE),0)*'FL Characterization'!G$2)</f>
        <v>35.723051564712158</v>
      </c>
      <c r="H3" s="2">
        <f>('[1]Pc, Summer, S3'!H3*Main!$B$5)+(_xlfn.IFNA(VLOOKUP($A3,'FL Ratio'!$A$3:$B$10,2,FALSE),0)*'FL Characterization'!H$2)</f>
        <v>44.715337563335453</v>
      </c>
      <c r="I3" s="2">
        <f>('[1]Pc, Summer, S3'!I3*Main!$B$5)+(_xlfn.IFNA(VLOOKUP($A3,'FL Ratio'!$A$3:$B$10,2,FALSE),0)*'FL Characterization'!I$2)</f>
        <v>53.107546808741212</v>
      </c>
      <c r="J3" s="2">
        <f>('[1]Pc, Summer, S3'!J3*Main!$B$5)+(_xlfn.IFNA(VLOOKUP($A3,'FL Ratio'!$A$3:$B$10,2,FALSE),0)*'FL Characterization'!J$2)</f>
        <v>55.375872813468028</v>
      </c>
      <c r="K3" s="2">
        <f>('[1]Pc, Summer, S3'!K3*Main!$B$5)+(_xlfn.IFNA(VLOOKUP($A3,'FL Ratio'!$A$3:$B$10,2,FALSE),0)*'FL Characterization'!K$2)</f>
        <v>54.349582511889281</v>
      </c>
      <c r="L3" s="2">
        <f>('[1]Pc, Summer, S3'!L3*Main!$B$5)+(_xlfn.IFNA(VLOOKUP($A3,'FL Ratio'!$A$3:$B$10,2,FALSE),0)*'FL Characterization'!L$2)</f>
        <v>54.157894492055284</v>
      </c>
      <c r="M3" s="2">
        <f>('[1]Pc, Summer, S3'!M3*Main!$B$5)+(_xlfn.IFNA(VLOOKUP($A3,'FL Ratio'!$A$3:$B$10,2,FALSE),0)*'FL Characterization'!M$2)</f>
        <v>57.753650593558866</v>
      </c>
      <c r="N3" s="2">
        <f>('[1]Pc, Summer, S3'!N3*Main!$B$5)+(_xlfn.IFNA(VLOOKUP($A3,'FL Ratio'!$A$3:$B$10,2,FALSE),0)*'FL Characterization'!N$2)</f>
        <v>57.930009861293335</v>
      </c>
      <c r="O3" s="2">
        <f>('[1]Pc, Summer, S3'!O3*Main!$B$5)+(_xlfn.IFNA(VLOOKUP($A3,'FL Ratio'!$A$3:$B$10,2,FALSE),0)*'FL Characterization'!O$2)</f>
        <v>58.329044972126901</v>
      </c>
      <c r="P3" s="2">
        <f>('[1]Pc, Summer, S3'!P3*Main!$B$5)+(_xlfn.IFNA(VLOOKUP($A3,'FL Ratio'!$A$3:$B$10,2,FALSE),0)*'FL Characterization'!P$2)</f>
        <v>55.504521779294876</v>
      </c>
      <c r="Q3" s="2">
        <f>('[1]Pc, Summer, S3'!Q3*Main!$B$5)+(_xlfn.IFNA(VLOOKUP($A3,'FL Ratio'!$A$3:$B$10,2,FALSE),0)*'FL Characterization'!Q$2)</f>
        <v>52.580542348318758</v>
      </c>
      <c r="R3" s="2">
        <f>('[1]Pc, Summer, S3'!R3*Main!$B$5)+(_xlfn.IFNA(VLOOKUP($A3,'FL Ratio'!$A$3:$B$10,2,FALSE),0)*'FL Characterization'!R$2)</f>
        <v>48.642167850440543</v>
      </c>
      <c r="S3" s="2">
        <f>('[1]Pc, Summer, S3'!S3*Main!$B$5)+(_xlfn.IFNA(VLOOKUP($A3,'FL Ratio'!$A$3:$B$10,2,FALSE),0)*'FL Characterization'!S$2)</f>
        <v>49.174808467133552</v>
      </c>
      <c r="T3" s="2">
        <f>('[1]Pc, Summer, S3'!T3*Main!$B$5)+(_xlfn.IFNA(VLOOKUP($A3,'FL Ratio'!$A$3:$B$10,2,FALSE),0)*'FL Characterization'!T$2)</f>
        <v>48.742520430397192</v>
      </c>
      <c r="U3" s="2">
        <f>('[1]Pc, Summer, S3'!U3*Main!$B$5)+(_xlfn.IFNA(VLOOKUP($A3,'FL Ratio'!$A$3:$B$10,2,FALSE),0)*'FL Characterization'!U$2)</f>
        <v>48.560223140180078</v>
      </c>
      <c r="V3" s="2">
        <f>('[1]Pc, Summer, S3'!V3*Main!$B$5)+(_xlfn.IFNA(VLOOKUP($A3,'FL Ratio'!$A$3:$B$10,2,FALSE),0)*'FL Characterization'!V$2)</f>
        <v>48.78408658777569</v>
      </c>
      <c r="W3" s="2">
        <f>('[1]Pc, Summer, S3'!W3*Main!$B$5)+(_xlfn.IFNA(VLOOKUP($A3,'FL Ratio'!$A$3:$B$10,2,FALSE),0)*'FL Characterization'!W$2)</f>
        <v>48.53369997309094</v>
      </c>
      <c r="X3" s="2">
        <f>('[1]Pc, Summer, S3'!X3*Main!$B$5)+(_xlfn.IFNA(VLOOKUP($A3,'FL Ratio'!$A$3:$B$10,2,FALSE),0)*'FL Characterization'!X$2)</f>
        <v>48.24809034760419</v>
      </c>
      <c r="Y3" s="2">
        <f>('[1]Pc, Summer, S3'!Y3*Main!$B$5)+(_xlfn.IFNA(VLOOKUP($A3,'FL Ratio'!$A$3:$B$10,2,FALSE),0)*'FL Characterization'!Y$2)</f>
        <v>45.642716477701853</v>
      </c>
    </row>
    <row r="4" spans="1:25" x14ac:dyDescent="0.3">
      <c r="A4">
        <v>3</v>
      </c>
      <c r="B4" s="2">
        <f>('[1]Pc, Summer, S3'!B4*Main!$B$5)+(_xlfn.IFNA(VLOOKUP($A4,'FL Ratio'!$A$3:$B$10,2,FALSE),0)*'FL Characterization'!B$2)</f>
        <v>53.989387877973705</v>
      </c>
      <c r="C4" s="2">
        <f>('[1]Pc, Summer, S3'!C4*Main!$B$5)+(_xlfn.IFNA(VLOOKUP($A4,'FL Ratio'!$A$3:$B$10,2,FALSE),0)*'FL Characterization'!C$2)</f>
        <v>47.899335500048274</v>
      </c>
      <c r="D4" s="2">
        <f>('[1]Pc, Summer, S3'!D4*Main!$B$5)+(_xlfn.IFNA(VLOOKUP($A4,'FL Ratio'!$A$3:$B$10,2,FALSE),0)*'FL Characterization'!D$2)</f>
        <v>45.167842500954769</v>
      </c>
      <c r="E4" s="2">
        <f>('[1]Pc, Summer, S3'!E4*Main!$B$5)+(_xlfn.IFNA(VLOOKUP($A4,'FL Ratio'!$A$3:$B$10,2,FALSE),0)*'FL Characterization'!E$2)</f>
        <v>43.689313738103266</v>
      </c>
      <c r="F4" s="2">
        <f>('[1]Pc, Summer, S3'!F4*Main!$B$5)+(_xlfn.IFNA(VLOOKUP($A4,'FL Ratio'!$A$3:$B$10,2,FALSE),0)*'FL Characterization'!F$2)</f>
        <v>45.800963026000339</v>
      </c>
      <c r="G4" s="2">
        <f>('[1]Pc, Summer, S3'!G4*Main!$B$5)+(_xlfn.IFNA(VLOOKUP($A4,'FL Ratio'!$A$3:$B$10,2,FALSE),0)*'FL Characterization'!G$2)</f>
        <v>41.833256331231794</v>
      </c>
      <c r="H4" s="2">
        <f>('[1]Pc, Summer, S3'!H4*Main!$B$5)+(_xlfn.IFNA(VLOOKUP($A4,'FL Ratio'!$A$3:$B$10,2,FALSE),0)*'FL Characterization'!H$2)</f>
        <v>49.137112852817623</v>
      </c>
      <c r="I4" s="2">
        <f>('[1]Pc, Summer, S3'!I4*Main!$B$5)+(_xlfn.IFNA(VLOOKUP($A4,'FL Ratio'!$A$3:$B$10,2,FALSE),0)*'FL Characterization'!I$2)</f>
        <v>55.241702218411291</v>
      </c>
      <c r="J4" s="2">
        <f>('[1]Pc, Summer, S3'!J4*Main!$B$5)+(_xlfn.IFNA(VLOOKUP($A4,'FL Ratio'!$A$3:$B$10,2,FALSE),0)*'FL Characterization'!J$2)</f>
        <v>62.155620411746142</v>
      </c>
      <c r="K4" s="2">
        <f>('[1]Pc, Summer, S3'!K4*Main!$B$5)+(_xlfn.IFNA(VLOOKUP($A4,'FL Ratio'!$A$3:$B$10,2,FALSE),0)*'FL Characterization'!K$2)</f>
        <v>66.816098603976016</v>
      </c>
      <c r="L4" s="2">
        <f>('[1]Pc, Summer, S3'!L4*Main!$B$5)+(_xlfn.IFNA(VLOOKUP($A4,'FL Ratio'!$A$3:$B$10,2,FALSE),0)*'FL Characterization'!L$2)</f>
        <v>68.775363234859725</v>
      </c>
      <c r="M4" s="2">
        <f>('[1]Pc, Summer, S3'!M4*Main!$B$5)+(_xlfn.IFNA(VLOOKUP($A4,'FL Ratio'!$A$3:$B$10,2,FALSE),0)*'FL Characterization'!M$2)</f>
        <v>69.919449080967198</v>
      </c>
      <c r="N4" s="2">
        <f>('[1]Pc, Summer, S3'!N4*Main!$B$5)+(_xlfn.IFNA(VLOOKUP($A4,'FL Ratio'!$A$3:$B$10,2,FALSE),0)*'FL Characterization'!N$2)</f>
        <v>71.462850695363386</v>
      </c>
      <c r="O4" s="2">
        <f>('[1]Pc, Summer, S3'!O4*Main!$B$5)+(_xlfn.IFNA(VLOOKUP($A4,'FL Ratio'!$A$3:$B$10,2,FALSE),0)*'FL Characterization'!O$2)</f>
        <v>72.443313333788325</v>
      </c>
      <c r="P4" s="2">
        <f>('[1]Pc, Summer, S3'!P4*Main!$B$5)+(_xlfn.IFNA(VLOOKUP($A4,'FL Ratio'!$A$3:$B$10,2,FALSE),0)*'FL Characterization'!P$2)</f>
        <v>72.751523926854858</v>
      </c>
      <c r="Q4" s="2">
        <f>('[1]Pc, Summer, S3'!Q4*Main!$B$5)+(_xlfn.IFNA(VLOOKUP($A4,'FL Ratio'!$A$3:$B$10,2,FALSE),0)*'FL Characterization'!Q$2)</f>
        <v>70.028511592083959</v>
      </c>
      <c r="R4" s="2">
        <f>('[1]Pc, Summer, S3'!R4*Main!$B$5)+(_xlfn.IFNA(VLOOKUP($A4,'FL Ratio'!$A$3:$B$10,2,FALSE),0)*'FL Characterization'!R$2)</f>
        <v>69.661099869913329</v>
      </c>
      <c r="S4" s="2">
        <f>('[1]Pc, Summer, S3'!S4*Main!$B$5)+(_xlfn.IFNA(VLOOKUP($A4,'FL Ratio'!$A$3:$B$10,2,FALSE),0)*'FL Characterization'!S$2)</f>
        <v>67.497866632647856</v>
      </c>
      <c r="T4" s="2">
        <f>('[1]Pc, Summer, S3'!T4*Main!$B$5)+(_xlfn.IFNA(VLOOKUP($A4,'FL Ratio'!$A$3:$B$10,2,FALSE),0)*'FL Characterization'!T$2)</f>
        <v>67.415217972124339</v>
      </c>
      <c r="U4" s="2">
        <f>('[1]Pc, Summer, S3'!U4*Main!$B$5)+(_xlfn.IFNA(VLOOKUP($A4,'FL Ratio'!$A$3:$B$10,2,FALSE),0)*'FL Characterization'!U$2)</f>
        <v>67.782141571806207</v>
      </c>
      <c r="V4" s="2">
        <f>('[1]Pc, Summer, S3'!V4*Main!$B$5)+(_xlfn.IFNA(VLOOKUP($A4,'FL Ratio'!$A$3:$B$10,2,FALSE),0)*'FL Characterization'!V$2)</f>
        <v>67.452370330025033</v>
      </c>
      <c r="W4" s="2">
        <f>('[1]Pc, Summer, S3'!W4*Main!$B$5)+(_xlfn.IFNA(VLOOKUP($A4,'FL Ratio'!$A$3:$B$10,2,FALSE),0)*'FL Characterization'!W$2)</f>
        <v>69.596518033392044</v>
      </c>
      <c r="X4" s="2">
        <f>('[1]Pc, Summer, S3'!X4*Main!$B$5)+(_xlfn.IFNA(VLOOKUP($A4,'FL Ratio'!$A$3:$B$10,2,FALSE),0)*'FL Characterization'!X$2)</f>
        <v>69.450216264167253</v>
      </c>
      <c r="Y4" s="2">
        <f>('[1]Pc, Summer, S3'!Y4*Main!$B$5)+(_xlfn.IFNA(VLOOKUP($A4,'FL Ratio'!$A$3:$B$10,2,FALSE),0)*'FL Characterization'!Y$2)</f>
        <v>62.646462656976567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05990-1696-4982-9770-62D200FA28D1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-12.265824449615847</v>
      </c>
      <c r="C2" s="2">
        <f>('[1]Qc, Summer, S1'!C2*Main!$B$5)</f>
        <v>-15.94707790960874</v>
      </c>
      <c r="D2" s="2">
        <f>('[1]Qc, Summer, S1'!D2*Main!$B$5)</f>
        <v>-17.57675740830194</v>
      </c>
      <c r="E2" s="2">
        <f>('[1]Qc, Summer, S1'!E2*Main!$B$5)</f>
        <v>-16.03971199345586</v>
      </c>
      <c r="F2" s="2">
        <f>('[1]Qc, Summer, S1'!F2*Main!$B$5)</f>
        <v>-17.192413263743646</v>
      </c>
      <c r="G2" s="2">
        <f>('[1]Qc, Summer, S1'!G2*Main!$B$5)</f>
        <v>-17.588679673855481</v>
      </c>
      <c r="H2" s="2">
        <f>('[1]Qc, Summer, S1'!H2*Main!$B$5)</f>
        <v>-15.243937802047926</v>
      </c>
      <c r="I2" s="2">
        <f>('[1]Qc, Summer, S1'!I2*Main!$B$5)</f>
        <v>-2.3716142401407345</v>
      </c>
      <c r="J2" s="2">
        <f>('[1]Qc, Summer, S1'!J2*Main!$B$5)</f>
        <v>7.6127071987303498</v>
      </c>
      <c r="K2" s="2">
        <f>('[1]Qc, Summer, S1'!K2*Main!$B$5)</f>
        <v>11.08262194513161</v>
      </c>
      <c r="L2" s="2">
        <f>('[1]Qc, Summer, S1'!L2*Main!$B$5)</f>
        <v>8.711931659320852</v>
      </c>
      <c r="M2" s="2">
        <f>('[1]Qc, Summer, S1'!M2*Main!$B$5)</f>
        <v>11.604532172344419</v>
      </c>
      <c r="N2" s="2">
        <f>('[1]Qc, Summer, S1'!N2*Main!$B$5)</f>
        <v>10.298092489111339</v>
      </c>
      <c r="O2" s="2">
        <f>('[1]Qc, Summer, S1'!O2*Main!$B$5)</f>
        <v>10.608155547204086</v>
      </c>
      <c r="P2" s="2">
        <f>('[1]Qc, Summer, S1'!P2*Main!$B$5)</f>
        <v>5.473418954981744</v>
      </c>
      <c r="Q2" s="2">
        <f>('[1]Qc, Summer, S1'!Q2*Main!$B$5)</f>
        <v>1.3837465676915663</v>
      </c>
      <c r="R2" s="2">
        <f>('[1]Qc, Summer, S1'!R2*Main!$B$5)</f>
        <v>3.0782847448513198</v>
      </c>
      <c r="S2" s="2">
        <f>('[1]Qc, Summer, S1'!S2*Main!$B$5)</f>
        <v>3.7390516470163195</v>
      </c>
      <c r="T2" s="2">
        <f>('[1]Qc, Summer, S1'!T2*Main!$B$5)</f>
        <v>2.2526378068651205</v>
      </c>
      <c r="U2" s="2">
        <f>('[1]Qc, Summer, S1'!U2*Main!$B$5)</f>
        <v>-0.42022162514088846</v>
      </c>
      <c r="V2" s="2">
        <f>('[1]Qc, Summer, S1'!V2*Main!$B$5)</f>
        <v>-1.6404777227831167</v>
      </c>
      <c r="W2" s="2">
        <f>('[1]Qc, Summer, S1'!W2*Main!$B$5)</f>
        <v>-1.1413228540815634</v>
      </c>
      <c r="X2" s="2">
        <f>('[1]Qc, Summer, S1'!X2*Main!$B$5)</f>
        <v>-5.4734906713791931</v>
      </c>
      <c r="Y2" s="2">
        <f>('[1]Qc, Summer, S1'!Y2*Main!$B$5)</f>
        <v>-7.4088152800256522</v>
      </c>
    </row>
    <row r="3" spans="1:25" x14ac:dyDescent="0.3">
      <c r="A3">
        <v>2</v>
      </c>
      <c r="B3" s="2">
        <f>('[1]Qc, Summer, S1'!B3*Main!$B$5)</f>
        <v>-15.523416955194598</v>
      </c>
      <c r="C3" s="2">
        <f>('[1]Qc, Summer, S1'!C3*Main!$B$5)</f>
        <v>-15.523416955194598</v>
      </c>
      <c r="D3" s="2">
        <f>('[1]Qc, Summer, S1'!D3*Main!$B$5)</f>
        <v>-18.021771620679662</v>
      </c>
      <c r="E3" s="2">
        <f>('[1]Qc, Summer, S1'!E3*Main!$B$5)</f>
        <v>-20.520126286164729</v>
      </c>
      <c r="F3" s="2">
        <f>('[1]Qc, Summer, S1'!F3*Main!$B$5)</f>
        <v>-20.520126286164729</v>
      </c>
      <c r="G3" s="2">
        <f>('[1]Qc, Summer, S1'!G3*Main!$B$5)</f>
        <v>-20.520126286164729</v>
      </c>
      <c r="H3" s="2">
        <f>('[1]Qc, Summer, S1'!H3*Main!$B$5)</f>
        <v>-8.1821034561743211</v>
      </c>
      <c r="I3" s="2">
        <f>('[1]Qc, Summer, S1'!I3*Main!$B$5)</f>
        <v>1.6960064526534147</v>
      </c>
      <c r="J3" s="2">
        <f>('[1]Qc, Summer, S1'!J3*Main!$B$5)</f>
        <v>5.3858902637383164</v>
      </c>
      <c r="K3" s="2">
        <f>('[1]Qc, Summer, S1'!K3*Main!$B$5)</f>
        <v>5.3858902637383164</v>
      </c>
      <c r="L3" s="2">
        <f>('[1]Qc, Summer, S1'!L3*Main!$B$5)</f>
        <v>4.9246470492331635</v>
      </c>
      <c r="M3" s="2">
        <f>('[1]Qc, Summer, S1'!M3*Main!$B$5)</f>
        <v>6.9233208569182025</v>
      </c>
      <c r="N3" s="2">
        <f>('[1]Qc, Summer, S1'!N3*Main!$B$5)</f>
        <v>9.3832378791083961</v>
      </c>
      <c r="O3" s="2">
        <f>('[1]Qc, Summer, S1'!O3*Main!$B$5)</f>
        <v>9.6715200739721094</v>
      </c>
      <c r="P3" s="2">
        <f>('[1]Qc, Summer, S1'!P3*Main!$B$5)</f>
        <v>5.4243237627230565</v>
      </c>
      <c r="Q3" s="2">
        <f>('[1]Qc, Summer, S1'!Q3*Main!$B$5)</f>
        <v>4.2327945954819146</v>
      </c>
      <c r="R3" s="2">
        <f>('[1]Qc, Summer, S1'!R3*Main!$B$5)</f>
        <v>-0.68703949218108251</v>
      </c>
      <c r="S3" s="2">
        <f>('[1]Qc, Summer, S1'!S3*Main!$B$5)</f>
        <v>-0.68703949218108251</v>
      </c>
      <c r="T3" s="2">
        <f>('[1]Qc, Summer, S1'!T3*Main!$B$5)</f>
        <v>-0.68703949218108251</v>
      </c>
      <c r="U3" s="2">
        <f>('[1]Qc, Summer, S1'!U3*Main!$B$5)</f>
        <v>-0.68703949218108251</v>
      </c>
      <c r="V3" s="2">
        <f>('[1]Qc, Summer, S1'!V3*Main!$B$5)</f>
        <v>-4.3769274259348112</v>
      </c>
      <c r="W3" s="2">
        <f>('[1]Qc, Summer, S1'!W3*Main!$B$5)</f>
        <v>-5.6068900705193867</v>
      </c>
      <c r="X3" s="2">
        <f>('[1]Qc, Summer, S1'!X3*Main!$B$5)</f>
        <v>-15.67715095113356</v>
      </c>
      <c r="Y3" s="2">
        <f>('[1]Qc, Summer, S1'!Y3*Main!$B$5)</f>
        <v>-15.67715095113356</v>
      </c>
    </row>
    <row r="4" spans="1:25" x14ac:dyDescent="0.3">
      <c r="A4">
        <v>3</v>
      </c>
      <c r="B4" s="2">
        <f>('[1]Qc, Summer, S1'!B4*Main!$B$5)</f>
        <v>12.530910671992347</v>
      </c>
      <c r="C4" s="2">
        <f>('[1]Qc, Summer, S1'!C4*Main!$B$5)</f>
        <v>9.6011057734226046</v>
      </c>
      <c r="D4" s="2">
        <f>('[1]Qc, Summer, S1'!D4*Main!$B$5)</f>
        <v>9.0984858529380173</v>
      </c>
      <c r="E4" s="2">
        <f>('[1]Qc, Summer, S1'!E4*Main!$B$5)</f>
        <v>7.9463802197521973</v>
      </c>
      <c r="F4" s="2">
        <f>('[1]Qc, Summer, S1'!F4*Main!$B$5)</f>
        <v>9.1478563451880781</v>
      </c>
      <c r="G4" s="2">
        <f>('[1]Qc, Summer, S1'!G4*Main!$B$5)</f>
        <v>4.2456619138368374</v>
      </c>
      <c r="H4" s="2">
        <f>('[1]Qc, Summer, S1'!H4*Main!$B$5)</f>
        <v>7.4076884912180843</v>
      </c>
      <c r="I4" s="2">
        <f>('[1]Qc, Summer, S1'!I4*Main!$B$5)</f>
        <v>14.234748671998787</v>
      </c>
      <c r="J4" s="2">
        <f>('[1]Qc, Summer, S1'!J4*Main!$B$5)</f>
        <v>20.707213922015189</v>
      </c>
      <c r="K4" s="2">
        <f>('[1]Qc, Summer, S1'!K4*Main!$B$5)</f>
        <v>24.605929548174696</v>
      </c>
      <c r="L4" s="2">
        <f>('[1]Qc, Summer, S1'!L4*Main!$B$5)</f>
        <v>26.862101086016562</v>
      </c>
      <c r="M4" s="2">
        <f>('[1]Qc, Summer, S1'!M4*Main!$B$5)</f>
        <v>27.8428068113544</v>
      </c>
      <c r="N4" s="2">
        <f>('[1]Qc, Summer, S1'!N4*Main!$B$5)</f>
        <v>29.094340302505792</v>
      </c>
      <c r="O4" s="2">
        <f>('[1]Qc, Summer, S1'!O4*Main!$B$5)</f>
        <v>29.314466123092469</v>
      </c>
      <c r="P4" s="2">
        <f>('[1]Qc, Summer, S1'!P4*Main!$B$5)</f>
        <v>29.106392634913806</v>
      </c>
      <c r="Q4" s="2">
        <f>('[1]Qc, Summer, S1'!Q4*Main!$B$5)</f>
        <v>28.137482479260314</v>
      </c>
      <c r="R4" s="2">
        <f>('[1]Qc, Summer, S1'!R4*Main!$B$5)</f>
        <v>26.777303343230798</v>
      </c>
      <c r="S4" s="2">
        <f>('[1]Qc, Summer, S1'!S4*Main!$B$5)</f>
        <v>23.761841668259365</v>
      </c>
      <c r="T4" s="2">
        <f>('[1]Qc, Summer, S1'!T4*Main!$B$5)</f>
        <v>23.651906893688565</v>
      </c>
      <c r="U4" s="2">
        <f>('[1]Qc, Summer, S1'!U4*Main!$B$5)</f>
        <v>22.500103044876575</v>
      </c>
      <c r="V4" s="2">
        <f>('[1]Qc, Summer, S1'!V4*Main!$B$5)</f>
        <v>20.281549867427053</v>
      </c>
      <c r="W4" s="2">
        <f>('[1]Qc, Summer, S1'!W4*Main!$B$5)</f>
        <v>24.313617494904165</v>
      </c>
      <c r="X4" s="2">
        <f>('[1]Qc, Summer, S1'!X4*Main!$B$5)</f>
        <v>21.785886266803061</v>
      </c>
      <c r="Y4" s="2">
        <f>('[1]Qc, Summer, S1'!Y4*Main!$B$5)</f>
        <v>17.53240415832764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348DE-128A-46EA-B64C-74905BA11785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-12.265824449615847</v>
      </c>
      <c r="C2" s="2">
        <f>('[1]Qc, Summer, S1'!C2*Main!$B$5)</f>
        <v>-15.94707790960874</v>
      </c>
      <c r="D2" s="2">
        <f>('[1]Qc, Summer, S1'!D2*Main!$B$5)</f>
        <v>-17.57675740830194</v>
      </c>
      <c r="E2" s="2">
        <f>('[1]Qc, Summer, S1'!E2*Main!$B$5)</f>
        <v>-16.03971199345586</v>
      </c>
      <c r="F2" s="2">
        <f>('[1]Qc, Summer, S1'!F2*Main!$B$5)</f>
        <v>-17.192413263743646</v>
      </c>
      <c r="G2" s="2">
        <f>('[1]Qc, Summer, S1'!G2*Main!$B$5)</f>
        <v>-17.588679673855481</v>
      </c>
      <c r="H2" s="2">
        <f>('[1]Qc, Summer, S1'!H2*Main!$B$5)</f>
        <v>-15.243937802047926</v>
      </c>
      <c r="I2" s="2">
        <f>('[1]Qc, Summer, S1'!I2*Main!$B$5)</f>
        <v>-2.3716142401407345</v>
      </c>
      <c r="J2" s="2">
        <f>('[1]Qc, Summer, S1'!J2*Main!$B$5)</f>
        <v>7.6127071987303498</v>
      </c>
      <c r="K2" s="2">
        <f>('[1]Qc, Summer, S1'!K2*Main!$B$5)</f>
        <v>11.08262194513161</v>
      </c>
      <c r="L2" s="2">
        <f>('[1]Qc, Summer, S1'!L2*Main!$B$5)</f>
        <v>8.711931659320852</v>
      </c>
      <c r="M2" s="2">
        <f>('[1]Qc, Summer, S1'!M2*Main!$B$5)</f>
        <v>11.604532172344419</v>
      </c>
      <c r="N2" s="2">
        <f>('[1]Qc, Summer, S1'!N2*Main!$B$5)</f>
        <v>10.298092489111339</v>
      </c>
      <c r="O2" s="2">
        <f>('[1]Qc, Summer, S1'!O2*Main!$B$5)</f>
        <v>10.608155547204086</v>
      </c>
      <c r="P2" s="2">
        <f>('[1]Qc, Summer, S1'!P2*Main!$B$5)</f>
        <v>5.473418954981744</v>
      </c>
      <c r="Q2" s="2">
        <f>('[1]Qc, Summer, S1'!Q2*Main!$B$5)</f>
        <v>1.3837465676915663</v>
      </c>
      <c r="R2" s="2">
        <f>('[1]Qc, Summer, S1'!R2*Main!$B$5)</f>
        <v>3.0782847448513198</v>
      </c>
      <c r="S2" s="2">
        <f>('[1]Qc, Summer, S1'!S2*Main!$B$5)</f>
        <v>3.7390516470163195</v>
      </c>
      <c r="T2" s="2">
        <f>('[1]Qc, Summer, S1'!T2*Main!$B$5)</f>
        <v>2.2526378068651205</v>
      </c>
      <c r="U2" s="2">
        <f>('[1]Qc, Summer, S1'!U2*Main!$B$5)</f>
        <v>-0.42022162514088846</v>
      </c>
      <c r="V2" s="2">
        <f>('[1]Qc, Summer, S1'!V2*Main!$B$5)</f>
        <v>-1.6404777227831167</v>
      </c>
      <c r="W2" s="2">
        <f>('[1]Qc, Summer, S1'!W2*Main!$B$5)</f>
        <v>-1.1413228540815634</v>
      </c>
      <c r="X2" s="2">
        <f>('[1]Qc, Summer, S1'!X2*Main!$B$5)</f>
        <v>-5.4734906713791931</v>
      </c>
      <c r="Y2" s="2">
        <f>('[1]Qc, Summer, S1'!Y2*Main!$B$5)</f>
        <v>-7.4088152800256522</v>
      </c>
    </row>
    <row r="3" spans="1:25" x14ac:dyDescent="0.3">
      <c r="A3">
        <v>2</v>
      </c>
      <c r="B3" s="2">
        <f>('[1]Qc, Summer, S1'!B3*Main!$B$5)</f>
        <v>-15.523416955194598</v>
      </c>
      <c r="C3" s="2">
        <f>('[1]Qc, Summer, S1'!C3*Main!$B$5)</f>
        <v>-15.523416955194598</v>
      </c>
      <c r="D3" s="2">
        <f>('[1]Qc, Summer, S1'!D3*Main!$B$5)</f>
        <v>-18.021771620679662</v>
      </c>
      <c r="E3" s="2">
        <f>('[1]Qc, Summer, S1'!E3*Main!$B$5)</f>
        <v>-20.520126286164729</v>
      </c>
      <c r="F3" s="2">
        <f>('[1]Qc, Summer, S1'!F3*Main!$B$5)</f>
        <v>-20.520126286164729</v>
      </c>
      <c r="G3" s="2">
        <f>('[1]Qc, Summer, S1'!G3*Main!$B$5)</f>
        <v>-20.520126286164729</v>
      </c>
      <c r="H3" s="2">
        <f>('[1]Qc, Summer, S1'!H3*Main!$B$5)</f>
        <v>-8.1821034561743211</v>
      </c>
      <c r="I3" s="2">
        <f>('[1]Qc, Summer, S1'!I3*Main!$B$5)</f>
        <v>1.6960064526534147</v>
      </c>
      <c r="J3" s="2">
        <f>('[1]Qc, Summer, S1'!J3*Main!$B$5)</f>
        <v>5.3858902637383164</v>
      </c>
      <c r="K3" s="2">
        <f>('[1]Qc, Summer, S1'!K3*Main!$B$5)</f>
        <v>5.3858902637383164</v>
      </c>
      <c r="L3" s="2">
        <f>('[1]Qc, Summer, S1'!L3*Main!$B$5)</f>
        <v>4.9246470492331635</v>
      </c>
      <c r="M3" s="2">
        <f>('[1]Qc, Summer, S1'!M3*Main!$B$5)</f>
        <v>6.9233208569182025</v>
      </c>
      <c r="N3" s="2">
        <f>('[1]Qc, Summer, S1'!N3*Main!$B$5)</f>
        <v>9.3832378791083961</v>
      </c>
      <c r="O3" s="2">
        <f>('[1]Qc, Summer, S1'!O3*Main!$B$5)</f>
        <v>9.6715200739721094</v>
      </c>
      <c r="P3" s="2">
        <f>('[1]Qc, Summer, S1'!P3*Main!$B$5)</f>
        <v>5.4243237627230565</v>
      </c>
      <c r="Q3" s="2">
        <f>('[1]Qc, Summer, S1'!Q3*Main!$B$5)</f>
        <v>4.2327945954819146</v>
      </c>
      <c r="R3" s="2">
        <f>('[1]Qc, Summer, S1'!R3*Main!$B$5)</f>
        <v>-0.68703949218108251</v>
      </c>
      <c r="S3" s="2">
        <f>('[1]Qc, Summer, S1'!S3*Main!$B$5)</f>
        <v>-0.68703949218108251</v>
      </c>
      <c r="T3" s="2">
        <f>('[1]Qc, Summer, S1'!T3*Main!$B$5)</f>
        <v>-0.68703949218108251</v>
      </c>
      <c r="U3" s="2">
        <f>('[1]Qc, Summer, S1'!U3*Main!$B$5)</f>
        <v>-0.68703949218108251</v>
      </c>
      <c r="V3" s="2">
        <f>('[1]Qc, Summer, S1'!V3*Main!$B$5)</f>
        <v>-4.3769274259348112</v>
      </c>
      <c r="W3" s="2">
        <f>('[1]Qc, Summer, S1'!W3*Main!$B$5)</f>
        <v>-5.6068900705193867</v>
      </c>
      <c r="X3" s="2">
        <f>('[1]Qc, Summer, S1'!X3*Main!$B$5)</f>
        <v>-15.67715095113356</v>
      </c>
      <c r="Y3" s="2">
        <f>('[1]Qc, Summer, S1'!Y3*Main!$B$5)</f>
        <v>-15.67715095113356</v>
      </c>
    </row>
    <row r="4" spans="1:25" x14ac:dyDescent="0.3">
      <c r="A4">
        <v>3</v>
      </c>
      <c r="B4" s="2">
        <f>('[1]Qc, Summer, S1'!B4*Main!$B$5)</f>
        <v>12.530910671992347</v>
      </c>
      <c r="C4" s="2">
        <f>('[1]Qc, Summer, S1'!C4*Main!$B$5)</f>
        <v>9.6011057734226046</v>
      </c>
      <c r="D4" s="2">
        <f>('[1]Qc, Summer, S1'!D4*Main!$B$5)</f>
        <v>9.0984858529380173</v>
      </c>
      <c r="E4" s="2">
        <f>('[1]Qc, Summer, S1'!E4*Main!$B$5)</f>
        <v>7.9463802197521973</v>
      </c>
      <c r="F4" s="2">
        <f>('[1]Qc, Summer, S1'!F4*Main!$B$5)</f>
        <v>9.1478563451880781</v>
      </c>
      <c r="G4" s="2">
        <f>('[1]Qc, Summer, S1'!G4*Main!$B$5)</f>
        <v>4.2456619138368374</v>
      </c>
      <c r="H4" s="2">
        <f>('[1]Qc, Summer, S1'!H4*Main!$B$5)</f>
        <v>7.4076884912180843</v>
      </c>
      <c r="I4" s="2">
        <f>('[1]Qc, Summer, S1'!I4*Main!$B$5)</f>
        <v>14.234748671998787</v>
      </c>
      <c r="J4" s="2">
        <f>('[1]Qc, Summer, S1'!J4*Main!$B$5)</f>
        <v>20.707213922015189</v>
      </c>
      <c r="K4" s="2">
        <f>('[1]Qc, Summer, S1'!K4*Main!$B$5)</f>
        <v>24.605929548174696</v>
      </c>
      <c r="L4" s="2">
        <f>('[1]Qc, Summer, S1'!L4*Main!$B$5)</f>
        <v>26.862101086016562</v>
      </c>
      <c r="M4" s="2">
        <f>('[1]Qc, Summer, S1'!M4*Main!$B$5)</f>
        <v>27.8428068113544</v>
      </c>
      <c r="N4" s="2">
        <f>('[1]Qc, Summer, S1'!N4*Main!$B$5)</f>
        <v>29.094340302505792</v>
      </c>
      <c r="O4" s="2">
        <f>('[1]Qc, Summer, S1'!O4*Main!$B$5)</f>
        <v>29.314466123092469</v>
      </c>
      <c r="P4" s="2">
        <f>('[1]Qc, Summer, S1'!P4*Main!$B$5)</f>
        <v>29.106392634913806</v>
      </c>
      <c r="Q4" s="2">
        <f>('[1]Qc, Summer, S1'!Q4*Main!$B$5)</f>
        <v>28.137482479260314</v>
      </c>
      <c r="R4" s="2">
        <f>('[1]Qc, Summer, S1'!R4*Main!$B$5)</f>
        <v>26.777303343230798</v>
      </c>
      <c r="S4" s="2">
        <f>('[1]Qc, Summer, S1'!S4*Main!$B$5)</f>
        <v>23.761841668259365</v>
      </c>
      <c r="T4" s="2">
        <f>('[1]Qc, Summer, S1'!T4*Main!$B$5)</f>
        <v>23.651906893688565</v>
      </c>
      <c r="U4" s="2">
        <f>('[1]Qc, Summer, S1'!U4*Main!$B$5)</f>
        <v>22.500103044876575</v>
      </c>
      <c r="V4" s="2">
        <f>('[1]Qc, Summer, S1'!V4*Main!$B$5)</f>
        <v>20.281549867427053</v>
      </c>
      <c r="W4" s="2">
        <f>('[1]Qc, Summer, S1'!W4*Main!$B$5)</f>
        <v>24.313617494904165</v>
      </c>
      <c r="X4" s="2">
        <f>('[1]Qc, Summer, S1'!X4*Main!$B$5)</f>
        <v>21.785886266803061</v>
      </c>
      <c r="Y4" s="2">
        <f>('[1]Qc, Summer, S1'!Y4*Main!$B$5)</f>
        <v>17.53240415832764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42518-CA6C-4303-A527-28A9B617D953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-12.265824449615847</v>
      </c>
      <c r="C2" s="2">
        <f>('[1]Qc, Summer, S1'!C2*Main!$B$5)</f>
        <v>-15.94707790960874</v>
      </c>
      <c r="D2" s="2">
        <f>('[1]Qc, Summer, S1'!D2*Main!$B$5)</f>
        <v>-17.57675740830194</v>
      </c>
      <c r="E2" s="2">
        <f>('[1]Qc, Summer, S1'!E2*Main!$B$5)</f>
        <v>-16.03971199345586</v>
      </c>
      <c r="F2" s="2">
        <f>('[1]Qc, Summer, S1'!F2*Main!$B$5)</f>
        <v>-17.192413263743646</v>
      </c>
      <c r="G2" s="2">
        <f>('[1]Qc, Summer, S1'!G2*Main!$B$5)</f>
        <v>-17.588679673855481</v>
      </c>
      <c r="H2" s="2">
        <f>('[1]Qc, Summer, S1'!H2*Main!$B$5)</f>
        <v>-15.243937802047926</v>
      </c>
      <c r="I2" s="2">
        <f>('[1]Qc, Summer, S1'!I2*Main!$B$5)</f>
        <v>-2.3716142401407345</v>
      </c>
      <c r="J2" s="2">
        <f>('[1]Qc, Summer, S1'!J2*Main!$B$5)</f>
        <v>7.6127071987303498</v>
      </c>
      <c r="K2" s="2">
        <f>('[1]Qc, Summer, S1'!K2*Main!$B$5)</f>
        <v>11.08262194513161</v>
      </c>
      <c r="L2" s="2">
        <f>('[1]Qc, Summer, S1'!L2*Main!$B$5)</f>
        <v>8.711931659320852</v>
      </c>
      <c r="M2" s="2">
        <f>('[1]Qc, Summer, S1'!M2*Main!$B$5)</f>
        <v>11.604532172344419</v>
      </c>
      <c r="N2" s="2">
        <f>('[1]Qc, Summer, S1'!N2*Main!$B$5)</f>
        <v>10.298092489111339</v>
      </c>
      <c r="O2" s="2">
        <f>('[1]Qc, Summer, S1'!O2*Main!$B$5)</f>
        <v>10.608155547204086</v>
      </c>
      <c r="P2" s="2">
        <f>('[1]Qc, Summer, S1'!P2*Main!$B$5)</f>
        <v>5.473418954981744</v>
      </c>
      <c r="Q2" s="2">
        <f>('[1]Qc, Summer, S1'!Q2*Main!$B$5)</f>
        <v>1.3837465676915663</v>
      </c>
      <c r="R2" s="2">
        <f>('[1]Qc, Summer, S1'!R2*Main!$B$5)</f>
        <v>3.0782847448513198</v>
      </c>
      <c r="S2" s="2">
        <f>('[1]Qc, Summer, S1'!S2*Main!$B$5)</f>
        <v>3.7390516470163195</v>
      </c>
      <c r="T2" s="2">
        <f>('[1]Qc, Summer, S1'!T2*Main!$B$5)</f>
        <v>2.2526378068651205</v>
      </c>
      <c r="U2" s="2">
        <f>('[1]Qc, Summer, S1'!U2*Main!$B$5)</f>
        <v>-0.42022162514088846</v>
      </c>
      <c r="V2" s="2">
        <f>('[1]Qc, Summer, S1'!V2*Main!$B$5)</f>
        <v>-1.6404777227831167</v>
      </c>
      <c r="W2" s="2">
        <f>('[1]Qc, Summer, S1'!W2*Main!$B$5)</f>
        <v>-1.1413228540815634</v>
      </c>
      <c r="X2" s="2">
        <f>('[1]Qc, Summer, S1'!X2*Main!$B$5)</f>
        <v>-5.4734906713791931</v>
      </c>
      <c r="Y2" s="2">
        <f>('[1]Qc, Summer, S1'!Y2*Main!$B$5)</f>
        <v>-7.4088152800256522</v>
      </c>
    </row>
    <row r="3" spans="1:25" x14ac:dyDescent="0.3">
      <c r="A3">
        <v>2</v>
      </c>
      <c r="B3" s="2">
        <f>('[1]Qc, Summer, S1'!B3*Main!$B$5)</f>
        <v>-15.523416955194598</v>
      </c>
      <c r="C3" s="2">
        <f>('[1]Qc, Summer, S1'!C3*Main!$B$5)</f>
        <v>-15.523416955194598</v>
      </c>
      <c r="D3" s="2">
        <f>('[1]Qc, Summer, S1'!D3*Main!$B$5)</f>
        <v>-18.021771620679662</v>
      </c>
      <c r="E3" s="2">
        <f>('[1]Qc, Summer, S1'!E3*Main!$B$5)</f>
        <v>-20.520126286164729</v>
      </c>
      <c r="F3" s="2">
        <f>('[1]Qc, Summer, S1'!F3*Main!$B$5)</f>
        <v>-20.520126286164729</v>
      </c>
      <c r="G3" s="2">
        <f>('[1]Qc, Summer, S1'!G3*Main!$B$5)</f>
        <v>-20.520126286164729</v>
      </c>
      <c r="H3" s="2">
        <f>('[1]Qc, Summer, S1'!H3*Main!$B$5)</f>
        <v>-8.1821034561743211</v>
      </c>
      <c r="I3" s="2">
        <f>('[1]Qc, Summer, S1'!I3*Main!$B$5)</f>
        <v>1.6960064526534147</v>
      </c>
      <c r="J3" s="2">
        <f>('[1]Qc, Summer, S1'!J3*Main!$B$5)</f>
        <v>5.3858902637383164</v>
      </c>
      <c r="K3" s="2">
        <f>('[1]Qc, Summer, S1'!K3*Main!$B$5)</f>
        <v>5.3858902637383164</v>
      </c>
      <c r="L3" s="2">
        <f>('[1]Qc, Summer, S1'!L3*Main!$B$5)</f>
        <v>4.9246470492331635</v>
      </c>
      <c r="M3" s="2">
        <f>('[1]Qc, Summer, S1'!M3*Main!$B$5)</f>
        <v>6.9233208569182025</v>
      </c>
      <c r="N3" s="2">
        <f>('[1]Qc, Summer, S1'!N3*Main!$B$5)</f>
        <v>9.3832378791083961</v>
      </c>
      <c r="O3" s="2">
        <f>('[1]Qc, Summer, S1'!O3*Main!$B$5)</f>
        <v>9.6715200739721094</v>
      </c>
      <c r="P3" s="2">
        <f>('[1]Qc, Summer, S1'!P3*Main!$B$5)</f>
        <v>5.4243237627230565</v>
      </c>
      <c r="Q3" s="2">
        <f>('[1]Qc, Summer, S1'!Q3*Main!$B$5)</f>
        <v>4.2327945954819146</v>
      </c>
      <c r="R3" s="2">
        <f>('[1]Qc, Summer, S1'!R3*Main!$B$5)</f>
        <v>-0.68703949218108251</v>
      </c>
      <c r="S3" s="2">
        <f>('[1]Qc, Summer, S1'!S3*Main!$B$5)</f>
        <v>-0.68703949218108251</v>
      </c>
      <c r="T3" s="2">
        <f>('[1]Qc, Summer, S1'!T3*Main!$B$5)</f>
        <v>-0.68703949218108251</v>
      </c>
      <c r="U3" s="2">
        <f>('[1]Qc, Summer, S1'!U3*Main!$B$5)</f>
        <v>-0.68703949218108251</v>
      </c>
      <c r="V3" s="2">
        <f>('[1]Qc, Summer, S1'!V3*Main!$B$5)</f>
        <v>-4.3769274259348112</v>
      </c>
      <c r="W3" s="2">
        <f>('[1]Qc, Summer, S1'!W3*Main!$B$5)</f>
        <v>-5.6068900705193867</v>
      </c>
      <c r="X3" s="2">
        <f>('[1]Qc, Summer, S1'!X3*Main!$B$5)</f>
        <v>-15.67715095113356</v>
      </c>
      <c r="Y3" s="2">
        <f>('[1]Qc, Summer, S1'!Y3*Main!$B$5)</f>
        <v>-15.67715095113356</v>
      </c>
    </row>
    <row r="4" spans="1:25" x14ac:dyDescent="0.3">
      <c r="A4">
        <v>3</v>
      </c>
      <c r="B4" s="2">
        <f>('[1]Qc, Summer, S1'!B4*Main!$B$5)</f>
        <v>12.530910671992347</v>
      </c>
      <c r="C4" s="2">
        <f>('[1]Qc, Summer, S1'!C4*Main!$B$5)</f>
        <v>9.6011057734226046</v>
      </c>
      <c r="D4" s="2">
        <f>('[1]Qc, Summer, S1'!D4*Main!$B$5)</f>
        <v>9.0984858529380173</v>
      </c>
      <c r="E4" s="2">
        <f>('[1]Qc, Summer, S1'!E4*Main!$B$5)</f>
        <v>7.9463802197521973</v>
      </c>
      <c r="F4" s="2">
        <f>('[1]Qc, Summer, S1'!F4*Main!$B$5)</f>
        <v>9.1478563451880781</v>
      </c>
      <c r="G4" s="2">
        <f>('[1]Qc, Summer, S1'!G4*Main!$B$5)</f>
        <v>4.2456619138368374</v>
      </c>
      <c r="H4" s="2">
        <f>('[1]Qc, Summer, S1'!H4*Main!$B$5)</f>
        <v>7.4076884912180843</v>
      </c>
      <c r="I4" s="2">
        <f>('[1]Qc, Summer, S1'!I4*Main!$B$5)</f>
        <v>14.234748671998787</v>
      </c>
      <c r="J4" s="2">
        <f>('[1]Qc, Summer, S1'!J4*Main!$B$5)</f>
        <v>20.707213922015189</v>
      </c>
      <c r="K4" s="2">
        <f>('[1]Qc, Summer, S1'!K4*Main!$B$5)</f>
        <v>24.605929548174696</v>
      </c>
      <c r="L4" s="2">
        <f>('[1]Qc, Summer, S1'!L4*Main!$B$5)</f>
        <v>26.862101086016562</v>
      </c>
      <c r="M4" s="2">
        <f>('[1]Qc, Summer, S1'!M4*Main!$B$5)</f>
        <v>27.8428068113544</v>
      </c>
      <c r="N4" s="2">
        <f>('[1]Qc, Summer, S1'!N4*Main!$B$5)</f>
        <v>29.094340302505792</v>
      </c>
      <c r="O4" s="2">
        <f>('[1]Qc, Summer, S1'!O4*Main!$B$5)</f>
        <v>29.314466123092469</v>
      </c>
      <c r="P4" s="2">
        <f>('[1]Qc, Summer, S1'!P4*Main!$B$5)</f>
        <v>29.106392634913806</v>
      </c>
      <c r="Q4" s="2">
        <f>('[1]Qc, Summer, S1'!Q4*Main!$B$5)</f>
        <v>28.137482479260314</v>
      </c>
      <c r="R4" s="2">
        <f>('[1]Qc, Summer, S1'!R4*Main!$B$5)</f>
        <v>26.777303343230798</v>
      </c>
      <c r="S4" s="2">
        <f>('[1]Qc, Summer, S1'!S4*Main!$B$5)</f>
        <v>23.761841668259365</v>
      </c>
      <c r="T4" s="2">
        <f>('[1]Qc, Summer, S1'!T4*Main!$B$5)</f>
        <v>23.651906893688565</v>
      </c>
      <c r="U4" s="2">
        <f>('[1]Qc, Summer, S1'!U4*Main!$B$5)</f>
        <v>22.500103044876575</v>
      </c>
      <c r="V4" s="2">
        <f>('[1]Qc, Summer, S1'!V4*Main!$B$5)</f>
        <v>20.281549867427053</v>
      </c>
      <c r="W4" s="2">
        <f>('[1]Qc, Summer, S1'!W4*Main!$B$5)</f>
        <v>24.313617494904165</v>
      </c>
      <c r="X4" s="2">
        <f>('[1]Qc, Summer, S1'!X4*Main!$B$5)</f>
        <v>21.785886266803061</v>
      </c>
      <c r="Y4" s="2">
        <f>('[1]Qc, Summer, S1'!Y4*Main!$B$5)</f>
        <v>17.53240415832764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3FCBB-52F5-41BB-8DE7-B65E1EDFCA38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-12.633799183104321</v>
      </c>
      <c r="C2" s="2">
        <f>('[1]Qc, Summer, S2'!C2*Main!$B$5)</f>
        <v>-16.425490246897002</v>
      </c>
      <c r="D2" s="2">
        <f>('[1]Qc, Summer, S2'!D2*Main!$B$5)</f>
        <v>-18.104060130550998</v>
      </c>
      <c r="E2" s="2">
        <f>('[1]Qc, Summer, S2'!E2*Main!$B$5)</f>
        <v>-16.520903353259538</v>
      </c>
      <c r="F2" s="2">
        <f>('[1]Qc, Summer, S2'!F2*Main!$B$5)</f>
        <v>-17.708185661655953</v>
      </c>
      <c r="G2" s="2">
        <f>('[1]Qc, Summer, S2'!G2*Main!$B$5)</f>
        <v>-18.116340064071146</v>
      </c>
      <c r="H2" s="2">
        <f>('[1]Qc, Summer, S2'!H2*Main!$B$5)</f>
        <v>-15.701255936109364</v>
      </c>
      <c r="I2" s="2">
        <f>('[1]Qc, Summer, S2'!I2*Main!$B$5)</f>
        <v>-2.4427626673449567</v>
      </c>
      <c r="J2" s="2">
        <f>('[1]Qc, Summer, S2'!J2*Main!$B$5)</f>
        <v>7.841088414692261</v>
      </c>
      <c r="K2" s="2">
        <f>('[1]Qc, Summer, S2'!K2*Main!$B$5)</f>
        <v>11.415100603485559</v>
      </c>
      <c r="L2" s="2">
        <f>('[1]Qc, Summer, S2'!L2*Main!$B$5)</f>
        <v>8.9732896091004779</v>
      </c>
      <c r="M2" s="2">
        <f>('[1]Qc, Summer, S2'!M2*Main!$B$5)</f>
        <v>11.952668137514751</v>
      </c>
      <c r="N2" s="2">
        <f>('[1]Qc, Summer, S2'!N2*Main!$B$5)</f>
        <v>10.607035263784679</v>
      </c>
      <c r="O2" s="2">
        <f>('[1]Qc, Summer, S2'!O2*Main!$B$5)</f>
        <v>10.926400213620209</v>
      </c>
      <c r="P2" s="2">
        <f>('[1]Qc, Summer, S2'!P2*Main!$B$5)</f>
        <v>5.6376215236311964</v>
      </c>
      <c r="Q2" s="2">
        <f>('[1]Qc, Summer, S2'!Q2*Main!$B$5)</f>
        <v>1.4252589647223133</v>
      </c>
      <c r="R2" s="2">
        <f>('[1]Qc, Summer, S2'!R2*Main!$B$5)</f>
        <v>3.1706332871968592</v>
      </c>
      <c r="S2" s="2">
        <f>('[1]Qc, Summer, S2'!S2*Main!$B$5)</f>
        <v>3.8512231964268095</v>
      </c>
      <c r="T2" s="2">
        <f>('[1]Qc, Summer, S2'!T2*Main!$B$5)</f>
        <v>2.3202169410710742</v>
      </c>
      <c r="U2" s="2">
        <f>('[1]Qc, Summer, S2'!U2*Main!$B$5)</f>
        <v>-0.43282827389511519</v>
      </c>
      <c r="V2" s="2">
        <f>('[1]Qc, Summer, S2'!V2*Main!$B$5)</f>
        <v>-1.6896920544666103</v>
      </c>
      <c r="W2" s="2">
        <f>('[1]Qc, Summer, S2'!W2*Main!$B$5)</f>
        <v>-1.1755625397040101</v>
      </c>
      <c r="X2" s="2">
        <f>('[1]Qc, Summer, S2'!X2*Main!$B$5)</f>
        <v>-5.6376953915205696</v>
      </c>
      <c r="Y2" s="2">
        <f>('[1]Qc, Summer, S2'!Y2*Main!$B$5)</f>
        <v>-7.6310797384264211</v>
      </c>
    </row>
    <row r="3" spans="1:25" x14ac:dyDescent="0.3">
      <c r="A3">
        <v>2</v>
      </c>
      <c r="B3" s="2">
        <f>('[1]Qc, Summer, S2'!B3*Main!$B$5)</f>
        <v>-15.989119463850434</v>
      </c>
      <c r="C3" s="2">
        <f>('[1]Qc, Summer, S2'!C3*Main!$B$5)</f>
        <v>-15.989119463850434</v>
      </c>
      <c r="D3" s="2">
        <f>('[1]Qc, Summer, S2'!D3*Main!$B$5)</f>
        <v>-18.562424769300051</v>
      </c>
      <c r="E3" s="2">
        <f>('[1]Qc, Summer, S2'!E3*Main!$B$5)</f>
        <v>-21.135730074749674</v>
      </c>
      <c r="F3" s="2">
        <f>('[1]Qc, Summer, S2'!F3*Main!$B$5)</f>
        <v>-21.135730074749674</v>
      </c>
      <c r="G3" s="2">
        <f>('[1]Qc, Summer, S2'!G3*Main!$B$5)</f>
        <v>-21.135730074749674</v>
      </c>
      <c r="H3" s="2">
        <f>('[1]Qc, Summer, S2'!H3*Main!$B$5)</f>
        <v>-8.4275665598595513</v>
      </c>
      <c r="I3" s="2">
        <f>('[1]Qc, Summer, S2'!I3*Main!$B$5)</f>
        <v>1.7468866462330175</v>
      </c>
      <c r="J3" s="2">
        <f>('[1]Qc, Summer, S2'!J3*Main!$B$5)</f>
        <v>5.5474669716504659</v>
      </c>
      <c r="K3" s="2">
        <f>('[1]Qc, Summer, S2'!K3*Main!$B$5)</f>
        <v>5.5474669716504659</v>
      </c>
      <c r="L3" s="2">
        <f>('[1]Qc, Summer, S2'!L3*Main!$B$5)</f>
        <v>5.0723864607101588</v>
      </c>
      <c r="M3" s="2">
        <f>('[1]Qc, Summer, S2'!M3*Main!$B$5)</f>
        <v>7.1310204826257477</v>
      </c>
      <c r="N3" s="2">
        <f>('[1]Qc, Summer, S2'!N3*Main!$B$5)</f>
        <v>9.6647350154816465</v>
      </c>
      <c r="O3" s="2">
        <f>('[1]Qc, Summer, S2'!O3*Main!$B$5)</f>
        <v>9.9616656761912719</v>
      </c>
      <c r="P3" s="2">
        <f>('[1]Qc, Summer, S2'!P3*Main!$B$5)</f>
        <v>5.5870534756047494</v>
      </c>
      <c r="Q3" s="2">
        <f>('[1]Qc, Summer, S2'!Q3*Main!$B$5)</f>
        <v>4.3597784333463725</v>
      </c>
      <c r="R3" s="2">
        <f>('[1]Qc, Summer, S2'!R3*Main!$B$5)</f>
        <v>-0.70765067694651496</v>
      </c>
      <c r="S3" s="2">
        <f>('[1]Qc, Summer, S2'!S3*Main!$B$5)</f>
        <v>-0.70765067694651496</v>
      </c>
      <c r="T3" s="2">
        <f>('[1]Qc, Summer, S2'!T3*Main!$B$5)</f>
        <v>-0.70765067694651496</v>
      </c>
      <c r="U3" s="2">
        <f>('[1]Qc, Summer, S2'!U3*Main!$B$5)</f>
        <v>-0.70765067694651496</v>
      </c>
      <c r="V3" s="2">
        <f>('[1]Qc, Summer, S2'!V3*Main!$B$5)</f>
        <v>-4.5082352487128565</v>
      </c>
      <c r="W3" s="2">
        <f>('[1]Qc, Summer, S2'!W3*Main!$B$5)</f>
        <v>-5.7750967726349698</v>
      </c>
      <c r="X3" s="2">
        <f>('[1]Qc, Summer, S2'!X3*Main!$B$5)</f>
        <v>-16.147465479667567</v>
      </c>
      <c r="Y3" s="2">
        <f>('[1]Qc, Summer, S2'!Y3*Main!$B$5)</f>
        <v>-16.147465479667567</v>
      </c>
    </row>
    <row r="4" spans="1:25" x14ac:dyDescent="0.3">
      <c r="A4">
        <v>3</v>
      </c>
      <c r="B4" s="2">
        <f>('[1]Qc, Summer, S2'!B4*Main!$B$5)</f>
        <v>12.906837992152118</v>
      </c>
      <c r="C4" s="2">
        <f>('[1]Qc, Summer, S2'!C4*Main!$B$5)</f>
        <v>9.8891389466252804</v>
      </c>
      <c r="D4" s="2">
        <f>('[1]Qc, Summer, S2'!D4*Main!$B$5)</f>
        <v>9.3714404285261566</v>
      </c>
      <c r="E4" s="2">
        <f>('[1]Qc, Summer, S2'!E4*Main!$B$5)</f>
        <v>8.1847716263447623</v>
      </c>
      <c r="F4" s="2">
        <f>('[1]Qc, Summer, S2'!F4*Main!$B$5)</f>
        <v>9.4222920355437214</v>
      </c>
      <c r="G4" s="2">
        <f>('[1]Qc, Summer, S2'!G4*Main!$B$5)</f>
        <v>4.3730317712519433</v>
      </c>
      <c r="H4" s="2">
        <f>('[1]Qc, Summer, S2'!H4*Main!$B$5)</f>
        <v>7.6299191459546263</v>
      </c>
      <c r="I4" s="2">
        <f>('[1]Qc, Summer, S2'!I4*Main!$B$5)</f>
        <v>14.661791132158751</v>
      </c>
      <c r="J4" s="2">
        <f>('[1]Qc, Summer, S2'!J4*Main!$B$5)</f>
        <v>21.328430339675648</v>
      </c>
      <c r="K4" s="2">
        <f>('[1]Qc, Summer, S2'!K4*Main!$B$5)</f>
        <v>25.344107434619936</v>
      </c>
      <c r="L4" s="2">
        <f>('[1]Qc, Summer, S2'!L4*Main!$B$5)</f>
        <v>27.667964118597062</v>
      </c>
      <c r="M4" s="2">
        <f>('[1]Qc, Summer, S2'!M4*Main!$B$5)</f>
        <v>28.678091015695031</v>
      </c>
      <c r="N4" s="2">
        <f>('[1]Qc, Summer, S2'!N4*Main!$B$5)</f>
        <v>29.967170511580967</v>
      </c>
      <c r="O4" s="2">
        <f>('[1]Qc, Summer, S2'!O4*Main!$B$5)</f>
        <v>30.193900106785243</v>
      </c>
      <c r="P4" s="2">
        <f>('[1]Qc, Summer, S2'!P4*Main!$B$5)</f>
        <v>29.979584413961224</v>
      </c>
      <c r="Q4" s="2">
        <f>('[1]Qc, Summer, S2'!Q4*Main!$B$5)</f>
        <v>28.981606953638121</v>
      </c>
      <c r="R4" s="2">
        <f>('[1]Qc, Summer, S2'!R4*Main!$B$5)</f>
        <v>27.580622443527723</v>
      </c>
      <c r="S4" s="2">
        <f>('[1]Qc, Summer, S2'!S4*Main!$B$5)</f>
        <v>24.474696918307146</v>
      </c>
      <c r="T4" s="2">
        <f>('[1]Qc, Summer, S2'!T4*Main!$B$5)</f>
        <v>24.361464100499227</v>
      </c>
      <c r="U4" s="2">
        <f>('[1]Qc, Summer, S2'!U4*Main!$B$5)</f>
        <v>23.175106136222873</v>
      </c>
      <c r="V4" s="2">
        <f>('[1]Qc, Summer, S2'!V4*Main!$B$5)</f>
        <v>20.88999636344986</v>
      </c>
      <c r="W4" s="2">
        <f>('[1]Qc, Summer, S2'!W4*Main!$B$5)</f>
        <v>25.043026019751291</v>
      </c>
      <c r="X4" s="2">
        <f>('[1]Qc, Summer, S2'!X4*Main!$B$5)</f>
        <v>22.439462854807154</v>
      </c>
      <c r="Y4" s="2">
        <f>('[1]Qc, Summer, S2'!Y4*Main!$B$5)</f>
        <v>18.058376283077468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C6C65-6AD5-40D1-B2BC-779153DBC309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-12.633799183104321</v>
      </c>
      <c r="C2" s="2">
        <f>('[1]Qc, Summer, S2'!C2*Main!$B$5)</f>
        <v>-16.425490246897002</v>
      </c>
      <c r="D2" s="2">
        <f>('[1]Qc, Summer, S2'!D2*Main!$B$5)</f>
        <v>-18.104060130550998</v>
      </c>
      <c r="E2" s="2">
        <f>('[1]Qc, Summer, S2'!E2*Main!$B$5)</f>
        <v>-16.520903353259538</v>
      </c>
      <c r="F2" s="2">
        <f>('[1]Qc, Summer, S2'!F2*Main!$B$5)</f>
        <v>-17.708185661655953</v>
      </c>
      <c r="G2" s="2">
        <f>('[1]Qc, Summer, S2'!G2*Main!$B$5)</f>
        <v>-18.116340064071146</v>
      </c>
      <c r="H2" s="2">
        <f>('[1]Qc, Summer, S2'!H2*Main!$B$5)</f>
        <v>-15.701255936109364</v>
      </c>
      <c r="I2" s="2">
        <f>('[1]Qc, Summer, S2'!I2*Main!$B$5)</f>
        <v>-2.4427626673449567</v>
      </c>
      <c r="J2" s="2">
        <f>('[1]Qc, Summer, S2'!J2*Main!$B$5)</f>
        <v>7.841088414692261</v>
      </c>
      <c r="K2" s="2">
        <f>('[1]Qc, Summer, S2'!K2*Main!$B$5)</f>
        <v>11.415100603485559</v>
      </c>
      <c r="L2" s="2">
        <f>('[1]Qc, Summer, S2'!L2*Main!$B$5)</f>
        <v>8.9732896091004779</v>
      </c>
      <c r="M2" s="2">
        <f>('[1]Qc, Summer, S2'!M2*Main!$B$5)</f>
        <v>11.952668137514751</v>
      </c>
      <c r="N2" s="2">
        <f>('[1]Qc, Summer, S2'!N2*Main!$B$5)</f>
        <v>10.607035263784679</v>
      </c>
      <c r="O2" s="2">
        <f>('[1]Qc, Summer, S2'!O2*Main!$B$5)</f>
        <v>10.926400213620209</v>
      </c>
      <c r="P2" s="2">
        <f>('[1]Qc, Summer, S2'!P2*Main!$B$5)</f>
        <v>5.6376215236311964</v>
      </c>
      <c r="Q2" s="2">
        <f>('[1]Qc, Summer, S2'!Q2*Main!$B$5)</f>
        <v>1.4252589647223133</v>
      </c>
      <c r="R2" s="2">
        <f>('[1]Qc, Summer, S2'!R2*Main!$B$5)</f>
        <v>3.1706332871968592</v>
      </c>
      <c r="S2" s="2">
        <f>('[1]Qc, Summer, S2'!S2*Main!$B$5)</f>
        <v>3.8512231964268095</v>
      </c>
      <c r="T2" s="2">
        <f>('[1]Qc, Summer, S2'!T2*Main!$B$5)</f>
        <v>2.3202169410710742</v>
      </c>
      <c r="U2" s="2">
        <f>('[1]Qc, Summer, S2'!U2*Main!$B$5)</f>
        <v>-0.43282827389511519</v>
      </c>
      <c r="V2" s="2">
        <f>('[1]Qc, Summer, S2'!V2*Main!$B$5)</f>
        <v>-1.6896920544666103</v>
      </c>
      <c r="W2" s="2">
        <f>('[1]Qc, Summer, S2'!W2*Main!$B$5)</f>
        <v>-1.1755625397040101</v>
      </c>
      <c r="X2" s="2">
        <f>('[1]Qc, Summer, S2'!X2*Main!$B$5)</f>
        <v>-5.6376953915205696</v>
      </c>
      <c r="Y2" s="2">
        <f>('[1]Qc, Summer, S2'!Y2*Main!$B$5)</f>
        <v>-7.6310797384264211</v>
      </c>
    </row>
    <row r="3" spans="1:25" x14ac:dyDescent="0.3">
      <c r="A3">
        <v>2</v>
      </c>
      <c r="B3" s="2">
        <f>('[1]Qc, Summer, S2'!B3*Main!$B$5)</f>
        <v>-15.989119463850434</v>
      </c>
      <c r="C3" s="2">
        <f>('[1]Qc, Summer, S2'!C3*Main!$B$5)</f>
        <v>-15.989119463850434</v>
      </c>
      <c r="D3" s="2">
        <f>('[1]Qc, Summer, S2'!D3*Main!$B$5)</f>
        <v>-18.562424769300051</v>
      </c>
      <c r="E3" s="2">
        <f>('[1]Qc, Summer, S2'!E3*Main!$B$5)</f>
        <v>-21.135730074749674</v>
      </c>
      <c r="F3" s="2">
        <f>('[1]Qc, Summer, S2'!F3*Main!$B$5)</f>
        <v>-21.135730074749674</v>
      </c>
      <c r="G3" s="2">
        <f>('[1]Qc, Summer, S2'!G3*Main!$B$5)</f>
        <v>-21.135730074749674</v>
      </c>
      <c r="H3" s="2">
        <f>('[1]Qc, Summer, S2'!H3*Main!$B$5)</f>
        <v>-8.4275665598595513</v>
      </c>
      <c r="I3" s="2">
        <f>('[1]Qc, Summer, S2'!I3*Main!$B$5)</f>
        <v>1.7468866462330175</v>
      </c>
      <c r="J3" s="2">
        <f>('[1]Qc, Summer, S2'!J3*Main!$B$5)</f>
        <v>5.5474669716504659</v>
      </c>
      <c r="K3" s="2">
        <f>('[1]Qc, Summer, S2'!K3*Main!$B$5)</f>
        <v>5.5474669716504659</v>
      </c>
      <c r="L3" s="2">
        <f>('[1]Qc, Summer, S2'!L3*Main!$B$5)</f>
        <v>5.0723864607101588</v>
      </c>
      <c r="M3" s="2">
        <f>('[1]Qc, Summer, S2'!M3*Main!$B$5)</f>
        <v>7.1310204826257477</v>
      </c>
      <c r="N3" s="2">
        <f>('[1]Qc, Summer, S2'!N3*Main!$B$5)</f>
        <v>9.6647350154816465</v>
      </c>
      <c r="O3" s="2">
        <f>('[1]Qc, Summer, S2'!O3*Main!$B$5)</f>
        <v>9.9616656761912719</v>
      </c>
      <c r="P3" s="2">
        <f>('[1]Qc, Summer, S2'!P3*Main!$B$5)</f>
        <v>5.5870534756047494</v>
      </c>
      <c r="Q3" s="2">
        <f>('[1]Qc, Summer, S2'!Q3*Main!$B$5)</f>
        <v>4.3597784333463725</v>
      </c>
      <c r="R3" s="2">
        <f>('[1]Qc, Summer, S2'!R3*Main!$B$5)</f>
        <v>-0.70765067694651496</v>
      </c>
      <c r="S3" s="2">
        <f>('[1]Qc, Summer, S2'!S3*Main!$B$5)</f>
        <v>-0.70765067694651496</v>
      </c>
      <c r="T3" s="2">
        <f>('[1]Qc, Summer, S2'!T3*Main!$B$5)</f>
        <v>-0.70765067694651496</v>
      </c>
      <c r="U3" s="2">
        <f>('[1]Qc, Summer, S2'!U3*Main!$B$5)</f>
        <v>-0.70765067694651496</v>
      </c>
      <c r="V3" s="2">
        <f>('[1]Qc, Summer, S2'!V3*Main!$B$5)</f>
        <v>-4.5082352487128565</v>
      </c>
      <c r="W3" s="2">
        <f>('[1]Qc, Summer, S2'!W3*Main!$B$5)</f>
        <v>-5.7750967726349698</v>
      </c>
      <c r="X3" s="2">
        <f>('[1]Qc, Summer, S2'!X3*Main!$B$5)</f>
        <v>-16.147465479667567</v>
      </c>
      <c r="Y3" s="2">
        <f>('[1]Qc, Summer, S2'!Y3*Main!$B$5)</f>
        <v>-16.147465479667567</v>
      </c>
    </row>
    <row r="4" spans="1:25" x14ac:dyDescent="0.3">
      <c r="A4">
        <v>3</v>
      </c>
      <c r="B4" s="2">
        <f>('[1]Qc, Summer, S2'!B4*Main!$B$5)</f>
        <v>12.906837992152118</v>
      </c>
      <c r="C4" s="2">
        <f>('[1]Qc, Summer, S2'!C4*Main!$B$5)</f>
        <v>9.8891389466252804</v>
      </c>
      <c r="D4" s="2">
        <f>('[1]Qc, Summer, S2'!D4*Main!$B$5)</f>
        <v>9.3714404285261566</v>
      </c>
      <c r="E4" s="2">
        <f>('[1]Qc, Summer, S2'!E4*Main!$B$5)</f>
        <v>8.1847716263447623</v>
      </c>
      <c r="F4" s="2">
        <f>('[1]Qc, Summer, S2'!F4*Main!$B$5)</f>
        <v>9.4222920355437214</v>
      </c>
      <c r="G4" s="2">
        <f>('[1]Qc, Summer, S2'!G4*Main!$B$5)</f>
        <v>4.3730317712519433</v>
      </c>
      <c r="H4" s="2">
        <f>('[1]Qc, Summer, S2'!H4*Main!$B$5)</f>
        <v>7.6299191459546263</v>
      </c>
      <c r="I4" s="2">
        <f>('[1]Qc, Summer, S2'!I4*Main!$B$5)</f>
        <v>14.661791132158751</v>
      </c>
      <c r="J4" s="2">
        <f>('[1]Qc, Summer, S2'!J4*Main!$B$5)</f>
        <v>21.328430339675648</v>
      </c>
      <c r="K4" s="2">
        <f>('[1]Qc, Summer, S2'!K4*Main!$B$5)</f>
        <v>25.344107434619936</v>
      </c>
      <c r="L4" s="2">
        <f>('[1]Qc, Summer, S2'!L4*Main!$B$5)</f>
        <v>27.667964118597062</v>
      </c>
      <c r="M4" s="2">
        <f>('[1]Qc, Summer, S2'!M4*Main!$B$5)</f>
        <v>28.678091015695031</v>
      </c>
      <c r="N4" s="2">
        <f>('[1]Qc, Summer, S2'!N4*Main!$B$5)</f>
        <v>29.967170511580967</v>
      </c>
      <c r="O4" s="2">
        <f>('[1]Qc, Summer, S2'!O4*Main!$B$5)</f>
        <v>30.193900106785243</v>
      </c>
      <c r="P4" s="2">
        <f>('[1]Qc, Summer, S2'!P4*Main!$B$5)</f>
        <v>29.979584413961224</v>
      </c>
      <c r="Q4" s="2">
        <f>('[1]Qc, Summer, S2'!Q4*Main!$B$5)</f>
        <v>28.981606953638121</v>
      </c>
      <c r="R4" s="2">
        <f>('[1]Qc, Summer, S2'!R4*Main!$B$5)</f>
        <v>27.580622443527723</v>
      </c>
      <c r="S4" s="2">
        <f>('[1]Qc, Summer, S2'!S4*Main!$B$5)</f>
        <v>24.474696918307146</v>
      </c>
      <c r="T4" s="2">
        <f>('[1]Qc, Summer, S2'!T4*Main!$B$5)</f>
        <v>24.361464100499227</v>
      </c>
      <c r="U4" s="2">
        <f>('[1]Qc, Summer, S2'!U4*Main!$B$5)</f>
        <v>23.175106136222873</v>
      </c>
      <c r="V4" s="2">
        <f>('[1]Qc, Summer, S2'!V4*Main!$B$5)</f>
        <v>20.88999636344986</v>
      </c>
      <c r="W4" s="2">
        <f>('[1]Qc, Summer, S2'!W4*Main!$B$5)</f>
        <v>25.043026019751291</v>
      </c>
      <c r="X4" s="2">
        <f>('[1]Qc, Summer, S2'!X4*Main!$B$5)</f>
        <v>22.439462854807154</v>
      </c>
      <c r="Y4" s="2">
        <f>('[1]Qc, Summer, S2'!Y4*Main!$B$5)</f>
        <v>18.058376283077468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154F7-4A4C-4FD4-99A4-806C18C20FF2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-12.633799183104321</v>
      </c>
      <c r="C2" s="2">
        <f>('[1]Qc, Summer, S2'!C2*Main!$B$5)</f>
        <v>-16.425490246897002</v>
      </c>
      <c r="D2" s="2">
        <f>('[1]Qc, Summer, S2'!D2*Main!$B$5)</f>
        <v>-18.104060130550998</v>
      </c>
      <c r="E2" s="2">
        <f>('[1]Qc, Summer, S2'!E2*Main!$B$5)</f>
        <v>-16.520903353259538</v>
      </c>
      <c r="F2" s="2">
        <f>('[1]Qc, Summer, S2'!F2*Main!$B$5)</f>
        <v>-17.708185661655953</v>
      </c>
      <c r="G2" s="2">
        <f>('[1]Qc, Summer, S2'!G2*Main!$B$5)</f>
        <v>-18.116340064071146</v>
      </c>
      <c r="H2" s="2">
        <f>('[1]Qc, Summer, S2'!H2*Main!$B$5)</f>
        <v>-15.701255936109364</v>
      </c>
      <c r="I2" s="2">
        <f>('[1]Qc, Summer, S2'!I2*Main!$B$5)</f>
        <v>-2.4427626673449567</v>
      </c>
      <c r="J2" s="2">
        <f>('[1]Qc, Summer, S2'!J2*Main!$B$5)</f>
        <v>7.841088414692261</v>
      </c>
      <c r="K2" s="2">
        <f>('[1]Qc, Summer, S2'!K2*Main!$B$5)</f>
        <v>11.415100603485559</v>
      </c>
      <c r="L2" s="2">
        <f>('[1]Qc, Summer, S2'!L2*Main!$B$5)</f>
        <v>8.9732896091004779</v>
      </c>
      <c r="M2" s="2">
        <f>('[1]Qc, Summer, S2'!M2*Main!$B$5)</f>
        <v>11.952668137514751</v>
      </c>
      <c r="N2" s="2">
        <f>('[1]Qc, Summer, S2'!N2*Main!$B$5)</f>
        <v>10.607035263784679</v>
      </c>
      <c r="O2" s="2">
        <f>('[1]Qc, Summer, S2'!O2*Main!$B$5)</f>
        <v>10.926400213620209</v>
      </c>
      <c r="P2" s="2">
        <f>('[1]Qc, Summer, S2'!P2*Main!$B$5)</f>
        <v>5.6376215236311964</v>
      </c>
      <c r="Q2" s="2">
        <f>('[1]Qc, Summer, S2'!Q2*Main!$B$5)</f>
        <v>1.4252589647223133</v>
      </c>
      <c r="R2" s="2">
        <f>('[1]Qc, Summer, S2'!R2*Main!$B$5)</f>
        <v>3.1706332871968592</v>
      </c>
      <c r="S2" s="2">
        <f>('[1]Qc, Summer, S2'!S2*Main!$B$5)</f>
        <v>3.8512231964268095</v>
      </c>
      <c r="T2" s="2">
        <f>('[1]Qc, Summer, S2'!T2*Main!$B$5)</f>
        <v>2.3202169410710742</v>
      </c>
      <c r="U2" s="2">
        <f>('[1]Qc, Summer, S2'!U2*Main!$B$5)</f>
        <v>-0.43282827389511519</v>
      </c>
      <c r="V2" s="2">
        <f>('[1]Qc, Summer, S2'!V2*Main!$B$5)</f>
        <v>-1.6896920544666103</v>
      </c>
      <c r="W2" s="2">
        <f>('[1]Qc, Summer, S2'!W2*Main!$B$5)</f>
        <v>-1.1755625397040101</v>
      </c>
      <c r="X2" s="2">
        <f>('[1]Qc, Summer, S2'!X2*Main!$B$5)</f>
        <v>-5.6376953915205696</v>
      </c>
      <c r="Y2" s="2">
        <f>('[1]Qc, Summer, S2'!Y2*Main!$B$5)</f>
        <v>-7.6310797384264211</v>
      </c>
    </row>
    <row r="3" spans="1:25" x14ac:dyDescent="0.3">
      <c r="A3">
        <v>2</v>
      </c>
      <c r="B3" s="2">
        <f>('[1]Qc, Summer, S2'!B3*Main!$B$5)</f>
        <v>-15.989119463850434</v>
      </c>
      <c r="C3" s="2">
        <f>('[1]Qc, Summer, S2'!C3*Main!$B$5)</f>
        <v>-15.989119463850434</v>
      </c>
      <c r="D3" s="2">
        <f>('[1]Qc, Summer, S2'!D3*Main!$B$5)</f>
        <v>-18.562424769300051</v>
      </c>
      <c r="E3" s="2">
        <f>('[1]Qc, Summer, S2'!E3*Main!$B$5)</f>
        <v>-21.135730074749674</v>
      </c>
      <c r="F3" s="2">
        <f>('[1]Qc, Summer, S2'!F3*Main!$B$5)</f>
        <v>-21.135730074749674</v>
      </c>
      <c r="G3" s="2">
        <f>('[1]Qc, Summer, S2'!G3*Main!$B$5)</f>
        <v>-21.135730074749674</v>
      </c>
      <c r="H3" s="2">
        <f>('[1]Qc, Summer, S2'!H3*Main!$B$5)</f>
        <v>-8.4275665598595513</v>
      </c>
      <c r="I3" s="2">
        <f>('[1]Qc, Summer, S2'!I3*Main!$B$5)</f>
        <v>1.7468866462330175</v>
      </c>
      <c r="J3" s="2">
        <f>('[1]Qc, Summer, S2'!J3*Main!$B$5)</f>
        <v>5.5474669716504659</v>
      </c>
      <c r="K3" s="2">
        <f>('[1]Qc, Summer, S2'!K3*Main!$B$5)</f>
        <v>5.5474669716504659</v>
      </c>
      <c r="L3" s="2">
        <f>('[1]Qc, Summer, S2'!L3*Main!$B$5)</f>
        <v>5.0723864607101588</v>
      </c>
      <c r="M3" s="2">
        <f>('[1]Qc, Summer, S2'!M3*Main!$B$5)</f>
        <v>7.1310204826257477</v>
      </c>
      <c r="N3" s="2">
        <f>('[1]Qc, Summer, S2'!N3*Main!$B$5)</f>
        <v>9.6647350154816465</v>
      </c>
      <c r="O3" s="2">
        <f>('[1]Qc, Summer, S2'!O3*Main!$B$5)</f>
        <v>9.9616656761912719</v>
      </c>
      <c r="P3" s="2">
        <f>('[1]Qc, Summer, S2'!P3*Main!$B$5)</f>
        <v>5.5870534756047494</v>
      </c>
      <c r="Q3" s="2">
        <f>('[1]Qc, Summer, S2'!Q3*Main!$B$5)</f>
        <v>4.3597784333463725</v>
      </c>
      <c r="R3" s="2">
        <f>('[1]Qc, Summer, S2'!R3*Main!$B$5)</f>
        <v>-0.70765067694651496</v>
      </c>
      <c r="S3" s="2">
        <f>('[1]Qc, Summer, S2'!S3*Main!$B$5)</f>
        <v>-0.70765067694651496</v>
      </c>
      <c r="T3" s="2">
        <f>('[1]Qc, Summer, S2'!T3*Main!$B$5)</f>
        <v>-0.70765067694651496</v>
      </c>
      <c r="U3" s="2">
        <f>('[1]Qc, Summer, S2'!U3*Main!$B$5)</f>
        <v>-0.70765067694651496</v>
      </c>
      <c r="V3" s="2">
        <f>('[1]Qc, Summer, S2'!V3*Main!$B$5)</f>
        <v>-4.5082352487128565</v>
      </c>
      <c r="W3" s="2">
        <f>('[1]Qc, Summer, S2'!W3*Main!$B$5)</f>
        <v>-5.7750967726349698</v>
      </c>
      <c r="X3" s="2">
        <f>('[1]Qc, Summer, S2'!X3*Main!$B$5)</f>
        <v>-16.147465479667567</v>
      </c>
      <c r="Y3" s="2">
        <f>('[1]Qc, Summer, S2'!Y3*Main!$B$5)</f>
        <v>-16.147465479667567</v>
      </c>
    </row>
    <row r="4" spans="1:25" x14ac:dyDescent="0.3">
      <c r="A4">
        <v>3</v>
      </c>
      <c r="B4" s="2">
        <f>('[1]Qc, Summer, S2'!B4*Main!$B$5)</f>
        <v>12.906837992152118</v>
      </c>
      <c r="C4" s="2">
        <f>('[1]Qc, Summer, S2'!C4*Main!$B$5)</f>
        <v>9.8891389466252804</v>
      </c>
      <c r="D4" s="2">
        <f>('[1]Qc, Summer, S2'!D4*Main!$B$5)</f>
        <v>9.3714404285261566</v>
      </c>
      <c r="E4" s="2">
        <f>('[1]Qc, Summer, S2'!E4*Main!$B$5)</f>
        <v>8.1847716263447623</v>
      </c>
      <c r="F4" s="2">
        <f>('[1]Qc, Summer, S2'!F4*Main!$B$5)</f>
        <v>9.4222920355437214</v>
      </c>
      <c r="G4" s="2">
        <f>('[1]Qc, Summer, S2'!G4*Main!$B$5)</f>
        <v>4.3730317712519433</v>
      </c>
      <c r="H4" s="2">
        <f>('[1]Qc, Summer, S2'!H4*Main!$B$5)</f>
        <v>7.6299191459546263</v>
      </c>
      <c r="I4" s="2">
        <f>('[1]Qc, Summer, S2'!I4*Main!$B$5)</f>
        <v>14.661791132158751</v>
      </c>
      <c r="J4" s="2">
        <f>('[1]Qc, Summer, S2'!J4*Main!$B$5)</f>
        <v>21.328430339675648</v>
      </c>
      <c r="K4" s="2">
        <f>('[1]Qc, Summer, S2'!K4*Main!$B$5)</f>
        <v>25.344107434619936</v>
      </c>
      <c r="L4" s="2">
        <f>('[1]Qc, Summer, S2'!L4*Main!$B$5)</f>
        <v>27.667964118597062</v>
      </c>
      <c r="M4" s="2">
        <f>('[1]Qc, Summer, S2'!M4*Main!$B$5)</f>
        <v>28.678091015695031</v>
      </c>
      <c r="N4" s="2">
        <f>('[1]Qc, Summer, S2'!N4*Main!$B$5)</f>
        <v>29.967170511580967</v>
      </c>
      <c r="O4" s="2">
        <f>('[1]Qc, Summer, S2'!O4*Main!$B$5)</f>
        <v>30.193900106785243</v>
      </c>
      <c r="P4" s="2">
        <f>('[1]Qc, Summer, S2'!P4*Main!$B$5)</f>
        <v>29.979584413961224</v>
      </c>
      <c r="Q4" s="2">
        <f>('[1]Qc, Summer, S2'!Q4*Main!$B$5)</f>
        <v>28.981606953638121</v>
      </c>
      <c r="R4" s="2">
        <f>('[1]Qc, Summer, S2'!R4*Main!$B$5)</f>
        <v>27.580622443527723</v>
      </c>
      <c r="S4" s="2">
        <f>('[1]Qc, Summer, S2'!S4*Main!$B$5)</f>
        <v>24.474696918307146</v>
      </c>
      <c r="T4" s="2">
        <f>('[1]Qc, Summer, S2'!T4*Main!$B$5)</f>
        <v>24.361464100499227</v>
      </c>
      <c r="U4" s="2">
        <f>('[1]Qc, Summer, S2'!U4*Main!$B$5)</f>
        <v>23.175106136222873</v>
      </c>
      <c r="V4" s="2">
        <f>('[1]Qc, Summer, S2'!V4*Main!$B$5)</f>
        <v>20.88999636344986</v>
      </c>
      <c r="W4" s="2">
        <f>('[1]Qc, Summer, S2'!W4*Main!$B$5)</f>
        <v>25.043026019751291</v>
      </c>
      <c r="X4" s="2">
        <f>('[1]Qc, Summer, S2'!X4*Main!$B$5)</f>
        <v>22.439462854807154</v>
      </c>
      <c r="Y4" s="2">
        <f>('[1]Qc, Summer, S2'!Y4*Main!$B$5)</f>
        <v>18.058376283077468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2F1C1-7ED8-49F9-AA45-64CF74869C8E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-12.020507960623528</v>
      </c>
      <c r="C2" s="2">
        <f>('[1]Qc, Summer, S3'!C2*Main!$B$5)</f>
        <v>-15.628136351416567</v>
      </c>
      <c r="D2" s="2">
        <f>('[1]Qc, Summer, S3'!D2*Main!$B$5)</f>
        <v>-17.225222260135897</v>
      </c>
      <c r="E2" s="2">
        <f>('[1]Qc, Summer, S3'!E2*Main!$B$5)</f>
        <v>-15.718917753586743</v>
      </c>
      <c r="F2" s="2">
        <f>('[1]Qc, Summer, S3'!F2*Main!$B$5)</f>
        <v>-16.848564998468774</v>
      </c>
      <c r="G2" s="2">
        <f>('[1]Qc, Summer, S3'!G2*Main!$B$5)</f>
        <v>-17.236906080378372</v>
      </c>
      <c r="H2" s="2">
        <f>('[1]Qc, Summer, S3'!H2*Main!$B$5)</f>
        <v>-14.939059046006966</v>
      </c>
      <c r="I2" s="2">
        <f>('[1]Qc, Summer, S3'!I2*Main!$B$5)</f>
        <v>-2.3241819553379202</v>
      </c>
      <c r="J2" s="2">
        <f>('[1]Qc, Summer, S3'!J2*Main!$B$5)</f>
        <v>7.4604530547557433</v>
      </c>
      <c r="K2" s="2">
        <f>('[1]Qc, Summer, S3'!K2*Main!$B$5)</f>
        <v>10.860969506228978</v>
      </c>
      <c r="L2" s="2">
        <f>('[1]Qc, Summer, S3'!L2*Main!$B$5)</f>
        <v>8.5376930261344341</v>
      </c>
      <c r="M2" s="2">
        <f>('[1]Qc, Summer, S3'!M2*Main!$B$5)</f>
        <v>11.37244152889753</v>
      </c>
      <c r="N2" s="2">
        <f>('[1]Qc, Summer, S3'!N2*Main!$B$5)</f>
        <v>10.092130639329113</v>
      </c>
      <c r="O2" s="2">
        <f>('[1]Qc, Summer, S3'!O2*Main!$B$5)</f>
        <v>10.395992436260004</v>
      </c>
      <c r="P2" s="2">
        <f>('[1]Qc, Summer, S3'!P2*Main!$B$5)</f>
        <v>5.3639505758821091</v>
      </c>
      <c r="Q2" s="2">
        <f>('[1]Qc, Summer, S3'!Q2*Main!$B$5)</f>
        <v>1.356071636337735</v>
      </c>
      <c r="R2" s="2">
        <f>('[1]Qc, Summer, S3'!R2*Main!$B$5)</f>
        <v>3.0167190499542933</v>
      </c>
      <c r="S2" s="2">
        <f>('[1]Qc, Summer, S3'!S2*Main!$B$5)</f>
        <v>3.6642706140759929</v>
      </c>
      <c r="T2" s="2">
        <f>('[1]Qc, Summer, S3'!T2*Main!$B$5)</f>
        <v>2.2075850507278183</v>
      </c>
      <c r="U2" s="2">
        <f>('[1]Qc, Summer, S3'!U2*Main!$B$5)</f>
        <v>-0.41181719263807071</v>
      </c>
      <c r="V2" s="2">
        <f>('[1]Qc, Summer, S3'!V2*Main!$B$5)</f>
        <v>-1.6076681683274543</v>
      </c>
      <c r="W2" s="2">
        <f>('[1]Qc, Summer, S3'!W2*Main!$B$5)</f>
        <v>-1.118496396999932</v>
      </c>
      <c r="X2" s="2">
        <f>('[1]Qc, Summer, S3'!X2*Main!$B$5)</f>
        <v>-5.3640208579516093</v>
      </c>
      <c r="Y2" s="2">
        <f>('[1]Qc, Summer, S3'!Y2*Main!$B$5)</f>
        <v>-7.2606389744251398</v>
      </c>
    </row>
    <row r="3" spans="1:25" x14ac:dyDescent="0.3">
      <c r="A3">
        <v>2</v>
      </c>
      <c r="B3" s="2">
        <f>('[1]Qc, Summer, S3'!B3*Main!$B$5)</f>
        <v>-15.212948616090706</v>
      </c>
      <c r="C3" s="2">
        <f>('[1]Qc, Summer, S3'!C3*Main!$B$5)</f>
        <v>-15.212948616090706</v>
      </c>
      <c r="D3" s="2">
        <f>('[1]Qc, Summer, S3'!D3*Main!$B$5)</f>
        <v>-17.66133618826607</v>
      </c>
      <c r="E3" s="2">
        <f>('[1]Qc, Summer, S3'!E3*Main!$B$5)</f>
        <v>-20.109723760441433</v>
      </c>
      <c r="F3" s="2">
        <f>('[1]Qc, Summer, S3'!F3*Main!$B$5)</f>
        <v>-20.109723760441433</v>
      </c>
      <c r="G3" s="2">
        <f>('[1]Qc, Summer, S3'!G3*Main!$B$5)</f>
        <v>-20.109723760441433</v>
      </c>
      <c r="H3" s="2">
        <f>('[1]Qc, Summer, S3'!H3*Main!$B$5)</f>
        <v>-8.0184613870508343</v>
      </c>
      <c r="I3" s="2">
        <f>('[1]Qc, Summer, S3'!I3*Main!$B$5)</f>
        <v>1.6620863236003465</v>
      </c>
      <c r="J3" s="2">
        <f>('[1]Qc, Summer, S3'!J3*Main!$B$5)</f>
        <v>5.2781724584635503</v>
      </c>
      <c r="K3" s="2">
        <f>('[1]Qc, Summer, S3'!K3*Main!$B$5)</f>
        <v>5.2781724584635503</v>
      </c>
      <c r="L3" s="2">
        <f>('[1]Qc, Summer, S3'!L3*Main!$B$5)</f>
        <v>4.8261541082484998</v>
      </c>
      <c r="M3" s="2">
        <f>('[1]Qc, Summer, S3'!M3*Main!$B$5)</f>
        <v>6.7848544397798385</v>
      </c>
      <c r="N3" s="2">
        <f>('[1]Qc, Summer, S3'!N3*Main!$B$5)</f>
        <v>9.1955731215262269</v>
      </c>
      <c r="O3" s="2">
        <f>('[1]Qc, Summer, S3'!O3*Main!$B$5)</f>
        <v>9.4780896724926667</v>
      </c>
      <c r="P3" s="2">
        <f>('[1]Qc, Summer, S3'!P3*Main!$B$5)</f>
        <v>5.3158372874685957</v>
      </c>
      <c r="Q3" s="2">
        <f>('[1]Qc, Summer, S3'!Q3*Main!$B$5)</f>
        <v>4.1481387035722763</v>
      </c>
      <c r="R3" s="2">
        <f>('[1]Qc, Summer, S3'!R3*Main!$B$5)</f>
        <v>-0.67329870233746081</v>
      </c>
      <c r="S3" s="2">
        <f>('[1]Qc, Summer, S3'!S3*Main!$B$5)</f>
        <v>-0.67329870233746081</v>
      </c>
      <c r="T3" s="2">
        <f>('[1]Qc, Summer, S3'!T3*Main!$B$5)</f>
        <v>-0.67329870233746081</v>
      </c>
      <c r="U3" s="2">
        <f>('[1]Qc, Summer, S3'!U3*Main!$B$5)</f>
        <v>-0.67329870233746081</v>
      </c>
      <c r="V3" s="2">
        <f>('[1]Qc, Summer, S3'!V3*Main!$B$5)</f>
        <v>-4.2893888774161155</v>
      </c>
      <c r="W3" s="2">
        <f>('[1]Qc, Summer, S3'!W3*Main!$B$5)</f>
        <v>-5.4947522691089992</v>
      </c>
      <c r="X3" s="2">
        <f>('[1]Qc, Summer, S3'!X3*Main!$B$5)</f>
        <v>-15.363607932110892</v>
      </c>
      <c r="Y3" s="2">
        <f>('[1]Qc, Summer, S3'!Y3*Main!$B$5)</f>
        <v>-15.363607932110892</v>
      </c>
    </row>
    <row r="4" spans="1:25" x14ac:dyDescent="0.3">
      <c r="A4">
        <v>3</v>
      </c>
      <c r="B4" s="2">
        <f>('[1]Qc, Summer, S3'!B4*Main!$B$5)</f>
        <v>12.2802924585525</v>
      </c>
      <c r="C4" s="2">
        <f>('[1]Qc, Summer, S3'!C4*Main!$B$5)</f>
        <v>9.4090836579541506</v>
      </c>
      <c r="D4" s="2">
        <f>('[1]Qc, Summer, S3'!D4*Main!$B$5)</f>
        <v>8.916516135879256</v>
      </c>
      <c r="E4" s="2">
        <f>('[1]Qc, Summer, S3'!E4*Main!$B$5)</f>
        <v>7.7874526153571528</v>
      </c>
      <c r="F4" s="2">
        <f>('[1]Qc, Summer, S3'!F4*Main!$B$5)</f>
        <v>8.9648992182843177</v>
      </c>
      <c r="G4" s="2">
        <f>('[1]Qc, Summer, S3'!G4*Main!$B$5)</f>
        <v>4.1607486755601011</v>
      </c>
      <c r="H4" s="2">
        <f>('[1]Qc, Summer, S3'!H4*Main!$B$5)</f>
        <v>7.259534721393722</v>
      </c>
      <c r="I4" s="2">
        <f>('[1]Qc, Summer, S3'!I4*Main!$B$5)</f>
        <v>13.95005369855881</v>
      </c>
      <c r="J4" s="2">
        <f>('[1]Qc, Summer, S3'!J4*Main!$B$5)</f>
        <v>20.293069643574885</v>
      </c>
      <c r="K4" s="2">
        <f>('[1]Qc, Summer, S3'!K4*Main!$B$5)</f>
        <v>24.1138109572112</v>
      </c>
      <c r="L4" s="2">
        <f>('[1]Qc, Summer, S3'!L4*Main!$B$5)</f>
        <v>26.324859064296234</v>
      </c>
      <c r="M4" s="2">
        <f>('[1]Qc, Summer, S3'!M4*Main!$B$5)</f>
        <v>27.28595067512731</v>
      </c>
      <c r="N4" s="2">
        <f>('[1]Qc, Summer, S3'!N4*Main!$B$5)</f>
        <v>28.512453496455674</v>
      </c>
      <c r="O4" s="2">
        <f>('[1]Qc, Summer, S3'!O4*Main!$B$5)</f>
        <v>28.728176800630621</v>
      </c>
      <c r="P4" s="2">
        <f>('[1]Qc, Summer, S3'!P4*Main!$B$5)</f>
        <v>28.524264782215532</v>
      </c>
      <c r="Q4" s="2">
        <f>('[1]Qc, Summer, S3'!Q4*Main!$B$5)</f>
        <v>27.574732829675106</v>
      </c>
      <c r="R4" s="2">
        <f>('[1]Qc, Summer, S3'!R4*Main!$B$5)</f>
        <v>26.241757276366183</v>
      </c>
      <c r="S4" s="2">
        <f>('[1]Qc, Summer, S3'!S4*Main!$B$5)</f>
        <v>23.286604834894181</v>
      </c>
      <c r="T4" s="2">
        <f>('[1]Qc, Summer, S3'!T4*Main!$B$5)</f>
        <v>23.178868755814797</v>
      </c>
      <c r="U4" s="2">
        <f>('[1]Qc, Summer, S3'!U4*Main!$B$5)</f>
        <v>22.050100983979046</v>
      </c>
      <c r="V4" s="2">
        <f>('[1]Qc, Summer, S3'!V4*Main!$B$5)</f>
        <v>19.875918870078507</v>
      </c>
      <c r="W4" s="2">
        <f>('[1]Qc, Summer, S3'!W4*Main!$B$5)</f>
        <v>23.827345145006081</v>
      </c>
      <c r="X4" s="2">
        <f>('[1]Qc, Summer, S3'!X4*Main!$B$5)</f>
        <v>21.350168541466999</v>
      </c>
      <c r="Y4" s="2">
        <f>('[1]Qc, Summer, S3'!Y4*Main!$B$5)</f>
        <v>17.181756075161086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6A48-2DFF-4EC4-A667-3A915A0E6E00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-12.020507960623528</v>
      </c>
      <c r="C2" s="2">
        <f>('[1]Qc, Summer, S3'!C2*Main!$B$5)</f>
        <v>-15.628136351416567</v>
      </c>
      <c r="D2" s="2">
        <f>('[1]Qc, Summer, S3'!D2*Main!$B$5)</f>
        <v>-17.225222260135897</v>
      </c>
      <c r="E2" s="2">
        <f>('[1]Qc, Summer, S3'!E2*Main!$B$5)</f>
        <v>-15.718917753586743</v>
      </c>
      <c r="F2" s="2">
        <f>('[1]Qc, Summer, S3'!F2*Main!$B$5)</f>
        <v>-16.848564998468774</v>
      </c>
      <c r="G2" s="2">
        <f>('[1]Qc, Summer, S3'!G2*Main!$B$5)</f>
        <v>-17.236906080378372</v>
      </c>
      <c r="H2" s="2">
        <f>('[1]Qc, Summer, S3'!H2*Main!$B$5)</f>
        <v>-14.939059046006966</v>
      </c>
      <c r="I2" s="2">
        <f>('[1]Qc, Summer, S3'!I2*Main!$B$5)</f>
        <v>-2.3241819553379202</v>
      </c>
      <c r="J2" s="2">
        <f>('[1]Qc, Summer, S3'!J2*Main!$B$5)</f>
        <v>7.4604530547557433</v>
      </c>
      <c r="K2" s="2">
        <f>('[1]Qc, Summer, S3'!K2*Main!$B$5)</f>
        <v>10.860969506228978</v>
      </c>
      <c r="L2" s="2">
        <f>('[1]Qc, Summer, S3'!L2*Main!$B$5)</f>
        <v>8.5376930261344341</v>
      </c>
      <c r="M2" s="2">
        <f>('[1]Qc, Summer, S3'!M2*Main!$B$5)</f>
        <v>11.37244152889753</v>
      </c>
      <c r="N2" s="2">
        <f>('[1]Qc, Summer, S3'!N2*Main!$B$5)</f>
        <v>10.092130639329113</v>
      </c>
      <c r="O2" s="2">
        <f>('[1]Qc, Summer, S3'!O2*Main!$B$5)</f>
        <v>10.395992436260004</v>
      </c>
      <c r="P2" s="2">
        <f>('[1]Qc, Summer, S3'!P2*Main!$B$5)</f>
        <v>5.3639505758821091</v>
      </c>
      <c r="Q2" s="2">
        <f>('[1]Qc, Summer, S3'!Q2*Main!$B$5)</f>
        <v>1.356071636337735</v>
      </c>
      <c r="R2" s="2">
        <f>('[1]Qc, Summer, S3'!R2*Main!$B$5)</f>
        <v>3.0167190499542933</v>
      </c>
      <c r="S2" s="2">
        <f>('[1]Qc, Summer, S3'!S2*Main!$B$5)</f>
        <v>3.6642706140759929</v>
      </c>
      <c r="T2" s="2">
        <f>('[1]Qc, Summer, S3'!T2*Main!$B$5)</f>
        <v>2.2075850507278183</v>
      </c>
      <c r="U2" s="2">
        <f>('[1]Qc, Summer, S3'!U2*Main!$B$5)</f>
        <v>-0.41181719263807071</v>
      </c>
      <c r="V2" s="2">
        <f>('[1]Qc, Summer, S3'!V2*Main!$B$5)</f>
        <v>-1.6076681683274543</v>
      </c>
      <c r="W2" s="2">
        <f>('[1]Qc, Summer, S3'!W2*Main!$B$5)</f>
        <v>-1.118496396999932</v>
      </c>
      <c r="X2" s="2">
        <f>('[1]Qc, Summer, S3'!X2*Main!$B$5)</f>
        <v>-5.3640208579516093</v>
      </c>
      <c r="Y2" s="2">
        <f>('[1]Qc, Summer, S3'!Y2*Main!$B$5)</f>
        <v>-7.2606389744251398</v>
      </c>
    </row>
    <row r="3" spans="1:25" x14ac:dyDescent="0.3">
      <c r="A3">
        <v>2</v>
      </c>
      <c r="B3" s="2">
        <f>('[1]Qc, Summer, S3'!B3*Main!$B$5)</f>
        <v>-15.212948616090706</v>
      </c>
      <c r="C3" s="2">
        <f>('[1]Qc, Summer, S3'!C3*Main!$B$5)</f>
        <v>-15.212948616090706</v>
      </c>
      <c r="D3" s="2">
        <f>('[1]Qc, Summer, S3'!D3*Main!$B$5)</f>
        <v>-17.66133618826607</v>
      </c>
      <c r="E3" s="2">
        <f>('[1]Qc, Summer, S3'!E3*Main!$B$5)</f>
        <v>-20.109723760441433</v>
      </c>
      <c r="F3" s="2">
        <f>('[1]Qc, Summer, S3'!F3*Main!$B$5)</f>
        <v>-20.109723760441433</v>
      </c>
      <c r="G3" s="2">
        <f>('[1]Qc, Summer, S3'!G3*Main!$B$5)</f>
        <v>-20.109723760441433</v>
      </c>
      <c r="H3" s="2">
        <f>('[1]Qc, Summer, S3'!H3*Main!$B$5)</f>
        <v>-8.0184613870508343</v>
      </c>
      <c r="I3" s="2">
        <f>('[1]Qc, Summer, S3'!I3*Main!$B$5)</f>
        <v>1.6620863236003465</v>
      </c>
      <c r="J3" s="2">
        <f>('[1]Qc, Summer, S3'!J3*Main!$B$5)</f>
        <v>5.2781724584635503</v>
      </c>
      <c r="K3" s="2">
        <f>('[1]Qc, Summer, S3'!K3*Main!$B$5)</f>
        <v>5.2781724584635503</v>
      </c>
      <c r="L3" s="2">
        <f>('[1]Qc, Summer, S3'!L3*Main!$B$5)</f>
        <v>4.8261541082484998</v>
      </c>
      <c r="M3" s="2">
        <f>('[1]Qc, Summer, S3'!M3*Main!$B$5)</f>
        <v>6.7848544397798385</v>
      </c>
      <c r="N3" s="2">
        <f>('[1]Qc, Summer, S3'!N3*Main!$B$5)</f>
        <v>9.1955731215262269</v>
      </c>
      <c r="O3" s="2">
        <f>('[1]Qc, Summer, S3'!O3*Main!$B$5)</f>
        <v>9.4780896724926667</v>
      </c>
      <c r="P3" s="2">
        <f>('[1]Qc, Summer, S3'!P3*Main!$B$5)</f>
        <v>5.3158372874685957</v>
      </c>
      <c r="Q3" s="2">
        <f>('[1]Qc, Summer, S3'!Q3*Main!$B$5)</f>
        <v>4.1481387035722763</v>
      </c>
      <c r="R3" s="2">
        <f>('[1]Qc, Summer, S3'!R3*Main!$B$5)</f>
        <v>-0.67329870233746081</v>
      </c>
      <c r="S3" s="2">
        <f>('[1]Qc, Summer, S3'!S3*Main!$B$5)</f>
        <v>-0.67329870233746081</v>
      </c>
      <c r="T3" s="2">
        <f>('[1]Qc, Summer, S3'!T3*Main!$B$5)</f>
        <v>-0.67329870233746081</v>
      </c>
      <c r="U3" s="2">
        <f>('[1]Qc, Summer, S3'!U3*Main!$B$5)</f>
        <v>-0.67329870233746081</v>
      </c>
      <c r="V3" s="2">
        <f>('[1]Qc, Summer, S3'!V3*Main!$B$5)</f>
        <v>-4.2893888774161155</v>
      </c>
      <c r="W3" s="2">
        <f>('[1]Qc, Summer, S3'!W3*Main!$B$5)</f>
        <v>-5.4947522691089992</v>
      </c>
      <c r="X3" s="2">
        <f>('[1]Qc, Summer, S3'!X3*Main!$B$5)</f>
        <v>-15.363607932110892</v>
      </c>
      <c r="Y3" s="2">
        <f>('[1]Qc, Summer, S3'!Y3*Main!$B$5)</f>
        <v>-15.363607932110892</v>
      </c>
    </row>
    <row r="4" spans="1:25" x14ac:dyDescent="0.3">
      <c r="A4">
        <v>3</v>
      </c>
      <c r="B4" s="2">
        <f>('[1]Qc, Summer, S3'!B4*Main!$B$5)</f>
        <v>12.2802924585525</v>
      </c>
      <c r="C4" s="2">
        <f>('[1]Qc, Summer, S3'!C4*Main!$B$5)</f>
        <v>9.4090836579541506</v>
      </c>
      <c r="D4" s="2">
        <f>('[1]Qc, Summer, S3'!D4*Main!$B$5)</f>
        <v>8.916516135879256</v>
      </c>
      <c r="E4" s="2">
        <f>('[1]Qc, Summer, S3'!E4*Main!$B$5)</f>
        <v>7.7874526153571528</v>
      </c>
      <c r="F4" s="2">
        <f>('[1]Qc, Summer, S3'!F4*Main!$B$5)</f>
        <v>8.9648992182843177</v>
      </c>
      <c r="G4" s="2">
        <f>('[1]Qc, Summer, S3'!G4*Main!$B$5)</f>
        <v>4.1607486755601011</v>
      </c>
      <c r="H4" s="2">
        <f>('[1]Qc, Summer, S3'!H4*Main!$B$5)</f>
        <v>7.259534721393722</v>
      </c>
      <c r="I4" s="2">
        <f>('[1]Qc, Summer, S3'!I4*Main!$B$5)</f>
        <v>13.95005369855881</v>
      </c>
      <c r="J4" s="2">
        <f>('[1]Qc, Summer, S3'!J4*Main!$B$5)</f>
        <v>20.293069643574885</v>
      </c>
      <c r="K4" s="2">
        <f>('[1]Qc, Summer, S3'!K4*Main!$B$5)</f>
        <v>24.1138109572112</v>
      </c>
      <c r="L4" s="2">
        <f>('[1]Qc, Summer, S3'!L4*Main!$B$5)</f>
        <v>26.324859064296234</v>
      </c>
      <c r="M4" s="2">
        <f>('[1]Qc, Summer, S3'!M4*Main!$B$5)</f>
        <v>27.28595067512731</v>
      </c>
      <c r="N4" s="2">
        <f>('[1]Qc, Summer, S3'!N4*Main!$B$5)</f>
        <v>28.512453496455674</v>
      </c>
      <c r="O4" s="2">
        <f>('[1]Qc, Summer, S3'!O4*Main!$B$5)</f>
        <v>28.728176800630621</v>
      </c>
      <c r="P4" s="2">
        <f>('[1]Qc, Summer, S3'!P4*Main!$B$5)</f>
        <v>28.524264782215532</v>
      </c>
      <c r="Q4" s="2">
        <f>('[1]Qc, Summer, S3'!Q4*Main!$B$5)</f>
        <v>27.574732829675106</v>
      </c>
      <c r="R4" s="2">
        <f>('[1]Qc, Summer, S3'!R4*Main!$B$5)</f>
        <v>26.241757276366183</v>
      </c>
      <c r="S4" s="2">
        <f>('[1]Qc, Summer, S3'!S4*Main!$B$5)</f>
        <v>23.286604834894181</v>
      </c>
      <c r="T4" s="2">
        <f>('[1]Qc, Summer, S3'!T4*Main!$B$5)</f>
        <v>23.178868755814797</v>
      </c>
      <c r="U4" s="2">
        <f>('[1]Qc, Summer, S3'!U4*Main!$B$5)</f>
        <v>22.050100983979046</v>
      </c>
      <c r="V4" s="2">
        <f>('[1]Qc, Summer, S3'!V4*Main!$B$5)</f>
        <v>19.875918870078507</v>
      </c>
      <c r="W4" s="2">
        <f>('[1]Qc, Summer, S3'!W4*Main!$B$5)</f>
        <v>23.827345145006081</v>
      </c>
      <c r="X4" s="2">
        <f>('[1]Qc, Summer, S3'!X4*Main!$B$5)</f>
        <v>21.350168541466999</v>
      </c>
      <c r="Y4" s="2">
        <f>('[1]Qc, Summer, S3'!Y4*Main!$B$5)</f>
        <v>17.181756075161086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802DA-9959-4345-9A7F-5BF7CCD7EDB6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-12.020507960623528</v>
      </c>
      <c r="C2" s="2">
        <f>('[1]Qc, Summer, S3'!C2*Main!$B$5)</f>
        <v>-15.628136351416567</v>
      </c>
      <c r="D2" s="2">
        <f>('[1]Qc, Summer, S3'!D2*Main!$B$5)</f>
        <v>-17.225222260135897</v>
      </c>
      <c r="E2" s="2">
        <f>('[1]Qc, Summer, S3'!E2*Main!$B$5)</f>
        <v>-15.718917753586743</v>
      </c>
      <c r="F2" s="2">
        <f>('[1]Qc, Summer, S3'!F2*Main!$B$5)</f>
        <v>-16.848564998468774</v>
      </c>
      <c r="G2" s="2">
        <f>('[1]Qc, Summer, S3'!G2*Main!$B$5)</f>
        <v>-17.236906080378372</v>
      </c>
      <c r="H2" s="2">
        <f>('[1]Qc, Summer, S3'!H2*Main!$B$5)</f>
        <v>-14.939059046006966</v>
      </c>
      <c r="I2" s="2">
        <f>('[1]Qc, Summer, S3'!I2*Main!$B$5)</f>
        <v>-2.3241819553379202</v>
      </c>
      <c r="J2" s="2">
        <f>('[1]Qc, Summer, S3'!J2*Main!$B$5)</f>
        <v>7.4604530547557433</v>
      </c>
      <c r="K2" s="2">
        <f>('[1]Qc, Summer, S3'!K2*Main!$B$5)</f>
        <v>10.860969506228978</v>
      </c>
      <c r="L2" s="2">
        <f>('[1]Qc, Summer, S3'!L2*Main!$B$5)</f>
        <v>8.5376930261344341</v>
      </c>
      <c r="M2" s="2">
        <f>('[1]Qc, Summer, S3'!M2*Main!$B$5)</f>
        <v>11.37244152889753</v>
      </c>
      <c r="N2" s="2">
        <f>('[1]Qc, Summer, S3'!N2*Main!$B$5)</f>
        <v>10.092130639329113</v>
      </c>
      <c r="O2" s="2">
        <f>('[1]Qc, Summer, S3'!O2*Main!$B$5)</f>
        <v>10.395992436260004</v>
      </c>
      <c r="P2" s="2">
        <f>('[1]Qc, Summer, S3'!P2*Main!$B$5)</f>
        <v>5.3639505758821091</v>
      </c>
      <c r="Q2" s="2">
        <f>('[1]Qc, Summer, S3'!Q2*Main!$B$5)</f>
        <v>1.356071636337735</v>
      </c>
      <c r="R2" s="2">
        <f>('[1]Qc, Summer, S3'!R2*Main!$B$5)</f>
        <v>3.0167190499542933</v>
      </c>
      <c r="S2" s="2">
        <f>('[1]Qc, Summer, S3'!S2*Main!$B$5)</f>
        <v>3.6642706140759929</v>
      </c>
      <c r="T2" s="2">
        <f>('[1]Qc, Summer, S3'!T2*Main!$B$5)</f>
        <v>2.2075850507278183</v>
      </c>
      <c r="U2" s="2">
        <f>('[1]Qc, Summer, S3'!U2*Main!$B$5)</f>
        <v>-0.41181719263807071</v>
      </c>
      <c r="V2" s="2">
        <f>('[1]Qc, Summer, S3'!V2*Main!$B$5)</f>
        <v>-1.6076681683274543</v>
      </c>
      <c r="W2" s="2">
        <f>('[1]Qc, Summer, S3'!W2*Main!$B$5)</f>
        <v>-1.118496396999932</v>
      </c>
      <c r="X2" s="2">
        <f>('[1]Qc, Summer, S3'!X2*Main!$B$5)</f>
        <v>-5.3640208579516093</v>
      </c>
      <c r="Y2" s="2">
        <f>('[1]Qc, Summer, S3'!Y2*Main!$B$5)</f>
        <v>-7.2606389744251398</v>
      </c>
    </row>
    <row r="3" spans="1:25" x14ac:dyDescent="0.3">
      <c r="A3">
        <v>2</v>
      </c>
      <c r="B3" s="2">
        <f>('[1]Qc, Summer, S3'!B3*Main!$B$5)</f>
        <v>-15.212948616090706</v>
      </c>
      <c r="C3" s="2">
        <f>('[1]Qc, Summer, S3'!C3*Main!$B$5)</f>
        <v>-15.212948616090706</v>
      </c>
      <c r="D3" s="2">
        <f>('[1]Qc, Summer, S3'!D3*Main!$B$5)</f>
        <v>-17.66133618826607</v>
      </c>
      <c r="E3" s="2">
        <f>('[1]Qc, Summer, S3'!E3*Main!$B$5)</f>
        <v>-20.109723760441433</v>
      </c>
      <c r="F3" s="2">
        <f>('[1]Qc, Summer, S3'!F3*Main!$B$5)</f>
        <v>-20.109723760441433</v>
      </c>
      <c r="G3" s="2">
        <f>('[1]Qc, Summer, S3'!G3*Main!$B$5)</f>
        <v>-20.109723760441433</v>
      </c>
      <c r="H3" s="2">
        <f>('[1]Qc, Summer, S3'!H3*Main!$B$5)</f>
        <v>-8.0184613870508343</v>
      </c>
      <c r="I3" s="2">
        <f>('[1]Qc, Summer, S3'!I3*Main!$B$5)</f>
        <v>1.6620863236003465</v>
      </c>
      <c r="J3" s="2">
        <f>('[1]Qc, Summer, S3'!J3*Main!$B$5)</f>
        <v>5.2781724584635503</v>
      </c>
      <c r="K3" s="2">
        <f>('[1]Qc, Summer, S3'!K3*Main!$B$5)</f>
        <v>5.2781724584635503</v>
      </c>
      <c r="L3" s="2">
        <f>('[1]Qc, Summer, S3'!L3*Main!$B$5)</f>
        <v>4.8261541082484998</v>
      </c>
      <c r="M3" s="2">
        <f>('[1]Qc, Summer, S3'!M3*Main!$B$5)</f>
        <v>6.7848544397798385</v>
      </c>
      <c r="N3" s="2">
        <f>('[1]Qc, Summer, S3'!N3*Main!$B$5)</f>
        <v>9.1955731215262269</v>
      </c>
      <c r="O3" s="2">
        <f>('[1]Qc, Summer, S3'!O3*Main!$B$5)</f>
        <v>9.4780896724926667</v>
      </c>
      <c r="P3" s="2">
        <f>('[1]Qc, Summer, S3'!P3*Main!$B$5)</f>
        <v>5.3158372874685957</v>
      </c>
      <c r="Q3" s="2">
        <f>('[1]Qc, Summer, S3'!Q3*Main!$B$5)</f>
        <v>4.1481387035722763</v>
      </c>
      <c r="R3" s="2">
        <f>('[1]Qc, Summer, S3'!R3*Main!$B$5)</f>
        <v>-0.67329870233746081</v>
      </c>
      <c r="S3" s="2">
        <f>('[1]Qc, Summer, S3'!S3*Main!$B$5)</f>
        <v>-0.67329870233746081</v>
      </c>
      <c r="T3" s="2">
        <f>('[1]Qc, Summer, S3'!T3*Main!$B$5)</f>
        <v>-0.67329870233746081</v>
      </c>
      <c r="U3" s="2">
        <f>('[1]Qc, Summer, S3'!U3*Main!$B$5)</f>
        <v>-0.67329870233746081</v>
      </c>
      <c r="V3" s="2">
        <f>('[1]Qc, Summer, S3'!V3*Main!$B$5)</f>
        <v>-4.2893888774161155</v>
      </c>
      <c r="W3" s="2">
        <f>('[1]Qc, Summer, S3'!W3*Main!$B$5)</f>
        <v>-5.4947522691089992</v>
      </c>
      <c r="X3" s="2">
        <f>('[1]Qc, Summer, S3'!X3*Main!$B$5)</f>
        <v>-15.363607932110892</v>
      </c>
      <c r="Y3" s="2">
        <f>('[1]Qc, Summer, S3'!Y3*Main!$B$5)</f>
        <v>-15.363607932110892</v>
      </c>
    </row>
    <row r="4" spans="1:25" x14ac:dyDescent="0.3">
      <c r="A4">
        <v>3</v>
      </c>
      <c r="B4" s="2">
        <f>('[1]Qc, Summer, S3'!B4*Main!$B$5)</f>
        <v>12.2802924585525</v>
      </c>
      <c r="C4" s="2">
        <f>('[1]Qc, Summer, S3'!C4*Main!$B$5)</f>
        <v>9.4090836579541506</v>
      </c>
      <c r="D4" s="2">
        <f>('[1]Qc, Summer, S3'!D4*Main!$B$5)</f>
        <v>8.916516135879256</v>
      </c>
      <c r="E4" s="2">
        <f>('[1]Qc, Summer, S3'!E4*Main!$B$5)</f>
        <v>7.7874526153571528</v>
      </c>
      <c r="F4" s="2">
        <f>('[1]Qc, Summer, S3'!F4*Main!$B$5)</f>
        <v>8.9648992182843177</v>
      </c>
      <c r="G4" s="2">
        <f>('[1]Qc, Summer, S3'!G4*Main!$B$5)</f>
        <v>4.1607486755601011</v>
      </c>
      <c r="H4" s="2">
        <f>('[1]Qc, Summer, S3'!H4*Main!$B$5)</f>
        <v>7.259534721393722</v>
      </c>
      <c r="I4" s="2">
        <f>('[1]Qc, Summer, S3'!I4*Main!$B$5)</f>
        <v>13.95005369855881</v>
      </c>
      <c r="J4" s="2">
        <f>('[1]Qc, Summer, S3'!J4*Main!$B$5)</f>
        <v>20.293069643574885</v>
      </c>
      <c r="K4" s="2">
        <f>('[1]Qc, Summer, S3'!K4*Main!$B$5)</f>
        <v>24.1138109572112</v>
      </c>
      <c r="L4" s="2">
        <f>('[1]Qc, Summer, S3'!L4*Main!$B$5)</f>
        <v>26.324859064296234</v>
      </c>
      <c r="M4" s="2">
        <f>('[1]Qc, Summer, S3'!M4*Main!$B$5)</f>
        <v>27.28595067512731</v>
      </c>
      <c r="N4" s="2">
        <f>('[1]Qc, Summer, S3'!N4*Main!$B$5)</f>
        <v>28.512453496455674</v>
      </c>
      <c r="O4" s="2">
        <f>('[1]Qc, Summer, S3'!O4*Main!$B$5)</f>
        <v>28.728176800630621</v>
      </c>
      <c r="P4" s="2">
        <f>('[1]Qc, Summer, S3'!P4*Main!$B$5)</f>
        <v>28.524264782215532</v>
      </c>
      <c r="Q4" s="2">
        <f>('[1]Qc, Summer, S3'!Q4*Main!$B$5)</f>
        <v>27.574732829675106</v>
      </c>
      <c r="R4" s="2">
        <f>('[1]Qc, Summer, S3'!R4*Main!$B$5)</f>
        <v>26.241757276366183</v>
      </c>
      <c r="S4" s="2">
        <f>('[1]Qc, Summer, S3'!S4*Main!$B$5)</f>
        <v>23.286604834894181</v>
      </c>
      <c r="T4" s="2">
        <f>('[1]Qc, Summer, S3'!T4*Main!$B$5)</f>
        <v>23.178868755814797</v>
      </c>
      <c r="U4" s="2">
        <f>('[1]Qc, Summer, S3'!U4*Main!$B$5)</f>
        <v>22.050100983979046</v>
      </c>
      <c r="V4" s="2">
        <f>('[1]Qc, Summer, S3'!V4*Main!$B$5)</f>
        <v>19.875918870078507</v>
      </c>
      <c r="W4" s="2">
        <f>('[1]Qc, Summer, S3'!W4*Main!$B$5)</f>
        <v>23.827345145006081</v>
      </c>
      <c r="X4" s="2">
        <f>('[1]Qc, Summer, S3'!X4*Main!$B$5)</f>
        <v>21.350168541466999</v>
      </c>
      <c r="Y4" s="2">
        <f>('[1]Qc, Summer, S3'!Y4*Main!$B$5)</f>
        <v>17.181756075161086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DBED1-3709-414F-B01F-CDEDEA185E02}">
  <dimension ref="A1:Y4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Ratio'!$A$2:$B$21,2,FALSE)</f>
        <v>2.8587421638184591</v>
      </c>
      <c r="C2" s="2">
        <f>('FL Characterization'!C$4-'FL Characterization'!C$2)*VLOOKUP($A2,'FL Ratio'!$A$2:$B$21,2,FALSE)</f>
        <v>3.1471123289838432</v>
      </c>
      <c r="D2" s="2">
        <f>('FL Characterization'!D$4-'FL Characterization'!D$2)*VLOOKUP($A2,'FL Ratio'!$A$2:$B$21,2,FALSE)</f>
        <v>4.0962656360176561</v>
      </c>
      <c r="E2" s="2">
        <f>('FL Characterization'!E$4-'FL Characterization'!E$2)*VLOOKUP($A2,'FL Ratio'!$A$2:$B$21,2,FALSE)</f>
        <v>4.6962038408472786</v>
      </c>
      <c r="F2" s="2">
        <f>('FL Characterization'!F$4-'FL Characterization'!F$2)*VLOOKUP($A2,'FL Ratio'!$A$2:$B$21,2,FALSE)</f>
        <v>5.5216681395676526</v>
      </c>
      <c r="G2" s="2">
        <f>('FL Characterization'!G$4-'FL Characterization'!G$2)*VLOOKUP($A2,'FL Ratio'!$A$2:$B$21,2,FALSE)</f>
        <v>6.4544325045493744</v>
      </c>
      <c r="H2" s="2">
        <f>('FL Characterization'!H$4-'FL Characterization'!H$2)*VLOOKUP($A2,'FL Ratio'!$A$2:$B$21,2,FALSE)</f>
        <v>5.7535479175148341</v>
      </c>
      <c r="I2" s="2">
        <f>('FL Characterization'!I$4-'FL Characterization'!I$2)*VLOOKUP($A2,'FL Ratio'!$A$2:$B$21,2,FALSE)</f>
        <v>8.225328949547773</v>
      </c>
      <c r="J2" s="2">
        <f>('FL Characterization'!J$4-'FL Characterization'!J$2)*VLOOKUP($A2,'FL Ratio'!$A$2:$B$21,2,FALSE)</f>
        <v>7.5458212434507441</v>
      </c>
      <c r="K2" s="2">
        <f>('FL Characterization'!K$4-'FL Characterization'!K$2)*VLOOKUP($A2,'FL Ratio'!$A$2:$B$21,2,FALSE)</f>
        <v>8.5225665616205681</v>
      </c>
      <c r="L2" s="2">
        <f>('FL Characterization'!L$4-'FL Characterization'!L$2)*VLOOKUP($A2,'FL Ratio'!$A$2:$B$21,2,FALSE)</f>
        <v>8.7589196498380062</v>
      </c>
      <c r="M2" s="2">
        <f>('FL Characterization'!M$4-'FL Characterization'!M$2)*VLOOKUP($A2,'FL Ratio'!$A$2:$B$21,2,FALSE)</f>
        <v>8.1246200882421586</v>
      </c>
      <c r="N2" s="2">
        <f>('FL Characterization'!N$4-'FL Characterization'!N$2)*VLOOKUP($A2,'FL Ratio'!$A$2:$B$21,2,FALSE)</f>
        <v>7.6644035524291105</v>
      </c>
      <c r="O2" s="2">
        <f>('FL Characterization'!O$4-'FL Characterization'!O$2)*VLOOKUP($A2,'FL Ratio'!$A$2:$B$21,2,FALSE)</f>
        <v>7.0561917029403398</v>
      </c>
      <c r="P2" s="2">
        <f>('FL Characterization'!P$4-'FL Characterization'!P$2)*VLOOKUP($A2,'FL Ratio'!$A$2:$B$21,2,FALSE)</f>
        <v>6.4995218886009036</v>
      </c>
      <c r="Q2" s="2">
        <f>('FL Characterization'!Q$4-'FL Characterization'!Q$2)*VLOOKUP($A2,'FL Ratio'!$A$2:$B$21,2,FALSE)</f>
        <v>5.849486567426057</v>
      </c>
      <c r="R2" s="2">
        <f>('FL Characterization'!R$4-'FL Characterization'!R$2)*VLOOKUP($A2,'FL Ratio'!$A$2:$B$21,2,FALSE)</f>
        <v>5.7886020435706982</v>
      </c>
      <c r="S2" s="2">
        <f>('FL Characterization'!S$4-'FL Characterization'!S$2)*VLOOKUP($A2,'FL Ratio'!$A$2:$B$21,2,FALSE)</f>
        <v>4.586370218326671</v>
      </c>
      <c r="T2" s="2">
        <f>('FL Characterization'!T$4-'FL Characterization'!T$2)*VLOOKUP($A2,'FL Ratio'!$A$2:$B$21,2,FALSE)</f>
        <v>3.7946734741242558</v>
      </c>
      <c r="U2" s="2">
        <f>('FL Characterization'!U$4-'FL Characterization'!U$2)*VLOOKUP($A2,'FL Ratio'!$A$2:$B$21,2,FALSE)</f>
        <v>4.5028816222207215</v>
      </c>
      <c r="V2" s="2">
        <f>('FL Characterization'!V$4-'FL Characterization'!V$2)*VLOOKUP($A2,'FL Ratio'!$A$2:$B$21,2,FALSE)</f>
        <v>4.5879932778052606</v>
      </c>
      <c r="W2" s="2">
        <f>('FL Characterization'!W$4-'FL Characterization'!W$2)*VLOOKUP($A2,'FL Ratio'!$A$2:$B$21,2,FALSE)</f>
        <v>5.2431550917234553</v>
      </c>
      <c r="X2" s="2">
        <f>('FL Characterization'!X$4-'FL Characterization'!X$2)*VLOOKUP($A2,'FL Ratio'!$A$2:$B$21,2,FALSE)</f>
        <v>2.545828172391488</v>
      </c>
      <c r="Y2" s="2">
        <f>('FL Characterization'!Y$4-'FL Characterization'!Y$2)*VLOOKUP($A2,'FL Ratio'!$A$2:$B$21,2,FALSE)</f>
        <v>2.4442879879383059</v>
      </c>
    </row>
    <row r="3" spans="1:25" x14ac:dyDescent="0.3">
      <c r="A3">
        <v>2</v>
      </c>
      <c r="B3" s="2">
        <f>('FL Characterization'!B$4-'FL Characterization'!B$2)*VLOOKUP($A3,'FL Ratio'!$A$2:$B$21,2,FALSE)</f>
        <v>2.8587421638184591</v>
      </c>
      <c r="C3" s="2">
        <f>('FL Characterization'!C$4-'FL Characterization'!C$2)*VLOOKUP($A3,'FL Ratio'!$A$2:$B$21,2,FALSE)</f>
        <v>3.1471123289838432</v>
      </c>
      <c r="D3" s="2">
        <f>('FL Characterization'!D$4-'FL Characterization'!D$2)*VLOOKUP($A3,'FL Ratio'!$A$2:$B$21,2,FALSE)</f>
        <v>4.0962656360176561</v>
      </c>
      <c r="E3" s="2">
        <f>('FL Characterization'!E$4-'FL Characterization'!E$2)*VLOOKUP($A3,'FL Ratio'!$A$2:$B$21,2,FALSE)</f>
        <v>4.6962038408472786</v>
      </c>
      <c r="F3" s="2">
        <f>('FL Characterization'!F$4-'FL Characterization'!F$2)*VLOOKUP($A3,'FL Ratio'!$A$2:$B$21,2,FALSE)</f>
        <v>5.5216681395676526</v>
      </c>
      <c r="G3" s="2">
        <f>('FL Characterization'!G$4-'FL Characterization'!G$2)*VLOOKUP($A3,'FL Ratio'!$A$2:$B$21,2,FALSE)</f>
        <v>6.4544325045493744</v>
      </c>
      <c r="H3" s="2">
        <f>('FL Characterization'!H$4-'FL Characterization'!H$2)*VLOOKUP($A3,'FL Ratio'!$A$2:$B$21,2,FALSE)</f>
        <v>5.7535479175148341</v>
      </c>
      <c r="I3" s="2">
        <f>('FL Characterization'!I$4-'FL Characterization'!I$2)*VLOOKUP($A3,'FL Ratio'!$A$2:$B$21,2,FALSE)</f>
        <v>8.225328949547773</v>
      </c>
      <c r="J3" s="2">
        <f>('FL Characterization'!J$4-'FL Characterization'!J$2)*VLOOKUP($A3,'FL Ratio'!$A$2:$B$21,2,FALSE)</f>
        <v>7.5458212434507441</v>
      </c>
      <c r="K3" s="2">
        <f>('FL Characterization'!K$4-'FL Characterization'!K$2)*VLOOKUP($A3,'FL Ratio'!$A$2:$B$21,2,FALSE)</f>
        <v>8.5225665616205681</v>
      </c>
      <c r="L3" s="2">
        <f>('FL Characterization'!L$4-'FL Characterization'!L$2)*VLOOKUP($A3,'FL Ratio'!$A$2:$B$21,2,FALSE)</f>
        <v>8.7589196498380062</v>
      </c>
      <c r="M3" s="2">
        <f>('FL Characterization'!M$4-'FL Characterization'!M$2)*VLOOKUP($A3,'FL Ratio'!$A$2:$B$21,2,FALSE)</f>
        <v>8.1246200882421586</v>
      </c>
      <c r="N3" s="2">
        <f>('FL Characterization'!N$4-'FL Characterization'!N$2)*VLOOKUP($A3,'FL Ratio'!$A$2:$B$21,2,FALSE)</f>
        <v>7.6644035524291105</v>
      </c>
      <c r="O3" s="2">
        <f>('FL Characterization'!O$4-'FL Characterization'!O$2)*VLOOKUP($A3,'FL Ratio'!$A$2:$B$21,2,FALSE)</f>
        <v>7.0561917029403398</v>
      </c>
      <c r="P3" s="2">
        <f>('FL Characterization'!P$4-'FL Characterization'!P$2)*VLOOKUP($A3,'FL Ratio'!$A$2:$B$21,2,FALSE)</f>
        <v>6.4995218886009036</v>
      </c>
      <c r="Q3" s="2">
        <f>('FL Characterization'!Q$4-'FL Characterization'!Q$2)*VLOOKUP($A3,'FL Ratio'!$A$2:$B$21,2,FALSE)</f>
        <v>5.849486567426057</v>
      </c>
      <c r="R3" s="2">
        <f>('FL Characterization'!R$4-'FL Characterization'!R$2)*VLOOKUP($A3,'FL Ratio'!$A$2:$B$21,2,FALSE)</f>
        <v>5.7886020435706982</v>
      </c>
      <c r="S3" s="2">
        <f>('FL Characterization'!S$4-'FL Characterization'!S$2)*VLOOKUP($A3,'FL Ratio'!$A$2:$B$21,2,FALSE)</f>
        <v>4.586370218326671</v>
      </c>
      <c r="T3" s="2">
        <f>('FL Characterization'!T$4-'FL Characterization'!T$2)*VLOOKUP($A3,'FL Ratio'!$A$2:$B$21,2,FALSE)</f>
        <v>3.7946734741242558</v>
      </c>
      <c r="U3" s="2">
        <f>('FL Characterization'!U$4-'FL Characterization'!U$2)*VLOOKUP($A3,'FL Ratio'!$A$2:$B$21,2,FALSE)</f>
        <v>4.5028816222207215</v>
      </c>
      <c r="V3" s="2">
        <f>('FL Characterization'!V$4-'FL Characterization'!V$2)*VLOOKUP($A3,'FL Ratio'!$A$2:$B$21,2,FALSE)</f>
        <v>4.5879932778052606</v>
      </c>
      <c r="W3" s="2">
        <f>('FL Characterization'!W$4-'FL Characterization'!W$2)*VLOOKUP($A3,'FL Ratio'!$A$2:$B$21,2,FALSE)</f>
        <v>5.2431550917234553</v>
      </c>
      <c r="X3" s="2">
        <f>('FL Characterization'!X$4-'FL Characterization'!X$2)*VLOOKUP($A3,'FL Ratio'!$A$2:$B$21,2,FALSE)</f>
        <v>2.545828172391488</v>
      </c>
      <c r="Y3" s="2">
        <f>('FL Characterization'!Y$4-'FL Characterization'!Y$2)*VLOOKUP($A3,'FL Ratio'!$A$2:$B$21,2,FALSE)</f>
        <v>2.4442879879383059</v>
      </c>
    </row>
    <row r="4" spans="1:25" x14ac:dyDescent="0.3">
      <c r="A4">
        <v>3</v>
      </c>
      <c r="B4" s="2">
        <f>('FL Characterization'!B$4-'FL Characterization'!B$2)*VLOOKUP($A4,'FL Ratio'!$A$2:$B$21,2,FALSE)</f>
        <v>2.8587421638184591</v>
      </c>
      <c r="C4" s="2">
        <f>('FL Characterization'!C$4-'FL Characterization'!C$2)*VLOOKUP($A4,'FL Ratio'!$A$2:$B$21,2,FALSE)</f>
        <v>3.1471123289838432</v>
      </c>
      <c r="D4" s="2">
        <f>('FL Characterization'!D$4-'FL Characterization'!D$2)*VLOOKUP($A4,'FL Ratio'!$A$2:$B$21,2,FALSE)</f>
        <v>4.0962656360176561</v>
      </c>
      <c r="E4" s="2">
        <f>('FL Characterization'!E$4-'FL Characterization'!E$2)*VLOOKUP($A4,'FL Ratio'!$A$2:$B$21,2,FALSE)</f>
        <v>4.6962038408472786</v>
      </c>
      <c r="F4" s="2">
        <f>('FL Characterization'!F$4-'FL Characterization'!F$2)*VLOOKUP($A4,'FL Ratio'!$A$2:$B$21,2,FALSE)</f>
        <v>5.5216681395676526</v>
      </c>
      <c r="G4" s="2">
        <f>('FL Characterization'!G$4-'FL Characterization'!G$2)*VLOOKUP($A4,'FL Ratio'!$A$2:$B$21,2,FALSE)</f>
        <v>6.4544325045493744</v>
      </c>
      <c r="H4" s="2">
        <f>('FL Characterization'!H$4-'FL Characterization'!H$2)*VLOOKUP($A4,'FL Ratio'!$A$2:$B$21,2,FALSE)</f>
        <v>5.7535479175148341</v>
      </c>
      <c r="I4" s="2">
        <f>('FL Characterization'!I$4-'FL Characterization'!I$2)*VLOOKUP($A4,'FL Ratio'!$A$2:$B$21,2,FALSE)</f>
        <v>8.225328949547773</v>
      </c>
      <c r="J4" s="2">
        <f>('FL Characterization'!J$4-'FL Characterization'!J$2)*VLOOKUP($A4,'FL Ratio'!$A$2:$B$21,2,FALSE)</f>
        <v>7.5458212434507441</v>
      </c>
      <c r="K4" s="2">
        <f>('FL Characterization'!K$4-'FL Characterization'!K$2)*VLOOKUP($A4,'FL Ratio'!$A$2:$B$21,2,FALSE)</f>
        <v>8.5225665616205681</v>
      </c>
      <c r="L4" s="2">
        <f>('FL Characterization'!L$4-'FL Characterization'!L$2)*VLOOKUP($A4,'FL Ratio'!$A$2:$B$21,2,FALSE)</f>
        <v>8.7589196498380062</v>
      </c>
      <c r="M4" s="2">
        <f>('FL Characterization'!M$4-'FL Characterization'!M$2)*VLOOKUP($A4,'FL Ratio'!$A$2:$B$21,2,FALSE)</f>
        <v>8.1246200882421586</v>
      </c>
      <c r="N4" s="2">
        <f>('FL Characterization'!N$4-'FL Characterization'!N$2)*VLOOKUP($A4,'FL Ratio'!$A$2:$B$21,2,FALSE)</f>
        <v>7.6644035524291105</v>
      </c>
      <c r="O4" s="2">
        <f>('FL Characterization'!O$4-'FL Characterization'!O$2)*VLOOKUP($A4,'FL Ratio'!$A$2:$B$21,2,FALSE)</f>
        <v>7.0561917029403398</v>
      </c>
      <c r="P4" s="2">
        <f>('FL Characterization'!P$4-'FL Characterization'!P$2)*VLOOKUP($A4,'FL Ratio'!$A$2:$B$21,2,FALSE)</f>
        <v>6.4995218886009036</v>
      </c>
      <c r="Q4" s="2">
        <f>('FL Characterization'!Q$4-'FL Characterization'!Q$2)*VLOOKUP($A4,'FL Ratio'!$A$2:$B$21,2,FALSE)</f>
        <v>5.849486567426057</v>
      </c>
      <c r="R4" s="2">
        <f>('FL Characterization'!R$4-'FL Characterization'!R$2)*VLOOKUP($A4,'FL Ratio'!$A$2:$B$21,2,FALSE)</f>
        <v>5.7886020435706982</v>
      </c>
      <c r="S4" s="2">
        <f>('FL Characterization'!S$4-'FL Characterization'!S$2)*VLOOKUP($A4,'FL Ratio'!$A$2:$B$21,2,FALSE)</f>
        <v>4.586370218326671</v>
      </c>
      <c r="T4" s="2">
        <f>('FL Characterization'!T$4-'FL Characterization'!T$2)*VLOOKUP($A4,'FL Ratio'!$A$2:$B$21,2,FALSE)</f>
        <v>3.7946734741242558</v>
      </c>
      <c r="U4" s="2">
        <f>('FL Characterization'!U$4-'FL Characterization'!U$2)*VLOOKUP($A4,'FL Ratio'!$A$2:$B$21,2,FALSE)</f>
        <v>4.5028816222207215</v>
      </c>
      <c r="V4" s="2">
        <f>('FL Characterization'!V$4-'FL Characterization'!V$2)*VLOOKUP($A4,'FL Ratio'!$A$2:$B$21,2,FALSE)</f>
        <v>4.5879932778052606</v>
      </c>
      <c r="W4" s="2">
        <f>('FL Characterization'!W$4-'FL Characterization'!W$2)*VLOOKUP($A4,'FL Ratio'!$A$2:$B$21,2,FALSE)</f>
        <v>5.2431550917234553</v>
      </c>
      <c r="X4" s="2">
        <f>('FL Characterization'!X$4-'FL Characterization'!X$2)*VLOOKUP($A4,'FL Ratio'!$A$2:$B$21,2,FALSE)</f>
        <v>2.545828172391488</v>
      </c>
      <c r="Y4" s="2">
        <f>('FL Characterization'!Y$4-'FL Characterization'!Y$2)*VLOOKUP($A4,'FL Ratio'!$A$2:$B$21,2,FALSE)</f>
        <v>2.4442879879383059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51605-0FA2-4D9C-B2F9-32640E18CEF0}">
  <dimension ref="A1:Y4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Ratio'!$A$2:$B$21,2,FALSE)</f>
        <v>7.9254786075826136</v>
      </c>
      <c r="C2" s="2">
        <f>('FL Characterization'!C$2-'FL Characterization'!C$3)*VLOOKUP($A2,'FL Ratio'!$A$2:$B$21,2,FALSE)</f>
        <v>8.3874567567321812</v>
      </c>
      <c r="D2" s="2">
        <f>('FL Characterization'!D$2-'FL Characterization'!D$3)*VLOOKUP($A2,'FL Ratio'!$A$2:$B$21,2,FALSE)</f>
        <v>8.8569564010264283</v>
      </c>
      <c r="E2" s="2">
        <f>('FL Characterization'!E$2-'FL Characterization'!E$3)*VLOOKUP($A2,'FL Ratio'!$A$2:$B$21,2,FALSE)</f>
        <v>9.2595543253495727</v>
      </c>
      <c r="F2" s="2">
        <f>('FL Characterization'!F$2-'FL Characterization'!F$3)*VLOOKUP($A2,'FL Ratio'!$A$2:$B$21,2,FALSE)</f>
        <v>9.3646573232923416</v>
      </c>
      <c r="G2" s="2">
        <f>('FL Characterization'!G$2-'FL Characterization'!G$3)*VLOOKUP($A2,'FL Ratio'!$A$2:$B$21,2,FALSE)</f>
        <v>9.7959556896149227</v>
      </c>
      <c r="H2" s="2">
        <f>('FL Characterization'!H$2-'FL Characterization'!H$3)*VLOOKUP($A2,'FL Ratio'!$A$2:$B$21,2,FALSE)</f>
        <v>9.7458783666779745</v>
      </c>
      <c r="I2" s="2">
        <f>('FL Characterization'!I$2-'FL Characterization'!I$3)*VLOOKUP($A2,'FL Ratio'!$A$2:$B$21,2,FALSE)</f>
        <v>9.2121293191215372</v>
      </c>
      <c r="J2" s="2">
        <f>('FL Characterization'!J$2-'FL Characterization'!J$3)*VLOOKUP($A2,'FL Ratio'!$A$2:$B$21,2,FALSE)</f>
        <v>8.3465635752350504</v>
      </c>
      <c r="K2" s="2">
        <f>('FL Characterization'!K$2-'FL Characterization'!K$3)*VLOOKUP($A2,'FL Ratio'!$A$2:$B$21,2,FALSE)</f>
        <v>12.256691999830148</v>
      </c>
      <c r="L2" s="2">
        <f>('FL Characterization'!L$2-'FL Characterization'!L$3)*VLOOKUP($A2,'FL Ratio'!$A$2:$B$21,2,FALSE)</f>
        <v>11.969153157812336</v>
      </c>
      <c r="M2" s="2">
        <f>('FL Characterization'!M$2-'FL Characterization'!M$3)*VLOOKUP($A2,'FL Ratio'!$A$2:$B$21,2,FALSE)</f>
        <v>11.021444769582633</v>
      </c>
      <c r="N2" s="2">
        <f>('FL Characterization'!N$2-'FL Characterization'!N$3)*VLOOKUP($A2,'FL Ratio'!$A$2:$B$21,2,FALSE)</f>
        <v>10.753639955615466</v>
      </c>
      <c r="O2" s="2">
        <f>('FL Characterization'!O$2-'FL Characterization'!O$3)*VLOOKUP($A2,'FL Ratio'!$A$2:$B$21,2,FALSE)</f>
        <v>10.797838636294601</v>
      </c>
      <c r="P2" s="2">
        <f>('FL Characterization'!P$2-'FL Characterization'!P$3)*VLOOKUP($A2,'FL Ratio'!$A$2:$B$21,2,FALSE)</f>
        <v>10.28627799941497</v>
      </c>
      <c r="Q2" s="2">
        <f>('FL Characterization'!Q$2-'FL Characterization'!Q$3)*VLOOKUP($A2,'FL Ratio'!$A$2:$B$21,2,FALSE)</f>
        <v>9.4289067265545299</v>
      </c>
      <c r="R2" s="2">
        <f>('FL Characterization'!R$2-'FL Characterization'!R$3)*VLOOKUP($A2,'FL Ratio'!$A$2:$B$21,2,FALSE)</f>
        <v>8.4740331245291056</v>
      </c>
      <c r="S2" s="2">
        <f>('FL Characterization'!S$2-'FL Characterization'!S$3)*VLOOKUP($A2,'FL Ratio'!$A$2:$B$21,2,FALSE)</f>
        <v>8.170045960234372</v>
      </c>
      <c r="T2" s="2">
        <f>('FL Characterization'!T$2-'FL Characterization'!T$3)*VLOOKUP($A2,'FL Ratio'!$A$2:$B$21,2,FALSE)</f>
        <v>5.1356570913793558</v>
      </c>
      <c r="U2" s="2">
        <f>('FL Characterization'!U$2-'FL Characterization'!U$3)*VLOOKUP($A2,'FL Ratio'!$A$2:$B$21,2,FALSE)</f>
        <v>5.49211658101237</v>
      </c>
      <c r="V2" s="2">
        <f>('FL Characterization'!V$2-'FL Characterization'!V$3)*VLOOKUP($A2,'FL Ratio'!$A$2:$B$21,2,FALSE)</f>
        <v>6.0046470948974973</v>
      </c>
      <c r="W2" s="2">
        <f>('FL Characterization'!W$2-'FL Characterization'!W$3)*VLOOKUP($A2,'FL Ratio'!$A$2:$B$21,2,FALSE)</f>
        <v>6.1479315774036554</v>
      </c>
      <c r="X2" s="2">
        <f>('FL Characterization'!X$2-'FL Characterization'!X$3)*VLOOKUP($A2,'FL Ratio'!$A$2:$B$21,2,FALSE)</f>
        <v>6.411876676757104</v>
      </c>
      <c r="Y2" s="2">
        <f>('FL Characterization'!Y$2-'FL Characterization'!Y$3)*VLOOKUP($A2,'FL Ratio'!$A$2:$B$21,2,FALSE)</f>
        <v>7.0775289970613002</v>
      </c>
    </row>
    <row r="3" spans="1:25" x14ac:dyDescent="0.3">
      <c r="A3">
        <v>2</v>
      </c>
      <c r="B3" s="2">
        <f>('FL Characterization'!B$2-'FL Characterization'!B$3)*VLOOKUP($A3,'FL Ratio'!$A$2:$B$21,2,FALSE)</f>
        <v>7.9254786075826136</v>
      </c>
      <c r="C3" s="2">
        <f>('FL Characterization'!C$2-'FL Characterization'!C$3)*VLOOKUP($A3,'FL Ratio'!$A$2:$B$21,2,FALSE)</f>
        <v>8.3874567567321812</v>
      </c>
      <c r="D3" s="2">
        <f>('FL Characterization'!D$2-'FL Characterization'!D$3)*VLOOKUP($A3,'FL Ratio'!$A$2:$B$21,2,FALSE)</f>
        <v>8.8569564010264283</v>
      </c>
      <c r="E3" s="2">
        <f>('FL Characterization'!E$2-'FL Characterization'!E$3)*VLOOKUP($A3,'FL Ratio'!$A$2:$B$21,2,FALSE)</f>
        <v>9.2595543253495727</v>
      </c>
      <c r="F3" s="2">
        <f>('FL Characterization'!F$2-'FL Characterization'!F$3)*VLOOKUP($A3,'FL Ratio'!$A$2:$B$21,2,FALSE)</f>
        <v>9.3646573232923416</v>
      </c>
      <c r="G3" s="2">
        <f>('FL Characterization'!G$2-'FL Characterization'!G$3)*VLOOKUP($A3,'FL Ratio'!$A$2:$B$21,2,FALSE)</f>
        <v>9.7959556896149227</v>
      </c>
      <c r="H3" s="2">
        <f>('FL Characterization'!H$2-'FL Characterization'!H$3)*VLOOKUP($A3,'FL Ratio'!$A$2:$B$21,2,FALSE)</f>
        <v>9.7458783666779745</v>
      </c>
      <c r="I3" s="2">
        <f>('FL Characterization'!I$2-'FL Characterization'!I$3)*VLOOKUP($A3,'FL Ratio'!$A$2:$B$21,2,FALSE)</f>
        <v>9.2121293191215372</v>
      </c>
      <c r="J3" s="2">
        <f>('FL Characterization'!J$2-'FL Characterization'!J$3)*VLOOKUP($A3,'FL Ratio'!$A$2:$B$21,2,FALSE)</f>
        <v>8.3465635752350504</v>
      </c>
      <c r="K3" s="2">
        <f>('FL Characterization'!K$2-'FL Characterization'!K$3)*VLOOKUP($A3,'FL Ratio'!$A$2:$B$21,2,FALSE)</f>
        <v>12.256691999830148</v>
      </c>
      <c r="L3" s="2">
        <f>('FL Characterization'!L$2-'FL Characterization'!L$3)*VLOOKUP($A3,'FL Ratio'!$A$2:$B$21,2,FALSE)</f>
        <v>11.969153157812336</v>
      </c>
      <c r="M3" s="2">
        <f>('FL Characterization'!M$2-'FL Characterization'!M$3)*VLOOKUP($A3,'FL Ratio'!$A$2:$B$21,2,FALSE)</f>
        <v>11.021444769582633</v>
      </c>
      <c r="N3" s="2">
        <f>('FL Characterization'!N$2-'FL Characterization'!N$3)*VLOOKUP($A3,'FL Ratio'!$A$2:$B$21,2,FALSE)</f>
        <v>10.753639955615466</v>
      </c>
      <c r="O3" s="2">
        <f>('FL Characterization'!O$2-'FL Characterization'!O$3)*VLOOKUP($A3,'FL Ratio'!$A$2:$B$21,2,FALSE)</f>
        <v>10.797838636294601</v>
      </c>
      <c r="P3" s="2">
        <f>('FL Characterization'!P$2-'FL Characterization'!P$3)*VLOOKUP($A3,'FL Ratio'!$A$2:$B$21,2,FALSE)</f>
        <v>10.28627799941497</v>
      </c>
      <c r="Q3" s="2">
        <f>('FL Characterization'!Q$2-'FL Characterization'!Q$3)*VLOOKUP($A3,'FL Ratio'!$A$2:$B$21,2,FALSE)</f>
        <v>9.4289067265545299</v>
      </c>
      <c r="R3" s="2">
        <f>('FL Characterization'!R$2-'FL Characterization'!R$3)*VLOOKUP($A3,'FL Ratio'!$A$2:$B$21,2,FALSE)</f>
        <v>8.4740331245291056</v>
      </c>
      <c r="S3" s="2">
        <f>('FL Characterization'!S$2-'FL Characterization'!S$3)*VLOOKUP($A3,'FL Ratio'!$A$2:$B$21,2,FALSE)</f>
        <v>8.170045960234372</v>
      </c>
      <c r="T3" s="2">
        <f>('FL Characterization'!T$2-'FL Characterization'!T$3)*VLOOKUP($A3,'FL Ratio'!$A$2:$B$21,2,FALSE)</f>
        <v>5.1356570913793558</v>
      </c>
      <c r="U3" s="2">
        <f>('FL Characterization'!U$2-'FL Characterization'!U$3)*VLOOKUP($A3,'FL Ratio'!$A$2:$B$21,2,FALSE)</f>
        <v>5.49211658101237</v>
      </c>
      <c r="V3" s="2">
        <f>('FL Characterization'!V$2-'FL Characterization'!V$3)*VLOOKUP($A3,'FL Ratio'!$A$2:$B$21,2,FALSE)</f>
        <v>6.0046470948974973</v>
      </c>
      <c r="W3" s="2">
        <f>('FL Characterization'!W$2-'FL Characterization'!W$3)*VLOOKUP($A3,'FL Ratio'!$A$2:$B$21,2,FALSE)</f>
        <v>6.1479315774036554</v>
      </c>
      <c r="X3" s="2">
        <f>('FL Characterization'!X$2-'FL Characterization'!X$3)*VLOOKUP($A3,'FL Ratio'!$A$2:$B$21,2,FALSE)</f>
        <v>6.411876676757104</v>
      </c>
      <c r="Y3" s="2">
        <f>('FL Characterization'!Y$2-'FL Characterization'!Y$3)*VLOOKUP($A3,'FL Ratio'!$A$2:$B$21,2,FALSE)</f>
        <v>7.0775289970613002</v>
      </c>
    </row>
    <row r="4" spans="1:25" x14ac:dyDescent="0.3">
      <c r="A4">
        <v>3</v>
      </c>
      <c r="B4" s="2">
        <f>('FL Characterization'!B$2-'FL Characterization'!B$3)*VLOOKUP($A4,'FL Ratio'!$A$2:$B$21,2,FALSE)</f>
        <v>7.9254786075826136</v>
      </c>
      <c r="C4" s="2">
        <f>('FL Characterization'!C$2-'FL Characterization'!C$3)*VLOOKUP($A4,'FL Ratio'!$A$2:$B$21,2,FALSE)</f>
        <v>8.3874567567321812</v>
      </c>
      <c r="D4" s="2">
        <f>('FL Characterization'!D$2-'FL Characterization'!D$3)*VLOOKUP($A4,'FL Ratio'!$A$2:$B$21,2,FALSE)</f>
        <v>8.8569564010264283</v>
      </c>
      <c r="E4" s="2">
        <f>('FL Characterization'!E$2-'FL Characterization'!E$3)*VLOOKUP($A4,'FL Ratio'!$A$2:$B$21,2,FALSE)</f>
        <v>9.2595543253495727</v>
      </c>
      <c r="F4" s="2">
        <f>('FL Characterization'!F$2-'FL Characterization'!F$3)*VLOOKUP($A4,'FL Ratio'!$A$2:$B$21,2,FALSE)</f>
        <v>9.3646573232923416</v>
      </c>
      <c r="G4" s="2">
        <f>('FL Characterization'!G$2-'FL Characterization'!G$3)*VLOOKUP($A4,'FL Ratio'!$A$2:$B$21,2,FALSE)</f>
        <v>9.7959556896149227</v>
      </c>
      <c r="H4" s="2">
        <f>('FL Characterization'!H$2-'FL Characterization'!H$3)*VLOOKUP($A4,'FL Ratio'!$A$2:$B$21,2,FALSE)</f>
        <v>9.7458783666779745</v>
      </c>
      <c r="I4" s="2">
        <f>('FL Characterization'!I$2-'FL Characterization'!I$3)*VLOOKUP($A4,'FL Ratio'!$A$2:$B$21,2,FALSE)</f>
        <v>9.2121293191215372</v>
      </c>
      <c r="J4" s="2">
        <f>('FL Characterization'!J$2-'FL Characterization'!J$3)*VLOOKUP($A4,'FL Ratio'!$A$2:$B$21,2,FALSE)</f>
        <v>8.3465635752350504</v>
      </c>
      <c r="K4" s="2">
        <f>('FL Characterization'!K$2-'FL Characterization'!K$3)*VLOOKUP($A4,'FL Ratio'!$A$2:$B$21,2,FALSE)</f>
        <v>12.256691999830148</v>
      </c>
      <c r="L4" s="2">
        <f>('FL Characterization'!L$2-'FL Characterization'!L$3)*VLOOKUP($A4,'FL Ratio'!$A$2:$B$21,2,FALSE)</f>
        <v>11.969153157812336</v>
      </c>
      <c r="M4" s="2">
        <f>('FL Characterization'!M$2-'FL Characterization'!M$3)*VLOOKUP($A4,'FL Ratio'!$A$2:$B$21,2,FALSE)</f>
        <v>11.021444769582633</v>
      </c>
      <c r="N4" s="2">
        <f>('FL Characterization'!N$2-'FL Characterization'!N$3)*VLOOKUP($A4,'FL Ratio'!$A$2:$B$21,2,FALSE)</f>
        <v>10.753639955615466</v>
      </c>
      <c r="O4" s="2">
        <f>('FL Characterization'!O$2-'FL Characterization'!O$3)*VLOOKUP($A4,'FL Ratio'!$A$2:$B$21,2,FALSE)</f>
        <v>10.797838636294601</v>
      </c>
      <c r="P4" s="2">
        <f>('FL Characterization'!P$2-'FL Characterization'!P$3)*VLOOKUP($A4,'FL Ratio'!$A$2:$B$21,2,FALSE)</f>
        <v>10.28627799941497</v>
      </c>
      <c r="Q4" s="2">
        <f>('FL Characterization'!Q$2-'FL Characterization'!Q$3)*VLOOKUP($A4,'FL Ratio'!$A$2:$B$21,2,FALSE)</f>
        <v>9.4289067265545299</v>
      </c>
      <c r="R4" s="2">
        <f>('FL Characterization'!R$2-'FL Characterization'!R$3)*VLOOKUP($A4,'FL Ratio'!$A$2:$B$21,2,FALSE)</f>
        <v>8.4740331245291056</v>
      </c>
      <c r="S4" s="2">
        <f>('FL Characterization'!S$2-'FL Characterization'!S$3)*VLOOKUP($A4,'FL Ratio'!$A$2:$B$21,2,FALSE)</f>
        <v>8.170045960234372</v>
      </c>
      <c r="T4" s="2">
        <f>('FL Characterization'!T$2-'FL Characterization'!T$3)*VLOOKUP($A4,'FL Ratio'!$A$2:$B$21,2,FALSE)</f>
        <v>5.1356570913793558</v>
      </c>
      <c r="U4" s="2">
        <f>('FL Characterization'!U$2-'FL Characterization'!U$3)*VLOOKUP($A4,'FL Ratio'!$A$2:$B$21,2,FALSE)</f>
        <v>5.49211658101237</v>
      </c>
      <c r="V4" s="2">
        <f>('FL Characterization'!V$2-'FL Characterization'!V$3)*VLOOKUP($A4,'FL Ratio'!$A$2:$B$21,2,FALSE)</f>
        <v>6.0046470948974973</v>
      </c>
      <c r="W4" s="2">
        <f>('FL Characterization'!W$2-'FL Characterization'!W$3)*VLOOKUP($A4,'FL Ratio'!$A$2:$B$21,2,FALSE)</f>
        <v>6.1479315774036554</v>
      </c>
      <c r="X4" s="2">
        <f>('FL Characterization'!X$2-'FL Characterization'!X$3)*VLOOKUP($A4,'FL Ratio'!$A$2:$B$21,2,FALSE)</f>
        <v>6.411876676757104</v>
      </c>
      <c r="Y4" s="2">
        <f>('FL Characterization'!Y$2-'FL Characterization'!Y$3)*VLOOKUP($A4,'FL Ratio'!$A$2:$B$21,2,FALSE)</f>
        <v>7.0775289970613002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AD65C-DBC9-40DA-ABEE-816149CE725D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12.157767964672821</v>
      </c>
      <c r="C5" s="9">
        <f>VLOOKUP($A5,'RES installed'!$A$2:$C$7,3,FALSE)*'[1]Profiles, RES, Summer'!C$5</f>
        <v>11.119028502609394</v>
      </c>
      <c r="D5" s="9">
        <f>VLOOKUP($A5,'RES installed'!$A$2:$C$7,3,FALSE)*'[1]Profiles, RES, Summer'!D$5</f>
        <v>9.7280208751505413</v>
      </c>
      <c r="E5" s="9">
        <f>VLOOKUP($A5,'RES installed'!$A$2:$C$7,3,FALSE)*'[1]Profiles, RES, Summer'!E$5</f>
        <v>9.6918908069048584</v>
      </c>
      <c r="F5" s="9">
        <f>VLOOKUP($A5,'RES installed'!$A$2:$C$7,3,FALSE)*'[1]Profiles, RES, Summer'!F$5</f>
        <v>9.1770373344038543</v>
      </c>
      <c r="G5" s="9">
        <f>VLOOKUP($A5,'RES installed'!$A$2:$C$7,3,FALSE)*'[1]Profiles, RES, Summer'!G$5</f>
        <v>8.4544359694901647</v>
      </c>
      <c r="H5" s="9">
        <f>VLOOKUP($A5,'RES installed'!$A$2:$C$7,3,FALSE)*'[1]Profiles, RES, Summer'!H$5</f>
        <v>7.433761541549579</v>
      </c>
      <c r="I5" s="9">
        <f>VLOOKUP($A5,'RES installed'!$A$2:$C$7,3,FALSE)*'[1]Profiles, RES, Summer'!I$5</f>
        <v>5.8440385387394622</v>
      </c>
      <c r="J5" s="9">
        <f>VLOOKUP($A5,'RES installed'!$A$2:$C$7,3,FALSE)*'[1]Profiles, RES, Summer'!J$5</f>
        <v>4.8594941790445603</v>
      </c>
      <c r="K5" s="9">
        <f>VLOOKUP($A5,'RES installed'!$A$2:$C$7,3,FALSE)*'[1]Profiles, RES, Summer'!K$5</f>
        <v>4.5433560818948218</v>
      </c>
      <c r="L5" s="9">
        <f>VLOOKUP($A5,'RES installed'!$A$2:$C$7,3,FALSE)*'[1]Profiles, RES, Summer'!L$5</f>
        <v>4.182055399437977</v>
      </c>
      <c r="M5" s="9">
        <f>VLOOKUP($A5,'RES installed'!$A$2:$C$7,3,FALSE)*'[1]Profiles, RES, Summer'!M$5</f>
        <v>4.7059413890004018</v>
      </c>
      <c r="N5" s="9">
        <f>VLOOKUP($A5,'RES installed'!$A$2:$C$7,3,FALSE)*'[1]Profiles, RES, Summer'!N$5</f>
        <v>5.9162986752308306</v>
      </c>
      <c r="O5" s="9">
        <f>VLOOKUP($A5,'RES installed'!$A$2:$C$7,3,FALSE)*'[1]Profiles, RES, Summer'!O$5</f>
        <v>7.3434363709353674</v>
      </c>
      <c r="P5" s="9">
        <f>VLOOKUP($A5,'RES installed'!$A$2:$C$7,3,FALSE)*'[1]Profiles, RES, Summer'!P$5</f>
        <v>9.8002810116419106</v>
      </c>
      <c r="Q5" s="9">
        <f>VLOOKUP($A5,'RES installed'!$A$2:$C$7,3,FALSE)*'[1]Profiles, RES, Summer'!Q$5</f>
        <v>12.510036130068245</v>
      </c>
      <c r="R5" s="9">
        <f>VLOOKUP($A5,'RES installed'!$A$2:$C$7,3,FALSE)*'[1]Profiles, RES, Summer'!R$5</f>
        <v>14.786230429546368</v>
      </c>
      <c r="S5" s="9">
        <f>VLOOKUP($A5,'RES installed'!$A$2:$C$7,3,FALSE)*'[1]Profiles, RES, Summer'!S$5</f>
        <v>15.77980730630269</v>
      </c>
      <c r="T5" s="9">
        <f>VLOOKUP($A5,'RES installed'!$A$2:$C$7,3,FALSE)*'[1]Profiles, RES, Summer'!T$5</f>
        <v>16.981132075471699</v>
      </c>
      <c r="U5" s="9">
        <f>VLOOKUP($A5,'RES installed'!$A$2:$C$7,3,FALSE)*'[1]Profiles, RES, Summer'!U$5</f>
        <v>18.914090726615814</v>
      </c>
      <c r="V5" s="9">
        <f>VLOOKUP($A5,'RES installed'!$A$2:$C$7,3,FALSE)*'[1]Profiles, RES, Summer'!V$5</f>
        <v>20.856081894821358</v>
      </c>
      <c r="W5" s="9">
        <f>VLOOKUP($A5,'RES installed'!$A$2:$C$7,3,FALSE)*'[1]Profiles, RES, Summer'!W$5</f>
        <v>21.723203532717786</v>
      </c>
      <c r="X5" s="9">
        <f>VLOOKUP($A5,'RES installed'!$A$2:$C$7,3,FALSE)*'[1]Profiles, RES, Summer'!X$5</f>
        <v>21.822561220393414</v>
      </c>
      <c r="Y5" s="9">
        <f>VLOOKUP($A5,'RES installed'!$A$2:$C$7,3,FALSE)*'[1]Profiles, RES, Summer'!Y$5</f>
        <v>21.0457647531112</v>
      </c>
    </row>
    <row r="6" spans="1:25" x14ac:dyDescent="0.3">
      <c r="A6" s="8">
        <v>5</v>
      </c>
      <c r="B6" s="9">
        <f>VLOOKUP($A6,'RES installed'!$A$2:$C$7,3,FALSE)*'[1]Profiles, RES, Summer'!B$5</f>
        <v>16.210357286230426</v>
      </c>
      <c r="C6" s="9">
        <f>VLOOKUP($A6,'RES installed'!$A$2:$C$7,3,FALSE)*'[1]Profiles, RES, Summer'!C$5</f>
        <v>14.825371336812525</v>
      </c>
      <c r="D6" s="9">
        <f>VLOOKUP($A6,'RES installed'!$A$2:$C$7,3,FALSE)*'[1]Profiles, RES, Summer'!D$5</f>
        <v>12.970694500200722</v>
      </c>
      <c r="E6" s="9">
        <f>VLOOKUP($A6,'RES installed'!$A$2:$C$7,3,FALSE)*'[1]Profiles, RES, Summer'!E$5</f>
        <v>12.922521075873144</v>
      </c>
      <c r="F6" s="9">
        <f>VLOOKUP($A6,'RES installed'!$A$2:$C$7,3,FALSE)*'[1]Profiles, RES, Summer'!F$5</f>
        <v>12.236049779205139</v>
      </c>
      <c r="G6" s="9">
        <f>VLOOKUP($A6,'RES installed'!$A$2:$C$7,3,FALSE)*'[1]Profiles, RES, Summer'!G$5</f>
        <v>11.272581292653554</v>
      </c>
      <c r="H6" s="9">
        <f>VLOOKUP($A6,'RES installed'!$A$2:$C$7,3,FALSE)*'[1]Profiles, RES, Summer'!H$5</f>
        <v>9.9116820553994387</v>
      </c>
      <c r="I6" s="9">
        <f>VLOOKUP($A6,'RES installed'!$A$2:$C$7,3,FALSE)*'[1]Profiles, RES, Summer'!I$5</f>
        <v>7.7920513849859487</v>
      </c>
      <c r="J6" s="9">
        <f>VLOOKUP($A6,'RES installed'!$A$2:$C$7,3,FALSE)*'[1]Profiles, RES, Summer'!J$5</f>
        <v>6.4793255720594134</v>
      </c>
      <c r="K6" s="9">
        <f>VLOOKUP($A6,'RES installed'!$A$2:$C$7,3,FALSE)*'[1]Profiles, RES, Summer'!K$5</f>
        <v>6.0578081091930951</v>
      </c>
      <c r="L6" s="9">
        <f>VLOOKUP($A6,'RES installed'!$A$2:$C$7,3,FALSE)*'[1]Profiles, RES, Summer'!L$5</f>
        <v>5.5760738659173024</v>
      </c>
      <c r="M6" s="9">
        <f>VLOOKUP($A6,'RES installed'!$A$2:$C$7,3,FALSE)*'[1]Profiles, RES, Summer'!M$5</f>
        <v>6.2745885186672021</v>
      </c>
      <c r="N6" s="9">
        <f>VLOOKUP($A6,'RES installed'!$A$2:$C$7,3,FALSE)*'[1]Profiles, RES, Summer'!N$5</f>
        <v>7.8883982336411069</v>
      </c>
      <c r="O6" s="9">
        <f>VLOOKUP($A6,'RES installed'!$A$2:$C$7,3,FALSE)*'[1]Profiles, RES, Summer'!O$5</f>
        <v>9.7912484945804898</v>
      </c>
      <c r="P6" s="9">
        <f>VLOOKUP($A6,'RES installed'!$A$2:$C$7,3,FALSE)*'[1]Profiles, RES, Summer'!P$5</f>
        <v>13.067041348855881</v>
      </c>
      <c r="Q6" s="9">
        <f>VLOOKUP($A6,'RES installed'!$A$2:$C$7,3,FALSE)*'[1]Profiles, RES, Summer'!Q$5</f>
        <v>16.680048173424328</v>
      </c>
      <c r="R6" s="9">
        <f>VLOOKUP($A6,'RES installed'!$A$2:$C$7,3,FALSE)*'[1]Profiles, RES, Summer'!R$5</f>
        <v>19.714973906061822</v>
      </c>
      <c r="S6" s="9">
        <f>VLOOKUP($A6,'RES installed'!$A$2:$C$7,3,FALSE)*'[1]Profiles, RES, Summer'!S$5</f>
        <v>21.039743075070252</v>
      </c>
      <c r="T6" s="9">
        <f>VLOOKUP($A6,'RES installed'!$A$2:$C$7,3,FALSE)*'[1]Profiles, RES, Summer'!T$5</f>
        <v>22.641509433962266</v>
      </c>
      <c r="U6" s="9">
        <f>VLOOKUP($A6,'RES installed'!$A$2:$C$7,3,FALSE)*'[1]Profiles, RES, Summer'!U$5</f>
        <v>25.218787635487754</v>
      </c>
      <c r="V6" s="9">
        <f>VLOOKUP($A6,'RES installed'!$A$2:$C$7,3,FALSE)*'[1]Profiles, RES, Summer'!V$5</f>
        <v>27.808109193095145</v>
      </c>
      <c r="W6" s="9">
        <f>VLOOKUP($A6,'RES installed'!$A$2:$C$7,3,FALSE)*'[1]Profiles, RES, Summer'!W$5</f>
        <v>28.964271376957047</v>
      </c>
      <c r="X6" s="9">
        <f>VLOOKUP($A6,'RES installed'!$A$2:$C$7,3,FALSE)*'[1]Profiles, RES, Summer'!X$5</f>
        <v>29.096748293857885</v>
      </c>
      <c r="Y6" s="9">
        <f>VLOOKUP($A6,'RES installed'!$A$2:$C$7,3,FALSE)*'[1]Profiles, RES, Summer'!Y$5</f>
        <v>28.061019670814932</v>
      </c>
    </row>
    <row r="7" spans="1:25" x14ac:dyDescent="0.3">
      <c r="A7" s="8">
        <v>6</v>
      </c>
      <c r="B7" s="9">
        <f>VLOOKUP($A7,'RES installed'!$A$2:$C$7,3,FALSE)*'[1]Profiles, RES, Summer'!B$5</f>
        <v>12.157767964672821</v>
      </c>
      <c r="C7" s="9">
        <f>VLOOKUP($A7,'RES installed'!$A$2:$C$7,3,FALSE)*'[1]Profiles, RES, Summer'!C$5</f>
        <v>11.119028502609394</v>
      </c>
      <c r="D7" s="9">
        <f>VLOOKUP($A7,'RES installed'!$A$2:$C$7,3,FALSE)*'[1]Profiles, RES, Summer'!D$5</f>
        <v>9.7280208751505413</v>
      </c>
      <c r="E7" s="9">
        <f>VLOOKUP($A7,'RES installed'!$A$2:$C$7,3,FALSE)*'[1]Profiles, RES, Summer'!E$5</f>
        <v>9.6918908069048584</v>
      </c>
      <c r="F7" s="9">
        <f>VLOOKUP($A7,'RES installed'!$A$2:$C$7,3,FALSE)*'[1]Profiles, RES, Summer'!F$5</f>
        <v>9.1770373344038543</v>
      </c>
      <c r="G7" s="9">
        <f>VLOOKUP($A7,'RES installed'!$A$2:$C$7,3,FALSE)*'[1]Profiles, RES, Summer'!G$5</f>
        <v>8.4544359694901647</v>
      </c>
      <c r="H7" s="9">
        <f>VLOOKUP($A7,'RES installed'!$A$2:$C$7,3,FALSE)*'[1]Profiles, RES, Summer'!H$5</f>
        <v>7.433761541549579</v>
      </c>
      <c r="I7" s="9">
        <f>VLOOKUP($A7,'RES installed'!$A$2:$C$7,3,FALSE)*'[1]Profiles, RES, Summer'!I$5</f>
        <v>5.8440385387394622</v>
      </c>
      <c r="J7" s="9">
        <f>VLOOKUP($A7,'RES installed'!$A$2:$C$7,3,FALSE)*'[1]Profiles, RES, Summer'!J$5</f>
        <v>4.8594941790445603</v>
      </c>
      <c r="K7" s="9">
        <f>VLOOKUP($A7,'RES installed'!$A$2:$C$7,3,FALSE)*'[1]Profiles, RES, Summer'!K$5</f>
        <v>4.5433560818948218</v>
      </c>
      <c r="L7" s="9">
        <f>VLOOKUP($A7,'RES installed'!$A$2:$C$7,3,FALSE)*'[1]Profiles, RES, Summer'!L$5</f>
        <v>4.182055399437977</v>
      </c>
      <c r="M7" s="9">
        <f>VLOOKUP($A7,'RES installed'!$A$2:$C$7,3,FALSE)*'[1]Profiles, RES, Summer'!M$5</f>
        <v>4.7059413890004018</v>
      </c>
      <c r="N7" s="9">
        <f>VLOOKUP($A7,'RES installed'!$A$2:$C$7,3,FALSE)*'[1]Profiles, RES, Summer'!N$5</f>
        <v>5.9162986752308306</v>
      </c>
      <c r="O7" s="9">
        <f>VLOOKUP($A7,'RES installed'!$A$2:$C$7,3,FALSE)*'[1]Profiles, RES, Summer'!O$5</f>
        <v>7.3434363709353674</v>
      </c>
      <c r="P7" s="9">
        <f>VLOOKUP($A7,'RES installed'!$A$2:$C$7,3,FALSE)*'[1]Profiles, RES, Summer'!P$5</f>
        <v>9.8002810116419106</v>
      </c>
      <c r="Q7" s="9">
        <f>VLOOKUP($A7,'RES installed'!$A$2:$C$7,3,FALSE)*'[1]Profiles, RES, Summer'!Q$5</f>
        <v>12.510036130068245</v>
      </c>
      <c r="R7" s="9">
        <f>VLOOKUP($A7,'RES installed'!$A$2:$C$7,3,FALSE)*'[1]Profiles, RES, Summer'!R$5</f>
        <v>14.786230429546368</v>
      </c>
      <c r="S7" s="9">
        <f>VLOOKUP($A7,'RES installed'!$A$2:$C$7,3,FALSE)*'[1]Profiles, RES, Summer'!S$5</f>
        <v>15.77980730630269</v>
      </c>
      <c r="T7" s="9">
        <f>VLOOKUP($A7,'RES installed'!$A$2:$C$7,3,FALSE)*'[1]Profiles, RES, Summer'!T$5</f>
        <v>16.981132075471699</v>
      </c>
      <c r="U7" s="9">
        <f>VLOOKUP($A7,'RES installed'!$A$2:$C$7,3,FALSE)*'[1]Profiles, RES, Summer'!U$5</f>
        <v>18.914090726615814</v>
      </c>
      <c r="V7" s="9">
        <f>VLOOKUP($A7,'RES installed'!$A$2:$C$7,3,FALSE)*'[1]Profiles, RES, Summer'!V$5</f>
        <v>20.856081894821358</v>
      </c>
      <c r="W7" s="9">
        <f>VLOOKUP($A7,'RES installed'!$A$2:$C$7,3,FALSE)*'[1]Profiles, RES, Summer'!W$5</f>
        <v>21.723203532717786</v>
      </c>
      <c r="X7" s="9">
        <f>VLOOKUP($A7,'RES installed'!$A$2:$C$7,3,FALSE)*'[1]Profiles, RES, Summer'!X$5</f>
        <v>21.822561220393414</v>
      </c>
      <c r="Y7" s="9">
        <f>VLOOKUP($A7,'RES installed'!$A$2:$C$7,3,FALSE)*'[1]Profiles, RES, Summer'!Y$5</f>
        <v>21.0457647531112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0.17058377558756635</v>
      </c>
      <c r="H8" s="6">
        <f>VLOOKUP($A8,'RES installed'!$A$2:$C$7,3,FALSE)*'[1]Profiles, RES, Summer'!H$2</f>
        <v>5.003790750568613</v>
      </c>
      <c r="I8" s="6">
        <f>VLOOKUP($A8,'RES installed'!$A$2:$C$7,3,FALSE)*'[1]Profiles, RES, Summer'!I$2</f>
        <v>20.811220621683095</v>
      </c>
      <c r="J8" s="6">
        <f>VLOOKUP($A8,'RES installed'!$A$2:$C$7,3,FALSE)*'[1]Profiles, RES, Summer'!J$2</f>
        <v>43.100833965125098</v>
      </c>
      <c r="K8" s="6">
        <f>VLOOKUP($A8,'RES installed'!$A$2:$C$7,3,FALSE)*'[1]Profiles, RES, Summer'!K$2</f>
        <v>56.719105382865806</v>
      </c>
      <c r="L8" s="6">
        <f>VLOOKUP($A8,'RES installed'!$A$2:$C$7,3,FALSE)*'[1]Profiles, RES, Summer'!L$2</f>
        <v>65.163002274450335</v>
      </c>
      <c r="M8" s="6">
        <f>VLOOKUP($A8,'RES installed'!$A$2:$C$7,3,FALSE)*'[1]Profiles, RES, Summer'!M$2</f>
        <v>68.97270659590599</v>
      </c>
      <c r="N8" s="6">
        <f>VLOOKUP($A8,'RES installed'!$A$2:$C$7,3,FALSE)*'[1]Profiles, RES, Summer'!N$2</f>
        <v>70.507960576194094</v>
      </c>
      <c r="O8" s="6">
        <f>VLOOKUP($A8,'RES installed'!$A$2:$C$7,3,FALSE)*'[1]Profiles, RES, Summer'!O$2</f>
        <v>70.536391205458685</v>
      </c>
      <c r="P8" s="6">
        <f>VLOOKUP($A8,'RES installed'!$A$2:$C$7,3,FALSE)*'[1]Profiles, RES, Summer'!P$2</f>
        <v>68.119787717968151</v>
      </c>
      <c r="Q8" s="6">
        <f>VLOOKUP($A8,'RES installed'!$A$2:$C$7,3,FALSE)*'[1]Profiles, RES, Summer'!Q$2</f>
        <v>60.585670962850642</v>
      </c>
      <c r="R8" s="6">
        <f>VLOOKUP($A8,'RES installed'!$A$2:$C$7,3,FALSE)*'[1]Profiles, RES, Summer'!R$2</f>
        <v>48.55951478392722</v>
      </c>
      <c r="S8" s="6">
        <f>VLOOKUP($A8,'RES installed'!$A$2:$C$7,3,FALSE)*'[1]Profiles, RES, Summer'!S$2</f>
        <v>31.415845337376801</v>
      </c>
      <c r="T8" s="6">
        <f>VLOOKUP($A8,'RES installed'!$A$2:$C$7,3,FALSE)*'[1]Profiles, RES, Summer'!T$2</f>
        <v>10.945792266868841</v>
      </c>
      <c r="U8" s="6">
        <f>VLOOKUP($A8,'RES installed'!$A$2:$C$7,3,FALSE)*'[1]Profiles, RES, Summer'!U$2</f>
        <v>0.90978013646702049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0.11372251705837756</v>
      </c>
      <c r="H9" s="6">
        <f>VLOOKUP($A9,'RES installed'!$A$2:$C$7,3,FALSE)*'[1]Profiles, RES, Summer'!H$2</f>
        <v>3.3358605003790753</v>
      </c>
      <c r="I9" s="6">
        <f>VLOOKUP($A9,'RES installed'!$A$2:$C$7,3,FALSE)*'[1]Profiles, RES, Summer'!I$2</f>
        <v>13.874147081122063</v>
      </c>
      <c r="J9" s="6">
        <f>VLOOKUP($A9,'RES installed'!$A$2:$C$7,3,FALSE)*'[1]Profiles, RES, Summer'!J$2</f>
        <v>28.733889310083399</v>
      </c>
      <c r="K9" s="6">
        <f>VLOOKUP($A9,'RES installed'!$A$2:$C$7,3,FALSE)*'[1]Profiles, RES, Summer'!K$2</f>
        <v>37.812736921910542</v>
      </c>
      <c r="L9" s="6">
        <f>VLOOKUP($A9,'RES installed'!$A$2:$C$7,3,FALSE)*'[1]Profiles, RES, Summer'!L$2</f>
        <v>43.44200151630023</v>
      </c>
      <c r="M9" s="6">
        <f>VLOOKUP($A9,'RES installed'!$A$2:$C$7,3,FALSE)*'[1]Profiles, RES, Summer'!M$2</f>
        <v>45.981804397270658</v>
      </c>
      <c r="N9" s="6">
        <f>VLOOKUP($A9,'RES installed'!$A$2:$C$7,3,FALSE)*'[1]Profiles, RES, Summer'!N$2</f>
        <v>47.005307050796056</v>
      </c>
      <c r="O9" s="6">
        <f>VLOOKUP($A9,'RES installed'!$A$2:$C$7,3,FALSE)*'[1]Profiles, RES, Summer'!O$2</f>
        <v>47.024260803639123</v>
      </c>
      <c r="P9" s="6">
        <f>VLOOKUP($A9,'RES installed'!$A$2:$C$7,3,FALSE)*'[1]Profiles, RES, Summer'!P$2</f>
        <v>45.41319181197877</v>
      </c>
      <c r="Q9" s="6">
        <f>VLOOKUP($A9,'RES installed'!$A$2:$C$7,3,FALSE)*'[1]Profiles, RES, Summer'!Q$2</f>
        <v>40.390447308567097</v>
      </c>
      <c r="R9" s="6">
        <f>VLOOKUP($A9,'RES installed'!$A$2:$C$7,3,FALSE)*'[1]Profiles, RES, Summer'!R$2</f>
        <v>32.37300985595148</v>
      </c>
      <c r="S9" s="6">
        <f>VLOOKUP($A9,'RES installed'!$A$2:$C$7,3,FALSE)*'[1]Profiles, RES, Summer'!S$2</f>
        <v>20.943896891584536</v>
      </c>
      <c r="T9" s="6">
        <f>VLOOKUP($A9,'RES installed'!$A$2:$C$7,3,FALSE)*'[1]Profiles, RES, Summer'!T$2</f>
        <v>7.2971948445792272</v>
      </c>
      <c r="U9" s="6">
        <f>VLOOKUP($A9,'RES installed'!$A$2:$C$7,3,FALSE)*'[1]Profiles, RES, Summer'!U$2</f>
        <v>0.60652009097801363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0.13646702047005307</v>
      </c>
      <c r="H10" s="6">
        <f>VLOOKUP($A10,'RES installed'!$A$2:$C$7,3,FALSE)*'[1]Profiles, RES, Summer'!H$2</f>
        <v>4.0030326004548904</v>
      </c>
      <c r="I10" s="6">
        <f>VLOOKUP($A10,'RES installed'!$A$2:$C$7,3,FALSE)*'[1]Profiles, RES, Summer'!I$2</f>
        <v>16.648976497346474</v>
      </c>
      <c r="J10" s="6">
        <f>VLOOKUP($A10,'RES installed'!$A$2:$C$7,3,FALSE)*'[1]Profiles, RES, Summer'!J$2</f>
        <v>34.480667172100077</v>
      </c>
      <c r="K10" s="6">
        <f>VLOOKUP($A10,'RES installed'!$A$2:$C$7,3,FALSE)*'[1]Profiles, RES, Summer'!K$2</f>
        <v>45.375284306292649</v>
      </c>
      <c r="L10" s="6">
        <f>VLOOKUP($A10,'RES installed'!$A$2:$C$7,3,FALSE)*'[1]Profiles, RES, Summer'!L$2</f>
        <v>52.130401819560269</v>
      </c>
      <c r="M10" s="6">
        <f>VLOOKUP($A10,'RES installed'!$A$2:$C$7,3,FALSE)*'[1]Profiles, RES, Summer'!M$2</f>
        <v>55.178165276724791</v>
      </c>
      <c r="N10" s="6">
        <f>VLOOKUP($A10,'RES installed'!$A$2:$C$7,3,FALSE)*'[1]Profiles, RES, Summer'!N$2</f>
        <v>56.406368460955271</v>
      </c>
      <c r="O10" s="6">
        <f>VLOOKUP($A10,'RES installed'!$A$2:$C$7,3,FALSE)*'[1]Profiles, RES, Summer'!O$2</f>
        <v>56.429112964366951</v>
      </c>
      <c r="P10" s="6">
        <f>VLOOKUP($A10,'RES installed'!$A$2:$C$7,3,FALSE)*'[1]Profiles, RES, Summer'!P$2</f>
        <v>54.495830174374525</v>
      </c>
      <c r="Q10" s="6">
        <f>VLOOKUP($A10,'RES installed'!$A$2:$C$7,3,FALSE)*'[1]Profiles, RES, Summer'!Q$2</f>
        <v>48.468536770280515</v>
      </c>
      <c r="R10" s="6">
        <f>VLOOKUP($A10,'RES installed'!$A$2:$C$7,3,FALSE)*'[1]Profiles, RES, Summer'!R$2</f>
        <v>38.847611827141776</v>
      </c>
      <c r="S10" s="6">
        <f>VLOOKUP($A10,'RES installed'!$A$2:$C$7,3,FALSE)*'[1]Profiles, RES, Summer'!S$2</f>
        <v>25.132676269901442</v>
      </c>
      <c r="T10" s="6">
        <f>VLOOKUP($A10,'RES installed'!$A$2:$C$7,3,FALSE)*'[1]Profiles, RES, Summer'!T$2</f>
        <v>8.756633813495073</v>
      </c>
      <c r="U10" s="6">
        <f>VLOOKUP($A10,'RES installed'!$A$2:$C$7,3,FALSE)*'[1]Profiles, RES, Summer'!U$2</f>
        <v>0.7278241091736164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788BB-74A3-477E-9B6F-19351CC6CB93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12.826174227217987</v>
      </c>
      <c r="C5" s="9">
        <f>VLOOKUP($A5,'RES installed'!$A$2:$C$7,3,FALSE)*'[1]Profiles, RES, Summer'!C$6</f>
        <v>11.913890004014451</v>
      </c>
      <c r="D5" s="9">
        <f>VLOOKUP($A5,'RES installed'!$A$2:$C$7,3,FALSE)*'[1]Profiles, RES, Summer'!D$6</f>
        <v>12.112605379365716</v>
      </c>
      <c r="E5" s="9">
        <f>VLOOKUP($A5,'RES installed'!$A$2:$C$7,3,FALSE)*'[1]Profiles, RES, Summer'!E$6</f>
        <v>10.947410678442393</v>
      </c>
      <c r="F5" s="9">
        <f>VLOOKUP($A5,'RES installed'!$A$2:$C$7,3,FALSE)*'[1]Profiles, RES, Summer'!F$6</f>
        <v>10.242874347651545</v>
      </c>
      <c r="G5" s="9">
        <f>VLOOKUP($A5,'RES installed'!$A$2:$C$7,3,FALSE)*'[1]Profiles, RES, Summer'!G$6</f>
        <v>10.875150541951024</v>
      </c>
      <c r="H5" s="9">
        <f>VLOOKUP($A5,'RES installed'!$A$2:$C$7,3,FALSE)*'[1]Profiles, RES, Summer'!H$6</f>
        <v>10.757727820152549</v>
      </c>
      <c r="I5" s="9">
        <f>VLOOKUP($A5,'RES installed'!$A$2:$C$7,3,FALSE)*'[1]Profiles, RES, Summer'!I$6</f>
        <v>7.9305499799277399</v>
      </c>
      <c r="J5" s="9">
        <f>VLOOKUP($A5,'RES installed'!$A$2:$C$7,3,FALSE)*'[1]Profiles, RES, Summer'!J$6</f>
        <v>5.0762745885186673</v>
      </c>
      <c r="K5" s="9">
        <f>VLOOKUP($A5,'RES installed'!$A$2:$C$7,3,FALSE)*'[1]Profiles, RES, Summer'!K$6</f>
        <v>3.6942994781212364</v>
      </c>
      <c r="L5" s="9">
        <f>VLOOKUP($A5,'RES installed'!$A$2:$C$7,3,FALSE)*'[1]Profiles, RES, Summer'!L$6</f>
        <v>2.7910477719791249</v>
      </c>
      <c r="M5" s="9">
        <f>VLOOKUP($A5,'RES installed'!$A$2:$C$7,3,FALSE)*'[1]Profiles, RES, Summer'!M$6</f>
        <v>2.6194299478121237</v>
      </c>
      <c r="N5" s="9">
        <f>VLOOKUP($A5,'RES installed'!$A$2:$C$7,3,FALSE)*'[1]Profiles, RES, Summer'!N$6</f>
        <v>3.2788036932958651</v>
      </c>
      <c r="O5" s="9">
        <f>VLOOKUP($A5,'RES installed'!$A$2:$C$7,3,FALSE)*'[1]Profiles, RES, Summer'!O$6</f>
        <v>4.2543155359293454</v>
      </c>
      <c r="P5" s="9">
        <f>VLOOKUP($A5,'RES installed'!$A$2:$C$7,3,FALSE)*'[1]Profiles, RES, Summer'!P$6</f>
        <v>6.0608189482135693</v>
      </c>
      <c r="Q5" s="9">
        <f>VLOOKUP($A5,'RES installed'!$A$2:$C$7,3,FALSE)*'[1]Profiles, RES, Summer'!Q$6</f>
        <v>7.6505419510236852</v>
      </c>
      <c r="R5" s="9">
        <f>VLOOKUP($A5,'RES installed'!$A$2:$C$7,3,FALSE)*'[1]Profiles, RES, Summer'!R$6</f>
        <v>9.1589723002810111</v>
      </c>
      <c r="S5" s="9">
        <f>VLOOKUP($A5,'RES installed'!$A$2:$C$7,3,FALSE)*'[1]Profiles, RES, Summer'!S$6</f>
        <v>9.7822159775190691</v>
      </c>
      <c r="T5" s="9">
        <f>VLOOKUP($A5,'RES installed'!$A$2:$C$7,3,FALSE)*'[1]Profiles, RES, Summer'!T$6</f>
        <v>9.3034925732637497</v>
      </c>
      <c r="U5" s="9">
        <f>VLOOKUP($A5,'RES installed'!$A$2:$C$7,3,FALSE)*'[1]Profiles, RES, Summer'!U$6</f>
        <v>9.0234845443596949</v>
      </c>
      <c r="V5" s="9">
        <f>VLOOKUP($A5,'RES installed'!$A$2:$C$7,3,FALSE)*'[1]Profiles, RES, Summer'!V$6</f>
        <v>9.0505820955439589</v>
      </c>
      <c r="W5" s="9">
        <f>VLOOKUP($A5,'RES installed'!$A$2:$C$7,3,FALSE)*'[1]Profiles, RES, Summer'!W$6</f>
        <v>8.3189482135688468</v>
      </c>
      <c r="X5" s="9">
        <f>VLOOKUP($A5,'RES installed'!$A$2:$C$7,3,FALSE)*'[1]Profiles, RES, Summer'!X$6</f>
        <v>7.7137695704536338</v>
      </c>
      <c r="Y5" s="9">
        <f>VLOOKUP($A5,'RES installed'!$A$2:$C$7,3,FALSE)*'[1]Profiles, RES, Summer'!Y$6</f>
        <v>7.8492573263749499</v>
      </c>
    </row>
    <row r="6" spans="1:25" x14ac:dyDescent="0.3">
      <c r="A6" s="8">
        <v>5</v>
      </c>
      <c r="B6" s="9">
        <f>VLOOKUP($A6,'RES installed'!$A$2:$C$7,3,FALSE)*'[1]Profiles, RES, Summer'!B$6</f>
        <v>17.101565636290648</v>
      </c>
      <c r="C6" s="9">
        <f>VLOOKUP($A6,'RES installed'!$A$2:$C$7,3,FALSE)*'[1]Profiles, RES, Summer'!C$6</f>
        <v>15.885186672019268</v>
      </c>
      <c r="D6" s="9">
        <f>VLOOKUP($A6,'RES installed'!$A$2:$C$7,3,FALSE)*'[1]Profiles, RES, Summer'!D$6</f>
        <v>16.150140505820954</v>
      </c>
      <c r="E6" s="9">
        <f>VLOOKUP($A6,'RES installed'!$A$2:$C$7,3,FALSE)*'[1]Profiles, RES, Summer'!E$6</f>
        <v>14.596547571256524</v>
      </c>
      <c r="F6" s="9">
        <f>VLOOKUP($A6,'RES installed'!$A$2:$C$7,3,FALSE)*'[1]Profiles, RES, Summer'!F$6</f>
        <v>13.657165796868727</v>
      </c>
      <c r="G6" s="9">
        <f>VLOOKUP($A6,'RES installed'!$A$2:$C$7,3,FALSE)*'[1]Profiles, RES, Summer'!G$6</f>
        <v>14.500200722601365</v>
      </c>
      <c r="H6" s="9">
        <f>VLOOKUP($A6,'RES installed'!$A$2:$C$7,3,FALSE)*'[1]Profiles, RES, Summer'!H$6</f>
        <v>14.343637093536731</v>
      </c>
      <c r="I6" s="9">
        <f>VLOOKUP($A6,'RES installed'!$A$2:$C$7,3,FALSE)*'[1]Profiles, RES, Summer'!I$6</f>
        <v>10.574066639903654</v>
      </c>
      <c r="J6" s="9">
        <f>VLOOKUP($A6,'RES installed'!$A$2:$C$7,3,FALSE)*'[1]Profiles, RES, Summer'!J$6</f>
        <v>6.7683661180248897</v>
      </c>
      <c r="K6" s="9">
        <f>VLOOKUP($A6,'RES installed'!$A$2:$C$7,3,FALSE)*'[1]Profiles, RES, Summer'!K$6</f>
        <v>4.9257326374949812</v>
      </c>
      <c r="L6" s="9">
        <f>VLOOKUP($A6,'RES installed'!$A$2:$C$7,3,FALSE)*'[1]Profiles, RES, Summer'!L$6</f>
        <v>3.7213970293054994</v>
      </c>
      <c r="M6" s="9">
        <f>VLOOKUP($A6,'RES installed'!$A$2:$C$7,3,FALSE)*'[1]Profiles, RES, Summer'!M$6</f>
        <v>3.4925732637494979</v>
      </c>
      <c r="N6" s="9">
        <f>VLOOKUP($A6,'RES installed'!$A$2:$C$7,3,FALSE)*'[1]Profiles, RES, Summer'!N$6</f>
        <v>4.3717382577278201</v>
      </c>
      <c r="O6" s="9">
        <f>VLOOKUP($A6,'RES installed'!$A$2:$C$7,3,FALSE)*'[1]Profiles, RES, Summer'!O$6</f>
        <v>5.6724207145724606</v>
      </c>
      <c r="P6" s="9">
        <f>VLOOKUP($A6,'RES installed'!$A$2:$C$7,3,FALSE)*'[1]Profiles, RES, Summer'!P$6</f>
        <v>8.0810919309514251</v>
      </c>
      <c r="Q6" s="9">
        <f>VLOOKUP($A6,'RES installed'!$A$2:$C$7,3,FALSE)*'[1]Profiles, RES, Summer'!Q$6</f>
        <v>10.200722601364912</v>
      </c>
      <c r="R6" s="9">
        <f>VLOOKUP($A6,'RES installed'!$A$2:$C$7,3,FALSE)*'[1]Profiles, RES, Summer'!R$6</f>
        <v>12.211963067041349</v>
      </c>
      <c r="S6" s="9">
        <f>VLOOKUP($A6,'RES installed'!$A$2:$C$7,3,FALSE)*'[1]Profiles, RES, Summer'!S$6</f>
        <v>13.042954636692093</v>
      </c>
      <c r="T6" s="9">
        <f>VLOOKUP($A6,'RES installed'!$A$2:$C$7,3,FALSE)*'[1]Profiles, RES, Summer'!T$6</f>
        <v>12.404656764351666</v>
      </c>
      <c r="U6" s="9">
        <f>VLOOKUP($A6,'RES installed'!$A$2:$C$7,3,FALSE)*'[1]Profiles, RES, Summer'!U$6</f>
        <v>12.031312725812926</v>
      </c>
      <c r="V6" s="9">
        <f>VLOOKUP($A6,'RES installed'!$A$2:$C$7,3,FALSE)*'[1]Profiles, RES, Summer'!V$6</f>
        <v>12.067442794058611</v>
      </c>
      <c r="W6" s="9">
        <f>VLOOKUP($A6,'RES installed'!$A$2:$C$7,3,FALSE)*'[1]Profiles, RES, Summer'!W$6</f>
        <v>11.09193095142513</v>
      </c>
      <c r="X6" s="9">
        <f>VLOOKUP($A6,'RES installed'!$A$2:$C$7,3,FALSE)*'[1]Profiles, RES, Summer'!X$6</f>
        <v>10.285026093938178</v>
      </c>
      <c r="Y6" s="9">
        <f>VLOOKUP($A6,'RES installed'!$A$2:$C$7,3,FALSE)*'[1]Profiles, RES, Summer'!Y$6</f>
        <v>10.4656764351666</v>
      </c>
    </row>
    <row r="7" spans="1:25" x14ac:dyDescent="0.3">
      <c r="A7" s="8">
        <v>6</v>
      </c>
      <c r="B7" s="9">
        <f>VLOOKUP($A7,'RES installed'!$A$2:$C$7,3,FALSE)*'[1]Profiles, RES, Summer'!B$6</f>
        <v>12.826174227217987</v>
      </c>
      <c r="C7" s="9">
        <f>VLOOKUP($A7,'RES installed'!$A$2:$C$7,3,FALSE)*'[1]Profiles, RES, Summer'!C$6</f>
        <v>11.913890004014451</v>
      </c>
      <c r="D7" s="9">
        <f>VLOOKUP($A7,'RES installed'!$A$2:$C$7,3,FALSE)*'[1]Profiles, RES, Summer'!D$6</f>
        <v>12.112605379365716</v>
      </c>
      <c r="E7" s="9">
        <f>VLOOKUP($A7,'RES installed'!$A$2:$C$7,3,FALSE)*'[1]Profiles, RES, Summer'!E$6</f>
        <v>10.947410678442393</v>
      </c>
      <c r="F7" s="9">
        <f>VLOOKUP($A7,'RES installed'!$A$2:$C$7,3,FALSE)*'[1]Profiles, RES, Summer'!F$6</f>
        <v>10.242874347651545</v>
      </c>
      <c r="G7" s="9">
        <f>VLOOKUP($A7,'RES installed'!$A$2:$C$7,3,FALSE)*'[1]Profiles, RES, Summer'!G$6</f>
        <v>10.875150541951024</v>
      </c>
      <c r="H7" s="9">
        <f>VLOOKUP($A7,'RES installed'!$A$2:$C$7,3,FALSE)*'[1]Profiles, RES, Summer'!H$6</f>
        <v>10.757727820152549</v>
      </c>
      <c r="I7" s="9">
        <f>VLOOKUP($A7,'RES installed'!$A$2:$C$7,3,FALSE)*'[1]Profiles, RES, Summer'!I$6</f>
        <v>7.9305499799277399</v>
      </c>
      <c r="J7" s="9">
        <f>VLOOKUP($A7,'RES installed'!$A$2:$C$7,3,FALSE)*'[1]Profiles, RES, Summer'!J$6</f>
        <v>5.0762745885186673</v>
      </c>
      <c r="K7" s="9">
        <f>VLOOKUP($A7,'RES installed'!$A$2:$C$7,3,FALSE)*'[1]Profiles, RES, Summer'!K$6</f>
        <v>3.6942994781212364</v>
      </c>
      <c r="L7" s="9">
        <f>VLOOKUP($A7,'RES installed'!$A$2:$C$7,3,FALSE)*'[1]Profiles, RES, Summer'!L$6</f>
        <v>2.7910477719791249</v>
      </c>
      <c r="M7" s="9">
        <f>VLOOKUP($A7,'RES installed'!$A$2:$C$7,3,FALSE)*'[1]Profiles, RES, Summer'!M$6</f>
        <v>2.6194299478121237</v>
      </c>
      <c r="N7" s="9">
        <f>VLOOKUP($A7,'RES installed'!$A$2:$C$7,3,FALSE)*'[1]Profiles, RES, Summer'!N$6</f>
        <v>3.2788036932958651</v>
      </c>
      <c r="O7" s="9">
        <f>VLOOKUP($A7,'RES installed'!$A$2:$C$7,3,FALSE)*'[1]Profiles, RES, Summer'!O$6</f>
        <v>4.2543155359293454</v>
      </c>
      <c r="P7" s="9">
        <f>VLOOKUP($A7,'RES installed'!$A$2:$C$7,3,FALSE)*'[1]Profiles, RES, Summer'!P$6</f>
        <v>6.0608189482135693</v>
      </c>
      <c r="Q7" s="9">
        <f>VLOOKUP($A7,'RES installed'!$A$2:$C$7,3,FALSE)*'[1]Profiles, RES, Summer'!Q$6</f>
        <v>7.6505419510236852</v>
      </c>
      <c r="R7" s="9">
        <f>VLOOKUP($A7,'RES installed'!$A$2:$C$7,3,FALSE)*'[1]Profiles, RES, Summer'!R$6</f>
        <v>9.1589723002810111</v>
      </c>
      <c r="S7" s="9">
        <f>VLOOKUP($A7,'RES installed'!$A$2:$C$7,3,FALSE)*'[1]Profiles, RES, Summer'!S$6</f>
        <v>9.7822159775190691</v>
      </c>
      <c r="T7" s="9">
        <f>VLOOKUP($A7,'RES installed'!$A$2:$C$7,3,FALSE)*'[1]Profiles, RES, Summer'!T$6</f>
        <v>9.3034925732637497</v>
      </c>
      <c r="U7" s="9">
        <f>VLOOKUP($A7,'RES installed'!$A$2:$C$7,3,FALSE)*'[1]Profiles, RES, Summer'!U$6</f>
        <v>9.0234845443596949</v>
      </c>
      <c r="V7" s="9">
        <f>VLOOKUP($A7,'RES installed'!$A$2:$C$7,3,FALSE)*'[1]Profiles, RES, Summer'!V$6</f>
        <v>9.0505820955439589</v>
      </c>
      <c r="W7" s="9">
        <f>VLOOKUP($A7,'RES installed'!$A$2:$C$7,3,FALSE)*'[1]Profiles, RES, Summer'!W$6</f>
        <v>8.3189482135688468</v>
      </c>
      <c r="X7" s="9">
        <f>VLOOKUP($A7,'RES installed'!$A$2:$C$7,3,FALSE)*'[1]Profiles, RES, Summer'!X$6</f>
        <v>7.7137695704536338</v>
      </c>
      <c r="Y7" s="9">
        <f>VLOOKUP($A7,'RES installed'!$A$2:$C$7,3,FALSE)*'[1]Profiles, RES, Summer'!Y$6</f>
        <v>7.8492573263749499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0.14215314632297193</v>
      </c>
      <c r="H8" s="6">
        <f>VLOOKUP($A8,'RES installed'!$A$2:$C$7,3,FALSE)*'[1]Profiles, RES, Summer'!H$3</f>
        <v>5.9988627748294157</v>
      </c>
      <c r="I8" s="6">
        <f>VLOOKUP($A8,'RES installed'!$A$2:$C$7,3,FALSE)*'[1]Profiles, RES, Summer'!I$3</f>
        <v>24.137604245640638</v>
      </c>
      <c r="J8" s="6">
        <f>VLOOKUP($A8,'RES installed'!$A$2:$C$7,3,FALSE)*'[1]Profiles, RES, Summer'!J$3</f>
        <v>44.124336618650489</v>
      </c>
      <c r="K8" s="6">
        <f>VLOOKUP($A8,'RES installed'!$A$2:$C$7,3,FALSE)*'[1]Profiles, RES, Summer'!K$3</f>
        <v>58.026914329037155</v>
      </c>
      <c r="L8" s="6">
        <f>VLOOKUP($A8,'RES installed'!$A$2:$C$7,3,FALSE)*'[1]Profiles, RES, Summer'!L$3</f>
        <v>67.494313874147082</v>
      </c>
      <c r="M8" s="6">
        <f>VLOOKUP($A8,'RES installed'!$A$2:$C$7,3,FALSE)*'[1]Profiles, RES, Summer'!M$3</f>
        <v>70.991281273692195</v>
      </c>
      <c r="N8" s="6">
        <f>VLOOKUP($A8,'RES installed'!$A$2:$C$7,3,FALSE)*'[1]Profiles, RES, Summer'!N$3</f>
        <v>71.190295678544345</v>
      </c>
      <c r="O8" s="6">
        <f>VLOOKUP($A8,'RES installed'!$A$2:$C$7,3,FALSE)*'[1]Profiles, RES, Summer'!O$3</f>
        <v>69.683472327520846</v>
      </c>
      <c r="P8" s="6">
        <f>VLOOKUP($A8,'RES installed'!$A$2:$C$7,3,FALSE)*'[1]Profiles, RES, Summer'!P$3</f>
        <v>67.465883244882491</v>
      </c>
      <c r="Q8" s="6">
        <f>VLOOKUP($A8,'RES installed'!$A$2:$C$7,3,FALSE)*'[1]Profiles, RES, Summer'!Q$3</f>
        <v>60.187642153146321</v>
      </c>
      <c r="R8" s="6">
        <f>VLOOKUP($A8,'RES installed'!$A$2:$C$7,3,FALSE)*'[1]Profiles, RES, Summer'!R$3</f>
        <v>48.332069749810465</v>
      </c>
      <c r="S8" s="6">
        <f>VLOOKUP($A8,'RES installed'!$A$2:$C$7,3,FALSE)*'[1]Profiles, RES, Summer'!S$3</f>
        <v>30.30705079605762</v>
      </c>
      <c r="T8" s="6">
        <f>VLOOKUP($A8,'RES installed'!$A$2:$C$7,3,FALSE)*'[1]Profiles, RES, Summer'!T$3</f>
        <v>9.8654283548142523</v>
      </c>
      <c r="U8" s="6">
        <f>VLOOKUP($A8,'RES installed'!$A$2:$C$7,3,FALSE)*'[1]Profiles, RES, Summer'!U$3</f>
        <v>0.65390447308567101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9.4768764215314633E-2</v>
      </c>
      <c r="H9" s="6">
        <f>VLOOKUP($A9,'RES installed'!$A$2:$C$7,3,FALSE)*'[1]Profiles, RES, Summer'!H$3</f>
        <v>3.9992418498862774</v>
      </c>
      <c r="I9" s="6">
        <f>VLOOKUP($A9,'RES installed'!$A$2:$C$7,3,FALSE)*'[1]Profiles, RES, Summer'!I$3</f>
        <v>16.091736163760427</v>
      </c>
      <c r="J9" s="6">
        <f>VLOOKUP($A9,'RES installed'!$A$2:$C$7,3,FALSE)*'[1]Profiles, RES, Summer'!J$3</f>
        <v>29.41622441243366</v>
      </c>
      <c r="K9" s="6">
        <f>VLOOKUP($A9,'RES installed'!$A$2:$C$7,3,FALSE)*'[1]Profiles, RES, Summer'!K$3</f>
        <v>38.684609552691434</v>
      </c>
      <c r="L9" s="6">
        <f>VLOOKUP($A9,'RES installed'!$A$2:$C$7,3,FALSE)*'[1]Profiles, RES, Summer'!L$3</f>
        <v>44.996209249431388</v>
      </c>
      <c r="M9" s="6">
        <f>VLOOKUP($A9,'RES installed'!$A$2:$C$7,3,FALSE)*'[1]Profiles, RES, Summer'!M$3</f>
        <v>47.327520849128128</v>
      </c>
      <c r="N9" s="6">
        <f>VLOOKUP($A9,'RES installed'!$A$2:$C$7,3,FALSE)*'[1]Profiles, RES, Summer'!N$3</f>
        <v>47.460197119029566</v>
      </c>
      <c r="O9" s="6">
        <f>VLOOKUP($A9,'RES installed'!$A$2:$C$7,3,FALSE)*'[1]Profiles, RES, Summer'!O$3</f>
        <v>46.455648218347235</v>
      </c>
      <c r="P9" s="6">
        <f>VLOOKUP($A9,'RES installed'!$A$2:$C$7,3,FALSE)*'[1]Profiles, RES, Summer'!P$3</f>
        <v>44.977255496588327</v>
      </c>
      <c r="Q9" s="6">
        <f>VLOOKUP($A9,'RES installed'!$A$2:$C$7,3,FALSE)*'[1]Profiles, RES, Summer'!Q$3</f>
        <v>40.125094768764214</v>
      </c>
      <c r="R9" s="6">
        <f>VLOOKUP($A9,'RES installed'!$A$2:$C$7,3,FALSE)*'[1]Profiles, RES, Summer'!R$3</f>
        <v>32.221379833206974</v>
      </c>
      <c r="S9" s="6">
        <f>VLOOKUP($A9,'RES installed'!$A$2:$C$7,3,FALSE)*'[1]Profiles, RES, Summer'!S$3</f>
        <v>20.204700530705079</v>
      </c>
      <c r="T9" s="6">
        <f>VLOOKUP($A9,'RES installed'!$A$2:$C$7,3,FALSE)*'[1]Profiles, RES, Summer'!T$3</f>
        <v>6.5769522365428355</v>
      </c>
      <c r="U9" s="6">
        <f>VLOOKUP($A9,'RES installed'!$A$2:$C$7,3,FALSE)*'[1]Profiles, RES, Summer'!U$3</f>
        <v>0.4359363153904473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0.11372251705837756</v>
      </c>
      <c r="H10" s="6">
        <f>VLOOKUP($A10,'RES installed'!$A$2:$C$7,3,FALSE)*'[1]Profiles, RES, Summer'!H$3</f>
        <v>4.7990902198635323</v>
      </c>
      <c r="I10" s="6">
        <f>VLOOKUP($A10,'RES installed'!$A$2:$C$7,3,FALSE)*'[1]Profiles, RES, Summer'!I$3</f>
        <v>19.31008339651251</v>
      </c>
      <c r="J10" s="6">
        <f>VLOOKUP($A10,'RES installed'!$A$2:$C$7,3,FALSE)*'[1]Profiles, RES, Summer'!J$3</f>
        <v>35.299469294920392</v>
      </c>
      <c r="K10" s="6">
        <f>VLOOKUP($A10,'RES installed'!$A$2:$C$7,3,FALSE)*'[1]Profiles, RES, Summer'!K$3</f>
        <v>46.421531463229719</v>
      </c>
      <c r="L10" s="6">
        <f>VLOOKUP($A10,'RES installed'!$A$2:$C$7,3,FALSE)*'[1]Profiles, RES, Summer'!L$3</f>
        <v>53.995451099317663</v>
      </c>
      <c r="M10" s="6">
        <f>VLOOKUP($A10,'RES installed'!$A$2:$C$7,3,FALSE)*'[1]Profiles, RES, Summer'!M$3</f>
        <v>56.793025018953756</v>
      </c>
      <c r="N10" s="6">
        <f>VLOOKUP($A10,'RES installed'!$A$2:$C$7,3,FALSE)*'[1]Profiles, RES, Summer'!N$3</f>
        <v>56.952236542835479</v>
      </c>
      <c r="O10" s="6">
        <f>VLOOKUP($A10,'RES installed'!$A$2:$C$7,3,FALSE)*'[1]Profiles, RES, Summer'!O$3</f>
        <v>55.746777862016678</v>
      </c>
      <c r="P10" s="6">
        <f>VLOOKUP($A10,'RES installed'!$A$2:$C$7,3,FALSE)*'[1]Profiles, RES, Summer'!P$3</f>
        <v>53.97270659590599</v>
      </c>
      <c r="Q10" s="6">
        <f>VLOOKUP($A10,'RES installed'!$A$2:$C$7,3,FALSE)*'[1]Profiles, RES, Summer'!Q$3</f>
        <v>48.150113722517055</v>
      </c>
      <c r="R10" s="6">
        <f>VLOOKUP($A10,'RES installed'!$A$2:$C$7,3,FALSE)*'[1]Profiles, RES, Summer'!R$3</f>
        <v>38.665655799848373</v>
      </c>
      <c r="S10" s="6">
        <f>VLOOKUP($A10,'RES installed'!$A$2:$C$7,3,FALSE)*'[1]Profiles, RES, Summer'!S$3</f>
        <v>24.245640636846097</v>
      </c>
      <c r="T10" s="6">
        <f>VLOOKUP($A10,'RES installed'!$A$2:$C$7,3,FALSE)*'[1]Profiles, RES, Summer'!T$3</f>
        <v>7.8923426838514024</v>
      </c>
      <c r="U10" s="6">
        <f>VLOOKUP($A10,'RES installed'!$A$2:$C$7,3,FALSE)*'[1]Profiles, RES, Summer'!U$3</f>
        <v>0.52312357846853674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C5497-56F8-42F6-A945-D4621CE2E97A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13.395222802087515</v>
      </c>
      <c r="C5" s="9">
        <f>VLOOKUP($A5,'RES installed'!$A$2:$C$7,3,FALSE)*'[1]Profiles, RES, Summer'!C$7</f>
        <v>12.049377759935769</v>
      </c>
      <c r="D5" s="9">
        <f>VLOOKUP($A5,'RES installed'!$A$2:$C$7,3,FALSE)*'[1]Profiles, RES, Summer'!D$7</f>
        <v>10.062224006423122</v>
      </c>
      <c r="E5" s="9">
        <f>VLOOKUP($A5,'RES installed'!$A$2:$C$7,3,FALSE)*'[1]Profiles, RES, Summer'!E$7</f>
        <v>9.5112404656764351</v>
      </c>
      <c r="F5" s="9">
        <f>VLOOKUP($A5,'RES installed'!$A$2:$C$7,3,FALSE)*'[1]Profiles, RES, Summer'!F$7</f>
        <v>9.3576876756322758</v>
      </c>
      <c r="G5" s="9">
        <f>VLOOKUP($A5,'RES installed'!$A$2:$C$7,3,FALSE)*'[1]Profiles, RES, Summer'!G$7</f>
        <v>10.495784825371336</v>
      </c>
      <c r="H5" s="9">
        <f>VLOOKUP($A5,'RES installed'!$A$2:$C$7,3,FALSE)*'[1]Profiles, RES, Summer'!H$7</f>
        <v>11.570654355680448</v>
      </c>
      <c r="I5" s="9">
        <f>VLOOKUP($A5,'RES installed'!$A$2:$C$7,3,FALSE)*'[1]Profiles, RES, Summer'!I$7</f>
        <v>11.968085106382979</v>
      </c>
      <c r="J5" s="9">
        <f>VLOOKUP($A5,'RES installed'!$A$2:$C$7,3,FALSE)*'[1]Profiles, RES, Summer'!J$7</f>
        <v>9.7280208751505413</v>
      </c>
      <c r="K5" s="9">
        <f>VLOOKUP($A5,'RES installed'!$A$2:$C$7,3,FALSE)*'[1]Profiles, RES, Summer'!K$7</f>
        <v>7.5692492974708951</v>
      </c>
      <c r="L5" s="9">
        <f>VLOOKUP($A5,'RES installed'!$A$2:$C$7,3,FALSE)*'[1]Profiles, RES, Summer'!L$7</f>
        <v>6.8105178643115218</v>
      </c>
      <c r="M5" s="9">
        <f>VLOOKUP($A5,'RES installed'!$A$2:$C$7,3,FALSE)*'[1]Profiles, RES, Summer'!M$7</f>
        <v>6.0788839823364107</v>
      </c>
      <c r="N5" s="9">
        <f>VLOOKUP($A5,'RES installed'!$A$2:$C$7,3,FALSE)*'[1]Profiles, RES, Summer'!N$7</f>
        <v>6.5847049377759941</v>
      </c>
      <c r="O5" s="9">
        <f>VLOOKUP($A5,'RES installed'!$A$2:$C$7,3,FALSE)*'[1]Profiles, RES, Summer'!O$7</f>
        <v>8.7615415495784816</v>
      </c>
      <c r="P5" s="9">
        <f>VLOOKUP($A5,'RES installed'!$A$2:$C$7,3,FALSE)*'[1]Profiles, RES, Summer'!P$7</f>
        <v>11.019670814933761</v>
      </c>
      <c r="Q5" s="9">
        <f>VLOOKUP($A5,'RES installed'!$A$2:$C$7,3,FALSE)*'[1]Profiles, RES, Summer'!Q$7</f>
        <v>11.561621838619029</v>
      </c>
      <c r="R5" s="9">
        <f>VLOOKUP($A5,'RES installed'!$A$2:$C$7,3,FALSE)*'[1]Profiles, RES, Summer'!R$7</f>
        <v>12.482938578883983</v>
      </c>
      <c r="S5" s="9">
        <f>VLOOKUP($A5,'RES installed'!$A$2:$C$7,3,FALSE)*'[1]Profiles, RES, Summer'!S$7</f>
        <v>12.988759534323565</v>
      </c>
      <c r="T5" s="9">
        <f>VLOOKUP($A5,'RES installed'!$A$2:$C$7,3,FALSE)*'[1]Profiles, RES, Summer'!T$7</f>
        <v>13.313930148534725</v>
      </c>
      <c r="U5" s="9">
        <f>VLOOKUP($A5,'RES installed'!$A$2:$C$7,3,FALSE)*'[1]Profiles, RES, Summer'!U$7</f>
        <v>15.255921316740265</v>
      </c>
      <c r="V5" s="9">
        <f>VLOOKUP($A5,'RES installed'!$A$2:$C$7,3,FALSE)*'[1]Profiles, RES, Summer'!V$7</f>
        <v>17.16178241670012</v>
      </c>
      <c r="W5" s="9">
        <f>VLOOKUP($A5,'RES installed'!$A$2:$C$7,3,FALSE)*'[1]Profiles, RES, Summer'!W$7</f>
        <v>16.574668807707749</v>
      </c>
      <c r="X5" s="9">
        <f>VLOOKUP($A5,'RES installed'!$A$2:$C$7,3,FALSE)*'[1]Profiles, RES, Summer'!X$7</f>
        <v>15.6985146527499</v>
      </c>
      <c r="Y5" s="9">
        <f>VLOOKUP($A5,'RES installed'!$A$2:$C$7,3,FALSE)*'[1]Profiles, RES, Summer'!Y$7</f>
        <v>15.418506623845845</v>
      </c>
    </row>
    <row r="6" spans="1:25" x14ac:dyDescent="0.3">
      <c r="A6" s="8">
        <v>5</v>
      </c>
      <c r="B6" s="9">
        <f>VLOOKUP($A6,'RES installed'!$A$2:$C$7,3,FALSE)*'[1]Profiles, RES, Summer'!B$7</f>
        <v>17.86029706945002</v>
      </c>
      <c r="C6" s="9">
        <f>VLOOKUP($A6,'RES installed'!$A$2:$C$7,3,FALSE)*'[1]Profiles, RES, Summer'!C$7</f>
        <v>16.065837013247691</v>
      </c>
      <c r="D6" s="9">
        <f>VLOOKUP($A6,'RES installed'!$A$2:$C$7,3,FALSE)*'[1]Profiles, RES, Summer'!D$7</f>
        <v>13.416298675230831</v>
      </c>
      <c r="E6" s="9">
        <f>VLOOKUP($A6,'RES installed'!$A$2:$C$7,3,FALSE)*'[1]Profiles, RES, Summer'!E$7</f>
        <v>12.681653954235248</v>
      </c>
      <c r="F6" s="9">
        <f>VLOOKUP($A6,'RES installed'!$A$2:$C$7,3,FALSE)*'[1]Profiles, RES, Summer'!F$7</f>
        <v>12.476916900843035</v>
      </c>
      <c r="G6" s="9">
        <f>VLOOKUP($A6,'RES installed'!$A$2:$C$7,3,FALSE)*'[1]Profiles, RES, Summer'!G$7</f>
        <v>13.994379767161782</v>
      </c>
      <c r="H6" s="9">
        <f>VLOOKUP($A6,'RES installed'!$A$2:$C$7,3,FALSE)*'[1]Profiles, RES, Summer'!H$7</f>
        <v>15.427539140907264</v>
      </c>
      <c r="I6" s="9">
        <f>VLOOKUP($A6,'RES installed'!$A$2:$C$7,3,FALSE)*'[1]Profiles, RES, Summer'!I$7</f>
        <v>15.957446808510639</v>
      </c>
      <c r="J6" s="9">
        <f>VLOOKUP($A6,'RES installed'!$A$2:$C$7,3,FALSE)*'[1]Profiles, RES, Summer'!J$7</f>
        <v>12.970694500200722</v>
      </c>
      <c r="K6" s="9">
        <f>VLOOKUP($A6,'RES installed'!$A$2:$C$7,3,FALSE)*'[1]Profiles, RES, Summer'!K$7</f>
        <v>10.09233239662786</v>
      </c>
      <c r="L6" s="9">
        <f>VLOOKUP($A6,'RES installed'!$A$2:$C$7,3,FALSE)*'[1]Profiles, RES, Summer'!L$7</f>
        <v>9.0806904857486952</v>
      </c>
      <c r="M6" s="9">
        <f>VLOOKUP($A6,'RES installed'!$A$2:$C$7,3,FALSE)*'[1]Profiles, RES, Summer'!M$7</f>
        <v>8.1051786431152131</v>
      </c>
      <c r="N6" s="9">
        <f>VLOOKUP($A6,'RES installed'!$A$2:$C$7,3,FALSE)*'[1]Profiles, RES, Summer'!N$7</f>
        <v>8.7796065837013249</v>
      </c>
      <c r="O6" s="9">
        <f>VLOOKUP($A6,'RES installed'!$A$2:$C$7,3,FALSE)*'[1]Profiles, RES, Summer'!O$7</f>
        <v>11.682055399437976</v>
      </c>
      <c r="P6" s="9">
        <f>VLOOKUP($A6,'RES installed'!$A$2:$C$7,3,FALSE)*'[1]Profiles, RES, Summer'!P$7</f>
        <v>14.692894419911681</v>
      </c>
      <c r="Q6" s="9">
        <f>VLOOKUP($A6,'RES installed'!$A$2:$C$7,3,FALSE)*'[1]Profiles, RES, Summer'!Q$7</f>
        <v>15.415495784825371</v>
      </c>
      <c r="R6" s="9">
        <f>VLOOKUP($A6,'RES installed'!$A$2:$C$7,3,FALSE)*'[1]Profiles, RES, Summer'!R$7</f>
        <v>16.643918105178646</v>
      </c>
      <c r="S6" s="9">
        <f>VLOOKUP($A6,'RES installed'!$A$2:$C$7,3,FALSE)*'[1]Profiles, RES, Summer'!S$7</f>
        <v>17.318346045764756</v>
      </c>
      <c r="T6" s="9">
        <f>VLOOKUP($A6,'RES installed'!$A$2:$C$7,3,FALSE)*'[1]Profiles, RES, Summer'!T$7</f>
        <v>17.751906864712968</v>
      </c>
      <c r="U6" s="9">
        <f>VLOOKUP($A6,'RES installed'!$A$2:$C$7,3,FALSE)*'[1]Profiles, RES, Summer'!U$7</f>
        <v>20.341228422320352</v>
      </c>
      <c r="V6" s="9">
        <f>VLOOKUP($A6,'RES installed'!$A$2:$C$7,3,FALSE)*'[1]Profiles, RES, Summer'!V$7</f>
        <v>22.88237655560016</v>
      </c>
      <c r="W6" s="9">
        <f>VLOOKUP($A6,'RES installed'!$A$2:$C$7,3,FALSE)*'[1]Profiles, RES, Summer'!W$7</f>
        <v>22.099558410276995</v>
      </c>
      <c r="X6" s="9">
        <f>VLOOKUP($A6,'RES installed'!$A$2:$C$7,3,FALSE)*'[1]Profiles, RES, Summer'!X$7</f>
        <v>20.9313528703332</v>
      </c>
      <c r="Y6" s="9">
        <f>VLOOKUP($A6,'RES installed'!$A$2:$C$7,3,FALSE)*'[1]Profiles, RES, Summer'!Y$7</f>
        <v>20.55800883179446</v>
      </c>
    </row>
    <row r="7" spans="1:25" x14ac:dyDescent="0.3">
      <c r="A7" s="8">
        <v>6</v>
      </c>
      <c r="B7" s="9">
        <f>VLOOKUP($A7,'RES installed'!$A$2:$C$7,3,FALSE)*'[1]Profiles, RES, Summer'!B$7</f>
        <v>13.395222802087515</v>
      </c>
      <c r="C7" s="9">
        <f>VLOOKUP($A7,'RES installed'!$A$2:$C$7,3,FALSE)*'[1]Profiles, RES, Summer'!C$7</f>
        <v>12.049377759935769</v>
      </c>
      <c r="D7" s="9">
        <f>VLOOKUP($A7,'RES installed'!$A$2:$C$7,3,FALSE)*'[1]Profiles, RES, Summer'!D$7</f>
        <v>10.062224006423122</v>
      </c>
      <c r="E7" s="9">
        <f>VLOOKUP($A7,'RES installed'!$A$2:$C$7,3,FALSE)*'[1]Profiles, RES, Summer'!E$7</f>
        <v>9.5112404656764351</v>
      </c>
      <c r="F7" s="9">
        <f>VLOOKUP($A7,'RES installed'!$A$2:$C$7,3,FALSE)*'[1]Profiles, RES, Summer'!F$7</f>
        <v>9.3576876756322758</v>
      </c>
      <c r="G7" s="9">
        <f>VLOOKUP($A7,'RES installed'!$A$2:$C$7,3,FALSE)*'[1]Profiles, RES, Summer'!G$7</f>
        <v>10.495784825371336</v>
      </c>
      <c r="H7" s="9">
        <f>VLOOKUP($A7,'RES installed'!$A$2:$C$7,3,FALSE)*'[1]Profiles, RES, Summer'!H$7</f>
        <v>11.570654355680448</v>
      </c>
      <c r="I7" s="9">
        <f>VLOOKUP($A7,'RES installed'!$A$2:$C$7,3,FALSE)*'[1]Profiles, RES, Summer'!I$7</f>
        <v>11.968085106382979</v>
      </c>
      <c r="J7" s="9">
        <f>VLOOKUP($A7,'RES installed'!$A$2:$C$7,3,FALSE)*'[1]Profiles, RES, Summer'!J$7</f>
        <v>9.7280208751505413</v>
      </c>
      <c r="K7" s="9">
        <f>VLOOKUP($A7,'RES installed'!$A$2:$C$7,3,FALSE)*'[1]Profiles, RES, Summer'!K$7</f>
        <v>7.5692492974708951</v>
      </c>
      <c r="L7" s="9">
        <f>VLOOKUP($A7,'RES installed'!$A$2:$C$7,3,FALSE)*'[1]Profiles, RES, Summer'!L$7</f>
        <v>6.8105178643115218</v>
      </c>
      <c r="M7" s="9">
        <f>VLOOKUP($A7,'RES installed'!$A$2:$C$7,3,FALSE)*'[1]Profiles, RES, Summer'!M$7</f>
        <v>6.0788839823364107</v>
      </c>
      <c r="N7" s="9">
        <f>VLOOKUP($A7,'RES installed'!$A$2:$C$7,3,FALSE)*'[1]Profiles, RES, Summer'!N$7</f>
        <v>6.5847049377759941</v>
      </c>
      <c r="O7" s="9">
        <f>VLOOKUP($A7,'RES installed'!$A$2:$C$7,3,FALSE)*'[1]Profiles, RES, Summer'!O$7</f>
        <v>8.7615415495784816</v>
      </c>
      <c r="P7" s="9">
        <f>VLOOKUP($A7,'RES installed'!$A$2:$C$7,3,FALSE)*'[1]Profiles, RES, Summer'!P$7</f>
        <v>11.019670814933761</v>
      </c>
      <c r="Q7" s="9">
        <f>VLOOKUP($A7,'RES installed'!$A$2:$C$7,3,FALSE)*'[1]Profiles, RES, Summer'!Q$7</f>
        <v>11.561621838619029</v>
      </c>
      <c r="R7" s="9">
        <f>VLOOKUP($A7,'RES installed'!$A$2:$C$7,3,FALSE)*'[1]Profiles, RES, Summer'!R$7</f>
        <v>12.482938578883983</v>
      </c>
      <c r="S7" s="9">
        <f>VLOOKUP($A7,'RES installed'!$A$2:$C$7,3,FALSE)*'[1]Profiles, RES, Summer'!S$7</f>
        <v>12.988759534323565</v>
      </c>
      <c r="T7" s="9">
        <f>VLOOKUP($A7,'RES installed'!$A$2:$C$7,3,FALSE)*'[1]Profiles, RES, Summer'!T$7</f>
        <v>13.313930148534725</v>
      </c>
      <c r="U7" s="9">
        <f>VLOOKUP($A7,'RES installed'!$A$2:$C$7,3,FALSE)*'[1]Profiles, RES, Summer'!U$7</f>
        <v>15.255921316740265</v>
      </c>
      <c r="V7" s="9">
        <f>VLOOKUP($A7,'RES installed'!$A$2:$C$7,3,FALSE)*'[1]Profiles, RES, Summer'!V$7</f>
        <v>17.16178241670012</v>
      </c>
      <c r="W7" s="9">
        <f>VLOOKUP($A7,'RES installed'!$A$2:$C$7,3,FALSE)*'[1]Profiles, RES, Summer'!W$7</f>
        <v>16.574668807707749</v>
      </c>
      <c r="X7" s="9">
        <f>VLOOKUP($A7,'RES installed'!$A$2:$C$7,3,FALSE)*'[1]Profiles, RES, Summer'!X$7</f>
        <v>15.6985146527499</v>
      </c>
      <c r="Y7" s="9">
        <f>VLOOKUP($A7,'RES installed'!$A$2:$C$7,3,FALSE)*'[1]Profiles, RES, Summer'!Y$7</f>
        <v>15.418506623845845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2.843062926459439E-2</v>
      </c>
      <c r="H8" s="6">
        <f>VLOOKUP($A8,'RES installed'!$A$2:$C$7,3,FALSE)*'[1]Profiles, RES, Summer'!H$4</f>
        <v>3.49696739954511</v>
      </c>
      <c r="I8" s="6">
        <f>VLOOKUP($A8,'RES installed'!$A$2:$C$7,3,FALSE)*'[1]Profiles, RES, Summer'!I$4</f>
        <v>16.546626231993937</v>
      </c>
      <c r="J8" s="6">
        <f>VLOOKUP($A8,'RES installed'!$A$2:$C$7,3,FALSE)*'[1]Profiles, RES, Summer'!J$4</f>
        <v>36.021607278241092</v>
      </c>
      <c r="K8" s="6">
        <f>VLOOKUP($A8,'RES installed'!$A$2:$C$7,3,FALSE)*'[1]Profiles, RES, Summer'!K$4</f>
        <v>55.610310841546621</v>
      </c>
      <c r="L8" s="6">
        <f>VLOOKUP($A8,'RES installed'!$A$2:$C$7,3,FALSE)*'[1]Profiles, RES, Summer'!L$4</f>
        <v>68.26194086429112</v>
      </c>
      <c r="M8" s="6">
        <f>VLOOKUP($A8,'RES installed'!$A$2:$C$7,3,FALSE)*'[1]Profiles, RES, Summer'!M$4</f>
        <v>73.009855951478386</v>
      </c>
      <c r="N8" s="6">
        <f>VLOOKUP($A8,'RES installed'!$A$2:$C$7,3,FALSE)*'[1]Profiles, RES, Summer'!N$4</f>
        <v>75</v>
      </c>
      <c r="O8" s="6">
        <f>VLOOKUP($A8,'RES installed'!$A$2:$C$7,3,FALSE)*'[1]Profiles, RES, Summer'!O$4</f>
        <v>73.692191053828651</v>
      </c>
      <c r="P8" s="6">
        <f>VLOOKUP($A8,'RES installed'!$A$2:$C$7,3,FALSE)*'[1]Profiles, RES, Summer'!P$4</f>
        <v>69.967778620166797</v>
      </c>
      <c r="Q8" s="6">
        <f>VLOOKUP($A8,'RES installed'!$A$2:$C$7,3,FALSE)*'[1]Profiles, RES, Summer'!Q$4</f>
        <v>61.921910538286582</v>
      </c>
      <c r="R8" s="6">
        <f>VLOOKUP($A8,'RES installed'!$A$2:$C$7,3,FALSE)*'[1]Profiles, RES, Summer'!R$4</f>
        <v>48.644806671721</v>
      </c>
      <c r="S8" s="6">
        <f>VLOOKUP($A8,'RES installed'!$A$2:$C$7,3,FALSE)*'[1]Profiles, RES, Summer'!S$4</f>
        <v>28.94238059135709</v>
      </c>
      <c r="T8" s="6">
        <f>VLOOKUP($A8,'RES installed'!$A$2:$C$7,3,FALSE)*'[1]Profiles, RES, Summer'!T$4</f>
        <v>8.8419257012888544</v>
      </c>
      <c r="U8" s="6">
        <f>VLOOKUP($A8,'RES installed'!$A$2:$C$7,3,FALSE)*'[1]Profiles, RES, Summer'!U$4</f>
        <v>0.39802880970432147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1.8953752843062926E-2</v>
      </c>
      <c r="H9" s="6">
        <f>VLOOKUP($A9,'RES installed'!$A$2:$C$7,3,FALSE)*'[1]Profiles, RES, Summer'!H$4</f>
        <v>2.3313115996967402</v>
      </c>
      <c r="I9" s="6">
        <f>VLOOKUP($A9,'RES installed'!$A$2:$C$7,3,FALSE)*'[1]Profiles, RES, Summer'!I$4</f>
        <v>11.031084154662624</v>
      </c>
      <c r="J9" s="6">
        <f>VLOOKUP($A9,'RES installed'!$A$2:$C$7,3,FALSE)*'[1]Profiles, RES, Summer'!J$4</f>
        <v>24.014404852160727</v>
      </c>
      <c r="K9" s="6">
        <f>VLOOKUP($A9,'RES installed'!$A$2:$C$7,3,FALSE)*'[1]Profiles, RES, Summer'!K$4</f>
        <v>37.073540561031081</v>
      </c>
      <c r="L9" s="6">
        <f>VLOOKUP($A9,'RES installed'!$A$2:$C$7,3,FALSE)*'[1]Profiles, RES, Summer'!L$4</f>
        <v>45.507960576194087</v>
      </c>
      <c r="M9" s="6">
        <f>VLOOKUP($A9,'RES installed'!$A$2:$C$7,3,FALSE)*'[1]Profiles, RES, Summer'!M$4</f>
        <v>48.673237300985598</v>
      </c>
      <c r="N9" s="6">
        <f>VLOOKUP($A9,'RES installed'!$A$2:$C$7,3,FALSE)*'[1]Profiles, RES, Summer'!N$4</f>
        <v>50</v>
      </c>
      <c r="O9" s="6">
        <f>VLOOKUP($A9,'RES installed'!$A$2:$C$7,3,FALSE)*'[1]Profiles, RES, Summer'!O$4</f>
        <v>49.128127369219108</v>
      </c>
      <c r="P9" s="6">
        <f>VLOOKUP($A9,'RES installed'!$A$2:$C$7,3,FALSE)*'[1]Profiles, RES, Summer'!P$4</f>
        <v>46.645185746777862</v>
      </c>
      <c r="Q9" s="6">
        <f>VLOOKUP($A9,'RES installed'!$A$2:$C$7,3,FALSE)*'[1]Profiles, RES, Summer'!Q$4</f>
        <v>41.281273692191057</v>
      </c>
      <c r="R9" s="6">
        <f>VLOOKUP($A9,'RES installed'!$A$2:$C$7,3,FALSE)*'[1]Profiles, RES, Summer'!R$4</f>
        <v>32.429871114480669</v>
      </c>
      <c r="S9" s="6">
        <f>VLOOKUP($A9,'RES installed'!$A$2:$C$7,3,FALSE)*'[1]Profiles, RES, Summer'!S$4</f>
        <v>19.294920394238062</v>
      </c>
      <c r="T9" s="6">
        <f>VLOOKUP($A9,'RES installed'!$A$2:$C$7,3,FALSE)*'[1]Profiles, RES, Summer'!T$4</f>
        <v>5.8946171341925702</v>
      </c>
      <c r="U9" s="6">
        <f>VLOOKUP($A9,'RES installed'!$A$2:$C$7,3,FALSE)*'[1]Profiles, RES, Summer'!U$4</f>
        <v>0.26535253980288098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2.2744503411675512E-2</v>
      </c>
      <c r="H10" s="6">
        <f>VLOOKUP($A10,'RES installed'!$A$2:$C$7,3,FALSE)*'[1]Profiles, RES, Summer'!H$4</f>
        <v>2.797573919636088</v>
      </c>
      <c r="I10" s="6">
        <f>VLOOKUP($A10,'RES installed'!$A$2:$C$7,3,FALSE)*'[1]Profiles, RES, Summer'!I$4</f>
        <v>13.237300985595148</v>
      </c>
      <c r="J10" s="6">
        <f>VLOOKUP($A10,'RES installed'!$A$2:$C$7,3,FALSE)*'[1]Profiles, RES, Summer'!J$4</f>
        <v>28.817285822592876</v>
      </c>
      <c r="K10" s="6">
        <f>VLOOKUP($A10,'RES installed'!$A$2:$C$7,3,FALSE)*'[1]Profiles, RES, Summer'!K$4</f>
        <v>44.488248673237301</v>
      </c>
      <c r="L10" s="6">
        <f>VLOOKUP($A10,'RES installed'!$A$2:$C$7,3,FALSE)*'[1]Profiles, RES, Summer'!L$4</f>
        <v>54.609552691432903</v>
      </c>
      <c r="M10" s="6">
        <f>VLOOKUP($A10,'RES installed'!$A$2:$C$7,3,FALSE)*'[1]Profiles, RES, Summer'!M$4</f>
        <v>58.407884761182714</v>
      </c>
      <c r="N10" s="6">
        <f>VLOOKUP($A10,'RES installed'!$A$2:$C$7,3,FALSE)*'[1]Profiles, RES, Summer'!N$4</f>
        <v>60</v>
      </c>
      <c r="O10" s="6">
        <f>VLOOKUP($A10,'RES installed'!$A$2:$C$7,3,FALSE)*'[1]Profiles, RES, Summer'!O$4</f>
        <v>58.953752843062922</v>
      </c>
      <c r="P10" s="6">
        <f>VLOOKUP($A10,'RES installed'!$A$2:$C$7,3,FALSE)*'[1]Profiles, RES, Summer'!P$4</f>
        <v>55.974222896133433</v>
      </c>
      <c r="Q10" s="6">
        <f>VLOOKUP($A10,'RES installed'!$A$2:$C$7,3,FALSE)*'[1]Profiles, RES, Summer'!Q$4</f>
        <v>49.537528430629266</v>
      </c>
      <c r="R10" s="6">
        <f>VLOOKUP($A10,'RES installed'!$A$2:$C$7,3,FALSE)*'[1]Profiles, RES, Summer'!R$4</f>
        <v>38.915845337376801</v>
      </c>
      <c r="S10" s="6">
        <f>VLOOKUP($A10,'RES installed'!$A$2:$C$7,3,FALSE)*'[1]Profiles, RES, Summer'!S$4</f>
        <v>23.153904473085671</v>
      </c>
      <c r="T10" s="6">
        <f>VLOOKUP($A10,'RES installed'!$A$2:$C$7,3,FALSE)*'[1]Profiles, RES, Summer'!T$4</f>
        <v>7.0735405610310842</v>
      </c>
      <c r="U10" s="6">
        <f>VLOOKUP($A10,'RES installed'!$A$2:$C$7,3,FALSE)*'[1]Profiles, RES, Summer'!U$4</f>
        <v>0.3184230477634572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6CB5B-1DB1-4676-8A26-9AF5B04E0EB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12.157767964672821</v>
      </c>
      <c r="C5" s="9">
        <f>VLOOKUP($A5,'RES installed'!$A$2:$C$7,3,FALSE)*'[1]Profiles, RES, Summer'!C$5</f>
        <v>11.119028502609394</v>
      </c>
      <c r="D5" s="9">
        <f>VLOOKUP($A5,'RES installed'!$A$2:$C$7,3,FALSE)*'[1]Profiles, RES, Summer'!D$5</f>
        <v>9.7280208751505413</v>
      </c>
      <c r="E5" s="9">
        <f>VLOOKUP($A5,'RES installed'!$A$2:$C$7,3,FALSE)*'[1]Profiles, RES, Summer'!E$5</f>
        <v>9.6918908069048584</v>
      </c>
      <c r="F5" s="9">
        <f>VLOOKUP($A5,'RES installed'!$A$2:$C$7,3,FALSE)*'[1]Profiles, RES, Summer'!F$5</f>
        <v>9.1770373344038543</v>
      </c>
      <c r="G5" s="9">
        <f>VLOOKUP($A5,'RES installed'!$A$2:$C$7,3,FALSE)*'[1]Profiles, RES, Summer'!G$5</f>
        <v>8.4544359694901647</v>
      </c>
      <c r="H5" s="9">
        <f>VLOOKUP($A5,'RES installed'!$A$2:$C$7,3,FALSE)*'[1]Profiles, RES, Summer'!H$5</f>
        <v>7.433761541549579</v>
      </c>
      <c r="I5" s="9">
        <f>VLOOKUP($A5,'RES installed'!$A$2:$C$7,3,FALSE)*'[1]Profiles, RES, Summer'!I$5</f>
        <v>5.8440385387394622</v>
      </c>
      <c r="J5" s="9">
        <f>VLOOKUP($A5,'RES installed'!$A$2:$C$7,3,FALSE)*'[1]Profiles, RES, Summer'!J$5</f>
        <v>4.8594941790445603</v>
      </c>
      <c r="K5" s="9">
        <f>VLOOKUP($A5,'RES installed'!$A$2:$C$7,3,FALSE)*'[1]Profiles, RES, Summer'!K$5</f>
        <v>4.5433560818948218</v>
      </c>
      <c r="L5" s="9">
        <f>VLOOKUP($A5,'RES installed'!$A$2:$C$7,3,FALSE)*'[1]Profiles, RES, Summer'!L$5</f>
        <v>4.182055399437977</v>
      </c>
      <c r="M5" s="9">
        <f>VLOOKUP($A5,'RES installed'!$A$2:$C$7,3,FALSE)*'[1]Profiles, RES, Summer'!M$5</f>
        <v>4.7059413890004018</v>
      </c>
      <c r="N5" s="9">
        <f>VLOOKUP($A5,'RES installed'!$A$2:$C$7,3,FALSE)*'[1]Profiles, RES, Summer'!N$5</f>
        <v>5.9162986752308306</v>
      </c>
      <c r="O5" s="9">
        <f>VLOOKUP($A5,'RES installed'!$A$2:$C$7,3,FALSE)*'[1]Profiles, RES, Summer'!O$5</f>
        <v>7.3434363709353674</v>
      </c>
      <c r="P5" s="9">
        <f>VLOOKUP($A5,'RES installed'!$A$2:$C$7,3,FALSE)*'[1]Profiles, RES, Summer'!P$5</f>
        <v>9.8002810116419106</v>
      </c>
      <c r="Q5" s="9">
        <f>VLOOKUP($A5,'RES installed'!$A$2:$C$7,3,FALSE)*'[1]Profiles, RES, Summer'!Q$5</f>
        <v>12.510036130068245</v>
      </c>
      <c r="R5" s="9">
        <f>VLOOKUP($A5,'RES installed'!$A$2:$C$7,3,FALSE)*'[1]Profiles, RES, Summer'!R$5</f>
        <v>14.786230429546368</v>
      </c>
      <c r="S5" s="9">
        <f>VLOOKUP($A5,'RES installed'!$A$2:$C$7,3,FALSE)*'[1]Profiles, RES, Summer'!S$5</f>
        <v>15.77980730630269</v>
      </c>
      <c r="T5" s="9">
        <f>VLOOKUP($A5,'RES installed'!$A$2:$C$7,3,FALSE)*'[1]Profiles, RES, Summer'!T$5</f>
        <v>16.981132075471699</v>
      </c>
      <c r="U5" s="9">
        <f>VLOOKUP($A5,'RES installed'!$A$2:$C$7,3,FALSE)*'[1]Profiles, RES, Summer'!U$5</f>
        <v>18.914090726615814</v>
      </c>
      <c r="V5" s="9">
        <f>VLOOKUP($A5,'RES installed'!$A$2:$C$7,3,FALSE)*'[1]Profiles, RES, Summer'!V$5</f>
        <v>20.856081894821358</v>
      </c>
      <c r="W5" s="9">
        <f>VLOOKUP($A5,'RES installed'!$A$2:$C$7,3,FALSE)*'[1]Profiles, RES, Summer'!W$5</f>
        <v>21.723203532717786</v>
      </c>
      <c r="X5" s="9">
        <f>VLOOKUP($A5,'RES installed'!$A$2:$C$7,3,FALSE)*'[1]Profiles, RES, Summer'!X$5</f>
        <v>21.822561220393414</v>
      </c>
      <c r="Y5" s="9">
        <f>VLOOKUP($A5,'RES installed'!$A$2:$C$7,3,FALSE)*'[1]Profiles, RES, Summer'!Y$5</f>
        <v>21.0457647531112</v>
      </c>
    </row>
    <row r="6" spans="1:25" x14ac:dyDescent="0.3">
      <c r="A6" s="8">
        <v>5</v>
      </c>
      <c r="B6" s="9">
        <f>VLOOKUP($A6,'RES installed'!$A$2:$C$7,3,FALSE)*'[1]Profiles, RES, Summer'!B$5</f>
        <v>16.210357286230426</v>
      </c>
      <c r="C6" s="9">
        <f>VLOOKUP($A6,'RES installed'!$A$2:$C$7,3,FALSE)*'[1]Profiles, RES, Summer'!C$5</f>
        <v>14.825371336812525</v>
      </c>
      <c r="D6" s="9">
        <f>VLOOKUP($A6,'RES installed'!$A$2:$C$7,3,FALSE)*'[1]Profiles, RES, Summer'!D$5</f>
        <v>12.970694500200722</v>
      </c>
      <c r="E6" s="9">
        <f>VLOOKUP($A6,'RES installed'!$A$2:$C$7,3,FALSE)*'[1]Profiles, RES, Summer'!E$5</f>
        <v>12.922521075873144</v>
      </c>
      <c r="F6" s="9">
        <f>VLOOKUP($A6,'RES installed'!$A$2:$C$7,3,FALSE)*'[1]Profiles, RES, Summer'!F$5</f>
        <v>12.236049779205139</v>
      </c>
      <c r="G6" s="9">
        <f>VLOOKUP($A6,'RES installed'!$A$2:$C$7,3,FALSE)*'[1]Profiles, RES, Summer'!G$5</f>
        <v>11.272581292653554</v>
      </c>
      <c r="H6" s="9">
        <f>VLOOKUP($A6,'RES installed'!$A$2:$C$7,3,FALSE)*'[1]Profiles, RES, Summer'!H$5</f>
        <v>9.9116820553994387</v>
      </c>
      <c r="I6" s="9">
        <f>VLOOKUP($A6,'RES installed'!$A$2:$C$7,3,FALSE)*'[1]Profiles, RES, Summer'!I$5</f>
        <v>7.7920513849859487</v>
      </c>
      <c r="J6" s="9">
        <f>VLOOKUP($A6,'RES installed'!$A$2:$C$7,3,FALSE)*'[1]Profiles, RES, Summer'!J$5</f>
        <v>6.4793255720594134</v>
      </c>
      <c r="K6" s="9">
        <f>VLOOKUP($A6,'RES installed'!$A$2:$C$7,3,FALSE)*'[1]Profiles, RES, Summer'!K$5</f>
        <v>6.0578081091930951</v>
      </c>
      <c r="L6" s="9">
        <f>VLOOKUP($A6,'RES installed'!$A$2:$C$7,3,FALSE)*'[1]Profiles, RES, Summer'!L$5</f>
        <v>5.5760738659173024</v>
      </c>
      <c r="M6" s="9">
        <f>VLOOKUP($A6,'RES installed'!$A$2:$C$7,3,FALSE)*'[1]Profiles, RES, Summer'!M$5</f>
        <v>6.2745885186672021</v>
      </c>
      <c r="N6" s="9">
        <f>VLOOKUP($A6,'RES installed'!$A$2:$C$7,3,FALSE)*'[1]Profiles, RES, Summer'!N$5</f>
        <v>7.8883982336411069</v>
      </c>
      <c r="O6" s="9">
        <f>VLOOKUP($A6,'RES installed'!$A$2:$C$7,3,FALSE)*'[1]Profiles, RES, Summer'!O$5</f>
        <v>9.7912484945804898</v>
      </c>
      <c r="P6" s="9">
        <f>VLOOKUP($A6,'RES installed'!$A$2:$C$7,3,FALSE)*'[1]Profiles, RES, Summer'!P$5</f>
        <v>13.067041348855881</v>
      </c>
      <c r="Q6" s="9">
        <f>VLOOKUP($A6,'RES installed'!$A$2:$C$7,3,FALSE)*'[1]Profiles, RES, Summer'!Q$5</f>
        <v>16.680048173424328</v>
      </c>
      <c r="R6" s="9">
        <f>VLOOKUP($A6,'RES installed'!$A$2:$C$7,3,FALSE)*'[1]Profiles, RES, Summer'!R$5</f>
        <v>19.714973906061822</v>
      </c>
      <c r="S6" s="9">
        <f>VLOOKUP($A6,'RES installed'!$A$2:$C$7,3,FALSE)*'[1]Profiles, RES, Summer'!S$5</f>
        <v>21.039743075070252</v>
      </c>
      <c r="T6" s="9">
        <f>VLOOKUP($A6,'RES installed'!$A$2:$C$7,3,FALSE)*'[1]Profiles, RES, Summer'!T$5</f>
        <v>22.641509433962266</v>
      </c>
      <c r="U6" s="9">
        <f>VLOOKUP($A6,'RES installed'!$A$2:$C$7,3,FALSE)*'[1]Profiles, RES, Summer'!U$5</f>
        <v>25.218787635487754</v>
      </c>
      <c r="V6" s="9">
        <f>VLOOKUP($A6,'RES installed'!$A$2:$C$7,3,FALSE)*'[1]Profiles, RES, Summer'!V$5</f>
        <v>27.808109193095145</v>
      </c>
      <c r="W6" s="9">
        <f>VLOOKUP($A6,'RES installed'!$A$2:$C$7,3,FALSE)*'[1]Profiles, RES, Summer'!W$5</f>
        <v>28.964271376957047</v>
      </c>
      <c r="X6" s="9">
        <f>VLOOKUP($A6,'RES installed'!$A$2:$C$7,3,FALSE)*'[1]Profiles, RES, Summer'!X$5</f>
        <v>29.096748293857885</v>
      </c>
      <c r="Y6" s="9">
        <f>VLOOKUP($A6,'RES installed'!$A$2:$C$7,3,FALSE)*'[1]Profiles, RES, Summer'!Y$5</f>
        <v>28.061019670814932</v>
      </c>
    </row>
    <row r="7" spans="1:25" x14ac:dyDescent="0.3">
      <c r="A7" s="8">
        <v>6</v>
      </c>
      <c r="B7" s="9">
        <f>VLOOKUP($A7,'RES installed'!$A$2:$C$7,3,FALSE)*'[1]Profiles, RES, Summer'!B$5</f>
        <v>12.157767964672821</v>
      </c>
      <c r="C7" s="9">
        <f>VLOOKUP($A7,'RES installed'!$A$2:$C$7,3,FALSE)*'[1]Profiles, RES, Summer'!C$5</f>
        <v>11.119028502609394</v>
      </c>
      <c r="D7" s="9">
        <f>VLOOKUP($A7,'RES installed'!$A$2:$C$7,3,FALSE)*'[1]Profiles, RES, Summer'!D$5</f>
        <v>9.7280208751505413</v>
      </c>
      <c r="E7" s="9">
        <f>VLOOKUP($A7,'RES installed'!$A$2:$C$7,3,FALSE)*'[1]Profiles, RES, Summer'!E$5</f>
        <v>9.6918908069048584</v>
      </c>
      <c r="F7" s="9">
        <f>VLOOKUP($A7,'RES installed'!$A$2:$C$7,3,FALSE)*'[1]Profiles, RES, Summer'!F$5</f>
        <v>9.1770373344038543</v>
      </c>
      <c r="G7" s="9">
        <f>VLOOKUP($A7,'RES installed'!$A$2:$C$7,3,FALSE)*'[1]Profiles, RES, Summer'!G$5</f>
        <v>8.4544359694901647</v>
      </c>
      <c r="H7" s="9">
        <f>VLOOKUP($A7,'RES installed'!$A$2:$C$7,3,FALSE)*'[1]Profiles, RES, Summer'!H$5</f>
        <v>7.433761541549579</v>
      </c>
      <c r="I7" s="9">
        <f>VLOOKUP($A7,'RES installed'!$A$2:$C$7,3,FALSE)*'[1]Profiles, RES, Summer'!I$5</f>
        <v>5.8440385387394622</v>
      </c>
      <c r="J7" s="9">
        <f>VLOOKUP($A7,'RES installed'!$A$2:$C$7,3,FALSE)*'[1]Profiles, RES, Summer'!J$5</f>
        <v>4.8594941790445603</v>
      </c>
      <c r="K7" s="9">
        <f>VLOOKUP($A7,'RES installed'!$A$2:$C$7,3,FALSE)*'[1]Profiles, RES, Summer'!K$5</f>
        <v>4.5433560818948218</v>
      </c>
      <c r="L7" s="9">
        <f>VLOOKUP($A7,'RES installed'!$A$2:$C$7,3,FALSE)*'[1]Profiles, RES, Summer'!L$5</f>
        <v>4.182055399437977</v>
      </c>
      <c r="M7" s="9">
        <f>VLOOKUP($A7,'RES installed'!$A$2:$C$7,3,FALSE)*'[1]Profiles, RES, Summer'!M$5</f>
        <v>4.7059413890004018</v>
      </c>
      <c r="N7" s="9">
        <f>VLOOKUP($A7,'RES installed'!$A$2:$C$7,3,FALSE)*'[1]Profiles, RES, Summer'!N$5</f>
        <v>5.9162986752308306</v>
      </c>
      <c r="O7" s="9">
        <f>VLOOKUP($A7,'RES installed'!$A$2:$C$7,3,FALSE)*'[1]Profiles, RES, Summer'!O$5</f>
        <v>7.3434363709353674</v>
      </c>
      <c r="P7" s="9">
        <f>VLOOKUP($A7,'RES installed'!$A$2:$C$7,3,FALSE)*'[1]Profiles, RES, Summer'!P$5</f>
        <v>9.8002810116419106</v>
      </c>
      <c r="Q7" s="9">
        <f>VLOOKUP($A7,'RES installed'!$A$2:$C$7,3,FALSE)*'[1]Profiles, RES, Summer'!Q$5</f>
        <v>12.510036130068245</v>
      </c>
      <c r="R7" s="9">
        <f>VLOOKUP($A7,'RES installed'!$A$2:$C$7,3,FALSE)*'[1]Profiles, RES, Summer'!R$5</f>
        <v>14.786230429546368</v>
      </c>
      <c r="S7" s="9">
        <f>VLOOKUP($A7,'RES installed'!$A$2:$C$7,3,FALSE)*'[1]Profiles, RES, Summer'!S$5</f>
        <v>15.77980730630269</v>
      </c>
      <c r="T7" s="9">
        <f>VLOOKUP($A7,'RES installed'!$A$2:$C$7,3,FALSE)*'[1]Profiles, RES, Summer'!T$5</f>
        <v>16.981132075471699</v>
      </c>
      <c r="U7" s="9">
        <f>VLOOKUP($A7,'RES installed'!$A$2:$C$7,3,FALSE)*'[1]Profiles, RES, Summer'!U$5</f>
        <v>18.914090726615814</v>
      </c>
      <c r="V7" s="9">
        <f>VLOOKUP($A7,'RES installed'!$A$2:$C$7,3,FALSE)*'[1]Profiles, RES, Summer'!V$5</f>
        <v>20.856081894821358</v>
      </c>
      <c r="W7" s="9">
        <f>VLOOKUP($A7,'RES installed'!$A$2:$C$7,3,FALSE)*'[1]Profiles, RES, Summer'!W$5</f>
        <v>21.723203532717786</v>
      </c>
      <c r="X7" s="9">
        <f>VLOOKUP($A7,'RES installed'!$A$2:$C$7,3,FALSE)*'[1]Profiles, RES, Summer'!X$5</f>
        <v>21.822561220393414</v>
      </c>
      <c r="Y7" s="9">
        <f>VLOOKUP($A7,'RES installed'!$A$2:$C$7,3,FALSE)*'[1]Profiles, RES, Summer'!Y$5</f>
        <v>21.0457647531112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0.17058377558756635</v>
      </c>
      <c r="H8" s="6">
        <f>VLOOKUP($A8,'RES installed'!$A$2:$C$7,3,FALSE)*'[1]Profiles, RES, Summer'!H$2</f>
        <v>5.003790750568613</v>
      </c>
      <c r="I8" s="6">
        <f>VLOOKUP($A8,'RES installed'!$A$2:$C$7,3,FALSE)*'[1]Profiles, RES, Summer'!I$2</f>
        <v>20.811220621683095</v>
      </c>
      <c r="J8" s="6">
        <f>VLOOKUP($A8,'RES installed'!$A$2:$C$7,3,FALSE)*'[1]Profiles, RES, Summer'!J$2</f>
        <v>43.100833965125098</v>
      </c>
      <c r="K8" s="6">
        <f>VLOOKUP($A8,'RES installed'!$A$2:$C$7,3,FALSE)*'[1]Profiles, RES, Summer'!K$2</f>
        <v>56.719105382865806</v>
      </c>
      <c r="L8" s="6">
        <f>VLOOKUP($A8,'RES installed'!$A$2:$C$7,3,FALSE)*'[1]Profiles, RES, Summer'!L$2</f>
        <v>65.163002274450335</v>
      </c>
      <c r="M8" s="6">
        <f>VLOOKUP($A8,'RES installed'!$A$2:$C$7,3,FALSE)*'[1]Profiles, RES, Summer'!M$2</f>
        <v>68.97270659590599</v>
      </c>
      <c r="N8" s="6">
        <f>VLOOKUP($A8,'RES installed'!$A$2:$C$7,3,FALSE)*'[1]Profiles, RES, Summer'!N$2</f>
        <v>70.507960576194094</v>
      </c>
      <c r="O8" s="6">
        <f>VLOOKUP($A8,'RES installed'!$A$2:$C$7,3,FALSE)*'[1]Profiles, RES, Summer'!O$2</f>
        <v>70.536391205458685</v>
      </c>
      <c r="P8" s="6">
        <f>VLOOKUP($A8,'RES installed'!$A$2:$C$7,3,FALSE)*'[1]Profiles, RES, Summer'!P$2</f>
        <v>68.119787717968151</v>
      </c>
      <c r="Q8" s="6">
        <f>VLOOKUP($A8,'RES installed'!$A$2:$C$7,3,FALSE)*'[1]Profiles, RES, Summer'!Q$2</f>
        <v>60.585670962850642</v>
      </c>
      <c r="R8" s="6">
        <f>VLOOKUP($A8,'RES installed'!$A$2:$C$7,3,FALSE)*'[1]Profiles, RES, Summer'!R$2</f>
        <v>48.55951478392722</v>
      </c>
      <c r="S8" s="6">
        <f>VLOOKUP($A8,'RES installed'!$A$2:$C$7,3,FALSE)*'[1]Profiles, RES, Summer'!S$2</f>
        <v>31.415845337376801</v>
      </c>
      <c r="T8" s="6">
        <f>VLOOKUP($A8,'RES installed'!$A$2:$C$7,3,FALSE)*'[1]Profiles, RES, Summer'!T$2</f>
        <v>10.945792266868841</v>
      </c>
      <c r="U8" s="6">
        <f>VLOOKUP($A8,'RES installed'!$A$2:$C$7,3,FALSE)*'[1]Profiles, RES, Summer'!U$2</f>
        <v>0.90978013646702049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0.11372251705837756</v>
      </c>
      <c r="H9" s="6">
        <f>VLOOKUP($A9,'RES installed'!$A$2:$C$7,3,FALSE)*'[1]Profiles, RES, Summer'!H$2</f>
        <v>3.3358605003790753</v>
      </c>
      <c r="I9" s="6">
        <f>VLOOKUP($A9,'RES installed'!$A$2:$C$7,3,FALSE)*'[1]Profiles, RES, Summer'!I$2</f>
        <v>13.874147081122063</v>
      </c>
      <c r="J9" s="6">
        <f>VLOOKUP($A9,'RES installed'!$A$2:$C$7,3,FALSE)*'[1]Profiles, RES, Summer'!J$2</f>
        <v>28.733889310083399</v>
      </c>
      <c r="K9" s="6">
        <f>VLOOKUP($A9,'RES installed'!$A$2:$C$7,3,FALSE)*'[1]Profiles, RES, Summer'!K$2</f>
        <v>37.812736921910542</v>
      </c>
      <c r="L9" s="6">
        <f>VLOOKUP($A9,'RES installed'!$A$2:$C$7,3,FALSE)*'[1]Profiles, RES, Summer'!L$2</f>
        <v>43.44200151630023</v>
      </c>
      <c r="M9" s="6">
        <f>VLOOKUP($A9,'RES installed'!$A$2:$C$7,3,FALSE)*'[1]Profiles, RES, Summer'!M$2</f>
        <v>45.981804397270658</v>
      </c>
      <c r="N9" s="6">
        <f>VLOOKUP($A9,'RES installed'!$A$2:$C$7,3,FALSE)*'[1]Profiles, RES, Summer'!N$2</f>
        <v>47.005307050796056</v>
      </c>
      <c r="O9" s="6">
        <f>VLOOKUP($A9,'RES installed'!$A$2:$C$7,3,FALSE)*'[1]Profiles, RES, Summer'!O$2</f>
        <v>47.024260803639123</v>
      </c>
      <c r="P9" s="6">
        <f>VLOOKUP($A9,'RES installed'!$A$2:$C$7,3,FALSE)*'[1]Profiles, RES, Summer'!P$2</f>
        <v>45.41319181197877</v>
      </c>
      <c r="Q9" s="6">
        <f>VLOOKUP($A9,'RES installed'!$A$2:$C$7,3,FALSE)*'[1]Profiles, RES, Summer'!Q$2</f>
        <v>40.390447308567097</v>
      </c>
      <c r="R9" s="6">
        <f>VLOOKUP($A9,'RES installed'!$A$2:$C$7,3,FALSE)*'[1]Profiles, RES, Summer'!R$2</f>
        <v>32.37300985595148</v>
      </c>
      <c r="S9" s="6">
        <f>VLOOKUP($A9,'RES installed'!$A$2:$C$7,3,FALSE)*'[1]Profiles, RES, Summer'!S$2</f>
        <v>20.943896891584536</v>
      </c>
      <c r="T9" s="6">
        <f>VLOOKUP($A9,'RES installed'!$A$2:$C$7,3,FALSE)*'[1]Profiles, RES, Summer'!T$2</f>
        <v>7.2971948445792272</v>
      </c>
      <c r="U9" s="6">
        <f>VLOOKUP($A9,'RES installed'!$A$2:$C$7,3,FALSE)*'[1]Profiles, RES, Summer'!U$2</f>
        <v>0.60652009097801363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0.13646702047005307</v>
      </c>
      <c r="H10" s="6">
        <f>VLOOKUP($A10,'RES installed'!$A$2:$C$7,3,FALSE)*'[1]Profiles, RES, Summer'!H$2</f>
        <v>4.0030326004548904</v>
      </c>
      <c r="I10" s="6">
        <f>VLOOKUP($A10,'RES installed'!$A$2:$C$7,3,FALSE)*'[1]Profiles, RES, Summer'!I$2</f>
        <v>16.648976497346474</v>
      </c>
      <c r="J10" s="6">
        <f>VLOOKUP($A10,'RES installed'!$A$2:$C$7,3,FALSE)*'[1]Profiles, RES, Summer'!J$2</f>
        <v>34.480667172100077</v>
      </c>
      <c r="K10" s="6">
        <f>VLOOKUP($A10,'RES installed'!$A$2:$C$7,3,FALSE)*'[1]Profiles, RES, Summer'!K$2</f>
        <v>45.375284306292649</v>
      </c>
      <c r="L10" s="6">
        <f>VLOOKUP($A10,'RES installed'!$A$2:$C$7,3,FALSE)*'[1]Profiles, RES, Summer'!L$2</f>
        <v>52.130401819560269</v>
      </c>
      <c r="M10" s="6">
        <f>VLOOKUP($A10,'RES installed'!$A$2:$C$7,3,FALSE)*'[1]Profiles, RES, Summer'!M$2</f>
        <v>55.178165276724791</v>
      </c>
      <c r="N10" s="6">
        <f>VLOOKUP($A10,'RES installed'!$A$2:$C$7,3,FALSE)*'[1]Profiles, RES, Summer'!N$2</f>
        <v>56.406368460955271</v>
      </c>
      <c r="O10" s="6">
        <f>VLOOKUP($A10,'RES installed'!$A$2:$C$7,3,FALSE)*'[1]Profiles, RES, Summer'!O$2</f>
        <v>56.429112964366951</v>
      </c>
      <c r="P10" s="6">
        <f>VLOOKUP($A10,'RES installed'!$A$2:$C$7,3,FALSE)*'[1]Profiles, RES, Summer'!P$2</f>
        <v>54.495830174374525</v>
      </c>
      <c r="Q10" s="6">
        <f>VLOOKUP($A10,'RES installed'!$A$2:$C$7,3,FALSE)*'[1]Profiles, RES, Summer'!Q$2</f>
        <v>48.468536770280515</v>
      </c>
      <c r="R10" s="6">
        <f>VLOOKUP($A10,'RES installed'!$A$2:$C$7,3,FALSE)*'[1]Profiles, RES, Summer'!R$2</f>
        <v>38.847611827141776</v>
      </c>
      <c r="S10" s="6">
        <f>VLOOKUP($A10,'RES installed'!$A$2:$C$7,3,FALSE)*'[1]Profiles, RES, Summer'!S$2</f>
        <v>25.132676269901442</v>
      </c>
      <c r="T10" s="6">
        <f>VLOOKUP($A10,'RES installed'!$A$2:$C$7,3,FALSE)*'[1]Profiles, RES, Summer'!T$2</f>
        <v>8.756633813495073</v>
      </c>
      <c r="U10" s="6">
        <f>VLOOKUP($A10,'RES installed'!$A$2:$C$7,3,FALSE)*'[1]Profiles, RES, Summer'!U$2</f>
        <v>0.7278241091736164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C413D-0BEB-471A-B6EA-DAA8F8928291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12.826174227217987</v>
      </c>
      <c r="C5" s="9">
        <f>VLOOKUP($A5,'RES installed'!$A$2:$C$7,3,FALSE)*'[1]Profiles, RES, Summer'!C$6</f>
        <v>11.913890004014451</v>
      </c>
      <c r="D5" s="9">
        <f>VLOOKUP($A5,'RES installed'!$A$2:$C$7,3,FALSE)*'[1]Profiles, RES, Summer'!D$6</f>
        <v>12.112605379365716</v>
      </c>
      <c r="E5" s="9">
        <f>VLOOKUP($A5,'RES installed'!$A$2:$C$7,3,FALSE)*'[1]Profiles, RES, Summer'!E$6</f>
        <v>10.947410678442393</v>
      </c>
      <c r="F5" s="9">
        <f>VLOOKUP($A5,'RES installed'!$A$2:$C$7,3,FALSE)*'[1]Profiles, RES, Summer'!F$6</f>
        <v>10.242874347651545</v>
      </c>
      <c r="G5" s="9">
        <f>VLOOKUP($A5,'RES installed'!$A$2:$C$7,3,FALSE)*'[1]Profiles, RES, Summer'!G$6</f>
        <v>10.875150541951024</v>
      </c>
      <c r="H5" s="9">
        <f>VLOOKUP($A5,'RES installed'!$A$2:$C$7,3,FALSE)*'[1]Profiles, RES, Summer'!H$6</f>
        <v>10.757727820152549</v>
      </c>
      <c r="I5" s="9">
        <f>VLOOKUP($A5,'RES installed'!$A$2:$C$7,3,FALSE)*'[1]Profiles, RES, Summer'!I$6</f>
        <v>7.9305499799277399</v>
      </c>
      <c r="J5" s="9">
        <f>VLOOKUP($A5,'RES installed'!$A$2:$C$7,3,FALSE)*'[1]Profiles, RES, Summer'!J$6</f>
        <v>5.0762745885186673</v>
      </c>
      <c r="K5" s="9">
        <f>VLOOKUP($A5,'RES installed'!$A$2:$C$7,3,FALSE)*'[1]Profiles, RES, Summer'!K$6</f>
        <v>3.6942994781212364</v>
      </c>
      <c r="L5" s="9">
        <f>VLOOKUP($A5,'RES installed'!$A$2:$C$7,3,FALSE)*'[1]Profiles, RES, Summer'!L$6</f>
        <v>2.7910477719791249</v>
      </c>
      <c r="M5" s="9">
        <f>VLOOKUP($A5,'RES installed'!$A$2:$C$7,3,FALSE)*'[1]Profiles, RES, Summer'!M$6</f>
        <v>2.6194299478121237</v>
      </c>
      <c r="N5" s="9">
        <f>VLOOKUP($A5,'RES installed'!$A$2:$C$7,3,FALSE)*'[1]Profiles, RES, Summer'!N$6</f>
        <v>3.2788036932958651</v>
      </c>
      <c r="O5" s="9">
        <f>VLOOKUP($A5,'RES installed'!$A$2:$C$7,3,FALSE)*'[1]Profiles, RES, Summer'!O$6</f>
        <v>4.2543155359293454</v>
      </c>
      <c r="P5" s="9">
        <f>VLOOKUP($A5,'RES installed'!$A$2:$C$7,3,FALSE)*'[1]Profiles, RES, Summer'!P$6</f>
        <v>6.0608189482135693</v>
      </c>
      <c r="Q5" s="9">
        <f>VLOOKUP($A5,'RES installed'!$A$2:$C$7,3,FALSE)*'[1]Profiles, RES, Summer'!Q$6</f>
        <v>7.6505419510236852</v>
      </c>
      <c r="R5" s="9">
        <f>VLOOKUP($A5,'RES installed'!$A$2:$C$7,3,FALSE)*'[1]Profiles, RES, Summer'!R$6</f>
        <v>9.1589723002810111</v>
      </c>
      <c r="S5" s="9">
        <f>VLOOKUP($A5,'RES installed'!$A$2:$C$7,3,FALSE)*'[1]Profiles, RES, Summer'!S$6</f>
        <v>9.7822159775190691</v>
      </c>
      <c r="T5" s="9">
        <f>VLOOKUP($A5,'RES installed'!$A$2:$C$7,3,FALSE)*'[1]Profiles, RES, Summer'!T$6</f>
        <v>9.3034925732637497</v>
      </c>
      <c r="U5" s="9">
        <f>VLOOKUP($A5,'RES installed'!$A$2:$C$7,3,FALSE)*'[1]Profiles, RES, Summer'!U$6</f>
        <v>9.0234845443596949</v>
      </c>
      <c r="V5" s="9">
        <f>VLOOKUP($A5,'RES installed'!$A$2:$C$7,3,FALSE)*'[1]Profiles, RES, Summer'!V$6</f>
        <v>9.0505820955439589</v>
      </c>
      <c r="W5" s="9">
        <f>VLOOKUP($A5,'RES installed'!$A$2:$C$7,3,FALSE)*'[1]Profiles, RES, Summer'!W$6</f>
        <v>8.3189482135688468</v>
      </c>
      <c r="X5" s="9">
        <f>VLOOKUP($A5,'RES installed'!$A$2:$C$7,3,FALSE)*'[1]Profiles, RES, Summer'!X$6</f>
        <v>7.7137695704536338</v>
      </c>
      <c r="Y5" s="9">
        <f>VLOOKUP($A5,'RES installed'!$A$2:$C$7,3,FALSE)*'[1]Profiles, RES, Summer'!Y$6</f>
        <v>7.8492573263749499</v>
      </c>
    </row>
    <row r="6" spans="1:25" x14ac:dyDescent="0.3">
      <c r="A6" s="8">
        <v>5</v>
      </c>
      <c r="B6" s="9">
        <f>VLOOKUP($A6,'RES installed'!$A$2:$C$7,3,FALSE)*'[1]Profiles, RES, Summer'!B$6</f>
        <v>17.101565636290648</v>
      </c>
      <c r="C6" s="9">
        <f>VLOOKUP($A6,'RES installed'!$A$2:$C$7,3,FALSE)*'[1]Profiles, RES, Summer'!C$6</f>
        <v>15.885186672019268</v>
      </c>
      <c r="D6" s="9">
        <f>VLOOKUP($A6,'RES installed'!$A$2:$C$7,3,FALSE)*'[1]Profiles, RES, Summer'!D$6</f>
        <v>16.150140505820954</v>
      </c>
      <c r="E6" s="9">
        <f>VLOOKUP($A6,'RES installed'!$A$2:$C$7,3,FALSE)*'[1]Profiles, RES, Summer'!E$6</f>
        <v>14.596547571256524</v>
      </c>
      <c r="F6" s="9">
        <f>VLOOKUP($A6,'RES installed'!$A$2:$C$7,3,FALSE)*'[1]Profiles, RES, Summer'!F$6</f>
        <v>13.657165796868727</v>
      </c>
      <c r="G6" s="9">
        <f>VLOOKUP($A6,'RES installed'!$A$2:$C$7,3,FALSE)*'[1]Profiles, RES, Summer'!G$6</f>
        <v>14.500200722601365</v>
      </c>
      <c r="H6" s="9">
        <f>VLOOKUP($A6,'RES installed'!$A$2:$C$7,3,FALSE)*'[1]Profiles, RES, Summer'!H$6</f>
        <v>14.343637093536731</v>
      </c>
      <c r="I6" s="9">
        <f>VLOOKUP($A6,'RES installed'!$A$2:$C$7,3,FALSE)*'[1]Profiles, RES, Summer'!I$6</f>
        <v>10.574066639903654</v>
      </c>
      <c r="J6" s="9">
        <f>VLOOKUP($A6,'RES installed'!$A$2:$C$7,3,FALSE)*'[1]Profiles, RES, Summer'!J$6</f>
        <v>6.7683661180248897</v>
      </c>
      <c r="K6" s="9">
        <f>VLOOKUP($A6,'RES installed'!$A$2:$C$7,3,FALSE)*'[1]Profiles, RES, Summer'!K$6</f>
        <v>4.9257326374949812</v>
      </c>
      <c r="L6" s="9">
        <f>VLOOKUP($A6,'RES installed'!$A$2:$C$7,3,FALSE)*'[1]Profiles, RES, Summer'!L$6</f>
        <v>3.7213970293054994</v>
      </c>
      <c r="M6" s="9">
        <f>VLOOKUP($A6,'RES installed'!$A$2:$C$7,3,FALSE)*'[1]Profiles, RES, Summer'!M$6</f>
        <v>3.4925732637494979</v>
      </c>
      <c r="N6" s="9">
        <f>VLOOKUP($A6,'RES installed'!$A$2:$C$7,3,FALSE)*'[1]Profiles, RES, Summer'!N$6</f>
        <v>4.3717382577278201</v>
      </c>
      <c r="O6" s="9">
        <f>VLOOKUP($A6,'RES installed'!$A$2:$C$7,3,FALSE)*'[1]Profiles, RES, Summer'!O$6</f>
        <v>5.6724207145724606</v>
      </c>
      <c r="P6" s="9">
        <f>VLOOKUP($A6,'RES installed'!$A$2:$C$7,3,FALSE)*'[1]Profiles, RES, Summer'!P$6</f>
        <v>8.0810919309514251</v>
      </c>
      <c r="Q6" s="9">
        <f>VLOOKUP($A6,'RES installed'!$A$2:$C$7,3,FALSE)*'[1]Profiles, RES, Summer'!Q$6</f>
        <v>10.200722601364912</v>
      </c>
      <c r="R6" s="9">
        <f>VLOOKUP($A6,'RES installed'!$A$2:$C$7,3,FALSE)*'[1]Profiles, RES, Summer'!R$6</f>
        <v>12.211963067041349</v>
      </c>
      <c r="S6" s="9">
        <f>VLOOKUP($A6,'RES installed'!$A$2:$C$7,3,FALSE)*'[1]Profiles, RES, Summer'!S$6</f>
        <v>13.042954636692093</v>
      </c>
      <c r="T6" s="9">
        <f>VLOOKUP($A6,'RES installed'!$A$2:$C$7,3,FALSE)*'[1]Profiles, RES, Summer'!T$6</f>
        <v>12.404656764351666</v>
      </c>
      <c r="U6" s="9">
        <f>VLOOKUP($A6,'RES installed'!$A$2:$C$7,3,FALSE)*'[1]Profiles, RES, Summer'!U$6</f>
        <v>12.031312725812926</v>
      </c>
      <c r="V6" s="9">
        <f>VLOOKUP($A6,'RES installed'!$A$2:$C$7,3,FALSE)*'[1]Profiles, RES, Summer'!V$6</f>
        <v>12.067442794058611</v>
      </c>
      <c r="W6" s="9">
        <f>VLOOKUP($A6,'RES installed'!$A$2:$C$7,3,FALSE)*'[1]Profiles, RES, Summer'!W$6</f>
        <v>11.09193095142513</v>
      </c>
      <c r="X6" s="9">
        <f>VLOOKUP($A6,'RES installed'!$A$2:$C$7,3,FALSE)*'[1]Profiles, RES, Summer'!X$6</f>
        <v>10.285026093938178</v>
      </c>
      <c r="Y6" s="9">
        <f>VLOOKUP($A6,'RES installed'!$A$2:$C$7,3,FALSE)*'[1]Profiles, RES, Summer'!Y$6</f>
        <v>10.4656764351666</v>
      </c>
    </row>
    <row r="7" spans="1:25" x14ac:dyDescent="0.3">
      <c r="A7" s="8">
        <v>6</v>
      </c>
      <c r="B7" s="9">
        <f>VLOOKUP($A7,'RES installed'!$A$2:$C$7,3,FALSE)*'[1]Profiles, RES, Summer'!B$6</f>
        <v>12.826174227217987</v>
      </c>
      <c r="C7" s="9">
        <f>VLOOKUP($A7,'RES installed'!$A$2:$C$7,3,FALSE)*'[1]Profiles, RES, Summer'!C$6</f>
        <v>11.913890004014451</v>
      </c>
      <c r="D7" s="9">
        <f>VLOOKUP($A7,'RES installed'!$A$2:$C$7,3,FALSE)*'[1]Profiles, RES, Summer'!D$6</f>
        <v>12.112605379365716</v>
      </c>
      <c r="E7" s="9">
        <f>VLOOKUP($A7,'RES installed'!$A$2:$C$7,3,FALSE)*'[1]Profiles, RES, Summer'!E$6</f>
        <v>10.947410678442393</v>
      </c>
      <c r="F7" s="9">
        <f>VLOOKUP($A7,'RES installed'!$A$2:$C$7,3,FALSE)*'[1]Profiles, RES, Summer'!F$6</f>
        <v>10.242874347651545</v>
      </c>
      <c r="G7" s="9">
        <f>VLOOKUP($A7,'RES installed'!$A$2:$C$7,3,FALSE)*'[1]Profiles, RES, Summer'!G$6</f>
        <v>10.875150541951024</v>
      </c>
      <c r="H7" s="9">
        <f>VLOOKUP($A7,'RES installed'!$A$2:$C$7,3,FALSE)*'[1]Profiles, RES, Summer'!H$6</f>
        <v>10.757727820152549</v>
      </c>
      <c r="I7" s="9">
        <f>VLOOKUP($A7,'RES installed'!$A$2:$C$7,3,FALSE)*'[1]Profiles, RES, Summer'!I$6</f>
        <v>7.9305499799277399</v>
      </c>
      <c r="J7" s="9">
        <f>VLOOKUP($A7,'RES installed'!$A$2:$C$7,3,FALSE)*'[1]Profiles, RES, Summer'!J$6</f>
        <v>5.0762745885186673</v>
      </c>
      <c r="K7" s="9">
        <f>VLOOKUP($A7,'RES installed'!$A$2:$C$7,3,FALSE)*'[1]Profiles, RES, Summer'!K$6</f>
        <v>3.6942994781212364</v>
      </c>
      <c r="L7" s="9">
        <f>VLOOKUP($A7,'RES installed'!$A$2:$C$7,3,FALSE)*'[1]Profiles, RES, Summer'!L$6</f>
        <v>2.7910477719791249</v>
      </c>
      <c r="M7" s="9">
        <f>VLOOKUP($A7,'RES installed'!$A$2:$C$7,3,FALSE)*'[1]Profiles, RES, Summer'!M$6</f>
        <v>2.6194299478121237</v>
      </c>
      <c r="N7" s="9">
        <f>VLOOKUP($A7,'RES installed'!$A$2:$C$7,3,FALSE)*'[1]Profiles, RES, Summer'!N$6</f>
        <v>3.2788036932958651</v>
      </c>
      <c r="O7" s="9">
        <f>VLOOKUP($A7,'RES installed'!$A$2:$C$7,3,FALSE)*'[1]Profiles, RES, Summer'!O$6</f>
        <v>4.2543155359293454</v>
      </c>
      <c r="P7" s="9">
        <f>VLOOKUP($A7,'RES installed'!$A$2:$C$7,3,FALSE)*'[1]Profiles, RES, Summer'!P$6</f>
        <v>6.0608189482135693</v>
      </c>
      <c r="Q7" s="9">
        <f>VLOOKUP($A7,'RES installed'!$A$2:$C$7,3,FALSE)*'[1]Profiles, RES, Summer'!Q$6</f>
        <v>7.6505419510236852</v>
      </c>
      <c r="R7" s="9">
        <f>VLOOKUP($A7,'RES installed'!$A$2:$C$7,3,FALSE)*'[1]Profiles, RES, Summer'!R$6</f>
        <v>9.1589723002810111</v>
      </c>
      <c r="S7" s="9">
        <f>VLOOKUP($A7,'RES installed'!$A$2:$C$7,3,FALSE)*'[1]Profiles, RES, Summer'!S$6</f>
        <v>9.7822159775190691</v>
      </c>
      <c r="T7" s="9">
        <f>VLOOKUP($A7,'RES installed'!$A$2:$C$7,3,FALSE)*'[1]Profiles, RES, Summer'!T$6</f>
        <v>9.3034925732637497</v>
      </c>
      <c r="U7" s="9">
        <f>VLOOKUP($A7,'RES installed'!$A$2:$C$7,3,FALSE)*'[1]Profiles, RES, Summer'!U$6</f>
        <v>9.0234845443596949</v>
      </c>
      <c r="V7" s="9">
        <f>VLOOKUP($A7,'RES installed'!$A$2:$C$7,3,FALSE)*'[1]Profiles, RES, Summer'!V$6</f>
        <v>9.0505820955439589</v>
      </c>
      <c r="W7" s="9">
        <f>VLOOKUP($A7,'RES installed'!$A$2:$C$7,3,FALSE)*'[1]Profiles, RES, Summer'!W$6</f>
        <v>8.3189482135688468</v>
      </c>
      <c r="X7" s="9">
        <f>VLOOKUP($A7,'RES installed'!$A$2:$C$7,3,FALSE)*'[1]Profiles, RES, Summer'!X$6</f>
        <v>7.7137695704536338</v>
      </c>
      <c r="Y7" s="9">
        <f>VLOOKUP($A7,'RES installed'!$A$2:$C$7,3,FALSE)*'[1]Profiles, RES, Summer'!Y$6</f>
        <v>7.8492573263749499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0.14215314632297193</v>
      </c>
      <c r="H8" s="6">
        <f>VLOOKUP($A8,'RES installed'!$A$2:$C$7,3,FALSE)*'[1]Profiles, RES, Summer'!H$3</f>
        <v>5.9988627748294157</v>
      </c>
      <c r="I8" s="6">
        <f>VLOOKUP($A8,'RES installed'!$A$2:$C$7,3,FALSE)*'[1]Profiles, RES, Summer'!I$3</f>
        <v>24.137604245640638</v>
      </c>
      <c r="J8" s="6">
        <f>VLOOKUP($A8,'RES installed'!$A$2:$C$7,3,FALSE)*'[1]Profiles, RES, Summer'!J$3</f>
        <v>44.124336618650489</v>
      </c>
      <c r="K8" s="6">
        <f>VLOOKUP($A8,'RES installed'!$A$2:$C$7,3,FALSE)*'[1]Profiles, RES, Summer'!K$3</f>
        <v>58.026914329037155</v>
      </c>
      <c r="L8" s="6">
        <f>VLOOKUP($A8,'RES installed'!$A$2:$C$7,3,FALSE)*'[1]Profiles, RES, Summer'!L$3</f>
        <v>67.494313874147082</v>
      </c>
      <c r="M8" s="6">
        <f>VLOOKUP($A8,'RES installed'!$A$2:$C$7,3,FALSE)*'[1]Profiles, RES, Summer'!M$3</f>
        <v>70.991281273692195</v>
      </c>
      <c r="N8" s="6">
        <f>VLOOKUP($A8,'RES installed'!$A$2:$C$7,3,FALSE)*'[1]Profiles, RES, Summer'!N$3</f>
        <v>71.190295678544345</v>
      </c>
      <c r="O8" s="6">
        <f>VLOOKUP($A8,'RES installed'!$A$2:$C$7,3,FALSE)*'[1]Profiles, RES, Summer'!O$3</f>
        <v>69.683472327520846</v>
      </c>
      <c r="P8" s="6">
        <f>VLOOKUP($A8,'RES installed'!$A$2:$C$7,3,FALSE)*'[1]Profiles, RES, Summer'!P$3</f>
        <v>67.465883244882491</v>
      </c>
      <c r="Q8" s="6">
        <f>VLOOKUP($A8,'RES installed'!$A$2:$C$7,3,FALSE)*'[1]Profiles, RES, Summer'!Q$3</f>
        <v>60.187642153146321</v>
      </c>
      <c r="R8" s="6">
        <f>VLOOKUP($A8,'RES installed'!$A$2:$C$7,3,FALSE)*'[1]Profiles, RES, Summer'!R$3</f>
        <v>48.332069749810465</v>
      </c>
      <c r="S8" s="6">
        <f>VLOOKUP($A8,'RES installed'!$A$2:$C$7,3,FALSE)*'[1]Profiles, RES, Summer'!S$3</f>
        <v>30.30705079605762</v>
      </c>
      <c r="T8" s="6">
        <f>VLOOKUP($A8,'RES installed'!$A$2:$C$7,3,FALSE)*'[1]Profiles, RES, Summer'!T$3</f>
        <v>9.8654283548142523</v>
      </c>
      <c r="U8" s="6">
        <f>VLOOKUP($A8,'RES installed'!$A$2:$C$7,3,FALSE)*'[1]Profiles, RES, Summer'!U$3</f>
        <v>0.65390447308567101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9.4768764215314633E-2</v>
      </c>
      <c r="H9" s="6">
        <f>VLOOKUP($A9,'RES installed'!$A$2:$C$7,3,FALSE)*'[1]Profiles, RES, Summer'!H$3</f>
        <v>3.9992418498862774</v>
      </c>
      <c r="I9" s="6">
        <f>VLOOKUP($A9,'RES installed'!$A$2:$C$7,3,FALSE)*'[1]Profiles, RES, Summer'!I$3</f>
        <v>16.091736163760427</v>
      </c>
      <c r="J9" s="6">
        <f>VLOOKUP($A9,'RES installed'!$A$2:$C$7,3,FALSE)*'[1]Profiles, RES, Summer'!J$3</f>
        <v>29.41622441243366</v>
      </c>
      <c r="K9" s="6">
        <f>VLOOKUP($A9,'RES installed'!$A$2:$C$7,3,FALSE)*'[1]Profiles, RES, Summer'!K$3</f>
        <v>38.684609552691434</v>
      </c>
      <c r="L9" s="6">
        <f>VLOOKUP($A9,'RES installed'!$A$2:$C$7,3,FALSE)*'[1]Profiles, RES, Summer'!L$3</f>
        <v>44.996209249431388</v>
      </c>
      <c r="M9" s="6">
        <f>VLOOKUP($A9,'RES installed'!$A$2:$C$7,3,FALSE)*'[1]Profiles, RES, Summer'!M$3</f>
        <v>47.327520849128128</v>
      </c>
      <c r="N9" s="6">
        <f>VLOOKUP($A9,'RES installed'!$A$2:$C$7,3,FALSE)*'[1]Profiles, RES, Summer'!N$3</f>
        <v>47.460197119029566</v>
      </c>
      <c r="O9" s="6">
        <f>VLOOKUP($A9,'RES installed'!$A$2:$C$7,3,FALSE)*'[1]Profiles, RES, Summer'!O$3</f>
        <v>46.455648218347235</v>
      </c>
      <c r="P9" s="6">
        <f>VLOOKUP($A9,'RES installed'!$A$2:$C$7,3,FALSE)*'[1]Profiles, RES, Summer'!P$3</f>
        <v>44.977255496588327</v>
      </c>
      <c r="Q9" s="6">
        <f>VLOOKUP($A9,'RES installed'!$A$2:$C$7,3,FALSE)*'[1]Profiles, RES, Summer'!Q$3</f>
        <v>40.125094768764214</v>
      </c>
      <c r="R9" s="6">
        <f>VLOOKUP($A9,'RES installed'!$A$2:$C$7,3,FALSE)*'[1]Profiles, RES, Summer'!R$3</f>
        <v>32.221379833206974</v>
      </c>
      <c r="S9" s="6">
        <f>VLOOKUP($A9,'RES installed'!$A$2:$C$7,3,FALSE)*'[1]Profiles, RES, Summer'!S$3</f>
        <v>20.204700530705079</v>
      </c>
      <c r="T9" s="6">
        <f>VLOOKUP($A9,'RES installed'!$A$2:$C$7,3,FALSE)*'[1]Profiles, RES, Summer'!T$3</f>
        <v>6.5769522365428355</v>
      </c>
      <c r="U9" s="6">
        <f>VLOOKUP($A9,'RES installed'!$A$2:$C$7,3,FALSE)*'[1]Profiles, RES, Summer'!U$3</f>
        <v>0.4359363153904473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0.11372251705837756</v>
      </c>
      <c r="H10" s="6">
        <f>VLOOKUP($A10,'RES installed'!$A$2:$C$7,3,FALSE)*'[1]Profiles, RES, Summer'!H$3</f>
        <v>4.7990902198635323</v>
      </c>
      <c r="I10" s="6">
        <f>VLOOKUP($A10,'RES installed'!$A$2:$C$7,3,FALSE)*'[1]Profiles, RES, Summer'!I$3</f>
        <v>19.31008339651251</v>
      </c>
      <c r="J10" s="6">
        <f>VLOOKUP($A10,'RES installed'!$A$2:$C$7,3,FALSE)*'[1]Profiles, RES, Summer'!J$3</f>
        <v>35.299469294920392</v>
      </c>
      <c r="K10" s="6">
        <f>VLOOKUP($A10,'RES installed'!$A$2:$C$7,3,FALSE)*'[1]Profiles, RES, Summer'!K$3</f>
        <v>46.421531463229719</v>
      </c>
      <c r="L10" s="6">
        <f>VLOOKUP($A10,'RES installed'!$A$2:$C$7,3,FALSE)*'[1]Profiles, RES, Summer'!L$3</f>
        <v>53.995451099317663</v>
      </c>
      <c r="M10" s="6">
        <f>VLOOKUP($A10,'RES installed'!$A$2:$C$7,3,FALSE)*'[1]Profiles, RES, Summer'!M$3</f>
        <v>56.793025018953756</v>
      </c>
      <c r="N10" s="6">
        <f>VLOOKUP($A10,'RES installed'!$A$2:$C$7,3,FALSE)*'[1]Profiles, RES, Summer'!N$3</f>
        <v>56.952236542835479</v>
      </c>
      <c r="O10" s="6">
        <f>VLOOKUP($A10,'RES installed'!$A$2:$C$7,3,FALSE)*'[1]Profiles, RES, Summer'!O$3</f>
        <v>55.746777862016678</v>
      </c>
      <c r="P10" s="6">
        <f>VLOOKUP($A10,'RES installed'!$A$2:$C$7,3,FALSE)*'[1]Profiles, RES, Summer'!P$3</f>
        <v>53.97270659590599</v>
      </c>
      <c r="Q10" s="6">
        <f>VLOOKUP($A10,'RES installed'!$A$2:$C$7,3,FALSE)*'[1]Profiles, RES, Summer'!Q$3</f>
        <v>48.150113722517055</v>
      </c>
      <c r="R10" s="6">
        <f>VLOOKUP($A10,'RES installed'!$A$2:$C$7,3,FALSE)*'[1]Profiles, RES, Summer'!R$3</f>
        <v>38.665655799848373</v>
      </c>
      <c r="S10" s="6">
        <f>VLOOKUP($A10,'RES installed'!$A$2:$C$7,3,FALSE)*'[1]Profiles, RES, Summer'!S$3</f>
        <v>24.245640636846097</v>
      </c>
      <c r="T10" s="6">
        <f>VLOOKUP($A10,'RES installed'!$A$2:$C$7,3,FALSE)*'[1]Profiles, RES, Summer'!T$3</f>
        <v>7.8923426838514024</v>
      </c>
      <c r="U10" s="6">
        <f>VLOOKUP($A10,'RES installed'!$A$2:$C$7,3,FALSE)*'[1]Profiles, RES, Summer'!U$3</f>
        <v>0.52312357846853674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E476F-F11C-4FAD-8739-487008AFFD05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13.395222802087515</v>
      </c>
      <c r="C5" s="9">
        <f>VLOOKUP($A5,'RES installed'!$A$2:$C$7,3,FALSE)*'[1]Profiles, RES, Summer'!C$7</f>
        <v>12.049377759935769</v>
      </c>
      <c r="D5" s="9">
        <f>VLOOKUP($A5,'RES installed'!$A$2:$C$7,3,FALSE)*'[1]Profiles, RES, Summer'!D$7</f>
        <v>10.062224006423122</v>
      </c>
      <c r="E5" s="9">
        <f>VLOOKUP($A5,'RES installed'!$A$2:$C$7,3,FALSE)*'[1]Profiles, RES, Summer'!E$7</f>
        <v>9.5112404656764351</v>
      </c>
      <c r="F5" s="9">
        <f>VLOOKUP($A5,'RES installed'!$A$2:$C$7,3,FALSE)*'[1]Profiles, RES, Summer'!F$7</f>
        <v>9.3576876756322758</v>
      </c>
      <c r="G5" s="9">
        <f>VLOOKUP($A5,'RES installed'!$A$2:$C$7,3,FALSE)*'[1]Profiles, RES, Summer'!G$7</f>
        <v>10.495784825371336</v>
      </c>
      <c r="H5" s="9">
        <f>VLOOKUP($A5,'RES installed'!$A$2:$C$7,3,FALSE)*'[1]Profiles, RES, Summer'!H$7</f>
        <v>11.570654355680448</v>
      </c>
      <c r="I5" s="9">
        <f>VLOOKUP($A5,'RES installed'!$A$2:$C$7,3,FALSE)*'[1]Profiles, RES, Summer'!I$7</f>
        <v>11.968085106382979</v>
      </c>
      <c r="J5" s="9">
        <f>VLOOKUP($A5,'RES installed'!$A$2:$C$7,3,FALSE)*'[1]Profiles, RES, Summer'!J$7</f>
        <v>9.7280208751505413</v>
      </c>
      <c r="K5" s="9">
        <f>VLOOKUP($A5,'RES installed'!$A$2:$C$7,3,FALSE)*'[1]Profiles, RES, Summer'!K$7</f>
        <v>7.5692492974708951</v>
      </c>
      <c r="L5" s="9">
        <f>VLOOKUP($A5,'RES installed'!$A$2:$C$7,3,FALSE)*'[1]Profiles, RES, Summer'!L$7</f>
        <v>6.8105178643115218</v>
      </c>
      <c r="M5" s="9">
        <f>VLOOKUP($A5,'RES installed'!$A$2:$C$7,3,FALSE)*'[1]Profiles, RES, Summer'!M$7</f>
        <v>6.0788839823364107</v>
      </c>
      <c r="N5" s="9">
        <f>VLOOKUP($A5,'RES installed'!$A$2:$C$7,3,FALSE)*'[1]Profiles, RES, Summer'!N$7</f>
        <v>6.5847049377759941</v>
      </c>
      <c r="O5" s="9">
        <f>VLOOKUP($A5,'RES installed'!$A$2:$C$7,3,FALSE)*'[1]Profiles, RES, Summer'!O$7</f>
        <v>8.7615415495784816</v>
      </c>
      <c r="P5" s="9">
        <f>VLOOKUP($A5,'RES installed'!$A$2:$C$7,3,FALSE)*'[1]Profiles, RES, Summer'!P$7</f>
        <v>11.019670814933761</v>
      </c>
      <c r="Q5" s="9">
        <f>VLOOKUP($A5,'RES installed'!$A$2:$C$7,3,FALSE)*'[1]Profiles, RES, Summer'!Q$7</f>
        <v>11.561621838619029</v>
      </c>
      <c r="R5" s="9">
        <f>VLOOKUP($A5,'RES installed'!$A$2:$C$7,3,FALSE)*'[1]Profiles, RES, Summer'!R$7</f>
        <v>12.482938578883983</v>
      </c>
      <c r="S5" s="9">
        <f>VLOOKUP($A5,'RES installed'!$A$2:$C$7,3,FALSE)*'[1]Profiles, RES, Summer'!S$7</f>
        <v>12.988759534323565</v>
      </c>
      <c r="T5" s="9">
        <f>VLOOKUP($A5,'RES installed'!$A$2:$C$7,3,FALSE)*'[1]Profiles, RES, Summer'!T$7</f>
        <v>13.313930148534725</v>
      </c>
      <c r="U5" s="9">
        <f>VLOOKUP($A5,'RES installed'!$A$2:$C$7,3,FALSE)*'[1]Profiles, RES, Summer'!U$7</f>
        <v>15.255921316740265</v>
      </c>
      <c r="V5" s="9">
        <f>VLOOKUP($A5,'RES installed'!$A$2:$C$7,3,FALSE)*'[1]Profiles, RES, Summer'!V$7</f>
        <v>17.16178241670012</v>
      </c>
      <c r="W5" s="9">
        <f>VLOOKUP($A5,'RES installed'!$A$2:$C$7,3,FALSE)*'[1]Profiles, RES, Summer'!W$7</f>
        <v>16.574668807707749</v>
      </c>
      <c r="X5" s="9">
        <f>VLOOKUP($A5,'RES installed'!$A$2:$C$7,3,FALSE)*'[1]Profiles, RES, Summer'!X$7</f>
        <v>15.6985146527499</v>
      </c>
      <c r="Y5" s="9">
        <f>VLOOKUP($A5,'RES installed'!$A$2:$C$7,3,FALSE)*'[1]Profiles, RES, Summer'!Y$7</f>
        <v>15.418506623845845</v>
      </c>
    </row>
    <row r="6" spans="1:25" x14ac:dyDescent="0.3">
      <c r="A6" s="8">
        <v>5</v>
      </c>
      <c r="B6" s="9">
        <f>VLOOKUP($A6,'RES installed'!$A$2:$C$7,3,FALSE)*'[1]Profiles, RES, Summer'!B$7</f>
        <v>17.86029706945002</v>
      </c>
      <c r="C6" s="9">
        <f>VLOOKUP($A6,'RES installed'!$A$2:$C$7,3,FALSE)*'[1]Profiles, RES, Summer'!C$7</f>
        <v>16.065837013247691</v>
      </c>
      <c r="D6" s="9">
        <f>VLOOKUP($A6,'RES installed'!$A$2:$C$7,3,FALSE)*'[1]Profiles, RES, Summer'!D$7</f>
        <v>13.416298675230831</v>
      </c>
      <c r="E6" s="9">
        <f>VLOOKUP($A6,'RES installed'!$A$2:$C$7,3,FALSE)*'[1]Profiles, RES, Summer'!E$7</f>
        <v>12.681653954235248</v>
      </c>
      <c r="F6" s="9">
        <f>VLOOKUP($A6,'RES installed'!$A$2:$C$7,3,FALSE)*'[1]Profiles, RES, Summer'!F$7</f>
        <v>12.476916900843035</v>
      </c>
      <c r="G6" s="9">
        <f>VLOOKUP($A6,'RES installed'!$A$2:$C$7,3,FALSE)*'[1]Profiles, RES, Summer'!G$7</f>
        <v>13.994379767161782</v>
      </c>
      <c r="H6" s="9">
        <f>VLOOKUP($A6,'RES installed'!$A$2:$C$7,3,FALSE)*'[1]Profiles, RES, Summer'!H$7</f>
        <v>15.427539140907264</v>
      </c>
      <c r="I6" s="9">
        <f>VLOOKUP($A6,'RES installed'!$A$2:$C$7,3,FALSE)*'[1]Profiles, RES, Summer'!I$7</f>
        <v>15.957446808510639</v>
      </c>
      <c r="J6" s="9">
        <f>VLOOKUP($A6,'RES installed'!$A$2:$C$7,3,FALSE)*'[1]Profiles, RES, Summer'!J$7</f>
        <v>12.970694500200722</v>
      </c>
      <c r="K6" s="9">
        <f>VLOOKUP($A6,'RES installed'!$A$2:$C$7,3,FALSE)*'[1]Profiles, RES, Summer'!K$7</f>
        <v>10.09233239662786</v>
      </c>
      <c r="L6" s="9">
        <f>VLOOKUP($A6,'RES installed'!$A$2:$C$7,3,FALSE)*'[1]Profiles, RES, Summer'!L$7</f>
        <v>9.0806904857486952</v>
      </c>
      <c r="M6" s="9">
        <f>VLOOKUP($A6,'RES installed'!$A$2:$C$7,3,FALSE)*'[1]Profiles, RES, Summer'!M$7</f>
        <v>8.1051786431152131</v>
      </c>
      <c r="N6" s="9">
        <f>VLOOKUP($A6,'RES installed'!$A$2:$C$7,3,FALSE)*'[1]Profiles, RES, Summer'!N$7</f>
        <v>8.7796065837013249</v>
      </c>
      <c r="O6" s="9">
        <f>VLOOKUP($A6,'RES installed'!$A$2:$C$7,3,FALSE)*'[1]Profiles, RES, Summer'!O$7</f>
        <v>11.682055399437976</v>
      </c>
      <c r="P6" s="9">
        <f>VLOOKUP($A6,'RES installed'!$A$2:$C$7,3,FALSE)*'[1]Profiles, RES, Summer'!P$7</f>
        <v>14.692894419911681</v>
      </c>
      <c r="Q6" s="9">
        <f>VLOOKUP($A6,'RES installed'!$A$2:$C$7,3,FALSE)*'[1]Profiles, RES, Summer'!Q$7</f>
        <v>15.415495784825371</v>
      </c>
      <c r="R6" s="9">
        <f>VLOOKUP($A6,'RES installed'!$A$2:$C$7,3,FALSE)*'[1]Profiles, RES, Summer'!R$7</f>
        <v>16.643918105178646</v>
      </c>
      <c r="S6" s="9">
        <f>VLOOKUP($A6,'RES installed'!$A$2:$C$7,3,FALSE)*'[1]Profiles, RES, Summer'!S$7</f>
        <v>17.318346045764756</v>
      </c>
      <c r="T6" s="9">
        <f>VLOOKUP($A6,'RES installed'!$A$2:$C$7,3,FALSE)*'[1]Profiles, RES, Summer'!T$7</f>
        <v>17.751906864712968</v>
      </c>
      <c r="U6" s="9">
        <f>VLOOKUP($A6,'RES installed'!$A$2:$C$7,3,FALSE)*'[1]Profiles, RES, Summer'!U$7</f>
        <v>20.341228422320352</v>
      </c>
      <c r="V6" s="9">
        <f>VLOOKUP($A6,'RES installed'!$A$2:$C$7,3,FALSE)*'[1]Profiles, RES, Summer'!V$7</f>
        <v>22.88237655560016</v>
      </c>
      <c r="W6" s="9">
        <f>VLOOKUP($A6,'RES installed'!$A$2:$C$7,3,FALSE)*'[1]Profiles, RES, Summer'!W$7</f>
        <v>22.099558410276995</v>
      </c>
      <c r="X6" s="9">
        <f>VLOOKUP($A6,'RES installed'!$A$2:$C$7,3,FALSE)*'[1]Profiles, RES, Summer'!X$7</f>
        <v>20.9313528703332</v>
      </c>
      <c r="Y6" s="9">
        <f>VLOOKUP($A6,'RES installed'!$A$2:$C$7,3,FALSE)*'[1]Profiles, RES, Summer'!Y$7</f>
        <v>20.55800883179446</v>
      </c>
    </row>
    <row r="7" spans="1:25" x14ac:dyDescent="0.3">
      <c r="A7" s="8">
        <v>6</v>
      </c>
      <c r="B7" s="9">
        <f>VLOOKUP($A7,'RES installed'!$A$2:$C$7,3,FALSE)*'[1]Profiles, RES, Summer'!B$7</f>
        <v>13.395222802087515</v>
      </c>
      <c r="C7" s="9">
        <f>VLOOKUP($A7,'RES installed'!$A$2:$C$7,3,FALSE)*'[1]Profiles, RES, Summer'!C$7</f>
        <v>12.049377759935769</v>
      </c>
      <c r="D7" s="9">
        <f>VLOOKUP($A7,'RES installed'!$A$2:$C$7,3,FALSE)*'[1]Profiles, RES, Summer'!D$7</f>
        <v>10.062224006423122</v>
      </c>
      <c r="E7" s="9">
        <f>VLOOKUP($A7,'RES installed'!$A$2:$C$7,3,FALSE)*'[1]Profiles, RES, Summer'!E$7</f>
        <v>9.5112404656764351</v>
      </c>
      <c r="F7" s="9">
        <f>VLOOKUP($A7,'RES installed'!$A$2:$C$7,3,FALSE)*'[1]Profiles, RES, Summer'!F$7</f>
        <v>9.3576876756322758</v>
      </c>
      <c r="G7" s="9">
        <f>VLOOKUP($A7,'RES installed'!$A$2:$C$7,3,FALSE)*'[1]Profiles, RES, Summer'!G$7</f>
        <v>10.495784825371336</v>
      </c>
      <c r="H7" s="9">
        <f>VLOOKUP($A7,'RES installed'!$A$2:$C$7,3,FALSE)*'[1]Profiles, RES, Summer'!H$7</f>
        <v>11.570654355680448</v>
      </c>
      <c r="I7" s="9">
        <f>VLOOKUP($A7,'RES installed'!$A$2:$C$7,3,FALSE)*'[1]Profiles, RES, Summer'!I$7</f>
        <v>11.968085106382979</v>
      </c>
      <c r="J7" s="9">
        <f>VLOOKUP($A7,'RES installed'!$A$2:$C$7,3,FALSE)*'[1]Profiles, RES, Summer'!J$7</f>
        <v>9.7280208751505413</v>
      </c>
      <c r="K7" s="9">
        <f>VLOOKUP($A7,'RES installed'!$A$2:$C$7,3,FALSE)*'[1]Profiles, RES, Summer'!K$7</f>
        <v>7.5692492974708951</v>
      </c>
      <c r="L7" s="9">
        <f>VLOOKUP($A7,'RES installed'!$A$2:$C$7,3,FALSE)*'[1]Profiles, RES, Summer'!L$7</f>
        <v>6.8105178643115218</v>
      </c>
      <c r="M7" s="9">
        <f>VLOOKUP($A7,'RES installed'!$A$2:$C$7,3,FALSE)*'[1]Profiles, RES, Summer'!M$7</f>
        <v>6.0788839823364107</v>
      </c>
      <c r="N7" s="9">
        <f>VLOOKUP($A7,'RES installed'!$A$2:$C$7,3,FALSE)*'[1]Profiles, RES, Summer'!N$7</f>
        <v>6.5847049377759941</v>
      </c>
      <c r="O7" s="9">
        <f>VLOOKUP($A7,'RES installed'!$A$2:$C$7,3,FALSE)*'[1]Profiles, RES, Summer'!O$7</f>
        <v>8.7615415495784816</v>
      </c>
      <c r="P7" s="9">
        <f>VLOOKUP($A7,'RES installed'!$A$2:$C$7,3,FALSE)*'[1]Profiles, RES, Summer'!P$7</f>
        <v>11.019670814933761</v>
      </c>
      <c r="Q7" s="9">
        <f>VLOOKUP($A7,'RES installed'!$A$2:$C$7,3,FALSE)*'[1]Profiles, RES, Summer'!Q$7</f>
        <v>11.561621838619029</v>
      </c>
      <c r="R7" s="9">
        <f>VLOOKUP($A7,'RES installed'!$A$2:$C$7,3,FALSE)*'[1]Profiles, RES, Summer'!R$7</f>
        <v>12.482938578883983</v>
      </c>
      <c r="S7" s="9">
        <f>VLOOKUP($A7,'RES installed'!$A$2:$C$7,3,FALSE)*'[1]Profiles, RES, Summer'!S$7</f>
        <v>12.988759534323565</v>
      </c>
      <c r="T7" s="9">
        <f>VLOOKUP($A7,'RES installed'!$A$2:$C$7,3,FALSE)*'[1]Profiles, RES, Summer'!T$7</f>
        <v>13.313930148534725</v>
      </c>
      <c r="U7" s="9">
        <f>VLOOKUP($A7,'RES installed'!$A$2:$C$7,3,FALSE)*'[1]Profiles, RES, Summer'!U$7</f>
        <v>15.255921316740265</v>
      </c>
      <c r="V7" s="9">
        <f>VLOOKUP($A7,'RES installed'!$A$2:$C$7,3,FALSE)*'[1]Profiles, RES, Summer'!V$7</f>
        <v>17.16178241670012</v>
      </c>
      <c r="W7" s="9">
        <f>VLOOKUP($A7,'RES installed'!$A$2:$C$7,3,FALSE)*'[1]Profiles, RES, Summer'!W$7</f>
        <v>16.574668807707749</v>
      </c>
      <c r="X7" s="9">
        <f>VLOOKUP($A7,'RES installed'!$A$2:$C$7,3,FALSE)*'[1]Profiles, RES, Summer'!X$7</f>
        <v>15.6985146527499</v>
      </c>
      <c r="Y7" s="9">
        <f>VLOOKUP($A7,'RES installed'!$A$2:$C$7,3,FALSE)*'[1]Profiles, RES, Summer'!Y$7</f>
        <v>15.418506623845845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2.843062926459439E-2</v>
      </c>
      <c r="H8" s="6">
        <f>VLOOKUP($A8,'RES installed'!$A$2:$C$7,3,FALSE)*'[1]Profiles, RES, Summer'!H$4</f>
        <v>3.49696739954511</v>
      </c>
      <c r="I8" s="6">
        <f>VLOOKUP($A8,'RES installed'!$A$2:$C$7,3,FALSE)*'[1]Profiles, RES, Summer'!I$4</f>
        <v>16.546626231993937</v>
      </c>
      <c r="J8" s="6">
        <f>VLOOKUP($A8,'RES installed'!$A$2:$C$7,3,FALSE)*'[1]Profiles, RES, Summer'!J$4</f>
        <v>36.021607278241092</v>
      </c>
      <c r="K8" s="6">
        <f>VLOOKUP($A8,'RES installed'!$A$2:$C$7,3,FALSE)*'[1]Profiles, RES, Summer'!K$4</f>
        <v>55.610310841546621</v>
      </c>
      <c r="L8" s="6">
        <f>VLOOKUP($A8,'RES installed'!$A$2:$C$7,3,FALSE)*'[1]Profiles, RES, Summer'!L$4</f>
        <v>68.26194086429112</v>
      </c>
      <c r="M8" s="6">
        <f>VLOOKUP($A8,'RES installed'!$A$2:$C$7,3,FALSE)*'[1]Profiles, RES, Summer'!M$4</f>
        <v>73.009855951478386</v>
      </c>
      <c r="N8" s="6">
        <f>VLOOKUP($A8,'RES installed'!$A$2:$C$7,3,FALSE)*'[1]Profiles, RES, Summer'!N$4</f>
        <v>75</v>
      </c>
      <c r="O8" s="6">
        <f>VLOOKUP($A8,'RES installed'!$A$2:$C$7,3,FALSE)*'[1]Profiles, RES, Summer'!O$4</f>
        <v>73.692191053828651</v>
      </c>
      <c r="P8" s="6">
        <f>VLOOKUP($A8,'RES installed'!$A$2:$C$7,3,FALSE)*'[1]Profiles, RES, Summer'!P$4</f>
        <v>69.967778620166797</v>
      </c>
      <c r="Q8" s="6">
        <f>VLOOKUP($A8,'RES installed'!$A$2:$C$7,3,FALSE)*'[1]Profiles, RES, Summer'!Q$4</f>
        <v>61.921910538286582</v>
      </c>
      <c r="R8" s="6">
        <f>VLOOKUP($A8,'RES installed'!$A$2:$C$7,3,FALSE)*'[1]Profiles, RES, Summer'!R$4</f>
        <v>48.644806671721</v>
      </c>
      <c r="S8" s="6">
        <f>VLOOKUP($A8,'RES installed'!$A$2:$C$7,3,FALSE)*'[1]Profiles, RES, Summer'!S$4</f>
        <v>28.94238059135709</v>
      </c>
      <c r="T8" s="6">
        <f>VLOOKUP($A8,'RES installed'!$A$2:$C$7,3,FALSE)*'[1]Profiles, RES, Summer'!T$4</f>
        <v>8.8419257012888544</v>
      </c>
      <c r="U8" s="6">
        <f>VLOOKUP($A8,'RES installed'!$A$2:$C$7,3,FALSE)*'[1]Profiles, RES, Summer'!U$4</f>
        <v>0.39802880970432147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1.8953752843062926E-2</v>
      </c>
      <c r="H9" s="6">
        <f>VLOOKUP($A9,'RES installed'!$A$2:$C$7,3,FALSE)*'[1]Profiles, RES, Summer'!H$4</f>
        <v>2.3313115996967402</v>
      </c>
      <c r="I9" s="6">
        <f>VLOOKUP($A9,'RES installed'!$A$2:$C$7,3,FALSE)*'[1]Profiles, RES, Summer'!I$4</f>
        <v>11.031084154662624</v>
      </c>
      <c r="J9" s="6">
        <f>VLOOKUP($A9,'RES installed'!$A$2:$C$7,3,FALSE)*'[1]Profiles, RES, Summer'!J$4</f>
        <v>24.014404852160727</v>
      </c>
      <c r="K9" s="6">
        <f>VLOOKUP($A9,'RES installed'!$A$2:$C$7,3,FALSE)*'[1]Profiles, RES, Summer'!K$4</f>
        <v>37.073540561031081</v>
      </c>
      <c r="L9" s="6">
        <f>VLOOKUP($A9,'RES installed'!$A$2:$C$7,3,FALSE)*'[1]Profiles, RES, Summer'!L$4</f>
        <v>45.507960576194087</v>
      </c>
      <c r="M9" s="6">
        <f>VLOOKUP($A9,'RES installed'!$A$2:$C$7,3,FALSE)*'[1]Profiles, RES, Summer'!M$4</f>
        <v>48.673237300985598</v>
      </c>
      <c r="N9" s="6">
        <f>VLOOKUP($A9,'RES installed'!$A$2:$C$7,3,FALSE)*'[1]Profiles, RES, Summer'!N$4</f>
        <v>50</v>
      </c>
      <c r="O9" s="6">
        <f>VLOOKUP($A9,'RES installed'!$A$2:$C$7,3,FALSE)*'[1]Profiles, RES, Summer'!O$4</f>
        <v>49.128127369219108</v>
      </c>
      <c r="P9" s="6">
        <f>VLOOKUP($A9,'RES installed'!$A$2:$C$7,3,FALSE)*'[1]Profiles, RES, Summer'!P$4</f>
        <v>46.645185746777862</v>
      </c>
      <c r="Q9" s="6">
        <f>VLOOKUP($A9,'RES installed'!$A$2:$C$7,3,FALSE)*'[1]Profiles, RES, Summer'!Q$4</f>
        <v>41.281273692191057</v>
      </c>
      <c r="R9" s="6">
        <f>VLOOKUP($A9,'RES installed'!$A$2:$C$7,3,FALSE)*'[1]Profiles, RES, Summer'!R$4</f>
        <v>32.429871114480669</v>
      </c>
      <c r="S9" s="6">
        <f>VLOOKUP($A9,'RES installed'!$A$2:$C$7,3,FALSE)*'[1]Profiles, RES, Summer'!S$4</f>
        <v>19.294920394238062</v>
      </c>
      <c r="T9" s="6">
        <f>VLOOKUP($A9,'RES installed'!$A$2:$C$7,3,FALSE)*'[1]Profiles, RES, Summer'!T$4</f>
        <v>5.8946171341925702</v>
      </c>
      <c r="U9" s="6">
        <f>VLOOKUP($A9,'RES installed'!$A$2:$C$7,3,FALSE)*'[1]Profiles, RES, Summer'!U$4</f>
        <v>0.26535253980288098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2.2744503411675512E-2</v>
      </c>
      <c r="H10" s="6">
        <f>VLOOKUP($A10,'RES installed'!$A$2:$C$7,3,FALSE)*'[1]Profiles, RES, Summer'!H$4</f>
        <v>2.797573919636088</v>
      </c>
      <c r="I10" s="6">
        <f>VLOOKUP($A10,'RES installed'!$A$2:$C$7,3,FALSE)*'[1]Profiles, RES, Summer'!I$4</f>
        <v>13.237300985595148</v>
      </c>
      <c r="J10" s="6">
        <f>VLOOKUP($A10,'RES installed'!$A$2:$C$7,3,FALSE)*'[1]Profiles, RES, Summer'!J$4</f>
        <v>28.817285822592876</v>
      </c>
      <c r="K10" s="6">
        <f>VLOOKUP($A10,'RES installed'!$A$2:$C$7,3,FALSE)*'[1]Profiles, RES, Summer'!K$4</f>
        <v>44.488248673237301</v>
      </c>
      <c r="L10" s="6">
        <f>VLOOKUP($A10,'RES installed'!$A$2:$C$7,3,FALSE)*'[1]Profiles, RES, Summer'!L$4</f>
        <v>54.609552691432903</v>
      </c>
      <c r="M10" s="6">
        <f>VLOOKUP($A10,'RES installed'!$A$2:$C$7,3,FALSE)*'[1]Profiles, RES, Summer'!M$4</f>
        <v>58.407884761182714</v>
      </c>
      <c r="N10" s="6">
        <f>VLOOKUP($A10,'RES installed'!$A$2:$C$7,3,FALSE)*'[1]Profiles, RES, Summer'!N$4</f>
        <v>60</v>
      </c>
      <c r="O10" s="6">
        <f>VLOOKUP($A10,'RES installed'!$A$2:$C$7,3,FALSE)*'[1]Profiles, RES, Summer'!O$4</f>
        <v>58.953752843062922</v>
      </c>
      <c r="P10" s="6">
        <f>VLOOKUP($A10,'RES installed'!$A$2:$C$7,3,FALSE)*'[1]Profiles, RES, Summer'!P$4</f>
        <v>55.974222896133433</v>
      </c>
      <c r="Q10" s="6">
        <f>VLOOKUP($A10,'RES installed'!$A$2:$C$7,3,FALSE)*'[1]Profiles, RES, Summer'!Q$4</f>
        <v>49.537528430629266</v>
      </c>
      <c r="R10" s="6">
        <f>VLOOKUP($A10,'RES installed'!$A$2:$C$7,3,FALSE)*'[1]Profiles, RES, Summer'!R$4</f>
        <v>38.915845337376801</v>
      </c>
      <c r="S10" s="6">
        <f>VLOOKUP($A10,'RES installed'!$A$2:$C$7,3,FALSE)*'[1]Profiles, RES, Summer'!S$4</f>
        <v>23.153904473085671</v>
      </c>
      <c r="T10" s="6">
        <f>VLOOKUP($A10,'RES installed'!$A$2:$C$7,3,FALSE)*'[1]Profiles, RES, Summer'!T$4</f>
        <v>7.0735405610310842</v>
      </c>
      <c r="U10" s="6">
        <f>VLOOKUP($A10,'RES installed'!$A$2:$C$7,3,FALSE)*'[1]Profiles, RES, Summer'!U$4</f>
        <v>0.3184230477634572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2489A-F098-4871-AA5A-66ECC4616607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12.157767964672821</v>
      </c>
      <c r="C5" s="9">
        <f>VLOOKUP($A5,'RES installed'!$A$2:$C$7,3,FALSE)*'[1]Profiles, RES, Summer'!C$5</f>
        <v>11.119028502609394</v>
      </c>
      <c r="D5" s="9">
        <f>VLOOKUP($A5,'RES installed'!$A$2:$C$7,3,FALSE)*'[1]Profiles, RES, Summer'!D$5</f>
        <v>9.7280208751505413</v>
      </c>
      <c r="E5" s="9">
        <f>VLOOKUP($A5,'RES installed'!$A$2:$C$7,3,FALSE)*'[1]Profiles, RES, Summer'!E$5</f>
        <v>9.6918908069048584</v>
      </c>
      <c r="F5" s="9">
        <f>VLOOKUP($A5,'RES installed'!$A$2:$C$7,3,FALSE)*'[1]Profiles, RES, Summer'!F$5</f>
        <v>9.1770373344038543</v>
      </c>
      <c r="G5" s="9">
        <f>VLOOKUP($A5,'RES installed'!$A$2:$C$7,3,FALSE)*'[1]Profiles, RES, Summer'!G$5</f>
        <v>8.4544359694901647</v>
      </c>
      <c r="H5" s="9">
        <f>VLOOKUP($A5,'RES installed'!$A$2:$C$7,3,FALSE)*'[1]Profiles, RES, Summer'!H$5</f>
        <v>7.433761541549579</v>
      </c>
      <c r="I5" s="9">
        <f>VLOOKUP($A5,'RES installed'!$A$2:$C$7,3,FALSE)*'[1]Profiles, RES, Summer'!I$5</f>
        <v>5.8440385387394622</v>
      </c>
      <c r="J5" s="9">
        <f>VLOOKUP($A5,'RES installed'!$A$2:$C$7,3,FALSE)*'[1]Profiles, RES, Summer'!J$5</f>
        <v>4.8594941790445603</v>
      </c>
      <c r="K5" s="9">
        <f>VLOOKUP($A5,'RES installed'!$A$2:$C$7,3,FALSE)*'[1]Profiles, RES, Summer'!K$5</f>
        <v>4.5433560818948218</v>
      </c>
      <c r="L5" s="9">
        <f>VLOOKUP($A5,'RES installed'!$A$2:$C$7,3,FALSE)*'[1]Profiles, RES, Summer'!L$5</f>
        <v>4.182055399437977</v>
      </c>
      <c r="M5" s="9">
        <f>VLOOKUP($A5,'RES installed'!$A$2:$C$7,3,FALSE)*'[1]Profiles, RES, Summer'!M$5</f>
        <v>4.7059413890004018</v>
      </c>
      <c r="N5" s="9">
        <f>VLOOKUP($A5,'RES installed'!$A$2:$C$7,3,FALSE)*'[1]Profiles, RES, Summer'!N$5</f>
        <v>5.9162986752308306</v>
      </c>
      <c r="O5" s="9">
        <f>VLOOKUP($A5,'RES installed'!$A$2:$C$7,3,FALSE)*'[1]Profiles, RES, Summer'!O$5</f>
        <v>7.3434363709353674</v>
      </c>
      <c r="P5" s="9">
        <f>VLOOKUP($A5,'RES installed'!$A$2:$C$7,3,FALSE)*'[1]Profiles, RES, Summer'!P$5</f>
        <v>9.8002810116419106</v>
      </c>
      <c r="Q5" s="9">
        <f>VLOOKUP($A5,'RES installed'!$A$2:$C$7,3,FALSE)*'[1]Profiles, RES, Summer'!Q$5</f>
        <v>12.510036130068245</v>
      </c>
      <c r="R5" s="9">
        <f>VLOOKUP($A5,'RES installed'!$A$2:$C$7,3,FALSE)*'[1]Profiles, RES, Summer'!R$5</f>
        <v>14.786230429546368</v>
      </c>
      <c r="S5" s="9">
        <f>VLOOKUP($A5,'RES installed'!$A$2:$C$7,3,FALSE)*'[1]Profiles, RES, Summer'!S$5</f>
        <v>15.77980730630269</v>
      </c>
      <c r="T5" s="9">
        <f>VLOOKUP($A5,'RES installed'!$A$2:$C$7,3,FALSE)*'[1]Profiles, RES, Summer'!T$5</f>
        <v>16.981132075471699</v>
      </c>
      <c r="U5" s="9">
        <f>VLOOKUP($A5,'RES installed'!$A$2:$C$7,3,FALSE)*'[1]Profiles, RES, Summer'!U$5</f>
        <v>18.914090726615814</v>
      </c>
      <c r="V5" s="9">
        <f>VLOOKUP($A5,'RES installed'!$A$2:$C$7,3,FALSE)*'[1]Profiles, RES, Summer'!V$5</f>
        <v>20.856081894821358</v>
      </c>
      <c r="W5" s="9">
        <f>VLOOKUP($A5,'RES installed'!$A$2:$C$7,3,FALSE)*'[1]Profiles, RES, Summer'!W$5</f>
        <v>21.723203532717786</v>
      </c>
      <c r="X5" s="9">
        <f>VLOOKUP($A5,'RES installed'!$A$2:$C$7,3,FALSE)*'[1]Profiles, RES, Summer'!X$5</f>
        <v>21.822561220393414</v>
      </c>
      <c r="Y5" s="9">
        <f>VLOOKUP($A5,'RES installed'!$A$2:$C$7,3,FALSE)*'[1]Profiles, RES, Summer'!Y$5</f>
        <v>21.0457647531112</v>
      </c>
    </row>
    <row r="6" spans="1:25" x14ac:dyDescent="0.3">
      <c r="A6" s="8">
        <v>5</v>
      </c>
      <c r="B6" s="9">
        <f>VLOOKUP($A6,'RES installed'!$A$2:$C$7,3,FALSE)*'[1]Profiles, RES, Summer'!B$5</f>
        <v>16.210357286230426</v>
      </c>
      <c r="C6" s="9">
        <f>VLOOKUP($A6,'RES installed'!$A$2:$C$7,3,FALSE)*'[1]Profiles, RES, Summer'!C$5</f>
        <v>14.825371336812525</v>
      </c>
      <c r="D6" s="9">
        <f>VLOOKUP($A6,'RES installed'!$A$2:$C$7,3,FALSE)*'[1]Profiles, RES, Summer'!D$5</f>
        <v>12.970694500200722</v>
      </c>
      <c r="E6" s="9">
        <f>VLOOKUP($A6,'RES installed'!$A$2:$C$7,3,FALSE)*'[1]Profiles, RES, Summer'!E$5</f>
        <v>12.922521075873144</v>
      </c>
      <c r="F6" s="9">
        <f>VLOOKUP($A6,'RES installed'!$A$2:$C$7,3,FALSE)*'[1]Profiles, RES, Summer'!F$5</f>
        <v>12.236049779205139</v>
      </c>
      <c r="G6" s="9">
        <f>VLOOKUP($A6,'RES installed'!$A$2:$C$7,3,FALSE)*'[1]Profiles, RES, Summer'!G$5</f>
        <v>11.272581292653554</v>
      </c>
      <c r="H6" s="9">
        <f>VLOOKUP($A6,'RES installed'!$A$2:$C$7,3,FALSE)*'[1]Profiles, RES, Summer'!H$5</f>
        <v>9.9116820553994387</v>
      </c>
      <c r="I6" s="9">
        <f>VLOOKUP($A6,'RES installed'!$A$2:$C$7,3,FALSE)*'[1]Profiles, RES, Summer'!I$5</f>
        <v>7.7920513849859487</v>
      </c>
      <c r="J6" s="9">
        <f>VLOOKUP($A6,'RES installed'!$A$2:$C$7,3,FALSE)*'[1]Profiles, RES, Summer'!J$5</f>
        <v>6.4793255720594134</v>
      </c>
      <c r="K6" s="9">
        <f>VLOOKUP($A6,'RES installed'!$A$2:$C$7,3,FALSE)*'[1]Profiles, RES, Summer'!K$5</f>
        <v>6.0578081091930951</v>
      </c>
      <c r="L6" s="9">
        <f>VLOOKUP($A6,'RES installed'!$A$2:$C$7,3,FALSE)*'[1]Profiles, RES, Summer'!L$5</f>
        <v>5.5760738659173024</v>
      </c>
      <c r="M6" s="9">
        <f>VLOOKUP($A6,'RES installed'!$A$2:$C$7,3,FALSE)*'[1]Profiles, RES, Summer'!M$5</f>
        <v>6.2745885186672021</v>
      </c>
      <c r="N6" s="9">
        <f>VLOOKUP($A6,'RES installed'!$A$2:$C$7,3,FALSE)*'[1]Profiles, RES, Summer'!N$5</f>
        <v>7.8883982336411069</v>
      </c>
      <c r="O6" s="9">
        <f>VLOOKUP($A6,'RES installed'!$A$2:$C$7,3,FALSE)*'[1]Profiles, RES, Summer'!O$5</f>
        <v>9.7912484945804898</v>
      </c>
      <c r="P6" s="9">
        <f>VLOOKUP($A6,'RES installed'!$A$2:$C$7,3,FALSE)*'[1]Profiles, RES, Summer'!P$5</f>
        <v>13.067041348855881</v>
      </c>
      <c r="Q6" s="9">
        <f>VLOOKUP($A6,'RES installed'!$A$2:$C$7,3,FALSE)*'[1]Profiles, RES, Summer'!Q$5</f>
        <v>16.680048173424328</v>
      </c>
      <c r="R6" s="9">
        <f>VLOOKUP($A6,'RES installed'!$A$2:$C$7,3,FALSE)*'[1]Profiles, RES, Summer'!R$5</f>
        <v>19.714973906061822</v>
      </c>
      <c r="S6" s="9">
        <f>VLOOKUP($A6,'RES installed'!$A$2:$C$7,3,FALSE)*'[1]Profiles, RES, Summer'!S$5</f>
        <v>21.039743075070252</v>
      </c>
      <c r="T6" s="9">
        <f>VLOOKUP($A6,'RES installed'!$A$2:$C$7,3,FALSE)*'[1]Profiles, RES, Summer'!T$5</f>
        <v>22.641509433962266</v>
      </c>
      <c r="U6" s="9">
        <f>VLOOKUP($A6,'RES installed'!$A$2:$C$7,3,FALSE)*'[1]Profiles, RES, Summer'!U$5</f>
        <v>25.218787635487754</v>
      </c>
      <c r="V6" s="9">
        <f>VLOOKUP($A6,'RES installed'!$A$2:$C$7,3,FALSE)*'[1]Profiles, RES, Summer'!V$5</f>
        <v>27.808109193095145</v>
      </c>
      <c r="W6" s="9">
        <f>VLOOKUP($A6,'RES installed'!$A$2:$C$7,3,FALSE)*'[1]Profiles, RES, Summer'!W$5</f>
        <v>28.964271376957047</v>
      </c>
      <c r="X6" s="9">
        <f>VLOOKUP($A6,'RES installed'!$A$2:$C$7,3,FALSE)*'[1]Profiles, RES, Summer'!X$5</f>
        <v>29.096748293857885</v>
      </c>
      <c r="Y6" s="9">
        <f>VLOOKUP($A6,'RES installed'!$A$2:$C$7,3,FALSE)*'[1]Profiles, RES, Summer'!Y$5</f>
        <v>28.061019670814932</v>
      </c>
    </row>
    <row r="7" spans="1:25" x14ac:dyDescent="0.3">
      <c r="A7" s="8">
        <v>6</v>
      </c>
      <c r="B7" s="9">
        <f>VLOOKUP($A7,'RES installed'!$A$2:$C$7,3,FALSE)*'[1]Profiles, RES, Summer'!B$5</f>
        <v>12.157767964672821</v>
      </c>
      <c r="C7" s="9">
        <f>VLOOKUP($A7,'RES installed'!$A$2:$C$7,3,FALSE)*'[1]Profiles, RES, Summer'!C$5</f>
        <v>11.119028502609394</v>
      </c>
      <c r="D7" s="9">
        <f>VLOOKUP($A7,'RES installed'!$A$2:$C$7,3,FALSE)*'[1]Profiles, RES, Summer'!D$5</f>
        <v>9.7280208751505413</v>
      </c>
      <c r="E7" s="9">
        <f>VLOOKUP($A7,'RES installed'!$A$2:$C$7,3,FALSE)*'[1]Profiles, RES, Summer'!E$5</f>
        <v>9.6918908069048584</v>
      </c>
      <c r="F7" s="9">
        <f>VLOOKUP($A7,'RES installed'!$A$2:$C$7,3,FALSE)*'[1]Profiles, RES, Summer'!F$5</f>
        <v>9.1770373344038543</v>
      </c>
      <c r="G7" s="9">
        <f>VLOOKUP($A7,'RES installed'!$A$2:$C$7,3,FALSE)*'[1]Profiles, RES, Summer'!G$5</f>
        <v>8.4544359694901647</v>
      </c>
      <c r="H7" s="9">
        <f>VLOOKUP($A7,'RES installed'!$A$2:$C$7,3,FALSE)*'[1]Profiles, RES, Summer'!H$5</f>
        <v>7.433761541549579</v>
      </c>
      <c r="I7" s="9">
        <f>VLOOKUP($A7,'RES installed'!$A$2:$C$7,3,FALSE)*'[1]Profiles, RES, Summer'!I$5</f>
        <v>5.8440385387394622</v>
      </c>
      <c r="J7" s="9">
        <f>VLOOKUP($A7,'RES installed'!$A$2:$C$7,3,FALSE)*'[1]Profiles, RES, Summer'!J$5</f>
        <v>4.8594941790445603</v>
      </c>
      <c r="K7" s="9">
        <f>VLOOKUP($A7,'RES installed'!$A$2:$C$7,3,FALSE)*'[1]Profiles, RES, Summer'!K$5</f>
        <v>4.5433560818948218</v>
      </c>
      <c r="L7" s="9">
        <f>VLOOKUP($A7,'RES installed'!$A$2:$C$7,3,FALSE)*'[1]Profiles, RES, Summer'!L$5</f>
        <v>4.182055399437977</v>
      </c>
      <c r="M7" s="9">
        <f>VLOOKUP($A7,'RES installed'!$A$2:$C$7,3,FALSE)*'[1]Profiles, RES, Summer'!M$5</f>
        <v>4.7059413890004018</v>
      </c>
      <c r="N7" s="9">
        <f>VLOOKUP($A7,'RES installed'!$A$2:$C$7,3,FALSE)*'[1]Profiles, RES, Summer'!N$5</f>
        <v>5.9162986752308306</v>
      </c>
      <c r="O7" s="9">
        <f>VLOOKUP($A7,'RES installed'!$A$2:$C$7,3,FALSE)*'[1]Profiles, RES, Summer'!O$5</f>
        <v>7.3434363709353674</v>
      </c>
      <c r="P7" s="9">
        <f>VLOOKUP($A7,'RES installed'!$A$2:$C$7,3,FALSE)*'[1]Profiles, RES, Summer'!P$5</f>
        <v>9.8002810116419106</v>
      </c>
      <c r="Q7" s="9">
        <f>VLOOKUP($A7,'RES installed'!$A$2:$C$7,3,FALSE)*'[1]Profiles, RES, Summer'!Q$5</f>
        <v>12.510036130068245</v>
      </c>
      <c r="R7" s="9">
        <f>VLOOKUP($A7,'RES installed'!$A$2:$C$7,3,FALSE)*'[1]Profiles, RES, Summer'!R$5</f>
        <v>14.786230429546368</v>
      </c>
      <c r="S7" s="9">
        <f>VLOOKUP($A7,'RES installed'!$A$2:$C$7,3,FALSE)*'[1]Profiles, RES, Summer'!S$5</f>
        <v>15.77980730630269</v>
      </c>
      <c r="T7" s="9">
        <f>VLOOKUP($A7,'RES installed'!$A$2:$C$7,3,FALSE)*'[1]Profiles, RES, Summer'!T$5</f>
        <v>16.981132075471699</v>
      </c>
      <c r="U7" s="9">
        <f>VLOOKUP($A7,'RES installed'!$A$2:$C$7,3,FALSE)*'[1]Profiles, RES, Summer'!U$5</f>
        <v>18.914090726615814</v>
      </c>
      <c r="V7" s="9">
        <f>VLOOKUP($A7,'RES installed'!$A$2:$C$7,3,FALSE)*'[1]Profiles, RES, Summer'!V$5</f>
        <v>20.856081894821358</v>
      </c>
      <c r="W7" s="9">
        <f>VLOOKUP($A7,'RES installed'!$A$2:$C$7,3,FALSE)*'[1]Profiles, RES, Summer'!W$5</f>
        <v>21.723203532717786</v>
      </c>
      <c r="X7" s="9">
        <f>VLOOKUP($A7,'RES installed'!$A$2:$C$7,3,FALSE)*'[1]Profiles, RES, Summer'!X$5</f>
        <v>21.822561220393414</v>
      </c>
      <c r="Y7" s="9">
        <f>VLOOKUP($A7,'RES installed'!$A$2:$C$7,3,FALSE)*'[1]Profiles, RES, Summer'!Y$5</f>
        <v>21.0457647531112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0.17058377558756635</v>
      </c>
      <c r="H8" s="6">
        <f>VLOOKUP($A8,'RES installed'!$A$2:$C$7,3,FALSE)*'[1]Profiles, RES, Summer'!H$2</f>
        <v>5.003790750568613</v>
      </c>
      <c r="I8" s="6">
        <f>VLOOKUP($A8,'RES installed'!$A$2:$C$7,3,FALSE)*'[1]Profiles, RES, Summer'!I$2</f>
        <v>20.811220621683095</v>
      </c>
      <c r="J8" s="6">
        <f>VLOOKUP($A8,'RES installed'!$A$2:$C$7,3,FALSE)*'[1]Profiles, RES, Summer'!J$2</f>
        <v>43.100833965125098</v>
      </c>
      <c r="K8" s="6">
        <f>VLOOKUP($A8,'RES installed'!$A$2:$C$7,3,FALSE)*'[1]Profiles, RES, Summer'!K$2</f>
        <v>56.719105382865806</v>
      </c>
      <c r="L8" s="6">
        <f>VLOOKUP($A8,'RES installed'!$A$2:$C$7,3,FALSE)*'[1]Profiles, RES, Summer'!L$2</f>
        <v>65.163002274450335</v>
      </c>
      <c r="M8" s="6">
        <f>VLOOKUP($A8,'RES installed'!$A$2:$C$7,3,FALSE)*'[1]Profiles, RES, Summer'!M$2</f>
        <v>68.97270659590599</v>
      </c>
      <c r="N8" s="6">
        <f>VLOOKUP($A8,'RES installed'!$A$2:$C$7,3,FALSE)*'[1]Profiles, RES, Summer'!N$2</f>
        <v>70.507960576194094</v>
      </c>
      <c r="O8" s="6">
        <f>VLOOKUP($A8,'RES installed'!$A$2:$C$7,3,FALSE)*'[1]Profiles, RES, Summer'!O$2</f>
        <v>70.536391205458685</v>
      </c>
      <c r="P8" s="6">
        <f>VLOOKUP($A8,'RES installed'!$A$2:$C$7,3,FALSE)*'[1]Profiles, RES, Summer'!P$2</f>
        <v>68.119787717968151</v>
      </c>
      <c r="Q8" s="6">
        <f>VLOOKUP($A8,'RES installed'!$A$2:$C$7,3,FALSE)*'[1]Profiles, RES, Summer'!Q$2</f>
        <v>60.585670962850642</v>
      </c>
      <c r="R8" s="6">
        <f>VLOOKUP($A8,'RES installed'!$A$2:$C$7,3,FALSE)*'[1]Profiles, RES, Summer'!R$2</f>
        <v>48.55951478392722</v>
      </c>
      <c r="S8" s="6">
        <f>VLOOKUP($A8,'RES installed'!$A$2:$C$7,3,FALSE)*'[1]Profiles, RES, Summer'!S$2</f>
        <v>31.415845337376801</v>
      </c>
      <c r="T8" s="6">
        <f>VLOOKUP($A8,'RES installed'!$A$2:$C$7,3,FALSE)*'[1]Profiles, RES, Summer'!T$2</f>
        <v>10.945792266868841</v>
      </c>
      <c r="U8" s="6">
        <f>VLOOKUP($A8,'RES installed'!$A$2:$C$7,3,FALSE)*'[1]Profiles, RES, Summer'!U$2</f>
        <v>0.90978013646702049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0.11372251705837756</v>
      </c>
      <c r="H9" s="6">
        <f>VLOOKUP($A9,'RES installed'!$A$2:$C$7,3,FALSE)*'[1]Profiles, RES, Summer'!H$2</f>
        <v>3.3358605003790753</v>
      </c>
      <c r="I9" s="6">
        <f>VLOOKUP($A9,'RES installed'!$A$2:$C$7,3,FALSE)*'[1]Profiles, RES, Summer'!I$2</f>
        <v>13.874147081122063</v>
      </c>
      <c r="J9" s="6">
        <f>VLOOKUP($A9,'RES installed'!$A$2:$C$7,3,FALSE)*'[1]Profiles, RES, Summer'!J$2</f>
        <v>28.733889310083399</v>
      </c>
      <c r="K9" s="6">
        <f>VLOOKUP($A9,'RES installed'!$A$2:$C$7,3,FALSE)*'[1]Profiles, RES, Summer'!K$2</f>
        <v>37.812736921910542</v>
      </c>
      <c r="L9" s="6">
        <f>VLOOKUP($A9,'RES installed'!$A$2:$C$7,3,FALSE)*'[1]Profiles, RES, Summer'!L$2</f>
        <v>43.44200151630023</v>
      </c>
      <c r="M9" s="6">
        <f>VLOOKUP($A9,'RES installed'!$A$2:$C$7,3,FALSE)*'[1]Profiles, RES, Summer'!M$2</f>
        <v>45.981804397270658</v>
      </c>
      <c r="N9" s="6">
        <f>VLOOKUP($A9,'RES installed'!$A$2:$C$7,3,FALSE)*'[1]Profiles, RES, Summer'!N$2</f>
        <v>47.005307050796056</v>
      </c>
      <c r="O9" s="6">
        <f>VLOOKUP($A9,'RES installed'!$A$2:$C$7,3,FALSE)*'[1]Profiles, RES, Summer'!O$2</f>
        <v>47.024260803639123</v>
      </c>
      <c r="P9" s="6">
        <f>VLOOKUP($A9,'RES installed'!$A$2:$C$7,3,FALSE)*'[1]Profiles, RES, Summer'!P$2</f>
        <v>45.41319181197877</v>
      </c>
      <c r="Q9" s="6">
        <f>VLOOKUP($A9,'RES installed'!$A$2:$C$7,3,FALSE)*'[1]Profiles, RES, Summer'!Q$2</f>
        <v>40.390447308567097</v>
      </c>
      <c r="R9" s="6">
        <f>VLOOKUP($A9,'RES installed'!$A$2:$C$7,3,FALSE)*'[1]Profiles, RES, Summer'!R$2</f>
        <v>32.37300985595148</v>
      </c>
      <c r="S9" s="6">
        <f>VLOOKUP($A9,'RES installed'!$A$2:$C$7,3,FALSE)*'[1]Profiles, RES, Summer'!S$2</f>
        <v>20.943896891584536</v>
      </c>
      <c r="T9" s="6">
        <f>VLOOKUP($A9,'RES installed'!$A$2:$C$7,3,FALSE)*'[1]Profiles, RES, Summer'!T$2</f>
        <v>7.2971948445792272</v>
      </c>
      <c r="U9" s="6">
        <f>VLOOKUP($A9,'RES installed'!$A$2:$C$7,3,FALSE)*'[1]Profiles, RES, Summer'!U$2</f>
        <v>0.60652009097801363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0.13646702047005307</v>
      </c>
      <c r="H10" s="6">
        <f>VLOOKUP($A10,'RES installed'!$A$2:$C$7,3,FALSE)*'[1]Profiles, RES, Summer'!H$2</f>
        <v>4.0030326004548904</v>
      </c>
      <c r="I10" s="6">
        <f>VLOOKUP($A10,'RES installed'!$A$2:$C$7,3,FALSE)*'[1]Profiles, RES, Summer'!I$2</f>
        <v>16.648976497346474</v>
      </c>
      <c r="J10" s="6">
        <f>VLOOKUP($A10,'RES installed'!$A$2:$C$7,3,FALSE)*'[1]Profiles, RES, Summer'!J$2</f>
        <v>34.480667172100077</v>
      </c>
      <c r="K10" s="6">
        <f>VLOOKUP($A10,'RES installed'!$A$2:$C$7,3,FALSE)*'[1]Profiles, RES, Summer'!K$2</f>
        <v>45.375284306292649</v>
      </c>
      <c r="L10" s="6">
        <f>VLOOKUP($A10,'RES installed'!$A$2:$C$7,3,FALSE)*'[1]Profiles, RES, Summer'!L$2</f>
        <v>52.130401819560269</v>
      </c>
      <c r="M10" s="6">
        <f>VLOOKUP($A10,'RES installed'!$A$2:$C$7,3,FALSE)*'[1]Profiles, RES, Summer'!M$2</f>
        <v>55.178165276724791</v>
      </c>
      <c r="N10" s="6">
        <f>VLOOKUP($A10,'RES installed'!$A$2:$C$7,3,FALSE)*'[1]Profiles, RES, Summer'!N$2</f>
        <v>56.406368460955271</v>
      </c>
      <c r="O10" s="6">
        <f>VLOOKUP($A10,'RES installed'!$A$2:$C$7,3,FALSE)*'[1]Profiles, RES, Summer'!O$2</f>
        <v>56.429112964366951</v>
      </c>
      <c r="P10" s="6">
        <f>VLOOKUP($A10,'RES installed'!$A$2:$C$7,3,FALSE)*'[1]Profiles, RES, Summer'!P$2</f>
        <v>54.495830174374525</v>
      </c>
      <c r="Q10" s="6">
        <f>VLOOKUP($A10,'RES installed'!$A$2:$C$7,3,FALSE)*'[1]Profiles, RES, Summer'!Q$2</f>
        <v>48.468536770280515</v>
      </c>
      <c r="R10" s="6">
        <f>VLOOKUP($A10,'RES installed'!$A$2:$C$7,3,FALSE)*'[1]Profiles, RES, Summer'!R$2</f>
        <v>38.847611827141776</v>
      </c>
      <c r="S10" s="6">
        <f>VLOOKUP($A10,'RES installed'!$A$2:$C$7,3,FALSE)*'[1]Profiles, RES, Summer'!S$2</f>
        <v>25.132676269901442</v>
      </c>
      <c r="T10" s="6">
        <f>VLOOKUP($A10,'RES installed'!$A$2:$C$7,3,FALSE)*'[1]Profiles, RES, Summer'!T$2</f>
        <v>8.756633813495073</v>
      </c>
      <c r="U10" s="6">
        <f>VLOOKUP($A10,'RES installed'!$A$2:$C$7,3,FALSE)*'[1]Profiles, RES, Summer'!U$2</f>
        <v>0.7278241091736164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0039B-D4D9-47D8-9308-A8064C02CC83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12.826174227217987</v>
      </c>
      <c r="C5" s="9">
        <f>VLOOKUP($A5,'RES installed'!$A$2:$C$7,3,FALSE)*'[1]Profiles, RES, Summer'!C$6</f>
        <v>11.913890004014451</v>
      </c>
      <c r="D5" s="9">
        <f>VLOOKUP($A5,'RES installed'!$A$2:$C$7,3,FALSE)*'[1]Profiles, RES, Summer'!D$6</f>
        <v>12.112605379365716</v>
      </c>
      <c r="E5" s="9">
        <f>VLOOKUP($A5,'RES installed'!$A$2:$C$7,3,FALSE)*'[1]Profiles, RES, Summer'!E$6</f>
        <v>10.947410678442393</v>
      </c>
      <c r="F5" s="9">
        <f>VLOOKUP($A5,'RES installed'!$A$2:$C$7,3,FALSE)*'[1]Profiles, RES, Summer'!F$6</f>
        <v>10.242874347651545</v>
      </c>
      <c r="G5" s="9">
        <f>VLOOKUP($A5,'RES installed'!$A$2:$C$7,3,FALSE)*'[1]Profiles, RES, Summer'!G$6</f>
        <v>10.875150541951024</v>
      </c>
      <c r="H5" s="9">
        <f>VLOOKUP($A5,'RES installed'!$A$2:$C$7,3,FALSE)*'[1]Profiles, RES, Summer'!H$6</f>
        <v>10.757727820152549</v>
      </c>
      <c r="I5" s="9">
        <f>VLOOKUP($A5,'RES installed'!$A$2:$C$7,3,FALSE)*'[1]Profiles, RES, Summer'!I$6</f>
        <v>7.9305499799277399</v>
      </c>
      <c r="J5" s="9">
        <f>VLOOKUP($A5,'RES installed'!$A$2:$C$7,3,FALSE)*'[1]Profiles, RES, Summer'!J$6</f>
        <v>5.0762745885186673</v>
      </c>
      <c r="K5" s="9">
        <f>VLOOKUP($A5,'RES installed'!$A$2:$C$7,3,FALSE)*'[1]Profiles, RES, Summer'!K$6</f>
        <v>3.6942994781212364</v>
      </c>
      <c r="L5" s="9">
        <f>VLOOKUP($A5,'RES installed'!$A$2:$C$7,3,FALSE)*'[1]Profiles, RES, Summer'!L$6</f>
        <v>2.7910477719791249</v>
      </c>
      <c r="M5" s="9">
        <f>VLOOKUP($A5,'RES installed'!$A$2:$C$7,3,FALSE)*'[1]Profiles, RES, Summer'!M$6</f>
        <v>2.6194299478121237</v>
      </c>
      <c r="N5" s="9">
        <f>VLOOKUP($A5,'RES installed'!$A$2:$C$7,3,FALSE)*'[1]Profiles, RES, Summer'!N$6</f>
        <v>3.2788036932958651</v>
      </c>
      <c r="O5" s="9">
        <f>VLOOKUP($A5,'RES installed'!$A$2:$C$7,3,FALSE)*'[1]Profiles, RES, Summer'!O$6</f>
        <v>4.2543155359293454</v>
      </c>
      <c r="P5" s="9">
        <f>VLOOKUP($A5,'RES installed'!$A$2:$C$7,3,FALSE)*'[1]Profiles, RES, Summer'!P$6</f>
        <v>6.0608189482135693</v>
      </c>
      <c r="Q5" s="9">
        <f>VLOOKUP($A5,'RES installed'!$A$2:$C$7,3,FALSE)*'[1]Profiles, RES, Summer'!Q$6</f>
        <v>7.6505419510236852</v>
      </c>
      <c r="R5" s="9">
        <f>VLOOKUP($A5,'RES installed'!$A$2:$C$7,3,FALSE)*'[1]Profiles, RES, Summer'!R$6</f>
        <v>9.1589723002810111</v>
      </c>
      <c r="S5" s="9">
        <f>VLOOKUP($A5,'RES installed'!$A$2:$C$7,3,FALSE)*'[1]Profiles, RES, Summer'!S$6</f>
        <v>9.7822159775190691</v>
      </c>
      <c r="T5" s="9">
        <f>VLOOKUP($A5,'RES installed'!$A$2:$C$7,3,FALSE)*'[1]Profiles, RES, Summer'!T$6</f>
        <v>9.3034925732637497</v>
      </c>
      <c r="U5" s="9">
        <f>VLOOKUP($A5,'RES installed'!$A$2:$C$7,3,FALSE)*'[1]Profiles, RES, Summer'!U$6</f>
        <v>9.0234845443596949</v>
      </c>
      <c r="V5" s="9">
        <f>VLOOKUP($A5,'RES installed'!$A$2:$C$7,3,FALSE)*'[1]Profiles, RES, Summer'!V$6</f>
        <v>9.0505820955439589</v>
      </c>
      <c r="W5" s="9">
        <f>VLOOKUP($A5,'RES installed'!$A$2:$C$7,3,FALSE)*'[1]Profiles, RES, Summer'!W$6</f>
        <v>8.3189482135688468</v>
      </c>
      <c r="X5" s="9">
        <f>VLOOKUP($A5,'RES installed'!$A$2:$C$7,3,FALSE)*'[1]Profiles, RES, Summer'!X$6</f>
        <v>7.7137695704536338</v>
      </c>
      <c r="Y5" s="9">
        <f>VLOOKUP($A5,'RES installed'!$A$2:$C$7,3,FALSE)*'[1]Profiles, RES, Summer'!Y$6</f>
        <v>7.8492573263749499</v>
      </c>
    </row>
    <row r="6" spans="1:25" x14ac:dyDescent="0.3">
      <c r="A6" s="8">
        <v>5</v>
      </c>
      <c r="B6" s="9">
        <f>VLOOKUP($A6,'RES installed'!$A$2:$C$7,3,FALSE)*'[1]Profiles, RES, Summer'!B$6</f>
        <v>17.101565636290648</v>
      </c>
      <c r="C6" s="9">
        <f>VLOOKUP($A6,'RES installed'!$A$2:$C$7,3,FALSE)*'[1]Profiles, RES, Summer'!C$6</f>
        <v>15.885186672019268</v>
      </c>
      <c r="D6" s="9">
        <f>VLOOKUP($A6,'RES installed'!$A$2:$C$7,3,FALSE)*'[1]Profiles, RES, Summer'!D$6</f>
        <v>16.150140505820954</v>
      </c>
      <c r="E6" s="9">
        <f>VLOOKUP($A6,'RES installed'!$A$2:$C$7,3,FALSE)*'[1]Profiles, RES, Summer'!E$6</f>
        <v>14.596547571256524</v>
      </c>
      <c r="F6" s="9">
        <f>VLOOKUP($A6,'RES installed'!$A$2:$C$7,3,FALSE)*'[1]Profiles, RES, Summer'!F$6</f>
        <v>13.657165796868727</v>
      </c>
      <c r="G6" s="9">
        <f>VLOOKUP($A6,'RES installed'!$A$2:$C$7,3,FALSE)*'[1]Profiles, RES, Summer'!G$6</f>
        <v>14.500200722601365</v>
      </c>
      <c r="H6" s="9">
        <f>VLOOKUP($A6,'RES installed'!$A$2:$C$7,3,FALSE)*'[1]Profiles, RES, Summer'!H$6</f>
        <v>14.343637093536731</v>
      </c>
      <c r="I6" s="9">
        <f>VLOOKUP($A6,'RES installed'!$A$2:$C$7,3,FALSE)*'[1]Profiles, RES, Summer'!I$6</f>
        <v>10.574066639903654</v>
      </c>
      <c r="J6" s="9">
        <f>VLOOKUP($A6,'RES installed'!$A$2:$C$7,3,FALSE)*'[1]Profiles, RES, Summer'!J$6</f>
        <v>6.7683661180248897</v>
      </c>
      <c r="K6" s="9">
        <f>VLOOKUP($A6,'RES installed'!$A$2:$C$7,3,FALSE)*'[1]Profiles, RES, Summer'!K$6</f>
        <v>4.9257326374949812</v>
      </c>
      <c r="L6" s="9">
        <f>VLOOKUP($A6,'RES installed'!$A$2:$C$7,3,FALSE)*'[1]Profiles, RES, Summer'!L$6</f>
        <v>3.7213970293054994</v>
      </c>
      <c r="M6" s="9">
        <f>VLOOKUP($A6,'RES installed'!$A$2:$C$7,3,FALSE)*'[1]Profiles, RES, Summer'!M$6</f>
        <v>3.4925732637494979</v>
      </c>
      <c r="N6" s="9">
        <f>VLOOKUP($A6,'RES installed'!$A$2:$C$7,3,FALSE)*'[1]Profiles, RES, Summer'!N$6</f>
        <v>4.3717382577278201</v>
      </c>
      <c r="O6" s="9">
        <f>VLOOKUP($A6,'RES installed'!$A$2:$C$7,3,FALSE)*'[1]Profiles, RES, Summer'!O$6</f>
        <v>5.6724207145724606</v>
      </c>
      <c r="P6" s="9">
        <f>VLOOKUP($A6,'RES installed'!$A$2:$C$7,3,FALSE)*'[1]Profiles, RES, Summer'!P$6</f>
        <v>8.0810919309514251</v>
      </c>
      <c r="Q6" s="9">
        <f>VLOOKUP($A6,'RES installed'!$A$2:$C$7,3,FALSE)*'[1]Profiles, RES, Summer'!Q$6</f>
        <v>10.200722601364912</v>
      </c>
      <c r="R6" s="9">
        <f>VLOOKUP($A6,'RES installed'!$A$2:$C$7,3,FALSE)*'[1]Profiles, RES, Summer'!R$6</f>
        <v>12.211963067041349</v>
      </c>
      <c r="S6" s="9">
        <f>VLOOKUP($A6,'RES installed'!$A$2:$C$7,3,FALSE)*'[1]Profiles, RES, Summer'!S$6</f>
        <v>13.042954636692093</v>
      </c>
      <c r="T6" s="9">
        <f>VLOOKUP($A6,'RES installed'!$A$2:$C$7,3,FALSE)*'[1]Profiles, RES, Summer'!T$6</f>
        <v>12.404656764351666</v>
      </c>
      <c r="U6" s="9">
        <f>VLOOKUP($A6,'RES installed'!$A$2:$C$7,3,FALSE)*'[1]Profiles, RES, Summer'!U$6</f>
        <v>12.031312725812926</v>
      </c>
      <c r="V6" s="9">
        <f>VLOOKUP($A6,'RES installed'!$A$2:$C$7,3,FALSE)*'[1]Profiles, RES, Summer'!V$6</f>
        <v>12.067442794058611</v>
      </c>
      <c r="W6" s="9">
        <f>VLOOKUP($A6,'RES installed'!$A$2:$C$7,3,FALSE)*'[1]Profiles, RES, Summer'!W$6</f>
        <v>11.09193095142513</v>
      </c>
      <c r="X6" s="9">
        <f>VLOOKUP($A6,'RES installed'!$A$2:$C$7,3,FALSE)*'[1]Profiles, RES, Summer'!X$6</f>
        <v>10.285026093938178</v>
      </c>
      <c r="Y6" s="9">
        <f>VLOOKUP($A6,'RES installed'!$A$2:$C$7,3,FALSE)*'[1]Profiles, RES, Summer'!Y$6</f>
        <v>10.4656764351666</v>
      </c>
    </row>
    <row r="7" spans="1:25" x14ac:dyDescent="0.3">
      <c r="A7" s="8">
        <v>6</v>
      </c>
      <c r="B7" s="9">
        <f>VLOOKUP($A7,'RES installed'!$A$2:$C$7,3,FALSE)*'[1]Profiles, RES, Summer'!B$6</f>
        <v>12.826174227217987</v>
      </c>
      <c r="C7" s="9">
        <f>VLOOKUP($A7,'RES installed'!$A$2:$C$7,3,FALSE)*'[1]Profiles, RES, Summer'!C$6</f>
        <v>11.913890004014451</v>
      </c>
      <c r="D7" s="9">
        <f>VLOOKUP($A7,'RES installed'!$A$2:$C$7,3,FALSE)*'[1]Profiles, RES, Summer'!D$6</f>
        <v>12.112605379365716</v>
      </c>
      <c r="E7" s="9">
        <f>VLOOKUP($A7,'RES installed'!$A$2:$C$7,3,FALSE)*'[1]Profiles, RES, Summer'!E$6</f>
        <v>10.947410678442393</v>
      </c>
      <c r="F7" s="9">
        <f>VLOOKUP($A7,'RES installed'!$A$2:$C$7,3,FALSE)*'[1]Profiles, RES, Summer'!F$6</f>
        <v>10.242874347651545</v>
      </c>
      <c r="G7" s="9">
        <f>VLOOKUP($A7,'RES installed'!$A$2:$C$7,3,FALSE)*'[1]Profiles, RES, Summer'!G$6</f>
        <v>10.875150541951024</v>
      </c>
      <c r="H7" s="9">
        <f>VLOOKUP($A7,'RES installed'!$A$2:$C$7,3,FALSE)*'[1]Profiles, RES, Summer'!H$6</f>
        <v>10.757727820152549</v>
      </c>
      <c r="I7" s="9">
        <f>VLOOKUP($A7,'RES installed'!$A$2:$C$7,3,FALSE)*'[1]Profiles, RES, Summer'!I$6</f>
        <v>7.9305499799277399</v>
      </c>
      <c r="J7" s="9">
        <f>VLOOKUP($A7,'RES installed'!$A$2:$C$7,3,FALSE)*'[1]Profiles, RES, Summer'!J$6</f>
        <v>5.0762745885186673</v>
      </c>
      <c r="K7" s="9">
        <f>VLOOKUP($A7,'RES installed'!$A$2:$C$7,3,FALSE)*'[1]Profiles, RES, Summer'!K$6</f>
        <v>3.6942994781212364</v>
      </c>
      <c r="L7" s="9">
        <f>VLOOKUP($A7,'RES installed'!$A$2:$C$7,3,FALSE)*'[1]Profiles, RES, Summer'!L$6</f>
        <v>2.7910477719791249</v>
      </c>
      <c r="M7" s="9">
        <f>VLOOKUP($A7,'RES installed'!$A$2:$C$7,3,FALSE)*'[1]Profiles, RES, Summer'!M$6</f>
        <v>2.6194299478121237</v>
      </c>
      <c r="N7" s="9">
        <f>VLOOKUP($A7,'RES installed'!$A$2:$C$7,3,FALSE)*'[1]Profiles, RES, Summer'!N$6</f>
        <v>3.2788036932958651</v>
      </c>
      <c r="O7" s="9">
        <f>VLOOKUP($A7,'RES installed'!$A$2:$C$7,3,FALSE)*'[1]Profiles, RES, Summer'!O$6</f>
        <v>4.2543155359293454</v>
      </c>
      <c r="P7" s="9">
        <f>VLOOKUP($A7,'RES installed'!$A$2:$C$7,3,FALSE)*'[1]Profiles, RES, Summer'!P$6</f>
        <v>6.0608189482135693</v>
      </c>
      <c r="Q7" s="9">
        <f>VLOOKUP($A7,'RES installed'!$A$2:$C$7,3,FALSE)*'[1]Profiles, RES, Summer'!Q$6</f>
        <v>7.6505419510236852</v>
      </c>
      <c r="R7" s="9">
        <f>VLOOKUP($A7,'RES installed'!$A$2:$C$7,3,FALSE)*'[1]Profiles, RES, Summer'!R$6</f>
        <v>9.1589723002810111</v>
      </c>
      <c r="S7" s="9">
        <f>VLOOKUP($A7,'RES installed'!$A$2:$C$7,3,FALSE)*'[1]Profiles, RES, Summer'!S$6</f>
        <v>9.7822159775190691</v>
      </c>
      <c r="T7" s="9">
        <f>VLOOKUP($A7,'RES installed'!$A$2:$C$7,3,FALSE)*'[1]Profiles, RES, Summer'!T$6</f>
        <v>9.3034925732637497</v>
      </c>
      <c r="U7" s="9">
        <f>VLOOKUP($A7,'RES installed'!$A$2:$C$7,3,FALSE)*'[1]Profiles, RES, Summer'!U$6</f>
        <v>9.0234845443596949</v>
      </c>
      <c r="V7" s="9">
        <f>VLOOKUP($A7,'RES installed'!$A$2:$C$7,3,FALSE)*'[1]Profiles, RES, Summer'!V$6</f>
        <v>9.0505820955439589</v>
      </c>
      <c r="W7" s="9">
        <f>VLOOKUP($A7,'RES installed'!$A$2:$C$7,3,FALSE)*'[1]Profiles, RES, Summer'!W$6</f>
        <v>8.3189482135688468</v>
      </c>
      <c r="X7" s="9">
        <f>VLOOKUP($A7,'RES installed'!$A$2:$C$7,3,FALSE)*'[1]Profiles, RES, Summer'!X$6</f>
        <v>7.7137695704536338</v>
      </c>
      <c r="Y7" s="9">
        <f>VLOOKUP($A7,'RES installed'!$A$2:$C$7,3,FALSE)*'[1]Profiles, RES, Summer'!Y$6</f>
        <v>7.8492573263749499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0.14215314632297193</v>
      </c>
      <c r="H8" s="6">
        <f>VLOOKUP($A8,'RES installed'!$A$2:$C$7,3,FALSE)*'[1]Profiles, RES, Summer'!H$3</f>
        <v>5.9988627748294157</v>
      </c>
      <c r="I8" s="6">
        <f>VLOOKUP($A8,'RES installed'!$A$2:$C$7,3,FALSE)*'[1]Profiles, RES, Summer'!I$3</f>
        <v>24.137604245640638</v>
      </c>
      <c r="J8" s="6">
        <f>VLOOKUP($A8,'RES installed'!$A$2:$C$7,3,FALSE)*'[1]Profiles, RES, Summer'!J$3</f>
        <v>44.124336618650489</v>
      </c>
      <c r="K8" s="6">
        <f>VLOOKUP($A8,'RES installed'!$A$2:$C$7,3,FALSE)*'[1]Profiles, RES, Summer'!K$3</f>
        <v>58.026914329037155</v>
      </c>
      <c r="L8" s="6">
        <f>VLOOKUP($A8,'RES installed'!$A$2:$C$7,3,FALSE)*'[1]Profiles, RES, Summer'!L$3</f>
        <v>67.494313874147082</v>
      </c>
      <c r="M8" s="6">
        <f>VLOOKUP($A8,'RES installed'!$A$2:$C$7,3,FALSE)*'[1]Profiles, RES, Summer'!M$3</f>
        <v>70.991281273692195</v>
      </c>
      <c r="N8" s="6">
        <f>VLOOKUP($A8,'RES installed'!$A$2:$C$7,3,FALSE)*'[1]Profiles, RES, Summer'!N$3</f>
        <v>71.190295678544345</v>
      </c>
      <c r="O8" s="6">
        <f>VLOOKUP($A8,'RES installed'!$A$2:$C$7,3,FALSE)*'[1]Profiles, RES, Summer'!O$3</f>
        <v>69.683472327520846</v>
      </c>
      <c r="P8" s="6">
        <f>VLOOKUP($A8,'RES installed'!$A$2:$C$7,3,FALSE)*'[1]Profiles, RES, Summer'!P$3</f>
        <v>67.465883244882491</v>
      </c>
      <c r="Q8" s="6">
        <f>VLOOKUP($A8,'RES installed'!$A$2:$C$7,3,FALSE)*'[1]Profiles, RES, Summer'!Q$3</f>
        <v>60.187642153146321</v>
      </c>
      <c r="R8" s="6">
        <f>VLOOKUP($A8,'RES installed'!$A$2:$C$7,3,FALSE)*'[1]Profiles, RES, Summer'!R$3</f>
        <v>48.332069749810465</v>
      </c>
      <c r="S8" s="6">
        <f>VLOOKUP($A8,'RES installed'!$A$2:$C$7,3,FALSE)*'[1]Profiles, RES, Summer'!S$3</f>
        <v>30.30705079605762</v>
      </c>
      <c r="T8" s="6">
        <f>VLOOKUP($A8,'RES installed'!$A$2:$C$7,3,FALSE)*'[1]Profiles, RES, Summer'!T$3</f>
        <v>9.8654283548142523</v>
      </c>
      <c r="U8" s="6">
        <f>VLOOKUP($A8,'RES installed'!$A$2:$C$7,3,FALSE)*'[1]Profiles, RES, Summer'!U$3</f>
        <v>0.65390447308567101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9.4768764215314633E-2</v>
      </c>
      <c r="H9" s="6">
        <f>VLOOKUP($A9,'RES installed'!$A$2:$C$7,3,FALSE)*'[1]Profiles, RES, Summer'!H$3</f>
        <v>3.9992418498862774</v>
      </c>
      <c r="I9" s="6">
        <f>VLOOKUP($A9,'RES installed'!$A$2:$C$7,3,FALSE)*'[1]Profiles, RES, Summer'!I$3</f>
        <v>16.091736163760427</v>
      </c>
      <c r="J9" s="6">
        <f>VLOOKUP($A9,'RES installed'!$A$2:$C$7,3,FALSE)*'[1]Profiles, RES, Summer'!J$3</f>
        <v>29.41622441243366</v>
      </c>
      <c r="K9" s="6">
        <f>VLOOKUP($A9,'RES installed'!$A$2:$C$7,3,FALSE)*'[1]Profiles, RES, Summer'!K$3</f>
        <v>38.684609552691434</v>
      </c>
      <c r="L9" s="6">
        <f>VLOOKUP($A9,'RES installed'!$A$2:$C$7,3,FALSE)*'[1]Profiles, RES, Summer'!L$3</f>
        <v>44.996209249431388</v>
      </c>
      <c r="M9" s="6">
        <f>VLOOKUP($A9,'RES installed'!$A$2:$C$7,3,FALSE)*'[1]Profiles, RES, Summer'!M$3</f>
        <v>47.327520849128128</v>
      </c>
      <c r="N9" s="6">
        <f>VLOOKUP($A9,'RES installed'!$A$2:$C$7,3,FALSE)*'[1]Profiles, RES, Summer'!N$3</f>
        <v>47.460197119029566</v>
      </c>
      <c r="O9" s="6">
        <f>VLOOKUP($A9,'RES installed'!$A$2:$C$7,3,FALSE)*'[1]Profiles, RES, Summer'!O$3</f>
        <v>46.455648218347235</v>
      </c>
      <c r="P9" s="6">
        <f>VLOOKUP($A9,'RES installed'!$A$2:$C$7,3,FALSE)*'[1]Profiles, RES, Summer'!P$3</f>
        <v>44.977255496588327</v>
      </c>
      <c r="Q9" s="6">
        <f>VLOOKUP($A9,'RES installed'!$A$2:$C$7,3,FALSE)*'[1]Profiles, RES, Summer'!Q$3</f>
        <v>40.125094768764214</v>
      </c>
      <c r="R9" s="6">
        <f>VLOOKUP($A9,'RES installed'!$A$2:$C$7,3,FALSE)*'[1]Profiles, RES, Summer'!R$3</f>
        <v>32.221379833206974</v>
      </c>
      <c r="S9" s="6">
        <f>VLOOKUP($A9,'RES installed'!$A$2:$C$7,3,FALSE)*'[1]Profiles, RES, Summer'!S$3</f>
        <v>20.204700530705079</v>
      </c>
      <c r="T9" s="6">
        <f>VLOOKUP($A9,'RES installed'!$A$2:$C$7,3,FALSE)*'[1]Profiles, RES, Summer'!T$3</f>
        <v>6.5769522365428355</v>
      </c>
      <c r="U9" s="6">
        <f>VLOOKUP($A9,'RES installed'!$A$2:$C$7,3,FALSE)*'[1]Profiles, RES, Summer'!U$3</f>
        <v>0.4359363153904473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0.11372251705837756</v>
      </c>
      <c r="H10" s="6">
        <f>VLOOKUP($A10,'RES installed'!$A$2:$C$7,3,FALSE)*'[1]Profiles, RES, Summer'!H$3</f>
        <v>4.7990902198635323</v>
      </c>
      <c r="I10" s="6">
        <f>VLOOKUP($A10,'RES installed'!$A$2:$C$7,3,FALSE)*'[1]Profiles, RES, Summer'!I$3</f>
        <v>19.31008339651251</v>
      </c>
      <c r="J10" s="6">
        <f>VLOOKUP($A10,'RES installed'!$A$2:$C$7,3,FALSE)*'[1]Profiles, RES, Summer'!J$3</f>
        <v>35.299469294920392</v>
      </c>
      <c r="K10" s="6">
        <f>VLOOKUP($A10,'RES installed'!$A$2:$C$7,3,FALSE)*'[1]Profiles, RES, Summer'!K$3</f>
        <v>46.421531463229719</v>
      </c>
      <c r="L10" s="6">
        <f>VLOOKUP($A10,'RES installed'!$A$2:$C$7,3,FALSE)*'[1]Profiles, RES, Summer'!L$3</f>
        <v>53.995451099317663</v>
      </c>
      <c r="M10" s="6">
        <f>VLOOKUP($A10,'RES installed'!$A$2:$C$7,3,FALSE)*'[1]Profiles, RES, Summer'!M$3</f>
        <v>56.793025018953756</v>
      </c>
      <c r="N10" s="6">
        <f>VLOOKUP($A10,'RES installed'!$A$2:$C$7,3,FALSE)*'[1]Profiles, RES, Summer'!N$3</f>
        <v>56.952236542835479</v>
      </c>
      <c r="O10" s="6">
        <f>VLOOKUP($A10,'RES installed'!$A$2:$C$7,3,FALSE)*'[1]Profiles, RES, Summer'!O$3</f>
        <v>55.746777862016678</v>
      </c>
      <c r="P10" s="6">
        <f>VLOOKUP($A10,'RES installed'!$A$2:$C$7,3,FALSE)*'[1]Profiles, RES, Summer'!P$3</f>
        <v>53.97270659590599</v>
      </c>
      <c r="Q10" s="6">
        <f>VLOOKUP($A10,'RES installed'!$A$2:$C$7,3,FALSE)*'[1]Profiles, RES, Summer'!Q$3</f>
        <v>48.150113722517055</v>
      </c>
      <c r="R10" s="6">
        <f>VLOOKUP($A10,'RES installed'!$A$2:$C$7,3,FALSE)*'[1]Profiles, RES, Summer'!R$3</f>
        <v>38.665655799848373</v>
      </c>
      <c r="S10" s="6">
        <f>VLOOKUP($A10,'RES installed'!$A$2:$C$7,3,FALSE)*'[1]Profiles, RES, Summer'!S$3</f>
        <v>24.245640636846097</v>
      </c>
      <c r="T10" s="6">
        <f>VLOOKUP($A10,'RES installed'!$A$2:$C$7,3,FALSE)*'[1]Profiles, RES, Summer'!T$3</f>
        <v>7.8923426838514024</v>
      </c>
      <c r="U10" s="6">
        <f>VLOOKUP($A10,'RES installed'!$A$2:$C$7,3,FALSE)*'[1]Profiles, RES, Summer'!U$3</f>
        <v>0.52312357846853674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FA8B6-75B5-460C-B501-FE7E84FD18F4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13.395222802087515</v>
      </c>
      <c r="C5" s="9">
        <f>VLOOKUP($A5,'RES installed'!$A$2:$C$7,3,FALSE)*'[1]Profiles, RES, Summer'!C$7</f>
        <v>12.049377759935769</v>
      </c>
      <c r="D5" s="9">
        <f>VLOOKUP($A5,'RES installed'!$A$2:$C$7,3,FALSE)*'[1]Profiles, RES, Summer'!D$7</f>
        <v>10.062224006423122</v>
      </c>
      <c r="E5" s="9">
        <f>VLOOKUP($A5,'RES installed'!$A$2:$C$7,3,FALSE)*'[1]Profiles, RES, Summer'!E$7</f>
        <v>9.5112404656764351</v>
      </c>
      <c r="F5" s="9">
        <f>VLOOKUP($A5,'RES installed'!$A$2:$C$7,3,FALSE)*'[1]Profiles, RES, Summer'!F$7</f>
        <v>9.3576876756322758</v>
      </c>
      <c r="G5" s="9">
        <f>VLOOKUP($A5,'RES installed'!$A$2:$C$7,3,FALSE)*'[1]Profiles, RES, Summer'!G$7</f>
        <v>10.495784825371336</v>
      </c>
      <c r="H5" s="9">
        <f>VLOOKUP($A5,'RES installed'!$A$2:$C$7,3,FALSE)*'[1]Profiles, RES, Summer'!H$7</f>
        <v>11.570654355680448</v>
      </c>
      <c r="I5" s="9">
        <f>VLOOKUP($A5,'RES installed'!$A$2:$C$7,3,FALSE)*'[1]Profiles, RES, Summer'!I$7</f>
        <v>11.968085106382979</v>
      </c>
      <c r="J5" s="9">
        <f>VLOOKUP($A5,'RES installed'!$A$2:$C$7,3,FALSE)*'[1]Profiles, RES, Summer'!J$7</f>
        <v>9.7280208751505413</v>
      </c>
      <c r="K5" s="9">
        <f>VLOOKUP($A5,'RES installed'!$A$2:$C$7,3,FALSE)*'[1]Profiles, RES, Summer'!K$7</f>
        <v>7.5692492974708951</v>
      </c>
      <c r="L5" s="9">
        <f>VLOOKUP($A5,'RES installed'!$A$2:$C$7,3,FALSE)*'[1]Profiles, RES, Summer'!L$7</f>
        <v>6.8105178643115218</v>
      </c>
      <c r="M5" s="9">
        <f>VLOOKUP($A5,'RES installed'!$A$2:$C$7,3,FALSE)*'[1]Profiles, RES, Summer'!M$7</f>
        <v>6.0788839823364107</v>
      </c>
      <c r="N5" s="9">
        <f>VLOOKUP($A5,'RES installed'!$A$2:$C$7,3,FALSE)*'[1]Profiles, RES, Summer'!N$7</f>
        <v>6.5847049377759941</v>
      </c>
      <c r="O5" s="9">
        <f>VLOOKUP($A5,'RES installed'!$A$2:$C$7,3,FALSE)*'[1]Profiles, RES, Summer'!O$7</f>
        <v>8.7615415495784816</v>
      </c>
      <c r="P5" s="9">
        <f>VLOOKUP($A5,'RES installed'!$A$2:$C$7,3,FALSE)*'[1]Profiles, RES, Summer'!P$7</f>
        <v>11.019670814933761</v>
      </c>
      <c r="Q5" s="9">
        <f>VLOOKUP($A5,'RES installed'!$A$2:$C$7,3,FALSE)*'[1]Profiles, RES, Summer'!Q$7</f>
        <v>11.561621838619029</v>
      </c>
      <c r="R5" s="9">
        <f>VLOOKUP($A5,'RES installed'!$A$2:$C$7,3,FALSE)*'[1]Profiles, RES, Summer'!R$7</f>
        <v>12.482938578883983</v>
      </c>
      <c r="S5" s="9">
        <f>VLOOKUP($A5,'RES installed'!$A$2:$C$7,3,FALSE)*'[1]Profiles, RES, Summer'!S$7</f>
        <v>12.988759534323565</v>
      </c>
      <c r="T5" s="9">
        <f>VLOOKUP($A5,'RES installed'!$A$2:$C$7,3,FALSE)*'[1]Profiles, RES, Summer'!T$7</f>
        <v>13.313930148534725</v>
      </c>
      <c r="U5" s="9">
        <f>VLOOKUP($A5,'RES installed'!$A$2:$C$7,3,FALSE)*'[1]Profiles, RES, Summer'!U$7</f>
        <v>15.255921316740265</v>
      </c>
      <c r="V5" s="9">
        <f>VLOOKUP($A5,'RES installed'!$A$2:$C$7,3,FALSE)*'[1]Profiles, RES, Summer'!V$7</f>
        <v>17.16178241670012</v>
      </c>
      <c r="W5" s="9">
        <f>VLOOKUP($A5,'RES installed'!$A$2:$C$7,3,FALSE)*'[1]Profiles, RES, Summer'!W$7</f>
        <v>16.574668807707749</v>
      </c>
      <c r="X5" s="9">
        <f>VLOOKUP($A5,'RES installed'!$A$2:$C$7,3,FALSE)*'[1]Profiles, RES, Summer'!X$7</f>
        <v>15.6985146527499</v>
      </c>
      <c r="Y5" s="9">
        <f>VLOOKUP($A5,'RES installed'!$A$2:$C$7,3,FALSE)*'[1]Profiles, RES, Summer'!Y$7</f>
        <v>15.418506623845845</v>
      </c>
    </row>
    <row r="6" spans="1:25" x14ac:dyDescent="0.3">
      <c r="A6" s="8">
        <v>5</v>
      </c>
      <c r="B6" s="9">
        <f>VLOOKUP($A6,'RES installed'!$A$2:$C$7,3,FALSE)*'[1]Profiles, RES, Summer'!B$7</f>
        <v>17.86029706945002</v>
      </c>
      <c r="C6" s="9">
        <f>VLOOKUP($A6,'RES installed'!$A$2:$C$7,3,FALSE)*'[1]Profiles, RES, Summer'!C$7</f>
        <v>16.065837013247691</v>
      </c>
      <c r="D6" s="9">
        <f>VLOOKUP($A6,'RES installed'!$A$2:$C$7,3,FALSE)*'[1]Profiles, RES, Summer'!D$7</f>
        <v>13.416298675230831</v>
      </c>
      <c r="E6" s="9">
        <f>VLOOKUP($A6,'RES installed'!$A$2:$C$7,3,FALSE)*'[1]Profiles, RES, Summer'!E$7</f>
        <v>12.681653954235248</v>
      </c>
      <c r="F6" s="9">
        <f>VLOOKUP($A6,'RES installed'!$A$2:$C$7,3,FALSE)*'[1]Profiles, RES, Summer'!F$7</f>
        <v>12.476916900843035</v>
      </c>
      <c r="G6" s="9">
        <f>VLOOKUP($A6,'RES installed'!$A$2:$C$7,3,FALSE)*'[1]Profiles, RES, Summer'!G$7</f>
        <v>13.994379767161782</v>
      </c>
      <c r="H6" s="9">
        <f>VLOOKUP($A6,'RES installed'!$A$2:$C$7,3,FALSE)*'[1]Profiles, RES, Summer'!H$7</f>
        <v>15.427539140907264</v>
      </c>
      <c r="I6" s="9">
        <f>VLOOKUP($A6,'RES installed'!$A$2:$C$7,3,FALSE)*'[1]Profiles, RES, Summer'!I$7</f>
        <v>15.957446808510639</v>
      </c>
      <c r="J6" s="9">
        <f>VLOOKUP($A6,'RES installed'!$A$2:$C$7,3,FALSE)*'[1]Profiles, RES, Summer'!J$7</f>
        <v>12.970694500200722</v>
      </c>
      <c r="K6" s="9">
        <f>VLOOKUP($A6,'RES installed'!$A$2:$C$7,3,FALSE)*'[1]Profiles, RES, Summer'!K$7</f>
        <v>10.09233239662786</v>
      </c>
      <c r="L6" s="9">
        <f>VLOOKUP($A6,'RES installed'!$A$2:$C$7,3,FALSE)*'[1]Profiles, RES, Summer'!L$7</f>
        <v>9.0806904857486952</v>
      </c>
      <c r="M6" s="9">
        <f>VLOOKUP($A6,'RES installed'!$A$2:$C$7,3,FALSE)*'[1]Profiles, RES, Summer'!M$7</f>
        <v>8.1051786431152131</v>
      </c>
      <c r="N6" s="9">
        <f>VLOOKUP($A6,'RES installed'!$A$2:$C$7,3,FALSE)*'[1]Profiles, RES, Summer'!N$7</f>
        <v>8.7796065837013249</v>
      </c>
      <c r="O6" s="9">
        <f>VLOOKUP($A6,'RES installed'!$A$2:$C$7,3,FALSE)*'[1]Profiles, RES, Summer'!O$7</f>
        <v>11.682055399437976</v>
      </c>
      <c r="P6" s="9">
        <f>VLOOKUP($A6,'RES installed'!$A$2:$C$7,3,FALSE)*'[1]Profiles, RES, Summer'!P$7</f>
        <v>14.692894419911681</v>
      </c>
      <c r="Q6" s="9">
        <f>VLOOKUP($A6,'RES installed'!$A$2:$C$7,3,FALSE)*'[1]Profiles, RES, Summer'!Q$7</f>
        <v>15.415495784825371</v>
      </c>
      <c r="R6" s="9">
        <f>VLOOKUP($A6,'RES installed'!$A$2:$C$7,3,FALSE)*'[1]Profiles, RES, Summer'!R$7</f>
        <v>16.643918105178646</v>
      </c>
      <c r="S6" s="9">
        <f>VLOOKUP($A6,'RES installed'!$A$2:$C$7,3,FALSE)*'[1]Profiles, RES, Summer'!S$7</f>
        <v>17.318346045764756</v>
      </c>
      <c r="T6" s="9">
        <f>VLOOKUP($A6,'RES installed'!$A$2:$C$7,3,FALSE)*'[1]Profiles, RES, Summer'!T$7</f>
        <v>17.751906864712968</v>
      </c>
      <c r="U6" s="9">
        <f>VLOOKUP($A6,'RES installed'!$A$2:$C$7,3,FALSE)*'[1]Profiles, RES, Summer'!U$7</f>
        <v>20.341228422320352</v>
      </c>
      <c r="V6" s="9">
        <f>VLOOKUP($A6,'RES installed'!$A$2:$C$7,3,FALSE)*'[1]Profiles, RES, Summer'!V$7</f>
        <v>22.88237655560016</v>
      </c>
      <c r="W6" s="9">
        <f>VLOOKUP($A6,'RES installed'!$A$2:$C$7,3,FALSE)*'[1]Profiles, RES, Summer'!W$7</f>
        <v>22.099558410276995</v>
      </c>
      <c r="X6" s="9">
        <f>VLOOKUP($A6,'RES installed'!$A$2:$C$7,3,FALSE)*'[1]Profiles, RES, Summer'!X$7</f>
        <v>20.9313528703332</v>
      </c>
      <c r="Y6" s="9">
        <f>VLOOKUP($A6,'RES installed'!$A$2:$C$7,3,FALSE)*'[1]Profiles, RES, Summer'!Y$7</f>
        <v>20.55800883179446</v>
      </c>
    </row>
    <row r="7" spans="1:25" x14ac:dyDescent="0.3">
      <c r="A7" s="8">
        <v>6</v>
      </c>
      <c r="B7" s="9">
        <f>VLOOKUP($A7,'RES installed'!$A$2:$C$7,3,FALSE)*'[1]Profiles, RES, Summer'!B$7</f>
        <v>13.395222802087515</v>
      </c>
      <c r="C7" s="9">
        <f>VLOOKUP($A7,'RES installed'!$A$2:$C$7,3,FALSE)*'[1]Profiles, RES, Summer'!C$7</f>
        <v>12.049377759935769</v>
      </c>
      <c r="D7" s="9">
        <f>VLOOKUP($A7,'RES installed'!$A$2:$C$7,3,FALSE)*'[1]Profiles, RES, Summer'!D$7</f>
        <v>10.062224006423122</v>
      </c>
      <c r="E7" s="9">
        <f>VLOOKUP($A7,'RES installed'!$A$2:$C$7,3,FALSE)*'[1]Profiles, RES, Summer'!E$7</f>
        <v>9.5112404656764351</v>
      </c>
      <c r="F7" s="9">
        <f>VLOOKUP($A7,'RES installed'!$A$2:$C$7,3,FALSE)*'[1]Profiles, RES, Summer'!F$7</f>
        <v>9.3576876756322758</v>
      </c>
      <c r="G7" s="9">
        <f>VLOOKUP($A7,'RES installed'!$A$2:$C$7,3,FALSE)*'[1]Profiles, RES, Summer'!G$7</f>
        <v>10.495784825371336</v>
      </c>
      <c r="H7" s="9">
        <f>VLOOKUP($A7,'RES installed'!$A$2:$C$7,3,FALSE)*'[1]Profiles, RES, Summer'!H$7</f>
        <v>11.570654355680448</v>
      </c>
      <c r="I7" s="9">
        <f>VLOOKUP($A7,'RES installed'!$A$2:$C$7,3,FALSE)*'[1]Profiles, RES, Summer'!I$7</f>
        <v>11.968085106382979</v>
      </c>
      <c r="J7" s="9">
        <f>VLOOKUP($A7,'RES installed'!$A$2:$C$7,3,FALSE)*'[1]Profiles, RES, Summer'!J$7</f>
        <v>9.7280208751505413</v>
      </c>
      <c r="K7" s="9">
        <f>VLOOKUP($A7,'RES installed'!$A$2:$C$7,3,FALSE)*'[1]Profiles, RES, Summer'!K$7</f>
        <v>7.5692492974708951</v>
      </c>
      <c r="L7" s="9">
        <f>VLOOKUP($A7,'RES installed'!$A$2:$C$7,3,FALSE)*'[1]Profiles, RES, Summer'!L$7</f>
        <v>6.8105178643115218</v>
      </c>
      <c r="M7" s="9">
        <f>VLOOKUP($A7,'RES installed'!$A$2:$C$7,3,FALSE)*'[1]Profiles, RES, Summer'!M$7</f>
        <v>6.0788839823364107</v>
      </c>
      <c r="N7" s="9">
        <f>VLOOKUP($A7,'RES installed'!$A$2:$C$7,3,FALSE)*'[1]Profiles, RES, Summer'!N$7</f>
        <v>6.5847049377759941</v>
      </c>
      <c r="O7" s="9">
        <f>VLOOKUP($A7,'RES installed'!$A$2:$C$7,3,FALSE)*'[1]Profiles, RES, Summer'!O$7</f>
        <v>8.7615415495784816</v>
      </c>
      <c r="P7" s="9">
        <f>VLOOKUP($A7,'RES installed'!$A$2:$C$7,3,FALSE)*'[1]Profiles, RES, Summer'!P$7</f>
        <v>11.019670814933761</v>
      </c>
      <c r="Q7" s="9">
        <f>VLOOKUP($A7,'RES installed'!$A$2:$C$7,3,FALSE)*'[1]Profiles, RES, Summer'!Q$7</f>
        <v>11.561621838619029</v>
      </c>
      <c r="R7" s="9">
        <f>VLOOKUP($A7,'RES installed'!$A$2:$C$7,3,FALSE)*'[1]Profiles, RES, Summer'!R$7</f>
        <v>12.482938578883983</v>
      </c>
      <c r="S7" s="9">
        <f>VLOOKUP($A7,'RES installed'!$A$2:$C$7,3,FALSE)*'[1]Profiles, RES, Summer'!S$7</f>
        <v>12.988759534323565</v>
      </c>
      <c r="T7" s="9">
        <f>VLOOKUP($A7,'RES installed'!$A$2:$C$7,3,FALSE)*'[1]Profiles, RES, Summer'!T$7</f>
        <v>13.313930148534725</v>
      </c>
      <c r="U7" s="9">
        <f>VLOOKUP($A7,'RES installed'!$A$2:$C$7,3,FALSE)*'[1]Profiles, RES, Summer'!U$7</f>
        <v>15.255921316740265</v>
      </c>
      <c r="V7" s="9">
        <f>VLOOKUP($A7,'RES installed'!$A$2:$C$7,3,FALSE)*'[1]Profiles, RES, Summer'!V$7</f>
        <v>17.16178241670012</v>
      </c>
      <c r="W7" s="9">
        <f>VLOOKUP($A7,'RES installed'!$A$2:$C$7,3,FALSE)*'[1]Profiles, RES, Summer'!W$7</f>
        <v>16.574668807707749</v>
      </c>
      <c r="X7" s="9">
        <f>VLOOKUP($A7,'RES installed'!$A$2:$C$7,3,FALSE)*'[1]Profiles, RES, Summer'!X$7</f>
        <v>15.6985146527499</v>
      </c>
      <c r="Y7" s="9">
        <f>VLOOKUP($A7,'RES installed'!$A$2:$C$7,3,FALSE)*'[1]Profiles, RES, Summer'!Y$7</f>
        <v>15.418506623845845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2.843062926459439E-2</v>
      </c>
      <c r="H8" s="6">
        <f>VLOOKUP($A8,'RES installed'!$A$2:$C$7,3,FALSE)*'[1]Profiles, RES, Summer'!H$4</f>
        <v>3.49696739954511</v>
      </c>
      <c r="I8" s="6">
        <f>VLOOKUP($A8,'RES installed'!$A$2:$C$7,3,FALSE)*'[1]Profiles, RES, Summer'!I$4</f>
        <v>16.546626231993937</v>
      </c>
      <c r="J8" s="6">
        <f>VLOOKUP($A8,'RES installed'!$A$2:$C$7,3,FALSE)*'[1]Profiles, RES, Summer'!J$4</f>
        <v>36.021607278241092</v>
      </c>
      <c r="K8" s="6">
        <f>VLOOKUP($A8,'RES installed'!$A$2:$C$7,3,FALSE)*'[1]Profiles, RES, Summer'!K$4</f>
        <v>55.610310841546621</v>
      </c>
      <c r="L8" s="6">
        <f>VLOOKUP($A8,'RES installed'!$A$2:$C$7,3,FALSE)*'[1]Profiles, RES, Summer'!L$4</f>
        <v>68.26194086429112</v>
      </c>
      <c r="M8" s="6">
        <f>VLOOKUP($A8,'RES installed'!$A$2:$C$7,3,FALSE)*'[1]Profiles, RES, Summer'!M$4</f>
        <v>73.009855951478386</v>
      </c>
      <c r="N8" s="6">
        <f>VLOOKUP($A8,'RES installed'!$A$2:$C$7,3,FALSE)*'[1]Profiles, RES, Summer'!N$4</f>
        <v>75</v>
      </c>
      <c r="O8" s="6">
        <f>VLOOKUP($A8,'RES installed'!$A$2:$C$7,3,FALSE)*'[1]Profiles, RES, Summer'!O$4</f>
        <v>73.692191053828651</v>
      </c>
      <c r="P8" s="6">
        <f>VLOOKUP($A8,'RES installed'!$A$2:$C$7,3,FALSE)*'[1]Profiles, RES, Summer'!P$4</f>
        <v>69.967778620166797</v>
      </c>
      <c r="Q8" s="6">
        <f>VLOOKUP($A8,'RES installed'!$A$2:$C$7,3,FALSE)*'[1]Profiles, RES, Summer'!Q$4</f>
        <v>61.921910538286582</v>
      </c>
      <c r="R8" s="6">
        <f>VLOOKUP($A8,'RES installed'!$A$2:$C$7,3,FALSE)*'[1]Profiles, RES, Summer'!R$4</f>
        <v>48.644806671721</v>
      </c>
      <c r="S8" s="6">
        <f>VLOOKUP($A8,'RES installed'!$A$2:$C$7,3,FALSE)*'[1]Profiles, RES, Summer'!S$4</f>
        <v>28.94238059135709</v>
      </c>
      <c r="T8" s="6">
        <f>VLOOKUP($A8,'RES installed'!$A$2:$C$7,3,FALSE)*'[1]Profiles, RES, Summer'!T$4</f>
        <v>8.8419257012888544</v>
      </c>
      <c r="U8" s="6">
        <f>VLOOKUP($A8,'RES installed'!$A$2:$C$7,3,FALSE)*'[1]Profiles, RES, Summer'!U$4</f>
        <v>0.39802880970432147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1.8953752843062926E-2</v>
      </c>
      <c r="H9" s="6">
        <f>VLOOKUP($A9,'RES installed'!$A$2:$C$7,3,FALSE)*'[1]Profiles, RES, Summer'!H$4</f>
        <v>2.3313115996967402</v>
      </c>
      <c r="I9" s="6">
        <f>VLOOKUP($A9,'RES installed'!$A$2:$C$7,3,FALSE)*'[1]Profiles, RES, Summer'!I$4</f>
        <v>11.031084154662624</v>
      </c>
      <c r="J9" s="6">
        <f>VLOOKUP($A9,'RES installed'!$A$2:$C$7,3,FALSE)*'[1]Profiles, RES, Summer'!J$4</f>
        <v>24.014404852160727</v>
      </c>
      <c r="K9" s="6">
        <f>VLOOKUP($A9,'RES installed'!$A$2:$C$7,3,FALSE)*'[1]Profiles, RES, Summer'!K$4</f>
        <v>37.073540561031081</v>
      </c>
      <c r="L9" s="6">
        <f>VLOOKUP($A9,'RES installed'!$A$2:$C$7,3,FALSE)*'[1]Profiles, RES, Summer'!L$4</f>
        <v>45.507960576194087</v>
      </c>
      <c r="M9" s="6">
        <f>VLOOKUP($A9,'RES installed'!$A$2:$C$7,3,FALSE)*'[1]Profiles, RES, Summer'!M$4</f>
        <v>48.673237300985598</v>
      </c>
      <c r="N9" s="6">
        <f>VLOOKUP($A9,'RES installed'!$A$2:$C$7,3,FALSE)*'[1]Profiles, RES, Summer'!N$4</f>
        <v>50</v>
      </c>
      <c r="O9" s="6">
        <f>VLOOKUP($A9,'RES installed'!$A$2:$C$7,3,FALSE)*'[1]Profiles, RES, Summer'!O$4</f>
        <v>49.128127369219108</v>
      </c>
      <c r="P9" s="6">
        <f>VLOOKUP($A9,'RES installed'!$A$2:$C$7,3,FALSE)*'[1]Profiles, RES, Summer'!P$4</f>
        <v>46.645185746777862</v>
      </c>
      <c r="Q9" s="6">
        <f>VLOOKUP($A9,'RES installed'!$A$2:$C$7,3,FALSE)*'[1]Profiles, RES, Summer'!Q$4</f>
        <v>41.281273692191057</v>
      </c>
      <c r="R9" s="6">
        <f>VLOOKUP($A9,'RES installed'!$A$2:$C$7,3,FALSE)*'[1]Profiles, RES, Summer'!R$4</f>
        <v>32.429871114480669</v>
      </c>
      <c r="S9" s="6">
        <f>VLOOKUP($A9,'RES installed'!$A$2:$C$7,3,FALSE)*'[1]Profiles, RES, Summer'!S$4</f>
        <v>19.294920394238062</v>
      </c>
      <c r="T9" s="6">
        <f>VLOOKUP($A9,'RES installed'!$A$2:$C$7,3,FALSE)*'[1]Profiles, RES, Summer'!T$4</f>
        <v>5.8946171341925702</v>
      </c>
      <c r="U9" s="6">
        <f>VLOOKUP($A9,'RES installed'!$A$2:$C$7,3,FALSE)*'[1]Profiles, RES, Summer'!U$4</f>
        <v>0.26535253980288098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2.2744503411675512E-2</v>
      </c>
      <c r="H10" s="6">
        <f>VLOOKUP($A10,'RES installed'!$A$2:$C$7,3,FALSE)*'[1]Profiles, RES, Summer'!H$4</f>
        <v>2.797573919636088</v>
      </c>
      <c r="I10" s="6">
        <f>VLOOKUP($A10,'RES installed'!$A$2:$C$7,3,FALSE)*'[1]Profiles, RES, Summer'!I$4</f>
        <v>13.237300985595148</v>
      </c>
      <c r="J10" s="6">
        <f>VLOOKUP($A10,'RES installed'!$A$2:$C$7,3,FALSE)*'[1]Profiles, RES, Summer'!J$4</f>
        <v>28.817285822592876</v>
      </c>
      <c r="K10" s="6">
        <f>VLOOKUP($A10,'RES installed'!$A$2:$C$7,3,FALSE)*'[1]Profiles, RES, Summer'!K$4</f>
        <v>44.488248673237301</v>
      </c>
      <c r="L10" s="6">
        <f>VLOOKUP($A10,'RES installed'!$A$2:$C$7,3,FALSE)*'[1]Profiles, RES, Summer'!L$4</f>
        <v>54.609552691432903</v>
      </c>
      <c r="M10" s="6">
        <f>VLOOKUP($A10,'RES installed'!$A$2:$C$7,3,FALSE)*'[1]Profiles, RES, Summer'!M$4</f>
        <v>58.407884761182714</v>
      </c>
      <c r="N10" s="6">
        <f>VLOOKUP($A10,'RES installed'!$A$2:$C$7,3,FALSE)*'[1]Profiles, RES, Summer'!N$4</f>
        <v>60</v>
      </c>
      <c r="O10" s="6">
        <f>VLOOKUP($A10,'RES installed'!$A$2:$C$7,3,FALSE)*'[1]Profiles, RES, Summer'!O$4</f>
        <v>58.953752843062922</v>
      </c>
      <c r="P10" s="6">
        <f>VLOOKUP($A10,'RES installed'!$A$2:$C$7,3,FALSE)*'[1]Profiles, RES, Summer'!P$4</f>
        <v>55.974222896133433</v>
      </c>
      <c r="Q10" s="6">
        <f>VLOOKUP($A10,'RES installed'!$A$2:$C$7,3,FALSE)*'[1]Profiles, RES, Summer'!Q$4</f>
        <v>49.537528430629266</v>
      </c>
      <c r="R10" s="6">
        <f>VLOOKUP($A10,'RES installed'!$A$2:$C$7,3,FALSE)*'[1]Profiles, RES, Summer'!R$4</f>
        <v>38.915845337376801</v>
      </c>
      <c r="S10" s="6">
        <f>VLOOKUP($A10,'RES installed'!$A$2:$C$7,3,FALSE)*'[1]Profiles, RES, Summer'!S$4</f>
        <v>23.153904473085671</v>
      </c>
      <c r="T10" s="6">
        <f>VLOOKUP($A10,'RES installed'!$A$2:$C$7,3,FALSE)*'[1]Profiles, RES, Summer'!T$4</f>
        <v>7.0735405610310842</v>
      </c>
      <c r="U10" s="6">
        <f>VLOOKUP($A10,'RES installed'!$A$2:$C$7,3,FALSE)*'[1]Profiles, RES, Summer'!U$4</f>
        <v>0.3184230477634572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F412E-03FF-4CAB-85E1-C58A8E86AF6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64C76-9EDF-4252-BA3B-EDA21B947A80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EE3FA-BE46-4CB7-AE43-AF4A1A10FF9F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588C4-FEB5-4FAF-AB77-B6253D8060E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6E660-9D0F-4249-B1FF-B682310B935B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111CC-BA89-4319-A364-266BB9C3D1D8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171DE-90DC-45C2-9AB6-C79856233331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2334F-2329-484F-A3BB-F1C62E3D76AD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4EBA2-B0AD-4F22-9BB6-F0186F579EA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30D89-783A-49F7-9E51-4F1FD5546230}">
  <dimension ref="A1:Y10"/>
  <sheetViews>
    <sheetView topLeftCell="G1" workbookViewId="0">
      <selection activeCell="M10" sqref="M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</row>
    <row r="4" spans="1:25" x14ac:dyDescent="0.3">
      <c r="A4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8">
        <v>5</v>
      </c>
      <c r="B6" s="8">
        <v>1</v>
      </c>
      <c r="C6" s="8">
        <v>1</v>
      </c>
      <c r="D6" s="8">
        <v>1</v>
      </c>
      <c r="E6" s="8">
        <v>1</v>
      </c>
      <c r="F6" s="8">
        <v>1</v>
      </c>
      <c r="G6" s="8">
        <v>1</v>
      </c>
      <c r="H6" s="8">
        <v>1</v>
      </c>
      <c r="I6" s="8">
        <v>1</v>
      </c>
      <c r="J6" s="8">
        <v>1</v>
      </c>
      <c r="K6" s="8">
        <v>1</v>
      </c>
      <c r="L6" s="8">
        <v>1</v>
      </c>
      <c r="M6" s="8">
        <v>1</v>
      </c>
      <c r="N6" s="8">
        <v>1</v>
      </c>
      <c r="O6" s="8">
        <v>1</v>
      </c>
      <c r="P6" s="8">
        <v>1</v>
      </c>
      <c r="Q6" s="8">
        <v>1</v>
      </c>
      <c r="R6" s="8">
        <v>1</v>
      </c>
      <c r="S6" s="8">
        <v>1</v>
      </c>
      <c r="T6" s="8">
        <v>1</v>
      </c>
      <c r="U6" s="8">
        <v>1</v>
      </c>
      <c r="V6" s="8">
        <v>1</v>
      </c>
      <c r="W6" s="8">
        <v>1</v>
      </c>
      <c r="X6" s="8">
        <v>1</v>
      </c>
      <c r="Y6" s="8">
        <v>1</v>
      </c>
    </row>
    <row r="7" spans="1:25" x14ac:dyDescent="0.3">
      <c r="A7" s="8">
        <v>6</v>
      </c>
      <c r="B7" s="8">
        <v>1</v>
      </c>
      <c r="C7" s="8">
        <v>1</v>
      </c>
      <c r="D7" s="8">
        <v>1</v>
      </c>
      <c r="E7" s="8">
        <v>1</v>
      </c>
      <c r="F7" s="8">
        <v>1</v>
      </c>
      <c r="G7" s="8">
        <v>1</v>
      </c>
      <c r="H7" s="8">
        <v>1</v>
      </c>
      <c r="I7" s="8">
        <v>1</v>
      </c>
      <c r="J7" s="8">
        <v>1</v>
      </c>
      <c r="K7" s="8">
        <v>1</v>
      </c>
      <c r="L7" s="8">
        <v>1</v>
      </c>
      <c r="M7" s="8">
        <v>1</v>
      </c>
      <c r="N7" s="8">
        <v>1</v>
      </c>
      <c r="O7" s="8">
        <v>1</v>
      </c>
      <c r="P7" s="8">
        <v>1</v>
      </c>
      <c r="Q7" s="8">
        <v>1</v>
      </c>
      <c r="R7" s="8">
        <v>1</v>
      </c>
      <c r="S7" s="8">
        <v>1</v>
      </c>
      <c r="T7" s="8">
        <v>1</v>
      </c>
      <c r="U7" s="8">
        <v>1</v>
      </c>
      <c r="V7" s="8">
        <v>1</v>
      </c>
      <c r="W7" s="8">
        <v>1</v>
      </c>
      <c r="X7" s="8">
        <v>1</v>
      </c>
      <c r="Y7" s="8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  <row r="9" spans="1:25" x14ac:dyDescent="0.3">
      <c r="A9" s="5">
        <v>8</v>
      </c>
      <c r="B9" s="5">
        <v>1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</row>
    <row r="10" spans="1:25" x14ac:dyDescent="0.3">
      <c r="A10" s="5">
        <v>9</v>
      </c>
      <c r="B10" s="5">
        <v>1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1</v>
      </c>
      <c r="Y10" s="5">
        <v>1</v>
      </c>
    </row>
  </sheetData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86DA5-92A0-4EFF-BFF4-80CC021F38B7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38.480954215750771</v>
      </c>
      <c r="C2" s="2">
        <f>('[1]Pc, Summer, S1'!C2*Main!$B$5)+(_xlfn.IFNA(VLOOKUP($A2,'FL Ratio'!$A$3:$B$10,2,FALSE),0)*'FL Characterization'!C$2)</f>
        <v>34.96166895564884</v>
      </c>
      <c r="D2" s="2">
        <f>('[1]Pc, Summer, S1'!D2*Main!$B$5)+(_xlfn.IFNA(VLOOKUP($A2,'FL Ratio'!$A$3:$B$10,2,FALSE),0)*'FL Characterization'!D$2)</f>
        <v>34.350979464228324</v>
      </c>
      <c r="E2" s="2">
        <f>('[1]Pc, Summer, S1'!E2*Main!$B$5)+(_xlfn.IFNA(VLOOKUP($A2,'FL Ratio'!$A$3:$B$10,2,FALSE),0)*'FL Characterization'!E$2)</f>
        <v>34.263227687059405</v>
      </c>
      <c r="F2" s="2">
        <f>('[1]Pc, Summer, S1'!F2*Main!$B$5)+(_xlfn.IFNA(VLOOKUP($A2,'FL Ratio'!$A$3:$B$10,2,FALSE),0)*'FL Characterization'!F$2)</f>
        <v>34.265929003711932</v>
      </c>
      <c r="G2" s="2">
        <f>('[1]Pc, Summer, S1'!G2*Main!$B$5)+(_xlfn.IFNA(VLOOKUP($A2,'FL Ratio'!$A$3:$B$10,2,FALSE),0)*'FL Characterization'!G$2)</f>
        <v>33.962891139890573</v>
      </c>
      <c r="H2" s="2">
        <f>('[1]Pc, Summer, S1'!H2*Main!$B$5)+(_xlfn.IFNA(VLOOKUP($A2,'FL Ratio'!$A$3:$B$10,2,FALSE),0)*'FL Characterization'!H$2)</f>
        <v>36.665972746744636</v>
      </c>
      <c r="I2" s="2">
        <f>('[1]Pc, Summer, S1'!I2*Main!$B$5)+(_xlfn.IFNA(VLOOKUP($A2,'FL Ratio'!$A$3:$B$10,2,FALSE),0)*'FL Characterization'!I$2)</f>
        <v>43.531467438024414</v>
      </c>
      <c r="J2" s="2">
        <f>('[1]Pc, Summer, S1'!J2*Main!$B$5)+(_xlfn.IFNA(VLOOKUP($A2,'FL Ratio'!$A$3:$B$10,2,FALSE),0)*'FL Characterization'!J$2)</f>
        <v>49.613494845945262</v>
      </c>
      <c r="K2" s="2">
        <f>('[1]Pc, Summer, S1'!K2*Main!$B$5)+(_xlfn.IFNA(VLOOKUP($A2,'FL Ratio'!$A$3:$B$10,2,FALSE),0)*'FL Characterization'!K$2)</f>
        <v>51.138020759385277</v>
      </c>
      <c r="L2" s="2">
        <f>('[1]Pc, Summer, S1'!L2*Main!$B$5)+(_xlfn.IFNA(VLOOKUP($A2,'FL Ratio'!$A$3:$B$10,2,FALSE),0)*'FL Characterization'!L$2)</f>
        <v>50.620517631923562</v>
      </c>
      <c r="M2" s="2">
        <f>('[1]Pc, Summer, S1'!M2*Main!$B$5)+(_xlfn.IFNA(VLOOKUP($A2,'FL Ratio'!$A$3:$B$10,2,FALSE),0)*'FL Characterization'!M$2)</f>
        <v>52.051995396740857</v>
      </c>
      <c r="N2" s="2">
        <f>('[1]Pc, Summer, S1'!N2*Main!$B$5)+(_xlfn.IFNA(VLOOKUP($A2,'FL Ratio'!$A$3:$B$10,2,FALSE),0)*'FL Characterization'!N$2)</f>
        <v>52.766039021566442</v>
      </c>
      <c r="O2" s="2">
        <f>('[1]Pc, Summer, S1'!O2*Main!$B$5)+(_xlfn.IFNA(VLOOKUP($A2,'FL Ratio'!$A$3:$B$10,2,FALSE),0)*'FL Characterization'!O$2)</f>
        <v>51.789966153279217</v>
      </c>
      <c r="P2" s="2">
        <f>('[1]Pc, Summer, S1'!P2*Main!$B$5)+(_xlfn.IFNA(VLOOKUP($A2,'FL Ratio'!$A$3:$B$10,2,FALSE),0)*'FL Characterization'!P$2)</f>
        <v>49.766262416227569</v>
      </c>
      <c r="Q2" s="2">
        <f>('[1]Pc, Summer, S1'!Q2*Main!$B$5)+(_xlfn.IFNA(VLOOKUP($A2,'FL Ratio'!$A$3:$B$10,2,FALSE),0)*'FL Characterization'!Q$2)</f>
        <v>47.763256211319565</v>
      </c>
      <c r="R2" s="2">
        <f>('[1]Pc, Summer, S1'!R2*Main!$B$5)+(_xlfn.IFNA(VLOOKUP($A2,'FL Ratio'!$A$3:$B$10,2,FALSE),0)*'FL Characterization'!R$2)</f>
        <v>48.59656849585464</v>
      </c>
      <c r="S2" s="2">
        <f>('[1]Pc, Summer, S1'!S2*Main!$B$5)+(_xlfn.IFNA(VLOOKUP($A2,'FL Ratio'!$A$3:$B$10,2,FALSE),0)*'FL Characterization'!S$2)</f>
        <v>49.076690453065105</v>
      </c>
      <c r="T2" s="2">
        <f>('[1]Pc, Summer, S1'!T2*Main!$B$5)+(_xlfn.IFNA(VLOOKUP($A2,'FL Ratio'!$A$3:$B$10,2,FALSE),0)*'FL Characterization'!T$2)</f>
        <v>49.285002772984349</v>
      </c>
      <c r="U2" s="2">
        <f>('[1]Pc, Summer, S1'!U2*Main!$B$5)+(_xlfn.IFNA(VLOOKUP($A2,'FL Ratio'!$A$3:$B$10,2,FALSE),0)*'FL Characterization'!U$2)</f>
        <v>48.469109396849142</v>
      </c>
      <c r="V2" s="2">
        <f>('[1]Pc, Summer, S1'!V2*Main!$B$5)+(_xlfn.IFNA(VLOOKUP($A2,'FL Ratio'!$A$3:$B$10,2,FALSE),0)*'FL Characterization'!V$2)</f>
        <v>48.61473771960015</v>
      </c>
      <c r="W2" s="2">
        <f>('[1]Pc, Summer, S1'!W2*Main!$B$5)+(_xlfn.IFNA(VLOOKUP($A2,'FL Ratio'!$A$3:$B$10,2,FALSE),0)*'FL Characterization'!W$2)</f>
        <v>50.628261461867297</v>
      </c>
      <c r="X2" s="2">
        <f>('[1]Pc, Summer, S1'!X2*Main!$B$5)+(_xlfn.IFNA(VLOOKUP($A2,'FL Ratio'!$A$3:$B$10,2,FALSE),0)*'FL Characterization'!X$2)</f>
        <v>47.191667586085899</v>
      </c>
      <c r="Y2" s="2">
        <f>('[1]Pc, Summer, S1'!Y2*Main!$B$5)+(_xlfn.IFNA(VLOOKUP($A2,'FL Ratio'!$A$3:$B$10,2,FALSE),0)*'FL Characterization'!Y$2)</f>
        <v>43.260338540101472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41.450131518206099</v>
      </c>
      <c r="C3" s="2">
        <f>('[1]Pc, Summer, S1'!C3*Main!$B$5)+(_xlfn.IFNA(VLOOKUP($A3,'FL Ratio'!$A$3:$B$10,2,FALSE),0)*'FL Characterization'!C$2)</f>
        <v>38.040406280325101</v>
      </c>
      <c r="D3" s="2">
        <f>('[1]Pc, Summer, S1'!D3*Main!$B$5)+(_xlfn.IFNA(VLOOKUP($A3,'FL Ratio'!$A$3:$B$10,2,FALSE),0)*'FL Characterization'!D$2)</f>
        <v>36.038650975437754</v>
      </c>
      <c r="E3" s="2">
        <f>('[1]Pc, Summer, S1'!E3*Main!$B$5)+(_xlfn.IFNA(VLOOKUP($A3,'FL Ratio'!$A$3:$B$10,2,FALSE),0)*'FL Characterization'!E$2)</f>
        <v>34.718434610900964</v>
      </c>
      <c r="F3" s="2">
        <f>('[1]Pc, Summer, S1'!F3*Main!$B$5)+(_xlfn.IFNA(VLOOKUP($A3,'FL Ratio'!$A$3:$B$10,2,FALSE),0)*'FL Characterization'!F$2)</f>
        <v>34.33285901769473</v>
      </c>
      <c r="G3" s="2">
        <f>('[1]Pc, Summer, S1'!G3*Main!$B$5)+(_xlfn.IFNA(VLOOKUP($A3,'FL Ratio'!$A$3:$B$10,2,FALSE),0)*'FL Characterization'!G$2)</f>
        <v>36.421813558189349</v>
      </c>
      <c r="H3" s="2">
        <f>('[1]Pc, Summer, S1'!H3*Main!$B$5)+(_xlfn.IFNA(VLOOKUP($A3,'FL Ratio'!$A$3:$B$10,2,FALSE),0)*'FL Characterization'!H$2)</f>
        <v>45.590865641431833</v>
      </c>
      <c r="I3" s="2">
        <f>('[1]Pc, Summer, S1'!I3*Main!$B$5)+(_xlfn.IFNA(VLOOKUP($A3,'FL Ratio'!$A$3:$B$10,2,FALSE),0)*'FL Characterization'!I$2)</f>
        <v>54.184943456679896</v>
      </c>
      <c r="J3" s="2">
        <f>('[1]Pc, Summer, S1'!J3*Main!$B$5)+(_xlfn.IFNA(VLOOKUP($A3,'FL Ratio'!$A$3:$B$10,2,FALSE),0)*'FL Characterization'!J$2)</f>
        <v>56.500337407296826</v>
      </c>
      <c r="K3" s="2">
        <f>('[1]Pc, Summer, S1'!K3*Main!$B$5)+(_xlfn.IFNA(VLOOKUP($A3,'FL Ratio'!$A$3:$B$10,2,FALSE),0)*'FL Characterization'!K$2)</f>
        <v>55.450513104725751</v>
      </c>
      <c r="L3" s="2">
        <f>('[1]Pc, Summer, S1'!L3*Main!$B$5)+(_xlfn.IFNA(VLOOKUP($A3,'FL Ratio'!$A$3:$B$10,2,FALSE),0)*'FL Characterization'!L$2)</f>
        <v>55.258302200720259</v>
      </c>
      <c r="M3" s="2">
        <f>('[1]Pc, Summer, S1'!M3*Main!$B$5)+(_xlfn.IFNA(VLOOKUP($A3,'FL Ratio'!$A$3:$B$10,2,FALSE),0)*'FL Characterization'!M$2)</f>
        <v>58.926229238482563</v>
      </c>
      <c r="N3" s="2">
        <f>('[1]Pc, Summer, S1'!N3*Main!$B$5)+(_xlfn.IFNA(VLOOKUP($A3,'FL Ratio'!$A$3:$B$10,2,FALSE),0)*'FL Characterization'!N$2)</f>
        <v>59.102588506217032</v>
      </c>
      <c r="O3" s="2">
        <f>('[1]Pc, Summer, S1'!O3*Main!$B$5)+(_xlfn.IFNA(VLOOKUP($A3,'FL Ratio'!$A$3:$B$10,2,FALSE),0)*'FL Characterization'!O$2)</f>
        <v>59.501623617050598</v>
      </c>
      <c r="P3" s="2">
        <f>('[1]Pc, Summer, S1'!P3*Main!$B$5)+(_xlfn.IFNA(VLOOKUP($A3,'FL Ratio'!$A$3:$B$10,2,FALSE),0)*'FL Characterization'!P$2)</f>
        <v>56.618265449785021</v>
      </c>
      <c r="Q3" s="2">
        <f>('[1]Pc, Summer, S1'!Q3*Main!$B$5)+(_xlfn.IFNA(VLOOKUP($A3,'FL Ratio'!$A$3:$B$10,2,FALSE),0)*'FL Characterization'!Q$2)</f>
        <v>53.634928047941109</v>
      </c>
      <c r="R3" s="2">
        <f>('[1]Pc, Summer, S1'!R3*Main!$B$5)+(_xlfn.IFNA(VLOOKUP($A3,'FL Ratio'!$A$3:$B$10,2,FALSE),0)*'FL Characterization'!R$2)</f>
        <v>49.624382726066912</v>
      </c>
      <c r="S3" s="2">
        <f>('[1]Pc, Summer, S1'!S3*Main!$B$5)+(_xlfn.IFNA(VLOOKUP($A3,'FL Ratio'!$A$3:$B$10,2,FALSE),0)*'FL Characterization'!S$2)</f>
        <v>50.157023342759921</v>
      </c>
      <c r="T3" s="2">
        <f>('[1]Pc, Summer, S1'!T3*Main!$B$5)+(_xlfn.IFNA(VLOOKUP($A3,'FL Ratio'!$A$3:$B$10,2,FALSE),0)*'FL Characterization'!T$2)</f>
        <v>49.724735306023561</v>
      </c>
      <c r="U3" s="2">
        <f>('[1]Pc, Summer, S1'!U3*Main!$B$5)+(_xlfn.IFNA(VLOOKUP($A3,'FL Ratio'!$A$3:$B$10,2,FALSE),0)*'FL Characterization'!U$2)</f>
        <v>49.542438015806447</v>
      </c>
      <c r="V3" s="2">
        <f>('[1]Pc, Summer, S1'!V3*Main!$B$5)+(_xlfn.IFNA(VLOOKUP($A3,'FL Ratio'!$A$3:$B$10,2,FALSE),0)*'FL Characterization'!V$2)</f>
        <v>49.766301463402058</v>
      </c>
      <c r="W3" s="2">
        <f>('[1]Pc, Summer, S1'!W3*Main!$B$5)+(_xlfn.IFNA(VLOOKUP($A3,'FL Ratio'!$A$3:$B$10,2,FALSE),0)*'FL Characterization'!W$2)</f>
        <v>49.515914848717308</v>
      </c>
      <c r="X3" s="2">
        <f>('[1]Pc, Summer, S1'!X3*Main!$B$5)+(_xlfn.IFNA(VLOOKUP($A3,'FL Ratio'!$A$3:$B$10,2,FALSE),0)*'FL Characterization'!X$2)</f>
        <v>49.195004474388405</v>
      </c>
      <c r="Y3" s="2">
        <f>('[1]Pc, Summer, S1'!Y3*Main!$B$5)+(_xlfn.IFNA(VLOOKUP($A3,'FL Ratio'!$A$3:$B$10,2,FALSE),0)*'FL Characterization'!Y$2)</f>
        <v>46.528703924714819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55.041562981378497</v>
      </c>
      <c r="C4" s="2">
        <f>('[1]Pc, Summer, S1'!C4*Main!$B$5)+(_xlfn.IFNA(VLOOKUP($A4,'FL Ratio'!$A$3:$B$10,2,FALSE),0)*'FL Characterization'!C$2)</f>
        <v>48.825567637088682</v>
      </c>
      <c r="D4" s="2">
        <f>('[1]Pc, Summer, S1'!D4*Main!$B$5)+(_xlfn.IFNA(VLOOKUP($A4,'FL Ratio'!$A$3:$B$10,2,FALSE),0)*'FL Characterization'!D$2)</f>
        <v>46.043694300501407</v>
      </c>
      <c r="E4" s="2">
        <f>('[1]Pc, Summer, S1'!E4*Main!$B$5)+(_xlfn.IFNA(VLOOKUP($A4,'FL Ratio'!$A$3:$B$10,2,FALSE),0)*'FL Characterization'!E$2)</f>
        <v>44.537386887613607</v>
      </c>
      <c r="F4" s="2">
        <f>('[1]Pc, Summer, S1'!F4*Main!$B$5)+(_xlfn.IFNA(VLOOKUP($A4,'FL Ratio'!$A$3:$B$10,2,FALSE),0)*'FL Characterization'!F$2)</f>
        <v>46.699999948594431</v>
      </c>
      <c r="G4" s="2">
        <f>('[1]Pc, Summer, S1'!G4*Main!$B$5)+(_xlfn.IFNA(VLOOKUP($A4,'FL Ratio'!$A$3:$B$10,2,FALSE),0)*'FL Characterization'!G$2)</f>
        <v>42.656716381168572</v>
      </c>
      <c r="H4" s="2">
        <f>('[1]Pc, Summer, S1'!H4*Main!$B$5)+(_xlfn.IFNA(VLOOKUP($A4,'FL Ratio'!$A$3:$B$10,2,FALSE),0)*'FL Characterization'!H$2)</f>
        <v>50.10288124294425</v>
      </c>
      <c r="I4" s="2">
        <f>('[1]Pc, Summer, S1'!I4*Main!$B$5)+(_xlfn.IFNA(VLOOKUP($A4,'FL Ratio'!$A$3:$B$10,2,FALSE),0)*'FL Characterization'!I$2)</f>
        <v>56.362653058384069</v>
      </c>
      <c r="J4" s="2">
        <f>('[1]Pc, Summer, S1'!J4*Main!$B$5)+(_xlfn.IFNA(VLOOKUP($A4,'FL Ratio'!$A$3:$B$10,2,FALSE),0)*'FL Characterization'!J$2)</f>
        <v>63.418447201458179</v>
      </c>
      <c r="K4" s="2">
        <f>('[1]Pc, Summer, S1'!K4*Main!$B$5)+(_xlfn.IFNA(VLOOKUP($A4,'FL Ratio'!$A$3:$B$10,2,FALSE),0)*'FL Characterization'!K$2)</f>
        <v>68.171447892569361</v>
      </c>
      <c r="L4" s="2">
        <f>('[1]Pc, Summer, S1'!L4*Main!$B$5)+(_xlfn.IFNA(VLOOKUP($A4,'FL Ratio'!$A$3:$B$10,2,FALSE),0)*'FL Characterization'!L$2)</f>
        <v>70.174086632153376</v>
      </c>
      <c r="M4" s="2">
        <f>('[1]Pc, Summer, S1'!M4*Main!$B$5)+(_xlfn.IFNA(VLOOKUP($A4,'FL Ratio'!$A$3:$B$10,2,FALSE),0)*'FL Characterization'!M$2)</f>
        <v>71.340309327674746</v>
      </c>
      <c r="N4" s="2">
        <f>('[1]Pc, Summer, S1'!N4*Main!$B$5)+(_xlfn.IFNA(VLOOKUP($A4,'FL Ratio'!$A$3:$B$10,2,FALSE),0)*'FL Characterization'!N$2)</f>
        <v>72.911609765472193</v>
      </c>
      <c r="O4" s="2">
        <f>('[1]Pc, Summer, S1'!O4*Main!$B$5)+(_xlfn.IFNA(VLOOKUP($A4,'FL Ratio'!$A$3:$B$10,2,FALSE),0)*'FL Characterization'!O$2)</f>
        <v>73.903938271807149</v>
      </c>
      <c r="P4" s="2">
        <f>('[1]Pc, Summer, S1'!P4*Main!$B$5)+(_xlfn.IFNA(VLOOKUP($A4,'FL Ratio'!$A$3:$B$10,2,FALSE),0)*'FL Characterization'!P$2)</f>
        <v>74.217247233009473</v>
      </c>
      <c r="Q4" s="2">
        <f>('[1]Pc, Summer, S1'!Q4*Main!$B$5)+(_xlfn.IFNA(VLOOKUP($A4,'FL Ratio'!$A$3:$B$10,2,FALSE),0)*'FL Characterization'!Q$2)</f>
        <v>71.438978296681114</v>
      </c>
      <c r="R4" s="2">
        <f>('[1]Pc, Summer, S1'!R4*Main!$B$5)+(_xlfn.IFNA(VLOOKUP($A4,'FL Ratio'!$A$3:$B$10,2,FALSE),0)*'FL Characterization'!R$2)</f>
        <v>71.072272541855469</v>
      </c>
      <c r="S4" s="2">
        <f>('[1]Pc, Summer, S1'!S4*Main!$B$5)+(_xlfn.IFNA(VLOOKUP($A4,'FL Ratio'!$A$3:$B$10,2,FALSE),0)*'FL Characterization'!S$2)</f>
        <v>68.854021470835733</v>
      </c>
      <c r="T4" s="2">
        <f>('[1]Pc, Summer, S1'!T4*Main!$B$5)+(_xlfn.IFNA(VLOOKUP($A4,'FL Ratio'!$A$3:$B$10,2,FALSE),0)*'FL Characterization'!T$2)</f>
        <v>68.778508307785955</v>
      </c>
      <c r="U4" s="2">
        <f>('[1]Pc, Summer, S1'!U4*Main!$B$5)+(_xlfn.IFNA(VLOOKUP($A4,'FL Ratio'!$A$3:$B$10,2,FALSE),0)*'FL Characterization'!U$2)</f>
        <v>69.156640497057609</v>
      </c>
      <c r="V4" s="2">
        <f>('[1]Pc, Summer, S1'!V4*Main!$B$5)+(_xlfn.IFNA(VLOOKUP($A4,'FL Ratio'!$A$3:$B$10,2,FALSE),0)*'FL Characterization'!V$2)</f>
        <v>68.815570588146286</v>
      </c>
      <c r="W4" s="2">
        <f>('[1]Pc, Summer, S1'!W4*Main!$B$5)+(_xlfn.IFNA(VLOOKUP($A4,'FL Ratio'!$A$3:$B$10,2,FALSE),0)*'FL Characterization'!W$2)</f>
        <v>71.008586338820479</v>
      </c>
      <c r="X4" s="2">
        <f>('[1]Pc, Summer, S1'!X4*Main!$B$5)+(_xlfn.IFNA(VLOOKUP($A4,'FL Ratio'!$A$3:$B$10,2,FALSE),0)*'FL Characterization'!X$2)</f>
        <v>70.829826838228271</v>
      </c>
      <c r="Y4" s="2">
        <f>('[1]Pc, Summer, S1'!Y4*Main!$B$5)+(_xlfn.IFNA(VLOOKUP($A4,'FL Ratio'!$A$3:$B$10,2,FALSE),0)*'FL Characterization'!Y$2)</f>
        <v>63.87946533213799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03274-B199-4149-B2FD-E279CA9FB158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38.480954215750771</v>
      </c>
      <c r="C2" s="2">
        <f>('[1]Pc, Summer, S1'!C2*Main!$B$5)+(_xlfn.IFNA(VLOOKUP($A2,'FL Ratio'!$A$3:$B$10,2,FALSE),0)*'FL Characterization'!C$2)</f>
        <v>34.96166895564884</v>
      </c>
      <c r="D2" s="2">
        <f>('[1]Pc, Summer, S1'!D2*Main!$B$5)+(_xlfn.IFNA(VLOOKUP($A2,'FL Ratio'!$A$3:$B$10,2,FALSE),0)*'FL Characterization'!D$2)</f>
        <v>34.350979464228324</v>
      </c>
      <c r="E2" s="2">
        <f>('[1]Pc, Summer, S1'!E2*Main!$B$5)+(_xlfn.IFNA(VLOOKUP($A2,'FL Ratio'!$A$3:$B$10,2,FALSE),0)*'FL Characterization'!E$2)</f>
        <v>34.263227687059405</v>
      </c>
      <c r="F2" s="2">
        <f>('[1]Pc, Summer, S1'!F2*Main!$B$5)+(_xlfn.IFNA(VLOOKUP($A2,'FL Ratio'!$A$3:$B$10,2,FALSE),0)*'FL Characterization'!F$2)</f>
        <v>34.265929003711932</v>
      </c>
      <c r="G2" s="2">
        <f>('[1]Pc, Summer, S1'!G2*Main!$B$5)+(_xlfn.IFNA(VLOOKUP($A2,'FL Ratio'!$A$3:$B$10,2,FALSE),0)*'FL Characterization'!G$2)</f>
        <v>33.962891139890573</v>
      </c>
      <c r="H2" s="2">
        <f>('[1]Pc, Summer, S1'!H2*Main!$B$5)+(_xlfn.IFNA(VLOOKUP($A2,'FL Ratio'!$A$3:$B$10,2,FALSE),0)*'FL Characterization'!H$2)</f>
        <v>36.665972746744636</v>
      </c>
      <c r="I2" s="2">
        <f>('[1]Pc, Summer, S1'!I2*Main!$B$5)+(_xlfn.IFNA(VLOOKUP($A2,'FL Ratio'!$A$3:$B$10,2,FALSE),0)*'FL Characterization'!I$2)</f>
        <v>43.531467438024414</v>
      </c>
      <c r="J2" s="2">
        <f>('[1]Pc, Summer, S1'!J2*Main!$B$5)+(_xlfn.IFNA(VLOOKUP($A2,'FL Ratio'!$A$3:$B$10,2,FALSE),0)*'FL Characterization'!J$2)</f>
        <v>49.613494845945262</v>
      </c>
      <c r="K2" s="2">
        <f>('[1]Pc, Summer, S1'!K2*Main!$B$5)+(_xlfn.IFNA(VLOOKUP($A2,'FL Ratio'!$A$3:$B$10,2,FALSE),0)*'FL Characterization'!K$2)</f>
        <v>51.138020759385277</v>
      </c>
      <c r="L2" s="2">
        <f>('[1]Pc, Summer, S1'!L2*Main!$B$5)+(_xlfn.IFNA(VLOOKUP($A2,'FL Ratio'!$A$3:$B$10,2,FALSE),0)*'FL Characterization'!L$2)</f>
        <v>50.620517631923562</v>
      </c>
      <c r="M2" s="2">
        <f>('[1]Pc, Summer, S1'!M2*Main!$B$5)+(_xlfn.IFNA(VLOOKUP($A2,'FL Ratio'!$A$3:$B$10,2,FALSE),0)*'FL Characterization'!M$2)</f>
        <v>52.051995396740857</v>
      </c>
      <c r="N2" s="2">
        <f>('[1]Pc, Summer, S1'!N2*Main!$B$5)+(_xlfn.IFNA(VLOOKUP($A2,'FL Ratio'!$A$3:$B$10,2,FALSE),0)*'FL Characterization'!N$2)</f>
        <v>52.766039021566442</v>
      </c>
      <c r="O2" s="2">
        <f>('[1]Pc, Summer, S1'!O2*Main!$B$5)+(_xlfn.IFNA(VLOOKUP($A2,'FL Ratio'!$A$3:$B$10,2,FALSE),0)*'FL Characterization'!O$2)</f>
        <v>51.789966153279217</v>
      </c>
      <c r="P2" s="2">
        <f>('[1]Pc, Summer, S1'!P2*Main!$B$5)+(_xlfn.IFNA(VLOOKUP($A2,'FL Ratio'!$A$3:$B$10,2,FALSE),0)*'FL Characterization'!P$2)</f>
        <v>49.766262416227569</v>
      </c>
      <c r="Q2" s="2">
        <f>('[1]Pc, Summer, S1'!Q2*Main!$B$5)+(_xlfn.IFNA(VLOOKUP($A2,'FL Ratio'!$A$3:$B$10,2,FALSE),0)*'FL Characterization'!Q$2)</f>
        <v>47.763256211319565</v>
      </c>
      <c r="R2" s="2">
        <f>('[1]Pc, Summer, S1'!R2*Main!$B$5)+(_xlfn.IFNA(VLOOKUP($A2,'FL Ratio'!$A$3:$B$10,2,FALSE),0)*'FL Characterization'!R$2)</f>
        <v>48.59656849585464</v>
      </c>
      <c r="S2" s="2">
        <f>('[1]Pc, Summer, S1'!S2*Main!$B$5)+(_xlfn.IFNA(VLOOKUP($A2,'FL Ratio'!$A$3:$B$10,2,FALSE),0)*'FL Characterization'!S$2)</f>
        <v>49.076690453065105</v>
      </c>
      <c r="T2" s="2">
        <f>('[1]Pc, Summer, S1'!T2*Main!$B$5)+(_xlfn.IFNA(VLOOKUP($A2,'FL Ratio'!$A$3:$B$10,2,FALSE),0)*'FL Characterization'!T$2)</f>
        <v>49.285002772984349</v>
      </c>
      <c r="U2" s="2">
        <f>('[1]Pc, Summer, S1'!U2*Main!$B$5)+(_xlfn.IFNA(VLOOKUP($A2,'FL Ratio'!$A$3:$B$10,2,FALSE),0)*'FL Characterization'!U$2)</f>
        <v>48.469109396849142</v>
      </c>
      <c r="V2" s="2">
        <f>('[1]Pc, Summer, S1'!V2*Main!$B$5)+(_xlfn.IFNA(VLOOKUP($A2,'FL Ratio'!$A$3:$B$10,2,FALSE),0)*'FL Characterization'!V$2)</f>
        <v>48.61473771960015</v>
      </c>
      <c r="W2" s="2">
        <f>('[1]Pc, Summer, S1'!W2*Main!$B$5)+(_xlfn.IFNA(VLOOKUP($A2,'FL Ratio'!$A$3:$B$10,2,FALSE),0)*'FL Characterization'!W$2)</f>
        <v>50.628261461867297</v>
      </c>
      <c r="X2" s="2">
        <f>('[1]Pc, Summer, S1'!X2*Main!$B$5)+(_xlfn.IFNA(VLOOKUP($A2,'FL Ratio'!$A$3:$B$10,2,FALSE),0)*'FL Characterization'!X$2)</f>
        <v>47.191667586085899</v>
      </c>
      <c r="Y2" s="2">
        <f>('[1]Pc, Summer, S1'!Y2*Main!$B$5)+(_xlfn.IFNA(VLOOKUP($A2,'FL Ratio'!$A$3:$B$10,2,FALSE),0)*'FL Characterization'!Y$2)</f>
        <v>43.260338540101472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41.450131518206099</v>
      </c>
      <c r="C3" s="2">
        <f>('[1]Pc, Summer, S1'!C3*Main!$B$5)+(_xlfn.IFNA(VLOOKUP($A3,'FL Ratio'!$A$3:$B$10,2,FALSE),0)*'FL Characterization'!C$2)</f>
        <v>38.040406280325101</v>
      </c>
      <c r="D3" s="2">
        <f>('[1]Pc, Summer, S1'!D3*Main!$B$5)+(_xlfn.IFNA(VLOOKUP($A3,'FL Ratio'!$A$3:$B$10,2,FALSE),0)*'FL Characterization'!D$2)</f>
        <v>36.038650975437754</v>
      </c>
      <c r="E3" s="2">
        <f>('[1]Pc, Summer, S1'!E3*Main!$B$5)+(_xlfn.IFNA(VLOOKUP($A3,'FL Ratio'!$A$3:$B$10,2,FALSE),0)*'FL Characterization'!E$2)</f>
        <v>34.718434610900964</v>
      </c>
      <c r="F3" s="2">
        <f>('[1]Pc, Summer, S1'!F3*Main!$B$5)+(_xlfn.IFNA(VLOOKUP($A3,'FL Ratio'!$A$3:$B$10,2,FALSE),0)*'FL Characterization'!F$2)</f>
        <v>34.33285901769473</v>
      </c>
      <c r="G3" s="2">
        <f>('[1]Pc, Summer, S1'!G3*Main!$B$5)+(_xlfn.IFNA(VLOOKUP($A3,'FL Ratio'!$A$3:$B$10,2,FALSE),0)*'FL Characterization'!G$2)</f>
        <v>36.421813558189349</v>
      </c>
      <c r="H3" s="2">
        <f>('[1]Pc, Summer, S1'!H3*Main!$B$5)+(_xlfn.IFNA(VLOOKUP($A3,'FL Ratio'!$A$3:$B$10,2,FALSE),0)*'FL Characterization'!H$2)</f>
        <v>45.590865641431833</v>
      </c>
      <c r="I3" s="2">
        <f>('[1]Pc, Summer, S1'!I3*Main!$B$5)+(_xlfn.IFNA(VLOOKUP($A3,'FL Ratio'!$A$3:$B$10,2,FALSE),0)*'FL Characterization'!I$2)</f>
        <v>54.184943456679896</v>
      </c>
      <c r="J3" s="2">
        <f>('[1]Pc, Summer, S1'!J3*Main!$B$5)+(_xlfn.IFNA(VLOOKUP($A3,'FL Ratio'!$A$3:$B$10,2,FALSE),0)*'FL Characterization'!J$2)</f>
        <v>56.500337407296826</v>
      </c>
      <c r="K3" s="2">
        <f>('[1]Pc, Summer, S1'!K3*Main!$B$5)+(_xlfn.IFNA(VLOOKUP($A3,'FL Ratio'!$A$3:$B$10,2,FALSE),0)*'FL Characterization'!K$2)</f>
        <v>55.450513104725751</v>
      </c>
      <c r="L3" s="2">
        <f>('[1]Pc, Summer, S1'!L3*Main!$B$5)+(_xlfn.IFNA(VLOOKUP($A3,'FL Ratio'!$A$3:$B$10,2,FALSE),0)*'FL Characterization'!L$2)</f>
        <v>55.258302200720259</v>
      </c>
      <c r="M3" s="2">
        <f>('[1]Pc, Summer, S1'!M3*Main!$B$5)+(_xlfn.IFNA(VLOOKUP($A3,'FL Ratio'!$A$3:$B$10,2,FALSE),0)*'FL Characterization'!M$2)</f>
        <v>58.926229238482563</v>
      </c>
      <c r="N3" s="2">
        <f>('[1]Pc, Summer, S1'!N3*Main!$B$5)+(_xlfn.IFNA(VLOOKUP($A3,'FL Ratio'!$A$3:$B$10,2,FALSE),0)*'FL Characterization'!N$2)</f>
        <v>59.102588506217032</v>
      </c>
      <c r="O3" s="2">
        <f>('[1]Pc, Summer, S1'!O3*Main!$B$5)+(_xlfn.IFNA(VLOOKUP($A3,'FL Ratio'!$A$3:$B$10,2,FALSE),0)*'FL Characterization'!O$2)</f>
        <v>59.501623617050598</v>
      </c>
      <c r="P3" s="2">
        <f>('[1]Pc, Summer, S1'!P3*Main!$B$5)+(_xlfn.IFNA(VLOOKUP($A3,'FL Ratio'!$A$3:$B$10,2,FALSE),0)*'FL Characterization'!P$2)</f>
        <v>56.618265449785021</v>
      </c>
      <c r="Q3" s="2">
        <f>('[1]Pc, Summer, S1'!Q3*Main!$B$5)+(_xlfn.IFNA(VLOOKUP($A3,'FL Ratio'!$A$3:$B$10,2,FALSE),0)*'FL Characterization'!Q$2)</f>
        <v>53.634928047941109</v>
      </c>
      <c r="R3" s="2">
        <f>('[1]Pc, Summer, S1'!R3*Main!$B$5)+(_xlfn.IFNA(VLOOKUP($A3,'FL Ratio'!$A$3:$B$10,2,FALSE),0)*'FL Characterization'!R$2)</f>
        <v>49.624382726066912</v>
      </c>
      <c r="S3" s="2">
        <f>('[1]Pc, Summer, S1'!S3*Main!$B$5)+(_xlfn.IFNA(VLOOKUP($A3,'FL Ratio'!$A$3:$B$10,2,FALSE),0)*'FL Characterization'!S$2)</f>
        <v>50.157023342759921</v>
      </c>
      <c r="T3" s="2">
        <f>('[1]Pc, Summer, S1'!T3*Main!$B$5)+(_xlfn.IFNA(VLOOKUP($A3,'FL Ratio'!$A$3:$B$10,2,FALSE),0)*'FL Characterization'!T$2)</f>
        <v>49.724735306023561</v>
      </c>
      <c r="U3" s="2">
        <f>('[1]Pc, Summer, S1'!U3*Main!$B$5)+(_xlfn.IFNA(VLOOKUP($A3,'FL Ratio'!$A$3:$B$10,2,FALSE),0)*'FL Characterization'!U$2)</f>
        <v>49.542438015806447</v>
      </c>
      <c r="V3" s="2">
        <f>('[1]Pc, Summer, S1'!V3*Main!$B$5)+(_xlfn.IFNA(VLOOKUP($A3,'FL Ratio'!$A$3:$B$10,2,FALSE),0)*'FL Characterization'!V$2)</f>
        <v>49.766301463402058</v>
      </c>
      <c r="W3" s="2">
        <f>('[1]Pc, Summer, S1'!W3*Main!$B$5)+(_xlfn.IFNA(VLOOKUP($A3,'FL Ratio'!$A$3:$B$10,2,FALSE),0)*'FL Characterization'!W$2)</f>
        <v>49.515914848717308</v>
      </c>
      <c r="X3" s="2">
        <f>('[1]Pc, Summer, S1'!X3*Main!$B$5)+(_xlfn.IFNA(VLOOKUP($A3,'FL Ratio'!$A$3:$B$10,2,FALSE),0)*'FL Characterization'!X$2)</f>
        <v>49.195004474388405</v>
      </c>
      <c r="Y3" s="2">
        <f>('[1]Pc, Summer, S1'!Y3*Main!$B$5)+(_xlfn.IFNA(VLOOKUP($A3,'FL Ratio'!$A$3:$B$10,2,FALSE),0)*'FL Characterization'!Y$2)</f>
        <v>46.528703924714819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55.041562981378497</v>
      </c>
      <c r="C4" s="2">
        <f>('[1]Pc, Summer, S1'!C4*Main!$B$5)+(_xlfn.IFNA(VLOOKUP($A4,'FL Ratio'!$A$3:$B$10,2,FALSE),0)*'FL Characterization'!C$2)</f>
        <v>48.825567637088682</v>
      </c>
      <c r="D4" s="2">
        <f>('[1]Pc, Summer, S1'!D4*Main!$B$5)+(_xlfn.IFNA(VLOOKUP($A4,'FL Ratio'!$A$3:$B$10,2,FALSE),0)*'FL Characterization'!D$2)</f>
        <v>46.043694300501407</v>
      </c>
      <c r="E4" s="2">
        <f>('[1]Pc, Summer, S1'!E4*Main!$B$5)+(_xlfn.IFNA(VLOOKUP($A4,'FL Ratio'!$A$3:$B$10,2,FALSE),0)*'FL Characterization'!E$2)</f>
        <v>44.537386887613607</v>
      </c>
      <c r="F4" s="2">
        <f>('[1]Pc, Summer, S1'!F4*Main!$B$5)+(_xlfn.IFNA(VLOOKUP($A4,'FL Ratio'!$A$3:$B$10,2,FALSE),0)*'FL Characterization'!F$2)</f>
        <v>46.699999948594431</v>
      </c>
      <c r="G4" s="2">
        <f>('[1]Pc, Summer, S1'!G4*Main!$B$5)+(_xlfn.IFNA(VLOOKUP($A4,'FL Ratio'!$A$3:$B$10,2,FALSE),0)*'FL Characterization'!G$2)</f>
        <v>42.656716381168572</v>
      </c>
      <c r="H4" s="2">
        <f>('[1]Pc, Summer, S1'!H4*Main!$B$5)+(_xlfn.IFNA(VLOOKUP($A4,'FL Ratio'!$A$3:$B$10,2,FALSE),0)*'FL Characterization'!H$2)</f>
        <v>50.10288124294425</v>
      </c>
      <c r="I4" s="2">
        <f>('[1]Pc, Summer, S1'!I4*Main!$B$5)+(_xlfn.IFNA(VLOOKUP($A4,'FL Ratio'!$A$3:$B$10,2,FALSE),0)*'FL Characterization'!I$2)</f>
        <v>56.362653058384069</v>
      </c>
      <c r="J4" s="2">
        <f>('[1]Pc, Summer, S1'!J4*Main!$B$5)+(_xlfn.IFNA(VLOOKUP($A4,'FL Ratio'!$A$3:$B$10,2,FALSE),0)*'FL Characterization'!J$2)</f>
        <v>63.418447201458179</v>
      </c>
      <c r="K4" s="2">
        <f>('[1]Pc, Summer, S1'!K4*Main!$B$5)+(_xlfn.IFNA(VLOOKUP($A4,'FL Ratio'!$A$3:$B$10,2,FALSE),0)*'FL Characterization'!K$2)</f>
        <v>68.171447892569361</v>
      </c>
      <c r="L4" s="2">
        <f>('[1]Pc, Summer, S1'!L4*Main!$B$5)+(_xlfn.IFNA(VLOOKUP($A4,'FL Ratio'!$A$3:$B$10,2,FALSE),0)*'FL Characterization'!L$2)</f>
        <v>70.174086632153376</v>
      </c>
      <c r="M4" s="2">
        <f>('[1]Pc, Summer, S1'!M4*Main!$B$5)+(_xlfn.IFNA(VLOOKUP($A4,'FL Ratio'!$A$3:$B$10,2,FALSE),0)*'FL Characterization'!M$2)</f>
        <v>71.340309327674746</v>
      </c>
      <c r="N4" s="2">
        <f>('[1]Pc, Summer, S1'!N4*Main!$B$5)+(_xlfn.IFNA(VLOOKUP($A4,'FL Ratio'!$A$3:$B$10,2,FALSE),0)*'FL Characterization'!N$2)</f>
        <v>72.911609765472193</v>
      </c>
      <c r="O4" s="2">
        <f>('[1]Pc, Summer, S1'!O4*Main!$B$5)+(_xlfn.IFNA(VLOOKUP($A4,'FL Ratio'!$A$3:$B$10,2,FALSE),0)*'FL Characterization'!O$2)</f>
        <v>73.903938271807149</v>
      </c>
      <c r="P4" s="2">
        <f>('[1]Pc, Summer, S1'!P4*Main!$B$5)+(_xlfn.IFNA(VLOOKUP($A4,'FL Ratio'!$A$3:$B$10,2,FALSE),0)*'FL Characterization'!P$2)</f>
        <v>74.217247233009473</v>
      </c>
      <c r="Q4" s="2">
        <f>('[1]Pc, Summer, S1'!Q4*Main!$B$5)+(_xlfn.IFNA(VLOOKUP($A4,'FL Ratio'!$A$3:$B$10,2,FALSE),0)*'FL Characterization'!Q$2)</f>
        <v>71.438978296681114</v>
      </c>
      <c r="R4" s="2">
        <f>('[1]Pc, Summer, S1'!R4*Main!$B$5)+(_xlfn.IFNA(VLOOKUP($A4,'FL Ratio'!$A$3:$B$10,2,FALSE),0)*'FL Characterization'!R$2)</f>
        <v>71.072272541855469</v>
      </c>
      <c r="S4" s="2">
        <f>('[1]Pc, Summer, S1'!S4*Main!$B$5)+(_xlfn.IFNA(VLOOKUP($A4,'FL Ratio'!$A$3:$B$10,2,FALSE),0)*'FL Characterization'!S$2)</f>
        <v>68.854021470835733</v>
      </c>
      <c r="T4" s="2">
        <f>('[1]Pc, Summer, S1'!T4*Main!$B$5)+(_xlfn.IFNA(VLOOKUP($A4,'FL Ratio'!$A$3:$B$10,2,FALSE),0)*'FL Characterization'!T$2)</f>
        <v>68.778508307785955</v>
      </c>
      <c r="U4" s="2">
        <f>('[1]Pc, Summer, S1'!U4*Main!$B$5)+(_xlfn.IFNA(VLOOKUP($A4,'FL Ratio'!$A$3:$B$10,2,FALSE),0)*'FL Characterization'!U$2)</f>
        <v>69.156640497057609</v>
      </c>
      <c r="V4" s="2">
        <f>('[1]Pc, Summer, S1'!V4*Main!$B$5)+(_xlfn.IFNA(VLOOKUP($A4,'FL Ratio'!$A$3:$B$10,2,FALSE),0)*'FL Characterization'!V$2)</f>
        <v>68.815570588146286</v>
      </c>
      <c r="W4" s="2">
        <f>('[1]Pc, Summer, S1'!W4*Main!$B$5)+(_xlfn.IFNA(VLOOKUP($A4,'FL Ratio'!$A$3:$B$10,2,FALSE),0)*'FL Characterization'!W$2)</f>
        <v>71.008586338820479</v>
      </c>
      <c r="X4" s="2">
        <f>('[1]Pc, Summer, S1'!X4*Main!$B$5)+(_xlfn.IFNA(VLOOKUP($A4,'FL Ratio'!$A$3:$B$10,2,FALSE),0)*'FL Characterization'!X$2)</f>
        <v>70.829826838228271</v>
      </c>
      <c r="Y4" s="2">
        <f>('[1]Pc, Summer, S1'!Y4*Main!$B$5)+(_xlfn.IFNA(VLOOKUP($A4,'FL Ratio'!$A$3:$B$10,2,FALSE),0)*'FL Characterization'!Y$2)</f>
        <v>63.87946533213799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D2FDA-4D04-49F8-9B9F-34E983344C94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38.480954215750771</v>
      </c>
      <c r="C2" s="2">
        <f>('[1]Pc, Summer, S1'!C2*Main!$B$5)+(_xlfn.IFNA(VLOOKUP($A2,'FL Ratio'!$A$3:$B$10,2,FALSE),0)*'FL Characterization'!C$2)</f>
        <v>34.96166895564884</v>
      </c>
      <c r="D2" s="2">
        <f>('[1]Pc, Summer, S1'!D2*Main!$B$5)+(_xlfn.IFNA(VLOOKUP($A2,'FL Ratio'!$A$3:$B$10,2,FALSE),0)*'FL Characterization'!D$2)</f>
        <v>34.350979464228324</v>
      </c>
      <c r="E2" s="2">
        <f>('[1]Pc, Summer, S1'!E2*Main!$B$5)+(_xlfn.IFNA(VLOOKUP($A2,'FL Ratio'!$A$3:$B$10,2,FALSE),0)*'FL Characterization'!E$2)</f>
        <v>34.263227687059405</v>
      </c>
      <c r="F2" s="2">
        <f>('[1]Pc, Summer, S1'!F2*Main!$B$5)+(_xlfn.IFNA(VLOOKUP($A2,'FL Ratio'!$A$3:$B$10,2,FALSE),0)*'FL Characterization'!F$2)</f>
        <v>34.265929003711932</v>
      </c>
      <c r="G2" s="2">
        <f>('[1]Pc, Summer, S1'!G2*Main!$B$5)+(_xlfn.IFNA(VLOOKUP($A2,'FL Ratio'!$A$3:$B$10,2,FALSE),0)*'FL Characterization'!G$2)</f>
        <v>33.962891139890573</v>
      </c>
      <c r="H2" s="2">
        <f>('[1]Pc, Summer, S1'!H2*Main!$B$5)+(_xlfn.IFNA(VLOOKUP($A2,'FL Ratio'!$A$3:$B$10,2,FALSE),0)*'FL Characterization'!H$2)</f>
        <v>36.665972746744636</v>
      </c>
      <c r="I2" s="2">
        <f>('[1]Pc, Summer, S1'!I2*Main!$B$5)+(_xlfn.IFNA(VLOOKUP($A2,'FL Ratio'!$A$3:$B$10,2,FALSE),0)*'FL Characterization'!I$2)</f>
        <v>43.531467438024414</v>
      </c>
      <c r="J2" s="2">
        <f>('[1]Pc, Summer, S1'!J2*Main!$B$5)+(_xlfn.IFNA(VLOOKUP($A2,'FL Ratio'!$A$3:$B$10,2,FALSE),0)*'FL Characterization'!J$2)</f>
        <v>49.613494845945262</v>
      </c>
      <c r="K2" s="2">
        <f>('[1]Pc, Summer, S1'!K2*Main!$B$5)+(_xlfn.IFNA(VLOOKUP($A2,'FL Ratio'!$A$3:$B$10,2,FALSE),0)*'FL Characterization'!K$2)</f>
        <v>51.138020759385277</v>
      </c>
      <c r="L2" s="2">
        <f>('[1]Pc, Summer, S1'!L2*Main!$B$5)+(_xlfn.IFNA(VLOOKUP($A2,'FL Ratio'!$A$3:$B$10,2,FALSE),0)*'FL Characterization'!L$2)</f>
        <v>50.620517631923562</v>
      </c>
      <c r="M2" s="2">
        <f>('[1]Pc, Summer, S1'!M2*Main!$B$5)+(_xlfn.IFNA(VLOOKUP($A2,'FL Ratio'!$A$3:$B$10,2,FALSE),0)*'FL Characterization'!M$2)</f>
        <v>52.051995396740857</v>
      </c>
      <c r="N2" s="2">
        <f>('[1]Pc, Summer, S1'!N2*Main!$B$5)+(_xlfn.IFNA(VLOOKUP($A2,'FL Ratio'!$A$3:$B$10,2,FALSE),0)*'FL Characterization'!N$2)</f>
        <v>52.766039021566442</v>
      </c>
      <c r="O2" s="2">
        <f>('[1]Pc, Summer, S1'!O2*Main!$B$5)+(_xlfn.IFNA(VLOOKUP($A2,'FL Ratio'!$A$3:$B$10,2,FALSE),0)*'FL Characterization'!O$2)</f>
        <v>51.789966153279217</v>
      </c>
      <c r="P2" s="2">
        <f>('[1]Pc, Summer, S1'!P2*Main!$B$5)+(_xlfn.IFNA(VLOOKUP($A2,'FL Ratio'!$A$3:$B$10,2,FALSE),0)*'FL Characterization'!P$2)</f>
        <v>49.766262416227569</v>
      </c>
      <c r="Q2" s="2">
        <f>('[1]Pc, Summer, S1'!Q2*Main!$B$5)+(_xlfn.IFNA(VLOOKUP($A2,'FL Ratio'!$A$3:$B$10,2,FALSE),0)*'FL Characterization'!Q$2)</f>
        <v>47.763256211319565</v>
      </c>
      <c r="R2" s="2">
        <f>('[1]Pc, Summer, S1'!R2*Main!$B$5)+(_xlfn.IFNA(VLOOKUP($A2,'FL Ratio'!$A$3:$B$10,2,FALSE),0)*'FL Characterization'!R$2)</f>
        <v>48.59656849585464</v>
      </c>
      <c r="S2" s="2">
        <f>('[1]Pc, Summer, S1'!S2*Main!$B$5)+(_xlfn.IFNA(VLOOKUP($A2,'FL Ratio'!$A$3:$B$10,2,FALSE),0)*'FL Characterization'!S$2)</f>
        <v>49.076690453065105</v>
      </c>
      <c r="T2" s="2">
        <f>('[1]Pc, Summer, S1'!T2*Main!$B$5)+(_xlfn.IFNA(VLOOKUP($A2,'FL Ratio'!$A$3:$B$10,2,FALSE),0)*'FL Characterization'!T$2)</f>
        <v>49.285002772984349</v>
      </c>
      <c r="U2" s="2">
        <f>('[1]Pc, Summer, S1'!U2*Main!$B$5)+(_xlfn.IFNA(VLOOKUP($A2,'FL Ratio'!$A$3:$B$10,2,FALSE),0)*'FL Characterization'!U$2)</f>
        <v>48.469109396849142</v>
      </c>
      <c r="V2" s="2">
        <f>('[1]Pc, Summer, S1'!V2*Main!$B$5)+(_xlfn.IFNA(VLOOKUP($A2,'FL Ratio'!$A$3:$B$10,2,FALSE),0)*'FL Characterization'!V$2)</f>
        <v>48.61473771960015</v>
      </c>
      <c r="W2" s="2">
        <f>('[1]Pc, Summer, S1'!W2*Main!$B$5)+(_xlfn.IFNA(VLOOKUP($A2,'FL Ratio'!$A$3:$B$10,2,FALSE),0)*'FL Characterization'!W$2)</f>
        <v>50.628261461867297</v>
      </c>
      <c r="X2" s="2">
        <f>('[1]Pc, Summer, S1'!X2*Main!$B$5)+(_xlfn.IFNA(VLOOKUP($A2,'FL Ratio'!$A$3:$B$10,2,FALSE),0)*'FL Characterization'!X$2)</f>
        <v>47.191667586085899</v>
      </c>
      <c r="Y2" s="2">
        <f>('[1]Pc, Summer, S1'!Y2*Main!$B$5)+(_xlfn.IFNA(VLOOKUP($A2,'FL Ratio'!$A$3:$B$10,2,FALSE),0)*'FL Characterization'!Y$2)</f>
        <v>43.260338540101472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41.450131518206099</v>
      </c>
      <c r="C3" s="2">
        <f>('[1]Pc, Summer, S1'!C3*Main!$B$5)+(_xlfn.IFNA(VLOOKUP($A3,'FL Ratio'!$A$3:$B$10,2,FALSE),0)*'FL Characterization'!C$2)</f>
        <v>38.040406280325101</v>
      </c>
      <c r="D3" s="2">
        <f>('[1]Pc, Summer, S1'!D3*Main!$B$5)+(_xlfn.IFNA(VLOOKUP($A3,'FL Ratio'!$A$3:$B$10,2,FALSE),0)*'FL Characterization'!D$2)</f>
        <v>36.038650975437754</v>
      </c>
      <c r="E3" s="2">
        <f>('[1]Pc, Summer, S1'!E3*Main!$B$5)+(_xlfn.IFNA(VLOOKUP($A3,'FL Ratio'!$A$3:$B$10,2,FALSE),0)*'FL Characterization'!E$2)</f>
        <v>34.718434610900964</v>
      </c>
      <c r="F3" s="2">
        <f>('[1]Pc, Summer, S1'!F3*Main!$B$5)+(_xlfn.IFNA(VLOOKUP($A3,'FL Ratio'!$A$3:$B$10,2,FALSE),0)*'FL Characterization'!F$2)</f>
        <v>34.33285901769473</v>
      </c>
      <c r="G3" s="2">
        <f>('[1]Pc, Summer, S1'!G3*Main!$B$5)+(_xlfn.IFNA(VLOOKUP($A3,'FL Ratio'!$A$3:$B$10,2,FALSE),0)*'FL Characterization'!G$2)</f>
        <v>36.421813558189349</v>
      </c>
      <c r="H3" s="2">
        <f>('[1]Pc, Summer, S1'!H3*Main!$B$5)+(_xlfn.IFNA(VLOOKUP($A3,'FL Ratio'!$A$3:$B$10,2,FALSE),0)*'FL Characterization'!H$2)</f>
        <v>45.590865641431833</v>
      </c>
      <c r="I3" s="2">
        <f>('[1]Pc, Summer, S1'!I3*Main!$B$5)+(_xlfn.IFNA(VLOOKUP($A3,'FL Ratio'!$A$3:$B$10,2,FALSE),0)*'FL Characterization'!I$2)</f>
        <v>54.184943456679896</v>
      </c>
      <c r="J3" s="2">
        <f>('[1]Pc, Summer, S1'!J3*Main!$B$5)+(_xlfn.IFNA(VLOOKUP($A3,'FL Ratio'!$A$3:$B$10,2,FALSE),0)*'FL Characterization'!J$2)</f>
        <v>56.500337407296826</v>
      </c>
      <c r="K3" s="2">
        <f>('[1]Pc, Summer, S1'!K3*Main!$B$5)+(_xlfn.IFNA(VLOOKUP($A3,'FL Ratio'!$A$3:$B$10,2,FALSE),0)*'FL Characterization'!K$2)</f>
        <v>55.450513104725751</v>
      </c>
      <c r="L3" s="2">
        <f>('[1]Pc, Summer, S1'!L3*Main!$B$5)+(_xlfn.IFNA(VLOOKUP($A3,'FL Ratio'!$A$3:$B$10,2,FALSE),0)*'FL Characterization'!L$2)</f>
        <v>55.258302200720259</v>
      </c>
      <c r="M3" s="2">
        <f>('[1]Pc, Summer, S1'!M3*Main!$B$5)+(_xlfn.IFNA(VLOOKUP($A3,'FL Ratio'!$A$3:$B$10,2,FALSE),0)*'FL Characterization'!M$2)</f>
        <v>58.926229238482563</v>
      </c>
      <c r="N3" s="2">
        <f>('[1]Pc, Summer, S1'!N3*Main!$B$5)+(_xlfn.IFNA(VLOOKUP($A3,'FL Ratio'!$A$3:$B$10,2,FALSE),0)*'FL Characterization'!N$2)</f>
        <v>59.102588506217032</v>
      </c>
      <c r="O3" s="2">
        <f>('[1]Pc, Summer, S1'!O3*Main!$B$5)+(_xlfn.IFNA(VLOOKUP($A3,'FL Ratio'!$A$3:$B$10,2,FALSE),0)*'FL Characterization'!O$2)</f>
        <v>59.501623617050598</v>
      </c>
      <c r="P3" s="2">
        <f>('[1]Pc, Summer, S1'!P3*Main!$B$5)+(_xlfn.IFNA(VLOOKUP($A3,'FL Ratio'!$A$3:$B$10,2,FALSE),0)*'FL Characterization'!P$2)</f>
        <v>56.618265449785021</v>
      </c>
      <c r="Q3" s="2">
        <f>('[1]Pc, Summer, S1'!Q3*Main!$B$5)+(_xlfn.IFNA(VLOOKUP($A3,'FL Ratio'!$A$3:$B$10,2,FALSE),0)*'FL Characterization'!Q$2)</f>
        <v>53.634928047941109</v>
      </c>
      <c r="R3" s="2">
        <f>('[1]Pc, Summer, S1'!R3*Main!$B$5)+(_xlfn.IFNA(VLOOKUP($A3,'FL Ratio'!$A$3:$B$10,2,FALSE),0)*'FL Characterization'!R$2)</f>
        <v>49.624382726066912</v>
      </c>
      <c r="S3" s="2">
        <f>('[1]Pc, Summer, S1'!S3*Main!$B$5)+(_xlfn.IFNA(VLOOKUP($A3,'FL Ratio'!$A$3:$B$10,2,FALSE),0)*'FL Characterization'!S$2)</f>
        <v>50.157023342759921</v>
      </c>
      <c r="T3" s="2">
        <f>('[1]Pc, Summer, S1'!T3*Main!$B$5)+(_xlfn.IFNA(VLOOKUP($A3,'FL Ratio'!$A$3:$B$10,2,FALSE),0)*'FL Characterization'!T$2)</f>
        <v>49.724735306023561</v>
      </c>
      <c r="U3" s="2">
        <f>('[1]Pc, Summer, S1'!U3*Main!$B$5)+(_xlfn.IFNA(VLOOKUP($A3,'FL Ratio'!$A$3:$B$10,2,FALSE),0)*'FL Characterization'!U$2)</f>
        <v>49.542438015806447</v>
      </c>
      <c r="V3" s="2">
        <f>('[1]Pc, Summer, S1'!V3*Main!$B$5)+(_xlfn.IFNA(VLOOKUP($A3,'FL Ratio'!$A$3:$B$10,2,FALSE),0)*'FL Characterization'!V$2)</f>
        <v>49.766301463402058</v>
      </c>
      <c r="W3" s="2">
        <f>('[1]Pc, Summer, S1'!W3*Main!$B$5)+(_xlfn.IFNA(VLOOKUP($A3,'FL Ratio'!$A$3:$B$10,2,FALSE),0)*'FL Characterization'!W$2)</f>
        <v>49.515914848717308</v>
      </c>
      <c r="X3" s="2">
        <f>('[1]Pc, Summer, S1'!X3*Main!$B$5)+(_xlfn.IFNA(VLOOKUP($A3,'FL Ratio'!$A$3:$B$10,2,FALSE),0)*'FL Characterization'!X$2)</f>
        <v>49.195004474388405</v>
      </c>
      <c r="Y3" s="2">
        <f>('[1]Pc, Summer, S1'!Y3*Main!$B$5)+(_xlfn.IFNA(VLOOKUP($A3,'FL Ratio'!$A$3:$B$10,2,FALSE),0)*'FL Characterization'!Y$2)</f>
        <v>46.528703924714819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55.041562981378497</v>
      </c>
      <c r="C4" s="2">
        <f>('[1]Pc, Summer, S1'!C4*Main!$B$5)+(_xlfn.IFNA(VLOOKUP($A4,'FL Ratio'!$A$3:$B$10,2,FALSE),0)*'FL Characterization'!C$2)</f>
        <v>48.825567637088682</v>
      </c>
      <c r="D4" s="2">
        <f>('[1]Pc, Summer, S1'!D4*Main!$B$5)+(_xlfn.IFNA(VLOOKUP($A4,'FL Ratio'!$A$3:$B$10,2,FALSE),0)*'FL Characterization'!D$2)</f>
        <v>46.043694300501407</v>
      </c>
      <c r="E4" s="2">
        <f>('[1]Pc, Summer, S1'!E4*Main!$B$5)+(_xlfn.IFNA(VLOOKUP($A4,'FL Ratio'!$A$3:$B$10,2,FALSE),0)*'FL Characterization'!E$2)</f>
        <v>44.537386887613607</v>
      </c>
      <c r="F4" s="2">
        <f>('[1]Pc, Summer, S1'!F4*Main!$B$5)+(_xlfn.IFNA(VLOOKUP($A4,'FL Ratio'!$A$3:$B$10,2,FALSE),0)*'FL Characterization'!F$2)</f>
        <v>46.699999948594431</v>
      </c>
      <c r="G4" s="2">
        <f>('[1]Pc, Summer, S1'!G4*Main!$B$5)+(_xlfn.IFNA(VLOOKUP($A4,'FL Ratio'!$A$3:$B$10,2,FALSE),0)*'FL Characterization'!G$2)</f>
        <v>42.656716381168572</v>
      </c>
      <c r="H4" s="2">
        <f>('[1]Pc, Summer, S1'!H4*Main!$B$5)+(_xlfn.IFNA(VLOOKUP($A4,'FL Ratio'!$A$3:$B$10,2,FALSE),0)*'FL Characterization'!H$2)</f>
        <v>50.10288124294425</v>
      </c>
      <c r="I4" s="2">
        <f>('[1]Pc, Summer, S1'!I4*Main!$B$5)+(_xlfn.IFNA(VLOOKUP($A4,'FL Ratio'!$A$3:$B$10,2,FALSE),0)*'FL Characterization'!I$2)</f>
        <v>56.362653058384069</v>
      </c>
      <c r="J4" s="2">
        <f>('[1]Pc, Summer, S1'!J4*Main!$B$5)+(_xlfn.IFNA(VLOOKUP($A4,'FL Ratio'!$A$3:$B$10,2,FALSE),0)*'FL Characterization'!J$2)</f>
        <v>63.418447201458179</v>
      </c>
      <c r="K4" s="2">
        <f>('[1]Pc, Summer, S1'!K4*Main!$B$5)+(_xlfn.IFNA(VLOOKUP($A4,'FL Ratio'!$A$3:$B$10,2,FALSE),0)*'FL Characterization'!K$2)</f>
        <v>68.171447892569361</v>
      </c>
      <c r="L4" s="2">
        <f>('[1]Pc, Summer, S1'!L4*Main!$B$5)+(_xlfn.IFNA(VLOOKUP($A4,'FL Ratio'!$A$3:$B$10,2,FALSE),0)*'FL Characterization'!L$2)</f>
        <v>70.174086632153376</v>
      </c>
      <c r="M4" s="2">
        <f>('[1]Pc, Summer, S1'!M4*Main!$B$5)+(_xlfn.IFNA(VLOOKUP($A4,'FL Ratio'!$A$3:$B$10,2,FALSE),0)*'FL Characterization'!M$2)</f>
        <v>71.340309327674746</v>
      </c>
      <c r="N4" s="2">
        <f>('[1]Pc, Summer, S1'!N4*Main!$B$5)+(_xlfn.IFNA(VLOOKUP($A4,'FL Ratio'!$A$3:$B$10,2,FALSE),0)*'FL Characterization'!N$2)</f>
        <v>72.911609765472193</v>
      </c>
      <c r="O4" s="2">
        <f>('[1]Pc, Summer, S1'!O4*Main!$B$5)+(_xlfn.IFNA(VLOOKUP($A4,'FL Ratio'!$A$3:$B$10,2,FALSE),0)*'FL Characterization'!O$2)</f>
        <v>73.903938271807149</v>
      </c>
      <c r="P4" s="2">
        <f>('[1]Pc, Summer, S1'!P4*Main!$B$5)+(_xlfn.IFNA(VLOOKUP($A4,'FL Ratio'!$A$3:$B$10,2,FALSE),0)*'FL Characterization'!P$2)</f>
        <v>74.217247233009473</v>
      </c>
      <c r="Q4" s="2">
        <f>('[1]Pc, Summer, S1'!Q4*Main!$B$5)+(_xlfn.IFNA(VLOOKUP($A4,'FL Ratio'!$A$3:$B$10,2,FALSE),0)*'FL Characterization'!Q$2)</f>
        <v>71.438978296681114</v>
      </c>
      <c r="R4" s="2">
        <f>('[1]Pc, Summer, S1'!R4*Main!$B$5)+(_xlfn.IFNA(VLOOKUP($A4,'FL Ratio'!$A$3:$B$10,2,FALSE),0)*'FL Characterization'!R$2)</f>
        <v>71.072272541855469</v>
      </c>
      <c r="S4" s="2">
        <f>('[1]Pc, Summer, S1'!S4*Main!$B$5)+(_xlfn.IFNA(VLOOKUP($A4,'FL Ratio'!$A$3:$B$10,2,FALSE),0)*'FL Characterization'!S$2)</f>
        <v>68.854021470835733</v>
      </c>
      <c r="T4" s="2">
        <f>('[1]Pc, Summer, S1'!T4*Main!$B$5)+(_xlfn.IFNA(VLOOKUP($A4,'FL Ratio'!$A$3:$B$10,2,FALSE),0)*'FL Characterization'!T$2)</f>
        <v>68.778508307785955</v>
      </c>
      <c r="U4" s="2">
        <f>('[1]Pc, Summer, S1'!U4*Main!$B$5)+(_xlfn.IFNA(VLOOKUP($A4,'FL Ratio'!$A$3:$B$10,2,FALSE),0)*'FL Characterization'!U$2)</f>
        <v>69.156640497057609</v>
      </c>
      <c r="V4" s="2">
        <f>('[1]Pc, Summer, S1'!V4*Main!$B$5)+(_xlfn.IFNA(VLOOKUP($A4,'FL Ratio'!$A$3:$B$10,2,FALSE),0)*'FL Characterization'!V$2)</f>
        <v>68.815570588146286</v>
      </c>
      <c r="W4" s="2">
        <f>('[1]Pc, Summer, S1'!W4*Main!$B$5)+(_xlfn.IFNA(VLOOKUP($A4,'FL Ratio'!$A$3:$B$10,2,FALSE),0)*'FL Characterization'!W$2)</f>
        <v>71.008586338820479</v>
      </c>
      <c r="X4" s="2">
        <f>('[1]Pc, Summer, S1'!X4*Main!$B$5)+(_xlfn.IFNA(VLOOKUP($A4,'FL Ratio'!$A$3:$B$10,2,FALSE),0)*'FL Characterization'!X$2)</f>
        <v>70.829826838228271</v>
      </c>
      <c r="Y4" s="2">
        <f>('[1]Pc, Summer, S1'!Y4*Main!$B$5)+(_xlfn.IFNA(VLOOKUP($A4,'FL Ratio'!$A$3:$B$10,2,FALSE),0)*'FL Characterization'!Y$2)</f>
        <v>63.87946533213799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496BB-E9F6-4441-8479-A4E462FEE7A4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Ratio'!$A$3:$B$10,2,FALSE),0)*'FL Characterization'!B$2)</f>
        <v>39.635382842223301</v>
      </c>
      <c r="C2" s="2">
        <f>('[1]Pc, Summer, S2'!C2*Main!$B$5)+(_xlfn.IFNA(VLOOKUP($A2,'FL Ratio'!$A$3:$B$10,2,FALSE),0)*'FL Characterization'!C$2)</f>
        <v>36.010519024318306</v>
      </c>
      <c r="D2" s="2">
        <f>('[1]Pc, Summer, S2'!D2*Main!$B$5)+(_xlfn.IFNA(VLOOKUP($A2,'FL Ratio'!$A$3:$B$10,2,FALSE),0)*'FL Characterization'!D$2)</f>
        <v>35.381508848155178</v>
      </c>
      <c r="E2" s="2">
        <f>('[1]Pc, Summer, S2'!E2*Main!$B$5)+(_xlfn.IFNA(VLOOKUP($A2,'FL Ratio'!$A$3:$B$10,2,FALSE),0)*'FL Characterization'!E$2)</f>
        <v>35.291124517671193</v>
      </c>
      <c r="F2" s="2">
        <f>('[1]Pc, Summer, S2'!F2*Main!$B$5)+(_xlfn.IFNA(VLOOKUP($A2,'FL Ratio'!$A$3:$B$10,2,FALSE),0)*'FL Characterization'!F$2)</f>
        <v>35.293906873823289</v>
      </c>
      <c r="G2" s="2">
        <f>('[1]Pc, Summer, S2'!G2*Main!$B$5)+(_xlfn.IFNA(VLOOKUP($A2,'FL Ratio'!$A$3:$B$10,2,FALSE),0)*'FL Characterization'!G$2)</f>
        <v>34.981777874087292</v>
      </c>
      <c r="H2" s="2">
        <f>('[1]Pc, Summer, S2'!H2*Main!$B$5)+(_xlfn.IFNA(VLOOKUP($A2,'FL Ratio'!$A$3:$B$10,2,FALSE),0)*'FL Characterization'!H$2)</f>
        <v>37.765951929146979</v>
      </c>
      <c r="I2" s="2">
        <f>('[1]Pc, Summer, S2'!I2*Main!$B$5)+(_xlfn.IFNA(VLOOKUP($A2,'FL Ratio'!$A$3:$B$10,2,FALSE),0)*'FL Characterization'!I$2)</f>
        <v>44.837411461165146</v>
      </c>
      <c r="J2" s="2">
        <f>('[1]Pc, Summer, S2'!J2*Main!$B$5)+(_xlfn.IFNA(VLOOKUP($A2,'FL Ratio'!$A$3:$B$10,2,FALSE),0)*'FL Characterization'!J$2)</f>
        <v>51.101899691323624</v>
      </c>
      <c r="K2" s="2">
        <f>('[1]Pc, Summer, S2'!K2*Main!$B$5)+(_xlfn.IFNA(VLOOKUP($A2,'FL Ratio'!$A$3:$B$10,2,FALSE),0)*'FL Characterization'!K$2)</f>
        <v>52.672161382166834</v>
      </c>
      <c r="L2" s="2">
        <f>('[1]Pc, Summer, S2'!L2*Main!$B$5)+(_xlfn.IFNA(VLOOKUP($A2,'FL Ratio'!$A$3:$B$10,2,FALSE),0)*'FL Characterization'!L$2)</f>
        <v>52.139133160881272</v>
      </c>
      <c r="M2" s="2">
        <f>('[1]Pc, Summer, S2'!M2*Main!$B$5)+(_xlfn.IFNA(VLOOKUP($A2,'FL Ratio'!$A$3:$B$10,2,FALSE),0)*'FL Characterization'!M$2)</f>
        <v>53.613555258643082</v>
      </c>
      <c r="N2" s="2">
        <f>('[1]Pc, Summer, S2'!N2*Main!$B$5)+(_xlfn.IFNA(VLOOKUP($A2,'FL Ratio'!$A$3:$B$10,2,FALSE),0)*'FL Characterization'!N$2)</f>
        <v>54.349020192213437</v>
      </c>
      <c r="O2" s="2">
        <f>('[1]Pc, Summer, S2'!O2*Main!$B$5)+(_xlfn.IFNA(VLOOKUP($A2,'FL Ratio'!$A$3:$B$10,2,FALSE),0)*'FL Characterization'!O$2)</f>
        <v>53.343665137877586</v>
      </c>
      <c r="P2" s="2">
        <f>('[1]Pc, Summer, S2'!P2*Main!$B$5)+(_xlfn.IFNA(VLOOKUP($A2,'FL Ratio'!$A$3:$B$10,2,FALSE),0)*'FL Characterization'!P$2)</f>
        <v>51.259250288714398</v>
      </c>
      <c r="Q2" s="2">
        <f>('[1]Pc, Summer, S2'!Q2*Main!$B$5)+(_xlfn.IFNA(VLOOKUP($A2,'FL Ratio'!$A$3:$B$10,2,FALSE),0)*'FL Characterization'!Q$2)</f>
        <v>49.196153897659158</v>
      </c>
      <c r="R2" s="2">
        <f>('[1]Pc, Summer, S2'!R2*Main!$B$5)+(_xlfn.IFNA(VLOOKUP($A2,'FL Ratio'!$A$3:$B$10,2,FALSE),0)*'FL Characterization'!R$2)</f>
        <v>50.054465550730278</v>
      </c>
      <c r="S2" s="2">
        <f>('[1]Pc, Summer, S2'!S2*Main!$B$5)+(_xlfn.IFNA(VLOOKUP($A2,'FL Ratio'!$A$3:$B$10,2,FALSE),0)*'FL Characterization'!S$2)</f>
        <v>50.548991166657061</v>
      </c>
      <c r="T2" s="2">
        <f>('[1]Pc, Summer, S2'!T2*Main!$B$5)+(_xlfn.IFNA(VLOOKUP($A2,'FL Ratio'!$A$3:$B$10,2,FALSE),0)*'FL Characterization'!T$2)</f>
        <v>50.763552856173881</v>
      </c>
      <c r="U2" s="2">
        <f>('[1]Pc, Summer, S2'!U2*Main!$B$5)+(_xlfn.IFNA(VLOOKUP($A2,'FL Ratio'!$A$3:$B$10,2,FALSE),0)*'FL Characterization'!U$2)</f>
        <v>49.923182678754614</v>
      </c>
      <c r="V2" s="2">
        <f>('[1]Pc, Summer, S2'!V2*Main!$B$5)+(_xlfn.IFNA(VLOOKUP($A2,'FL Ratio'!$A$3:$B$10,2,FALSE),0)*'FL Characterization'!V$2)</f>
        <v>50.073179851188151</v>
      </c>
      <c r="W2" s="2">
        <f>('[1]Pc, Summer, S2'!W2*Main!$B$5)+(_xlfn.IFNA(VLOOKUP($A2,'FL Ratio'!$A$3:$B$10,2,FALSE),0)*'FL Characterization'!W$2)</f>
        <v>52.147109305723319</v>
      </c>
      <c r="X2" s="2">
        <f>('[1]Pc, Summer, S2'!X2*Main!$B$5)+(_xlfn.IFNA(VLOOKUP($A2,'FL Ratio'!$A$3:$B$10,2,FALSE),0)*'FL Characterization'!X$2)</f>
        <v>48.607417613668481</v>
      </c>
      <c r="Y2" s="2">
        <f>('[1]Pc, Summer, S2'!Y2*Main!$B$5)+(_xlfn.IFNA(VLOOKUP($A2,'FL Ratio'!$A$3:$B$10,2,FALSE),0)*'FL Characterization'!Y$2)</f>
        <v>44.558148696304507</v>
      </c>
    </row>
    <row r="3" spans="1:25" x14ac:dyDescent="0.3">
      <c r="A3">
        <v>2</v>
      </c>
      <c r="B3" s="2">
        <f>('[1]Pc, Summer, S2'!B3*Main!$B$5)+(_xlfn.IFNA(VLOOKUP($A3,'FL Ratio'!$A$3:$B$10,2,FALSE),0)*'FL Characterization'!B$2)</f>
        <v>42.620651229418129</v>
      </c>
      <c r="C3" s="2">
        <f>('[1]Pc, Summer, S2'!C3*Main!$B$5)+(_xlfn.IFNA(VLOOKUP($A3,'FL Ratio'!$A$3:$B$10,2,FALSE),0)*'FL Characterization'!C$2)</f>
        <v>39.106199645182812</v>
      </c>
      <c r="D3" s="2">
        <f>('[1]Pc, Summer, S2'!D3*Main!$B$5)+(_xlfn.IFNA(VLOOKUP($A3,'FL Ratio'!$A$3:$B$10,2,FALSE),0)*'FL Characterization'!D$2)</f>
        <v>37.052277375005801</v>
      </c>
      <c r="E3" s="2">
        <f>('[1]Pc, Summer, S2'!E3*Main!$B$5)+(_xlfn.IFNA(VLOOKUP($A3,'FL Ratio'!$A$3:$B$10,2,FALSE),0)*'FL Characterization'!E$2)</f>
        <v>35.695975766865111</v>
      </c>
      <c r="F3" s="2">
        <f>('[1]Pc, Summer, S2'!F3*Main!$B$5)+(_xlfn.IFNA(VLOOKUP($A3,'FL Ratio'!$A$3:$B$10,2,FALSE),0)*'FL Characterization'!F$2)</f>
        <v>35.310400173658877</v>
      </c>
      <c r="G3" s="2">
        <f>('[1]Pc, Summer, S2'!G3*Main!$B$5)+(_xlfn.IFNA(VLOOKUP($A3,'FL Ratio'!$A$3:$B$10,2,FALSE),0)*'FL Characterization'!G$2)</f>
        <v>37.46995654840515</v>
      </c>
      <c r="H3" s="2">
        <f>('[1]Pc, Summer, S2'!H3*Main!$B$5)+(_xlfn.IFNA(VLOOKUP($A3,'FL Ratio'!$A$3:$B$10,2,FALSE),0)*'FL Characterization'!H$2)</f>
        <v>46.90415775857641</v>
      </c>
      <c r="I3" s="2">
        <f>('[1]Pc, Summer, S2'!I3*Main!$B$5)+(_xlfn.IFNA(VLOOKUP($A3,'FL Ratio'!$A$3:$B$10,2,FALSE),0)*'FL Characterization'!I$2)</f>
        <v>55.80103842858793</v>
      </c>
      <c r="J3" s="2">
        <f>('[1]Pc, Summer, S2'!J3*Main!$B$5)+(_xlfn.IFNA(VLOOKUP($A3,'FL Ratio'!$A$3:$B$10,2,FALSE),0)*'FL Characterization'!J$2)</f>
        <v>58.187034298040032</v>
      </c>
      <c r="K3" s="2">
        <f>('[1]Pc, Summer, S2'!K3*Main!$B$5)+(_xlfn.IFNA(VLOOKUP($A3,'FL Ratio'!$A$3:$B$10,2,FALSE),0)*'FL Characterization'!K$2)</f>
        <v>57.101908993980452</v>
      </c>
      <c r="L3" s="2">
        <f>('[1]Pc, Summer, S2'!L3*Main!$B$5)+(_xlfn.IFNA(VLOOKUP($A3,'FL Ratio'!$A$3:$B$10,2,FALSE),0)*'FL Characterization'!L$2)</f>
        <v>56.908913763717734</v>
      </c>
      <c r="M3" s="2">
        <f>('[1]Pc, Summer, S2'!M3*Main!$B$5)+(_xlfn.IFNA(VLOOKUP($A3,'FL Ratio'!$A$3:$B$10,2,FALSE),0)*'FL Characterization'!M$2)</f>
        <v>60.685097205868111</v>
      </c>
      <c r="N3" s="2">
        <f>('[1]Pc, Summer, S2'!N3*Main!$B$5)+(_xlfn.IFNA(VLOOKUP($A3,'FL Ratio'!$A$3:$B$10,2,FALSE),0)*'FL Characterization'!N$2)</f>
        <v>60.86145647360258</v>
      </c>
      <c r="O3" s="2">
        <f>('[1]Pc, Summer, S2'!O3*Main!$B$5)+(_xlfn.IFNA(VLOOKUP($A3,'FL Ratio'!$A$3:$B$10,2,FALSE),0)*'FL Characterization'!O$2)</f>
        <v>61.260491584436146</v>
      </c>
      <c r="P3" s="2">
        <f>('[1]Pc, Summer, S2'!P3*Main!$B$5)+(_xlfn.IFNA(VLOOKUP($A3,'FL Ratio'!$A$3:$B$10,2,FALSE),0)*'FL Characterization'!P$2)</f>
        <v>58.288880955520227</v>
      </c>
      <c r="Q3" s="2">
        <f>('[1]Pc, Summer, S2'!Q3*Main!$B$5)+(_xlfn.IFNA(VLOOKUP($A3,'FL Ratio'!$A$3:$B$10,2,FALSE),0)*'FL Characterization'!Q$2)</f>
        <v>55.216506597374647</v>
      </c>
      <c r="R3" s="2">
        <f>('[1]Pc, Summer, S2'!R3*Main!$B$5)+(_xlfn.IFNA(VLOOKUP($A3,'FL Ratio'!$A$3:$B$10,2,FALSE),0)*'FL Characterization'!R$2)</f>
        <v>51.097705039506465</v>
      </c>
      <c r="S3" s="2">
        <f>('[1]Pc, Summer, S2'!S3*Main!$B$5)+(_xlfn.IFNA(VLOOKUP($A3,'FL Ratio'!$A$3:$B$10,2,FALSE),0)*'FL Characterization'!S$2)</f>
        <v>51.630345656199474</v>
      </c>
      <c r="T3" s="2">
        <f>('[1]Pc, Summer, S2'!T3*Main!$B$5)+(_xlfn.IFNA(VLOOKUP($A3,'FL Ratio'!$A$3:$B$10,2,FALSE),0)*'FL Characterization'!T$2)</f>
        <v>51.198057619463114</v>
      </c>
      <c r="U3" s="2">
        <f>('[1]Pc, Summer, S2'!U3*Main!$B$5)+(_xlfn.IFNA(VLOOKUP($A3,'FL Ratio'!$A$3:$B$10,2,FALSE),0)*'FL Characterization'!U$2)</f>
        <v>51.015760329246</v>
      </c>
      <c r="V3" s="2">
        <f>('[1]Pc, Summer, S2'!V3*Main!$B$5)+(_xlfn.IFNA(VLOOKUP($A3,'FL Ratio'!$A$3:$B$10,2,FALSE),0)*'FL Characterization'!V$2)</f>
        <v>51.239623776841611</v>
      </c>
      <c r="W3" s="2">
        <f>('[1]Pc, Summer, S2'!W3*Main!$B$5)+(_xlfn.IFNA(VLOOKUP($A3,'FL Ratio'!$A$3:$B$10,2,FALSE),0)*'FL Characterization'!W$2)</f>
        <v>50.989237162156861</v>
      </c>
      <c r="X3" s="2">
        <f>('[1]Pc, Summer, S2'!X3*Main!$B$5)+(_xlfn.IFNA(VLOOKUP($A3,'FL Ratio'!$A$3:$B$10,2,FALSE),0)*'FL Characterization'!X$2)</f>
        <v>50.615375664564723</v>
      </c>
      <c r="Y3" s="2">
        <f>('[1]Pc, Summer, S2'!Y3*Main!$B$5)+(_xlfn.IFNA(VLOOKUP($A3,'FL Ratio'!$A$3:$B$10,2,FALSE),0)*'FL Characterization'!Y$2)</f>
        <v>47.857685095234267</v>
      </c>
    </row>
    <row r="4" spans="1:25" x14ac:dyDescent="0.3">
      <c r="A4">
        <v>3</v>
      </c>
      <c r="B4" s="2">
        <f>('[1]Pc, Summer, S2'!B4*Main!$B$5)+(_xlfn.IFNA(VLOOKUP($A4,'FL Ratio'!$A$3:$B$10,2,FALSE),0)*'FL Characterization'!B$2)</f>
        <v>56.619825636485707</v>
      </c>
      <c r="C4" s="2">
        <f>('[1]Pc, Summer, S2'!C4*Main!$B$5)+(_xlfn.IFNA(VLOOKUP($A4,'FL Ratio'!$A$3:$B$10,2,FALSE),0)*'FL Characterization'!C$2)</f>
        <v>50.214915842649305</v>
      </c>
      <c r="D4" s="2">
        <f>('[1]Pc, Summer, S2'!D4*Main!$B$5)+(_xlfn.IFNA(VLOOKUP($A4,'FL Ratio'!$A$3:$B$10,2,FALSE),0)*'FL Characterization'!D$2)</f>
        <v>47.357471999821357</v>
      </c>
      <c r="E4" s="2">
        <f>('[1]Pc, Summer, S2'!E4*Main!$B$5)+(_xlfn.IFNA(VLOOKUP($A4,'FL Ratio'!$A$3:$B$10,2,FALSE),0)*'FL Characterization'!E$2)</f>
        <v>45.80949661187914</v>
      </c>
      <c r="F4" s="2">
        <f>('[1]Pc, Summer, S2'!F4*Main!$B$5)+(_xlfn.IFNA(VLOOKUP($A4,'FL Ratio'!$A$3:$B$10,2,FALSE),0)*'FL Characterization'!F$2)</f>
        <v>48.048555332485563</v>
      </c>
      <c r="G4" s="2">
        <f>('[1]Pc, Summer, S2'!G4*Main!$B$5)+(_xlfn.IFNA(VLOOKUP($A4,'FL Ratio'!$A$3:$B$10,2,FALSE),0)*'FL Characterization'!G$2)</f>
        <v>43.891906456073748</v>
      </c>
      <c r="H4" s="2">
        <f>('[1]Pc, Summer, S2'!H4*Main!$B$5)+(_xlfn.IFNA(VLOOKUP($A4,'FL Ratio'!$A$3:$B$10,2,FALSE),0)*'FL Characterization'!H$2)</f>
        <v>51.55153382813419</v>
      </c>
      <c r="I4" s="2">
        <f>('[1]Pc, Summer, S2'!I4*Main!$B$5)+(_xlfn.IFNA(VLOOKUP($A4,'FL Ratio'!$A$3:$B$10,2,FALSE),0)*'FL Characterization'!I$2)</f>
        <v>58.044079318343222</v>
      </c>
      <c r="J4" s="2">
        <f>('[1]Pc, Summer, S2'!J4*Main!$B$5)+(_xlfn.IFNA(VLOOKUP($A4,'FL Ratio'!$A$3:$B$10,2,FALSE),0)*'FL Characterization'!J$2)</f>
        <v>65.312687386026226</v>
      </c>
      <c r="K4" s="2">
        <f>('[1]Pc, Summer, S2'!K4*Main!$B$5)+(_xlfn.IFNA(VLOOKUP($A4,'FL Ratio'!$A$3:$B$10,2,FALSE),0)*'FL Characterization'!K$2)</f>
        <v>70.204471825459379</v>
      </c>
      <c r="L4" s="2">
        <f>('[1]Pc, Summer, S2'!L4*Main!$B$5)+(_xlfn.IFNA(VLOOKUP($A4,'FL Ratio'!$A$3:$B$10,2,FALSE),0)*'FL Characterization'!L$2)</f>
        <v>72.272171728093852</v>
      </c>
      <c r="M4" s="2">
        <f>('[1]Pc, Summer, S2'!M4*Main!$B$5)+(_xlfn.IFNA(VLOOKUP($A4,'FL Ratio'!$A$3:$B$10,2,FALSE),0)*'FL Characterization'!M$2)</f>
        <v>73.471599697736053</v>
      </c>
      <c r="N4" s="2">
        <f>('[1]Pc, Summer, S2'!N4*Main!$B$5)+(_xlfn.IFNA(VLOOKUP($A4,'FL Ratio'!$A$3:$B$10,2,FALSE),0)*'FL Characterization'!N$2)</f>
        <v>75.084748370635396</v>
      </c>
      <c r="O4" s="2">
        <f>('[1]Pc, Summer, S2'!O4*Main!$B$5)+(_xlfn.IFNA(VLOOKUP($A4,'FL Ratio'!$A$3:$B$10,2,FALSE),0)*'FL Characterization'!O$2)</f>
        <v>76.094875678835393</v>
      </c>
      <c r="P4" s="2">
        <f>('[1]Pc, Summer, S2'!P4*Main!$B$5)+(_xlfn.IFNA(VLOOKUP($A4,'FL Ratio'!$A$3:$B$10,2,FALSE),0)*'FL Characterization'!P$2)</f>
        <v>76.41583219224141</v>
      </c>
      <c r="Q4" s="2">
        <f>('[1]Pc, Summer, S2'!Q4*Main!$B$5)+(_xlfn.IFNA(VLOOKUP($A4,'FL Ratio'!$A$3:$B$10,2,FALSE),0)*'FL Characterization'!Q$2)</f>
        <v>73.554678353576847</v>
      </c>
      <c r="R4" s="2">
        <f>('[1]Pc, Summer, S2'!R4*Main!$B$5)+(_xlfn.IFNA(VLOOKUP($A4,'FL Ratio'!$A$3:$B$10,2,FALSE),0)*'FL Characterization'!R$2)</f>
        <v>73.189031549768686</v>
      </c>
      <c r="S4" s="2">
        <f>('[1]Pc, Summer, S2'!S4*Main!$B$5)+(_xlfn.IFNA(VLOOKUP($A4,'FL Ratio'!$A$3:$B$10,2,FALSE),0)*'FL Characterization'!S$2)</f>
        <v>70.888253728117562</v>
      </c>
      <c r="T4" s="2">
        <f>('[1]Pc, Summer, S2'!T4*Main!$B$5)+(_xlfn.IFNA(VLOOKUP($A4,'FL Ratio'!$A$3:$B$10,2,FALSE),0)*'FL Characterization'!T$2)</f>
        <v>70.823443811278381</v>
      </c>
      <c r="U4" s="2">
        <f>('[1]Pc, Summer, S2'!U4*Main!$B$5)+(_xlfn.IFNA(VLOOKUP($A4,'FL Ratio'!$A$3:$B$10,2,FALSE),0)*'FL Characterization'!U$2)</f>
        <v>71.218388884934697</v>
      </c>
      <c r="V4" s="2">
        <f>('[1]Pc, Summer, S2'!V4*Main!$B$5)+(_xlfn.IFNA(VLOOKUP($A4,'FL Ratio'!$A$3:$B$10,2,FALSE),0)*'FL Characterization'!V$2)</f>
        <v>70.860370975328166</v>
      </c>
      <c r="W4" s="2">
        <f>('[1]Pc, Summer, S2'!W4*Main!$B$5)+(_xlfn.IFNA(VLOOKUP($A4,'FL Ratio'!$A$3:$B$10,2,FALSE),0)*'FL Characterization'!W$2)</f>
        <v>73.126688796963123</v>
      </c>
      <c r="X4" s="2">
        <f>('[1]Pc, Summer, S2'!X4*Main!$B$5)+(_xlfn.IFNA(VLOOKUP($A4,'FL Ratio'!$A$3:$B$10,2,FALSE),0)*'FL Characterization'!X$2)</f>
        <v>72.899242699319785</v>
      </c>
      <c r="Y4" s="2">
        <f>('[1]Pc, Summer, S2'!Y4*Main!$B$5)+(_xlfn.IFNA(VLOOKUP($A4,'FL Ratio'!$A$3:$B$10,2,FALSE),0)*'FL Characterization'!Y$2)</f>
        <v>65.728969344880127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50CD1-D625-4A92-9BA0-2060A94ABB5B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Ratio'!$A$3:$B$10,2,FALSE),0)*'FL Characterization'!B$2)</f>
        <v>39.635382842223301</v>
      </c>
      <c r="C2" s="2">
        <f>('[1]Pc, Summer, S2'!C2*Main!$B$5)+(_xlfn.IFNA(VLOOKUP($A2,'FL Ratio'!$A$3:$B$10,2,FALSE),0)*'FL Characterization'!C$2)</f>
        <v>36.010519024318306</v>
      </c>
      <c r="D2" s="2">
        <f>('[1]Pc, Summer, S2'!D2*Main!$B$5)+(_xlfn.IFNA(VLOOKUP($A2,'FL Ratio'!$A$3:$B$10,2,FALSE),0)*'FL Characterization'!D$2)</f>
        <v>35.381508848155178</v>
      </c>
      <c r="E2" s="2">
        <f>('[1]Pc, Summer, S2'!E2*Main!$B$5)+(_xlfn.IFNA(VLOOKUP($A2,'FL Ratio'!$A$3:$B$10,2,FALSE),0)*'FL Characterization'!E$2)</f>
        <v>35.291124517671193</v>
      </c>
      <c r="F2" s="2">
        <f>('[1]Pc, Summer, S2'!F2*Main!$B$5)+(_xlfn.IFNA(VLOOKUP($A2,'FL Ratio'!$A$3:$B$10,2,FALSE),0)*'FL Characterization'!F$2)</f>
        <v>35.293906873823289</v>
      </c>
      <c r="G2" s="2">
        <f>('[1]Pc, Summer, S2'!G2*Main!$B$5)+(_xlfn.IFNA(VLOOKUP($A2,'FL Ratio'!$A$3:$B$10,2,FALSE),0)*'FL Characterization'!G$2)</f>
        <v>34.981777874087292</v>
      </c>
      <c r="H2" s="2">
        <f>('[1]Pc, Summer, S2'!H2*Main!$B$5)+(_xlfn.IFNA(VLOOKUP($A2,'FL Ratio'!$A$3:$B$10,2,FALSE),0)*'FL Characterization'!H$2)</f>
        <v>37.765951929146979</v>
      </c>
      <c r="I2" s="2">
        <f>('[1]Pc, Summer, S2'!I2*Main!$B$5)+(_xlfn.IFNA(VLOOKUP($A2,'FL Ratio'!$A$3:$B$10,2,FALSE),0)*'FL Characterization'!I$2)</f>
        <v>44.837411461165146</v>
      </c>
      <c r="J2" s="2">
        <f>('[1]Pc, Summer, S2'!J2*Main!$B$5)+(_xlfn.IFNA(VLOOKUP($A2,'FL Ratio'!$A$3:$B$10,2,FALSE),0)*'FL Characterization'!J$2)</f>
        <v>51.101899691323624</v>
      </c>
      <c r="K2" s="2">
        <f>('[1]Pc, Summer, S2'!K2*Main!$B$5)+(_xlfn.IFNA(VLOOKUP($A2,'FL Ratio'!$A$3:$B$10,2,FALSE),0)*'FL Characterization'!K$2)</f>
        <v>52.672161382166834</v>
      </c>
      <c r="L2" s="2">
        <f>('[1]Pc, Summer, S2'!L2*Main!$B$5)+(_xlfn.IFNA(VLOOKUP($A2,'FL Ratio'!$A$3:$B$10,2,FALSE),0)*'FL Characterization'!L$2)</f>
        <v>52.139133160881272</v>
      </c>
      <c r="M2" s="2">
        <f>('[1]Pc, Summer, S2'!M2*Main!$B$5)+(_xlfn.IFNA(VLOOKUP($A2,'FL Ratio'!$A$3:$B$10,2,FALSE),0)*'FL Characterization'!M$2)</f>
        <v>53.613555258643082</v>
      </c>
      <c r="N2" s="2">
        <f>('[1]Pc, Summer, S2'!N2*Main!$B$5)+(_xlfn.IFNA(VLOOKUP($A2,'FL Ratio'!$A$3:$B$10,2,FALSE),0)*'FL Characterization'!N$2)</f>
        <v>54.349020192213437</v>
      </c>
      <c r="O2" s="2">
        <f>('[1]Pc, Summer, S2'!O2*Main!$B$5)+(_xlfn.IFNA(VLOOKUP($A2,'FL Ratio'!$A$3:$B$10,2,FALSE),0)*'FL Characterization'!O$2)</f>
        <v>53.343665137877586</v>
      </c>
      <c r="P2" s="2">
        <f>('[1]Pc, Summer, S2'!P2*Main!$B$5)+(_xlfn.IFNA(VLOOKUP($A2,'FL Ratio'!$A$3:$B$10,2,FALSE),0)*'FL Characterization'!P$2)</f>
        <v>51.259250288714398</v>
      </c>
      <c r="Q2" s="2">
        <f>('[1]Pc, Summer, S2'!Q2*Main!$B$5)+(_xlfn.IFNA(VLOOKUP($A2,'FL Ratio'!$A$3:$B$10,2,FALSE),0)*'FL Characterization'!Q$2)</f>
        <v>49.196153897659158</v>
      </c>
      <c r="R2" s="2">
        <f>('[1]Pc, Summer, S2'!R2*Main!$B$5)+(_xlfn.IFNA(VLOOKUP($A2,'FL Ratio'!$A$3:$B$10,2,FALSE),0)*'FL Characterization'!R$2)</f>
        <v>50.054465550730278</v>
      </c>
      <c r="S2" s="2">
        <f>('[1]Pc, Summer, S2'!S2*Main!$B$5)+(_xlfn.IFNA(VLOOKUP($A2,'FL Ratio'!$A$3:$B$10,2,FALSE),0)*'FL Characterization'!S$2)</f>
        <v>50.548991166657061</v>
      </c>
      <c r="T2" s="2">
        <f>('[1]Pc, Summer, S2'!T2*Main!$B$5)+(_xlfn.IFNA(VLOOKUP($A2,'FL Ratio'!$A$3:$B$10,2,FALSE),0)*'FL Characterization'!T$2)</f>
        <v>50.763552856173881</v>
      </c>
      <c r="U2" s="2">
        <f>('[1]Pc, Summer, S2'!U2*Main!$B$5)+(_xlfn.IFNA(VLOOKUP($A2,'FL Ratio'!$A$3:$B$10,2,FALSE),0)*'FL Characterization'!U$2)</f>
        <v>49.923182678754614</v>
      </c>
      <c r="V2" s="2">
        <f>('[1]Pc, Summer, S2'!V2*Main!$B$5)+(_xlfn.IFNA(VLOOKUP($A2,'FL Ratio'!$A$3:$B$10,2,FALSE),0)*'FL Characterization'!V$2)</f>
        <v>50.073179851188151</v>
      </c>
      <c r="W2" s="2">
        <f>('[1]Pc, Summer, S2'!W2*Main!$B$5)+(_xlfn.IFNA(VLOOKUP($A2,'FL Ratio'!$A$3:$B$10,2,FALSE),0)*'FL Characterization'!W$2)</f>
        <v>52.147109305723319</v>
      </c>
      <c r="X2" s="2">
        <f>('[1]Pc, Summer, S2'!X2*Main!$B$5)+(_xlfn.IFNA(VLOOKUP($A2,'FL Ratio'!$A$3:$B$10,2,FALSE),0)*'FL Characterization'!X$2)</f>
        <v>48.607417613668481</v>
      </c>
      <c r="Y2" s="2">
        <f>('[1]Pc, Summer, S2'!Y2*Main!$B$5)+(_xlfn.IFNA(VLOOKUP($A2,'FL Ratio'!$A$3:$B$10,2,FALSE),0)*'FL Characterization'!Y$2)</f>
        <v>44.558148696304507</v>
      </c>
    </row>
    <row r="3" spans="1:25" x14ac:dyDescent="0.3">
      <c r="A3">
        <v>2</v>
      </c>
      <c r="B3" s="2">
        <f>('[1]Pc, Summer, S2'!B3*Main!$B$5)+(_xlfn.IFNA(VLOOKUP($A3,'FL Ratio'!$A$3:$B$10,2,FALSE),0)*'FL Characterization'!B$2)</f>
        <v>42.620651229418129</v>
      </c>
      <c r="C3" s="2">
        <f>('[1]Pc, Summer, S2'!C3*Main!$B$5)+(_xlfn.IFNA(VLOOKUP($A3,'FL Ratio'!$A$3:$B$10,2,FALSE),0)*'FL Characterization'!C$2)</f>
        <v>39.106199645182812</v>
      </c>
      <c r="D3" s="2">
        <f>('[1]Pc, Summer, S2'!D3*Main!$B$5)+(_xlfn.IFNA(VLOOKUP($A3,'FL Ratio'!$A$3:$B$10,2,FALSE),0)*'FL Characterization'!D$2)</f>
        <v>37.052277375005801</v>
      </c>
      <c r="E3" s="2">
        <f>('[1]Pc, Summer, S2'!E3*Main!$B$5)+(_xlfn.IFNA(VLOOKUP($A3,'FL Ratio'!$A$3:$B$10,2,FALSE),0)*'FL Characterization'!E$2)</f>
        <v>35.695975766865111</v>
      </c>
      <c r="F3" s="2">
        <f>('[1]Pc, Summer, S2'!F3*Main!$B$5)+(_xlfn.IFNA(VLOOKUP($A3,'FL Ratio'!$A$3:$B$10,2,FALSE),0)*'FL Characterization'!F$2)</f>
        <v>35.310400173658877</v>
      </c>
      <c r="G3" s="2">
        <f>('[1]Pc, Summer, S2'!G3*Main!$B$5)+(_xlfn.IFNA(VLOOKUP($A3,'FL Ratio'!$A$3:$B$10,2,FALSE),0)*'FL Characterization'!G$2)</f>
        <v>37.46995654840515</v>
      </c>
      <c r="H3" s="2">
        <f>('[1]Pc, Summer, S2'!H3*Main!$B$5)+(_xlfn.IFNA(VLOOKUP($A3,'FL Ratio'!$A$3:$B$10,2,FALSE),0)*'FL Characterization'!H$2)</f>
        <v>46.90415775857641</v>
      </c>
      <c r="I3" s="2">
        <f>('[1]Pc, Summer, S2'!I3*Main!$B$5)+(_xlfn.IFNA(VLOOKUP($A3,'FL Ratio'!$A$3:$B$10,2,FALSE),0)*'FL Characterization'!I$2)</f>
        <v>55.80103842858793</v>
      </c>
      <c r="J3" s="2">
        <f>('[1]Pc, Summer, S2'!J3*Main!$B$5)+(_xlfn.IFNA(VLOOKUP($A3,'FL Ratio'!$A$3:$B$10,2,FALSE),0)*'FL Characterization'!J$2)</f>
        <v>58.187034298040032</v>
      </c>
      <c r="K3" s="2">
        <f>('[1]Pc, Summer, S2'!K3*Main!$B$5)+(_xlfn.IFNA(VLOOKUP($A3,'FL Ratio'!$A$3:$B$10,2,FALSE),0)*'FL Characterization'!K$2)</f>
        <v>57.101908993980452</v>
      </c>
      <c r="L3" s="2">
        <f>('[1]Pc, Summer, S2'!L3*Main!$B$5)+(_xlfn.IFNA(VLOOKUP($A3,'FL Ratio'!$A$3:$B$10,2,FALSE),0)*'FL Characterization'!L$2)</f>
        <v>56.908913763717734</v>
      </c>
      <c r="M3" s="2">
        <f>('[1]Pc, Summer, S2'!M3*Main!$B$5)+(_xlfn.IFNA(VLOOKUP($A3,'FL Ratio'!$A$3:$B$10,2,FALSE),0)*'FL Characterization'!M$2)</f>
        <v>60.685097205868111</v>
      </c>
      <c r="N3" s="2">
        <f>('[1]Pc, Summer, S2'!N3*Main!$B$5)+(_xlfn.IFNA(VLOOKUP($A3,'FL Ratio'!$A$3:$B$10,2,FALSE),0)*'FL Characterization'!N$2)</f>
        <v>60.86145647360258</v>
      </c>
      <c r="O3" s="2">
        <f>('[1]Pc, Summer, S2'!O3*Main!$B$5)+(_xlfn.IFNA(VLOOKUP($A3,'FL Ratio'!$A$3:$B$10,2,FALSE),0)*'FL Characterization'!O$2)</f>
        <v>61.260491584436146</v>
      </c>
      <c r="P3" s="2">
        <f>('[1]Pc, Summer, S2'!P3*Main!$B$5)+(_xlfn.IFNA(VLOOKUP($A3,'FL Ratio'!$A$3:$B$10,2,FALSE),0)*'FL Characterization'!P$2)</f>
        <v>58.288880955520227</v>
      </c>
      <c r="Q3" s="2">
        <f>('[1]Pc, Summer, S2'!Q3*Main!$B$5)+(_xlfn.IFNA(VLOOKUP($A3,'FL Ratio'!$A$3:$B$10,2,FALSE),0)*'FL Characterization'!Q$2)</f>
        <v>55.216506597374647</v>
      </c>
      <c r="R3" s="2">
        <f>('[1]Pc, Summer, S2'!R3*Main!$B$5)+(_xlfn.IFNA(VLOOKUP($A3,'FL Ratio'!$A$3:$B$10,2,FALSE),0)*'FL Characterization'!R$2)</f>
        <v>51.097705039506465</v>
      </c>
      <c r="S3" s="2">
        <f>('[1]Pc, Summer, S2'!S3*Main!$B$5)+(_xlfn.IFNA(VLOOKUP($A3,'FL Ratio'!$A$3:$B$10,2,FALSE),0)*'FL Characterization'!S$2)</f>
        <v>51.630345656199474</v>
      </c>
      <c r="T3" s="2">
        <f>('[1]Pc, Summer, S2'!T3*Main!$B$5)+(_xlfn.IFNA(VLOOKUP($A3,'FL Ratio'!$A$3:$B$10,2,FALSE),0)*'FL Characterization'!T$2)</f>
        <v>51.198057619463114</v>
      </c>
      <c r="U3" s="2">
        <f>('[1]Pc, Summer, S2'!U3*Main!$B$5)+(_xlfn.IFNA(VLOOKUP($A3,'FL Ratio'!$A$3:$B$10,2,FALSE),0)*'FL Characterization'!U$2)</f>
        <v>51.015760329246</v>
      </c>
      <c r="V3" s="2">
        <f>('[1]Pc, Summer, S2'!V3*Main!$B$5)+(_xlfn.IFNA(VLOOKUP($A3,'FL Ratio'!$A$3:$B$10,2,FALSE),0)*'FL Characterization'!V$2)</f>
        <v>51.239623776841611</v>
      </c>
      <c r="W3" s="2">
        <f>('[1]Pc, Summer, S2'!W3*Main!$B$5)+(_xlfn.IFNA(VLOOKUP($A3,'FL Ratio'!$A$3:$B$10,2,FALSE),0)*'FL Characterization'!W$2)</f>
        <v>50.989237162156861</v>
      </c>
      <c r="X3" s="2">
        <f>('[1]Pc, Summer, S2'!X3*Main!$B$5)+(_xlfn.IFNA(VLOOKUP($A3,'FL Ratio'!$A$3:$B$10,2,FALSE),0)*'FL Characterization'!X$2)</f>
        <v>50.615375664564723</v>
      </c>
      <c r="Y3" s="2">
        <f>('[1]Pc, Summer, S2'!Y3*Main!$B$5)+(_xlfn.IFNA(VLOOKUP($A3,'FL Ratio'!$A$3:$B$10,2,FALSE),0)*'FL Characterization'!Y$2)</f>
        <v>47.857685095234267</v>
      </c>
    </row>
    <row r="4" spans="1:25" x14ac:dyDescent="0.3">
      <c r="A4">
        <v>3</v>
      </c>
      <c r="B4" s="2">
        <f>('[1]Pc, Summer, S2'!B4*Main!$B$5)+(_xlfn.IFNA(VLOOKUP($A4,'FL Ratio'!$A$3:$B$10,2,FALSE),0)*'FL Characterization'!B$2)</f>
        <v>56.619825636485707</v>
      </c>
      <c r="C4" s="2">
        <f>('[1]Pc, Summer, S2'!C4*Main!$B$5)+(_xlfn.IFNA(VLOOKUP($A4,'FL Ratio'!$A$3:$B$10,2,FALSE),0)*'FL Characterization'!C$2)</f>
        <v>50.214915842649305</v>
      </c>
      <c r="D4" s="2">
        <f>('[1]Pc, Summer, S2'!D4*Main!$B$5)+(_xlfn.IFNA(VLOOKUP($A4,'FL Ratio'!$A$3:$B$10,2,FALSE),0)*'FL Characterization'!D$2)</f>
        <v>47.357471999821357</v>
      </c>
      <c r="E4" s="2">
        <f>('[1]Pc, Summer, S2'!E4*Main!$B$5)+(_xlfn.IFNA(VLOOKUP($A4,'FL Ratio'!$A$3:$B$10,2,FALSE),0)*'FL Characterization'!E$2)</f>
        <v>45.80949661187914</v>
      </c>
      <c r="F4" s="2">
        <f>('[1]Pc, Summer, S2'!F4*Main!$B$5)+(_xlfn.IFNA(VLOOKUP($A4,'FL Ratio'!$A$3:$B$10,2,FALSE),0)*'FL Characterization'!F$2)</f>
        <v>48.048555332485563</v>
      </c>
      <c r="G4" s="2">
        <f>('[1]Pc, Summer, S2'!G4*Main!$B$5)+(_xlfn.IFNA(VLOOKUP($A4,'FL Ratio'!$A$3:$B$10,2,FALSE),0)*'FL Characterization'!G$2)</f>
        <v>43.891906456073748</v>
      </c>
      <c r="H4" s="2">
        <f>('[1]Pc, Summer, S2'!H4*Main!$B$5)+(_xlfn.IFNA(VLOOKUP($A4,'FL Ratio'!$A$3:$B$10,2,FALSE),0)*'FL Characterization'!H$2)</f>
        <v>51.55153382813419</v>
      </c>
      <c r="I4" s="2">
        <f>('[1]Pc, Summer, S2'!I4*Main!$B$5)+(_xlfn.IFNA(VLOOKUP($A4,'FL Ratio'!$A$3:$B$10,2,FALSE),0)*'FL Characterization'!I$2)</f>
        <v>58.044079318343222</v>
      </c>
      <c r="J4" s="2">
        <f>('[1]Pc, Summer, S2'!J4*Main!$B$5)+(_xlfn.IFNA(VLOOKUP($A4,'FL Ratio'!$A$3:$B$10,2,FALSE),0)*'FL Characterization'!J$2)</f>
        <v>65.312687386026226</v>
      </c>
      <c r="K4" s="2">
        <f>('[1]Pc, Summer, S2'!K4*Main!$B$5)+(_xlfn.IFNA(VLOOKUP($A4,'FL Ratio'!$A$3:$B$10,2,FALSE),0)*'FL Characterization'!K$2)</f>
        <v>70.204471825459379</v>
      </c>
      <c r="L4" s="2">
        <f>('[1]Pc, Summer, S2'!L4*Main!$B$5)+(_xlfn.IFNA(VLOOKUP($A4,'FL Ratio'!$A$3:$B$10,2,FALSE),0)*'FL Characterization'!L$2)</f>
        <v>72.272171728093852</v>
      </c>
      <c r="M4" s="2">
        <f>('[1]Pc, Summer, S2'!M4*Main!$B$5)+(_xlfn.IFNA(VLOOKUP($A4,'FL Ratio'!$A$3:$B$10,2,FALSE),0)*'FL Characterization'!M$2)</f>
        <v>73.471599697736053</v>
      </c>
      <c r="N4" s="2">
        <f>('[1]Pc, Summer, S2'!N4*Main!$B$5)+(_xlfn.IFNA(VLOOKUP($A4,'FL Ratio'!$A$3:$B$10,2,FALSE),0)*'FL Characterization'!N$2)</f>
        <v>75.084748370635396</v>
      </c>
      <c r="O4" s="2">
        <f>('[1]Pc, Summer, S2'!O4*Main!$B$5)+(_xlfn.IFNA(VLOOKUP($A4,'FL Ratio'!$A$3:$B$10,2,FALSE),0)*'FL Characterization'!O$2)</f>
        <v>76.094875678835393</v>
      </c>
      <c r="P4" s="2">
        <f>('[1]Pc, Summer, S2'!P4*Main!$B$5)+(_xlfn.IFNA(VLOOKUP($A4,'FL Ratio'!$A$3:$B$10,2,FALSE),0)*'FL Characterization'!P$2)</f>
        <v>76.41583219224141</v>
      </c>
      <c r="Q4" s="2">
        <f>('[1]Pc, Summer, S2'!Q4*Main!$B$5)+(_xlfn.IFNA(VLOOKUP($A4,'FL Ratio'!$A$3:$B$10,2,FALSE),0)*'FL Characterization'!Q$2)</f>
        <v>73.554678353576847</v>
      </c>
      <c r="R4" s="2">
        <f>('[1]Pc, Summer, S2'!R4*Main!$B$5)+(_xlfn.IFNA(VLOOKUP($A4,'FL Ratio'!$A$3:$B$10,2,FALSE),0)*'FL Characterization'!R$2)</f>
        <v>73.189031549768686</v>
      </c>
      <c r="S4" s="2">
        <f>('[1]Pc, Summer, S2'!S4*Main!$B$5)+(_xlfn.IFNA(VLOOKUP($A4,'FL Ratio'!$A$3:$B$10,2,FALSE),0)*'FL Characterization'!S$2)</f>
        <v>70.888253728117562</v>
      </c>
      <c r="T4" s="2">
        <f>('[1]Pc, Summer, S2'!T4*Main!$B$5)+(_xlfn.IFNA(VLOOKUP($A4,'FL Ratio'!$A$3:$B$10,2,FALSE),0)*'FL Characterization'!T$2)</f>
        <v>70.823443811278381</v>
      </c>
      <c r="U4" s="2">
        <f>('[1]Pc, Summer, S2'!U4*Main!$B$5)+(_xlfn.IFNA(VLOOKUP($A4,'FL Ratio'!$A$3:$B$10,2,FALSE),0)*'FL Characterization'!U$2)</f>
        <v>71.218388884934697</v>
      </c>
      <c r="V4" s="2">
        <f>('[1]Pc, Summer, S2'!V4*Main!$B$5)+(_xlfn.IFNA(VLOOKUP($A4,'FL Ratio'!$A$3:$B$10,2,FALSE),0)*'FL Characterization'!V$2)</f>
        <v>70.860370975328166</v>
      </c>
      <c r="W4" s="2">
        <f>('[1]Pc, Summer, S2'!W4*Main!$B$5)+(_xlfn.IFNA(VLOOKUP($A4,'FL Ratio'!$A$3:$B$10,2,FALSE),0)*'FL Characterization'!W$2)</f>
        <v>73.126688796963123</v>
      </c>
      <c r="X4" s="2">
        <f>('[1]Pc, Summer, S2'!X4*Main!$B$5)+(_xlfn.IFNA(VLOOKUP($A4,'FL Ratio'!$A$3:$B$10,2,FALSE),0)*'FL Characterization'!X$2)</f>
        <v>72.899242699319785</v>
      </c>
      <c r="Y4" s="2">
        <f>('[1]Pc, Summer, S2'!Y4*Main!$B$5)+(_xlfn.IFNA(VLOOKUP($A4,'FL Ratio'!$A$3:$B$10,2,FALSE),0)*'FL Characterization'!Y$2)</f>
        <v>65.728969344880127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B092C-A374-4AA2-A2BC-FB6911C52662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Ratio'!$A$3:$B$10,2,FALSE),0)*'FL Characterization'!B$2)</f>
        <v>39.635382842223301</v>
      </c>
      <c r="C2" s="2">
        <f>('[1]Pc, Summer, S2'!C2*Main!$B$5)+(_xlfn.IFNA(VLOOKUP($A2,'FL Ratio'!$A$3:$B$10,2,FALSE),0)*'FL Characterization'!C$2)</f>
        <v>36.010519024318306</v>
      </c>
      <c r="D2" s="2">
        <f>('[1]Pc, Summer, S2'!D2*Main!$B$5)+(_xlfn.IFNA(VLOOKUP($A2,'FL Ratio'!$A$3:$B$10,2,FALSE),0)*'FL Characterization'!D$2)</f>
        <v>35.381508848155178</v>
      </c>
      <c r="E2" s="2">
        <f>('[1]Pc, Summer, S2'!E2*Main!$B$5)+(_xlfn.IFNA(VLOOKUP($A2,'FL Ratio'!$A$3:$B$10,2,FALSE),0)*'FL Characterization'!E$2)</f>
        <v>35.291124517671193</v>
      </c>
      <c r="F2" s="2">
        <f>('[1]Pc, Summer, S2'!F2*Main!$B$5)+(_xlfn.IFNA(VLOOKUP($A2,'FL Ratio'!$A$3:$B$10,2,FALSE),0)*'FL Characterization'!F$2)</f>
        <v>35.293906873823289</v>
      </c>
      <c r="G2" s="2">
        <f>('[1]Pc, Summer, S2'!G2*Main!$B$5)+(_xlfn.IFNA(VLOOKUP($A2,'FL Ratio'!$A$3:$B$10,2,FALSE),0)*'FL Characterization'!G$2)</f>
        <v>34.981777874087292</v>
      </c>
      <c r="H2" s="2">
        <f>('[1]Pc, Summer, S2'!H2*Main!$B$5)+(_xlfn.IFNA(VLOOKUP($A2,'FL Ratio'!$A$3:$B$10,2,FALSE),0)*'FL Characterization'!H$2)</f>
        <v>37.765951929146979</v>
      </c>
      <c r="I2" s="2">
        <f>('[1]Pc, Summer, S2'!I2*Main!$B$5)+(_xlfn.IFNA(VLOOKUP($A2,'FL Ratio'!$A$3:$B$10,2,FALSE),0)*'FL Characterization'!I$2)</f>
        <v>44.837411461165146</v>
      </c>
      <c r="J2" s="2">
        <f>('[1]Pc, Summer, S2'!J2*Main!$B$5)+(_xlfn.IFNA(VLOOKUP($A2,'FL Ratio'!$A$3:$B$10,2,FALSE),0)*'FL Characterization'!J$2)</f>
        <v>51.101899691323624</v>
      </c>
      <c r="K2" s="2">
        <f>('[1]Pc, Summer, S2'!K2*Main!$B$5)+(_xlfn.IFNA(VLOOKUP($A2,'FL Ratio'!$A$3:$B$10,2,FALSE),0)*'FL Characterization'!K$2)</f>
        <v>52.672161382166834</v>
      </c>
      <c r="L2" s="2">
        <f>('[1]Pc, Summer, S2'!L2*Main!$B$5)+(_xlfn.IFNA(VLOOKUP($A2,'FL Ratio'!$A$3:$B$10,2,FALSE),0)*'FL Characterization'!L$2)</f>
        <v>52.139133160881272</v>
      </c>
      <c r="M2" s="2">
        <f>('[1]Pc, Summer, S2'!M2*Main!$B$5)+(_xlfn.IFNA(VLOOKUP($A2,'FL Ratio'!$A$3:$B$10,2,FALSE),0)*'FL Characterization'!M$2)</f>
        <v>53.613555258643082</v>
      </c>
      <c r="N2" s="2">
        <f>('[1]Pc, Summer, S2'!N2*Main!$B$5)+(_xlfn.IFNA(VLOOKUP($A2,'FL Ratio'!$A$3:$B$10,2,FALSE),0)*'FL Characterization'!N$2)</f>
        <v>54.349020192213437</v>
      </c>
      <c r="O2" s="2">
        <f>('[1]Pc, Summer, S2'!O2*Main!$B$5)+(_xlfn.IFNA(VLOOKUP($A2,'FL Ratio'!$A$3:$B$10,2,FALSE),0)*'FL Characterization'!O$2)</f>
        <v>53.343665137877586</v>
      </c>
      <c r="P2" s="2">
        <f>('[1]Pc, Summer, S2'!P2*Main!$B$5)+(_xlfn.IFNA(VLOOKUP($A2,'FL Ratio'!$A$3:$B$10,2,FALSE),0)*'FL Characterization'!P$2)</f>
        <v>51.259250288714398</v>
      </c>
      <c r="Q2" s="2">
        <f>('[1]Pc, Summer, S2'!Q2*Main!$B$5)+(_xlfn.IFNA(VLOOKUP($A2,'FL Ratio'!$A$3:$B$10,2,FALSE),0)*'FL Characterization'!Q$2)</f>
        <v>49.196153897659158</v>
      </c>
      <c r="R2" s="2">
        <f>('[1]Pc, Summer, S2'!R2*Main!$B$5)+(_xlfn.IFNA(VLOOKUP($A2,'FL Ratio'!$A$3:$B$10,2,FALSE),0)*'FL Characterization'!R$2)</f>
        <v>50.054465550730278</v>
      </c>
      <c r="S2" s="2">
        <f>('[1]Pc, Summer, S2'!S2*Main!$B$5)+(_xlfn.IFNA(VLOOKUP($A2,'FL Ratio'!$A$3:$B$10,2,FALSE),0)*'FL Characterization'!S$2)</f>
        <v>50.548991166657061</v>
      </c>
      <c r="T2" s="2">
        <f>('[1]Pc, Summer, S2'!T2*Main!$B$5)+(_xlfn.IFNA(VLOOKUP($A2,'FL Ratio'!$A$3:$B$10,2,FALSE),0)*'FL Characterization'!T$2)</f>
        <v>50.763552856173881</v>
      </c>
      <c r="U2" s="2">
        <f>('[1]Pc, Summer, S2'!U2*Main!$B$5)+(_xlfn.IFNA(VLOOKUP($A2,'FL Ratio'!$A$3:$B$10,2,FALSE),0)*'FL Characterization'!U$2)</f>
        <v>49.923182678754614</v>
      </c>
      <c r="V2" s="2">
        <f>('[1]Pc, Summer, S2'!V2*Main!$B$5)+(_xlfn.IFNA(VLOOKUP($A2,'FL Ratio'!$A$3:$B$10,2,FALSE),0)*'FL Characterization'!V$2)</f>
        <v>50.073179851188151</v>
      </c>
      <c r="W2" s="2">
        <f>('[1]Pc, Summer, S2'!W2*Main!$B$5)+(_xlfn.IFNA(VLOOKUP($A2,'FL Ratio'!$A$3:$B$10,2,FALSE),0)*'FL Characterization'!W$2)</f>
        <v>52.147109305723319</v>
      </c>
      <c r="X2" s="2">
        <f>('[1]Pc, Summer, S2'!X2*Main!$B$5)+(_xlfn.IFNA(VLOOKUP($A2,'FL Ratio'!$A$3:$B$10,2,FALSE),0)*'FL Characterization'!X$2)</f>
        <v>48.607417613668481</v>
      </c>
      <c r="Y2" s="2">
        <f>('[1]Pc, Summer, S2'!Y2*Main!$B$5)+(_xlfn.IFNA(VLOOKUP($A2,'FL Ratio'!$A$3:$B$10,2,FALSE),0)*'FL Characterization'!Y$2)</f>
        <v>44.558148696304507</v>
      </c>
    </row>
    <row r="3" spans="1:25" x14ac:dyDescent="0.3">
      <c r="A3">
        <v>2</v>
      </c>
      <c r="B3" s="2">
        <f>('[1]Pc, Summer, S2'!B3*Main!$B$5)+(_xlfn.IFNA(VLOOKUP($A3,'FL Ratio'!$A$3:$B$10,2,FALSE),0)*'FL Characterization'!B$2)</f>
        <v>42.620651229418129</v>
      </c>
      <c r="C3" s="2">
        <f>('[1]Pc, Summer, S2'!C3*Main!$B$5)+(_xlfn.IFNA(VLOOKUP($A3,'FL Ratio'!$A$3:$B$10,2,FALSE),0)*'FL Characterization'!C$2)</f>
        <v>39.106199645182812</v>
      </c>
      <c r="D3" s="2">
        <f>('[1]Pc, Summer, S2'!D3*Main!$B$5)+(_xlfn.IFNA(VLOOKUP($A3,'FL Ratio'!$A$3:$B$10,2,FALSE),0)*'FL Characterization'!D$2)</f>
        <v>37.052277375005801</v>
      </c>
      <c r="E3" s="2">
        <f>('[1]Pc, Summer, S2'!E3*Main!$B$5)+(_xlfn.IFNA(VLOOKUP($A3,'FL Ratio'!$A$3:$B$10,2,FALSE),0)*'FL Characterization'!E$2)</f>
        <v>35.695975766865111</v>
      </c>
      <c r="F3" s="2">
        <f>('[1]Pc, Summer, S2'!F3*Main!$B$5)+(_xlfn.IFNA(VLOOKUP($A3,'FL Ratio'!$A$3:$B$10,2,FALSE),0)*'FL Characterization'!F$2)</f>
        <v>35.310400173658877</v>
      </c>
      <c r="G3" s="2">
        <f>('[1]Pc, Summer, S2'!G3*Main!$B$5)+(_xlfn.IFNA(VLOOKUP($A3,'FL Ratio'!$A$3:$B$10,2,FALSE),0)*'FL Characterization'!G$2)</f>
        <v>37.46995654840515</v>
      </c>
      <c r="H3" s="2">
        <f>('[1]Pc, Summer, S2'!H3*Main!$B$5)+(_xlfn.IFNA(VLOOKUP($A3,'FL Ratio'!$A$3:$B$10,2,FALSE),0)*'FL Characterization'!H$2)</f>
        <v>46.90415775857641</v>
      </c>
      <c r="I3" s="2">
        <f>('[1]Pc, Summer, S2'!I3*Main!$B$5)+(_xlfn.IFNA(VLOOKUP($A3,'FL Ratio'!$A$3:$B$10,2,FALSE),0)*'FL Characterization'!I$2)</f>
        <v>55.80103842858793</v>
      </c>
      <c r="J3" s="2">
        <f>('[1]Pc, Summer, S2'!J3*Main!$B$5)+(_xlfn.IFNA(VLOOKUP($A3,'FL Ratio'!$A$3:$B$10,2,FALSE),0)*'FL Characterization'!J$2)</f>
        <v>58.187034298040032</v>
      </c>
      <c r="K3" s="2">
        <f>('[1]Pc, Summer, S2'!K3*Main!$B$5)+(_xlfn.IFNA(VLOOKUP($A3,'FL Ratio'!$A$3:$B$10,2,FALSE),0)*'FL Characterization'!K$2)</f>
        <v>57.101908993980452</v>
      </c>
      <c r="L3" s="2">
        <f>('[1]Pc, Summer, S2'!L3*Main!$B$5)+(_xlfn.IFNA(VLOOKUP($A3,'FL Ratio'!$A$3:$B$10,2,FALSE),0)*'FL Characterization'!L$2)</f>
        <v>56.908913763717734</v>
      </c>
      <c r="M3" s="2">
        <f>('[1]Pc, Summer, S2'!M3*Main!$B$5)+(_xlfn.IFNA(VLOOKUP($A3,'FL Ratio'!$A$3:$B$10,2,FALSE),0)*'FL Characterization'!M$2)</f>
        <v>60.685097205868111</v>
      </c>
      <c r="N3" s="2">
        <f>('[1]Pc, Summer, S2'!N3*Main!$B$5)+(_xlfn.IFNA(VLOOKUP($A3,'FL Ratio'!$A$3:$B$10,2,FALSE),0)*'FL Characterization'!N$2)</f>
        <v>60.86145647360258</v>
      </c>
      <c r="O3" s="2">
        <f>('[1]Pc, Summer, S2'!O3*Main!$B$5)+(_xlfn.IFNA(VLOOKUP($A3,'FL Ratio'!$A$3:$B$10,2,FALSE),0)*'FL Characterization'!O$2)</f>
        <v>61.260491584436146</v>
      </c>
      <c r="P3" s="2">
        <f>('[1]Pc, Summer, S2'!P3*Main!$B$5)+(_xlfn.IFNA(VLOOKUP($A3,'FL Ratio'!$A$3:$B$10,2,FALSE),0)*'FL Characterization'!P$2)</f>
        <v>58.288880955520227</v>
      </c>
      <c r="Q3" s="2">
        <f>('[1]Pc, Summer, S2'!Q3*Main!$B$5)+(_xlfn.IFNA(VLOOKUP($A3,'FL Ratio'!$A$3:$B$10,2,FALSE),0)*'FL Characterization'!Q$2)</f>
        <v>55.216506597374647</v>
      </c>
      <c r="R3" s="2">
        <f>('[1]Pc, Summer, S2'!R3*Main!$B$5)+(_xlfn.IFNA(VLOOKUP($A3,'FL Ratio'!$A$3:$B$10,2,FALSE),0)*'FL Characterization'!R$2)</f>
        <v>51.097705039506465</v>
      </c>
      <c r="S3" s="2">
        <f>('[1]Pc, Summer, S2'!S3*Main!$B$5)+(_xlfn.IFNA(VLOOKUP($A3,'FL Ratio'!$A$3:$B$10,2,FALSE),0)*'FL Characterization'!S$2)</f>
        <v>51.630345656199474</v>
      </c>
      <c r="T3" s="2">
        <f>('[1]Pc, Summer, S2'!T3*Main!$B$5)+(_xlfn.IFNA(VLOOKUP($A3,'FL Ratio'!$A$3:$B$10,2,FALSE),0)*'FL Characterization'!T$2)</f>
        <v>51.198057619463114</v>
      </c>
      <c r="U3" s="2">
        <f>('[1]Pc, Summer, S2'!U3*Main!$B$5)+(_xlfn.IFNA(VLOOKUP($A3,'FL Ratio'!$A$3:$B$10,2,FALSE),0)*'FL Characterization'!U$2)</f>
        <v>51.015760329246</v>
      </c>
      <c r="V3" s="2">
        <f>('[1]Pc, Summer, S2'!V3*Main!$B$5)+(_xlfn.IFNA(VLOOKUP($A3,'FL Ratio'!$A$3:$B$10,2,FALSE),0)*'FL Characterization'!V$2)</f>
        <v>51.239623776841611</v>
      </c>
      <c r="W3" s="2">
        <f>('[1]Pc, Summer, S2'!W3*Main!$B$5)+(_xlfn.IFNA(VLOOKUP($A3,'FL Ratio'!$A$3:$B$10,2,FALSE),0)*'FL Characterization'!W$2)</f>
        <v>50.989237162156861</v>
      </c>
      <c r="X3" s="2">
        <f>('[1]Pc, Summer, S2'!X3*Main!$B$5)+(_xlfn.IFNA(VLOOKUP($A3,'FL Ratio'!$A$3:$B$10,2,FALSE),0)*'FL Characterization'!X$2)</f>
        <v>50.615375664564723</v>
      </c>
      <c r="Y3" s="2">
        <f>('[1]Pc, Summer, S2'!Y3*Main!$B$5)+(_xlfn.IFNA(VLOOKUP($A3,'FL Ratio'!$A$3:$B$10,2,FALSE),0)*'FL Characterization'!Y$2)</f>
        <v>47.857685095234267</v>
      </c>
    </row>
    <row r="4" spans="1:25" x14ac:dyDescent="0.3">
      <c r="A4">
        <v>3</v>
      </c>
      <c r="B4" s="2">
        <f>('[1]Pc, Summer, S2'!B4*Main!$B$5)+(_xlfn.IFNA(VLOOKUP($A4,'FL Ratio'!$A$3:$B$10,2,FALSE),0)*'FL Characterization'!B$2)</f>
        <v>56.619825636485707</v>
      </c>
      <c r="C4" s="2">
        <f>('[1]Pc, Summer, S2'!C4*Main!$B$5)+(_xlfn.IFNA(VLOOKUP($A4,'FL Ratio'!$A$3:$B$10,2,FALSE),0)*'FL Characterization'!C$2)</f>
        <v>50.214915842649305</v>
      </c>
      <c r="D4" s="2">
        <f>('[1]Pc, Summer, S2'!D4*Main!$B$5)+(_xlfn.IFNA(VLOOKUP($A4,'FL Ratio'!$A$3:$B$10,2,FALSE),0)*'FL Characterization'!D$2)</f>
        <v>47.357471999821357</v>
      </c>
      <c r="E4" s="2">
        <f>('[1]Pc, Summer, S2'!E4*Main!$B$5)+(_xlfn.IFNA(VLOOKUP($A4,'FL Ratio'!$A$3:$B$10,2,FALSE),0)*'FL Characterization'!E$2)</f>
        <v>45.80949661187914</v>
      </c>
      <c r="F4" s="2">
        <f>('[1]Pc, Summer, S2'!F4*Main!$B$5)+(_xlfn.IFNA(VLOOKUP($A4,'FL Ratio'!$A$3:$B$10,2,FALSE),0)*'FL Characterization'!F$2)</f>
        <v>48.048555332485563</v>
      </c>
      <c r="G4" s="2">
        <f>('[1]Pc, Summer, S2'!G4*Main!$B$5)+(_xlfn.IFNA(VLOOKUP($A4,'FL Ratio'!$A$3:$B$10,2,FALSE),0)*'FL Characterization'!G$2)</f>
        <v>43.891906456073748</v>
      </c>
      <c r="H4" s="2">
        <f>('[1]Pc, Summer, S2'!H4*Main!$B$5)+(_xlfn.IFNA(VLOOKUP($A4,'FL Ratio'!$A$3:$B$10,2,FALSE),0)*'FL Characterization'!H$2)</f>
        <v>51.55153382813419</v>
      </c>
      <c r="I4" s="2">
        <f>('[1]Pc, Summer, S2'!I4*Main!$B$5)+(_xlfn.IFNA(VLOOKUP($A4,'FL Ratio'!$A$3:$B$10,2,FALSE),0)*'FL Characterization'!I$2)</f>
        <v>58.044079318343222</v>
      </c>
      <c r="J4" s="2">
        <f>('[1]Pc, Summer, S2'!J4*Main!$B$5)+(_xlfn.IFNA(VLOOKUP($A4,'FL Ratio'!$A$3:$B$10,2,FALSE),0)*'FL Characterization'!J$2)</f>
        <v>65.312687386026226</v>
      </c>
      <c r="K4" s="2">
        <f>('[1]Pc, Summer, S2'!K4*Main!$B$5)+(_xlfn.IFNA(VLOOKUP($A4,'FL Ratio'!$A$3:$B$10,2,FALSE),0)*'FL Characterization'!K$2)</f>
        <v>70.204471825459379</v>
      </c>
      <c r="L4" s="2">
        <f>('[1]Pc, Summer, S2'!L4*Main!$B$5)+(_xlfn.IFNA(VLOOKUP($A4,'FL Ratio'!$A$3:$B$10,2,FALSE),0)*'FL Characterization'!L$2)</f>
        <v>72.272171728093852</v>
      </c>
      <c r="M4" s="2">
        <f>('[1]Pc, Summer, S2'!M4*Main!$B$5)+(_xlfn.IFNA(VLOOKUP($A4,'FL Ratio'!$A$3:$B$10,2,FALSE),0)*'FL Characterization'!M$2)</f>
        <v>73.471599697736053</v>
      </c>
      <c r="N4" s="2">
        <f>('[1]Pc, Summer, S2'!N4*Main!$B$5)+(_xlfn.IFNA(VLOOKUP($A4,'FL Ratio'!$A$3:$B$10,2,FALSE),0)*'FL Characterization'!N$2)</f>
        <v>75.084748370635396</v>
      </c>
      <c r="O4" s="2">
        <f>('[1]Pc, Summer, S2'!O4*Main!$B$5)+(_xlfn.IFNA(VLOOKUP($A4,'FL Ratio'!$A$3:$B$10,2,FALSE),0)*'FL Characterization'!O$2)</f>
        <v>76.094875678835393</v>
      </c>
      <c r="P4" s="2">
        <f>('[1]Pc, Summer, S2'!P4*Main!$B$5)+(_xlfn.IFNA(VLOOKUP($A4,'FL Ratio'!$A$3:$B$10,2,FALSE),0)*'FL Characterization'!P$2)</f>
        <v>76.41583219224141</v>
      </c>
      <c r="Q4" s="2">
        <f>('[1]Pc, Summer, S2'!Q4*Main!$B$5)+(_xlfn.IFNA(VLOOKUP($A4,'FL Ratio'!$A$3:$B$10,2,FALSE),0)*'FL Characterization'!Q$2)</f>
        <v>73.554678353576847</v>
      </c>
      <c r="R4" s="2">
        <f>('[1]Pc, Summer, S2'!R4*Main!$B$5)+(_xlfn.IFNA(VLOOKUP($A4,'FL Ratio'!$A$3:$B$10,2,FALSE),0)*'FL Characterization'!R$2)</f>
        <v>73.189031549768686</v>
      </c>
      <c r="S4" s="2">
        <f>('[1]Pc, Summer, S2'!S4*Main!$B$5)+(_xlfn.IFNA(VLOOKUP($A4,'FL Ratio'!$A$3:$B$10,2,FALSE),0)*'FL Characterization'!S$2)</f>
        <v>70.888253728117562</v>
      </c>
      <c r="T4" s="2">
        <f>('[1]Pc, Summer, S2'!T4*Main!$B$5)+(_xlfn.IFNA(VLOOKUP($A4,'FL Ratio'!$A$3:$B$10,2,FALSE),0)*'FL Characterization'!T$2)</f>
        <v>70.823443811278381</v>
      </c>
      <c r="U4" s="2">
        <f>('[1]Pc, Summer, S2'!U4*Main!$B$5)+(_xlfn.IFNA(VLOOKUP($A4,'FL Ratio'!$A$3:$B$10,2,FALSE),0)*'FL Characterization'!U$2)</f>
        <v>71.218388884934697</v>
      </c>
      <c r="V4" s="2">
        <f>('[1]Pc, Summer, S2'!V4*Main!$B$5)+(_xlfn.IFNA(VLOOKUP($A4,'FL Ratio'!$A$3:$B$10,2,FALSE),0)*'FL Characterization'!V$2)</f>
        <v>70.860370975328166</v>
      </c>
      <c r="W4" s="2">
        <f>('[1]Pc, Summer, S2'!W4*Main!$B$5)+(_xlfn.IFNA(VLOOKUP($A4,'FL Ratio'!$A$3:$B$10,2,FALSE),0)*'FL Characterization'!W$2)</f>
        <v>73.126688796963123</v>
      </c>
      <c r="X4" s="2">
        <f>('[1]Pc, Summer, S2'!X4*Main!$B$5)+(_xlfn.IFNA(VLOOKUP($A4,'FL Ratio'!$A$3:$B$10,2,FALSE),0)*'FL Characterization'!X$2)</f>
        <v>72.899242699319785</v>
      </c>
      <c r="Y4" s="2">
        <f>('[1]Pc, Summer, S2'!Y4*Main!$B$5)+(_xlfn.IFNA(VLOOKUP($A4,'FL Ratio'!$A$3:$B$10,2,FALSE),0)*'FL Characterization'!Y$2)</f>
        <v>65.728969344880127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F9CD-CB3D-425C-A8DE-D4D872192F88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Ratio'!$A$3:$B$10,2,FALSE),0)*'FL Characterization'!B$2)</f>
        <v>37.71133513143576</v>
      </c>
      <c r="C2" s="2">
        <f>('[1]Pc, Summer, S3'!C2*Main!$B$5)+(_xlfn.IFNA(VLOOKUP($A2,'FL Ratio'!$A$3:$B$10,2,FALSE),0)*'FL Characterization'!C$2)</f>
        <v>34.262435576535864</v>
      </c>
      <c r="D2" s="2">
        <f>('[1]Pc, Summer, S3'!D2*Main!$B$5)+(_xlfn.IFNA(VLOOKUP($A2,'FL Ratio'!$A$3:$B$10,2,FALSE),0)*'FL Characterization'!D$2)</f>
        <v>33.663959874943764</v>
      </c>
      <c r="E2" s="2">
        <f>('[1]Pc, Summer, S3'!E2*Main!$B$5)+(_xlfn.IFNA(VLOOKUP($A2,'FL Ratio'!$A$3:$B$10,2,FALSE),0)*'FL Characterization'!E$2)</f>
        <v>33.577963133318214</v>
      </c>
      <c r="F2" s="2">
        <f>('[1]Pc, Summer, S3'!F2*Main!$B$5)+(_xlfn.IFNA(VLOOKUP($A2,'FL Ratio'!$A$3:$B$10,2,FALSE),0)*'FL Characterization'!F$2)</f>
        <v>33.580610423637694</v>
      </c>
      <c r="G2" s="2">
        <f>('[1]Pc, Summer, S3'!G2*Main!$B$5)+(_xlfn.IFNA(VLOOKUP($A2,'FL Ratio'!$A$3:$B$10,2,FALSE),0)*'FL Characterization'!G$2)</f>
        <v>33.283633317092765</v>
      </c>
      <c r="H2" s="2">
        <f>('[1]Pc, Summer, S3'!H2*Main!$B$5)+(_xlfn.IFNA(VLOOKUP($A2,'FL Ratio'!$A$3:$B$10,2,FALSE),0)*'FL Characterization'!H$2)</f>
        <v>35.93265329180975</v>
      </c>
      <c r="I2" s="2">
        <f>('[1]Pc, Summer, S3'!I2*Main!$B$5)+(_xlfn.IFNA(VLOOKUP($A2,'FL Ratio'!$A$3:$B$10,2,FALSE),0)*'FL Characterization'!I$2)</f>
        <v>42.660838089263926</v>
      </c>
      <c r="J2" s="2">
        <f>('[1]Pc, Summer, S3'!J2*Main!$B$5)+(_xlfn.IFNA(VLOOKUP($A2,'FL Ratio'!$A$3:$B$10,2,FALSE),0)*'FL Characterization'!J$2)</f>
        <v>48.621224949026363</v>
      </c>
      <c r="K2" s="2">
        <f>('[1]Pc, Summer, S3'!K2*Main!$B$5)+(_xlfn.IFNA(VLOOKUP($A2,'FL Ratio'!$A$3:$B$10,2,FALSE),0)*'FL Characterization'!K$2)</f>
        <v>50.115260344197559</v>
      </c>
      <c r="L2" s="2">
        <f>('[1]Pc, Summer, S3'!L2*Main!$B$5)+(_xlfn.IFNA(VLOOKUP($A2,'FL Ratio'!$A$3:$B$10,2,FALSE),0)*'FL Characterization'!L$2)</f>
        <v>49.608107279285093</v>
      </c>
      <c r="M2" s="2">
        <f>('[1]Pc, Summer, S3'!M2*Main!$B$5)+(_xlfn.IFNA(VLOOKUP($A2,'FL Ratio'!$A$3:$B$10,2,FALSE),0)*'FL Characterization'!M$2)</f>
        <v>51.01095548880604</v>
      </c>
      <c r="N2" s="2">
        <f>('[1]Pc, Summer, S3'!N2*Main!$B$5)+(_xlfn.IFNA(VLOOKUP($A2,'FL Ratio'!$A$3:$B$10,2,FALSE),0)*'FL Characterization'!N$2)</f>
        <v>51.710718241135119</v>
      </c>
      <c r="O2" s="2">
        <f>('[1]Pc, Summer, S3'!O2*Main!$B$5)+(_xlfn.IFNA(VLOOKUP($A2,'FL Ratio'!$A$3:$B$10,2,FALSE),0)*'FL Characterization'!O$2)</f>
        <v>50.754166830213627</v>
      </c>
      <c r="P2" s="2">
        <f>('[1]Pc, Summer, S3'!P2*Main!$B$5)+(_xlfn.IFNA(VLOOKUP($A2,'FL Ratio'!$A$3:$B$10,2,FALSE),0)*'FL Characterization'!P$2)</f>
        <v>48.770937167903014</v>
      </c>
      <c r="Q2" s="2">
        <f>('[1]Pc, Summer, S3'!Q2*Main!$B$5)+(_xlfn.IFNA(VLOOKUP($A2,'FL Ratio'!$A$3:$B$10,2,FALSE),0)*'FL Characterization'!Q$2)</f>
        <v>46.807991087093178</v>
      </c>
      <c r="R2" s="2">
        <f>('[1]Pc, Summer, S3'!R2*Main!$B$5)+(_xlfn.IFNA(VLOOKUP($A2,'FL Ratio'!$A$3:$B$10,2,FALSE),0)*'FL Characterization'!R$2)</f>
        <v>47.624637125937539</v>
      </c>
      <c r="S2" s="2">
        <f>('[1]Pc, Summer, S3'!S2*Main!$B$5)+(_xlfn.IFNA(VLOOKUP($A2,'FL Ratio'!$A$3:$B$10,2,FALSE),0)*'FL Characterization'!S$2)</f>
        <v>48.095156644003801</v>
      </c>
      <c r="T2" s="2">
        <f>('[1]Pc, Summer, S3'!T2*Main!$B$5)+(_xlfn.IFNA(VLOOKUP($A2,'FL Ratio'!$A$3:$B$10,2,FALSE),0)*'FL Characterization'!T$2)</f>
        <v>48.299302717524661</v>
      </c>
      <c r="U2" s="2">
        <f>('[1]Pc, Summer, S3'!U2*Main!$B$5)+(_xlfn.IFNA(VLOOKUP($A2,'FL Ratio'!$A$3:$B$10,2,FALSE),0)*'FL Characterization'!U$2)</f>
        <v>47.499727208912155</v>
      </c>
      <c r="V2" s="2">
        <f>('[1]Pc, Summer, S3'!V2*Main!$B$5)+(_xlfn.IFNA(VLOOKUP($A2,'FL Ratio'!$A$3:$B$10,2,FALSE),0)*'FL Characterization'!V$2)</f>
        <v>47.64244296520814</v>
      </c>
      <c r="W2" s="2">
        <f>('[1]Pc, Summer, S3'!W2*Main!$B$5)+(_xlfn.IFNA(VLOOKUP($A2,'FL Ratio'!$A$3:$B$10,2,FALSE),0)*'FL Characterization'!W$2)</f>
        <v>49.615696232629958</v>
      </c>
      <c r="X2" s="2">
        <f>('[1]Pc, Summer, S3'!X2*Main!$B$5)+(_xlfn.IFNA(VLOOKUP($A2,'FL Ratio'!$A$3:$B$10,2,FALSE),0)*'FL Characterization'!X$2)</f>
        <v>46.247834234364184</v>
      </c>
      <c r="Y2" s="2">
        <f>('[1]Pc, Summer, S3'!Y2*Main!$B$5)+(_xlfn.IFNA(VLOOKUP($A2,'FL Ratio'!$A$3:$B$10,2,FALSE),0)*'FL Characterization'!Y$2)</f>
        <v>42.395131769299432</v>
      </c>
    </row>
    <row r="3" spans="1:25" x14ac:dyDescent="0.3">
      <c r="A3">
        <v>2</v>
      </c>
      <c r="B3" s="2">
        <f>('[1]Pc, Summer, S3'!B3*Main!$B$5)+(_xlfn.IFNA(VLOOKUP($A3,'FL Ratio'!$A$3:$B$10,2,FALSE),0)*'FL Characterization'!B$2)</f>
        <v>40.669785044064753</v>
      </c>
      <c r="C3" s="2">
        <f>('[1]Pc, Summer, S3'!C3*Main!$B$5)+(_xlfn.IFNA(VLOOKUP($A3,'FL Ratio'!$A$3:$B$10,2,FALSE),0)*'FL Characterization'!C$2)</f>
        <v>37.329877370419958</v>
      </c>
      <c r="D3" s="2">
        <f>('[1]Pc, Summer, S3'!D3*Main!$B$5)+(_xlfn.IFNA(VLOOKUP($A3,'FL Ratio'!$A$3:$B$10,2,FALSE),0)*'FL Characterization'!D$2)</f>
        <v>35.36290004239239</v>
      </c>
      <c r="E3" s="2">
        <f>('[1]Pc, Summer, S3'!E3*Main!$B$5)+(_xlfn.IFNA(VLOOKUP($A3,'FL Ratio'!$A$3:$B$10,2,FALSE),0)*'FL Characterization'!E$2)</f>
        <v>34.066740506924859</v>
      </c>
      <c r="F3" s="2">
        <f>('[1]Pc, Summer, S3'!F3*Main!$B$5)+(_xlfn.IFNA(VLOOKUP($A3,'FL Ratio'!$A$3:$B$10,2,FALSE),0)*'FL Characterization'!F$2)</f>
        <v>33.681164913718625</v>
      </c>
      <c r="G3" s="2">
        <f>('[1]Pc, Summer, S3'!G3*Main!$B$5)+(_xlfn.IFNA(VLOOKUP($A3,'FL Ratio'!$A$3:$B$10,2,FALSE),0)*'FL Characterization'!G$2)</f>
        <v>35.723051564712158</v>
      </c>
      <c r="H3" s="2">
        <f>('[1]Pc, Summer, S3'!H3*Main!$B$5)+(_xlfn.IFNA(VLOOKUP($A3,'FL Ratio'!$A$3:$B$10,2,FALSE),0)*'FL Characterization'!H$2)</f>
        <v>44.715337563335453</v>
      </c>
      <c r="I3" s="2">
        <f>('[1]Pc, Summer, S3'!I3*Main!$B$5)+(_xlfn.IFNA(VLOOKUP($A3,'FL Ratio'!$A$3:$B$10,2,FALSE),0)*'FL Characterization'!I$2)</f>
        <v>53.107546808741212</v>
      </c>
      <c r="J3" s="2">
        <f>('[1]Pc, Summer, S3'!J3*Main!$B$5)+(_xlfn.IFNA(VLOOKUP($A3,'FL Ratio'!$A$3:$B$10,2,FALSE),0)*'FL Characterization'!J$2)</f>
        <v>55.375872813468028</v>
      </c>
      <c r="K3" s="2">
        <f>('[1]Pc, Summer, S3'!K3*Main!$B$5)+(_xlfn.IFNA(VLOOKUP($A3,'FL Ratio'!$A$3:$B$10,2,FALSE),0)*'FL Characterization'!K$2)</f>
        <v>54.349582511889281</v>
      </c>
      <c r="L3" s="2">
        <f>('[1]Pc, Summer, S3'!L3*Main!$B$5)+(_xlfn.IFNA(VLOOKUP($A3,'FL Ratio'!$A$3:$B$10,2,FALSE),0)*'FL Characterization'!L$2)</f>
        <v>54.157894492055284</v>
      </c>
      <c r="M3" s="2">
        <f>('[1]Pc, Summer, S3'!M3*Main!$B$5)+(_xlfn.IFNA(VLOOKUP($A3,'FL Ratio'!$A$3:$B$10,2,FALSE),0)*'FL Characterization'!M$2)</f>
        <v>57.753650593558866</v>
      </c>
      <c r="N3" s="2">
        <f>('[1]Pc, Summer, S3'!N3*Main!$B$5)+(_xlfn.IFNA(VLOOKUP($A3,'FL Ratio'!$A$3:$B$10,2,FALSE),0)*'FL Characterization'!N$2)</f>
        <v>57.930009861293335</v>
      </c>
      <c r="O3" s="2">
        <f>('[1]Pc, Summer, S3'!O3*Main!$B$5)+(_xlfn.IFNA(VLOOKUP($A3,'FL Ratio'!$A$3:$B$10,2,FALSE),0)*'FL Characterization'!O$2)</f>
        <v>58.329044972126901</v>
      </c>
      <c r="P3" s="2">
        <f>('[1]Pc, Summer, S3'!P3*Main!$B$5)+(_xlfn.IFNA(VLOOKUP($A3,'FL Ratio'!$A$3:$B$10,2,FALSE),0)*'FL Characterization'!P$2)</f>
        <v>55.504521779294876</v>
      </c>
      <c r="Q3" s="2">
        <f>('[1]Pc, Summer, S3'!Q3*Main!$B$5)+(_xlfn.IFNA(VLOOKUP($A3,'FL Ratio'!$A$3:$B$10,2,FALSE),0)*'FL Characterization'!Q$2)</f>
        <v>52.580542348318758</v>
      </c>
      <c r="R3" s="2">
        <f>('[1]Pc, Summer, S3'!R3*Main!$B$5)+(_xlfn.IFNA(VLOOKUP($A3,'FL Ratio'!$A$3:$B$10,2,FALSE),0)*'FL Characterization'!R$2)</f>
        <v>48.642167850440543</v>
      </c>
      <c r="S3" s="2">
        <f>('[1]Pc, Summer, S3'!S3*Main!$B$5)+(_xlfn.IFNA(VLOOKUP($A3,'FL Ratio'!$A$3:$B$10,2,FALSE),0)*'FL Characterization'!S$2)</f>
        <v>49.174808467133552</v>
      </c>
      <c r="T3" s="2">
        <f>('[1]Pc, Summer, S3'!T3*Main!$B$5)+(_xlfn.IFNA(VLOOKUP($A3,'FL Ratio'!$A$3:$B$10,2,FALSE),0)*'FL Characterization'!T$2)</f>
        <v>48.742520430397192</v>
      </c>
      <c r="U3" s="2">
        <f>('[1]Pc, Summer, S3'!U3*Main!$B$5)+(_xlfn.IFNA(VLOOKUP($A3,'FL Ratio'!$A$3:$B$10,2,FALSE),0)*'FL Characterization'!U$2)</f>
        <v>48.560223140180078</v>
      </c>
      <c r="V3" s="2">
        <f>('[1]Pc, Summer, S3'!V3*Main!$B$5)+(_xlfn.IFNA(VLOOKUP($A3,'FL Ratio'!$A$3:$B$10,2,FALSE),0)*'FL Characterization'!V$2)</f>
        <v>48.78408658777569</v>
      </c>
      <c r="W3" s="2">
        <f>('[1]Pc, Summer, S3'!W3*Main!$B$5)+(_xlfn.IFNA(VLOOKUP($A3,'FL Ratio'!$A$3:$B$10,2,FALSE),0)*'FL Characterization'!W$2)</f>
        <v>48.53369997309094</v>
      </c>
      <c r="X3" s="2">
        <f>('[1]Pc, Summer, S3'!X3*Main!$B$5)+(_xlfn.IFNA(VLOOKUP($A3,'FL Ratio'!$A$3:$B$10,2,FALSE),0)*'FL Characterization'!X$2)</f>
        <v>48.24809034760419</v>
      </c>
      <c r="Y3" s="2">
        <f>('[1]Pc, Summer, S3'!Y3*Main!$B$5)+(_xlfn.IFNA(VLOOKUP($A3,'FL Ratio'!$A$3:$B$10,2,FALSE),0)*'FL Characterization'!Y$2)</f>
        <v>45.642716477701853</v>
      </c>
    </row>
    <row r="4" spans="1:25" x14ac:dyDescent="0.3">
      <c r="A4">
        <v>3</v>
      </c>
      <c r="B4" s="2">
        <f>('[1]Pc, Summer, S3'!B4*Main!$B$5)+(_xlfn.IFNA(VLOOKUP($A4,'FL Ratio'!$A$3:$B$10,2,FALSE),0)*'FL Characterization'!B$2)</f>
        <v>53.989387877973705</v>
      </c>
      <c r="C4" s="2">
        <f>('[1]Pc, Summer, S3'!C4*Main!$B$5)+(_xlfn.IFNA(VLOOKUP($A4,'FL Ratio'!$A$3:$B$10,2,FALSE),0)*'FL Characterization'!C$2)</f>
        <v>47.899335500048274</v>
      </c>
      <c r="D4" s="2">
        <f>('[1]Pc, Summer, S3'!D4*Main!$B$5)+(_xlfn.IFNA(VLOOKUP($A4,'FL Ratio'!$A$3:$B$10,2,FALSE),0)*'FL Characterization'!D$2)</f>
        <v>45.167842500954769</v>
      </c>
      <c r="E4" s="2">
        <f>('[1]Pc, Summer, S3'!E4*Main!$B$5)+(_xlfn.IFNA(VLOOKUP($A4,'FL Ratio'!$A$3:$B$10,2,FALSE),0)*'FL Characterization'!E$2)</f>
        <v>43.689313738103266</v>
      </c>
      <c r="F4" s="2">
        <f>('[1]Pc, Summer, S3'!F4*Main!$B$5)+(_xlfn.IFNA(VLOOKUP($A4,'FL Ratio'!$A$3:$B$10,2,FALSE),0)*'FL Characterization'!F$2)</f>
        <v>45.800963026000339</v>
      </c>
      <c r="G4" s="2">
        <f>('[1]Pc, Summer, S3'!G4*Main!$B$5)+(_xlfn.IFNA(VLOOKUP($A4,'FL Ratio'!$A$3:$B$10,2,FALSE),0)*'FL Characterization'!G$2)</f>
        <v>41.833256331231794</v>
      </c>
      <c r="H4" s="2">
        <f>('[1]Pc, Summer, S3'!H4*Main!$B$5)+(_xlfn.IFNA(VLOOKUP($A4,'FL Ratio'!$A$3:$B$10,2,FALSE),0)*'FL Characterization'!H$2)</f>
        <v>49.137112852817623</v>
      </c>
      <c r="I4" s="2">
        <f>('[1]Pc, Summer, S3'!I4*Main!$B$5)+(_xlfn.IFNA(VLOOKUP($A4,'FL Ratio'!$A$3:$B$10,2,FALSE),0)*'FL Characterization'!I$2)</f>
        <v>55.241702218411291</v>
      </c>
      <c r="J4" s="2">
        <f>('[1]Pc, Summer, S3'!J4*Main!$B$5)+(_xlfn.IFNA(VLOOKUP($A4,'FL Ratio'!$A$3:$B$10,2,FALSE),0)*'FL Characterization'!J$2)</f>
        <v>62.155620411746142</v>
      </c>
      <c r="K4" s="2">
        <f>('[1]Pc, Summer, S3'!K4*Main!$B$5)+(_xlfn.IFNA(VLOOKUP($A4,'FL Ratio'!$A$3:$B$10,2,FALSE),0)*'FL Characterization'!K$2)</f>
        <v>66.816098603976016</v>
      </c>
      <c r="L4" s="2">
        <f>('[1]Pc, Summer, S3'!L4*Main!$B$5)+(_xlfn.IFNA(VLOOKUP($A4,'FL Ratio'!$A$3:$B$10,2,FALSE),0)*'FL Characterization'!L$2)</f>
        <v>68.775363234859725</v>
      </c>
      <c r="M4" s="2">
        <f>('[1]Pc, Summer, S3'!M4*Main!$B$5)+(_xlfn.IFNA(VLOOKUP($A4,'FL Ratio'!$A$3:$B$10,2,FALSE),0)*'FL Characterization'!M$2)</f>
        <v>69.919449080967198</v>
      </c>
      <c r="N4" s="2">
        <f>('[1]Pc, Summer, S3'!N4*Main!$B$5)+(_xlfn.IFNA(VLOOKUP($A4,'FL Ratio'!$A$3:$B$10,2,FALSE),0)*'FL Characterization'!N$2)</f>
        <v>71.462850695363386</v>
      </c>
      <c r="O4" s="2">
        <f>('[1]Pc, Summer, S3'!O4*Main!$B$5)+(_xlfn.IFNA(VLOOKUP($A4,'FL Ratio'!$A$3:$B$10,2,FALSE),0)*'FL Characterization'!O$2)</f>
        <v>72.443313333788325</v>
      </c>
      <c r="P4" s="2">
        <f>('[1]Pc, Summer, S3'!P4*Main!$B$5)+(_xlfn.IFNA(VLOOKUP($A4,'FL Ratio'!$A$3:$B$10,2,FALSE),0)*'FL Characterization'!P$2)</f>
        <v>72.751523926854858</v>
      </c>
      <c r="Q4" s="2">
        <f>('[1]Pc, Summer, S3'!Q4*Main!$B$5)+(_xlfn.IFNA(VLOOKUP($A4,'FL Ratio'!$A$3:$B$10,2,FALSE),0)*'FL Characterization'!Q$2)</f>
        <v>70.028511592083959</v>
      </c>
      <c r="R4" s="2">
        <f>('[1]Pc, Summer, S3'!R4*Main!$B$5)+(_xlfn.IFNA(VLOOKUP($A4,'FL Ratio'!$A$3:$B$10,2,FALSE),0)*'FL Characterization'!R$2)</f>
        <v>69.661099869913329</v>
      </c>
      <c r="S4" s="2">
        <f>('[1]Pc, Summer, S3'!S4*Main!$B$5)+(_xlfn.IFNA(VLOOKUP($A4,'FL Ratio'!$A$3:$B$10,2,FALSE),0)*'FL Characterization'!S$2)</f>
        <v>67.497866632647856</v>
      </c>
      <c r="T4" s="2">
        <f>('[1]Pc, Summer, S3'!T4*Main!$B$5)+(_xlfn.IFNA(VLOOKUP($A4,'FL Ratio'!$A$3:$B$10,2,FALSE),0)*'FL Characterization'!T$2)</f>
        <v>67.415217972124339</v>
      </c>
      <c r="U4" s="2">
        <f>('[1]Pc, Summer, S3'!U4*Main!$B$5)+(_xlfn.IFNA(VLOOKUP($A4,'FL Ratio'!$A$3:$B$10,2,FALSE),0)*'FL Characterization'!U$2)</f>
        <v>67.782141571806207</v>
      </c>
      <c r="V4" s="2">
        <f>('[1]Pc, Summer, S3'!V4*Main!$B$5)+(_xlfn.IFNA(VLOOKUP($A4,'FL Ratio'!$A$3:$B$10,2,FALSE),0)*'FL Characterization'!V$2)</f>
        <v>67.452370330025033</v>
      </c>
      <c r="W4" s="2">
        <f>('[1]Pc, Summer, S3'!W4*Main!$B$5)+(_xlfn.IFNA(VLOOKUP($A4,'FL Ratio'!$A$3:$B$10,2,FALSE),0)*'FL Characterization'!W$2)</f>
        <v>69.596518033392044</v>
      </c>
      <c r="X4" s="2">
        <f>('[1]Pc, Summer, S3'!X4*Main!$B$5)+(_xlfn.IFNA(VLOOKUP($A4,'FL Ratio'!$A$3:$B$10,2,FALSE),0)*'FL Characterization'!X$2)</f>
        <v>69.450216264167253</v>
      </c>
      <c r="Y4" s="2">
        <f>('[1]Pc, Summer, S3'!Y4*Main!$B$5)+(_xlfn.IFNA(VLOOKUP($A4,'FL Ratio'!$A$3:$B$10,2,FALSE),0)*'FL Characterization'!Y$2)</f>
        <v>62.646462656976567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C093A-A009-45C7-8400-95923DE29AB6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Ratio'!$A$3:$B$10,2,FALSE),0)*'FL Characterization'!B$2)</f>
        <v>37.71133513143576</v>
      </c>
      <c r="C2" s="2">
        <f>('[1]Pc, Summer, S3'!C2*Main!$B$5)+(_xlfn.IFNA(VLOOKUP($A2,'FL Ratio'!$A$3:$B$10,2,FALSE),0)*'FL Characterization'!C$2)</f>
        <v>34.262435576535864</v>
      </c>
      <c r="D2" s="2">
        <f>('[1]Pc, Summer, S3'!D2*Main!$B$5)+(_xlfn.IFNA(VLOOKUP($A2,'FL Ratio'!$A$3:$B$10,2,FALSE),0)*'FL Characterization'!D$2)</f>
        <v>33.663959874943764</v>
      </c>
      <c r="E2" s="2">
        <f>('[1]Pc, Summer, S3'!E2*Main!$B$5)+(_xlfn.IFNA(VLOOKUP($A2,'FL Ratio'!$A$3:$B$10,2,FALSE),0)*'FL Characterization'!E$2)</f>
        <v>33.577963133318214</v>
      </c>
      <c r="F2" s="2">
        <f>('[1]Pc, Summer, S3'!F2*Main!$B$5)+(_xlfn.IFNA(VLOOKUP($A2,'FL Ratio'!$A$3:$B$10,2,FALSE),0)*'FL Characterization'!F$2)</f>
        <v>33.580610423637694</v>
      </c>
      <c r="G2" s="2">
        <f>('[1]Pc, Summer, S3'!G2*Main!$B$5)+(_xlfn.IFNA(VLOOKUP($A2,'FL Ratio'!$A$3:$B$10,2,FALSE),0)*'FL Characterization'!G$2)</f>
        <v>33.283633317092765</v>
      </c>
      <c r="H2" s="2">
        <f>('[1]Pc, Summer, S3'!H2*Main!$B$5)+(_xlfn.IFNA(VLOOKUP($A2,'FL Ratio'!$A$3:$B$10,2,FALSE),0)*'FL Characterization'!H$2)</f>
        <v>35.93265329180975</v>
      </c>
      <c r="I2" s="2">
        <f>('[1]Pc, Summer, S3'!I2*Main!$B$5)+(_xlfn.IFNA(VLOOKUP($A2,'FL Ratio'!$A$3:$B$10,2,FALSE),0)*'FL Characterization'!I$2)</f>
        <v>42.660838089263926</v>
      </c>
      <c r="J2" s="2">
        <f>('[1]Pc, Summer, S3'!J2*Main!$B$5)+(_xlfn.IFNA(VLOOKUP($A2,'FL Ratio'!$A$3:$B$10,2,FALSE),0)*'FL Characterization'!J$2)</f>
        <v>48.621224949026363</v>
      </c>
      <c r="K2" s="2">
        <f>('[1]Pc, Summer, S3'!K2*Main!$B$5)+(_xlfn.IFNA(VLOOKUP($A2,'FL Ratio'!$A$3:$B$10,2,FALSE),0)*'FL Characterization'!K$2)</f>
        <v>50.115260344197559</v>
      </c>
      <c r="L2" s="2">
        <f>('[1]Pc, Summer, S3'!L2*Main!$B$5)+(_xlfn.IFNA(VLOOKUP($A2,'FL Ratio'!$A$3:$B$10,2,FALSE),0)*'FL Characterization'!L$2)</f>
        <v>49.608107279285093</v>
      </c>
      <c r="M2" s="2">
        <f>('[1]Pc, Summer, S3'!M2*Main!$B$5)+(_xlfn.IFNA(VLOOKUP($A2,'FL Ratio'!$A$3:$B$10,2,FALSE),0)*'FL Characterization'!M$2)</f>
        <v>51.01095548880604</v>
      </c>
      <c r="N2" s="2">
        <f>('[1]Pc, Summer, S3'!N2*Main!$B$5)+(_xlfn.IFNA(VLOOKUP($A2,'FL Ratio'!$A$3:$B$10,2,FALSE),0)*'FL Characterization'!N$2)</f>
        <v>51.710718241135119</v>
      </c>
      <c r="O2" s="2">
        <f>('[1]Pc, Summer, S3'!O2*Main!$B$5)+(_xlfn.IFNA(VLOOKUP($A2,'FL Ratio'!$A$3:$B$10,2,FALSE),0)*'FL Characterization'!O$2)</f>
        <v>50.754166830213627</v>
      </c>
      <c r="P2" s="2">
        <f>('[1]Pc, Summer, S3'!P2*Main!$B$5)+(_xlfn.IFNA(VLOOKUP($A2,'FL Ratio'!$A$3:$B$10,2,FALSE),0)*'FL Characterization'!P$2)</f>
        <v>48.770937167903014</v>
      </c>
      <c r="Q2" s="2">
        <f>('[1]Pc, Summer, S3'!Q2*Main!$B$5)+(_xlfn.IFNA(VLOOKUP($A2,'FL Ratio'!$A$3:$B$10,2,FALSE),0)*'FL Characterization'!Q$2)</f>
        <v>46.807991087093178</v>
      </c>
      <c r="R2" s="2">
        <f>('[1]Pc, Summer, S3'!R2*Main!$B$5)+(_xlfn.IFNA(VLOOKUP($A2,'FL Ratio'!$A$3:$B$10,2,FALSE),0)*'FL Characterization'!R$2)</f>
        <v>47.624637125937539</v>
      </c>
      <c r="S2" s="2">
        <f>('[1]Pc, Summer, S3'!S2*Main!$B$5)+(_xlfn.IFNA(VLOOKUP($A2,'FL Ratio'!$A$3:$B$10,2,FALSE),0)*'FL Characterization'!S$2)</f>
        <v>48.095156644003801</v>
      </c>
      <c r="T2" s="2">
        <f>('[1]Pc, Summer, S3'!T2*Main!$B$5)+(_xlfn.IFNA(VLOOKUP($A2,'FL Ratio'!$A$3:$B$10,2,FALSE),0)*'FL Characterization'!T$2)</f>
        <v>48.299302717524661</v>
      </c>
      <c r="U2" s="2">
        <f>('[1]Pc, Summer, S3'!U2*Main!$B$5)+(_xlfn.IFNA(VLOOKUP($A2,'FL Ratio'!$A$3:$B$10,2,FALSE),0)*'FL Characterization'!U$2)</f>
        <v>47.499727208912155</v>
      </c>
      <c r="V2" s="2">
        <f>('[1]Pc, Summer, S3'!V2*Main!$B$5)+(_xlfn.IFNA(VLOOKUP($A2,'FL Ratio'!$A$3:$B$10,2,FALSE),0)*'FL Characterization'!V$2)</f>
        <v>47.64244296520814</v>
      </c>
      <c r="W2" s="2">
        <f>('[1]Pc, Summer, S3'!W2*Main!$B$5)+(_xlfn.IFNA(VLOOKUP($A2,'FL Ratio'!$A$3:$B$10,2,FALSE),0)*'FL Characterization'!W$2)</f>
        <v>49.615696232629958</v>
      </c>
      <c r="X2" s="2">
        <f>('[1]Pc, Summer, S3'!X2*Main!$B$5)+(_xlfn.IFNA(VLOOKUP($A2,'FL Ratio'!$A$3:$B$10,2,FALSE),0)*'FL Characterization'!X$2)</f>
        <v>46.247834234364184</v>
      </c>
      <c r="Y2" s="2">
        <f>('[1]Pc, Summer, S3'!Y2*Main!$B$5)+(_xlfn.IFNA(VLOOKUP($A2,'FL Ratio'!$A$3:$B$10,2,FALSE),0)*'FL Characterization'!Y$2)</f>
        <v>42.395131769299432</v>
      </c>
    </row>
    <row r="3" spans="1:25" x14ac:dyDescent="0.3">
      <c r="A3">
        <v>2</v>
      </c>
      <c r="B3" s="2">
        <f>('[1]Pc, Summer, S3'!B3*Main!$B$5)+(_xlfn.IFNA(VLOOKUP($A3,'FL Ratio'!$A$3:$B$10,2,FALSE),0)*'FL Characterization'!B$2)</f>
        <v>40.669785044064753</v>
      </c>
      <c r="C3" s="2">
        <f>('[1]Pc, Summer, S3'!C3*Main!$B$5)+(_xlfn.IFNA(VLOOKUP($A3,'FL Ratio'!$A$3:$B$10,2,FALSE),0)*'FL Characterization'!C$2)</f>
        <v>37.329877370419958</v>
      </c>
      <c r="D3" s="2">
        <f>('[1]Pc, Summer, S3'!D3*Main!$B$5)+(_xlfn.IFNA(VLOOKUP($A3,'FL Ratio'!$A$3:$B$10,2,FALSE),0)*'FL Characterization'!D$2)</f>
        <v>35.36290004239239</v>
      </c>
      <c r="E3" s="2">
        <f>('[1]Pc, Summer, S3'!E3*Main!$B$5)+(_xlfn.IFNA(VLOOKUP($A3,'FL Ratio'!$A$3:$B$10,2,FALSE),0)*'FL Characterization'!E$2)</f>
        <v>34.066740506924859</v>
      </c>
      <c r="F3" s="2">
        <f>('[1]Pc, Summer, S3'!F3*Main!$B$5)+(_xlfn.IFNA(VLOOKUP($A3,'FL Ratio'!$A$3:$B$10,2,FALSE),0)*'FL Characterization'!F$2)</f>
        <v>33.681164913718625</v>
      </c>
      <c r="G3" s="2">
        <f>('[1]Pc, Summer, S3'!G3*Main!$B$5)+(_xlfn.IFNA(VLOOKUP($A3,'FL Ratio'!$A$3:$B$10,2,FALSE),0)*'FL Characterization'!G$2)</f>
        <v>35.723051564712158</v>
      </c>
      <c r="H3" s="2">
        <f>('[1]Pc, Summer, S3'!H3*Main!$B$5)+(_xlfn.IFNA(VLOOKUP($A3,'FL Ratio'!$A$3:$B$10,2,FALSE),0)*'FL Characterization'!H$2)</f>
        <v>44.715337563335453</v>
      </c>
      <c r="I3" s="2">
        <f>('[1]Pc, Summer, S3'!I3*Main!$B$5)+(_xlfn.IFNA(VLOOKUP($A3,'FL Ratio'!$A$3:$B$10,2,FALSE),0)*'FL Characterization'!I$2)</f>
        <v>53.107546808741212</v>
      </c>
      <c r="J3" s="2">
        <f>('[1]Pc, Summer, S3'!J3*Main!$B$5)+(_xlfn.IFNA(VLOOKUP($A3,'FL Ratio'!$A$3:$B$10,2,FALSE),0)*'FL Characterization'!J$2)</f>
        <v>55.375872813468028</v>
      </c>
      <c r="K3" s="2">
        <f>('[1]Pc, Summer, S3'!K3*Main!$B$5)+(_xlfn.IFNA(VLOOKUP($A3,'FL Ratio'!$A$3:$B$10,2,FALSE),0)*'FL Characterization'!K$2)</f>
        <v>54.349582511889281</v>
      </c>
      <c r="L3" s="2">
        <f>('[1]Pc, Summer, S3'!L3*Main!$B$5)+(_xlfn.IFNA(VLOOKUP($A3,'FL Ratio'!$A$3:$B$10,2,FALSE),0)*'FL Characterization'!L$2)</f>
        <v>54.157894492055284</v>
      </c>
      <c r="M3" s="2">
        <f>('[1]Pc, Summer, S3'!M3*Main!$B$5)+(_xlfn.IFNA(VLOOKUP($A3,'FL Ratio'!$A$3:$B$10,2,FALSE),0)*'FL Characterization'!M$2)</f>
        <v>57.753650593558866</v>
      </c>
      <c r="N3" s="2">
        <f>('[1]Pc, Summer, S3'!N3*Main!$B$5)+(_xlfn.IFNA(VLOOKUP($A3,'FL Ratio'!$A$3:$B$10,2,FALSE),0)*'FL Characterization'!N$2)</f>
        <v>57.930009861293335</v>
      </c>
      <c r="O3" s="2">
        <f>('[1]Pc, Summer, S3'!O3*Main!$B$5)+(_xlfn.IFNA(VLOOKUP($A3,'FL Ratio'!$A$3:$B$10,2,FALSE),0)*'FL Characterization'!O$2)</f>
        <v>58.329044972126901</v>
      </c>
      <c r="P3" s="2">
        <f>('[1]Pc, Summer, S3'!P3*Main!$B$5)+(_xlfn.IFNA(VLOOKUP($A3,'FL Ratio'!$A$3:$B$10,2,FALSE),0)*'FL Characterization'!P$2)</f>
        <v>55.504521779294876</v>
      </c>
      <c r="Q3" s="2">
        <f>('[1]Pc, Summer, S3'!Q3*Main!$B$5)+(_xlfn.IFNA(VLOOKUP($A3,'FL Ratio'!$A$3:$B$10,2,FALSE),0)*'FL Characterization'!Q$2)</f>
        <v>52.580542348318758</v>
      </c>
      <c r="R3" s="2">
        <f>('[1]Pc, Summer, S3'!R3*Main!$B$5)+(_xlfn.IFNA(VLOOKUP($A3,'FL Ratio'!$A$3:$B$10,2,FALSE),0)*'FL Characterization'!R$2)</f>
        <v>48.642167850440543</v>
      </c>
      <c r="S3" s="2">
        <f>('[1]Pc, Summer, S3'!S3*Main!$B$5)+(_xlfn.IFNA(VLOOKUP($A3,'FL Ratio'!$A$3:$B$10,2,FALSE),0)*'FL Characterization'!S$2)</f>
        <v>49.174808467133552</v>
      </c>
      <c r="T3" s="2">
        <f>('[1]Pc, Summer, S3'!T3*Main!$B$5)+(_xlfn.IFNA(VLOOKUP($A3,'FL Ratio'!$A$3:$B$10,2,FALSE),0)*'FL Characterization'!T$2)</f>
        <v>48.742520430397192</v>
      </c>
      <c r="U3" s="2">
        <f>('[1]Pc, Summer, S3'!U3*Main!$B$5)+(_xlfn.IFNA(VLOOKUP($A3,'FL Ratio'!$A$3:$B$10,2,FALSE),0)*'FL Characterization'!U$2)</f>
        <v>48.560223140180078</v>
      </c>
      <c r="V3" s="2">
        <f>('[1]Pc, Summer, S3'!V3*Main!$B$5)+(_xlfn.IFNA(VLOOKUP($A3,'FL Ratio'!$A$3:$B$10,2,FALSE),0)*'FL Characterization'!V$2)</f>
        <v>48.78408658777569</v>
      </c>
      <c r="W3" s="2">
        <f>('[1]Pc, Summer, S3'!W3*Main!$B$5)+(_xlfn.IFNA(VLOOKUP($A3,'FL Ratio'!$A$3:$B$10,2,FALSE),0)*'FL Characterization'!W$2)</f>
        <v>48.53369997309094</v>
      </c>
      <c r="X3" s="2">
        <f>('[1]Pc, Summer, S3'!X3*Main!$B$5)+(_xlfn.IFNA(VLOOKUP($A3,'FL Ratio'!$A$3:$B$10,2,FALSE),0)*'FL Characterization'!X$2)</f>
        <v>48.24809034760419</v>
      </c>
      <c r="Y3" s="2">
        <f>('[1]Pc, Summer, S3'!Y3*Main!$B$5)+(_xlfn.IFNA(VLOOKUP($A3,'FL Ratio'!$A$3:$B$10,2,FALSE),0)*'FL Characterization'!Y$2)</f>
        <v>45.642716477701853</v>
      </c>
    </row>
    <row r="4" spans="1:25" x14ac:dyDescent="0.3">
      <c r="A4">
        <v>3</v>
      </c>
      <c r="B4" s="2">
        <f>('[1]Pc, Summer, S3'!B4*Main!$B$5)+(_xlfn.IFNA(VLOOKUP($A4,'FL Ratio'!$A$3:$B$10,2,FALSE),0)*'FL Characterization'!B$2)</f>
        <v>53.989387877973705</v>
      </c>
      <c r="C4" s="2">
        <f>('[1]Pc, Summer, S3'!C4*Main!$B$5)+(_xlfn.IFNA(VLOOKUP($A4,'FL Ratio'!$A$3:$B$10,2,FALSE),0)*'FL Characterization'!C$2)</f>
        <v>47.899335500048274</v>
      </c>
      <c r="D4" s="2">
        <f>('[1]Pc, Summer, S3'!D4*Main!$B$5)+(_xlfn.IFNA(VLOOKUP($A4,'FL Ratio'!$A$3:$B$10,2,FALSE),0)*'FL Characterization'!D$2)</f>
        <v>45.167842500954769</v>
      </c>
      <c r="E4" s="2">
        <f>('[1]Pc, Summer, S3'!E4*Main!$B$5)+(_xlfn.IFNA(VLOOKUP($A4,'FL Ratio'!$A$3:$B$10,2,FALSE),0)*'FL Characterization'!E$2)</f>
        <v>43.689313738103266</v>
      </c>
      <c r="F4" s="2">
        <f>('[1]Pc, Summer, S3'!F4*Main!$B$5)+(_xlfn.IFNA(VLOOKUP($A4,'FL Ratio'!$A$3:$B$10,2,FALSE),0)*'FL Characterization'!F$2)</f>
        <v>45.800963026000339</v>
      </c>
      <c r="G4" s="2">
        <f>('[1]Pc, Summer, S3'!G4*Main!$B$5)+(_xlfn.IFNA(VLOOKUP($A4,'FL Ratio'!$A$3:$B$10,2,FALSE),0)*'FL Characterization'!G$2)</f>
        <v>41.833256331231794</v>
      </c>
      <c r="H4" s="2">
        <f>('[1]Pc, Summer, S3'!H4*Main!$B$5)+(_xlfn.IFNA(VLOOKUP($A4,'FL Ratio'!$A$3:$B$10,2,FALSE),0)*'FL Characterization'!H$2)</f>
        <v>49.137112852817623</v>
      </c>
      <c r="I4" s="2">
        <f>('[1]Pc, Summer, S3'!I4*Main!$B$5)+(_xlfn.IFNA(VLOOKUP($A4,'FL Ratio'!$A$3:$B$10,2,FALSE),0)*'FL Characterization'!I$2)</f>
        <v>55.241702218411291</v>
      </c>
      <c r="J4" s="2">
        <f>('[1]Pc, Summer, S3'!J4*Main!$B$5)+(_xlfn.IFNA(VLOOKUP($A4,'FL Ratio'!$A$3:$B$10,2,FALSE),0)*'FL Characterization'!J$2)</f>
        <v>62.155620411746142</v>
      </c>
      <c r="K4" s="2">
        <f>('[1]Pc, Summer, S3'!K4*Main!$B$5)+(_xlfn.IFNA(VLOOKUP($A4,'FL Ratio'!$A$3:$B$10,2,FALSE),0)*'FL Characterization'!K$2)</f>
        <v>66.816098603976016</v>
      </c>
      <c r="L4" s="2">
        <f>('[1]Pc, Summer, S3'!L4*Main!$B$5)+(_xlfn.IFNA(VLOOKUP($A4,'FL Ratio'!$A$3:$B$10,2,FALSE),0)*'FL Characterization'!L$2)</f>
        <v>68.775363234859725</v>
      </c>
      <c r="M4" s="2">
        <f>('[1]Pc, Summer, S3'!M4*Main!$B$5)+(_xlfn.IFNA(VLOOKUP($A4,'FL Ratio'!$A$3:$B$10,2,FALSE),0)*'FL Characterization'!M$2)</f>
        <v>69.919449080967198</v>
      </c>
      <c r="N4" s="2">
        <f>('[1]Pc, Summer, S3'!N4*Main!$B$5)+(_xlfn.IFNA(VLOOKUP($A4,'FL Ratio'!$A$3:$B$10,2,FALSE),0)*'FL Characterization'!N$2)</f>
        <v>71.462850695363386</v>
      </c>
      <c r="O4" s="2">
        <f>('[1]Pc, Summer, S3'!O4*Main!$B$5)+(_xlfn.IFNA(VLOOKUP($A4,'FL Ratio'!$A$3:$B$10,2,FALSE),0)*'FL Characterization'!O$2)</f>
        <v>72.443313333788325</v>
      </c>
      <c r="P4" s="2">
        <f>('[1]Pc, Summer, S3'!P4*Main!$B$5)+(_xlfn.IFNA(VLOOKUP($A4,'FL Ratio'!$A$3:$B$10,2,FALSE),0)*'FL Characterization'!P$2)</f>
        <v>72.751523926854858</v>
      </c>
      <c r="Q4" s="2">
        <f>('[1]Pc, Summer, S3'!Q4*Main!$B$5)+(_xlfn.IFNA(VLOOKUP($A4,'FL Ratio'!$A$3:$B$10,2,FALSE),0)*'FL Characterization'!Q$2)</f>
        <v>70.028511592083959</v>
      </c>
      <c r="R4" s="2">
        <f>('[1]Pc, Summer, S3'!R4*Main!$B$5)+(_xlfn.IFNA(VLOOKUP($A4,'FL Ratio'!$A$3:$B$10,2,FALSE),0)*'FL Characterization'!R$2)</f>
        <v>69.661099869913329</v>
      </c>
      <c r="S4" s="2">
        <f>('[1]Pc, Summer, S3'!S4*Main!$B$5)+(_xlfn.IFNA(VLOOKUP($A4,'FL Ratio'!$A$3:$B$10,2,FALSE),0)*'FL Characterization'!S$2)</f>
        <v>67.497866632647856</v>
      </c>
      <c r="T4" s="2">
        <f>('[1]Pc, Summer, S3'!T4*Main!$B$5)+(_xlfn.IFNA(VLOOKUP($A4,'FL Ratio'!$A$3:$B$10,2,FALSE),0)*'FL Characterization'!T$2)</f>
        <v>67.415217972124339</v>
      </c>
      <c r="U4" s="2">
        <f>('[1]Pc, Summer, S3'!U4*Main!$B$5)+(_xlfn.IFNA(VLOOKUP($A4,'FL Ratio'!$A$3:$B$10,2,FALSE),0)*'FL Characterization'!U$2)</f>
        <v>67.782141571806207</v>
      </c>
      <c r="V4" s="2">
        <f>('[1]Pc, Summer, S3'!V4*Main!$B$5)+(_xlfn.IFNA(VLOOKUP($A4,'FL Ratio'!$A$3:$B$10,2,FALSE),0)*'FL Characterization'!V$2)</f>
        <v>67.452370330025033</v>
      </c>
      <c r="W4" s="2">
        <f>('[1]Pc, Summer, S3'!W4*Main!$B$5)+(_xlfn.IFNA(VLOOKUP($A4,'FL Ratio'!$A$3:$B$10,2,FALSE),0)*'FL Characterization'!W$2)</f>
        <v>69.596518033392044</v>
      </c>
      <c r="X4" s="2">
        <f>('[1]Pc, Summer, S3'!X4*Main!$B$5)+(_xlfn.IFNA(VLOOKUP($A4,'FL Ratio'!$A$3:$B$10,2,FALSE),0)*'FL Characterization'!X$2)</f>
        <v>69.450216264167253</v>
      </c>
      <c r="Y4" s="2">
        <f>('[1]Pc, Summer, S3'!Y4*Main!$B$5)+(_xlfn.IFNA(VLOOKUP($A4,'FL Ratio'!$A$3:$B$10,2,FALSE),0)*'FL Characterization'!Y$2)</f>
        <v>62.646462656976567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7E3D7-C1B6-4623-A296-E98A362F351A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Ratio'!$A$3:$B$10,2,FALSE),0)*'FL Characterization'!B$2)</f>
        <v>37.71133513143576</v>
      </c>
      <c r="C2" s="2">
        <f>('[1]Pc, Summer, S3'!C2*Main!$B$5)+(_xlfn.IFNA(VLOOKUP($A2,'FL Ratio'!$A$3:$B$10,2,FALSE),0)*'FL Characterization'!C$2)</f>
        <v>34.262435576535864</v>
      </c>
      <c r="D2" s="2">
        <f>('[1]Pc, Summer, S3'!D2*Main!$B$5)+(_xlfn.IFNA(VLOOKUP($A2,'FL Ratio'!$A$3:$B$10,2,FALSE),0)*'FL Characterization'!D$2)</f>
        <v>33.663959874943764</v>
      </c>
      <c r="E2" s="2">
        <f>('[1]Pc, Summer, S3'!E2*Main!$B$5)+(_xlfn.IFNA(VLOOKUP($A2,'FL Ratio'!$A$3:$B$10,2,FALSE),0)*'FL Characterization'!E$2)</f>
        <v>33.577963133318214</v>
      </c>
      <c r="F2" s="2">
        <f>('[1]Pc, Summer, S3'!F2*Main!$B$5)+(_xlfn.IFNA(VLOOKUP($A2,'FL Ratio'!$A$3:$B$10,2,FALSE),0)*'FL Characterization'!F$2)</f>
        <v>33.580610423637694</v>
      </c>
      <c r="G2" s="2">
        <f>('[1]Pc, Summer, S3'!G2*Main!$B$5)+(_xlfn.IFNA(VLOOKUP($A2,'FL Ratio'!$A$3:$B$10,2,FALSE),0)*'FL Characterization'!G$2)</f>
        <v>33.283633317092765</v>
      </c>
      <c r="H2" s="2">
        <f>('[1]Pc, Summer, S3'!H2*Main!$B$5)+(_xlfn.IFNA(VLOOKUP($A2,'FL Ratio'!$A$3:$B$10,2,FALSE),0)*'FL Characterization'!H$2)</f>
        <v>35.93265329180975</v>
      </c>
      <c r="I2" s="2">
        <f>('[1]Pc, Summer, S3'!I2*Main!$B$5)+(_xlfn.IFNA(VLOOKUP($A2,'FL Ratio'!$A$3:$B$10,2,FALSE),0)*'FL Characterization'!I$2)</f>
        <v>42.660838089263926</v>
      </c>
      <c r="J2" s="2">
        <f>('[1]Pc, Summer, S3'!J2*Main!$B$5)+(_xlfn.IFNA(VLOOKUP($A2,'FL Ratio'!$A$3:$B$10,2,FALSE),0)*'FL Characterization'!J$2)</f>
        <v>48.621224949026363</v>
      </c>
      <c r="K2" s="2">
        <f>('[1]Pc, Summer, S3'!K2*Main!$B$5)+(_xlfn.IFNA(VLOOKUP($A2,'FL Ratio'!$A$3:$B$10,2,FALSE),0)*'FL Characterization'!K$2)</f>
        <v>50.115260344197559</v>
      </c>
      <c r="L2" s="2">
        <f>('[1]Pc, Summer, S3'!L2*Main!$B$5)+(_xlfn.IFNA(VLOOKUP($A2,'FL Ratio'!$A$3:$B$10,2,FALSE),0)*'FL Characterization'!L$2)</f>
        <v>49.608107279285093</v>
      </c>
      <c r="M2" s="2">
        <f>('[1]Pc, Summer, S3'!M2*Main!$B$5)+(_xlfn.IFNA(VLOOKUP($A2,'FL Ratio'!$A$3:$B$10,2,FALSE),0)*'FL Characterization'!M$2)</f>
        <v>51.01095548880604</v>
      </c>
      <c r="N2" s="2">
        <f>('[1]Pc, Summer, S3'!N2*Main!$B$5)+(_xlfn.IFNA(VLOOKUP($A2,'FL Ratio'!$A$3:$B$10,2,FALSE),0)*'FL Characterization'!N$2)</f>
        <v>51.710718241135119</v>
      </c>
      <c r="O2" s="2">
        <f>('[1]Pc, Summer, S3'!O2*Main!$B$5)+(_xlfn.IFNA(VLOOKUP($A2,'FL Ratio'!$A$3:$B$10,2,FALSE),0)*'FL Characterization'!O$2)</f>
        <v>50.754166830213627</v>
      </c>
      <c r="P2" s="2">
        <f>('[1]Pc, Summer, S3'!P2*Main!$B$5)+(_xlfn.IFNA(VLOOKUP($A2,'FL Ratio'!$A$3:$B$10,2,FALSE),0)*'FL Characterization'!P$2)</f>
        <v>48.770937167903014</v>
      </c>
      <c r="Q2" s="2">
        <f>('[1]Pc, Summer, S3'!Q2*Main!$B$5)+(_xlfn.IFNA(VLOOKUP($A2,'FL Ratio'!$A$3:$B$10,2,FALSE),0)*'FL Characterization'!Q$2)</f>
        <v>46.807991087093178</v>
      </c>
      <c r="R2" s="2">
        <f>('[1]Pc, Summer, S3'!R2*Main!$B$5)+(_xlfn.IFNA(VLOOKUP($A2,'FL Ratio'!$A$3:$B$10,2,FALSE),0)*'FL Characterization'!R$2)</f>
        <v>47.624637125937539</v>
      </c>
      <c r="S2" s="2">
        <f>('[1]Pc, Summer, S3'!S2*Main!$B$5)+(_xlfn.IFNA(VLOOKUP($A2,'FL Ratio'!$A$3:$B$10,2,FALSE),0)*'FL Characterization'!S$2)</f>
        <v>48.095156644003801</v>
      </c>
      <c r="T2" s="2">
        <f>('[1]Pc, Summer, S3'!T2*Main!$B$5)+(_xlfn.IFNA(VLOOKUP($A2,'FL Ratio'!$A$3:$B$10,2,FALSE),0)*'FL Characterization'!T$2)</f>
        <v>48.299302717524661</v>
      </c>
      <c r="U2" s="2">
        <f>('[1]Pc, Summer, S3'!U2*Main!$B$5)+(_xlfn.IFNA(VLOOKUP($A2,'FL Ratio'!$A$3:$B$10,2,FALSE),0)*'FL Characterization'!U$2)</f>
        <v>47.499727208912155</v>
      </c>
      <c r="V2" s="2">
        <f>('[1]Pc, Summer, S3'!V2*Main!$B$5)+(_xlfn.IFNA(VLOOKUP($A2,'FL Ratio'!$A$3:$B$10,2,FALSE),0)*'FL Characterization'!V$2)</f>
        <v>47.64244296520814</v>
      </c>
      <c r="W2" s="2">
        <f>('[1]Pc, Summer, S3'!W2*Main!$B$5)+(_xlfn.IFNA(VLOOKUP($A2,'FL Ratio'!$A$3:$B$10,2,FALSE),0)*'FL Characterization'!W$2)</f>
        <v>49.615696232629958</v>
      </c>
      <c r="X2" s="2">
        <f>('[1]Pc, Summer, S3'!X2*Main!$B$5)+(_xlfn.IFNA(VLOOKUP($A2,'FL Ratio'!$A$3:$B$10,2,FALSE),0)*'FL Characterization'!X$2)</f>
        <v>46.247834234364184</v>
      </c>
      <c r="Y2" s="2">
        <f>('[1]Pc, Summer, S3'!Y2*Main!$B$5)+(_xlfn.IFNA(VLOOKUP($A2,'FL Ratio'!$A$3:$B$10,2,FALSE),0)*'FL Characterization'!Y$2)</f>
        <v>42.395131769299432</v>
      </c>
    </row>
    <row r="3" spans="1:25" x14ac:dyDescent="0.3">
      <c r="A3">
        <v>2</v>
      </c>
      <c r="B3" s="2">
        <f>('[1]Pc, Summer, S3'!B3*Main!$B$5)+(_xlfn.IFNA(VLOOKUP($A3,'FL Ratio'!$A$3:$B$10,2,FALSE),0)*'FL Characterization'!B$2)</f>
        <v>40.669785044064753</v>
      </c>
      <c r="C3" s="2">
        <f>('[1]Pc, Summer, S3'!C3*Main!$B$5)+(_xlfn.IFNA(VLOOKUP($A3,'FL Ratio'!$A$3:$B$10,2,FALSE),0)*'FL Characterization'!C$2)</f>
        <v>37.329877370419958</v>
      </c>
      <c r="D3" s="2">
        <f>('[1]Pc, Summer, S3'!D3*Main!$B$5)+(_xlfn.IFNA(VLOOKUP($A3,'FL Ratio'!$A$3:$B$10,2,FALSE),0)*'FL Characterization'!D$2)</f>
        <v>35.36290004239239</v>
      </c>
      <c r="E3" s="2">
        <f>('[1]Pc, Summer, S3'!E3*Main!$B$5)+(_xlfn.IFNA(VLOOKUP($A3,'FL Ratio'!$A$3:$B$10,2,FALSE),0)*'FL Characterization'!E$2)</f>
        <v>34.066740506924859</v>
      </c>
      <c r="F3" s="2">
        <f>('[1]Pc, Summer, S3'!F3*Main!$B$5)+(_xlfn.IFNA(VLOOKUP($A3,'FL Ratio'!$A$3:$B$10,2,FALSE),0)*'FL Characterization'!F$2)</f>
        <v>33.681164913718625</v>
      </c>
      <c r="G3" s="2">
        <f>('[1]Pc, Summer, S3'!G3*Main!$B$5)+(_xlfn.IFNA(VLOOKUP($A3,'FL Ratio'!$A$3:$B$10,2,FALSE),0)*'FL Characterization'!G$2)</f>
        <v>35.723051564712158</v>
      </c>
      <c r="H3" s="2">
        <f>('[1]Pc, Summer, S3'!H3*Main!$B$5)+(_xlfn.IFNA(VLOOKUP($A3,'FL Ratio'!$A$3:$B$10,2,FALSE),0)*'FL Characterization'!H$2)</f>
        <v>44.715337563335453</v>
      </c>
      <c r="I3" s="2">
        <f>('[1]Pc, Summer, S3'!I3*Main!$B$5)+(_xlfn.IFNA(VLOOKUP($A3,'FL Ratio'!$A$3:$B$10,2,FALSE),0)*'FL Characterization'!I$2)</f>
        <v>53.107546808741212</v>
      </c>
      <c r="J3" s="2">
        <f>('[1]Pc, Summer, S3'!J3*Main!$B$5)+(_xlfn.IFNA(VLOOKUP($A3,'FL Ratio'!$A$3:$B$10,2,FALSE),0)*'FL Characterization'!J$2)</f>
        <v>55.375872813468028</v>
      </c>
      <c r="K3" s="2">
        <f>('[1]Pc, Summer, S3'!K3*Main!$B$5)+(_xlfn.IFNA(VLOOKUP($A3,'FL Ratio'!$A$3:$B$10,2,FALSE),0)*'FL Characterization'!K$2)</f>
        <v>54.349582511889281</v>
      </c>
      <c r="L3" s="2">
        <f>('[1]Pc, Summer, S3'!L3*Main!$B$5)+(_xlfn.IFNA(VLOOKUP($A3,'FL Ratio'!$A$3:$B$10,2,FALSE),0)*'FL Characterization'!L$2)</f>
        <v>54.157894492055284</v>
      </c>
      <c r="M3" s="2">
        <f>('[1]Pc, Summer, S3'!M3*Main!$B$5)+(_xlfn.IFNA(VLOOKUP($A3,'FL Ratio'!$A$3:$B$10,2,FALSE),0)*'FL Characterization'!M$2)</f>
        <v>57.753650593558866</v>
      </c>
      <c r="N3" s="2">
        <f>('[1]Pc, Summer, S3'!N3*Main!$B$5)+(_xlfn.IFNA(VLOOKUP($A3,'FL Ratio'!$A$3:$B$10,2,FALSE),0)*'FL Characterization'!N$2)</f>
        <v>57.930009861293335</v>
      </c>
      <c r="O3" s="2">
        <f>('[1]Pc, Summer, S3'!O3*Main!$B$5)+(_xlfn.IFNA(VLOOKUP($A3,'FL Ratio'!$A$3:$B$10,2,FALSE),0)*'FL Characterization'!O$2)</f>
        <v>58.329044972126901</v>
      </c>
      <c r="P3" s="2">
        <f>('[1]Pc, Summer, S3'!P3*Main!$B$5)+(_xlfn.IFNA(VLOOKUP($A3,'FL Ratio'!$A$3:$B$10,2,FALSE),0)*'FL Characterization'!P$2)</f>
        <v>55.504521779294876</v>
      </c>
      <c r="Q3" s="2">
        <f>('[1]Pc, Summer, S3'!Q3*Main!$B$5)+(_xlfn.IFNA(VLOOKUP($A3,'FL Ratio'!$A$3:$B$10,2,FALSE),0)*'FL Characterization'!Q$2)</f>
        <v>52.580542348318758</v>
      </c>
      <c r="R3" s="2">
        <f>('[1]Pc, Summer, S3'!R3*Main!$B$5)+(_xlfn.IFNA(VLOOKUP($A3,'FL Ratio'!$A$3:$B$10,2,FALSE),0)*'FL Characterization'!R$2)</f>
        <v>48.642167850440543</v>
      </c>
      <c r="S3" s="2">
        <f>('[1]Pc, Summer, S3'!S3*Main!$B$5)+(_xlfn.IFNA(VLOOKUP($A3,'FL Ratio'!$A$3:$B$10,2,FALSE),0)*'FL Characterization'!S$2)</f>
        <v>49.174808467133552</v>
      </c>
      <c r="T3" s="2">
        <f>('[1]Pc, Summer, S3'!T3*Main!$B$5)+(_xlfn.IFNA(VLOOKUP($A3,'FL Ratio'!$A$3:$B$10,2,FALSE),0)*'FL Characterization'!T$2)</f>
        <v>48.742520430397192</v>
      </c>
      <c r="U3" s="2">
        <f>('[1]Pc, Summer, S3'!U3*Main!$B$5)+(_xlfn.IFNA(VLOOKUP($A3,'FL Ratio'!$A$3:$B$10,2,FALSE),0)*'FL Characterization'!U$2)</f>
        <v>48.560223140180078</v>
      </c>
      <c r="V3" s="2">
        <f>('[1]Pc, Summer, S3'!V3*Main!$B$5)+(_xlfn.IFNA(VLOOKUP($A3,'FL Ratio'!$A$3:$B$10,2,FALSE),0)*'FL Characterization'!V$2)</f>
        <v>48.78408658777569</v>
      </c>
      <c r="W3" s="2">
        <f>('[1]Pc, Summer, S3'!W3*Main!$B$5)+(_xlfn.IFNA(VLOOKUP($A3,'FL Ratio'!$A$3:$B$10,2,FALSE),0)*'FL Characterization'!W$2)</f>
        <v>48.53369997309094</v>
      </c>
      <c r="X3" s="2">
        <f>('[1]Pc, Summer, S3'!X3*Main!$B$5)+(_xlfn.IFNA(VLOOKUP($A3,'FL Ratio'!$A$3:$B$10,2,FALSE),0)*'FL Characterization'!X$2)</f>
        <v>48.24809034760419</v>
      </c>
      <c r="Y3" s="2">
        <f>('[1]Pc, Summer, S3'!Y3*Main!$B$5)+(_xlfn.IFNA(VLOOKUP($A3,'FL Ratio'!$A$3:$B$10,2,FALSE),0)*'FL Characterization'!Y$2)</f>
        <v>45.642716477701853</v>
      </c>
    </row>
    <row r="4" spans="1:25" x14ac:dyDescent="0.3">
      <c r="A4">
        <v>3</v>
      </c>
      <c r="B4" s="2">
        <f>('[1]Pc, Summer, S3'!B4*Main!$B$5)+(_xlfn.IFNA(VLOOKUP($A4,'FL Ratio'!$A$3:$B$10,2,FALSE),0)*'FL Characterization'!B$2)</f>
        <v>53.989387877973705</v>
      </c>
      <c r="C4" s="2">
        <f>('[1]Pc, Summer, S3'!C4*Main!$B$5)+(_xlfn.IFNA(VLOOKUP($A4,'FL Ratio'!$A$3:$B$10,2,FALSE),0)*'FL Characterization'!C$2)</f>
        <v>47.899335500048274</v>
      </c>
      <c r="D4" s="2">
        <f>('[1]Pc, Summer, S3'!D4*Main!$B$5)+(_xlfn.IFNA(VLOOKUP($A4,'FL Ratio'!$A$3:$B$10,2,FALSE),0)*'FL Characterization'!D$2)</f>
        <v>45.167842500954769</v>
      </c>
      <c r="E4" s="2">
        <f>('[1]Pc, Summer, S3'!E4*Main!$B$5)+(_xlfn.IFNA(VLOOKUP($A4,'FL Ratio'!$A$3:$B$10,2,FALSE),0)*'FL Characterization'!E$2)</f>
        <v>43.689313738103266</v>
      </c>
      <c r="F4" s="2">
        <f>('[1]Pc, Summer, S3'!F4*Main!$B$5)+(_xlfn.IFNA(VLOOKUP($A4,'FL Ratio'!$A$3:$B$10,2,FALSE),0)*'FL Characterization'!F$2)</f>
        <v>45.800963026000339</v>
      </c>
      <c r="G4" s="2">
        <f>('[1]Pc, Summer, S3'!G4*Main!$B$5)+(_xlfn.IFNA(VLOOKUP($A4,'FL Ratio'!$A$3:$B$10,2,FALSE),0)*'FL Characterization'!G$2)</f>
        <v>41.833256331231794</v>
      </c>
      <c r="H4" s="2">
        <f>('[1]Pc, Summer, S3'!H4*Main!$B$5)+(_xlfn.IFNA(VLOOKUP($A4,'FL Ratio'!$A$3:$B$10,2,FALSE),0)*'FL Characterization'!H$2)</f>
        <v>49.137112852817623</v>
      </c>
      <c r="I4" s="2">
        <f>('[1]Pc, Summer, S3'!I4*Main!$B$5)+(_xlfn.IFNA(VLOOKUP($A4,'FL Ratio'!$A$3:$B$10,2,FALSE),0)*'FL Characterization'!I$2)</f>
        <v>55.241702218411291</v>
      </c>
      <c r="J4" s="2">
        <f>('[1]Pc, Summer, S3'!J4*Main!$B$5)+(_xlfn.IFNA(VLOOKUP($A4,'FL Ratio'!$A$3:$B$10,2,FALSE),0)*'FL Characterization'!J$2)</f>
        <v>62.155620411746142</v>
      </c>
      <c r="K4" s="2">
        <f>('[1]Pc, Summer, S3'!K4*Main!$B$5)+(_xlfn.IFNA(VLOOKUP($A4,'FL Ratio'!$A$3:$B$10,2,FALSE),0)*'FL Characterization'!K$2)</f>
        <v>66.816098603976016</v>
      </c>
      <c r="L4" s="2">
        <f>('[1]Pc, Summer, S3'!L4*Main!$B$5)+(_xlfn.IFNA(VLOOKUP($A4,'FL Ratio'!$A$3:$B$10,2,FALSE),0)*'FL Characterization'!L$2)</f>
        <v>68.775363234859725</v>
      </c>
      <c r="M4" s="2">
        <f>('[1]Pc, Summer, S3'!M4*Main!$B$5)+(_xlfn.IFNA(VLOOKUP($A4,'FL Ratio'!$A$3:$B$10,2,FALSE),0)*'FL Characterization'!M$2)</f>
        <v>69.919449080967198</v>
      </c>
      <c r="N4" s="2">
        <f>('[1]Pc, Summer, S3'!N4*Main!$B$5)+(_xlfn.IFNA(VLOOKUP($A4,'FL Ratio'!$A$3:$B$10,2,FALSE),0)*'FL Characterization'!N$2)</f>
        <v>71.462850695363386</v>
      </c>
      <c r="O4" s="2">
        <f>('[1]Pc, Summer, S3'!O4*Main!$B$5)+(_xlfn.IFNA(VLOOKUP($A4,'FL Ratio'!$A$3:$B$10,2,FALSE),0)*'FL Characterization'!O$2)</f>
        <v>72.443313333788325</v>
      </c>
      <c r="P4" s="2">
        <f>('[1]Pc, Summer, S3'!P4*Main!$B$5)+(_xlfn.IFNA(VLOOKUP($A4,'FL Ratio'!$A$3:$B$10,2,FALSE),0)*'FL Characterization'!P$2)</f>
        <v>72.751523926854858</v>
      </c>
      <c r="Q4" s="2">
        <f>('[1]Pc, Summer, S3'!Q4*Main!$B$5)+(_xlfn.IFNA(VLOOKUP($A4,'FL Ratio'!$A$3:$B$10,2,FALSE),0)*'FL Characterization'!Q$2)</f>
        <v>70.028511592083959</v>
      </c>
      <c r="R4" s="2">
        <f>('[1]Pc, Summer, S3'!R4*Main!$B$5)+(_xlfn.IFNA(VLOOKUP($A4,'FL Ratio'!$A$3:$B$10,2,FALSE),0)*'FL Characterization'!R$2)</f>
        <v>69.661099869913329</v>
      </c>
      <c r="S4" s="2">
        <f>('[1]Pc, Summer, S3'!S4*Main!$B$5)+(_xlfn.IFNA(VLOOKUP($A4,'FL Ratio'!$A$3:$B$10,2,FALSE),0)*'FL Characterization'!S$2)</f>
        <v>67.497866632647856</v>
      </c>
      <c r="T4" s="2">
        <f>('[1]Pc, Summer, S3'!T4*Main!$B$5)+(_xlfn.IFNA(VLOOKUP($A4,'FL Ratio'!$A$3:$B$10,2,FALSE),0)*'FL Characterization'!T$2)</f>
        <v>67.415217972124339</v>
      </c>
      <c r="U4" s="2">
        <f>('[1]Pc, Summer, S3'!U4*Main!$B$5)+(_xlfn.IFNA(VLOOKUP($A4,'FL Ratio'!$A$3:$B$10,2,FALSE),0)*'FL Characterization'!U$2)</f>
        <v>67.782141571806207</v>
      </c>
      <c r="V4" s="2">
        <f>('[1]Pc, Summer, S3'!V4*Main!$B$5)+(_xlfn.IFNA(VLOOKUP($A4,'FL Ratio'!$A$3:$B$10,2,FALSE),0)*'FL Characterization'!V$2)</f>
        <v>67.452370330025033</v>
      </c>
      <c r="W4" s="2">
        <f>('[1]Pc, Summer, S3'!W4*Main!$B$5)+(_xlfn.IFNA(VLOOKUP($A4,'FL Ratio'!$A$3:$B$10,2,FALSE),0)*'FL Characterization'!W$2)</f>
        <v>69.596518033392044</v>
      </c>
      <c r="X4" s="2">
        <f>('[1]Pc, Summer, S3'!X4*Main!$B$5)+(_xlfn.IFNA(VLOOKUP($A4,'FL Ratio'!$A$3:$B$10,2,FALSE),0)*'FL Characterization'!X$2)</f>
        <v>69.450216264167253</v>
      </c>
      <c r="Y4" s="2">
        <f>('[1]Pc, Summer, S3'!Y4*Main!$B$5)+(_xlfn.IFNA(VLOOKUP($A4,'FL Ratio'!$A$3:$B$10,2,FALSE),0)*'FL Characterization'!Y$2)</f>
        <v>62.646462656976567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53056-E6B3-4F0E-8018-F15414CCE61A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-12.265824449615847</v>
      </c>
      <c r="C2" s="2">
        <f>('[1]Qc, Summer, S1'!C2*Main!$B$5)</f>
        <v>-15.94707790960874</v>
      </c>
      <c r="D2" s="2">
        <f>('[1]Qc, Summer, S1'!D2*Main!$B$5)</f>
        <v>-17.57675740830194</v>
      </c>
      <c r="E2" s="2">
        <f>('[1]Qc, Summer, S1'!E2*Main!$B$5)</f>
        <v>-16.03971199345586</v>
      </c>
      <c r="F2" s="2">
        <f>('[1]Qc, Summer, S1'!F2*Main!$B$5)</f>
        <v>-17.192413263743646</v>
      </c>
      <c r="G2" s="2">
        <f>('[1]Qc, Summer, S1'!G2*Main!$B$5)</f>
        <v>-17.588679673855481</v>
      </c>
      <c r="H2" s="2">
        <f>('[1]Qc, Summer, S1'!H2*Main!$B$5)</f>
        <v>-15.243937802047926</v>
      </c>
      <c r="I2" s="2">
        <f>('[1]Qc, Summer, S1'!I2*Main!$B$5)</f>
        <v>-2.3716142401407345</v>
      </c>
      <c r="J2" s="2">
        <f>('[1]Qc, Summer, S1'!J2*Main!$B$5)</f>
        <v>7.6127071987303498</v>
      </c>
      <c r="K2" s="2">
        <f>('[1]Qc, Summer, S1'!K2*Main!$B$5)</f>
        <v>11.08262194513161</v>
      </c>
      <c r="L2" s="2">
        <f>('[1]Qc, Summer, S1'!L2*Main!$B$5)</f>
        <v>8.711931659320852</v>
      </c>
      <c r="M2" s="2">
        <f>('[1]Qc, Summer, S1'!M2*Main!$B$5)</f>
        <v>11.604532172344419</v>
      </c>
      <c r="N2" s="2">
        <f>('[1]Qc, Summer, S1'!N2*Main!$B$5)</f>
        <v>10.298092489111339</v>
      </c>
      <c r="O2" s="2">
        <f>('[1]Qc, Summer, S1'!O2*Main!$B$5)</f>
        <v>10.608155547204086</v>
      </c>
      <c r="P2" s="2">
        <f>('[1]Qc, Summer, S1'!P2*Main!$B$5)</f>
        <v>5.473418954981744</v>
      </c>
      <c r="Q2" s="2">
        <f>('[1]Qc, Summer, S1'!Q2*Main!$B$5)</f>
        <v>1.3837465676915663</v>
      </c>
      <c r="R2" s="2">
        <f>('[1]Qc, Summer, S1'!R2*Main!$B$5)</f>
        <v>3.0782847448513198</v>
      </c>
      <c r="S2" s="2">
        <f>('[1]Qc, Summer, S1'!S2*Main!$B$5)</f>
        <v>3.7390516470163195</v>
      </c>
      <c r="T2" s="2">
        <f>('[1]Qc, Summer, S1'!T2*Main!$B$5)</f>
        <v>2.2526378068651205</v>
      </c>
      <c r="U2" s="2">
        <f>('[1]Qc, Summer, S1'!U2*Main!$B$5)</f>
        <v>-0.42022162514088846</v>
      </c>
      <c r="V2" s="2">
        <f>('[1]Qc, Summer, S1'!V2*Main!$B$5)</f>
        <v>-1.6404777227831167</v>
      </c>
      <c r="W2" s="2">
        <f>('[1]Qc, Summer, S1'!W2*Main!$B$5)</f>
        <v>-1.1413228540815634</v>
      </c>
      <c r="X2" s="2">
        <f>('[1]Qc, Summer, S1'!X2*Main!$B$5)</f>
        <v>-5.4734906713791931</v>
      </c>
      <c r="Y2" s="2">
        <f>('[1]Qc, Summer, S1'!Y2*Main!$B$5)</f>
        <v>-7.4088152800256522</v>
      </c>
    </row>
    <row r="3" spans="1:25" x14ac:dyDescent="0.3">
      <c r="A3">
        <v>2</v>
      </c>
      <c r="B3" s="2">
        <f>('[1]Qc, Summer, S1'!B3*Main!$B$5)</f>
        <v>-15.523416955194598</v>
      </c>
      <c r="C3" s="2">
        <f>('[1]Qc, Summer, S1'!C3*Main!$B$5)</f>
        <v>-15.523416955194598</v>
      </c>
      <c r="D3" s="2">
        <f>('[1]Qc, Summer, S1'!D3*Main!$B$5)</f>
        <v>-18.021771620679662</v>
      </c>
      <c r="E3" s="2">
        <f>('[1]Qc, Summer, S1'!E3*Main!$B$5)</f>
        <v>-20.520126286164729</v>
      </c>
      <c r="F3" s="2">
        <f>('[1]Qc, Summer, S1'!F3*Main!$B$5)</f>
        <v>-20.520126286164729</v>
      </c>
      <c r="G3" s="2">
        <f>('[1]Qc, Summer, S1'!G3*Main!$B$5)</f>
        <v>-20.520126286164729</v>
      </c>
      <c r="H3" s="2">
        <f>('[1]Qc, Summer, S1'!H3*Main!$B$5)</f>
        <v>-8.1821034561743211</v>
      </c>
      <c r="I3" s="2">
        <f>('[1]Qc, Summer, S1'!I3*Main!$B$5)</f>
        <v>1.6960064526534147</v>
      </c>
      <c r="J3" s="2">
        <f>('[1]Qc, Summer, S1'!J3*Main!$B$5)</f>
        <v>5.3858902637383164</v>
      </c>
      <c r="K3" s="2">
        <f>('[1]Qc, Summer, S1'!K3*Main!$B$5)</f>
        <v>5.3858902637383164</v>
      </c>
      <c r="L3" s="2">
        <f>('[1]Qc, Summer, S1'!L3*Main!$B$5)</f>
        <v>4.9246470492331635</v>
      </c>
      <c r="M3" s="2">
        <f>('[1]Qc, Summer, S1'!M3*Main!$B$5)</f>
        <v>6.9233208569182025</v>
      </c>
      <c r="N3" s="2">
        <f>('[1]Qc, Summer, S1'!N3*Main!$B$5)</f>
        <v>9.3832378791083961</v>
      </c>
      <c r="O3" s="2">
        <f>('[1]Qc, Summer, S1'!O3*Main!$B$5)</f>
        <v>9.6715200739721094</v>
      </c>
      <c r="P3" s="2">
        <f>('[1]Qc, Summer, S1'!P3*Main!$B$5)</f>
        <v>5.4243237627230565</v>
      </c>
      <c r="Q3" s="2">
        <f>('[1]Qc, Summer, S1'!Q3*Main!$B$5)</f>
        <v>4.2327945954819146</v>
      </c>
      <c r="R3" s="2">
        <f>('[1]Qc, Summer, S1'!R3*Main!$B$5)</f>
        <v>-0.68703949218108251</v>
      </c>
      <c r="S3" s="2">
        <f>('[1]Qc, Summer, S1'!S3*Main!$B$5)</f>
        <v>-0.68703949218108251</v>
      </c>
      <c r="T3" s="2">
        <f>('[1]Qc, Summer, S1'!T3*Main!$B$5)</f>
        <v>-0.68703949218108251</v>
      </c>
      <c r="U3" s="2">
        <f>('[1]Qc, Summer, S1'!U3*Main!$B$5)</f>
        <v>-0.68703949218108251</v>
      </c>
      <c r="V3" s="2">
        <f>('[1]Qc, Summer, S1'!V3*Main!$B$5)</f>
        <v>-4.3769274259348112</v>
      </c>
      <c r="W3" s="2">
        <f>('[1]Qc, Summer, S1'!W3*Main!$B$5)</f>
        <v>-5.6068900705193867</v>
      </c>
      <c r="X3" s="2">
        <f>('[1]Qc, Summer, S1'!X3*Main!$B$5)</f>
        <v>-15.67715095113356</v>
      </c>
      <c r="Y3" s="2">
        <f>('[1]Qc, Summer, S1'!Y3*Main!$B$5)</f>
        <v>-15.67715095113356</v>
      </c>
    </row>
    <row r="4" spans="1:25" x14ac:dyDescent="0.3">
      <c r="A4">
        <v>3</v>
      </c>
      <c r="B4" s="2">
        <f>('[1]Qc, Summer, S1'!B4*Main!$B$5)</f>
        <v>12.530910671992347</v>
      </c>
      <c r="C4" s="2">
        <f>('[1]Qc, Summer, S1'!C4*Main!$B$5)</f>
        <v>9.6011057734226046</v>
      </c>
      <c r="D4" s="2">
        <f>('[1]Qc, Summer, S1'!D4*Main!$B$5)</f>
        <v>9.0984858529380173</v>
      </c>
      <c r="E4" s="2">
        <f>('[1]Qc, Summer, S1'!E4*Main!$B$5)</f>
        <v>7.9463802197521973</v>
      </c>
      <c r="F4" s="2">
        <f>('[1]Qc, Summer, S1'!F4*Main!$B$5)</f>
        <v>9.1478563451880781</v>
      </c>
      <c r="G4" s="2">
        <f>('[1]Qc, Summer, S1'!G4*Main!$B$5)</f>
        <v>4.2456619138368374</v>
      </c>
      <c r="H4" s="2">
        <f>('[1]Qc, Summer, S1'!H4*Main!$B$5)</f>
        <v>7.4076884912180843</v>
      </c>
      <c r="I4" s="2">
        <f>('[1]Qc, Summer, S1'!I4*Main!$B$5)</f>
        <v>14.234748671998787</v>
      </c>
      <c r="J4" s="2">
        <f>('[1]Qc, Summer, S1'!J4*Main!$B$5)</f>
        <v>20.707213922015189</v>
      </c>
      <c r="K4" s="2">
        <f>('[1]Qc, Summer, S1'!K4*Main!$B$5)</f>
        <v>24.605929548174696</v>
      </c>
      <c r="L4" s="2">
        <f>('[1]Qc, Summer, S1'!L4*Main!$B$5)</f>
        <v>26.862101086016562</v>
      </c>
      <c r="M4" s="2">
        <f>('[1]Qc, Summer, S1'!M4*Main!$B$5)</f>
        <v>27.8428068113544</v>
      </c>
      <c r="N4" s="2">
        <f>('[1]Qc, Summer, S1'!N4*Main!$B$5)</f>
        <v>29.094340302505792</v>
      </c>
      <c r="O4" s="2">
        <f>('[1]Qc, Summer, S1'!O4*Main!$B$5)</f>
        <v>29.314466123092469</v>
      </c>
      <c r="P4" s="2">
        <f>('[1]Qc, Summer, S1'!P4*Main!$B$5)</f>
        <v>29.106392634913806</v>
      </c>
      <c r="Q4" s="2">
        <f>('[1]Qc, Summer, S1'!Q4*Main!$B$5)</f>
        <v>28.137482479260314</v>
      </c>
      <c r="R4" s="2">
        <f>('[1]Qc, Summer, S1'!R4*Main!$B$5)</f>
        <v>26.777303343230798</v>
      </c>
      <c r="S4" s="2">
        <f>('[1]Qc, Summer, S1'!S4*Main!$B$5)</f>
        <v>23.761841668259365</v>
      </c>
      <c r="T4" s="2">
        <f>('[1]Qc, Summer, S1'!T4*Main!$B$5)</f>
        <v>23.651906893688565</v>
      </c>
      <c r="U4" s="2">
        <f>('[1]Qc, Summer, S1'!U4*Main!$B$5)</f>
        <v>22.500103044876575</v>
      </c>
      <c r="V4" s="2">
        <f>('[1]Qc, Summer, S1'!V4*Main!$B$5)</f>
        <v>20.281549867427053</v>
      </c>
      <c r="W4" s="2">
        <f>('[1]Qc, Summer, S1'!W4*Main!$B$5)</f>
        <v>24.313617494904165</v>
      </c>
      <c r="X4" s="2">
        <f>('[1]Qc, Summer, S1'!X4*Main!$B$5)</f>
        <v>21.785886266803061</v>
      </c>
      <c r="Y4" s="2">
        <f>('[1]Qc, Summer, S1'!Y4*Main!$B$5)</f>
        <v>17.53240415832764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50F2B-C4B7-4CA6-9F6F-9625BF8A2D24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-12.265824449615847</v>
      </c>
      <c r="C2" s="2">
        <f>('[1]Qc, Summer, S1'!C2*Main!$B$5)</f>
        <v>-15.94707790960874</v>
      </c>
      <c r="D2" s="2">
        <f>('[1]Qc, Summer, S1'!D2*Main!$B$5)</f>
        <v>-17.57675740830194</v>
      </c>
      <c r="E2" s="2">
        <f>('[1]Qc, Summer, S1'!E2*Main!$B$5)</f>
        <v>-16.03971199345586</v>
      </c>
      <c r="F2" s="2">
        <f>('[1]Qc, Summer, S1'!F2*Main!$B$5)</f>
        <v>-17.192413263743646</v>
      </c>
      <c r="G2" s="2">
        <f>('[1]Qc, Summer, S1'!G2*Main!$B$5)</f>
        <v>-17.588679673855481</v>
      </c>
      <c r="H2" s="2">
        <f>('[1]Qc, Summer, S1'!H2*Main!$B$5)</f>
        <v>-15.243937802047926</v>
      </c>
      <c r="I2" s="2">
        <f>('[1]Qc, Summer, S1'!I2*Main!$B$5)</f>
        <v>-2.3716142401407345</v>
      </c>
      <c r="J2" s="2">
        <f>('[1]Qc, Summer, S1'!J2*Main!$B$5)</f>
        <v>7.6127071987303498</v>
      </c>
      <c r="K2" s="2">
        <f>('[1]Qc, Summer, S1'!K2*Main!$B$5)</f>
        <v>11.08262194513161</v>
      </c>
      <c r="L2" s="2">
        <f>('[1]Qc, Summer, S1'!L2*Main!$B$5)</f>
        <v>8.711931659320852</v>
      </c>
      <c r="M2" s="2">
        <f>('[1]Qc, Summer, S1'!M2*Main!$B$5)</f>
        <v>11.604532172344419</v>
      </c>
      <c r="N2" s="2">
        <f>('[1]Qc, Summer, S1'!N2*Main!$B$5)</f>
        <v>10.298092489111339</v>
      </c>
      <c r="O2" s="2">
        <f>('[1]Qc, Summer, S1'!O2*Main!$B$5)</f>
        <v>10.608155547204086</v>
      </c>
      <c r="P2" s="2">
        <f>('[1]Qc, Summer, S1'!P2*Main!$B$5)</f>
        <v>5.473418954981744</v>
      </c>
      <c r="Q2" s="2">
        <f>('[1]Qc, Summer, S1'!Q2*Main!$B$5)</f>
        <v>1.3837465676915663</v>
      </c>
      <c r="R2" s="2">
        <f>('[1]Qc, Summer, S1'!R2*Main!$B$5)</f>
        <v>3.0782847448513198</v>
      </c>
      <c r="S2" s="2">
        <f>('[1]Qc, Summer, S1'!S2*Main!$B$5)</f>
        <v>3.7390516470163195</v>
      </c>
      <c r="T2" s="2">
        <f>('[1]Qc, Summer, S1'!T2*Main!$B$5)</f>
        <v>2.2526378068651205</v>
      </c>
      <c r="U2" s="2">
        <f>('[1]Qc, Summer, S1'!U2*Main!$B$5)</f>
        <v>-0.42022162514088846</v>
      </c>
      <c r="V2" s="2">
        <f>('[1]Qc, Summer, S1'!V2*Main!$B$5)</f>
        <v>-1.6404777227831167</v>
      </c>
      <c r="W2" s="2">
        <f>('[1]Qc, Summer, S1'!W2*Main!$B$5)</f>
        <v>-1.1413228540815634</v>
      </c>
      <c r="X2" s="2">
        <f>('[1]Qc, Summer, S1'!X2*Main!$B$5)</f>
        <v>-5.4734906713791931</v>
      </c>
      <c r="Y2" s="2">
        <f>('[1]Qc, Summer, S1'!Y2*Main!$B$5)</f>
        <v>-7.4088152800256522</v>
      </c>
    </row>
    <row r="3" spans="1:25" x14ac:dyDescent="0.3">
      <c r="A3">
        <v>2</v>
      </c>
      <c r="B3" s="2">
        <f>('[1]Qc, Summer, S1'!B3*Main!$B$5)</f>
        <v>-15.523416955194598</v>
      </c>
      <c r="C3" s="2">
        <f>('[1]Qc, Summer, S1'!C3*Main!$B$5)</f>
        <v>-15.523416955194598</v>
      </c>
      <c r="D3" s="2">
        <f>('[1]Qc, Summer, S1'!D3*Main!$B$5)</f>
        <v>-18.021771620679662</v>
      </c>
      <c r="E3" s="2">
        <f>('[1]Qc, Summer, S1'!E3*Main!$B$5)</f>
        <v>-20.520126286164729</v>
      </c>
      <c r="F3" s="2">
        <f>('[1]Qc, Summer, S1'!F3*Main!$B$5)</f>
        <v>-20.520126286164729</v>
      </c>
      <c r="G3" s="2">
        <f>('[1]Qc, Summer, S1'!G3*Main!$B$5)</f>
        <v>-20.520126286164729</v>
      </c>
      <c r="H3" s="2">
        <f>('[1]Qc, Summer, S1'!H3*Main!$B$5)</f>
        <v>-8.1821034561743211</v>
      </c>
      <c r="I3" s="2">
        <f>('[1]Qc, Summer, S1'!I3*Main!$B$5)</f>
        <v>1.6960064526534147</v>
      </c>
      <c r="J3" s="2">
        <f>('[1]Qc, Summer, S1'!J3*Main!$B$5)</f>
        <v>5.3858902637383164</v>
      </c>
      <c r="K3" s="2">
        <f>('[1]Qc, Summer, S1'!K3*Main!$B$5)</f>
        <v>5.3858902637383164</v>
      </c>
      <c r="L3" s="2">
        <f>('[1]Qc, Summer, S1'!L3*Main!$B$5)</f>
        <v>4.9246470492331635</v>
      </c>
      <c r="M3" s="2">
        <f>('[1]Qc, Summer, S1'!M3*Main!$B$5)</f>
        <v>6.9233208569182025</v>
      </c>
      <c r="N3" s="2">
        <f>('[1]Qc, Summer, S1'!N3*Main!$B$5)</f>
        <v>9.3832378791083961</v>
      </c>
      <c r="O3" s="2">
        <f>('[1]Qc, Summer, S1'!O3*Main!$B$5)</f>
        <v>9.6715200739721094</v>
      </c>
      <c r="P3" s="2">
        <f>('[1]Qc, Summer, S1'!P3*Main!$B$5)</f>
        <v>5.4243237627230565</v>
      </c>
      <c r="Q3" s="2">
        <f>('[1]Qc, Summer, S1'!Q3*Main!$B$5)</f>
        <v>4.2327945954819146</v>
      </c>
      <c r="R3" s="2">
        <f>('[1]Qc, Summer, S1'!R3*Main!$B$5)</f>
        <v>-0.68703949218108251</v>
      </c>
      <c r="S3" s="2">
        <f>('[1]Qc, Summer, S1'!S3*Main!$B$5)</f>
        <v>-0.68703949218108251</v>
      </c>
      <c r="T3" s="2">
        <f>('[1]Qc, Summer, S1'!T3*Main!$B$5)</f>
        <v>-0.68703949218108251</v>
      </c>
      <c r="U3" s="2">
        <f>('[1]Qc, Summer, S1'!U3*Main!$B$5)</f>
        <v>-0.68703949218108251</v>
      </c>
      <c r="V3" s="2">
        <f>('[1]Qc, Summer, S1'!V3*Main!$B$5)</f>
        <v>-4.3769274259348112</v>
      </c>
      <c r="W3" s="2">
        <f>('[1]Qc, Summer, S1'!W3*Main!$B$5)</f>
        <v>-5.6068900705193867</v>
      </c>
      <c r="X3" s="2">
        <f>('[1]Qc, Summer, S1'!X3*Main!$B$5)</f>
        <v>-15.67715095113356</v>
      </c>
      <c r="Y3" s="2">
        <f>('[1]Qc, Summer, S1'!Y3*Main!$B$5)</f>
        <v>-15.67715095113356</v>
      </c>
    </row>
    <row r="4" spans="1:25" x14ac:dyDescent="0.3">
      <c r="A4">
        <v>3</v>
      </c>
      <c r="B4" s="2">
        <f>('[1]Qc, Summer, S1'!B4*Main!$B$5)</f>
        <v>12.530910671992347</v>
      </c>
      <c r="C4" s="2">
        <f>('[1]Qc, Summer, S1'!C4*Main!$B$5)</f>
        <v>9.6011057734226046</v>
      </c>
      <c r="D4" s="2">
        <f>('[1]Qc, Summer, S1'!D4*Main!$B$5)</f>
        <v>9.0984858529380173</v>
      </c>
      <c r="E4" s="2">
        <f>('[1]Qc, Summer, S1'!E4*Main!$B$5)</f>
        <v>7.9463802197521973</v>
      </c>
      <c r="F4" s="2">
        <f>('[1]Qc, Summer, S1'!F4*Main!$B$5)</f>
        <v>9.1478563451880781</v>
      </c>
      <c r="G4" s="2">
        <f>('[1]Qc, Summer, S1'!G4*Main!$B$5)</f>
        <v>4.2456619138368374</v>
      </c>
      <c r="H4" s="2">
        <f>('[1]Qc, Summer, S1'!H4*Main!$B$5)</f>
        <v>7.4076884912180843</v>
      </c>
      <c r="I4" s="2">
        <f>('[1]Qc, Summer, S1'!I4*Main!$B$5)</f>
        <v>14.234748671998787</v>
      </c>
      <c r="J4" s="2">
        <f>('[1]Qc, Summer, S1'!J4*Main!$B$5)</f>
        <v>20.707213922015189</v>
      </c>
      <c r="K4" s="2">
        <f>('[1]Qc, Summer, S1'!K4*Main!$B$5)</f>
        <v>24.605929548174696</v>
      </c>
      <c r="L4" s="2">
        <f>('[1]Qc, Summer, S1'!L4*Main!$B$5)</f>
        <v>26.862101086016562</v>
      </c>
      <c r="M4" s="2">
        <f>('[1]Qc, Summer, S1'!M4*Main!$B$5)</f>
        <v>27.8428068113544</v>
      </c>
      <c r="N4" s="2">
        <f>('[1]Qc, Summer, S1'!N4*Main!$B$5)</f>
        <v>29.094340302505792</v>
      </c>
      <c r="O4" s="2">
        <f>('[1]Qc, Summer, S1'!O4*Main!$B$5)</f>
        <v>29.314466123092469</v>
      </c>
      <c r="P4" s="2">
        <f>('[1]Qc, Summer, S1'!P4*Main!$B$5)</f>
        <v>29.106392634913806</v>
      </c>
      <c r="Q4" s="2">
        <f>('[1]Qc, Summer, S1'!Q4*Main!$B$5)</f>
        <v>28.137482479260314</v>
      </c>
      <c r="R4" s="2">
        <f>('[1]Qc, Summer, S1'!R4*Main!$B$5)</f>
        <v>26.777303343230798</v>
      </c>
      <c r="S4" s="2">
        <f>('[1]Qc, Summer, S1'!S4*Main!$B$5)</f>
        <v>23.761841668259365</v>
      </c>
      <c r="T4" s="2">
        <f>('[1]Qc, Summer, S1'!T4*Main!$B$5)</f>
        <v>23.651906893688565</v>
      </c>
      <c r="U4" s="2">
        <f>('[1]Qc, Summer, S1'!U4*Main!$B$5)</f>
        <v>22.500103044876575</v>
      </c>
      <c r="V4" s="2">
        <f>('[1]Qc, Summer, S1'!V4*Main!$B$5)</f>
        <v>20.281549867427053</v>
      </c>
      <c r="W4" s="2">
        <f>('[1]Qc, Summer, S1'!W4*Main!$B$5)</f>
        <v>24.313617494904165</v>
      </c>
      <c r="X4" s="2">
        <f>('[1]Qc, Summer, S1'!X4*Main!$B$5)</f>
        <v>21.785886266803061</v>
      </c>
      <c r="Y4" s="2">
        <f>('[1]Qc, Summer, S1'!Y4*Main!$B$5)</f>
        <v>17.53240415832764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8A2B2-F3C9-45A7-B421-2FBE8BE2B44A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-12.265824449615847</v>
      </c>
      <c r="C2" s="2">
        <f>('[1]Qc, Summer, S1'!C2*Main!$B$5)</f>
        <v>-15.94707790960874</v>
      </c>
      <c r="D2" s="2">
        <f>('[1]Qc, Summer, S1'!D2*Main!$B$5)</f>
        <v>-17.57675740830194</v>
      </c>
      <c r="E2" s="2">
        <f>('[1]Qc, Summer, S1'!E2*Main!$B$5)</f>
        <v>-16.03971199345586</v>
      </c>
      <c r="F2" s="2">
        <f>('[1]Qc, Summer, S1'!F2*Main!$B$5)</f>
        <v>-17.192413263743646</v>
      </c>
      <c r="G2" s="2">
        <f>('[1]Qc, Summer, S1'!G2*Main!$B$5)</f>
        <v>-17.588679673855481</v>
      </c>
      <c r="H2" s="2">
        <f>('[1]Qc, Summer, S1'!H2*Main!$B$5)</f>
        <v>-15.243937802047926</v>
      </c>
      <c r="I2" s="2">
        <f>('[1]Qc, Summer, S1'!I2*Main!$B$5)</f>
        <v>-2.3716142401407345</v>
      </c>
      <c r="J2" s="2">
        <f>('[1]Qc, Summer, S1'!J2*Main!$B$5)</f>
        <v>7.6127071987303498</v>
      </c>
      <c r="K2" s="2">
        <f>('[1]Qc, Summer, S1'!K2*Main!$B$5)</f>
        <v>11.08262194513161</v>
      </c>
      <c r="L2" s="2">
        <f>('[1]Qc, Summer, S1'!L2*Main!$B$5)</f>
        <v>8.711931659320852</v>
      </c>
      <c r="M2" s="2">
        <f>('[1]Qc, Summer, S1'!M2*Main!$B$5)</f>
        <v>11.604532172344419</v>
      </c>
      <c r="N2" s="2">
        <f>('[1]Qc, Summer, S1'!N2*Main!$B$5)</f>
        <v>10.298092489111339</v>
      </c>
      <c r="O2" s="2">
        <f>('[1]Qc, Summer, S1'!O2*Main!$B$5)</f>
        <v>10.608155547204086</v>
      </c>
      <c r="P2" s="2">
        <f>('[1]Qc, Summer, S1'!P2*Main!$B$5)</f>
        <v>5.473418954981744</v>
      </c>
      <c r="Q2" s="2">
        <f>('[1]Qc, Summer, S1'!Q2*Main!$B$5)</f>
        <v>1.3837465676915663</v>
      </c>
      <c r="R2" s="2">
        <f>('[1]Qc, Summer, S1'!R2*Main!$B$5)</f>
        <v>3.0782847448513198</v>
      </c>
      <c r="S2" s="2">
        <f>('[1]Qc, Summer, S1'!S2*Main!$B$5)</f>
        <v>3.7390516470163195</v>
      </c>
      <c r="T2" s="2">
        <f>('[1]Qc, Summer, S1'!T2*Main!$B$5)</f>
        <v>2.2526378068651205</v>
      </c>
      <c r="U2" s="2">
        <f>('[1]Qc, Summer, S1'!U2*Main!$B$5)</f>
        <v>-0.42022162514088846</v>
      </c>
      <c r="V2" s="2">
        <f>('[1]Qc, Summer, S1'!V2*Main!$B$5)</f>
        <v>-1.6404777227831167</v>
      </c>
      <c r="W2" s="2">
        <f>('[1]Qc, Summer, S1'!W2*Main!$B$5)</f>
        <v>-1.1413228540815634</v>
      </c>
      <c r="X2" s="2">
        <f>('[1]Qc, Summer, S1'!X2*Main!$B$5)</f>
        <v>-5.4734906713791931</v>
      </c>
      <c r="Y2" s="2">
        <f>('[1]Qc, Summer, S1'!Y2*Main!$B$5)</f>
        <v>-7.4088152800256522</v>
      </c>
    </row>
    <row r="3" spans="1:25" x14ac:dyDescent="0.3">
      <c r="A3">
        <v>2</v>
      </c>
      <c r="B3" s="2">
        <f>('[1]Qc, Summer, S1'!B3*Main!$B$5)</f>
        <v>-15.523416955194598</v>
      </c>
      <c r="C3" s="2">
        <f>('[1]Qc, Summer, S1'!C3*Main!$B$5)</f>
        <v>-15.523416955194598</v>
      </c>
      <c r="D3" s="2">
        <f>('[1]Qc, Summer, S1'!D3*Main!$B$5)</f>
        <v>-18.021771620679662</v>
      </c>
      <c r="E3" s="2">
        <f>('[1]Qc, Summer, S1'!E3*Main!$B$5)</f>
        <v>-20.520126286164729</v>
      </c>
      <c r="F3" s="2">
        <f>('[1]Qc, Summer, S1'!F3*Main!$B$5)</f>
        <v>-20.520126286164729</v>
      </c>
      <c r="G3" s="2">
        <f>('[1]Qc, Summer, S1'!G3*Main!$B$5)</f>
        <v>-20.520126286164729</v>
      </c>
      <c r="H3" s="2">
        <f>('[1]Qc, Summer, S1'!H3*Main!$B$5)</f>
        <v>-8.1821034561743211</v>
      </c>
      <c r="I3" s="2">
        <f>('[1]Qc, Summer, S1'!I3*Main!$B$5)</f>
        <v>1.6960064526534147</v>
      </c>
      <c r="J3" s="2">
        <f>('[1]Qc, Summer, S1'!J3*Main!$B$5)</f>
        <v>5.3858902637383164</v>
      </c>
      <c r="K3" s="2">
        <f>('[1]Qc, Summer, S1'!K3*Main!$B$5)</f>
        <v>5.3858902637383164</v>
      </c>
      <c r="L3" s="2">
        <f>('[1]Qc, Summer, S1'!L3*Main!$B$5)</f>
        <v>4.9246470492331635</v>
      </c>
      <c r="M3" s="2">
        <f>('[1]Qc, Summer, S1'!M3*Main!$B$5)</f>
        <v>6.9233208569182025</v>
      </c>
      <c r="N3" s="2">
        <f>('[1]Qc, Summer, S1'!N3*Main!$B$5)</f>
        <v>9.3832378791083961</v>
      </c>
      <c r="O3" s="2">
        <f>('[1]Qc, Summer, S1'!O3*Main!$B$5)</f>
        <v>9.6715200739721094</v>
      </c>
      <c r="P3" s="2">
        <f>('[1]Qc, Summer, S1'!P3*Main!$B$5)</f>
        <v>5.4243237627230565</v>
      </c>
      <c r="Q3" s="2">
        <f>('[1]Qc, Summer, S1'!Q3*Main!$B$5)</f>
        <v>4.2327945954819146</v>
      </c>
      <c r="R3" s="2">
        <f>('[1]Qc, Summer, S1'!R3*Main!$B$5)</f>
        <v>-0.68703949218108251</v>
      </c>
      <c r="S3" s="2">
        <f>('[1]Qc, Summer, S1'!S3*Main!$B$5)</f>
        <v>-0.68703949218108251</v>
      </c>
      <c r="T3" s="2">
        <f>('[1]Qc, Summer, S1'!T3*Main!$B$5)</f>
        <v>-0.68703949218108251</v>
      </c>
      <c r="U3" s="2">
        <f>('[1]Qc, Summer, S1'!U3*Main!$B$5)</f>
        <v>-0.68703949218108251</v>
      </c>
      <c r="V3" s="2">
        <f>('[1]Qc, Summer, S1'!V3*Main!$B$5)</f>
        <v>-4.3769274259348112</v>
      </c>
      <c r="W3" s="2">
        <f>('[1]Qc, Summer, S1'!W3*Main!$B$5)</f>
        <v>-5.6068900705193867</v>
      </c>
      <c r="X3" s="2">
        <f>('[1]Qc, Summer, S1'!X3*Main!$B$5)</f>
        <v>-15.67715095113356</v>
      </c>
      <c r="Y3" s="2">
        <f>('[1]Qc, Summer, S1'!Y3*Main!$B$5)</f>
        <v>-15.67715095113356</v>
      </c>
    </row>
    <row r="4" spans="1:25" x14ac:dyDescent="0.3">
      <c r="A4">
        <v>3</v>
      </c>
      <c r="B4" s="2">
        <f>('[1]Qc, Summer, S1'!B4*Main!$B$5)</f>
        <v>12.530910671992347</v>
      </c>
      <c r="C4" s="2">
        <f>('[1]Qc, Summer, S1'!C4*Main!$B$5)</f>
        <v>9.6011057734226046</v>
      </c>
      <c r="D4" s="2">
        <f>('[1]Qc, Summer, S1'!D4*Main!$B$5)</f>
        <v>9.0984858529380173</v>
      </c>
      <c r="E4" s="2">
        <f>('[1]Qc, Summer, S1'!E4*Main!$B$5)</f>
        <v>7.9463802197521973</v>
      </c>
      <c r="F4" s="2">
        <f>('[1]Qc, Summer, S1'!F4*Main!$B$5)</f>
        <v>9.1478563451880781</v>
      </c>
      <c r="G4" s="2">
        <f>('[1]Qc, Summer, S1'!G4*Main!$B$5)</f>
        <v>4.2456619138368374</v>
      </c>
      <c r="H4" s="2">
        <f>('[1]Qc, Summer, S1'!H4*Main!$B$5)</f>
        <v>7.4076884912180843</v>
      </c>
      <c r="I4" s="2">
        <f>('[1]Qc, Summer, S1'!I4*Main!$B$5)</f>
        <v>14.234748671998787</v>
      </c>
      <c r="J4" s="2">
        <f>('[1]Qc, Summer, S1'!J4*Main!$B$5)</f>
        <v>20.707213922015189</v>
      </c>
      <c r="K4" s="2">
        <f>('[1]Qc, Summer, S1'!K4*Main!$B$5)</f>
        <v>24.605929548174696</v>
      </c>
      <c r="L4" s="2">
        <f>('[1]Qc, Summer, S1'!L4*Main!$B$5)</f>
        <v>26.862101086016562</v>
      </c>
      <c r="M4" s="2">
        <f>('[1]Qc, Summer, S1'!M4*Main!$B$5)</f>
        <v>27.8428068113544</v>
      </c>
      <c r="N4" s="2">
        <f>('[1]Qc, Summer, S1'!N4*Main!$B$5)</f>
        <v>29.094340302505792</v>
      </c>
      <c r="O4" s="2">
        <f>('[1]Qc, Summer, S1'!O4*Main!$B$5)</f>
        <v>29.314466123092469</v>
      </c>
      <c r="P4" s="2">
        <f>('[1]Qc, Summer, S1'!P4*Main!$B$5)</f>
        <v>29.106392634913806</v>
      </c>
      <c r="Q4" s="2">
        <f>('[1]Qc, Summer, S1'!Q4*Main!$B$5)</f>
        <v>28.137482479260314</v>
      </c>
      <c r="R4" s="2">
        <f>('[1]Qc, Summer, S1'!R4*Main!$B$5)</f>
        <v>26.777303343230798</v>
      </c>
      <c r="S4" s="2">
        <f>('[1]Qc, Summer, S1'!S4*Main!$B$5)</f>
        <v>23.761841668259365</v>
      </c>
      <c r="T4" s="2">
        <f>('[1]Qc, Summer, S1'!T4*Main!$B$5)</f>
        <v>23.651906893688565</v>
      </c>
      <c r="U4" s="2">
        <f>('[1]Qc, Summer, S1'!U4*Main!$B$5)</f>
        <v>22.500103044876575</v>
      </c>
      <c r="V4" s="2">
        <f>('[1]Qc, Summer, S1'!V4*Main!$B$5)</f>
        <v>20.281549867427053</v>
      </c>
      <c r="W4" s="2">
        <f>('[1]Qc, Summer, S1'!W4*Main!$B$5)</f>
        <v>24.313617494904165</v>
      </c>
      <c r="X4" s="2">
        <f>('[1]Qc, Summer, S1'!X4*Main!$B$5)</f>
        <v>21.785886266803061</v>
      </c>
      <c r="Y4" s="2">
        <f>('[1]Qc, Summer, S1'!Y4*Main!$B$5)</f>
        <v>17.53240415832764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B436F-3476-4DB3-805A-C57EDD458B32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-12.633799183104321</v>
      </c>
      <c r="C2" s="2">
        <f>('[1]Qc, Summer, S2'!C2*Main!$B$5)</f>
        <v>-16.425490246897002</v>
      </c>
      <c r="D2" s="2">
        <f>('[1]Qc, Summer, S2'!D2*Main!$B$5)</f>
        <v>-18.104060130550998</v>
      </c>
      <c r="E2" s="2">
        <f>('[1]Qc, Summer, S2'!E2*Main!$B$5)</f>
        <v>-16.520903353259538</v>
      </c>
      <c r="F2" s="2">
        <f>('[1]Qc, Summer, S2'!F2*Main!$B$5)</f>
        <v>-17.708185661655953</v>
      </c>
      <c r="G2" s="2">
        <f>('[1]Qc, Summer, S2'!G2*Main!$B$5)</f>
        <v>-18.116340064071146</v>
      </c>
      <c r="H2" s="2">
        <f>('[1]Qc, Summer, S2'!H2*Main!$B$5)</f>
        <v>-15.701255936109364</v>
      </c>
      <c r="I2" s="2">
        <f>('[1]Qc, Summer, S2'!I2*Main!$B$5)</f>
        <v>-2.4427626673449567</v>
      </c>
      <c r="J2" s="2">
        <f>('[1]Qc, Summer, S2'!J2*Main!$B$5)</f>
        <v>7.841088414692261</v>
      </c>
      <c r="K2" s="2">
        <f>('[1]Qc, Summer, S2'!K2*Main!$B$5)</f>
        <v>11.415100603485559</v>
      </c>
      <c r="L2" s="2">
        <f>('[1]Qc, Summer, S2'!L2*Main!$B$5)</f>
        <v>8.9732896091004779</v>
      </c>
      <c r="M2" s="2">
        <f>('[1]Qc, Summer, S2'!M2*Main!$B$5)</f>
        <v>11.952668137514751</v>
      </c>
      <c r="N2" s="2">
        <f>('[1]Qc, Summer, S2'!N2*Main!$B$5)</f>
        <v>10.607035263784679</v>
      </c>
      <c r="O2" s="2">
        <f>('[1]Qc, Summer, S2'!O2*Main!$B$5)</f>
        <v>10.926400213620209</v>
      </c>
      <c r="P2" s="2">
        <f>('[1]Qc, Summer, S2'!P2*Main!$B$5)</f>
        <v>5.6376215236311964</v>
      </c>
      <c r="Q2" s="2">
        <f>('[1]Qc, Summer, S2'!Q2*Main!$B$5)</f>
        <v>1.4252589647223133</v>
      </c>
      <c r="R2" s="2">
        <f>('[1]Qc, Summer, S2'!R2*Main!$B$5)</f>
        <v>3.1706332871968592</v>
      </c>
      <c r="S2" s="2">
        <f>('[1]Qc, Summer, S2'!S2*Main!$B$5)</f>
        <v>3.8512231964268095</v>
      </c>
      <c r="T2" s="2">
        <f>('[1]Qc, Summer, S2'!T2*Main!$B$5)</f>
        <v>2.3202169410710742</v>
      </c>
      <c r="U2" s="2">
        <f>('[1]Qc, Summer, S2'!U2*Main!$B$5)</f>
        <v>-0.43282827389511519</v>
      </c>
      <c r="V2" s="2">
        <f>('[1]Qc, Summer, S2'!V2*Main!$B$5)</f>
        <v>-1.6896920544666103</v>
      </c>
      <c r="W2" s="2">
        <f>('[1]Qc, Summer, S2'!W2*Main!$B$5)</f>
        <v>-1.1755625397040101</v>
      </c>
      <c r="X2" s="2">
        <f>('[1]Qc, Summer, S2'!X2*Main!$B$5)</f>
        <v>-5.6376953915205696</v>
      </c>
      <c r="Y2" s="2">
        <f>('[1]Qc, Summer, S2'!Y2*Main!$B$5)</f>
        <v>-7.6310797384264211</v>
      </c>
    </row>
    <row r="3" spans="1:25" x14ac:dyDescent="0.3">
      <c r="A3">
        <v>2</v>
      </c>
      <c r="B3" s="2">
        <f>('[1]Qc, Summer, S2'!B3*Main!$B$5)</f>
        <v>-15.989119463850434</v>
      </c>
      <c r="C3" s="2">
        <f>('[1]Qc, Summer, S2'!C3*Main!$B$5)</f>
        <v>-15.989119463850434</v>
      </c>
      <c r="D3" s="2">
        <f>('[1]Qc, Summer, S2'!D3*Main!$B$5)</f>
        <v>-18.562424769300051</v>
      </c>
      <c r="E3" s="2">
        <f>('[1]Qc, Summer, S2'!E3*Main!$B$5)</f>
        <v>-21.135730074749674</v>
      </c>
      <c r="F3" s="2">
        <f>('[1]Qc, Summer, S2'!F3*Main!$B$5)</f>
        <v>-21.135730074749674</v>
      </c>
      <c r="G3" s="2">
        <f>('[1]Qc, Summer, S2'!G3*Main!$B$5)</f>
        <v>-21.135730074749674</v>
      </c>
      <c r="H3" s="2">
        <f>('[1]Qc, Summer, S2'!H3*Main!$B$5)</f>
        <v>-8.4275665598595513</v>
      </c>
      <c r="I3" s="2">
        <f>('[1]Qc, Summer, S2'!I3*Main!$B$5)</f>
        <v>1.7468866462330175</v>
      </c>
      <c r="J3" s="2">
        <f>('[1]Qc, Summer, S2'!J3*Main!$B$5)</f>
        <v>5.5474669716504659</v>
      </c>
      <c r="K3" s="2">
        <f>('[1]Qc, Summer, S2'!K3*Main!$B$5)</f>
        <v>5.5474669716504659</v>
      </c>
      <c r="L3" s="2">
        <f>('[1]Qc, Summer, S2'!L3*Main!$B$5)</f>
        <v>5.0723864607101588</v>
      </c>
      <c r="M3" s="2">
        <f>('[1]Qc, Summer, S2'!M3*Main!$B$5)</f>
        <v>7.1310204826257477</v>
      </c>
      <c r="N3" s="2">
        <f>('[1]Qc, Summer, S2'!N3*Main!$B$5)</f>
        <v>9.6647350154816465</v>
      </c>
      <c r="O3" s="2">
        <f>('[1]Qc, Summer, S2'!O3*Main!$B$5)</f>
        <v>9.9616656761912719</v>
      </c>
      <c r="P3" s="2">
        <f>('[1]Qc, Summer, S2'!P3*Main!$B$5)</f>
        <v>5.5870534756047494</v>
      </c>
      <c r="Q3" s="2">
        <f>('[1]Qc, Summer, S2'!Q3*Main!$B$5)</f>
        <v>4.3597784333463725</v>
      </c>
      <c r="R3" s="2">
        <f>('[1]Qc, Summer, S2'!R3*Main!$B$5)</f>
        <v>-0.70765067694651496</v>
      </c>
      <c r="S3" s="2">
        <f>('[1]Qc, Summer, S2'!S3*Main!$B$5)</f>
        <v>-0.70765067694651496</v>
      </c>
      <c r="T3" s="2">
        <f>('[1]Qc, Summer, S2'!T3*Main!$B$5)</f>
        <v>-0.70765067694651496</v>
      </c>
      <c r="U3" s="2">
        <f>('[1]Qc, Summer, S2'!U3*Main!$B$5)</f>
        <v>-0.70765067694651496</v>
      </c>
      <c r="V3" s="2">
        <f>('[1]Qc, Summer, S2'!V3*Main!$B$5)</f>
        <v>-4.5082352487128565</v>
      </c>
      <c r="W3" s="2">
        <f>('[1]Qc, Summer, S2'!W3*Main!$B$5)</f>
        <v>-5.7750967726349698</v>
      </c>
      <c r="X3" s="2">
        <f>('[1]Qc, Summer, S2'!X3*Main!$B$5)</f>
        <v>-16.147465479667567</v>
      </c>
      <c r="Y3" s="2">
        <f>('[1]Qc, Summer, S2'!Y3*Main!$B$5)</f>
        <v>-16.147465479667567</v>
      </c>
    </row>
    <row r="4" spans="1:25" x14ac:dyDescent="0.3">
      <c r="A4">
        <v>3</v>
      </c>
      <c r="B4" s="2">
        <f>('[1]Qc, Summer, S2'!B4*Main!$B$5)</f>
        <v>12.906837992152118</v>
      </c>
      <c r="C4" s="2">
        <f>('[1]Qc, Summer, S2'!C4*Main!$B$5)</f>
        <v>9.8891389466252804</v>
      </c>
      <c r="D4" s="2">
        <f>('[1]Qc, Summer, S2'!D4*Main!$B$5)</f>
        <v>9.3714404285261566</v>
      </c>
      <c r="E4" s="2">
        <f>('[1]Qc, Summer, S2'!E4*Main!$B$5)</f>
        <v>8.1847716263447623</v>
      </c>
      <c r="F4" s="2">
        <f>('[1]Qc, Summer, S2'!F4*Main!$B$5)</f>
        <v>9.4222920355437214</v>
      </c>
      <c r="G4" s="2">
        <f>('[1]Qc, Summer, S2'!G4*Main!$B$5)</f>
        <v>4.3730317712519433</v>
      </c>
      <c r="H4" s="2">
        <f>('[1]Qc, Summer, S2'!H4*Main!$B$5)</f>
        <v>7.6299191459546263</v>
      </c>
      <c r="I4" s="2">
        <f>('[1]Qc, Summer, S2'!I4*Main!$B$5)</f>
        <v>14.661791132158751</v>
      </c>
      <c r="J4" s="2">
        <f>('[1]Qc, Summer, S2'!J4*Main!$B$5)</f>
        <v>21.328430339675648</v>
      </c>
      <c r="K4" s="2">
        <f>('[1]Qc, Summer, S2'!K4*Main!$B$5)</f>
        <v>25.344107434619936</v>
      </c>
      <c r="L4" s="2">
        <f>('[1]Qc, Summer, S2'!L4*Main!$B$5)</f>
        <v>27.667964118597062</v>
      </c>
      <c r="M4" s="2">
        <f>('[1]Qc, Summer, S2'!M4*Main!$B$5)</f>
        <v>28.678091015695031</v>
      </c>
      <c r="N4" s="2">
        <f>('[1]Qc, Summer, S2'!N4*Main!$B$5)</f>
        <v>29.967170511580967</v>
      </c>
      <c r="O4" s="2">
        <f>('[1]Qc, Summer, S2'!O4*Main!$B$5)</f>
        <v>30.193900106785243</v>
      </c>
      <c r="P4" s="2">
        <f>('[1]Qc, Summer, S2'!P4*Main!$B$5)</f>
        <v>29.979584413961224</v>
      </c>
      <c r="Q4" s="2">
        <f>('[1]Qc, Summer, S2'!Q4*Main!$B$5)</f>
        <v>28.981606953638121</v>
      </c>
      <c r="R4" s="2">
        <f>('[1]Qc, Summer, S2'!R4*Main!$B$5)</f>
        <v>27.580622443527723</v>
      </c>
      <c r="S4" s="2">
        <f>('[1]Qc, Summer, S2'!S4*Main!$B$5)</f>
        <v>24.474696918307146</v>
      </c>
      <c r="T4" s="2">
        <f>('[1]Qc, Summer, S2'!T4*Main!$B$5)</f>
        <v>24.361464100499227</v>
      </c>
      <c r="U4" s="2">
        <f>('[1]Qc, Summer, S2'!U4*Main!$B$5)</f>
        <v>23.175106136222873</v>
      </c>
      <c r="V4" s="2">
        <f>('[1]Qc, Summer, S2'!V4*Main!$B$5)</f>
        <v>20.88999636344986</v>
      </c>
      <c r="W4" s="2">
        <f>('[1]Qc, Summer, S2'!W4*Main!$B$5)</f>
        <v>25.043026019751291</v>
      </c>
      <c r="X4" s="2">
        <f>('[1]Qc, Summer, S2'!X4*Main!$B$5)</f>
        <v>22.439462854807154</v>
      </c>
      <c r="Y4" s="2">
        <f>('[1]Qc, Summer, S2'!Y4*Main!$B$5)</f>
        <v>18.058376283077468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166DC-49E9-4005-859A-30B80B18882C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-12.633799183104321</v>
      </c>
      <c r="C2" s="2">
        <f>('[1]Qc, Summer, S2'!C2*Main!$B$5)</f>
        <v>-16.425490246897002</v>
      </c>
      <c r="D2" s="2">
        <f>('[1]Qc, Summer, S2'!D2*Main!$B$5)</f>
        <v>-18.104060130550998</v>
      </c>
      <c r="E2" s="2">
        <f>('[1]Qc, Summer, S2'!E2*Main!$B$5)</f>
        <v>-16.520903353259538</v>
      </c>
      <c r="F2" s="2">
        <f>('[1]Qc, Summer, S2'!F2*Main!$B$5)</f>
        <v>-17.708185661655953</v>
      </c>
      <c r="G2" s="2">
        <f>('[1]Qc, Summer, S2'!G2*Main!$B$5)</f>
        <v>-18.116340064071146</v>
      </c>
      <c r="H2" s="2">
        <f>('[1]Qc, Summer, S2'!H2*Main!$B$5)</f>
        <v>-15.701255936109364</v>
      </c>
      <c r="I2" s="2">
        <f>('[1]Qc, Summer, S2'!I2*Main!$B$5)</f>
        <v>-2.4427626673449567</v>
      </c>
      <c r="J2" s="2">
        <f>('[1]Qc, Summer, S2'!J2*Main!$B$5)</f>
        <v>7.841088414692261</v>
      </c>
      <c r="K2" s="2">
        <f>('[1]Qc, Summer, S2'!K2*Main!$B$5)</f>
        <v>11.415100603485559</v>
      </c>
      <c r="L2" s="2">
        <f>('[1]Qc, Summer, S2'!L2*Main!$B$5)</f>
        <v>8.9732896091004779</v>
      </c>
      <c r="M2" s="2">
        <f>('[1]Qc, Summer, S2'!M2*Main!$B$5)</f>
        <v>11.952668137514751</v>
      </c>
      <c r="N2" s="2">
        <f>('[1]Qc, Summer, S2'!N2*Main!$B$5)</f>
        <v>10.607035263784679</v>
      </c>
      <c r="O2" s="2">
        <f>('[1]Qc, Summer, S2'!O2*Main!$B$5)</f>
        <v>10.926400213620209</v>
      </c>
      <c r="P2" s="2">
        <f>('[1]Qc, Summer, S2'!P2*Main!$B$5)</f>
        <v>5.6376215236311964</v>
      </c>
      <c r="Q2" s="2">
        <f>('[1]Qc, Summer, S2'!Q2*Main!$B$5)</f>
        <v>1.4252589647223133</v>
      </c>
      <c r="R2" s="2">
        <f>('[1]Qc, Summer, S2'!R2*Main!$B$5)</f>
        <v>3.1706332871968592</v>
      </c>
      <c r="S2" s="2">
        <f>('[1]Qc, Summer, S2'!S2*Main!$B$5)</f>
        <v>3.8512231964268095</v>
      </c>
      <c r="T2" s="2">
        <f>('[1]Qc, Summer, S2'!T2*Main!$B$5)</f>
        <v>2.3202169410710742</v>
      </c>
      <c r="U2" s="2">
        <f>('[1]Qc, Summer, S2'!U2*Main!$B$5)</f>
        <v>-0.43282827389511519</v>
      </c>
      <c r="V2" s="2">
        <f>('[1]Qc, Summer, S2'!V2*Main!$B$5)</f>
        <v>-1.6896920544666103</v>
      </c>
      <c r="W2" s="2">
        <f>('[1]Qc, Summer, S2'!W2*Main!$B$5)</f>
        <v>-1.1755625397040101</v>
      </c>
      <c r="X2" s="2">
        <f>('[1]Qc, Summer, S2'!X2*Main!$B$5)</f>
        <v>-5.6376953915205696</v>
      </c>
      <c r="Y2" s="2">
        <f>('[1]Qc, Summer, S2'!Y2*Main!$B$5)</f>
        <v>-7.6310797384264211</v>
      </c>
    </row>
    <row r="3" spans="1:25" x14ac:dyDescent="0.3">
      <c r="A3">
        <v>2</v>
      </c>
      <c r="B3" s="2">
        <f>('[1]Qc, Summer, S2'!B3*Main!$B$5)</f>
        <v>-15.989119463850434</v>
      </c>
      <c r="C3" s="2">
        <f>('[1]Qc, Summer, S2'!C3*Main!$B$5)</f>
        <v>-15.989119463850434</v>
      </c>
      <c r="D3" s="2">
        <f>('[1]Qc, Summer, S2'!D3*Main!$B$5)</f>
        <v>-18.562424769300051</v>
      </c>
      <c r="E3" s="2">
        <f>('[1]Qc, Summer, S2'!E3*Main!$B$5)</f>
        <v>-21.135730074749674</v>
      </c>
      <c r="F3" s="2">
        <f>('[1]Qc, Summer, S2'!F3*Main!$B$5)</f>
        <v>-21.135730074749674</v>
      </c>
      <c r="G3" s="2">
        <f>('[1]Qc, Summer, S2'!G3*Main!$B$5)</f>
        <v>-21.135730074749674</v>
      </c>
      <c r="H3" s="2">
        <f>('[1]Qc, Summer, S2'!H3*Main!$B$5)</f>
        <v>-8.4275665598595513</v>
      </c>
      <c r="I3" s="2">
        <f>('[1]Qc, Summer, S2'!I3*Main!$B$5)</f>
        <v>1.7468866462330175</v>
      </c>
      <c r="J3" s="2">
        <f>('[1]Qc, Summer, S2'!J3*Main!$B$5)</f>
        <v>5.5474669716504659</v>
      </c>
      <c r="K3" s="2">
        <f>('[1]Qc, Summer, S2'!K3*Main!$B$5)</f>
        <v>5.5474669716504659</v>
      </c>
      <c r="L3" s="2">
        <f>('[1]Qc, Summer, S2'!L3*Main!$B$5)</f>
        <v>5.0723864607101588</v>
      </c>
      <c r="M3" s="2">
        <f>('[1]Qc, Summer, S2'!M3*Main!$B$5)</f>
        <v>7.1310204826257477</v>
      </c>
      <c r="N3" s="2">
        <f>('[1]Qc, Summer, S2'!N3*Main!$B$5)</f>
        <v>9.6647350154816465</v>
      </c>
      <c r="O3" s="2">
        <f>('[1]Qc, Summer, S2'!O3*Main!$B$5)</f>
        <v>9.9616656761912719</v>
      </c>
      <c r="P3" s="2">
        <f>('[1]Qc, Summer, S2'!P3*Main!$B$5)</f>
        <v>5.5870534756047494</v>
      </c>
      <c r="Q3" s="2">
        <f>('[1]Qc, Summer, S2'!Q3*Main!$B$5)</f>
        <v>4.3597784333463725</v>
      </c>
      <c r="R3" s="2">
        <f>('[1]Qc, Summer, S2'!R3*Main!$B$5)</f>
        <v>-0.70765067694651496</v>
      </c>
      <c r="S3" s="2">
        <f>('[1]Qc, Summer, S2'!S3*Main!$B$5)</f>
        <v>-0.70765067694651496</v>
      </c>
      <c r="T3" s="2">
        <f>('[1]Qc, Summer, S2'!T3*Main!$B$5)</f>
        <v>-0.70765067694651496</v>
      </c>
      <c r="U3" s="2">
        <f>('[1]Qc, Summer, S2'!U3*Main!$B$5)</f>
        <v>-0.70765067694651496</v>
      </c>
      <c r="V3" s="2">
        <f>('[1]Qc, Summer, S2'!V3*Main!$B$5)</f>
        <v>-4.5082352487128565</v>
      </c>
      <c r="W3" s="2">
        <f>('[1]Qc, Summer, S2'!W3*Main!$B$5)</f>
        <v>-5.7750967726349698</v>
      </c>
      <c r="X3" s="2">
        <f>('[1]Qc, Summer, S2'!X3*Main!$B$5)</f>
        <v>-16.147465479667567</v>
      </c>
      <c r="Y3" s="2">
        <f>('[1]Qc, Summer, S2'!Y3*Main!$B$5)</f>
        <v>-16.147465479667567</v>
      </c>
    </row>
    <row r="4" spans="1:25" x14ac:dyDescent="0.3">
      <c r="A4">
        <v>3</v>
      </c>
      <c r="B4" s="2">
        <f>('[1]Qc, Summer, S2'!B4*Main!$B$5)</f>
        <v>12.906837992152118</v>
      </c>
      <c r="C4" s="2">
        <f>('[1]Qc, Summer, S2'!C4*Main!$B$5)</f>
        <v>9.8891389466252804</v>
      </c>
      <c r="D4" s="2">
        <f>('[1]Qc, Summer, S2'!D4*Main!$B$5)</f>
        <v>9.3714404285261566</v>
      </c>
      <c r="E4" s="2">
        <f>('[1]Qc, Summer, S2'!E4*Main!$B$5)</f>
        <v>8.1847716263447623</v>
      </c>
      <c r="F4" s="2">
        <f>('[1]Qc, Summer, S2'!F4*Main!$B$5)</f>
        <v>9.4222920355437214</v>
      </c>
      <c r="G4" s="2">
        <f>('[1]Qc, Summer, S2'!G4*Main!$B$5)</f>
        <v>4.3730317712519433</v>
      </c>
      <c r="H4" s="2">
        <f>('[1]Qc, Summer, S2'!H4*Main!$B$5)</f>
        <v>7.6299191459546263</v>
      </c>
      <c r="I4" s="2">
        <f>('[1]Qc, Summer, S2'!I4*Main!$B$5)</f>
        <v>14.661791132158751</v>
      </c>
      <c r="J4" s="2">
        <f>('[1]Qc, Summer, S2'!J4*Main!$B$5)</f>
        <v>21.328430339675648</v>
      </c>
      <c r="K4" s="2">
        <f>('[1]Qc, Summer, S2'!K4*Main!$B$5)</f>
        <v>25.344107434619936</v>
      </c>
      <c r="L4" s="2">
        <f>('[1]Qc, Summer, S2'!L4*Main!$B$5)</f>
        <v>27.667964118597062</v>
      </c>
      <c r="M4" s="2">
        <f>('[1]Qc, Summer, S2'!M4*Main!$B$5)</f>
        <v>28.678091015695031</v>
      </c>
      <c r="N4" s="2">
        <f>('[1]Qc, Summer, S2'!N4*Main!$B$5)</f>
        <v>29.967170511580967</v>
      </c>
      <c r="O4" s="2">
        <f>('[1]Qc, Summer, S2'!O4*Main!$B$5)</f>
        <v>30.193900106785243</v>
      </c>
      <c r="P4" s="2">
        <f>('[1]Qc, Summer, S2'!P4*Main!$B$5)</f>
        <v>29.979584413961224</v>
      </c>
      <c r="Q4" s="2">
        <f>('[1]Qc, Summer, S2'!Q4*Main!$B$5)</f>
        <v>28.981606953638121</v>
      </c>
      <c r="R4" s="2">
        <f>('[1]Qc, Summer, S2'!R4*Main!$B$5)</f>
        <v>27.580622443527723</v>
      </c>
      <c r="S4" s="2">
        <f>('[1]Qc, Summer, S2'!S4*Main!$B$5)</f>
        <v>24.474696918307146</v>
      </c>
      <c r="T4" s="2">
        <f>('[1]Qc, Summer, S2'!T4*Main!$B$5)</f>
        <v>24.361464100499227</v>
      </c>
      <c r="U4" s="2">
        <f>('[1]Qc, Summer, S2'!U4*Main!$B$5)</f>
        <v>23.175106136222873</v>
      </c>
      <c r="V4" s="2">
        <f>('[1]Qc, Summer, S2'!V4*Main!$B$5)</f>
        <v>20.88999636344986</v>
      </c>
      <c r="W4" s="2">
        <f>('[1]Qc, Summer, S2'!W4*Main!$B$5)</f>
        <v>25.043026019751291</v>
      </c>
      <c r="X4" s="2">
        <f>('[1]Qc, Summer, S2'!X4*Main!$B$5)</f>
        <v>22.439462854807154</v>
      </c>
      <c r="Y4" s="2">
        <f>('[1]Qc, Summer, S2'!Y4*Main!$B$5)</f>
        <v>18.058376283077468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5A79A-A7A5-4753-BFC0-753B09052AA3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-12.633799183104321</v>
      </c>
      <c r="C2" s="2">
        <f>('[1]Qc, Summer, S2'!C2*Main!$B$5)</f>
        <v>-16.425490246897002</v>
      </c>
      <c r="D2" s="2">
        <f>('[1]Qc, Summer, S2'!D2*Main!$B$5)</f>
        <v>-18.104060130550998</v>
      </c>
      <c r="E2" s="2">
        <f>('[1]Qc, Summer, S2'!E2*Main!$B$5)</f>
        <v>-16.520903353259538</v>
      </c>
      <c r="F2" s="2">
        <f>('[1]Qc, Summer, S2'!F2*Main!$B$5)</f>
        <v>-17.708185661655953</v>
      </c>
      <c r="G2" s="2">
        <f>('[1]Qc, Summer, S2'!G2*Main!$B$5)</f>
        <v>-18.116340064071146</v>
      </c>
      <c r="H2" s="2">
        <f>('[1]Qc, Summer, S2'!H2*Main!$B$5)</f>
        <v>-15.701255936109364</v>
      </c>
      <c r="I2" s="2">
        <f>('[1]Qc, Summer, S2'!I2*Main!$B$5)</f>
        <v>-2.4427626673449567</v>
      </c>
      <c r="J2" s="2">
        <f>('[1]Qc, Summer, S2'!J2*Main!$B$5)</f>
        <v>7.841088414692261</v>
      </c>
      <c r="K2" s="2">
        <f>('[1]Qc, Summer, S2'!K2*Main!$B$5)</f>
        <v>11.415100603485559</v>
      </c>
      <c r="L2" s="2">
        <f>('[1]Qc, Summer, S2'!L2*Main!$B$5)</f>
        <v>8.9732896091004779</v>
      </c>
      <c r="M2" s="2">
        <f>('[1]Qc, Summer, S2'!M2*Main!$B$5)</f>
        <v>11.952668137514751</v>
      </c>
      <c r="N2" s="2">
        <f>('[1]Qc, Summer, S2'!N2*Main!$B$5)</f>
        <v>10.607035263784679</v>
      </c>
      <c r="O2" s="2">
        <f>('[1]Qc, Summer, S2'!O2*Main!$B$5)</f>
        <v>10.926400213620209</v>
      </c>
      <c r="P2" s="2">
        <f>('[1]Qc, Summer, S2'!P2*Main!$B$5)</f>
        <v>5.6376215236311964</v>
      </c>
      <c r="Q2" s="2">
        <f>('[1]Qc, Summer, S2'!Q2*Main!$B$5)</f>
        <v>1.4252589647223133</v>
      </c>
      <c r="R2" s="2">
        <f>('[1]Qc, Summer, S2'!R2*Main!$B$5)</f>
        <v>3.1706332871968592</v>
      </c>
      <c r="S2" s="2">
        <f>('[1]Qc, Summer, S2'!S2*Main!$B$5)</f>
        <v>3.8512231964268095</v>
      </c>
      <c r="T2" s="2">
        <f>('[1]Qc, Summer, S2'!T2*Main!$B$5)</f>
        <v>2.3202169410710742</v>
      </c>
      <c r="U2" s="2">
        <f>('[1]Qc, Summer, S2'!U2*Main!$B$5)</f>
        <v>-0.43282827389511519</v>
      </c>
      <c r="V2" s="2">
        <f>('[1]Qc, Summer, S2'!V2*Main!$B$5)</f>
        <v>-1.6896920544666103</v>
      </c>
      <c r="W2" s="2">
        <f>('[1]Qc, Summer, S2'!W2*Main!$B$5)</f>
        <v>-1.1755625397040101</v>
      </c>
      <c r="X2" s="2">
        <f>('[1]Qc, Summer, S2'!X2*Main!$B$5)</f>
        <v>-5.6376953915205696</v>
      </c>
      <c r="Y2" s="2">
        <f>('[1]Qc, Summer, S2'!Y2*Main!$B$5)</f>
        <v>-7.6310797384264211</v>
      </c>
    </row>
    <row r="3" spans="1:25" x14ac:dyDescent="0.3">
      <c r="A3">
        <v>2</v>
      </c>
      <c r="B3" s="2">
        <f>('[1]Qc, Summer, S2'!B3*Main!$B$5)</f>
        <v>-15.989119463850434</v>
      </c>
      <c r="C3" s="2">
        <f>('[1]Qc, Summer, S2'!C3*Main!$B$5)</f>
        <v>-15.989119463850434</v>
      </c>
      <c r="D3" s="2">
        <f>('[1]Qc, Summer, S2'!D3*Main!$B$5)</f>
        <v>-18.562424769300051</v>
      </c>
      <c r="E3" s="2">
        <f>('[1]Qc, Summer, S2'!E3*Main!$B$5)</f>
        <v>-21.135730074749674</v>
      </c>
      <c r="F3" s="2">
        <f>('[1]Qc, Summer, S2'!F3*Main!$B$5)</f>
        <v>-21.135730074749674</v>
      </c>
      <c r="G3" s="2">
        <f>('[1]Qc, Summer, S2'!G3*Main!$B$5)</f>
        <v>-21.135730074749674</v>
      </c>
      <c r="H3" s="2">
        <f>('[1]Qc, Summer, S2'!H3*Main!$B$5)</f>
        <v>-8.4275665598595513</v>
      </c>
      <c r="I3" s="2">
        <f>('[1]Qc, Summer, S2'!I3*Main!$B$5)</f>
        <v>1.7468866462330175</v>
      </c>
      <c r="J3" s="2">
        <f>('[1]Qc, Summer, S2'!J3*Main!$B$5)</f>
        <v>5.5474669716504659</v>
      </c>
      <c r="K3" s="2">
        <f>('[1]Qc, Summer, S2'!K3*Main!$B$5)</f>
        <v>5.5474669716504659</v>
      </c>
      <c r="L3" s="2">
        <f>('[1]Qc, Summer, S2'!L3*Main!$B$5)</f>
        <v>5.0723864607101588</v>
      </c>
      <c r="M3" s="2">
        <f>('[1]Qc, Summer, S2'!M3*Main!$B$5)</f>
        <v>7.1310204826257477</v>
      </c>
      <c r="N3" s="2">
        <f>('[1]Qc, Summer, S2'!N3*Main!$B$5)</f>
        <v>9.6647350154816465</v>
      </c>
      <c r="O3" s="2">
        <f>('[1]Qc, Summer, S2'!O3*Main!$B$5)</f>
        <v>9.9616656761912719</v>
      </c>
      <c r="P3" s="2">
        <f>('[1]Qc, Summer, S2'!P3*Main!$B$5)</f>
        <v>5.5870534756047494</v>
      </c>
      <c r="Q3" s="2">
        <f>('[1]Qc, Summer, S2'!Q3*Main!$B$5)</f>
        <v>4.3597784333463725</v>
      </c>
      <c r="R3" s="2">
        <f>('[1]Qc, Summer, S2'!R3*Main!$B$5)</f>
        <v>-0.70765067694651496</v>
      </c>
      <c r="S3" s="2">
        <f>('[1]Qc, Summer, S2'!S3*Main!$B$5)</f>
        <v>-0.70765067694651496</v>
      </c>
      <c r="T3" s="2">
        <f>('[1]Qc, Summer, S2'!T3*Main!$B$5)</f>
        <v>-0.70765067694651496</v>
      </c>
      <c r="U3" s="2">
        <f>('[1]Qc, Summer, S2'!U3*Main!$B$5)</f>
        <v>-0.70765067694651496</v>
      </c>
      <c r="V3" s="2">
        <f>('[1]Qc, Summer, S2'!V3*Main!$B$5)</f>
        <v>-4.5082352487128565</v>
      </c>
      <c r="W3" s="2">
        <f>('[1]Qc, Summer, S2'!W3*Main!$B$5)</f>
        <v>-5.7750967726349698</v>
      </c>
      <c r="X3" s="2">
        <f>('[1]Qc, Summer, S2'!X3*Main!$B$5)</f>
        <v>-16.147465479667567</v>
      </c>
      <c r="Y3" s="2">
        <f>('[1]Qc, Summer, S2'!Y3*Main!$B$5)</f>
        <v>-16.147465479667567</v>
      </c>
    </row>
    <row r="4" spans="1:25" x14ac:dyDescent="0.3">
      <c r="A4">
        <v>3</v>
      </c>
      <c r="B4" s="2">
        <f>('[1]Qc, Summer, S2'!B4*Main!$B$5)</f>
        <v>12.906837992152118</v>
      </c>
      <c r="C4" s="2">
        <f>('[1]Qc, Summer, S2'!C4*Main!$B$5)</f>
        <v>9.8891389466252804</v>
      </c>
      <c r="D4" s="2">
        <f>('[1]Qc, Summer, S2'!D4*Main!$B$5)</f>
        <v>9.3714404285261566</v>
      </c>
      <c r="E4" s="2">
        <f>('[1]Qc, Summer, S2'!E4*Main!$B$5)</f>
        <v>8.1847716263447623</v>
      </c>
      <c r="F4" s="2">
        <f>('[1]Qc, Summer, S2'!F4*Main!$B$5)</f>
        <v>9.4222920355437214</v>
      </c>
      <c r="G4" s="2">
        <f>('[1]Qc, Summer, S2'!G4*Main!$B$5)</f>
        <v>4.3730317712519433</v>
      </c>
      <c r="H4" s="2">
        <f>('[1]Qc, Summer, S2'!H4*Main!$B$5)</f>
        <v>7.6299191459546263</v>
      </c>
      <c r="I4" s="2">
        <f>('[1]Qc, Summer, S2'!I4*Main!$B$5)</f>
        <v>14.661791132158751</v>
      </c>
      <c r="J4" s="2">
        <f>('[1]Qc, Summer, S2'!J4*Main!$B$5)</f>
        <v>21.328430339675648</v>
      </c>
      <c r="K4" s="2">
        <f>('[1]Qc, Summer, S2'!K4*Main!$B$5)</f>
        <v>25.344107434619936</v>
      </c>
      <c r="L4" s="2">
        <f>('[1]Qc, Summer, S2'!L4*Main!$B$5)</f>
        <v>27.667964118597062</v>
      </c>
      <c r="M4" s="2">
        <f>('[1]Qc, Summer, S2'!M4*Main!$B$5)</f>
        <v>28.678091015695031</v>
      </c>
      <c r="N4" s="2">
        <f>('[1]Qc, Summer, S2'!N4*Main!$B$5)</f>
        <v>29.967170511580967</v>
      </c>
      <c r="O4" s="2">
        <f>('[1]Qc, Summer, S2'!O4*Main!$B$5)</f>
        <v>30.193900106785243</v>
      </c>
      <c r="P4" s="2">
        <f>('[1]Qc, Summer, S2'!P4*Main!$B$5)</f>
        <v>29.979584413961224</v>
      </c>
      <c r="Q4" s="2">
        <f>('[1]Qc, Summer, S2'!Q4*Main!$B$5)</f>
        <v>28.981606953638121</v>
      </c>
      <c r="R4" s="2">
        <f>('[1]Qc, Summer, S2'!R4*Main!$B$5)</f>
        <v>27.580622443527723</v>
      </c>
      <c r="S4" s="2">
        <f>('[1]Qc, Summer, S2'!S4*Main!$B$5)</f>
        <v>24.474696918307146</v>
      </c>
      <c r="T4" s="2">
        <f>('[1]Qc, Summer, S2'!T4*Main!$B$5)</f>
        <v>24.361464100499227</v>
      </c>
      <c r="U4" s="2">
        <f>('[1]Qc, Summer, S2'!U4*Main!$B$5)</f>
        <v>23.175106136222873</v>
      </c>
      <c r="V4" s="2">
        <f>('[1]Qc, Summer, S2'!V4*Main!$B$5)</f>
        <v>20.88999636344986</v>
      </c>
      <c r="W4" s="2">
        <f>('[1]Qc, Summer, S2'!W4*Main!$B$5)</f>
        <v>25.043026019751291</v>
      </c>
      <c r="X4" s="2">
        <f>('[1]Qc, Summer, S2'!X4*Main!$B$5)</f>
        <v>22.439462854807154</v>
      </c>
      <c r="Y4" s="2">
        <f>('[1]Qc, Summer, S2'!Y4*Main!$B$5)</f>
        <v>18.058376283077468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4CB74-1EDC-42F0-8237-BA1DB1708AAE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-12.020507960623528</v>
      </c>
      <c r="C2" s="2">
        <f>('[1]Qc, Summer, S3'!C2*Main!$B$5)</f>
        <v>-15.628136351416567</v>
      </c>
      <c r="D2" s="2">
        <f>('[1]Qc, Summer, S3'!D2*Main!$B$5)</f>
        <v>-17.225222260135897</v>
      </c>
      <c r="E2" s="2">
        <f>('[1]Qc, Summer, S3'!E2*Main!$B$5)</f>
        <v>-15.718917753586743</v>
      </c>
      <c r="F2" s="2">
        <f>('[1]Qc, Summer, S3'!F2*Main!$B$5)</f>
        <v>-16.848564998468774</v>
      </c>
      <c r="G2" s="2">
        <f>('[1]Qc, Summer, S3'!G2*Main!$B$5)</f>
        <v>-17.236906080378372</v>
      </c>
      <c r="H2" s="2">
        <f>('[1]Qc, Summer, S3'!H2*Main!$B$5)</f>
        <v>-14.939059046006966</v>
      </c>
      <c r="I2" s="2">
        <f>('[1]Qc, Summer, S3'!I2*Main!$B$5)</f>
        <v>-2.3241819553379202</v>
      </c>
      <c r="J2" s="2">
        <f>('[1]Qc, Summer, S3'!J2*Main!$B$5)</f>
        <v>7.4604530547557433</v>
      </c>
      <c r="K2" s="2">
        <f>('[1]Qc, Summer, S3'!K2*Main!$B$5)</f>
        <v>10.860969506228978</v>
      </c>
      <c r="L2" s="2">
        <f>('[1]Qc, Summer, S3'!L2*Main!$B$5)</f>
        <v>8.5376930261344341</v>
      </c>
      <c r="M2" s="2">
        <f>('[1]Qc, Summer, S3'!M2*Main!$B$5)</f>
        <v>11.37244152889753</v>
      </c>
      <c r="N2" s="2">
        <f>('[1]Qc, Summer, S3'!N2*Main!$B$5)</f>
        <v>10.092130639329113</v>
      </c>
      <c r="O2" s="2">
        <f>('[1]Qc, Summer, S3'!O2*Main!$B$5)</f>
        <v>10.395992436260004</v>
      </c>
      <c r="P2" s="2">
        <f>('[1]Qc, Summer, S3'!P2*Main!$B$5)</f>
        <v>5.3639505758821091</v>
      </c>
      <c r="Q2" s="2">
        <f>('[1]Qc, Summer, S3'!Q2*Main!$B$5)</f>
        <v>1.356071636337735</v>
      </c>
      <c r="R2" s="2">
        <f>('[1]Qc, Summer, S3'!R2*Main!$B$5)</f>
        <v>3.0167190499542933</v>
      </c>
      <c r="S2" s="2">
        <f>('[1]Qc, Summer, S3'!S2*Main!$B$5)</f>
        <v>3.6642706140759929</v>
      </c>
      <c r="T2" s="2">
        <f>('[1]Qc, Summer, S3'!T2*Main!$B$5)</f>
        <v>2.2075850507278183</v>
      </c>
      <c r="U2" s="2">
        <f>('[1]Qc, Summer, S3'!U2*Main!$B$5)</f>
        <v>-0.41181719263807071</v>
      </c>
      <c r="V2" s="2">
        <f>('[1]Qc, Summer, S3'!V2*Main!$B$5)</f>
        <v>-1.6076681683274543</v>
      </c>
      <c r="W2" s="2">
        <f>('[1]Qc, Summer, S3'!W2*Main!$B$5)</f>
        <v>-1.118496396999932</v>
      </c>
      <c r="X2" s="2">
        <f>('[1]Qc, Summer, S3'!X2*Main!$B$5)</f>
        <v>-5.3640208579516093</v>
      </c>
      <c r="Y2" s="2">
        <f>('[1]Qc, Summer, S3'!Y2*Main!$B$5)</f>
        <v>-7.2606389744251398</v>
      </c>
    </row>
    <row r="3" spans="1:25" x14ac:dyDescent="0.3">
      <c r="A3">
        <v>2</v>
      </c>
      <c r="B3" s="2">
        <f>('[1]Qc, Summer, S3'!B3*Main!$B$5)</f>
        <v>-15.212948616090706</v>
      </c>
      <c r="C3" s="2">
        <f>('[1]Qc, Summer, S3'!C3*Main!$B$5)</f>
        <v>-15.212948616090706</v>
      </c>
      <c r="D3" s="2">
        <f>('[1]Qc, Summer, S3'!D3*Main!$B$5)</f>
        <v>-17.66133618826607</v>
      </c>
      <c r="E3" s="2">
        <f>('[1]Qc, Summer, S3'!E3*Main!$B$5)</f>
        <v>-20.109723760441433</v>
      </c>
      <c r="F3" s="2">
        <f>('[1]Qc, Summer, S3'!F3*Main!$B$5)</f>
        <v>-20.109723760441433</v>
      </c>
      <c r="G3" s="2">
        <f>('[1]Qc, Summer, S3'!G3*Main!$B$5)</f>
        <v>-20.109723760441433</v>
      </c>
      <c r="H3" s="2">
        <f>('[1]Qc, Summer, S3'!H3*Main!$B$5)</f>
        <v>-8.0184613870508343</v>
      </c>
      <c r="I3" s="2">
        <f>('[1]Qc, Summer, S3'!I3*Main!$B$5)</f>
        <v>1.6620863236003465</v>
      </c>
      <c r="J3" s="2">
        <f>('[1]Qc, Summer, S3'!J3*Main!$B$5)</f>
        <v>5.2781724584635503</v>
      </c>
      <c r="K3" s="2">
        <f>('[1]Qc, Summer, S3'!K3*Main!$B$5)</f>
        <v>5.2781724584635503</v>
      </c>
      <c r="L3" s="2">
        <f>('[1]Qc, Summer, S3'!L3*Main!$B$5)</f>
        <v>4.8261541082484998</v>
      </c>
      <c r="M3" s="2">
        <f>('[1]Qc, Summer, S3'!M3*Main!$B$5)</f>
        <v>6.7848544397798385</v>
      </c>
      <c r="N3" s="2">
        <f>('[1]Qc, Summer, S3'!N3*Main!$B$5)</f>
        <v>9.1955731215262269</v>
      </c>
      <c r="O3" s="2">
        <f>('[1]Qc, Summer, S3'!O3*Main!$B$5)</f>
        <v>9.4780896724926667</v>
      </c>
      <c r="P3" s="2">
        <f>('[1]Qc, Summer, S3'!P3*Main!$B$5)</f>
        <v>5.3158372874685957</v>
      </c>
      <c r="Q3" s="2">
        <f>('[1]Qc, Summer, S3'!Q3*Main!$B$5)</f>
        <v>4.1481387035722763</v>
      </c>
      <c r="R3" s="2">
        <f>('[1]Qc, Summer, S3'!R3*Main!$B$5)</f>
        <v>-0.67329870233746081</v>
      </c>
      <c r="S3" s="2">
        <f>('[1]Qc, Summer, S3'!S3*Main!$B$5)</f>
        <v>-0.67329870233746081</v>
      </c>
      <c r="T3" s="2">
        <f>('[1]Qc, Summer, S3'!T3*Main!$B$5)</f>
        <v>-0.67329870233746081</v>
      </c>
      <c r="U3" s="2">
        <f>('[1]Qc, Summer, S3'!U3*Main!$B$5)</f>
        <v>-0.67329870233746081</v>
      </c>
      <c r="V3" s="2">
        <f>('[1]Qc, Summer, S3'!V3*Main!$B$5)</f>
        <v>-4.2893888774161155</v>
      </c>
      <c r="W3" s="2">
        <f>('[1]Qc, Summer, S3'!W3*Main!$B$5)</f>
        <v>-5.4947522691089992</v>
      </c>
      <c r="X3" s="2">
        <f>('[1]Qc, Summer, S3'!X3*Main!$B$5)</f>
        <v>-15.363607932110892</v>
      </c>
      <c r="Y3" s="2">
        <f>('[1]Qc, Summer, S3'!Y3*Main!$B$5)</f>
        <v>-15.363607932110892</v>
      </c>
    </row>
    <row r="4" spans="1:25" x14ac:dyDescent="0.3">
      <c r="A4">
        <v>3</v>
      </c>
      <c r="B4" s="2">
        <f>('[1]Qc, Summer, S3'!B4*Main!$B$5)</f>
        <v>12.2802924585525</v>
      </c>
      <c r="C4" s="2">
        <f>('[1]Qc, Summer, S3'!C4*Main!$B$5)</f>
        <v>9.4090836579541506</v>
      </c>
      <c r="D4" s="2">
        <f>('[1]Qc, Summer, S3'!D4*Main!$B$5)</f>
        <v>8.916516135879256</v>
      </c>
      <c r="E4" s="2">
        <f>('[1]Qc, Summer, S3'!E4*Main!$B$5)</f>
        <v>7.7874526153571528</v>
      </c>
      <c r="F4" s="2">
        <f>('[1]Qc, Summer, S3'!F4*Main!$B$5)</f>
        <v>8.9648992182843177</v>
      </c>
      <c r="G4" s="2">
        <f>('[1]Qc, Summer, S3'!G4*Main!$B$5)</f>
        <v>4.1607486755601011</v>
      </c>
      <c r="H4" s="2">
        <f>('[1]Qc, Summer, S3'!H4*Main!$B$5)</f>
        <v>7.259534721393722</v>
      </c>
      <c r="I4" s="2">
        <f>('[1]Qc, Summer, S3'!I4*Main!$B$5)</f>
        <v>13.95005369855881</v>
      </c>
      <c r="J4" s="2">
        <f>('[1]Qc, Summer, S3'!J4*Main!$B$5)</f>
        <v>20.293069643574885</v>
      </c>
      <c r="K4" s="2">
        <f>('[1]Qc, Summer, S3'!K4*Main!$B$5)</f>
        <v>24.1138109572112</v>
      </c>
      <c r="L4" s="2">
        <f>('[1]Qc, Summer, S3'!L4*Main!$B$5)</f>
        <v>26.324859064296234</v>
      </c>
      <c r="M4" s="2">
        <f>('[1]Qc, Summer, S3'!M4*Main!$B$5)</f>
        <v>27.28595067512731</v>
      </c>
      <c r="N4" s="2">
        <f>('[1]Qc, Summer, S3'!N4*Main!$B$5)</f>
        <v>28.512453496455674</v>
      </c>
      <c r="O4" s="2">
        <f>('[1]Qc, Summer, S3'!O4*Main!$B$5)</f>
        <v>28.728176800630621</v>
      </c>
      <c r="P4" s="2">
        <f>('[1]Qc, Summer, S3'!P4*Main!$B$5)</f>
        <v>28.524264782215532</v>
      </c>
      <c r="Q4" s="2">
        <f>('[1]Qc, Summer, S3'!Q4*Main!$B$5)</f>
        <v>27.574732829675106</v>
      </c>
      <c r="R4" s="2">
        <f>('[1]Qc, Summer, S3'!R4*Main!$B$5)</f>
        <v>26.241757276366183</v>
      </c>
      <c r="S4" s="2">
        <f>('[1]Qc, Summer, S3'!S4*Main!$B$5)</f>
        <v>23.286604834894181</v>
      </c>
      <c r="T4" s="2">
        <f>('[1]Qc, Summer, S3'!T4*Main!$B$5)</f>
        <v>23.178868755814797</v>
      </c>
      <c r="U4" s="2">
        <f>('[1]Qc, Summer, S3'!U4*Main!$B$5)</f>
        <v>22.050100983979046</v>
      </c>
      <c r="V4" s="2">
        <f>('[1]Qc, Summer, S3'!V4*Main!$B$5)</f>
        <v>19.875918870078507</v>
      </c>
      <c r="W4" s="2">
        <f>('[1]Qc, Summer, S3'!W4*Main!$B$5)</f>
        <v>23.827345145006081</v>
      </c>
      <c r="X4" s="2">
        <f>('[1]Qc, Summer, S3'!X4*Main!$B$5)</f>
        <v>21.350168541466999</v>
      </c>
      <c r="Y4" s="2">
        <f>('[1]Qc, Summer, S3'!Y4*Main!$B$5)</f>
        <v>17.181756075161086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B2D06-6809-4291-8C45-542A8D818016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-12.020507960623528</v>
      </c>
      <c r="C2" s="2">
        <f>('[1]Qc, Summer, S3'!C2*Main!$B$5)</f>
        <v>-15.628136351416567</v>
      </c>
      <c r="D2" s="2">
        <f>('[1]Qc, Summer, S3'!D2*Main!$B$5)</f>
        <v>-17.225222260135897</v>
      </c>
      <c r="E2" s="2">
        <f>('[1]Qc, Summer, S3'!E2*Main!$B$5)</f>
        <v>-15.718917753586743</v>
      </c>
      <c r="F2" s="2">
        <f>('[1]Qc, Summer, S3'!F2*Main!$B$5)</f>
        <v>-16.848564998468774</v>
      </c>
      <c r="G2" s="2">
        <f>('[1]Qc, Summer, S3'!G2*Main!$B$5)</f>
        <v>-17.236906080378372</v>
      </c>
      <c r="H2" s="2">
        <f>('[1]Qc, Summer, S3'!H2*Main!$B$5)</f>
        <v>-14.939059046006966</v>
      </c>
      <c r="I2" s="2">
        <f>('[1]Qc, Summer, S3'!I2*Main!$B$5)</f>
        <v>-2.3241819553379202</v>
      </c>
      <c r="J2" s="2">
        <f>('[1]Qc, Summer, S3'!J2*Main!$B$5)</f>
        <v>7.4604530547557433</v>
      </c>
      <c r="K2" s="2">
        <f>('[1]Qc, Summer, S3'!K2*Main!$B$5)</f>
        <v>10.860969506228978</v>
      </c>
      <c r="L2" s="2">
        <f>('[1]Qc, Summer, S3'!L2*Main!$B$5)</f>
        <v>8.5376930261344341</v>
      </c>
      <c r="M2" s="2">
        <f>('[1]Qc, Summer, S3'!M2*Main!$B$5)</f>
        <v>11.37244152889753</v>
      </c>
      <c r="N2" s="2">
        <f>('[1]Qc, Summer, S3'!N2*Main!$B$5)</f>
        <v>10.092130639329113</v>
      </c>
      <c r="O2" s="2">
        <f>('[1]Qc, Summer, S3'!O2*Main!$B$5)</f>
        <v>10.395992436260004</v>
      </c>
      <c r="P2" s="2">
        <f>('[1]Qc, Summer, S3'!P2*Main!$B$5)</f>
        <v>5.3639505758821091</v>
      </c>
      <c r="Q2" s="2">
        <f>('[1]Qc, Summer, S3'!Q2*Main!$B$5)</f>
        <v>1.356071636337735</v>
      </c>
      <c r="R2" s="2">
        <f>('[1]Qc, Summer, S3'!R2*Main!$B$5)</f>
        <v>3.0167190499542933</v>
      </c>
      <c r="S2" s="2">
        <f>('[1]Qc, Summer, S3'!S2*Main!$B$5)</f>
        <v>3.6642706140759929</v>
      </c>
      <c r="T2" s="2">
        <f>('[1]Qc, Summer, S3'!T2*Main!$B$5)</f>
        <v>2.2075850507278183</v>
      </c>
      <c r="U2" s="2">
        <f>('[1]Qc, Summer, S3'!U2*Main!$B$5)</f>
        <v>-0.41181719263807071</v>
      </c>
      <c r="V2" s="2">
        <f>('[1]Qc, Summer, S3'!V2*Main!$B$5)</f>
        <v>-1.6076681683274543</v>
      </c>
      <c r="W2" s="2">
        <f>('[1]Qc, Summer, S3'!W2*Main!$B$5)</f>
        <v>-1.118496396999932</v>
      </c>
      <c r="X2" s="2">
        <f>('[1]Qc, Summer, S3'!X2*Main!$B$5)</f>
        <v>-5.3640208579516093</v>
      </c>
      <c r="Y2" s="2">
        <f>('[1]Qc, Summer, S3'!Y2*Main!$B$5)</f>
        <v>-7.2606389744251398</v>
      </c>
    </row>
    <row r="3" spans="1:25" x14ac:dyDescent="0.3">
      <c r="A3">
        <v>2</v>
      </c>
      <c r="B3" s="2">
        <f>('[1]Qc, Summer, S3'!B3*Main!$B$5)</f>
        <v>-15.212948616090706</v>
      </c>
      <c r="C3" s="2">
        <f>('[1]Qc, Summer, S3'!C3*Main!$B$5)</f>
        <v>-15.212948616090706</v>
      </c>
      <c r="D3" s="2">
        <f>('[1]Qc, Summer, S3'!D3*Main!$B$5)</f>
        <v>-17.66133618826607</v>
      </c>
      <c r="E3" s="2">
        <f>('[1]Qc, Summer, S3'!E3*Main!$B$5)</f>
        <v>-20.109723760441433</v>
      </c>
      <c r="F3" s="2">
        <f>('[1]Qc, Summer, S3'!F3*Main!$B$5)</f>
        <v>-20.109723760441433</v>
      </c>
      <c r="G3" s="2">
        <f>('[1]Qc, Summer, S3'!G3*Main!$B$5)</f>
        <v>-20.109723760441433</v>
      </c>
      <c r="H3" s="2">
        <f>('[1]Qc, Summer, S3'!H3*Main!$B$5)</f>
        <v>-8.0184613870508343</v>
      </c>
      <c r="I3" s="2">
        <f>('[1]Qc, Summer, S3'!I3*Main!$B$5)</f>
        <v>1.6620863236003465</v>
      </c>
      <c r="J3" s="2">
        <f>('[1]Qc, Summer, S3'!J3*Main!$B$5)</f>
        <v>5.2781724584635503</v>
      </c>
      <c r="K3" s="2">
        <f>('[1]Qc, Summer, S3'!K3*Main!$B$5)</f>
        <v>5.2781724584635503</v>
      </c>
      <c r="L3" s="2">
        <f>('[1]Qc, Summer, S3'!L3*Main!$B$5)</f>
        <v>4.8261541082484998</v>
      </c>
      <c r="M3" s="2">
        <f>('[1]Qc, Summer, S3'!M3*Main!$B$5)</f>
        <v>6.7848544397798385</v>
      </c>
      <c r="N3" s="2">
        <f>('[1]Qc, Summer, S3'!N3*Main!$B$5)</f>
        <v>9.1955731215262269</v>
      </c>
      <c r="O3" s="2">
        <f>('[1]Qc, Summer, S3'!O3*Main!$B$5)</f>
        <v>9.4780896724926667</v>
      </c>
      <c r="P3" s="2">
        <f>('[1]Qc, Summer, S3'!P3*Main!$B$5)</f>
        <v>5.3158372874685957</v>
      </c>
      <c r="Q3" s="2">
        <f>('[1]Qc, Summer, S3'!Q3*Main!$B$5)</f>
        <v>4.1481387035722763</v>
      </c>
      <c r="R3" s="2">
        <f>('[1]Qc, Summer, S3'!R3*Main!$B$5)</f>
        <v>-0.67329870233746081</v>
      </c>
      <c r="S3" s="2">
        <f>('[1]Qc, Summer, S3'!S3*Main!$B$5)</f>
        <v>-0.67329870233746081</v>
      </c>
      <c r="T3" s="2">
        <f>('[1]Qc, Summer, S3'!T3*Main!$B$5)</f>
        <v>-0.67329870233746081</v>
      </c>
      <c r="U3" s="2">
        <f>('[1]Qc, Summer, S3'!U3*Main!$B$5)</f>
        <v>-0.67329870233746081</v>
      </c>
      <c r="V3" s="2">
        <f>('[1]Qc, Summer, S3'!V3*Main!$B$5)</f>
        <v>-4.2893888774161155</v>
      </c>
      <c r="W3" s="2">
        <f>('[1]Qc, Summer, S3'!W3*Main!$B$5)</f>
        <v>-5.4947522691089992</v>
      </c>
      <c r="X3" s="2">
        <f>('[1]Qc, Summer, S3'!X3*Main!$B$5)</f>
        <v>-15.363607932110892</v>
      </c>
      <c r="Y3" s="2">
        <f>('[1]Qc, Summer, S3'!Y3*Main!$B$5)</f>
        <v>-15.363607932110892</v>
      </c>
    </row>
    <row r="4" spans="1:25" x14ac:dyDescent="0.3">
      <c r="A4">
        <v>3</v>
      </c>
      <c r="B4" s="2">
        <f>('[1]Qc, Summer, S3'!B4*Main!$B$5)</f>
        <v>12.2802924585525</v>
      </c>
      <c r="C4" s="2">
        <f>('[1]Qc, Summer, S3'!C4*Main!$B$5)</f>
        <v>9.4090836579541506</v>
      </c>
      <c r="D4" s="2">
        <f>('[1]Qc, Summer, S3'!D4*Main!$B$5)</f>
        <v>8.916516135879256</v>
      </c>
      <c r="E4" s="2">
        <f>('[1]Qc, Summer, S3'!E4*Main!$B$5)</f>
        <v>7.7874526153571528</v>
      </c>
      <c r="F4" s="2">
        <f>('[1]Qc, Summer, S3'!F4*Main!$B$5)</f>
        <v>8.9648992182843177</v>
      </c>
      <c r="G4" s="2">
        <f>('[1]Qc, Summer, S3'!G4*Main!$B$5)</f>
        <v>4.1607486755601011</v>
      </c>
      <c r="H4" s="2">
        <f>('[1]Qc, Summer, S3'!H4*Main!$B$5)</f>
        <v>7.259534721393722</v>
      </c>
      <c r="I4" s="2">
        <f>('[1]Qc, Summer, S3'!I4*Main!$B$5)</f>
        <v>13.95005369855881</v>
      </c>
      <c r="J4" s="2">
        <f>('[1]Qc, Summer, S3'!J4*Main!$B$5)</f>
        <v>20.293069643574885</v>
      </c>
      <c r="K4" s="2">
        <f>('[1]Qc, Summer, S3'!K4*Main!$B$5)</f>
        <v>24.1138109572112</v>
      </c>
      <c r="L4" s="2">
        <f>('[1]Qc, Summer, S3'!L4*Main!$B$5)</f>
        <v>26.324859064296234</v>
      </c>
      <c r="M4" s="2">
        <f>('[1]Qc, Summer, S3'!M4*Main!$B$5)</f>
        <v>27.28595067512731</v>
      </c>
      <c r="N4" s="2">
        <f>('[1]Qc, Summer, S3'!N4*Main!$B$5)</f>
        <v>28.512453496455674</v>
      </c>
      <c r="O4" s="2">
        <f>('[1]Qc, Summer, S3'!O4*Main!$B$5)</f>
        <v>28.728176800630621</v>
      </c>
      <c r="P4" s="2">
        <f>('[1]Qc, Summer, S3'!P4*Main!$B$5)</f>
        <v>28.524264782215532</v>
      </c>
      <c r="Q4" s="2">
        <f>('[1]Qc, Summer, S3'!Q4*Main!$B$5)</f>
        <v>27.574732829675106</v>
      </c>
      <c r="R4" s="2">
        <f>('[1]Qc, Summer, S3'!R4*Main!$B$5)</f>
        <v>26.241757276366183</v>
      </c>
      <c r="S4" s="2">
        <f>('[1]Qc, Summer, S3'!S4*Main!$B$5)</f>
        <v>23.286604834894181</v>
      </c>
      <c r="T4" s="2">
        <f>('[1]Qc, Summer, S3'!T4*Main!$B$5)</f>
        <v>23.178868755814797</v>
      </c>
      <c r="U4" s="2">
        <f>('[1]Qc, Summer, S3'!U4*Main!$B$5)</f>
        <v>22.050100983979046</v>
      </c>
      <c r="V4" s="2">
        <f>('[1]Qc, Summer, S3'!V4*Main!$B$5)</f>
        <v>19.875918870078507</v>
      </c>
      <c r="W4" s="2">
        <f>('[1]Qc, Summer, S3'!W4*Main!$B$5)</f>
        <v>23.827345145006081</v>
      </c>
      <c r="X4" s="2">
        <f>('[1]Qc, Summer, S3'!X4*Main!$B$5)</f>
        <v>21.350168541466999</v>
      </c>
      <c r="Y4" s="2">
        <f>('[1]Qc, Summer, S3'!Y4*Main!$B$5)</f>
        <v>17.181756075161086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C8CBD-8163-4197-999D-14E463C9318C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-12.020507960623528</v>
      </c>
      <c r="C2" s="2">
        <f>('[1]Qc, Summer, S3'!C2*Main!$B$5)</f>
        <v>-15.628136351416567</v>
      </c>
      <c r="D2" s="2">
        <f>('[1]Qc, Summer, S3'!D2*Main!$B$5)</f>
        <v>-17.225222260135897</v>
      </c>
      <c r="E2" s="2">
        <f>('[1]Qc, Summer, S3'!E2*Main!$B$5)</f>
        <v>-15.718917753586743</v>
      </c>
      <c r="F2" s="2">
        <f>('[1]Qc, Summer, S3'!F2*Main!$B$5)</f>
        <v>-16.848564998468774</v>
      </c>
      <c r="G2" s="2">
        <f>('[1]Qc, Summer, S3'!G2*Main!$B$5)</f>
        <v>-17.236906080378372</v>
      </c>
      <c r="H2" s="2">
        <f>('[1]Qc, Summer, S3'!H2*Main!$B$5)</f>
        <v>-14.939059046006966</v>
      </c>
      <c r="I2" s="2">
        <f>('[1]Qc, Summer, S3'!I2*Main!$B$5)</f>
        <v>-2.3241819553379202</v>
      </c>
      <c r="J2" s="2">
        <f>('[1]Qc, Summer, S3'!J2*Main!$B$5)</f>
        <v>7.4604530547557433</v>
      </c>
      <c r="K2" s="2">
        <f>('[1]Qc, Summer, S3'!K2*Main!$B$5)</f>
        <v>10.860969506228978</v>
      </c>
      <c r="L2" s="2">
        <f>('[1]Qc, Summer, S3'!L2*Main!$B$5)</f>
        <v>8.5376930261344341</v>
      </c>
      <c r="M2" s="2">
        <f>('[1]Qc, Summer, S3'!M2*Main!$B$5)</f>
        <v>11.37244152889753</v>
      </c>
      <c r="N2" s="2">
        <f>('[1]Qc, Summer, S3'!N2*Main!$B$5)</f>
        <v>10.092130639329113</v>
      </c>
      <c r="O2" s="2">
        <f>('[1]Qc, Summer, S3'!O2*Main!$B$5)</f>
        <v>10.395992436260004</v>
      </c>
      <c r="P2" s="2">
        <f>('[1]Qc, Summer, S3'!P2*Main!$B$5)</f>
        <v>5.3639505758821091</v>
      </c>
      <c r="Q2" s="2">
        <f>('[1]Qc, Summer, S3'!Q2*Main!$B$5)</f>
        <v>1.356071636337735</v>
      </c>
      <c r="R2" s="2">
        <f>('[1]Qc, Summer, S3'!R2*Main!$B$5)</f>
        <v>3.0167190499542933</v>
      </c>
      <c r="S2" s="2">
        <f>('[1]Qc, Summer, S3'!S2*Main!$B$5)</f>
        <v>3.6642706140759929</v>
      </c>
      <c r="T2" s="2">
        <f>('[1]Qc, Summer, S3'!T2*Main!$B$5)</f>
        <v>2.2075850507278183</v>
      </c>
      <c r="U2" s="2">
        <f>('[1]Qc, Summer, S3'!U2*Main!$B$5)</f>
        <v>-0.41181719263807071</v>
      </c>
      <c r="V2" s="2">
        <f>('[1]Qc, Summer, S3'!V2*Main!$B$5)</f>
        <v>-1.6076681683274543</v>
      </c>
      <c r="W2" s="2">
        <f>('[1]Qc, Summer, S3'!W2*Main!$B$5)</f>
        <v>-1.118496396999932</v>
      </c>
      <c r="X2" s="2">
        <f>('[1]Qc, Summer, S3'!X2*Main!$B$5)</f>
        <v>-5.3640208579516093</v>
      </c>
      <c r="Y2" s="2">
        <f>('[1]Qc, Summer, S3'!Y2*Main!$B$5)</f>
        <v>-7.2606389744251398</v>
      </c>
    </row>
    <row r="3" spans="1:25" x14ac:dyDescent="0.3">
      <c r="A3">
        <v>2</v>
      </c>
      <c r="B3" s="2">
        <f>('[1]Qc, Summer, S3'!B3*Main!$B$5)</f>
        <v>-15.212948616090706</v>
      </c>
      <c r="C3" s="2">
        <f>('[1]Qc, Summer, S3'!C3*Main!$B$5)</f>
        <v>-15.212948616090706</v>
      </c>
      <c r="D3" s="2">
        <f>('[1]Qc, Summer, S3'!D3*Main!$B$5)</f>
        <v>-17.66133618826607</v>
      </c>
      <c r="E3" s="2">
        <f>('[1]Qc, Summer, S3'!E3*Main!$B$5)</f>
        <v>-20.109723760441433</v>
      </c>
      <c r="F3" s="2">
        <f>('[1]Qc, Summer, S3'!F3*Main!$B$5)</f>
        <v>-20.109723760441433</v>
      </c>
      <c r="G3" s="2">
        <f>('[1]Qc, Summer, S3'!G3*Main!$B$5)</f>
        <v>-20.109723760441433</v>
      </c>
      <c r="H3" s="2">
        <f>('[1]Qc, Summer, S3'!H3*Main!$B$5)</f>
        <v>-8.0184613870508343</v>
      </c>
      <c r="I3" s="2">
        <f>('[1]Qc, Summer, S3'!I3*Main!$B$5)</f>
        <v>1.6620863236003465</v>
      </c>
      <c r="J3" s="2">
        <f>('[1]Qc, Summer, S3'!J3*Main!$B$5)</f>
        <v>5.2781724584635503</v>
      </c>
      <c r="K3" s="2">
        <f>('[1]Qc, Summer, S3'!K3*Main!$B$5)</f>
        <v>5.2781724584635503</v>
      </c>
      <c r="L3" s="2">
        <f>('[1]Qc, Summer, S3'!L3*Main!$B$5)</f>
        <v>4.8261541082484998</v>
      </c>
      <c r="M3" s="2">
        <f>('[1]Qc, Summer, S3'!M3*Main!$B$5)</f>
        <v>6.7848544397798385</v>
      </c>
      <c r="N3" s="2">
        <f>('[1]Qc, Summer, S3'!N3*Main!$B$5)</f>
        <v>9.1955731215262269</v>
      </c>
      <c r="O3" s="2">
        <f>('[1]Qc, Summer, S3'!O3*Main!$B$5)</f>
        <v>9.4780896724926667</v>
      </c>
      <c r="P3" s="2">
        <f>('[1]Qc, Summer, S3'!P3*Main!$B$5)</f>
        <v>5.3158372874685957</v>
      </c>
      <c r="Q3" s="2">
        <f>('[1]Qc, Summer, S3'!Q3*Main!$B$5)</f>
        <v>4.1481387035722763</v>
      </c>
      <c r="R3" s="2">
        <f>('[1]Qc, Summer, S3'!R3*Main!$B$5)</f>
        <v>-0.67329870233746081</v>
      </c>
      <c r="S3" s="2">
        <f>('[1]Qc, Summer, S3'!S3*Main!$B$5)</f>
        <v>-0.67329870233746081</v>
      </c>
      <c r="T3" s="2">
        <f>('[1]Qc, Summer, S3'!T3*Main!$B$5)</f>
        <v>-0.67329870233746081</v>
      </c>
      <c r="U3" s="2">
        <f>('[1]Qc, Summer, S3'!U3*Main!$B$5)</f>
        <v>-0.67329870233746081</v>
      </c>
      <c r="V3" s="2">
        <f>('[1]Qc, Summer, S3'!V3*Main!$B$5)</f>
        <v>-4.2893888774161155</v>
      </c>
      <c r="W3" s="2">
        <f>('[1]Qc, Summer, S3'!W3*Main!$B$5)</f>
        <v>-5.4947522691089992</v>
      </c>
      <c r="X3" s="2">
        <f>('[1]Qc, Summer, S3'!X3*Main!$B$5)</f>
        <v>-15.363607932110892</v>
      </c>
      <c r="Y3" s="2">
        <f>('[1]Qc, Summer, S3'!Y3*Main!$B$5)</f>
        <v>-15.363607932110892</v>
      </c>
    </row>
    <row r="4" spans="1:25" x14ac:dyDescent="0.3">
      <c r="A4">
        <v>3</v>
      </c>
      <c r="B4" s="2">
        <f>('[1]Qc, Summer, S3'!B4*Main!$B$5)</f>
        <v>12.2802924585525</v>
      </c>
      <c r="C4" s="2">
        <f>('[1]Qc, Summer, S3'!C4*Main!$B$5)</f>
        <v>9.4090836579541506</v>
      </c>
      <c r="D4" s="2">
        <f>('[1]Qc, Summer, S3'!D4*Main!$B$5)</f>
        <v>8.916516135879256</v>
      </c>
      <c r="E4" s="2">
        <f>('[1]Qc, Summer, S3'!E4*Main!$B$5)</f>
        <v>7.7874526153571528</v>
      </c>
      <c r="F4" s="2">
        <f>('[1]Qc, Summer, S3'!F4*Main!$B$5)</f>
        <v>8.9648992182843177</v>
      </c>
      <c r="G4" s="2">
        <f>('[1]Qc, Summer, S3'!G4*Main!$B$5)</f>
        <v>4.1607486755601011</v>
      </c>
      <c r="H4" s="2">
        <f>('[1]Qc, Summer, S3'!H4*Main!$B$5)</f>
        <v>7.259534721393722</v>
      </c>
      <c r="I4" s="2">
        <f>('[1]Qc, Summer, S3'!I4*Main!$B$5)</f>
        <v>13.95005369855881</v>
      </c>
      <c r="J4" s="2">
        <f>('[1]Qc, Summer, S3'!J4*Main!$B$5)</f>
        <v>20.293069643574885</v>
      </c>
      <c r="K4" s="2">
        <f>('[1]Qc, Summer, S3'!K4*Main!$B$5)</f>
        <v>24.1138109572112</v>
      </c>
      <c r="L4" s="2">
        <f>('[1]Qc, Summer, S3'!L4*Main!$B$5)</f>
        <v>26.324859064296234</v>
      </c>
      <c r="M4" s="2">
        <f>('[1]Qc, Summer, S3'!M4*Main!$B$5)</f>
        <v>27.28595067512731</v>
      </c>
      <c r="N4" s="2">
        <f>('[1]Qc, Summer, S3'!N4*Main!$B$5)</f>
        <v>28.512453496455674</v>
      </c>
      <c r="O4" s="2">
        <f>('[1]Qc, Summer, S3'!O4*Main!$B$5)</f>
        <v>28.728176800630621</v>
      </c>
      <c r="P4" s="2">
        <f>('[1]Qc, Summer, S3'!P4*Main!$B$5)</f>
        <v>28.524264782215532</v>
      </c>
      <c r="Q4" s="2">
        <f>('[1]Qc, Summer, S3'!Q4*Main!$B$5)</f>
        <v>27.574732829675106</v>
      </c>
      <c r="R4" s="2">
        <f>('[1]Qc, Summer, S3'!R4*Main!$B$5)</f>
        <v>26.241757276366183</v>
      </c>
      <c r="S4" s="2">
        <f>('[1]Qc, Summer, S3'!S4*Main!$B$5)</f>
        <v>23.286604834894181</v>
      </c>
      <c r="T4" s="2">
        <f>('[1]Qc, Summer, S3'!T4*Main!$B$5)</f>
        <v>23.178868755814797</v>
      </c>
      <c r="U4" s="2">
        <f>('[1]Qc, Summer, S3'!U4*Main!$B$5)</f>
        <v>22.050100983979046</v>
      </c>
      <c r="V4" s="2">
        <f>('[1]Qc, Summer, S3'!V4*Main!$B$5)</f>
        <v>19.875918870078507</v>
      </c>
      <c r="W4" s="2">
        <f>('[1]Qc, Summer, S3'!W4*Main!$B$5)</f>
        <v>23.827345145006081</v>
      </c>
      <c r="X4" s="2">
        <f>('[1]Qc, Summer, S3'!X4*Main!$B$5)</f>
        <v>21.350168541466999</v>
      </c>
      <c r="Y4" s="2">
        <f>('[1]Qc, Summer, S3'!Y4*Main!$B$5)</f>
        <v>17.181756075161086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DF70F-3329-4929-BF5C-6E86340FED71}">
  <dimension ref="A1:Y4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Ratio'!$A$2:$B$21,2,FALSE)</f>
        <v>2.8587421638184591</v>
      </c>
      <c r="C2" s="2">
        <f>('FL Characterization'!C$4-'FL Characterization'!C$2)*VLOOKUP($A2,'FL Ratio'!$A$2:$B$21,2,FALSE)</f>
        <v>3.1471123289838432</v>
      </c>
      <c r="D2" s="2">
        <f>('FL Characterization'!D$4-'FL Characterization'!D$2)*VLOOKUP($A2,'FL Ratio'!$A$2:$B$21,2,FALSE)</f>
        <v>4.0962656360176561</v>
      </c>
      <c r="E2" s="2">
        <f>('FL Characterization'!E$4-'FL Characterization'!E$2)*VLOOKUP($A2,'FL Ratio'!$A$2:$B$21,2,FALSE)</f>
        <v>4.6962038408472786</v>
      </c>
      <c r="F2" s="2">
        <f>('FL Characterization'!F$4-'FL Characterization'!F$2)*VLOOKUP($A2,'FL Ratio'!$A$2:$B$21,2,FALSE)</f>
        <v>5.5216681395676526</v>
      </c>
      <c r="G2" s="2">
        <f>('FL Characterization'!G$4-'FL Characterization'!G$2)*VLOOKUP($A2,'FL Ratio'!$A$2:$B$21,2,FALSE)</f>
        <v>6.4544325045493744</v>
      </c>
      <c r="H2" s="2">
        <f>('FL Characterization'!H$4-'FL Characterization'!H$2)*VLOOKUP($A2,'FL Ratio'!$A$2:$B$21,2,FALSE)</f>
        <v>5.7535479175148341</v>
      </c>
      <c r="I2" s="2">
        <f>('FL Characterization'!I$4-'FL Characterization'!I$2)*VLOOKUP($A2,'FL Ratio'!$A$2:$B$21,2,FALSE)</f>
        <v>8.225328949547773</v>
      </c>
      <c r="J2" s="2">
        <f>('FL Characterization'!J$4-'FL Characterization'!J$2)*VLOOKUP($A2,'FL Ratio'!$A$2:$B$21,2,FALSE)</f>
        <v>7.5458212434507441</v>
      </c>
      <c r="K2" s="2">
        <f>('FL Characterization'!K$4-'FL Characterization'!K$2)*VLOOKUP($A2,'FL Ratio'!$A$2:$B$21,2,FALSE)</f>
        <v>8.5225665616205681</v>
      </c>
      <c r="L2" s="2">
        <f>('FL Characterization'!L$4-'FL Characterization'!L$2)*VLOOKUP($A2,'FL Ratio'!$A$2:$B$21,2,FALSE)</f>
        <v>8.7589196498380062</v>
      </c>
      <c r="M2" s="2">
        <f>('FL Characterization'!M$4-'FL Characterization'!M$2)*VLOOKUP($A2,'FL Ratio'!$A$2:$B$21,2,FALSE)</f>
        <v>8.1246200882421586</v>
      </c>
      <c r="N2" s="2">
        <f>('FL Characterization'!N$4-'FL Characterization'!N$2)*VLOOKUP($A2,'FL Ratio'!$A$2:$B$21,2,FALSE)</f>
        <v>7.6644035524291105</v>
      </c>
      <c r="O2" s="2">
        <f>('FL Characterization'!O$4-'FL Characterization'!O$2)*VLOOKUP($A2,'FL Ratio'!$A$2:$B$21,2,FALSE)</f>
        <v>7.0561917029403398</v>
      </c>
      <c r="P2" s="2">
        <f>('FL Characterization'!P$4-'FL Characterization'!P$2)*VLOOKUP($A2,'FL Ratio'!$A$2:$B$21,2,FALSE)</f>
        <v>6.4995218886009036</v>
      </c>
      <c r="Q2" s="2">
        <f>('FL Characterization'!Q$4-'FL Characterization'!Q$2)*VLOOKUP($A2,'FL Ratio'!$A$2:$B$21,2,FALSE)</f>
        <v>5.849486567426057</v>
      </c>
      <c r="R2" s="2">
        <f>('FL Characterization'!R$4-'FL Characterization'!R$2)*VLOOKUP($A2,'FL Ratio'!$A$2:$B$21,2,FALSE)</f>
        <v>5.7886020435706982</v>
      </c>
      <c r="S2" s="2">
        <f>('FL Characterization'!S$4-'FL Characterization'!S$2)*VLOOKUP($A2,'FL Ratio'!$A$2:$B$21,2,FALSE)</f>
        <v>4.586370218326671</v>
      </c>
      <c r="T2" s="2">
        <f>('FL Characterization'!T$4-'FL Characterization'!T$2)*VLOOKUP($A2,'FL Ratio'!$A$2:$B$21,2,FALSE)</f>
        <v>3.7946734741242558</v>
      </c>
      <c r="U2" s="2">
        <f>('FL Characterization'!U$4-'FL Characterization'!U$2)*VLOOKUP($A2,'FL Ratio'!$A$2:$B$21,2,FALSE)</f>
        <v>4.5028816222207215</v>
      </c>
      <c r="V2" s="2">
        <f>('FL Characterization'!V$4-'FL Characterization'!V$2)*VLOOKUP($A2,'FL Ratio'!$A$2:$B$21,2,FALSE)</f>
        <v>4.5879932778052606</v>
      </c>
      <c r="W2" s="2">
        <f>('FL Characterization'!W$4-'FL Characterization'!W$2)*VLOOKUP($A2,'FL Ratio'!$A$2:$B$21,2,FALSE)</f>
        <v>5.2431550917234553</v>
      </c>
      <c r="X2" s="2">
        <f>('FL Characterization'!X$4-'FL Characterization'!X$2)*VLOOKUP($A2,'FL Ratio'!$A$2:$B$21,2,FALSE)</f>
        <v>2.545828172391488</v>
      </c>
      <c r="Y2" s="2">
        <f>('FL Characterization'!Y$4-'FL Characterization'!Y$2)*VLOOKUP($A2,'FL Ratio'!$A$2:$B$21,2,FALSE)</f>
        <v>2.4442879879383059</v>
      </c>
    </row>
    <row r="3" spans="1:25" x14ac:dyDescent="0.3">
      <c r="A3">
        <v>2</v>
      </c>
      <c r="B3" s="2">
        <f>('FL Characterization'!B$4-'FL Characterization'!B$2)*VLOOKUP($A3,'FL Ratio'!$A$2:$B$21,2,FALSE)</f>
        <v>2.8587421638184591</v>
      </c>
      <c r="C3" s="2">
        <f>('FL Characterization'!C$4-'FL Characterization'!C$2)*VLOOKUP($A3,'FL Ratio'!$A$2:$B$21,2,FALSE)</f>
        <v>3.1471123289838432</v>
      </c>
      <c r="D3" s="2">
        <f>('FL Characterization'!D$4-'FL Characterization'!D$2)*VLOOKUP($A3,'FL Ratio'!$A$2:$B$21,2,FALSE)</f>
        <v>4.0962656360176561</v>
      </c>
      <c r="E3" s="2">
        <f>('FL Characterization'!E$4-'FL Characterization'!E$2)*VLOOKUP($A3,'FL Ratio'!$A$2:$B$21,2,FALSE)</f>
        <v>4.6962038408472786</v>
      </c>
      <c r="F3" s="2">
        <f>('FL Characterization'!F$4-'FL Characterization'!F$2)*VLOOKUP($A3,'FL Ratio'!$A$2:$B$21,2,FALSE)</f>
        <v>5.5216681395676526</v>
      </c>
      <c r="G3" s="2">
        <f>('FL Characterization'!G$4-'FL Characterization'!G$2)*VLOOKUP($A3,'FL Ratio'!$A$2:$B$21,2,FALSE)</f>
        <v>6.4544325045493744</v>
      </c>
      <c r="H3" s="2">
        <f>('FL Characterization'!H$4-'FL Characterization'!H$2)*VLOOKUP($A3,'FL Ratio'!$A$2:$B$21,2,FALSE)</f>
        <v>5.7535479175148341</v>
      </c>
      <c r="I3" s="2">
        <f>('FL Characterization'!I$4-'FL Characterization'!I$2)*VLOOKUP($A3,'FL Ratio'!$A$2:$B$21,2,FALSE)</f>
        <v>8.225328949547773</v>
      </c>
      <c r="J3" s="2">
        <f>('FL Characterization'!J$4-'FL Characterization'!J$2)*VLOOKUP($A3,'FL Ratio'!$A$2:$B$21,2,FALSE)</f>
        <v>7.5458212434507441</v>
      </c>
      <c r="K3" s="2">
        <f>('FL Characterization'!K$4-'FL Characterization'!K$2)*VLOOKUP($A3,'FL Ratio'!$A$2:$B$21,2,FALSE)</f>
        <v>8.5225665616205681</v>
      </c>
      <c r="L3" s="2">
        <f>('FL Characterization'!L$4-'FL Characterization'!L$2)*VLOOKUP($A3,'FL Ratio'!$A$2:$B$21,2,FALSE)</f>
        <v>8.7589196498380062</v>
      </c>
      <c r="M3" s="2">
        <f>('FL Characterization'!M$4-'FL Characterization'!M$2)*VLOOKUP($A3,'FL Ratio'!$A$2:$B$21,2,FALSE)</f>
        <v>8.1246200882421586</v>
      </c>
      <c r="N3" s="2">
        <f>('FL Characterization'!N$4-'FL Characterization'!N$2)*VLOOKUP($A3,'FL Ratio'!$A$2:$B$21,2,FALSE)</f>
        <v>7.6644035524291105</v>
      </c>
      <c r="O3" s="2">
        <f>('FL Characterization'!O$4-'FL Characterization'!O$2)*VLOOKUP($A3,'FL Ratio'!$A$2:$B$21,2,FALSE)</f>
        <v>7.0561917029403398</v>
      </c>
      <c r="P3" s="2">
        <f>('FL Characterization'!P$4-'FL Characterization'!P$2)*VLOOKUP($A3,'FL Ratio'!$A$2:$B$21,2,FALSE)</f>
        <v>6.4995218886009036</v>
      </c>
      <c r="Q3" s="2">
        <f>('FL Characterization'!Q$4-'FL Characterization'!Q$2)*VLOOKUP($A3,'FL Ratio'!$A$2:$B$21,2,FALSE)</f>
        <v>5.849486567426057</v>
      </c>
      <c r="R3" s="2">
        <f>('FL Characterization'!R$4-'FL Characterization'!R$2)*VLOOKUP($A3,'FL Ratio'!$A$2:$B$21,2,FALSE)</f>
        <v>5.7886020435706982</v>
      </c>
      <c r="S3" s="2">
        <f>('FL Characterization'!S$4-'FL Characterization'!S$2)*VLOOKUP($A3,'FL Ratio'!$A$2:$B$21,2,FALSE)</f>
        <v>4.586370218326671</v>
      </c>
      <c r="T3" s="2">
        <f>('FL Characterization'!T$4-'FL Characterization'!T$2)*VLOOKUP($A3,'FL Ratio'!$A$2:$B$21,2,FALSE)</f>
        <v>3.7946734741242558</v>
      </c>
      <c r="U3" s="2">
        <f>('FL Characterization'!U$4-'FL Characterization'!U$2)*VLOOKUP($A3,'FL Ratio'!$A$2:$B$21,2,FALSE)</f>
        <v>4.5028816222207215</v>
      </c>
      <c r="V3" s="2">
        <f>('FL Characterization'!V$4-'FL Characterization'!V$2)*VLOOKUP($A3,'FL Ratio'!$A$2:$B$21,2,FALSE)</f>
        <v>4.5879932778052606</v>
      </c>
      <c r="W3" s="2">
        <f>('FL Characterization'!W$4-'FL Characterization'!W$2)*VLOOKUP($A3,'FL Ratio'!$A$2:$B$21,2,FALSE)</f>
        <v>5.2431550917234553</v>
      </c>
      <c r="X3" s="2">
        <f>('FL Characterization'!X$4-'FL Characterization'!X$2)*VLOOKUP($A3,'FL Ratio'!$A$2:$B$21,2,FALSE)</f>
        <v>2.545828172391488</v>
      </c>
      <c r="Y3" s="2">
        <f>('FL Characterization'!Y$4-'FL Characterization'!Y$2)*VLOOKUP($A3,'FL Ratio'!$A$2:$B$21,2,FALSE)</f>
        <v>2.4442879879383059</v>
      </c>
    </row>
    <row r="4" spans="1:25" x14ac:dyDescent="0.3">
      <c r="A4">
        <v>3</v>
      </c>
      <c r="B4" s="2">
        <f>('FL Characterization'!B$4-'FL Characterization'!B$2)*VLOOKUP($A4,'FL Ratio'!$A$2:$B$21,2,FALSE)</f>
        <v>2.8587421638184591</v>
      </c>
      <c r="C4" s="2">
        <f>('FL Characterization'!C$4-'FL Characterization'!C$2)*VLOOKUP($A4,'FL Ratio'!$A$2:$B$21,2,FALSE)</f>
        <v>3.1471123289838432</v>
      </c>
      <c r="D4" s="2">
        <f>('FL Characterization'!D$4-'FL Characterization'!D$2)*VLOOKUP($A4,'FL Ratio'!$A$2:$B$21,2,FALSE)</f>
        <v>4.0962656360176561</v>
      </c>
      <c r="E4" s="2">
        <f>('FL Characterization'!E$4-'FL Characterization'!E$2)*VLOOKUP($A4,'FL Ratio'!$A$2:$B$21,2,FALSE)</f>
        <v>4.6962038408472786</v>
      </c>
      <c r="F4" s="2">
        <f>('FL Characterization'!F$4-'FL Characterization'!F$2)*VLOOKUP($A4,'FL Ratio'!$A$2:$B$21,2,FALSE)</f>
        <v>5.5216681395676526</v>
      </c>
      <c r="G4" s="2">
        <f>('FL Characterization'!G$4-'FL Characterization'!G$2)*VLOOKUP($A4,'FL Ratio'!$A$2:$B$21,2,FALSE)</f>
        <v>6.4544325045493744</v>
      </c>
      <c r="H4" s="2">
        <f>('FL Characterization'!H$4-'FL Characterization'!H$2)*VLOOKUP($A4,'FL Ratio'!$A$2:$B$21,2,FALSE)</f>
        <v>5.7535479175148341</v>
      </c>
      <c r="I4" s="2">
        <f>('FL Characterization'!I$4-'FL Characterization'!I$2)*VLOOKUP($A4,'FL Ratio'!$A$2:$B$21,2,FALSE)</f>
        <v>8.225328949547773</v>
      </c>
      <c r="J4" s="2">
        <f>('FL Characterization'!J$4-'FL Characterization'!J$2)*VLOOKUP($A4,'FL Ratio'!$A$2:$B$21,2,FALSE)</f>
        <v>7.5458212434507441</v>
      </c>
      <c r="K4" s="2">
        <f>('FL Characterization'!K$4-'FL Characterization'!K$2)*VLOOKUP($A4,'FL Ratio'!$A$2:$B$21,2,FALSE)</f>
        <v>8.5225665616205681</v>
      </c>
      <c r="L4" s="2">
        <f>('FL Characterization'!L$4-'FL Characterization'!L$2)*VLOOKUP($A4,'FL Ratio'!$A$2:$B$21,2,FALSE)</f>
        <v>8.7589196498380062</v>
      </c>
      <c r="M4" s="2">
        <f>('FL Characterization'!M$4-'FL Characterization'!M$2)*VLOOKUP($A4,'FL Ratio'!$A$2:$B$21,2,FALSE)</f>
        <v>8.1246200882421586</v>
      </c>
      <c r="N4" s="2">
        <f>('FL Characterization'!N$4-'FL Characterization'!N$2)*VLOOKUP($A4,'FL Ratio'!$A$2:$B$21,2,FALSE)</f>
        <v>7.6644035524291105</v>
      </c>
      <c r="O4" s="2">
        <f>('FL Characterization'!O$4-'FL Characterization'!O$2)*VLOOKUP($A4,'FL Ratio'!$A$2:$B$21,2,FALSE)</f>
        <v>7.0561917029403398</v>
      </c>
      <c r="P4" s="2">
        <f>('FL Characterization'!P$4-'FL Characterization'!P$2)*VLOOKUP($A4,'FL Ratio'!$A$2:$B$21,2,FALSE)</f>
        <v>6.4995218886009036</v>
      </c>
      <c r="Q4" s="2">
        <f>('FL Characterization'!Q$4-'FL Characterization'!Q$2)*VLOOKUP($A4,'FL Ratio'!$A$2:$B$21,2,FALSE)</f>
        <v>5.849486567426057</v>
      </c>
      <c r="R4" s="2">
        <f>('FL Characterization'!R$4-'FL Characterization'!R$2)*VLOOKUP($A4,'FL Ratio'!$A$2:$B$21,2,FALSE)</f>
        <v>5.7886020435706982</v>
      </c>
      <c r="S4" s="2">
        <f>('FL Characterization'!S$4-'FL Characterization'!S$2)*VLOOKUP($A4,'FL Ratio'!$A$2:$B$21,2,FALSE)</f>
        <v>4.586370218326671</v>
      </c>
      <c r="T4" s="2">
        <f>('FL Characterization'!T$4-'FL Characterization'!T$2)*VLOOKUP($A4,'FL Ratio'!$A$2:$B$21,2,FALSE)</f>
        <v>3.7946734741242558</v>
      </c>
      <c r="U4" s="2">
        <f>('FL Characterization'!U$4-'FL Characterization'!U$2)*VLOOKUP($A4,'FL Ratio'!$A$2:$B$21,2,FALSE)</f>
        <v>4.5028816222207215</v>
      </c>
      <c r="V4" s="2">
        <f>('FL Characterization'!V$4-'FL Characterization'!V$2)*VLOOKUP($A4,'FL Ratio'!$A$2:$B$21,2,FALSE)</f>
        <v>4.5879932778052606</v>
      </c>
      <c r="W4" s="2">
        <f>('FL Characterization'!W$4-'FL Characterization'!W$2)*VLOOKUP($A4,'FL Ratio'!$A$2:$B$21,2,FALSE)</f>
        <v>5.2431550917234553</v>
      </c>
      <c r="X4" s="2">
        <f>('FL Characterization'!X$4-'FL Characterization'!X$2)*VLOOKUP($A4,'FL Ratio'!$A$2:$B$21,2,FALSE)</f>
        <v>2.545828172391488</v>
      </c>
      <c r="Y4" s="2">
        <f>('FL Characterization'!Y$4-'FL Characterization'!Y$2)*VLOOKUP($A4,'FL Ratio'!$A$2:$B$21,2,FALSE)</f>
        <v>2.4442879879383059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6F068-EA6B-4E04-A0B4-69DFD4212DC7}">
  <dimension ref="A1:Y4"/>
  <sheetViews>
    <sheetView workbookViewId="0">
      <selection activeCell="Y4" sqref="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Ratio'!$A$2:$B$21,2,FALSE)</f>
        <v>7.9254786075826136</v>
      </c>
      <c r="C2" s="2">
        <f>('FL Characterization'!C$2-'FL Characterization'!C$3)*VLOOKUP($A2,'FL Ratio'!$A$2:$B$21,2,FALSE)</f>
        <v>8.3874567567321812</v>
      </c>
      <c r="D2" s="2">
        <f>('FL Characterization'!D$2-'FL Characterization'!D$3)*VLOOKUP($A2,'FL Ratio'!$A$2:$B$21,2,FALSE)</f>
        <v>8.8569564010264283</v>
      </c>
      <c r="E2" s="2">
        <f>('FL Characterization'!E$2-'FL Characterization'!E$3)*VLOOKUP($A2,'FL Ratio'!$A$2:$B$21,2,FALSE)</f>
        <v>9.2595543253495727</v>
      </c>
      <c r="F2" s="2">
        <f>('FL Characterization'!F$2-'FL Characterization'!F$3)*VLOOKUP($A2,'FL Ratio'!$A$2:$B$21,2,FALSE)</f>
        <v>9.3646573232923416</v>
      </c>
      <c r="G2" s="2">
        <f>('FL Characterization'!G$2-'FL Characterization'!G$3)*VLOOKUP($A2,'FL Ratio'!$A$2:$B$21,2,FALSE)</f>
        <v>9.7959556896149227</v>
      </c>
      <c r="H2" s="2">
        <f>('FL Characterization'!H$2-'FL Characterization'!H$3)*VLOOKUP($A2,'FL Ratio'!$A$2:$B$21,2,FALSE)</f>
        <v>9.7458783666779745</v>
      </c>
      <c r="I2" s="2">
        <f>('FL Characterization'!I$2-'FL Characterization'!I$3)*VLOOKUP($A2,'FL Ratio'!$A$2:$B$21,2,FALSE)</f>
        <v>9.2121293191215372</v>
      </c>
      <c r="J2" s="2">
        <f>('FL Characterization'!J$2-'FL Characterization'!J$3)*VLOOKUP($A2,'FL Ratio'!$A$2:$B$21,2,FALSE)</f>
        <v>8.3465635752350504</v>
      </c>
      <c r="K2" s="2">
        <f>('FL Characterization'!K$2-'FL Characterization'!K$3)*VLOOKUP($A2,'FL Ratio'!$A$2:$B$21,2,FALSE)</f>
        <v>12.256691999830148</v>
      </c>
      <c r="L2" s="2">
        <f>('FL Characterization'!L$2-'FL Characterization'!L$3)*VLOOKUP($A2,'FL Ratio'!$A$2:$B$21,2,FALSE)</f>
        <v>11.969153157812336</v>
      </c>
      <c r="M2" s="2">
        <f>('FL Characterization'!M$2-'FL Characterization'!M$3)*VLOOKUP($A2,'FL Ratio'!$A$2:$B$21,2,FALSE)</f>
        <v>11.021444769582633</v>
      </c>
      <c r="N2" s="2">
        <f>('FL Characterization'!N$2-'FL Characterization'!N$3)*VLOOKUP($A2,'FL Ratio'!$A$2:$B$21,2,FALSE)</f>
        <v>10.753639955615466</v>
      </c>
      <c r="O2" s="2">
        <f>('FL Characterization'!O$2-'FL Characterization'!O$3)*VLOOKUP($A2,'FL Ratio'!$A$2:$B$21,2,FALSE)</f>
        <v>10.797838636294601</v>
      </c>
      <c r="P2" s="2">
        <f>('FL Characterization'!P$2-'FL Characterization'!P$3)*VLOOKUP($A2,'FL Ratio'!$A$2:$B$21,2,FALSE)</f>
        <v>10.28627799941497</v>
      </c>
      <c r="Q2" s="2">
        <f>('FL Characterization'!Q$2-'FL Characterization'!Q$3)*VLOOKUP($A2,'FL Ratio'!$A$2:$B$21,2,FALSE)</f>
        <v>9.4289067265545299</v>
      </c>
      <c r="R2" s="2">
        <f>('FL Characterization'!R$2-'FL Characterization'!R$3)*VLOOKUP($A2,'FL Ratio'!$A$2:$B$21,2,FALSE)</f>
        <v>8.4740331245291056</v>
      </c>
      <c r="S2" s="2">
        <f>('FL Characterization'!S$2-'FL Characterization'!S$3)*VLOOKUP($A2,'FL Ratio'!$A$2:$B$21,2,FALSE)</f>
        <v>8.170045960234372</v>
      </c>
      <c r="T2" s="2">
        <f>('FL Characterization'!T$2-'FL Characterization'!T$3)*VLOOKUP($A2,'FL Ratio'!$A$2:$B$21,2,FALSE)</f>
        <v>5.1356570913793558</v>
      </c>
      <c r="U2" s="2">
        <f>('FL Characterization'!U$2-'FL Characterization'!U$3)*VLOOKUP($A2,'FL Ratio'!$A$2:$B$21,2,FALSE)</f>
        <v>5.49211658101237</v>
      </c>
      <c r="V2" s="2">
        <f>('FL Characterization'!V$2-'FL Characterization'!V$3)*VLOOKUP($A2,'FL Ratio'!$A$2:$B$21,2,FALSE)</f>
        <v>6.0046470948974973</v>
      </c>
      <c r="W2" s="2">
        <f>('FL Characterization'!W$2-'FL Characterization'!W$3)*VLOOKUP($A2,'FL Ratio'!$A$2:$B$21,2,FALSE)</f>
        <v>6.1479315774036554</v>
      </c>
      <c r="X2" s="2">
        <f>('FL Characterization'!X$2-'FL Characterization'!X$3)*VLOOKUP($A2,'FL Ratio'!$A$2:$B$21,2,FALSE)</f>
        <v>6.411876676757104</v>
      </c>
      <c r="Y2" s="2">
        <f>('FL Characterization'!Y$2-'FL Characterization'!Y$3)*VLOOKUP($A2,'FL Ratio'!$A$2:$B$21,2,FALSE)</f>
        <v>7.0775289970613002</v>
      </c>
    </row>
    <row r="3" spans="1:25" x14ac:dyDescent="0.3">
      <c r="A3">
        <v>2</v>
      </c>
      <c r="B3" s="2">
        <f>('FL Characterization'!B$2-'FL Characterization'!B$3)*VLOOKUP($A3,'FL Ratio'!$A$2:$B$21,2,FALSE)</f>
        <v>7.9254786075826136</v>
      </c>
      <c r="C3" s="2">
        <f>('FL Characterization'!C$2-'FL Characterization'!C$3)*VLOOKUP($A3,'FL Ratio'!$A$2:$B$21,2,FALSE)</f>
        <v>8.3874567567321812</v>
      </c>
      <c r="D3" s="2">
        <f>('FL Characterization'!D$2-'FL Characterization'!D$3)*VLOOKUP($A3,'FL Ratio'!$A$2:$B$21,2,FALSE)</f>
        <v>8.8569564010264283</v>
      </c>
      <c r="E3" s="2">
        <f>('FL Characterization'!E$2-'FL Characterization'!E$3)*VLOOKUP($A3,'FL Ratio'!$A$2:$B$21,2,FALSE)</f>
        <v>9.2595543253495727</v>
      </c>
      <c r="F3" s="2">
        <f>('FL Characterization'!F$2-'FL Characterization'!F$3)*VLOOKUP($A3,'FL Ratio'!$A$2:$B$21,2,FALSE)</f>
        <v>9.3646573232923416</v>
      </c>
      <c r="G3" s="2">
        <f>('FL Characterization'!G$2-'FL Characterization'!G$3)*VLOOKUP($A3,'FL Ratio'!$A$2:$B$21,2,FALSE)</f>
        <v>9.7959556896149227</v>
      </c>
      <c r="H3" s="2">
        <f>('FL Characterization'!H$2-'FL Characterization'!H$3)*VLOOKUP($A3,'FL Ratio'!$A$2:$B$21,2,FALSE)</f>
        <v>9.7458783666779745</v>
      </c>
      <c r="I3" s="2">
        <f>('FL Characterization'!I$2-'FL Characterization'!I$3)*VLOOKUP($A3,'FL Ratio'!$A$2:$B$21,2,FALSE)</f>
        <v>9.2121293191215372</v>
      </c>
      <c r="J3" s="2">
        <f>('FL Characterization'!J$2-'FL Characterization'!J$3)*VLOOKUP($A3,'FL Ratio'!$A$2:$B$21,2,FALSE)</f>
        <v>8.3465635752350504</v>
      </c>
      <c r="K3" s="2">
        <f>('FL Characterization'!K$2-'FL Characterization'!K$3)*VLOOKUP($A3,'FL Ratio'!$A$2:$B$21,2,FALSE)</f>
        <v>12.256691999830148</v>
      </c>
      <c r="L3" s="2">
        <f>('FL Characterization'!L$2-'FL Characterization'!L$3)*VLOOKUP($A3,'FL Ratio'!$A$2:$B$21,2,FALSE)</f>
        <v>11.969153157812336</v>
      </c>
      <c r="M3" s="2">
        <f>('FL Characterization'!M$2-'FL Characterization'!M$3)*VLOOKUP($A3,'FL Ratio'!$A$2:$B$21,2,FALSE)</f>
        <v>11.021444769582633</v>
      </c>
      <c r="N3" s="2">
        <f>('FL Characterization'!N$2-'FL Characterization'!N$3)*VLOOKUP($A3,'FL Ratio'!$A$2:$B$21,2,FALSE)</f>
        <v>10.753639955615466</v>
      </c>
      <c r="O3" s="2">
        <f>('FL Characterization'!O$2-'FL Characterization'!O$3)*VLOOKUP($A3,'FL Ratio'!$A$2:$B$21,2,FALSE)</f>
        <v>10.797838636294601</v>
      </c>
      <c r="P3" s="2">
        <f>('FL Characterization'!P$2-'FL Characterization'!P$3)*VLOOKUP($A3,'FL Ratio'!$A$2:$B$21,2,FALSE)</f>
        <v>10.28627799941497</v>
      </c>
      <c r="Q3" s="2">
        <f>('FL Characterization'!Q$2-'FL Characterization'!Q$3)*VLOOKUP($A3,'FL Ratio'!$A$2:$B$21,2,FALSE)</f>
        <v>9.4289067265545299</v>
      </c>
      <c r="R3" s="2">
        <f>('FL Characterization'!R$2-'FL Characterization'!R$3)*VLOOKUP($A3,'FL Ratio'!$A$2:$B$21,2,FALSE)</f>
        <v>8.4740331245291056</v>
      </c>
      <c r="S3" s="2">
        <f>('FL Characterization'!S$2-'FL Characterization'!S$3)*VLOOKUP($A3,'FL Ratio'!$A$2:$B$21,2,FALSE)</f>
        <v>8.170045960234372</v>
      </c>
      <c r="T3" s="2">
        <f>('FL Characterization'!T$2-'FL Characterization'!T$3)*VLOOKUP($A3,'FL Ratio'!$A$2:$B$21,2,FALSE)</f>
        <v>5.1356570913793558</v>
      </c>
      <c r="U3" s="2">
        <f>('FL Characterization'!U$2-'FL Characterization'!U$3)*VLOOKUP($A3,'FL Ratio'!$A$2:$B$21,2,FALSE)</f>
        <v>5.49211658101237</v>
      </c>
      <c r="V3" s="2">
        <f>('FL Characterization'!V$2-'FL Characterization'!V$3)*VLOOKUP($A3,'FL Ratio'!$A$2:$B$21,2,FALSE)</f>
        <v>6.0046470948974973</v>
      </c>
      <c r="W3" s="2">
        <f>('FL Characterization'!W$2-'FL Characterization'!W$3)*VLOOKUP($A3,'FL Ratio'!$A$2:$B$21,2,FALSE)</f>
        <v>6.1479315774036554</v>
      </c>
      <c r="X3" s="2">
        <f>('FL Characterization'!X$2-'FL Characterization'!X$3)*VLOOKUP($A3,'FL Ratio'!$A$2:$B$21,2,FALSE)</f>
        <v>6.411876676757104</v>
      </c>
      <c r="Y3" s="2">
        <f>('FL Characterization'!Y$2-'FL Characterization'!Y$3)*VLOOKUP($A3,'FL Ratio'!$A$2:$B$21,2,FALSE)</f>
        <v>7.0775289970613002</v>
      </c>
    </row>
    <row r="4" spans="1:25" x14ac:dyDescent="0.3">
      <c r="A4">
        <v>3</v>
      </c>
      <c r="B4" s="2">
        <f>('FL Characterization'!B$2-'FL Characterization'!B$3)*VLOOKUP($A4,'FL Ratio'!$A$2:$B$21,2,FALSE)</f>
        <v>7.9254786075826136</v>
      </c>
      <c r="C4" s="2">
        <f>('FL Characterization'!C$2-'FL Characterization'!C$3)*VLOOKUP($A4,'FL Ratio'!$A$2:$B$21,2,FALSE)</f>
        <v>8.3874567567321812</v>
      </c>
      <c r="D4" s="2">
        <f>('FL Characterization'!D$2-'FL Characterization'!D$3)*VLOOKUP($A4,'FL Ratio'!$A$2:$B$21,2,FALSE)</f>
        <v>8.8569564010264283</v>
      </c>
      <c r="E4" s="2">
        <f>('FL Characterization'!E$2-'FL Characterization'!E$3)*VLOOKUP($A4,'FL Ratio'!$A$2:$B$21,2,FALSE)</f>
        <v>9.2595543253495727</v>
      </c>
      <c r="F4" s="2">
        <f>('FL Characterization'!F$2-'FL Characterization'!F$3)*VLOOKUP($A4,'FL Ratio'!$A$2:$B$21,2,FALSE)</f>
        <v>9.3646573232923416</v>
      </c>
      <c r="G4" s="2">
        <f>('FL Characterization'!G$2-'FL Characterization'!G$3)*VLOOKUP($A4,'FL Ratio'!$A$2:$B$21,2,FALSE)</f>
        <v>9.7959556896149227</v>
      </c>
      <c r="H4" s="2">
        <f>('FL Characterization'!H$2-'FL Characterization'!H$3)*VLOOKUP($A4,'FL Ratio'!$A$2:$B$21,2,FALSE)</f>
        <v>9.7458783666779745</v>
      </c>
      <c r="I4" s="2">
        <f>('FL Characterization'!I$2-'FL Characterization'!I$3)*VLOOKUP($A4,'FL Ratio'!$A$2:$B$21,2,FALSE)</f>
        <v>9.2121293191215372</v>
      </c>
      <c r="J4" s="2">
        <f>('FL Characterization'!J$2-'FL Characterization'!J$3)*VLOOKUP($A4,'FL Ratio'!$A$2:$B$21,2,FALSE)</f>
        <v>8.3465635752350504</v>
      </c>
      <c r="K4" s="2">
        <f>('FL Characterization'!K$2-'FL Characterization'!K$3)*VLOOKUP($A4,'FL Ratio'!$A$2:$B$21,2,FALSE)</f>
        <v>12.256691999830148</v>
      </c>
      <c r="L4" s="2">
        <f>('FL Characterization'!L$2-'FL Characterization'!L$3)*VLOOKUP($A4,'FL Ratio'!$A$2:$B$21,2,FALSE)</f>
        <v>11.969153157812336</v>
      </c>
      <c r="M4" s="2">
        <f>('FL Characterization'!M$2-'FL Characterization'!M$3)*VLOOKUP($A4,'FL Ratio'!$A$2:$B$21,2,FALSE)</f>
        <v>11.021444769582633</v>
      </c>
      <c r="N4" s="2">
        <f>('FL Characterization'!N$2-'FL Characterization'!N$3)*VLOOKUP($A4,'FL Ratio'!$A$2:$B$21,2,FALSE)</f>
        <v>10.753639955615466</v>
      </c>
      <c r="O4" s="2">
        <f>('FL Characterization'!O$2-'FL Characterization'!O$3)*VLOOKUP($A4,'FL Ratio'!$A$2:$B$21,2,FALSE)</f>
        <v>10.797838636294601</v>
      </c>
      <c r="P4" s="2">
        <f>('FL Characterization'!P$2-'FL Characterization'!P$3)*VLOOKUP($A4,'FL Ratio'!$A$2:$B$21,2,FALSE)</f>
        <v>10.28627799941497</v>
      </c>
      <c r="Q4" s="2">
        <f>('FL Characterization'!Q$2-'FL Characterization'!Q$3)*VLOOKUP($A4,'FL Ratio'!$A$2:$B$21,2,FALSE)</f>
        <v>9.4289067265545299</v>
      </c>
      <c r="R4" s="2">
        <f>('FL Characterization'!R$2-'FL Characterization'!R$3)*VLOOKUP($A4,'FL Ratio'!$A$2:$B$21,2,FALSE)</f>
        <v>8.4740331245291056</v>
      </c>
      <c r="S4" s="2">
        <f>('FL Characterization'!S$2-'FL Characterization'!S$3)*VLOOKUP($A4,'FL Ratio'!$A$2:$B$21,2,FALSE)</f>
        <v>8.170045960234372</v>
      </c>
      <c r="T4" s="2">
        <f>('FL Characterization'!T$2-'FL Characterization'!T$3)*VLOOKUP($A4,'FL Ratio'!$A$2:$B$21,2,FALSE)</f>
        <v>5.1356570913793558</v>
      </c>
      <c r="U4" s="2">
        <f>('FL Characterization'!U$2-'FL Characterization'!U$3)*VLOOKUP($A4,'FL Ratio'!$A$2:$B$21,2,FALSE)</f>
        <v>5.49211658101237</v>
      </c>
      <c r="V4" s="2">
        <f>('FL Characterization'!V$2-'FL Characterization'!V$3)*VLOOKUP($A4,'FL Ratio'!$A$2:$B$21,2,FALSE)</f>
        <v>6.0046470948974973</v>
      </c>
      <c r="W4" s="2">
        <f>('FL Characterization'!W$2-'FL Characterization'!W$3)*VLOOKUP($A4,'FL Ratio'!$A$2:$B$21,2,FALSE)</f>
        <v>6.1479315774036554</v>
      </c>
      <c r="X4" s="2">
        <f>('FL Characterization'!X$2-'FL Characterization'!X$3)*VLOOKUP($A4,'FL Ratio'!$A$2:$B$21,2,FALSE)</f>
        <v>6.411876676757104</v>
      </c>
      <c r="Y4" s="2">
        <f>('FL Characterization'!Y$2-'FL Characterization'!Y$3)*VLOOKUP($A4,'FL Ratio'!$A$2:$B$21,2,FALSE)</f>
        <v>7.0775289970613002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49E0F-6E82-40ED-BD4B-A154F29D17F6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12.157767964672821</v>
      </c>
      <c r="C5" s="9">
        <f>VLOOKUP($A5,'RES installed'!$A$2:$C$7,3,FALSE)*'[1]Profiles, RES, Summer'!C$5</f>
        <v>11.119028502609394</v>
      </c>
      <c r="D5" s="9">
        <f>VLOOKUP($A5,'RES installed'!$A$2:$C$7,3,FALSE)*'[1]Profiles, RES, Summer'!D$5</f>
        <v>9.7280208751505413</v>
      </c>
      <c r="E5" s="9">
        <f>VLOOKUP($A5,'RES installed'!$A$2:$C$7,3,FALSE)*'[1]Profiles, RES, Summer'!E$5</f>
        <v>9.6918908069048584</v>
      </c>
      <c r="F5" s="9">
        <f>VLOOKUP($A5,'RES installed'!$A$2:$C$7,3,FALSE)*'[1]Profiles, RES, Summer'!F$5</f>
        <v>9.1770373344038543</v>
      </c>
      <c r="G5" s="9">
        <f>VLOOKUP($A5,'RES installed'!$A$2:$C$7,3,FALSE)*'[1]Profiles, RES, Summer'!G$5</f>
        <v>8.4544359694901647</v>
      </c>
      <c r="H5" s="9">
        <f>VLOOKUP($A5,'RES installed'!$A$2:$C$7,3,FALSE)*'[1]Profiles, RES, Summer'!H$5</f>
        <v>7.433761541549579</v>
      </c>
      <c r="I5" s="9">
        <f>VLOOKUP($A5,'RES installed'!$A$2:$C$7,3,FALSE)*'[1]Profiles, RES, Summer'!I$5</f>
        <v>5.8440385387394622</v>
      </c>
      <c r="J5" s="9">
        <f>VLOOKUP($A5,'RES installed'!$A$2:$C$7,3,FALSE)*'[1]Profiles, RES, Summer'!J$5</f>
        <v>4.8594941790445603</v>
      </c>
      <c r="K5" s="9">
        <f>VLOOKUP($A5,'RES installed'!$A$2:$C$7,3,FALSE)*'[1]Profiles, RES, Summer'!K$5</f>
        <v>4.5433560818948218</v>
      </c>
      <c r="L5" s="9">
        <f>VLOOKUP($A5,'RES installed'!$A$2:$C$7,3,FALSE)*'[1]Profiles, RES, Summer'!L$5</f>
        <v>4.182055399437977</v>
      </c>
      <c r="M5" s="9">
        <f>VLOOKUP($A5,'RES installed'!$A$2:$C$7,3,FALSE)*'[1]Profiles, RES, Summer'!M$5</f>
        <v>4.7059413890004018</v>
      </c>
      <c r="N5" s="9">
        <f>VLOOKUP($A5,'RES installed'!$A$2:$C$7,3,FALSE)*'[1]Profiles, RES, Summer'!N$5</f>
        <v>5.9162986752308306</v>
      </c>
      <c r="O5" s="9">
        <f>VLOOKUP($A5,'RES installed'!$A$2:$C$7,3,FALSE)*'[1]Profiles, RES, Summer'!O$5</f>
        <v>7.3434363709353674</v>
      </c>
      <c r="P5" s="9">
        <f>VLOOKUP($A5,'RES installed'!$A$2:$C$7,3,FALSE)*'[1]Profiles, RES, Summer'!P$5</f>
        <v>9.8002810116419106</v>
      </c>
      <c r="Q5" s="9">
        <f>VLOOKUP($A5,'RES installed'!$A$2:$C$7,3,FALSE)*'[1]Profiles, RES, Summer'!Q$5</f>
        <v>12.510036130068245</v>
      </c>
      <c r="R5" s="9">
        <f>VLOOKUP($A5,'RES installed'!$A$2:$C$7,3,FALSE)*'[1]Profiles, RES, Summer'!R$5</f>
        <v>14.786230429546368</v>
      </c>
      <c r="S5" s="9">
        <f>VLOOKUP($A5,'RES installed'!$A$2:$C$7,3,FALSE)*'[1]Profiles, RES, Summer'!S$5</f>
        <v>15.77980730630269</v>
      </c>
      <c r="T5" s="9">
        <f>VLOOKUP($A5,'RES installed'!$A$2:$C$7,3,FALSE)*'[1]Profiles, RES, Summer'!T$5</f>
        <v>16.981132075471699</v>
      </c>
      <c r="U5" s="9">
        <f>VLOOKUP($A5,'RES installed'!$A$2:$C$7,3,FALSE)*'[1]Profiles, RES, Summer'!U$5</f>
        <v>18.914090726615814</v>
      </c>
      <c r="V5" s="9">
        <f>VLOOKUP($A5,'RES installed'!$A$2:$C$7,3,FALSE)*'[1]Profiles, RES, Summer'!V$5</f>
        <v>20.856081894821358</v>
      </c>
      <c r="W5" s="9">
        <f>VLOOKUP($A5,'RES installed'!$A$2:$C$7,3,FALSE)*'[1]Profiles, RES, Summer'!W$5</f>
        <v>21.723203532717786</v>
      </c>
      <c r="X5" s="9">
        <f>VLOOKUP($A5,'RES installed'!$A$2:$C$7,3,FALSE)*'[1]Profiles, RES, Summer'!X$5</f>
        <v>21.822561220393414</v>
      </c>
      <c r="Y5" s="9">
        <f>VLOOKUP($A5,'RES installed'!$A$2:$C$7,3,FALSE)*'[1]Profiles, RES, Summer'!Y$5</f>
        <v>21.0457647531112</v>
      </c>
    </row>
    <row r="6" spans="1:25" x14ac:dyDescent="0.3">
      <c r="A6" s="8">
        <v>5</v>
      </c>
      <c r="B6" s="9">
        <f>VLOOKUP($A6,'RES installed'!$A$2:$C$7,3,FALSE)*'[1]Profiles, RES, Summer'!B$5</f>
        <v>16.210357286230426</v>
      </c>
      <c r="C6" s="9">
        <f>VLOOKUP($A6,'RES installed'!$A$2:$C$7,3,FALSE)*'[1]Profiles, RES, Summer'!C$5</f>
        <v>14.825371336812525</v>
      </c>
      <c r="D6" s="9">
        <f>VLOOKUP($A6,'RES installed'!$A$2:$C$7,3,FALSE)*'[1]Profiles, RES, Summer'!D$5</f>
        <v>12.970694500200722</v>
      </c>
      <c r="E6" s="9">
        <f>VLOOKUP($A6,'RES installed'!$A$2:$C$7,3,FALSE)*'[1]Profiles, RES, Summer'!E$5</f>
        <v>12.922521075873144</v>
      </c>
      <c r="F6" s="9">
        <f>VLOOKUP($A6,'RES installed'!$A$2:$C$7,3,FALSE)*'[1]Profiles, RES, Summer'!F$5</f>
        <v>12.236049779205139</v>
      </c>
      <c r="G6" s="9">
        <f>VLOOKUP($A6,'RES installed'!$A$2:$C$7,3,FALSE)*'[1]Profiles, RES, Summer'!G$5</f>
        <v>11.272581292653554</v>
      </c>
      <c r="H6" s="9">
        <f>VLOOKUP($A6,'RES installed'!$A$2:$C$7,3,FALSE)*'[1]Profiles, RES, Summer'!H$5</f>
        <v>9.9116820553994387</v>
      </c>
      <c r="I6" s="9">
        <f>VLOOKUP($A6,'RES installed'!$A$2:$C$7,3,FALSE)*'[1]Profiles, RES, Summer'!I$5</f>
        <v>7.7920513849859487</v>
      </c>
      <c r="J6" s="9">
        <f>VLOOKUP($A6,'RES installed'!$A$2:$C$7,3,FALSE)*'[1]Profiles, RES, Summer'!J$5</f>
        <v>6.4793255720594134</v>
      </c>
      <c r="K6" s="9">
        <f>VLOOKUP($A6,'RES installed'!$A$2:$C$7,3,FALSE)*'[1]Profiles, RES, Summer'!K$5</f>
        <v>6.0578081091930951</v>
      </c>
      <c r="L6" s="9">
        <f>VLOOKUP($A6,'RES installed'!$A$2:$C$7,3,FALSE)*'[1]Profiles, RES, Summer'!L$5</f>
        <v>5.5760738659173024</v>
      </c>
      <c r="M6" s="9">
        <f>VLOOKUP($A6,'RES installed'!$A$2:$C$7,3,FALSE)*'[1]Profiles, RES, Summer'!M$5</f>
        <v>6.2745885186672021</v>
      </c>
      <c r="N6" s="9">
        <f>VLOOKUP($A6,'RES installed'!$A$2:$C$7,3,FALSE)*'[1]Profiles, RES, Summer'!N$5</f>
        <v>7.8883982336411069</v>
      </c>
      <c r="O6" s="9">
        <f>VLOOKUP($A6,'RES installed'!$A$2:$C$7,3,FALSE)*'[1]Profiles, RES, Summer'!O$5</f>
        <v>9.7912484945804898</v>
      </c>
      <c r="P6" s="9">
        <f>VLOOKUP($A6,'RES installed'!$A$2:$C$7,3,FALSE)*'[1]Profiles, RES, Summer'!P$5</f>
        <v>13.067041348855881</v>
      </c>
      <c r="Q6" s="9">
        <f>VLOOKUP($A6,'RES installed'!$A$2:$C$7,3,FALSE)*'[1]Profiles, RES, Summer'!Q$5</f>
        <v>16.680048173424328</v>
      </c>
      <c r="R6" s="9">
        <f>VLOOKUP($A6,'RES installed'!$A$2:$C$7,3,FALSE)*'[1]Profiles, RES, Summer'!R$5</f>
        <v>19.714973906061822</v>
      </c>
      <c r="S6" s="9">
        <f>VLOOKUP($A6,'RES installed'!$A$2:$C$7,3,FALSE)*'[1]Profiles, RES, Summer'!S$5</f>
        <v>21.039743075070252</v>
      </c>
      <c r="T6" s="9">
        <f>VLOOKUP($A6,'RES installed'!$A$2:$C$7,3,FALSE)*'[1]Profiles, RES, Summer'!T$5</f>
        <v>22.641509433962266</v>
      </c>
      <c r="U6" s="9">
        <f>VLOOKUP($A6,'RES installed'!$A$2:$C$7,3,FALSE)*'[1]Profiles, RES, Summer'!U$5</f>
        <v>25.218787635487754</v>
      </c>
      <c r="V6" s="9">
        <f>VLOOKUP($A6,'RES installed'!$A$2:$C$7,3,FALSE)*'[1]Profiles, RES, Summer'!V$5</f>
        <v>27.808109193095145</v>
      </c>
      <c r="W6" s="9">
        <f>VLOOKUP($A6,'RES installed'!$A$2:$C$7,3,FALSE)*'[1]Profiles, RES, Summer'!W$5</f>
        <v>28.964271376957047</v>
      </c>
      <c r="X6" s="9">
        <f>VLOOKUP($A6,'RES installed'!$A$2:$C$7,3,FALSE)*'[1]Profiles, RES, Summer'!X$5</f>
        <v>29.096748293857885</v>
      </c>
      <c r="Y6" s="9">
        <f>VLOOKUP($A6,'RES installed'!$A$2:$C$7,3,FALSE)*'[1]Profiles, RES, Summer'!Y$5</f>
        <v>28.061019670814932</v>
      </c>
    </row>
    <row r="7" spans="1:25" x14ac:dyDescent="0.3">
      <c r="A7" s="8">
        <v>6</v>
      </c>
      <c r="B7" s="9">
        <f>VLOOKUP($A7,'RES installed'!$A$2:$C$7,3,FALSE)*'[1]Profiles, RES, Summer'!B$5</f>
        <v>12.157767964672821</v>
      </c>
      <c r="C7" s="9">
        <f>VLOOKUP($A7,'RES installed'!$A$2:$C$7,3,FALSE)*'[1]Profiles, RES, Summer'!C$5</f>
        <v>11.119028502609394</v>
      </c>
      <c r="D7" s="9">
        <f>VLOOKUP($A7,'RES installed'!$A$2:$C$7,3,FALSE)*'[1]Profiles, RES, Summer'!D$5</f>
        <v>9.7280208751505413</v>
      </c>
      <c r="E7" s="9">
        <f>VLOOKUP($A7,'RES installed'!$A$2:$C$7,3,FALSE)*'[1]Profiles, RES, Summer'!E$5</f>
        <v>9.6918908069048584</v>
      </c>
      <c r="F7" s="9">
        <f>VLOOKUP($A7,'RES installed'!$A$2:$C$7,3,FALSE)*'[1]Profiles, RES, Summer'!F$5</f>
        <v>9.1770373344038543</v>
      </c>
      <c r="G7" s="9">
        <f>VLOOKUP($A7,'RES installed'!$A$2:$C$7,3,FALSE)*'[1]Profiles, RES, Summer'!G$5</f>
        <v>8.4544359694901647</v>
      </c>
      <c r="H7" s="9">
        <f>VLOOKUP($A7,'RES installed'!$A$2:$C$7,3,FALSE)*'[1]Profiles, RES, Summer'!H$5</f>
        <v>7.433761541549579</v>
      </c>
      <c r="I7" s="9">
        <f>VLOOKUP($A7,'RES installed'!$A$2:$C$7,3,FALSE)*'[1]Profiles, RES, Summer'!I$5</f>
        <v>5.8440385387394622</v>
      </c>
      <c r="J7" s="9">
        <f>VLOOKUP($A7,'RES installed'!$A$2:$C$7,3,FALSE)*'[1]Profiles, RES, Summer'!J$5</f>
        <v>4.8594941790445603</v>
      </c>
      <c r="K7" s="9">
        <f>VLOOKUP($A7,'RES installed'!$A$2:$C$7,3,FALSE)*'[1]Profiles, RES, Summer'!K$5</f>
        <v>4.5433560818948218</v>
      </c>
      <c r="L7" s="9">
        <f>VLOOKUP($A7,'RES installed'!$A$2:$C$7,3,FALSE)*'[1]Profiles, RES, Summer'!L$5</f>
        <v>4.182055399437977</v>
      </c>
      <c r="M7" s="9">
        <f>VLOOKUP($A7,'RES installed'!$A$2:$C$7,3,FALSE)*'[1]Profiles, RES, Summer'!M$5</f>
        <v>4.7059413890004018</v>
      </c>
      <c r="N7" s="9">
        <f>VLOOKUP($A7,'RES installed'!$A$2:$C$7,3,FALSE)*'[1]Profiles, RES, Summer'!N$5</f>
        <v>5.9162986752308306</v>
      </c>
      <c r="O7" s="9">
        <f>VLOOKUP($A7,'RES installed'!$A$2:$C$7,3,FALSE)*'[1]Profiles, RES, Summer'!O$5</f>
        <v>7.3434363709353674</v>
      </c>
      <c r="P7" s="9">
        <f>VLOOKUP($A7,'RES installed'!$A$2:$C$7,3,FALSE)*'[1]Profiles, RES, Summer'!P$5</f>
        <v>9.8002810116419106</v>
      </c>
      <c r="Q7" s="9">
        <f>VLOOKUP($A7,'RES installed'!$A$2:$C$7,3,FALSE)*'[1]Profiles, RES, Summer'!Q$5</f>
        <v>12.510036130068245</v>
      </c>
      <c r="R7" s="9">
        <f>VLOOKUP($A7,'RES installed'!$A$2:$C$7,3,FALSE)*'[1]Profiles, RES, Summer'!R$5</f>
        <v>14.786230429546368</v>
      </c>
      <c r="S7" s="9">
        <f>VLOOKUP($A7,'RES installed'!$A$2:$C$7,3,FALSE)*'[1]Profiles, RES, Summer'!S$5</f>
        <v>15.77980730630269</v>
      </c>
      <c r="T7" s="9">
        <f>VLOOKUP($A7,'RES installed'!$A$2:$C$7,3,FALSE)*'[1]Profiles, RES, Summer'!T$5</f>
        <v>16.981132075471699</v>
      </c>
      <c r="U7" s="9">
        <f>VLOOKUP($A7,'RES installed'!$A$2:$C$7,3,FALSE)*'[1]Profiles, RES, Summer'!U$5</f>
        <v>18.914090726615814</v>
      </c>
      <c r="V7" s="9">
        <f>VLOOKUP($A7,'RES installed'!$A$2:$C$7,3,FALSE)*'[1]Profiles, RES, Summer'!V$5</f>
        <v>20.856081894821358</v>
      </c>
      <c r="W7" s="9">
        <f>VLOOKUP($A7,'RES installed'!$A$2:$C$7,3,FALSE)*'[1]Profiles, RES, Summer'!W$5</f>
        <v>21.723203532717786</v>
      </c>
      <c r="X7" s="9">
        <f>VLOOKUP($A7,'RES installed'!$A$2:$C$7,3,FALSE)*'[1]Profiles, RES, Summer'!X$5</f>
        <v>21.822561220393414</v>
      </c>
      <c r="Y7" s="9">
        <f>VLOOKUP($A7,'RES installed'!$A$2:$C$7,3,FALSE)*'[1]Profiles, RES, Summer'!Y$5</f>
        <v>21.0457647531112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0.17058377558756635</v>
      </c>
      <c r="H8" s="6">
        <f>VLOOKUP($A8,'RES installed'!$A$2:$C$7,3,FALSE)*'[1]Profiles, RES, Summer'!H$2</f>
        <v>5.003790750568613</v>
      </c>
      <c r="I8" s="6">
        <f>VLOOKUP($A8,'RES installed'!$A$2:$C$7,3,FALSE)*'[1]Profiles, RES, Summer'!I$2</f>
        <v>20.811220621683095</v>
      </c>
      <c r="J8" s="6">
        <f>VLOOKUP($A8,'RES installed'!$A$2:$C$7,3,FALSE)*'[1]Profiles, RES, Summer'!J$2</f>
        <v>43.100833965125098</v>
      </c>
      <c r="K8" s="6">
        <f>VLOOKUP($A8,'RES installed'!$A$2:$C$7,3,FALSE)*'[1]Profiles, RES, Summer'!K$2</f>
        <v>56.719105382865806</v>
      </c>
      <c r="L8" s="6">
        <f>VLOOKUP($A8,'RES installed'!$A$2:$C$7,3,FALSE)*'[1]Profiles, RES, Summer'!L$2</f>
        <v>65.163002274450335</v>
      </c>
      <c r="M8" s="6">
        <f>VLOOKUP($A8,'RES installed'!$A$2:$C$7,3,FALSE)*'[1]Profiles, RES, Summer'!M$2</f>
        <v>68.97270659590599</v>
      </c>
      <c r="N8" s="6">
        <f>VLOOKUP($A8,'RES installed'!$A$2:$C$7,3,FALSE)*'[1]Profiles, RES, Summer'!N$2</f>
        <v>70.507960576194094</v>
      </c>
      <c r="O8" s="6">
        <f>VLOOKUP($A8,'RES installed'!$A$2:$C$7,3,FALSE)*'[1]Profiles, RES, Summer'!O$2</f>
        <v>70.536391205458685</v>
      </c>
      <c r="P8" s="6">
        <f>VLOOKUP($A8,'RES installed'!$A$2:$C$7,3,FALSE)*'[1]Profiles, RES, Summer'!P$2</f>
        <v>68.119787717968151</v>
      </c>
      <c r="Q8" s="6">
        <f>VLOOKUP($A8,'RES installed'!$A$2:$C$7,3,FALSE)*'[1]Profiles, RES, Summer'!Q$2</f>
        <v>60.585670962850642</v>
      </c>
      <c r="R8" s="6">
        <f>VLOOKUP($A8,'RES installed'!$A$2:$C$7,3,FALSE)*'[1]Profiles, RES, Summer'!R$2</f>
        <v>48.55951478392722</v>
      </c>
      <c r="S8" s="6">
        <f>VLOOKUP($A8,'RES installed'!$A$2:$C$7,3,FALSE)*'[1]Profiles, RES, Summer'!S$2</f>
        <v>31.415845337376801</v>
      </c>
      <c r="T8" s="6">
        <f>VLOOKUP($A8,'RES installed'!$A$2:$C$7,3,FALSE)*'[1]Profiles, RES, Summer'!T$2</f>
        <v>10.945792266868841</v>
      </c>
      <c r="U8" s="6">
        <f>VLOOKUP($A8,'RES installed'!$A$2:$C$7,3,FALSE)*'[1]Profiles, RES, Summer'!U$2</f>
        <v>0.90978013646702049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0.11372251705837756</v>
      </c>
      <c r="H9" s="6">
        <f>VLOOKUP($A9,'RES installed'!$A$2:$C$7,3,FALSE)*'[1]Profiles, RES, Summer'!H$2</f>
        <v>3.3358605003790753</v>
      </c>
      <c r="I9" s="6">
        <f>VLOOKUP($A9,'RES installed'!$A$2:$C$7,3,FALSE)*'[1]Profiles, RES, Summer'!I$2</f>
        <v>13.874147081122063</v>
      </c>
      <c r="J9" s="6">
        <f>VLOOKUP($A9,'RES installed'!$A$2:$C$7,3,FALSE)*'[1]Profiles, RES, Summer'!J$2</f>
        <v>28.733889310083399</v>
      </c>
      <c r="K9" s="6">
        <f>VLOOKUP($A9,'RES installed'!$A$2:$C$7,3,FALSE)*'[1]Profiles, RES, Summer'!K$2</f>
        <v>37.812736921910542</v>
      </c>
      <c r="L9" s="6">
        <f>VLOOKUP($A9,'RES installed'!$A$2:$C$7,3,FALSE)*'[1]Profiles, RES, Summer'!L$2</f>
        <v>43.44200151630023</v>
      </c>
      <c r="M9" s="6">
        <f>VLOOKUP($A9,'RES installed'!$A$2:$C$7,3,FALSE)*'[1]Profiles, RES, Summer'!M$2</f>
        <v>45.981804397270658</v>
      </c>
      <c r="N9" s="6">
        <f>VLOOKUP($A9,'RES installed'!$A$2:$C$7,3,FALSE)*'[1]Profiles, RES, Summer'!N$2</f>
        <v>47.005307050796056</v>
      </c>
      <c r="O9" s="6">
        <f>VLOOKUP($A9,'RES installed'!$A$2:$C$7,3,FALSE)*'[1]Profiles, RES, Summer'!O$2</f>
        <v>47.024260803639123</v>
      </c>
      <c r="P9" s="6">
        <f>VLOOKUP($A9,'RES installed'!$A$2:$C$7,3,FALSE)*'[1]Profiles, RES, Summer'!P$2</f>
        <v>45.41319181197877</v>
      </c>
      <c r="Q9" s="6">
        <f>VLOOKUP($A9,'RES installed'!$A$2:$C$7,3,FALSE)*'[1]Profiles, RES, Summer'!Q$2</f>
        <v>40.390447308567097</v>
      </c>
      <c r="R9" s="6">
        <f>VLOOKUP($A9,'RES installed'!$A$2:$C$7,3,FALSE)*'[1]Profiles, RES, Summer'!R$2</f>
        <v>32.37300985595148</v>
      </c>
      <c r="S9" s="6">
        <f>VLOOKUP($A9,'RES installed'!$A$2:$C$7,3,FALSE)*'[1]Profiles, RES, Summer'!S$2</f>
        <v>20.943896891584536</v>
      </c>
      <c r="T9" s="6">
        <f>VLOOKUP($A9,'RES installed'!$A$2:$C$7,3,FALSE)*'[1]Profiles, RES, Summer'!T$2</f>
        <v>7.2971948445792272</v>
      </c>
      <c r="U9" s="6">
        <f>VLOOKUP($A9,'RES installed'!$A$2:$C$7,3,FALSE)*'[1]Profiles, RES, Summer'!U$2</f>
        <v>0.60652009097801363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0.13646702047005307</v>
      </c>
      <c r="H10" s="6">
        <f>VLOOKUP($A10,'RES installed'!$A$2:$C$7,3,FALSE)*'[1]Profiles, RES, Summer'!H$2</f>
        <v>4.0030326004548904</v>
      </c>
      <c r="I10" s="6">
        <f>VLOOKUP($A10,'RES installed'!$A$2:$C$7,3,FALSE)*'[1]Profiles, RES, Summer'!I$2</f>
        <v>16.648976497346474</v>
      </c>
      <c r="J10" s="6">
        <f>VLOOKUP($A10,'RES installed'!$A$2:$C$7,3,FALSE)*'[1]Profiles, RES, Summer'!J$2</f>
        <v>34.480667172100077</v>
      </c>
      <c r="K10" s="6">
        <f>VLOOKUP($A10,'RES installed'!$A$2:$C$7,3,FALSE)*'[1]Profiles, RES, Summer'!K$2</f>
        <v>45.375284306292649</v>
      </c>
      <c r="L10" s="6">
        <f>VLOOKUP($A10,'RES installed'!$A$2:$C$7,3,FALSE)*'[1]Profiles, RES, Summer'!L$2</f>
        <v>52.130401819560269</v>
      </c>
      <c r="M10" s="6">
        <f>VLOOKUP($A10,'RES installed'!$A$2:$C$7,3,FALSE)*'[1]Profiles, RES, Summer'!M$2</f>
        <v>55.178165276724791</v>
      </c>
      <c r="N10" s="6">
        <f>VLOOKUP($A10,'RES installed'!$A$2:$C$7,3,FALSE)*'[1]Profiles, RES, Summer'!N$2</f>
        <v>56.406368460955271</v>
      </c>
      <c r="O10" s="6">
        <f>VLOOKUP($A10,'RES installed'!$A$2:$C$7,3,FALSE)*'[1]Profiles, RES, Summer'!O$2</f>
        <v>56.429112964366951</v>
      </c>
      <c r="P10" s="6">
        <f>VLOOKUP($A10,'RES installed'!$A$2:$C$7,3,FALSE)*'[1]Profiles, RES, Summer'!P$2</f>
        <v>54.495830174374525</v>
      </c>
      <c r="Q10" s="6">
        <f>VLOOKUP($A10,'RES installed'!$A$2:$C$7,3,FALSE)*'[1]Profiles, RES, Summer'!Q$2</f>
        <v>48.468536770280515</v>
      </c>
      <c r="R10" s="6">
        <f>VLOOKUP($A10,'RES installed'!$A$2:$C$7,3,FALSE)*'[1]Profiles, RES, Summer'!R$2</f>
        <v>38.847611827141776</v>
      </c>
      <c r="S10" s="6">
        <f>VLOOKUP($A10,'RES installed'!$A$2:$C$7,3,FALSE)*'[1]Profiles, RES, Summer'!S$2</f>
        <v>25.132676269901442</v>
      </c>
      <c r="T10" s="6">
        <f>VLOOKUP($A10,'RES installed'!$A$2:$C$7,3,FALSE)*'[1]Profiles, RES, Summer'!T$2</f>
        <v>8.756633813495073</v>
      </c>
      <c r="U10" s="6">
        <f>VLOOKUP($A10,'RES installed'!$A$2:$C$7,3,FALSE)*'[1]Profiles, RES, Summer'!U$2</f>
        <v>0.7278241091736164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0B206-735C-4169-9573-F70381DB2C7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12.826174227217987</v>
      </c>
      <c r="C5" s="9">
        <f>VLOOKUP($A5,'RES installed'!$A$2:$C$7,3,FALSE)*'[1]Profiles, RES, Summer'!C$6</f>
        <v>11.913890004014451</v>
      </c>
      <c r="D5" s="9">
        <f>VLOOKUP($A5,'RES installed'!$A$2:$C$7,3,FALSE)*'[1]Profiles, RES, Summer'!D$6</f>
        <v>12.112605379365716</v>
      </c>
      <c r="E5" s="9">
        <f>VLOOKUP($A5,'RES installed'!$A$2:$C$7,3,FALSE)*'[1]Profiles, RES, Summer'!E$6</f>
        <v>10.947410678442393</v>
      </c>
      <c r="F5" s="9">
        <f>VLOOKUP($A5,'RES installed'!$A$2:$C$7,3,FALSE)*'[1]Profiles, RES, Summer'!F$6</f>
        <v>10.242874347651545</v>
      </c>
      <c r="G5" s="9">
        <f>VLOOKUP($A5,'RES installed'!$A$2:$C$7,3,FALSE)*'[1]Profiles, RES, Summer'!G$6</f>
        <v>10.875150541951024</v>
      </c>
      <c r="H5" s="9">
        <f>VLOOKUP($A5,'RES installed'!$A$2:$C$7,3,FALSE)*'[1]Profiles, RES, Summer'!H$6</f>
        <v>10.757727820152549</v>
      </c>
      <c r="I5" s="9">
        <f>VLOOKUP($A5,'RES installed'!$A$2:$C$7,3,FALSE)*'[1]Profiles, RES, Summer'!I$6</f>
        <v>7.9305499799277399</v>
      </c>
      <c r="J5" s="9">
        <f>VLOOKUP($A5,'RES installed'!$A$2:$C$7,3,FALSE)*'[1]Profiles, RES, Summer'!J$6</f>
        <v>5.0762745885186673</v>
      </c>
      <c r="K5" s="9">
        <f>VLOOKUP($A5,'RES installed'!$A$2:$C$7,3,FALSE)*'[1]Profiles, RES, Summer'!K$6</f>
        <v>3.6942994781212364</v>
      </c>
      <c r="L5" s="9">
        <f>VLOOKUP($A5,'RES installed'!$A$2:$C$7,3,FALSE)*'[1]Profiles, RES, Summer'!L$6</f>
        <v>2.7910477719791249</v>
      </c>
      <c r="M5" s="9">
        <f>VLOOKUP($A5,'RES installed'!$A$2:$C$7,3,FALSE)*'[1]Profiles, RES, Summer'!M$6</f>
        <v>2.6194299478121237</v>
      </c>
      <c r="N5" s="9">
        <f>VLOOKUP($A5,'RES installed'!$A$2:$C$7,3,FALSE)*'[1]Profiles, RES, Summer'!N$6</f>
        <v>3.2788036932958651</v>
      </c>
      <c r="O5" s="9">
        <f>VLOOKUP($A5,'RES installed'!$A$2:$C$7,3,FALSE)*'[1]Profiles, RES, Summer'!O$6</f>
        <v>4.2543155359293454</v>
      </c>
      <c r="P5" s="9">
        <f>VLOOKUP($A5,'RES installed'!$A$2:$C$7,3,FALSE)*'[1]Profiles, RES, Summer'!P$6</f>
        <v>6.0608189482135693</v>
      </c>
      <c r="Q5" s="9">
        <f>VLOOKUP($A5,'RES installed'!$A$2:$C$7,3,FALSE)*'[1]Profiles, RES, Summer'!Q$6</f>
        <v>7.6505419510236852</v>
      </c>
      <c r="R5" s="9">
        <f>VLOOKUP($A5,'RES installed'!$A$2:$C$7,3,FALSE)*'[1]Profiles, RES, Summer'!R$6</f>
        <v>9.1589723002810111</v>
      </c>
      <c r="S5" s="9">
        <f>VLOOKUP($A5,'RES installed'!$A$2:$C$7,3,FALSE)*'[1]Profiles, RES, Summer'!S$6</f>
        <v>9.7822159775190691</v>
      </c>
      <c r="T5" s="9">
        <f>VLOOKUP($A5,'RES installed'!$A$2:$C$7,3,FALSE)*'[1]Profiles, RES, Summer'!T$6</f>
        <v>9.3034925732637497</v>
      </c>
      <c r="U5" s="9">
        <f>VLOOKUP($A5,'RES installed'!$A$2:$C$7,3,FALSE)*'[1]Profiles, RES, Summer'!U$6</f>
        <v>9.0234845443596949</v>
      </c>
      <c r="V5" s="9">
        <f>VLOOKUP($A5,'RES installed'!$A$2:$C$7,3,FALSE)*'[1]Profiles, RES, Summer'!V$6</f>
        <v>9.0505820955439589</v>
      </c>
      <c r="W5" s="9">
        <f>VLOOKUP($A5,'RES installed'!$A$2:$C$7,3,FALSE)*'[1]Profiles, RES, Summer'!W$6</f>
        <v>8.3189482135688468</v>
      </c>
      <c r="X5" s="9">
        <f>VLOOKUP($A5,'RES installed'!$A$2:$C$7,3,FALSE)*'[1]Profiles, RES, Summer'!X$6</f>
        <v>7.7137695704536338</v>
      </c>
      <c r="Y5" s="9">
        <f>VLOOKUP($A5,'RES installed'!$A$2:$C$7,3,FALSE)*'[1]Profiles, RES, Summer'!Y$6</f>
        <v>7.8492573263749499</v>
      </c>
    </row>
    <row r="6" spans="1:25" x14ac:dyDescent="0.3">
      <c r="A6" s="8">
        <v>5</v>
      </c>
      <c r="B6" s="9">
        <f>VLOOKUP($A6,'RES installed'!$A$2:$C$7,3,FALSE)*'[1]Profiles, RES, Summer'!B$6</f>
        <v>17.101565636290648</v>
      </c>
      <c r="C6" s="9">
        <f>VLOOKUP($A6,'RES installed'!$A$2:$C$7,3,FALSE)*'[1]Profiles, RES, Summer'!C$6</f>
        <v>15.885186672019268</v>
      </c>
      <c r="D6" s="9">
        <f>VLOOKUP($A6,'RES installed'!$A$2:$C$7,3,FALSE)*'[1]Profiles, RES, Summer'!D$6</f>
        <v>16.150140505820954</v>
      </c>
      <c r="E6" s="9">
        <f>VLOOKUP($A6,'RES installed'!$A$2:$C$7,3,FALSE)*'[1]Profiles, RES, Summer'!E$6</f>
        <v>14.596547571256524</v>
      </c>
      <c r="F6" s="9">
        <f>VLOOKUP($A6,'RES installed'!$A$2:$C$7,3,FALSE)*'[1]Profiles, RES, Summer'!F$6</f>
        <v>13.657165796868727</v>
      </c>
      <c r="G6" s="9">
        <f>VLOOKUP($A6,'RES installed'!$A$2:$C$7,3,FALSE)*'[1]Profiles, RES, Summer'!G$6</f>
        <v>14.500200722601365</v>
      </c>
      <c r="H6" s="9">
        <f>VLOOKUP($A6,'RES installed'!$A$2:$C$7,3,FALSE)*'[1]Profiles, RES, Summer'!H$6</f>
        <v>14.343637093536731</v>
      </c>
      <c r="I6" s="9">
        <f>VLOOKUP($A6,'RES installed'!$A$2:$C$7,3,FALSE)*'[1]Profiles, RES, Summer'!I$6</f>
        <v>10.574066639903654</v>
      </c>
      <c r="J6" s="9">
        <f>VLOOKUP($A6,'RES installed'!$A$2:$C$7,3,FALSE)*'[1]Profiles, RES, Summer'!J$6</f>
        <v>6.7683661180248897</v>
      </c>
      <c r="K6" s="9">
        <f>VLOOKUP($A6,'RES installed'!$A$2:$C$7,3,FALSE)*'[1]Profiles, RES, Summer'!K$6</f>
        <v>4.9257326374949812</v>
      </c>
      <c r="L6" s="9">
        <f>VLOOKUP($A6,'RES installed'!$A$2:$C$7,3,FALSE)*'[1]Profiles, RES, Summer'!L$6</f>
        <v>3.7213970293054994</v>
      </c>
      <c r="M6" s="9">
        <f>VLOOKUP($A6,'RES installed'!$A$2:$C$7,3,FALSE)*'[1]Profiles, RES, Summer'!M$6</f>
        <v>3.4925732637494979</v>
      </c>
      <c r="N6" s="9">
        <f>VLOOKUP($A6,'RES installed'!$A$2:$C$7,3,FALSE)*'[1]Profiles, RES, Summer'!N$6</f>
        <v>4.3717382577278201</v>
      </c>
      <c r="O6" s="9">
        <f>VLOOKUP($A6,'RES installed'!$A$2:$C$7,3,FALSE)*'[1]Profiles, RES, Summer'!O$6</f>
        <v>5.6724207145724606</v>
      </c>
      <c r="P6" s="9">
        <f>VLOOKUP($A6,'RES installed'!$A$2:$C$7,3,FALSE)*'[1]Profiles, RES, Summer'!P$6</f>
        <v>8.0810919309514251</v>
      </c>
      <c r="Q6" s="9">
        <f>VLOOKUP($A6,'RES installed'!$A$2:$C$7,3,FALSE)*'[1]Profiles, RES, Summer'!Q$6</f>
        <v>10.200722601364912</v>
      </c>
      <c r="R6" s="9">
        <f>VLOOKUP($A6,'RES installed'!$A$2:$C$7,3,FALSE)*'[1]Profiles, RES, Summer'!R$6</f>
        <v>12.211963067041349</v>
      </c>
      <c r="S6" s="9">
        <f>VLOOKUP($A6,'RES installed'!$A$2:$C$7,3,FALSE)*'[1]Profiles, RES, Summer'!S$6</f>
        <v>13.042954636692093</v>
      </c>
      <c r="T6" s="9">
        <f>VLOOKUP($A6,'RES installed'!$A$2:$C$7,3,FALSE)*'[1]Profiles, RES, Summer'!T$6</f>
        <v>12.404656764351666</v>
      </c>
      <c r="U6" s="9">
        <f>VLOOKUP($A6,'RES installed'!$A$2:$C$7,3,FALSE)*'[1]Profiles, RES, Summer'!U$6</f>
        <v>12.031312725812926</v>
      </c>
      <c r="V6" s="9">
        <f>VLOOKUP($A6,'RES installed'!$A$2:$C$7,3,FALSE)*'[1]Profiles, RES, Summer'!V$6</f>
        <v>12.067442794058611</v>
      </c>
      <c r="W6" s="9">
        <f>VLOOKUP($A6,'RES installed'!$A$2:$C$7,3,FALSE)*'[1]Profiles, RES, Summer'!W$6</f>
        <v>11.09193095142513</v>
      </c>
      <c r="X6" s="9">
        <f>VLOOKUP($A6,'RES installed'!$A$2:$C$7,3,FALSE)*'[1]Profiles, RES, Summer'!X$6</f>
        <v>10.285026093938178</v>
      </c>
      <c r="Y6" s="9">
        <f>VLOOKUP($A6,'RES installed'!$A$2:$C$7,3,FALSE)*'[1]Profiles, RES, Summer'!Y$6</f>
        <v>10.4656764351666</v>
      </c>
    </row>
    <row r="7" spans="1:25" x14ac:dyDescent="0.3">
      <c r="A7" s="8">
        <v>6</v>
      </c>
      <c r="B7" s="9">
        <f>VLOOKUP($A7,'RES installed'!$A$2:$C$7,3,FALSE)*'[1]Profiles, RES, Summer'!B$6</f>
        <v>12.826174227217987</v>
      </c>
      <c r="C7" s="9">
        <f>VLOOKUP($A7,'RES installed'!$A$2:$C$7,3,FALSE)*'[1]Profiles, RES, Summer'!C$6</f>
        <v>11.913890004014451</v>
      </c>
      <c r="D7" s="9">
        <f>VLOOKUP($A7,'RES installed'!$A$2:$C$7,3,FALSE)*'[1]Profiles, RES, Summer'!D$6</f>
        <v>12.112605379365716</v>
      </c>
      <c r="E7" s="9">
        <f>VLOOKUP($A7,'RES installed'!$A$2:$C$7,3,FALSE)*'[1]Profiles, RES, Summer'!E$6</f>
        <v>10.947410678442393</v>
      </c>
      <c r="F7" s="9">
        <f>VLOOKUP($A7,'RES installed'!$A$2:$C$7,3,FALSE)*'[1]Profiles, RES, Summer'!F$6</f>
        <v>10.242874347651545</v>
      </c>
      <c r="G7" s="9">
        <f>VLOOKUP($A7,'RES installed'!$A$2:$C$7,3,FALSE)*'[1]Profiles, RES, Summer'!G$6</f>
        <v>10.875150541951024</v>
      </c>
      <c r="H7" s="9">
        <f>VLOOKUP($A7,'RES installed'!$A$2:$C$7,3,FALSE)*'[1]Profiles, RES, Summer'!H$6</f>
        <v>10.757727820152549</v>
      </c>
      <c r="I7" s="9">
        <f>VLOOKUP($A7,'RES installed'!$A$2:$C$7,3,FALSE)*'[1]Profiles, RES, Summer'!I$6</f>
        <v>7.9305499799277399</v>
      </c>
      <c r="J7" s="9">
        <f>VLOOKUP($A7,'RES installed'!$A$2:$C$7,3,FALSE)*'[1]Profiles, RES, Summer'!J$6</f>
        <v>5.0762745885186673</v>
      </c>
      <c r="K7" s="9">
        <f>VLOOKUP($A7,'RES installed'!$A$2:$C$7,3,FALSE)*'[1]Profiles, RES, Summer'!K$6</f>
        <v>3.6942994781212364</v>
      </c>
      <c r="L7" s="9">
        <f>VLOOKUP($A7,'RES installed'!$A$2:$C$7,3,FALSE)*'[1]Profiles, RES, Summer'!L$6</f>
        <v>2.7910477719791249</v>
      </c>
      <c r="M7" s="9">
        <f>VLOOKUP($A7,'RES installed'!$A$2:$C$7,3,FALSE)*'[1]Profiles, RES, Summer'!M$6</f>
        <v>2.6194299478121237</v>
      </c>
      <c r="N7" s="9">
        <f>VLOOKUP($A7,'RES installed'!$A$2:$C$7,3,FALSE)*'[1]Profiles, RES, Summer'!N$6</f>
        <v>3.2788036932958651</v>
      </c>
      <c r="O7" s="9">
        <f>VLOOKUP($A7,'RES installed'!$A$2:$C$7,3,FALSE)*'[1]Profiles, RES, Summer'!O$6</f>
        <v>4.2543155359293454</v>
      </c>
      <c r="P7" s="9">
        <f>VLOOKUP($A7,'RES installed'!$A$2:$C$7,3,FALSE)*'[1]Profiles, RES, Summer'!P$6</f>
        <v>6.0608189482135693</v>
      </c>
      <c r="Q7" s="9">
        <f>VLOOKUP($A7,'RES installed'!$A$2:$C$7,3,FALSE)*'[1]Profiles, RES, Summer'!Q$6</f>
        <v>7.6505419510236852</v>
      </c>
      <c r="R7" s="9">
        <f>VLOOKUP($A7,'RES installed'!$A$2:$C$7,3,FALSE)*'[1]Profiles, RES, Summer'!R$6</f>
        <v>9.1589723002810111</v>
      </c>
      <c r="S7" s="9">
        <f>VLOOKUP($A7,'RES installed'!$A$2:$C$7,3,FALSE)*'[1]Profiles, RES, Summer'!S$6</f>
        <v>9.7822159775190691</v>
      </c>
      <c r="T7" s="9">
        <f>VLOOKUP($A7,'RES installed'!$A$2:$C$7,3,FALSE)*'[1]Profiles, RES, Summer'!T$6</f>
        <v>9.3034925732637497</v>
      </c>
      <c r="U7" s="9">
        <f>VLOOKUP($A7,'RES installed'!$A$2:$C$7,3,FALSE)*'[1]Profiles, RES, Summer'!U$6</f>
        <v>9.0234845443596949</v>
      </c>
      <c r="V7" s="9">
        <f>VLOOKUP($A7,'RES installed'!$A$2:$C$7,3,FALSE)*'[1]Profiles, RES, Summer'!V$6</f>
        <v>9.0505820955439589</v>
      </c>
      <c r="W7" s="9">
        <f>VLOOKUP($A7,'RES installed'!$A$2:$C$7,3,FALSE)*'[1]Profiles, RES, Summer'!W$6</f>
        <v>8.3189482135688468</v>
      </c>
      <c r="X7" s="9">
        <f>VLOOKUP($A7,'RES installed'!$A$2:$C$7,3,FALSE)*'[1]Profiles, RES, Summer'!X$6</f>
        <v>7.7137695704536338</v>
      </c>
      <c r="Y7" s="9">
        <f>VLOOKUP($A7,'RES installed'!$A$2:$C$7,3,FALSE)*'[1]Profiles, RES, Summer'!Y$6</f>
        <v>7.8492573263749499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0.14215314632297193</v>
      </c>
      <c r="H8" s="6">
        <f>VLOOKUP($A8,'RES installed'!$A$2:$C$7,3,FALSE)*'[1]Profiles, RES, Summer'!H$3</f>
        <v>5.9988627748294157</v>
      </c>
      <c r="I8" s="6">
        <f>VLOOKUP($A8,'RES installed'!$A$2:$C$7,3,FALSE)*'[1]Profiles, RES, Summer'!I$3</f>
        <v>24.137604245640638</v>
      </c>
      <c r="J8" s="6">
        <f>VLOOKUP($A8,'RES installed'!$A$2:$C$7,3,FALSE)*'[1]Profiles, RES, Summer'!J$3</f>
        <v>44.124336618650489</v>
      </c>
      <c r="K8" s="6">
        <f>VLOOKUP($A8,'RES installed'!$A$2:$C$7,3,FALSE)*'[1]Profiles, RES, Summer'!K$3</f>
        <v>58.026914329037155</v>
      </c>
      <c r="L8" s="6">
        <f>VLOOKUP($A8,'RES installed'!$A$2:$C$7,3,FALSE)*'[1]Profiles, RES, Summer'!L$3</f>
        <v>67.494313874147082</v>
      </c>
      <c r="M8" s="6">
        <f>VLOOKUP($A8,'RES installed'!$A$2:$C$7,3,FALSE)*'[1]Profiles, RES, Summer'!M$3</f>
        <v>70.991281273692195</v>
      </c>
      <c r="N8" s="6">
        <f>VLOOKUP($A8,'RES installed'!$A$2:$C$7,3,FALSE)*'[1]Profiles, RES, Summer'!N$3</f>
        <v>71.190295678544345</v>
      </c>
      <c r="O8" s="6">
        <f>VLOOKUP($A8,'RES installed'!$A$2:$C$7,3,FALSE)*'[1]Profiles, RES, Summer'!O$3</f>
        <v>69.683472327520846</v>
      </c>
      <c r="P8" s="6">
        <f>VLOOKUP($A8,'RES installed'!$A$2:$C$7,3,FALSE)*'[1]Profiles, RES, Summer'!P$3</f>
        <v>67.465883244882491</v>
      </c>
      <c r="Q8" s="6">
        <f>VLOOKUP($A8,'RES installed'!$A$2:$C$7,3,FALSE)*'[1]Profiles, RES, Summer'!Q$3</f>
        <v>60.187642153146321</v>
      </c>
      <c r="R8" s="6">
        <f>VLOOKUP($A8,'RES installed'!$A$2:$C$7,3,FALSE)*'[1]Profiles, RES, Summer'!R$3</f>
        <v>48.332069749810465</v>
      </c>
      <c r="S8" s="6">
        <f>VLOOKUP($A8,'RES installed'!$A$2:$C$7,3,FALSE)*'[1]Profiles, RES, Summer'!S$3</f>
        <v>30.30705079605762</v>
      </c>
      <c r="T8" s="6">
        <f>VLOOKUP($A8,'RES installed'!$A$2:$C$7,3,FALSE)*'[1]Profiles, RES, Summer'!T$3</f>
        <v>9.8654283548142523</v>
      </c>
      <c r="U8" s="6">
        <f>VLOOKUP($A8,'RES installed'!$A$2:$C$7,3,FALSE)*'[1]Profiles, RES, Summer'!U$3</f>
        <v>0.65390447308567101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9.4768764215314633E-2</v>
      </c>
      <c r="H9" s="6">
        <f>VLOOKUP($A9,'RES installed'!$A$2:$C$7,3,FALSE)*'[1]Profiles, RES, Summer'!H$3</f>
        <v>3.9992418498862774</v>
      </c>
      <c r="I9" s="6">
        <f>VLOOKUP($A9,'RES installed'!$A$2:$C$7,3,FALSE)*'[1]Profiles, RES, Summer'!I$3</f>
        <v>16.091736163760427</v>
      </c>
      <c r="J9" s="6">
        <f>VLOOKUP($A9,'RES installed'!$A$2:$C$7,3,FALSE)*'[1]Profiles, RES, Summer'!J$3</f>
        <v>29.41622441243366</v>
      </c>
      <c r="K9" s="6">
        <f>VLOOKUP($A9,'RES installed'!$A$2:$C$7,3,FALSE)*'[1]Profiles, RES, Summer'!K$3</f>
        <v>38.684609552691434</v>
      </c>
      <c r="L9" s="6">
        <f>VLOOKUP($A9,'RES installed'!$A$2:$C$7,3,FALSE)*'[1]Profiles, RES, Summer'!L$3</f>
        <v>44.996209249431388</v>
      </c>
      <c r="M9" s="6">
        <f>VLOOKUP($A9,'RES installed'!$A$2:$C$7,3,FALSE)*'[1]Profiles, RES, Summer'!M$3</f>
        <v>47.327520849128128</v>
      </c>
      <c r="N9" s="6">
        <f>VLOOKUP($A9,'RES installed'!$A$2:$C$7,3,FALSE)*'[1]Profiles, RES, Summer'!N$3</f>
        <v>47.460197119029566</v>
      </c>
      <c r="O9" s="6">
        <f>VLOOKUP($A9,'RES installed'!$A$2:$C$7,3,FALSE)*'[1]Profiles, RES, Summer'!O$3</f>
        <v>46.455648218347235</v>
      </c>
      <c r="P9" s="6">
        <f>VLOOKUP($A9,'RES installed'!$A$2:$C$7,3,FALSE)*'[1]Profiles, RES, Summer'!P$3</f>
        <v>44.977255496588327</v>
      </c>
      <c r="Q9" s="6">
        <f>VLOOKUP($A9,'RES installed'!$A$2:$C$7,3,FALSE)*'[1]Profiles, RES, Summer'!Q$3</f>
        <v>40.125094768764214</v>
      </c>
      <c r="R9" s="6">
        <f>VLOOKUP($A9,'RES installed'!$A$2:$C$7,3,FALSE)*'[1]Profiles, RES, Summer'!R$3</f>
        <v>32.221379833206974</v>
      </c>
      <c r="S9" s="6">
        <f>VLOOKUP($A9,'RES installed'!$A$2:$C$7,3,FALSE)*'[1]Profiles, RES, Summer'!S$3</f>
        <v>20.204700530705079</v>
      </c>
      <c r="T9" s="6">
        <f>VLOOKUP($A9,'RES installed'!$A$2:$C$7,3,FALSE)*'[1]Profiles, RES, Summer'!T$3</f>
        <v>6.5769522365428355</v>
      </c>
      <c r="U9" s="6">
        <f>VLOOKUP($A9,'RES installed'!$A$2:$C$7,3,FALSE)*'[1]Profiles, RES, Summer'!U$3</f>
        <v>0.4359363153904473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0.11372251705837756</v>
      </c>
      <c r="H10" s="6">
        <f>VLOOKUP($A10,'RES installed'!$A$2:$C$7,3,FALSE)*'[1]Profiles, RES, Summer'!H$3</f>
        <v>4.7990902198635323</v>
      </c>
      <c r="I10" s="6">
        <f>VLOOKUP($A10,'RES installed'!$A$2:$C$7,3,FALSE)*'[1]Profiles, RES, Summer'!I$3</f>
        <v>19.31008339651251</v>
      </c>
      <c r="J10" s="6">
        <f>VLOOKUP($A10,'RES installed'!$A$2:$C$7,3,FALSE)*'[1]Profiles, RES, Summer'!J$3</f>
        <v>35.299469294920392</v>
      </c>
      <c r="K10" s="6">
        <f>VLOOKUP($A10,'RES installed'!$A$2:$C$7,3,FALSE)*'[1]Profiles, RES, Summer'!K$3</f>
        <v>46.421531463229719</v>
      </c>
      <c r="L10" s="6">
        <f>VLOOKUP($A10,'RES installed'!$A$2:$C$7,3,FALSE)*'[1]Profiles, RES, Summer'!L$3</f>
        <v>53.995451099317663</v>
      </c>
      <c r="M10" s="6">
        <f>VLOOKUP($A10,'RES installed'!$A$2:$C$7,3,FALSE)*'[1]Profiles, RES, Summer'!M$3</f>
        <v>56.793025018953756</v>
      </c>
      <c r="N10" s="6">
        <f>VLOOKUP($A10,'RES installed'!$A$2:$C$7,3,FALSE)*'[1]Profiles, RES, Summer'!N$3</f>
        <v>56.952236542835479</v>
      </c>
      <c r="O10" s="6">
        <f>VLOOKUP($A10,'RES installed'!$A$2:$C$7,3,FALSE)*'[1]Profiles, RES, Summer'!O$3</f>
        <v>55.746777862016678</v>
      </c>
      <c r="P10" s="6">
        <f>VLOOKUP($A10,'RES installed'!$A$2:$C$7,3,FALSE)*'[1]Profiles, RES, Summer'!P$3</f>
        <v>53.97270659590599</v>
      </c>
      <c r="Q10" s="6">
        <f>VLOOKUP($A10,'RES installed'!$A$2:$C$7,3,FALSE)*'[1]Profiles, RES, Summer'!Q$3</f>
        <v>48.150113722517055</v>
      </c>
      <c r="R10" s="6">
        <f>VLOOKUP($A10,'RES installed'!$A$2:$C$7,3,FALSE)*'[1]Profiles, RES, Summer'!R$3</f>
        <v>38.665655799848373</v>
      </c>
      <c r="S10" s="6">
        <f>VLOOKUP($A10,'RES installed'!$A$2:$C$7,3,FALSE)*'[1]Profiles, RES, Summer'!S$3</f>
        <v>24.245640636846097</v>
      </c>
      <c r="T10" s="6">
        <f>VLOOKUP($A10,'RES installed'!$A$2:$C$7,3,FALSE)*'[1]Profiles, RES, Summer'!T$3</f>
        <v>7.8923426838514024</v>
      </c>
      <c r="U10" s="6">
        <f>VLOOKUP($A10,'RES installed'!$A$2:$C$7,3,FALSE)*'[1]Profiles, RES, Summer'!U$3</f>
        <v>0.52312357846853674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9ED32-E37A-4C7F-9A3A-6C171EDA3DE5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13.395222802087515</v>
      </c>
      <c r="C5" s="9">
        <f>VLOOKUP($A5,'RES installed'!$A$2:$C$7,3,FALSE)*'[1]Profiles, RES, Summer'!C$7</f>
        <v>12.049377759935769</v>
      </c>
      <c r="D5" s="9">
        <f>VLOOKUP($A5,'RES installed'!$A$2:$C$7,3,FALSE)*'[1]Profiles, RES, Summer'!D$7</f>
        <v>10.062224006423122</v>
      </c>
      <c r="E5" s="9">
        <f>VLOOKUP($A5,'RES installed'!$A$2:$C$7,3,FALSE)*'[1]Profiles, RES, Summer'!E$7</f>
        <v>9.5112404656764351</v>
      </c>
      <c r="F5" s="9">
        <f>VLOOKUP($A5,'RES installed'!$A$2:$C$7,3,FALSE)*'[1]Profiles, RES, Summer'!F$7</f>
        <v>9.3576876756322758</v>
      </c>
      <c r="G5" s="9">
        <f>VLOOKUP($A5,'RES installed'!$A$2:$C$7,3,FALSE)*'[1]Profiles, RES, Summer'!G$7</f>
        <v>10.495784825371336</v>
      </c>
      <c r="H5" s="9">
        <f>VLOOKUP($A5,'RES installed'!$A$2:$C$7,3,FALSE)*'[1]Profiles, RES, Summer'!H$7</f>
        <v>11.570654355680448</v>
      </c>
      <c r="I5" s="9">
        <f>VLOOKUP($A5,'RES installed'!$A$2:$C$7,3,FALSE)*'[1]Profiles, RES, Summer'!I$7</f>
        <v>11.968085106382979</v>
      </c>
      <c r="J5" s="9">
        <f>VLOOKUP($A5,'RES installed'!$A$2:$C$7,3,FALSE)*'[1]Profiles, RES, Summer'!J$7</f>
        <v>9.7280208751505413</v>
      </c>
      <c r="K5" s="9">
        <f>VLOOKUP($A5,'RES installed'!$A$2:$C$7,3,FALSE)*'[1]Profiles, RES, Summer'!K$7</f>
        <v>7.5692492974708951</v>
      </c>
      <c r="L5" s="9">
        <f>VLOOKUP($A5,'RES installed'!$A$2:$C$7,3,FALSE)*'[1]Profiles, RES, Summer'!L$7</f>
        <v>6.8105178643115218</v>
      </c>
      <c r="M5" s="9">
        <f>VLOOKUP($A5,'RES installed'!$A$2:$C$7,3,FALSE)*'[1]Profiles, RES, Summer'!M$7</f>
        <v>6.0788839823364107</v>
      </c>
      <c r="N5" s="9">
        <f>VLOOKUP($A5,'RES installed'!$A$2:$C$7,3,FALSE)*'[1]Profiles, RES, Summer'!N$7</f>
        <v>6.5847049377759941</v>
      </c>
      <c r="O5" s="9">
        <f>VLOOKUP($A5,'RES installed'!$A$2:$C$7,3,FALSE)*'[1]Profiles, RES, Summer'!O$7</f>
        <v>8.7615415495784816</v>
      </c>
      <c r="P5" s="9">
        <f>VLOOKUP($A5,'RES installed'!$A$2:$C$7,3,FALSE)*'[1]Profiles, RES, Summer'!P$7</f>
        <v>11.019670814933761</v>
      </c>
      <c r="Q5" s="9">
        <f>VLOOKUP($A5,'RES installed'!$A$2:$C$7,3,FALSE)*'[1]Profiles, RES, Summer'!Q$7</f>
        <v>11.561621838619029</v>
      </c>
      <c r="R5" s="9">
        <f>VLOOKUP($A5,'RES installed'!$A$2:$C$7,3,FALSE)*'[1]Profiles, RES, Summer'!R$7</f>
        <v>12.482938578883983</v>
      </c>
      <c r="S5" s="9">
        <f>VLOOKUP($A5,'RES installed'!$A$2:$C$7,3,FALSE)*'[1]Profiles, RES, Summer'!S$7</f>
        <v>12.988759534323565</v>
      </c>
      <c r="T5" s="9">
        <f>VLOOKUP($A5,'RES installed'!$A$2:$C$7,3,FALSE)*'[1]Profiles, RES, Summer'!T$7</f>
        <v>13.313930148534725</v>
      </c>
      <c r="U5" s="9">
        <f>VLOOKUP($A5,'RES installed'!$A$2:$C$7,3,FALSE)*'[1]Profiles, RES, Summer'!U$7</f>
        <v>15.255921316740265</v>
      </c>
      <c r="V5" s="9">
        <f>VLOOKUP($A5,'RES installed'!$A$2:$C$7,3,FALSE)*'[1]Profiles, RES, Summer'!V$7</f>
        <v>17.16178241670012</v>
      </c>
      <c r="W5" s="9">
        <f>VLOOKUP($A5,'RES installed'!$A$2:$C$7,3,FALSE)*'[1]Profiles, RES, Summer'!W$7</f>
        <v>16.574668807707749</v>
      </c>
      <c r="X5" s="9">
        <f>VLOOKUP($A5,'RES installed'!$A$2:$C$7,3,FALSE)*'[1]Profiles, RES, Summer'!X$7</f>
        <v>15.6985146527499</v>
      </c>
      <c r="Y5" s="9">
        <f>VLOOKUP($A5,'RES installed'!$A$2:$C$7,3,FALSE)*'[1]Profiles, RES, Summer'!Y$7</f>
        <v>15.418506623845845</v>
      </c>
    </row>
    <row r="6" spans="1:25" x14ac:dyDescent="0.3">
      <c r="A6" s="8">
        <v>5</v>
      </c>
      <c r="B6" s="9">
        <f>VLOOKUP($A6,'RES installed'!$A$2:$C$7,3,FALSE)*'[1]Profiles, RES, Summer'!B$7</f>
        <v>17.86029706945002</v>
      </c>
      <c r="C6" s="9">
        <f>VLOOKUP($A6,'RES installed'!$A$2:$C$7,3,FALSE)*'[1]Profiles, RES, Summer'!C$7</f>
        <v>16.065837013247691</v>
      </c>
      <c r="D6" s="9">
        <f>VLOOKUP($A6,'RES installed'!$A$2:$C$7,3,FALSE)*'[1]Profiles, RES, Summer'!D$7</f>
        <v>13.416298675230831</v>
      </c>
      <c r="E6" s="9">
        <f>VLOOKUP($A6,'RES installed'!$A$2:$C$7,3,FALSE)*'[1]Profiles, RES, Summer'!E$7</f>
        <v>12.681653954235248</v>
      </c>
      <c r="F6" s="9">
        <f>VLOOKUP($A6,'RES installed'!$A$2:$C$7,3,FALSE)*'[1]Profiles, RES, Summer'!F$7</f>
        <v>12.476916900843035</v>
      </c>
      <c r="G6" s="9">
        <f>VLOOKUP($A6,'RES installed'!$A$2:$C$7,3,FALSE)*'[1]Profiles, RES, Summer'!G$7</f>
        <v>13.994379767161782</v>
      </c>
      <c r="H6" s="9">
        <f>VLOOKUP($A6,'RES installed'!$A$2:$C$7,3,FALSE)*'[1]Profiles, RES, Summer'!H$7</f>
        <v>15.427539140907264</v>
      </c>
      <c r="I6" s="9">
        <f>VLOOKUP($A6,'RES installed'!$A$2:$C$7,3,FALSE)*'[1]Profiles, RES, Summer'!I$7</f>
        <v>15.957446808510639</v>
      </c>
      <c r="J6" s="9">
        <f>VLOOKUP($A6,'RES installed'!$A$2:$C$7,3,FALSE)*'[1]Profiles, RES, Summer'!J$7</f>
        <v>12.970694500200722</v>
      </c>
      <c r="K6" s="9">
        <f>VLOOKUP($A6,'RES installed'!$A$2:$C$7,3,FALSE)*'[1]Profiles, RES, Summer'!K$7</f>
        <v>10.09233239662786</v>
      </c>
      <c r="L6" s="9">
        <f>VLOOKUP($A6,'RES installed'!$A$2:$C$7,3,FALSE)*'[1]Profiles, RES, Summer'!L$7</f>
        <v>9.0806904857486952</v>
      </c>
      <c r="M6" s="9">
        <f>VLOOKUP($A6,'RES installed'!$A$2:$C$7,3,FALSE)*'[1]Profiles, RES, Summer'!M$7</f>
        <v>8.1051786431152131</v>
      </c>
      <c r="N6" s="9">
        <f>VLOOKUP($A6,'RES installed'!$A$2:$C$7,3,FALSE)*'[1]Profiles, RES, Summer'!N$7</f>
        <v>8.7796065837013249</v>
      </c>
      <c r="O6" s="9">
        <f>VLOOKUP($A6,'RES installed'!$A$2:$C$7,3,FALSE)*'[1]Profiles, RES, Summer'!O$7</f>
        <v>11.682055399437976</v>
      </c>
      <c r="P6" s="9">
        <f>VLOOKUP($A6,'RES installed'!$A$2:$C$7,3,FALSE)*'[1]Profiles, RES, Summer'!P$7</f>
        <v>14.692894419911681</v>
      </c>
      <c r="Q6" s="9">
        <f>VLOOKUP($A6,'RES installed'!$A$2:$C$7,3,FALSE)*'[1]Profiles, RES, Summer'!Q$7</f>
        <v>15.415495784825371</v>
      </c>
      <c r="R6" s="9">
        <f>VLOOKUP($A6,'RES installed'!$A$2:$C$7,3,FALSE)*'[1]Profiles, RES, Summer'!R$7</f>
        <v>16.643918105178646</v>
      </c>
      <c r="S6" s="9">
        <f>VLOOKUP($A6,'RES installed'!$A$2:$C$7,3,FALSE)*'[1]Profiles, RES, Summer'!S$7</f>
        <v>17.318346045764756</v>
      </c>
      <c r="T6" s="9">
        <f>VLOOKUP($A6,'RES installed'!$A$2:$C$7,3,FALSE)*'[1]Profiles, RES, Summer'!T$7</f>
        <v>17.751906864712968</v>
      </c>
      <c r="U6" s="9">
        <f>VLOOKUP($A6,'RES installed'!$A$2:$C$7,3,FALSE)*'[1]Profiles, RES, Summer'!U$7</f>
        <v>20.341228422320352</v>
      </c>
      <c r="V6" s="9">
        <f>VLOOKUP($A6,'RES installed'!$A$2:$C$7,3,FALSE)*'[1]Profiles, RES, Summer'!V$7</f>
        <v>22.88237655560016</v>
      </c>
      <c r="W6" s="9">
        <f>VLOOKUP($A6,'RES installed'!$A$2:$C$7,3,FALSE)*'[1]Profiles, RES, Summer'!W$7</f>
        <v>22.099558410276995</v>
      </c>
      <c r="X6" s="9">
        <f>VLOOKUP($A6,'RES installed'!$A$2:$C$7,3,FALSE)*'[1]Profiles, RES, Summer'!X$7</f>
        <v>20.9313528703332</v>
      </c>
      <c r="Y6" s="9">
        <f>VLOOKUP($A6,'RES installed'!$A$2:$C$7,3,FALSE)*'[1]Profiles, RES, Summer'!Y$7</f>
        <v>20.55800883179446</v>
      </c>
    </row>
    <row r="7" spans="1:25" x14ac:dyDescent="0.3">
      <c r="A7" s="8">
        <v>6</v>
      </c>
      <c r="B7" s="9">
        <f>VLOOKUP($A7,'RES installed'!$A$2:$C$7,3,FALSE)*'[1]Profiles, RES, Summer'!B$7</f>
        <v>13.395222802087515</v>
      </c>
      <c r="C7" s="9">
        <f>VLOOKUP($A7,'RES installed'!$A$2:$C$7,3,FALSE)*'[1]Profiles, RES, Summer'!C$7</f>
        <v>12.049377759935769</v>
      </c>
      <c r="D7" s="9">
        <f>VLOOKUP($A7,'RES installed'!$A$2:$C$7,3,FALSE)*'[1]Profiles, RES, Summer'!D$7</f>
        <v>10.062224006423122</v>
      </c>
      <c r="E7" s="9">
        <f>VLOOKUP($A7,'RES installed'!$A$2:$C$7,3,FALSE)*'[1]Profiles, RES, Summer'!E$7</f>
        <v>9.5112404656764351</v>
      </c>
      <c r="F7" s="9">
        <f>VLOOKUP($A7,'RES installed'!$A$2:$C$7,3,FALSE)*'[1]Profiles, RES, Summer'!F$7</f>
        <v>9.3576876756322758</v>
      </c>
      <c r="G7" s="9">
        <f>VLOOKUP($A7,'RES installed'!$A$2:$C$7,3,FALSE)*'[1]Profiles, RES, Summer'!G$7</f>
        <v>10.495784825371336</v>
      </c>
      <c r="H7" s="9">
        <f>VLOOKUP($A7,'RES installed'!$A$2:$C$7,3,FALSE)*'[1]Profiles, RES, Summer'!H$7</f>
        <v>11.570654355680448</v>
      </c>
      <c r="I7" s="9">
        <f>VLOOKUP($A7,'RES installed'!$A$2:$C$7,3,FALSE)*'[1]Profiles, RES, Summer'!I$7</f>
        <v>11.968085106382979</v>
      </c>
      <c r="J7" s="9">
        <f>VLOOKUP($A7,'RES installed'!$A$2:$C$7,3,FALSE)*'[1]Profiles, RES, Summer'!J$7</f>
        <v>9.7280208751505413</v>
      </c>
      <c r="K7" s="9">
        <f>VLOOKUP($A7,'RES installed'!$A$2:$C$7,3,FALSE)*'[1]Profiles, RES, Summer'!K$7</f>
        <v>7.5692492974708951</v>
      </c>
      <c r="L7" s="9">
        <f>VLOOKUP($A7,'RES installed'!$A$2:$C$7,3,FALSE)*'[1]Profiles, RES, Summer'!L$7</f>
        <v>6.8105178643115218</v>
      </c>
      <c r="M7" s="9">
        <f>VLOOKUP($A7,'RES installed'!$A$2:$C$7,3,FALSE)*'[1]Profiles, RES, Summer'!M$7</f>
        <v>6.0788839823364107</v>
      </c>
      <c r="N7" s="9">
        <f>VLOOKUP($A7,'RES installed'!$A$2:$C$7,3,FALSE)*'[1]Profiles, RES, Summer'!N$7</f>
        <v>6.5847049377759941</v>
      </c>
      <c r="O7" s="9">
        <f>VLOOKUP($A7,'RES installed'!$A$2:$C$7,3,FALSE)*'[1]Profiles, RES, Summer'!O$7</f>
        <v>8.7615415495784816</v>
      </c>
      <c r="P7" s="9">
        <f>VLOOKUP($A7,'RES installed'!$A$2:$C$7,3,FALSE)*'[1]Profiles, RES, Summer'!P$7</f>
        <v>11.019670814933761</v>
      </c>
      <c r="Q7" s="9">
        <f>VLOOKUP($A7,'RES installed'!$A$2:$C$7,3,FALSE)*'[1]Profiles, RES, Summer'!Q$7</f>
        <v>11.561621838619029</v>
      </c>
      <c r="R7" s="9">
        <f>VLOOKUP($A7,'RES installed'!$A$2:$C$7,3,FALSE)*'[1]Profiles, RES, Summer'!R$7</f>
        <v>12.482938578883983</v>
      </c>
      <c r="S7" s="9">
        <f>VLOOKUP($A7,'RES installed'!$A$2:$C$7,3,FALSE)*'[1]Profiles, RES, Summer'!S$7</f>
        <v>12.988759534323565</v>
      </c>
      <c r="T7" s="9">
        <f>VLOOKUP($A7,'RES installed'!$A$2:$C$7,3,FALSE)*'[1]Profiles, RES, Summer'!T$7</f>
        <v>13.313930148534725</v>
      </c>
      <c r="U7" s="9">
        <f>VLOOKUP($A7,'RES installed'!$A$2:$C$7,3,FALSE)*'[1]Profiles, RES, Summer'!U$7</f>
        <v>15.255921316740265</v>
      </c>
      <c r="V7" s="9">
        <f>VLOOKUP($A7,'RES installed'!$A$2:$C$7,3,FALSE)*'[1]Profiles, RES, Summer'!V$7</f>
        <v>17.16178241670012</v>
      </c>
      <c r="W7" s="9">
        <f>VLOOKUP($A7,'RES installed'!$A$2:$C$7,3,FALSE)*'[1]Profiles, RES, Summer'!W$7</f>
        <v>16.574668807707749</v>
      </c>
      <c r="X7" s="9">
        <f>VLOOKUP($A7,'RES installed'!$A$2:$C$7,3,FALSE)*'[1]Profiles, RES, Summer'!X$7</f>
        <v>15.6985146527499</v>
      </c>
      <c r="Y7" s="9">
        <f>VLOOKUP($A7,'RES installed'!$A$2:$C$7,3,FALSE)*'[1]Profiles, RES, Summer'!Y$7</f>
        <v>15.418506623845845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2.843062926459439E-2</v>
      </c>
      <c r="H8" s="6">
        <f>VLOOKUP($A8,'RES installed'!$A$2:$C$7,3,FALSE)*'[1]Profiles, RES, Summer'!H$4</f>
        <v>3.49696739954511</v>
      </c>
      <c r="I8" s="6">
        <f>VLOOKUP($A8,'RES installed'!$A$2:$C$7,3,FALSE)*'[1]Profiles, RES, Summer'!I$4</f>
        <v>16.546626231993937</v>
      </c>
      <c r="J8" s="6">
        <f>VLOOKUP($A8,'RES installed'!$A$2:$C$7,3,FALSE)*'[1]Profiles, RES, Summer'!J$4</f>
        <v>36.021607278241092</v>
      </c>
      <c r="K8" s="6">
        <f>VLOOKUP($A8,'RES installed'!$A$2:$C$7,3,FALSE)*'[1]Profiles, RES, Summer'!K$4</f>
        <v>55.610310841546621</v>
      </c>
      <c r="L8" s="6">
        <f>VLOOKUP($A8,'RES installed'!$A$2:$C$7,3,FALSE)*'[1]Profiles, RES, Summer'!L$4</f>
        <v>68.26194086429112</v>
      </c>
      <c r="M8" s="6">
        <f>VLOOKUP($A8,'RES installed'!$A$2:$C$7,3,FALSE)*'[1]Profiles, RES, Summer'!M$4</f>
        <v>73.009855951478386</v>
      </c>
      <c r="N8" s="6">
        <f>VLOOKUP($A8,'RES installed'!$A$2:$C$7,3,FALSE)*'[1]Profiles, RES, Summer'!N$4</f>
        <v>75</v>
      </c>
      <c r="O8" s="6">
        <f>VLOOKUP($A8,'RES installed'!$A$2:$C$7,3,FALSE)*'[1]Profiles, RES, Summer'!O$4</f>
        <v>73.692191053828651</v>
      </c>
      <c r="P8" s="6">
        <f>VLOOKUP($A8,'RES installed'!$A$2:$C$7,3,FALSE)*'[1]Profiles, RES, Summer'!P$4</f>
        <v>69.967778620166797</v>
      </c>
      <c r="Q8" s="6">
        <f>VLOOKUP($A8,'RES installed'!$A$2:$C$7,3,FALSE)*'[1]Profiles, RES, Summer'!Q$4</f>
        <v>61.921910538286582</v>
      </c>
      <c r="R8" s="6">
        <f>VLOOKUP($A8,'RES installed'!$A$2:$C$7,3,FALSE)*'[1]Profiles, RES, Summer'!R$4</f>
        <v>48.644806671721</v>
      </c>
      <c r="S8" s="6">
        <f>VLOOKUP($A8,'RES installed'!$A$2:$C$7,3,FALSE)*'[1]Profiles, RES, Summer'!S$4</f>
        <v>28.94238059135709</v>
      </c>
      <c r="T8" s="6">
        <f>VLOOKUP($A8,'RES installed'!$A$2:$C$7,3,FALSE)*'[1]Profiles, RES, Summer'!T$4</f>
        <v>8.8419257012888544</v>
      </c>
      <c r="U8" s="6">
        <f>VLOOKUP($A8,'RES installed'!$A$2:$C$7,3,FALSE)*'[1]Profiles, RES, Summer'!U$4</f>
        <v>0.39802880970432147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1.8953752843062926E-2</v>
      </c>
      <c r="H9" s="6">
        <f>VLOOKUP($A9,'RES installed'!$A$2:$C$7,3,FALSE)*'[1]Profiles, RES, Summer'!H$4</f>
        <v>2.3313115996967402</v>
      </c>
      <c r="I9" s="6">
        <f>VLOOKUP($A9,'RES installed'!$A$2:$C$7,3,FALSE)*'[1]Profiles, RES, Summer'!I$4</f>
        <v>11.031084154662624</v>
      </c>
      <c r="J9" s="6">
        <f>VLOOKUP($A9,'RES installed'!$A$2:$C$7,3,FALSE)*'[1]Profiles, RES, Summer'!J$4</f>
        <v>24.014404852160727</v>
      </c>
      <c r="K9" s="6">
        <f>VLOOKUP($A9,'RES installed'!$A$2:$C$7,3,FALSE)*'[1]Profiles, RES, Summer'!K$4</f>
        <v>37.073540561031081</v>
      </c>
      <c r="L9" s="6">
        <f>VLOOKUP($A9,'RES installed'!$A$2:$C$7,3,FALSE)*'[1]Profiles, RES, Summer'!L$4</f>
        <v>45.507960576194087</v>
      </c>
      <c r="M9" s="6">
        <f>VLOOKUP($A9,'RES installed'!$A$2:$C$7,3,FALSE)*'[1]Profiles, RES, Summer'!M$4</f>
        <v>48.673237300985598</v>
      </c>
      <c r="N9" s="6">
        <f>VLOOKUP($A9,'RES installed'!$A$2:$C$7,3,FALSE)*'[1]Profiles, RES, Summer'!N$4</f>
        <v>50</v>
      </c>
      <c r="O9" s="6">
        <f>VLOOKUP($A9,'RES installed'!$A$2:$C$7,3,FALSE)*'[1]Profiles, RES, Summer'!O$4</f>
        <v>49.128127369219108</v>
      </c>
      <c r="P9" s="6">
        <f>VLOOKUP($A9,'RES installed'!$A$2:$C$7,3,FALSE)*'[1]Profiles, RES, Summer'!P$4</f>
        <v>46.645185746777862</v>
      </c>
      <c r="Q9" s="6">
        <f>VLOOKUP($A9,'RES installed'!$A$2:$C$7,3,FALSE)*'[1]Profiles, RES, Summer'!Q$4</f>
        <v>41.281273692191057</v>
      </c>
      <c r="R9" s="6">
        <f>VLOOKUP($A9,'RES installed'!$A$2:$C$7,3,FALSE)*'[1]Profiles, RES, Summer'!R$4</f>
        <v>32.429871114480669</v>
      </c>
      <c r="S9" s="6">
        <f>VLOOKUP($A9,'RES installed'!$A$2:$C$7,3,FALSE)*'[1]Profiles, RES, Summer'!S$4</f>
        <v>19.294920394238062</v>
      </c>
      <c r="T9" s="6">
        <f>VLOOKUP($A9,'RES installed'!$A$2:$C$7,3,FALSE)*'[1]Profiles, RES, Summer'!T$4</f>
        <v>5.8946171341925702</v>
      </c>
      <c r="U9" s="6">
        <f>VLOOKUP($A9,'RES installed'!$A$2:$C$7,3,FALSE)*'[1]Profiles, RES, Summer'!U$4</f>
        <v>0.26535253980288098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2.2744503411675512E-2</v>
      </c>
      <c r="H10" s="6">
        <f>VLOOKUP($A10,'RES installed'!$A$2:$C$7,3,FALSE)*'[1]Profiles, RES, Summer'!H$4</f>
        <v>2.797573919636088</v>
      </c>
      <c r="I10" s="6">
        <f>VLOOKUP($A10,'RES installed'!$A$2:$C$7,3,FALSE)*'[1]Profiles, RES, Summer'!I$4</f>
        <v>13.237300985595148</v>
      </c>
      <c r="J10" s="6">
        <f>VLOOKUP($A10,'RES installed'!$A$2:$C$7,3,FALSE)*'[1]Profiles, RES, Summer'!J$4</f>
        <v>28.817285822592876</v>
      </c>
      <c r="K10" s="6">
        <f>VLOOKUP($A10,'RES installed'!$A$2:$C$7,3,FALSE)*'[1]Profiles, RES, Summer'!K$4</f>
        <v>44.488248673237301</v>
      </c>
      <c r="L10" s="6">
        <f>VLOOKUP($A10,'RES installed'!$A$2:$C$7,3,FALSE)*'[1]Profiles, RES, Summer'!L$4</f>
        <v>54.609552691432903</v>
      </c>
      <c r="M10" s="6">
        <f>VLOOKUP($A10,'RES installed'!$A$2:$C$7,3,FALSE)*'[1]Profiles, RES, Summer'!M$4</f>
        <v>58.407884761182714</v>
      </c>
      <c r="N10" s="6">
        <f>VLOOKUP($A10,'RES installed'!$A$2:$C$7,3,FALSE)*'[1]Profiles, RES, Summer'!N$4</f>
        <v>60</v>
      </c>
      <c r="O10" s="6">
        <f>VLOOKUP($A10,'RES installed'!$A$2:$C$7,3,FALSE)*'[1]Profiles, RES, Summer'!O$4</f>
        <v>58.953752843062922</v>
      </c>
      <c r="P10" s="6">
        <f>VLOOKUP($A10,'RES installed'!$A$2:$C$7,3,FALSE)*'[1]Profiles, RES, Summer'!P$4</f>
        <v>55.974222896133433</v>
      </c>
      <c r="Q10" s="6">
        <f>VLOOKUP($A10,'RES installed'!$A$2:$C$7,3,FALSE)*'[1]Profiles, RES, Summer'!Q$4</f>
        <v>49.537528430629266</v>
      </c>
      <c r="R10" s="6">
        <f>VLOOKUP($A10,'RES installed'!$A$2:$C$7,3,FALSE)*'[1]Profiles, RES, Summer'!R$4</f>
        <v>38.915845337376801</v>
      </c>
      <c r="S10" s="6">
        <f>VLOOKUP($A10,'RES installed'!$A$2:$C$7,3,FALSE)*'[1]Profiles, RES, Summer'!S$4</f>
        <v>23.153904473085671</v>
      </c>
      <c r="T10" s="6">
        <f>VLOOKUP($A10,'RES installed'!$A$2:$C$7,3,FALSE)*'[1]Profiles, RES, Summer'!T$4</f>
        <v>7.0735405610310842</v>
      </c>
      <c r="U10" s="6">
        <f>VLOOKUP($A10,'RES installed'!$A$2:$C$7,3,FALSE)*'[1]Profiles, RES, Summer'!U$4</f>
        <v>0.3184230477634572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AA333-26E9-417B-A58C-EE7213771561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12.157767964672821</v>
      </c>
      <c r="C5" s="9">
        <f>VLOOKUP($A5,'RES installed'!$A$2:$C$7,3,FALSE)*'[1]Profiles, RES, Summer'!C$5</f>
        <v>11.119028502609394</v>
      </c>
      <c r="D5" s="9">
        <f>VLOOKUP($A5,'RES installed'!$A$2:$C$7,3,FALSE)*'[1]Profiles, RES, Summer'!D$5</f>
        <v>9.7280208751505413</v>
      </c>
      <c r="E5" s="9">
        <f>VLOOKUP($A5,'RES installed'!$A$2:$C$7,3,FALSE)*'[1]Profiles, RES, Summer'!E$5</f>
        <v>9.6918908069048584</v>
      </c>
      <c r="F5" s="9">
        <f>VLOOKUP($A5,'RES installed'!$A$2:$C$7,3,FALSE)*'[1]Profiles, RES, Summer'!F$5</f>
        <v>9.1770373344038543</v>
      </c>
      <c r="G5" s="9">
        <f>VLOOKUP($A5,'RES installed'!$A$2:$C$7,3,FALSE)*'[1]Profiles, RES, Summer'!G$5</f>
        <v>8.4544359694901647</v>
      </c>
      <c r="H5" s="9">
        <f>VLOOKUP($A5,'RES installed'!$A$2:$C$7,3,FALSE)*'[1]Profiles, RES, Summer'!H$5</f>
        <v>7.433761541549579</v>
      </c>
      <c r="I5" s="9">
        <f>VLOOKUP($A5,'RES installed'!$A$2:$C$7,3,FALSE)*'[1]Profiles, RES, Summer'!I$5</f>
        <v>5.8440385387394622</v>
      </c>
      <c r="J5" s="9">
        <f>VLOOKUP($A5,'RES installed'!$A$2:$C$7,3,FALSE)*'[1]Profiles, RES, Summer'!J$5</f>
        <v>4.8594941790445603</v>
      </c>
      <c r="K5" s="9">
        <f>VLOOKUP($A5,'RES installed'!$A$2:$C$7,3,FALSE)*'[1]Profiles, RES, Summer'!K$5</f>
        <v>4.5433560818948218</v>
      </c>
      <c r="L5" s="9">
        <f>VLOOKUP($A5,'RES installed'!$A$2:$C$7,3,FALSE)*'[1]Profiles, RES, Summer'!L$5</f>
        <v>4.182055399437977</v>
      </c>
      <c r="M5" s="9">
        <f>VLOOKUP($A5,'RES installed'!$A$2:$C$7,3,FALSE)*'[1]Profiles, RES, Summer'!M$5</f>
        <v>4.7059413890004018</v>
      </c>
      <c r="N5" s="9">
        <f>VLOOKUP($A5,'RES installed'!$A$2:$C$7,3,FALSE)*'[1]Profiles, RES, Summer'!N$5</f>
        <v>5.9162986752308306</v>
      </c>
      <c r="O5" s="9">
        <f>VLOOKUP($A5,'RES installed'!$A$2:$C$7,3,FALSE)*'[1]Profiles, RES, Summer'!O$5</f>
        <v>7.3434363709353674</v>
      </c>
      <c r="P5" s="9">
        <f>VLOOKUP($A5,'RES installed'!$A$2:$C$7,3,FALSE)*'[1]Profiles, RES, Summer'!P$5</f>
        <v>9.8002810116419106</v>
      </c>
      <c r="Q5" s="9">
        <f>VLOOKUP($A5,'RES installed'!$A$2:$C$7,3,FALSE)*'[1]Profiles, RES, Summer'!Q$5</f>
        <v>12.510036130068245</v>
      </c>
      <c r="R5" s="9">
        <f>VLOOKUP($A5,'RES installed'!$A$2:$C$7,3,FALSE)*'[1]Profiles, RES, Summer'!R$5</f>
        <v>14.786230429546368</v>
      </c>
      <c r="S5" s="9">
        <f>VLOOKUP($A5,'RES installed'!$A$2:$C$7,3,FALSE)*'[1]Profiles, RES, Summer'!S$5</f>
        <v>15.77980730630269</v>
      </c>
      <c r="T5" s="9">
        <f>VLOOKUP($A5,'RES installed'!$A$2:$C$7,3,FALSE)*'[1]Profiles, RES, Summer'!T$5</f>
        <v>16.981132075471699</v>
      </c>
      <c r="U5" s="9">
        <f>VLOOKUP($A5,'RES installed'!$A$2:$C$7,3,FALSE)*'[1]Profiles, RES, Summer'!U$5</f>
        <v>18.914090726615814</v>
      </c>
      <c r="V5" s="9">
        <f>VLOOKUP($A5,'RES installed'!$A$2:$C$7,3,FALSE)*'[1]Profiles, RES, Summer'!V$5</f>
        <v>20.856081894821358</v>
      </c>
      <c r="W5" s="9">
        <f>VLOOKUP($A5,'RES installed'!$A$2:$C$7,3,FALSE)*'[1]Profiles, RES, Summer'!W$5</f>
        <v>21.723203532717786</v>
      </c>
      <c r="X5" s="9">
        <f>VLOOKUP($A5,'RES installed'!$A$2:$C$7,3,FALSE)*'[1]Profiles, RES, Summer'!X$5</f>
        <v>21.822561220393414</v>
      </c>
      <c r="Y5" s="9">
        <f>VLOOKUP($A5,'RES installed'!$A$2:$C$7,3,FALSE)*'[1]Profiles, RES, Summer'!Y$5</f>
        <v>21.0457647531112</v>
      </c>
    </row>
    <row r="6" spans="1:25" x14ac:dyDescent="0.3">
      <c r="A6" s="8">
        <v>5</v>
      </c>
      <c r="B6" s="9">
        <f>VLOOKUP($A6,'RES installed'!$A$2:$C$7,3,FALSE)*'[1]Profiles, RES, Summer'!B$5</f>
        <v>16.210357286230426</v>
      </c>
      <c r="C6" s="9">
        <f>VLOOKUP($A6,'RES installed'!$A$2:$C$7,3,FALSE)*'[1]Profiles, RES, Summer'!C$5</f>
        <v>14.825371336812525</v>
      </c>
      <c r="D6" s="9">
        <f>VLOOKUP($A6,'RES installed'!$A$2:$C$7,3,FALSE)*'[1]Profiles, RES, Summer'!D$5</f>
        <v>12.970694500200722</v>
      </c>
      <c r="E6" s="9">
        <f>VLOOKUP($A6,'RES installed'!$A$2:$C$7,3,FALSE)*'[1]Profiles, RES, Summer'!E$5</f>
        <v>12.922521075873144</v>
      </c>
      <c r="F6" s="9">
        <f>VLOOKUP($A6,'RES installed'!$A$2:$C$7,3,FALSE)*'[1]Profiles, RES, Summer'!F$5</f>
        <v>12.236049779205139</v>
      </c>
      <c r="G6" s="9">
        <f>VLOOKUP($A6,'RES installed'!$A$2:$C$7,3,FALSE)*'[1]Profiles, RES, Summer'!G$5</f>
        <v>11.272581292653554</v>
      </c>
      <c r="H6" s="9">
        <f>VLOOKUP($A6,'RES installed'!$A$2:$C$7,3,FALSE)*'[1]Profiles, RES, Summer'!H$5</f>
        <v>9.9116820553994387</v>
      </c>
      <c r="I6" s="9">
        <f>VLOOKUP($A6,'RES installed'!$A$2:$C$7,3,FALSE)*'[1]Profiles, RES, Summer'!I$5</f>
        <v>7.7920513849859487</v>
      </c>
      <c r="J6" s="9">
        <f>VLOOKUP($A6,'RES installed'!$A$2:$C$7,3,FALSE)*'[1]Profiles, RES, Summer'!J$5</f>
        <v>6.4793255720594134</v>
      </c>
      <c r="K6" s="9">
        <f>VLOOKUP($A6,'RES installed'!$A$2:$C$7,3,FALSE)*'[1]Profiles, RES, Summer'!K$5</f>
        <v>6.0578081091930951</v>
      </c>
      <c r="L6" s="9">
        <f>VLOOKUP($A6,'RES installed'!$A$2:$C$7,3,FALSE)*'[1]Profiles, RES, Summer'!L$5</f>
        <v>5.5760738659173024</v>
      </c>
      <c r="M6" s="9">
        <f>VLOOKUP($A6,'RES installed'!$A$2:$C$7,3,FALSE)*'[1]Profiles, RES, Summer'!M$5</f>
        <v>6.2745885186672021</v>
      </c>
      <c r="N6" s="9">
        <f>VLOOKUP($A6,'RES installed'!$A$2:$C$7,3,FALSE)*'[1]Profiles, RES, Summer'!N$5</f>
        <v>7.8883982336411069</v>
      </c>
      <c r="O6" s="9">
        <f>VLOOKUP($A6,'RES installed'!$A$2:$C$7,3,FALSE)*'[1]Profiles, RES, Summer'!O$5</f>
        <v>9.7912484945804898</v>
      </c>
      <c r="P6" s="9">
        <f>VLOOKUP($A6,'RES installed'!$A$2:$C$7,3,FALSE)*'[1]Profiles, RES, Summer'!P$5</f>
        <v>13.067041348855881</v>
      </c>
      <c r="Q6" s="9">
        <f>VLOOKUP($A6,'RES installed'!$A$2:$C$7,3,FALSE)*'[1]Profiles, RES, Summer'!Q$5</f>
        <v>16.680048173424328</v>
      </c>
      <c r="R6" s="9">
        <f>VLOOKUP($A6,'RES installed'!$A$2:$C$7,3,FALSE)*'[1]Profiles, RES, Summer'!R$5</f>
        <v>19.714973906061822</v>
      </c>
      <c r="S6" s="9">
        <f>VLOOKUP($A6,'RES installed'!$A$2:$C$7,3,FALSE)*'[1]Profiles, RES, Summer'!S$5</f>
        <v>21.039743075070252</v>
      </c>
      <c r="T6" s="9">
        <f>VLOOKUP($A6,'RES installed'!$A$2:$C$7,3,FALSE)*'[1]Profiles, RES, Summer'!T$5</f>
        <v>22.641509433962266</v>
      </c>
      <c r="U6" s="9">
        <f>VLOOKUP($A6,'RES installed'!$A$2:$C$7,3,FALSE)*'[1]Profiles, RES, Summer'!U$5</f>
        <v>25.218787635487754</v>
      </c>
      <c r="V6" s="9">
        <f>VLOOKUP($A6,'RES installed'!$A$2:$C$7,3,FALSE)*'[1]Profiles, RES, Summer'!V$5</f>
        <v>27.808109193095145</v>
      </c>
      <c r="W6" s="9">
        <f>VLOOKUP($A6,'RES installed'!$A$2:$C$7,3,FALSE)*'[1]Profiles, RES, Summer'!W$5</f>
        <v>28.964271376957047</v>
      </c>
      <c r="X6" s="9">
        <f>VLOOKUP($A6,'RES installed'!$A$2:$C$7,3,FALSE)*'[1]Profiles, RES, Summer'!X$5</f>
        <v>29.096748293857885</v>
      </c>
      <c r="Y6" s="9">
        <f>VLOOKUP($A6,'RES installed'!$A$2:$C$7,3,FALSE)*'[1]Profiles, RES, Summer'!Y$5</f>
        <v>28.061019670814932</v>
      </c>
    </row>
    <row r="7" spans="1:25" x14ac:dyDescent="0.3">
      <c r="A7" s="8">
        <v>6</v>
      </c>
      <c r="B7" s="9">
        <f>VLOOKUP($A7,'RES installed'!$A$2:$C$7,3,FALSE)*'[1]Profiles, RES, Summer'!B$5</f>
        <v>12.157767964672821</v>
      </c>
      <c r="C7" s="9">
        <f>VLOOKUP($A7,'RES installed'!$A$2:$C$7,3,FALSE)*'[1]Profiles, RES, Summer'!C$5</f>
        <v>11.119028502609394</v>
      </c>
      <c r="D7" s="9">
        <f>VLOOKUP($A7,'RES installed'!$A$2:$C$7,3,FALSE)*'[1]Profiles, RES, Summer'!D$5</f>
        <v>9.7280208751505413</v>
      </c>
      <c r="E7" s="9">
        <f>VLOOKUP($A7,'RES installed'!$A$2:$C$7,3,FALSE)*'[1]Profiles, RES, Summer'!E$5</f>
        <v>9.6918908069048584</v>
      </c>
      <c r="F7" s="9">
        <f>VLOOKUP($A7,'RES installed'!$A$2:$C$7,3,FALSE)*'[1]Profiles, RES, Summer'!F$5</f>
        <v>9.1770373344038543</v>
      </c>
      <c r="G7" s="9">
        <f>VLOOKUP($A7,'RES installed'!$A$2:$C$7,3,FALSE)*'[1]Profiles, RES, Summer'!G$5</f>
        <v>8.4544359694901647</v>
      </c>
      <c r="H7" s="9">
        <f>VLOOKUP($A7,'RES installed'!$A$2:$C$7,3,FALSE)*'[1]Profiles, RES, Summer'!H$5</f>
        <v>7.433761541549579</v>
      </c>
      <c r="I7" s="9">
        <f>VLOOKUP($A7,'RES installed'!$A$2:$C$7,3,FALSE)*'[1]Profiles, RES, Summer'!I$5</f>
        <v>5.8440385387394622</v>
      </c>
      <c r="J7" s="9">
        <f>VLOOKUP($A7,'RES installed'!$A$2:$C$7,3,FALSE)*'[1]Profiles, RES, Summer'!J$5</f>
        <v>4.8594941790445603</v>
      </c>
      <c r="K7" s="9">
        <f>VLOOKUP($A7,'RES installed'!$A$2:$C$7,3,FALSE)*'[1]Profiles, RES, Summer'!K$5</f>
        <v>4.5433560818948218</v>
      </c>
      <c r="L7" s="9">
        <f>VLOOKUP($A7,'RES installed'!$A$2:$C$7,3,FALSE)*'[1]Profiles, RES, Summer'!L$5</f>
        <v>4.182055399437977</v>
      </c>
      <c r="M7" s="9">
        <f>VLOOKUP($A7,'RES installed'!$A$2:$C$7,3,FALSE)*'[1]Profiles, RES, Summer'!M$5</f>
        <v>4.7059413890004018</v>
      </c>
      <c r="N7" s="9">
        <f>VLOOKUP($A7,'RES installed'!$A$2:$C$7,3,FALSE)*'[1]Profiles, RES, Summer'!N$5</f>
        <v>5.9162986752308306</v>
      </c>
      <c r="O7" s="9">
        <f>VLOOKUP($A7,'RES installed'!$A$2:$C$7,3,FALSE)*'[1]Profiles, RES, Summer'!O$5</f>
        <v>7.3434363709353674</v>
      </c>
      <c r="P7" s="9">
        <f>VLOOKUP($A7,'RES installed'!$A$2:$C$7,3,FALSE)*'[1]Profiles, RES, Summer'!P$5</f>
        <v>9.8002810116419106</v>
      </c>
      <c r="Q7" s="9">
        <f>VLOOKUP($A7,'RES installed'!$A$2:$C$7,3,FALSE)*'[1]Profiles, RES, Summer'!Q$5</f>
        <v>12.510036130068245</v>
      </c>
      <c r="R7" s="9">
        <f>VLOOKUP($A7,'RES installed'!$A$2:$C$7,3,FALSE)*'[1]Profiles, RES, Summer'!R$5</f>
        <v>14.786230429546368</v>
      </c>
      <c r="S7" s="9">
        <f>VLOOKUP($A7,'RES installed'!$A$2:$C$7,3,FALSE)*'[1]Profiles, RES, Summer'!S$5</f>
        <v>15.77980730630269</v>
      </c>
      <c r="T7" s="9">
        <f>VLOOKUP($A7,'RES installed'!$A$2:$C$7,3,FALSE)*'[1]Profiles, RES, Summer'!T$5</f>
        <v>16.981132075471699</v>
      </c>
      <c r="U7" s="9">
        <f>VLOOKUP($A7,'RES installed'!$A$2:$C$7,3,FALSE)*'[1]Profiles, RES, Summer'!U$5</f>
        <v>18.914090726615814</v>
      </c>
      <c r="V7" s="9">
        <f>VLOOKUP($A7,'RES installed'!$A$2:$C$7,3,FALSE)*'[1]Profiles, RES, Summer'!V$5</f>
        <v>20.856081894821358</v>
      </c>
      <c r="W7" s="9">
        <f>VLOOKUP($A7,'RES installed'!$A$2:$C$7,3,FALSE)*'[1]Profiles, RES, Summer'!W$5</f>
        <v>21.723203532717786</v>
      </c>
      <c r="X7" s="9">
        <f>VLOOKUP($A7,'RES installed'!$A$2:$C$7,3,FALSE)*'[1]Profiles, RES, Summer'!X$5</f>
        <v>21.822561220393414</v>
      </c>
      <c r="Y7" s="9">
        <f>VLOOKUP($A7,'RES installed'!$A$2:$C$7,3,FALSE)*'[1]Profiles, RES, Summer'!Y$5</f>
        <v>21.0457647531112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0.17058377558756635</v>
      </c>
      <c r="H8" s="6">
        <f>VLOOKUP($A8,'RES installed'!$A$2:$C$7,3,FALSE)*'[1]Profiles, RES, Summer'!H$2</f>
        <v>5.003790750568613</v>
      </c>
      <c r="I8" s="6">
        <f>VLOOKUP($A8,'RES installed'!$A$2:$C$7,3,FALSE)*'[1]Profiles, RES, Summer'!I$2</f>
        <v>20.811220621683095</v>
      </c>
      <c r="J8" s="6">
        <f>VLOOKUP($A8,'RES installed'!$A$2:$C$7,3,FALSE)*'[1]Profiles, RES, Summer'!J$2</f>
        <v>43.100833965125098</v>
      </c>
      <c r="K8" s="6">
        <f>VLOOKUP($A8,'RES installed'!$A$2:$C$7,3,FALSE)*'[1]Profiles, RES, Summer'!K$2</f>
        <v>56.719105382865806</v>
      </c>
      <c r="L8" s="6">
        <f>VLOOKUP($A8,'RES installed'!$A$2:$C$7,3,FALSE)*'[1]Profiles, RES, Summer'!L$2</f>
        <v>65.163002274450335</v>
      </c>
      <c r="M8" s="6">
        <f>VLOOKUP($A8,'RES installed'!$A$2:$C$7,3,FALSE)*'[1]Profiles, RES, Summer'!M$2</f>
        <v>68.97270659590599</v>
      </c>
      <c r="N8" s="6">
        <f>VLOOKUP($A8,'RES installed'!$A$2:$C$7,3,FALSE)*'[1]Profiles, RES, Summer'!N$2</f>
        <v>70.507960576194094</v>
      </c>
      <c r="O8" s="6">
        <f>VLOOKUP($A8,'RES installed'!$A$2:$C$7,3,FALSE)*'[1]Profiles, RES, Summer'!O$2</f>
        <v>70.536391205458685</v>
      </c>
      <c r="P8" s="6">
        <f>VLOOKUP($A8,'RES installed'!$A$2:$C$7,3,FALSE)*'[1]Profiles, RES, Summer'!P$2</f>
        <v>68.119787717968151</v>
      </c>
      <c r="Q8" s="6">
        <f>VLOOKUP($A8,'RES installed'!$A$2:$C$7,3,FALSE)*'[1]Profiles, RES, Summer'!Q$2</f>
        <v>60.585670962850642</v>
      </c>
      <c r="R8" s="6">
        <f>VLOOKUP($A8,'RES installed'!$A$2:$C$7,3,FALSE)*'[1]Profiles, RES, Summer'!R$2</f>
        <v>48.55951478392722</v>
      </c>
      <c r="S8" s="6">
        <f>VLOOKUP($A8,'RES installed'!$A$2:$C$7,3,FALSE)*'[1]Profiles, RES, Summer'!S$2</f>
        <v>31.415845337376801</v>
      </c>
      <c r="T8" s="6">
        <f>VLOOKUP($A8,'RES installed'!$A$2:$C$7,3,FALSE)*'[1]Profiles, RES, Summer'!T$2</f>
        <v>10.945792266868841</v>
      </c>
      <c r="U8" s="6">
        <f>VLOOKUP($A8,'RES installed'!$A$2:$C$7,3,FALSE)*'[1]Profiles, RES, Summer'!U$2</f>
        <v>0.90978013646702049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0.11372251705837756</v>
      </c>
      <c r="H9" s="6">
        <f>VLOOKUP($A9,'RES installed'!$A$2:$C$7,3,FALSE)*'[1]Profiles, RES, Summer'!H$2</f>
        <v>3.3358605003790753</v>
      </c>
      <c r="I9" s="6">
        <f>VLOOKUP($A9,'RES installed'!$A$2:$C$7,3,FALSE)*'[1]Profiles, RES, Summer'!I$2</f>
        <v>13.874147081122063</v>
      </c>
      <c r="J9" s="6">
        <f>VLOOKUP($A9,'RES installed'!$A$2:$C$7,3,FALSE)*'[1]Profiles, RES, Summer'!J$2</f>
        <v>28.733889310083399</v>
      </c>
      <c r="K9" s="6">
        <f>VLOOKUP($A9,'RES installed'!$A$2:$C$7,3,FALSE)*'[1]Profiles, RES, Summer'!K$2</f>
        <v>37.812736921910542</v>
      </c>
      <c r="L9" s="6">
        <f>VLOOKUP($A9,'RES installed'!$A$2:$C$7,3,FALSE)*'[1]Profiles, RES, Summer'!L$2</f>
        <v>43.44200151630023</v>
      </c>
      <c r="M9" s="6">
        <f>VLOOKUP($A9,'RES installed'!$A$2:$C$7,3,FALSE)*'[1]Profiles, RES, Summer'!M$2</f>
        <v>45.981804397270658</v>
      </c>
      <c r="N9" s="6">
        <f>VLOOKUP($A9,'RES installed'!$A$2:$C$7,3,FALSE)*'[1]Profiles, RES, Summer'!N$2</f>
        <v>47.005307050796056</v>
      </c>
      <c r="O9" s="6">
        <f>VLOOKUP($A9,'RES installed'!$A$2:$C$7,3,FALSE)*'[1]Profiles, RES, Summer'!O$2</f>
        <v>47.024260803639123</v>
      </c>
      <c r="P9" s="6">
        <f>VLOOKUP($A9,'RES installed'!$A$2:$C$7,3,FALSE)*'[1]Profiles, RES, Summer'!P$2</f>
        <v>45.41319181197877</v>
      </c>
      <c r="Q9" s="6">
        <f>VLOOKUP($A9,'RES installed'!$A$2:$C$7,3,FALSE)*'[1]Profiles, RES, Summer'!Q$2</f>
        <v>40.390447308567097</v>
      </c>
      <c r="R9" s="6">
        <f>VLOOKUP($A9,'RES installed'!$A$2:$C$7,3,FALSE)*'[1]Profiles, RES, Summer'!R$2</f>
        <v>32.37300985595148</v>
      </c>
      <c r="S9" s="6">
        <f>VLOOKUP($A9,'RES installed'!$A$2:$C$7,3,FALSE)*'[1]Profiles, RES, Summer'!S$2</f>
        <v>20.943896891584536</v>
      </c>
      <c r="T9" s="6">
        <f>VLOOKUP($A9,'RES installed'!$A$2:$C$7,3,FALSE)*'[1]Profiles, RES, Summer'!T$2</f>
        <v>7.2971948445792272</v>
      </c>
      <c r="U9" s="6">
        <f>VLOOKUP($A9,'RES installed'!$A$2:$C$7,3,FALSE)*'[1]Profiles, RES, Summer'!U$2</f>
        <v>0.60652009097801363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0.13646702047005307</v>
      </c>
      <c r="H10" s="6">
        <f>VLOOKUP($A10,'RES installed'!$A$2:$C$7,3,FALSE)*'[1]Profiles, RES, Summer'!H$2</f>
        <v>4.0030326004548904</v>
      </c>
      <c r="I10" s="6">
        <f>VLOOKUP($A10,'RES installed'!$A$2:$C$7,3,FALSE)*'[1]Profiles, RES, Summer'!I$2</f>
        <v>16.648976497346474</v>
      </c>
      <c r="J10" s="6">
        <f>VLOOKUP($A10,'RES installed'!$A$2:$C$7,3,FALSE)*'[1]Profiles, RES, Summer'!J$2</f>
        <v>34.480667172100077</v>
      </c>
      <c r="K10" s="6">
        <f>VLOOKUP($A10,'RES installed'!$A$2:$C$7,3,FALSE)*'[1]Profiles, RES, Summer'!K$2</f>
        <v>45.375284306292649</v>
      </c>
      <c r="L10" s="6">
        <f>VLOOKUP($A10,'RES installed'!$A$2:$C$7,3,FALSE)*'[1]Profiles, RES, Summer'!L$2</f>
        <v>52.130401819560269</v>
      </c>
      <c r="M10" s="6">
        <f>VLOOKUP($A10,'RES installed'!$A$2:$C$7,3,FALSE)*'[1]Profiles, RES, Summer'!M$2</f>
        <v>55.178165276724791</v>
      </c>
      <c r="N10" s="6">
        <f>VLOOKUP($A10,'RES installed'!$A$2:$C$7,3,FALSE)*'[1]Profiles, RES, Summer'!N$2</f>
        <v>56.406368460955271</v>
      </c>
      <c r="O10" s="6">
        <f>VLOOKUP($A10,'RES installed'!$A$2:$C$7,3,FALSE)*'[1]Profiles, RES, Summer'!O$2</f>
        <v>56.429112964366951</v>
      </c>
      <c r="P10" s="6">
        <f>VLOOKUP($A10,'RES installed'!$A$2:$C$7,3,FALSE)*'[1]Profiles, RES, Summer'!P$2</f>
        <v>54.495830174374525</v>
      </c>
      <c r="Q10" s="6">
        <f>VLOOKUP($A10,'RES installed'!$A$2:$C$7,3,FALSE)*'[1]Profiles, RES, Summer'!Q$2</f>
        <v>48.468536770280515</v>
      </c>
      <c r="R10" s="6">
        <f>VLOOKUP($A10,'RES installed'!$A$2:$C$7,3,FALSE)*'[1]Profiles, RES, Summer'!R$2</f>
        <v>38.847611827141776</v>
      </c>
      <c r="S10" s="6">
        <f>VLOOKUP($A10,'RES installed'!$A$2:$C$7,3,FALSE)*'[1]Profiles, RES, Summer'!S$2</f>
        <v>25.132676269901442</v>
      </c>
      <c r="T10" s="6">
        <f>VLOOKUP($A10,'RES installed'!$A$2:$C$7,3,FALSE)*'[1]Profiles, RES, Summer'!T$2</f>
        <v>8.756633813495073</v>
      </c>
      <c r="U10" s="6">
        <f>VLOOKUP($A10,'RES installed'!$A$2:$C$7,3,FALSE)*'[1]Profiles, RES, Summer'!U$2</f>
        <v>0.7278241091736164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70B82-25CF-4E12-83AD-E927C94A30D0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12.826174227217987</v>
      </c>
      <c r="C5" s="9">
        <f>VLOOKUP($A5,'RES installed'!$A$2:$C$7,3,FALSE)*'[1]Profiles, RES, Summer'!C$6</f>
        <v>11.913890004014451</v>
      </c>
      <c r="D5" s="9">
        <f>VLOOKUP($A5,'RES installed'!$A$2:$C$7,3,FALSE)*'[1]Profiles, RES, Summer'!D$6</f>
        <v>12.112605379365716</v>
      </c>
      <c r="E5" s="9">
        <f>VLOOKUP($A5,'RES installed'!$A$2:$C$7,3,FALSE)*'[1]Profiles, RES, Summer'!E$6</f>
        <v>10.947410678442393</v>
      </c>
      <c r="F5" s="9">
        <f>VLOOKUP($A5,'RES installed'!$A$2:$C$7,3,FALSE)*'[1]Profiles, RES, Summer'!F$6</f>
        <v>10.242874347651545</v>
      </c>
      <c r="G5" s="9">
        <f>VLOOKUP($A5,'RES installed'!$A$2:$C$7,3,FALSE)*'[1]Profiles, RES, Summer'!G$6</f>
        <v>10.875150541951024</v>
      </c>
      <c r="H5" s="9">
        <f>VLOOKUP($A5,'RES installed'!$A$2:$C$7,3,FALSE)*'[1]Profiles, RES, Summer'!H$6</f>
        <v>10.757727820152549</v>
      </c>
      <c r="I5" s="9">
        <f>VLOOKUP($A5,'RES installed'!$A$2:$C$7,3,FALSE)*'[1]Profiles, RES, Summer'!I$6</f>
        <v>7.9305499799277399</v>
      </c>
      <c r="J5" s="9">
        <f>VLOOKUP($A5,'RES installed'!$A$2:$C$7,3,FALSE)*'[1]Profiles, RES, Summer'!J$6</f>
        <v>5.0762745885186673</v>
      </c>
      <c r="K5" s="9">
        <f>VLOOKUP($A5,'RES installed'!$A$2:$C$7,3,FALSE)*'[1]Profiles, RES, Summer'!K$6</f>
        <v>3.6942994781212364</v>
      </c>
      <c r="L5" s="9">
        <f>VLOOKUP($A5,'RES installed'!$A$2:$C$7,3,FALSE)*'[1]Profiles, RES, Summer'!L$6</f>
        <v>2.7910477719791249</v>
      </c>
      <c r="M5" s="9">
        <f>VLOOKUP($A5,'RES installed'!$A$2:$C$7,3,FALSE)*'[1]Profiles, RES, Summer'!M$6</f>
        <v>2.6194299478121237</v>
      </c>
      <c r="N5" s="9">
        <f>VLOOKUP($A5,'RES installed'!$A$2:$C$7,3,FALSE)*'[1]Profiles, RES, Summer'!N$6</f>
        <v>3.2788036932958651</v>
      </c>
      <c r="O5" s="9">
        <f>VLOOKUP($A5,'RES installed'!$A$2:$C$7,3,FALSE)*'[1]Profiles, RES, Summer'!O$6</f>
        <v>4.2543155359293454</v>
      </c>
      <c r="P5" s="9">
        <f>VLOOKUP($A5,'RES installed'!$A$2:$C$7,3,FALSE)*'[1]Profiles, RES, Summer'!P$6</f>
        <v>6.0608189482135693</v>
      </c>
      <c r="Q5" s="9">
        <f>VLOOKUP($A5,'RES installed'!$A$2:$C$7,3,FALSE)*'[1]Profiles, RES, Summer'!Q$6</f>
        <v>7.6505419510236852</v>
      </c>
      <c r="R5" s="9">
        <f>VLOOKUP($A5,'RES installed'!$A$2:$C$7,3,FALSE)*'[1]Profiles, RES, Summer'!R$6</f>
        <v>9.1589723002810111</v>
      </c>
      <c r="S5" s="9">
        <f>VLOOKUP($A5,'RES installed'!$A$2:$C$7,3,FALSE)*'[1]Profiles, RES, Summer'!S$6</f>
        <v>9.7822159775190691</v>
      </c>
      <c r="T5" s="9">
        <f>VLOOKUP($A5,'RES installed'!$A$2:$C$7,3,FALSE)*'[1]Profiles, RES, Summer'!T$6</f>
        <v>9.3034925732637497</v>
      </c>
      <c r="U5" s="9">
        <f>VLOOKUP($A5,'RES installed'!$A$2:$C$7,3,FALSE)*'[1]Profiles, RES, Summer'!U$6</f>
        <v>9.0234845443596949</v>
      </c>
      <c r="V5" s="9">
        <f>VLOOKUP($A5,'RES installed'!$A$2:$C$7,3,FALSE)*'[1]Profiles, RES, Summer'!V$6</f>
        <v>9.0505820955439589</v>
      </c>
      <c r="W5" s="9">
        <f>VLOOKUP($A5,'RES installed'!$A$2:$C$7,3,FALSE)*'[1]Profiles, RES, Summer'!W$6</f>
        <v>8.3189482135688468</v>
      </c>
      <c r="X5" s="9">
        <f>VLOOKUP($A5,'RES installed'!$A$2:$C$7,3,FALSE)*'[1]Profiles, RES, Summer'!X$6</f>
        <v>7.7137695704536338</v>
      </c>
      <c r="Y5" s="9">
        <f>VLOOKUP($A5,'RES installed'!$A$2:$C$7,3,FALSE)*'[1]Profiles, RES, Summer'!Y$6</f>
        <v>7.8492573263749499</v>
      </c>
    </row>
    <row r="6" spans="1:25" x14ac:dyDescent="0.3">
      <c r="A6" s="8">
        <v>5</v>
      </c>
      <c r="B6" s="9">
        <f>VLOOKUP($A6,'RES installed'!$A$2:$C$7,3,FALSE)*'[1]Profiles, RES, Summer'!B$6</f>
        <v>17.101565636290648</v>
      </c>
      <c r="C6" s="9">
        <f>VLOOKUP($A6,'RES installed'!$A$2:$C$7,3,FALSE)*'[1]Profiles, RES, Summer'!C$6</f>
        <v>15.885186672019268</v>
      </c>
      <c r="D6" s="9">
        <f>VLOOKUP($A6,'RES installed'!$A$2:$C$7,3,FALSE)*'[1]Profiles, RES, Summer'!D$6</f>
        <v>16.150140505820954</v>
      </c>
      <c r="E6" s="9">
        <f>VLOOKUP($A6,'RES installed'!$A$2:$C$7,3,FALSE)*'[1]Profiles, RES, Summer'!E$6</f>
        <v>14.596547571256524</v>
      </c>
      <c r="F6" s="9">
        <f>VLOOKUP($A6,'RES installed'!$A$2:$C$7,3,FALSE)*'[1]Profiles, RES, Summer'!F$6</f>
        <v>13.657165796868727</v>
      </c>
      <c r="G6" s="9">
        <f>VLOOKUP($A6,'RES installed'!$A$2:$C$7,3,FALSE)*'[1]Profiles, RES, Summer'!G$6</f>
        <v>14.500200722601365</v>
      </c>
      <c r="H6" s="9">
        <f>VLOOKUP($A6,'RES installed'!$A$2:$C$7,3,FALSE)*'[1]Profiles, RES, Summer'!H$6</f>
        <v>14.343637093536731</v>
      </c>
      <c r="I6" s="9">
        <f>VLOOKUP($A6,'RES installed'!$A$2:$C$7,3,FALSE)*'[1]Profiles, RES, Summer'!I$6</f>
        <v>10.574066639903654</v>
      </c>
      <c r="J6" s="9">
        <f>VLOOKUP($A6,'RES installed'!$A$2:$C$7,3,FALSE)*'[1]Profiles, RES, Summer'!J$6</f>
        <v>6.7683661180248897</v>
      </c>
      <c r="K6" s="9">
        <f>VLOOKUP($A6,'RES installed'!$A$2:$C$7,3,FALSE)*'[1]Profiles, RES, Summer'!K$6</f>
        <v>4.9257326374949812</v>
      </c>
      <c r="L6" s="9">
        <f>VLOOKUP($A6,'RES installed'!$A$2:$C$7,3,FALSE)*'[1]Profiles, RES, Summer'!L$6</f>
        <v>3.7213970293054994</v>
      </c>
      <c r="M6" s="9">
        <f>VLOOKUP($A6,'RES installed'!$A$2:$C$7,3,FALSE)*'[1]Profiles, RES, Summer'!M$6</f>
        <v>3.4925732637494979</v>
      </c>
      <c r="N6" s="9">
        <f>VLOOKUP($A6,'RES installed'!$A$2:$C$7,3,FALSE)*'[1]Profiles, RES, Summer'!N$6</f>
        <v>4.3717382577278201</v>
      </c>
      <c r="O6" s="9">
        <f>VLOOKUP($A6,'RES installed'!$A$2:$C$7,3,FALSE)*'[1]Profiles, RES, Summer'!O$6</f>
        <v>5.6724207145724606</v>
      </c>
      <c r="P6" s="9">
        <f>VLOOKUP($A6,'RES installed'!$A$2:$C$7,3,FALSE)*'[1]Profiles, RES, Summer'!P$6</f>
        <v>8.0810919309514251</v>
      </c>
      <c r="Q6" s="9">
        <f>VLOOKUP($A6,'RES installed'!$A$2:$C$7,3,FALSE)*'[1]Profiles, RES, Summer'!Q$6</f>
        <v>10.200722601364912</v>
      </c>
      <c r="R6" s="9">
        <f>VLOOKUP($A6,'RES installed'!$A$2:$C$7,3,FALSE)*'[1]Profiles, RES, Summer'!R$6</f>
        <v>12.211963067041349</v>
      </c>
      <c r="S6" s="9">
        <f>VLOOKUP($A6,'RES installed'!$A$2:$C$7,3,FALSE)*'[1]Profiles, RES, Summer'!S$6</f>
        <v>13.042954636692093</v>
      </c>
      <c r="T6" s="9">
        <f>VLOOKUP($A6,'RES installed'!$A$2:$C$7,3,FALSE)*'[1]Profiles, RES, Summer'!T$6</f>
        <v>12.404656764351666</v>
      </c>
      <c r="U6" s="9">
        <f>VLOOKUP($A6,'RES installed'!$A$2:$C$7,3,FALSE)*'[1]Profiles, RES, Summer'!U$6</f>
        <v>12.031312725812926</v>
      </c>
      <c r="V6" s="9">
        <f>VLOOKUP($A6,'RES installed'!$A$2:$C$7,3,FALSE)*'[1]Profiles, RES, Summer'!V$6</f>
        <v>12.067442794058611</v>
      </c>
      <c r="W6" s="9">
        <f>VLOOKUP($A6,'RES installed'!$A$2:$C$7,3,FALSE)*'[1]Profiles, RES, Summer'!W$6</f>
        <v>11.09193095142513</v>
      </c>
      <c r="X6" s="9">
        <f>VLOOKUP($A6,'RES installed'!$A$2:$C$7,3,FALSE)*'[1]Profiles, RES, Summer'!X$6</f>
        <v>10.285026093938178</v>
      </c>
      <c r="Y6" s="9">
        <f>VLOOKUP($A6,'RES installed'!$A$2:$C$7,3,FALSE)*'[1]Profiles, RES, Summer'!Y$6</f>
        <v>10.4656764351666</v>
      </c>
    </row>
    <row r="7" spans="1:25" x14ac:dyDescent="0.3">
      <c r="A7" s="8">
        <v>6</v>
      </c>
      <c r="B7" s="9">
        <f>VLOOKUP($A7,'RES installed'!$A$2:$C$7,3,FALSE)*'[1]Profiles, RES, Summer'!B$6</f>
        <v>12.826174227217987</v>
      </c>
      <c r="C7" s="9">
        <f>VLOOKUP($A7,'RES installed'!$A$2:$C$7,3,FALSE)*'[1]Profiles, RES, Summer'!C$6</f>
        <v>11.913890004014451</v>
      </c>
      <c r="D7" s="9">
        <f>VLOOKUP($A7,'RES installed'!$A$2:$C$7,3,FALSE)*'[1]Profiles, RES, Summer'!D$6</f>
        <v>12.112605379365716</v>
      </c>
      <c r="E7" s="9">
        <f>VLOOKUP($A7,'RES installed'!$A$2:$C$7,3,FALSE)*'[1]Profiles, RES, Summer'!E$6</f>
        <v>10.947410678442393</v>
      </c>
      <c r="F7" s="9">
        <f>VLOOKUP($A7,'RES installed'!$A$2:$C$7,3,FALSE)*'[1]Profiles, RES, Summer'!F$6</f>
        <v>10.242874347651545</v>
      </c>
      <c r="G7" s="9">
        <f>VLOOKUP($A7,'RES installed'!$A$2:$C$7,3,FALSE)*'[1]Profiles, RES, Summer'!G$6</f>
        <v>10.875150541951024</v>
      </c>
      <c r="H7" s="9">
        <f>VLOOKUP($A7,'RES installed'!$A$2:$C$7,3,FALSE)*'[1]Profiles, RES, Summer'!H$6</f>
        <v>10.757727820152549</v>
      </c>
      <c r="I7" s="9">
        <f>VLOOKUP($A7,'RES installed'!$A$2:$C$7,3,FALSE)*'[1]Profiles, RES, Summer'!I$6</f>
        <v>7.9305499799277399</v>
      </c>
      <c r="J7" s="9">
        <f>VLOOKUP($A7,'RES installed'!$A$2:$C$7,3,FALSE)*'[1]Profiles, RES, Summer'!J$6</f>
        <v>5.0762745885186673</v>
      </c>
      <c r="K7" s="9">
        <f>VLOOKUP($A7,'RES installed'!$A$2:$C$7,3,FALSE)*'[1]Profiles, RES, Summer'!K$6</f>
        <v>3.6942994781212364</v>
      </c>
      <c r="L7" s="9">
        <f>VLOOKUP($A7,'RES installed'!$A$2:$C$7,3,FALSE)*'[1]Profiles, RES, Summer'!L$6</f>
        <v>2.7910477719791249</v>
      </c>
      <c r="M7" s="9">
        <f>VLOOKUP($A7,'RES installed'!$A$2:$C$7,3,FALSE)*'[1]Profiles, RES, Summer'!M$6</f>
        <v>2.6194299478121237</v>
      </c>
      <c r="N7" s="9">
        <f>VLOOKUP($A7,'RES installed'!$A$2:$C$7,3,FALSE)*'[1]Profiles, RES, Summer'!N$6</f>
        <v>3.2788036932958651</v>
      </c>
      <c r="O7" s="9">
        <f>VLOOKUP($A7,'RES installed'!$A$2:$C$7,3,FALSE)*'[1]Profiles, RES, Summer'!O$6</f>
        <v>4.2543155359293454</v>
      </c>
      <c r="P7" s="9">
        <f>VLOOKUP($A7,'RES installed'!$A$2:$C$7,3,FALSE)*'[1]Profiles, RES, Summer'!P$6</f>
        <v>6.0608189482135693</v>
      </c>
      <c r="Q7" s="9">
        <f>VLOOKUP($A7,'RES installed'!$A$2:$C$7,3,FALSE)*'[1]Profiles, RES, Summer'!Q$6</f>
        <v>7.6505419510236852</v>
      </c>
      <c r="R7" s="9">
        <f>VLOOKUP($A7,'RES installed'!$A$2:$C$7,3,FALSE)*'[1]Profiles, RES, Summer'!R$6</f>
        <v>9.1589723002810111</v>
      </c>
      <c r="S7" s="9">
        <f>VLOOKUP($A7,'RES installed'!$A$2:$C$7,3,FALSE)*'[1]Profiles, RES, Summer'!S$6</f>
        <v>9.7822159775190691</v>
      </c>
      <c r="T7" s="9">
        <f>VLOOKUP($A7,'RES installed'!$A$2:$C$7,3,FALSE)*'[1]Profiles, RES, Summer'!T$6</f>
        <v>9.3034925732637497</v>
      </c>
      <c r="U7" s="9">
        <f>VLOOKUP($A7,'RES installed'!$A$2:$C$7,3,FALSE)*'[1]Profiles, RES, Summer'!U$6</f>
        <v>9.0234845443596949</v>
      </c>
      <c r="V7" s="9">
        <f>VLOOKUP($A7,'RES installed'!$A$2:$C$7,3,FALSE)*'[1]Profiles, RES, Summer'!V$6</f>
        <v>9.0505820955439589</v>
      </c>
      <c r="W7" s="9">
        <f>VLOOKUP($A7,'RES installed'!$A$2:$C$7,3,FALSE)*'[1]Profiles, RES, Summer'!W$6</f>
        <v>8.3189482135688468</v>
      </c>
      <c r="X7" s="9">
        <f>VLOOKUP($A7,'RES installed'!$A$2:$C$7,3,FALSE)*'[1]Profiles, RES, Summer'!X$6</f>
        <v>7.7137695704536338</v>
      </c>
      <c r="Y7" s="9">
        <f>VLOOKUP($A7,'RES installed'!$A$2:$C$7,3,FALSE)*'[1]Profiles, RES, Summer'!Y$6</f>
        <v>7.8492573263749499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0.14215314632297193</v>
      </c>
      <c r="H8" s="6">
        <f>VLOOKUP($A8,'RES installed'!$A$2:$C$7,3,FALSE)*'[1]Profiles, RES, Summer'!H$3</f>
        <v>5.9988627748294157</v>
      </c>
      <c r="I8" s="6">
        <f>VLOOKUP($A8,'RES installed'!$A$2:$C$7,3,FALSE)*'[1]Profiles, RES, Summer'!I$3</f>
        <v>24.137604245640638</v>
      </c>
      <c r="J8" s="6">
        <f>VLOOKUP($A8,'RES installed'!$A$2:$C$7,3,FALSE)*'[1]Profiles, RES, Summer'!J$3</f>
        <v>44.124336618650489</v>
      </c>
      <c r="K8" s="6">
        <f>VLOOKUP($A8,'RES installed'!$A$2:$C$7,3,FALSE)*'[1]Profiles, RES, Summer'!K$3</f>
        <v>58.026914329037155</v>
      </c>
      <c r="L8" s="6">
        <f>VLOOKUP($A8,'RES installed'!$A$2:$C$7,3,FALSE)*'[1]Profiles, RES, Summer'!L$3</f>
        <v>67.494313874147082</v>
      </c>
      <c r="M8" s="6">
        <f>VLOOKUP($A8,'RES installed'!$A$2:$C$7,3,FALSE)*'[1]Profiles, RES, Summer'!M$3</f>
        <v>70.991281273692195</v>
      </c>
      <c r="N8" s="6">
        <f>VLOOKUP($A8,'RES installed'!$A$2:$C$7,3,FALSE)*'[1]Profiles, RES, Summer'!N$3</f>
        <v>71.190295678544345</v>
      </c>
      <c r="O8" s="6">
        <f>VLOOKUP($A8,'RES installed'!$A$2:$C$7,3,FALSE)*'[1]Profiles, RES, Summer'!O$3</f>
        <v>69.683472327520846</v>
      </c>
      <c r="P8" s="6">
        <f>VLOOKUP($A8,'RES installed'!$A$2:$C$7,3,FALSE)*'[1]Profiles, RES, Summer'!P$3</f>
        <v>67.465883244882491</v>
      </c>
      <c r="Q8" s="6">
        <f>VLOOKUP($A8,'RES installed'!$A$2:$C$7,3,FALSE)*'[1]Profiles, RES, Summer'!Q$3</f>
        <v>60.187642153146321</v>
      </c>
      <c r="R8" s="6">
        <f>VLOOKUP($A8,'RES installed'!$A$2:$C$7,3,FALSE)*'[1]Profiles, RES, Summer'!R$3</f>
        <v>48.332069749810465</v>
      </c>
      <c r="S8" s="6">
        <f>VLOOKUP($A8,'RES installed'!$A$2:$C$7,3,FALSE)*'[1]Profiles, RES, Summer'!S$3</f>
        <v>30.30705079605762</v>
      </c>
      <c r="T8" s="6">
        <f>VLOOKUP($A8,'RES installed'!$A$2:$C$7,3,FALSE)*'[1]Profiles, RES, Summer'!T$3</f>
        <v>9.8654283548142523</v>
      </c>
      <c r="U8" s="6">
        <f>VLOOKUP($A8,'RES installed'!$A$2:$C$7,3,FALSE)*'[1]Profiles, RES, Summer'!U$3</f>
        <v>0.65390447308567101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9.4768764215314633E-2</v>
      </c>
      <c r="H9" s="6">
        <f>VLOOKUP($A9,'RES installed'!$A$2:$C$7,3,FALSE)*'[1]Profiles, RES, Summer'!H$3</f>
        <v>3.9992418498862774</v>
      </c>
      <c r="I9" s="6">
        <f>VLOOKUP($A9,'RES installed'!$A$2:$C$7,3,FALSE)*'[1]Profiles, RES, Summer'!I$3</f>
        <v>16.091736163760427</v>
      </c>
      <c r="J9" s="6">
        <f>VLOOKUP($A9,'RES installed'!$A$2:$C$7,3,FALSE)*'[1]Profiles, RES, Summer'!J$3</f>
        <v>29.41622441243366</v>
      </c>
      <c r="K9" s="6">
        <f>VLOOKUP($A9,'RES installed'!$A$2:$C$7,3,FALSE)*'[1]Profiles, RES, Summer'!K$3</f>
        <v>38.684609552691434</v>
      </c>
      <c r="L9" s="6">
        <f>VLOOKUP($A9,'RES installed'!$A$2:$C$7,3,FALSE)*'[1]Profiles, RES, Summer'!L$3</f>
        <v>44.996209249431388</v>
      </c>
      <c r="M9" s="6">
        <f>VLOOKUP($A9,'RES installed'!$A$2:$C$7,3,FALSE)*'[1]Profiles, RES, Summer'!M$3</f>
        <v>47.327520849128128</v>
      </c>
      <c r="N9" s="6">
        <f>VLOOKUP($A9,'RES installed'!$A$2:$C$7,3,FALSE)*'[1]Profiles, RES, Summer'!N$3</f>
        <v>47.460197119029566</v>
      </c>
      <c r="O9" s="6">
        <f>VLOOKUP($A9,'RES installed'!$A$2:$C$7,3,FALSE)*'[1]Profiles, RES, Summer'!O$3</f>
        <v>46.455648218347235</v>
      </c>
      <c r="P9" s="6">
        <f>VLOOKUP($A9,'RES installed'!$A$2:$C$7,3,FALSE)*'[1]Profiles, RES, Summer'!P$3</f>
        <v>44.977255496588327</v>
      </c>
      <c r="Q9" s="6">
        <f>VLOOKUP($A9,'RES installed'!$A$2:$C$7,3,FALSE)*'[1]Profiles, RES, Summer'!Q$3</f>
        <v>40.125094768764214</v>
      </c>
      <c r="R9" s="6">
        <f>VLOOKUP($A9,'RES installed'!$A$2:$C$7,3,FALSE)*'[1]Profiles, RES, Summer'!R$3</f>
        <v>32.221379833206974</v>
      </c>
      <c r="S9" s="6">
        <f>VLOOKUP($A9,'RES installed'!$A$2:$C$7,3,FALSE)*'[1]Profiles, RES, Summer'!S$3</f>
        <v>20.204700530705079</v>
      </c>
      <c r="T9" s="6">
        <f>VLOOKUP($A9,'RES installed'!$A$2:$C$7,3,FALSE)*'[1]Profiles, RES, Summer'!T$3</f>
        <v>6.5769522365428355</v>
      </c>
      <c r="U9" s="6">
        <f>VLOOKUP($A9,'RES installed'!$A$2:$C$7,3,FALSE)*'[1]Profiles, RES, Summer'!U$3</f>
        <v>0.4359363153904473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0.11372251705837756</v>
      </c>
      <c r="H10" s="6">
        <f>VLOOKUP($A10,'RES installed'!$A$2:$C$7,3,FALSE)*'[1]Profiles, RES, Summer'!H$3</f>
        <v>4.7990902198635323</v>
      </c>
      <c r="I10" s="6">
        <f>VLOOKUP($A10,'RES installed'!$A$2:$C$7,3,FALSE)*'[1]Profiles, RES, Summer'!I$3</f>
        <v>19.31008339651251</v>
      </c>
      <c r="J10" s="6">
        <f>VLOOKUP($A10,'RES installed'!$A$2:$C$7,3,FALSE)*'[1]Profiles, RES, Summer'!J$3</f>
        <v>35.299469294920392</v>
      </c>
      <c r="K10" s="6">
        <f>VLOOKUP($A10,'RES installed'!$A$2:$C$7,3,FALSE)*'[1]Profiles, RES, Summer'!K$3</f>
        <v>46.421531463229719</v>
      </c>
      <c r="L10" s="6">
        <f>VLOOKUP($A10,'RES installed'!$A$2:$C$7,3,FALSE)*'[1]Profiles, RES, Summer'!L$3</f>
        <v>53.995451099317663</v>
      </c>
      <c r="M10" s="6">
        <f>VLOOKUP($A10,'RES installed'!$A$2:$C$7,3,FALSE)*'[1]Profiles, RES, Summer'!M$3</f>
        <v>56.793025018953756</v>
      </c>
      <c r="N10" s="6">
        <f>VLOOKUP($A10,'RES installed'!$A$2:$C$7,3,FALSE)*'[1]Profiles, RES, Summer'!N$3</f>
        <v>56.952236542835479</v>
      </c>
      <c r="O10" s="6">
        <f>VLOOKUP($A10,'RES installed'!$A$2:$C$7,3,FALSE)*'[1]Profiles, RES, Summer'!O$3</f>
        <v>55.746777862016678</v>
      </c>
      <c r="P10" s="6">
        <f>VLOOKUP($A10,'RES installed'!$A$2:$C$7,3,FALSE)*'[1]Profiles, RES, Summer'!P$3</f>
        <v>53.97270659590599</v>
      </c>
      <c r="Q10" s="6">
        <f>VLOOKUP($A10,'RES installed'!$A$2:$C$7,3,FALSE)*'[1]Profiles, RES, Summer'!Q$3</f>
        <v>48.150113722517055</v>
      </c>
      <c r="R10" s="6">
        <f>VLOOKUP($A10,'RES installed'!$A$2:$C$7,3,FALSE)*'[1]Profiles, RES, Summer'!R$3</f>
        <v>38.665655799848373</v>
      </c>
      <c r="S10" s="6">
        <f>VLOOKUP($A10,'RES installed'!$A$2:$C$7,3,FALSE)*'[1]Profiles, RES, Summer'!S$3</f>
        <v>24.245640636846097</v>
      </c>
      <c r="T10" s="6">
        <f>VLOOKUP($A10,'RES installed'!$A$2:$C$7,3,FALSE)*'[1]Profiles, RES, Summer'!T$3</f>
        <v>7.8923426838514024</v>
      </c>
      <c r="U10" s="6">
        <f>VLOOKUP($A10,'RES installed'!$A$2:$C$7,3,FALSE)*'[1]Profiles, RES, Summer'!U$3</f>
        <v>0.52312357846853674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F4843-2128-4444-8EC6-765145130A0B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13.395222802087515</v>
      </c>
      <c r="C5" s="9">
        <f>VLOOKUP($A5,'RES installed'!$A$2:$C$7,3,FALSE)*'[1]Profiles, RES, Summer'!C$7</f>
        <v>12.049377759935769</v>
      </c>
      <c r="D5" s="9">
        <f>VLOOKUP($A5,'RES installed'!$A$2:$C$7,3,FALSE)*'[1]Profiles, RES, Summer'!D$7</f>
        <v>10.062224006423122</v>
      </c>
      <c r="E5" s="9">
        <f>VLOOKUP($A5,'RES installed'!$A$2:$C$7,3,FALSE)*'[1]Profiles, RES, Summer'!E$7</f>
        <v>9.5112404656764351</v>
      </c>
      <c r="F5" s="9">
        <f>VLOOKUP($A5,'RES installed'!$A$2:$C$7,3,FALSE)*'[1]Profiles, RES, Summer'!F$7</f>
        <v>9.3576876756322758</v>
      </c>
      <c r="G5" s="9">
        <f>VLOOKUP($A5,'RES installed'!$A$2:$C$7,3,FALSE)*'[1]Profiles, RES, Summer'!G$7</f>
        <v>10.495784825371336</v>
      </c>
      <c r="H5" s="9">
        <f>VLOOKUP($A5,'RES installed'!$A$2:$C$7,3,FALSE)*'[1]Profiles, RES, Summer'!H$7</f>
        <v>11.570654355680448</v>
      </c>
      <c r="I5" s="9">
        <f>VLOOKUP($A5,'RES installed'!$A$2:$C$7,3,FALSE)*'[1]Profiles, RES, Summer'!I$7</f>
        <v>11.968085106382979</v>
      </c>
      <c r="J5" s="9">
        <f>VLOOKUP($A5,'RES installed'!$A$2:$C$7,3,FALSE)*'[1]Profiles, RES, Summer'!J$7</f>
        <v>9.7280208751505413</v>
      </c>
      <c r="K5" s="9">
        <f>VLOOKUP($A5,'RES installed'!$A$2:$C$7,3,FALSE)*'[1]Profiles, RES, Summer'!K$7</f>
        <v>7.5692492974708951</v>
      </c>
      <c r="L5" s="9">
        <f>VLOOKUP($A5,'RES installed'!$A$2:$C$7,3,FALSE)*'[1]Profiles, RES, Summer'!L$7</f>
        <v>6.8105178643115218</v>
      </c>
      <c r="M5" s="9">
        <f>VLOOKUP($A5,'RES installed'!$A$2:$C$7,3,FALSE)*'[1]Profiles, RES, Summer'!M$7</f>
        <v>6.0788839823364107</v>
      </c>
      <c r="N5" s="9">
        <f>VLOOKUP($A5,'RES installed'!$A$2:$C$7,3,FALSE)*'[1]Profiles, RES, Summer'!N$7</f>
        <v>6.5847049377759941</v>
      </c>
      <c r="O5" s="9">
        <f>VLOOKUP($A5,'RES installed'!$A$2:$C$7,3,FALSE)*'[1]Profiles, RES, Summer'!O$7</f>
        <v>8.7615415495784816</v>
      </c>
      <c r="P5" s="9">
        <f>VLOOKUP($A5,'RES installed'!$A$2:$C$7,3,FALSE)*'[1]Profiles, RES, Summer'!P$7</f>
        <v>11.019670814933761</v>
      </c>
      <c r="Q5" s="9">
        <f>VLOOKUP($A5,'RES installed'!$A$2:$C$7,3,FALSE)*'[1]Profiles, RES, Summer'!Q$7</f>
        <v>11.561621838619029</v>
      </c>
      <c r="R5" s="9">
        <f>VLOOKUP($A5,'RES installed'!$A$2:$C$7,3,FALSE)*'[1]Profiles, RES, Summer'!R$7</f>
        <v>12.482938578883983</v>
      </c>
      <c r="S5" s="9">
        <f>VLOOKUP($A5,'RES installed'!$A$2:$C$7,3,FALSE)*'[1]Profiles, RES, Summer'!S$7</f>
        <v>12.988759534323565</v>
      </c>
      <c r="T5" s="9">
        <f>VLOOKUP($A5,'RES installed'!$A$2:$C$7,3,FALSE)*'[1]Profiles, RES, Summer'!T$7</f>
        <v>13.313930148534725</v>
      </c>
      <c r="U5" s="9">
        <f>VLOOKUP($A5,'RES installed'!$A$2:$C$7,3,FALSE)*'[1]Profiles, RES, Summer'!U$7</f>
        <v>15.255921316740265</v>
      </c>
      <c r="V5" s="9">
        <f>VLOOKUP($A5,'RES installed'!$A$2:$C$7,3,FALSE)*'[1]Profiles, RES, Summer'!V$7</f>
        <v>17.16178241670012</v>
      </c>
      <c r="W5" s="9">
        <f>VLOOKUP($A5,'RES installed'!$A$2:$C$7,3,FALSE)*'[1]Profiles, RES, Summer'!W$7</f>
        <v>16.574668807707749</v>
      </c>
      <c r="X5" s="9">
        <f>VLOOKUP($A5,'RES installed'!$A$2:$C$7,3,FALSE)*'[1]Profiles, RES, Summer'!X$7</f>
        <v>15.6985146527499</v>
      </c>
      <c r="Y5" s="9">
        <f>VLOOKUP($A5,'RES installed'!$A$2:$C$7,3,FALSE)*'[1]Profiles, RES, Summer'!Y$7</f>
        <v>15.418506623845845</v>
      </c>
    </row>
    <row r="6" spans="1:25" x14ac:dyDescent="0.3">
      <c r="A6" s="8">
        <v>5</v>
      </c>
      <c r="B6" s="9">
        <f>VLOOKUP($A6,'RES installed'!$A$2:$C$7,3,FALSE)*'[1]Profiles, RES, Summer'!B$7</f>
        <v>17.86029706945002</v>
      </c>
      <c r="C6" s="9">
        <f>VLOOKUP($A6,'RES installed'!$A$2:$C$7,3,FALSE)*'[1]Profiles, RES, Summer'!C$7</f>
        <v>16.065837013247691</v>
      </c>
      <c r="D6" s="9">
        <f>VLOOKUP($A6,'RES installed'!$A$2:$C$7,3,FALSE)*'[1]Profiles, RES, Summer'!D$7</f>
        <v>13.416298675230831</v>
      </c>
      <c r="E6" s="9">
        <f>VLOOKUP($A6,'RES installed'!$A$2:$C$7,3,FALSE)*'[1]Profiles, RES, Summer'!E$7</f>
        <v>12.681653954235248</v>
      </c>
      <c r="F6" s="9">
        <f>VLOOKUP($A6,'RES installed'!$A$2:$C$7,3,FALSE)*'[1]Profiles, RES, Summer'!F$7</f>
        <v>12.476916900843035</v>
      </c>
      <c r="G6" s="9">
        <f>VLOOKUP($A6,'RES installed'!$A$2:$C$7,3,FALSE)*'[1]Profiles, RES, Summer'!G$7</f>
        <v>13.994379767161782</v>
      </c>
      <c r="H6" s="9">
        <f>VLOOKUP($A6,'RES installed'!$A$2:$C$7,3,FALSE)*'[1]Profiles, RES, Summer'!H$7</f>
        <v>15.427539140907264</v>
      </c>
      <c r="I6" s="9">
        <f>VLOOKUP($A6,'RES installed'!$A$2:$C$7,3,FALSE)*'[1]Profiles, RES, Summer'!I$7</f>
        <v>15.957446808510639</v>
      </c>
      <c r="J6" s="9">
        <f>VLOOKUP($A6,'RES installed'!$A$2:$C$7,3,FALSE)*'[1]Profiles, RES, Summer'!J$7</f>
        <v>12.970694500200722</v>
      </c>
      <c r="K6" s="9">
        <f>VLOOKUP($A6,'RES installed'!$A$2:$C$7,3,FALSE)*'[1]Profiles, RES, Summer'!K$7</f>
        <v>10.09233239662786</v>
      </c>
      <c r="L6" s="9">
        <f>VLOOKUP($A6,'RES installed'!$A$2:$C$7,3,FALSE)*'[1]Profiles, RES, Summer'!L$7</f>
        <v>9.0806904857486952</v>
      </c>
      <c r="M6" s="9">
        <f>VLOOKUP($A6,'RES installed'!$A$2:$C$7,3,FALSE)*'[1]Profiles, RES, Summer'!M$7</f>
        <v>8.1051786431152131</v>
      </c>
      <c r="N6" s="9">
        <f>VLOOKUP($A6,'RES installed'!$A$2:$C$7,3,FALSE)*'[1]Profiles, RES, Summer'!N$7</f>
        <v>8.7796065837013249</v>
      </c>
      <c r="O6" s="9">
        <f>VLOOKUP($A6,'RES installed'!$A$2:$C$7,3,FALSE)*'[1]Profiles, RES, Summer'!O$7</f>
        <v>11.682055399437976</v>
      </c>
      <c r="P6" s="9">
        <f>VLOOKUP($A6,'RES installed'!$A$2:$C$7,3,FALSE)*'[1]Profiles, RES, Summer'!P$7</f>
        <v>14.692894419911681</v>
      </c>
      <c r="Q6" s="9">
        <f>VLOOKUP($A6,'RES installed'!$A$2:$C$7,3,FALSE)*'[1]Profiles, RES, Summer'!Q$7</f>
        <v>15.415495784825371</v>
      </c>
      <c r="R6" s="9">
        <f>VLOOKUP($A6,'RES installed'!$A$2:$C$7,3,FALSE)*'[1]Profiles, RES, Summer'!R$7</f>
        <v>16.643918105178646</v>
      </c>
      <c r="S6" s="9">
        <f>VLOOKUP($A6,'RES installed'!$A$2:$C$7,3,FALSE)*'[1]Profiles, RES, Summer'!S$7</f>
        <v>17.318346045764756</v>
      </c>
      <c r="T6" s="9">
        <f>VLOOKUP($A6,'RES installed'!$A$2:$C$7,3,FALSE)*'[1]Profiles, RES, Summer'!T$7</f>
        <v>17.751906864712968</v>
      </c>
      <c r="U6" s="9">
        <f>VLOOKUP($A6,'RES installed'!$A$2:$C$7,3,FALSE)*'[1]Profiles, RES, Summer'!U$7</f>
        <v>20.341228422320352</v>
      </c>
      <c r="V6" s="9">
        <f>VLOOKUP($A6,'RES installed'!$A$2:$C$7,3,FALSE)*'[1]Profiles, RES, Summer'!V$7</f>
        <v>22.88237655560016</v>
      </c>
      <c r="W6" s="9">
        <f>VLOOKUP($A6,'RES installed'!$A$2:$C$7,3,FALSE)*'[1]Profiles, RES, Summer'!W$7</f>
        <v>22.099558410276995</v>
      </c>
      <c r="X6" s="9">
        <f>VLOOKUP($A6,'RES installed'!$A$2:$C$7,3,FALSE)*'[1]Profiles, RES, Summer'!X$7</f>
        <v>20.9313528703332</v>
      </c>
      <c r="Y6" s="9">
        <f>VLOOKUP($A6,'RES installed'!$A$2:$C$7,3,FALSE)*'[1]Profiles, RES, Summer'!Y$7</f>
        <v>20.55800883179446</v>
      </c>
    </row>
    <row r="7" spans="1:25" x14ac:dyDescent="0.3">
      <c r="A7" s="8">
        <v>6</v>
      </c>
      <c r="B7" s="9">
        <f>VLOOKUP($A7,'RES installed'!$A$2:$C$7,3,FALSE)*'[1]Profiles, RES, Summer'!B$7</f>
        <v>13.395222802087515</v>
      </c>
      <c r="C7" s="9">
        <f>VLOOKUP($A7,'RES installed'!$A$2:$C$7,3,FALSE)*'[1]Profiles, RES, Summer'!C$7</f>
        <v>12.049377759935769</v>
      </c>
      <c r="D7" s="9">
        <f>VLOOKUP($A7,'RES installed'!$A$2:$C$7,3,FALSE)*'[1]Profiles, RES, Summer'!D$7</f>
        <v>10.062224006423122</v>
      </c>
      <c r="E7" s="9">
        <f>VLOOKUP($A7,'RES installed'!$A$2:$C$7,3,FALSE)*'[1]Profiles, RES, Summer'!E$7</f>
        <v>9.5112404656764351</v>
      </c>
      <c r="F7" s="9">
        <f>VLOOKUP($A7,'RES installed'!$A$2:$C$7,3,FALSE)*'[1]Profiles, RES, Summer'!F$7</f>
        <v>9.3576876756322758</v>
      </c>
      <c r="G7" s="9">
        <f>VLOOKUP($A7,'RES installed'!$A$2:$C$7,3,FALSE)*'[1]Profiles, RES, Summer'!G$7</f>
        <v>10.495784825371336</v>
      </c>
      <c r="H7" s="9">
        <f>VLOOKUP($A7,'RES installed'!$A$2:$C$7,3,FALSE)*'[1]Profiles, RES, Summer'!H$7</f>
        <v>11.570654355680448</v>
      </c>
      <c r="I7" s="9">
        <f>VLOOKUP($A7,'RES installed'!$A$2:$C$7,3,FALSE)*'[1]Profiles, RES, Summer'!I$7</f>
        <v>11.968085106382979</v>
      </c>
      <c r="J7" s="9">
        <f>VLOOKUP($A7,'RES installed'!$A$2:$C$7,3,FALSE)*'[1]Profiles, RES, Summer'!J$7</f>
        <v>9.7280208751505413</v>
      </c>
      <c r="K7" s="9">
        <f>VLOOKUP($A7,'RES installed'!$A$2:$C$7,3,FALSE)*'[1]Profiles, RES, Summer'!K$7</f>
        <v>7.5692492974708951</v>
      </c>
      <c r="L7" s="9">
        <f>VLOOKUP($A7,'RES installed'!$A$2:$C$7,3,FALSE)*'[1]Profiles, RES, Summer'!L$7</f>
        <v>6.8105178643115218</v>
      </c>
      <c r="M7" s="9">
        <f>VLOOKUP($A7,'RES installed'!$A$2:$C$7,3,FALSE)*'[1]Profiles, RES, Summer'!M$7</f>
        <v>6.0788839823364107</v>
      </c>
      <c r="N7" s="9">
        <f>VLOOKUP($A7,'RES installed'!$A$2:$C$7,3,FALSE)*'[1]Profiles, RES, Summer'!N$7</f>
        <v>6.5847049377759941</v>
      </c>
      <c r="O7" s="9">
        <f>VLOOKUP($A7,'RES installed'!$A$2:$C$7,3,FALSE)*'[1]Profiles, RES, Summer'!O$7</f>
        <v>8.7615415495784816</v>
      </c>
      <c r="P7" s="9">
        <f>VLOOKUP($A7,'RES installed'!$A$2:$C$7,3,FALSE)*'[1]Profiles, RES, Summer'!P$7</f>
        <v>11.019670814933761</v>
      </c>
      <c r="Q7" s="9">
        <f>VLOOKUP($A7,'RES installed'!$A$2:$C$7,3,FALSE)*'[1]Profiles, RES, Summer'!Q$7</f>
        <v>11.561621838619029</v>
      </c>
      <c r="R7" s="9">
        <f>VLOOKUP($A7,'RES installed'!$A$2:$C$7,3,FALSE)*'[1]Profiles, RES, Summer'!R$7</f>
        <v>12.482938578883983</v>
      </c>
      <c r="S7" s="9">
        <f>VLOOKUP($A7,'RES installed'!$A$2:$C$7,3,FALSE)*'[1]Profiles, RES, Summer'!S$7</f>
        <v>12.988759534323565</v>
      </c>
      <c r="T7" s="9">
        <f>VLOOKUP($A7,'RES installed'!$A$2:$C$7,3,FALSE)*'[1]Profiles, RES, Summer'!T$7</f>
        <v>13.313930148534725</v>
      </c>
      <c r="U7" s="9">
        <f>VLOOKUP($A7,'RES installed'!$A$2:$C$7,3,FALSE)*'[1]Profiles, RES, Summer'!U$7</f>
        <v>15.255921316740265</v>
      </c>
      <c r="V7" s="9">
        <f>VLOOKUP($A7,'RES installed'!$A$2:$C$7,3,FALSE)*'[1]Profiles, RES, Summer'!V$7</f>
        <v>17.16178241670012</v>
      </c>
      <c r="W7" s="9">
        <f>VLOOKUP($A7,'RES installed'!$A$2:$C$7,3,FALSE)*'[1]Profiles, RES, Summer'!W$7</f>
        <v>16.574668807707749</v>
      </c>
      <c r="X7" s="9">
        <f>VLOOKUP($A7,'RES installed'!$A$2:$C$7,3,FALSE)*'[1]Profiles, RES, Summer'!X$7</f>
        <v>15.6985146527499</v>
      </c>
      <c r="Y7" s="9">
        <f>VLOOKUP($A7,'RES installed'!$A$2:$C$7,3,FALSE)*'[1]Profiles, RES, Summer'!Y$7</f>
        <v>15.418506623845845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2.843062926459439E-2</v>
      </c>
      <c r="H8" s="6">
        <f>VLOOKUP($A8,'RES installed'!$A$2:$C$7,3,FALSE)*'[1]Profiles, RES, Summer'!H$4</f>
        <v>3.49696739954511</v>
      </c>
      <c r="I8" s="6">
        <f>VLOOKUP($A8,'RES installed'!$A$2:$C$7,3,FALSE)*'[1]Profiles, RES, Summer'!I$4</f>
        <v>16.546626231993937</v>
      </c>
      <c r="J8" s="6">
        <f>VLOOKUP($A8,'RES installed'!$A$2:$C$7,3,FALSE)*'[1]Profiles, RES, Summer'!J$4</f>
        <v>36.021607278241092</v>
      </c>
      <c r="K8" s="6">
        <f>VLOOKUP($A8,'RES installed'!$A$2:$C$7,3,FALSE)*'[1]Profiles, RES, Summer'!K$4</f>
        <v>55.610310841546621</v>
      </c>
      <c r="L8" s="6">
        <f>VLOOKUP($A8,'RES installed'!$A$2:$C$7,3,FALSE)*'[1]Profiles, RES, Summer'!L$4</f>
        <v>68.26194086429112</v>
      </c>
      <c r="M8" s="6">
        <f>VLOOKUP($A8,'RES installed'!$A$2:$C$7,3,FALSE)*'[1]Profiles, RES, Summer'!M$4</f>
        <v>73.009855951478386</v>
      </c>
      <c r="N8" s="6">
        <f>VLOOKUP($A8,'RES installed'!$A$2:$C$7,3,FALSE)*'[1]Profiles, RES, Summer'!N$4</f>
        <v>75</v>
      </c>
      <c r="O8" s="6">
        <f>VLOOKUP($A8,'RES installed'!$A$2:$C$7,3,FALSE)*'[1]Profiles, RES, Summer'!O$4</f>
        <v>73.692191053828651</v>
      </c>
      <c r="P8" s="6">
        <f>VLOOKUP($A8,'RES installed'!$A$2:$C$7,3,FALSE)*'[1]Profiles, RES, Summer'!P$4</f>
        <v>69.967778620166797</v>
      </c>
      <c r="Q8" s="6">
        <f>VLOOKUP($A8,'RES installed'!$A$2:$C$7,3,FALSE)*'[1]Profiles, RES, Summer'!Q$4</f>
        <v>61.921910538286582</v>
      </c>
      <c r="R8" s="6">
        <f>VLOOKUP($A8,'RES installed'!$A$2:$C$7,3,FALSE)*'[1]Profiles, RES, Summer'!R$4</f>
        <v>48.644806671721</v>
      </c>
      <c r="S8" s="6">
        <f>VLOOKUP($A8,'RES installed'!$A$2:$C$7,3,FALSE)*'[1]Profiles, RES, Summer'!S$4</f>
        <v>28.94238059135709</v>
      </c>
      <c r="T8" s="6">
        <f>VLOOKUP($A8,'RES installed'!$A$2:$C$7,3,FALSE)*'[1]Profiles, RES, Summer'!T$4</f>
        <v>8.8419257012888544</v>
      </c>
      <c r="U8" s="6">
        <f>VLOOKUP($A8,'RES installed'!$A$2:$C$7,3,FALSE)*'[1]Profiles, RES, Summer'!U$4</f>
        <v>0.39802880970432147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1.8953752843062926E-2</v>
      </c>
      <c r="H9" s="6">
        <f>VLOOKUP($A9,'RES installed'!$A$2:$C$7,3,FALSE)*'[1]Profiles, RES, Summer'!H$4</f>
        <v>2.3313115996967402</v>
      </c>
      <c r="I9" s="6">
        <f>VLOOKUP($A9,'RES installed'!$A$2:$C$7,3,FALSE)*'[1]Profiles, RES, Summer'!I$4</f>
        <v>11.031084154662624</v>
      </c>
      <c r="J9" s="6">
        <f>VLOOKUP($A9,'RES installed'!$A$2:$C$7,3,FALSE)*'[1]Profiles, RES, Summer'!J$4</f>
        <v>24.014404852160727</v>
      </c>
      <c r="K9" s="6">
        <f>VLOOKUP($A9,'RES installed'!$A$2:$C$7,3,FALSE)*'[1]Profiles, RES, Summer'!K$4</f>
        <v>37.073540561031081</v>
      </c>
      <c r="L9" s="6">
        <f>VLOOKUP($A9,'RES installed'!$A$2:$C$7,3,FALSE)*'[1]Profiles, RES, Summer'!L$4</f>
        <v>45.507960576194087</v>
      </c>
      <c r="M9" s="6">
        <f>VLOOKUP($A9,'RES installed'!$A$2:$C$7,3,FALSE)*'[1]Profiles, RES, Summer'!M$4</f>
        <v>48.673237300985598</v>
      </c>
      <c r="N9" s="6">
        <f>VLOOKUP($A9,'RES installed'!$A$2:$C$7,3,FALSE)*'[1]Profiles, RES, Summer'!N$4</f>
        <v>50</v>
      </c>
      <c r="O9" s="6">
        <f>VLOOKUP($A9,'RES installed'!$A$2:$C$7,3,FALSE)*'[1]Profiles, RES, Summer'!O$4</f>
        <v>49.128127369219108</v>
      </c>
      <c r="P9" s="6">
        <f>VLOOKUP($A9,'RES installed'!$A$2:$C$7,3,FALSE)*'[1]Profiles, RES, Summer'!P$4</f>
        <v>46.645185746777862</v>
      </c>
      <c r="Q9" s="6">
        <f>VLOOKUP($A9,'RES installed'!$A$2:$C$7,3,FALSE)*'[1]Profiles, RES, Summer'!Q$4</f>
        <v>41.281273692191057</v>
      </c>
      <c r="R9" s="6">
        <f>VLOOKUP($A9,'RES installed'!$A$2:$C$7,3,FALSE)*'[1]Profiles, RES, Summer'!R$4</f>
        <v>32.429871114480669</v>
      </c>
      <c r="S9" s="6">
        <f>VLOOKUP($A9,'RES installed'!$A$2:$C$7,3,FALSE)*'[1]Profiles, RES, Summer'!S$4</f>
        <v>19.294920394238062</v>
      </c>
      <c r="T9" s="6">
        <f>VLOOKUP($A9,'RES installed'!$A$2:$C$7,3,FALSE)*'[1]Profiles, RES, Summer'!T$4</f>
        <v>5.8946171341925702</v>
      </c>
      <c r="U9" s="6">
        <f>VLOOKUP($A9,'RES installed'!$A$2:$C$7,3,FALSE)*'[1]Profiles, RES, Summer'!U$4</f>
        <v>0.26535253980288098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2.2744503411675512E-2</v>
      </c>
      <c r="H10" s="6">
        <f>VLOOKUP($A10,'RES installed'!$A$2:$C$7,3,FALSE)*'[1]Profiles, RES, Summer'!H$4</f>
        <v>2.797573919636088</v>
      </c>
      <c r="I10" s="6">
        <f>VLOOKUP($A10,'RES installed'!$A$2:$C$7,3,FALSE)*'[1]Profiles, RES, Summer'!I$4</f>
        <v>13.237300985595148</v>
      </c>
      <c r="J10" s="6">
        <f>VLOOKUP($A10,'RES installed'!$A$2:$C$7,3,FALSE)*'[1]Profiles, RES, Summer'!J$4</f>
        <v>28.817285822592876</v>
      </c>
      <c r="K10" s="6">
        <f>VLOOKUP($A10,'RES installed'!$A$2:$C$7,3,FALSE)*'[1]Profiles, RES, Summer'!K$4</f>
        <v>44.488248673237301</v>
      </c>
      <c r="L10" s="6">
        <f>VLOOKUP($A10,'RES installed'!$A$2:$C$7,3,FALSE)*'[1]Profiles, RES, Summer'!L$4</f>
        <v>54.609552691432903</v>
      </c>
      <c r="M10" s="6">
        <f>VLOOKUP($A10,'RES installed'!$A$2:$C$7,3,FALSE)*'[1]Profiles, RES, Summer'!M$4</f>
        <v>58.407884761182714</v>
      </c>
      <c r="N10" s="6">
        <f>VLOOKUP($A10,'RES installed'!$A$2:$C$7,3,FALSE)*'[1]Profiles, RES, Summer'!N$4</f>
        <v>60</v>
      </c>
      <c r="O10" s="6">
        <f>VLOOKUP($A10,'RES installed'!$A$2:$C$7,3,FALSE)*'[1]Profiles, RES, Summer'!O$4</f>
        <v>58.953752843062922</v>
      </c>
      <c r="P10" s="6">
        <f>VLOOKUP($A10,'RES installed'!$A$2:$C$7,3,FALSE)*'[1]Profiles, RES, Summer'!P$4</f>
        <v>55.974222896133433</v>
      </c>
      <c r="Q10" s="6">
        <f>VLOOKUP($A10,'RES installed'!$A$2:$C$7,3,FALSE)*'[1]Profiles, RES, Summer'!Q$4</f>
        <v>49.537528430629266</v>
      </c>
      <c r="R10" s="6">
        <f>VLOOKUP($A10,'RES installed'!$A$2:$C$7,3,FALSE)*'[1]Profiles, RES, Summer'!R$4</f>
        <v>38.915845337376801</v>
      </c>
      <c r="S10" s="6">
        <f>VLOOKUP($A10,'RES installed'!$A$2:$C$7,3,FALSE)*'[1]Profiles, RES, Summer'!S$4</f>
        <v>23.153904473085671</v>
      </c>
      <c r="T10" s="6">
        <f>VLOOKUP($A10,'RES installed'!$A$2:$C$7,3,FALSE)*'[1]Profiles, RES, Summer'!T$4</f>
        <v>7.0735405610310842</v>
      </c>
      <c r="U10" s="6">
        <f>VLOOKUP($A10,'RES installed'!$A$2:$C$7,3,FALSE)*'[1]Profiles, RES, Summer'!U$4</f>
        <v>0.3184230477634572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944F0-7F15-48D3-B0E1-41FD5A2D6DC7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12.157767964672821</v>
      </c>
      <c r="C5" s="9">
        <f>VLOOKUP($A5,'RES installed'!$A$2:$C$7,3,FALSE)*'[1]Profiles, RES, Summer'!C$5</f>
        <v>11.119028502609394</v>
      </c>
      <c r="D5" s="9">
        <f>VLOOKUP($A5,'RES installed'!$A$2:$C$7,3,FALSE)*'[1]Profiles, RES, Summer'!D$5</f>
        <v>9.7280208751505413</v>
      </c>
      <c r="E5" s="9">
        <f>VLOOKUP($A5,'RES installed'!$A$2:$C$7,3,FALSE)*'[1]Profiles, RES, Summer'!E$5</f>
        <v>9.6918908069048584</v>
      </c>
      <c r="F5" s="9">
        <f>VLOOKUP($A5,'RES installed'!$A$2:$C$7,3,FALSE)*'[1]Profiles, RES, Summer'!F$5</f>
        <v>9.1770373344038543</v>
      </c>
      <c r="G5" s="9">
        <f>VLOOKUP($A5,'RES installed'!$A$2:$C$7,3,FALSE)*'[1]Profiles, RES, Summer'!G$5</f>
        <v>8.4544359694901647</v>
      </c>
      <c r="H5" s="9">
        <f>VLOOKUP($A5,'RES installed'!$A$2:$C$7,3,FALSE)*'[1]Profiles, RES, Summer'!H$5</f>
        <v>7.433761541549579</v>
      </c>
      <c r="I5" s="9">
        <f>VLOOKUP($A5,'RES installed'!$A$2:$C$7,3,FALSE)*'[1]Profiles, RES, Summer'!I$5</f>
        <v>5.8440385387394622</v>
      </c>
      <c r="J5" s="9">
        <f>VLOOKUP($A5,'RES installed'!$A$2:$C$7,3,FALSE)*'[1]Profiles, RES, Summer'!J$5</f>
        <v>4.8594941790445603</v>
      </c>
      <c r="K5" s="9">
        <f>VLOOKUP($A5,'RES installed'!$A$2:$C$7,3,FALSE)*'[1]Profiles, RES, Summer'!K$5</f>
        <v>4.5433560818948218</v>
      </c>
      <c r="L5" s="9">
        <f>VLOOKUP($A5,'RES installed'!$A$2:$C$7,3,FALSE)*'[1]Profiles, RES, Summer'!L$5</f>
        <v>4.182055399437977</v>
      </c>
      <c r="M5" s="9">
        <f>VLOOKUP($A5,'RES installed'!$A$2:$C$7,3,FALSE)*'[1]Profiles, RES, Summer'!M$5</f>
        <v>4.7059413890004018</v>
      </c>
      <c r="N5" s="9">
        <f>VLOOKUP($A5,'RES installed'!$A$2:$C$7,3,FALSE)*'[1]Profiles, RES, Summer'!N$5</f>
        <v>5.9162986752308306</v>
      </c>
      <c r="O5" s="9">
        <f>VLOOKUP($A5,'RES installed'!$A$2:$C$7,3,FALSE)*'[1]Profiles, RES, Summer'!O$5</f>
        <v>7.3434363709353674</v>
      </c>
      <c r="P5" s="9">
        <f>VLOOKUP($A5,'RES installed'!$A$2:$C$7,3,FALSE)*'[1]Profiles, RES, Summer'!P$5</f>
        <v>9.8002810116419106</v>
      </c>
      <c r="Q5" s="9">
        <f>VLOOKUP($A5,'RES installed'!$A$2:$C$7,3,FALSE)*'[1]Profiles, RES, Summer'!Q$5</f>
        <v>12.510036130068245</v>
      </c>
      <c r="R5" s="9">
        <f>VLOOKUP($A5,'RES installed'!$A$2:$C$7,3,FALSE)*'[1]Profiles, RES, Summer'!R$5</f>
        <v>14.786230429546368</v>
      </c>
      <c r="S5" s="9">
        <f>VLOOKUP($A5,'RES installed'!$A$2:$C$7,3,FALSE)*'[1]Profiles, RES, Summer'!S$5</f>
        <v>15.77980730630269</v>
      </c>
      <c r="T5" s="9">
        <f>VLOOKUP($A5,'RES installed'!$A$2:$C$7,3,FALSE)*'[1]Profiles, RES, Summer'!T$5</f>
        <v>16.981132075471699</v>
      </c>
      <c r="U5" s="9">
        <f>VLOOKUP($A5,'RES installed'!$A$2:$C$7,3,FALSE)*'[1]Profiles, RES, Summer'!U$5</f>
        <v>18.914090726615814</v>
      </c>
      <c r="V5" s="9">
        <f>VLOOKUP($A5,'RES installed'!$A$2:$C$7,3,FALSE)*'[1]Profiles, RES, Summer'!V$5</f>
        <v>20.856081894821358</v>
      </c>
      <c r="W5" s="9">
        <f>VLOOKUP($A5,'RES installed'!$A$2:$C$7,3,FALSE)*'[1]Profiles, RES, Summer'!W$5</f>
        <v>21.723203532717786</v>
      </c>
      <c r="X5" s="9">
        <f>VLOOKUP($A5,'RES installed'!$A$2:$C$7,3,FALSE)*'[1]Profiles, RES, Summer'!X$5</f>
        <v>21.822561220393414</v>
      </c>
      <c r="Y5" s="9">
        <f>VLOOKUP($A5,'RES installed'!$A$2:$C$7,3,FALSE)*'[1]Profiles, RES, Summer'!Y$5</f>
        <v>21.0457647531112</v>
      </c>
    </row>
    <row r="6" spans="1:25" x14ac:dyDescent="0.3">
      <c r="A6" s="8">
        <v>5</v>
      </c>
      <c r="B6" s="9">
        <f>VLOOKUP($A6,'RES installed'!$A$2:$C$7,3,FALSE)*'[1]Profiles, RES, Summer'!B$5</f>
        <v>16.210357286230426</v>
      </c>
      <c r="C6" s="9">
        <f>VLOOKUP($A6,'RES installed'!$A$2:$C$7,3,FALSE)*'[1]Profiles, RES, Summer'!C$5</f>
        <v>14.825371336812525</v>
      </c>
      <c r="D6" s="9">
        <f>VLOOKUP($A6,'RES installed'!$A$2:$C$7,3,FALSE)*'[1]Profiles, RES, Summer'!D$5</f>
        <v>12.970694500200722</v>
      </c>
      <c r="E6" s="9">
        <f>VLOOKUP($A6,'RES installed'!$A$2:$C$7,3,FALSE)*'[1]Profiles, RES, Summer'!E$5</f>
        <v>12.922521075873144</v>
      </c>
      <c r="F6" s="9">
        <f>VLOOKUP($A6,'RES installed'!$A$2:$C$7,3,FALSE)*'[1]Profiles, RES, Summer'!F$5</f>
        <v>12.236049779205139</v>
      </c>
      <c r="G6" s="9">
        <f>VLOOKUP($A6,'RES installed'!$A$2:$C$7,3,FALSE)*'[1]Profiles, RES, Summer'!G$5</f>
        <v>11.272581292653554</v>
      </c>
      <c r="H6" s="9">
        <f>VLOOKUP($A6,'RES installed'!$A$2:$C$7,3,FALSE)*'[1]Profiles, RES, Summer'!H$5</f>
        <v>9.9116820553994387</v>
      </c>
      <c r="I6" s="9">
        <f>VLOOKUP($A6,'RES installed'!$A$2:$C$7,3,FALSE)*'[1]Profiles, RES, Summer'!I$5</f>
        <v>7.7920513849859487</v>
      </c>
      <c r="J6" s="9">
        <f>VLOOKUP($A6,'RES installed'!$A$2:$C$7,3,FALSE)*'[1]Profiles, RES, Summer'!J$5</f>
        <v>6.4793255720594134</v>
      </c>
      <c r="K6" s="9">
        <f>VLOOKUP($A6,'RES installed'!$A$2:$C$7,3,FALSE)*'[1]Profiles, RES, Summer'!K$5</f>
        <v>6.0578081091930951</v>
      </c>
      <c r="L6" s="9">
        <f>VLOOKUP($A6,'RES installed'!$A$2:$C$7,3,FALSE)*'[1]Profiles, RES, Summer'!L$5</f>
        <v>5.5760738659173024</v>
      </c>
      <c r="M6" s="9">
        <f>VLOOKUP($A6,'RES installed'!$A$2:$C$7,3,FALSE)*'[1]Profiles, RES, Summer'!M$5</f>
        <v>6.2745885186672021</v>
      </c>
      <c r="N6" s="9">
        <f>VLOOKUP($A6,'RES installed'!$A$2:$C$7,3,FALSE)*'[1]Profiles, RES, Summer'!N$5</f>
        <v>7.8883982336411069</v>
      </c>
      <c r="O6" s="9">
        <f>VLOOKUP($A6,'RES installed'!$A$2:$C$7,3,FALSE)*'[1]Profiles, RES, Summer'!O$5</f>
        <v>9.7912484945804898</v>
      </c>
      <c r="P6" s="9">
        <f>VLOOKUP($A6,'RES installed'!$A$2:$C$7,3,FALSE)*'[1]Profiles, RES, Summer'!P$5</f>
        <v>13.067041348855881</v>
      </c>
      <c r="Q6" s="9">
        <f>VLOOKUP($A6,'RES installed'!$A$2:$C$7,3,FALSE)*'[1]Profiles, RES, Summer'!Q$5</f>
        <v>16.680048173424328</v>
      </c>
      <c r="R6" s="9">
        <f>VLOOKUP($A6,'RES installed'!$A$2:$C$7,3,FALSE)*'[1]Profiles, RES, Summer'!R$5</f>
        <v>19.714973906061822</v>
      </c>
      <c r="S6" s="9">
        <f>VLOOKUP($A6,'RES installed'!$A$2:$C$7,3,FALSE)*'[1]Profiles, RES, Summer'!S$5</f>
        <v>21.039743075070252</v>
      </c>
      <c r="T6" s="9">
        <f>VLOOKUP($A6,'RES installed'!$A$2:$C$7,3,FALSE)*'[1]Profiles, RES, Summer'!T$5</f>
        <v>22.641509433962266</v>
      </c>
      <c r="U6" s="9">
        <f>VLOOKUP($A6,'RES installed'!$A$2:$C$7,3,FALSE)*'[1]Profiles, RES, Summer'!U$5</f>
        <v>25.218787635487754</v>
      </c>
      <c r="V6" s="9">
        <f>VLOOKUP($A6,'RES installed'!$A$2:$C$7,3,FALSE)*'[1]Profiles, RES, Summer'!V$5</f>
        <v>27.808109193095145</v>
      </c>
      <c r="W6" s="9">
        <f>VLOOKUP($A6,'RES installed'!$A$2:$C$7,3,FALSE)*'[1]Profiles, RES, Summer'!W$5</f>
        <v>28.964271376957047</v>
      </c>
      <c r="X6" s="9">
        <f>VLOOKUP($A6,'RES installed'!$A$2:$C$7,3,FALSE)*'[1]Profiles, RES, Summer'!X$5</f>
        <v>29.096748293857885</v>
      </c>
      <c r="Y6" s="9">
        <f>VLOOKUP($A6,'RES installed'!$A$2:$C$7,3,FALSE)*'[1]Profiles, RES, Summer'!Y$5</f>
        <v>28.061019670814932</v>
      </c>
    </row>
    <row r="7" spans="1:25" x14ac:dyDescent="0.3">
      <c r="A7" s="8">
        <v>6</v>
      </c>
      <c r="B7" s="9">
        <f>VLOOKUP($A7,'RES installed'!$A$2:$C$7,3,FALSE)*'[1]Profiles, RES, Summer'!B$5</f>
        <v>12.157767964672821</v>
      </c>
      <c r="C7" s="9">
        <f>VLOOKUP($A7,'RES installed'!$A$2:$C$7,3,FALSE)*'[1]Profiles, RES, Summer'!C$5</f>
        <v>11.119028502609394</v>
      </c>
      <c r="D7" s="9">
        <f>VLOOKUP($A7,'RES installed'!$A$2:$C$7,3,FALSE)*'[1]Profiles, RES, Summer'!D$5</f>
        <v>9.7280208751505413</v>
      </c>
      <c r="E7" s="9">
        <f>VLOOKUP($A7,'RES installed'!$A$2:$C$7,3,FALSE)*'[1]Profiles, RES, Summer'!E$5</f>
        <v>9.6918908069048584</v>
      </c>
      <c r="F7" s="9">
        <f>VLOOKUP($A7,'RES installed'!$A$2:$C$7,3,FALSE)*'[1]Profiles, RES, Summer'!F$5</f>
        <v>9.1770373344038543</v>
      </c>
      <c r="G7" s="9">
        <f>VLOOKUP($A7,'RES installed'!$A$2:$C$7,3,FALSE)*'[1]Profiles, RES, Summer'!G$5</f>
        <v>8.4544359694901647</v>
      </c>
      <c r="H7" s="9">
        <f>VLOOKUP($A7,'RES installed'!$A$2:$C$7,3,FALSE)*'[1]Profiles, RES, Summer'!H$5</f>
        <v>7.433761541549579</v>
      </c>
      <c r="I7" s="9">
        <f>VLOOKUP($A7,'RES installed'!$A$2:$C$7,3,FALSE)*'[1]Profiles, RES, Summer'!I$5</f>
        <v>5.8440385387394622</v>
      </c>
      <c r="J7" s="9">
        <f>VLOOKUP($A7,'RES installed'!$A$2:$C$7,3,FALSE)*'[1]Profiles, RES, Summer'!J$5</f>
        <v>4.8594941790445603</v>
      </c>
      <c r="K7" s="9">
        <f>VLOOKUP($A7,'RES installed'!$A$2:$C$7,3,FALSE)*'[1]Profiles, RES, Summer'!K$5</f>
        <v>4.5433560818948218</v>
      </c>
      <c r="L7" s="9">
        <f>VLOOKUP($A7,'RES installed'!$A$2:$C$7,3,FALSE)*'[1]Profiles, RES, Summer'!L$5</f>
        <v>4.182055399437977</v>
      </c>
      <c r="M7" s="9">
        <f>VLOOKUP($A7,'RES installed'!$A$2:$C$7,3,FALSE)*'[1]Profiles, RES, Summer'!M$5</f>
        <v>4.7059413890004018</v>
      </c>
      <c r="N7" s="9">
        <f>VLOOKUP($A7,'RES installed'!$A$2:$C$7,3,FALSE)*'[1]Profiles, RES, Summer'!N$5</f>
        <v>5.9162986752308306</v>
      </c>
      <c r="O7" s="9">
        <f>VLOOKUP($A7,'RES installed'!$A$2:$C$7,3,FALSE)*'[1]Profiles, RES, Summer'!O$5</f>
        <v>7.3434363709353674</v>
      </c>
      <c r="P7" s="9">
        <f>VLOOKUP($A7,'RES installed'!$A$2:$C$7,3,FALSE)*'[1]Profiles, RES, Summer'!P$5</f>
        <v>9.8002810116419106</v>
      </c>
      <c r="Q7" s="9">
        <f>VLOOKUP($A7,'RES installed'!$A$2:$C$7,3,FALSE)*'[1]Profiles, RES, Summer'!Q$5</f>
        <v>12.510036130068245</v>
      </c>
      <c r="R7" s="9">
        <f>VLOOKUP($A7,'RES installed'!$A$2:$C$7,3,FALSE)*'[1]Profiles, RES, Summer'!R$5</f>
        <v>14.786230429546368</v>
      </c>
      <c r="S7" s="9">
        <f>VLOOKUP($A7,'RES installed'!$A$2:$C$7,3,FALSE)*'[1]Profiles, RES, Summer'!S$5</f>
        <v>15.77980730630269</v>
      </c>
      <c r="T7" s="9">
        <f>VLOOKUP($A7,'RES installed'!$A$2:$C$7,3,FALSE)*'[1]Profiles, RES, Summer'!T$5</f>
        <v>16.981132075471699</v>
      </c>
      <c r="U7" s="9">
        <f>VLOOKUP($A7,'RES installed'!$A$2:$C$7,3,FALSE)*'[1]Profiles, RES, Summer'!U$5</f>
        <v>18.914090726615814</v>
      </c>
      <c r="V7" s="9">
        <f>VLOOKUP($A7,'RES installed'!$A$2:$C$7,3,FALSE)*'[1]Profiles, RES, Summer'!V$5</f>
        <v>20.856081894821358</v>
      </c>
      <c r="W7" s="9">
        <f>VLOOKUP($A7,'RES installed'!$A$2:$C$7,3,FALSE)*'[1]Profiles, RES, Summer'!W$5</f>
        <v>21.723203532717786</v>
      </c>
      <c r="X7" s="9">
        <f>VLOOKUP($A7,'RES installed'!$A$2:$C$7,3,FALSE)*'[1]Profiles, RES, Summer'!X$5</f>
        <v>21.822561220393414</v>
      </c>
      <c r="Y7" s="9">
        <f>VLOOKUP($A7,'RES installed'!$A$2:$C$7,3,FALSE)*'[1]Profiles, RES, Summer'!Y$5</f>
        <v>21.0457647531112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0.17058377558756635</v>
      </c>
      <c r="H8" s="6">
        <f>VLOOKUP($A8,'RES installed'!$A$2:$C$7,3,FALSE)*'[1]Profiles, RES, Summer'!H$2</f>
        <v>5.003790750568613</v>
      </c>
      <c r="I8" s="6">
        <f>VLOOKUP($A8,'RES installed'!$A$2:$C$7,3,FALSE)*'[1]Profiles, RES, Summer'!I$2</f>
        <v>20.811220621683095</v>
      </c>
      <c r="J8" s="6">
        <f>VLOOKUP($A8,'RES installed'!$A$2:$C$7,3,FALSE)*'[1]Profiles, RES, Summer'!J$2</f>
        <v>43.100833965125098</v>
      </c>
      <c r="K8" s="6">
        <f>VLOOKUP($A8,'RES installed'!$A$2:$C$7,3,FALSE)*'[1]Profiles, RES, Summer'!K$2</f>
        <v>56.719105382865806</v>
      </c>
      <c r="L8" s="6">
        <f>VLOOKUP($A8,'RES installed'!$A$2:$C$7,3,FALSE)*'[1]Profiles, RES, Summer'!L$2</f>
        <v>65.163002274450335</v>
      </c>
      <c r="M8" s="6">
        <f>VLOOKUP($A8,'RES installed'!$A$2:$C$7,3,FALSE)*'[1]Profiles, RES, Summer'!M$2</f>
        <v>68.97270659590599</v>
      </c>
      <c r="N8" s="6">
        <f>VLOOKUP($A8,'RES installed'!$A$2:$C$7,3,FALSE)*'[1]Profiles, RES, Summer'!N$2</f>
        <v>70.507960576194094</v>
      </c>
      <c r="O8" s="6">
        <f>VLOOKUP($A8,'RES installed'!$A$2:$C$7,3,FALSE)*'[1]Profiles, RES, Summer'!O$2</f>
        <v>70.536391205458685</v>
      </c>
      <c r="P8" s="6">
        <f>VLOOKUP($A8,'RES installed'!$A$2:$C$7,3,FALSE)*'[1]Profiles, RES, Summer'!P$2</f>
        <v>68.119787717968151</v>
      </c>
      <c r="Q8" s="6">
        <f>VLOOKUP($A8,'RES installed'!$A$2:$C$7,3,FALSE)*'[1]Profiles, RES, Summer'!Q$2</f>
        <v>60.585670962850642</v>
      </c>
      <c r="R8" s="6">
        <f>VLOOKUP($A8,'RES installed'!$A$2:$C$7,3,FALSE)*'[1]Profiles, RES, Summer'!R$2</f>
        <v>48.55951478392722</v>
      </c>
      <c r="S8" s="6">
        <f>VLOOKUP($A8,'RES installed'!$A$2:$C$7,3,FALSE)*'[1]Profiles, RES, Summer'!S$2</f>
        <v>31.415845337376801</v>
      </c>
      <c r="T8" s="6">
        <f>VLOOKUP($A8,'RES installed'!$A$2:$C$7,3,FALSE)*'[1]Profiles, RES, Summer'!T$2</f>
        <v>10.945792266868841</v>
      </c>
      <c r="U8" s="6">
        <f>VLOOKUP($A8,'RES installed'!$A$2:$C$7,3,FALSE)*'[1]Profiles, RES, Summer'!U$2</f>
        <v>0.90978013646702049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0.11372251705837756</v>
      </c>
      <c r="H9" s="6">
        <f>VLOOKUP($A9,'RES installed'!$A$2:$C$7,3,FALSE)*'[1]Profiles, RES, Summer'!H$2</f>
        <v>3.3358605003790753</v>
      </c>
      <c r="I9" s="6">
        <f>VLOOKUP($A9,'RES installed'!$A$2:$C$7,3,FALSE)*'[1]Profiles, RES, Summer'!I$2</f>
        <v>13.874147081122063</v>
      </c>
      <c r="J9" s="6">
        <f>VLOOKUP($A9,'RES installed'!$A$2:$C$7,3,FALSE)*'[1]Profiles, RES, Summer'!J$2</f>
        <v>28.733889310083399</v>
      </c>
      <c r="K9" s="6">
        <f>VLOOKUP($A9,'RES installed'!$A$2:$C$7,3,FALSE)*'[1]Profiles, RES, Summer'!K$2</f>
        <v>37.812736921910542</v>
      </c>
      <c r="L9" s="6">
        <f>VLOOKUP($A9,'RES installed'!$A$2:$C$7,3,FALSE)*'[1]Profiles, RES, Summer'!L$2</f>
        <v>43.44200151630023</v>
      </c>
      <c r="M9" s="6">
        <f>VLOOKUP($A9,'RES installed'!$A$2:$C$7,3,FALSE)*'[1]Profiles, RES, Summer'!M$2</f>
        <v>45.981804397270658</v>
      </c>
      <c r="N9" s="6">
        <f>VLOOKUP($A9,'RES installed'!$A$2:$C$7,3,FALSE)*'[1]Profiles, RES, Summer'!N$2</f>
        <v>47.005307050796056</v>
      </c>
      <c r="O9" s="6">
        <f>VLOOKUP($A9,'RES installed'!$A$2:$C$7,3,FALSE)*'[1]Profiles, RES, Summer'!O$2</f>
        <v>47.024260803639123</v>
      </c>
      <c r="P9" s="6">
        <f>VLOOKUP($A9,'RES installed'!$A$2:$C$7,3,FALSE)*'[1]Profiles, RES, Summer'!P$2</f>
        <v>45.41319181197877</v>
      </c>
      <c r="Q9" s="6">
        <f>VLOOKUP($A9,'RES installed'!$A$2:$C$7,3,FALSE)*'[1]Profiles, RES, Summer'!Q$2</f>
        <v>40.390447308567097</v>
      </c>
      <c r="R9" s="6">
        <f>VLOOKUP($A9,'RES installed'!$A$2:$C$7,3,FALSE)*'[1]Profiles, RES, Summer'!R$2</f>
        <v>32.37300985595148</v>
      </c>
      <c r="S9" s="6">
        <f>VLOOKUP($A9,'RES installed'!$A$2:$C$7,3,FALSE)*'[1]Profiles, RES, Summer'!S$2</f>
        <v>20.943896891584536</v>
      </c>
      <c r="T9" s="6">
        <f>VLOOKUP($A9,'RES installed'!$A$2:$C$7,3,FALSE)*'[1]Profiles, RES, Summer'!T$2</f>
        <v>7.2971948445792272</v>
      </c>
      <c r="U9" s="6">
        <f>VLOOKUP($A9,'RES installed'!$A$2:$C$7,3,FALSE)*'[1]Profiles, RES, Summer'!U$2</f>
        <v>0.60652009097801363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0.13646702047005307</v>
      </c>
      <c r="H10" s="6">
        <f>VLOOKUP($A10,'RES installed'!$A$2:$C$7,3,FALSE)*'[1]Profiles, RES, Summer'!H$2</f>
        <v>4.0030326004548904</v>
      </c>
      <c r="I10" s="6">
        <f>VLOOKUP($A10,'RES installed'!$A$2:$C$7,3,FALSE)*'[1]Profiles, RES, Summer'!I$2</f>
        <v>16.648976497346474</v>
      </c>
      <c r="J10" s="6">
        <f>VLOOKUP($A10,'RES installed'!$A$2:$C$7,3,FALSE)*'[1]Profiles, RES, Summer'!J$2</f>
        <v>34.480667172100077</v>
      </c>
      <c r="K10" s="6">
        <f>VLOOKUP($A10,'RES installed'!$A$2:$C$7,3,FALSE)*'[1]Profiles, RES, Summer'!K$2</f>
        <v>45.375284306292649</v>
      </c>
      <c r="L10" s="6">
        <f>VLOOKUP($A10,'RES installed'!$A$2:$C$7,3,FALSE)*'[1]Profiles, RES, Summer'!L$2</f>
        <v>52.130401819560269</v>
      </c>
      <c r="M10" s="6">
        <f>VLOOKUP($A10,'RES installed'!$A$2:$C$7,3,FALSE)*'[1]Profiles, RES, Summer'!M$2</f>
        <v>55.178165276724791</v>
      </c>
      <c r="N10" s="6">
        <f>VLOOKUP($A10,'RES installed'!$A$2:$C$7,3,FALSE)*'[1]Profiles, RES, Summer'!N$2</f>
        <v>56.406368460955271</v>
      </c>
      <c r="O10" s="6">
        <f>VLOOKUP($A10,'RES installed'!$A$2:$C$7,3,FALSE)*'[1]Profiles, RES, Summer'!O$2</f>
        <v>56.429112964366951</v>
      </c>
      <c r="P10" s="6">
        <f>VLOOKUP($A10,'RES installed'!$A$2:$C$7,3,FALSE)*'[1]Profiles, RES, Summer'!P$2</f>
        <v>54.495830174374525</v>
      </c>
      <c r="Q10" s="6">
        <f>VLOOKUP($A10,'RES installed'!$A$2:$C$7,3,FALSE)*'[1]Profiles, RES, Summer'!Q$2</f>
        <v>48.468536770280515</v>
      </c>
      <c r="R10" s="6">
        <f>VLOOKUP($A10,'RES installed'!$A$2:$C$7,3,FALSE)*'[1]Profiles, RES, Summer'!R$2</f>
        <v>38.847611827141776</v>
      </c>
      <c r="S10" s="6">
        <f>VLOOKUP($A10,'RES installed'!$A$2:$C$7,3,FALSE)*'[1]Profiles, RES, Summer'!S$2</f>
        <v>25.132676269901442</v>
      </c>
      <c r="T10" s="6">
        <f>VLOOKUP($A10,'RES installed'!$A$2:$C$7,3,FALSE)*'[1]Profiles, RES, Summer'!T$2</f>
        <v>8.756633813495073</v>
      </c>
      <c r="U10" s="6">
        <f>VLOOKUP($A10,'RES installed'!$A$2:$C$7,3,FALSE)*'[1]Profiles, RES, Summer'!U$2</f>
        <v>0.7278241091736164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DABC2-C2BD-4099-8F87-452525C0E91A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12.826174227217987</v>
      </c>
      <c r="C5" s="9">
        <f>VLOOKUP($A5,'RES installed'!$A$2:$C$7,3,FALSE)*'[1]Profiles, RES, Summer'!C$6</f>
        <v>11.913890004014451</v>
      </c>
      <c r="D5" s="9">
        <f>VLOOKUP($A5,'RES installed'!$A$2:$C$7,3,FALSE)*'[1]Profiles, RES, Summer'!D$6</f>
        <v>12.112605379365716</v>
      </c>
      <c r="E5" s="9">
        <f>VLOOKUP($A5,'RES installed'!$A$2:$C$7,3,FALSE)*'[1]Profiles, RES, Summer'!E$6</f>
        <v>10.947410678442393</v>
      </c>
      <c r="F5" s="9">
        <f>VLOOKUP($A5,'RES installed'!$A$2:$C$7,3,FALSE)*'[1]Profiles, RES, Summer'!F$6</f>
        <v>10.242874347651545</v>
      </c>
      <c r="G5" s="9">
        <f>VLOOKUP($A5,'RES installed'!$A$2:$C$7,3,FALSE)*'[1]Profiles, RES, Summer'!G$6</f>
        <v>10.875150541951024</v>
      </c>
      <c r="H5" s="9">
        <f>VLOOKUP($A5,'RES installed'!$A$2:$C$7,3,FALSE)*'[1]Profiles, RES, Summer'!H$6</f>
        <v>10.757727820152549</v>
      </c>
      <c r="I5" s="9">
        <f>VLOOKUP($A5,'RES installed'!$A$2:$C$7,3,FALSE)*'[1]Profiles, RES, Summer'!I$6</f>
        <v>7.9305499799277399</v>
      </c>
      <c r="J5" s="9">
        <f>VLOOKUP($A5,'RES installed'!$A$2:$C$7,3,FALSE)*'[1]Profiles, RES, Summer'!J$6</f>
        <v>5.0762745885186673</v>
      </c>
      <c r="K5" s="9">
        <f>VLOOKUP($A5,'RES installed'!$A$2:$C$7,3,FALSE)*'[1]Profiles, RES, Summer'!K$6</f>
        <v>3.6942994781212364</v>
      </c>
      <c r="L5" s="9">
        <f>VLOOKUP($A5,'RES installed'!$A$2:$C$7,3,FALSE)*'[1]Profiles, RES, Summer'!L$6</f>
        <v>2.7910477719791249</v>
      </c>
      <c r="M5" s="9">
        <f>VLOOKUP($A5,'RES installed'!$A$2:$C$7,3,FALSE)*'[1]Profiles, RES, Summer'!M$6</f>
        <v>2.6194299478121237</v>
      </c>
      <c r="N5" s="9">
        <f>VLOOKUP($A5,'RES installed'!$A$2:$C$7,3,FALSE)*'[1]Profiles, RES, Summer'!N$6</f>
        <v>3.2788036932958651</v>
      </c>
      <c r="O5" s="9">
        <f>VLOOKUP($A5,'RES installed'!$A$2:$C$7,3,FALSE)*'[1]Profiles, RES, Summer'!O$6</f>
        <v>4.2543155359293454</v>
      </c>
      <c r="P5" s="9">
        <f>VLOOKUP($A5,'RES installed'!$A$2:$C$7,3,FALSE)*'[1]Profiles, RES, Summer'!P$6</f>
        <v>6.0608189482135693</v>
      </c>
      <c r="Q5" s="9">
        <f>VLOOKUP($A5,'RES installed'!$A$2:$C$7,3,FALSE)*'[1]Profiles, RES, Summer'!Q$6</f>
        <v>7.6505419510236852</v>
      </c>
      <c r="R5" s="9">
        <f>VLOOKUP($A5,'RES installed'!$A$2:$C$7,3,FALSE)*'[1]Profiles, RES, Summer'!R$6</f>
        <v>9.1589723002810111</v>
      </c>
      <c r="S5" s="9">
        <f>VLOOKUP($A5,'RES installed'!$A$2:$C$7,3,FALSE)*'[1]Profiles, RES, Summer'!S$6</f>
        <v>9.7822159775190691</v>
      </c>
      <c r="T5" s="9">
        <f>VLOOKUP($A5,'RES installed'!$A$2:$C$7,3,FALSE)*'[1]Profiles, RES, Summer'!T$6</f>
        <v>9.3034925732637497</v>
      </c>
      <c r="U5" s="9">
        <f>VLOOKUP($A5,'RES installed'!$A$2:$C$7,3,FALSE)*'[1]Profiles, RES, Summer'!U$6</f>
        <v>9.0234845443596949</v>
      </c>
      <c r="V5" s="9">
        <f>VLOOKUP($A5,'RES installed'!$A$2:$C$7,3,FALSE)*'[1]Profiles, RES, Summer'!V$6</f>
        <v>9.0505820955439589</v>
      </c>
      <c r="W5" s="9">
        <f>VLOOKUP($A5,'RES installed'!$A$2:$C$7,3,FALSE)*'[1]Profiles, RES, Summer'!W$6</f>
        <v>8.3189482135688468</v>
      </c>
      <c r="X5" s="9">
        <f>VLOOKUP($A5,'RES installed'!$A$2:$C$7,3,FALSE)*'[1]Profiles, RES, Summer'!X$6</f>
        <v>7.7137695704536338</v>
      </c>
      <c r="Y5" s="9">
        <f>VLOOKUP($A5,'RES installed'!$A$2:$C$7,3,FALSE)*'[1]Profiles, RES, Summer'!Y$6</f>
        <v>7.8492573263749499</v>
      </c>
    </row>
    <row r="6" spans="1:25" x14ac:dyDescent="0.3">
      <c r="A6" s="8">
        <v>5</v>
      </c>
      <c r="B6" s="9">
        <f>VLOOKUP($A6,'RES installed'!$A$2:$C$7,3,FALSE)*'[1]Profiles, RES, Summer'!B$6</f>
        <v>17.101565636290648</v>
      </c>
      <c r="C6" s="9">
        <f>VLOOKUP($A6,'RES installed'!$A$2:$C$7,3,FALSE)*'[1]Profiles, RES, Summer'!C$6</f>
        <v>15.885186672019268</v>
      </c>
      <c r="D6" s="9">
        <f>VLOOKUP($A6,'RES installed'!$A$2:$C$7,3,FALSE)*'[1]Profiles, RES, Summer'!D$6</f>
        <v>16.150140505820954</v>
      </c>
      <c r="E6" s="9">
        <f>VLOOKUP($A6,'RES installed'!$A$2:$C$7,3,FALSE)*'[1]Profiles, RES, Summer'!E$6</f>
        <v>14.596547571256524</v>
      </c>
      <c r="F6" s="9">
        <f>VLOOKUP($A6,'RES installed'!$A$2:$C$7,3,FALSE)*'[1]Profiles, RES, Summer'!F$6</f>
        <v>13.657165796868727</v>
      </c>
      <c r="G6" s="9">
        <f>VLOOKUP($A6,'RES installed'!$A$2:$C$7,3,FALSE)*'[1]Profiles, RES, Summer'!G$6</f>
        <v>14.500200722601365</v>
      </c>
      <c r="H6" s="9">
        <f>VLOOKUP($A6,'RES installed'!$A$2:$C$7,3,FALSE)*'[1]Profiles, RES, Summer'!H$6</f>
        <v>14.343637093536731</v>
      </c>
      <c r="I6" s="9">
        <f>VLOOKUP($A6,'RES installed'!$A$2:$C$7,3,FALSE)*'[1]Profiles, RES, Summer'!I$6</f>
        <v>10.574066639903654</v>
      </c>
      <c r="J6" s="9">
        <f>VLOOKUP($A6,'RES installed'!$A$2:$C$7,3,FALSE)*'[1]Profiles, RES, Summer'!J$6</f>
        <v>6.7683661180248897</v>
      </c>
      <c r="K6" s="9">
        <f>VLOOKUP($A6,'RES installed'!$A$2:$C$7,3,FALSE)*'[1]Profiles, RES, Summer'!K$6</f>
        <v>4.9257326374949812</v>
      </c>
      <c r="L6" s="9">
        <f>VLOOKUP($A6,'RES installed'!$A$2:$C$7,3,FALSE)*'[1]Profiles, RES, Summer'!L$6</f>
        <v>3.7213970293054994</v>
      </c>
      <c r="M6" s="9">
        <f>VLOOKUP($A6,'RES installed'!$A$2:$C$7,3,FALSE)*'[1]Profiles, RES, Summer'!M$6</f>
        <v>3.4925732637494979</v>
      </c>
      <c r="N6" s="9">
        <f>VLOOKUP($A6,'RES installed'!$A$2:$C$7,3,FALSE)*'[1]Profiles, RES, Summer'!N$6</f>
        <v>4.3717382577278201</v>
      </c>
      <c r="O6" s="9">
        <f>VLOOKUP($A6,'RES installed'!$A$2:$C$7,3,FALSE)*'[1]Profiles, RES, Summer'!O$6</f>
        <v>5.6724207145724606</v>
      </c>
      <c r="P6" s="9">
        <f>VLOOKUP($A6,'RES installed'!$A$2:$C$7,3,FALSE)*'[1]Profiles, RES, Summer'!P$6</f>
        <v>8.0810919309514251</v>
      </c>
      <c r="Q6" s="9">
        <f>VLOOKUP($A6,'RES installed'!$A$2:$C$7,3,FALSE)*'[1]Profiles, RES, Summer'!Q$6</f>
        <v>10.200722601364912</v>
      </c>
      <c r="R6" s="9">
        <f>VLOOKUP($A6,'RES installed'!$A$2:$C$7,3,FALSE)*'[1]Profiles, RES, Summer'!R$6</f>
        <v>12.211963067041349</v>
      </c>
      <c r="S6" s="9">
        <f>VLOOKUP($A6,'RES installed'!$A$2:$C$7,3,FALSE)*'[1]Profiles, RES, Summer'!S$6</f>
        <v>13.042954636692093</v>
      </c>
      <c r="T6" s="9">
        <f>VLOOKUP($A6,'RES installed'!$A$2:$C$7,3,FALSE)*'[1]Profiles, RES, Summer'!T$6</f>
        <v>12.404656764351666</v>
      </c>
      <c r="U6" s="9">
        <f>VLOOKUP($A6,'RES installed'!$A$2:$C$7,3,FALSE)*'[1]Profiles, RES, Summer'!U$6</f>
        <v>12.031312725812926</v>
      </c>
      <c r="V6" s="9">
        <f>VLOOKUP($A6,'RES installed'!$A$2:$C$7,3,FALSE)*'[1]Profiles, RES, Summer'!V$6</f>
        <v>12.067442794058611</v>
      </c>
      <c r="W6" s="9">
        <f>VLOOKUP($A6,'RES installed'!$A$2:$C$7,3,FALSE)*'[1]Profiles, RES, Summer'!W$6</f>
        <v>11.09193095142513</v>
      </c>
      <c r="X6" s="9">
        <f>VLOOKUP($A6,'RES installed'!$A$2:$C$7,3,FALSE)*'[1]Profiles, RES, Summer'!X$6</f>
        <v>10.285026093938178</v>
      </c>
      <c r="Y6" s="9">
        <f>VLOOKUP($A6,'RES installed'!$A$2:$C$7,3,FALSE)*'[1]Profiles, RES, Summer'!Y$6</f>
        <v>10.4656764351666</v>
      </c>
    </row>
    <row r="7" spans="1:25" x14ac:dyDescent="0.3">
      <c r="A7" s="8">
        <v>6</v>
      </c>
      <c r="B7" s="9">
        <f>VLOOKUP($A7,'RES installed'!$A$2:$C$7,3,FALSE)*'[1]Profiles, RES, Summer'!B$6</f>
        <v>12.826174227217987</v>
      </c>
      <c r="C7" s="9">
        <f>VLOOKUP($A7,'RES installed'!$A$2:$C$7,3,FALSE)*'[1]Profiles, RES, Summer'!C$6</f>
        <v>11.913890004014451</v>
      </c>
      <c r="D7" s="9">
        <f>VLOOKUP($A7,'RES installed'!$A$2:$C$7,3,FALSE)*'[1]Profiles, RES, Summer'!D$6</f>
        <v>12.112605379365716</v>
      </c>
      <c r="E7" s="9">
        <f>VLOOKUP($A7,'RES installed'!$A$2:$C$7,3,FALSE)*'[1]Profiles, RES, Summer'!E$6</f>
        <v>10.947410678442393</v>
      </c>
      <c r="F7" s="9">
        <f>VLOOKUP($A7,'RES installed'!$A$2:$C$7,3,FALSE)*'[1]Profiles, RES, Summer'!F$6</f>
        <v>10.242874347651545</v>
      </c>
      <c r="G7" s="9">
        <f>VLOOKUP($A7,'RES installed'!$A$2:$C$7,3,FALSE)*'[1]Profiles, RES, Summer'!G$6</f>
        <v>10.875150541951024</v>
      </c>
      <c r="H7" s="9">
        <f>VLOOKUP($A7,'RES installed'!$A$2:$C$7,3,FALSE)*'[1]Profiles, RES, Summer'!H$6</f>
        <v>10.757727820152549</v>
      </c>
      <c r="I7" s="9">
        <f>VLOOKUP($A7,'RES installed'!$A$2:$C$7,3,FALSE)*'[1]Profiles, RES, Summer'!I$6</f>
        <v>7.9305499799277399</v>
      </c>
      <c r="J7" s="9">
        <f>VLOOKUP($A7,'RES installed'!$A$2:$C$7,3,FALSE)*'[1]Profiles, RES, Summer'!J$6</f>
        <v>5.0762745885186673</v>
      </c>
      <c r="K7" s="9">
        <f>VLOOKUP($A7,'RES installed'!$A$2:$C$7,3,FALSE)*'[1]Profiles, RES, Summer'!K$6</f>
        <v>3.6942994781212364</v>
      </c>
      <c r="L7" s="9">
        <f>VLOOKUP($A7,'RES installed'!$A$2:$C$7,3,FALSE)*'[1]Profiles, RES, Summer'!L$6</f>
        <v>2.7910477719791249</v>
      </c>
      <c r="M7" s="9">
        <f>VLOOKUP($A7,'RES installed'!$A$2:$C$7,3,FALSE)*'[1]Profiles, RES, Summer'!M$6</f>
        <v>2.6194299478121237</v>
      </c>
      <c r="N7" s="9">
        <f>VLOOKUP($A7,'RES installed'!$A$2:$C$7,3,FALSE)*'[1]Profiles, RES, Summer'!N$6</f>
        <v>3.2788036932958651</v>
      </c>
      <c r="O7" s="9">
        <f>VLOOKUP($A7,'RES installed'!$A$2:$C$7,3,FALSE)*'[1]Profiles, RES, Summer'!O$6</f>
        <v>4.2543155359293454</v>
      </c>
      <c r="P7" s="9">
        <f>VLOOKUP($A7,'RES installed'!$A$2:$C$7,3,FALSE)*'[1]Profiles, RES, Summer'!P$6</f>
        <v>6.0608189482135693</v>
      </c>
      <c r="Q7" s="9">
        <f>VLOOKUP($A7,'RES installed'!$A$2:$C$7,3,FALSE)*'[1]Profiles, RES, Summer'!Q$6</f>
        <v>7.6505419510236852</v>
      </c>
      <c r="R7" s="9">
        <f>VLOOKUP($A7,'RES installed'!$A$2:$C$7,3,FALSE)*'[1]Profiles, RES, Summer'!R$6</f>
        <v>9.1589723002810111</v>
      </c>
      <c r="S7" s="9">
        <f>VLOOKUP($A7,'RES installed'!$A$2:$C$7,3,FALSE)*'[1]Profiles, RES, Summer'!S$6</f>
        <v>9.7822159775190691</v>
      </c>
      <c r="T7" s="9">
        <f>VLOOKUP($A7,'RES installed'!$A$2:$C$7,3,FALSE)*'[1]Profiles, RES, Summer'!T$6</f>
        <v>9.3034925732637497</v>
      </c>
      <c r="U7" s="9">
        <f>VLOOKUP($A7,'RES installed'!$A$2:$C$7,3,FALSE)*'[1]Profiles, RES, Summer'!U$6</f>
        <v>9.0234845443596949</v>
      </c>
      <c r="V7" s="9">
        <f>VLOOKUP($A7,'RES installed'!$A$2:$C$7,3,FALSE)*'[1]Profiles, RES, Summer'!V$6</f>
        <v>9.0505820955439589</v>
      </c>
      <c r="W7" s="9">
        <f>VLOOKUP($A7,'RES installed'!$A$2:$C$7,3,FALSE)*'[1]Profiles, RES, Summer'!W$6</f>
        <v>8.3189482135688468</v>
      </c>
      <c r="X7" s="9">
        <f>VLOOKUP($A7,'RES installed'!$A$2:$C$7,3,FALSE)*'[1]Profiles, RES, Summer'!X$6</f>
        <v>7.7137695704536338</v>
      </c>
      <c r="Y7" s="9">
        <f>VLOOKUP($A7,'RES installed'!$A$2:$C$7,3,FALSE)*'[1]Profiles, RES, Summer'!Y$6</f>
        <v>7.8492573263749499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0.14215314632297193</v>
      </c>
      <c r="H8" s="6">
        <f>VLOOKUP($A8,'RES installed'!$A$2:$C$7,3,FALSE)*'[1]Profiles, RES, Summer'!H$3</f>
        <v>5.9988627748294157</v>
      </c>
      <c r="I8" s="6">
        <f>VLOOKUP($A8,'RES installed'!$A$2:$C$7,3,FALSE)*'[1]Profiles, RES, Summer'!I$3</f>
        <v>24.137604245640638</v>
      </c>
      <c r="J8" s="6">
        <f>VLOOKUP($A8,'RES installed'!$A$2:$C$7,3,FALSE)*'[1]Profiles, RES, Summer'!J$3</f>
        <v>44.124336618650489</v>
      </c>
      <c r="K8" s="6">
        <f>VLOOKUP($A8,'RES installed'!$A$2:$C$7,3,FALSE)*'[1]Profiles, RES, Summer'!K$3</f>
        <v>58.026914329037155</v>
      </c>
      <c r="L8" s="6">
        <f>VLOOKUP($A8,'RES installed'!$A$2:$C$7,3,FALSE)*'[1]Profiles, RES, Summer'!L$3</f>
        <v>67.494313874147082</v>
      </c>
      <c r="M8" s="6">
        <f>VLOOKUP($A8,'RES installed'!$A$2:$C$7,3,FALSE)*'[1]Profiles, RES, Summer'!M$3</f>
        <v>70.991281273692195</v>
      </c>
      <c r="N8" s="6">
        <f>VLOOKUP($A8,'RES installed'!$A$2:$C$7,3,FALSE)*'[1]Profiles, RES, Summer'!N$3</f>
        <v>71.190295678544345</v>
      </c>
      <c r="O8" s="6">
        <f>VLOOKUP($A8,'RES installed'!$A$2:$C$7,3,FALSE)*'[1]Profiles, RES, Summer'!O$3</f>
        <v>69.683472327520846</v>
      </c>
      <c r="P8" s="6">
        <f>VLOOKUP($A8,'RES installed'!$A$2:$C$7,3,FALSE)*'[1]Profiles, RES, Summer'!P$3</f>
        <v>67.465883244882491</v>
      </c>
      <c r="Q8" s="6">
        <f>VLOOKUP($A8,'RES installed'!$A$2:$C$7,3,FALSE)*'[1]Profiles, RES, Summer'!Q$3</f>
        <v>60.187642153146321</v>
      </c>
      <c r="R8" s="6">
        <f>VLOOKUP($A8,'RES installed'!$A$2:$C$7,3,FALSE)*'[1]Profiles, RES, Summer'!R$3</f>
        <v>48.332069749810465</v>
      </c>
      <c r="S8" s="6">
        <f>VLOOKUP($A8,'RES installed'!$A$2:$C$7,3,FALSE)*'[1]Profiles, RES, Summer'!S$3</f>
        <v>30.30705079605762</v>
      </c>
      <c r="T8" s="6">
        <f>VLOOKUP($A8,'RES installed'!$A$2:$C$7,3,FALSE)*'[1]Profiles, RES, Summer'!T$3</f>
        <v>9.8654283548142523</v>
      </c>
      <c r="U8" s="6">
        <f>VLOOKUP($A8,'RES installed'!$A$2:$C$7,3,FALSE)*'[1]Profiles, RES, Summer'!U$3</f>
        <v>0.65390447308567101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9.4768764215314633E-2</v>
      </c>
      <c r="H9" s="6">
        <f>VLOOKUP($A9,'RES installed'!$A$2:$C$7,3,FALSE)*'[1]Profiles, RES, Summer'!H$3</f>
        <v>3.9992418498862774</v>
      </c>
      <c r="I9" s="6">
        <f>VLOOKUP($A9,'RES installed'!$A$2:$C$7,3,FALSE)*'[1]Profiles, RES, Summer'!I$3</f>
        <v>16.091736163760427</v>
      </c>
      <c r="J9" s="6">
        <f>VLOOKUP($A9,'RES installed'!$A$2:$C$7,3,FALSE)*'[1]Profiles, RES, Summer'!J$3</f>
        <v>29.41622441243366</v>
      </c>
      <c r="K9" s="6">
        <f>VLOOKUP($A9,'RES installed'!$A$2:$C$7,3,FALSE)*'[1]Profiles, RES, Summer'!K$3</f>
        <v>38.684609552691434</v>
      </c>
      <c r="L9" s="6">
        <f>VLOOKUP($A9,'RES installed'!$A$2:$C$7,3,FALSE)*'[1]Profiles, RES, Summer'!L$3</f>
        <v>44.996209249431388</v>
      </c>
      <c r="M9" s="6">
        <f>VLOOKUP($A9,'RES installed'!$A$2:$C$7,3,FALSE)*'[1]Profiles, RES, Summer'!M$3</f>
        <v>47.327520849128128</v>
      </c>
      <c r="N9" s="6">
        <f>VLOOKUP($A9,'RES installed'!$A$2:$C$7,3,FALSE)*'[1]Profiles, RES, Summer'!N$3</f>
        <v>47.460197119029566</v>
      </c>
      <c r="O9" s="6">
        <f>VLOOKUP($A9,'RES installed'!$A$2:$C$7,3,FALSE)*'[1]Profiles, RES, Summer'!O$3</f>
        <v>46.455648218347235</v>
      </c>
      <c r="P9" s="6">
        <f>VLOOKUP($A9,'RES installed'!$A$2:$C$7,3,FALSE)*'[1]Profiles, RES, Summer'!P$3</f>
        <v>44.977255496588327</v>
      </c>
      <c r="Q9" s="6">
        <f>VLOOKUP($A9,'RES installed'!$A$2:$C$7,3,FALSE)*'[1]Profiles, RES, Summer'!Q$3</f>
        <v>40.125094768764214</v>
      </c>
      <c r="R9" s="6">
        <f>VLOOKUP($A9,'RES installed'!$A$2:$C$7,3,FALSE)*'[1]Profiles, RES, Summer'!R$3</f>
        <v>32.221379833206974</v>
      </c>
      <c r="S9" s="6">
        <f>VLOOKUP($A9,'RES installed'!$A$2:$C$7,3,FALSE)*'[1]Profiles, RES, Summer'!S$3</f>
        <v>20.204700530705079</v>
      </c>
      <c r="T9" s="6">
        <f>VLOOKUP($A9,'RES installed'!$A$2:$C$7,3,FALSE)*'[1]Profiles, RES, Summer'!T$3</f>
        <v>6.5769522365428355</v>
      </c>
      <c r="U9" s="6">
        <f>VLOOKUP($A9,'RES installed'!$A$2:$C$7,3,FALSE)*'[1]Profiles, RES, Summer'!U$3</f>
        <v>0.4359363153904473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0.11372251705837756</v>
      </c>
      <c r="H10" s="6">
        <f>VLOOKUP($A10,'RES installed'!$A$2:$C$7,3,FALSE)*'[1]Profiles, RES, Summer'!H$3</f>
        <v>4.7990902198635323</v>
      </c>
      <c r="I10" s="6">
        <f>VLOOKUP($A10,'RES installed'!$A$2:$C$7,3,FALSE)*'[1]Profiles, RES, Summer'!I$3</f>
        <v>19.31008339651251</v>
      </c>
      <c r="J10" s="6">
        <f>VLOOKUP($A10,'RES installed'!$A$2:$C$7,3,FALSE)*'[1]Profiles, RES, Summer'!J$3</f>
        <v>35.299469294920392</v>
      </c>
      <c r="K10" s="6">
        <f>VLOOKUP($A10,'RES installed'!$A$2:$C$7,3,FALSE)*'[1]Profiles, RES, Summer'!K$3</f>
        <v>46.421531463229719</v>
      </c>
      <c r="L10" s="6">
        <f>VLOOKUP($A10,'RES installed'!$A$2:$C$7,3,FALSE)*'[1]Profiles, RES, Summer'!L$3</f>
        <v>53.995451099317663</v>
      </c>
      <c r="M10" s="6">
        <f>VLOOKUP($A10,'RES installed'!$A$2:$C$7,3,FALSE)*'[1]Profiles, RES, Summer'!M$3</f>
        <v>56.793025018953756</v>
      </c>
      <c r="N10" s="6">
        <f>VLOOKUP($A10,'RES installed'!$A$2:$C$7,3,FALSE)*'[1]Profiles, RES, Summer'!N$3</f>
        <v>56.952236542835479</v>
      </c>
      <c r="O10" s="6">
        <f>VLOOKUP($A10,'RES installed'!$A$2:$C$7,3,FALSE)*'[1]Profiles, RES, Summer'!O$3</f>
        <v>55.746777862016678</v>
      </c>
      <c r="P10" s="6">
        <f>VLOOKUP($A10,'RES installed'!$A$2:$C$7,3,FALSE)*'[1]Profiles, RES, Summer'!P$3</f>
        <v>53.97270659590599</v>
      </c>
      <c r="Q10" s="6">
        <f>VLOOKUP($A10,'RES installed'!$A$2:$C$7,3,FALSE)*'[1]Profiles, RES, Summer'!Q$3</f>
        <v>48.150113722517055</v>
      </c>
      <c r="R10" s="6">
        <f>VLOOKUP($A10,'RES installed'!$A$2:$C$7,3,FALSE)*'[1]Profiles, RES, Summer'!R$3</f>
        <v>38.665655799848373</v>
      </c>
      <c r="S10" s="6">
        <f>VLOOKUP($A10,'RES installed'!$A$2:$C$7,3,FALSE)*'[1]Profiles, RES, Summer'!S$3</f>
        <v>24.245640636846097</v>
      </c>
      <c r="T10" s="6">
        <f>VLOOKUP($A10,'RES installed'!$A$2:$C$7,3,FALSE)*'[1]Profiles, RES, Summer'!T$3</f>
        <v>7.8923426838514024</v>
      </c>
      <c r="U10" s="6">
        <f>VLOOKUP($A10,'RES installed'!$A$2:$C$7,3,FALSE)*'[1]Profiles, RES, Summer'!U$3</f>
        <v>0.52312357846853674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B240F-3F68-4E99-9835-98D43081D49C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13.395222802087515</v>
      </c>
      <c r="C5" s="9">
        <f>VLOOKUP($A5,'RES installed'!$A$2:$C$7,3,FALSE)*'[1]Profiles, RES, Summer'!C$7</f>
        <v>12.049377759935769</v>
      </c>
      <c r="D5" s="9">
        <f>VLOOKUP($A5,'RES installed'!$A$2:$C$7,3,FALSE)*'[1]Profiles, RES, Summer'!D$7</f>
        <v>10.062224006423122</v>
      </c>
      <c r="E5" s="9">
        <f>VLOOKUP($A5,'RES installed'!$A$2:$C$7,3,FALSE)*'[1]Profiles, RES, Summer'!E$7</f>
        <v>9.5112404656764351</v>
      </c>
      <c r="F5" s="9">
        <f>VLOOKUP($A5,'RES installed'!$A$2:$C$7,3,FALSE)*'[1]Profiles, RES, Summer'!F$7</f>
        <v>9.3576876756322758</v>
      </c>
      <c r="G5" s="9">
        <f>VLOOKUP($A5,'RES installed'!$A$2:$C$7,3,FALSE)*'[1]Profiles, RES, Summer'!G$7</f>
        <v>10.495784825371336</v>
      </c>
      <c r="H5" s="9">
        <f>VLOOKUP($A5,'RES installed'!$A$2:$C$7,3,FALSE)*'[1]Profiles, RES, Summer'!H$7</f>
        <v>11.570654355680448</v>
      </c>
      <c r="I5" s="9">
        <f>VLOOKUP($A5,'RES installed'!$A$2:$C$7,3,FALSE)*'[1]Profiles, RES, Summer'!I$7</f>
        <v>11.968085106382979</v>
      </c>
      <c r="J5" s="9">
        <f>VLOOKUP($A5,'RES installed'!$A$2:$C$7,3,FALSE)*'[1]Profiles, RES, Summer'!J$7</f>
        <v>9.7280208751505413</v>
      </c>
      <c r="K5" s="9">
        <f>VLOOKUP($A5,'RES installed'!$A$2:$C$7,3,FALSE)*'[1]Profiles, RES, Summer'!K$7</f>
        <v>7.5692492974708951</v>
      </c>
      <c r="L5" s="9">
        <f>VLOOKUP($A5,'RES installed'!$A$2:$C$7,3,FALSE)*'[1]Profiles, RES, Summer'!L$7</f>
        <v>6.8105178643115218</v>
      </c>
      <c r="M5" s="9">
        <f>VLOOKUP($A5,'RES installed'!$A$2:$C$7,3,FALSE)*'[1]Profiles, RES, Summer'!M$7</f>
        <v>6.0788839823364107</v>
      </c>
      <c r="N5" s="9">
        <f>VLOOKUP($A5,'RES installed'!$A$2:$C$7,3,FALSE)*'[1]Profiles, RES, Summer'!N$7</f>
        <v>6.5847049377759941</v>
      </c>
      <c r="O5" s="9">
        <f>VLOOKUP($A5,'RES installed'!$A$2:$C$7,3,FALSE)*'[1]Profiles, RES, Summer'!O$7</f>
        <v>8.7615415495784816</v>
      </c>
      <c r="P5" s="9">
        <f>VLOOKUP($A5,'RES installed'!$A$2:$C$7,3,FALSE)*'[1]Profiles, RES, Summer'!P$7</f>
        <v>11.019670814933761</v>
      </c>
      <c r="Q5" s="9">
        <f>VLOOKUP($A5,'RES installed'!$A$2:$C$7,3,FALSE)*'[1]Profiles, RES, Summer'!Q$7</f>
        <v>11.561621838619029</v>
      </c>
      <c r="R5" s="9">
        <f>VLOOKUP($A5,'RES installed'!$A$2:$C$7,3,FALSE)*'[1]Profiles, RES, Summer'!R$7</f>
        <v>12.482938578883983</v>
      </c>
      <c r="S5" s="9">
        <f>VLOOKUP($A5,'RES installed'!$A$2:$C$7,3,FALSE)*'[1]Profiles, RES, Summer'!S$7</f>
        <v>12.988759534323565</v>
      </c>
      <c r="T5" s="9">
        <f>VLOOKUP($A5,'RES installed'!$A$2:$C$7,3,FALSE)*'[1]Profiles, RES, Summer'!T$7</f>
        <v>13.313930148534725</v>
      </c>
      <c r="U5" s="9">
        <f>VLOOKUP($A5,'RES installed'!$A$2:$C$7,3,FALSE)*'[1]Profiles, RES, Summer'!U$7</f>
        <v>15.255921316740265</v>
      </c>
      <c r="V5" s="9">
        <f>VLOOKUP($A5,'RES installed'!$A$2:$C$7,3,FALSE)*'[1]Profiles, RES, Summer'!V$7</f>
        <v>17.16178241670012</v>
      </c>
      <c r="W5" s="9">
        <f>VLOOKUP($A5,'RES installed'!$A$2:$C$7,3,FALSE)*'[1]Profiles, RES, Summer'!W$7</f>
        <v>16.574668807707749</v>
      </c>
      <c r="X5" s="9">
        <f>VLOOKUP($A5,'RES installed'!$A$2:$C$7,3,FALSE)*'[1]Profiles, RES, Summer'!X$7</f>
        <v>15.6985146527499</v>
      </c>
      <c r="Y5" s="9">
        <f>VLOOKUP($A5,'RES installed'!$A$2:$C$7,3,FALSE)*'[1]Profiles, RES, Summer'!Y$7</f>
        <v>15.418506623845845</v>
      </c>
    </row>
    <row r="6" spans="1:25" x14ac:dyDescent="0.3">
      <c r="A6" s="8">
        <v>5</v>
      </c>
      <c r="B6" s="9">
        <f>VLOOKUP($A6,'RES installed'!$A$2:$C$7,3,FALSE)*'[1]Profiles, RES, Summer'!B$7</f>
        <v>17.86029706945002</v>
      </c>
      <c r="C6" s="9">
        <f>VLOOKUP($A6,'RES installed'!$A$2:$C$7,3,FALSE)*'[1]Profiles, RES, Summer'!C$7</f>
        <v>16.065837013247691</v>
      </c>
      <c r="D6" s="9">
        <f>VLOOKUP($A6,'RES installed'!$A$2:$C$7,3,FALSE)*'[1]Profiles, RES, Summer'!D$7</f>
        <v>13.416298675230831</v>
      </c>
      <c r="E6" s="9">
        <f>VLOOKUP($A6,'RES installed'!$A$2:$C$7,3,FALSE)*'[1]Profiles, RES, Summer'!E$7</f>
        <v>12.681653954235248</v>
      </c>
      <c r="F6" s="9">
        <f>VLOOKUP($A6,'RES installed'!$A$2:$C$7,3,FALSE)*'[1]Profiles, RES, Summer'!F$7</f>
        <v>12.476916900843035</v>
      </c>
      <c r="G6" s="9">
        <f>VLOOKUP($A6,'RES installed'!$A$2:$C$7,3,FALSE)*'[1]Profiles, RES, Summer'!G$7</f>
        <v>13.994379767161782</v>
      </c>
      <c r="H6" s="9">
        <f>VLOOKUP($A6,'RES installed'!$A$2:$C$7,3,FALSE)*'[1]Profiles, RES, Summer'!H$7</f>
        <v>15.427539140907264</v>
      </c>
      <c r="I6" s="9">
        <f>VLOOKUP($A6,'RES installed'!$A$2:$C$7,3,FALSE)*'[1]Profiles, RES, Summer'!I$7</f>
        <v>15.957446808510639</v>
      </c>
      <c r="J6" s="9">
        <f>VLOOKUP($A6,'RES installed'!$A$2:$C$7,3,FALSE)*'[1]Profiles, RES, Summer'!J$7</f>
        <v>12.970694500200722</v>
      </c>
      <c r="K6" s="9">
        <f>VLOOKUP($A6,'RES installed'!$A$2:$C$7,3,FALSE)*'[1]Profiles, RES, Summer'!K$7</f>
        <v>10.09233239662786</v>
      </c>
      <c r="L6" s="9">
        <f>VLOOKUP($A6,'RES installed'!$A$2:$C$7,3,FALSE)*'[1]Profiles, RES, Summer'!L$7</f>
        <v>9.0806904857486952</v>
      </c>
      <c r="M6" s="9">
        <f>VLOOKUP($A6,'RES installed'!$A$2:$C$7,3,FALSE)*'[1]Profiles, RES, Summer'!M$7</f>
        <v>8.1051786431152131</v>
      </c>
      <c r="N6" s="9">
        <f>VLOOKUP($A6,'RES installed'!$A$2:$C$7,3,FALSE)*'[1]Profiles, RES, Summer'!N$7</f>
        <v>8.7796065837013249</v>
      </c>
      <c r="O6" s="9">
        <f>VLOOKUP($A6,'RES installed'!$A$2:$C$7,3,FALSE)*'[1]Profiles, RES, Summer'!O$7</f>
        <v>11.682055399437976</v>
      </c>
      <c r="P6" s="9">
        <f>VLOOKUP($A6,'RES installed'!$A$2:$C$7,3,FALSE)*'[1]Profiles, RES, Summer'!P$7</f>
        <v>14.692894419911681</v>
      </c>
      <c r="Q6" s="9">
        <f>VLOOKUP($A6,'RES installed'!$A$2:$C$7,3,FALSE)*'[1]Profiles, RES, Summer'!Q$7</f>
        <v>15.415495784825371</v>
      </c>
      <c r="R6" s="9">
        <f>VLOOKUP($A6,'RES installed'!$A$2:$C$7,3,FALSE)*'[1]Profiles, RES, Summer'!R$7</f>
        <v>16.643918105178646</v>
      </c>
      <c r="S6" s="9">
        <f>VLOOKUP($A6,'RES installed'!$A$2:$C$7,3,FALSE)*'[1]Profiles, RES, Summer'!S$7</f>
        <v>17.318346045764756</v>
      </c>
      <c r="T6" s="9">
        <f>VLOOKUP($A6,'RES installed'!$A$2:$C$7,3,FALSE)*'[1]Profiles, RES, Summer'!T$7</f>
        <v>17.751906864712968</v>
      </c>
      <c r="U6" s="9">
        <f>VLOOKUP($A6,'RES installed'!$A$2:$C$7,3,FALSE)*'[1]Profiles, RES, Summer'!U$7</f>
        <v>20.341228422320352</v>
      </c>
      <c r="V6" s="9">
        <f>VLOOKUP($A6,'RES installed'!$A$2:$C$7,3,FALSE)*'[1]Profiles, RES, Summer'!V$7</f>
        <v>22.88237655560016</v>
      </c>
      <c r="W6" s="9">
        <f>VLOOKUP($A6,'RES installed'!$A$2:$C$7,3,FALSE)*'[1]Profiles, RES, Summer'!W$7</f>
        <v>22.099558410276995</v>
      </c>
      <c r="X6" s="9">
        <f>VLOOKUP($A6,'RES installed'!$A$2:$C$7,3,FALSE)*'[1]Profiles, RES, Summer'!X$7</f>
        <v>20.9313528703332</v>
      </c>
      <c r="Y6" s="9">
        <f>VLOOKUP($A6,'RES installed'!$A$2:$C$7,3,FALSE)*'[1]Profiles, RES, Summer'!Y$7</f>
        <v>20.55800883179446</v>
      </c>
    </row>
    <row r="7" spans="1:25" x14ac:dyDescent="0.3">
      <c r="A7" s="8">
        <v>6</v>
      </c>
      <c r="B7" s="9">
        <f>VLOOKUP($A7,'RES installed'!$A$2:$C$7,3,FALSE)*'[1]Profiles, RES, Summer'!B$7</f>
        <v>13.395222802087515</v>
      </c>
      <c r="C7" s="9">
        <f>VLOOKUP($A7,'RES installed'!$A$2:$C$7,3,FALSE)*'[1]Profiles, RES, Summer'!C$7</f>
        <v>12.049377759935769</v>
      </c>
      <c r="D7" s="9">
        <f>VLOOKUP($A7,'RES installed'!$A$2:$C$7,3,FALSE)*'[1]Profiles, RES, Summer'!D$7</f>
        <v>10.062224006423122</v>
      </c>
      <c r="E7" s="9">
        <f>VLOOKUP($A7,'RES installed'!$A$2:$C$7,3,FALSE)*'[1]Profiles, RES, Summer'!E$7</f>
        <v>9.5112404656764351</v>
      </c>
      <c r="F7" s="9">
        <f>VLOOKUP($A7,'RES installed'!$A$2:$C$7,3,FALSE)*'[1]Profiles, RES, Summer'!F$7</f>
        <v>9.3576876756322758</v>
      </c>
      <c r="G7" s="9">
        <f>VLOOKUP($A7,'RES installed'!$A$2:$C$7,3,FALSE)*'[1]Profiles, RES, Summer'!G$7</f>
        <v>10.495784825371336</v>
      </c>
      <c r="H7" s="9">
        <f>VLOOKUP($A7,'RES installed'!$A$2:$C$7,3,FALSE)*'[1]Profiles, RES, Summer'!H$7</f>
        <v>11.570654355680448</v>
      </c>
      <c r="I7" s="9">
        <f>VLOOKUP($A7,'RES installed'!$A$2:$C$7,3,FALSE)*'[1]Profiles, RES, Summer'!I$7</f>
        <v>11.968085106382979</v>
      </c>
      <c r="J7" s="9">
        <f>VLOOKUP($A7,'RES installed'!$A$2:$C$7,3,FALSE)*'[1]Profiles, RES, Summer'!J$7</f>
        <v>9.7280208751505413</v>
      </c>
      <c r="K7" s="9">
        <f>VLOOKUP($A7,'RES installed'!$A$2:$C$7,3,FALSE)*'[1]Profiles, RES, Summer'!K$7</f>
        <v>7.5692492974708951</v>
      </c>
      <c r="L7" s="9">
        <f>VLOOKUP($A7,'RES installed'!$A$2:$C$7,3,FALSE)*'[1]Profiles, RES, Summer'!L$7</f>
        <v>6.8105178643115218</v>
      </c>
      <c r="M7" s="9">
        <f>VLOOKUP($A7,'RES installed'!$A$2:$C$7,3,FALSE)*'[1]Profiles, RES, Summer'!M$7</f>
        <v>6.0788839823364107</v>
      </c>
      <c r="N7" s="9">
        <f>VLOOKUP($A7,'RES installed'!$A$2:$C$7,3,FALSE)*'[1]Profiles, RES, Summer'!N$7</f>
        <v>6.5847049377759941</v>
      </c>
      <c r="O7" s="9">
        <f>VLOOKUP($A7,'RES installed'!$A$2:$C$7,3,FALSE)*'[1]Profiles, RES, Summer'!O$7</f>
        <v>8.7615415495784816</v>
      </c>
      <c r="P7" s="9">
        <f>VLOOKUP($A7,'RES installed'!$A$2:$C$7,3,FALSE)*'[1]Profiles, RES, Summer'!P$7</f>
        <v>11.019670814933761</v>
      </c>
      <c r="Q7" s="9">
        <f>VLOOKUP($A7,'RES installed'!$A$2:$C$7,3,FALSE)*'[1]Profiles, RES, Summer'!Q$7</f>
        <v>11.561621838619029</v>
      </c>
      <c r="R7" s="9">
        <f>VLOOKUP($A7,'RES installed'!$A$2:$C$7,3,FALSE)*'[1]Profiles, RES, Summer'!R$7</f>
        <v>12.482938578883983</v>
      </c>
      <c r="S7" s="9">
        <f>VLOOKUP($A7,'RES installed'!$A$2:$C$7,3,FALSE)*'[1]Profiles, RES, Summer'!S$7</f>
        <v>12.988759534323565</v>
      </c>
      <c r="T7" s="9">
        <f>VLOOKUP($A7,'RES installed'!$A$2:$C$7,3,FALSE)*'[1]Profiles, RES, Summer'!T$7</f>
        <v>13.313930148534725</v>
      </c>
      <c r="U7" s="9">
        <f>VLOOKUP($A7,'RES installed'!$A$2:$C$7,3,FALSE)*'[1]Profiles, RES, Summer'!U$7</f>
        <v>15.255921316740265</v>
      </c>
      <c r="V7" s="9">
        <f>VLOOKUP($A7,'RES installed'!$A$2:$C$7,3,FALSE)*'[1]Profiles, RES, Summer'!V$7</f>
        <v>17.16178241670012</v>
      </c>
      <c r="W7" s="9">
        <f>VLOOKUP($A7,'RES installed'!$A$2:$C$7,3,FALSE)*'[1]Profiles, RES, Summer'!W$7</f>
        <v>16.574668807707749</v>
      </c>
      <c r="X7" s="9">
        <f>VLOOKUP($A7,'RES installed'!$A$2:$C$7,3,FALSE)*'[1]Profiles, RES, Summer'!X$7</f>
        <v>15.6985146527499</v>
      </c>
      <c r="Y7" s="9">
        <f>VLOOKUP($A7,'RES installed'!$A$2:$C$7,3,FALSE)*'[1]Profiles, RES, Summer'!Y$7</f>
        <v>15.418506623845845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2.843062926459439E-2</v>
      </c>
      <c r="H8" s="6">
        <f>VLOOKUP($A8,'RES installed'!$A$2:$C$7,3,FALSE)*'[1]Profiles, RES, Summer'!H$4</f>
        <v>3.49696739954511</v>
      </c>
      <c r="I8" s="6">
        <f>VLOOKUP($A8,'RES installed'!$A$2:$C$7,3,FALSE)*'[1]Profiles, RES, Summer'!I$4</f>
        <v>16.546626231993937</v>
      </c>
      <c r="J8" s="6">
        <f>VLOOKUP($A8,'RES installed'!$A$2:$C$7,3,FALSE)*'[1]Profiles, RES, Summer'!J$4</f>
        <v>36.021607278241092</v>
      </c>
      <c r="K8" s="6">
        <f>VLOOKUP($A8,'RES installed'!$A$2:$C$7,3,FALSE)*'[1]Profiles, RES, Summer'!K$4</f>
        <v>55.610310841546621</v>
      </c>
      <c r="L8" s="6">
        <f>VLOOKUP($A8,'RES installed'!$A$2:$C$7,3,FALSE)*'[1]Profiles, RES, Summer'!L$4</f>
        <v>68.26194086429112</v>
      </c>
      <c r="M8" s="6">
        <f>VLOOKUP($A8,'RES installed'!$A$2:$C$7,3,FALSE)*'[1]Profiles, RES, Summer'!M$4</f>
        <v>73.009855951478386</v>
      </c>
      <c r="N8" s="6">
        <f>VLOOKUP($A8,'RES installed'!$A$2:$C$7,3,FALSE)*'[1]Profiles, RES, Summer'!N$4</f>
        <v>75</v>
      </c>
      <c r="O8" s="6">
        <f>VLOOKUP($A8,'RES installed'!$A$2:$C$7,3,FALSE)*'[1]Profiles, RES, Summer'!O$4</f>
        <v>73.692191053828651</v>
      </c>
      <c r="P8" s="6">
        <f>VLOOKUP($A8,'RES installed'!$A$2:$C$7,3,FALSE)*'[1]Profiles, RES, Summer'!P$4</f>
        <v>69.967778620166797</v>
      </c>
      <c r="Q8" s="6">
        <f>VLOOKUP($A8,'RES installed'!$A$2:$C$7,3,FALSE)*'[1]Profiles, RES, Summer'!Q$4</f>
        <v>61.921910538286582</v>
      </c>
      <c r="R8" s="6">
        <f>VLOOKUP($A8,'RES installed'!$A$2:$C$7,3,FALSE)*'[1]Profiles, RES, Summer'!R$4</f>
        <v>48.644806671721</v>
      </c>
      <c r="S8" s="6">
        <f>VLOOKUP($A8,'RES installed'!$A$2:$C$7,3,FALSE)*'[1]Profiles, RES, Summer'!S$4</f>
        <v>28.94238059135709</v>
      </c>
      <c r="T8" s="6">
        <f>VLOOKUP($A8,'RES installed'!$A$2:$C$7,3,FALSE)*'[1]Profiles, RES, Summer'!T$4</f>
        <v>8.8419257012888544</v>
      </c>
      <c r="U8" s="6">
        <f>VLOOKUP($A8,'RES installed'!$A$2:$C$7,3,FALSE)*'[1]Profiles, RES, Summer'!U$4</f>
        <v>0.39802880970432147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1.8953752843062926E-2</v>
      </c>
      <c r="H9" s="6">
        <f>VLOOKUP($A9,'RES installed'!$A$2:$C$7,3,FALSE)*'[1]Profiles, RES, Summer'!H$4</f>
        <v>2.3313115996967402</v>
      </c>
      <c r="I9" s="6">
        <f>VLOOKUP($A9,'RES installed'!$A$2:$C$7,3,FALSE)*'[1]Profiles, RES, Summer'!I$4</f>
        <v>11.031084154662624</v>
      </c>
      <c r="J9" s="6">
        <f>VLOOKUP($A9,'RES installed'!$A$2:$C$7,3,FALSE)*'[1]Profiles, RES, Summer'!J$4</f>
        <v>24.014404852160727</v>
      </c>
      <c r="K9" s="6">
        <f>VLOOKUP($A9,'RES installed'!$A$2:$C$7,3,FALSE)*'[1]Profiles, RES, Summer'!K$4</f>
        <v>37.073540561031081</v>
      </c>
      <c r="L9" s="6">
        <f>VLOOKUP($A9,'RES installed'!$A$2:$C$7,3,FALSE)*'[1]Profiles, RES, Summer'!L$4</f>
        <v>45.507960576194087</v>
      </c>
      <c r="M9" s="6">
        <f>VLOOKUP($A9,'RES installed'!$A$2:$C$7,3,FALSE)*'[1]Profiles, RES, Summer'!M$4</f>
        <v>48.673237300985598</v>
      </c>
      <c r="N9" s="6">
        <f>VLOOKUP($A9,'RES installed'!$A$2:$C$7,3,FALSE)*'[1]Profiles, RES, Summer'!N$4</f>
        <v>50</v>
      </c>
      <c r="O9" s="6">
        <f>VLOOKUP($A9,'RES installed'!$A$2:$C$7,3,FALSE)*'[1]Profiles, RES, Summer'!O$4</f>
        <v>49.128127369219108</v>
      </c>
      <c r="P9" s="6">
        <f>VLOOKUP($A9,'RES installed'!$A$2:$C$7,3,FALSE)*'[1]Profiles, RES, Summer'!P$4</f>
        <v>46.645185746777862</v>
      </c>
      <c r="Q9" s="6">
        <f>VLOOKUP($A9,'RES installed'!$A$2:$C$7,3,FALSE)*'[1]Profiles, RES, Summer'!Q$4</f>
        <v>41.281273692191057</v>
      </c>
      <c r="R9" s="6">
        <f>VLOOKUP($A9,'RES installed'!$A$2:$C$7,3,FALSE)*'[1]Profiles, RES, Summer'!R$4</f>
        <v>32.429871114480669</v>
      </c>
      <c r="S9" s="6">
        <f>VLOOKUP($A9,'RES installed'!$A$2:$C$7,3,FALSE)*'[1]Profiles, RES, Summer'!S$4</f>
        <v>19.294920394238062</v>
      </c>
      <c r="T9" s="6">
        <f>VLOOKUP($A9,'RES installed'!$A$2:$C$7,3,FALSE)*'[1]Profiles, RES, Summer'!T$4</f>
        <v>5.8946171341925702</v>
      </c>
      <c r="U9" s="6">
        <f>VLOOKUP($A9,'RES installed'!$A$2:$C$7,3,FALSE)*'[1]Profiles, RES, Summer'!U$4</f>
        <v>0.26535253980288098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2.2744503411675512E-2</v>
      </c>
      <c r="H10" s="6">
        <f>VLOOKUP($A10,'RES installed'!$A$2:$C$7,3,FALSE)*'[1]Profiles, RES, Summer'!H$4</f>
        <v>2.797573919636088</v>
      </c>
      <c r="I10" s="6">
        <f>VLOOKUP($A10,'RES installed'!$A$2:$C$7,3,FALSE)*'[1]Profiles, RES, Summer'!I$4</f>
        <v>13.237300985595148</v>
      </c>
      <c r="J10" s="6">
        <f>VLOOKUP($A10,'RES installed'!$A$2:$C$7,3,FALSE)*'[1]Profiles, RES, Summer'!J$4</f>
        <v>28.817285822592876</v>
      </c>
      <c r="K10" s="6">
        <f>VLOOKUP($A10,'RES installed'!$A$2:$C$7,3,FALSE)*'[1]Profiles, RES, Summer'!K$4</f>
        <v>44.488248673237301</v>
      </c>
      <c r="L10" s="6">
        <f>VLOOKUP($A10,'RES installed'!$A$2:$C$7,3,FALSE)*'[1]Profiles, RES, Summer'!L$4</f>
        <v>54.609552691432903</v>
      </c>
      <c r="M10" s="6">
        <f>VLOOKUP($A10,'RES installed'!$A$2:$C$7,3,FALSE)*'[1]Profiles, RES, Summer'!M$4</f>
        <v>58.407884761182714</v>
      </c>
      <c r="N10" s="6">
        <f>VLOOKUP($A10,'RES installed'!$A$2:$C$7,3,FALSE)*'[1]Profiles, RES, Summer'!N$4</f>
        <v>60</v>
      </c>
      <c r="O10" s="6">
        <f>VLOOKUP($A10,'RES installed'!$A$2:$C$7,3,FALSE)*'[1]Profiles, RES, Summer'!O$4</f>
        <v>58.953752843062922</v>
      </c>
      <c r="P10" s="6">
        <f>VLOOKUP($A10,'RES installed'!$A$2:$C$7,3,FALSE)*'[1]Profiles, RES, Summer'!P$4</f>
        <v>55.974222896133433</v>
      </c>
      <c r="Q10" s="6">
        <f>VLOOKUP($A10,'RES installed'!$A$2:$C$7,3,FALSE)*'[1]Profiles, RES, Summer'!Q$4</f>
        <v>49.537528430629266</v>
      </c>
      <c r="R10" s="6">
        <f>VLOOKUP($A10,'RES installed'!$A$2:$C$7,3,FALSE)*'[1]Profiles, RES, Summer'!R$4</f>
        <v>38.915845337376801</v>
      </c>
      <c r="S10" s="6">
        <f>VLOOKUP($A10,'RES installed'!$A$2:$C$7,3,FALSE)*'[1]Profiles, RES, Summer'!S$4</f>
        <v>23.153904473085671</v>
      </c>
      <c r="T10" s="6">
        <f>VLOOKUP($A10,'RES installed'!$A$2:$C$7,3,FALSE)*'[1]Profiles, RES, Summer'!T$4</f>
        <v>7.0735405610310842</v>
      </c>
      <c r="U10" s="6">
        <f>VLOOKUP($A10,'RES installed'!$A$2:$C$7,3,FALSE)*'[1]Profiles, RES, Summer'!U$4</f>
        <v>0.3184230477634572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3310E-3DB0-4C43-A82E-ED41E0D1FB34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8BBA2-3995-4A96-B4C3-5711AF5AF9BD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521A2-A9FA-46E1-AE16-7A197096CC8D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A15AD-4FA9-4630-A4FA-A501FABA5628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06378-35BA-4FD0-A744-E752A6BC7C87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C14FD-8154-4080-9D07-055678893CAB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47BD6-E866-483A-B517-30B00C56E19A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34B83-BAC8-4413-8A3C-4A5C2F786B33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8F3CB-EC41-4B40-BF24-79BC6C576CF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A48FA-B634-45EF-B224-4D781DFA4529}">
  <dimension ref="A1:Y10"/>
  <sheetViews>
    <sheetView topLeftCell="G1" workbookViewId="0">
      <selection activeCell="B2" sqref="B2:Y4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</row>
    <row r="4" spans="1:25" x14ac:dyDescent="0.3">
      <c r="A4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8">
        <v>5</v>
      </c>
      <c r="B6" s="8">
        <v>1</v>
      </c>
      <c r="C6" s="8">
        <v>1</v>
      </c>
      <c r="D6" s="8">
        <v>1</v>
      </c>
      <c r="E6" s="8">
        <v>1</v>
      </c>
      <c r="F6" s="8">
        <v>1</v>
      </c>
      <c r="G6" s="8">
        <v>1</v>
      </c>
      <c r="H6" s="8">
        <v>1</v>
      </c>
      <c r="I6" s="8">
        <v>1</v>
      </c>
      <c r="J6" s="8">
        <v>1</v>
      </c>
      <c r="K6" s="8">
        <v>1</v>
      </c>
      <c r="L6" s="8">
        <v>1</v>
      </c>
      <c r="M6" s="8">
        <v>1</v>
      </c>
      <c r="N6" s="8">
        <v>1</v>
      </c>
      <c r="O6" s="8">
        <v>1</v>
      </c>
      <c r="P6" s="8">
        <v>1</v>
      </c>
      <c r="Q6" s="8">
        <v>1</v>
      </c>
      <c r="R6" s="8">
        <v>1</v>
      </c>
      <c r="S6" s="8">
        <v>1</v>
      </c>
      <c r="T6" s="8">
        <v>1</v>
      </c>
      <c r="U6" s="8">
        <v>1</v>
      </c>
      <c r="V6" s="8">
        <v>1</v>
      </c>
      <c r="W6" s="8">
        <v>1</v>
      </c>
      <c r="X6" s="8">
        <v>1</v>
      </c>
      <c r="Y6" s="8">
        <v>1</v>
      </c>
    </row>
    <row r="7" spans="1:25" x14ac:dyDescent="0.3">
      <c r="A7" s="8">
        <v>6</v>
      </c>
      <c r="B7" s="8">
        <v>1</v>
      </c>
      <c r="C7" s="8">
        <v>1</v>
      </c>
      <c r="D7" s="8">
        <v>1</v>
      </c>
      <c r="E7" s="8">
        <v>1</v>
      </c>
      <c r="F7" s="8">
        <v>1</v>
      </c>
      <c r="G7" s="8">
        <v>1</v>
      </c>
      <c r="H7" s="8">
        <v>1</v>
      </c>
      <c r="I7" s="8">
        <v>1</v>
      </c>
      <c r="J7" s="8">
        <v>1</v>
      </c>
      <c r="K7" s="8">
        <v>1</v>
      </c>
      <c r="L7" s="8">
        <v>1</v>
      </c>
      <c r="M7" s="8">
        <v>1</v>
      </c>
      <c r="N7" s="8">
        <v>1</v>
      </c>
      <c r="O7" s="8">
        <v>1</v>
      </c>
      <c r="P7" s="8">
        <v>1</v>
      </c>
      <c r="Q7" s="8">
        <v>1</v>
      </c>
      <c r="R7" s="8">
        <v>1</v>
      </c>
      <c r="S7" s="8">
        <v>1</v>
      </c>
      <c r="T7" s="8">
        <v>1</v>
      </c>
      <c r="U7" s="8">
        <v>1</v>
      </c>
      <c r="V7" s="8">
        <v>1</v>
      </c>
      <c r="W7" s="8">
        <v>1</v>
      </c>
      <c r="X7" s="8">
        <v>1</v>
      </c>
      <c r="Y7" s="8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  <row r="9" spans="1:25" x14ac:dyDescent="0.3">
      <c r="A9" s="5">
        <v>8</v>
      </c>
      <c r="B9" s="5">
        <v>1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</row>
    <row r="10" spans="1:25" x14ac:dyDescent="0.3">
      <c r="A10" s="5">
        <v>9</v>
      </c>
      <c r="B10" s="5">
        <v>1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1</v>
      </c>
      <c r="Y10" s="5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161</vt:i4>
      </vt:variant>
    </vt:vector>
  </HeadingPairs>
  <TitlesOfParts>
    <vt:vector size="161" baseType="lpstr">
      <vt:lpstr>Main</vt:lpstr>
      <vt:lpstr>RES installed</vt:lpstr>
      <vt:lpstr>ES installed</vt:lpstr>
      <vt:lpstr>FL Ratio</vt:lpstr>
      <vt:lpstr>FL Characterization</vt:lpstr>
      <vt:lpstr>Pc, Winter, S1</vt:lpstr>
      <vt:lpstr>Pc, Winter, S2</vt:lpstr>
      <vt:lpstr>Pc, Winter, S3</vt:lpstr>
      <vt:lpstr>Pc, Winter, S4</vt:lpstr>
      <vt:lpstr>Pc, Winter, S5</vt:lpstr>
      <vt:lpstr>Pc, Winter, S6</vt:lpstr>
      <vt:lpstr>Pc, Winter, S7</vt:lpstr>
      <vt:lpstr>Pc, Winter, S8</vt:lpstr>
      <vt:lpstr>Pc, Winter, S9</vt:lpstr>
      <vt:lpstr>Qc, Winter, S1</vt:lpstr>
      <vt:lpstr>Qc, Winter, S2</vt:lpstr>
      <vt:lpstr>Qc, Winter, S3</vt:lpstr>
      <vt:lpstr>Qc, Winter, S4</vt:lpstr>
      <vt:lpstr>Qc, Winter, S5</vt:lpstr>
      <vt:lpstr>Qc, Winter, S6</vt:lpstr>
      <vt:lpstr>Qc, Winter, S7</vt:lpstr>
      <vt:lpstr>Qc, Winter, S8</vt:lpstr>
      <vt:lpstr>Qc, Winter, S9</vt:lpstr>
      <vt:lpstr>UpFlex, Winter</vt:lpstr>
      <vt:lpstr>DownFlex, Winter</vt:lpstr>
      <vt:lpstr>Pg, Winter, S1</vt:lpstr>
      <vt:lpstr>Pg, Winter, S2</vt:lpstr>
      <vt:lpstr>Pg, Winter, S3</vt:lpstr>
      <vt:lpstr>Pg, Winter, S4</vt:lpstr>
      <vt:lpstr>Pg, Winter, S5</vt:lpstr>
      <vt:lpstr>Pg, Winter, S6</vt:lpstr>
      <vt:lpstr>Pg, Winter, S7</vt:lpstr>
      <vt:lpstr>Pg, Winter, S8</vt:lpstr>
      <vt:lpstr>Pg, Winter, S9</vt:lpstr>
      <vt:lpstr>Qg, Winter, S1</vt:lpstr>
      <vt:lpstr>Qg, Winter, S2</vt:lpstr>
      <vt:lpstr>Qg, Winter, S3</vt:lpstr>
      <vt:lpstr>Qg, Winter, S4</vt:lpstr>
      <vt:lpstr>Qg, Winter, S5</vt:lpstr>
      <vt:lpstr>Qg, Winter, S6</vt:lpstr>
      <vt:lpstr>Qg, Winter, S7</vt:lpstr>
      <vt:lpstr>Qg, Winter, S8</vt:lpstr>
      <vt:lpstr>Qg, Winter, S9</vt:lpstr>
      <vt:lpstr>GenStatus, Winter</vt:lpstr>
      <vt:lpstr>Pc, Spring, S1</vt:lpstr>
      <vt:lpstr>Pc, Spring, S2</vt:lpstr>
      <vt:lpstr>Pc, Spring, S3</vt:lpstr>
      <vt:lpstr>Pc, Spring, S4</vt:lpstr>
      <vt:lpstr>Pc, Spring, S5</vt:lpstr>
      <vt:lpstr>Pc, Spring, S6</vt:lpstr>
      <vt:lpstr>Pc, Spring, S7</vt:lpstr>
      <vt:lpstr>Pc, Spring, S8</vt:lpstr>
      <vt:lpstr>Pc, Spring, S9</vt:lpstr>
      <vt:lpstr>Qc, Spring, S1</vt:lpstr>
      <vt:lpstr>Qc, Spring, S2</vt:lpstr>
      <vt:lpstr>Qc, Spring, S3</vt:lpstr>
      <vt:lpstr>Qc, Spring, S4</vt:lpstr>
      <vt:lpstr>Qc, Spring, S5</vt:lpstr>
      <vt:lpstr>Qc, Spring, S6</vt:lpstr>
      <vt:lpstr>Qc, Spring, S7</vt:lpstr>
      <vt:lpstr>Qc, Spring, S8</vt:lpstr>
      <vt:lpstr>Qc, Spring, S9</vt:lpstr>
      <vt:lpstr>UpFlex, Spring</vt:lpstr>
      <vt:lpstr>DownFlex, Spring</vt:lpstr>
      <vt:lpstr>Pg, Spring, S1</vt:lpstr>
      <vt:lpstr>Pg, Spring, S2</vt:lpstr>
      <vt:lpstr>Pg, Spring, S3</vt:lpstr>
      <vt:lpstr>Pg, Spring, S4</vt:lpstr>
      <vt:lpstr>Pg, Spring, S5</vt:lpstr>
      <vt:lpstr>Pg, Spring, S6</vt:lpstr>
      <vt:lpstr>Pg, Spring, S7</vt:lpstr>
      <vt:lpstr>Pg, Spring, S8</vt:lpstr>
      <vt:lpstr>Pg, Spring, S9</vt:lpstr>
      <vt:lpstr>Qg, Spring, S1</vt:lpstr>
      <vt:lpstr>Qg, Spring, S2</vt:lpstr>
      <vt:lpstr>Qg, Spring, S3</vt:lpstr>
      <vt:lpstr>Qg, Spring, S4</vt:lpstr>
      <vt:lpstr>Qg, Spring, S5</vt:lpstr>
      <vt:lpstr>Qg, Spring, S6</vt:lpstr>
      <vt:lpstr>Qg, Spring, S7</vt:lpstr>
      <vt:lpstr>Qg, Spring, S8</vt:lpstr>
      <vt:lpstr>Qg, Spring, S9</vt:lpstr>
      <vt:lpstr>GenStatus, Spring</vt:lpstr>
      <vt:lpstr>Pc, Summer, S1</vt:lpstr>
      <vt:lpstr>Pc, Summer, S2</vt:lpstr>
      <vt:lpstr>Pc, Summer, S3</vt:lpstr>
      <vt:lpstr>Pc, Summer, S4</vt:lpstr>
      <vt:lpstr>Pc, Summer, S5</vt:lpstr>
      <vt:lpstr>Pc, Summer, S6</vt:lpstr>
      <vt:lpstr>Pc, Summer, S7</vt:lpstr>
      <vt:lpstr>Pc, Summer, S8</vt:lpstr>
      <vt:lpstr>Pc, Summer, S9</vt:lpstr>
      <vt:lpstr>Qc, Summer, S1</vt:lpstr>
      <vt:lpstr>Qc, Summer, S2</vt:lpstr>
      <vt:lpstr>Qc, Summer, S3</vt:lpstr>
      <vt:lpstr>Qc, Summer, S4</vt:lpstr>
      <vt:lpstr>Qc, Summer, S5</vt:lpstr>
      <vt:lpstr>Qc, Summer, S6</vt:lpstr>
      <vt:lpstr>Qc, Summer, S7</vt:lpstr>
      <vt:lpstr>Qc, Summer, S8</vt:lpstr>
      <vt:lpstr>Qc, Summer, S9</vt:lpstr>
      <vt:lpstr>UpFlex, Summer</vt:lpstr>
      <vt:lpstr>DownFlex, Summer</vt:lpstr>
      <vt:lpstr>Pg, Summer, S1</vt:lpstr>
      <vt:lpstr>Pg, Summer, S2</vt:lpstr>
      <vt:lpstr>Pg, Summer, S3</vt:lpstr>
      <vt:lpstr>Pg, Summer, S4</vt:lpstr>
      <vt:lpstr>Pg, Summer, S5</vt:lpstr>
      <vt:lpstr>Pg, Summer, S6</vt:lpstr>
      <vt:lpstr>Pg, Summer, S7</vt:lpstr>
      <vt:lpstr>Pg, Summer, S8</vt:lpstr>
      <vt:lpstr>Pg, Summer, S9</vt:lpstr>
      <vt:lpstr>Qg, Summer, S1</vt:lpstr>
      <vt:lpstr>Qg, Summer, S2</vt:lpstr>
      <vt:lpstr>Qg, Summer, S3</vt:lpstr>
      <vt:lpstr>Qg, Summer, S4</vt:lpstr>
      <vt:lpstr>Qg, Summer, S5</vt:lpstr>
      <vt:lpstr>Qg, Summer, S6</vt:lpstr>
      <vt:lpstr>Qg, Summer, S7</vt:lpstr>
      <vt:lpstr>Qg, Summer, S8</vt:lpstr>
      <vt:lpstr>Qg, Summer, S9</vt:lpstr>
      <vt:lpstr>GenStatus, Summer</vt:lpstr>
      <vt:lpstr>Pc, Autumn, S1</vt:lpstr>
      <vt:lpstr>Pc, Autumn, S2</vt:lpstr>
      <vt:lpstr>Pc, Autumn, S3</vt:lpstr>
      <vt:lpstr>Pc, Autumn, S4</vt:lpstr>
      <vt:lpstr>Pc, Autumn, S5</vt:lpstr>
      <vt:lpstr>Pc, Autumn, S6</vt:lpstr>
      <vt:lpstr>Pc, Autumn, S7</vt:lpstr>
      <vt:lpstr>Pc, Autumn, S8</vt:lpstr>
      <vt:lpstr>Pc, Autumn, S9</vt:lpstr>
      <vt:lpstr>Qc, Autumn, S1</vt:lpstr>
      <vt:lpstr>Qc, Autumn, S2</vt:lpstr>
      <vt:lpstr>Qc, Autumn, S3</vt:lpstr>
      <vt:lpstr>Qc, Autumn, S4</vt:lpstr>
      <vt:lpstr>Qc, Autumn, S5</vt:lpstr>
      <vt:lpstr>Qc, Autumn, S6</vt:lpstr>
      <vt:lpstr>Qc, Autumn, S7</vt:lpstr>
      <vt:lpstr>Qc, Autumn, S8</vt:lpstr>
      <vt:lpstr>Qc, Autumn, S9</vt:lpstr>
      <vt:lpstr>UpFlex, Autumn</vt:lpstr>
      <vt:lpstr>DownFlex, Autumn</vt:lpstr>
      <vt:lpstr>Pg, Autumn, S1</vt:lpstr>
      <vt:lpstr>Pg, Autumn, S2</vt:lpstr>
      <vt:lpstr>Pg, Autumn, S3</vt:lpstr>
      <vt:lpstr>Pg, Autumn, S4</vt:lpstr>
      <vt:lpstr>Pg, Autumn, S5</vt:lpstr>
      <vt:lpstr>Pg, Autumn, S6</vt:lpstr>
      <vt:lpstr>Pg, Autumn, S7</vt:lpstr>
      <vt:lpstr>Pg, Autumn, S8</vt:lpstr>
      <vt:lpstr>Pg, Autumn, S9</vt:lpstr>
      <vt:lpstr>Qg, Autumn, S1</vt:lpstr>
      <vt:lpstr>Qg, Autumn, S2</vt:lpstr>
      <vt:lpstr>Qg, Autumn, S3</vt:lpstr>
      <vt:lpstr>Qg, Autumn, S4</vt:lpstr>
      <vt:lpstr>Qg, Autumn, S5</vt:lpstr>
      <vt:lpstr>Qg, Autumn, S6</vt:lpstr>
      <vt:lpstr>Qg, Autumn, S7</vt:lpstr>
      <vt:lpstr>Qg, Autumn, S8</vt:lpstr>
      <vt:lpstr>Qg, Autumn, S9</vt:lpstr>
      <vt:lpstr>GenStatus, Autumn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2025-06-17T08:30:49Z</dcterms:modified>
</cp:coreProperties>
</file>