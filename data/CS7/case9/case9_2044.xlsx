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9\"/>
    </mc:Choice>
  </mc:AlternateContent>
  <xr:revisionPtr revIDLastSave="0" documentId="13_ncr:1_{F553C792-D27F-49FD-9D6F-775AF6CE9951}" xr6:coauthVersionLast="47" xr6:coauthVersionMax="47" xr10:uidLastSave="{00000000-0000-0000-0000-000000000000}"/>
  <bookViews>
    <workbookView xWindow="32790" yWindow="-1039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04" r:id="rId29"/>
    <sheet name="Pg, Winter, S5" sheetId="205" r:id="rId30"/>
    <sheet name="Pg, Winter, S6" sheetId="206" r:id="rId31"/>
    <sheet name="Pg, Winter, S7" sheetId="207" r:id="rId32"/>
    <sheet name="Pg, Winter, S8" sheetId="208" r:id="rId33"/>
    <sheet name="Pg, Winter, S9" sheetId="209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55" r:id="rId45"/>
    <sheet name="Pc, Spring, S2" sheetId="256" r:id="rId46"/>
    <sheet name="Pc, Spring, S3" sheetId="257" r:id="rId47"/>
    <sheet name="Pc, Spring, S4" sheetId="258" r:id="rId48"/>
    <sheet name="Pc, Spring, S5" sheetId="259" r:id="rId49"/>
    <sheet name="Pc, Spring, S6" sheetId="260" r:id="rId50"/>
    <sheet name="Pc, Spring, S7" sheetId="261" r:id="rId51"/>
    <sheet name="Pc, Spring, S8" sheetId="262" r:id="rId52"/>
    <sheet name="Pc, Spring, S9" sheetId="263" r:id="rId53"/>
    <sheet name="Qc, Spring, S1" sheetId="264" r:id="rId54"/>
    <sheet name="Qc, Spring, S2" sheetId="265" r:id="rId55"/>
    <sheet name="Qc, Spring, S3" sheetId="266" r:id="rId56"/>
    <sheet name="Qc, Spring, S4" sheetId="267" r:id="rId57"/>
    <sheet name="Qc, Spring, S5" sheetId="268" r:id="rId58"/>
    <sheet name="Qc, Spring, S6" sheetId="269" r:id="rId59"/>
    <sheet name="Qc, Spring, S7" sheetId="270" r:id="rId60"/>
    <sheet name="Qc, Spring, S8" sheetId="271" r:id="rId61"/>
    <sheet name="Qc, Spring, S9" sheetId="272" r:id="rId62"/>
    <sheet name="UpFlex, Spring" sheetId="273" r:id="rId63"/>
    <sheet name="DownFlex, Spring" sheetId="274" r:id="rId64"/>
    <sheet name="Pg, Spring, S1" sheetId="275" r:id="rId65"/>
    <sheet name="Pg, Spring, S2" sheetId="276" r:id="rId66"/>
    <sheet name="Pg, Spring, S3" sheetId="277" r:id="rId67"/>
    <sheet name="Pg, Spring, S4" sheetId="278" r:id="rId68"/>
    <sheet name="Pg, Spring, S5" sheetId="279" r:id="rId69"/>
    <sheet name="Pg, Spring, S6" sheetId="280" r:id="rId70"/>
    <sheet name="Pg, Spring, S7" sheetId="281" r:id="rId71"/>
    <sheet name="Pg, Spring, S8" sheetId="282" r:id="rId72"/>
    <sheet name="Pg, Spring, S9" sheetId="283" r:id="rId73"/>
    <sheet name="Qg, Spring, S1" sheetId="284" r:id="rId74"/>
    <sheet name="Qg, Spring, S2" sheetId="285" r:id="rId75"/>
    <sheet name="Qg, Spring, S3" sheetId="286" r:id="rId76"/>
    <sheet name="Qg, Spring, S4" sheetId="287" r:id="rId77"/>
    <sheet name="Qg, Spring, S5" sheetId="288" r:id="rId78"/>
    <sheet name="Qg, Spring, S6" sheetId="289" r:id="rId79"/>
    <sheet name="Qg, Spring, S7" sheetId="290" r:id="rId80"/>
    <sheet name="Qg, Spring, S8" sheetId="291" r:id="rId81"/>
    <sheet name="Qg, Spring, S9" sheetId="292" r:id="rId82"/>
    <sheet name="GenStatus, Spring" sheetId="293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36" r:id="rId104"/>
    <sheet name="Pg, Summer, S2" sheetId="237" r:id="rId105"/>
    <sheet name="Pg, Summer, S3" sheetId="238" r:id="rId106"/>
    <sheet name="Pg, Summer, S4" sheetId="239" r:id="rId107"/>
    <sheet name="Pg, Summer, S5" sheetId="240" r:id="rId108"/>
    <sheet name="Pg, Summer, S6" sheetId="241" r:id="rId109"/>
    <sheet name="Pg, Summer, S7" sheetId="242" r:id="rId110"/>
    <sheet name="Pg, Summer, S8" sheetId="243" r:id="rId111"/>
    <sheet name="Pg, Summer, S9" sheetId="244" r:id="rId112"/>
    <sheet name="Qg, Summer, S1" sheetId="245" r:id="rId113"/>
    <sheet name="Qg, Summer, S2" sheetId="246" r:id="rId114"/>
    <sheet name="Qg, Summer, S3" sheetId="247" r:id="rId115"/>
    <sheet name="Qg, Summer, S4" sheetId="248" r:id="rId116"/>
    <sheet name="Qg, Summer, S5" sheetId="249" r:id="rId117"/>
    <sheet name="Qg, Summer, S6" sheetId="250" r:id="rId118"/>
    <sheet name="Qg, Summer, S7" sheetId="251" r:id="rId119"/>
    <sheet name="Qg, Summer, S8" sheetId="252" r:id="rId120"/>
    <sheet name="Qg, Summer, S9" sheetId="253" r:id="rId121"/>
    <sheet name="GenStatus, Summer" sheetId="254" r:id="rId122"/>
    <sheet name="Pc, Autumn, S1" sheetId="294" r:id="rId123"/>
    <sheet name="Pc, Autumn, S2" sheetId="295" r:id="rId124"/>
    <sheet name="Pc, Autumn, S3" sheetId="296" r:id="rId125"/>
    <sheet name="Pc, Autumn, S4" sheetId="297" r:id="rId126"/>
    <sheet name="Pc, Autumn, S5" sheetId="298" r:id="rId127"/>
    <sheet name="Pc, Autumn, S6" sheetId="299" r:id="rId128"/>
    <sheet name="Pc, Autumn, S7" sheetId="300" r:id="rId129"/>
    <sheet name="Pc, Autumn, S8" sheetId="301" r:id="rId130"/>
    <sheet name="Pc, Autumn, S9" sheetId="302" r:id="rId131"/>
    <sheet name="Qc, Autumn, S1" sheetId="303" r:id="rId132"/>
    <sheet name="Qc, Autumn, S2" sheetId="304" r:id="rId133"/>
    <sheet name="Qc, Autumn, S3" sheetId="305" r:id="rId134"/>
    <sheet name="Qc, Autumn, S4" sheetId="306" r:id="rId135"/>
    <sheet name="Qc, Autumn, S5" sheetId="307" r:id="rId136"/>
    <sheet name="Qc, Autumn, S6" sheetId="308" r:id="rId137"/>
    <sheet name="Qc, Autumn, S7" sheetId="309" r:id="rId138"/>
    <sheet name="Qc, Autumn, S8" sheetId="310" r:id="rId139"/>
    <sheet name="Qc, Autumn, S9" sheetId="311" r:id="rId140"/>
    <sheet name="UpFlex, Autumn" sheetId="312" r:id="rId141"/>
    <sheet name="DownFlex, Autumn" sheetId="313" r:id="rId142"/>
    <sheet name="Pg, Autumn, S1" sheetId="314" r:id="rId143"/>
    <sheet name="Pg, Autumn, S2" sheetId="315" r:id="rId144"/>
    <sheet name="Pg, Autumn, S3" sheetId="316" r:id="rId145"/>
    <sheet name="Pg, Autumn, S4" sheetId="317" r:id="rId146"/>
    <sheet name="Pg, Autumn, S5" sheetId="318" r:id="rId147"/>
    <sheet name="Pg, Autumn, S6" sheetId="319" r:id="rId148"/>
    <sheet name="Pg, Autumn, S7" sheetId="320" r:id="rId149"/>
    <sheet name="Pg, Autumn, S8" sheetId="321" r:id="rId150"/>
    <sheet name="Pg, Autumn, S9" sheetId="322" r:id="rId151"/>
    <sheet name="Qg, Autumn, S1" sheetId="323" r:id="rId152"/>
    <sheet name="Qg, Autumn, S2" sheetId="324" r:id="rId153"/>
    <sheet name="Qg, Autumn, S3" sheetId="325" r:id="rId154"/>
    <sheet name="Qg, Autumn, S4" sheetId="326" r:id="rId155"/>
    <sheet name="Qg, Autumn, S5" sheetId="327" r:id="rId156"/>
    <sheet name="Qg, Autumn, S6" sheetId="328" r:id="rId157"/>
    <sheet name="Qg, Autumn, S7" sheetId="329" r:id="rId158"/>
    <sheet name="Qg, Autumn, S8" sheetId="330" r:id="rId159"/>
    <sheet name="Qg, Autumn, S9" sheetId="331" r:id="rId160"/>
    <sheet name="GenStatus, Autumn" sheetId="332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322" l="1"/>
  <c r="X10" i="322"/>
  <c r="W10" i="322"/>
  <c r="V10" i="322"/>
  <c r="U10" i="322"/>
  <c r="T10" i="322"/>
  <c r="S10" i="322"/>
  <c r="R10" i="322"/>
  <c r="Q10" i="322"/>
  <c r="P10" i="322"/>
  <c r="O10" i="322"/>
  <c r="N10" i="322"/>
  <c r="M10" i="322"/>
  <c r="L10" i="322"/>
  <c r="K10" i="322"/>
  <c r="J10" i="322"/>
  <c r="I10" i="322"/>
  <c r="H10" i="322"/>
  <c r="G10" i="322"/>
  <c r="F10" i="322"/>
  <c r="E10" i="322"/>
  <c r="D10" i="322"/>
  <c r="C10" i="322"/>
  <c r="B10" i="322"/>
  <c r="Y9" i="322"/>
  <c r="X9" i="322"/>
  <c r="W9" i="322"/>
  <c r="V9" i="322"/>
  <c r="U9" i="322"/>
  <c r="T9" i="322"/>
  <c r="S9" i="322"/>
  <c r="R9" i="322"/>
  <c r="Q9" i="322"/>
  <c r="P9" i="322"/>
  <c r="O9" i="322"/>
  <c r="N9" i="322"/>
  <c r="M9" i="322"/>
  <c r="L9" i="322"/>
  <c r="K9" i="322"/>
  <c r="J9" i="322"/>
  <c r="I9" i="322"/>
  <c r="H9" i="322"/>
  <c r="G9" i="322"/>
  <c r="F9" i="322"/>
  <c r="E9" i="322"/>
  <c r="D9" i="322"/>
  <c r="C9" i="322"/>
  <c r="B9" i="322"/>
  <c r="Y8" i="322"/>
  <c r="X8" i="322"/>
  <c r="W8" i="322"/>
  <c r="V8" i="322"/>
  <c r="U8" i="322"/>
  <c r="T8" i="322"/>
  <c r="S8" i="322"/>
  <c r="R8" i="322"/>
  <c r="Q8" i="322"/>
  <c r="P8" i="322"/>
  <c r="O8" i="322"/>
  <c r="N8" i="322"/>
  <c r="M8" i="322"/>
  <c r="L8" i="322"/>
  <c r="K8" i="322"/>
  <c r="J8" i="322"/>
  <c r="I8" i="322"/>
  <c r="H8" i="322"/>
  <c r="G8" i="322"/>
  <c r="F8" i="322"/>
  <c r="E8" i="322"/>
  <c r="D8" i="322"/>
  <c r="C8" i="322"/>
  <c r="B8" i="322"/>
  <c r="Y7" i="322"/>
  <c r="X7" i="322"/>
  <c r="W7" i="322"/>
  <c r="V7" i="322"/>
  <c r="U7" i="322"/>
  <c r="T7" i="322"/>
  <c r="S7" i="322"/>
  <c r="R7" i="322"/>
  <c r="Q7" i="322"/>
  <c r="P7" i="322"/>
  <c r="O7" i="322"/>
  <c r="N7" i="322"/>
  <c r="M7" i="322"/>
  <c r="L7" i="322"/>
  <c r="K7" i="322"/>
  <c r="J7" i="322"/>
  <c r="I7" i="322"/>
  <c r="H7" i="322"/>
  <c r="G7" i="322"/>
  <c r="F7" i="322"/>
  <c r="E7" i="322"/>
  <c r="D7" i="322"/>
  <c r="C7" i="322"/>
  <c r="B7" i="322"/>
  <c r="Y6" i="322"/>
  <c r="X6" i="322"/>
  <c r="W6" i="322"/>
  <c r="V6" i="322"/>
  <c r="U6" i="322"/>
  <c r="T6" i="322"/>
  <c r="S6" i="322"/>
  <c r="R6" i="322"/>
  <c r="Q6" i="322"/>
  <c r="P6" i="322"/>
  <c r="O6" i="322"/>
  <c r="N6" i="322"/>
  <c r="M6" i="322"/>
  <c r="L6" i="322"/>
  <c r="K6" i="322"/>
  <c r="J6" i="322"/>
  <c r="I6" i="322"/>
  <c r="H6" i="322"/>
  <c r="G6" i="322"/>
  <c r="F6" i="322"/>
  <c r="E6" i="322"/>
  <c r="D6" i="322"/>
  <c r="C6" i="322"/>
  <c r="B6" i="322"/>
  <c r="Y5" i="322"/>
  <c r="X5" i="322"/>
  <c r="W5" i="322"/>
  <c r="V5" i="322"/>
  <c r="U5" i="322"/>
  <c r="T5" i="322"/>
  <c r="S5" i="322"/>
  <c r="R5" i="322"/>
  <c r="Q5" i="322"/>
  <c r="P5" i="322"/>
  <c r="O5" i="322"/>
  <c r="N5" i="322"/>
  <c r="M5" i="322"/>
  <c r="L5" i="322"/>
  <c r="K5" i="322"/>
  <c r="J5" i="322"/>
  <c r="I5" i="322"/>
  <c r="H5" i="322"/>
  <c r="G5" i="322"/>
  <c r="F5" i="322"/>
  <c r="E5" i="322"/>
  <c r="D5" i="322"/>
  <c r="C5" i="322"/>
  <c r="B5" i="322"/>
  <c r="Y10" i="321"/>
  <c r="X10" i="321"/>
  <c r="W10" i="321"/>
  <c r="V10" i="321"/>
  <c r="U10" i="321"/>
  <c r="T10" i="321"/>
  <c r="S10" i="321"/>
  <c r="R10" i="321"/>
  <c r="Q10" i="321"/>
  <c r="P10" i="321"/>
  <c r="O10" i="321"/>
  <c r="N10" i="321"/>
  <c r="M10" i="321"/>
  <c r="L10" i="321"/>
  <c r="K10" i="321"/>
  <c r="J10" i="321"/>
  <c r="I10" i="321"/>
  <c r="H10" i="321"/>
  <c r="G10" i="321"/>
  <c r="F10" i="321"/>
  <c r="E10" i="321"/>
  <c r="D10" i="321"/>
  <c r="C10" i="321"/>
  <c r="B10" i="321"/>
  <c r="Y9" i="321"/>
  <c r="X9" i="321"/>
  <c r="W9" i="321"/>
  <c r="V9" i="321"/>
  <c r="U9" i="321"/>
  <c r="T9" i="321"/>
  <c r="S9" i="321"/>
  <c r="R9" i="321"/>
  <c r="Q9" i="321"/>
  <c r="P9" i="321"/>
  <c r="O9" i="321"/>
  <c r="N9" i="321"/>
  <c r="M9" i="321"/>
  <c r="L9" i="321"/>
  <c r="K9" i="321"/>
  <c r="J9" i="321"/>
  <c r="I9" i="321"/>
  <c r="H9" i="321"/>
  <c r="G9" i="321"/>
  <c r="F9" i="321"/>
  <c r="E9" i="321"/>
  <c r="D9" i="321"/>
  <c r="C9" i="321"/>
  <c r="B9" i="321"/>
  <c r="Y8" i="321"/>
  <c r="X8" i="321"/>
  <c r="W8" i="321"/>
  <c r="V8" i="321"/>
  <c r="U8" i="321"/>
  <c r="T8" i="321"/>
  <c r="S8" i="321"/>
  <c r="R8" i="321"/>
  <c r="Q8" i="321"/>
  <c r="P8" i="321"/>
  <c r="O8" i="321"/>
  <c r="N8" i="321"/>
  <c r="M8" i="321"/>
  <c r="L8" i="321"/>
  <c r="K8" i="321"/>
  <c r="J8" i="321"/>
  <c r="I8" i="321"/>
  <c r="H8" i="321"/>
  <c r="G8" i="321"/>
  <c r="F8" i="321"/>
  <c r="E8" i="321"/>
  <c r="D8" i="321"/>
  <c r="C8" i="321"/>
  <c r="B8" i="321"/>
  <c r="Y7" i="321"/>
  <c r="X7" i="321"/>
  <c r="W7" i="321"/>
  <c r="V7" i="321"/>
  <c r="U7" i="321"/>
  <c r="T7" i="321"/>
  <c r="S7" i="321"/>
  <c r="R7" i="321"/>
  <c r="Q7" i="321"/>
  <c r="P7" i="321"/>
  <c r="O7" i="321"/>
  <c r="N7" i="321"/>
  <c r="M7" i="321"/>
  <c r="L7" i="321"/>
  <c r="K7" i="321"/>
  <c r="J7" i="321"/>
  <c r="I7" i="321"/>
  <c r="H7" i="321"/>
  <c r="G7" i="321"/>
  <c r="F7" i="321"/>
  <c r="E7" i="321"/>
  <c r="D7" i="321"/>
  <c r="C7" i="321"/>
  <c r="B7" i="321"/>
  <c r="Y6" i="321"/>
  <c r="X6" i="321"/>
  <c r="W6" i="321"/>
  <c r="V6" i="321"/>
  <c r="U6" i="321"/>
  <c r="T6" i="321"/>
  <c r="S6" i="321"/>
  <c r="R6" i="321"/>
  <c r="Q6" i="321"/>
  <c r="P6" i="321"/>
  <c r="O6" i="321"/>
  <c r="N6" i="321"/>
  <c r="M6" i="321"/>
  <c r="L6" i="321"/>
  <c r="K6" i="321"/>
  <c r="J6" i="321"/>
  <c r="I6" i="321"/>
  <c r="H6" i="321"/>
  <c r="G6" i="321"/>
  <c r="F6" i="321"/>
  <c r="E6" i="321"/>
  <c r="D6" i="321"/>
  <c r="C6" i="321"/>
  <c r="B6" i="321"/>
  <c r="Y5" i="321"/>
  <c r="X5" i="321"/>
  <c r="W5" i="321"/>
  <c r="V5" i="321"/>
  <c r="U5" i="321"/>
  <c r="T5" i="321"/>
  <c r="S5" i="321"/>
  <c r="R5" i="321"/>
  <c r="Q5" i="321"/>
  <c r="P5" i="321"/>
  <c r="O5" i="321"/>
  <c r="N5" i="321"/>
  <c r="M5" i="321"/>
  <c r="L5" i="321"/>
  <c r="K5" i="321"/>
  <c r="J5" i="321"/>
  <c r="I5" i="321"/>
  <c r="H5" i="321"/>
  <c r="G5" i="321"/>
  <c r="F5" i="321"/>
  <c r="E5" i="321"/>
  <c r="D5" i="321"/>
  <c r="C5" i="321"/>
  <c r="B5" i="321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C10" i="320"/>
  <c r="B10" i="320"/>
  <c r="Y9" i="320"/>
  <c r="X9" i="320"/>
  <c r="W9" i="320"/>
  <c r="V9" i="320"/>
  <c r="U9" i="320"/>
  <c r="T9" i="320"/>
  <c r="S9" i="320"/>
  <c r="R9" i="320"/>
  <c r="Q9" i="320"/>
  <c r="P9" i="320"/>
  <c r="O9" i="320"/>
  <c r="N9" i="320"/>
  <c r="M9" i="320"/>
  <c r="L9" i="320"/>
  <c r="K9" i="320"/>
  <c r="J9" i="320"/>
  <c r="I9" i="320"/>
  <c r="H9" i="320"/>
  <c r="G9" i="320"/>
  <c r="F9" i="320"/>
  <c r="E9" i="320"/>
  <c r="D9" i="320"/>
  <c r="C9" i="320"/>
  <c r="B9" i="320"/>
  <c r="Y8" i="320"/>
  <c r="X8" i="320"/>
  <c r="W8" i="320"/>
  <c r="V8" i="320"/>
  <c r="U8" i="320"/>
  <c r="T8" i="320"/>
  <c r="S8" i="320"/>
  <c r="R8" i="320"/>
  <c r="Q8" i="320"/>
  <c r="P8" i="320"/>
  <c r="O8" i="320"/>
  <c r="N8" i="320"/>
  <c r="M8" i="320"/>
  <c r="L8" i="320"/>
  <c r="K8" i="320"/>
  <c r="J8" i="320"/>
  <c r="I8" i="320"/>
  <c r="H8" i="320"/>
  <c r="G8" i="320"/>
  <c r="F8" i="320"/>
  <c r="E8" i="320"/>
  <c r="D8" i="320"/>
  <c r="C8" i="320"/>
  <c r="B8" i="320"/>
  <c r="Y7" i="320"/>
  <c r="X7" i="320"/>
  <c r="W7" i="320"/>
  <c r="V7" i="320"/>
  <c r="U7" i="320"/>
  <c r="T7" i="320"/>
  <c r="S7" i="320"/>
  <c r="R7" i="320"/>
  <c r="Q7" i="320"/>
  <c r="P7" i="320"/>
  <c r="O7" i="320"/>
  <c r="N7" i="320"/>
  <c r="M7" i="320"/>
  <c r="L7" i="320"/>
  <c r="K7" i="320"/>
  <c r="J7" i="320"/>
  <c r="I7" i="320"/>
  <c r="H7" i="320"/>
  <c r="G7" i="320"/>
  <c r="F7" i="320"/>
  <c r="E7" i="320"/>
  <c r="D7" i="320"/>
  <c r="C7" i="320"/>
  <c r="B7" i="320"/>
  <c r="Y6" i="320"/>
  <c r="X6" i="320"/>
  <c r="W6" i="320"/>
  <c r="V6" i="320"/>
  <c r="U6" i="320"/>
  <c r="T6" i="320"/>
  <c r="S6" i="320"/>
  <c r="R6" i="320"/>
  <c r="Q6" i="320"/>
  <c r="P6" i="320"/>
  <c r="O6" i="320"/>
  <c r="N6" i="320"/>
  <c r="M6" i="320"/>
  <c r="L6" i="320"/>
  <c r="K6" i="320"/>
  <c r="J6" i="320"/>
  <c r="I6" i="320"/>
  <c r="H6" i="320"/>
  <c r="G6" i="320"/>
  <c r="F6" i="320"/>
  <c r="E6" i="320"/>
  <c r="D6" i="320"/>
  <c r="C6" i="320"/>
  <c r="B6" i="320"/>
  <c r="Y5" i="320"/>
  <c r="X5" i="320"/>
  <c r="W5" i="320"/>
  <c r="V5" i="320"/>
  <c r="U5" i="320"/>
  <c r="T5" i="320"/>
  <c r="S5" i="320"/>
  <c r="R5" i="320"/>
  <c r="Q5" i="320"/>
  <c r="P5" i="320"/>
  <c r="O5" i="320"/>
  <c r="N5" i="320"/>
  <c r="M5" i="320"/>
  <c r="L5" i="320"/>
  <c r="K5" i="320"/>
  <c r="J5" i="320"/>
  <c r="I5" i="320"/>
  <c r="H5" i="320"/>
  <c r="G5" i="320"/>
  <c r="F5" i="320"/>
  <c r="E5" i="320"/>
  <c r="D5" i="320"/>
  <c r="C5" i="320"/>
  <c r="B5" i="320"/>
  <c r="Y10" i="319"/>
  <c r="X10" i="319"/>
  <c r="W10" i="319"/>
  <c r="V10" i="319"/>
  <c r="U10" i="319"/>
  <c r="T10" i="319"/>
  <c r="S10" i="319"/>
  <c r="R10" i="319"/>
  <c r="Q10" i="319"/>
  <c r="P10" i="319"/>
  <c r="O10" i="319"/>
  <c r="N10" i="319"/>
  <c r="M10" i="319"/>
  <c r="L10" i="319"/>
  <c r="K10" i="319"/>
  <c r="J10" i="319"/>
  <c r="I10" i="319"/>
  <c r="H10" i="319"/>
  <c r="G10" i="319"/>
  <c r="F10" i="319"/>
  <c r="E10" i="319"/>
  <c r="D10" i="319"/>
  <c r="C10" i="319"/>
  <c r="B10" i="319"/>
  <c r="Y9" i="319"/>
  <c r="X9" i="319"/>
  <c r="W9" i="319"/>
  <c r="V9" i="319"/>
  <c r="U9" i="319"/>
  <c r="T9" i="319"/>
  <c r="S9" i="319"/>
  <c r="R9" i="319"/>
  <c r="Q9" i="319"/>
  <c r="P9" i="319"/>
  <c r="O9" i="319"/>
  <c r="N9" i="319"/>
  <c r="M9" i="319"/>
  <c r="L9" i="319"/>
  <c r="K9" i="319"/>
  <c r="J9" i="319"/>
  <c r="I9" i="319"/>
  <c r="H9" i="319"/>
  <c r="G9" i="319"/>
  <c r="F9" i="319"/>
  <c r="E9" i="319"/>
  <c r="D9" i="319"/>
  <c r="C9" i="319"/>
  <c r="B9" i="319"/>
  <c r="Y8" i="319"/>
  <c r="X8" i="319"/>
  <c r="W8" i="319"/>
  <c r="V8" i="319"/>
  <c r="U8" i="319"/>
  <c r="T8" i="319"/>
  <c r="S8" i="319"/>
  <c r="R8" i="319"/>
  <c r="Q8" i="319"/>
  <c r="P8" i="319"/>
  <c r="O8" i="319"/>
  <c r="N8" i="319"/>
  <c r="M8" i="319"/>
  <c r="L8" i="319"/>
  <c r="K8" i="319"/>
  <c r="J8" i="319"/>
  <c r="I8" i="319"/>
  <c r="H8" i="319"/>
  <c r="G8" i="319"/>
  <c r="F8" i="319"/>
  <c r="E8" i="319"/>
  <c r="D8" i="319"/>
  <c r="C8" i="319"/>
  <c r="B8" i="319"/>
  <c r="Y7" i="319"/>
  <c r="X7" i="319"/>
  <c r="W7" i="319"/>
  <c r="V7" i="319"/>
  <c r="U7" i="319"/>
  <c r="T7" i="319"/>
  <c r="S7" i="319"/>
  <c r="R7" i="319"/>
  <c r="Q7" i="319"/>
  <c r="P7" i="319"/>
  <c r="O7" i="319"/>
  <c r="N7" i="319"/>
  <c r="M7" i="319"/>
  <c r="L7" i="319"/>
  <c r="K7" i="319"/>
  <c r="J7" i="319"/>
  <c r="I7" i="319"/>
  <c r="H7" i="319"/>
  <c r="G7" i="319"/>
  <c r="F7" i="319"/>
  <c r="E7" i="319"/>
  <c r="D7" i="319"/>
  <c r="C7" i="319"/>
  <c r="B7" i="319"/>
  <c r="Y6" i="319"/>
  <c r="X6" i="319"/>
  <c r="W6" i="319"/>
  <c r="V6" i="319"/>
  <c r="U6" i="319"/>
  <c r="T6" i="319"/>
  <c r="S6" i="319"/>
  <c r="R6" i="319"/>
  <c r="Q6" i="319"/>
  <c r="P6" i="319"/>
  <c r="O6" i="319"/>
  <c r="N6" i="319"/>
  <c r="M6" i="319"/>
  <c r="L6" i="319"/>
  <c r="K6" i="319"/>
  <c r="J6" i="319"/>
  <c r="I6" i="319"/>
  <c r="H6" i="319"/>
  <c r="G6" i="319"/>
  <c r="F6" i="319"/>
  <c r="E6" i="319"/>
  <c r="D6" i="319"/>
  <c r="C6" i="319"/>
  <c r="B6" i="319"/>
  <c r="Y5" i="319"/>
  <c r="X5" i="319"/>
  <c r="W5" i="319"/>
  <c r="V5" i="319"/>
  <c r="U5" i="319"/>
  <c r="T5" i="319"/>
  <c r="S5" i="319"/>
  <c r="R5" i="319"/>
  <c r="Q5" i="319"/>
  <c r="P5" i="319"/>
  <c r="O5" i="319"/>
  <c r="N5" i="319"/>
  <c r="M5" i="319"/>
  <c r="L5" i="319"/>
  <c r="K5" i="319"/>
  <c r="J5" i="319"/>
  <c r="I5" i="319"/>
  <c r="H5" i="319"/>
  <c r="G5" i="319"/>
  <c r="F5" i="319"/>
  <c r="E5" i="319"/>
  <c r="D5" i="319"/>
  <c r="C5" i="319"/>
  <c r="B5" i="319"/>
  <c r="Y10" i="318"/>
  <c r="X10" i="318"/>
  <c r="W10" i="318"/>
  <c r="V10" i="318"/>
  <c r="U10" i="318"/>
  <c r="T10" i="318"/>
  <c r="S10" i="318"/>
  <c r="R10" i="318"/>
  <c r="Q10" i="318"/>
  <c r="P10" i="318"/>
  <c r="O10" i="318"/>
  <c r="N10" i="318"/>
  <c r="M10" i="318"/>
  <c r="L10" i="318"/>
  <c r="K10" i="318"/>
  <c r="J10" i="318"/>
  <c r="I10" i="318"/>
  <c r="H10" i="318"/>
  <c r="G10" i="318"/>
  <c r="F10" i="318"/>
  <c r="E10" i="318"/>
  <c r="D10" i="318"/>
  <c r="C10" i="318"/>
  <c r="B10" i="318"/>
  <c r="Y9" i="318"/>
  <c r="X9" i="318"/>
  <c r="W9" i="318"/>
  <c r="V9" i="318"/>
  <c r="U9" i="318"/>
  <c r="T9" i="318"/>
  <c r="S9" i="318"/>
  <c r="R9" i="318"/>
  <c r="Q9" i="318"/>
  <c r="P9" i="318"/>
  <c r="O9" i="318"/>
  <c r="N9" i="318"/>
  <c r="M9" i="318"/>
  <c r="L9" i="318"/>
  <c r="K9" i="318"/>
  <c r="J9" i="318"/>
  <c r="I9" i="318"/>
  <c r="H9" i="318"/>
  <c r="G9" i="318"/>
  <c r="F9" i="318"/>
  <c r="E9" i="318"/>
  <c r="D9" i="318"/>
  <c r="C9" i="318"/>
  <c r="B9" i="318"/>
  <c r="Y8" i="318"/>
  <c r="X8" i="318"/>
  <c r="W8" i="318"/>
  <c r="V8" i="318"/>
  <c r="U8" i="318"/>
  <c r="T8" i="318"/>
  <c r="S8" i="318"/>
  <c r="R8" i="318"/>
  <c r="Q8" i="318"/>
  <c r="P8" i="318"/>
  <c r="O8" i="318"/>
  <c r="N8" i="318"/>
  <c r="M8" i="318"/>
  <c r="L8" i="318"/>
  <c r="K8" i="318"/>
  <c r="J8" i="318"/>
  <c r="I8" i="318"/>
  <c r="H8" i="318"/>
  <c r="G8" i="318"/>
  <c r="F8" i="318"/>
  <c r="E8" i="318"/>
  <c r="D8" i="318"/>
  <c r="C8" i="318"/>
  <c r="B8" i="318"/>
  <c r="Y7" i="318"/>
  <c r="X7" i="318"/>
  <c r="W7" i="318"/>
  <c r="V7" i="318"/>
  <c r="U7" i="318"/>
  <c r="T7" i="318"/>
  <c r="S7" i="318"/>
  <c r="R7" i="318"/>
  <c r="Q7" i="318"/>
  <c r="P7" i="318"/>
  <c r="O7" i="318"/>
  <c r="N7" i="318"/>
  <c r="M7" i="318"/>
  <c r="L7" i="318"/>
  <c r="K7" i="318"/>
  <c r="J7" i="318"/>
  <c r="I7" i="318"/>
  <c r="H7" i="318"/>
  <c r="G7" i="318"/>
  <c r="F7" i="318"/>
  <c r="E7" i="318"/>
  <c r="D7" i="318"/>
  <c r="C7" i="318"/>
  <c r="B7" i="318"/>
  <c r="Y6" i="318"/>
  <c r="X6" i="318"/>
  <c r="W6" i="318"/>
  <c r="V6" i="318"/>
  <c r="U6" i="318"/>
  <c r="T6" i="318"/>
  <c r="S6" i="318"/>
  <c r="R6" i="318"/>
  <c r="Q6" i="318"/>
  <c r="P6" i="318"/>
  <c r="O6" i="318"/>
  <c r="N6" i="318"/>
  <c r="M6" i="318"/>
  <c r="L6" i="318"/>
  <c r="K6" i="318"/>
  <c r="J6" i="318"/>
  <c r="I6" i="318"/>
  <c r="H6" i="318"/>
  <c r="G6" i="318"/>
  <c r="F6" i="318"/>
  <c r="E6" i="318"/>
  <c r="D6" i="318"/>
  <c r="C6" i="318"/>
  <c r="B6" i="318"/>
  <c r="Y5" i="318"/>
  <c r="X5" i="318"/>
  <c r="W5" i="318"/>
  <c r="V5" i="318"/>
  <c r="U5" i="318"/>
  <c r="T5" i="318"/>
  <c r="S5" i="318"/>
  <c r="R5" i="318"/>
  <c r="Q5" i="318"/>
  <c r="P5" i="318"/>
  <c r="O5" i="318"/>
  <c r="N5" i="318"/>
  <c r="M5" i="318"/>
  <c r="L5" i="318"/>
  <c r="K5" i="318"/>
  <c r="J5" i="318"/>
  <c r="I5" i="318"/>
  <c r="H5" i="318"/>
  <c r="G5" i="318"/>
  <c r="F5" i="318"/>
  <c r="E5" i="318"/>
  <c r="D5" i="318"/>
  <c r="C5" i="318"/>
  <c r="B5" i="318"/>
  <c r="Y10" i="317"/>
  <c r="X10" i="317"/>
  <c r="W10" i="317"/>
  <c r="V10" i="317"/>
  <c r="U10" i="317"/>
  <c r="T10" i="317"/>
  <c r="S10" i="317"/>
  <c r="R10" i="317"/>
  <c r="Q10" i="317"/>
  <c r="P10" i="317"/>
  <c r="O10" i="317"/>
  <c r="N10" i="317"/>
  <c r="M10" i="317"/>
  <c r="L10" i="317"/>
  <c r="K10" i="317"/>
  <c r="J10" i="317"/>
  <c r="I10" i="317"/>
  <c r="H10" i="317"/>
  <c r="G10" i="317"/>
  <c r="F10" i="317"/>
  <c r="E10" i="317"/>
  <c r="D10" i="317"/>
  <c r="C10" i="317"/>
  <c r="B10" i="317"/>
  <c r="Y9" i="317"/>
  <c r="X9" i="317"/>
  <c r="W9" i="317"/>
  <c r="V9" i="317"/>
  <c r="U9" i="317"/>
  <c r="T9" i="317"/>
  <c r="S9" i="317"/>
  <c r="R9" i="317"/>
  <c r="Q9" i="317"/>
  <c r="P9" i="317"/>
  <c r="O9" i="317"/>
  <c r="N9" i="317"/>
  <c r="M9" i="317"/>
  <c r="L9" i="317"/>
  <c r="K9" i="317"/>
  <c r="J9" i="317"/>
  <c r="I9" i="317"/>
  <c r="H9" i="317"/>
  <c r="G9" i="317"/>
  <c r="F9" i="317"/>
  <c r="E9" i="317"/>
  <c r="D9" i="317"/>
  <c r="C9" i="317"/>
  <c r="B9" i="317"/>
  <c r="Y8" i="317"/>
  <c r="X8" i="317"/>
  <c r="W8" i="317"/>
  <c r="V8" i="317"/>
  <c r="U8" i="317"/>
  <c r="T8" i="317"/>
  <c r="S8" i="317"/>
  <c r="R8" i="317"/>
  <c r="Q8" i="317"/>
  <c r="P8" i="317"/>
  <c r="O8" i="317"/>
  <c r="N8" i="317"/>
  <c r="M8" i="317"/>
  <c r="L8" i="317"/>
  <c r="K8" i="317"/>
  <c r="J8" i="317"/>
  <c r="I8" i="317"/>
  <c r="H8" i="317"/>
  <c r="G8" i="317"/>
  <c r="F8" i="317"/>
  <c r="E8" i="317"/>
  <c r="D8" i="317"/>
  <c r="C8" i="317"/>
  <c r="B8" i="317"/>
  <c r="Y7" i="317"/>
  <c r="X7" i="317"/>
  <c r="W7" i="317"/>
  <c r="V7" i="317"/>
  <c r="U7" i="317"/>
  <c r="T7" i="317"/>
  <c r="S7" i="317"/>
  <c r="R7" i="317"/>
  <c r="Q7" i="317"/>
  <c r="P7" i="317"/>
  <c r="O7" i="317"/>
  <c r="N7" i="317"/>
  <c r="M7" i="317"/>
  <c r="L7" i="317"/>
  <c r="K7" i="317"/>
  <c r="J7" i="317"/>
  <c r="I7" i="317"/>
  <c r="H7" i="317"/>
  <c r="G7" i="317"/>
  <c r="F7" i="317"/>
  <c r="E7" i="317"/>
  <c r="D7" i="317"/>
  <c r="C7" i="317"/>
  <c r="B7" i="317"/>
  <c r="Y6" i="317"/>
  <c r="X6" i="317"/>
  <c r="W6" i="317"/>
  <c r="V6" i="317"/>
  <c r="U6" i="317"/>
  <c r="T6" i="317"/>
  <c r="S6" i="317"/>
  <c r="R6" i="317"/>
  <c r="Q6" i="317"/>
  <c r="P6" i="317"/>
  <c r="O6" i="317"/>
  <c r="N6" i="317"/>
  <c r="M6" i="317"/>
  <c r="L6" i="317"/>
  <c r="K6" i="317"/>
  <c r="J6" i="317"/>
  <c r="I6" i="317"/>
  <c r="H6" i="317"/>
  <c r="G6" i="317"/>
  <c r="F6" i="317"/>
  <c r="E6" i="317"/>
  <c r="D6" i="317"/>
  <c r="C6" i="317"/>
  <c r="B6" i="317"/>
  <c r="Y5" i="317"/>
  <c r="X5" i="317"/>
  <c r="W5" i="317"/>
  <c r="V5" i="317"/>
  <c r="U5" i="317"/>
  <c r="T5" i="317"/>
  <c r="S5" i="317"/>
  <c r="R5" i="317"/>
  <c r="Q5" i="317"/>
  <c r="P5" i="317"/>
  <c r="O5" i="317"/>
  <c r="N5" i="317"/>
  <c r="M5" i="317"/>
  <c r="L5" i="317"/>
  <c r="K5" i="317"/>
  <c r="J5" i="317"/>
  <c r="I5" i="317"/>
  <c r="H5" i="317"/>
  <c r="G5" i="317"/>
  <c r="F5" i="317"/>
  <c r="E5" i="317"/>
  <c r="D5" i="317"/>
  <c r="C5" i="317"/>
  <c r="B5" i="317"/>
  <c r="Y10" i="316"/>
  <c r="X10" i="316"/>
  <c r="W10" i="316"/>
  <c r="V10" i="316"/>
  <c r="U10" i="316"/>
  <c r="T10" i="316"/>
  <c r="S10" i="316"/>
  <c r="R10" i="316"/>
  <c r="Q10" i="316"/>
  <c r="P10" i="316"/>
  <c r="O10" i="316"/>
  <c r="N10" i="316"/>
  <c r="M10" i="316"/>
  <c r="L10" i="316"/>
  <c r="K10" i="316"/>
  <c r="J10" i="316"/>
  <c r="I10" i="316"/>
  <c r="H10" i="316"/>
  <c r="G10" i="316"/>
  <c r="F10" i="316"/>
  <c r="E10" i="316"/>
  <c r="D10" i="316"/>
  <c r="C10" i="316"/>
  <c r="B10" i="316"/>
  <c r="Y9" i="316"/>
  <c r="X9" i="316"/>
  <c r="W9" i="316"/>
  <c r="V9" i="316"/>
  <c r="U9" i="316"/>
  <c r="T9" i="316"/>
  <c r="S9" i="316"/>
  <c r="R9" i="316"/>
  <c r="Q9" i="316"/>
  <c r="P9" i="316"/>
  <c r="O9" i="316"/>
  <c r="N9" i="316"/>
  <c r="M9" i="316"/>
  <c r="L9" i="316"/>
  <c r="K9" i="316"/>
  <c r="J9" i="316"/>
  <c r="I9" i="316"/>
  <c r="H9" i="316"/>
  <c r="G9" i="316"/>
  <c r="F9" i="316"/>
  <c r="E9" i="316"/>
  <c r="D9" i="316"/>
  <c r="C9" i="316"/>
  <c r="B9" i="316"/>
  <c r="Y8" i="316"/>
  <c r="X8" i="316"/>
  <c r="W8" i="316"/>
  <c r="V8" i="316"/>
  <c r="U8" i="316"/>
  <c r="T8" i="316"/>
  <c r="S8" i="316"/>
  <c r="R8" i="316"/>
  <c r="Q8" i="316"/>
  <c r="P8" i="316"/>
  <c r="O8" i="316"/>
  <c r="N8" i="316"/>
  <c r="M8" i="316"/>
  <c r="L8" i="316"/>
  <c r="K8" i="316"/>
  <c r="J8" i="316"/>
  <c r="I8" i="316"/>
  <c r="H8" i="316"/>
  <c r="G8" i="316"/>
  <c r="F8" i="316"/>
  <c r="E8" i="316"/>
  <c r="D8" i="316"/>
  <c r="C8" i="316"/>
  <c r="B8" i="316"/>
  <c r="Y7" i="316"/>
  <c r="X7" i="316"/>
  <c r="W7" i="316"/>
  <c r="V7" i="316"/>
  <c r="U7" i="316"/>
  <c r="T7" i="316"/>
  <c r="S7" i="316"/>
  <c r="R7" i="316"/>
  <c r="Q7" i="316"/>
  <c r="P7" i="316"/>
  <c r="O7" i="316"/>
  <c r="N7" i="316"/>
  <c r="M7" i="316"/>
  <c r="L7" i="316"/>
  <c r="K7" i="316"/>
  <c r="J7" i="316"/>
  <c r="I7" i="316"/>
  <c r="H7" i="316"/>
  <c r="G7" i="316"/>
  <c r="F7" i="316"/>
  <c r="E7" i="316"/>
  <c r="D7" i="316"/>
  <c r="C7" i="316"/>
  <c r="B7" i="316"/>
  <c r="Y6" i="316"/>
  <c r="X6" i="316"/>
  <c r="W6" i="316"/>
  <c r="V6" i="316"/>
  <c r="U6" i="316"/>
  <c r="T6" i="316"/>
  <c r="S6" i="316"/>
  <c r="R6" i="316"/>
  <c r="Q6" i="316"/>
  <c r="P6" i="316"/>
  <c r="O6" i="316"/>
  <c r="N6" i="316"/>
  <c r="M6" i="316"/>
  <c r="L6" i="316"/>
  <c r="K6" i="316"/>
  <c r="J6" i="316"/>
  <c r="I6" i="316"/>
  <c r="H6" i="316"/>
  <c r="G6" i="316"/>
  <c r="F6" i="316"/>
  <c r="E6" i="316"/>
  <c r="D6" i="316"/>
  <c r="C6" i="316"/>
  <c r="B6" i="316"/>
  <c r="Y5" i="316"/>
  <c r="X5" i="316"/>
  <c r="W5" i="316"/>
  <c r="V5" i="316"/>
  <c r="U5" i="316"/>
  <c r="T5" i="316"/>
  <c r="S5" i="316"/>
  <c r="R5" i="316"/>
  <c r="Q5" i="316"/>
  <c r="P5" i="316"/>
  <c r="O5" i="316"/>
  <c r="N5" i="316"/>
  <c r="M5" i="316"/>
  <c r="L5" i="316"/>
  <c r="K5" i="316"/>
  <c r="J5" i="316"/>
  <c r="I5" i="316"/>
  <c r="H5" i="316"/>
  <c r="G5" i="316"/>
  <c r="F5" i="316"/>
  <c r="E5" i="316"/>
  <c r="D5" i="316"/>
  <c r="C5" i="316"/>
  <c r="B5" i="316"/>
  <c r="Y10" i="315"/>
  <c r="X10" i="315"/>
  <c r="W10" i="315"/>
  <c r="V10" i="315"/>
  <c r="U10" i="315"/>
  <c r="T10" i="315"/>
  <c r="S10" i="315"/>
  <c r="R10" i="315"/>
  <c r="Q10" i="315"/>
  <c r="P10" i="315"/>
  <c r="O10" i="315"/>
  <c r="N10" i="315"/>
  <c r="M10" i="315"/>
  <c r="L10" i="315"/>
  <c r="K10" i="315"/>
  <c r="J10" i="315"/>
  <c r="I10" i="315"/>
  <c r="H10" i="315"/>
  <c r="G10" i="315"/>
  <c r="F10" i="315"/>
  <c r="E10" i="315"/>
  <c r="D10" i="315"/>
  <c r="C10" i="315"/>
  <c r="B10" i="315"/>
  <c r="Y9" i="315"/>
  <c r="X9" i="315"/>
  <c r="W9" i="315"/>
  <c r="V9" i="315"/>
  <c r="U9" i="315"/>
  <c r="T9" i="315"/>
  <c r="S9" i="315"/>
  <c r="R9" i="315"/>
  <c r="Q9" i="315"/>
  <c r="P9" i="315"/>
  <c r="O9" i="315"/>
  <c r="N9" i="315"/>
  <c r="M9" i="315"/>
  <c r="L9" i="315"/>
  <c r="K9" i="315"/>
  <c r="J9" i="315"/>
  <c r="I9" i="315"/>
  <c r="H9" i="315"/>
  <c r="G9" i="315"/>
  <c r="F9" i="315"/>
  <c r="E9" i="315"/>
  <c r="D9" i="315"/>
  <c r="C9" i="315"/>
  <c r="B9" i="315"/>
  <c r="Y8" i="315"/>
  <c r="X8" i="315"/>
  <c r="W8" i="315"/>
  <c r="V8" i="315"/>
  <c r="U8" i="315"/>
  <c r="T8" i="315"/>
  <c r="S8" i="315"/>
  <c r="R8" i="315"/>
  <c r="Q8" i="315"/>
  <c r="P8" i="315"/>
  <c r="O8" i="315"/>
  <c r="N8" i="315"/>
  <c r="M8" i="315"/>
  <c r="L8" i="315"/>
  <c r="K8" i="315"/>
  <c r="J8" i="315"/>
  <c r="I8" i="315"/>
  <c r="H8" i="315"/>
  <c r="G8" i="315"/>
  <c r="F8" i="315"/>
  <c r="E8" i="315"/>
  <c r="D8" i="315"/>
  <c r="C8" i="315"/>
  <c r="B8" i="315"/>
  <c r="Y7" i="315"/>
  <c r="X7" i="315"/>
  <c r="W7" i="315"/>
  <c r="V7" i="315"/>
  <c r="U7" i="315"/>
  <c r="T7" i="315"/>
  <c r="S7" i="315"/>
  <c r="R7" i="315"/>
  <c r="Q7" i="315"/>
  <c r="P7" i="315"/>
  <c r="O7" i="315"/>
  <c r="N7" i="315"/>
  <c r="M7" i="315"/>
  <c r="L7" i="315"/>
  <c r="K7" i="315"/>
  <c r="J7" i="315"/>
  <c r="I7" i="315"/>
  <c r="H7" i="315"/>
  <c r="G7" i="315"/>
  <c r="F7" i="315"/>
  <c r="E7" i="315"/>
  <c r="D7" i="315"/>
  <c r="C7" i="315"/>
  <c r="B7" i="315"/>
  <c r="Y6" i="315"/>
  <c r="X6" i="315"/>
  <c r="W6" i="315"/>
  <c r="V6" i="315"/>
  <c r="U6" i="315"/>
  <c r="T6" i="315"/>
  <c r="S6" i="315"/>
  <c r="R6" i="315"/>
  <c r="Q6" i="315"/>
  <c r="P6" i="315"/>
  <c r="O6" i="315"/>
  <c r="N6" i="315"/>
  <c r="M6" i="315"/>
  <c r="L6" i="315"/>
  <c r="K6" i="315"/>
  <c r="J6" i="315"/>
  <c r="I6" i="315"/>
  <c r="H6" i="315"/>
  <c r="G6" i="315"/>
  <c r="F6" i="315"/>
  <c r="E6" i="315"/>
  <c r="D6" i="315"/>
  <c r="C6" i="315"/>
  <c r="B6" i="315"/>
  <c r="Y5" i="315"/>
  <c r="X5" i="315"/>
  <c r="W5" i="315"/>
  <c r="V5" i="315"/>
  <c r="U5" i="315"/>
  <c r="T5" i="315"/>
  <c r="S5" i="315"/>
  <c r="R5" i="315"/>
  <c r="Q5" i="315"/>
  <c r="P5" i="315"/>
  <c r="O5" i="315"/>
  <c r="N5" i="315"/>
  <c r="M5" i="315"/>
  <c r="L5" i="315"/>
  <c r="K5" i="315"/>
  <c r="J5" i="315"/>
  <c r="I5" i="315"/>
  <c r="H5" i="315"/>
  <c r="G5" i="315"/>
  <c r="F5" i="315"/>
  <c r="E5" i="315"/>
  <c r="D5" i="315"/>
  <c r="C5" i="315"/>
  <c r="B5" i="315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D10" i="314"/>
  <c r="C10" i="314"/>
  <c r="B10" i="314"/>
  <c r="Y9" i="314"/>
  <c r="X9" i="314"/>
  <c r="W9" i="314"/>
  <c r="V9" i="314"/>
  <c r="U9" i="314"/>
  <c r="T9" i="314"/>
  <c r="S9" i="314"/>
  <c r="R9" i="314"/>
  <c r="Q9" i="314"/>
  <c r="P9" i="314"/>
  <c r="O9" i="314"/>
  <c r="N9" i="314"/>
  <c r="M9" i="314"/>
  <c r="L9" i="314"/>
  <c r="K9" i="314"/>
  <c r="J9" i="314"/>
  <c r="I9" i="314"/>
  <c r="H9" i="314"/>
  <c r="G9" i="314"/>
  <c r="F9" i="314"/>
  <c r="E9" i="314"/>
  <c r="D9" i="314"/>
  <c r="C9" i="314"/>
  <c r="B9" i="314"/>
  <c r="Y8" i="314"/>
  <c r="X8" i="314"/>
  <c r="W8" i="314"/>
  <c r="V8" i="314"/>
  <c r="U8" i="314"/>
  <c r="T8" i="314"/>
  <c r="S8" i="314"/>
  <c r="R8" i="314"/>
  <c r="Q8" i="314"/>
  <c r="P8" i="314"/>
  <c r="O8" i="314"/>
  <c r="N8" i="314"/>
  <c r="M8" i="314"/>
  <c r="L8" i="314"/>
  <c r="K8" i="314"/>
  <c r="J8" i="314"/>
  <c r="I8" i="314"/>
  <c r="H8" i="314"/>
  <c r="G8" i="314"/>
  <c r="F8" i="314"/>
  <c r="E8" i="314"/>
  <c r="D8" i="314"/>
  <c r="C8" i="314"/>
  <c r="B8" i="314"/>
  <c r="Y7" i="314"/>
  <c r="X7" i="314"/>
  <c r="W7" i="314"/>
  <c r="V7" i="314"/>
  <c r="U7" i="314"/>
  <c r="T7" i="314"/>
  <c r="S7" i="314"/>
  <c r="R7" i="314"/>
  <c r="Q7" i="314"/>
  <c r="P7" i="314"/>
  <c r="O7" i="314"/>
  <c r="N7" i="314"/>
  <c r="M7" i="314"/>
  <c r="L7" i="314"/>
  <c r="K7" i="314"/>
  <c r="J7" i="314"/>
  <c r="I7" i="314"/>
  <c r="H7" i="314"/>
  <c r="G7" i="314"/>
  <c r="F7" i="314"/>
  <c r="E7" i="314"/>
  <c r="D7" i="314"/>
  <c r="C7" i="314"/>
  <c r="B7" i="314"/>
  <c r="Y6" i="314"/>
  <c r="X6" i="314"/>
  <c r="W6" i="314"/>
  <c r="V6" i="314"/>
  <c r="U6" i="314"/>
  <c r="T6" i="314"/>
  <c r="S6" i="314"/>
  <c r="R6" i="314"/>
  <c r="Q6" i="314"/>
  <c r="P6" i="314"/>
  <c r="O6" i="314"/>
  <c r="N6" i="314"/>
  <c r="M6" i="314"/>
  <c r="L6" i="314"/>
  <c r="K6" i="314"/>
  <c r="J6" i="314"/>
  <c r="I6" i="314"/>
  <c r="H6" i="314"/>
  <c r="G6" i="314"/>
  <c r="F6" i="314"/>
  <c r="E6" i="314"/>
  <c r="D6" i="314"/>
  <c r="C6" i="314"/>
  <c r="B6" i="314"/>
  <c r="Y5" i="314"/>
  <c r="X5" i="314"/>
  <c r="W5" i="314"/>
  <c r="V5" i="314"/>
  <c r="U5" i="314"/>
  <c r="T5" i="314"/>
  <c r="S5" i="314"/>
  <c r="R5" i="314"/>
  <c r="Q5" i="314"/>
  <c r="P5" i="314"/>
  <c r="O5" i="314"/>
  <c r="N5" i="314"/>
  <c r="M5" i="314"/>
  <c r="L5" i="314"/>
  <c r="K5" i="314"/>
  <c r="J5" i="314"/>
  <c r="I5" i="314"/>
  <c r="H5" i="314"/>
  <c r="G5" i="314"/>
  <c r="F5" i="314"/>
  <c r="E5" i="314"/>
  <c r="D5" i="314"/>
  <c r="C5" i="314"/>
  <c r="B5" i="314"/>
  <c r="Y10" i="283"/>
  <c r="X10" i="283"/>
  <c r="W10" i="283"/>
  <c r="V10" i="283"/>
  <c r="U10" i="283"/>
  <c r="T10" i="283"/>
  <c r="S10" i="283"/>
  <c r="R10" i="283"/>
  <c r="Q10" i="283"/>
  <c r="P10" i="283"/>
  <c r="O10" i="283"/>
  <c r="N10" i="283"/>
  <c r="M10" i="283"/>
  <c r="L10" i="283"/>
  <c r="K10" i="283"/>
  <c r="J10" i="283"/>
  <c r="I10" i="283"/>
  <c r="H10" i="283"/>
  <c r="G10" i="283"/>
  <c r="F10" i="283"/>
  <c r="E10" i="283"/>
  <c r="D10" i="283"/>
  <c r="C10" i="283"/>
  <c r="B10" i="283"/>
  <c r="Y9" i="283"/>
  <c r="X9" i="283"/>
  <c r="W9" i="283"/>
  <c r="V9" i="283"/>
  <c r="U9" i="283"/>
  <c r="T9" i="283"/>
  <c r="S9" i="283"/>
  <c r="R9" i="283"/>
  <c r="Q9" i="283"/>
  <c r="P9" i="283"/>
  <c r="O9" i="283"/>
  <c r="N9" i="283"/>
  <c r="M9" i="283"/>
  <c r="L9" i="283"/>
  <c r="K9" i="283"/>
  <c r="J9" i="283"/>
  <c r="I9" i="283"/>
  <c r="H9" i="283"/>
  <c r="G9" i="283"/>
  <c r="F9" i="283"/>
  <c r="E9" i="283"/>
  <c r="D9" i="283"/>
  <c r="C9" i="283"/>
  <c r="B9" i="283"/>
  <c r="Y8" i="283"/>
  <c r="X8" i="283"/>
  <c r="W8" i="283"/>
  <c r="V8" i="283"/>
  <c r="U8" i="283"/>
  <c r="T8" i="283"/>
  <c r="S8" i="283"/>
  <c r="R8" i="283"/>
  <c r="Q8" i="283"/>
  <c r="P8" i="283"/>
  <c r="O8" i="283"/>
  <c r="N8" i="283"/>
  <c r="M8" i="283"/>
  <c r="L8" i="283"/>
  <c r="K8" i="283"/>
  <c r="J8" i="283"/>
  <c r="I8" i="283"/>
  <c r="H8" i="283"/>
  <c r="G8" i="283"/>
  <c r="F8" i="283"/>
  <c r="E8" i="283"/>
  <c r="D8" i="283"/>
  <c r="C8" i="283"/>
  <c r="B8" i="283"/>
  <c r="Y7" i="283"/>
  <c r="X7" i="283"/>
  <c r="W7" i="283"/>
  <c r="V7" i="283"/>
  <c r="U7" i="283"/>
  <c r="T7" i="283"/>
  <c r="S7" i="283"/>
  <c r="R7" i="283"/>
  <c r="Q7" i="283"/>
  <c r="P7" i="283"/>
  <c r="O7" i="283"/>
  <c r="N7" i="283"/>
  <c r="M7" i="283"/>
  <c r="L7" i="283"/>
  <c r="K7" i="283"/>
  <c r="J7" i="283"/>
  <c r="I7" i="283"/>
  <c r="H7" i="283"/>
  <c r="G7" i="283"/>
  <c r="F7" i="283"/>
  <c r="E7" i="283"/>
  <c r="D7" i="283"/>
  <c r="C7" i="283"/>
  <c r="B7" i="283"/>
  <c r="Y6" i="283"/>
  <c r="X6" i="283"/>
  <c r="W6" i="283"/>
  <c r="V6" i="283"/>
  <c r="U6" i="283"/>
  <c r="T6" i="283"/>
  <c r="S6" i="283"/>
  <c r="R6" i="283"/>
  <c r="Q6" i="283"/>
  <c r="P6" i="283"/>
  <c r="O6" i="283"/>
  <c r="N6" i="283"/>
  <c r="M6" i="283"/>
  <c r="L6" i="283"/>
  <c r="K6" i="283"/>
  <c r="J6" i="283"/>
  <c r="I6" i="283"/>
  <c r="H6" i="283"/>
  <c r="G6" i="283"/>
  <c r="F6" i="283"/>
  <c r="E6" i="283"/>
  <c r="D6" i="283"/>
  <c r="C6" i="283"/>
  <c r="B6" i="283"/>
  <c r="Y5" i="283"/>
  <c r="X5" i="283"/>
  <c r="W5" i="283"/>
  <c r="V5" i="283"/>
  <c r="U5" i="283"/>
  <c r="T5" i="283"/>
  <c r="S5" i="283"/>
  <c r="R5" i="283"/>
  <c r="Q5" i="283"/>
  <c r="P5" i="283"/>
  <c r="O5" i="283"/>
  <c r="N5" i="283"/>
  <c r="M5" i="283"/>
  <c r="L5" i="283"/>
  <c r="K5" i="283"/>
  <c r="J5" i="283"/>
  <c r="I5" i="283"/>
  <c r="H5" i="283"/>
  <c r="G5" i="283"/>
  <c r="F5" i="283"/>
  <c r="E5" i="283"/>
  <c r="D5" i="283"/>
  <c r="C5" i="283"/>
  <c r="B5" i="283"/>
  <c r="Y10" i="282"/>
  <c r="X10" i="282"/>
  <c r="W10" i="282"/>
  <c r="V10" i="282"/>
  <c r="U10" i="282"/>
  <c r="T10" i="282"/>
  <c r="S10" i="282"/>
  <c r="R10" i="282"/>
  <c r="Q10" i="282"/>
  <c r="P10" i="282"/>
  <c r="O10" i="282"/>
  <c r="N10" i="282"/>
  <c r="M10" i="282"/>
  <c r="L10" i="282"/>
  <c r="K10" i="282"/>
  <c r="J10" i="282"/>
  <c r="I10" i="282"/>
  <c r="H10" i="282"/>
  <c r="G10" i="282"/>
  <c r="F10" i="282"/>
  <c r="E10" i="282"/>
  <c r="D10" i="282"/>
  <c r="C10" i="282"/>
  <c r="B10" i="282"/>
  <c r="Y9" i="282"/>
  <c r="X9" i="282"/>
  <c r="W9" i="282"/>
  <c r="V9" i="282"/>
  <c r="U9" i="282"/>
  <c r="T9" i="282"/>
  <c r="S9" i="282"/>
  <c r="R9" i="282"/>
  <c r="Q9" i="282"/>
  <c r="P9" i="282"/>
  <c r="O9" i="282"/>
  <c r="N9" i="282"/>
  <c r="M9" i="282"/>
  <c r="L9" i="282"/>
  <c r="K9" i="282"/>
  <c r="J9" i="282"/>
  <c r="I9" i="282"/>
  <c r="H9" i="282"/>
  <c r="G9" i="282"/>
  <c r="F9" i="282"/>
  <c r="E9" i="282"/>
  <c r="D9" i="282"/>
  <c r="C9" i="282"/>
  <c r="B9" i="282"/>
  <c r="Y8" i="282"/>
  <c r="X8" i="282"/>
  <c r="W8" i="282"/>
  <c r="V8" i="282"/>
  <c r="U8" i="282"/>
  <c r="T8" i="282"/>
  <c r="S8" i="282"/>
  <c r="R8" i="282"/>
  <c r="Q8" i="282"/>
  <c r="P8" i="282"/>
  <c r="O8" i="282"/>
  <c r="N8" i="282"/>
  <c r="M8" i="282"/>
  <c r="L8" i="282"/>
  <c r="K8" i="282"/>
  <c r="J8" i="282"/>
  <c r="I8" i="282"/>
  <c r="H8" i="282"/>
  <c r="G8" i="282"/>
  <c r="F8" i="282"/>
  <c r="E8" i="282"/>
  <c r="D8" i="282"/>
  <c r="C8" i="282"/>
  <c r="B8" i="282"/>
  <c r="Y7" i="282"/>
  <c r="X7" i="282"/>
  <c r="W7" i="282"/>
  <c r="V7" i="282"/>
  <c r="U7" i="282"/>
  <c r="T7" i="282"/>
  <c r="S7" i="282"/>
  <c r="R7" i="282"/>
  <c r="Q7" i="282"/>
  <c r="P7" i="282"/>
  <c r="O7" i="282"/>
  <c r="N7" i="282"/>
  <c r="M7" i="282"/>
  <c r="L7" i="282"/>
  <c r="K7" i="282"/>
  <c r="J7" i="282"/>
  <c r="I7" i="282"/>
  <c r="H7" i="282"/>
  <c r="G7" i="282"/>
  <c r="F7" i="282"/>
  <c r="E7" i="282"/>
  <c r="D7" i="282"/>
  <c r="C7" i="282"/>
  <c r="B7" i="282"/>
  <c r="Y6" i="282"/>
  <c r="X6" i="282"/>
  <c r="W6" i="282"/>
  <c r="V6" i="282"/>
  <c r="U6" i="282"/>
  <c r="T6" i="282"/>
  <c r="S6" i="282"/>
  <c r="R6" i="282"/>
  <c r="Q6" i="282"/>
  <c r="P6" i="282"/>
  <c r="O6" i="282"/>
  <c r="N6" i="282"/>
  <c r="M6" i="282"/>
  <c r="L6" i="282"/>
  <c r="K6" i="282"/>
  <c r="J6" i="282"/>
  <c r="I6" i="282"/>
  <c r="H6" i="282"/>
  <c r="G6" i="282"/>
  <c r="F6" i="282"/>
  <c r="E6" i="282"/>
  <c r="D6" i="282"/>
  <c r="C6" i="282"/>
  <c r="B6" i="282"/>
  <c r="Y5" i="282"/>
  <c r="X5" i="282"/>
  <c r="W5" i="282"/>
  <c r="V5" i="282"/>
  <c r="U5" i="282"/>
  <c r="T5" i="282"/>
  <c r="S5" i="282"/>
  <c r="R5" i="282"/>
  <c r="Q5" i="282"/>
  <c r="P5" i="282"/>
  <c r="O5" i="282"/>
  <c r="N5" i="282"/>
  <c r="M5" i="282"/>
  <c r="L5" i="282"/>
  <c r="K5" i="282"/>
  <c r="J5" i="282"/>
  <c r="I5" i="282"/>
  <c r="H5" i="282"/>
  <c r="G5" i="282"/>
  <c r="F5" i="282"/>
  <c r="E5" i="282"/>
  <c r="D5" i="282"/>
  <c r="C5" i="282"/>
  <c r="B5" i="282"/>
  <c r="Y10" i="281"/>
  <c r="X10" i="281"/>
  <c r="W10" i="281"/>
  <c r="V10" i="281"/>
  <c r="U10" i="281"/>
  <c r="T10" i="281"/>
  <c r="S10" i="281"/>
  <c r="R10" i="281"/>
  <c r="Q10" i="281"/>
  <c r="P10" i="281"/>
  <c r="O10" i="281"/>
  <c r="N10" i="281"/>
  <c r="M10" i="281"/>
  <c r="L10" i="281"/>
  <c r="K10" i="281"/>
  <c r="J10" i="281"/>
  <c r="I10" i="281"/>
  <c r="H10" i="281"/>
  <c r="G10" i="281"/>
  <c r="F10" i="281"/>
  <c r="E10" i="281"/>
  <c r="D10" i="281"/>
  <c r="C10" i="281"/>
  <c r="B10" i="281"/>
  <c r="Y9" i="281"/>
  <c r="X9" i="281"/>
  <c r="W9" i="281"/>
  <c r="V9" i="281"/>
  <c r="U9" i="281"/>
  <c r="T9" i="281"/>
  <c r="S9" i="281"/>
  <c r="R9" i="281"/>
  <c r="Q9" i="281"/>
  <c r="P9" i="281"/>
  <c r="O9" i="281"/>
  <c r="N9" i="281"/>
  <c r="M9" i="281"/>
  <c r="L9" i="281"/>
  <c r="K9" i="281"/>
  <c r="J9" i="281"/>
  <c r="I9" i="281"/>
  <c r="H9" i="281"/>
  <c r="G9" i="281"/>
  <c r="F9" i="281"/>
  <c r="E9" i="281"/>
  <c r="D9" i="281"/>
  <c r="C9" i="281"/>
  <c r="B9" i="281"/>
  <c r="Y8" i="281"/>
  <c r="X8" i="281"/>
  <c r="W8" i="281"/>
  <c r="V8" i="281"/>
  <c r="U8" i="281"/>
  <c r="T8" i="281"/>
  <c r="S8" i="281"/>
  <c r="R8" i="281"/>
  <c r="Q8" i="281"/>
  <c r="P8" i="281"/>
  <c r="O8" i="281"/>
  <c r="N8" i="281"/>
  <c r="M8" i="281"/>
  <c r="L8" i="281"/>
  <c r="K8" i="281"/>
  <c r="J8" i="281"/>
  <c r="I8" i="281"/>
  <c r="H8" i="281"/>
  <c r="G8" i="281"/>
  <c r="F8" i="281"/>
  <c r="E8" i="281"/>
  <c r="D8" i="281"/>
  <c r="C8" i="281"/>
  <c r="B8" i="281"/>
  <c r="Y7" i="281"/>
  <c r="X7" i="281"/>
  <c r="W7" i="281"/>
  <c r="V7" i="281"/>
  <c r="U7" i="281"/>
  <c r="T7" i="281"/>
  <c r="S7" i="281"/>
  <c r="R7" i="281"/>
  <c r="Q7" i="281"/>
  <c r="P7" i="281"/>
  <c r="O7" i="281"/>
  <c r="N7" i="281"/>
  <c r="M7" i="281"/>
  <c r="L7" i="281"/>
  <c r="K7" i="281"/>
  <c r="J7" i="281"/>
  <c r="I7" i="281"/>
  <c r="H7" i="281"/>
  <c r="G7" i="281"/>
  <c r="F7" i="281"/>
  <c r="E7" i="281"/>
  <c r="D7" i="281"/>
  <c r="C7" i="281"/>
  <c r="B7" i="281"/>
  <c r="Y6" i="281"/>
  <c r="X6" i="281"/>
  <c r="W6" i="281"/>
  <c r="V6" i="281"/>
  <c r="U6" i="281"/>
  <c r="T6" i="281"/>
  <c r="S6" i="281"/>
  <c r="R6" i="281"/>
  <c r="Q6" i="281"/>
  <c r="P6" i="281"/>
  <c r="O6" i="281"/>
  <c r="N6" i="281"/>
  <c r="M6" i="281"/>
  <c r="L6" i="281"/>
  <c r="K6" i="281"/>
  <c r="J6" i="281"/>
  <c r="I6" i="281"/>
  <c r="H6" i="281"/>
  <c r="G6" i="281"/>
  <c r="F6" i="281"/>
  <c r="E6" i="281"/>
  <c r="D6" i="281"/>
  <c r="C6" i="281"/>
  <c r="B6" i="281"/>
  <c r="Y5" i="281"/>
  <c r="X5" i="281"/>
  <c r="W5" i="281"/>
  <c r="V5" i="281"/>
  <c r="U5" i="281"/>
  <c r="T5" i="281"/>
  <c r="S5" i="281"/>
  <c r="R5" i="281"/>
  <c r="Q5" i="281"/>
  <c r="P5" i="281"/>
  <c r="O5" i="281"/>
  <c r="N5" i="281"/>
  <c r="M5" i="281"/>
  <c r="L5" i="281"/>
  <c r="K5" i="281"/>
  <c r="J5" i="281"/>
  <c r="I5" i="281"/>
  <c r="H5" i="281"/>
  <c r="G5" i="281"/>
  <c r="F5" i="281"/>
  <c r="E5" i="281"/>
  <c r="D5" i="281"/>
  <c r="C5" i="281"/>
  <c r="B5" i="281"/>
  <c r="Y10" i="280"/>
  <c r="X10" i="280"/>
  <c r="W10" i="280"/>
  <c r="V10" i="280"/>
  <c r="U10" i="280"/>
  <c r="T10" i="280"/>
  <c r="S10" i="280"/>
  <c r="R10" i="280"/>
  <c r="Q10" i="280"/>
  <c r="P10" i="280"/>
  <c r="O10" i="280"/>
  <c r="N10" i="280"/>
  <c r="M10" i="280"/>
  <c r="L10" i="280"/>
  <c r="K10" i="280"/>
  <c r="J10" i="280"/>
  <c r="I10" i="280"/>
  <c r="H10" i="280"/>
  <c r="G10" i="280"/>
  <c r="F10" i="280"/>
  <c r="E10" i="280"/>
  <c r="D10" i="280"/>
  <c r="C10" i="280"/>
  <c r="B10" i="280"/>
  <c r="Y9" i="280"/>
  <c r="X9" i="280"/>
  <c r="W9" i="280"/>
  <c r="V9" i="280"/>
  <c r="U9" i="280"/>
  <c r="T9" i="280"/>
  <c r="S9" i="280"/>
  <c r="R9" i="280"/>
  <c r="Q9" i="280"/>
  <c r="P9" i="280"/>
  <c r="O9" i="280"/>
  <c r="N9" i="280"/>
  <c r="M9" i="280"/>
  <c r="L9" i="280"/>
  <c r="K9" i="280"/>
  <c r="J9" i="280"/>
  <c r="I9" i="280"/>
  <c r="H9" i="280"/>
  <c r="G9" i="280"/>
  <c r="F9" i="280"/>
  <c r="E9" i="280"/>
  <c r="D9" i="280"/>
  <c r="C9" i="280"/>
  <c r="B9" i="280"/>
  <c r="Y8" i="280"/>
  <c r="X8" i="280"/>
  <c r="W8" i="280"/>
  <c r="V8" i="280"/>
  <c r="U8" i="280"/>
  <c r="T8" i="280"/>
  <c r="S8" i="280"/>
  <c r="R8" i="280"/>
  <c r="Q8" i="280"/>
  <c r="P8" i="280"/>
  <c r="O8" i="280"/>
  <c r="N8" i="280"/>
  <c r="M8" i="280"/>
  <c r="L8" i="280"/>
  <c r="K8" i="280"/>
  <c r="J8" i="280"/>
  <c r="I8" i="280"/>
  <c r="H8" i="280"/>
  <c r="G8" i="280"/>
  <c r="F8" i="280"/>
  <c r="E8" i="280"/>
  <c r="D8" i="280"/>
  <c r="C8" i="280"/>
  <c r="B8" i="280"/>
  <c r="Y7" i="280"/>
  <c r="X7" i="280"/>
  <c r="W7" i="280"/>
  <c r="V7" i="280"/>
  <c r="U7" i="280"/>
  <c r="T7" i="280"/>
  <c r="S7" i="280"/>
  <c r="R7" i="280"/>
  <c r="Q7" i="280"/>
  <c r="P7" i="280"/>
  <c r="O7" i="280"/>
  <c r="N7" i="280"/>
  <c r="M7" i="280"/>
  <c r="L7" i="280"/>
  <c r="K7" i="280"/>
  <c r="J7" i="280"/>
  <c r="I7" i="280"/>
  <c r="H7" i="280"/>
  <c r="G7" i="280"/>
  <c r="F7" i="280"/>
  <c r="E7" i="280"/>
  <c r="D7" i="280"/>
  <c r="C7" i="280"/>
  <c r="B7" i="280"/>
  <c r="Y6" i="280"/>
  <c r="X6" i="280"/>
  <c r="W6" i="280"/>
  <c r="V6" i="280"/>
  <c r="U6" i="280"/>
  <c r="T6" i="280"/>
  <c r="S6" i="280"/>
  <c r="R6" i="280"/>
  <c r="Q6" i="280"/>
  <c r="P6" i="280"/>
  <c r="O6" i="280"/>
  <c r="N6" i="280"/>
  <c r="M6" i="280"/>
  <c r="L6" i="280"/>
  <c r="K6" i="280"/>
  <c r="J6" i="280"/>
  <c r="I6" i="280"/>
  <c r="H6" i="280"/>
  <c r="G6" i="280"/>
  <c r="F6" i="280"/>
  <c r="E6" i="280"/>
  <c r="D6" i="280"/>
  <c r="C6" i="280"/>
  <c r="B6" i="280"/>
  <c r="Y5" i="280"/>
  <c r="X5" i="280"/>
  <c r="W5" i="280"/>
  <c r="V5" i="280"/>
  <c r="U5" i="280"/>
  <c r="T5" i="280"/>
  <c r="S5" i="280"/>
  <c r="R5" i="280"/>
  <c r="Q5" i="280"/>
  <c r="P5" i="280"/>
  <c r="O5" i="280"/>
  <c r="N5" i="280"/>
  <c r="M5" i="280"/>
  <c r="L5" i="280"/>
  <c r="K5" i="280"/>
  <c r="J5" i="280"/>
  <c r="I5" i="280"/>
  <c r="H5" i="280"/>
  <c r="G5" i="280"/>
  <c r="F5" i="280"/>
  <c r="E5" i="280"/>
  <c r="D5" i="280"/>
  <c r="C5" i="280"/>
  <c r="B5" i="280"/>
  <c r="Y10" i="279"/>
  <c r="X10" i="279"/>
  <c r="W10" i="279"/>
  <c r="V10" i="279"/>
  <c r="U10" i="279"/>
  <c r="T10" i="279"/>
  <c r="S10" i="279"/>
  <c r="R10" i="279"/>
  <c r="Q10" i="279"/>
  <c r="P10" i="279"/>
  <c r="O10" i="279"/>
  <c r="N10" i="279"/>
  <c r="M10" i="279"/>
  <c r="L10" i="279"/>
  <c r="K10" i="279"/>
  <c r="J10" i="279"/>
  <c r="I10" i="279"/>
  <c r="H10" i="279"/>
  <c r="G10" i="279"/>
  <c r="F10" i="279"/>
  <c r="E10" i="279"/>
  <c r="D10" i="279"/>
  <c r="C10" i="279"/>
  <c r="B10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D9" i="279"/>
  <c r="C9" i="279"/>
  <c r="B9" i="279"/>
  <c r="Y8" i="279"/>
  <c r="X8" i="279"/>
  <c r="W8" i="279"/>
  <c r="V8" i="279"/>
  <c r="U8" i="279"/>
  <c r="T8" i="279"/>
  <c r="S8" i="279"/>
  <c r="R8" i="279"/>
  <c r="Q8" i="279"/>
  <c r="P8" i="279"/>
  <c r="O8" i="279"/>
  <c r="N8" i="279"/>
  <c r="M8" i="279"/>
  <c r="L8" i="279"/>
  <c r="K8" i="279"/>
  <c r="J8" i="279"/>
  <c r="I8" i="279"/>
  <c r="H8" i="279"/>
  <c r="G8" i="279"/>
  <c r="F8" i="279"/>
  <c r="E8" i="279"/>
  <c r="D8" i="279"/>
  <c r="C8" i="279"/>
  <c r="B8" i="279"/>
  <c r="Y7" i="279"/>
  <c r="X7" i="279"/>
  <c r="W7" i="279"/>
  <c r="V7" i="279"/>
  <c r="U7" i="279"/>
  <c r="T7" i="279"/>
  <c r="S7" i="279"/>
  <c r="R7" i="279"/>
  <c r="Q7" i="279"/>
  <c r="P7" i="279"/>
  <c r="O7" i="279"/>
  <c r="N7" i="279"/>
  <c r="M7" i="279"/>
  <c r="L7" i="279"/>
  <c r="K7" i="279"/>
  <c r="J7" i="279"/>
  <c r="I7" i="279"/>
  <c r="H7" i="279"/>
  <c r="G7" i="279"/>
  <c r="F7" i="279"/>
  <c r="E7" i="279"/>
  <c r="D7" i="279"/>
  <c r="C7" i="279"/>
  <c r="B7" i="279"/>
  <c r="Y6" i="279"/>
  <c r="X6" i="279"/>
  <c r="W6" i="279"/>
  <c r="V6" i="279"/>
  <c r="U6" i="279"/>
  <c r="T6" i="279"/>
  <c r="S6" i="279"/>
  <c r="R6" i="279"/>
  <c r="Q6" i="279"/>
  <c r="P6" i="279"/>
  <c r="O6" i="279"/>
  <c r="N6" i="279"/>
  <c r="M6" i="279"/>
  <c r="L6" i="279"/>
  <c r="K6" i="279"/>
  <c r="J6" i="279"/>
  <c r="I6" i="279"/>
  <c r="H6" i="279"/>
  <c r="G6" i="279"/>
  <c r="F6" i="279"/>
  <c r="E6" i="279"/>
  <c r="D6" i="279"/>
  <c r="C6" i="279"/>
  <c r="B6" i="279"/>
  <c r="Y5" i="279"/>
  <c r="X5" i="279"/>
  <c r="W5" i="279"/>
  <c r="V5" i="279"/>
  <c r="U5" i="279"/>
  <c r="T5" i="279"/>
  <c r="S5" i="279"/>
  <c r="R5" i="279"/>
  <c r="Q5" i="279"/>
  <c r="P5" i="279"/>
  <c r="O5" i="279"/>
  <c r="N5" i="279"/>
  <c r="M5" i="279"/>
  <c r="L5" i="279"/>
  <c r="K5" i="279"/>
  <c r="J5" i="279"/>
  <c r="I5" i="279"/>
  <c r="H5" i="279"/>
  <c r="G5" i="279"/>
  <c r="F5" i="279"/>
  <c r="E5" i="279"/>
  <c r="D5" i="279"/>
  <c r="C5" i="279"/>
  <c r="B5" i="279"/>
  <c r="Y10" i="278"/>
  <c r="X10" i="278"/>
  <c r="W10" i="278"/>
  <c r="V10" i="278"/>
  <c r="U10" i="278"/>
  <c r="T10" i="278"/>
  <c r="S10" i="278"/>
  <c r="R10" i="278"/>
  <c r="Q10" i="278"/>
  <c r="P10" i="278"/>
  <c r="O10" i="278"/>
  <c r="N10" i="278"/>
  <c r="M10" i="278"/>
  <c r="L10" i="278"/>
  <c r="K10" i="278"/>
  <c r="J10" i="278"/>
  <c r="I10" i="278"/>
  <c r="H10" i="278"/>
  <c r="G10" i="278"/>
  <c r="F10" i="278"/>
  <c r="E10" i="278"/>
  <c r="D10" i="278"/>
  <c r="C10" i="278"/>
  <c r="B10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D9" i="278"/>
  <c r="C9" i="278"/>
  <c r="B9" i="278"/>
  <c r="Y8" i="278"/>
  <c r="X8" i="278"/>
  <c r="W8" i="278"/>
  <c r="V8" i="278"/>
  <c r="U8" i="278"/>
  <c r="T8" i="278"/>
  <c r="S8" i="278"/>
  <c r="R8" i="278"/>
  <c r="Q8" i="278"/>
  <c r="P8" i="278"/>
  <c r="O8" i="278"/>
  <c r="N8" i="278"/>
  <c r="M8" i="278"/>
  <c r="L8" i="278"/>
  <c r="K8" i="278"/>
  <c r="J8" i="278"/>
  <c r="I8" i="278"/>
  <c r="H8" i="278"/>
  <c r="G8" i="278"/>
  <c r="F8" i="278"/>
  <c r="E8" i="278"/>
  <c r="D8" i="278"/>
  <c r="C8" i="278"/>
  <c r="B8" i="278"/>
  <c r="Y7" i="278"/>
  <c r="X7" i="278"/>
  <c r="W7" i="278"/>
  <c r="V7" i="278"/>
  <c r="U7" i="278"/>
  <c r="T7" i="278"/>
  <c r="S7" i="278"/>
  <c r="R7" i="278"/>
  <c r="Q7" i="278"/>
  <c r="P7" i="278"/>
  <c r="O7" i="278"/>
  <c r="N7" i="278"/>
  <c r="M7" i="278"/>
  <c r="L7" i="278"/>
  <c r="K7" i="278"/>
  <c r="J7" i="278"/>
  <c r="I7" i="278"/>
  <c r="H7" i="278"/>
  <c r="G7" i="278"/>
  <c r="F7" i="278"/>
  <c r="E7" i="278"/>
  <c r="D7" i="278"/>
  <c r="C7" i="278"/>
  <c r="B7" i="278"/>
  <c r="Y6" i="278"/>
  <c r="X6" i="278"/>
  <c r="W6" i="278"/>
  <c r="V6" i="278"/>
  <c r="U6" i="278"/>
  <c r="T6" i="278"/>
  <c r="S6" i="278"/>
  <c r="R6" i="278"/>
  <c r="Q6" i="278"/>
  <c r="P6" i="278"/>
  <c r="O6" i="278"/>
  <c r="N6" i="278"/>
  <c r="M6" i="278"/>
  <c r="L6" i="278"/>
  <c r="K6" i="278"/>
  <c r="J6" i="278"/>
  <c r="I6" i="278"/>
  <c r="H6" i="278"/>
  <c r="G6" i="278"/>
  <c r="F6" i="278"/>
  <c r="E6" i="278"/>
  <c r="D6" i="278"/>
  <c r="C6" i="278"/>
  <c r="B6" i="278"/>
  <c r="Y5" i="278"/>
  <c r="X5" i="278"/>
  <c r="W5" i="278"/>
  <c r="V5" i="278"/>
  <c r="U5" i="278"/>
  <c r="T5" i="278"/>
  <c r="S5" i="278"/>
  <c r="R5" i="278"/>
  <c r="Q5" i="278"/>
  <c r="P5" i="278"/>
  <c r="O5" i="278"/>
  <c r="N5" i="278"/>
  <c r="M5" i="278"/>
  <c r="L5" i="278"/>
  <c r="K5" i="278"/>
  <c r="J5" i="278"/>
  <c r="I5" i="278"/>
  <c r="H5" i="278"/>
  <c r="G5" i="278"/>
  <c r="F5" i="278"/>
  <c r="E5" i="278"/>
  <c r="D5" i="278"/>
  <c r="C5" i="278"/>
  <c r="B5" i="278"/>
  <c r="Y10" i="277"/>
  <c r="X10" i="277"/>
  <c r="W10" i="277"/>
  <c r="V10" i="277"/>
  <c r="U10" i="277"/>
  <c r="T10" i="277"/>
  <c r="S10" i="277"/>
  <c r="R10" i="277"/>
  <c r="Q10" i="277"/>
  <c r="P10" i="277"/>
  <c r="O10" i="277"/>
  <c r="N10" i="277"/>
  <c r="M10" i="277"/>
  <c r="L10" i="277"/>
  <c r="K10" i="277"/>
  <c r="J10" i="277"/>
  <c r="I10" i="277"/>
  <c r="H10" i="277"/>
  <c r="G10" i="277"/>
  <c r="F10" i="277"/>
  <c r="E10" i="277"/>
  <c r="D10" i="277"/>
  <c r="C10" i="277"/>
  <c r="B10" i="277"/>
  <c r="Y9" i="277"/>
  <c r="X9" i="277"/>
  <c r="W9" i="277"/>
  <c r="V9" i="277"/>
  <c r="U9" i="277"/>
  <c r="T9" i="277"/>
  <c r="S9" i="277"/>
  <c r="R9" i="277"/>
  <c r="Q9" i="277"/>
  <c r="P9" i="277"/>
  <c r="O9" i="277"/>
  <c r="N9" i="277"/>
  <c r="M9" i="277"/>
  <c r="L9" i="277"/>
  <c r="K9" i="277"/>
  <c r="J9" i="277"/>
  <c r="I9" i="277"/>
  <c r="H9" i="277"/>
  <c r="G9" i="277"/>
  <c r="F9" i="277"/>
  <c r="E9" i="277"/>
  <c r="D9" i="277"/>
  <c r="C9" i="277"/>
  <c r="B9" i="277"/>
  <c r="Y8" i="277"/>
  <c r="X8" i="277"/>
  <c r="W8" i="277"/>
  <c r="V8" i="277"/>
  <c r="U8" i="277"/>
  <c r="T8" i="277"/>
  <c r="S8" i="277"/>
  <c r="R8" i="277"/>
  <c r="Q8" i="277"/>
  <c r="P8" i="277"/>
  <c r="O8" i="277"/>
  <c r="N8" i="277"/>
  <c r="M8" i="277"/>
  <c r="L8" i="277"/>
  <c r="K8" i="277"/>
  <c r="J8" i="277"/>
  <c r="I8" i="277"/>
  <c r="H8" i="277"/>
  <c r="G8" i="277"/>
  <c r="F8" i="277"/>
  <c r="E8" i="277"/>
  <c r="D8" i="277"/>
  <c r="C8" i="277"/>
  <c r="B8" i="277"/>
  <c r="Y7" i="277"/>
  <c r="X7" i="277"/>
  <c r="W7" i="277"/>
  <c r="V7" i="277"/>
  <c r="U7" i="277"/>
  <c r="T7" i="277"/>
  <c r="S7" i="277"/>
  <c r="R7" i="277"/>
  <c r="Q7" i="277"/>
  <c r="P7" i="277"/>
  <c r="O7" i="277"/>
  <c r="N7" i="277"/>
  <c r="M7" i="277"/>
  <c r="L7" i="277"/>
  <c r="K7" i="277"/>
  <c r="J7" i="277"/>
  <c r="I7" i="277"/>
  <c r="H7" i="277"/>
  <c r="G7" i="277"/>
  <c r="F7" i="277"/>
  <c r="E7" i="277"/>
  <c r="D7" i="277"/>
  <c r="C7" i="277"/>
  <c r="B7" i="277"/>
  <c r="Y6" i="277"/>
  <c r="X6" i="277"/>
  <c r="W6" i="277"/>
  <c r="V6" i="277"/>
  <c r="U6" i="277"/>
  <c r="T6" i="277"/>
  <c r="S6" i="277"/>
  <c r="R6" i="277"/>
  <c r="Q6" i="277"/>
  <c r="P6" i="277"/>
  <c r="O6" i="277"/>
  <c r="N6" i="277"/>
  <c r="M6" i="277"/>
  <c r="L6" i="277"/>
  <c r="K6" i="277"/>
  <c r="J6" i="277"/>
  <c r="I6" i="277"/>
  <c r="H6" i="277"/>
  <c r="G6" i="277"/>
  <c r="F6" i="277"/>
  <c r="E6" i="277"/>
  <c r="D6" i="277"/>
  <c r="C6" i="277"/>
  <c r="B6" i="277"/>
  <c r="Y5" i="277"/>
  <c r="X5" i="277"/>
  <c r="W5" i="277"/>
  <c r="V5" i="277"/>
  <c r="U5" i="277"/>
  <c r="T5" i="277"/>
  <c r="S5" i="277"/>
  <c r="R5" i="277"/>
  <c r="Q5" i="277"/>
  <c r="P5" i="277"/>
  <c r="O5" i="277"/>
  <c r="N5" i="277"/>
  <c r="M5" i="277"/>
  <c r="L5" i="277"/>
  <c r="K5" i="277"/>
  <c r="J5" i="277"/>
  <c r="I5" i="277"/>
  <c r="H5" i="277"/>
  <c r="G5" i="277"/>
  <c r="F5" i="277"/>
  <c r="E5" i="277"/>
  <c r="D5" i="277"/>
  <c r="C5" i="277"/>
  <c r="B5" i="277"/>
  <c r="Y10" i="276"/>
  <c r="X10" i="276"/>
  <c r="W10" i="276"/>
  <c r="V10" i="276"/>
  <c r="U10" i="276"/>
  <c r="T10" i="276"/>
  <c r="S10" i="276"/>
  <c r="R10" i="276"/>
  <c r="Q10" i="276"/>
  <c r="P10" i="276"/>
  <c r="O10" i="276"/>
  <c r="N10" i="276"/>
  <c r="M10" i="276"/>
  <c r="L10" i="276"/>
  <c r="K10" i="276"/>
  <c r="J10" i="276"/>
  <c r="I10" i="276"/>
  <c r="H10" i="276"/>
  <c r="G10" i="276"/>
  <c r="F10" i="276"/>
  <c r="E10" i="276"/>
  <c r="D10" i="276"/>
  <c r="C10" i="276"/>
  <c r="B10" i="276"/>
  <c r="Y9" i="276"/>
  <c r="X9" i="276"/>
  <c r="W9" i="276"/>
  <c r="V9" i="276"/>
  <c r="U9" i="276"/>
  <c r="T9" i="276"/>
  <c r="S9" i="276"/>
  <c r="R9" i="276"/>
  <c r="Q9" i="276"/>
  <c r="P9" i="276"/>
  <c r="O9" i="276"/>
  <c r="N9" i="276"/>
  <c r="M9" i="276"/>
  <c r="L9" i="276"/>
  <c r="K9" i="276"/>
  <c r="J9" i="276"/>
  <c r="I9" i="276"/>
  <c r="H9" i="276"/>
  <c r="G9" i="276"/>
  <c r="F9" i="276"/>
  <c r="E9" i="276"/>
  <c r="D9" i="276"/>
  <c r="C9" i="276"/>
  <c r="B9" i="276"/>
  <c r="Y8" i="276"/>
  <c r="X8" i="276"/>
  <c r="W8" i="276"/>
  <c r="V8" i="276"/>
  <c r="U8" i="276"/>
  <c r="T8" i="276"/>
  <c r="S8" i="276"/>
  <c r="R8" i="276"/>
  <c r="Q8" i="276"/>
  <c r="P8" i="276"/>
  <c r="O8" i="276"/>
  <c r="N8" i="276"/>
  <c r="M8" i="276"/>
  <c r="L8" i="276"/>
  <c r="K8" i="276"/>
  <c r="J8" i="276"/>
  <c r="I8" i="276"/>
  <c r="H8" i="276"/>
  <c r="G8" i="276"/>
  <c r="F8" i="276"/>
  <c r="E8" i="276"/>
  <c r="D8" i="276"/>
  <c r="C8" i="276"/>
  <c r="B8" i="276"/>
  <c r="Y7" i="276"/>
  <c r="X7" i="276"/>
  <c r="W7" i="276"/>
  <c r="V7" i="276"/>
  <c r="U7" i="276"/>
  <c r="T7" i="276"/>
  <c r="S7" i="276"/>
  <c r="R7" i="276"/>
  <c r="Q7" i="276"/>
  <c r="P7" i="276"/>
  <c r="O7" i="276"/>
  <c r="N7" i="276"/>
  <c r="M7" i="276"/>
  <c r="L7" i="276"/>
  <c r="K7" i="276"/>
  <c r="J7" i="276"/>
  <c r="I7" i="276"/>
  <c r="H7" i="276"/>
  <c r="G7" i="276"/>
  <c r="F7" i="276"/>
  <c r="E7" i="276"/>
  <c r="D7" i="276"/>
  <c r="C7" i="276"/>
  <c r="B7" i="276"/>
  <c r="Y6" i="276"/>
  <c r="X6" i="276"/>
  <c r="W6" i="276"/>
  <c r="V6" i="276"/>
  <c r="U6" i="276"/>
  <c r="T6" i="276"/>
  <c r="S6" i="276"/>
  <c r="R6" i="276"/>
  <c r="Q6" i="276"/>
  <c r="P6" i="276"/>
  <c r="O6" i="276"/>
  <c r="N6" i="276"/>
  <c r="M6" i="276"/>
  <c r="L6" i="276"/>
  <c r="K6" i="276"/>
  <c r="J6" i="276"/>
  <c r="I6" i="276"/>
  <c r="H6" i="276"/>
  <c r="G6" i="276"/>
  <c r="F6" i="276"/>
  <c r="E6" i="276"/>
  <c r="D6" i="276"/>
  <c r="C6" i="276"/>
  <c r="B6" i="276"/>
  <c r="Y5" i="276"/>
  <c r="X5" i="276"/>
  <c r="W5" i="276"/>
  <c r="V5" i="276"/>
  <c r="U5" i="276"/>
  <c r="T5" i="276"/>
  <c r="S5" i="276"/>
  <c r="R5" i="276"/>
  <c r="Q5" i="276"/>
  <c r="P5" i="276"/>
  <c r="O5" i="276"/>
  <c r="N5" i="276"/>
  <c r="M5" i="276"/>
  <c r="L5" i="276"/>
  <c r="K5" i="276"/>
  <c r="J5" i="276"/>
  <c r="I5" i="276"/>
  <c r="H5" i="276"/>
  <c r="G5" i="276"/>
  <c r="F5" i="276"/>
  <c r="E5" i="276"/>
  <c r="D5" i="276"/>
  <c r="C5" i="276"/>
  <c r="B5" i="276"/>
  <c r="Y10" i="275"/>
  <c r="X10" i="275"/>
  <c r="W10" i="275"/>
  <c r="V10" i="275"/>
  <c r="U10" i="275"/>
  <c r="T10" i="275"/>
  <c r="S10" i="275"/>
  <c r="R10" i="275"/>
  <c r="Q10" i="275"/>
  <c r="P10" i="275"/>
  <c r="O10" i="275"/>
  <c r="N10" i="275"/>
  <c r="M10" i="275"/>
  <c r="L10" i="275"/>
  <c r="K10" i="275"/>
  <c r="J10" i="275"/>
  <c r="I10" i="275"/>
  <c r="H10" i="275"/>
  <c r="G10" i="275"/>
  <c r="F10" i="275"/>
  <c r="E10" i="275"/>
  <c r="D10" i="275"/>
  <c r="C10" i="275"/>
  <c r="B10" i="275"/>
  <c r="Y9" i="275"/>
  <c r="X9" i="275"/>
  <c r="W9" i="275"/>
  <c r="V9" i="275"/>
  <c r="U9" i="275"/>
  <c r="T9" i="275"/>
  <c r="S9" i="275"/>
  <c r="R9" i="275"/>
  <c r="Q9" i="275"/>
  <c r="P9" i="275"/>
  <c r="O9" i="275"/>
  <c r="N9" i="275"/>
  <c r="M9" i="275"/>
  <c r="L9" i="275"/>
  <c r="K9" i="275"/>
  <c r="J9" i="275"/>
  <c r="I9" i="275"/>
  <c r="H9" i="275"/>
  <c r="G9" i="275"/>
  <c r="F9" i="275"/>
  <c r="E9" i="275"/>
  <c r="D9" i="275"/>
  <c r="C9" i="275"/>
  <c r="B9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I8" i="275"/>
  <c r="H8" i="275"/>
  <c r="G8" i="275"/>
  <c r="F8" i="275"/>
  <c r="E8" i="275"/>
  <c r="D8" i="275"/>
  <c r="C8" i="275"/>
  <c r="B8" i="275"/>
  <c r="Y7" i="275"/>
  <c r="X7" i="275"/>
  <c r="W7" i="275"/>
  <c r="V7" i="275"/>
  <c r="U7" i="275"/>
  <c r="T7" i="275"/>
  <c r="S7" i="275"/>
  <c r="R7" i="275"/>
  <c r="Q7" i="275"/>
  <c r="P7" i="275"/>
  <c r="O7" i="275"/>
  <c r="N7" i="275"/>
  <c r="M7" i="275"/>
  <c r="L7" i="275"/>
  <c r="K7" i="275"/>
  <c r="J7" i="275"/>
  <c r="I7" i="275"/>
  <c r="H7" i="275"/>
  <c r="G7" i="275"/>
  <c r="F7" i="275"/>
  <c r="E7" i="275"/>
  <c r="D7" i="275"/>
  <c r="C7" i="275"/>
  <c r="B7" i="275"/>
  <c r="Y6" i="275"/>
  <c r="X6" i="275"/>
  <c r="W6" i="275"/>
  <c r="V6" i="275"/>
  <c r="U6" i="275"/>
  <c r="T6" i="275"/>
  <c r="S6" i="275"/>
  <c r="R6" i="275"/>
  <c r="Q6" i="275"/>
  <c r="P6" i="275"/>
  <c r="O6" i="275"/>
  <c r="N6" i="275"/>
  <c r="M6" i="275"/>
  <c r="L6" i="275"/>
  <c r="K6" i="275"/>
  <c r="J6" i="275"/>
  <c r="I6" i="275"/>
  <c r="H6" i="275"/>
  <c r="G6" i="275"/>
  <c r="F6" i="275"/>
  <c r="E6" i="275"/>
  <c r="D6" i="275"/>
  <c r="C6" i="275"/>
  <c r="B6" i="275"/>
  <c r="Y5" i="275"/>
  <c r="X5" i="275"/>
  <c r="W5" i="275"/>
  <c r="V5" i="275"/>
  <c r="U5" i="275"/>
  <c r="T5" i="275"/>
  <c r="S5" i="275"/>
  <c r="R5" i="275"/>
  <c r="Q5" i="275"/>
  <c r="P5" i="275"/>
  <c r="O5" i="275"/>
  <c r="N5" i="275"/>
  <c r="M5" i="275"/>
  <c r="L5" i="275"/>
  <c r="K5" i="275"/>
  <c r="J5" i="275"/>
  <c r="I5" i="275"/>
  <c r="H5" i="275"/>
  <c r="G5" i="275"/>
  <c r="F5" i="275"/>
  <c r="E5" i="275"/>
  <c r="D5" i="275"/>
  <c r="C5" i="275"/>
  <c r="B5" i="275"/>
  <c r="D1" i="1"/>
  <c r="E1" i="1"/>
  <c r="F1" i="1"/>
  <c r="G1" i="1"/>
  <c r="H1" i="1"/>
  <c r="I1" i="1"/>
  <c r="J1" i="1"/>
  <c r="K1" i="1"/>
  <c r="C1" i="1"/>
  <c r="B7" i="1" l="1"/>
  <c r="B6" i="1" l="1"/>
  <c r="B5" i="1"/>
  <c r="Y10" i="244"/>
  <c r="X10" i="244"/>
  <c r="W10" i="244"/>
  <c r="V10" i="244"/>
  <c r="U10" i="244"/>
  <c r="T10" i="244"/>
  <c r="S10" i="244"/>
  <c r="R10" i="244"/>
  <c r="Q10" i="244"/>
  <c r="P10" i="244"/>
  <c r="O10" i="244"/>
  <c r="N10" i="244"/>
  <c r="M10" i="244"/>
  <c r="L10" i="244"/>
  <c r="K10" i="244"/>
  <c r="J10" i="244"/>
  <c r="I10" i="244"/>
  <c r="H10" i="244"/>
  <c r="G10" i="244"/>
  <c r="F10" i="244"/>
  <c r="E10" i="244"/>
  <c r="D10" i="244"/>
  <c r="C10" i="244"/>
  <c r="B10" i="244"/>
  <c r="Y9" i="244"/>
  <c r="X9" i="244"/>
  <c r="W9" i="244"/>
  <c r="V9" i="244"/>
  <c r="U9" i="244"/>
  <c r="T9" i="244"/>
  <c r="S9" i="244"/>
  <c r="R9" i="244"/>
  <c r="Q9" i="244"/>
  <c r="P9" i="244"/>
  <c r="O9" i="244"/>
  <c r="N9" i="244"/>
  <c r="M9" i="244"/>
  <c r="L9" i="244"/>
  <c r="K9" i="244"/>
  <c r="J9" i="244"/>
  <c r="I9" i="244"/>
  <c r="H9" i="244"/>
  <c r="G9" i="244"/>
  <c r="F9" i="244"/>
  <c r="E9" i="244"/>
  <c r="D9" i="244"/>
  <c r="C9" i="244"/>
  <c r="B9" i="244"/>
  <c r="Y8" i="244"/>
  <c r="X8" i="244"/>
  <c r="W8" i="244"/>
  <c r="V8" i="244"/>
  <c r="U8" i="244"/>
  <c r="T8" i="244"/>
  <c r="S8" i="244"/>
  <c r="R8" i="244"/>
  <c r="Q8" i="244"/>
  <c r="P8" i="244"/>
  <c r="O8" i="244"/>
  <c r="N8" i="244"/>
  <c r="M8" i="244"/>
  <c r="L8" i="244"/>
  <c r="K8" i="244"/>
  <c r="J8" i="244"/>
  <c r="I8" i="244"/>
  <c r="H8" i="244"/>
  <c r="G8" i="244"/>
  <c r="F8" i="244"/>
  <c r="E8" i="244"/>
  <c r="D8" i="244"/>
  <c r="C8" i="244"/>
  <c r="B8" i="244"/>
  <c r="Y7" i="244"/>
  <c r="X7" i="244"/>
  <c r="W7" i="244"/>
  <c r="V7" i="244"/>
  <c r="U7" i="244"/>
  <c r="T7" i="244"/>
  <c r="S7" i="244"/>
  <c r="R7" i="244"/>
  <c r="Q7" i="244"/>
  <c r="P7" i="244"/>
  <c r="O7" i="244"/>
  <c r="N7" i="244"/>
  <c r="M7" i="244"/>
  <c r="L7" i="244"/>
  <c r="K7" i="244"/>
  <c r="J7" i="244"/>
  <c r="I7" i="244"/>
  <c r="H7" i="244"/>
  <c r="G7" i="244"/>
  <c r="F7" i="244"/>
  <c r="E7" i="244"/>
  <c r="D7" i="244"/>
  <c r="C7" i="244"/>
  <c r="B7" i="244"/>
  <c r="Y6" i="244"/>
  <c r="X6" i="244"/>
  <c r="W6" i="244"/>
  <c r="V6" i="244"/>
  <c r="U6" i="244"/>
  <c r="T6" i="244"/>
  <c r="S6" i="244"/>
  <c r="R6" i="244"/>
  <c r="Q6" i="244"/>
  <c r="P6" i="244"/>
  <c r="O6" i="244"/>
  <c r="N6" i="244"/>
  <c r="M6" i="244"/>
  <c r="L6" i="244"/>
  <c r="K6" i="244"/>
  <c r="J6" i="244"/>
  <c r="I6" i="244"/>
  <c r="H6" i="244"/>
  <c r="G6" i="244"/>
  <c r="F6" i="244"/>
  <c r="E6" i="244"/>
  <c r="D6" i="244"/>
  <c r="C6" i="244"/>
  <c r="B6" i="244"/>
  <c r="Y5" i="244"/>
  <c r="X5" i="244"/>
  <c r="W5" i="244"/>
  <c r="V5" i="244"/>
  <c r="U5" i="244"/>
  <c r="T5" i="244"/>
  <c r="S5" i="244"/>
  <c r="R5" i="244"/>
  <c r="Q5" i="244"/>
  <c r="P5" i="244"/>
  <c r="O5" i="244"/>
  <c r="N5" i="244"/>
  <c r="M5" i="244"/>
  <c r="L5" i="244"/>
  <c r="K5" i="244"/>
  <c r="J5" i="244"/>
  <c r="I5" i="244"/>
  <c r="H5" i="244"/>
  <c r="G5" i="244"/>
  <c r="F5" i="244"/>
  <c r="E5" i="244"/>
  <c r="D5" i="244"/>
  <c r="C5" i="244"/>
  <c r="B5" i="244"/>
  <c r="Y10" i="243"/>
  <c r="X10" i="243"/>
  <c r="W10" i="243"/>
  <c r="V10" i="243"/>
  <c r="U10" i="243"/>
  <c r="T10" i="243"/>
  <c r="S10" i="243"/>
  <c r="R10" i="243"/>
  <c r="Q10" i="243"/>
  <c r="P10" i="243"/>
  <c r="O10" i="243"/>
  <c r="N10" i="243"/>
  <c r="M10" i="243"/>
  <c r="L10" i="243"/>
  <c r="K10" i="243"/>
  <c r="J10" i="243"/>
  <c r="I10" i="243"/>
  <c r="H10" i="243"/>
  <c r="G10" i="243"/>
  <c r="F10" i="243"/>
  <c r="E10" i="243"/>
  <c r="D10" i="243"/>
  <c r="C10" i="243"/>
  <c r="B10" i="243"/>
  <c r="Y9" i="243"/>
  <c r="X9" i="243"/>
  <c r="W9" i="243"/>
  <c r="V9" i="243"/>
  <c r="U9" i="243"/>
  <c r="T9" i="243"/>
  <c r="S9" i="243"/>
  <c r="R9" i="243"/>
  <c r="Q9" i="243"/>
  <c r="P9" i="243"/>
  <c r="O9" i="243"/>
  <c r="N9" i="243"/>
  <c r="M9" i="243"/>
  <c r="L9" i="243"/>
  <c r="K9" i="243"/>
  <c r="J9" i="243"/>
  <c r="I9" i="243"/>
  <c r="H9" i="243"/>
  <c r="G9" i="243"/>
  <c r="F9" i="243"/>
  <c r="E9" i="243"/>
  <c r="D9" i="243"/>
  <c r="C9" i="243"/>
  <c r="B9" i="243"/>
  <c r="Y8" i="243"/>
  <c r="X8" i="243"/>
  <c r="W8" i="243"/>
  <c r="V8" i="243"/>
  <c r="U8" i="243"/>
  <c r="T8" i="243"/>
  <c r="S8" i="243"/>
  <c r="R8" i="243"/>
  <c r="Q8" i="243"/>
  <c r="P8" i="243"/>
  <c r="O8" i="243"/>
  <c r="N8" i="243"/>
  <c r="M8" i="243"/>
  <c r="L8" i="243"/>
  <c r="K8" i="243"/>
  <c r="J8" i="243"/>
  <c r="I8" i="243"/>
  <c r="H8" i="243"/>
  <c r="G8" i="243"/>
  <c r="F8" i="243"/>
  <c r="E8" i="243"/>
  <c r="D8" i="243"/>
  <c r="C8" i="243"/>
  <c r="B8" i="243"/>
  <c r="Y7" i="243"/>
  <c r="X7" i="243"/>
  <c r="W7" i="243"/>
  <c r="V7" i="243"/>
  <c r="U7" i="243"/>
  <c r="T7" i="243"/>
  <c r="S7" i="243"/>
  <c r="R7" i="243"/>
  <c r="Q7" i="243"/>
  <c r="P7" i="243"/>
  <c r="O7" i="243"/>
  <c r="N7" i="243"/>
  <c r="M7" i="243"/>
  <c r="L7" i="243"/>
  <c r="K7" i="243"/>
  <c r="J7" i="243"/>
  <c r="I7" i="243"/>
  <c r="H7" i="243"/>
  <c r="G7" i="243"/>
  <c r="F7" i="243"/>
  <c r="E7" i="243"/>
  <c r="D7" i="243"/>
  <c r="C7" i="243"/>
  <c r="B7" i="243"/>
  <c r="Y6" i="243"/>
  <c r="X6" i="243"/>
  <c r="W6" i="243"/>
  <c r="V6" i="243"/>
  <c r="U6" i="243"/>
  <c r="T6" i="243"/>
  <c r="S6" i="243"/>
  <c r="R6" i="243"/>
  <c r="Q6" i="243"/>
  <c r="P6" i="243"/>
  <c r="O6" i="243"/>
  <c r="N6" i="243"/>
  <c r="M6" i="243"/>
  <c r="L6" i="243"/>
  <c r="K6" i="243"/>
  <c r="J6" i="243"/>
  <c r="I6" i="243"/>
  <c r="H6" i="243"/>
  <c r="G6" i="243"/>
  <c r="F6" i="243"/>
  <c r="E6" i="243"/>
  <c r="D6" i="243"/>
  <c r="C6" i="243"/>
  <c r="B6" i="243"/>
  <c r="Y5" i="243"/>
  <c r="X5" i="243"/>
  <c r="W5" i="243"/>
  <c r="V5" i="243"/>
  <c r="U5" i="243"/>
  <c r="T5" i="243"/>
  <c r="S5" i="243"/>
  <c r="R5" i="243"/>
  <c r="Q5" i="243"/>
  <c r="P5" i="243"/>
  <c r="O5" i="243"/>
  <c r="N5" i="243"/>
  <c r="M5" i="243"/>
  <c r="L5" i="243"/>
  <c r="K5" i="243"/>
  <c r="J5" i="243"/>
  <c r="I5" i="243"/>
  <c r="H5" i="243"/>
  <c r="G5" i="243"/>
  <c r="F5" i="243"/>
  <c r="E5" i="243"/>
  <c r="D5" i="243"/>
  <c r="C5" i="243"/>
  <c r="B5" i="243"/>
  <c r="Y10" i="242"/>
  <c r="X10" i="242"/>
  <c r="W10" i="242"/>
  <c r="V10" i="242"/>
  <c r="U10" i="242"/>
  <c r="T10" i="242"/>
  <c r="S10" i="242"/>
  <c r="R10" i="242"/>
  <c r="Q10" i="242"/>
  <c r="P10" i="242"/>
  <c r="O10" i="242"/>
  <c r="N10" i="242"/>
  <c r="M10" i="242"/>
  <c r="L10" i="242"/>
  <c r="K10" i="242"/>
  <c r="J10" i="242"/>
  <c r="I10" i="242"/>
  <c r="H10" i="242"/>
  <c r="G10" i="242"/>
  <c r="F10" i="242"/>
  <c r="E10" i="242"/>
  <c r="D10" i="242"/>
  <c r="C10" i="242"/>
  <c r="B10" i="242"/>
  <c r="Y9" i="242"/>
  <c r="X9" i="242"/>
  <c r="W9" i="242"/>
  <c r="V9" i="242"/>
  <c r="U9" i="242"/>
  <c r="T9" i="242"/>
  <c r="S9" i="242"/>
  <c r="R9" i="242"/>
  <c r="Q9" i="242"/>
  <c r="P9" i="242"/>
  <c r="O9" i="242"/>
  <c r="N9" i="242"/>
  <c r="M9" i="242"/>
  <c r="L9" i="242"/>
  <c r="K9" i="242"/>
  <c r="J9" i="242"/>
  <c r="I9" i="242"/>
  <c r="H9" i="242"/>
  <c r="G9" i="242"/>
  <c r="F9" i="242"/>
  <c r="E9" i="242"/>
  <c r="D9" i="242"/>
  <c r="C9" i="242"/>
  <c r="B9" i="242"/>
  <c r="Y8" i="242"/>
  <c r="X8" i="242"/>
  <c r="W8" i="242"/>
  <c r="V8" i="242"/>
  <c r="U8" i="242"/>
  <c r="T8" i="242"/>
  <c r="S8" i="242"/>
  <c r="R8" i="242"/>
  <c r="Q8" i="242"/>
  <c r="P8" i="242"/>
  <c r="O8" i="242"/>
  <c r="N8" i="242"/>
  <c r="M8" i="242"/>
  <c r="L8" i="242"/>
  <c r="K8" i="242"/>
  <c r="J8" i="242"/>
  <c r="I8" i="242"/>
  <c r="H8" i="242"/>
  <c r="G8" i="242"/>
  <c r="F8" i="242"/>
  <c r="E8" i="242"/>
  <c r="D8" i="242"/>
  <c r="C8" i="242"/>
  <c r="B8" i="242"/>
  <c r="Y7" i="242"/>
  <c r="X7" i="242"/>
  <c r="W7" i="242"/>
  <c r="V7" i="242"/>
  <c r="U7" i="242"/>
  <c r="T7" i="242"/>
  <c r="S7" i="242"/>
  <c r="R7" i="242"/>
  <c r="Q7" i="242"/>
  <c r="P7" i="242"/>
  <c r="O7" i="242"/>
  <c r="N7" i="242"/>
  <c r="M7" i="242"/>
  <c r="L7" i="242"/>
  <c r="K7" i="242"/>
  <c r="J7" i="242"/>
  <c r="I7" i="242"/>
  <c r="H7" i="242"/>
  <c r="G7" i="242"/>
  <c r="F7" i="242"/>
  <c r="E7" i="242"/>
  <c r="D7" i="242"/>
  <c r="C7" i="242"/>
  <c r="B7" i="242"/>
  <c r="Y6" i="242"/>
  <c r="X6" i="242"/>
  <c r="W6" i="242"/>
  <c r="V6" i="242"/>
  <c r="U6" i="242"/>
  <c r="T6" i="242"/>
  <c r="S6" i="242"/>
  <c r="R6" i="242"/>
  <c r="Q6" i="242"/>
  <c r="P6" i="242"/>
  <c r="O6" i="242"/>
  <c r="N6" i="242"/>
  <c r="M6" i="242"/>
  <c r="L6" i="242"/>
  <c r="K6" i="242"/>
  <c r="J6" i="242"/>
  <c r="I6" i="242"/>
  <c r="H6" i="242"/>
  <c r="G6" i="242"/>
  <c r="F6" i="242"/>
  <c r="E6" i="242"/>
  <c r="D6" i="242"/>
  <c r="C6" i="242"/>
  <c r="B6" i="242"/>
  <c r="Y5" i="242"/>
  <c r="X5" i="242"/>
  <c r="W5" i="242"/>
  <c r="V5" i="242"/>
  <c r="U5" i="242"/>
  <c r="T5" i="242"/>
  <c r="S5" i="242"/>
  <c r="R5" i="242"/>
  <c r="Q5" i="242"/>
  <c r="P5" i="242"/>
  <c r="O5" i="242"/>
  <c r="N5" i="242"/>
  <c r="M5" i="242"/>
  <c r="L5" i="242"/>
  <c r="K5" i="242"/>
  <c r="J5" i="242"/>
  <c r="I5" i="242"/>
  <c r="H5" i="242"/>
  <c r="G5" i="242"/>
  <c r="F5" i="242"/>
  <c r="E5" i="242"/>
  <c r="D5" i="242"/>
  <c r="C5" i="242"/>
  <c r="B5" i="242"/>
  <c r="Y10" i="241"/>
  <c r="X10" i="241"/>
  <c r="W10" i="241"/>
  <c r="V10" i="241"/>
  <c r="U10" i="241"/>
  <c r="T10" i="241"/>
  <c r="S10" i="241"/>
  <c r="R10" i="241"/>
  <c r="Q10" i="241"/>
  <c r="P10" i="241"/>
  <c r="O10" i="241"/>
  <c r="N10" i="241"/>
  <c r="M10" i="241"/>
  <c r="L10" i="241"/>
  <c r="K10" i="241"/>
  <c r="J10" i="241"/>
  <c r="I10" i="241"/>
  <c r="H10" i="241"/>
  <c r="G10" i="241"/>
  <c r="F10" i="241"/>
  <c r="E10" i="241"/>
  <c r="D10" i="241"/>
  <c r="C10" i="241"/>
  <c r="B10" i="241"/>
  <c r="Y9" i="241"/>
  <c r="X9" i="241"/>
  <c r="W9" i="241"/>
  <c r="V9" i="241"/>
  <c r="U9" i="241"/>
  <c r="T9" i="241"/>
  <c r="S9" i="241"/>
  <c r="R9" i="241"/>
  <c r="Q9" i="241"/>
  <c r="P9" i="241"/>
  <c r="O9" i="241"/>
  <c r="N9" i="241"/>
  <c r="M9" i="241"/>
  <c r="L9" i="241"/>
  <c r="K9" i="241"/>
  <c r="J9" i="241"/>
  <c r="I9" i="241"/>
  <c r="H9" i="241"/>
  <c r="G9" i="241"/>
  <c r="F9" i="241"/>
  <c r="E9" i="241"/>
  <c r="D9" i="241"/>
  <c r="C9" i="241"/>
  <c r="B9" i="241"/>
  <c r="Y8" i="241"/>
  <c r="X8" i="241"/>
  <c r="W8" i="241"/>
  <c r="V8" i="241"/>
  <c r="U8" i="241"/>
  <c r="T8" i="241"/>
  <c r="S8" i="241"/>
  <c r="R8" i="241"/>
  <c r="Q8" i="241"/>
  <c r="P8" i="241"/>
  <c r="O8" i="241"/>
  <c r="N8" i="241"/>
  <c r="M8" i="241"/>
  <c r="L8" i="241"/>
  <c r="K8" i="241"/>
  <c r="J8" i="241"/>
  <c r="I8" i="241"/>
  <c r="H8" i="241"/>
  <c r="G8" i="241"/>
  <c r="F8" i="241"/>
  <c r="E8" i="241"/>
  <c r="D8" i="241"/>
  <c r="C8" i="241"/>
  <c r="B8" i="241"/>
  <c r="Y7" i="241"/>
  <c r="X7" i="241"/>
  <c r="W7" i="241"/>
  <c r="V7" i="241"/>
  <c r="U7" i="241"/>
  <c r="T7" i="241"/>
  <c r="S7" i="241"/>
  <c r="R7" i="241"/>
  <c r="Q7" i="241"/>
  <c r="P7" i="241"/>
  <c r="O7" i="241"/>
  <c r="N7" i="241"/>
  <c r="M7" i="241"/>
  <c r="L7" i="241"/>
  <c r="K7" i="241"/>
  <c r="J7" i="241"/>
  <c r="I7" i="241"/>
  <c r="H7" i="241"/>
  <c r="G7" i="241"/>
  <c r="F7" i="241"/>
  <c r="E7" i="241"/>
  <c r="D7" i="241"/>
  <c r="C7" i="241"/>
  <c r="B7" i="241"/>
  <c r="Y6" i="241"/>
  <c r="X6" i="241"/>
  <c r="W6" i="241"/>
  <c r="V6" i="241"/>
  <c r="U6" i="241"/>
  <c r="T6" i="241"/>
  <c r="S6" i="241"/>
  <c r="R6" i="241"/>
  <c r="Q6" i="241"/>
  <c r="P6" i="241"/>
  <c r="O6" i="241"/>
  <c r="N6" i="241"/>
  <c r="M6" i="241"/>
  <c r="L6" i="241"/>
  <c r="K6" i="241"/>
  <c r="J6" i="241"/>
  <c r="I6" i="241"/>
  <c r="H6" i="241"/>
  <c r="G6" i="241"/>
  <c r="F6" i="241"/>
  <c r="E6" i="241"/>
  <c r="D6" i="241"/>
  <c r="C6" i="241"/>
  <c r="B6" i="241"/>
  <c r="Y5" i="241"/>
  <c r="X5" i="241"/>
  <c r="W5" i="241"/>
  <c r="V5" i="241"/>
  <c r="U5" i="241"/>
  <c r="T5" i="241"/>
  <c r="S5" i="241"/>
  <c r="R5" i="241"/>
  <c r="Q5" i="241"/>
  <c r="P5" i="241"/>
  <c r="O5" i="241"/>
  <c r="N5" i="241"/>
  <c r="M5" i="241"/>
  <c r="L5" i="241"/>
  <c r="K5" i="241"/>
  <c r="J5" i="241"/>
  <c r="I5" i="241"/>
  <c r="H5" i="241"/>
  <c r="G5" i="241"/>
  <c r="F5" i="241"/>
  <c r="E5" i="241"/>
  <c r="D5" i="241"/>
  <c r="C5" i="241"/>
  <c r="B5" i="241"/>
  <c r="Y10" i="240"/>
  <c r="X10" i="240"/>
  <c r="W10" i="240"/>
  <c r="V10" i="240"/>
  <c r="U10" i="240"/>
  <c r="T10" i="240"/>
  <c r="S10" i="240"/>
  <c r="R10" i="240"/>
  <c r="Q10" i="240"/>
  <c r="P10" i="240"/>
  <c r="O10" i="240"/>
  <c r="N10" i="240"/>
  <c r="M10" i="240"/>
  <c r="L10" i="240"/>
  <c r="K10" i="240"/>
  <c r="J10" i="240"/>
  <c r="I10" i="240"/>
  <c r="H10" i="240"/>
  <c r="G10" i="240"/>
  <c r="F10" i="240"/>
  <c r="E10" i="240"/>
  <c r="D10" i="240"/>
  <c r="C10" i="240"/>
  <c r="B10" i="240"/>
  <c r="Y9" i="240"/>
  <c r="X9" i="240"/>
  <c r="W9" i="240"/>
  <c r="V9" i="240"/>
  <c r="U9" i="240"/>
  <c r="T9" i="240"/>
  <c r="S9" i="240"/>
  <c r="R9" i="240"/>
  <c r="Q9" i="240"/>
  <c r="P9" i="240"/>
  <c r="O9" i="240"/>
  <c r="N9" i="240"/>
  <c r="M9" i="240"/>
  <c r="L9" i="240"/>
  <c r="K9" i="240"/>
  <c r="J9" i="240"/>
  <c r="I9" i="240"/>
  <c r="H9" i="240"/>
  <c r="G9" i="240"/>
  <c r="F9" i="240"/>
  <c r="E9" i="240"/>
  <c r="D9" i="240"/>
  <c r="C9" i="240"/>
  <c r="B9" i="240"/>
  <c r="Y8" i="240"/>
  <c r="X8" i="240"/>
  <c r="W8" i="240"/>
  <c r="V8" i="240"/>
  <c r="U8" i="240"/>
  <c r="T8" i="240"/>
  <c r="S8" i="240"/>
  <c r="R8" i="240"/>
  <c r="Q8" i="240"/>
  <c r="P8" i="240"/>
  <c r="O8" i="240"/>
  <c r="N8" i="240"/>
  <c r="M8" i="240"/>
  <c r="L8" i="240"/>
  <c r="K8" i="240"/>
  <c r="J8" i="240"/>
  <c r="I8" i="240"/>
  <c r="H8" i="240"/>
  <c r="G8" i="240"/>
  <c r="F8" i="240"/>
  <c r="E8" i="240"/>
  <c r="D8" i="240"/>
  <c r="C8" i="240"/>
  <c r="B8" i="240"/>
  <c r="Y7" i="240"/>
  <c r="X7" i="240"/>
  <c r="W7" i="240"/>
  <c r="V7" i="240"/>
  <c r="U7" i="240"/>
  <c r="T7" i="240"/>
  <c r="S7" i="240"/>
  <c r="R7" i="240"/>
  <c r="Q7" i="240"/>
  <c r="P7" i="240"/>
  <c r="O7" i="240"/>
  <c r="N7" i="240"/>
  <c r="M7" i="240"/>
  <c r="L7" i="240"/>
  <c r="K7" i="240"/>
  <c r="J7" i="240"/>
  <c r="I7" i="240"/>
  <c r="H7" i="240"/>
  <c r="G7" i="240"/>
  <c r="F7" i="240"/>
  <c r="E7" i="240"/>
  <c r="D7" i="240"/>
  <c r="C7" i="240"/>
  <c r="B7" i="240"/>
  <c r="Y6" i="240"/>
  <c r="X6" i="240"/>
  <c r="W6" i="240"/>
  <c r="V6" i="240"/>
  <c r="U6" i="240"/>
  <c r="T6" i="240"/>
  <c r="S6" i="240"/>
  <c r="R6" i="240"/>
  <c r="Q6" i="240"/>
  <c r="P6" i="240"/>
  <c r="O6" i="240"/>
  <c r="N6" i="240"/>
  <c r="M6" i="240"/>
  <c r="L6" i="240"/>
  <c r="K6" i="240"/>
  <c r="J6" i="240"/>
  <c r="I6" i="240"/>
  <c r="H6" i="240"/>
  <c r="G6" i="240"/>
  <c r="F6" i="240"/>
  <c r="E6" i="240"/>
  <c r="D6" i="240"/>
  <c r="C6" i="240"/>
  <c r="B6" i="240"/>
  <c r="Y5" i="240"/>
  <c r="X5" i="240"/>
  <c r="W5" i="240"/>
  <c r="V5" i="240"/>
  <c r="U5" i="240"/>
  <c r="T5" i="240"/>
  <c r="S5" i="240"/>
  <c r="R5" i="240"/>
  <c r="Q5" i="240"/>
  <c r="P5" i="240"/>
  <c r="O5" i="240"/>
  <c r="N5" i="240"/>
  <c r="M5" i="240"/>
  <c r="L5" i="240"/>
  <c r="K5" i="240"/>
  <c r="J5" i="240"/>
  <c r="I5" i="240"/>
  <c r="H5" i="240"/>
  <c r="G5" i="240"/>
  <c r="F5" i="240"/>
  <c r="E5" i="240"/>
  <c r="D5" i="240"/>
  <c r="C5" i="240"/>
  <c r="B5" i="240"/>
  <c r="Y10" i="239"/>
  <c r="X10" i="239"/>
  <c r="W10" i="239"/>
  <c r="V10" i="239"/>
  <c r="U10" i="239"/>
  <c r="T10" i="239"/>
  <c r="S10" i="239"/>
  <c r="R10" i="239"/>
  <c r="Q10" i="239"/>
  <c r="P10" i="239"/>
  <c r="O10" i="239"/>
  <c r="N10" i="239"/>
  <c r="M10" i="239"/>
  <c r="L10" i="239"/>
  <c r="K10" i="239"/>
  <c r="J10" i="239"/>
  <c r="I10" i="239"/>
  <c r="H10" i="239"/>
  <c r="G10" i="239"/>
  <c r="F10" i="239"/>
  <c r="E10" i="239"/>
  <c r="D10" i="239"/>
  <c r="C10" i="239"/>
  <c r="B10" i="239"/>
  <c r="Y9" i="239"/>
  <c r="X9" i="239"/>
  <c r="W9" i="239"/>
  <c r="V9" i="239"/>
  <c r="U9" i="239"/>
  <c r="T9" i="239"/>
  <c r="S9" i="239"/>
  <c r="R9" i="239"/>
  <c r="Q9" i="239"/>
  <c r="P9" i="239"/>
  <c r="O9" i="239"/>
  <c r="N9" i="239"/>
  <c r="M9" i="239"/>
  <c r="L9" i="239"/>
  <c r="K9" i="239"/>
  <c r="J9" i="239"/>
  <c r="I9" i="239"/>
  <c r="H9" i="239"/>
  <c r="G9" i="239"/>
  <c r="F9" i="239"/>
  <c r="E9" i="239"/>
  <c r="D9" i="239"/>
  <c r="C9" i="239"/>
  <c r="B9" i="239"/>
  <c r="Y8" i="239"/>
  <c r="X8" i="239"/>
  <c r="W8" i="239"/>
  <c r="V8" i="239"/>
  <c r="U8" i="239"/>
  <c r="T8" i="239"/>
  <c r="S8" i="239"/>
  <c r="R8" i="239"/>
  <c r="Q8" i="239"/>
  <c r="P8" i="239"/>
  <c r="O8" i="239"/>
  <c r="N8" i="239"/>
  <c r="M8" i="239"/>
  <c r="L8" i="239"/>
  <c r="K8" i="239"/>
  <c r="J8" i="239"/>
  <c r="I8" i="239"/>
  <c r="H8" i="239"/>
  <c r="G8" i="239"/>
  <c r="F8" i="239"/>
  <c r="E8" i="239"/>
  <c r="D8" i="239"/>
  <c r="C8" i="239"/>
  <c r="B8" i="239"/>
  <c r="Y7" i="239"/>
  <c r="X7" i="239"/>
  <c r="W7" i="239"/>
  <c r="V7" i="239"/>
  <c r="U7" i="239"/>
  <c r="T7" i="239"/>
  <c r="S7" i="239"/>
  <c r="R7" i="239"/>
  <c r="Q7" i="239"/>
  <c r="P7" i="239"/>
  <c r="O7" i="239"/>
  <c r="N7" i="239"/>
  <c r="M7" i="239"/>
  <c r="L7" i="239"/>
  <c r="K7" i="239"/>
  <c r="J7" i="239"/>
  <c r="I7" i="239"/>
  <c r="H7" i="239"/>
  <c r="G7" i="239"/>
  <c r="F7" i="239"/>
  <c r="E7" i="239"/>
  <c r="D7" i="239"/>
  <c r="C7" i="239"/>
  <c r="B7" i="239"/>
  <c r="Y6" i="239"/>
  <c r="X6" i="239"/>
  <c r="W6" i="239"/>
  <c r="V6" i="239"/>
  <c r="U6" i="239"/>
  <c r="T6" i="239"/>
  <c r="S6" i="239"/>
  <c r="R6" i="239"/>
  <c r="Q6" i="239"/>
  <c r="P6" i="239"/>
  <c r="O6" i="239"/>
  <c r="N6" i="239"/>
  <c r="M6" i="239"/>
  <c r="L6" i="239"/>
  <c r="K6" i="239"/>
  <c r="J6" i="239"/>
  <c r="I6" i="239"/>
  <c r="H6" i="239"/>
  <c r="G6" i="239"/>
  <c r="F6" i="239"/>
  <c r="E6" i="239"/>
  <c r="D6" i="239"/>
  <c r="C6" i="239"/>
  <c r="B6" i="239"/>
  <c r="Y5" i="239"/>
  <c r="X5" i="239"/>
  <c r="W5" i="239"/>
  <c r="V5" i="239"/>
  <c r="U5" i="239"/>
  <c r="T5" i="239"/>
  <c r="S5" i="239"/>
  <c r="R5" i="239"/>
  <c r="Q5" i="239"/>
  <c r="P5" i="239"/>
  <c r="O5" i="239"/>
  <c r="N5" i="239"/>
  <c r="M5" i="239"/>
  <c r="L5" i="239"/>
  <c r="K5" i="239"/>
  <c r="J5" i="239"/>
  <c r="I5" i="239"/>
  <c r="H5" i="239"/>
  <c r="G5" i="239"/>
  <c r="F5" i="239"/>
  <c r="E5" i="239"/>
  <c r="D5" i="239"/>
  <c r="C5" i="239"/>
  <c r="B5" i="239"/>
  <c r="Y10" i="238"/>
  <c r="X10" i="238"/>
  <c r="W10" i="238"/>
  <c r="V10" i="238"/>
  <c r="U10" i="238"/>
  <c r="T10" i="238"/>
  <c r="S10" i="238"/>
  <c r="R10" i="238"/>
  <c r="Q10" i="238"/>
  <c r="P10" i="238"/>
  <c r="O10" i="238"/>
  <c r="N10" i="238"/>
  <c r="M10" i="238"/>
  <c r="L10" i="238"/>
  <c r="K10" i="238"/>
  <c r="J10" i="238"/>
  <c r="I10" i="238"/>
  <c r="H10" i="238"/>
  <c r="G10" i="238"/>
  <c r="F10" i="238"/>
  <c r="E10" i="238"/>
  <c r="D10" i="238"/>
  <c r="C10" i="238"/>
  <c r="B10" i="238"/>
  <c r="Y9" i="238"/>
  <c r="X9" i="238"/>
  <c r="W9" i="238"/>
  <c r="V9" i="238"/>
  <c r="U9" i="238"/>
  <c r="T9" i="238"/>
  <c r="S9" i="238"/>
  <c r="R9" i="238"/>
  <c r="Q9" i="238"/>
  <c r="P9" i="238"/>
  <c r="O9" i="238"/>
  <c r="N9" i="238"/>
  <c r="M9" i="238"/>
  <c r="L9" i="238"/>
  <c r="K9" i="238"/>
  <c r="J9" i="238"/>
  <c r="I9" i="238"/>
  <c r="H9" i="238"/>
  <c r="G9" i="238"/>
  <c r="F9" i="238"/>
  <c r="E9" i="238"/>
  <c r="D9" i="238"/>
  <c r="C9" i="238"/>
  <c r="B9" i="238"/>
  <c r="Y8" i="238"/>
  <c r="X8" i="238"/>
  <c r="W8" i="238"/>
  <c r="V8" i="238"/>
  <c r="U8" i="238"/>
  <c r="T8" i="238"/>
  <c r="S8" i="238"/>
  <c r="R8" i="238"/>
  <c r="Q8" i="238"/>
  <c r="P8" i="238"/>
  <c r="O8" i="238"/>
  <c r="N8" i="238"/>
  <c r="M8" i="238"/>
  <c r="L8" i="238"/>
  <c r="K8" i="238"/>
  <c r="J8" i="238"/>
  <c r="I8" i="238"/>
  <c r="H8" i="238"/>
  <c r="G8" i="238"/>
  <c r="F8" i="238"/>
  <c r="E8" i="238"/>
  <c r="D8" i="238"/>
  <c r="C8" i="238"/>
  <c r="B8" i="238"/>
  <c r="Y7" i="238"/>
  <c r="X7" i="238"/>
  <c r="W7" i="238"/>
  <c r="V7" i="238"/>
  <c r="U7" i="238"/>
  <c r="T7" i="238"/>
  <c r="S7" i="238"/>
  <c r="R7" i="238"/>
  <c r="Q7" i="238"/>
  <c r="P7" i="238"/>
  <c r="O7" i="238"/>
  <c r="N7" i="238"/>
  <c r="M7" i="238"/>
  <c r="L7" i="238"/>
  <c r="K7" i="238"/>
  <c r="J7" i="238"/>
  <c r="I7" i="238"/>
  <c r="H7" i="238"/>
  <c r="G7" i="238"/>
  <c r="F7" i="238"/>
  <c r="E7" i="238"/>
  <c r="D7" i="238"/>
  <c r="C7" i="238"/>
  <c r="B7" i="238"/>
  <c r="Y6" i="238"/>
  <c r="X6" i="238"/>
  <c r="W6" i="238"/>
  <c r="V6" i="238"/>
  <c r="U6" i="238"/>
  <c r="T6" i="238"/>
  <c r="S6" i="238"/>
  <c r="R6" i="238"/>
  <c r="Q6" i="238"/>
  <c r="P6" i="238"/>
  <c r="O6" i="238"/>
  <c r="N6" i="238"/>
  <c r="M6" i="238"/>
  <c r="L6" i="238"/>
  <c r="K6" i="238"/>
  <c r="J6" i="238"/>
  <c r="I6" i="238"/>
  <c r="H6" i="238"/>
  <c r="G6" i="238"/>
  <c r="F6" i="238"/>
  <c r="E6" i="238"/>
  <c r="D6" i="238"/>
  <c r="C6" i="238"/>
  <c r="B6" i="238"/>
  <c r="Y5" i="238"/>
  <c r="X5" i="238"/>
  <c r="W5" i="238"/>
  <c r="V5" i="238"/>
  <c r="U5" i="238"/>
  <c r="T5" i="238"/>
  <c r="S5" i="238"/>
  <c r="R5" i="238"/>
  <c r="Q5" i="238"/>
  <c r="P5" i="238"/>
  <c r="O5" i="238"/>
  <c r="N5" i="238"/>
  <c r="M5" i="238"/>
  <c r="L5" i="238"/>
  <c r="K5" i="238"/>
  <c r="J5" i="238"/>
  <c r="I5" i="238"/>
  <c r="H5" i="238"/>
  <c r="G5" i="238"/>
  <c r="F5" i="238"/>
  <c r="E5" i="238"/>
  <c r="D5" i="238"/>
  <c r="C5" i="238"/>
  <c r="B5" i="238"/>
  <c r="Y10" i="237"/>
  <c r="X10" i="237"/>
  <c r="W10" i="237"/>
  <c r="V10" i="237"/>
  <c r="U10" i="237"/>
  <c r="T10" i="237"/>
  <c r="S10" i="237"/>
  <c r="R10" i="237"/>
  <c r="Q10" i="237"/>
  <c r="P10" i="237"/>
  <c r="O10" i="237"/>
  <c r="N10" i="237"/>
  <c r="M10" i="237"/>
  <c r="L10" i="237"/>
  <c r="K10" i="237"/>
  <c r="J10" i="237"/>
  <c r="I10" i="237"/>
  <c r="H10" i="237"/>
  <c r="G10" i="237"/>
  <c r="F10" i="237"/>
  <c r="E10" i="237"/>
  <c r="D10" i="237"/>
  <c r="C10" i="237"/>
  <c r="B10" i="237"/>
  <c r="Y9" i="237"/>
  <c r="X9" i="237"/>
  <c r="W9" i="237"/>
  <c r="V9" i="237"/>
  <c r="U9" i="237"/>
  <c r="T9" i="237"/>
  <c r="S9" i="237"/>
  <c r="R9" i="237"/>
  <c r="Q9" i="237"/>
  <c r="P9" i="237"/>
  <c r="O9" i="237"/>
  <c r="N9" i="237"/>
  <c r="M9" i="237"/>
  <c r="L9" i="237"/>
  <c r="K9" i="237"/>
  <c r="J9" i="237"/>
  <c r="I9" i="237"/>
  <c r="H9" i="237"/>
  <c r="G9" i="237"/>
  <c r="F9" i="237"/>
  <c r="E9" i="237"/>
  <c r="D9" i="237"/>
  <c r="C9" i="237"/>
  <c r="B9" i="237"/>
  <c r="Y8" i="237"/>
  <c r="X8" i="237"/>
  <c r="W8" i="237"/>
  <c r="V8" i="237"/>
  <c r="U8" i="237"/>
  <c r="T8" i="237"/>
  <c r="S8" i="237"/>
  <c r="R8" i="237"/>
  <c r="Q8" i="237"/>
  <c r="P8" i="237"/>
  <c r="O8" i="237"/>
  <c r="N8" i="237"/>
  <c r="M8" i="237"/>
  <c r="L8" i="237"/>
  <c r="K8" i="237"/>
  <c r="J8" i="237"/>
  <c r="I8" i="237"/>
  <c r="H8" i="237"/>
  <c r="G8" i="237"/>
  <c r="F8" i="237"/>
  <c r="E8" i="237"/>
  <c r="D8" i="237"/>
  <c r="C8" i="237"/>
  <c r="B8" i="237"/>
  <c r="Y7" i="237"/>
  <c r="X7" i="237"/>
  <c r="W7" i="237"/>
  <c r="V7" i="237"/>
  <c r="U7" i="237"/>
  <c r="T7" i="237"/>
  <c r="S7" i="237"/>
  <c r="R7" i="237"/>
  <c r="Q7" i="237"/>
  <c r="P7" i="237"/>
  <c r="O7" i="237"/>
  <c r="N7" i="237"/>
  <c r="M7" i="237"/>
  <c r="L7" i="237"/>
  <c r="K7" i="237"/>
  <c r="J7" i="237"/>
  <c r="I7" i="237"/>
  <c r="H7" i="237"/>
  <c r="G7" i="237"/>
  <c r="F7" i="237"/>
  <c r="E7" i="237"/>
  <c r="D7" i="237"/>
  <c r="C7" i="237"/>
  <c r="B7" i="237"/>
  <c r="Y6" i="237"/>
  <c r="X6" i="237"/>
  <c r="W6" i="237"/>
  <c r="V6" i="237"/>
  <c r="U6" i="237"/>
  <c r="T6" i="237"/>
  <c r="S6" i="237"/>
  <c r="R6" i="237"/>
  <c r="Q6" i="237"/>
  <c r="P6" i="237"/>
  <c r="O6" i="237"/>
  <c r="N6" i="237"/>
  <c r="M6" i="237"/>
  <c r="L6" i="237"/>
  <c r="K6" i="237"/>
  <c r="J6" i="237"/>
  <c r="I6" i="237"/>
  <c r="H6" i="237"/>
  <c r="G6" i="237"/>
  <c r="F6" i="237"/>
  <c r="E6" i="237"/>
  <c r="D6" i="237"/>
  <c r="C6" i="237"/>
  <c r="B6" i="237"/>
  <c r="Y5" i="237"/>
  <c r="X5" i="237"/>
  <c r="W5" i="237"/>
  <c r="V5" i="237"/>
  <c r="U5" i="237"/>
  <c r="T5" i="237"/>
  <c r="S5" i="237"/>
  <c r="R5" i="237"/>
  <c r="Q5" i="237"/>
  <c r="P5" i="237"/>
  <c r="O5" i="237"/>
  <c r="N5" i="237"/>
  <c r="M5" i="237"/>
  <c r="L5" i="237"/>
  <c r="K5" i="237"/>
  <c r="J5" i="237"/>
  <c r="I5" i="237"/>
  <c r="H5" i="237"/>
  <c r="G5" i="237"/>
  <c r="F5" i="237"/>
  <c r="E5" i="237"/>
  <c r="D5" i="237"/>
  <c r="C5" i="237"/>
  <c r="B5" i="237"/>
  <c r="Y10" i="236"/>
  <c r="X10" i="236"/>
  <c r="W10" i="236"/>
  <c r="V10" i="236"/>
  <c r="U10" i="236"/>
  <c r="T10" i="236"/>
  <c r="S10" i="236"/>
  <c r="R10" i="236"/>
  <c r="Q10" i="236"/>
  <c r="P10" i="236"/>
  <c r="O10" i="236"/>
  <c r="N10" i="236"/>
  <c r="M10" i="236"/>
  <c r="L10" i="236"/>
  <c r="K10" i="236"/>
  <c r="J10" i="236"/>
  <c r="I10" i="236"/>
  <c r="H10" i="236"/>
  <c r="G10" i="236"/>
  <c r="F10" i="236"/>
  <c r="E10" i="236"/>
  <c r="D10" i="236"/>
  <c r="C10" i="236"/>
  <c r="B10" i="236"/>
  <c r="Y9" i="236"/>
  <c r="X9" i="236"/>
  <c r="W9" i="236"/>
  <c r="V9" i="236"/>
  <c r="U9" i="236"/>
  <c r="T9" i="236"/>
  <c r="S9" i="236"/>
  <c r="R9" i="236"/>
  <c r="Q9" i="236"/>
  <c r="P9" i="236"/>
  <c r="O9" i="236"/>
  <c r="N9" i="236"/>
  <c r="M9" i="236"/>
  <c r="L9" i="236"/>
  <c r="K9" i="236"/>
  <c r="J9" i="236"/>
  <c r="I9" i="236"/>
  <c r="H9" i="236"/>
  <c r="G9" i="236"/>
  <c r="F9" i="236"/>
  <c r="E9" i="236"/>
  <c r="D9" i="236"/>
  <c r="C9" i="236"/>
  <c r="B9" i="236"/>
  <c r="Y8" i="236"/>
  <c r="X8" i="236"/>
  <c r="W8" i="236"/>
  <c r="V8" i="236"/>
  <c r="U8" i="236"/>
  <c r="T8" i="236"/>
  <c r="S8" i="236"/>
  <c r="R8" i="236"/>
  <c r="Q8" i="236"/>
  <c r="P8" i="236"/>
  <c r="O8" i="236"/>
  <c r="N8" i="236"/>
  <c r="M8" i="236"/>
  <c r="L8" i="236"/>
  <c r="K8" i="236"/>
  <c r="J8" i="236"/>
  <c r="I8" i="236"/>
  <c r="H8" i="236"/>
  <c r="G8" i="236"/>
  <c r="F8" i="236"/>
  <c r="E8" i="236"/>
  <c r="D8" i="236"/>
  <c r="C8" i="236"/>
  <c r="B8" i="236"/>
  <c r="Y7" i="236"/>
  <c r="X7" i="236"/>
  <c r="W7" i="236"/>
  <c r="V7" i="236"/>
  <c r="U7" i="236"/>
  <c r="T7" i="236"/>
  <c r="S7" i="236"/>
  <c r="R7" i="236"/>
  <c r="Q7" i="236"/>
  <c r="P7" i="236"/>
  <c r="O7" i="236"/>
  <c r="N7" i="236"/>
  <c r="M7" i="236"/>
  <c r="L7" i="236"/>
  <c r="K7" i="236"/>
  <c r="J7" i="236"/>
  <c r="I7" i="236"/>
  <c r="H7" i="236"/>
  <c r="G7" i="236"/>
  <c r="F7" i="236"/>
  <c r="E7" i="236"/>
  <c r="D7" i="236"/>
  <c r="C7" i="236"/>
  <c r="B7" i="236"/>
  <c r="Y6" i="236"/>
  <c r="X6" i="236"/>
  <c r="W6" i="236"/>
  <c r="V6" i="236"/>
  <c r="U6" i="236"/>
  <c r="T6" i="236"/>
  <c r="S6" i="236"/>
  <c r="R6" i="236"/>
  <c r="Q6" i="236"/>
  <c r="P6" i="236"/>
  <c r="O6" i="236"/>
  <c r="N6" i="236"/>
  <c r="M6" i="236"/>
  <c r="L6" i="236"/>
  <c r="K6" i="236"/>
  <c r="J6" i="236"/>
  <c r="I6" i="236"/>
  <c r="H6" i="236"/>
  <c r="G6" i="236"/>
  <c r="F6" i="236"/>
  <c r="E6" i="236"/>
  <c r="D6" i="236"/>
  <c r="C6" i="236"/>
  <c r="B6" i="236"/>
  <c r="Y5" i="236"/>
  <c r="X5" i="236"/>
  <c r="W5" i="236"/>
  <c r="V5" i="236"/>
  <c r="U5" i="236"/>
  <c r="T5" i="236"/>
  <c r="S5" i="236"/>
  <c r="R5" i="236"/>
  <c r="Q5" i="236"/>
  <c r="P5" i="236"/>
  <c r="O5" i="236"/>
  <c r="N5" i="236"/>
  <c r="M5" i="236"/>
  <c r="L5" i="236"/>
  <c r="K5" i="236"/>
  <c r="J5" i="236"/>
  <c r="I5" i="236"/>
  <c r="H5" i="236"/>
  <c r="G5" i="236"/>
  <c r="F5" i="236"/>
  <c r="E5" i="236"/>
  <c r="D5" i="236"/>
  <c r="C5" i="236"/>
  <c r="B5" i="236"/>
  <c r="Y10" i="209"/>
  <c r="X10" i="209"/>
  <c r="W10" i="209"/>
  <c r="V10" i="209"/>
  <c r="U10" i="209"/>
  <c r="T10" i="209"/>
  <c r="S10" i="209"/>
  <c r="R10" i="209"/>
  <c r="Q10" i="209"/>
  <c r="P10" i="209"/>
  <c r="O10" i="209"/>
  <c r="N10" i="209"/>
  <c r="M10" i="209"/>
  <c r="L10" i="209"/>
  <c r="K10" i="209"/>
  <c r="J10" i="209"/>
  <c r="I10" i="209"/>
  <c r="H10" i="209"/>
  <c r="G10" i="209"/>
  <c r="F10" i="209"/>
  <c r="E10" i="209"/>
  <c r="D10" i="209"/>
  <c r="C10" i="209"/>
  <c r="B10" i="209"/>
  <c r="Y9" i="209"/>
  <c r="X9" i="209"/>
  <c r="W9" i="209"/>
  <c r="V9" i="209"/>
  <c r="U9" i="209"/>
  <c r="T9" i="209"/>
  <c r="S9" i="209"/>
  <c r="R9" i="209"/>
  <c r="Q9" i="209"/>
  <c r="P9" i="209"/>
  <c r="O9" i="209"/>
  <c r="N9" i="209"/>
  <c r="M9" i="209"/>
  <c r="L9" i="209"/>
  <c r="K9" i="209"/>
  <c r="J9" i="209"/>
  <c r="I9" i="209"/>
  <c r="H9" i="209"/>
  <c r="G9" i="209"/>
  <c r="F9" i="209"/>
  <c r="E9" i="209"/>
  <c r="D9" i="209"/>
  <c r="C9" i="209"/>
  <c r="B9" i="209"/>
  <c r="Y8" i="209"/>
  <c r="X8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B8" i="209"/>
  <c r="Y7" i="209"/>
  <c r="X7" i="209"/>
  <c r="W7" i="209"/>
  <c r="V7" i="209"/>
  <c r="U7" i="209"/>
  <c r="T7" i="209"/>
  <c r="S7" i="209"/>
  <c r="R7" i="209"/>
  <c r="Q7" i="209"/>
  <c r="P7" i="209"/>
  <c r="O7" i="209"/>
  <c r="N7" i="209"/>
  <c r="M7" i="209"/>
  <c r="L7" i="209"/>
  <c r="K7" i="209"/>
  <c r="J7" i="209"/>
  <c r="I7" i="209"/>
  <c r="H7" i="209"/>
  <c r="G7" i="209"/>
  <c r="F7" i="209"/>
  <c r="E7" i="209"/>
  <c r="D7" i="209"/>
  <c r="C7" i="209"/>
  <c r="B7" i="209"/>
  <c r="Y6" i="209"/>
  <c r="X6" i="209"/>
  <c r="W6" i="209"/>
  <c r="V6" i="209"/>
  <c r="U6" i="209"/>
  <c r="T6" i="209"/>
  <c r="S6" i="209"/>
  <c r="R6" i="209"/>
  <c r="Q6" i="209"/>
  <c r="P6" i="209"/>
  <c r="O6" i="209"/>
  <c r="N6" i="209"/>
  <c r="M6" i="209"/>
  <c r="L6" i="209"/>
  <c r="K6" i="209"/>
  <c r="J6" i="209"/>
  <c r="I6" i="209"/>
  <c r="H6" i="209"/>
  <c r="G6" i="209"/>
  <c r="F6" i="209"/>
  <c r="E6" i="209"/>
  <c r="D6" i="209"/>
  <c r="C6" i="209"/>
  <c r="B6" i="209"/>
  <c r="Y5" i="209"/>
  <c r="X5" i="209"/>
  <c r="W5" i="209"/>
  <c r="V5" i="209"/>
  <c r="U5" i="209"/>
  <c r="T5" i="209"/>
  <c r="S5" i="209"/>
  <c r="R5" i="209"/>
  <c r="Q5" i="209"/>
  <c r="P5" i="209"/>
  <c r="O5" i="209"/>
  <c r="N5" i="209"/>
  <c r="M5" i="209"/>
  <c r="L5" i="209"/>
  <c r="K5" i="209"/>
  <c r="J5" i="209"/>
  <c r="I5" i="209"/>
  <c r="H5" i="209"/>
  <c r="G5" i="209"/>
  <c r="F5" i="209"/>
  <c r="E5" i="209"/>
  <c r="D5" i="209"/>
  <c r="C5" i="209"/>
  <c r="B5" i="209"/>
  <c r="Y10" i="208"/>
  <c r="X10" i="208"/>
  <c r="W10" i="208"/>
  <c r="V10" i="208"/>
  <c r="U10" i="208"/>
  <c r="T10" i="208"/>
  <c r="S10" i="208"/>
  <c r="R10" i="208"/>
  <c r="Q10" i="208"/>
  <c r="P10" i="208"/>
  <c r="O10" i="208"/>
  <c r="N10" i="208"/>
  <c r="M10" i="208"/>
  <c r="L10" i="208"/>
  <c r="K10" i="208"/>
  <c r="J10" i="208"/>
  <c r="I10" i="208"/>
  <c r="H10" i="208"/>
  <c r="G10" i="208"/>
  <c r="F10" i="208"/>
  <c r="E10" i="208"/>
  <c r="D10" i="208"/>
  <c r="C10" i="208"/>
  <c r="B10" i="208"/>
  <c r="Y9" i="208"/>
  <c r="X9" i="208"/>
  <c r="W9" i="208"/>
  <c r="V9" i="208"/>
  <c r="U9" i="208"/>
  <c r="T9" i="208"/>
  <c r="S9" i="208"/>
  <c r="R9" i="208"/>
  <c r="Q9" i="208"/>
  <c r="P9" i="208"/>
  <c r="O9" i="208"/>
  <c r="N9" i="208"/>
  <c r="M9" i="208"/>
  <c r="L9" i="208"/>
  <c r="K9" i="208"/>
  <c r="J9" i="208"/>
  <c r="I9" i="208"/>
  <c r="H9" i="208"/>
  <c r="G9" i="208"/>
  <c r="F9" i="208"/>
  <c r="E9" i="208"/>
  <c r="D9" i="208"/>
  <c r="C9" i="208"/>
  <c r="B9" i="208"/>
  <c r="Y8" i="208"/>
  <c r="X8" i="208"/>
  <c r="W8" i="208"/>
  <c r="V8" i="208"/>
  <c r="U8" i="208"/>
  <c r="T8" i="208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C8" i="208"/>
  <c r="B8" i="208"/>
  <c r="Y7" i="208"/>
  <c r="X7" i="208"/>
  <c r="W7" i="208"/>
  <c r="V7" i="208"/>
  <c r="U7" i="208"/>
  <c r="T7" i="208"/>
  <c r="S7" i="208"/>
  <c r="R7" i="208"/>
  <c r="Q7" i="208"/>
  <c r="P7" i="208"/>
  <c r="O7" i="208"/>
  <c r="N7" i="208"/>
  <c r="M7" i="208"/>
  <c r="L7" i="208"/>
  <c r="K7" i="208"/>
  <c r="J7" i="208"/>
  <c r="I7" i="208"/>
  <c r="H7" i="208"/>
  <c r="G7" i="208"/>
  <c r="F7" i="208"/>
  <c r="E7" i="208"/>
  <c r="D7" i="208"/>
  <c r="C7" i="208"/>
  <c r="B7" i="208"/>
  <c r="Y6" i="208"/>
  <c r="X6" i="208"/>
  <c r="W6" i="208"/>
  <c r="V6" i="208"/>
  <c r="U6" i="208"/>
  <c r="T6" i="208"/>
  <c r="S6" i="208"/>
  <c r="R6" i="208"/>
  <c r="Q6" i="208"/>
  <c r="P6" i="208"/>
  <c r="O6" i="208"/>
  <c r="N6" i="208"/>
  <c r="M6" i="208"/>
  <c r="L6" i="208"/>
  <c r="K6" i="208"/>
  <c r="J6" i="208"/>
  <c r="I6" i="208"/>
  <c r="H6" i="208"/>
  <c r="G6" i="208"/>
  <c r="F6" i="208"/>
  <c r="E6" i="208"/>
  <c r="D6" i="208"/>
  <c r="C6" i="208"/>
  <c r="B6" i="208"/>
  <c r="Y5" i="208"/>
  <c r="X5" i="208"/>
  <c r="W5" i="208"/>
  <c r="V5" i="208"/>
  <c r="U5" i="208"/>
  <c r="T5" i="208"/>
  <c r="S5" i="208"/>
  <c r="R5" i="208"/>
  <c r="Q5" i="208"/>
  <c r="P5" i="208"/>
  <c r="O5" i="208"/>
  <c r="N5" i="208"/>
  <c r="M5" i="208"/>
  <c r="L5" i="208"/>
  <c r="K5" i="208"/>
  <c r="J5" i="208"/>
  <c r="I5" i="208"/>
  <c r="H5" i="208"/>
  <c r="G5" i="208"/>
  <c r="F5" i="208"/>
  <c r="E5" i="208"/>
  <c r="D5" i="208"/>
  <c r="C5" i="208"/>
  <c r="B5" i="208"/>
  <c r="Y10" i="207"/>
  <c r="X10" i="207"/>
  <c r="W10" i="207"/>
  <c r="V10" i="207"/>
  <c r="U10" i="207"/>
  <c r="T10" i="207"/>
  <c r="S10" i="207"/>
  <c r="R10" i="207"/>
  <c r="Q10" i="207"/>
  <c r="P10" i="207"/>
  <c r="O10" i="207"/>
  <c r="N10" i="207"/>
  <c r="M10" i="207"/>
  <c r="L10" i="207"/>
  <c r="K10" i="207"/>
  <c r="J10" i="207"/>
  <c r="I10" i="207"/>
  <c r="H10" i="207"/>
  <c r="G10" i="207"/>
  <c r="F10" i="207"/>
  <c r="E10" i="207"/>
  <c r="D10" i="207"/>
  <c r="C10" i="207"/>
  <c r="B10" i="207"/>
  <c r="Y9" i="207"/>
  <c r="X9" i="207"/>
  <c r="W9" i="207"/>
  <c r="V9" i="207"/>
  <c r="U9" i="207"/>
  <c r="T9" i="207"/>
  <c r="S9" i="207"/>
  <c r="R9" i="207"/>
  <c r="Q9" i="207"/>
  <c r="P9" i="207"/>
  <c r="O9" i="207"/>
  <c r="N9" i="207"/>
  <c r="M9" i="207"/>
  <c r="L9" i="207"/>
  <c r="K9" i="207"/>
  <c r="J9" i="207"/>
  <c r="I9" i="207"/>
  <c r="H9" i="207"/>
  <c r="G9" i="207"/>
  <c r="F9" i="207"/>
  <c r="E9" i="207"/>
  <c r="D9" i="207"/>
  <c r="C9" i="207"/>
  <c r="B9" i="207"/>
  <c r="Y8" i="207"/>
  <c r="X8" i="207"/>
  <c r="W8" i="207"/>
  <c r="V8" i="207"/>
  <c r="U8" i="207"/>
  <c r="T8" i="207"/>
  <c r="S8" i="207"/>
  <c r="R8" i="207"/>
  <c r="Q8" i="207"/>
  <c r="P8" i="207"/>
  <c r="O8" i="207"/>
  <c r="N8" i="207"/>
  <c r="M8" i="207"/>
  <c r="L8" i="207"/>
  <c r="K8" i="207"/>
  <c r="J8" i="207"/>
  <c r="I8" i="207"/>
  <c r="H8" i="207"/>
  <c r="G8" i="207"/>
  <c r="F8" i="207"/>
  <c r="E8" i="207"/>
  <c r="D8" i="207"/>
  <c r="C8" i="207"/>
  <c r="B8" i="207"/>
  <c r="Y7" i="207"/>
  <c r="X7" i="207"/>
  <c r="W7" i="207"/>
  <c r="V7" i="207"/>
  <c r="U7" i="207"/>
  <c r="T7" i="207"/>
  <c r="S7" i="207"/>
  <c r="R7" i="207"/>
  <c r="Q7" i="207"/>
  <c r="P7" i="207"/>
  <c r="O7" i="207"/>
  <c r="N7" i="207"/>
  <c r="M7" i="207"/>
  <c r="L7" i="207"/>
  <c r="K7" i="207"/>
  <c r="J7" i="207"/>
  <c r="I7" i="207"/>
  <c r="H7" i="207"/>
  <c r="G7" i="207"/>
  <c r="F7" i="207"/>
  <c r="E7" i="207"/>
  <c r="D7" i="207"/>
  <c r="C7" i="207"/>
  <c r="B7" i="207"/>
  <c r="Y6" i="207"/>
  <c r="X6" i="207"/>
  <c r="W6" i="207"/>
  <c r="V6" i="207"/>
  <c r="U6" i="207"/>
  <c r="T6" i="207"/>
  <c r="S6" i="207"/>
  <c r="R6" i="207"/>
  <c r="Q6" i="207"/>
  <c r="P6" i="207"/>
  <c r="O6" i="207"/>
  <c r="N6" i="207"/>
  <c r="M6" i="207"/>
  <c r="L6" i="207"/>
  <c r="K6" i="207"/>
  <c r="J6" i="207"/>
  <c r="I6" i="207"/>
  <c r="H6" i="207"/>
  <c r="G6" i="207"/>
  <c r="F6" i="207"/>
  <c r="E6" i="207"/>
  <c r="D6" i="207"/>
  <c r="C6" i="207"/>
  <c r="B6" i="207"/>
  <c r="Y5" i="207"/>
  <c r="X5" i="207"/>
  <c r="W5" i="207"/>
  <c r="V5" i="207"/>
  <c r="U5" i="207"/>
  <c r="T5" i="207"/>
  <c r="S5" i="207"/>
  <c r="R5" i="207"/>
  <c r="Q5" i="207"/>
  <c r="P5" i="207"/>
  <c r="O5" i="207"/>
  <c r="N5" i="207"/>
  <c r="M5" i="207"/>
  <c r="L5" i="207"/>
  <c r="K5" i="207"/>
  <c r="J5" i="207"/>
  <c r="I5" i="207"/>
  <c r="H5" i="207"/>
  <c r="G5" i="207"/>
  <c r="F5" i="207"/>
  <c r="E5" i="207"/>
  <c r="D5" i="207"/>
  <c r="C5" i="207"/>
  <c r="B5" i="207"/>
  <c r="Y10" i="206"/>
  <c r="X10" i="206"/>
  <c r="W10" i="206"/>
  <c r="V10" i="206"/>
  <c r="U10" i="206"/>
  <c r="T10" i="206"/>
  <c r="S10" i="206"/>
  <c r="R10" i="206"/>
  <c r="Q10" i="206"/>
  <c r="P10" i="206"/>
  <c r="O10" i="206"/>
  <c r="N10" i="206"/>
  <c r="M10" i="206"/>
  <c r="L10" i="206"/>
  <c r="K10" i="206"/>
  <c r="J10" i="206"/>
  <c r="I10" i="206"/>
  <c r="H10" i="206"/>
  <c r="G10" i="206"/>
  <c r="F10" i="206"/>
  <c r="E10" i="206"/>
  <c r="D10" i="206"/>
  <c r="C10" i="206"/>
  <c r="B10" i="206"/>
  <c r="Y9" i="206"/>
  <c r="X9" i="206"/>
  <c r="W9" i="206"/>
  <c r="V9" i="206"/>
  <c r="U9" i="206"/>
  <c r="T9" i="206"/>
  <c r="S9" i="206"/>
  <c r="R9" i="206"/>
  <c r="Q9" i="206"/>
  <c r="P9" i="206"/>
  <c r="O9" i="206"/>
  <c r="N9" i="206"/>
  <c r="M9" i="206"/>
  <c r="L9" i="206"/>
  <c r="K9" i="206"/>
  <c r="J9" i="206"/>
  <c r="I9" i="206"/>
  <c r="H9" i="206"/>
  <c r="G9" i="206"/>
  <c r="F9" i="206"/>
  <c r="E9" i="206"/>
  <c r="D9" i="206"/>
  <c r="C9" i="206"/>
  <c r="B9" i="206"/>
  <c r="Y8" i="206"/>
  <c r="X8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B8" i="206"/>
  <c r="Y7" i="206"/>
  <c r="X7" i="206"/>
  <c r="W7" i="206"/>
  <c r="V7" i="206"/>
  <c r="U7" i="206"/>
  <c r="T7" i="206"/>
  <c r="S7" i="206"/>
  <c r="R7" i="206"/>
  <c r="Q7" i="206"/>
  <c r="P7" i="206"/>
  <c r="O7" i="206"/>
  <c r="N7" i="206"/>
  <c r="M7" i="206"/>
  <c r="L7" i="206"/>
  <c r="K7" i="206"/>
  <c r="J7" i="206"/>
  <c r="I7" i="206"/>
  <c r="H7" i="206"/>
  <c r="G7" i="206"/>
  <c r="F7" i="206"/>
  <c r="E7" i="206"/>
  <c r="D7" i="206"/>
  <c r="C7" i="206"/>
  <c r="B7" i="206"/>
  <c r="Y6" i="206"/>
  <c r="X6" i="206"/>
  <c r="W6" i="206"/>
  <c r="V6" i="206"/>
  <c r="U6" i="206"/>
  <c r="T6" i="206"/>
  <c r="S6" i="206"/>
  <c r="R6" i="206"/>
  <c r="Q6" i="206"/>
  <c r="P6" i="206"/>
  <c r="O6" i="206"/>
  <c r="N6" i="206"/>
  <c r="M6" i="206"/>
  <c r="L6" i="206"/>
  <c r="K6" i="206"/>
  <c r="J6" i="206"/>
  <c r="I6" i="206"/>
  <c r="H6" i="206"/>
  <c r="G6" i="206"/>
  <c r="F6" i="206"/>
  <c r="E6" i="206"/>
  <c r="D6" i="206"/>
  <c r="C6" i="206"/>
  <c r="B6" i="206"/>
  <c r="Y5" i="206"/>
  <c r="X5" i="206"/>
  <c r="W5" i="206"/>
  <c r="V5" i="206"/>
  <c r="U5" i="206"/>
  <c r="T5" i="206"/>
  <c r="S5" i="206"/>
  <c r="R5" i="206"/>
  <c r="Q5" i="206"/>
  <c r="P5" i="206"/>
  <c r="O5" i="206"/>
  <c r="N5" i="206"/>
  <c r="M5" i="206"/>
  <c r="L5" i="206"/>
  <c r="K5" i="206"/>
  <c r="J5" i="206"/>
  <c r="I5" i="206"/>
  <c r="H5" i="206"/>
  <c r="G5" i="206"/>
  <c r="F5" i="206"/>
  <c r="E5" i="206"/>
  <c r="D5" i="206"/>
  <c r="C5" i="206"/>
  <c r="B5" i="206"/>
  <c r="Y10" i="205"/>
  <c r="X10" i="205"/>
  <c r="W10" i="205"/>
  <c r="V10" i="205"/>
  <c r="U10" i="205"/>
  <c r="T10" i="205"/>
  <c r="S10" i="205"/>
  <c r="R10" i="205"/>
  <c r="Q10" i="205"/>
  <c r="P10" i="205"/>
  <c r="O10" i="205"/>
  <c r="N10" i="205"/>
  <c r="M10" i="205"/>
  <c r="L10" i="205"/>
  <c r="K10" i="205"/>
  <c r="J10" i="205"/>
  <c r="I10" i="205"/>
  <c r="H10" i="205"/>
  <c r="G10" i="205"/>
  <c r="F10" i="205"/>
  <c r="E10" i="205"/>
  <c r="D10" i="205"/>
  <c r="C10" i="205"/>
  <c r="B10" i="205"/>
  <c r="Y9" i="205"/>
  <c r="X9" i="205"/>
  <c r="W9" i="205"/>
  <c r="V9" i="205"/>
  <c r="U9" i="205"/>
  <c r="T9" i="205"/>
  <c r="S9" i="205"/>
  <c r="R9" i="205"/>
  <c r="Q9" i="205"/>
  <c r="P9" i="205"/>
  <c r="O9" i="205"/>
  <c r="N9" i="205"/>
  <c r="M9" i="205"/>
  <c r="L9" i="205"/>
  <c r="K9" i="205"/>
  <c r="J9" i="205"/>
  <c r="I9" i="205"/>
  <c r="H9" i="205"/>
  <c r="G9" i="205"/>
  <c r="F9" i="205"/>
  <c r="E9" i="205"/>
  <c r="D9" i="205"/>
  <c r="C9" i="205"/>
  <c r="B9" i="205"/>
  <c r="Y8" i="205"/>
  <c r="X8" i="205"/>
  <c r="W8" i="205"/>
  <c r="V8" i="205"/>
  <c r="U8" i="205"/>
  <c r="T8" i="205"/>
  <c r="S8" i="205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C8" i="205"/>
  <c r="B8" i="205"/>
  <c r="Y7" i="205"/>
  <c r="X7" i="205"/>
  <c r="W7" i="205"/>
  <c r="V7" i="205"/>
  <c r="U7" i="205"/>
  <c r="T7" i="205"/>
  <c r="S7" i="205"/>
  <c r="R7" i="205"/>
  <c r="Q7" i="205"/>
  <c r="P7" i="205"/>
  <c r="O7" i="205"/>
  <c r="N7" i="205"/>
  <c r="M7" i="205"/>
  <c r="L7" i="205"/>
  <c r="K7" i="205"/>
  <c r="J7" i="205"/>
  <c r="I7" i="205"/>
  <c r="H7" i="205"/>
  <c r="G7" i="205"/>
  <c r="F7" i="205"/>
  <c r="E7" i="205"/>
  <c r="D7" i="205"/>
  <c r="C7" i="205"/>
  <c r="B7" i="205"/>
  <c r="Y6" i="205"/>
  <c r="X6" i="205"/>
  <c r="W6" i="205"/>
  <c r="V6" i="205"/>
  <c r="U6" i="205"/>
  <c r="T6" i="205"/>
  <c r="S6" i="205"/>
  <c r="R6" i="205"/>
  <c r="Q6" i="205"/>
  <c r="P6" i="205"/>
  <c r="O6" i="205"/>
  <c r="N6" i="205"/>
  <c r="M6" i="205"/>
  <c r="L6" i="205"/>
  <c r="K6" i="205"/>
  <c r="J6" i="205"/>
  <c r="I6" i="205"/>
  <c r="H6" i="205"/>
  <c r="G6" i="205"/>
  <c r="F6" i="205"/>
  <c r="E6" i="205"/>
  <c r="D6" i="205"/>
  <c r="C6" i="205"/>
  <c r="B6" i="205"/>
  <c r="Y5" i="205"/>
  <c r="X5" i="205"/>
  <c r="W5" i="205"/>
  <c r="V5" i="205"/>
  <c r="U5" i="205"/>
  <c r="T5" i="205"/>
  <c r="S5" i="205"/>
  <c r="R5" i="205"/>
  <c r="Q5" i="205"/>
  <c r="P5" i="205"/>
  <c r="O5" i="205"/>
  <c r="N5" i="205"/>
  <c r="M5" i="205"/>
  <c r="L5" i="205"/>
  <c r="K5" i="205"/>
  <c r="J5" i="205"/>
  <c r="I5" i="205"/>
  <c r="H5" i="205"/>
  <c r="G5" i="205"/>
  <c r="F5" i="205"/>
  <c r="E5" i="205"/>
  <c r="D5" i="205"/>
  <c r="C5" i="205"/>
  <c r="B5" i="205"/>
  <c r="Y10" i="204"/>
  <c r="X10" i="204"/>
  <c r="W10" i="204"/>
  <c r="V10" i="204"/>
  <c r="U10" i="204"/>
  <c r="T10" i="204"/>
  <c r="S10" i="204"/>
  <c r="R10" i="204"/>
  <c r="Q10" i="204"/>
  <c r="P10" i="204"/>
  <c r="O10" i="204"/>
  <c r="N10" i="204"/>
  <c r="M10" i="204"/>
  <c r="L10" i="204"/>
  <c r="K10" i="204"/>
  <c r="J10" i="204"/>
  <c r="I10" i="204"/>
  <c r="H10" i="204"/>
  <c r="G10" i="204"/>
  <c r="F10" i="204"/>
  <c r="E10" i="204"/>
  <c r="D10" i="204"/>
  <c r="C10" i="204"/>
  <c r="B10" i="204"/>
  <c r="Y9" i="204"/>
  <c r="X9" i="204"/>
  <c r="W9" i="204"/>
  <c r="V9" i="204"/>
  <c r="U9" i="204"/>
  <c r="T9" i="204"/>
  <c r="S9" i="204"/>
  <c r="R9" i="204"/>
  <c r="Q9" i="204"/>
  <c r="P9" i="204"/>
  <c r="O9" i="204"/>
  <c r="N9" i="204"/>
  <c r="M9" i="204"/>
  <c r="L9" i="204"/>
  <c r="K9" i="204"/>
  <c r="J9" i="204"/>
  <c r="I9" i="204"/>
  <c r="H9" i="204"/>
  <c r="G9" i="204"/>
  <c r="F9" i="204"/>
  <c r="E9" i="204"/>
  <c r="D9" i="204"/>
  <c r="C9" i="204"/>
  <c r="B9" i="204"/>
  <c r="Y8" i="204"/>
  <c r="X8" i="204"/>
  <c r="W8" i="204"/>
  <c r="V8" i="204"/>
  <c r="U8" i="204"/>
  <c r="T8" i="204"/>
  <c r="S8" i="204"/>
  <c r="R8" i="204"/>
  <c r="Q8" i="204"/>
  <c r="P8" i="204"/>
  <c r="O8" i="204"/>
  <c r="N8" i="204"/>
  <c r="M8" i="204"/>
  <c r="L8" i="204"/>
  <c r="K8" i="204"/>
  <c r="J8" i="204"/>
  <c r="I8" i="204"/>
  <c r="H8" i="204"/>
  <c r="G8" i="204"/>
  <c r="F8" i="204"/>
  <c r="E8" i="204"/>
  <c r="D8" i="204"/>
  <c r="C8" i="204"/>
  <c r="B8" i="204"/>
  <c r="Y7" i="204"/>
  <c r="X7" i="204"/>
  <c r="W7" i="204"/>
  <c r="V7" i="204"/>
  <c r="U7" i="204"/>
  <c r="T7" i="204"/>
  <c r="S7" i="204"/>
  <c r="R7" i="204"/>
  <c r="Q7" i="204"/>
  <c r="P7" i="204"/>
  <c r="O7" i="204"/>
  <c r="N7" i="204"/>
  <c r="M7" i="204"/>
  <c r="L7" i="204"/>
  <c r="K7" i="204"/>
  <c r="J7" i="204"/>
  <c r="I7" i="204"/>
  <c r="H7" i="204"/>
  <c r="G7" i="204"/>
  <c r="F7" i="204"/>
  <c r="E7" i="204"/>
  <c r="D7" i="204"/>
  <c r="C7" i="204"/>
  <c r="B7" i="204"/>
  <c r="Y6" i="204"/>
  <c r="X6" i="204"/>
  <c r="W6" i="204"/>
  <c r="V6" i="204"/>
  <c r="U6" i="204"/>
  <c r="T6" i="204"/>
  <c r="S6" i="204"/>
  <c r="R6" i="204"/>
  <c r="Q6" i="204"/>
  <c r="P6" i="204"/>
  <c r="O6" i="204"/>
  <c r="N6" i="204"/>
  <c r="M6" i="204"/>
  <c r="L6" i="204"/>
  <c r="K6" i="204"/>
  <c r="J6" i="204"/>
  <c r="I6" i="204"/>
  <c r="H6" i="204"/>
  <c r="G6" i="204"/>
  <c r="F6" i="204"/>
  <c r="E6" i="204"/>
  <c r="D6" i="204"/>
  <c r="C6" i="204"/>
  <c r="B6" i="204"/>
  <c r="Y5" i="204"/>
  <c r="X5" i="204"/>
  <c r="W5" i="204"/>
  <c r="V5" i="204"/>
  <c r="U5" i="204"/>
  <c r="T5" i="204"/>
  <c r="S5" i="204"/>
  <c r="R5" i="204"/>
  <c r="Q5" i="204"/>
  <c r="P5" i="204"/>
  <c r="O5" i="204"/>
  <c r="N5" i="204"/>
  <c r="M5" i="204"/>
  <c r="L5" i="204"/>
  <c r="K5" i="204"/>
  <c r="J5" i="204"/>
  <c r="I5" i="204"/>
  <c r="H5" i="204"/>
  <c r="G5" i="204"/>
  <c r="F5" i="204"/>
  <c r="E5" i="204"/>
  <c r="D5" i="204"/>
  <c r="C5" i="204"/>
  <c r="B5" i="204"/>
  <c r="C5" i="189"/>
  <c r="D5" i="189"/>
  <c r="E5" i="189"/>
  <c r="F5" i="189"/>
  <c r="G5" i="189"/>
  <c r="H5" i="189"/>
  <c r="I5" i="189"/>
  <c r="J5" i="189"/>
  <c r="K5" i="189"/>
  <c r="L5" i="189"/>
  <c r="M5" i="189"/>
  <c r="N5" i="189"/>
  <c r="O5" i="189"/>
  <c r="P5" i="189"/>
  <c r="Q5" i="189"/>
  <c r="R5" i="189"/>
  <c r="S5" i="189"/>
  <c r="T5" i="189"/>
  <c r="U5" i="189"/>
  <c r="V5" i="189"/>
  <c r="W5" i="189"/>
  <c r="X5" i="189"/>
  <c r="Y5" i="189"/>
  <c r="C6" i="189"/>
  <c r="D6" i="189"/>
  <c r="E6" i="189"/>
  <c r="F6" i="189"/>
  <c r="G6" i="189"/>
  <c r="H6" i="189"/>
  <c r="I6" i="189"/>
  <c r="J6" i="189"/>
  <c r="K6" i="189"/>
  <c r="L6" i="189"/>
  <c r="M6" i="189"/>
  <c r="N6" i="189"/>
  <c r="O6" i="189"/>
  <c r="P6" i="189"/>
  <c r="Q6" i="189"/>
  <c r="R6" i="189"/>
  <c r="S6" i="189"/>
  <c r="T6" i="189"/>
  <c r="U6" i="189"/>
  <c r="V6" i="189"/>
  <c r="W6" i="189"/>
  <c r="X6" i="189"/>
  <c r="Y6" i="189"/>
  <c r="C7" i="189"/>
  <c r="D7" i="189"/>
  <c r="E7" i="189"/>
  <c r="F7" i="189"/>
  <c r="G7" i="189"/>
  <c r="H7" i="189"/>
  <c r="I7" i="189"/>
  <c r="J7" i="189"/>
  <c r="K7" i="189"/>
  <c r="L7" i="189"/>
  <c r="M7" i="189"/>
  <c r="N7" i="189"/>
  <c r="O7" i="189"/>
  <c r="P7" i="189"/>
  <c r="Q7" i="189"/>
  <c r="R7" i="189"/>
  <c r="S7" i="189"/>
  <c r="T7" i="189"/>
  <c r="U7" i="189"/>
  <c r="V7" i="189"/>
  <c r="W7" i="189"/>
  <c r="X7" i="189"/>
  <c r="Y7" i="189"/>
  <c r="C8" i="189"/>
  <c r="D8" i="189"/>
  <c r="E8" i="189"/>
  <c r="F8" i="189"/>
  <c r="G8" i="189"/>
  <c r="H8" i="189"/>
  <c r="I8" i="189"/>
  <c r="J8" i="189"/>
  <c r="K8" i="189"/>
  <c r="L8" i="189"/>
  <c r="M8" i="189"/>
  <c r="N8" i="189"/>
  <c r="O8" i="189"/>
  <c r="P8" i="189"/>
  <c r="Q8" i="189"/>
  <c r="R8" i="189"/>
  <c r="S8" i="189"/>
  <c r="T8" i="189"/>
  <c r="U8" i="189"/>
  <c r="V8" i="189"/>
  <c r="W8" i="189"/>
  <c r="X8" i="189"/>
  <c r="Y8" i="189"/>
  <c r="C9" i="189"/>
  <c r="D9" i="189"/>
  <c r="E9" i="189"/>
  <c r="F9" i="189"/>
  <c r="G9" i="189"/>
  <c r="H9" i="189"/>
  <c r="I9" i="189"/>
  <c r="J9" i="189"/>
  <c r="K9" i="189"/>
  <c r="L9" i="189"/>
  <c r="M9" i="189"/>
  <c r="N9" i="189"/>
  <c r="O9" i="189"/>
  <c r="P9" i="189"/>
  <c r="Q9" i="189"/>
  <c r="R9" i="189"/>
  <c r="S9" i="189"/>
  <c r="T9" i="189"/>
  <c r="U9" i="189"/>
  <c r="V9" i="189"/>
  <c r="W9" i="189"/>
  <c r="X9" i="189"/>
  <c r="Y9" i="189"/>
  <c r="C10" i="189"/>
  <c r="D10" i="189"/>
  <c r="E10" i="189"/>
  <c r="F10" i="189"/>
  <c r="G10" i="189"/>
  <c r="H10" i="189"/>
  <c r="I10" i="189"/>
  <c r="J10" i="189"/>
  <c r="K10" i="189"/>
  <c r="L10" i="189"/>
  <c r="M10" i="189"/>
  <c r="N10" i="189"/>
  <c r="O10" i="189"/>
  <c r="P10" i="189"/>
  <c r="Q10" i="189"/>
  <c r="R10" i="189"/>
  <c r="S10" i="189"/>
  <c r="T10" i="189"/>
  <c r="U10" i="189"/>
  <c r="V10" i="189"/>
  <c r="W10" i="189"/>
  <c r="X10" i="189"/>
  <c r="Y10" i="189"/>
  <c r="B9" i="189"/>
  <c r="B10" i="189"/>
  <c r="B8" i="189"/>
  <c r="B6" i="189"/>
  <c r="B7" i="189"/>
  <c r="B5" i="189"/>
  <c r="C5" i="188"/>
  <c r="D5" i="188"/>
  <c r="E5" i="188"/>
  <c r="F5" i="188"/>
  <c r="G5" i="188"/>
  <c r="H5" i="188"/>
  <c r="I5" i="188"/>
  <c r="J5" i="188"/>
  <c r="K5" i="188"/>
  <c r="L5" i="188"/>
  <c r="M5" i="188"/>
  <c r="N5" i="188"/>
  <c r="O5" i="188"/>
  <c r="P5" i="188"/>
  <c r="Q5" i="188"/>
  <c r="R5" i="188"/>
  <c r="S5" i="188"/>
  <c r="T5" i="188"/>
  <c r="U5" i="188"/>
  <c r="V5" i="188"/>
  <c r="W5" i="188"/>
  <c r="X5" i="188"/>
  <c r="Y5" i="188"/>
  <c r="C6" i="188"/>
  <c r="D6" i="188"/>
  <c r="E6" i="188"/>
  <c r="F6" i="188"/>
  <c r="G6" i="188"/>
  <c r="H6" i="188"/>
  <c r="I6" i="188"/>
  <c r="J6" i="188"/>
  <c r="K6" i="188"/>
  <c r="L6" i="188"/>
  <c r="M6" i="188"/>
  <c r="N6" i="188"/>
  <c r="O6" i="188"/>
  <c r="P6" i="188"/>
  <c r="Q6" i="188"/>
  <c r="R6" i="188"/>
  <c r="S6" i="188"/>
  <c r="T6" i="188"/>
  <c r="U6" i="188"/>
  <c r="V6" i="188"/>
  <c r="W6" i="188"/>
  <c r="X6" i="188"/>
  <c r="Y6" i="188"/>
  <c r="C7" i="188"/>
  <c r="D7" i="188"/>
  <c r="E7" i="188"/>
  <c r="F7" i="188"/>
  <c r="G7" i="188"/>
  <c r="H7" i="188"/>
  <c r="I7" i="188"/>
  <c r="J7" i="188"/>
  <c r="K7" i="188"/>
  <c r="L7" i="188"/>
  <c r="M7" i="188"/>
  <c r="N7" i="188"/>
  <c r="O7" i="188"/>
  <c r="P7" i="188"/>
  <c r="Q7" i="188"/>
  <c r="R7" i="188"/>
  <c r="S7" i="188"/>
  <c r="T7" i="188"/>
  <c r="U7" i="188"/>
  <c r="V7" i="188"/>
  <c r="W7" i="188"/>
  <c r="X7" i="188"/>
  <c r="Y7" i="188"/>
  <c r="C8" i="188"/>
  <c r="D8" i="188"/>
  <c r="E8" i="188"/>
  <c r="F8" i="188"/>
  <c r="G8" i="188"/>
  <c r="H8" i="188"/>
  <c r="I8" i="188"/>
  <c r="J8" i="188"/>
  <c r="K8" i="188"/>
  <c r="L8" i="188"/>
  <c r="M8" i="188"/>
  <c r="N8" i="188"/>
  <c r="O8" i="188"/>
  <c r="P8" i="188"/>
  <c r="Q8" i="188"/>
  <c r="R8" i="188"/>
  <c r="S8" i="188"/>
  <c r="T8" i="188"/>
  <c r="U8" i="188"/>
  <c r="V8" i="188"/>
  <c r="W8" i="188"/>
  <c r="X8" i="188"/>
  <c r="Y8" i="188"/>
  <c r="C9" i="188"/>
  <c r="D9" i="188"/>
  <c r="E9" i="188"/>
  <c r="F9" i="188"/>
  <c r="G9" i="188"/>
  <c r="H9" i="188"/>
  <c r="I9" i="188"/>
  <c r="J9" i="188"/>
  <c r="K9" i="188"/>
  <c r="L9" i="188"/>
  <c r="M9" i="188"/>
  <c r="N9" i="188"/>
  <c r="O9" i="188"/>
  <c r="P9" i="188"/>
  <c r="Q9" i="188"/>
  <c r="R9" i="188"/>
  <c r="S9" i="188"/>
  <c r="T9" i="188"/>
  <c r="U9" i="188"/>
  <c r="V9" i="188"/>
  <c r="W9" i="188"/>
  <c r="X9" i="188"/>
  <c r="Y9" i="188"/>
  <c r="C10" i="188"/>
  <c r="D10" i="188"/>
  <c r="E10" i="188"/>
  <c r="F10" i="188"/>
  <c r="G10" i="188"/>
  <c r="H10" i="188"/>
  <c r="I10" i="188"/>
  <c r="J10" i="188"/>
  <c r="K10" i="188"/>
  <c r="L10" i="188"/>
  <c r="M10" i="188"/>
  <c r="N10" i="188"/>
  <c r="O10" i="188"/>
  <c r="P10" i="188"/>
  <c r="Q10" i="188"/>
  <c r="R10" i="188"/>
  <c r="S10" i="188"/>
  <c r="T10" i="188"/>
  <c r="U10" i="188"/>
  <c r="V10" i="188"/>
  <c r="W10" i="188"/>
  <c r="X10" i="188"/>
  <c r="Y10" i="188"/>
  <c r="B9" i="188"/>
  <c r="B10" i="188"/>
  <c r="B8" i="188"/>
  <c r="B6" i="188"/>
  <c r="B7" i="188"/>
  <c r="B5" i="188"/>
  <c r="C8" i="71"/>
  <c r="D8" i="71"/>
  <c r="E8" i="71"/>
  <c r="F8" i="71"/>
  <c r="G8" i="71"/>
  <c r="H8" i="71"/>
  <c r="I8" i="71"/>
  <c r="J8" i="71"/>
  <c r="K8" i="71"/>
  <c r="L8" i="71"/>
  <c r="M8" i="71"/>
  <c r="N8" i="71"/>
  <c r="O8" i="71"/>
  <c r="P8" i="71"/>
  <c r="Q8" i="71"/>
  <c r="R8" i="71"/>
  <c r="S8" i="71"/>
  <c r="T8" i="71"/>
  <c r="U8" i="71"/>
  <c r="V8" i="71"/>
  <c r="W8" i="71"/>
  <c r="X8" i="71"/>
  <c r="Y8" i="71"/>
  <c r="C9" i="71"/>
  <c r="D9" i="71"/>
  <c r="E9" i="71"/>
  <c r="F9" i="71"/>
  <c r="G9" i="71"/>
  <c r="H9" i="71"/>
  <c r="I9" i="71"/>
  <c r="J9" i="71"/>
  <c r="K9" i="71"/>
  <c r="L9" i="71"/>
  <c r="M9" i="71"/>
  <c r="N9" i="71"/>
  <c r="O9" i="71"/>
  <c r="P9" i="71"/>
  <c r="Q9" i="71"/>
  <c r="R9" i="71"/>
  <c r="S9" i="71"/>
  <c r="T9" i="71"/>
  <c r="U9" i="71"/>
  <c r="V9" i="71"/>
  <c r="W9" i="71"/>
  <c r="X9" i="71"/>
  <c r="Y9" i="71"/>
  <c r="C10" i="71"/>
  <c r="D10" i="71"/>
  <c r="E10" i="71"/>
  <c r="F10" i="71"/>
  <c r="G10" i="71"/>
  <c r="H10" i="71"/>
  <c r="I10" i="71"/>
  <c r="J10" i="71"/>
  <c r="K10" i="71"/>
  <c r="L10" i="71"/>
  <c r="M10" i="71"/>
  <c r="N10" i="71"/>
  <c r="O10" i="71"/>
  <c r="P10" i="71"/>
  <c r="Q10" i="71"/>
  <c r="R10" i="71"/>
  <c r="S10" i="71"/>
  <c r="T10" i="71"/>
  <c r="U10" i="71"/>
  <c r="V10" i="71"/>
  <c r="W10" i="71"/>
  <c r="X10" i="71"/>
  <c r="Y10" i="71"/>
  <c r="B9" i="71"/>
  <c r="B10" i="71"/>
  <c r="B8" i="71"/>
  <c r="C5" i="71"/>
  <c r="D5" i="71"/>
  <c r="E5" i="71"/>
  <c r="F5" i="71"/>
  <c r="G5" i="71"/>
  <c r="H5" i="71"/>
  <c r="I5" i="71"/>
  <c r="J5" i="71"/>
  <c r="K5" i="71"/>
  <c r="L5" i="71"/>
  <c r="M5" i="71"/>
  <c r="N5" i="71"/>
  <c r="O5" i="71"/>
  <c r="P5" i="71"/>
  <c r="Q5" i="71"/>
  <c r="R5" i="71"/>
  <c r="S5" i="71"/>
  <c r="T5" i="71"/>
  <c r="U5" i="71"/>
  <c r="V5" i="71"/>
  <c r="W5" i="71"/>
  <c r="X5" i="71"/>
  <c r="Y5" i="71"/>
  <c r="C6" i="71"/>
  <c r="D6" i="71"/>
  <c r="E6" i="71"/>
  <c r="F6" i="71"/>
  <c r="G6" i="71"/>
  <c r="H6" i="71"/>
  <c r="I6" i="71"/>
  <c r="J6" i="71"/>
  <c r="K6" i="71"/>
  <c r="L6" i="71"/>
  <c r="M6" i="71"/>
  <c r="N6" i="71"/>
  <c r="O6" i="71"/>
  <c r="P6" i="71"/>
  <c r="Q6" i="71"/>
  <c r="R6" i="71"/>
  <c r="S6" i="71"/>
  <c r="T6" i="71"/>
  <c r="U6" i="71"/>
  <c r="V6" i="71"/>
  <c r="W6" i="71"/>
  <c r="X6" i="71"/>
  <c r="Y6" i="71"/>
  <c r="C7" i="71"/>
  <c r="D7" i="71"/>
  <c r="E7" i="71"/>
  <c r="F7" i="71"/>
  <c r="G7" i="71"/>
  <c r="H7" i="71"/>
  <c r="I7" i="71"/>
  <c r="J7" i="71"/>
  <c r="K7" i="71"/>
  <c r="L7" i="71"/>
  <c r="M7" i="71"/>
  <c r="N7" i="71"/>
  <c r="O7" i="71"/>
  <c r="P7" i="71"/>
  <c r="Q7" i="71"/>
  <c r="R7" i="71"/>
  <c r="S7" i="71"/>
  <c r="T7" i="71"/>
  <c r="U7" i="71"/>
  <c r="V7" i="71"/>
  <c r="W7" i="71"/>
  <c r="X7" i="71"/>
  <c r="Y7" i="71"/>
  <c r="B6" i="71"/>
  <c r="B7" i="71"/>
  <c r="B5" i="71"/>
  <c r="Y4" i="305" l="1"/>
  <c r="I4" i="305"/>
  <c r="Q3" i="305"/>
  <c r="Y2" i="305"/>
  <c r="I2" i="305"/>
  <c r="Q4" i="304"/>
  <c r="Y3" i="304"/>
  <c r="I3" i="304"/>
  <c r="Q2" i="304"/>
  <c r="Y4" i="303"/>
  <c r="I4" i="303"/>
  <c r="Q3" i="303"/>
  <c r="Y2" i="303"/>
  <c r="I2" i="303"/>
  <c r="X4" i="305"/>
  <c r="H4" i="305"/>
  <c r="P3" i="305"/>
  <c r="X2" i="305"/>
  <c r="H2" i="305"/>
  <c r="P4" i="304"/>
  <c r="X3" i="304"/>
  <c r="H3" i="304"/>
  <c r="P2" i="304"/>
  <c r="X4" i="303"/>
  <c r="H4" i="303"/>
  <c r="P3" i="303"/>
  <c r="X2" i="303"/>
  <c r="H2" i="303"/>
  <c r="W4" i="305"/>
  <c r="G4" i="305"/>
  <c r="O3" i="305"/>
  <c r="W2" i="305"/>
  <c r="G2" i="305"/>
  <c r="O4" i="304"/>
  <c r="W3" i="304"/>
  <c r="G3" i="304"/>
  <c r="O2" i="304"/>
  <c r="W4" i="303"/>
  <c r="G4" i="303"/>
  <c r="O3" i="303"/>
  <c r="W2" i="303"/>
  <c r="G2" i="303"/>
  <c r="V4" i="305"/>
  <c r="F4" i="305"/>
  <c r="N3" i="305"/>
  <c r="V2" i="305"/>
  <c r="F2" i="305"/>
  <c r="N4" i="304"/>
  <c r="V3" i="304"/>
  <c r="F3" i="304"/>
  <c r="N2" i="304"/>
  <c r="V4" i="303"/>
  <c r="F4" i="303"/>
  <c r="N3" i="303"/>
  <c r="V2" i="303"/>
  <c r="F2" i="303"/>
  <c r="U4" i="305"/>
  <c r="E4" i="305"/>
  <c r="M3" i="305"/>
  <c r="U2" i="305"/>
  <c r="E2" i="305"/>
  <c r="M4" i="304"/>
  <c r="U3" i="304"/>
  <c r="E3" i="304"/>
  <c r="M2" i="304"/>
  <c r="U4" i="303"/>
  <c r="E4" i="303"/>
  <c r="M3" i="303"/>
  <c r="U2" i="303"/>
  <c r="E2" i="303"/>
  <c r="T4" i="305"/>
  <c r="D4" i="305"/>
  <c r="L3" i="305"/>
  <c r="T2" i="305"/>
  <c r="D2" i="305"/>
  <c r="L4" i="304"/>
  <c r="T3" i="304"/>
  <c r="D3" i="304"/>
  <c r="L2" i="304"/>
  <c r="T4" i="303"/>
  <c r="D4" i="303"/>
  <c r="L3" i="303"/>
  <c r="T2" i="303"/>
  <c r="D2" i="303"/>
  <c r="S4" i="305"/>
  <c r="C4" i="305"/>
  <c r="K3" i="305"/>
  <c r="S2" i="305"/>
  <c r="C2" i="305"/>
  <c r="K4" i="304"/>
  <c r="S3" i="304"/>
  <c r="C3" i="304"/>
  <c r="K2" i="304"/>
  <c r="S4" i="303"/>
  <c r="C4" i="303"/>
  <c r="K3" i="303"/>
  <c r="S2" i="303"/>
  <c r="C2" i="303"/>
  <c r="R4" i="305"/>
  <c r="B4" i="305"/>
  <c r="J3" i="305"/>
  <c r="R2" i="305"/>
  <c r="B2" i="305"/>
  <c r="J4" i="304"/>
  <c r="R3" i="304"/>
  <c r="B3" i="304"/>
  <c r="J2" i="304"/>
  <c r="R4" i="303"/>
  <c r="B4" i="303"/>
  <c r="J3" i="303"/>
  <c r="R2" i="303"/>
  <c r="B2" i="303"/>
  <c r="Q4" i="305"/>
  <c r="Y3" i="305"/>
  <c r="I3" i="305"/>
  <c r="Q2" i="305"/>
  <c r="Y4" i="304"/>
  <c r="I4" i="304"/>
  <c r="Q3" i="304"/>
  <c r="Y2" i="304"/>
  <c r="I2" i="304"/>
  <c r="Q4" i="303"/>
  <c r="Y3" i="303"/>
  <c r="I3" i="303"/>
  <c r="Q2" i="303"/>
  <c r="X4" i="304"/>
  <c r="P3" i="304"/>
  <c r="X2" i="304"/>
  <c r="H2" i="304"/>
  <c r="P4" i="303"/>
  <c r="P4" i="305"/>
  <c r="X3" i="305"/>
  <c r="H3" i="305"/>
  <c r="P2" i="305"/>
  <c r="H4" i="304"/>
  <c r="X3" i="303"/>
  <c r="H3" i="303"/>
  <c r="P2" i="303"/>
  <c r="O4" i="305"/>
  <c r="W3" i="305"/>
  <c r="G3" i="305"/>
  <c r="O2" i="305"/>
  <c r="W4" i="304"/>
  <c r="G4" i="304"/>
  <c r="O3" i="304"/>
  <c r="W2" i="304"/>
  <c r="G2" i="304"/>
  <c r="O4" i="303"/>
  <c r="W3" i="303"/>
  <c r="G3" i="303"/>
  <c r="O2" i="303"/>
  <c r="N4" i="305"/>
  <c r="V3" i="305"/>
  <c r="F3" i="305"/>
  <c r="N2" i="305"/>
  <c r="V4" i="304"/>
  <c r="F4" i="304"/>
  <c r="N3" i="304"/>
  <c r="V2" i="304"/>
  <c r="F2" i="304"/>
  <c r="N4" i="303"/>
  <c r="V3" i="303"/>
  <c r="F3" i="303"/>
  <c r="N2" i="303"/>
  <c r="U3" i="305"/>
  <c r="E3" i="305"/>
  <c r="M2" i="305"/>
  <c r="U4" i="304"/>
  <c r="M4" i="305"/>
  <c r="E4" i="304"/>
  <c r="M3" i="304"/>
  <c r="U2" i="304"/>
  <c r="E2" i="304"/>
  <c r="M4" i="303"/>
  <c r="U3" i="303"/>
  <c r="E3" i="303"/>
  <c r="M2" i="303"/>
  <c r="L4" i="305"/>
  <c r="T3" i="305"/>
  <c r="D3" i="305"/>
  <c r="L2" i="305"/>
  <c r="T4" i="304"/>
  <c r="D4" i="304"/>
  <c r="L3" i="304"/>
  <c r="T2" i="304"/>
  <c r="D2" i="304"/>
  <c r="L4" i="303"/>
  <c r="T3" i="303"/>
  <c r="D3" i="303"/>
  <c r="L2" i="303"/>
  <c r="K4" i="305"/>
  <c r="S3" i="305"/>
  <c r="C3" i="305"/>
  <c r="K2" i="305"/>
  <c r="S4" i="304"/>
  <c r="C4" i="304"/>
  <c r="K3" i="304"/>
  <c r="S2" i="304"/>
  <c r="C2" i="304"/>
  <c r="K4" i="303"/>
  <c r="S3" i="303"/>
  <c r="C3" i="303"/>
  <c r="K2" i="303"/>
  <c r="J4" i="305"/>
  <c r="R3" i="305"/>
  <c r="B3" i="305"/>
  <c r="J2" i="305"/>
  <c r="R4" i="304"/>
  <c r="B4" i="304"/>
  <c r="J3" i="304"/>
  <c r="R2" i="304"/>
  <c r="B2" i="304"/>
  <c r="J4" i="303"/>
  <c r="R3" i="303"/>
  <c r="B3" i="303"/>
  <c r="J2" i="303"/>
  <c r="B3" i="58"/>
  <c r="B4" i="58"/>
  <c r="B2" i="58"/>
  <c r="X4" i="227" l="1"/>
  <c r="H4" i="227"/>
  <c r="P3" i="227"/>
  <c r="X2" i="227"/>
  <c r="H2" i="227"/>
  <c r="P4" i="226"/>
  <c r="X3" i="226"/>
  <c r="H3" i="226"/>
  <c r="P2" i="226"/>
  <c r="X4" i="225"/>
  <c r="H4" i="225"/>
  <c r="P3" i="225"/>
  <c r="X2" i="225"/>
  <c r="H2" i="225"/>
  <c r="X4" i="199"/>
  <c r="H4" i="199"/>
  <c r="P3" i="199"/>
  <c r="X2" i="199"/>
  <c r="H2" i="199"/>
  <c r="P4" i="198"/>
  <c r="X3" i="198"/>
  <c r="H3" i="198"/>
  <c r="P2" i="198"/>
  <c r="C3" i="8"/>
  <c r="S3" i="8"/>
  <c r="K4" i="8"/>
  <c r="D2" i="8"/>
  <c r="T2" i="8"/>
  <c r="W4" i="227"/>
  <c r="G4" i="227"/>
  <c r="O3" i="227"/>
  <c r="W2" i="227"/>
  <c r="G2" i="227"/>
  <c r="O4" i="226"/>
  <c r="W3" i="226"/>
  <c r="G3" i="226"/>
  <c r="O2" i="226"/>
  <c r="W4" i="225"/>
  <c r="G4" i="225"/>
  <c r="O3" i="225"/>
  <c r="W2" i="225"/>
  <c r="G2" i="225"/>
  <c r="W4" i="199"/>
  <c r="G4" i="199"/>
  <c r="O3" i="199"/>
  <c r="W2" i="199"/>
  <c r="G2" i="199"/>
  <c r="O4" i="198"/>
  <c r="W3" i="198"/>
  <c r="G3" i="198"/>
  <c r="O2" i="198"/>
  <c r="D3" i="8"/>
  <c r="T3" i="8"/>
  <c r="L4" i="8"/>
  <c r="E2" i="8"/>
  <c r="U2" i="8"/>
  <c r="T4" i="227"/>
  <c r="D4" i="227"/>
  <c r="L3" i="227"/>
  <c r="T2" i="227"/>
  <c r="D2" i="227"/>
  <c r="L4" i="226"/>
  <c r="T3" i="226"/>
  <c r="D3" i="226"/>
  <c r="L2" i="226"/>
  <c r="T4" i="225"/>
  <c r="D4" i="225"/>
  <c r="L3" i="225"/>
  <c r="T2" i="225"/>
  <c r="D2" i="225"/>
  <c r="T4" i="199"/>
  <c r="D4" i="199"/>
  <c r="L3" i="199"/>
  <c r="T2" i="199"/>
  <c r="D2" i="199"/>
  <c r="L4" i="198"/>
  <c r="T3" i="198"/>
  <c r="D3" i="198"/>
  <c r="L2" i="198"/>
  <c r="G3" i="8"/>
  <c r="W3" i="8"/>
  <c r="O4" i="8"/>
  <c r="H2" i="8"/>
  <c r="X2" i="8"/>
  <c r="S4" i="227"/>
  <c r="C4" i="227"/>
  <c r="K3" i="227"/>
  <c r="S2" i="227"/>
  <c r="C2" i="227"/>
  <c r="K4" i="226"/>
  <c r="S3" i="226"/>
  <c r="C3" i="226"/>
  <c r="R4" i="227"/>
  <c r="B4" i="227"/>
  <c r="J3" i="227"/>
  <c r="R2" i="227"/>
  <c r="B2" i="227"/>
  <c r="J4" i="226"/>
  <c r="R3" i="226"/>
  <c r="B3" i="226"/>
  <c r="J2" i="226"/>
  <c r="R4" i="225"/>
  <c r="B4" i="225"/>
  <c r="J3" i="225"/>
  <c r="R2" i="225"/>
  <c r="B2" i="225"/>
  <c r="R4" i="199"/>
  <c r="B4" i="199"/>
  <c r="J3" i="199"/>
  <c r="R2" i="199"/>
  <c r="B2" i="199"/>
  <c r="J4" i="198"/>
  <c r="R3" i="198"/>
  <c r="B3" i="198"/>
  <c r="J2" i="198"/>
  <c r="I3" i="8"/>
  <c r="Y3" i="8"/>
  <c r="Q4" i="8"/>
  <c r="J2" i="8"/>
  <c r="B2" i="8"/>
  <c r="O4" i="227"/>
  <c r="W3" i="227"/>
  <c r="G3" i="227"/>
  <c r="O2" i="227"/>
  <c r="W4" i="226"/>
  <c r="G4" i="226"/>
  <c r="O3" i="226"/>
  <c r="W2" i="226"/>
  <c r="G2" i="226"/>
  <c r="O4" i="225"/>
  <c r="W3" i="225"/>
  <c r="G3" i="225"/>
  <c r="O2" i="225"/>
  <c r="O4" i="199"/>
  <c r="W3" i="199"/>
  <c r="G3" i="199"/>
  <c r="O2" i="199"/>
  <c r="W4" i="198"/>
  <c r="G4" i="198"/>
  <c r="O3" i="198"/>
  <c r="W2" i="198"/>
  <c r="G2" i="198"/>
  <c r="M4" i="227"/>
  <c r="M3" i="227"/>
  <c r="K2" i="227"/>
  <c r="H4" i="226"/>
  <c r="I3" i="226"/>
  <c r="F2" i="226"/>
  <c r="I4" i="225"/>
  <c r="H3" i="225"/>
  <c r="J2" i="225"/>
  <c r="P4" i="199"/>
  <c r="R3" i="199"/>
  <c r="Q2" i="199"/>
  <c r="S4" i="198"/>
  <c r="S3" i="198"/>
  <c r="T2" i="198"/>
  <c r="P3" i="8"/>
  <c r="N4" i="8"/>
  <c r="M2" i="8"/>
  <c r="Q3" i="199"/>
  <c r="Q3" i="8"/>
  <c r="P4" i="8"/>
  <c r="N2" i="8"/>
  <c r="N2" i="198"/>
  <c r="T4" i="8"/>
  <c r="Q2" i="8"/>
  <c r="L4" i="227"/>
  <c r="I3" i="227"/>
  <c r="J2" i="227"/>
  <c r="F4" i="226"/>
  <c r="F3" i="226"/>
  <c r="E2" i="226"/>
  <c r="F4" i="225"/>
  <c r="F3" i="225"/>
  <c r="I2" i="225"/>
  <c r="N4" i="199"/>
  <c r="P2" i="199"/>
  <c r="R4" i="198"/>
  <c r="Q3" i="198"/>
  <c r="S2" i="198"/>
  <c r="K4" i="227"/>
  <c r="H3" i="227"/>
  <c r="I2" i="227"/>
  <c r="E4" i="226"/>
  <c r="E3" i="226"/>
  <c r="D2" i="226"/>
  <c r="E4" i="225"/>
  <c r="E3" i="225"/>
  <c r="F2" i="225"/>
  <c r="M4" i="199"/>
  <c r="N3" i="199"/>
  <c r="N2" i="199"/>
  <c r="Q4" i="198"/>
  <c r="P3" i="198"/>
  <c r="R2" i="198"/>
  <c r="R3" i="8"/>
  <c r="R4" i="8"/>
  <c r="O2" i="8"/>
  <c r="M3" i="199"/>
  <c r="M2" i="199"/>
  <c r="N4" i="198"/>
  <c r="S4" i="8"/>
  <c r="I4" i="227"/>
  <c r="E2" i="227"/>
  <c r="C4" i="226"/>
  <c r="X2" i="226"/>
  <c r="B2" i="226"/>
  <c r="Y3" i="225"/>
  <c r="C3" i="225"/>
  <c r="C2" i="225"/>
  <c r="K4" i="199"/>
  <c r="L2" i="199"/>
  <c r="M3" i="198"/>
  <c r="V3" i="8"/>
  <c r="J4" i="227"/>
  <c r="F3" i="227"/>
  <c r="F2" i="227"/>
  <c r="D4" i="226"/>
  <c r="Y2" i="226"/>
  <c r="C2" i="226"/>
  <c r="C4" i="225"/>
  <c r="D3" i="225"/>
  <c r="E2" i="225"/>
  <c r="L4" i="199"/>
  <c r="N3" i="198"/>
  <c r="Q2" i="198"/>
  <c r="U3" i="8"/>
  <c r="P2" i="8"/>
  <c r="E3" i="227"/>
  <c r="K3" i="199"/>
  <c r="M4" i="198"/>
  <c r="F4" i="227"/>
  <c r="D3" i="227"/>
  <c r="Y4" i="226"/>
  <c r="B4" i="226"/>
  <c r="V2" i="226"/>
  <c r="Y4" i="225"/>
  <c r="X3" i="225"/>
  <c r="B3" i="225"/>
  <c r="J4" i="199"/>
  <c r="I3" i="199"/>
  <c r="K2" i="199"/>
  <c r="K4" i="198"/>
  <c r="L3" i="198"/>
  <c r="M2" i="198"/>
  <c r="X3" i="8"/>
  <c r="U4" i="8"/>
  <c r="R2" i="8"/>
  <c r="B4" i="8"/>
  <c r="I3" i="198"/>
  <c r="S2" i="225"/>
  <c r="E4" i="227"/>
  <c r="C3" i="227"/>
  <c r="X4" i="226"/>
  <c r="Y3" i="226"/>
  <c r="U2" i="226"/>
  <c r="V4" i="225"/>
  <c r="V3" i="225"/>
  <c r="Y2" i="225"/>
  <c r="I4" i="199"/>
  <c r="H3" i="199"/>
  <c r="J2" i="199"/>
  <c r="I4" i="198"/>
  <c r="K3" i="198"/>
  <c r="K2" i="198"/>
  <c r="B3" i="8"/>
  <c r="V4" i="8"/>
  <c r="S2" i="8"/>
  <c r="F3" i="8"/>
  <c r="X4" i="8"/>
  <c r="W2" i="8"/>
  <c r="Y3" i="227"/>
  <c r="B3" i="227"/>
  <c r="V4" i="226"/>
  <c r="V3" i="226"/>
  <c r="T2" i="226"/>
  <c r="U4" i="225"/>
  <c r="U3" i="225"/>
  <c r="V2" i="225"/>
  <c r="F4" i="199"/>
  <c r="F3" i="199"/>
  <c r="I2" i="199"/>
  <c r="H4" i="198"/>
  <c r="J3" i="198"/>
  <c r="I2" i="198"/>
  <c r="E3" i="8"/>
  <c r="C4" i="8"/>
  <c r="W4" i="8"/>
  <c r="V2" i="8"/>
  <c r="E3" i="199"/>
  <c r="V3" i="227"/>
  <c r="V2" i="227"/>
  <c r="T4" i="226"/>
  <c r="S3" i="225"/>
  <c r="X3" i="227"/>
  <c r="Y2" i="227"/>
  <c r="U4" i="226"/>
  <c r="U3" i="226"/>
  <c r="S2" i="226"/>
  <c r="S4" i="225"/>
  <c r="T3" i="225"/>
  <c r="U2" i="225"/>
  <c r="E4" i="199"/>
  <c r="F2" i="199"/>
  <c r="F4" i="198"/>
  <c r="H2" i="198"/>
  <c r="D4" i="8"/>
  <c r="Q3" i="226"/>
  <c r="R2" i="226"/>
  <c r="Q4" i="225"/>
  <c r="Y4" i="227"/>
  <c r="U3" i="227"/>
  <c r="U2" i="227"/>
  <c r="S4" i="226"/>
  <c r="P3" i="226"/>
  <c r="Q2" i="226"/>
  <c r="P4" i="225"/>
  <c r="R3" i="225"/>
  <c r="Q2" i="225"/>
  <c r="Y3" i="199"/>
  <c r="C3" i="199"/>
  <c r="C2" i="199"/>
  <c r="D4" i="198"/>
  <c r="E3" i="198"/>
  <c r="E2" i="198"/>
  <c r="Q4" i="227"/>
  <c r="R3" i="227"/>
  <c r="N2" i="227"/>
  <c r="N4" i="226"/>
  <c r="L3" i="226"/>
  <c r="K2" i="226"/>
  <c r="L4" i="225"/>
  <c r="M3" i="225"/>
  <c r="M2" i="225"/>
  <c r="P4" i="227"/>
  <c r="Q3" i="227"/>
  <c r="M2" i="227"/>
  <c r="M4" i="226"/>
  <c r="K3" i="226"/>
  <c r="I2" i="226"/>
  <c r="N4" i="227"/>
  <c r="N3" i="227"/>
  <c r="L2" i="227"/>
  <c r="I4" i="226"/>
  <c r="J3" i="226"/>
  <c r="H2" i="226"/>
  <c r="J4" i="225"/>
  <c r="I3" i="225"/>
  <c r="K2" i="225"/>
  <c r="M3" i="226"/>
  <c r="V4" i="199"/>
  <c r="E2" i="199"/>
  <c r="V2" i="198"/>
  <c r="M3" i="8"/>
  <c r="L2" i="8"/>
  <c r="X4" i="198"/>
  <c r="O3" i="8"/>
  <c r="Q4" i="199"/>
  <c r="E4" i="8"/>
  <c r="F4" i="8"/>
  <c r="B3" i="199"/>
  <c r="N2" i="226"/>
  <c r="U4" i="199"/>
  <c r="Y4" i="198"/>
  <c r="U2" i="198"/>
  <c r="N3" i="8"/>
  <c r="Y2" i="8"/>
  <c r="S4" i="199"/>
  <c r="V4" i="198"/>
  <c r="Y4" i="8"/>
  <c r="R4" i="226"/>
  <c r="V2" i="199"/>
  <c r="J3" i="8"/>
  <c r="L3" i="8"/>
  <c r="M2" i="226"/>
  <c r="F2" i="198"/>
  <c r="D2" i="198"/>
  <c r="G4" i="8"/>
  <c r="L2" i="225"/>
  <c r="C3" i="198"/>
  <c r="Y4" i="199"/>
  <c r="N4" i="225"/>
  <c r="M4" i="225"/>
  <c r="C4" i="199"/>
  <c r="U4" i="198"/>
  <c r="C2" i="198"/>
  <c r="K4" i="225"/>
  <c r="X3" i="199"/>
  <c r="T4" i="198"/>
  <c r="B2" i="198"/>
  <c r="X2" i="198"/>
  <c r="Q3" i="225"/>
  <c r="V3" i="199"/>
  <c r="E4" i="198"/>
  <c r="H4" i="8"/>
  <c r="Q2" i="227"/>
  <c r="U3" i="198"/>
  <c r="K2" i="8"/>
  <c r="V4" i="227"/>
  <c r="N3" i="225"/>
  <c r="U3" i="199"/>
  <c r="C4" i="198"/>
  <c r="I4" i="8"/>
  <c r="T3" i="227"/>
  <c r="P2" i="225"/>
  <c r="S3" i="199"/>
  <c r="Y3" i="198"/>
  <c r="M4" i="8"/>
  <c r="S3" i="227"/>
  <c r="N2" i="225"/>
  <c r="D3" i="199"/>
  <c r="H3" i="8"/>
  <c r="G2" i="8"/>
  <c r="U4" i="227"/>
  <c r="K3" i="225"/>
  <c r="T3" i="199"/>
  <c r="B4" i="198"/>
  <c r="J4" i="8"/>
  <c r="V3" i="198"/>
  <c r="C2" i="8"/>
  <c r="S2" i="199"/>
  <c r="P2" i="227"/>
  <c r="Y2" i="199"/>
  <c r="F3" i="198"/>
  <c r="F2" i="8"/>
  <c r="Q4" i="226"/>
  <c r="U2" i="199"/>
  <c r="Y2" i="198"/>
  <c r="K3" i="8"/>
  <c r="I2" i="8"/>
  <c r="N3" i="226"/>
  <c r="D2" i="59"/>
  <c r="T2" i="59"/>
  <c r="M3" i="59"/>
  <c r="F4" i="59"/>
  <c r="V4" i="59"/>
  <c r="E2" i="59"/>
  <c r="U2" i="59"/>
  <c r="N3" i="59"/>
  <c r="G4" i="59"/>
  <c r="W4" i="59"/>
  <c r="H2" i="59"/>
  <c r="X2" i="59"/>
  <c r="Q3" i="59"/>
  <c r="J4" i="59"/>
  <c r="B3" i="59"/>
  <c r="J2" i="59"/>
  <c r="C3" i="59"/>
  <c r="S3" i="59"/>
  <c r="L4" i="59"/>
  <c r="B2" i="59"/>
  <c r="W2" i="59"/>
  <c r="V3" i="59"/>
  <c r="S4" i="59"/>
  <c r="Y2" i="59"/>
  <c r="W3" i="59"/>
  <c r="T4" i="59"/>
  <c r="G2" i="59"/>
  <c r="C2" i="59"/>
  <c r="D3" i="59"/>
  <c r="X3" i="59"/>
  <c r="U4" i="59"/>
  <c r="F2" i="59"/>
  <c r="Y3" i="59"/>
  <c r="X4" i="59"/>
  <c r="E3" i="59"/>
  <c r="I2" i="59"/>
  <c r="G3" i="59"/>
  <c r="D4" i="59"/>
  <c r="B4" i="59"/>
  <c r="H3" i="59"/>
  <c r="E4" i="59"/>
  <c r="K2" i="59"/>
  <c r="M2" i="59"/>
  <c r="L2" i="59"/>
  <c r="I3" i="59"/>
  <c r="H4" i="59"/>
  <c r="J3" i="59"/>
  <c r="I4" i="59"/>
  <c r="Q2" i="59"/>
  <c r="O4" i="59"/>
  <c r="S2" i="59"/>
  <c r="V2" i="59"/>
  <c r="T3" i="59"/>
  <c r="U3" i="59"/>
  <c r="R2" i="59"/>
  <c r="P4" i="59"/>
  <c r="R4" i="59"/>
  <c r="K4" i="59"/>
  <c r="P2" i="59"/>
  <c r="Q4" i="59"/>
  <c r="F3" i="59"/>
  <c r="Y4" i="59"/>
  <c r="K3" i="59"/>
  <c r="L3" i="59"/>
  <c r="R3" i="59"/>
  <c r="N2" i="59"/>
  <c r="O3" i="59"/>
  <c r="C4" i="59"/>
  <c r="N4" i="59"/>
  <c r="P3" i="59"/>
  <c r="O2" i="59"/>
  <c r="M4" i="59"/>
  <c r="B8" i="1"/>
  <c r="I3" i="312" l="1"/>
  <c r="I3" i="273"/>
  <c r="I4" i="273"/>
  <c r="I2" i="273"/>
  <c r="I4" i="312"/>
  <c r="I2" i="312"/>
  <c r="U4" i="273"/>
  <c r="U2" i="273"/>
  <c r="U3" i="312"/>
  <c r="U3" i="273"/>
  <c r="U4" i="312"/>
  <c r="U2" i="312"/>
  <c r="J3" i="313"/>
  <c r="J3" i="274"/>
  <c r="J4" i="313"/>
  <c r="J2" i="313"/>
  <c r="J4" i="274"/>
  <c r="J2" i="274"/>
  <c r="J4" i="294"/>
  <c r="J3" i="296"/>
  <c r="J3" i="294"/>
  <c r="J2" i="294"/>
  <c r="J2" i="296"/>
  <c r="J3" i="295"/>
  <c r="J4" i="295"/>
  <c r="J4" i="296"/>
  <c r="J2" i="295"/>
  <c r="Y3" i="312"/>
  <c r="Y3" i="273"/>
  <c r="Y2" i="273"/>
  <c r="Y4" i="312"/>
  <c r="Y2" i="312"/>
  <c r="Y4" i="273"/>
  <c r="H3" i="273"/>
  <c r="H3" i="312"/>
  <c r="H4" i="312"/>
  <c r="H2" i="312"/>
  <c r="H4" i="273"/>
  <c r="H2" i="273"/>
  <c r="J3" i="273"/>
  <c r="J4" i="312"/>
  <c r="J2" i="312"/>
  <c r="J4" i="273"/>
  <c r="J2" i="273"/>
  <c r="J3" i="312"/>
  <c r="M3" i="313"/>
  <c r="M3" i="274"/>
  <c r="M2" i="274"/>
  <c r="M4" i="313"/>
  <c r="M2" i="313"/>
  <c r="M4" i="274"/>
  <c r="M2" i="294"/>
  <c r="M2" i="296"/>
  <c r="M4" i="295"/>
  <c r="M4" i="294"/>
  <c r="M3" i="295"/>
  <c r="M3" i="296"/>
  <c r="M2" i="295"/>
  <c r="M3" i="294"/>
  <c r="M4" i="296"/>
  <c r="K4" i="273"/>
  <c r="K2" i="273"/>
  <c r="K4" i="312"/>
  <c r="K2" i="312"/>
  <c r="K3" i="273"/>
  <c r="K3" i="312"/>
  <c r="K3" i="274"/>
  <c r="K4" i="274"/>
  <c r="K3" i="313"/>
  <c r="K2" i="274"/>
  <c r="K4" i="313"/>
  <c r="K2" i="313"/>
  <c r="K3" i="295"/>
  <c r="K3" i="294"/>
  <c r="K4" i="295"/>
  <c r="K3" i="296"/>
  <c r="K4" i="294"/>
  <c r="K2" i="294"/>
  <c r="K4" i="296"/>
  <c r="K2" i="296"/>
  <c r="K2" i="295"/>
  <c r="T3" i="273"/>
  <c r="T3" i="312"/>
  <c r="T4" i="312"/>
  <c r="T2" i="312"/>
  <c r="T4" i="273"/>
  <c r="T2" i="273"/>
  <c r="W4" i="273"/>
  <c r="W2" i="273"/>
  <c r="W3" i="312"/>
  <c r="W3" i="273"/>
  <c r="W4" i="312"/>
  <c r="W2" i="312"/>
  <c r="R2" i="273"/>
  <c r="R3" i="312"/>
  <c r="R3" i="273"/>
  <c r="R4" i="312"/>
  <c r="R2" i="312"/>
  <c r="R4" i="273"/>
  <c r="E4" i="273"/>
  <c r="E3" i="312"/>
  <c r="E3" i="273"/>
  <c r="E2" i="273"/>
  <c r="E4" i="312"/>
  <c r="E2" i="312"/>
  <c r="G2" i="273"/>
  <c r="G3" i="312"/>
  <c r="G3" i="273"/>
  <c r="G4" i="273"/>
  <c r="G4" i="312"/>
  <c r="G2" i="312"/>
  <c r="M4" i="312"/>
  <c r="M2" i="312"/>
  <c r="M4" i="273"/>
  <c r="M2" i="273"/>
  <c r="M3" i="273"/>
  <c r="M3" i="312"/>
  <c r="Y4" i="313"/>
  <c r="Y2" i="313"/>
  <c r="Y4" i="274"/>
  <c r="Y2" i="274"/>
  <c r="Y3" i="313"/>
  <c r="Y3" i="274"/>
  <c r="Y4" i="294"/>
  <c r="Y3" i="295"/>
  <c r="Y2" i="294"/>
  <c r="Y4" i="295"/>
  <c r="Y4" i="296"/>
  <c r="Y2" i="296"/>
  <c r="Y2" i="295"/>
  <c r="Y3" i="294"/>
  <c r="Y3" i="296"/>
  <c r="R4" i="313"/>
  <c r="R2" i="313"/>
  <c r="R4" i="274"/>
  <c r="R2" i="274"/>
  <c r="R3" i="313"/>
  <c r="R3" i="274"/>
  <c r="R3" i="296"/>
  <c r="R3" i="294"/>
  <c r="R4" i="296"/>
  <c r="R2" i="296"/>
  <c r="R3" i="295"/>
  <c r="R4" i="294"/>
  <c r="R4" i="295"/>
  <c r="R2" i="294"/>
  <c r="R2" i="295"/>
  <c r="F4" i="313"/>
  <c r="F2" i="313"/>
  <c r="F4" i="274"/>
  <c r="F2" i="274"/>
  <c r="F3" i="313"/>
  <c r="F3" i="274"/>
  <c r="F4" i="294"/>
  <c r="F3" i="294"/>
  <c r="F2" i="294"/>
  <c r="F3" i="296"/>
  <c r="F2" i="295"/>
  <c r="F2" i="296"/>
  <c r="F4" i="295"/>
  <c r="F4" i="296"/>
  <c r="F3" i="295"/>
  <c r="P3" i="274"/>
  <c r="P3" i="313"/>
  <c r="P2" i="274"/>
  <c r="P2" i="313"/>
  <c r="P4" i="274"/>
  <c r="P4" i="313"/>
  <c r="P3" i="295"/>
  <c r="P2" i="294"/>
  <c r="P3" i="294"/>
  <c r="P2" i="295"/>
  <c r="P4" i="294"/>
  <c r="P4" i="296"/>
  <c r="P4" i="295"/>
  <c r="P3" i="296"/>
  <c r="P2" i="296"/>
  <c r="B4" i="273"/>
  <c r="B2" i="273"/>
  <c r="B3" i="312"/>
  <c r="B3" i="273"/>
  <c r="B4" i="312"/>
  <c r="B2" i="312"/>
  <c r="W4" i="313"/>
  <c r="W2" i="313"/>
  <c r="W4" i="274"/>
  <c r="W2" i="274"/>
  <c r="W3" i="274"/>
  <c r="W3" i="313"/>
  <c r="W3" i="294"/>
  <c r="W2" i="294"/>
  <c r="W2" i="296"/>
  <c r="W3" i="296"/>
  <c r="W4" i="296"/>
  <c r="W2" i="295"/>
  <c r="W4" i="295"/>
  <c r="W4" i="294"/>
  <c r="W3" i="295"/>
  <c r="P4" i="273"/>
  <c r="P2" i="273"/>
  <c r="P4" i="312"/>
  <c r="P2" i="312"/>
  <c r="P3" i="312"/>
  <c r="P3" i="273"/>
  <c r="S3" i="273"/>
  <c r="S4" i="273"/>
  <c r="S3" i="312"/>
  <c r="S2" i="273"/>
  <c r="S4" i="312"/>
  <c r="S2" i="312"/>
  <c r="D3" i="273"/>
  <c r="D3" i="312"/>
  <c r="D4" i="312"/>
  <c r="D2" i="312"/>
  <c r="D4" i="273"/>
  <c r="D2" i="273"/>
  <c r="E4" i="313"/>
  <c r="E2" i="313"/>
  <c r="E4" i="274"/>
  <c r="E2" i="274"/>
  <c r="E3" i="274"/>
  <c r="E3" i="313"/>
  <c r="E3" i="296"/>
  <c r="E4" i="296"/>
  <c r="E3" i="294"/>
  <c r="E3" i="295"/>
  <c r="E2" i="295"/>
  <c r="E4" i="295"/>
  <c r="E2" i="294"/>
  <c r="E4" i="294"/>
  <c r="E2" i="296"/>
  <c r="N4" i="312"/>
  <c r="N2" i="312"/>
  <c r="N4" i="273"/>
  <c r="N2" i="273"/>
  <c r="N3" i="312"/>
  <c r="N3" i="273"/>
  <c r="V3" i="312"/>
  <c r="V3" i="273"/>
  <c r="V4" i="312"/>
  <c r="V2" i="312"/>
  <c r="V4" i="273"/>
  <c r="V2" i="273"/>
  <c r="B4" i="313"/>
  <c r="B2" i="313"/>
  <c r="B4" i="274"/>
  <c r="B2" i="274"/>
  <c r="B3" i="313"/>
  <c r="B3" i="274"/>
  <c r="B3" i="294"/>
  <c r="B4" i="296"/>
  <c r="B2" i="296"/>
  <c r="B3" i="296"/>
  <c r="B3" i="295"/>
  <c r="B4" i="295"/>
  <c r="B2" i="295"/>
  <c r="B2" i="294"/>
  <c r="B4" i="294"/>
  <c r="X4" i="274"/>
  <c r="X2" i="274"/>
  <c r="X4" i="313"/>
  <c r="X2" i="313"/>
  <c r="X3" i="274"/>
  <c r="X3" i="313"/>
  <c r="X4" i="296"/>
  <c r="X4" i="294"/>
  <c r="X2" i="295"/>
  <c r="X2" i="294"/>
  <c r="X3" i="294"/>
  <c r="X3" i="295"/>
  <c r="X3" i="296"/>
  <c r="X4" i="295"/>
  <c r="X2" i="296"/>
  <c r="G4" i="313"/>
  <c r="G2" i="313"/>
  <c r="G4" i="274"/>
  <c r="G2" i="274"/>
  <c r="G3" i="274"/>
  <c r="G3" i="313"/>
  <c r="G3" i="294"/>
  <c r="G2" i="294"/>
  <c r="G2" i="296"/>
  <c r="G3" i="295"/>
  <c r="G3" i="296"/>
  <c r="G4" i="296"/>
  <c r="G4" i="295"/>
  <c r="G2" i="295"/>
  <c r="G4" i="294"/>
  <c r="O3" i="313"/>
  <c r="O3" i="274"/>
  <c r="O4" i="274"/>
  <c r="O2" i="274"/>
  <c r="O4" i="313"/>
  <c r="O2" i="313"/>
  <c r="O2" i="296"/>
  <c r="O2" i="294"/>
  <c r="O2" i="295"/>
  <c r="O4" i="296"/>
  <c r="O3" i="296"/>
  <c r="O4" i="295"/>
  <c r="O3" i="295"/>
  <c r="O4" i="294"/>
  <c r="O3" i="294"/>
  <c r="C4" i="273"/>
  <c r="C3" i="273"/>
  <c r="C2" i="273"/>
  <c r="C3" i="312"/>
  <c r="C4" i="312"/>
  <c r="C2" i="312"/>
  <c r="V4" i="313"/>
  <c r="V2" i="313"/>
  <c r="V4" i="274"/>
  <c r="V2" i="274"/>
  <c r="V3" i="313"/>
  <c r="V3" i="274"/>
  <c r="V4" i="295"/>
  <c r="V2" i="294"/>
  <c r="V2" i="295"/>
  <c r="V3" i="296"/>
  <c r="V4" i="296"/>
  <c r="V2" i="296"/>
  <c r="V3" i="294"/>
  <c r="V3" i="295"/>
  <c r="V4" i="294"/>
  <c r="I4" i="313"/>
  <c r="I2" i="313"/>
  <c r="I4" i="274"/>
  <c r="I2" i="274"/>
  <c r="I3" i="313"/>
  <c r="I3" i="274"/>
  <c r="I3" i="296"/>
  <c r="I2" i="294"/>
  <c r="I4" i="296"/>
  <c r="I4" i="294"/>
  <c r="I2" i="295"/>
  <c r="I4" i="295"/>
  <c r="I3" i="294"/>
  <c r="I3" i="295"/>
  <c r="I2" i="296"/>
  <c r="F3" i="312"/>
  <c r="F3" i="273"/>
  <c r="F4" i="312"/>
  <c r="F2" i="312"/>
  <c r="F4" i="273"/>
  <c r="F2" i="273"/>
  <c r="S2" i="274"/>
  <c r="S4" i="274"/>
  <c r="S4" i="313"/>
  <c r="S2" i="313"/>
  <c r="S3" i="274"/>
  <c r="S3" i="313"/>
  <c r="S4" i="295"/>
  <c r="S4" i="294"/>
  <c r="S2" i="294"/>
  <c r="S3" i="294"/>
  <c r="S3" i="296"/>
  <c r="S2" i="295"/>
  <c r="S4" i="296"/>
  <c r="S2" i="296"/>
  <c r="S3" i="295"/>
  <c r="L4" i="273"/>
  <c r="L2" i="273"/>
  <c r="L4" i="312"/>
  <c r="L2" i="312"/>
  <c r="L3" i="312"/>
  <c r="L3" i="273"/>
  <c r="Q4" i="312"/>
  <c r="Q2" i="312"/>
  <c r="Q4" i="273"/>
  <c r="Q2" i="273"/>
  <c r="Q3" i="273"/>
  <c r="Q3" i="312"/>
  <c r="L3" i="274"/>
  <c r="L3" i="313"/>
  <c r="L4" i="313"/>
  <c r="L2" i="313"/>
  <c r="L4" i="274"/>
  <c r="L2" i="274"/>
  <c r="L4" i="296"/>
  <c r="L4" i="295"/>
  <c r="L3" i="295"/>
  <c r="L2" i="296"/>
  <c r="L3" i="294"/>
  <c r="L4" i="294"/>
  <c r="L2" i="295"/>
  <c r="L2" i="294"/>
  <c r="L3" i="296"/>
  <c r="C3" i="274"/>
  <c r="C2" i="274"/>
  <c r="C4" i="274"/>
  <c r="C4" i="313"/>
  <c r="C2" i="313"/>
  <c r="C3" i="313"/>
  <c r="C4" i="294"/>
  <c r="C4" i="296"/>
  <c r="C4" i="295"/>
  <c r="C2" i="294"/>
  <c r="C2" i="295"/>
  <c r="C3" i="294"/>
  <c r="C3" i="295"/>
  <c r="C2" i="296"/>
  <c r="C3" i="296"/>
  <c r="H2" i="274"/>
  <c r="H4" i="313"/>
  <c r="H2" i="313"/>
  <c r="H4" i="274"/>
  <c r="H3" i="313"/>
  <c r="H3" i="274"/>
  <c r="H2" i="295"/>
  <c r="H3" i="296"/>
  <c r="H2" i="294"/>
  <c r="H2" i="296"/>
  <c r="H3" i="294"/>
  <c r="H4" i="294"/>
  <c r="H4" i="296"/>
  <c r="H3" i="295"/>
  <c r="H4" i="295"/>
  <c r="U3" i="274"/>
  <c r="U4" i="313"/>
  <c r="U2" i="313"/>
  <c r="U4" i="274"/>
  <c r="U2" i="274"/>
  <c r="U3" i="313"/>
  <c r="U4" i="296"/>
  <c r="U3" i="295"/>
  <c r="U4" i="295"/>
  <c r="U3" i="294"/>
  <c r="U2" i="295"/>
  <c r="U2" i="296"/>
  <c r="U4" i="294"/>
  <c r="U3" i="296"/>
  <c r="U2" i="294"/>
  <c r="N3" i="313"/>
  <c r="N3" i="274"/>
  <c r="N4" i="313"/>
  <c r="N2" i="313"/>
  <c r="N4" i="274"/>
  <c r="N2" i="274"/>
  <c r="N3" i="296"/>
  <c r="N3" i="294"/>
  <c r="N4" i="296"/>
  <c r="N2" i="295"/>
  <c r="N2" i="296"/>
  <c r="N4" i="294"/>
  <c r="N3" i="295"/>
  <c r="N4" i="295"/>
  <c r="N2" i="294"/>
  <c r="O4" i="312"/>
  <c r="O2" i="312"/>
  <c r="O4" i="273"/>
  <c r="O2" i="273"/>
  <c r="O3" i="273"/>
  <c r="O3" i="312"/>
  <c r="X3" i="273"/>
  <c r="X3" i="312"/>
  <c r="X4" i="273"/>
  <c r="X4" i="312"/>
  <c r="X2" i="312"/>
  <c r="X2" i="273"/>
  <c r="T4" i="274"/>
  <c r="T2" i="274"/>
  <c r="T4" i="313"/>
  <c r="T2" i="313"/>
  <c r="T3" i="313"/>
  <c r="T3" i="274"/>
  <c r="T3" i="295"/>
  <c r="T3" i="296"/>
  <c r="T2" i="295"/>
  <c r="T3" i="294"/>
  <c r="T4" i="295"/>
  <c r="T4" i="294"/>
  <c r="T2" i="294"/>
  <c r="T2" i="296"/>
  <c r="T4" i="296"/>
  <c r="Q3" i="313"/>
  <c r="Q3" i="274"/>
  <c r="Q4" i="313"/>
  <c r="Q2" i="313"/>
  <c r="Q4" i="274"/>
  <c r="Q2" i="274"/>
  <c r="Q4" i="294"/>
  <c r="Q2" i="296"/>
  <c r="Q3" i="294"/>
  <c r="Q3" i="296"/>
  <c r="Q3" i="295"/>
  <c r="Q4" i="295"/>
  <c r="Q2" i="294"/>
  <c r="Q4" i="296"/>
  <c r="Q2" i="295"/>
  <c r="D4" i="274"/>
  <c r="D2" i="274"/>
  <c r="D4" i="313"/>
  <c r="D2" i="313"/>
  <c r="D3" i="313"/>
  <c r="D3" i="274"/>
  <c r="D2" i="296"/>
  <c r="D3" i="296"/>
  <c r="D3" i="295"/>
  <c r="D4" i="295"/>
  <c r="D2" i="295"/>
  <c r="D4" i="294"/>
  <c r="D4" i="296"/>
  <c r="D2" i="294"/>
  <c r="D3" i="294"/>
  <c r="H4" i="217"/>
  <c r="M2" i="29"/>
  <c r="P4" i="192"/>
  <c r="K2" i="218"/>
  <c r="V3" i="192"/>
  <c r="I3" i="218"/>
  <c r="B2" i="192"/>
  <c r="Y3" i="218"/>
  <c r="W3" i="217"/>
  <c r="S2" i="192"/>
  <c r="O2" i="192"/>
  <c r="R3" i="216"/>
  <c r="U3" i="218"/>
  <c r="C4" i="29"/>
  <c r="G4" i="217"/>
  <c r="E2" i="29"/>
  <c r="N2" i="216"/>
  <c r="T2" i="193"/>
  <c r="Q3" i="193"/>
  <c r="D4" i="193"/>
  <c r="T4" i="69"/>
  <c r="D2" i="29"/>
  <c r="B2" i="68"/>
  <c r="N4" i="68"/>
  <c r="S3" i="68"/>
  <c r="Q2" i="218"/>
  <c r="X4" i="69"/>
  <c r="D4" i="68"/>
  <c r="O2" i="68"/>
  <c r="Y2" i="217"/>
  <c r="S3" i="192"/>
  <c r="T4" i="216"/>
  <c r="D2" i="216"/>
  <c r="D2" i="68"/>
  <c r="S2" i="216"/>
  <c r="D3" i="68"/>
  <c r="K2" i="68"/>
  <c r="T4" i="68"/>
  <c r="W4" i="68"/>
  <c r="Q3" i="217"/>
  <c r="R2" i="68"/>
  <c r="E2" i="68"/>
  <c r="W2" i="69"/>
  <c r="R2" i="216"/>
  <c r="N2" i="193"/>
  <c r="N3" i="193"/>
  <c r="N4" i="193"/>
  <c r="N2" i="217"/>
  <c r="Y3" i="216"/>
  <c r="W2" i="68"/>
  <c r="W2" i="29"/>
  <c r="N3" i="217"/>
  <c r="S3" i="29"/>
  <c r="T3" i="218"/>
  <c r="Q2" i="68"/>
  <c r="I4" i="193"/>
  <c r="E3" i="69"/>
  <c r="Y3" i="69"/>
  <c r="Y2" i="193"/>
  <c r="Y4" i="69"/>
  <c r="N3" i="68"/>
  <c r="Q2" i="69"/>
  <c r="Q4" i="217"/>
  <c r="I2" i="69"/>
  <c r="T2" i="69"/>
  <c r="T2" i="68"/>
  <c r="L2" i="69"/>
  <c r="E2" i="69"/>
  <c r="M3" i="68"/>
  <c r="S4" i="192"/>
  <c r="R3" i="29"/>
  <c r="W3" i="29"/>
  <c r="U2" i="29"/>
  <c r="S2" i="218"/>
  <c r="I4" i="216"/>
  <c r="K3" i="68"/>
  <c r="M2" i="69"/>
  <c r="Q4" i="29"/>
  <c r="D4" i="216"/>
  <c r="Q4" i="192"/>
  <c r="L4" i="68"/>
  <c r="E2" i="216"/>
  <c r="O3" i="68"/>
  <c r="T2" i="29"/>
  <c r="O4" i="68"/>
  <c r="I2" i="193"/>
  <c r="P3" i="218"/>
  <c r="V2" i="218"/>
  <c r="E2" i="217"/>
  <c r="T4" i="192"/>
  <c r="I2" i="218"/>
  <c r="W3" i="68"/>
  <c r="M3" i="69"/>
  <c r="E4" i="192"/>
  <c r="E3" i="29"/>
  <c r="N4" i="29"/>
  <c r="D3" i="217"/>
  <c r="T3" i="193"/>
  <c r="E4" i="69"/>
  <c r="N2" i="68"/>
  <c r="P2" i="68"/>
  <c r="V3" i="29"/>
  <c r="T2" i="216"/>
  <c r="U4" i="216"/>
  <c r="Q4" i="216"/>
  <c r="N2" i="29"/>
  <c r="E3" i="216"/>
  <c r="R4" i="192"/>
  <c r="P2" i="193"/>
  <c r="H3" i="217"/>
  <c r="T3" i="216"/>
  <c r="S4" i="69"/>
  <c r="I3" i="69"/>
  <c r="R3" i="69"/>
  <c r="N4" i="217"/>
  <c r="S4" i="216"/>
  <c r="V4" i="29"/>
  <c r="U2" i="192"/>
  <c r="M4" i="193"/>
  <c r="I4" i="217"/>
  <c r="D4" i="217"/>
  <c r="S2" i="69"/>
  <c r="R4" i="69"/>
  <c r="U3" i="216"/>
  <c r="B3" i="29"/>
  <c r="B2" i="216"/>
  <c r="Q3" i="192"/>
  <c r="E4" i="218"/>
  <c r="I2" i="216"/>
  <c r="E2" i="192"/>
  <c r="D3" i="218"/>
  <c r="T4" i="29"/>
  <c r="R2" i="69"/>
  <c r="O4" i="29"/>
  <c r="S3" i="193"/>
  <c r="U2" i="216"/>
  <c r="Y4" i="193"/>
  <c r="V2" i="217"/>
  <c r="V3" i="217"/>
  <c r="T2" i="192"/>
  <c r="B4" i="216"/>
  <c r="I2" i="217"/>
  <c r="D3" i="192"/>
  <c r="V3" i="193"/>
  <c r="D2" i="69"/>
  <c r="Y2" i="69"/>
  <c r="P4" i="69"/>
  <c r="E4" i="68"/>
  <c r="U2" i="217"/>
  <c r="S3" i="217"/>
  <c r="V4" i="193"/>
  <c r="D3" i="29"/>
  <c r="Q2" i="217"/>
  <c r="T2" i="218"/>
  <c r="U2" i="218"/>
  <c r="N4" i="192"/>
  <c r="V4" i="217"/>
  <c r="E3" i="218"/>
  <c r="D2" i="193"/>
  <c r="O2" i="193"/>
  <c r="B4" i="68"/>
  <c r="E2" i="193"/>
  <c r="S4" i="193"/>
  <c r="T3" i="69"/>
  <c r="B3" i="69"/>
  <c r="Q3" i="218"/>
  <c r="Q2" i="216"/>
  <c r="R4" i="68"/>
  <c r="R4" i="216"/>
  <c r="T3" i="29"/>
  <c r="D2" i="218"/>
  <c r="B2" i="29"/>
  <c r="N3" i="216"/>
  <c r="V4" i="216"/>
  <c r="B3" i="68"/>
  <c r="V4" i="69"/>
  <c r="R3" i="217"/>
  <c r="I3" i="192"/>
  <c r="N3" i="218"/>
  <c r="S3" i="218"/>
  <c r="T4" i="218"/>
  <c r="V3" i="69"/>
  <c r="N2" i="69"/>
  <c r="V2" i="69"/>
  <c r="Q3" i="69"/>
  <c r="R3" i="68"/>
  <c r="N4" i="69"/>
  <c r="D3" i="69"/>
  <c r="E4" i="29"/>
  <c r="T3" i="217"/>
  <c r="V3" i="216"/>
  <c r="N2" i="218"/>
  <c r="D4" i="192"/>
  <c r="Q2" i="192"/>
  <c r="Y4" i="216"/>
  <c r="Y4" i="218"/>
  <c r="N4" i="216"/>
  <c r="B3" i="218"/>
  <c r="R2" i="192"/>
  <c r="S2" i="29"/>
  <c r="E3" i="193"/>
  <c r="T3" i="68"/>
  <c r="V2" i="68"/>
  <c r="R4" i="218"/>
  <c r="Q4" i="69"/>
  <c r="N3" i="69"/>
  <c r="Q4" i="68"/>
  <c r="X4" i="68"/>
  <c r="I2" i="192"/>
  <c r="S4" i="217"/>
  <c r="B4" i="29"/>
  <c r="Q4" i="218"/>
  <c r="S2" i="217"/>
  <c r="I4" i="192"/>
  <c r="B3" i="217"/>
  <c r="E4" i="216"/>
  <c r="D2" i="192"/>
  <c r="I3" i="217"/>
  <c r="Q3" i="29"/>
  <c r="M3" i="218"/>
  <c r="E4" i="217"/>
  <c r="C2" i="192"/>
  <c r="G2" i="29"/>
  <c r="K4" i="217"/>
  <c r="O3" i="218"/>
  <c r="R2" i="29"/>
  <c r="B4" i="193"/>
  <c r="R2" i="217"/>
  <c r="G4" i="29"/>
  <c r="O4" i="192"/>
  <c r="G3" i="216"/>
  <c r="X3" i="218"/>
  <c r="F2" i="235"/>
  <c r="F3" i="235"/>
  <c r="F4" i="235"/>
  <c r="J3" i="235"/>
  <c r="J2" i="235"/>
  <c r="J4" i="235"/>
  <c r="F3" i="29"/>
  <c r="L4" i="69"/>
  <c r="U4" i="234"/>
  <c r="U3" i="234"/>
  <c r="U2" i="234"/>
  <c r="L3" i="192"/>
  <c r="C3" i="216"/>
  <c r="F2" i="216"/>
  <c r="K2" i="216"/>
  <c r="J4" i="29"/>
  <c r="G4" i="218"/>
  <c r="Y4" i="29"/>
  <c r="R4" i="193"/>
  <c r="J3" i="217"/>
  <c r="O3" i="29"/>
  <c r="T4" i="217"/>
  <c r="G2" i="193"/>
  <c r="W3" i="216"/>
  <c r="P4" i="218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C3" i="193"/>
  <c r="X4" i="29"/>
  <c r="C4" i="216"/>
  <c r="F3" i="216"/>
  <c r="C3" i="218"/>
  <c r="J3" i="29"/>
  <c r="J3" i="218"/>
  <c r="W2" i="192"/>
  <c r="Y2" i="29"/>
  <c r="W4" i="218"/>
  <c r="I4" i="29"/>
  <c r="B4" i="217"/>
  <c r="L2" i="218"/>
  <c r="W2" i="193"/>
  <c r="O4" i="216"/>
  <c r="I2" i="234"/>
  <c r="I4" i="234"/>
  <c r="I3" i="234"/>
  <c r="X2" i="68"/>
  <c r="M4" i="69"/>
  <c r="X4" i="216"/>
  <c r="C4" i="218"/>
  <c r="J2" i="217"/>
  <c r="M2" i="216"/>
  <c r="H4" i="218"/>
  <c r="R4" i="217"/>
  <c r="O3" i="193"/>
  <c r="G2" i="217"/>
  <c r="P2" i="192"/>
  <c r="L3" i="235"/>
  <c r="L2" i="235"/>
  <c r="L4" i="235"/>
  <c r="L3" i="216"/>
  <c r="F4" i="29"/>
  <c r="J2" i="218"/>
  <c r="G4" i="193"/>
  <c r="W2" i="217"/>
  <c r="H3" i="192"/>
  <c r="K4" i="216"/>
  <c r="F2" i="29"/>
  <c r="H3" i="29"/>
  <c r="G2" i="216"/>
  <c r="L4" i="218"/>
  <c r="W4" i="193"/>
  <c r="O3" i="217"/>
  <c r="X3" i="192"/>
  <c r="P2" i="216"/>
  <c r="C4" i="217"/>
  <c r="K4" i="29"/>
  <c r="F2" i="218"/>
  <c r="K2" i="217"/>
  <c r="H4" i="29"/>
  <c r="W2" i="216"/>
  <c r="R3" i="218"/>
  <c r="D4" i="29"/>
  <c r="H3" i="216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X2" i="29"/>
  <c r="P3" i="216"/>
  <c r="Y2" i="216"/>
  <c r="Y4" i="217"/>
  <c r="C2" i="218"/>
  <c r="F3" i="218"/>
  <c r="H2" i="29"/>
  <c r="Y2" i="192"/>
  <c r="I3" i="29"/>
  <c r="O3" i="216"/>
  <c r="J4" i="218"/>
  <c r="L2" i="192"/>
  <c r="L3" i="29"/>
  <c r="W4" i="217"/>
  <c r="H2" i="193"/>
  <c r="X3" i="216"/>
  <c r="J2" i="29"/>
  <c r="J4" i="217"/>
  <c r="O2" i="218"/>
  <c r="X2" i="193"/>
  <c r="P4" i="216"/>
  <c r="C2" i="216"/>
  <c r="M2" i="193"/>
  <c r="U3" i="235"/>
  <c r="U2" i="235"/>
  <c r="U4" i="235"/>
  <c r="J2" i="193"/>
  <c r="Y3" i="193"/>
  <c r="B3" i="193"/>
  <c r="M3" i="192"/>
  <c r="U3" i="217"/>
  <c r="V3" i="218"/>
  <c r="C2" i="217"/>
  <c r="O2" i="29"/>
  <c r="M3" i="193"/>
  <c r="B4" i="218"/>
  <c r="M4" i="29"/>
  <c r="J3" i="216"/>
  <c r="U4" i="192"/>
  <c r="H2" i="218"/>
  <c r="G2" i="192"/>
  <c r="M2" i="217"/>
  <c r="G3" i="193"/>
  <c r="W4" i="216"/>
  <c r="J2" i="192"/>
  <c r="T3" i="192"/>
  <c r="L2" i="216"/>
  <c r="G3" i="218"/>
  <c r="P3" i="193"/>
  <c r="H2" i="217"/>
  <c r="X4" i="192"/>
  <c r="X3" i="217"/>
  <c r="U4" i="68"/>
  <c r="G3" i="234"/>
  <c r="G4" i="234"/>
  <c r="G2" i="234"/>
  <c r="G4" i="216"/>
  <c r="W4" i="69"/>
  <c r="U2" i="68"/>
  <c r="I4" i="68"/>
  <c r="H4" i="69"/>
  <c r="D3" i="234"/>
  <c r="D4" i="234"/>
  <c r="D2" i="234"/>
  <c r="E3" i="235"/>
  <c r="E2" i="235"/>
  <c r="E4" i="235"/>
  <c r="E4" i="193"/>
  <c r="G4" i="192"/>
  <c r="C3" i="29"/>
  <c r="F4" i="192"/>
  <c r="U4" i="217"/>
  <c r="U4" i="218"/>
  <c r="C3" i="217"/>
  <c r="L4" i="193"/>
  <c r="X4" i="218"/>
  <c r="P3" i="29"/>
  <c r="X2" i="192"/>
  <c r="H4" i="216"/>
  <c r="S2" i="193"/>
  <c r="E3" i="192"/>
  <c r="M3" i="217"/>
  <c r="W3" i="193"/>
  <c r="O2" i="217"/>
  <c r="B3" i="192"/>
  <c r="L4" i="192"/>
  <c r="D3" i="216"/>
  <c r="W3" i="218"/>
  <c r="L2" i="29"/>
  <c r="H4" i="193"/>
  <c r="X2" i="217"/>
  <c r="F3" i="217"/>
  <c r="P4" i="193"/>
  <c r="F4" i="218"/>
  <c r="F2" i="192"/>
  <c r="C4" i="192"/>
  <c r="L4" i="217"/>
  <c r="O4" i="193"/>
  <c r="G3" i="217"/>
  <c r="R3" i="192"/>
  <c r="J2" i="216"/>
  <c r="O4" i="218"/>
  <c r="S4" i="29"/>
  <c r="X4" i="193"/>
  <c r="P3" i="217"/>
  <c r="L2" i="68"/>
  <c r="G2" i="68"/>
  <c r="P2" i="69"/>
  <c r="M4" i="68"/>
  <c r="E2" i="234"/>
  <c r="E4" i="234"/>
  <c r="E3" i="234"/>
  <c r="H3" i="193"/>
  <c r="G3" i="68"/>
  <c r="C4" i="69"/>
  <c r="C3" i="69"/>
  <c r="Y3" i="68"/>
  <c r="W3" i="69"/>
  <c r="P3" i="192"/>
  <c r="Y3" i="217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M4" i="218"/>
  <c r="U3" i="29"/>
  <c r="G3" i="29"/>
  <c r="B2" i="218"/>
  <c r="I3" i="216"/>
  <c r="Q2" i="193"/>
  <c r="F4" i="217"/>
  <c r="Q4" i="193"/>
  <c r="M3" i="216"/>
  <c r="C3" i="192"/>
  <c r="W4" i="192"/>
  <c r="J4" i="192"/>
  <c r="B3" i="216"/>
  <c r="L4" i="216"/>
  <c r="C4" i="235"/>
  <c r="C2" i="235"/>
  <c r="C3" i="235"/>
  <c r="X3" i="69"/>
  <c r="H4" i="235"/>
  <c r="H2" i="235"/>
  <c r="H3" i="235"/>
  <c r="X2" i="216"/>
  <c r="X2" i="69"/>
  <c r="K4" i="234"/>
  <c r="K2" i="234"/>
  <c r="K3" i="234"/>
  <c r="K3" i="235"/>
  <c r="K2" i="235"/>
  <c r="K4" i="235"/>
  <c r="T3" i="234"/>
  <c r="T2" i="234"/>
  <c r="T4" i="234"/>
  <c r="H4" i="192"/>
  <c r="R3" i="234"/>
  <c r="R4" i="234"/>
  <c r="R2" i="234"/>
  <c r="G4" i="69"/>
  <c r="U3" i="68"/>
  <c r="M3" i="234"/>
  <c r="M2" i="234"/>
  <c r="M4" i="234"/>
  <c r="P4" i="234"/>
  <c r="P2" i="234"/>
  <c r="P3" i="234"/>
  <c r="F3" i="193"/>
  <c r="J4" i="69"/>
  <c r="F2" i="68"/>
  <c r="L3" i="218"/>
  <c r="F4" i="193"/>
  <c r="S4" i="218"/>
  <c r="K2" i="193"/>
  <c r="P4" i="29"/>
  <c r="L2" i="193"/>
  <c r="X2" i="218"/>
  <c r="F4" i="216"/>
  <c r="U3" i="192"/>
  <c r="R3" i="193"/>
  <c r="E2" i="218"/>
  <c r="M4" i="216"/>
  <c r="I2" i="29"/>
  <c r="B4" i="192"/>
  <c r="V2" i="193"/>
  <c r="K3" i="218"/>
  <c r="O4" i="217"/>
  <c r="B2" i="193"/>
  <c r="L3" i="193"/>
  <c r="D2" i="217"/>
  <c r="K3" i="29"/>
  <c r="X4" i="217"/>
  <c r="L3" i="68"/>
  <c r="P3" i="69"/>
  <c r="Y3" i="29"/>
  <c r="Y2" i="218"/>
  <c r="M3" i="2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H2" i="192"/>
  <c r="L4" i="234"/>
  <c r="L2" i="234"/>
  <c r="L3" i="234"/>
  <c r="K2" i="192"/>
  <c r="F3" i="192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M2" i="192"/>
  <c r="N2" i="192"/>
  <c r="S3" i="216"/>
  <c r="F2" i="193"/>
  <c r="R2" i="218"/>
  <c r="U4" i="29"/>
  <c r="V2" i="216"/>
  <c r="N3" i="192"/>
  <c r="K4" i="218"/>
  <c r="N4" i="218"/>
  <c r="I3" i="193"/>
  <c r="K3" i="193"/>
  <c r="O3" i="192"/>
  <c r="F2" i="217"/>
  <c r="D4" i="218"/>
  <c r="L2" i="217"/>
  <c r="L4" i="29"/>
  <c r="V4" i="192"/>
  <c r="U3" i="193"/>
  <c r="I4" i="218"/>
  <c r="G2" i="218"/>
  <c r="R2" i="193"/>
  <c r="J4" i="216"/>
  <c r="P2" i="29"/>
  <c r="T2" i="217"/>
  <c r="G3" i="192"/>
  <c r="P2" i="218"/>
  <c r="Q2" i="234"/>
  <c r="Q4" i="234"/>
  <c r="Q3" i="234"/>
  <c r="Y4" i="235"/>
  <c r="Y3" i="235"/>
  <c r="Y2" i="235"/>
  <c r="P4" i="217"/>
  <c r="Y3" i="192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K4" i="192"/>
  <c r="J3" i="192"/>
  <c r="C2" i="29"/>
  <c r="R4" i="29"/>
  <c r="M4" i="217"/>
  <c r="H2" i="216"/>
  <c r="J2" i="69"/>
  <c r="H4" i="68"/>
  <c r="I2" i="68"/>
  <c r="B4" i="235"/>
  <c r="B2" i="235"/>
  <c r="B3" i="235"/>
  <c r="X3" i="29"/>
  <c r="M2" i="218"/>
  <c r="M4" i="192"/>
  <c r="F3" i="69"/>
  <c r="J4" i="68"/>
  <c r="H3" i="68"/>
  <c r="U4" i="69"/>
  <c r="O3" i="69"/>
  <c r="K2" i="69"/>
  <c r="S4" i="68"/>
  <c r="S4" i="235"/>
  <c r="S2" i="235"/>
  <c r="S3" i="235"/>
  <c r="C4" i="193"/>
  <c r="K3" i="192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X3" i="193"/>
  <c r="Y4" i="192"/>
  <c r="Q3" i="216"/>
  <c r="C2" i="193"/>
  <c r="Q2" i="29"/>
  <c r="P2" i="217"/>
  <c r="V2" i="29"/>
  <c r="D3" i="193"/>
  <c r="J4" i="193"/>
  <c r="K4" i="193"/>
  <c r="V4" i="218"/>
  <c r="K2" i="29"/>
  <c r="V2" i="192"/>
  <c r="E3" i="217"/>
  <c r="K3" i="216"/>
  <c r="K3" i="217"/>
  <c r="N3" i="29"/>
  <c r="U2" i="193"/>
  <c r="U4" i="193"/>
  <c r="W2" i="218"/>
  <c r="J3" i="193"/>
  <c r="B2" i="217"/>
  <c r="W4" i="29"/>
  <c r="T4" i="193"/>
  <c r="L3" i="217"/>
  <c r="W3" i="192"/>
  <c r="O2" i="216"/>
  <c r="H3" i="218"/>
  <c r="N3" i="266" l="1"/>
  <c r="N3" i="264"/>
  <c r="N3" i="265"/>
  <c r="O2" i="266"/>
  <c r="O2" i="264"/>
  <c r="O2" i="265"/>
  <c r="F4" i="264"/>
  <c r="F4" i="265"/>
  <c r="F4" i="266"/>
  <c r="U4" i="266"/>
  <c r="U4" i="264"/>
  <c r="U4" i="265"/>
  <c r="M3" i="266"/>
  <c r="M3" i="264"/>
  <c r="M3" i="265"/>
  <c r="O3" i="266"/>
  <c r="O3" i="264"/>
  <c r="O3" i="265"/>
  <c r="V4" i="266"/>
  <c r="V4" i="264"/>
  <c r="V4" i="265"/>
  <c r="N2" i="266"/>
  <c r="N2" i="264"/>
  <c r="N2" i="265"/>
  <c r="E4" i="266"/>
  <c r="E4" i="264"/>
  <c r="E4" i="265"/>
  <c r="M2" i="266"/>
  <c r="M2" i="265"/>
  <c r="M2" i="264"/>
  <c r="T4" i="266"/>
  <c r="T4" i="265"/>
  <c r="T4" i="264"/>
  <c r="D4" i="264"/>
  <c r="D4" i="266"/>
  <c r="D4" i="265"/>
  <c r="L3" i="264"/>
  <c r="L3" i="266"/>
  <c r="L3" i="265"/>
  <c r="W4" i="265"/>
  <c r="W4" i="264"/>
  <c r="W4" i="266"/>
  <c r="R4" i="266"/>
  <c r="R4" i="264"/>
  <c r="R4" i="265"/>
  <c r="B4" i="265"/>
  <c r="B4" i="266"/>
  <c r="B4" i="264"/>
  <c r="J3" i="266"/>
  <c r="J3" i="264"/>
  <c r="J3" i="265"/>
  <c r="C2" i="264"/>
  <c r="C2" i="265"/>
  <c r="C2" i="266"/>
  <c r="J2" i="265"/>
  <c r="J2" i="264"/>
  <c r="J2" i="266"/>
  <c r="T2" i="265"/>
  <c r="T2" i="266"/>
  <c r="T2" i="264"/>
  <c r="B2" i="257"/>
  <c r="B2" i="255"/>
  <c r="B2" i="256"/>
  <c r="K2" i="266"/>
  <c r="K2" i="265"/>
  <c r="K2" i="264"/>
  <c r="I2" i="266"/>
  <c r="I2" i="265"/>
  <c r="I2" i="264"/>
  <c r="P4" i="266"/>
  <c r="P4" i="264"/>
  <c r="P4" i="265"/>
  <c r="X3" i="266"/>
  <c r="X3" i="265"/>
  <c r="X3" i="264"/>
  <c r="H3" i="266"/>
  <c r="H3" i="264"/>
  <c r="H3" i="265"/>
  <c r="D2" i="266"/>
  <c r="D2" i="264"/>
  <c r="D2" i="265"/>
  <c r="S3" i="264"/>
  <c r="S3" i="266"/>
  <c r="S3" i="265"/>
  <c r="J4" i="266"/>
  <c r="J4" i="264"/>
  <c r="J4" i="265"/>
  <c r="K3" i="266"/>
  <c r="K3" i="264"/>
  <c r="K3" i="265"/>
  <c r="I3" i="266"/>
  <c r="I3" i="264"/>
  <c r="I3" i="265"/>
  <c r="L2" i="266"/>
  <c r="L2" i="264"/>
  <c r="L2" i="265"/>
  <c r="C4" i="264"/>
  <c r="C4" i="266"/>
  <c r="C4" i="265"/>
  <c r="Q4" i="265"/>
  <c r="Q4" i="266"/>
  <c r="Q4" i="264"/>
  <c r="K4" i="266"/>
  <c r="K4" i="264"/>
  <c r="K4" i="265"/>
  <c r="P2" i="266"/>
  <c r="P2" i="265"/>
  <c r="P2" i="264"/>
  <c r="G4" i="266"/>
  <c r="G4" i="264"/>
  <c r="G4" i="265"/>
  <c r="B2" i="264"/>
  <c r="B2" i="266"/>
  <c r="B2" i="265"/>
  <c r="Y3" i="266"/>
  <c r="Y3" i="264"/>
  <c r="Y3" i="265"/>
  <c r="Y2" i="265"/>
  <c r="Y2" i="264"/>
  <c r="Y2" i="266"/>
  <c r="W2" i="264"/>
  <c r="W2" i="265"/>
  <c r="W2" i="266"/>
  <c r="G2" i="266"/>
  <c r="G2" i="265"/>
  <c r="G2" i="264"/>
  <c r="N4" i="264"/>
  <c r="N4" i="265"/>
  <c r="N4" i="266"/>
  <c r="V3" i="264"/>
  <c r="V3" i="265"/>
  <c r="V3" i="266"/>
  <c r="F3" i="266"/>
  <c r="F3" i="264"/>
  <c r="F3" i="265"/>
  <c r="V2" i="266"/>
  <c r="V2" i="264"/>
  <c r="V2" i="265"/>
  <c r="F2" i="266"/>
  <c r="F2" i="264"/>
  <c r="F2" i="265"/>
  <c r="M4" i="265"/>
  <c r="M4" i="264"/>
  <c r="M4" i="266"/>
  <c r="U3" i="266"/>
  <c r="U3" i="265"/>
  <c r="U3" i="264"/>
  <c r="E3" i="265"/>
  <c r="E3" i="266"/>
  <c r="E3" i="264"/>
  <c r="S4" i="265"/>
  <c r="S4" i="266"/>
  <c r="S4" i="264"/>
  <c r="U2" i="265"/>
  <c r="U2" i="266"/>
  <c r="U2" i="264"/>
  <c r="E2" i="266"/>
  <c r="E2" i="264"/>
  <c r="E2" i="265"/>
  <c r="L4" i="264"/>
  <c r="L4" i="265"/>
  <c r="L4" i="266"/>
  <c r="T3" i="266"/>
  <c r="T3" i="264"/>
  <c r="T3" i="265"/>
  <c r="D3" i="265"/>
  <c r="D3" i="266"/>
  <c r="D3" i="264"/>
  <c r="C3" i="266"/>
  <c r="C3" i="264"/>
  <c r="C3" i="265"/>
  <c r="R3" i="265"/>
  <c r="R3" i="266"/>
  <c r="R3" i="264"/>
  <c r="B3" i="265"/>
  <c r="B3" i="266"/>
  <c r="B3" i="264"/>
  <c r="R2" i="266"/>
  <c r="R2" i="264"/>
  <c r="R2" i="265"/>
  <c r="Y4" i="266"/>
  <c r="Y4" i="264"/>
  <c r="Y4" i="265"/>
  <c r="Q3" i="266"/>
  <c r="Q3" i="265"/>
  <c r="Q3" i="264"/>
  <c r="I4" i="266"/>
  <c r="I4" i="264"/>
  <c r="I4" i="265"/>
  <c r="Q2" i="266"/>
  <c r="Q2" i="264"/>
  <c r="Q2" i="265"/>
  <c r="X4" i="266"/>
  <c r="X4" i="264"/>
  <c r="X4" i="265"/>
  <c r="H4" i="264"/>
  <c r="H4" i="266"/>
  <c r="H4" i="265"/>
  <c r="P3" i="266"/>
  <c r="P3" i="264"/>
  <c r="P3" i="265"/>
  <c r="S2" i="264"/>
  <c r="S2" i="266"/>
  <c r="S2" i="265"/>
  <c r="X2" i="266"/>
  <c r="X2" i="264"/>
  <c r="X2" i="265"/>
  <c r="H2" i="266"/>
  <c r="H2" i="264"/>
  <c r="H2" i="265"/>
  <c r="O4" i="264"/>
  <c r="O4" i="265"/>
  <c r="O4" i="266"/>
  <c r="W3" i="264"/>
  <c r="W3" i="265"/>
  <c r="W3" i="266"/>
  <c r="G3" i="265"/>
  <c r="G3" i="266"/>
  <c r="G3" i="264"/>
  <c r="I2" i="255" l="1"/>
  <c r="I2" i="257"/>
  <c r="I2" i="256"/>
  <c r="P4" i="257"/>
  <c r="P4" i="255"/>
  <c r="P4" i="256"/>
  <c r="H3" i="257"/>
  <c r="H3" i="255"/>
  <c r="H3" i="256"/>
  <c r="W2" i="257"/>
  <c r="W2" i="256"/>
  <c r="W2" i="255"/>
  <c r="G2" i="255"/>
  <c r="G2" i="256"/>
  <c r="G2" i="257"/>
  <c r="N4" i="257"/>
  <c r="N4" i="256"/>
  <c r="N4" i="255"/>
  <c r="V3" i="257"/>
  <c r="V3" i="255"/>
  <c r="V3" i="256"/>
  <c r="F3" i="257"/>
  <c r="F3" i="255"/>
  <c r="F3" i="256"/>
  <c r="V2" i="255"/>
  <c r="V2" i="256"/>
  <c r="V2" i="257"/>
  <c r="F2" i="256"/>
  <c r="F2" i="257"/>
  <c r="F2" i="255"/>
  <c r="M4" i="255"/>
  <c r="M4" i="256"/>
  <c r="M4" i="257"/>
  <c r="U3" i="256"/>
  <c r="U3" i="257"/>
  <c r="U3" i="255"/>
  <c r="E3" i="256"/>
  <c r="E3" i="257"/>
  <c r="E3" i="255"/>
  <c r="L4" i="257"/>
  <c r="L4" i="255"/>
  <c r="L4" i="256"/>
  <c r="S3" i="255"/>
  <c r="S3" i="257"/>
  <c r="S3" i="256"/>
  <c r="S2" i="256"/>
  <c r="S2" i="255"/>
  <c r="S2" i="257"/>
  <c r="B3" i="257"/>
  <c r="B3" i="255"/>
  <c r="B3" i="256"/>
  <c r="D3" i="256"/>
  <c r="D3" i="257"/>
  <c r="D3" i="255"/>
  <c r="C2" i="255"/>
  <c r="C2" i="256"/>
  <c r="C2" i="257"/>
  <c r="I4" i="257"/>
  <c r="I4" i="255"/>
  <c r="I4" i="256"/>
  <c r="Q3" i="255"/>
  <c r="Q3" i="257"/>
  <c r="Q3" i="256"/>
  <c r="R3" i="255"/>
  <c r="R3" i="256"/>
  <c r="R3" i="257"/>
  <c r="Y4" i="255"/>
  <c r="Y4" i="257"/>
  <c r="Y4" i="256"/>
  <c r="P3" i="257"/>
  <c r="P3" i="256"/>
  <c r="P3" i="255"/>
  <c r="E2" i="257"/>
  <c r="E2" i="256"/>
  <c r="E2" i="255"/>
  <c r="O3" i="257"/>
  <c r="O3" i="256"/>
  <c r="O3" i="255"/>
  <c r="U2" i="255"/>
  <c r="U2" i="257"/>
  <c r="U2" i="256"/>
  <c r="T2" i="255"/>
  <c r="T2" i="256"/>
  <c r="T2" i="257"/>
  <c r="D2" i="255"/>
  <c r="D2" i="256"/>
  <c r="D2" i="257"/>
  <c r="J4" i="256"/>
  <c r="J4" i="257"/>
  <c r="J4" i="255"/>
  <c r="R2" i="256"/>
  <c r="R2" i="257"/>
  <c r="R2" i="255"/>
  <c r="P2" i="257"/>
  <c r="P2" i="256"/>
  <c r="P2" i="255"/>
  <c r="G4" i="257"/>
  <c r="G4" i="255"/>
  <c r="G4" i="256"/>
  <c r="O2" i="255"/>
  <c r="O2" i="257"/>
  <c r="O2" i="256"/>
  <c r="V4" i="256"/>
  <c r="V4" i="255"/>
  <c r="V4" i="257"/>
  <c r="F4" i="257"/>
  <c r="F4" i="255"/>
  <c r="F4" i="256"/>
  <c r="N3" i="256"/>
  <c r="N3" i="257"/>
  <c r="N3" i="255"/>
  <c r="H4" i="255"/>
  <c r="H4" i="257"/>
  <c r="H4" i="256"/>
  <c r="J2" i="256"/>
  <c r="J2" i="257"/>
  <c r="J2" i="255"/>
  <c r="C3" i="256"/>
  <c r="C3" i="257"/>
  <c r="C3" i="255"/>
  <c r="E4" i="257"/>
  <c r="E4" i="256"/>
  <c r="E4" i="255"/>
  <c r="M3" i="256"/>
  <c r="M3" i="255"/>
  <c r="M3" i="257"/>
  <c r="M2" i="257"/>
  <c r="M2" i="255"/>
  <c r="M2" i="256"/>
  <c r="T3" i="256"/>
  <c r="T3" i="257"/>
  <c r="T3" i="255"/>
  <c r="X4" i="257"/>
  <c r="X4" i="255"/>
  <c r="X4" i="256"/>
  <c r="T4" i="256"/>
  <c r="T4" i="257"/>
  <c r="T4" i="255"/>
  <c r="K3" i="257"/>
  <c r="K3" i="255"/>
  <c r="K3" i="256"/>
  <c r="K4" i="257"/>
  <c r="K4" i="256"/>
  <c r="K4" i="255"/>
  <c r="Q2" i="257"/>
  <c r="Q2" i="255"/>
  <c r="Q2" i="256"/>
  <c r="W4" i="256"/>
  <c r="W4" i="257"/>
  <c r="W4" i="255"/>
  <c r="N2" i="256"/>
  <c r="N2" i="257"/>
  <c r="N2" i="255"/>
  <c r="U4" i="257"/>
  <c r="U4" i="256"/>
  <c r="U4" i="255"/>
  <c r="D4" i="255"/>
  <c r="D4" i="256"/>
  <c r="D4" i="257"/>
  <c r="L3" i="256"/>
  <c r="L3" i="257"/>
  <c r="L3" i="255"/>
  <c r="L2" i="255"/>
  <c r="L2" i="256"/>
  <c r="L2" i="257"/>
  <c r="S4" i="256"/>
  <c r="S4" i="257"/>
  <c r="S4" i="255"/>
  <c r="C4" i="257"/>
  <c r="C4" i="255"/>
  <c r="C4" i="256"/>
  <c r="K2" i="257"/>
  <c r="K2" i="256"/>
  <c r="K2" i="255"/>
  <c r="R4" i="257"/>
  <c r="R4" i="255"/>
  <c r="R4" i="256"/>
  <c r="B4" i="257"/>
  <c r="B4" i="255"/>
  <c r="B4" i="256"/>
  <c r="J3" i="257"/>
  <c r="J3" i="255"/>
  <c r="J3" i="256"/>
  <c r="I3" i="257"/>
  <c r="I3" i="255"/>
  <c r="I3" i="256"/>
  <c r="Q4" i="256"/>
  <c r="Q4" i="257"/>
  <c r="Q4" i="255"/>
  <c r="Y3" i="256"/>
  <c r="Y3" i="255"/>
  <c r="Y3" i="257"/>
  <c r="Y2" i="257"/>
  <c r="Y2" i="255"/>
  <c r="Y2" i="256"/>
  <c r="X3" i="256"/>
  <c r="X3" i="257"/>
  <c r="X3" i="255"/>
  <c r="X2" i="255"/>
  <c r="X2" i="256"/>
  <c r="X2" i="257"/>
  <c r="H2" i="257"/>
  <c r="H2" i="256"/>
  <c r="H2" i="255"/>
  <c r="O4" i="256"/>
  <c r="O4" i="257"/>
  <c r="O4" i="255"/>
  <c r="W3" i="255"/>
  <c r="W3" i="256"/>
  <c r="W3" i="257"/>
  <c r="G3" i="255"/>
  <c r="G3" i="257"/>
  <c r="G3" i="256"/>
  <c r="E2" i="260" l="1"/>
  <c r="E2" i="258"/>
  <c r="E2" i="259"/>
  <c r="J3" i="263"/>
  <c r="J3" i="261"/>
  <c r="J3" i="262"/>
  <c r="G2" i="260"/>
  <c r="G2" i="258"/>
  <c r="G2" i="259"/>
  <c r="B3" i="260"/>
  <c r="B3" i="258"/>
  <c r="B3" i="259"/>
  <c r="F3" i="260"/>
  <c r="F3" i="259"/>
  <c r="F3" i="258"/>
  <c r="J2" i="271"/>
  <c r="J2" i="272"/>
  <c r="J2" i="270"/>
  <c r="N2" i="272"/>
  <c r="N2" i="270"/>
  <c r="N2" i="271"/>
  <c r="B2" i="272"/>
  <c r="B2" i="271"/>
  <c r="B2" i="270"/>
  <c r="U2" i="272"/>
  <c r="U2" i="271"/>
  <c r="U2" i="270"/>
  <c r="P3" i="272"/>
  <c r="P3" i="270"/>
  <c r="P3" i="271"/>
  <c r="C4" i="269"/>
  <c r="C4" i="267"/>
  <c r="C4" i="268"/>
  <c r="V4" i="269"/>
  <c r="V4" i="267"/>
  <c r="V4" i="268"/>
  <c r="J2" i="269"/>
  <c r="J2" i="267"/>
  <c r="J2" i="268"/>
  <c r="N2" i="269"/>
  <c r="N2" i="268"/>
  <c r="N2" i="267"/>
  <c r="E4" i="263"/>
  <c r="E4" i="262"/>
  <c r="E4" i="261"/>
  <c r="I2" i="263"/>
  <c r="I2" i="261"/>
  <c r="I2" i="262"/>
  <c r="D2" i="260"/>
  <c r="D2" i="258"/>
  <c r="D2" i="259"/>
  <c r="W2" i="260"/>
  <c r="W2" i="258"/>
  <c r="W2" i="259"/>
  <c r="R3" i="259"/>
  <c r="R3" i="260"/>
  <c r="R3" i="258"/>
  <c r="V3" i="260"/>
  <c r="V3" i="259"/>
  <c r="V3" i="258"/>
  <c r="B3" i="272"/>
  <c r="B3" i="270"/>
  <c r="B3" i="271"/>
  <c r="F3" i="272"/>
  <c r="F3" i="270"/>
  <c r="F3" i="271"/>
  <c r="R2" i="272"/>
  <c r="R2" i="270"/>
  <c r="R2" i="271"/>
  <c r="M3" i="272"/>
  <c r="M3" i="270"/>
  <c r="M3" i="271"/>
  <c r="H4" i="272"/>
  <c r="H4" i="270"/>
  <c r="H4" i="271"/>
  <c r="S4" i="269"/>
  <c r="S4" i="267"/>
  <c r="S4" i="268"/>
  <c r="G2" i="269"/>
  <c r="G2" i="267"/>
  <c r="G2" i="268"/>
  <c r="B3" i="269"/>
  <c r="B3" i="267"/>
  <c r="B3" i="268"/>
  <c r="F3" i="269"/>
  <c r="F3" i="268"/>
  <c r="F3" i="267"/>
  <c r="V3" i="263"/>
  <c r="V3" i="262"/>
  <c r="V3" i="261"/>
  <c r="X4" i="261"/>
  <c r="X4" i="262"/>
  <c r="X4" i="263"/>
  <c r="J4" i="263"/>
  <c r="J4" i="261"/>
  <c r="J4" i="262"/>
  <c r="U4" i="263"/>
  <c r="U4" i="261"/>
  <c r="U4" i="262"/>
  <c r="K2" i="262"/>
  <c r="K2" i="263"/>
  <c r="K2" i="261"/>
  <c r="Y2" i="263"/>
  <c r="Y2" i="261"/>
  <c r="Y2" i="262"/>
  <c r="T2" i="260"/>
  <c r="T2" i="258"/>
  <c r="T2" i="259"/>
  <c r="O3" i="260"/>
  <c r="O3" i="258"/>
  <c r="O3" i="259"/>
  <c r="J4" i="260"/>
  <c r="J4" i="258"/>
  <c r="J4" i="259"/>
  <c r="N4" i="260"/>
  <c r="N4" i="258"/>
  <c r="N4" i="259"/>
  <c r="R3" i="272"/>
  <c r="R3" i="271"/>
  <c r="R3" i="270"/>
  <c r="V3" i="272"/>
  <c r="V3" i="271"/>
  <c r="V3" i="270"/>
  <c r="J3" i="271"/>
  <c r="J3" i="270"/>
  <c r="J3" i="272"/>
  <c r="E4" i="272"/>
  <c r="E4" i="270"/>
  <c r="E4" i="271"/>
  <c r="X4" i="272"/>
  <c r="X4" i="270"/>
  <c r="X4" i="271"/>
  <c r="D2" i="269"/>
  <c r="D2" i="267"/>
  <c r="D2" i="268"/>
  <c r="W2" i="269"/>
  <c r="W2" i="267"/>
  <c r="W2" i="268"/>
  <c r="R3" i="267"/>
  <c r="R3" i="269"/>
  <c r="R3" i="268"/>
  <c r="V3" i="269"/>
  <c r="V3" i="268"/>
  <c r="V3" i="267"/>
  <c r="B4" i="263"/>
  <c r="B4" i="262"/>
  <c r="B4" i="261"/>
  <c r="O2" i="263"/>
  <c r="O2" i="262"/>
  <c r="O2" i="261"/>
  <c r="R4" i="263"/>
  <c r="R4" i="261"/>
  <c r="R4" i="262"/>
  <c r="F2" i="263"/>
  <c r="F2" i="261"/>
  <c r="F2" i="262"/>
  <c r="C3" i="263"/>
  <c r="C3" i="261"/>
  <c r="C3" i="262"/>
  <c r="G3" i="262"/>
  <c r="G3" i="263"/>
  <c r="G3" i="261"/>
  <c r="C2" i="263"/>
  <c r="C2" i="261"/>
  <c r="C2" i="262"/>
  <c r="V2" i="261"/>
  <c r="V2" i="262"/>
  <c r="V2" i="263"/>
  <c r="Q3" i="263"/>
  <c r="Q3" i="261"/>
  <c r="Q3" i="262"/>
  <c r="L3" i="260"/>
  <c r="L3" i="259"/>
  <c r="L3" i="258"/>
  <c r="G4" i="260"/>
  <c r="G4" i="259"/>
  <c r="G4" i="258"/>
  <c r="K2" i="260"/>
  <c r="K2" i="258"/>
  <c r="K2" i="259"/>
  <c r="O2" i="260"/>
  <c r="O2" i="258"/>
  <c r="O2" i="259"/>
  <c r="J4" i="272"/>
  <c r="J4" i="270"/>
  <c r="J4" i="271"/>
  <c r="N4" i="272"/>
  <c r="N4" i="271"/>
  <c r="N4" i="270"/>
  <c r="B4" i="272"/>
  <c r="B4" i="270"/>
  <c r="B4" i="271"/>
  <c r="U4" i="272"/>
  <c r="U4" i="270"/>
  <c r="U4" i="271"/>
  <c r="I2" i="271"/>
  <c r="I2" i="270"/>
  <c r="I2" i="272"/>
  <c r="T2" i="269"/>
  <c r="T2" i="267"/>
  <c r="T2" i="268"/>
  <c r="O3" i="269"/>
  <c r="O3" i="267"/>
  <c r="O3" i="268"/>
  <c r="J4" i="269"/>
  <c r="J4" i="267"/>
  <c r="J4" i="268"/>
  <c r="N4" i="269"/>
  <c r="N4" i="267"/>
  <c r="N4" i="268"/>
  <c r="L2" i="263"/>
  <c r="L2" i="261"/>
  <c r="L2" i="262"/>
  <c r="R3" i="263"/>
  <c r="R3" i="261"/>
  <c r="R3" i="262"/>
  <c r="N4" i="263"/>
  <c r="N4" i="261"/>
  <c r="N4" i="262"/>
  <c r="W3" i="262"/>
  <c r="W3" i="263"/>
  <c r="W3" i="261"/>
  <c r="N3" i="263"/>
  <c r="N3" i="262"/>
  <c r="N3" i="261"/>
  <c r="I4" i="263"/>
  <c r="I4" i="261"/>
  <c r="I4" i="262"/>
  <c r="D4" i="260"/>
  <c r="D4" i="258"/>
  <c r="D4" i="259"/>
  <c r="W4" i="260"/>
  <c r="W4" i="258"/>
  <c r="W4" i="259"/>
  <c r="C3" i="260"/>
  <c r="C3" i="258"/>
  <c r="C3" i="259"/>
  <c r="G3" i="260"/>
  <c r="G3" i="259"/>
  <c r="G3" i="258"/>
  <c r="K2" i="272"/>
  <c r="K2" i="270"/>
  <c r="K2" i="271"/>
  <c r="O2" i="272"/>
  <c r="O2" i="270"/>
  <c r="O2" i="271"/>
  <c r="F2" i="272"/>
  <c r="F2" i="271"/>
  <c r="F2" i="270"/>
  <c r="Y2" i="270"/>
  <c r="Y2" i="271"/>
  <c r="Y2" i="272"/>
  <c r="L3" i="269"/>
  <c r="L3" i="267"/>
  <c r="L3" i="268"/>
  <c r="G4" i="269"/>
  <c r="G4" i="267"/>
  <c r="G4" i="268"/>
  <c r="K2" i="269"/>
  <c r="K2" i="267"/>
  <c r="K2" i="268"/>
  <c r="O2" i="269"/>
  <c r="O2" i="267"/>
  <c r="O2" i="268"/>
  <c r="C4" i="263"/>
  <c r="C4" i="261"/>
  <c r="C4" i="262"/>
  <c r="S4" i="260"/>
  <c r="S4" i="258"/>
  <c r="S4" i="259"/>
  <c r="S3" i="263"/>
  <c r="S3" i="262"/>
  <c r="S3" i="261"/>
  <c r="S2" i="263"/>
  <c r="S2" i="261"/>
  <c r="S2" i="262"/>
  <c r="R4" i="272"/>
  <c r="R4" i="270"/>
  <c r="R4" i="271"/>
  <c r="K4" i="263"/>
  <c r="K4" i="261"/>
  <c r="K4" i="262"/>
  <c r="O4" i="262"/>
  <c r="O4" i="263"/>
  <c r="O4" i="261"/>
  <c r="K3" i="263"/>
  <c r="K3" i="261"/>
  <c r="K3" i="262"/>
  <c r="F4" i="263"/>
  <c r="F4" i="261"/>
  <c r="F4" i="262"/>
  <c r="Y4" i="263"/>
  <c r="Y4" i="262"/>
  <c r="Y4" i="261"/>
  <c r="T4" i="260"/>
  <c r="T4" i="259"/>
  <c r="T4" i="258"/>
  <c r="H2" i="260"/>
  <c r="H2" i="258"/>
  <c r="H2" i="259"/>
  <c r="S3" i="260"/>
  <c r="S3" i="258"/>
  <c r="S3" i="259"/>
  <c r="W3" i="260"/>
  <c r="W3" i="258"/>
  <c r="W3" i="259"/>
  <c r="C3" i="272"/>
  <c r="C3" i="270"/>
  <c r="C3" i="271"/>
  <c r="G3" i="272"/>
  <c r="G3" i="271"/>
  <c r="G3" i="270"/>
  <c r="C2" i="272"/>
  <c r="C2" i="271"/>
  <c r="C2" i="270"/>
  <c r="V2" i="272"/>
  <c r="V2" i="270"/>
  <c r="V2" i="271"/>
  <c r="Q3" i="272"/>
  <c r="Q3" i="270"/>
  <c r="Q3" i="271"/>
  <c r="D4" i="269"/>
  <c r="D4" i="268"/>
  <c r="D4" i="267"/>
  <c r="W4" i="269"/>
  <c r="W4" i="267"/>
  <c r="W4" i="268"/>
  <c r="C3" i="267"/>
  <c r="C3" i="268"/>
  <c r="C3" i="269"/>
  <c r="G3" i="269"/>
  <c r="G3" i="267"/>
  <c r="G3" i="268"/>
  <c r="V4" i="263"/>
  <c r="V4" i="261"/>
  <c r="V4" i="262"/>
  <c r="O4" i="260"/>
  <c r="O4" i="259"/>
  <c r="O4" i="258"/>
  <c r="W3" i="272"/>
  <c r="W3" i="270"/>
  <c r="W3" i="271"/>
  <c r="S2" i="271"/>
  <c r="S2" i="272"/>
  <c r="S2" i="270"/>
  <c r="N3" i="272"/>
  <c r="N3" i="270"/>
  <c r="N3" i="271"/>
  <c r="I4" i="272"/>
  <c r="I4" i="271"/>
  <c r="I4" i="270"/>
  <c r="T4" i="269"/>
  <c r="T4" i="267"/>
  <c r="T4" i="268"/>
  <c r="H2" i="269"/>
  <c r="H2" i="267"/>
  <c r="H2" i="268"/>
  <c r="S3" i="269"/>
  <c r="S3" i="267"/>
  <c r="S3" i="268"/>
  <c r="W3" i="269"/>
  <c r="W3" i="268"/>
  <c r="W3" i="267"/>
  <c r="D3" i="263"/>
  <c r="D3" i="262"/>
  <c r="D3" i="261"/>
  <c r="H3" i="263"/>
  <c r="H3" i="261"/>
  <c r="H3" i="262"/>
  <c r="S4" i="263"/>
  <c r="S4" i="261"/>
  <c r="S4" i="262"/>
  <c r="G2" i="263"/>
  <c r="G2" i="261"/>
  <c r="G2" i="262"/>
  <c r="B2" i="260"/>
  <c r="B2" i="258"/>
  <c r="B2" i="259"/>
  <c r="U2" i="260"/>
  <c r="U2" i="258"/>
  <c r="U2" i="259"/>
  <c r="P3" i="260"/>
  <c r="P3" i="258"/>
  <c r="P3" i="259"/>
  <c r="L2" i="260"/>
  <c r="L2" i="259"/>
  <c r="L2" i="258"/>
  <c r="P2" i="258"/>
  <c r="P2" i="259"/>
  <c r="P2" i="260"/>
  <c r="K4" i="272"/>
  <c r="K4" i="271"/>
  <c r="K4" i="270"/>
  <c r="O4" i="272"/>
  <c r="O4" i="270"/>
  <c r="O4" i="271"/>
  <c r="K3" i="270"/>
  <c r="K3" i="271"/>
  <c r="K3" i="272"/>
  <c r="F4" i="272"/>
  <c r="F4" i="270"/>
  <c r="F4" i="271"/>
  <c r="Y4" i="272"/>
  <c r="Y4" i="271"/>
  <c r="Y4" i="270"/>
  <c r="E2" i="269"/>
  <c r="E2" i="267"/>
  <c r="E2" i="268"/>
  <c r="X2" i="267"/>
  <c r="X2" i="269"/>
  <c r="X2" i="268"/>
  <c r="K4" i="267"/>
  <c r="K4" i="268"/>
  <c r="K4" i="269"/>
  <c r="O4" i="269"/>
  <c r="O4" i="267"/>
  <c r="O4" i="268"/>
  <c r="T3" i="263"/>
  <c r="T3" i="261"/>
  <c r="T3" i="262"/>
  <c r="X3" i="263"/>
  <c r="X3" i="261"/>
  <c r="X3" i="262"/>
  <c r="D2" i="263"/>
  <c r="D2" i="261"/>
  <c r="D2" i="262"/>
  <c r="W2" i="263"/>
  <c r="W2" i="261"/>
  <c r="W2" i="262"/>
  <c r="R2" i="260"/>
  <c r="R2" i="258"/>
  <c r="R2" i="259"/>
  <c r="M3" i="260"/>
  <c r="M3" i="258"/>
  <c r="M3" i="259"/>
  <c r="H4" i="260"/>
  <c r="H4" i="258"/>
  <c r="H4" i="259"/>
  <c r="D3" i="260"/>
  <c r="D3" i="258"/>
  <c r="D3" i="259"/>
  <c r="H3" i="260"/>
  <c r="H3" i="258"/>
  <c r="H3" i="259"/>
  <c r="L2" i="271"/>
  <c r="L2" i="272"/>
  <c r="L2" i="270"/>
  <c r="P2" i="272"/>
  <c r="P2" i="270"/>
  <c r="P2" i="271"/>
  <c r="C4" i="272"/>
  <c r="C4" i="270"/>
  <c r="C4" i="271"/>
  <c r="V4" i="272"/>
  <c r="V4" i="271"/>
  <c r="V4" i="270"/>
  <c r="B2" i="267"/>
  <c r="B2" i="268"/>
  <c r="B2" i="269"/>
  <c r="U2" i="267"/>
  <c r="U2" i="268"/>
  <c r="U2" i="269"/>
  <c r="P3" i="269"/>
  <c r="P3" i="268"/>
  <c r="P3" i="267"/>
  <c r="L2" i="267"/>
  <c r="L2" i="269"/>
  <c r="L2" i="268"/>
  <c r="P2" i="269"/>
  <c r="P2" i="267"/>
  <c r="P2" i="268"/>
  <c r="X4" i="260"/>
  <c r="X4" i="258"/>
  <c r="X4" i="259"/>
  <c r="T3" i="260"/>
  <c r="T3" i="258"/>
  <c r="T3" i="259"/>
  <c r="X3" i="260"/>
  <c r="X3" i="259"/>
  <c r="X3" i="258"/>
  <c r="D3" i="272"/>
  <c r="D3" i="270"/>
  <c r="D3" i="271"/>
  <c r="H3" i="270"/>
  <c r="H3" i="271"/>
  <c r="H3" i="272"/>
  <c r="S4" i="272"/>
  <c r="S4" i="270"/>
  <c r="S4" i="271"/>
  <c r="G2" i="272"/>
  <c r="G2" i="270"/>
  <c r="G2" i="271"/>
  <c r="R2" i="269"/>
  <c r="R2" i="267"/>
  <c r="R2" i="268"/>
  <c r="M3" i="269"/>
  <c r="M3" i="268"/>
  <c r="M3" i="267"/>
  <c r="H4" i="268"/>
  <c r="H4" i="269"/>
  <c r="H4" i="267"/>
  <c r="D3" i="269"/>
  <c r="D3" i="267"/>
  <c r="D3" i="268"/>
  <c r="H3" i="269"/>
  <c r="H3" i="267"/>
  <c r="H3" i="268"/>
  <c r="K4" i="260"/>
  <c r="K4" i="259"/>
  <c r="K4" i="258"/>
  <c r="X2" i="258"/>
  <c r="X2" i="259"/>
  <c r="X2" i="260"/>
  <c r="T2" i="263"/>
  <c r="T2" i="261"/>
  <c r="T2" i="262"/>
  <c r="Q2" i="263"/>
  <c r="Q2" i="262"/>
  <c r="Q2" i="261"/>
  <c r="U4" i="260"/>
  <c r="U4" i="258"/>
  <c r="U4" i="259"/>
  <c r="P4" i="260"/>
  <c r="P4" i="259"/>
  <c r="P4" i="258"/>
  <c r="X3" i="272"/>
  <c r="X3" i="270"/>
  <c r="X3" i="271"/>
  <c r="W2" i="271"/>
  <c r="W2" i="270"/>
  <c r="W2" i="272"/>
  <c r="E4" i="269"/>
  <c r="E4" i="268"/>
  <c r="E4" i="267"/>
  <c r="X3" i="269"/>
  <c r="X3" i="268"/>
  <c r="X3" i="267"/>
  <c r="I3" i="263"/>
  <c r="I3" i="261"/>
  <c r="I3" i="262"/>
  <c r="D4" i="261"/>
  <c r="D4" i="263"/>
  <c r="D4" i="262"/>
  <c r="W4" i="262"/>
  <c r="W4" i="263"/>
  <c r="W4" i="261"/>
  <c r="R4" i="260"/>
  <c r="R4" i="258"/>
  <c r="R4" i="259"/>
  <c r="F2" i="260"/>
  <c r="F2" i="259"/>
  <c r="F2" i="258"/>
  <c r="Y2" i="260"/>
  <c r="Y2" i="259"/>
  <c r="Y2" i="258"/>
  <c r="M2" i="258"/>
  <c r="M2" i="260"/>
  <c r="M2" i="259"/>
  <c r="Q2" i="260"/>
  <c r="Q2" i="258"/>
  <c r="Q2" i="259"/>
  <c r="L4" i="272"/>
  <c r="L4" i="270"/>
  <c r="L4" i="271"/>
  <c r="P4" i="272"/>
  <c r="P4" i="270"/>
  <c r="P4" i="271"/>
  <c r="T2" i="272"/>
  <c r="T2" i="270"/>
  <c r="T2" i="271"/>
  <c r="O3" i="271"/>
  <c r="O3" i="272"/>
  <c r="O3" i="270"/>
  <c r="B4" i="269"/>
  <c r="B4" i="267"/>
  <c r="B4" i="268"/>
  <c r="U4" i="268"/>
  <c r="U4" i="269"/>
  <c r="U4" i="267"/>
  <c r="I2" i="269"/>
  <c r="I2" i="267"/>
  <c r="I2" i="268"/>
  <c r="L4" i="269"/>
  <c r="L4" i="267"/>
  <c r="L4" i="268"/>
  <c r="P4" i="268"/>
  <c r="P4" i="267"/>
  <c r="P4" i="269"/>
  <c r="P2" i="263"/>
  <c r="P2" i="261"/>
  <c r="P2" i="262"/>
  <c r="S3" i="272"/>
  <c r="S3" i="270"/>
  <c r="S3" i="271"/>
  <c r="E4" i="260"/>
  <c r="E4" i="259"/>
  <c r="E4" i="258"/>
  <c r="L3" i="262"/>
  <c r="L3" i="263"/>
  <c r="L3" i="261"/>
  <c r="G4" i="263"/>
  <c r="G4" i="262"/>
  <c r="G4" i="261"/>
  <c r="D2" i="272"/>
  <c r="D2" i="271"/>
  <c r="D2" i="270"/>
  <c r="T3" i="269"/>
  <c r="T3" i="267"/>
  <c r="T3" i="268"/>
  <c r="U3" i="263"/>
  <c r="U3" i="261"/>
  <c r="U3" i="262"/>
  <c r="Y3" i="263"/>
  <c r="Y3" i="262"/>
  <c r="Y3" i="261"/>
  <c r="T4" i="263"/>
  <c r="T4" i="261"/>
  <c r="T4" i="262"/>
  <c r="H2" i="263"/>
  <c r="H2" i="261"/>
  <c r="H2" i="262"/>
  <c r="C2" i="260"/>
  <c r="C2" i="259"/>
  <c r="C2" i="258"/>
  <c r="V2" i="259"/>
  <c r="V2" i="260"/>
  <c r="V2" i="258"/>
  <c r="Q3" i="260"/>
  <c r="Q3" i="258"/>
  <c r="Q3" i="259"/>
  <c r="E3" i="260"/>
  <c r="E3" i="258"/>
  <c r="E3" i="259"/>
  <c r="I3" i="258"/>
  <c r="I3" i="259"/>
  <c r="I3" i="260"/>
  <c r="M2" i="270"/>
  <c r="M2" i="271"/>
  <c r="M2" i="272"/>
  <c r="Q2" i="272"/>
  <c r="Q2" i="270"/>
  <c r="Q2" i="271"/>
  <c r="L3" i="272"/>
  <c r="L3" i="271"/>
  <c r="L3" i="270"/>
  <c r="G4" i="272"/>
  <c r="G4" i="271"/>
  <c r="G4" i="270"/>
  <c r="R4" i="268"/>
  <c r="R4" i="269"/>
  <c r="R4" i="267"/>
  <c r="F2" i="268"/>
  <c r="F2" i="269"/>
  <c r="F2" i="267"/>
  <c r="Y2" i="269"/>
  <c r="Y2" i="267"/>
  <c r="Y2" i="268"/>
  <c r="M2" i="267"/>
  <c r="M2" i="268"/>
  <c r="M2" i="269"/>
  <c r="Q2" i="269"/>
  <c r="Q2" i="268"/>
  <c r="Q2" i="267"/>
  <c r="L4" i="263"/>
  <c r="L4" i="261"/>
  <c r="L4" i="262"/>
  <c r="J3" i="260"/>
  <c r="J3" i="258"/>
  <c r="J3" i="259"/>
  <c r="B4" i="258"/>
  <c r="B4" i="260"/>
  <c r="B4" i="259"/>
  <c r="J3" i="267"/>
  <c r="J3" i="268"/>
  <c r="J3" i="269"/>
  <c r="X4" i="269"/>
  <c r="X4" i="267"/>
  <c r="X4" i="268"/>
  <c r="M4" i="263"/>
  <c r="M4" i="261"/>
  <c r="M4" i="262"/>
  <c r="Q4" i="263"/>
  <c r="Q4" i="261"/>
  <c r="Q4" i="262"/>
  <c r="E2" i="261"/>
  <c r="E2" i="262"/>
  <c r="E2" i="263"/>
  <c r="X2" i="261"/>
  <c r="X2" i="263"/>
  <c r="X2" i="262"/>
  <c r="S2" i="258"/>
  <c r="S2" i="259"/>
  <c r="S2" i="260"/>
  <c r="N3" i="260"/>
  <c r="N3" i="259"/>
  <c r="N3" i="258"/>
  <c r="I4" i="260"/>
  <c r="I4" i="258"/>
  <c r="I4" i="259"/>
  <c r="U3" i="258"/>
  <c r="U3" i="260"/>
  <c r="U3" i="259"/>
  <c r="Y3" i="259"/>
  <c r="Y3" i="260"/>
  <c r="Y3" i="258"/>
  <c r="E3" i="271"/>
  <c r="E3" i="272"/>
  <c r="E3" i="270"/>
  <c r="I3" i="272"/>
  <c r="I3" i="270"/>
  <c r="I3" i="271"/>
  <c r="D4" i="272"/>
  <c r="D4" i="270"/>
  <c r="D4" i="271"/>
  <c r="W4" i="271"/>
  <c r="W4" i="272"/>
  <c r="W4" i="270"/>
  <c r="C2" i="268"/>
  <c r="C2" i="267"/>
  <c r="C2" i="269"/>
  <c r="V2" i="269"/>
  <c r="V2" i="267"/>
  <c r="V2" i="268"/>
  <c r="Q3" i="269"/>
  <c r="Q3" i="268"/>
  <c r="Q3" i="267"/>
  <c r="E3" i="269"/>
  <c r="E3" i="267"/>
  <c r="E3" i="268"/>
  <c r="I3" i="269"/>
  <c r="I3" i="267"/>
  <c r="I3" i="268"/>
  <c r="P4" i="263"/>
  <c r="P4" i="262"/>
  <c r="P4" i="261"/>
  <c r="O3" i="263"/>
  <c r="O3" i="261"/>
  <c r="O3" i="262"/>
  <c r="M2" i="263"/>
  <c r="M2" i="262"/>
  <c r="M2" i="261"/>
  <c r="L4" i="260"/>
  <c r="L4" i="258"/>
  <c r="L4" i="259"/>
  <c r="Q2" i="310"/>
  <c r="Q2" i="309"/>
  <c r="Q2" i="232"/>
  <c r="Q2" i="311"/>
  <c r="Q2" i="233"/>
  <c r="Q2" i="231"/>
  <c r="J2" i="262"/>
  <c r="J2" i="263"/>
  <c r="J2" i="261"/>
  <c r="N2" i="261"/>
  <c r="N2" i="262"/>
  <c r="N2" i="263"/>
  <c r="B2" i="263"/>
  <c r="B2" i="261"/>
  <c r="B2" i="262"/>
  <c r="U2" i="263"/>
  <c r="U2" i="261"/>
  <c r="U2" i="262"/>
  <c r="P3" i="263"/>
  <c r="P3" i="261"/>
  <c r="P3" i="262"/>
  <c r="K3" i="260"/>
  <c r="K3" i="258"/>
  <c r="K3" i="259"/>
  <c r="Y4" i="259"/>
  <c r="Y4" i="258"/>
  <c r="Y4" i="260"/>
  <c r="M4" i="258"/>
  <c r="M4" i="259"/>
  <c r="M4" i="260"/>
  <c r="Q4" i="260"/>
  <c r="Q4" i="258"/>
  <c r="Q4" i="259"/>
  <c r="Y3" i="272"/>
  <c r="Y3" i="270"/>
  <c r="Y3" i="271"/>
  <c r="I4" i="269"/>
  <c r="I4" i="267"/>
  <c r="I4" i="268"/>
  <c r="Y3" i="269"/>
  <c r="Y3" i="267"/>
  <c r="Y3" i="268"/>
  <c r="I2" i="260"/>
  <c r="I2" i="258"/>
  <c r="I2" i="259"/>
  <c r="T3" i="272"/>
  <c r="T3" i="270"/>
  <c r="T3" i="271"/>
  <c r="E3" i="261"/>
  <c r="E3" i="263"/>
  <c r="E3" i="262"/>
  <c r="F4" i="260"/>
  <c r="F4" i="259"/>
  <c r="F4" i="258"/>
  <c r="U3" i="270"/>
  <c r="U3" i="272"/>
  <c r="U3" i="271"/>
  <c r="T4" i="270"/>
  <c r="T4" i="272"/>
  <c r="T4" i="271"/>
  <c r="H2" i="270"/>
  <c r="H2" i="271"/>
  <c r="H2" i="272"/>
  <c r="S2" i="269"/>
  <c r="S2" i="267"/>
  <c r="S2" i="268"/>
  <c r="N3" i="267"/>
  <c r="N3" i="268"/>
  <c r="N3" i="269"/>
  <c r="U3" i="267"/>
  <c r="U3" i="268"/>
  <c r="U3" i="269"/>
  <c r="O4" i="232"/>
  <c r="O4" i="310"/>
  <c r="O4" i="309"/>
  <c r="O4" i="233"/>
  <c r="O4" i="231"/>
  <c r="O4" i="311"/>
  <c r="B3" i="263"/>
  <c r="B3" i="262"/>
  <c r="B3" i="261"/>
  <c r="F3" i="262"/>
  <c r="F3" i="263"/>
  <c r="F3" i="261"/>
  <c r="R2" i="261"/>
  <c r="R2" i="263"/>
  <c r="R2" i="262"/>
  <c r="M3" i="261"/>
  <c r="M3" i="262"/>
  <c r="M3" i="263"/>
  <c r="H4" i="263"/>
  <c r="H4" i="262"/>
  <c r="H4" i="261"/>
  <c r="C4" i="258"/>
  <c r="C4" i="260"/>
  <c r="C4" i="259"/>
  <c r="V4" i="260"/>
  <c r="V4" i="258"/>
  <c r="V4" i="259"/>
  <c r="J2" i="259"/>
  <c r="J2" i="260"/>
  <c r="J2" i="258"/>
  <c r="N2" i="259"/>
  <c r="N2" i="260"/>
  <c r="N2" i="258"/>
  <c r="B4" i="194"/>
  <c r="B4" i="182"/>
  <c r="B4" i="195"/>
  <c r="M4" i="270"/>
  <c r="M4" i="272"/>
  <c r="M4" i="271"/>
  <c r="Q4" i="272"/>
  <c r="Q4" i="270"/>
  <c r="Q4" i="271"/>
  <c r="E2" i="272"/>
  <c r="E2" i="271"/>
  <c r="E2" i="270"/>
  <c r="X2" i="272"/>
  <c r="X2" i="270"/>
  <c r="X2" i="271"/>
  <c r="K3" i="269"/>
  <c r="K3" i="268"/>
  <c r="K3" i="267"/>
  <c r="F4" i="269"/>
  <c r="F4" i="268"/>
  <c r="F4" i="267"/>
  <c r="Y4" i="269"/>
  <c r="Y4" i="267"/>
  <c r="Y4" i="268"/>
  <c r="M4" i="269"/>
  <c r="M4" i="268"/>
  <c r="M4" i="267"/>
  <c r="Q4" i="267"/>
  <c r="Q4" i="269"/>
  <c r="Q4" i="268"/>
  <c r="C2" i="309" l="1"/>
  <c r="C2" i="311"/>
  <c r="C2" i="233"/>
  <c r="C2" i="310"/>
  <c r="C2" i="231"/>
  <c r="C2" i="232"/>
  <c r="N4" i="220"/>
  <c r="N4" i="298"/>
  <c r="N4" i="297"/>
  <c r="N4" i="299"/>
  <c r="N4" i="221"/>
  <c r="N4" i="219"/>
  <c r="Y4" i="299"/>
  <c r="Y4" i="297"/>
  <c r="Y4" i="298"/>
  <c r="Y4" i="219"/>
  <c r="Y4" i="220"/>
  <c r="Y4" i="221"/>
  <c r="F2" i="197"/>
  <c r="F2" i="183"/>
  <c r="F2" i="196"/>
  <c r="P2" i="184"/>
  <c r="P2" i="200"/>
  <c r="P2" i="201"/>
  <c r="R4" i="202"/>
  <c r="R4" i="203"/>
  <c r="R4" i="185"/>
  <c r="G4" i="195"/>
  <c r="G4" i="194"/>
  <c r="G4" i="182"/>
  <c r="R2" i="182"/>
  <c r="R2" i="194"/>
  <c r="R2" i="195"/>
  <c r="L3" i="203"/>
  <c r="L3" i="202"/>
  <c r="L3" i="185"/>
  <c r="F4" i="219"/>
  <c r="F4" i="220"/>
  <c r="F4" i="299"/>
  <c r="F4" i="297"/>
  <c r="F4" i="298"/>
  <c r="F4" i="221"/>
  <c r="V3" i="308"/>
  <c r="V3" i="306"/>
  <c r="V3" i="307"/>
  <c r="V3" i="230"/>
  <c r="V3" i="229"/>
  <c r="V3" i="228"/>
  <c r="G4" i="298"/>
  <c r="G4" i="299"/>
  <c r="G4" i="221"/>
  <c r="G4" i="219"/>
  <c r="G4" i="220"/>
  <c r="G4" i="297"/>
  <c r="K4" i="307"/>
  <c r="K4" i="306"/>
  <c r="K4" i="308"/>
  <c r="K4" i="230"/>
  <c r="K4" i="228"/>
  <c r="K4" i="229"/>
  <c r="W3" i="229"/>
  <c r="W3" i="308"/>
  <c r="W3" i="306"/>
  <c r="W3" i="230"/>
  <c r="W3" i="228"/>
  <c r="W3" i="307"/>
  <c r="U3" i="222"/>
  <c r="U3" i="224"/>
  <c r="U3" i="302"/>
  <c r="U3" i="301"/>
  <c r="U3" i="300"/>
  <c r="U3" i="223"/>
  <c r="O3" i="221"/>
  <c r="O3" i="297"/>
  <c r="O3" i="298"/>
  <c r="O3" i="299"/>
  <c r="O3" i="220"/>
  <c r="O3" i="219"/>
  <c r="U4" i="223"/>
  <c r="U4" i="224"/>
  <c r="U4" i="222"/>
  <c r="U4" i="300"/>
  <c r="U4" i="301"/>
  <c r="U4" i="302"/>
  <c r="C2" i="299"/>
  <c r="C2" i="298"/>
  <c r="C2" i="297"/>
  <c r="C2" i="219"/>
  <c r="C2" i="220"/>
  <c r="C2" i="221"/>
  <c r="H2" i="311"/>
  <c r="H2" i="309"/>
  <c r="H2" i="310"/>
  <c r="H2" i="233"/>
  <c r="H2" i="232"/>
  <c r="H2" i="231"/>
  <c r="F2" i="299"/>
  <c r="F2" i="297"/>
  <c r="F2" i="298"/>
  <c r="F2" i="221"/>
  <c r="F2" i="220"/>
  <c r="F2" i="219"/>
  <c r="N2" i="231"/>
  <c r="N2" i="310"/>
  <c r="N2" i="309"/>
  <c r="N2" i="311"/>
  <c r="N2" i="233"/>
  <c r="N2" i="232"/>
  <c r="Q2" i="223"/>
  <c r="Q2" i="302"/>
  <c r="Q2" i="300"/>
  <c r="Q2" i="224"/>
  <c r="Q2" i="222"/>
  <c r="Q2" i="301"/>
  <c r="F4" i="301"/>
  <c r="F4" i="300"/>
  <c r="F4" i="302"/>
  <c r="F4" i="224"/>
  <c r="F4" i="222"/>
  <c r="F4" i="223"/>
  <c r="O4" i="307"/>
  <c r="O4" i="306"/>
  <c r="O4" i="308"/>
  <c r="O4" i="229"/>
  <c r="O4" i="228"/>
  <c r="O4" i="230"/>
  <c r="J3" i="298"/>
  <c r="J3" i="221"/>
  <c r="J3" i="219"/>
  <c r="J3" i="299"/>
  <c r="J3" i="297"/>
  <c r="J3" i="220"/>
  <c r="I4" i="182"/>
  <c r="I4" i="194"/>
  <c r="I4" i="195"/>
  <c r="L2" i="202"/>
  <c r="L2" i="185"/>
  <c r="L2" i="203"/>
  <c r="F4" i="185"/>
  <c r="F4" i="203"/>
  <c r="F4" i="202"/>
  <c r="N2" i="201"/>
  <c r="N2" i="184"/>
  <c r="N2" i="200"/>
  <c r="V2" i="184"/>
  <c r="V2" i="200"/>
  <c r="V2" i="201"/>
  <c r="D4" i="183"/>
  <c r="D4" i="196"/>
  <c r="D4" i="197"/>
  <c r="K3" i="297"/>
  <c r="K3" i="299"/>
  <c r="K3" i="298"/>
  <c r="K3" i="221"/>
  <c r="K3" i="219"/>
  <c r="K3" i="220"/>
  <c r="S4" i="219"/>
  <c r="S4" i="299"/>
  <c r="S4" i="298"/>
  <c r="S4" i="297"/>
  <c r="S4" i="220"/>
  <c r="S4" i="221"/>
  <c r="U3" i="230"/>
  <c r="U3" i="228"/>
  <c r="U3" i="307"/>
  <c r="U3" i="308"/>
  <c r="U3" i="306"/>
  <c r="U3" i="229"/>
  <c r="Y2" i="311"/>
  <c r="Y2" i="309"/>
  <c r="Y2" i="310"/>
  <c r="Y2" i="232"/>
  <c r="Y2" i="233"/>
  <c r="Y2" i="231"/>
  <c r="D4" i="302"/>
  <c r="D4" i="222"/>
  <c r="D4" i="223"/>
  <c r="D4" i="224"/>
  <c r="D4" i="301"/>
  <c r="D4" i="300"/>
  <c r="N3" i="301"/>
  <c r="N3" i="302"/>
  <c r="N3" i="300"/>
  <c r="N3" i="224"/>
  <c r="N3" i="222"/>
  <c r="N3" i="223"/>
  <c r="N3" i="229"/>
  <c r="N3" i="307"/>
  <c r="N3" i="306"/>
  <c r="N3" i="308"/>
  <c r="N3" i="230"/>
  <c r="N3" i="228"/>
  <c r="H3" i="182"/>
  <c r="H3" i="194"/>
  <c r="H3" i="195"/>
  <c r="D2" i="184"/>
  <c r="D2" i="201"/>
  <c r="D2" i="200"/>
  <c r="O2" i="196"/>
  <c r="O2" i="197"/>
  <c r="O2" i="183"/>
  <c r="S4" i="197"/>
  <c r="S4" i="183"/>
  <c r="S4" i="196"/>
  <c r="I2" i="185"/>
  <c r="I2" i="202"/>
  <c r="I2" i="203"/>
  <c r="W2" i="200"/>
  <c r="W2" i="184"/>
  <c r="W2" i="201"/>
  <c r="F3" i="200"/>
  <c r="F3" i="184"/>
  <c r="F3" i="201"/>
  <c r="U3" i="183"/>
  <c r="U3" i="196"/>
  <c r="U3" i="197"/>
  <c r="G4" i="197"/>
  <c r="G4" i="183"/>
  <c r="G4" i="196"/>
  <c r="W4" i="201"/>
  <c r="W4" i="200"/>
  <c r="W4" i="184"/>
  <c r="P4" i="196"/>
  <c r="P4" i="197"/>
  <c r="P4" i="183"/>
  <c r="W2" i="194"/>
  <c r="W2" i="182"/>
  <c r="W2" i="195"/>
  <c r="M2" i="297"/>
  <c r="M2" i="220"/>
  <c r="M2" i="221"/>
  <c r="M2" i="299"/>
  <c r="M2" i="298"/>
  <c r="M2" i="219"/>
  <c r="D4" i="182"/>
  <c r="D4" i="195"/>
  <c r="D4" i="194"/>
  <c r="E4" i="185"/>
  <c r="E4" i="202"/>
  <c r="E4" i="203"/>
  <c r="U4" i="196"/>
  <c r="U4" i="197"/>
  <c r="U4" i="183"/>
  <c r="O4" i="183"/>
  <c r="O4" i="197"/>
  <c r="O4" i="196"/>
  <c r="Y4" i="194"/>
  <c r="Y4" i="195"/>
  <c r="Y4" i="182"/>
  <c r="L4" i="184"/>
  <c r="L4" i="201"/>
  <c r="L4" i="200"/>
  <c r="Q4" i="182"/>
  <c r="Q4" i="194"/>
  <c r="Q4" i="195"/>
  <c r="M2" i="200"/>
  <c r="M2" i="184"/>
  <c r="M2" i="201"/>
  <c r="K2" i="203"/>
  <c r="K2" i="185"/>
  <c r="K2" i="202"/>
  <c r="B3" i="183"/>
  <c r="B3" i="197"/>
  <c r="B3" i="196"/>
  <c r="F3" i="203"/>
  <c r="F3" i="202"/>
  <c r="F3" i="185"/>
  <c r="G4" i="202"/>
  <c r="G4" i="203"/>
  <c r="G4" i="185"/>
  <c r="W2" i="203"/>
  <c r="W2" i="202"/>
  <c r="W2" i="185"/>
  <c r="Q2" i="197"/>
  <c r="Q2" i="183"/>
  <c r="Q2" i="196"/>
  <c r="V4" i="201"/>
  <c r="V4" i="184"/>
  <c r="V4" i="200"/>
  <c r="V2" i="203"/>
  <c r="V2" i="185"/>
  <c r="V2" i="202"/>
  <c r="X2" i="196"/>
  <c r="X2" i="197"/>
  <c r="X2" i="183"/>
  <c r="B2" i="197"/>
  <c r="B2" i="196"/>
  <c r="B2" i="183"/>
  <c r="P4" i="299"/>
  <c r="P4" i="221"/>
  <c r="P4" i="219"/>
  <c r="P4" i="220"/>
  <c r="P4" i="297"/>
  <c r="P4" i="298"/>
  <c r="X3" i="298"/>
  <c r="X3" i="297"/>
  <c r="X3" i="221"/>
  <c r="X3" i="219"/>
  <c r="X3" i="220"/>
  <c r="X3" i="299"/>
  <c r="Y3" i="223"/>
  <c r="Y3" i="301"/>
  <c r="Y3" i="222"/>
  <c r="Y3" i="224"/>
  <c r="Y3" i="300"/>
  <c r="Y3" i="302"/>
  <c r="W2" i="299"/>
  <c r="W2" i="297"/>
  <c r="W2" i="220"/>
  <c r="W2" i="298"/>
  <c r="W2" i="221"/>
  <c r="W2" i="219"/>
  <c r="D2" i="302"/>
  <c r="D2" i="300"/>
  <c r="D2" i="301"/>
  <c r="D2" i="223"/>
  <c r="D2" i="222"/>
  <c r="D2" i="224"/>
  <c r="B2" i="228"/>
  <c r="B2" i="229"/>
  <c r="B2" i="307"/>
  <c r="B2" i="308"/>
  <c r="B2" i="230"/>
  <c r="B2" i="306"/>
  <c r="L3" i="301"/>
  <c r="L3" i="302"/>
  <c r="L3" i="300"/>
  <c r="L3" i="222"/>
  <c r="L3" i="223"/>
  <c r="L3" i="224"/>
  <c r="X4" i="300"/>
  <c r="X4" i="301"/>
  <c r="X4" i="223"/>
  <c r="X4" i="224"/>
  <c r="X4" i="302"/>
  <c r="X4" i="222"/>
  <c r="F3" i="311"/>
  <c r="F3" i="309"/>
  <c r="F3" i="231"/>
  <c r="F3" i="232"/>
  <c r="F3" i="233"/>
  <c r="F3" i="310"/>
  <c r="I4" i="233"/>
  <c r="I4" i="309"/>
  <c r="I4" i="310"/>
  <c r="I4" i="231"/>
  <c r="I4" i="232"/>
  <c r="I4" i="311"/>
  <c r="C4" i="306"/>
  <c r="C4" i="307"/>
  <c r="C4" i="228"/>
  <c r="C4" i="229"/>
  <c r="C4" i="308"/>
  <c r="C4" i="230"/>
  <c r="X4" i="311"/>
  <c r="X4" i="309"/>
  <c r="X4" i="310"/>
  <c r="X4" i="233"/>
  <c r="X4" i="231"/>
  <c r="X4" i="232"/>
  <c r="I2" i="311"/>
  <c r="I2" i="309"/>
  <c r="I2" i="310"/>
  <c r="I2" i="231"/>
  <c r="I2" i="232"/>
  <c r="I2" i="233"/>
  <c r="J3" i="224"/>
  <c r="J3" i="223"/>
  <c r="J3" i="301"/>
  <c r="J3" i="300"/>
  <c r="J3" i="302"/>
  <c r="J3" i="222"/>
  <c r="H2" i="301"/>
  <c r="H2" i="224"/>
  <c r="H2" i="300"/>
  <c r="H2" i="223"/>
  <c r="H2" i="222"/>
  <c r="H2" i="302"/>
  <c r="L2" i="300"/>
  <c r="L2" i="302"/>
  <c r="L2" i="224"/>
  <c r="L2" i="222"/>
  <c r="L2" i="301"/>
  <c r="L2" i="223"/>
  <c r="I2" i="298"/>
  <c r="I2" i="219"/>
  <c r="I2" i="220"/>
  <c r="I2" i="221"/>
  <c r="I2" i="299"/>
  <c r="I2" i="297"/>
  <c r="E4" i="302"/>
  <c r="E4" i="223"/>
  <c r="E4" i="224"/>
  <c r="E4" i="222"/>
  <c r="E4" i="301"/>
  <c r="E4" i="300"/>
  <c r="Y4" i="196"/>
  <c r="Y4" i="183"/>
  <c r="Y4" i="197"/>
  <c r="X3" i="194"/>
  <c r="X3" i="182"/>
  <c r="X3" i="195"/>
  <c r="F4" i="196"/>
  <c r="F4" i="183"/>
  <c r="F4" i="197"/>
  <c r="C3" i="300"/>
  <c r="C3" i="302"/>
  <c r="C3" i="301"/>
  <c r="C3" i="224"/>
  <c r="C3" i="222"/>
  <c r="C3" i="223"/>
  <c r="U2" i="311"/>
  <c r="U2" i="232"/>
  <c r="U2" i="233"/>
  <c r="U2" i="309"/>
  <c r="U2" i="231"/>
  <c r="U2" i="310"/>
  <c r="V2" i="310"/>
  <c r="V2" i="233"/>
  <c r="V2" i="231"/>
  <c r="V2" i="311"/>
  <c r="V2" i="309"/>
  <c r="V2" i="232"/>
  <c r="N4" i="302"/>
  <c r="N4" i="300"/>
  <c r="N4" i="301"/>
  <c r="N4" i="224"/>
  <c r="N4" i="223"/>
  <c r="N4" i="222"/>
  <c r="C2" i="201"/>
  <c r="C2" i="184"/>
  <c r="C2" i="200"/>
  <c r="Q4" i="302"/>
  <c r="Q4" i="222"/>
  <c r="Q4" i="224"/>
  <c r="Q4" i="300"/>
  <c r="Q4" i="301"/>
  <c r="Q4" i="223"/>
  <c r="N3" i="183"/>
  <c r="N3" i="196"/>
  <c r="N3" i="197"/>
  <c r="L4" i="197"/>
  <c r="L4" i="196"/>
  <c r="L4" i="183"/>
  <c r="M2" i="182"/>
  <c r="M2" i="194"/>
  <c r="M2" i="195"/>
  <c r="G2" i="224"/>
  <c r="G2" i="222"/>
  <c r="G2" i="300"/>
  <c r="G2" i="301"/>
  <c r="G2" i="302"/>
  <c r="G2" i="223"/>
  <c r="Q3" i="220"/>
  <c r="Q3" i="221"/>
  <c r="Q3" i="299"/>
  <c r="Q3" i="297"/>
  <c r="Q3" i="298"/>
  <c r="Q3" i="219"/>
  <c r="K4" i="182"/>
  <c r="K4" i="195"/>
  <c r="K4" i="194"/>
  <c r="M4" i="196"/>
  <c r="M4" i="183"/>
  <c r="M4" i="197"/>
  <c r="T3" i="203"/>
  <c r="T3" i="202"/>
  <c r="T3" i="185"/>
  <c r="C3" i="309"/>
  <c r="C3" i="233"/>
  <c r="C3" i="311"/>
  <c r="C3" i="231"/>
  <c r="C3" i="232"/>
  <c r="C3" i="310"/>
  <c r="W3" i="231"/>
  <c r="W3" i="232"/>
  <c r="W3" i="309"/>
  <c r="W3" i="311"/>
  <c r="W3" i="310"/>
  <c r="W3" i="233"/>
  <c r="R3" i="232"/>
  <c r="R3" i="231"/>
  <c r="R3" i="233"/>
  <c r="R3" i="309"/>
  <c r="R3" i="310"/>
  <c r="R3" i="311"/>
  <c r="V2" i="301"/>
  <c r="V2" i="302"/>
  <c r="V2" i="300"/>
  <c r="V2" i="222"/>
  <c r="V2" i="223"/>
  <c r="V2" i="224"/>
  <c r="U4" i="297"/>
  <c r="U4" i="219"/>
  <c r="U4" i="299"/>
  <c r="U4" i="220"/>
  <c r="U4" i="221"/>
  <c r="U4" i="298"/>
  <c r="S3" i="224"/>
  <c r="S3" i="222"/>
  <c r="S3" i="302"/>
  <c r="S3" i="301"/>
  <c r="S3" i="300"/>
  <c r="S3" i="223"/>
  <c r="G3" i="220"/>
  <c r="G3" i="219"/>
  <c r="G3" i="297"/>
  <c r="G3" i="221"/>
  <c r="G3" i="299"/>
  <c r="G3" i="298"/>
  <c r="Y3" i="298"/>
  <c r="Y3" i="299"/>
  <c r="Y3" i="297"/>
  <c r="Y3" i="220"/>
  <c r="Y3" i="219"/>
  <c r="Y3" i="221"/>
  <c r="I2" i="306"/>
  <c r="I2" i="229"/>
  <c r="I2" i="308"/>
  <c r="I2" i="228"/>
  <c r="I2" i="230"/>
  <c r="I2" i="307"/>
  <c r="T4" i="220"/>
  <c r="T4" i="221"/>
  <c r="T4" i="297"/>
  <c r="T4" i="299"/>
  <c r="T4" i="298"/>
  <c r="T4" i="219"/>
  <c r="I4" i="229"/>
  <c r="I4" i="228"/>
  <c r="I4" i="308"/>
  <c r="I4" i="230"/>
  <c r="I4" i="307"/>
  <c r="I4" i="306"/>
  <c r="W2" i="310"/>
  <c r="W2" i="311"/>
  <c r="W2" i="309"/>
  <c r="W2" i="232"/>
  <c r="W2" i="233"/>
  <c r="W2" i="231"/>
  <c r="G3" i="308"/>
  <c r="G3" i="228"/>
  <c r="G3" i="306"/>
  <c r="G3" i="307"/>
  <c r="G3" i="229"/>
  <c r="G3" i="230"/>
  <c r="F3" i="228"/>
  <c r="F3" i="229"/>
  <c r="F3" i="308"/>
  <c r="F3" i="306"/>
  <c r="F3" i="307"/>
  <c r="F3" i="230"/>
  <c r="T2" i="219"/>
  <c r="T2" i="297"/>
  <c r="T2" i="298"/>
  <c r="T2" i="221"/>
  <c r="T2" i="220"/>
  <c r="T2" i="299"/>
  <c r="I4" i="299"/>
  <c r="I4" i="297"/>
  <c r="I4" i="219"/>
  <c r="I4" i="220"/>
  <c r="I4" i="298"/>
  <c r="I4" i="221"/>
  <c r="R2" i="310"/>
  <c r="R2" i="311"/>
  <c r="R2" i="309"/>
  <c r="R2" i="232"/>
  <c r="R2" i="231"/>
  <c r="R2" i="233"/>
  <c r="L2" i="228"/>
  <c r="L2" i="229"/>
  <c r="L2" i="307"/>
  <c r="L2" i="306"/>
  <c r="L2" i="230"/>
  <c r="L2" i="308"/>
  <c r="U3" i="203"/>
  <c r="U3" i="185"/>
  <c r="U3" i="202"/>
  <c r="W3" i="194"/>
  <c r="W3" i="182"/>
  <c r="W3" i="195"/>
  <c r="H2" i="200"/>
  <c r="H2" i="184"/>
  <c r="H2" i="201"/>
  <c r="L2" i="200"/>
  <c r="L2" i="184"/>
  <c r="L2" i="201"/>
  <c r="T4" i="197"/>
  <c r="T4" i="183"/>
  <c r="T4" i="196"/>
  <c r="S2" i="201"/>
  <c r="S2" i="184"/>
  <c r="S2" i="200"/>
  <c r="T2" i="231"/>
  <c r="T2" i="311"/>
  <c r="T2" i="310"/>
  <c r="T2" i="232"/>
  <c r="T2" i="233"/>
  <c r="T2" i="309"/>
  <c r="D2" i="311"/>
  <c r="D2" i="231"/>
  <c r="D2" i="232"/>
  <c r="D2" i="233"/>
  <c r="D2" i="310"/>
  <c r="D2" i="309"/>
  <c r="H3" i="230"/>
  <c r="H3" i="308"/>
  <c r="H3" i="306"/>
  <c r="H3" i="307"/>
  <c r="H3" i="228"/>
  <c r="H3" i="229"/>
  <c r="R3" i="220"/>
  <c r="R3" i="299"/>
  <c r="R3" i="298"/>
  <c r="R3" i="297"/>
  <c r="R3" i="221"/>
  <c r="R3" i="219"/>
  <c r="M4" i="302"/>
  <c r="M4" i="222"/>
  <c r="M4" i="224"/>
  <c r="M4" i="301"/>
  <c r="M4" i="300"/>
  <c r="M4" i="223"/>
  <c r="W2" i="300"/>
  <c r="W2" i="301"/>
  <c r="W2" i="302"/>
  <c r="W2" i="223"/>
  <c r="W2" i="224"/>
  <c r="W2" i="222"/>
  <c r="H4" i="311"/>
  <c r="H4" i="233"/>
  <c r="H4" i="232"/>
  <c r="H4" i="309"/>
  <c r="H4" i="310"/>
  <c r="H4" i="231"/>
  <c r="H4" i="220"/>
  <c r="H4" i="219"/>
  <c r="H4" i="299"/>
  <c r="H4" i="297"/>
  <c r="H4" i="298"/>
  <c r="H4" i="221"/>
  <c r="M3" i="231"/>
  <c r="M3" i="311"/>
  <c r="M3" i="309"/>
  <c r="M3" i="232"/>
  <c r="M3" i="233"/>
  <c r="M3" i="310"/>
  <c r="N3" i="221"/>
  <c r="N3" i="219"/>
  <c r="N3" i="299"/>
  <c r="N3" i="297"/>
  <c r="N3" i="298"/>
  <c r="N3" i="220"/>
  <c r="P4" i="222"/>
  <c r="P4" i="223"/>
  <c r="P4" i="302"/>
  <c r="P4" i="301"/>
  <c r="P4" i="300"/>
  <c r="P4" i="224"/>
  <c r="H2" i="230"/>
  <c r="H2" i="308"/>
  <c r="H2" i="306"/>
  <c r="H2" i="307"/>
  <c r="H2" i="228"/>
  <c r="H2" i="229"/>
  <c r="I2" i="302"/>
  <c r="I2" i="223"/>
  <c r="I2" i="224"/>
  <c r="I2" i="301"/>
  <c r="I2" i="300"/>
  <c r="I2" i="222"/>
  <c r="C2" i="228"/>
  <c r="C2" i="230"/>
  <c r="C2" i="307"/>
  <c r="C2" i="306"/>
  <c r="C2" i="308"/>
  <c r="C2" i="229"/>
  <c r="G4" i="311"/>
  <c r="G4" i="309"/>
  <c r="G4" i="310"/>
  <c r="G4" i="233"/>
  <c r="G4" i="231"/>
  <c r="G4" i="232"/>
  <c r="E3" i="299"/>
  <c r="E3" i="219"/>
  <c r="E3" i="297"/>
  <c r="E3" i="220"/>
  <c r="E3" i="298"/>
  <c r="E3" i="221"/>
  <c r="X3" i="232"/>
  <c r="X3" i="231"/>
  <c r="X3" i="233"/>
  <c r="X3" i="309"/>
  <c r="X3" i="310"/>
  <c r="X3" i="311"/>
  <c r="Y3" i="308"/>
  <c r="Y3" i="306"/>
  <c r="Y3" i="307"/>
  <c r="Y3" i="228"/>
  <c r="Y3" i="229"/>
  <c r="Y3" i="230"/>
  <c r="B3" i="200"/>
  <c r="B3" i="201"/>
  <c r="B3" i="184"/>
  <c r="Q3" i="196"/>
  <c r="Q3" i="197"/>
  <c r="Q3" i="183"/>
  <c r="H2" i="197"/>
  <c r="H2" i="183"/>
  <c r="H2" i="196"/>
  <c r="K2" i="196"/>
  <c r="K2" i="183"/>
  <c r="K2" i="197"/>
  <c r="T2" i="307"/>
  <c r="T2" i="308"/>
  <c r="T2" i="306"/>
  <c r="T2" i="229"/>
  <c r="T2" i="230"/>
  <c r="T2" i="228"/>
  <c r="T4" i="311"/>
  <c r="T4" i="310"/>
  <c r="T4" i="309"/>
  <c r="T4" i="232"/>
  <c r="T4" i="233"/>
  <c r="T4" i="231"/>
  <c r="R3" i="185"/>
  <c r="R3" i="202"/>
  <c r="R3" i="203"/>
  <c r="S3" i="195"/>
  <c r="S3" i="182"/>
  <c r="S3" i="194"/>
  <c r="K4" i="201"/>
  <c r="K4" i="200"/>
  <c r="K4" i="184"/>
  <c r="N3" i="185"/>
  <c r="N3" i="203"/>
  <c r="N3" i="202"/>
  <c r="Q4" i="184"/>
  <c r="Q4" i="201"/>
  <c r="Q4" i="200"/>
  <c r="O4" i="302"/>
  <c r="O4" i="301"/>
  <c r="O4" i="300"/>
  <c r="O4" i="224"/>
  <c r="O4" i="222"/>
  <c r="O4" i="223"/>
  <c r="P3" i="298"/>
  <c r="P3" i="221"/>
  <c r="P3" i="297"/>
  <c r="P3" i="299"/>
  <c r="P3" i="219"/>
  <c r="P3" i="220"/>
  <c r="R2" i="203"/>
  <c r="R2" i="185"/>
  <c r="R2" i="202"/>
  <c r="D4" i="185"/>
  <c r="D4" i="202"/>
  <c r="D4" i="203"/>
  <c r="V2" i="195"/>
  <c r="V2" i="182"/>
  <c r="V2" i="194"/>
  <c r="Y3" i="194"/>
  <c r="Y3" i="182"/>
  <c r="Y3" i="195"/>
  <c r="K4" i="183"/>
  <c r="K4" i="197"/>
  <c r="K4" i="196"/>
  <c r="S2" i="195"/>
  <c r="S2" i="182"/>
  <c r="S2" i="194"/>
  <c r="R3" i="196"/>
  <c r="R3" i="183"/>
  <c r="R3" i="197"/>
  <c r="S3" i="203"/>
  <c r="S3" i="202"/>
  <c r="S3" i="185"/>
  <c r="X3" i="203"/>
  <c r="X3" i="185"/>
  <c r="X3" i="202"/>
  <c r="B3" i="202"/>
  <c r="B3" i="203"/>
  <c r="B3" i="185"/>
  <c r="X4" i="194"/>
  <c r="X4" i="182"/>
  <c r="X4" i="195"/>
  <c r="I2" i="182"/>
  <c r="I2" i="194"/>
  <c r="I2" i="195"/>
  <c r="L4" i="195"/>
  <c r="L4" i="182"/>
  <c r="L4" i="194"/>
  <c r="P4" i="203"/>
  <c r="P4" i="202"/>
  <c r="P4" i="185"/>
  <c r="X3" i="197"/>
  <c r="X3" i="183"/>
  <c r="X3" i="196"/>
  <c r="U2" i="197"/>
  <c r="U2" i="183"/>
  <c r="U2" i="196"/>
  <c r="R4" i="183"/>
  <c r="R4" i="197"/>
  <c r="R4" i="196"/>
  <c r="N3" i="184"/>
  <c r="N3" i="201"/>
  <c r="N3" i="200"/>
  <c r="Y2" i="184"/>
  <c r="Y2" i="200"/>
  <c r="Y2" i="201"/>
  <c r="B2" i="203"/>
  <c r="B2" i="185"/>
  <c r="B2" i="202"/>
  <c r="E4" i="194"/>
  <c r="E4" i="182"/>
  <c r="E4" i="195"/>
  <c r="T4" i="194"/>
  <c r="T4" i="195"/>
  <c r="T4" i="182"/>
  <c r="C4" i="182"/>
  <c r="C4" i="195"/>
  <c r="C4" i="194"/>
  <c r="I2" i="183"/>
  <c r="I2" i="197"/>
  <c r="I2" i="196"/>
  <c r="M3" i="184"/>
  <c r="M3" i="200"/>
  <c r="M3" i="201"/>
  <c r="E4" i="308"/>
  <c r="E4" i="306"/>
  <c r="E4" i="307"/>
  <c r="E4" i="230"/>
  <c r="E4" i="229"/>
  <c r="E4" i="228"/>
  <c r="I3" i="306"/>
  <c r="I3" i="307"/>
  <c r="I3" i="308"/>
  <c r="I3" i="228"/>
  <c r="I3" i="229"/>
  <c r="I3" i="230"/>
  <c r="R4" i="223"/>
  <c r="R4" i="222"/>
  <c r="R4" i="224"/>
  <c r="R4" i="300"/>
  <c r="R4" i="301"/>
  <c r="R4" i="302"/>
  <c r="L4" i="298"/>
  <c r="L4" i="299"/>
  <c r="L4" i="221"/>
  <c r="L4" i="297"/>
  <c r="L4" i="220"/>
  <c r="L4" i="219"/>
  <c r="Q2" i="308"/>
  <c r="Q2" i="306"/>
  <c r="Q2" i="307"/>
  <c r="Q2" i="228"/>
  <c r="Q2" i="229"/>
  <c r="Q2" i="230"/>
  <c r="W4" i="297"/>
  <c r="W4" i="220"/>
  <c r="W4" i="221"/>
  <c r="W4" i="219"/>
  <c r="W4" i="298"/>
  <c r="W4" i="299"/>
  <c r="K4" i="223"/>
  <c r="K4" i="302"/>
  <c r="K4" i="300"/>
  <c r="K4" i="301"/>
  <c r="K4" i="224"/>
  <c r="K4" i="222"/>
  <c r="O4" i="219"/>
  <c r="O4" i="221"/>
  <c r="O4" i="220"/>
  <c r="O4" i="299"/>
  <c r="O4" i="297"/>
  <c r="O4" i="298"/>
  <c r="N4" i="310"/>
  <c r="N4" i="309"/>
  <c r="N4" i="233"/>
  <c r="N4" i="311"/>
  <c r="N4" i="231"/>
  <c r="N4" i="232"/>
  <c r="Q3" i="300"/>
  <c r="Q3" i="302"/>
  <c r="Q3" i="301"/>
  <c r="Q3" i="223"/>
  <c r="Q3" i="224"/>
  <c r="Q3" i="222"/>
  <c r="J4" i="222"/>
  <c r="J4" i="223"/>
  <c r="J4" i="224"/>
  <c r="J4" i="302"/>
  <c r="J4" i="301"/>
  <c r="J4" i="300"/>
  <c r="G4" i="301"/>
  <c r="G4" i="222"/>
  <c r="G4" i="223"/>
  <c r="G4" i="224"/>
  <c r="G4" i="302"/>
  <c r="G4" i="300"/>
  <c r="D3" i="297"/>
  <c r="D3" i="298"/>
  <c r="D3" i="299"/>
  <c r="D3" i="220"/>
  <c r="D3" i="221"/>
  <c r="D3" i="219"/>
  <c r="W2" i="230"/>
  <c r="W2" i="228"/>
  <c r="W2" i="229"/>
  <c r="W2" i="306"/>
  <c r="W2" i="308"/>
  <c r="W2" i="307"/>
  <c r="E4" i="231"/>
  <c r="E4" i="310"/>
  <c r="E4" i="309"/>
  <c r="E4" i="311"/>
  <c r="E4" i="233"/>
  <c r="E4" i="232"/>
  <c r="C3" i="221"/>
  <c r="C3" i="297"/>
  <c r="C3" i="299"/>
  <c r="C3" i="219"/>
  <c r="C3" i="220"/>
  <c r="C3" i="298"/>
  <c r="S3" i="310"/>
  <c r="S3" i="311"/>
  <c r="S3" i="231"/>
  <c r="S3" i="309"/>
  <c r="S3" i="233"/>
  <c r="S3" i="232"/>
  <c r="P3" i="308"/>
  <c r="P3" i="307"/>
  <c r="P3" i="306"/>
  <c r="P3" i="230"/>
  <c r="P3" i="229"/>
  <c r="P3" i="228"/>
  <c r="Y3" i="183"/>
  <c r="Y3" i="196"/>
  <c r="Y3" i="197"/>
  <c r="F2" i="307"/>
  <c r="F2" i="308"/>
  <c r="F2" i="306"/>
  <c r="F2" i="230"/>
  <c r="F2" i="228"/>
  <c r="F2" i="229"/>
  <c r="X4" i="200"/>
  <c r="X4" i="184"/>
  <c r="X4" i="201"/>
  <c r="O2" i="298"/>
  <c r="O2" i="299"/>
  <c r="O2" i="220"/>
  <c r="O2" i="297"/>
  <c r="O2" i="221"/>
  <c r="O2" i="219"/>
  <c r="N4" i="307"/>
  <c r="N4" i="229"/>
  <c r="N4" i="306"/>
  <c r="N4" i="308"/>
  <c r="N4" i="230"/>
  <c r="N4" i="228"/>
  <c r="D3" i="183"/>
  <c r="D3" i="196"/>
  <c r="D3" i="197"/>
  <c r="B2" i="184"/>
  <c r="B2" i="200"/>
  <c r="B2" i="201"/>
  <c r="G2" i="185"/>
  <c r="G2" i="202"/>
  <c r="G2" i="203"/>
  <c r="L3" i="309"/>
  <c r="L3" i="311"/>
  <c r="L3" i="310"/>
  <c r="L3" i="231"/>
  <c r="L3" i="233"/>
  <c r="L3" i="232"/>
  <c r="E4" i="197"/>
  <c r="E4" i="196"/>
  <c r="E4" i="183"/>
  <c r="S4" i="302"/>
  <c r="S4" i="301"/>
  <c r="S4" i="223"/>
  <c r="S4" i="224"/>
  <c r="S4" i="300"/>
  <c r="S4" i="222"/>
  <c r="N2" i="298"/>
  <c r="N2" i="297"/>
  <c r="N2" i="299"/>
  <c r="N2" i="220"/>
  <c r="N2" i="221"/>
  <c r="N2" i="219"/>
  <c r="B2" i="223"/>
  <c r="B2" i="301"/>
  <c r="B2" i="224"/>
  <c r="B2" i="302"/>
  <c r="B2" i="300"/>
  <c r="B2" i="222"/>
  <c r="Q4" i="197"/>
  <c r="Q4" i="183"/>
  <c r="Q4" i="196"/>
  <c r="M4" i="310"/>
  <c r="M4" i="309"/>
  <c r="M4" i="231"/>
  <c r="M4" i="311"/>
  <c r="M4" i="233"/>
  <c r="M4" i="232"/>
  <c r="V4" i="308"/>
  <c r="V4" i="230"/>
  <c r="V4" i="306"/>
  <c r="V4" i="307"/>
  <c r="V4" i="228"/>
  <c r="V4" i="229"/>
  <c r="O3" i="310"/>
  <c r="O3" i="311"/>
  <c r="O3" i="309"/>
  <c r="O3" i="233"/>
  <c r="O3" i="231"/>
  <c r="O3" i="232"/>
  <c r="C2" i="195"/>
  <c r="C2" i="182"/>
  <c r="C2" i="194"/>
  <c r="N4" i="201"/>
  <c r="N4" i="184"/>
  <c r="N4" i="200"/>
  <c r="P2" i="194"/>
  <c r="P2" i="195"/>
  <c r="P2" i="182"/>
  <c r="V4" i="183"/>
  <c r="V4" i="197"/>
  <c r="V4" i="196"/>
  <c r="U2" i="201"/>
  <c r="U2" i="184"/>
  <c r="U2" i="200"/>
  <c r="O4" i="185"/>
  <c r="O4" i="203"/>
  <c r="O4" i="202"/>
  <c r="O3" i="194"/>
  <c r="O3" i="195"/>
  <c r="O3" i="182"/>
  <c r="N4" i="195"/>
  <c r="N4" i="182"/>
  <c r="N4" i="194"/>
  <c r="X3" i="308"/>
  <c r="X3" i="307"/>
  <c r="X3" i="230"/>
  <c r="X3" i="306"/>
  <c r="X3" i="228"/>
  <c r="X3" i="229"/>
  <c r="B4" i="302"/>
  <c r="B4" i="301"/>
  <c r="B4" i="222"/>
  <c r="B4" i="223"/>
  <c r="B4" i="224"/>
  <c r="B4" i="300"/>
  <c r="P2" i="223"/>
  <c r="P2" i="222"/>
  <c r="P2" i="302"/>
  <c r="P2" i="300"/>
  <c r="P2" i="224"/>
  <c r="P2" i="301"/>
  <c r="B3" i="232"/>
  <c r="B3" i="309"/>
  <c r="B3" i="231"/>
  <c r="B3" i="310"/>
  <c r="B3" i="311"/>
  <c r="B3" i="233"/>
  <c r="X4" i="299"/>
  <c r="X4" i="298"/>
  <c r="X4" i="297"/>
  <c r="X4" i="219"/>
  <c r="X4" i="220"/>
  <c r="X4" i="221"/>
  <c r="W3" i="224"/>
  <c r="W3" i="223"/>
  <c r="W3" i="222"/>
  <c r="W3" i="301"/>
  <c r="W3" i="302"/>
  <c r="W3" i="300"/>
  <c r="M3" i="223"/>
  <c r="M3" i="224"/>
  <c r="M3" i="222"/>
  <c r="M3" i="302"/>
  <c r="M3" i="301"/>
  <c r="M3" i="300"/>
  <c r="X3" i="200"/>
  <c r="X3" i="201"/>
  <c r="X3" i="184"/>
  <c r="N2" i="197"/>
  <c r="N2" i="183"/>
  <c r="N2" i="196"/>
  <c r="Y3" i="185"/>
  <c r="Y3" i="203"/>
  <c r="Y3" i="202"/>
  <c r="W3" i="185"/>
  <c r="W3" i="202"/>
  <c r="W3" i="203"/>
  <c r="C4" i="196"/>
  <c r="C4" i="197"/>
  <c r="C4" i="183"/>
  <c r="H4" i="184"/>
  <c r="H4" i="201"/>
  <c r="H4" i="200"/>
  <c r="O4" i="184"/>
  <c r="O4" i="200"/>
  <c r="O4" i="201"/>
  <c r="R2" i="197"/>
  <c r="R2" i="196"/>
  <c r="R2" i="183"/>
  <c r="H4" i="197"/>
  <c r="H4" i="183"/>
  <c r="H4" i="196"/>
  <c r="S3" i="196"/>
  <c r="S3" i="183"/>
  <c r="S3" i="197"/>
  <c r="F4" i="195"/>
  <c r="F4" i="194"/>
  <c r="F4" i="182"/>
  <c r="I4" i="183"/>
  <c r="I4" i="196"/>
  <c r="I4" i="197"/>
  <c r="C2" i="197"/>
  <c r="C2" i="196"/>
  <c r="C2" i="183"/>
  <c r="Q4" i="185"/>
  <c r="Q4" i="203"/>
  <c r="Q4" i="202"/>
  <c r="U2" i="194"/>
  <c r="U2" i="182"/>
  <c r="U2" i="195"/>
  <c r="T3" i="182"/>
  <c r="T3" i="194"/>
  <c r="T3" i="195"/>
  <c r="L2" i="195"/>
  <c r="L2" i="182"/>
  <c r="L2" i="194"/>
  <c r="J2" i="196"/>
  <c r="J2" i="197"/>
  <c r="J2" i="183"/>
  <c r="U2" i="307"/>
  <c r="U2" i="308"/>
  <c r="U2" i="306"/>
  <c r="U2" i="229"/>
  <c r="U2" i="230"/>
  <c r="U2" i="228"/>
  <c r="B2" i="311"/>
  <c r="B2" i="232"/>
  <c r="B2" i="310"/>
  <c r="B2" i="309"/>
  <c r="B2" i="231"/>
  <c r="B2" i="233"/>
  <c r="H4" i="300"/>
  <c r="H4" i="301"/>
  <c r="H4" i="302"/>
  <c r="H4" i="224"/>
  <c r="H4" i="222"/>
  <c r="H4" i="223"/>
  <c r="D2" i="228"/>
  <c r="D2" i="229"/>
  <c r="D2" i="307"/>
  <c r="D2" i="308"/>
  <c r="D2" i="230"/>
  <c r="D2" i="306"/>
  <c r="L4" i="310"/>
  <c r="L4" i="309"/>
  <c r="L4" i="311"/>
  <c r="L4" i="233"/>
  <c r="L4" i="232"/>
  <c r="L4" i="231"/>
  <c r="B3" i="299"/>
  <c r="B3" i="298"/>
  <c r="B3" i="297"/>
  <c r="B3" i="221"/>
  <c r="B3" i="219"/>
  <c r="B3" i="220"/>
  <c r="U2" i="222"/>
  <c r="U2" i="300"/>
  <c r="U2" i="223"/>
  <c r="U2" i="302"/>
  <c r="U2" i="301"/>
  <c r="U2" i="224"/>
  <c r="F4" i="232"/>
  <c r="F4" i="309"/>
  <c r="F4" i="233"/>
  <c r="F4" i="311"/>
  <c r="F4" i="310"/>
  <c r="F4" i="231"/>
  <c r="K3" i="306"/>
  <c r="K3" i="308"/>
  <c r="K3" i="230"/>
  <c r="K3" i="229"/>
  <c r="K3" i="228"/>
  <c r="K3" i="307"/>
  <c r="R4" i="306"/>
  <c r="R4" i="229"/>
  <c r="R4" i="308"/>
  <c r="R4" i="307"/>
  <c r="R4" i="228"/>
  <c r="R4" i="230"/>
  <c r="I3" i="310"/>
  <c r="I3" i="309"/>
  <c r="I3" i="311"/>
  <c r="I3" i="231"/>
  <c r="I3" i="232"/>
  <c r="I3" i="233"/>
  <c r="C3" i="306"/>
  <c r="C3" i="307"/>
  <c r="C3" i="228"/>
  <c r="C3" i="230"/>
  <c r="C3" i="229"/>
  <c r="C3" i="308"/>
  <c r="P2" i="306"/>
  <c r="P2" i="230"/>
  <c r="P2" i="229"/>
  <c r="P2" i="307"/>
  <c r="P2" i="228"/>
  <c r="P2" i="308"/>
  <c r="O2" i="301"/>
  <c r="O2" i="302"/>
  <c r="O2" i="300"/>
  <c r="O2" i="223"/>
  <c r="O2" i="224"/>
  <c r="O2" i="222"/>
  <c r="K4" i="231"/>
  <c r="K4" i="310"/>
  <c r="K4" i="311"/>
  <c r="K4" i="309"/>
  <c r="K4" i="233"/>
  <c r="K4" i="232"/>
  <c r="M3" i="221"/>
  <c r="M3" i="219"/>
  <c r="M3" i="220"/>
  <c r="M3" i="298"/>
  <c r="M3" i="297"/>
  <c r="M3" i="299"/>
  <c r="X4" i="306"/>
  <c r="X4" i="308"/>
  <c r="X4" i="229"/>
  <c r="X4" i="307"/>
  <c r="X4" i="228"/>
  <c r="X4" i="230"/>
  <c r="S4" i="307"/>
  <c r="S4" i="308"/>
  <c r="S4" i="306"/>
  <c r="S4" i="229"/>
  <c r="S4" i="228"/>
  <c r="S4" i="230"/>
  <c r="G4" i="184"/>
  <c r="G4" i="200"/>
  <c r="G4" i="201"/>
  <c r="M3" i="194"/>
  <c r="M3" i="182"/>
  <c r="M3" i="195"/>
  <c r="S3" i="220"/>
  <c r="S3" i="221"/>
  <c r="S3" i="299"/>
  <c r="S3" i="297"/>
  <c r="S3" i="298"/>
  <c r="S3" i="219"/>
  <c r="M4" i="202"/>
  <c r="M4" i="203"/>
  <c r="M4" i="185"/>
  <c r="I3" i="197"/>
  <c r="I3" i="196"/>
  <c r="I3" i="183"/>
  <c r="E2" i="203"/>
  <c r="E2" i="185"/>
  <c r="E2" i="202"/>
  <c r="B2" i="194"/>
  <c r="B2" i="182"/>
  <c r="B2" i="195"/>
  <c r="J2" i="221"/>
  <c r="J2" i="219"/>
  <c r="J2" i="220"/>
  <c r="J2" i="299"/>
  <c r="J2" i="297"/>
  <c r="J2" i="298"/>
  <c r="N2" i="302"/>
  <c r="N2" i="300"/>
  <c r="N2" i="222"/>
  <c r="N2" i="223"/>
  <c r="N2" i="301"/>
  <c r="N2" i="224"/>
  <c r="M2" i="300"/>
  <c r="M2" i="224"/>
  <c r="M2" i="223"/>
  <c r="M2" i="302"/>
  <c r="M2" i="222"/>
  <c r="M2" i="301"/>
  <c r="R2" i="222"/>
  <c r="R2" i="302"/>
  <c r="R2" i="223"/>
  <c r="R2" i="300"/>
  <c r="R2" i="301"/>
  <c r="R2" i="224"/>
  <c r="X2" i="230"/>
  <c r="X2" i="228"/>
  <c r="X2" i="229"/>
  <c r="X2" i="306"/>
  <c r="X2" i="307"/>
  <c r="X2" i="308"/>
  <c r="R2" i="307"/>
  <c r="R2" i="308"/>
  <c r="R2" i="228"/>
  <c r="R2" i="229"/>
  <c r="R2" i="306"/>
  <c r="R2" i="230"/>
  <c r="G2" i="197"/>
  <c r="G2" i="183"/>
  <c r="G2" i="196"/>
  <c r="J2" i="200"/>
  <c r="J2" i="184"/>
  <c r="J2" i="201"/>
  <c r="P2" i="202"/>
  <c r="P2" i="203"/>
  <c r="P2" i="185"/>
  <c r="Q3" i="203"/>
  <c r="Q3" i="185"/>
  <c r="Q3" i="202"/>
  <c r="G3" i="311"/>
  <c r="G3" i="309"/>
  <c r="G3" i="310"/>
  <c r="G3" i="233"/>
  <c r="G3" i="231"/>
  <c r="G3" i="232"/>
  <c r="H4" i="307"/>
  <c r="H4" i="306"/>
  <c r="H4" i="229"/>
  <c r="H4" i="308"/>
  <c r="H4" i="228"/>
  <c r="H4" i="230"/>
  <c r="J3" i="306"/>
  <c r="J3" i="307"/>
  <c r="J3" i="308"/>
  <c r="J3" i="230"/>
  <c r="J3" i="228"/>
  <c r="J3" i="229"/>
  <c r="K2" i="182"/>
  <c r="K2" i="195"/>
  <c r="K2" i="194"/>
  <c r="X4" i="202"/>
  <c r="X4" i="185"/>
  <c r="X4" i="203"/>
  <c r="T4" i="184"/>
  <c r="T4" i="200"/>
  <c r="T4" i="201"/>
  <c r="N4" i="183"/>
  <c r="N4" i="196"/>
  <c r="N4" i="197"/>
  <c r="O3" i="203"/>
  <c r="O3" i="185"/>
  <c r="O3" i="202"/>
  <c r="I3" i="195"/>
  <c r="I3" i="182"/>
  <c r="I3" i="194"/>
  <c r="H2" i="299"/>
  <c r="H2" i="298"/>
  <c r="H2" i="297"/>
  <c r="H2" i="220"/>
  <c r="H2" i="221"/>
  <c r="H2" i="219"/>
  <c r="V3" i="309"/>
  <c r="V3" i="310"/>
  <c r="V3" i="231"/>
  <c r="V3" i="232"/>
  <c r="V3" i="233"/>
  <c r="V3" i="311"/>
  <c r="O2" i="195"/>
  <c r="O2" i="182"/>
  <c r="O2" i="194"/>
  <c r="C3" i="185"/>
  <c r="C3" i="203"/>
  <c r="C3" i="202"/>
  <c r="W3" i="196"/>
  <c r="W3" i="183"/>
  <c r="W3" i="197"/>
  <c r="D4" i="184"/>
  <c r="D4" i="201"/>
  <c r="D4" i="200"/>
  <c r="O3" i="201"/>
  <c r="O3" i="184"/>
  <c r="O3" i="200"/>
  <c r="D2" i="197"/>
  <c r="D2" i="183"/>
  <c r="D2" i="196"/>
  <c r="M4" i="194"/>
  <c r="M4" i="182"/>
  <c r="M4" i="195"/>
  <c r="B3" i="228"/>
  <c r="B3" i="230"/>
  <c r="B3" i="229"/>
  <c r="B3" i="307"/>
  <c r="B3" i="306"/>
  <c r="B3" i="308"/>
  <c r="G3" i="300"/>
  <c r="G3" i="302"/>
  <c r="G3" i="223"/>
  <c r="G3" i="224"/>
  <c r="G3" i="301"/>
  <c r="G3" i="222"/>
  <c r="L3" i="297"/>
  <c r="L3" i="219"/>
  <c r="L3" i="221"/>
  <c r="L3" i="220"/>
  <c r="L3" i="299"/>
  <c r="L3" i="298"/>
  <c r="V4" i="222"/>
  <c r="V4" i="300"/>
  <c r="V4" i="302"/>
  <c r="V4" i="224"/>
  <c r="V4" i="223"/>
  <c r="V4" i="301"/>
  <c r="N3" i="231"/>
  <c r="N3" i="233"/>
  <c r="N3" i="232"/>
  <c r="N3" i="309"/>
  <c r="N3" i="310"/>
  <c r="N3" i="311"/>
  <c r="H3" i="297"/>
  <c r="H3" i="219"/>
  <c r="H3" i="220"/>
  <c r="H3" i="221"/>
  <c r="H3" i="299"/>
  <c r="H3" i="298"/>
  <c r="L4" i="306"/>
  <c r="L4" i="307"/>
  <c r="L4" i="308"/>
  <c r="L4" i="228"/>
  <c r="L4" i="229"/>
  <c r="L4" i="230"/>
  <c r="O2" i="309"/>
  <c r="O2" i="310"/>
  <c r="O2" i="311"/>
  <c r="O2" i="232"/>
  <c r="O2" i="233"/>
  <c r="O2" i="231"/>
  <c r="W4" i="302"/>
  <c r="W4" i="300"/>
  <c r="W4" i="224"/>
  <c r="W4" i="223"/>
  <c r="W4" i="222"/>
  <c r="W4" i="301"/>
  <c r="V4" i="232"/>
  <c r="V4" i="311"/>
  <c r="V4" i="309"/>
  <c r="V4" i="233"/>
  <c r="V4" i="231"/>
  <c r="V4" i="310"/>
  <c r="I3" i="302"/>
  <c r="I3" i="300"/>
  <c r="I3" i="301"/>
  <c r="I3" i="224"/>
  <c r="I3" i="222"/>
  <c r="I3" i="223"/>
  <c r="J2" i="311"/>
  <c r="J2" i="310"/>
  <c r="J2" i="309"/>
  <c r="J2" i="232"/>
  <c r="J2" i="233"/>
  <c r="J2" i="231"/>
  <c r="V2" i="306"/>
  <c r="V2" i="308"/>
  <c r="V2" i="228"/>
  <c r="V2" i="229"/>
  <c r="V2" i="230"/>
  <c r="V2" i="307"/>
  <c r="K2" i="223"/>
  <c r="K2" i="302"/>
  <c r="K2" i="301"/>
  <c r="K2" i="300"/>
  <c r="K2" i="222"/>
  <c r="K2" i="224"/>
  <c r="F2" i="309"/>
  <c r="F2" i="310"/>
  <c r="F2" i="311"/>
  <c r="F2" i="233"/>
  <c r="F2" i="231"/>
  <c r="F2" i="232"/>
  <c r="E2" i="307"/>
  <c r="E2" i="306"/>
  <c r="E2" i="230"/>
  <c r="E2" i="228"/>
  <c r="E2" i="229"/>
  <c r="E2" i="308"/>
  <c r="T4" i="228"/>
  <c r="T4" i="229"/>
  <c r="T4" i="308"/>
  <c r="T4" i="307"/>
  <c r="T4" i="306"/>
  <c r="T4" i="230"/>
  <c r="S3" i="228"/>
  <c r="S3" i="307"/>
  <c r="S3" i="306"/>
  <c r="S3" i="308"/>
  <c r="S3" i="230"/>
  <c r="S3" i="229"/>
  <c r="K2" i="201"/>
  <c r="K2" i="184"/>
  <c r="K2" i="200"/>
  <c r="S2" i="197"/>
  <c r="S2" i="196"/>
  <c r="S2" i="183"/>
  <c r="K2" i="310"/>
  <c r="K2" i="311"/>
  <c r="K2" i="309"/>
  <c r="K2" i="233"/>
  <c r="K2" i="231"/>
  <c r="K2" i="232"/>
  <c r="C2" i="202"/>
  <c r="C2" i="185"/>
  <c r="C2" i="203"/>
  <c r="L3" i="194"/>
  <c r="L3" i="182"/>
  <c r="L3" i="195"/>
  <c r="V3" i="194"/>
  <c r="V3" i="195"/>
  <c r="V3" i="182"/>
  <c r="S3" i="200"/>
  <c r="S3" i="201"/>
  <c r="S3" i="184"/>
  <c r="U3" i="200"/>
  <c r="U3" i="184"/>
  <c r="U3" i="201"/>
  <c r="B4" i="202"/>
  <c r="B4" i="185"/>
  <c r="B4" i="203"/>
  <c r="K3" i="301"/>
  <c r="K3" i="300"/>
  <c r="K3" i="224"/>
  <c r="K3" i="222"/>
  <c r="K3" i="223"/>
  <c r="K3" i="302"/>
  <c r="L2" i="299"/>
  <c r="L2" i="297"/>
  <c r="L2" i="221"/>
  <c r="L2" i="298"/>
  <c r="L2" i="220"/>
  <c r="L2" i="219"/>
  <c r="G2" i="182"/>
  <c r="G2" i="194"/>
  <c r="G2" i="195"/>
  <c r="C4" i="200"/>
  <c r="C4" i="201"/>
  <c r="C4" i="184"/>
  <c r="J4" i="183"/>
  <c r="J4" i="197"/>
  <c r="J4" i="196"/>
  <c r="H3" i="310"/>
  <c r="H3" i="309"/>
  <c r="H3" i="232"/>
  <c r="H3" i="311"/>
  <c r="H3" i="233"/>
  <c r="H3" i="231"/>
  <c r="W3" i="298"/>
  <c r="W3" i="221"/>
  <c r="W3" i="219"/>
  <c r="W3" i="297"/>
  <c r="W3" i="299"/>
  <c r="W3" i="220"/>
  <c r="J4" i="299"/>
  <c r="J4" i="219"/>
  <c r="J4" i="298"/>
  <c r="J4" i="297"/>
  <c r="J4" i="220"/>
  <c r="J4" i="221"/>
  <c r="U4" i="306"/>
  <c r="U4" i="229"/>
  <c r="U4" i="230"/>
  <c r="U4" i="308"/>
  <c r="U4" i="307"/>
  <c r="U4" i="228"/>
  <c r="R2" i="219"/>
  <c r="R2" i="220"/>
  <c r="R2" i="298"/>
  <c r="R2" i="297"/>
  <c r="R2" i="221"/>
  <c r="R2" i="299"/>
  <c r="S4" i="203"/>
  <c r="S4" i="185"/>
  <c r="S4" i="202"/>
  <c r="P3" i="203"/>
  <c r="P3" i="202"/>
  <c r="P3" i="185"/>
  <c r="J3" i="201"/>
  <c r="J3" i="184"/>
  <c r="J3" i="200"/>
  <c r="E3" i="182"/>
  <c r="E3" i="194"/>
  <c r="E3" i="195"/>
  <c r="F3" i="302"/>
  <c r="F3" i="300"/>
  <c r="F3" i="301"/>
  <c r="F3" i="222"/>
  <c r="F3" i="223"/>
  <c r="F3" i="224"/>
  <c r="I3" i="202"/>
  <c r="I3" i="185"/>
  <c r="I3" i="203"/>
  <c r="T2" i="184"/>
  <c r="T2" i="201"/>
  <c r="T2" i="200"/>
  <c r="Y4" i="203"/>
  <c r="Y4" i="202"/>
  <c r="Y4" i="185"/>
  <c r="P3" i="194"/>
  <c r="P3" i="195"/>
  <c r="P3" i="182"/>
  <c r="C3" i="182"/>
  <c r="C3" i="194"/>
  <c r="C3" i="195"/>
  <c r="P4" i="201"/>
  <c r="P4" i="184"/>
  <c r="P4" i="200"/>
  <c r="X2" i="185"/>
  <c r="X2" i="203"/>
  <c r="X2" i="202"/>
  <c r="G2" i="201"/>
  <c r="G2" i="200"/>
  <c r="G2" i="184"/>
  <c r="J3" i="196"/>
  <c r="J3" i="183"/>
  <c r="J3" i="197"/>
  <c r="V3" i="196"/>
  <c r="V3" i="197"/>
  <c r="V3" i="183"/>
  <c r="E2" i="182"/>
  <c r="E2" i="195"/>
  <c r="E2" i="194"/>
  <c r="S2" i="300"/>
  <c r="S2" i="302"/>
  <c r="S2" i="224"/>
  <c r="S2" i="222"/>
  <c r="S2" i="223"/>
  <c r="S2" i="301"/>
  <c r="B2" i="297"/>
  <c r="B2" i="220"/>
  <c r="B2" i="219"/>
  <c r="B2" i="221"/>
  <c r="B2" i="299"/>
  <c r="B2" i="298"/>
  <c r="Q4" i="310"/>
  <c r="Q4" i="311"/>
  <c r="Q4" i="309"/>
  <c r="Q4" i="232"/>
  <c r="Q4" i="233"/>
  <c r="Q4" i="231"/>
  <c r="X2" i="309"/>
  <c r="X2" i="310"/>
  <c r="X2" i="311"/>
  <c r="X2" i="232"/>
  <c r="X2" i="233"/>
  <c r="X2" i="231"/>
  <c r="K2" i="306"/>
  <c r="K2" i="307"/>
  <c r="K2" i="308"/>
  <c r="K2" i="230"/>
  <c r="K2" i="228"/>
  <c r="K2" i="229"/>
  <c r="P3" i="309"/>
  <c r="P3" i="310"/>
  <c r="P3" i="231"/>
  <c r="P3" i="232"/>
  <c r="P3" i="233"/>
  <c r="P3" i="311"/>
  <c r="N2" i="308"/>
  <c r="N2" i="307"/>
  <c r="N2" i="306"/>
  <c r="N2" i="230"/>
  <c r="N2" i="228"/>
  <c r="N2" i="229"/>
  <c r="D4" i="307"/>
  <c r="D4" i="306"/>
  <c r="D4" i="308"/>
  <c r="D4" i="229"/>
  <c r="D4" i="230"/>
  <c r="D4" i="228"/>
  <c r="R3" i="201"/>
  <c r="R3" i="200"/>
  <c r="R3" i="184"/>
  <c r="B3" i="194"/>
  <c r="B3" i="195"/>
  <c r="B3" i="182"/>
  <c r="E3" i="222"/>
  <c r="E3" i="223"/>
  <c r="E3" i="300"/>
  <c r="E3" i="302"/>
  <c r="E3" i="301"/>
  <c r="E3" i="224"/>
  <c r="M2" i="197"/>
  <c r="M2" i="196"/>
  <c r="M2" i="183"/>
  <c r="Q4" i="297"/>
  <c r="Q4" i="299"/>
  <c r="Q4" i="221"/>
  <c r="Q4" i="298"/>
  <c r="Q4" i="219"/>
  <c r="Q4" i="220"/>
  <c r="K3" i="182"/>
  <c r="K3" i="194"/>
  <c r="K3" i="195"/>
  <c r="R3" i="302"/>
  <c r="R3" i="224"/>
  <c r="R3" i="222"/>
  <c r="R3" i="301"/>
  <c r="R3" i="300"/>
  <c r="R3" i="223"/>
  <c r="E3" i="310"/>
  <c r="E3" i="232"/>
  <c r="E3" i="311"/>
  <c r="E3" i="309"/>
  <c r="E3" i="233"/>
  <c r="E3" i="231"/>
  <c r="R4" i="182"/>
  <c r="R4" i="195"/>
  <c r="R4" i="194"/>
  <c r="W4" i="183"/>
  <c r="W4" i="197"/>
  <c r="W4" i="196"/>
  <c r="E2" i="201"/>
  <c r="E2" i="184"/>
  <c r="E2" i="200"/>
  <c r="U2" i="203"/>
  <c r="U2" i="185"/>
  <c r="U2" i="202"/>
  <c r="N4" i="203"/>
  <c r="N4" i="202"/>
  <c r="N4" i="185"/>
  <c r="H2" i="202"/>
  <c r="H2" i="203"/>
  <c r="H2" i="185"/>
  <c r="H4" i="203"/>
  <c r="H4" i="202"/>
  <c r="H4" i="185"/>
  <c r="D2" i="194"/>
  <c r="D2" i="195"/>
  <c r="D2" i="182"/>
  <c r="E3" i="196"/>
  <c r="E3" i="197"/>
  <c r="E3" i="183"/>
  <c r="P3" i="197"/>
  <c r="P3" i="183"/>
  <c r="P3" i="196"/>
  <c r="P4" i="231"/>
  <c r="P4" i="311"/>
  <c r="P4" i="309"/>
  <c r="P4" i="232"/>
  <c r="P4" i="233"/>
  <c r="P4" i="310"/>
  <c r="Y4" i="184"/>
  <c r="Y4" i="201"/>
  <c r="Y4" i="200"/>
  <c r="F4" i="201"/>
  <c r="F4" i="184"/>
  <c r="F4" i="200"/>
  <c r="B4" i="183"/>
  <c r="B4" i="196"/>
  <c r="B4" i="197"/>
  <c r="U4" i="202"/>
  <c r="U4" i="203"/>
  <c r="U4" i="185"/>
  <c r="T3" i="184"/>
  <c r="T3" i="201"/>
  <c r="T3" i="200"/>
  <c r="M3" i="183"/>
  <c r="M3" i="197"/>
  <c r="M3" i="196"/>
  <c r="Q3" i="184"/>
  <c r="Q3" i="201"/>
  <c r="Q3" i="200"/>
  <c r="P4" i="182"/>
  <c r="P4" i="195"/>
  <c r="P4" i="194"/>
  <c r="O4" i="194"/>
  <c r="O4" i="195"/>
  <c r="O4" i="182"/>
  <c r="S2" i="203"/>
  <c r="S2" i="185"/>
  <c r="S2" i="202"/>
  <c r="Y2" i="220"/>
  <c r="Y2" i="221"/>
  <c r="Y2" i="219"/>
  <c r="Y2" i="299"/>
  <c r="Y2" i="297"/>
  <c r="Y2" i="298"/>
  <c r="S4" i="311"/>
  <c r="S4" i="310"/>
  <c r="S4" i="309"/>
  <c r="S4" i="231"/>
  <c r="S4" i="232"/>
  <c r="S4" i="233"/>
  <c r="O3" i="222"/>
  <c r="O3" i="300"/>
  <c r="O3" i="301"/>
  <c r="O3" i="224"/>
  <c r="O3" i="223"/>
  <c r="O3" i="302"/>
  <c r="T3" i="230"/>
  <c r="T3" i="228"/>
  <c r="T3" i="307"/>
  <c r="T3" i="308"/>
  <c r="T3" i="306"/>
  <c r="T3" i="229"/>
  <c r="C3" i="184"/>
  <c r="C3" i="201"/>
  <c r="C3" i="200"/>
  <c r="J4" i="182"/>
  <c r="J4" i="194"/>
  <c r="J4" i="195"/>
  <c r="U4" i="195"/>
  <c r="U4" i="194"/>
  <c r="U4" i="182"/>
  <c r="I4" i="185"/>
  <c r="I4" i="203"/>
  <c r="I4" i="202"/>
  <c r="E3" i="184"/>
  <c r="E3" i="200"/>
  <c r="E3" i="201"/>
  <c r="M3" i="203"/>
  <c r="M3" i="185"/>
  <c r="M3" i="202"/>
  <c r="V4" i="203"/>
  <c r="V4" i="202"/>
  <c r="V4" i="185"/>
  <c r="J4" i="203"/>
  <c r="J4" i="202"/>
  <c r="J4" i="185"/>
  <c r="C4" i="301"/>
  <c r="C4" i="302"/>
  <c r="C4" i="300"/>
  <c r="C4" i="222"/>
  <c r="C4" i="224"/>
  <c r="C4" i="223"/>
  <c r="M3" i="306"/>
  <c r="M3" i="307"/>
  <c r="M3" i="230"/>
  <c r="M3" i="228"/>
  <c r="M3" i="229"/>
  <c r="M3" i="308"/>
  <c r="J2" i="222"/>
  <c r="J2" i="300"/>
  <c r="J2" i="302"/>
  <c r="J2" i="301"/>
  <c r="J2" i="224"/>
  <c r="J2" i="223"/>
  <c r="U3" i="232"/>
  <c r="U3" i="311"/>
  <c r="U3" i="309"/>
  <c r="U3" i="310"/>
  <c r="U3" i="231"/>
  <c r="U3" i="233"/>
  <c r="Q3" i="311"/>
  <c r="Q3" i="310"/>
  <c r="Q3" i="233"/>
  <c r="Q3" i="231"/>
  <c r="Q3" i="232"/>
  <c r="Q3" i="309"/>
  <c r="D3" i="231"/>
  <c r="D3" i="232"/>
  <c r="D3" i="311"/>
  <c r="D3" i="309"/>
  <c r="D3" i="310"/>
  <c r="D3" i="233"/>
  <c r="L3" i="230"/>
  <c r="L3" i="306"/>
  <c r="L3" i="308"/>
  <c r="L3" i="307"/>
  <c r="L3" i="228"/>
  <c r="L3" i="229"/>
  <c r="V4" i="297"/>
  <c r="V4" i="298"/>
  <c r="V4" i="220"/>
  <c r="V4" i="219"/>
  <c r="V4" i="221"/>
  <c r="V4" i="299"/>
  <c r="O2" i="230"/>
  <c r="O2" i="228"/>
  <c r="O2" i="229"/>
  <c r="O2" i="308"/>
  <c r="O2" i="306"/>
  <c r="O2" i="307"/>
  <c r="S2" i="298"/>
  <c r="S2" i="297"/>
  <c r="S2" i="299"/>
  <c r="S2" i="221"/>
  <c r="S2" i="219"/>
  <c r="S2" i="220"/>
  <c r="B3" i="302"/>
  <c r="B3" i="301"/>
  <c r="B3" i="300"/>
  <c r="B3" i="224"/>
  <c r="B3" i="222"/>
  <c r="B3" i="223"/>
  <c r="T3" i="233"/>
  <c r="T3" i="309"/>
  <c r="T3" i="231"/>
  <c r="T3" i="232"/>
  <c r="T3" i="311"/>
  <c r="T3" i="310"/>
  <c r="C4" i="298"/>
  <c r="C4" i="299"/>
  <c r="C4" i="297"/>
  <c r="C4" i="220"/>
  <c r="C4" i="219"/>
  <c r="C4" i="221"/>
  <c r="J2" i="307"/>
  <c r="J2" i="306"/>
  <c r="J2" i="308"/>
  <c r="J2" i="230"/>
  <c r="J2" i="228"/>
  <c r="J2" i="229"/>
  <c r="F2" i="223"/>
  <c r="F2" i="300"/>
  <c r="F2" i="302"/>
  <c r="F2" i="224"/>
  <c r="F2" i="222"/>
  <c r="F2" i="301"/>
  <c r="B4" i="308"/>
  <c r="B4" i="306"/>
  <c r="B4" i="307"/>
  <c r="B4" i="230"/>
  <c r="B4" i="228"/>
  <c r="B4" i="229"/>
  <c r="C4" i="310"/>
  <c r="C4" i="311"/>
  <c r="C4" i="309"/>
  <c r="C4" i="233"/>
  <c r="C4" i="231"/>
  <c r="C4" i="232"/>
  <c r="H2" i="194"/>
  <c r="H2" i="182"/>
  <c r="H2" i="195"/>
  <c r="P2" i="298"/>
  <c r="P2" i="297"/>
  <c r="P2" i="299"/>
  <c r="P2" i="221"/>
  <c r="P2" i="219"/>
  <c r="P2" i="220"/>
  <c r="W2" i="196"/>
  <c r="W2" i="197"/>
  <c r="W2" i="183"/>
  <c r="I2" i="184"/>
  <c r="I2" i="200"/>
  <c r="I2" i="201"/>
  <c r="V4" i="182"/>
  <c r="V4" i="195"/>
  <c r="V4" i="194"/>
  <c r="Y2" i="194"/>
  <c r="Y2" i="182"/>
  <c r="Y2" i="195"/>
  <c r="S4" i="200"/>
  <c r="S4" i="201"/>
  <c r="S4" i="184"/>
  <c r="Q2" i="203"/>
  <c r="Q2" i="185"/>
  <c r="Q2" i="202"/>
  <c r="U4" i="200"/>
  <c r="U4" i="201"/>
  <c r="U4" i="184"/>
  <c r="E3" i="229"/>
  <c r="E3" i="308"/>
  <c r="E3" i="306"/>
  <c r="E3" i="307"/>
  <c r="E3" i="228"/>
  <c r="E3" i="230"/>
  <c r="D4" i="309"/>
  <c r="D4" i="311"/>
  <c r="D4" i="310"/>
  <c r="D4" i="231"/>
  <c r="D4" i="232"/>
  <c r="D4" i="233"/>
  <c r="B4" i="311"/>
  <c r="B4" i="309"/>
  <c r="B4" i="233"/>
  <c r="B4" i="231"/>
  <c r="B4" i="232"/>
  <c r="B4" i="310"/>
  <c r="D2" i="220"/>
  <c r="D2" i="298"/>
  <c r="D2" i="297"/>
  <c r="D2" i="221"/>
  <c r="D2" i="219"/>
  <c r="D2" i="299"/>
  <c r="V3" i="200"/>
  <c r="V3" i="184"/>
  <c r="V3" i="201"/>
  <c r="E2" i="196"/>
  <c r="E2" i="197"/>
  <c r="E2" i="183"/>
  <c r="X2" i="195"/>
  <c r="X2" i="182"/>
  <c r="X2" i="194"/>
  <c r="H3" i="184"/>
  <c r="H3" i="200"/>
  <c r="H3" i="201"/>
  <c r="O3" i="197"/>
  <c r="O3" i="183"/>
  <c r="O3" i="196"/>
  <c r="E3" i="185"/>
  <c r="E3" i="203"/>
  <c r="E3" i="202"/>
  <c r="T2" i="182"/>
  <c r="T2" i="195"/>
  <c r="T2" i="194"/>
  <c r="V3" i="301"/>
  <c r="V3" i="302"/>
  <c r="V3" i="300"/>
  <c r="V3" i="224"/>
  <c r="V3" i="223"/>
  <c r="V3" i="222"/>
  <c r="F3" i="297"/>
  <c r="F3" i="298"/>
  <c r="F3" i="299"/>
  <c r="F3" i="221"/>
  <c r="F3" i="219"/>
  <c r="F3" i="220"/>
  <c r="Y4" i="311"/>
  <c r="Y4" i="309"/>
  <c r="Y4" i="310"/>
  <c r="Y4" i="232"/>
  <c r="Y4" i="233"/>
  <c r="Y4" i="231"/>
  <c r="D4" i="297"/>
  <c r="D4" i="298"/>
  <c r="D4" i="299"/>
  <c r="D4" i="220"/>
  <c r="D4" i="221"/>
  <c r="D4" i="219"/>
  <c r="Y2" i="301"/>
  <c r="Y2" i="302"/>
  <c r="Y2" i="224"/>
  <c r="Y2" i="223"/>
  <c r="Y2" i="222"/>
  <c r="Y2" i="300"/>
  <c r="B4" i="200"/>
  <c r="B4" i="201"/>
  <c r="B4" i="184"/>
  <c r="V2" i="183"/>
  <c r="V2" i="196"/>
  <c r="V2" i="197"/>
  <c r="G3" i="185"/>
  <c r="G3" i="202"/>
  <c r="G3" i="203"/>
  <c r="J3" i="203"/>
  <c r="J3" i="202"/>
  <c r="J3" i="185"/>
  <c r="C2" i="302"/>
  <c r="C2" i="301"/>
  <c r="C2" i="300"/>
  <c r="C2" i="224"/>
  <c r="C2" i="223"/>
  <c r="C2" i="222"/>
  <c r="L3" i="196"/>
  <c r="L3" i="197"/>
  <c r="L3" i="183"/>
  <c r="N2" i="195"/>
  <c r="N2" i="194"/>
  <c r="N2" i="182"/>
  <c r="I4" i="184"/>
  <c r="I4" i="201"/>
  <c r="I4" i="200"/>
  <c r="W3" i="184"/>
  <c r="W3" i="201"/>
  <c r="W3" i="200"/>
  <c r="F3" i="194"/>
  <c r="F3" i="182"/>
  <c r="F3" i="195"/>
  <c r="N3" i="194"/>
  <c r="N3" i="195"/>
  <c r="N3" i="182"/>
  <c r="K3" i="184"/>
  <c r="K3" i="200"/>
  <c r="K3" i="201"/>
  <c r="J2" i="194"/>
  <c r="J2" i="195"/>
  <c r="J2" i="182"/>
  <c r="L2" i="196"/>
  <c r="L2" i="197"/>
  <c r="L2" i="183"/>
  <c r="T2" i="196"/>
  <c r="T2" i="183"/>
  <c r="T2" i="197"/>
  <c r="T4" i="203"/>
  <c r="T4" i="202"/>
  <c r="T4" i="185"/>
  <c r="J2" i="202"/>
  <c r="J2" i="185"/>
  <c r="J2" i="203"/>
  <c r="F2" i="203"/>
  <c r="F2" i="185"/>
  <c r="F2" i="202"/>
  <c r="D3" i="203"/>
  <c r="D3" i="185"/>
  <c r="D3" i="202"/>
  <c r="X2" i="201"/>
  <c r="X2" i="200"/>
  <c r="X2" i="184"/>
  <c r="K4" i="202"/>
  <c r="K4" i="203"/>
  <c r="K4" i="185"/>
  <c r="E2" i="301"/>
  <c r="E2" i="222"/>
  <c r="E2" i="302"/>
  <c r="E2" i="224"/>
  <c r="E2" i="223"/>
  <c r="E2" i="300"/>
  <c r="L4" i="300"/>
  <c r="L4" i="222"/>
  <c r="L4" i="223"/>
  <c r="L4" i="302"/>
  <c r="L4" i="224"/>
  <c r="L4" i="301"/>
  <c r="J4" i="307"/>
  <c r="J4" i="308"/>
  <c r="J4" i="306"/>
  <c r="J4" i="230"/>
  <c r="J4" i="228"/>
  <c r="J4" i="229"/>
  <c r="P2" i="231"/>
  <c r="P2" i="232"/>
  <c r="P2" i="310"/>
  <c r="P2" i="311"/>
  <c r="P2" i="309"/>
  <c r="P2" i="233"/>
  <c r="L2" i="311"/>
  <c r="L2" i="309"/>
  <c r="L2" i="310"/>
  <c r="L2" i="233"/>
  <c r="L2" i="231"/>
  <c r="L2" i="232"/>
  <c r="K3" i="311"/>
  <c r="K3" i="233"/>
  <c r="K3" i="232"/>
  <c r="K3" i="309"/>
  <c r="K3" i="310"/>
  <c r="K3" i="231"/>
  <c r="G2" i="232"/>
  <c r="G2" i="311"/>
  <c r="G2" i="310"/>
  <c r="G2" i="233"/>
  <c r="G2" i="309"/>
  <c r="G2" i="231"/>
  <c r="Q4" i="308"/>
  <c r="Q4" i="306"/>
  <c r="Q4" i="230"/>
  <c r="Q4" i="228"/>
  <c r="Q4" i="229"/>
  <c r="Q4" i="307"/>
  <c r="G2" i="299"/>
  <c r="G2" i="220"/>
  <c r="G2" i="219"/>
  <c r="G2" i="297"/>
  <c r="G2" i="221"/>
  <c r="G2" i="298"/>
  <c r="S2" i="230"/>
  <c r="S2" i="228"/>
  <c r="S2" i="229"/>
  <c r="S2" i="306"/>
  <c r="S2" i="308"/>
  <c r="S2" i="307"/>
  <c r="M4" i="221"/>
  <c r="M4" i="219"/>
  <c r="M4" i="298"/>
  <c r="M4" i="299"/>
  <c r="M4" i="297"/>
  <c r="M4" i="220"/>
  <c r="X2" i="221"/>
  <c r="X2" i="299"/>
  <c r="X2" i="219"/>
  <c r="X2" i="297"/>
  <c r="X2" i="220"/>
  <c r="X2" i="298"/>
  <c r="E2" i="311"/>
  <c r="E2" i="233"/>
  <c r="E2" i="309"/>
  <c r="E2" i="231"/>
  <c r="E2" i="232"/>
  <c r="E2" i="310"/>
  <c r="R4" i="298"/>
  <c r="R4" i="219"/>
  <c r="R4" i="297"/>
  <c r="R4" i="299"/>
  <c r="R4" i="220"/>
  <c r="R4" i="221"/>
  <c r="P4" i="307"/>
  <c r="P4" i="228"/>
  <c r="P4" i="308"/>
  <c r="P4" i="306"/>
  <c r="P4" i="230"/>
  <c r="P4" i="229"/>
  <c r="U2" i="220"/>
  <c r="U2" i="297"/>
  <c r="U2" i="299"/>
  <c r="U2" i="298"/>
  <c r="U2" i="221"/>
  <c r="U2" i="219"/>
  <c r="T4" i="224"/>
  <c r="T4" i="300"/>
  <c r="T4" i="301"/>
  <c r="T4" i="302"/>
  <c r="T4" i="223"/>
  <c r="T4" i="222"/>
  <c r="O3" i="307"/>
  <c r="O3" i="230"/>
  <c r="O3" i="308"/>
  <c r="O3" i="228"/>
  <c r="O3" i="306"/>
  <c r="O3" i="229"/>
  <c r="W4" i="202"/>
  <c r="W4" i="185"/>
  <c r="W4" i="203"/>
  <c r="J3" i="182"/>
  <c r="J3" i="194"/>
  <c r="J3" i="195"/>
  <c r="R3" i="182"/>
  <c r="R3" i="195"/>
  <c r="R3" i="194"/>
  <c r="K2" i="219"/>
  <c r="K2" i="220"/>
  <c r="K2" i="221"/>
  <c r="K2" i="299"/>
  <c r="K2" i="297"/>
  <c r="K2" i="298"/>
  <c r="G3" i="195"/>
  <c r="G3" i="194"/>
  <c r="G3" i="182"/>
  <c r="M2" i="185"/>
  <c r="M2" i="203"/>
  <c r="M2" i="202"/>
  <c r="H4" i="195"/>
  <c r="H4" i="182"/>
  <c r="H4" i="194"/>
  <c r="Q3" i="194"/>
  <c r="Q3" i="182"/>
  <c r="Q3" i="195"/>
  <c r="R4" i="311"/>
  <c r="R4" i="309"/>
  <c r="R4" i="231"/>
  <c r="R4" i="233"/>
  <c r="R4" i="232"/>
  <c r="R4" i="310"/>
  <c r="H3" i="185"/>
  <c r="H3" i="202"/>
  <c r="H3" i="203"/>
  <c r="X2" i="223"/>
  <c r="X2" i="301"/>
  <c r="X2" i="302"/>
  <c r="X2" i="300"/>
  <c r="X2" i="222"/>
  <c r="X2" i="224"/>
  <c r="F2" i="194"/>
  <c r="F2" i="182"/>
  <c r="F2" i="195"/>
  <c r="O2" i="184"/>
  <c r="O2" i="200"/>
  <c r="O2" i="201"/>
  <c r="Q2" i="184"/>
  <c r="Q2" i="201"/>
  <c r="Q2" i="200"/>
  <c r="J4" i="200"/>
  <c r="J4" i="201"/>
  <c r="J4" i="184"/>
  <c r="P2" i="196"/>
  <c r="P2" i="197"/>
  <c r="P2" i="183"/>
  <c r="C3" i="196"/>
  <c r="C3" i="183"/>
  <c r="C3" i="197"/>
  <c r="T2" i="185"/>
  <c r="T2" i="202"/>
  <c r="T2" i="203"/>
  <c r="X4" i="197"/>
  <c r="X4" i="183"/>
  <c r="X4" i="196"/>
  <c r="H3" i="196"/>
  <c r="H3" i="183"/>
  <c r="H3" i="197"/>
  <c r="S4" i="182"/>
  <c r="S4" i="195"/>
  <c r="S4" i="194"/>
  <c r="D3" i="184"/>
  <c r="D3" i="200"/>
  <c r="D3" i="201"/>
  <c r="P3" i="201"/>
  <c r="P3" i="200"/>
  <c r="P3" i="184"/>
  <c r="Y3" i="201"/>
  <c r="Y3" i="200"/>
  <c r="Y3" i="184"/>
  <c r="G3" i="201"/>
  <c r="G3" i="184"/>
  <c r="G3" i="200"/>
  <c r="K3" i="197"/>
  <c r="K3" i="183"/>
  <c r="K3" i="196"/>
  <c r="D2" i="202"/>
  <c r="D2" i="185"/>
  <c r="D2" i="203"/>
  <c r="K3" i="185"/>
  <c r="K3" i="202"/>
  <c r="K3" i="203"/>
  <c r="W4" i="195"/>
  <c r="W4" i="194"/>
  <c r="W4" i="182"/>
  <c r="Y2" i="196"/>
  <c r="Y2" i="183"/>
  <c r="Y2" i="197"/>
  <c r="D3" i="194"/>
  <c r="D3" i="182"/>
  <c r="D3" i="195"/>
  <c r="L4" i="185"/>
  <c r="L4" i="202"/>
  <c r="L4" i="203"/>
  <c r="L3" i="184"/>
  <c r="L3" i="200"/>
  <c r="L3" i="201"/>
  <c r="O2" i="185"/>
  <c r="O2" i="202"/>
  <c r="O2" i="203"/>
  <c r="N2" i="185"/>
  <c r="N2" i="203"/>
  <c r="N2" i="202"/>
  <c r="T3" i="197"/>
  <c r="T3" i="183"/>
  <c r="T3" i="196"/>
  <c r="R2" i="200"/>
  <c r="R2" i="201"/>
  <c r="R2" i="184"/>
  <c r="I4" i="301"/>
  <c r="I4" i="222"/>
  <c r="I4" i="302"/>
  <c r="I4" i="300"/>
  <c r="I4" i="223"/>
  <c r="I4" i="224"/>
  <c r="P3" i="223"/>
  <c r="P3" i="301"/>
  <c r="P3" i="302"/>
  <c r="P3" i="224"/>
  <c r="P3" i="300"/>
  <c r="P3" i="222"/>
  <c r="T3" i="301"/>
  <c r="T3" i="224"/>
  <c r="T3" i="302"/>
  <c r="T3" i="223"/>
  <c r="T3" i="300"/>
  <c r="T3" i="222"/>
  <c r="G4" i="306"/>
  <c r="G4" i="307"/>
  <c r="G4" i="230"/>
  <c r="G4" i="308"/>
  <c r="G4" i="229"/>
  <c r="G4" i="228"/>
  <c r="M4" i="229"/>
  <c r="M4" i="308"/>
  <c r="M4" i="230"/>
  <c r="M4" i="228"/>
  <c r="M4" i="306"/>
  <c r="M4" i="307"/>
  <c r="M2" i="311"/>
  <c r="M2" i="309"/>
  <c r="M2" i="233"/>
  <c r="M2" i="231"/>
  <c r="M2" i="232"/>
  <c r="M2" i="310"/>
  <c r="S2" i="231"/>
  <c r="S2" i="232"/>
  <c r="S2" i="309"/>
  <c r="S2" i="310"/>
  <c r="S2" i="233"/>
  <c r="S2" i="311"/>
  <c r="Y4" i="307"/>
  <c r="Y4" i="306"/>
  <c r="Y4" i="230"/>
  <c r="Y4" i="228"/>
  <c r="Y4" i="229"/>
  <c r="Y4" i="308"/>
  <c r="E2" i="297"/>
  <c r="E2" i="299"/>
  <c r="E2" i="221"/>
  <c r="E2" i="219"/>
  <c r="E2" i="220"/>
  <c r="E2" i="298"/>
  <c r="J3" i="233"/>
  <c r="J3" i="232"/>
  <c r="J3" i="309"/>
  <c r="J3" i="310"/>
  <c r="J3" i="311"/>
  <c r="J3" i="231"/>
  <c r="K4" i="297"/>
  <c r="K4" i="299"/>
  <c r="K4" i="219"/>
  <c r="K4" i="221"/>
  <c r="K4" i="298"/>
  <c r="K4" i="220"/>
  <c r="V2" i="298"/>
  <c r="V2" i="219"/>
  <c r="V2" i="220"/>
  <c r="V2" i="299"/>
  <c r="V2" i="221"/>
  <c r="V2" i="297"/>
  <c r="F4" i="228"/>
  <c r="F4" i="230"/>
  <c r="F4" i="229"/>
  <c r="F4" i="306"/>
  <c r="F4" i="308"/>
  <c r="F4" i="307"/>
  <c r="Q2" i="298"/>
  <c r="Q2" i="297"/>
  <c r="Q2" i="299"/>
  <c r="Q2" i="220"/>
  <c r="Q2" i="219"/>
  <c r="Q2" i="221"/>
  <c r="G2" i="308"/>
  <c r="G2" i="230"/>
  <c r="G2" i="228"/>
  <c r="G2" i="306"/>
  <c r="G2" i="229"/>
  <c r="G2" i="307"/>
  <c r="V3" i="299"/>
  <c r="V3" i="221"/>
  <c r="V3" i="220"/>
  <c r="V3" i="297"/>
  <c r="V3" i="298"/>
  <c r="V3" i="219"/>
  <c r="H3" i="302"/>
  <c r="H3" i="300"/>
  <c r="H3" i="301"/>
  <c r="H3" i="224"/>
  <c r="H3" i="222"/>
  <c r="H3" i="223"/>
  <c r="W4" i="306"/>
  <c r="W4" i="230"/>
  <c r="W4" i="229"/>
  <c r="W4" i="307"/>
  <c r="W4" i="228"/>
  <c r="W4" i="308"/>
  <c r="G3" i="183"/>
  <c r="G3" i="196"/>
  <c r="G3" i="197"/>
  <c r="Y2" i="203"/>
  <c r="Y2" i="202"/>
  <c r="Y2" i="185"/>
  <c r="V3" i="185"/>
  <c r="V3" i="203"/>
  <c r="V3" i="202"/>
  <c r="F3" i="183"/>
  <c r="F3" i="196"/>
  <c r="F3" i="197"/>
  <c r="Q2" i="194"/>
  <c r="Q2" i="195"/>
  <c r="Q2" i="182"/>
  <c r="U3" i="195"/>
  <c r="U3" i="182"/>
  <c r="U3" i="194"/>
  <c r="R4" i="200"/>
  <c r="R4" i="184"/>
  <c r="R4" i="201"/>
  <c r="F2" i="200"/>
  <c r="F2" i="184"/>
  <c r="F2" i="201"/>
  <c r="E4" i="201"/>
  <c r="E4" i="200"/>
  <c r="E4" i="184"/>
  <c r="I3" i="200"/>
  <c r="I3" i="201"/>
  <c r="I3" i="184"/>
  <c r="C4" i="185"/>
  <c r="C4" i="202"/>
  <c r="C4" i="203"/>
  <c r="M4" i="200"/>
  <c r="M4" i="201"/>
  <c r="M4" i="184"/>
  <c r="E4" i="298"/>
  <c r="E4" i="219"/>
  <c r="E4" i="221"/>
  <c r="E4" i="220"/>
  <c r="E4" i="299"/>
  <c r="E4" i="297"/>
  <c r="B4" i="298"/>
  <c r="B4" i="299"/>
  <c r="B4" i="219"/>
  <c r="B4" i="221"/>
  <c r="B4" i="220"/>
  <c r="B4" i="297"/>
  <c r="I3" i="297"/>
  <c r="I3" i="221"/>
  <c r="I3" i="298"/>
  <c r="I3" i="220"/>
  <c r="I3" i="219"/>
  <c r="I3" i="299"/>
  <c r="D3" i="230"/>
  <c r="D3" i="308"/>
  <c r="D3" i="229"/>
  <c r="D3" i="306"/>
  <c r="D3" i="228"/>
  <c r="D3" i="307"/>
  <c r="M2" i="308"/>
  <c r="M2" i="229"/>
  <c r="M2" i="228"/>
  <c r="M2" i="230"/>
  <c r="M2" i="306"/>
  <c r="M2" i="307"/>
  <c r="J4" i="309"/>
  <c r="J4" i="232"/>
  <c r="J4" i="231"/>
  <c r="J4" i="233"/>
  <c r="J4" i="310"/>
  <c r="J4" i="311"/>
  <c r="R3" i="308"/>
  <c r="R3" i="229"/>
  <c r="R3" i="306"/>
  <c r="R3" i="230"/>
  <c r="R3" i="228"/>
  <c r="R3" i="307"/>
  <c r="X3" i="302"/>
  <c r="X3" i="301"/>
  <c r="X3" i="222"/>
  <c r="X3" i="300"/>
  <c r="X3" i="223"/>
  <c r="X3" i="224"/>
  <c r="Q3" i="306"/>
  <c r="Q3" i="307"/>
  <c r="Q3" i="230"/>
  <c r="Q3" i="308"/>
  <c r="Q3" i="228"/>
  <c r="Q3" i="229"/>
  <c r="D3" i="301"/>
  <c r="D3" i="224"/>
  <c r="D3" i="302"/>
  <c r="D3" i="300"/>
  <c r="D3" i="223"/>
  <c r="D3" i="222"/>
  <c r="U4" i="233"/>
  <c r="U4" i="311"/>
  <c r="U4" i="232"/>
  <c r="U4" i="310"/>
  <c r="U4" i="309"/>
  <c r="U4" i="231"/>
  <c r="Y3" i="232"/>
  <c r="Y3" i="311"/>
  <c r="Y3" i="231"/>
  <c r="Y3" i="233"/>
  <c r="Y3" i="310"/>
  <c r="Y3" i="309"/>
  <c r="W4" i="232"/>
  <c r="W4" i="309"/>
  <c r="W4" i="311"/>
  <c r="W4" i="231"/>
  <c r="W4" i="233"/>
  <c r="W4" i="310"/>
  <c r="U3" i="298"/>
  <c r="U3" i="220"/>
  <c r="U3" i="221"/>
  <c r="U3" i="219"/>
  <c r="U3" i="297"/>
  <c r="U3" i="299"/>
  <c r="T2" i="301"/>
  <c r="T2" i="224"/>
  <c r="T2" i="302"/>
  <c r="T2" i="222"/>
  <c r="T2" i="300"/>
  <c r="T2" i="223"/>
  <c r="T3" i="299"/>
  <c r="T3" i="297"/>
  <c r="T3" i="221"/>
  <c r="T3" i="298"/>
  <c r="T3" i="219"/>
  <c r="T3" i="220"/>
  <c r="Y4" i="302"/>
  <c r="Y4" i="223"/>
  <c r="Y4" i="301"/>
  <c r="Y4" i="300"/>
  <c r="Y4" i="224"/>
  <c r="Y4" i="222"/>
  <c r="Y2" i="308"/>
  <c r="Y2" i="228"/>
  <c r="Y2" i="230"/>
  <c r="Y2" i="229"/>
  <c r="Y2" i="307"/>
  <c r="Y2" i="306"/>
</calcChain>
</file>

<file path=xl/sharedStrings.xml><?xml version="1.0" encoding="utf-8"?>
<sst xmlns="http://schemas.openxmlformats.org/spreadsheetml/2006/main" count="178" uniqueCount="19">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</sst>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9\case9_base.xlsx" TargetMode="External"/><Relationship Id="rId1" Type="http://schemas.openxmlformats.org/officeDocument/2006/relationships/externalLinkPath" Target="case9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28.640709882946304</v>
          </cell>
          <cell r="C2">
            <v>26.714573281418307</v>
          </cell>
          <cell r="D2">
            <v>25.312879159841337</v>
          </cell>
          <cell r="E2">
            <v>25.133776452667234</v>
          </cell>
          <cell r="F2">
            <v>25.436946861179031</v>
          </cell>
          <cell r="G2">
            <v>27.960696815854309</v>
          </cell>
          <cell r="H2">
            <v>33.363925378103289</v>
          </cell>
          <cell r="I2">
            <v>40.159994232752233</v>
          </cell>
          <cell r="J2">
            <v>43.723321027778113</v>
          </cell>
          <cell r="K2">
            <v>44.268543395713934</v>
          </cell>
          <cell r="L2">
            <v>43.073883742328519</v>
          </cell>
          <cell r="M2">
            <v>43.295892296382085</v>
          </cell>
          <cell r="N2">
            <v>43.260312945175158</v>
          </cell>
          <cell r="O2">
            <v>42.553895205510344</v>
          </cell>
          <cell r="P2">
            <v>40.128767731659636</v>
          </cell>
          <cell r="Q2">
            <v>38.979063710676506</v>
          </cell>
          <cell r="R2">
            <v>40.594711565011977</v>
          </cell>
          <cell r="S2">
            <v>45</v>
          </cell>
          <cell r="T2">
            <v>44.836875711706767</v>
          </cell>
          <cell r="U2">
            <v>43.908591159821562</v>
          </cell>
          <cell r="V2">
            <v>43.153477019322303</v>
          </cell>
          <cell r="W2">
            <v>40.446415007398876</v>
          </cell>
          <cell r="X2">
            <v>35.383087776062744</v>
          </cell>
          <cell r="Y2">
            <v>32.101442185583167</v>
          </cell>
        </row>
        <row r="3">
          <cell r="B3">
            <v>28.318710831598349</v>
          </cell>
          <cell r="C3">
            <v>26.315204214245814</v>
          </cell>
          <cell r="D3">
            <v>23.814013426539436</v>
          </cell>
          <cell r="E3">
            <v>25.613338402094083</v>
          </cell>
          <cell r="F3">
            <v>25.524009277571608</v>
          </cell>
          <cell r="G3">
            <v>26.608704012448104</v>
          </cell>
          <cell r="H3">
            <v>39.599618813370633</v>
          </cell>
          <cell r="I3">
            <v>44.104324438231103</v>
          </cell>
          <cell r="J3">
            <v>48.353801657343247</v>
          </cell>
          <cell r="K3">
            <v>48.379322308964795</v>
          </cell>
          <cell r="L3">
            <v>45.699473268620906</v>
          </cell>
          <cell r="M3">
            <v>50</v>
          </cell>
          <cell r="N3">
            <v>47.154254412376474</v>
          </cell>
          <cell r="O3">
            <v>44.142609525564225</v>
          </cell>
          <cell r="P3">
            <v>42.802683636622866</v>
          </cell>
          <cell r="Q3">
            <v>39.995217650477144</v>
          </cell>
          <cell r="R3">
            <v>40.020741039637507</v>
          </cell>
          <cell r="S3">
            <v>42.368805198038565</v>
          </cell>
          <cell r="T3">
            <v>42.368805198038565</v>
          </cell>
          <cell r="U3">
            <v>43.006857051434061</v>
          </cell>
          <cell r="V3">
            <v>41.845586666813716</v>
          </cell>
          <cell r="W3">
            <v>37.813044567870669</v>
          </cell>
          <cell r="X3">
            <v>31.981180223726628</v>
          </cell>
          <cell r="Y3">
            <v>30.947518572291692</v>
          </cell>
        </row>
        <row r="4">
          <cell r="B4">
            <v>41.161923557384661</v>
          </cell>
          <cell r="C4">
            <v>36.216924903815787</v>
          </cell>
          <cell r="D4">
            <v>34.096561117866841</v>
          </cell>
          <cell r="E4">
            <v>33.691648371190951</v>
          </cell>
          <cell r="F4">
            <v>35.265166706644465</v>
          </cell>
          <cell r="G4">
            <v>38.0759327548637</v>
          </cell>
          <cell r="H4">
            <v>45.945274418750067</v>
          </cell>
          <cell r="I4">
            <v>51.363857914252421</v>
          </cell>
          <cell r="J4">
            <v>54.36397226733289</v>
          </cell>
          <cell r="K4">
            <v>56.213389721513067</v>
          </cell>
          <cell r="L4">
            <v>56.727717165012599</v>
          </cell>
          <cell r="M4">
            <v>56.13602693224356</v>
          </cell>
          <cell r="N4">
            <v>55.817499446474862</v>
          </cell>
          <cell r="O4">
            <v>54.666430938587787</v>
          </cell>
          <cell r="P4">
            <v>52.926301971725778</v>
          </cell>
          <cell r="Q4">
            <v>51.96798375759154</v>
          </cell>
          <cell r="R4">
            <v>53.823207181536652</v>
          </cell>
          <cell r="S4">
            <v>60.935494732253488</v>
          </cell>
          <cell r="T4">
            <v>62.130997688214556</v>
          </cell>
          <cell r="U4">
            <v>62.5</v>
          </cell>
          <cell r="V4">
            <v>60.64144136208904</v>
          </cell>
          <cell r="W4">
            <v>57.869420599424572</v>
          </cell>
          <cell r="X4">
            <v>52.76844322838636</v>
          </cell>
          <cell r="Y4">
            <v>46.642389516869741</v>
          </cell>
        </row>
      </sheetData>
      <sheetData sheetId="7">
        <row r="2">
          <cell r="B2">
            <v>29.499931179434693</v>
          </cell>
          <cell r="C2">
            <v>27.516010479860856</v>
          </cell>
          <cell r="D2">
            <v>26.072265534636578</v>
          </cell>
          <cell r="E2">
            <v>25.88778974624725</v>
          </cell>
          <cell r="F2">
            <v>26.200055267014402</v>
          </cell>
          <cell r="G2">
            <v>28.799517720329941</v>
          </cell>
          <cell r="H2">
            <v>34.364843139446386</v>
          </cell>
          <cell r="I2">
            <v>41.364794059734798</v>
          </cell>
          <cell r="J2">
            <v>45.035020658611458</v>
          </cell>
          <cell r="K2">
            <v>45.596599697585361</v>
          </cell>
          <cell r="L2">
            <v>44.366100254598379</v>
          </cell>
          <cell r="M2">
            <v>44.594769065273553</v>
          </cell>
          <cell r="N2">
            <v>44.55812233353042</v>
          </cell>
          <cell r="O2">
            <v>43.830512061675655</v>
          </cell>
          <cell r="P2">
            <v>41.332630763609423</v>
          </cell>
          <cell r="Q2">
            <v>40.148435621996803</v>
          </cell>
          <cell r="R2">
            <v>41.812552911962335</v>
          </cell>
          <cell r="S2">
            <v>46.35</v>
          </cell>
          <cell r="T2">
            <v>46.181981983057973</v>
          </cell>
          <cell r="U2">
            <v>45.225848894616213</v>
          </cell>
          <cell r="V2">
            <v>44.448081329901974</v>
          </cell>
          <cell r="W2">
            <v>41.659807457620843</v>
          </cell>
          <cell r="X2">
            <v>36.444580409344631</v>
          </cell>
          <cell r="Y2">
            <v>33.064485451150667</v>
          </cell>
        </row>
        <row r="3">
          <cell r="B3">
            <v>29.168272156546298</v>
          </cell>
          <cell r="C3">
            <v>27.104660340673188</v>
          </cell>
          <cell r="D3">
            <v>24.528433829335619</v>
          </cell>
          <cell r="E3">
            <v>26.381738554156907</v>
          </cell>
          <cell r="F3">
            <v>26.289729555898756</v>
          </cell>
          <cell r="G3">
            <v>27.406965132821547</v>
          </cell>
          <cell r="H3">
            <v>40.787607377771756</v>
          </cell>
          <cell r="I3">
            <v>45.427454171378031</v>
          </cell>
          <cell r="J3">
            <v>49.804415707063548</v>
          </cell>
          <cell r="K3">
            <v>49.830701978233741</v>
          </cell>
          <cell r="L3">
            <v>47.070457466679535</v>
          </cell>
          <cell r="M3">
            <v>51.5</v>
          </cell>
          <cell r="N3">
            <v>48.568882044747767</v>
          </cell>
          <cell r="O3">
            <v>45.466887811331155</v>
          </cell>
          <cell r="P3">
            <v>44.08676414572156</v>
          </cell>
          <cell r="Q3">
            <v>41.195074179991458</v>
          </cell>
          <cell r="R3">
            <v>41.221363270826636</v>
          </cell>
          <cell r="S3">
            <v>43.639869353979726</v>
          </cell>
          <cell r="T3">
            <v>43.639869353979726</v>
          </cell>
          <cell r="U3">
            <v>44.297062762977085</v>
          </cell>
          <cell r="V3">
            <v>43.100954266818128</v>
          </cell>
          <cell r="W3">
            <v>38.94743590490679</v>
          </cell>
          <cell r="X3">
            <v>32.94061563043843</v>
          </cell>
          <cell r="Y3">
            <v>31.875944129460443</v>
          </cell>
        </row>
        <row r="4">
          <cell r="B4">
            <v>42.396781264106203</v>
          </cell>
          <cell r="C4">
            <v>37.303432650930269</v>
          </cell>
          <cell r="D4">
            <v>35.119457951402843</v>
          </cell>
          <cell r="E4">
            <v>34.702397822326681</v>
          </cell>
          <cell r="F4">
            <v>36.323121707843796</v>
          </cell>
          <cell r="G4">
            <v>39.218210737509615</v>
          </cell>
          <cell r="H4">
            <v>47.323632651312565</v>
          </cell>
          <cell r="I4">
            <v>52.904773651679996</v>
          </cell>
          <cell r="J4">
            <v>55.994891435352876</v>
          </cell>
          <cell r="K4">
            <v>57.899791413158461</v>
          </cell>
          <cell r="L4">
            <v>58.429548679962977</v>
          </cell>
          <cell r="M4">
            <v>57.820107740210865</v>
          </cell>
          <cell r="N4">
            <v>57.492024429869112</v>
          </cell>
          <cell r="O4">
            <v>56.306423866745419</v>
          </cell>
          <cell r="P4">
            <v>54.514091030877552</v>
          </cell>
          <cell r="Q4">
            <v>53.52702327031929</v>
          </cell>
          <cell r="R4">
            <v>55.437903396982755</v>
          </cell>
          <cell r="S4">
            <v>62.763559574221098</v>
          </cell>
          <cell r="T4">
            <v>63.994927618860999</v>
          </cell>
          <cell r="U4">
            <v>64.375</v>
          </cell>
          <cell r="V4">
            <v>62.460684602951716</v>
          </cell>
          <cell r="W4">
            <v>59.605503217407311</v>
          </cell>
          <cell r="X4">
            <v>54.351496525237955</v>
          </cell>
          <cell r="Y4">
            <v>48.041661202375835</v>
          </cell>
        </row>
      </sheetData>
      <sheetData sheetId="8">
        <row r="2">
          <cell r="B2">
            <v>28.067895685287372</v>
          </cell>
          <cell r="C2">
            <v>26.180281815789936</v>
          </cell>
          <cell r="D2">
            <v>24.80662157664451</v>
          </cell>
          <cell r="E2">
            <v>24.631100923613889</v>
          </cell>
          <cell r="F2">
            <v>24.928207923955451</v>
          </cell>
          <cell r="G2">
            <v>27.401482879537223</v>
          </cell>
          <cell r="H2">
            <v>32.696646870541223</v>
          </cell>
          <cell r="I2">
            <v>39.356794348097182</v>
          </cell>
          <cell r="J2">
            <v>42.848854607222549</v>
          </cell>
          <cell r="K2">
            <v>43.383172527799658</v>
          </cell>
          <cell r="L2">
            <v>42.212406067481943</v>
          </cell>
          <cell r="M2">
            <v>42.429974450454445</v>
          </cell>
          <cell r="N2">
            <v>42.39510668627166</v>
          </cell>
          <cell r="O2">
            <v>41.702817301400131</v>
          </cell>
          <cell r="P2">
            <v>39.326192377026437</v>
          </cell>
          <cell r="Q2">
            <v>38.199482436462979</v>
          </cell>
          <cell r="R2">
            <v>39.782817333711733</v>
          </cell>
          <cell r="S2">
            <v>44.1</v>
          </cell>
          <cell r="T2">
            <v>43.940138197472628</v>
          </cell>
          <cell r="U2">
            <v>43.03041933662513</v>
          </cell>
          <cell r="V2">
            <v>42.290407478935855</v>
          </cell>
          <cell r="W2">
            <v>39.637486707250901</v>
          </cell>
          <cell r="X2">
            <v>34.675426020541487</v>
          </cell>
          <cell r="Y2">
            <v>31.459413341871503</v>
          </cell>
        </row>
        <row r="3">
          <cell r="B3">
            <v>27.752336614966381</v>
          </cell>
          <cell r="C3">
            <v>25.788900129960897</v>
          </cell>
          <cell r="D3">
            <v>23.337733158008646</v>
          </cell>
          <cell r="E3">
            <v>25.101071634052204</v>
          </cell>
          <cell r="F3">
            <v>25.013529092020175</v>
          </cell>
          <cell r="G3">
            <v>26.07652993219914</v>
          </cell>
          <cell r="H3">
            <v>38.807626437103224</v>
          </cell>
          <cell r="I3">
            <v>43.222237949466482</v>
          </cell>
          <cell r="J3">
            <v>47.386725624196387</v>
          </cell>
          <cell r="K3">
            <v>47.411735862785498</v>
          </cell>
          <cell r="L3">
            <v>44.785483803248489</v>
          </cell>
          <cell r="M3">
            <v>49</v>
          </cell>
          <cell r="N3">
            <v>46.211169324128946</v>
          </cell>
          <cell r="O3">
            <v>43.259757335052939</v>
          </cell>
          <cell r="P3">
            <v>41.946629963890409</v>
          </cell>
          <cell r="Q3">
            <v>39.1953132974676</v>
          </cell>
          <cell r="R3">
            <v>39.220326218844761</v>
          </cell>
          <cell r="S3">
            <v>41.521429094077796</v>
          </cell>
          <cell r="T3">
            <v>41.521429094077796</v>
          </cell>
          <cell r="U3">
            <v>42.14671991040538</v>
          </cell>
          <cell r="V3">
            <v>41.008674933477437</v>
          </cell>
          <cell r="W3">
            <v>37.056783676513255</v>
          </cell>
          <cell r="X3">
            <v>31.341556619252099</v>
          </cell>
          <cell r="Y3">
            <v>30.328568200845858</v>
          </cell>
        </row>
        <row r="4">
          <cell r="B4">
            <v>40.338685086236971</v>
          </cell>
          <cell r="C4">
            <v>35.492586405739473</v>
          </cell>
          <cell r="D4">
            <v>33.414629895509499</v>
          </cell>
          <cell r="E4">
            <v>33.017815403767131</v>
          </cell>
          <cell r="F4">
            <v>34.559863372511572</v>
          </cell>
          <cell r="G4">
            <v>37.314414099766424</v>
          </cell>
          <cell r="H4">
            <v>45.026368930375057</v>
          </cell>
          <cell r="I4">
            <v>50.336580755967368</v>
          </cell>
          <cell r="J4">
            <v>53.276692821986231</v>
          </cell>
          <cell r="K4">
            <v>55.089121927082807</v>
          </cell>
          <cell r="L4">
            <v>55.593162821712347</v>
          </cell>
          <cell r="M4">
            <v>55.01330639359869</v>
          </cell>
          <cell r="N4">
            <v>54.70114945754537</v>
          </cell>
          <cell r="O4">
            <v>53.57310231981603</v>
          </cell>
          <cell r="P4">
            <v>51.867775932291266</v>
          </cell>
          <cell r="Q4">
            <v>50.928624082439704</v>
          </cell>
          <cell r="R4">
            <v>52.746743037905922</v>
          </cell>
          <cell r="S4">
            <v>59.716784837608415</v>
          </cell>
          <cell r="T4">
            <v>60.888377734450266</v>
          </cell>
          <cell r="U4">
            <v>61.25</v>
          </cell>
          <cell r="V4">
            <v>59.428612534847261</v>
          </cell>
          <cell r="W4">
            <v>56.712032187436073</v>
          </cell>
          <cell r="X4">
            <v>51.713074363818635</v>
          </cell>
          <cell r="Y4">
            <v>45.70954172653235</v>
          </cell>
        </row>
      </sheetData>
      <sheetData sheetId="9">
        <row r="2">
          <cell r="B2">
            <v>-12.469785513080238</v>
          </cell>
          <cell r="C2">
            <v>-13.552944458482951</v>
          </cell>
          <cell r="D2">
            <v>-14.59839275357499</v>
          </cell>
          <cell r="E2">
            <v>-14.492120196648649</v>
          </cell>
          <cell r="F2">
            <v>-15</v>
          </cell>
          <cell r="G2">
            <v>-13.35282359736305</v>
          </cell>
          <cell r="H2">
            <v>-9.9436551462545548</v>
          </cell>
          <cell r="I2">
            <v>-4.0930063124960201</v>
          </cell>
          <cell r="J2">
            <v>-1.2053668195189318</v>
          </cell>
          <cell r="K2">
            <v>-0.18855958103093676</v>
          </cell>
          <cell r="L2">
            <v>-1.6927804232274042</v>
          </cell>
          <cell r="M2">
            <v>-1.2444992949422855</v>
          </cell>
          <cell r="N2">
            <v>-1.7225564045393726</v>
          </cell>
          <cell r="O2">
            <v>-1.7376609171962816</v>
          </cell>
          <cell r="P2">
            <v>-4.3928558767051147</v>
          </cell>
          <cell r="Q2">
            <v>-6.3264040784546287</v>
          </cell>
          <cell r="R2">
            <v>-5.6261809952244768</v>
          </cell>
          <cell r="S2">
            <v>-1.9205124586372087</v>
          </cell>
          <cell r="T2">
            <v>-2.7936569679470304</v>
          </cell>
          <cell r="U2">
            <v>-3.5117603225567375</v>
          </cell>
          <cell r="V2">
            <v>-5.5163531393218799</v>
          </cell>
          <cell r="W2">
            <v>-7.1605846200922834</v>
          </cell>
          <cell r="X2">
            <v>-9.6068981828398492</v>
          </cell>
          <cell r="Y2">
            <v>-10.813381136149594</v>
          </cell>
        </row>
        <row r="3">
          <cell r="B3">
            <v>14.127545889467058</v>
          </cell>
          <cell r="C3">
            <v>17.5</v>
          </cell>
          <cell r="D3">
            <v>17.5</v>
          </cell>
          <cell r="E3">
            <v>17.5</v>
          </cell>
          <cell r="F3">
            <v>17.5</v>
          </cell>
          <cell r="G3">
            <v>14.179431683319915</v>
          </cell>
          <cell r="H3">
            <v>6.4314389736126669</v>
          </cell>
          <cell r="I3">
            <v>0.8279811071244515</v>
          </cell>
          <cell r="J3">
            <v>-4.8446504074823817</v>
          </cell>
          <cell r="K3">
            <v>-4.8446504074823817</v>
          </cell>
          <cell r="L3">
            <v>-0.41722598524226717</v>
          </cell>
          <cell r="M3">
            <v>-5.0521935828938114</v>
          </cell>
          <cell r="N3">
            <v>-5.0521935828938114</v>
          </cell>
          <cell r="O3">
            <v>-3.9107469480985446</v>
          </cell>
          <cell r="P3">
            <v>-0.4864070437127439</v>
          </cell>
          <cell r="Q3">
            <v>2.9379217305387932</v>
          </cell>
          <cell r="R3">
            <v>4.0793646552893064</v>
          </cell>
          <cell r="S3">
            <v>4.0793646552893064</v>
          </cell>
          <cell r="T3">
            <v>4.0793646552893064</v>
          </cell>
          <cell r="U3">
            <v>4.0793646552893064</v>
          </cell>
          <cell r="V3">
            <v>4.0793646552893064</v>
          </cell>
          <cell r="W3">
            <v>8.5067890385788196</v>
          </cell>
          <cell r="X3">
            <v>13.00339451928941</v>
          </cell>
          <cell r="Y3">
            <v>13.00339451928941</v>
          </cell>
        </row>
        <row r="4">
          <cell r="B4">
            <v>9.5862253418707848</v>
          </cell>
          <cell r="C4">
            <v>7.3945508941769083</v>
          </cell>
          <cell r="D4">
            <v>6.3301139872096703</v>
          </cell>
          <cell r="E4">
            <v>6.1944372172834452</v>
          </cell>
          <cell r="F4">
            <v>7.0403543352236237</v>
          </cell>
          <cell r="G4">
            <v>8.7415700230074709</v>
          </cell>
          <cell r="H4">
            <v>13.562617537809391</v>
          </cell>
          <cell r="I4">
            <v>16.557360904182715</v>
          </cell>
          <cell r="J4">
            <v>19.129685301172859</v>
          </cell>
          <cell r="K4">
            <v>21.065303619522883</v>
          </cell>
          <cell r="L4">
            <v>21.243078629058768</v>
          </cell>
          <cell r="M4">
            <v>20.862173033119678</v>
          </cell>
          <cell r="N4">
            <v>20.95102394649771</v>
          </cell>
          <cell r="O4">
            <v>20.737230794477721</v>
          </cell>
          <cell r="P4">
            <v>18.707375853174536</v>
          </cell>
          <cell r="Q4">
            <v>17.77368689804371</v>
          </cell>
          <cell r="R4">
            <v>18.342498955643656</v>
          </cell>
          <cell r="S4">
            <v>25</v>
          </cell>
          <cell r="T4">
            <v>24.963707582812827</v>
          </cell>
          <cell r="U4">
            <v>24.201932642157256</v>
          </cell>
          <cell r="V4">
            <v>22.401441623691078</v>
          </cell>
          <cell r="W4">
            <v>19.922348287051417</v>
          </cell>
          <cell r="X4">
            <v>16.249130246379966</v>
          </cell>
          <cell r="Y4">
            <v>12.466213225438899</v>
          </cell>
        </row>
      </sheetData>
      <sheetData sheetId="10">
        <row r="2">
          <cell r="B2">
            <v>-12.843879078472645</v>
          </cell>
          <cell r="C2">
            <v>-13.959532792237439</v>
          </cell>
          <cell r="D2">
            <v>-15.03634453618224</v>
          </cell>
          <cell r="E2">
            <v>-14.92688380254811</v>
          </cell>
          <cell r="F2">
            <v>-15.450000000000001</v>
          </cell>
          <cell r="G2">
            <v>-13.753408305283942</v>
          </cell>
          <cell r="H2">
            <v>-10.24196480064219</v>
          </cell>
          <cell r="I2">
            <v>-4.2157965018709005</v>
          </cell>
          <cell r="J2">
            <v>-1.2415278241044996</v>
          </cell>
          <cell r="K2">
            <v>-0.19421636846186485</v>
          </cell>
          <cell r="L2">
            <v>-1.7435638359242263</v>
          </cell>
          <cell r="M2">
            <v>-1.2818342737905541</v>
          </cell>
          <cell r="N2">
            <v>-1.774233096675554</v>
          </cell>
          <cell r="O2">
            <v>-1.7897907447121701</v>
          </cell>
          <cell r="P2">
            <v>-4.5246415530062682</v>
          </cell>
          <cell r="Q2">
            <v>-6.5161962008082677</v>
          </cell>
          <cell r="R2">
            <v>-5.7949664250812116</v>
          </cell>
          <cell r="S2">
            <v>-1.9781278323963249</v>
          </cell>
          <cell r="T2">
            <v>-2.8774666769854416</v>
          </cell>
          <cell r="U2">
            <v>-3.6171131322334396</v>
          </cell>
          <cell r="V2">
            <v>-5.6818437335015366</v>
          </cell>
          <cell r="W2">
            <v>-7.375402158695052</v>
          </cell>
          <cell r="X2">
            <v>-9.8951051283250457</v>
          </cell>
          <cell r="Y2">
            <v>-11.137782570234082</v>
          </cell>
        </row>
        <row r="3">
          <cell r="B3">
            <v>14.55137226615107</v>
          </cell>
          <cell r="C3">
            <v>18.025000000000002</v>
          </cell>
          <cell r="D3">
            <v>18.025000000000002</v>
          </cell>
          <cell r="E3">
            <v>18.025000000000002</v>
          </cell>
          <cell r="F3">
            <v>18.025000000000002</v>
          </cell>
          <cell r="G3">
            <v>14.604814633819514</v>
          </cell>
          <cell r="H3">
            <v>6.6243821428210472</v>
          </cell>
          <cell r="I3">
            <v>0.85282054033818511</v>
          </cell>
          <cell r="J3">
            <v>-4.9899899197068533</v>
          </cell>
          <cell r="K3">
            <v>-4.9899899197068533</v>
          </cell>
          <cell r="L3">
            <v>-0.42974276479953516</v>
          </cell>
          <cell r="M3">
            <v>-5.2037593903806263</v>
          </cell>
          <cell r="N3">
            <v>-5.2037593903806263</v>
          </cell>
          <cell r="O3">
            <v>-4.0280693565415007</v>
          </cell>
          <cell r="P3">
            <v>-0.50099925502412623</v>
          </cell>
          <cell r="Q3">
            <v>3.0260593824549575</v>
          </cell>
          <cell r="R3">
            <v>4.2017455949479858</v>
          </cell>
          <cell r="S3">
            <v>4.2017455949479858</v>
          </cell>
          <cell r="T3">
            <v>4.2017455949479858</v>
          </cell>
          <cell r="U3">
            <v>4.2017455949479858</v>
          </cell>
          <cell r="V3">
            <v>4.2017455949479858</v>
          </cell>
          <cell r="W3">
            <v>8.7619927097361838</v>
          </cell>
          <cell r="X3">
            <v>13.393496354868093</v>
          </cell>
          <cell r="Y3">
            <v>13.393496354868093</v>
          </cell>
        </row>
        <row r="4">
          <cell r="B4">
            <v>9.8738121021269087</v>
          </cell>
          <cell r="C4">
            <v>7.6163874210022158</v>
          </cell>
          <cell r="D4">
            <v>6.5200174068259606</v>
          </cell>
          <cell r="E4">
            <v>6.3802703338019491</v>
          </cell>
          <cell r="F4">
            <v>7.2515649652803322</v>
          </cell>
          <cell r="G4">
            <v>9.0038171236976954</v>
          </cell>
          <cell r="H4">
            <v>13.969496063943673</v>
          </cell>
          <cell r="I4">
            <v>17.054081731308198</v>
          </cell>
          <cell r="J4">
            <v>19.703575860208048</v>
          </cell>
          <cell r="K4">
            <v>21.697262728108569</v>
          </cell>
          <cell r="L4">
            <v>21.880370987930529</v>
          </cell>
          <cell r="M4">
            <v>21.488038224113268</v>
          </cell>
          <cell r="N4">
            <v>21.57955466489264</v>
          </cell>
          <cell r="O4">
            <v>21.359347718312051</v>
          </cell>
          <cell r="P4">
            <v>19.268597128769773</v>
          </cell>
          <cell r="Q4">
            <v>18.306897504985024</v>
          </cell>
          <cell r="R4">
            <v>18.892773924312966</v>
          </cell>
          <cell r="S4">
            <v>25.75</v>
          </cell>
          <cell r="T4">
            <v>25.712618810297212</v>
          </cell>
          <cell r="U4">
            <v>24.927990621421976</v>
          </cell>
          <cell r="V4">
            <v>23.07348487240181</v>
          </cell>
          <cell r="W4">
            <v>20.520018735662958</v>
          </cell>
          <cell r="X4">
            <v>16.736604153771367</v>
          </cell>
          <cell r="Y4">
            <v>12.840199622202068</v>
          </cell>
        </row>
      </sheetData>
      <sheetData sheetId="11">
        <row r="2">
          <cell r="B2">
            <v>-12.220389802818632</v>
          </cell>
          <cell r="C2">
            <v>-13.281885569313291</v>
          </cell>
          <cell r="D2">
            <v>-14.30642489850349</v>
          </cell>
          <cell r="E2">
            <v>-14.202277792715677</v>
          </cell>
          <cell r="F2">
            <v>-14.7</v>
          </cell>
          <cell r="G2">
            <v>-13.08576712541579</v>
          </cell>
          <cell r="H2">
            <v>-9.7447820433294616</v>
          </cell>
          <cell r="I2">
            <v>-4.0111461862460995</v>
          </cell>
          <cell r="J2">
            <v>-1.181259483128553</v>
          </cell>
          <cell r="K2">
            <v>-0.18478838941031803</v>
          </cell>
          <cell r="L2">
            <v>-1.6589248147628561</v>
          </cell>
          <cell r="M2">
            <v>-1.2196093090434397</v>
          </cell>
          <cell r="N2">
            <v>-1.6881052764485851</v>
          </cell>
          <cell r="O2">
            <v>-1.7029076988523559</v>
          </cell>
          <cell r="P2">
            <v>-4.3049987591710126</v>
          </cell>
          <cell r="Q2">
            <v>-6.1998759968855355</v>
          </cell>
          <cell r="R2">
            <v>-5.5136573753199869</v>
          </cell>
          <cell r="S2">
            <v>-1.8821022094644642</v>
          </cell>
          <cell r="T2">
            <v>-2.73778382858809</v>
          </cell>
          <cell r="U2">
            <v>-3.4415251161056029</v>
          </cell>
          <cell r="V2">
            <v>-5.4060260765354426</v>
          </cell>
          <cell r="W2">
            <v>-7.0173729276904373</v>
          </cell>
          <cell r="X2">
            <v>-9.4147602191830515</v>
          </cell>
          <cell r="Y2">
            <v>-10.597113513426603</v>
          </cell>
        </row>
        <row r="3">
          <cell r="B3">
            <v>13.844994971677718</v>
          </cell>
          <cell r="C3">
            <v>17.149999999999999</v>
          </cell>
          <cell r="D3">
            <v>17.149999999999999</v>
          </cell>
          <cell r="E3">
            <v>17.149999999999999</v>
          </cell>
          <cell r="F3">
            <v>17.149999999999999</v>
          </cell>
          <cell r="G3">
            <v>13.895843049653516</v>
          </cell>
          <cell r="H3">
            <v>6.302810194140414</v>
          </cell>
          <cell r="I3">
            <v>0.81142148498196243</v>
          </cell>
          <cell r="J3">
            <v>-4.7477573993327349</v>
          </cell>
          <cell r="K3">
            <v>-4.7477573993327349</v>
          </cell>
          <cell r="L3">
            <v>-0.40888146553742183</v>
          </cell>
          <cell r="M3">
            <v>-4.9511497112359351</v>
          </cell>
          <cell r="N3">
            <v>-4.9511497112359351</v>
          </cell>
          <cell r="O3">
            <v>-3.8325320091365733</v>
          </cell>
          <cell r="P3">
            <v>-0.47667890283848902</v>
          </cell>
          <cell r="Q3">
            <v>2.8791632959280173</v>
          </cell>
          <cell r="R3">
            <v>3.9977773621835202</v>
          </cell>
          <cell r="S3">
            <v>3.9977773621835202</v>
          </cell>
          <cell r="T3">
            <v>3.9977773621835202</v>
          </cell>
          <cell r="U3">
            <v>3.9977773621835202</v>
          </cell>
          <cell r="V3">
            <v>3.9977773621835202</v>
          </cell>
          <cell r="W3">
            <v>8.3366532578072423</v>
          </cell>
          <cell r="X3">
            <v>12.743326628903622</v>
          </cell>
          <cell r="Y3">
            <v>12.743326628903622</v>
          </cell>
        </row>
        <row r="4">
          <cell r="B4">
            <v>9.3945008350333676</v>
          </cell>
          <cell r="C4">
            <v>7.2466598762933714</v>
          </cell>
          <cell r="D4">
            <v>6.2035117074654771</v>
          </cell>
          <cell r="E4">
            <v>6.0705484729377766</v>
          </cell>
          <cell r="F4">
            <v>6.8995472485191511</v>
          </cell>
          <cell r="G4">
            <v>8.5667386225473212</v>
          </cell>
          <cell r="H4">
            <v>13.291365187053202</v>
          </cell>
          <cell r="I4">
            <v>16.226213686099062</v>
          </cell>
          <cell r="J4">
            <v>18.747091595149403</v>
          </cell>
          <cell r="K4">
            <v>20.643997547132422</v>
          </cell>
          <cell r="L4">
            <v>20.818217056477593</v>
          </cell>
          <cell r="M4">
            <v>20.444929572457283</v>
          </cell>
          <cell r="N4">
            <v>20.532003467567755</v>
          </cell>
          <cell r="O4">
            <v>20.322486178588168</v>
          </cell>
          <cell r="P4">
            <v>18.333228336111045</v>
          </cell>
          <cell r="Q4">
            <v>17.418213160082839</v>
          </cell>
          <cell r="R4">
            <v>17.975648976530785</v>
          </cell>
          <cell r="S4">
            <v>24.5</v>
          </cell>
          <cell r="T4">
            <v>24.464433431156571</v>
          </cell>
          <cell r="U4">
            <v>23.71789398931411</v>
          </cell>
          <cell r="V4">
            <v>21.953412791217257</v>
          </cell>
          <cell r="W4">
            <v>19.52390132131039</v>
          </cell>
          <cell r="X4">
            <v>15.924147641452368</v>
          </cell>
          <cell r="Y4">
            <v>12.21688896093012</v>
          </cell>
        </row>
      </sheetData>
      <sheetData sheetId="12">
        <row r="2">
          <cell r="B2">
            <v>29.804176869297603</v>
          </cell>
          <cell r="C2">
            <v>26.644820270777611</v>
          </cell>
          <cell r="D2">
            <v>25.411595180390687</v>
          </cell>
          <cell r="E2">
            <v>25.353147791464139</v>
          </cell>
          <cell r="F2">
            <v>25.039313582222675</v>
          </cell>
          <cell r="G2">
            <v>26.165973821904611</v>
          </cell>
          <cell r="H2">
            <v>29.430377367433447</v>
          </cell>
          <cell r="I2">
            <v>36.732334527504271</v>
          </cell>
          <cell r="J2">
            <v>39.367123462487584</v>
          </cell>
          <cell r="K2">
            <v>41.249793296271953</v>
          </cell>
          <cell r="L2">
            <v>42.613662696283143</v>
          </cell>
          <cell r="M2">
            <v>41.488990378462901</v>
          </cell>
          <cell r="N2">
            <v>42.144125178070063</v>
          </cell>
          <cell r="O2">
            <v>42.992097653227766</v>
          </cell>
          <cell r="P2">
            <v>39.479340247125904</v>
          </cell>
          <cell r="Q2">
            <v>36.428881355961025</v>
          </cell>
          <cell r="R2">
            <v>37.805851311810983</v>
          </cell>
          <cell r="S2">
            <v>39.734333964177125</v>
          </cell>
          <cell r="T2">
            <v>42.111111160488811</v>
          </cell>
          <cell r="U2">
            <v>41.372677006938666</v>
          </cell>
          <cell r="V2">
            <v>39.85772609006446</v>
          </cell>
          <cell r="W2">
            <v>41.307497267714197</v>
          </cell>
          <cell r="X2">
            <v>34.612315009335632</v>
          </cell>
          <cell r="Y2">
            <v>34.755218765474922</v>
          </cell>
        </row>
        <row r="3">
          <cell r="B3">
            <v>28.875350957191564</v>
          </cell>
          <cell r="C3">
            <v>27.891355389404048</v>
          </cell>
          <cell r="D3">
            <v>25.050316632719948</v>
          </cell>
          <cell r="E3">
            <v>25.982571774500563</v>
          </cell>
          <cell r="F3">
            <v>25.103250102643042</v>
          </cell>
          <cell r="G3">
            <v>27.844198263445165</v>
          </cell>
          <cell r="H3">
            <v>36.289512364289422</v>
          </cell>
          <cell r="I3">
            <v>42.769788910744744</v>
          </cell>
          <cell r="J3">
            <v>46.473808680087728</v>
          </cell>
          <cell r="K3">
            <v>45.159921141297353</v>
          </cell>
          <cell r="L3">
            <v>42.634595816865414</v>
          </cell>
          <cell r="M3">
            <v>46.5</v>
          </cell>
          <cell r="N3">
            <v>44.729999659053554</v>
          </cell>
          <cell r="O3">
            <v>42.891339429203121</v>
          </cell>
          <cell r="P3">
            <v>42.251485069560395</v>
          </cell>
          <cell r="Q3">
            <v>40.546316489666197</v>
          </cell>
          <cell r="R3">
            <v>37.68679268613819</v>
          </cell>
          <cell r="S3">
            <v>41.229757874939587</v>
          </cell>
          <cell r="T3">
            <v>41.405066520114509</v>
          </cell>
          <cell r="U3">
            <v>40.281515628413231</v>
          </cell>
          <cell r="V3">
            <v>38.517973643105648</v>
          </cell>
          <cell r="W3">
            <v>37.941956418315435</v>
          </cell>
          <cell r="X3">
            <v>34.925716207720136</v>
          </cell>
          <cell r="Y3">
            <v>32.345827987123428</v>
          </cell>
        </row>
        <row r="4">
          <cell r="B4">
            <v>40.138293234919523</v>
          </cell>
          <cell r="C4">
            <v>34.945146189419937</v>
          </cell>
          <cell r="D4">
            <v>35.238338785050757</v>
          </cell>
          <cell r="E4">
            <v>32.442569312376285</v>
          </cell>
          <cell r="F4">
            <v>34.614280706719995</v>
          </cell>
          <cell r="G4">
            <v>34.120402260241164</v>
          </cell>
          <cell r="H4">
            <v>39.887077093422469</v>
          </cell>
          <cell r="I4">
            <v>44.302198024984683</v>
          </cell>
          <cell r="J4">
            <v>51.252381832168346</v>
          </cell>
          <cell r="K4">
            <v>52.588558489906255</v>
          </cell>
          <cell r="L4">
            <v>54.479497589850986</v>
          </cell>
          <cell r="M4">
            <v>57.45934099700068</v>
          </cell>
          <cell r="N4">
            <v>57.834456662186497</v>
          </cell>
          <cell r="O4">
            <v>57.395412652249817</v>
          </cell>
          <cell r="P4">
            <v>54.188584333481991</v>
          </cell>
          <cell r="Q4">
            <v>54.751525291537526</v>
          </cell>
          <cell r="R4">
            <v>54.536650589645262</v>
          </cell>
          <cell r="S4">
            <v>56.295189884377749</v>
          </cell>
          <cell r="T4">
            <v>56.248056207175203</v>
          </cell>
          <cell r="U4">
            <v>55.102772670021572</v>
          </cell>
          <cell r="V4">
            <v>53.811540954047096</v>
          </cell>
          <cell r="W4">
            <v>56.384843977543227</v>
          </cell>
          <cell r="X4">
            <v>51.819161667131951</v>
          </cell>
          <cell r="Y4">
            <v>47.11949991002956</v>
          </cell>
        </row>
      </sheetData>
      <sheetData sheetId="13">
        <row r="2">
          <cell r="B2">
            <v>30.698302175376529</v>
          </cell>
          <cell r="C2">
            <v>27.444164878900942</v>
          </cell>
          <cell r="D2">
            <v>26.173943035802409</v>
          </cell>
          <cell r="E2">
            <v>26.113742225208064</v>
          </cell>
          <cell r="F2">
            <v>25.790492989689358</v>
          </cell>
          <cell r="G2">
            <v>26.950953036561749</v>
          </cell>
          <cell r="H2">
            <v>30.313288688456449</v>
          </cell>
          <cell r="I2">
            <v>37.834304563329397</v>
          </cell>
          <cell r="J2">
            <v>40.54813716636221</v>
          </cell>
          <cell r="K2">
            <v>42.487287095160113</v>
          </cell>
          <cell r="L2">
            <v>43.892072577171639</v>
          </cell>
          <cell r="M2">
            <v>42.733660089816794</v>
          </cell>
          <cell r="N2">
            <v>43.408448933412167</v>
          </cell>
          <cell r="O2">
            <v>44.281860582824599</v>
          </cell>
          <cell r="P2">
            <v>40.663720454539686</v>
          </cell>
          <cell r="Q2">
            <v>37.521747796639858</v>
          </cell>
          <cell r="R2">
            <v>38.940026851165314</v>
          </cell>
          <cell r="S2">
            <v>40.926363983102441</v>
          </cell>
          <cell r="T2">
            <v>43.374444495303479</v>
          </cell>
          <cell r="U2">
            <v>42.613857317146824</v>
          </cell>
          <cell r="V2">
            <v>41.053457872766394</v>
          </cell>
          <cell r="W2">
            <v>42.546722185745622</v>
          </cell>
          <cell r="X2">
            <v>35.650684459615697</v>
          </cell>
          <cell r="Y2">
            <v>35.797875328439176</v>
          </cell>
        </row>
        <row r="3">
          <cell r="B3">
            <v>29.74161148590731</v>
          </cell>
          <cell r="C3">
            <v>28.728096051086172</v>
          </cell>
          <cell r="D3">
            <v>25.801826131701549</v>
          </cell>
          <cell r="E3">
            <v>26.762048927735581</v>
          </cell>
          <cell r="F3">
            <v>25.856347605722334</v>
          </cell>
          <cell r="G3">
            <v>28.679524211348518</v>
          </cell>
          <cell r="H3">
            <v>37.378197735218102</v>
          </cell>
          <cell r="I3">
            <v>44.052882578067084</v>
          </cell>
          <cell r="J3">
            <v>47.868022940490363</v>
          </cell>
          <cell r="K3">
            <v>46.514718775536281</v>
          </cell>
          <cell r="L3">
            <v>43.913633691371381</v>
          </cell>
          <cell r="M3">
            <v>47.895000000000003</v>
          </cell>
          <cell r="N3">
            <v>46.071899648825159</v>
          </cell>
          <cell r="O3">
            <v>44.178079612079216</v>
          </cell>
          <cell r="P3">
            <v>43.519029621647206</v>
          </cell>
          <cell r="Q3">
            <v>41.762705984356181</v>
          </cell>
          <cell r="R3">
            <v>38.817396466722343</v>
          </cell>
          <cell r="S3">
            <v>42.466650611187781</v>
          </cell>
          <cell r="T3">
            <v>42.647218515717945</v>
          </cell>
          <cell r="U3">
            <v>41.489961097265635</v>
          </cell>
          <cell r="V3">
            <v>39.673512852398822</v>
          </cell>
          <cell r="W3">
            <v>39.080215110864899</v>
          </cell>
          <cell r="X3">
            <v>35.973487693951739</v>
          </cell>
          <cell r="Y3">
            <v>33.316202826737126</v>
          </cell>
        </row>
        <row r="4">
          <cell r="B4">
            <v>41.34244203196711</v>
          </cell>
          <cell r="C4">
            <v>35.99350057510253</v>
          </cell>
          <cell r="D4">
            <v>36.295488948602284</v>
          </cell>
          <cell r="E4">
            <v>33.415846391747579</v>
          </cell>
          <cell r="F4">
            <v>35.652709127921597</v>
          </cell>
          <cell r="G4">
            <v>35.144014328048399</v>
          </cell>
          <cell r="H4">
            <v>41.08368940622514</v>
          </cell>
          <cell r="I4">
            <v>45.631263965734227</v>
          </cell>
          <cell r="J4">
            <v>52.7899532871334</v>
          </cell>
          <cell r="K4">
            <v>54.166215244603443</v>
          </cell>
          <cell r="L4">
            <v>56.113882517546521</v>
          </cell>
          <cell r="M4">
            <v>59.183121226910707</v>
          </cell>
          <cell r="N4">
            <v>59.5694903620521</v>
          </cell>
          <cell r="O4">
            <v>59.117275031817307</v>
          </cell>
          <cell r="P4">
            <v>55.814241863486451</v>
          </cell>
          <cell r="Q4">
            <v>56.394071050283657</v>
          </cell>
          <cell r="R4">
            <v>56.172750107334622</v>
          </cell>
          <cell r="S4">
            <v>57.984045580909083</v>
          </cell>
          <cell r="T4">
            <v>57.935497893390462</v>
          </cell>
          <cell r="U4">
            <v>56.755855850122224</v>
          </cell>
          <cell r="V4">
            <v>55.425887182668511</v>
          </cell>
          <cell r="W4">
            <v>58.076389296869522</v>
          </cell>
          <cell r="X4">
            <v>53.373736517145907</v>
          </cell>
          <cell r="Y4">
            <v>48.533084907330448</v>
          </cell>
        </row>
      </sheetData>
      <sheetData sheetId="14">
        <row r="2">
          <cell r="B2">
            <v>29.208093331911648</v>
          </cell>
          <cell r="C2">
            <v>26.111923865362058</v>
          </cell>
          <cell r="D2">
            <v>24.903363276782876</v>
          </cell>
          <cell r="E2">
            <v>24.846084835634855</v>
          </cell>
          <cell r="F2">
            <v>24.538527310578218</v>
          </cell>
          <cell r="G2">
            <v>25.642654345466518</v>
          </cell>
          <cell r="H2">
            <v>28.841769820084778</v>
          </cell>
          <cell r="I2">
            <v>35.997687836954178</v>
          </cell>
          <cell r="J2">
            <v>38.579780993237826</v>
          </cell>
          <cell r="K2">
            <v>40.424797430346516</v>
          </cell>
          <cell r="L2">
            <v>41.761389442357483</v>
          </cell>
          <cell r="M2">
            <v>40.659210570893649</v>
          </cell>
          <cell r="N2">
            <v>41.301242674508664</v>
          </cell>
          <cell r="O2">
            <v>42.132255700163206</v>
          </cell>
          <cell r="P2">
            <v>38.689753442183388</v>
          </cell>
          <cell r="Q2">
            <v>35.700303728841803</v>
          </cell>
          <cell r="R2">
            <v>37.049734285574765</v>
          </cell>
          <cell r="S2">
            <v>38.939647284893582</v>
          </cell>
          <cell r="T2">
            <v>41.26888893727903</v>
          </cell>
          <cell r="U2">
            <v>40.545223466799889</v>
          </cell>
          <cell r="V2">
            <v>39.060571568263171</v>
          </cell>
          <cell r="W2">
            <v>40.481347322359916</v>
          </cell>
          <cell r="X2">
            <v>33.920068709148914</v>
          </cell>
          <cell r="Y2">
            <v>34.060114390165424</v>
          </cell>
        </row>
        <row r="3">
          <cell r="B3">
            <v>28.297843938047734</v>
          </cell>
          <cell r="C3">
            <v>27.333528281615965</v>
          </cell>
          <cell r="D3">
            <v>24.549310300065549</v>
          </cell>
          <cell r="E3">
            <v>25.462920339010552</v>
          </cell>
          <cell r="F3">
            <v>24.601185100590182</v>
          </cell>
          <cell r="G3">
            <v>27.287314298176256</v>
          </cell>
          <cell r="H3">
            <v>35.563722117003636</v>
          </cell>
          <cell r="I3">
            <v>41.914393132529845</v>
          </cell>
          <cell r="J3">
            <v>45.544332506485972</v>
          </cell>
          <cell r="K3">
            <v>44.256722718471408</v>
          </cell>
          <cell r="L3">
            <v>41.781903900528107</v>
          </cell>
          <cell r="M3">
            <v>45.57</v>
          </cell>
          <cell r="N3">
            <v>43.83539966587248</v>
          </cell>
          <cell r="O3">
            <v>42.033512640619058</v>
          </cell>
          <cell r="P3">
            <v>41.40645536816919</v>
          </cell>
          <cell r="Q3">
            <v>39.735390159872871</v>
          </cell>
          <cell r="R3">
            <v>36.933056832415431</v>
          </cell>
          <cell r="S3">
            <v>40.405162717440795</v>
          </cell>
          <cell r="T3">
            <v>40.576965189712219</v>
          </cell>
          <cell r="U3">
            <v>39.47588531584497</v>
          </cell>
          <cell r="V3">
            <v>37.747614170243537</v>
          </cell>
          <cell r="W3">
            <v>37.183117289949124</v>
          </cell>
          <cell r="X3">
            <v>34.227201883565733</v>
          </cell>
          <cell r="Y3">
            <v>31.69891142738096</v>
          </cell>
        </row>
        <row r="4">
          <cell r="B4">
            <v>39.335527370221129</v>
          </cell>
          <cell r="C4">
            <v>34.246243265631534</v>
          </cell>
          <cell r="D4">
            <v>34.53357200934974</v>
          </cell>
          <cell r="E4">
            <v>31.793717926128764</v>
          </cell>
          <cell r="F4">
            <v>33.92199509258559</v>
          </cell>
          <cell r="G4">
            <v>33.437994215036341</v>
          </cell>
          <cell r="H4">
            <v>39.089335551554022</v>
          </cell>
          <cell r="I4">
            <v>43.416154064484985</v>
          </cell>
          <cell r="J4">
            <v>50.227334195524975</v>
          </cell>
          <cell r="K4">
            <v>51.536787320108125</v>
          </cell>
          <cell r="L4">
            <v>53.38990763805397</v>
          </cell>
          <cell r="M4">
            <v>56.310154177060667</v>
          </cell>
          <cell r="N4">
            <v>56.677767528942766</v>
          </cell>
          <cell r="O4">
            <v>56.247504399204821</v>
          </cell>
          <cell r="P4">
            <v>53.104812646812348</v>
          </cell>
          <cell r="Q4">
            <v>53.656494785706776</v>
          </cell>
          <cell r="R4">
            <v>53.445917577852356</v>
          </cell>
          <cell r="S4">
            <v>55.169286086690185</v>
          </cell>
          <cell r="T4">
            <v>55.1230950830317</v>
          </cell>
          <cell r="U4">
            <v>54.00071721662114</v>
          </cell>
          <cell r="V4">
            <v>52.735310134966156</v>
          </cell>
          <cell r="W4">
            <v>55.257147097992359</v>
          </cell>
          <cell r="X4">
            <v>50.782778433789311</v>
          </cell>
          <cell r="Y4">
            <v>46.177109911828964</v>
          </cell>
        </row>
      </sheetData>
      <sheetData sheetId="15">
        <row r="2">
          <cell r="B2">
            <v>-11.088841925983788</v>
          </cell>
          <cell r="C2">
            <v>-13.065323033043761</v>
          </cell>
          <cell r="D2">
            <v>-14.684923998850405</v>
          </cell>
          <cell r="E2">
            <v>-13.830347092910559</v>
          </cell>
          <cell r="F2">
            <v>-13.969399347096569</v>
          </cell>
          <cell r="G2">
            <v>-13.733839083829603</v>
          </cell>
          <cell r="H2">
            <v>-11.42434438615695</v>
          </cell>
          <cell r="I2">
            <v>-2.7372853032067219</v>
          </cell>
          <cell r="J2">
            <v>3.067458834337967</v>
          </cell>
          <cell r="K2">
            <v>5.5999989790138986</v>
          </cell>
          <cell r="L2">
            <v>3.6701180867174648</v>
          </cell>
          <cell r="M2">
            <v>5.0444104809313339</v>
          </cell>
          <cell r="N2">
            <v>4.4223529988851746</v>
          </cell>
          <cell r="O2">
            <v>4.4212663008034578</v>
          </cell>
          <cell r="P2">
            <v>1.0160953442116454</v>
          </cell>
          <cell r="Q2">
            <v>-1.8396861042081714</v>
          </cell>
          <cell r="R2">
            <v>-0.79459390599102997</v>
          </cell>
          <cell r="S2">
            <v>1.137649286212379</v>
          </cell>
          <cell r="T2">
            <v>6.8719547083179386E-2</v>
          </cell>
          <cell r="U2">
            <v>-1.4718026832605351</v>
          </cell>
          <cell r="V2">
            <v>-2.987202385176956</v>
          </cell>
          <cell r="W2">
            <v>-3.2933486610726868</v>
          </cell>
          <cell r="X2">
            <v>-6.3080766097708816</v>
          </cell>
          <cell r="Y2">
            <v>-7.9487186287736025</v>
          </cell>
        </row>
        <row r="3">
          <cell r="B3">
            <v>-2.0416492018416124</v>
          </cell>
          <cell r="C3">
            <v>-0.62549122389476985</v>
          </cell>
          <cell r="D3">
            <v>-2.6193939123207386</v>
          </cell>
          <cell r="E3">
            <v>-3.8149999999999995</v>
          </cell>
          <cell r="F3">
            <v>-2.8000000000000007</v>
          </cell>
          <cell r="G3">
            <v>-4.2802514138049919</v>
          </cell>
          <cell r="H3">
            <v>-1.4658471276391805</v>
          </cell>
          <cell r="I3">
            <v>1.1643132923190587</v>
          </cell>
          <cell r="J3">
            <v>0.66692099127970028</v>
          </cell>
          <cell r="K3">
            <v>0.80169965916860464</v>
          </cell>
          <cell r="L3">
            <v>2.1379066004862848</v>
          </cell>
          <cell r="M3">
            <v>1.2887270380343245</v>
          </cell>
          <cell r="N3">
            <v>2.3609502665246009</v>
          </cell>
          <cell r="O3">
            <v>3.3430240018811648</v>
          </cell>
          <cell r="P3">
            <v>2.4042439160597446</v>
          </cell>
          <cell r="Q3">
            <v>3.2723933788967976</v>
          </cell>
          <cell r="R3">
            <v>1.2337607500799099</v>
          </cell>
          <cell r="S3">
            <v>1.1521734569741238</v>
          </cell>
          <cell r="T3">
            <v>1.2337607500799099</v>
          </cell>
          <cell r="U3">
            <v>1.1368511337022784</v>
          </cell>
          <cell r="V3">
            <v>-0.58773988762411578</v>
          </cell>
          <cell r="W3">
            <v>0.53037799112387607</v>
          </cell>
          <cell r="X3">
            <v>-2.9395683403642692</v>
          </cell>
          <cell r="Y3">
            <v>-2.6512951820839734</v>
          </cell>
        </row>
        <row r="4">
          <cell r="B4">
            <v>9.4393191010555899</v>
          </cell>
          <cell r="C4">
            <v>7.4966547713080836</v>
          </cell>
          <cell r="D4">
            <v>6.9597908049056638</v>
          </cell>
          <cell r="E4">
            <v>6.4288857936403154</v>
          </cell>
          <cell r="F4">
            <v>6.859975883228171</v>
          </cell>
          <cell r="G4">
            <v>5.3109564507033715</v>
          </cell>
          <cell r="H4">
            <v>9.085447883450259</v>
          </cell>
          <cell r="I4">
            <v>13.092182632975129</v>
          </cell>
          <cell r="J4">
            <v>17.717818939306181</v>
          </cell>
          <cell r="K4">
            <v>20.848274955873382</v>
          </cell>
          <cell r="L4">
            <v>21.195241729266453</v>
          </cell>
          <cell r="M4">
            <v>21.511095728825421</v>
          </cell>
          <cell r="N4">
            <v>23.100164598932942</v>
          </cell>
          <cell r="O4">
            <v>22.244892317791091</v>
          </cell>
          <cell r="P4">
            <v>20.660467992445859</v>
          </cell>
          <cell r="Q4">
            <v>20.502954463113181</v>
          </cell>
          <cell r="R4">
            <v>19.903721709814427</v>
          </cell>
          <cell r="S4">
            <v>20.929236545383567</v>
          </cell>
          <cell r="T4">
            <v>20.783883202483562</v>
          </cell>
          <cell r="U4">
            <v>20.53977177214384</v>
          </cell>
          <cell r="V4">
            <v>17.673466241030393</v>
          </cell>
          <cell r="W4">
            <v>19.175684953740713</v>
          </cell>
          <cell r="X4">
            <v>16.189065446942021</v>
          </cell>
          <cell r="Y4">
            <v>13.449246788708443</v>
          </cell>
        </row>
      </sheetData>
      <sheetData sheetId="16">
        <row r="2">
          <cell r="B2">
            <v>-11.421507183763302</v>
          </cell>
          <cell r="C2">
            <v>-13.457282724035073</v>
          </cell>
          <cell r="D2">
            <v>-15.125471718815918</v>
          </cell>
          <cell r="E2">
            <v>-14.245257505697877</v>
          </cell>
          <cell r="F2">
            <v>-14.388481327509467</v>
          </cell>
          <cell r="G2">
            <v>-14.145854256344492</v>
          </cell>
          <cell r="H2">
            <v>-11.767074717741659</v>
          </cell>
          <cell r="I2">
            <v>-2.8194038623029241</v>
          </cell>
          <cell r="J2">
            <v>3.1594825993681059</v>
          </cell>
          <cell r="K2">
            <v>5.7679989483843155</v>
          </cell>
          <cell r="L2">
            <v>3.780221629318989</v>
          </cell>
          <cell r="M2">
            <v>5.1957427953592745</v>
          </cell>
          <cell r="N2">
            <v>4.5550235888517303</v>
          </cell>
          <cell r="O2">
            <v>4.5539042898275621</v>
          </cell>
          <cell r="P2">
            <v>1.0465782045379948</v>
          </cell>
          <cell r="Q2">
            <v>-1.8948766873344167</v>
          </cell>
          <cell r="R2">
            <v>-0.81843172317076096</v>
          </cell>
          <cell r="S2">
            <v>1.1717787647987503</v>
          </cell>
          <cell r="T2">
            <v>7.0781133495674775E-2</v>
          </cell>
          <cell r="U2">
            <v>-1.5159567637583511</v>
          </cell>
          <cell r="V2">
            <v>-3.0768184567322647</v>
          </cell>
          <cell r="W2">
            <v>-3.3921491209048673</v>
          </cell>
          <cell r="X2">
            <v>-6.4973189080640088</v>
          </cell>
          <cell r="Y2">
            <v>-8.1871801876368107</v>
          </cell>
        </row>
        <row r="3">
          <cell r="B3">
            <v>-2.1028986778968606</v>
          </cell>
          <cell r="C3">
            <v>-0.64425596061161305</v>
          </cell>
          <cell r="D3">
            <v>-2.6979757296903606</v>
          </cell>
          <cell r="E3">
            <v>-3.9294499999999997</v>
          </cell>
          <cell r="F3">
            <v>-2.8840000000000003</v>
          </cell>
          <cell r="G3">
            <v>-4.4086589562191421</v>
          </cell>
          <cell r="H3">
            <v>-1.5098225414683557</v>
          </cell>
          <cell r="I3">
            <v>1.1992426910886305</v>
          </cell>
          <cell r="J3">
            <v>0.68692862101809127</v>
          </cell>
          <cell r="K3">
            <v>0.82575064894366279</v>
          </cell>
          <cell r="L3">
            <v>2.2020437985008732</v>
          </cell>
          <cell r="M3">
            <v>1.3273888491753543</v>
          </cell>
          <cell r="N3">
            <v>2.4317787745203394</v>
          </cell>
          <cell r="O3">
            <v>3.4433147219375995</v>
          </cell>
          <cell r="P3">
            <v>2.4763712335415375</v>
          </cell>
          <cell r="Q3">
            <v>3.3705651802637018</v>
          </cell>
          <cell r="R3">
            <v>1.2707735725823071</v>
          </cell>
          <cell r="S3">
            <v>1.1867386606833474</v>
          </cell>
          <cell r="T3">
            <v>1.2707735725823071</v>
          </cell>
          <cell r="U3">
            <v>1.1709566677133467</v>
          </cell>
          <cell r="V3">
            <v>-0.60537208425283928</v>
          </cell>
          <cell r="W3">
            <v>0.54628933085759235</v>
          </cell>
          <cell r="X3">
            <v>-3.0277553905751975</v>
          </cell>
          <cell r="Y3">
            <v>-2.7308340375464923</v>
          </cell>
        </row>
        <row r="4">
          <cell r="B4">
            <v>9.722498674087257</v>
          </cell>
          <cell r="C4">
            <v>7.7215544144473265</v>
          </cell>
          <cell r="D4">
            <v>7.1685845290528336</v>
          </cell>
          <cell r="E4">
            <v>6.6217523674495249</v>
          </cell>
          <cell r="F4">
            <v>7.0657751597250167</v>
          </cell>
          <cell r="G4">
            <v>5.4702851442244729</v>
          </cell>
          <cell r="H4">
            <v>9.3580113199537678</v>
          </cell>
          <cell r="I4">
            <v>13.484948111964384</v>
          </cell>
          <cell r="J4">
            <v>18.249353507485367</v>
          </cell>
          <cell r="K4">
            <v>21.473723204549586</v>
          </cell>
          <cell r="L4">
            <v>21.831098981144446</v>
          </cell>
          <cell r="M4">
            <v>22.156428600690184</v>
          </cell>
          <cell r="N4">
            <v>23.793169536900933</v>
          </cell>
          <cell r="O4">
            <v>22.912239087324824</v>
          </cell>
          <cell r="P4">
            <v>21.280282032219233</v>
          </cell>
          <cell r="Q4">
            <v>21.118043097006577</v>
          </cell>
          <cell r="R4">
            <v>20.500833361108857</v>
          </cell>
          <cell r="S4">
            <v>21.557113641745072</v>
          </cell>
          <cell r="T4">
            <v>21.407399698558073</v>
          </cell>
          <cell r="U4">
            <v>21.155964925308155</v>
          </cell>
          <cell r="V4">
            <v>18.203670228261306</v>
          </cell>
          <cell r="W4">
            <v>19.750955502352934</v>
          </cell>
          <cell r="X4">
            <v>16.674737410350279</v>
          </cell>
          <cell r="Y4">
            <v>13.852724192369697</v>
          </cell>
        </row>
      </sheetData>
      <sheetData sheetId="17">
        <row r="2">
          <cell r="B2">
            <v>-10.867065087464113</v>
          </cell>
          <cell r="C2">
            <v>-12.804016572382885</v>
          </cell>
          <cell r="D2">
            <v>-14.391225518873396</v>
          </cell>
          <cell r="E2">
            <v>-13.553740151052347</v>
          </cell>
          <cell r="F2">
            <v>-13.690011360154639</v>
          </cell>
          <cell r="G2">
            <v>-13.459162302153011</v>
          </cell>
          <cell r="H2">
            <v>-11.19585749843381</v>
          </cell>
          <cell r="I2">
            <v>-2.6825395971425876</v>
          </cell>
          <cell r="J2">
            <v>3.0061096576512076</v>
          </cell>
          <cell r="K2">
            <v>5.4879989994336205</v>
          </cell>
          <cell r="L2">
            <v>3.5967157249831154</v>
          </cell>
          <cell r="M2">
            <v>4.9435222713127063</v>
          </cell>
          <cell r="N2">
            <v>4.3339059389074706</v>
          </cell>
          <cell r="O2">
            <v>4.3328409747873895</v>
          </cell>
          <cell r="P2">
            <v>0.99577343732741241</v>
          </cell>
          <cell r="Q2">
            <v>-1.8028923821240079</v>
          </cell>
          <cell r="R2">
            <v>-0.77870202787120935</v>
          </cell>
          <cell r="S2">
            <v>1.1148963004881314</v>
          </cell>
          <cell r="T2">
            <v>6.7345156141515802E-2</v>
          </cell>
          <cell r="U2">
            <v>-1.4423666295953244</v>
          </cell>
          <cell r="V2">
            <v>-2.9274583374734164</v>
          </cell>
          <cell r="W2">
            <v>-3.2274816878512329</v>
          </cell>
          <cell r="X2">
            <v>-6.1819150775754643</v>
          </cell>
          <cell r="Y2">
            <v>-7.7897442561981309</v>
          </cell>
        </row>
        <row r="3">
          <cell r="B3">
            <v>-2.0008162178047799</v>
          </cell>
          <cell r="C3">
            <v>-0.61298139941687446</v>
          </cell>
          <cell r="D3">
            <v>-2.5670060340743235</v>
          </cell>
          <cell r="E3">
            <v>-3.7386999999999992</v>
          </cell>
          <cell r="F3">
            <v>-2.7440000000000002</v>
          </cell>
          <cell r="G3">
            <v>-4.194646385528892</v>
          </cell>
          <cell r="H3">
            <v>-1.4365301850863967</v>
          </cell>
          <cell r="I3">
            <v>1.1410270264726776</v>
          </cell>
          <cell r="J3">
            <v>0.65358257145410625</v>
          </cell>
          <cell r="K3">
            <v>0.78566566598523246</v>
          </cell>
          <cell r="L3">
            <v>2.0951484684765593</v>
          </cell>
          <cell r="M3">
            <v>1.2629524972736379</v>
          </cell>
          <cell r="N3">
            <v>2.3137312611941092</v>
          </cell>
          <cell r="O3">
            <v>3.2761635218435416</v>
          </cell>
          <cell r="P3">
            <v>2.35615903773855</v>
          </cell>
          <cell r="Q3">
            <v>3.2069455113188612</v>
          </cell>
          <cell r="R3">
            <v>1.2090855350783116</v>
          </cell>
          <cell r="S3">
            <v>1.1291299878346415</v>
          </cell>
          <cell r="T3">
            <v>1.2090855350783116</v>
          </cell>
          <cell r="U3">
            <v>1.1141141110282329</v>
          </cell>
          <cell r="V3">
            <v>-0.57598508987163344</v>
          </cell>
          <cell r="W3">
            <v>0.51977043130139855</v>
          </cell>
          <cell r="X3">
            <v>-2.8807769735569835</v>
          </cell>
          <cell r="Y3">
            <v>-2.5982692784422938</v>
          </cell>
        </row>
        <row r="4">
          <cell r="B4">
            <v>9.2505327190344762</v>
          </cell>
          <cell r="C4">
            <v>7.3467216758819216</v>
          </cell>
          <cell r="D4">
            <v>6.8205949888075503</v>
          </cell>
          <cell r="E4">
            <v>6.3003080777675091</v>
          </cell>
          <cell r="F4">
            <v>6.7227763655636084</v>
          </cell>
          <cell r="G4">
            <v>5.2047373216893043</v>
          </cell>
          <cell r="H4">
            <v>8.9037389257812549</v>
          </cell>
          <cell r="I4">
            <v>12.830338980315629</v>
          </cell>
          <cell r="J4">
            <v>17.363462560520055</v>
          </cell>
          <cell r="K4">
            <v>20.431309456755915</v>
          </cell>
          <cell r="L4">
            <v>20.771336894681124</v>
          </cell>
          <cell r="M4">
            <v>21.080873814248914</v>
          </cell>
          <cell r="N4">
            <v>22.638161306954281</v>
          </cell>
          <cell r="O4">
            <v>21.799994471435269</v>
          </cell>
          <cell r="P4">
            <v>20.247258632596939</v>
          </cell>
          <cell r="Q4">
            <v>20.092895373850919</v>
          </cell>
          <cell r="R4">
            <v>19.505647275618138</v>
          </cell>
          <cell r="S4">
            <v>20.510651814475896</v>
          </cell>
          <cell r="T4">
            <v>20.368205538433891</v>
          </cell>
          <cell r="U4">
            <v>20.128976336700962</v>
          </cell>
          <cell r="V4">
            <v>17.319996916209789</v>
          </cell>
          <cell r="W4">
            <v>18.792171254665899</v>
          </cell>
          <cell r="X4">
            <v>15.865284138003178</v>
          </cell>
          <cell r="Y4">
            <v>13.180261852934274</v>
          </cell>
        </row>
      </sheetData>
      <sheetData sheetId="18">
        <row r="2">
          <cell r="B2">
            <v>32.817375945180018</v>
          </cell>
          <cell r="C2">
            <v>29.816054647595806</v>
          </cell>
          <cell r="D2">
            <v>29.295245664706428</v>
          </cell>
          <cell r="E2">
            <v>29.220409083340382</v>
          </cell>
          <cell r="F2">
            <v>29.222712823617609</v>
          </cell>
          <cell r="G2">
            <v>28.964275690097171</v>
          </cell>
          <cell r="H2">
            <v>31.269521157901131</v>
          </cell>
          <cell r="I2">
            <v>37.124561006189111</v>
          </cell>
          <cell r="J2">
            <v>42.311443296985573</v>
          </cell>
          <cell r="K2">
            <v>43.611591410751721</v>
          </cell>
          <cell r="L2">
            <v>43.170253740394109</v>
          </cell>
          <cell r="M2">
            <v>44.391048414605869</v>
          </cell>
          <cell r="N2">
            <v>45</v>
          </cell>
          <cell r="O2">
            <v>44.167584304461947</v>
          </cell>
          <cell r="P2">
            <v>42.441726729097923</v>
          </cell>
          <cell r="Q2">
            <v>40.733520449221196</v>
          </cell>
          <cell r="R2">
            <v>41.444186883530428</v>
          </cell>
          <cell r="S2">
            <v>41.853645097091622</v>
          </cell>
          <cell r="T2">
            <v>42.03129827269828</v>
          </cell>
          <cell r="U2">
            <v>41.335487053836879</v>
          </cell>
          <cell r="V2">
            <v>41.459681983858381</v>
          </cell>
          <cell r="W2">
            <v>43.176857843221036</v>
          </cell>
          <cell r="X2">
            <v>40.246057516386649</v>
          </cell>
          <cell r="Y2">
            <v>36.893336517241856</v>
          </cell>
        </row>
        <row r="3">
          <cell r="B3">
            <v>33.274803251773768</v>
          </cell>
          <cell r="C3">
            <v>30.29770808896906</v>
          </cell>
          <cell r="D3">
            <v>28.814738182842035</v>
          </cell>
          <cell r="E3">
            <v>27.788929416265447</v>
          </cell>
          <cell r="F3">
            <v>27.788929416265447</v>
          </cell>
          <cell r="G3">
            <v>29.795954262951184</v>
          </cell>
          <cell r="H3">
            <v>37.333448032961321</v>
          </cell>
          <cell r="I3">
            <v>45.941338459596224</v>
          </cell>
          <cell r="J3">
            <v>47.948365710769622</v>
          </cell>
          <cell r="K3">
            <v>46.944850889217129</v>
          </cell>
          <cell r="L3">
            <v>46.922554552261445</v>
          </cell>
          <cell r="M3">
            <v>50</v>
          </cell>
          <cell r="N3">
            <v>50</v>
          </cell>
          <cell r="O3">
            <v>50</v>
          </cell>
          <cell r="P3">
            <v>47.491214142084559</v>
          </cell>
          <cell r="Q3">
            <v>44.960127160211236</v>
          </cell>
          <cell r="R3">
            <v>41.882686499474886</v>
          </cell>
          <cell r="S3">
            <v>41.882686499474886</v>
          </cell>
          <cell r="T3">
            <v>41.882686499474886</v>
          </cell>
          <cell r="U3">
            <v>41.882686499474886</v>
          </cell>
          <cell r="V3">
            <v>41.882686499474886</v>
          </cell>
          <cell r="W3">
            <v>41.882686499474886</v>
          </cell>
          <cell r="X3">
            <v>40.377425040255353</v>
          </cell>
          <cell r="Y3">
            <v>37.779446643027327</v>
          </cell>
        </row>
        <row r="4">
          <cell r="B4">
            <v>44.865864987387084</v>
          </cell>
          <cell r="C4">
            <v>39.495523010342957</v>
          </cell>
          <cell r="D4">
            <v>37.347251859751694</v>
          </cell>
          <cell r="E4">
            <v>36.162740690435101</v>
          </cell>
          <cell r="F4">
            <v>38.335890154838715</v>
          </cell>
          <cell r="G4">
            <v>35.113211958178042</v>
          </cell>
          <cell r="H4">
            <v>41.181390873337726</v>
          </cell>
          <cell r="I4">
            <v>47.798535510840388</v>
          </cell>
          <cell r="J4">
            <v>53.84827683750818</v>
          </cell>
          <cell r="K4">
            <v>57.793534551430149</v>
          </cell>
          <cell r="L4">
            <v>59.64305265787354</v>
          </cell>
          <cell r="M4">
            <v>60.586991450795175</v>
          </cell>
          <cell r="N4">
            <v>61.776626940151822</v>
          </cell>
          <cell r="O4">
            <v>62.282600162562005</v>
          </cell>
          <cell r="P4">
            <v>62.5</v>
          </cell>
          <cell r="Q4">
            <v>60.143799765726357</v>
          </cell>
          <cell r="R4">
            <v>60.173902963837676</v>
          </cell>
          <cell r="S4">
            <v>57.827884042529625</v>
          </cell>
          <cell r="T4">
            <v>58.132149240630504</v>
          </cell>
          <cell r="U4">
            <v>58.610095416705747</v>
          </cell>
          <cell r="V4">
            <v>58.128308238547049</v>
          </cell>
          <cell r="W4">
            <v>60.212093727850366</v>
          </cell>
          <cell r="X4">
            <v>58.828061556194697</v>
          </cell>
          <cell r="Y4">
            <v>52.576544886746582</v>
          </cell>
        </row>
      </sheetData>
      <sheetData sheetId="19">
        <row r="2">
          <cell r="B2">
            <v>33.80189722353542</v>
          </cell>
          <cell r="C2">
            <v>30.710536287023682</v>
          </cell>
          <cell r="D2">
            <v>30.174103034647622</v>
          </cell>
          <cell r="E2">
            <v>30.097021355840596</v>
          </cell>
          <cell r="F2">
            <v>30.099394208326139</v>
          </cell>
          <cell r="G2">
            <v>29.833203960800088</v>
          </cell>
          <cell r="H2">
            <v>32.207606792638167</v>
          </cell>
          <cell r="I2">
            <v>38.238297836374784</v>
          </cell>
          <cell r="J2">
            <v>43.580786595895141</v>
          </cell>
          <cell r="K2">
            <v>44.919939153074274</v>
          </cell>
          <cell r="L2">
            <v>44.465361352605932</v>
          </cell>
          <cell r="M2">
            <v>45.722779867044046</v>
          </cell>
          <cell r="N2">
            <v>46.35</v>
          </cell>
          <cell r="O2">
            <v>45.492611833595802</v>
          </cell>
          <cell r="P2">
            <v>43.714978530970861</v>
          </cell>
          <cell r="Q2">
            <v>41.955526062697835</v>
          </cell>
          <cell r="R2">
            <v>42.68751249003634</v>
          </cell>
          <cell r="S2">
            <v>43.109254450004372</v>
          </cell>
          <cell r="T2">
            <v>43.29223722087923</v>
          </cell>
          <cell r="U2">
            <v>42.575551665451982</v>
          </cell>
          <cell r="V2">
            <v>42.703472443374132</v>
          </cell>
          <cell r="W2">
            <v>44.472163578517666</v>
          </cell>
          <cell r="X2">
            <v>41.45343924187825</v>
          </cell>
          <cell r="Y2">
            <v>38.000136612759107</v>
          </cell>
        </row>
        <row r="3">
          <cell r="B3">
            <v>34.27304734932698</v>
          </cell>
          <cell r="C3">
            <v>31.206639331638129</v>
          </cell>
          <cell r="D3">
            <v>29.679180328327298</v>
          </cell>
          <cell r="E3">
            <v>28.622597298753412</v>
          </cell>
          <cell r="F3">
            <v>28.622597298753412</v>
          </cell>
          <cell r="G3">
            <v>30.689832890839725</v>
          </cell>
          <cell r="H3">
            <v>38.45345147395016</v>
          </cell>
          <cell r="I3">
            <v>47.319578613384117</v>
          </cell>
          <cell r="J3">
            <v>49.386816682092714</v>
          </cell>
          <cell r="K3">
            <v>48.353196415893649</v>
          </cell>
          <cell r="L3">
            <v>48.330231188829295</v>
          </cell>
          <cell r="M3">
            <v>51.5</v>
          </cell>
          <cell r="N3">
            <v>51.5</v>
          </cell>
          <cell r="O3">
            <v>51.5</v>
          </cell>
          <cell r="P3">
            <v>48.915950566347099</v>
          </cell>
          <cell r="Q3">
            <v>46.308930975017574</v>
          </cell>
          <cell r="R3">
            <v>43.139167094459133</v>
          </cell>
          <cell r="S3">
            <v>43.139167094459133</v>
          </cell>
          <cell r="T3">
            <v>43.139167094459133</v>
          </cell>
          <cell r="U3">
            <v>43.139167094459133</v>
          </cell>
          <cell r="V3">
            <v>43.139167094459133</v>
          </cell>
          <cell r="W3">
            <v>43.139167094459133</v>
          </cell>
          <cell r="X3">
            <v>41.588747791463014</v>
          </cell>
          <cell r="Y3">
            <v>38.912830042318149</v>
          </cell>
        </row>
        <row r="4">
          <cell r="B4">
            <v>46.211840937008702</v>
          </cell>
          <cell r="C4">
            <v>40.680388700653246</v>
          </cell>
          <cell r="D4">
            <v>38.467669415544243</v>
          </cell>
          <cell r="E4">
            <v>37.247622911148156</v>
          </cell>
          <cell r="F4">
            <v>39.485966859483874</v>
          </cell>
          <cell r="G4">
            <v>36.166608316923387</v>
          </cell>
          <cell r="H4">
            <v>42.416832599537855</v>
          </cell>
          <cell r="I4">
            <v>49.2324915761656</v>
          </cell>
          <cell r="J4">
            <v>55.463725142633429</v>
          </cell>
          <cell r="K4">
            <v>59.527340587973057</v>
          </cell>
          <cell r="L4">
            <v>61.432344237609755</v>
          </cell>
          <cell r="M4">
            <v>62.404601194319028</v>
          </cell>
          <cell r="N4">
            <v>63.629925748356378</v>
          </cell>
          <cell r="O4">
            <v>64.151078167438868</v>
          </cell>
          <cell r="P4">
            <v>64.375</v>
          </cell>
          <cell r="Q4">
            <v>61.948113758698142</v>
          </cell>
          <cell r="R4">
            <v>61.979120052752805</v>
          </cell>
          <cell r="S4">
            <v>59.562720563805513</v>
          </cell>
          <cell r="T4">
            <v>59.876113717849421</v>
          </cell>
          <cell r="U4">
            <v>60.368398279206922</v>
          </cell>
          <cell r="V4">
            <v>59.872157485703461</v>
          </cell>
          <cell r="W4">
            <v>62.018456539685879</v>
          </cell>
          <cell r="X4">
            <v>60.592903402880538</v>
          </cell>
          <cell r="Y4">
            <v>54.153841233348977</v>
          </cell>
        </row>
      </sheetData>
      <sheetData sheetId="20">
        <row r="2">
          <cell r="B2">
            <v>32.161028426276417</v>
          </cell>
          <cell r="C2">
            <v>29.219733554643891</v>
          </cell>
          <cell r="D2">
            <v>28.709340751412302</v>
          </cell>
          <cell r="E2">
            <v>28.636000901673572</v>
          </cell>
          <cell r="F2">
            <v>28.638258567145257</v>
          </cell>
          <cell r="G2">
            <v>28.384990176295229</v>
          </cell>
          <cell r="H2">
            <v>30.644130734743111</v>
          </cell>
          <cell r="I2">
            <v>36.38206978606533</v>
          </cell>
          <cell r="J2">
            <v>41.465214431045865</v>
          </cell>
          <cell r="K2">
            <v>42.739359582536679</v>
          </cell>
          <cell r="L2">
            <v>42.30684866558623</v>
          </cell>
          <cell r="M2">
            <v>43.503227446313751</v>
          </cell>
          <cell r="N2">
            <v>44.1</v>
          </cell>
          <cell r="O2">
            <v>43.284232618372705</v>
          </cell>
          <cell r="P2">
            <v>41.592892194515962</v>
          </cell>
          <cell r="Q2">
            <v>39.918850040236777</v>
          </cell>
          <cell r="R2">
            <v>40.615303145859812</v>
          </cell>
          <cell r="S2">
            <v>41.016572195149791</v>
          </cell>
          <cell r="T2">
            <v>41.190672307244313</v>
          </cell>
          <cell r="U2">
            <v>40.508777312760138</v>
          </cell>
          <cell r="V2">
            <v>40.630488344181209</v>
          </cell>
          <cell r="W2">
            <v>42.313320686356619</v>
          </cell>
          <cell r="X2">
            <v>39.44113636605892</v>
          </cell>
          <cell r="Y2">
            <v>36.155469786897015</v>
          </cell>
        </row>
        <row r="3">
          <cell r="B3">
            <v>32.609307186738292</v>
          </cell>
          <cell r="C3">
            <v>29.69175392718968</v>
          </cell>
          <cell r="D3">
            <v>28.238443419185195</v>
          </cell>
          <cell r="E3">
            <v>27.233150827940133</v>
          </cell>
          <cell r="F3">
            <v>27.233150827940133</v>
          </cell>
          <cell r="G3">
            <v>29.200035177692165</v>
          </cell>
          <cell r="H3">
            <v>36.586779072302093</v>
          </cell>
          <cell r="I3">
            <v>45.022511690404301</v>
          </cell>
          <cell r="J3">
            <v>46.989398396554236</v>
          </cell>
          <cell r="K3">
            <v>46.005953871432787</v>
          </cell>
          <cell r="L3">
            <v>45.984103461216222</v>
          </cell>
          <cell r="M3">
            <v>49</v>
          </cell>
          <cell r="N3">
            <v>49</v>
          </cell>
          <cell r="O3">
            <v>49</v>
          </cell>
          <cell r="P3">
            <v>46.541389859242862</v>
          </cell>
          <cell r="Q3">
            <v>44.060924617007011</v>
          </cell>
          <cell r="R3">
            <v>41.045032769485388</v>
          </cell>
          <cell r="S3">
            <v>41.045032769485388</v>
          </cell>
          <cell r="T3">
            <v>41.045032769485388</v>
          </cell>
          <cell r="U3">
            <v>41.045032769485388</v>
          </cell>
          <cell r="V3">
            <v>41.045032769485388</v>
          </cell>
          <cell r="W3">
            <v>41.045032769485388</v>
          </cell>
          <cell r="X3">
            <v>39.569876539450249</v>
          </cell>
          <cell r="Y3">
            <v>37.02385771016678</v>
          </cell>
        </row>
        <row r="4">
          <cell r="B4">
            <v>43.968547687639344</v>
          </cell>
          <cell r="C4">
            <v>38.705612550136102</v>
          </cell>
          <cell r="D4">
            <v>36.600306822556654</v>
          </cell>
          <cell r="E4">
            <v>35.439485876626406</v>
          </cell>
          <cell r="F4">
            <v>37.56917235174194</v>
          </cell>
          <cell r="G4">
            <v>34.410947719014487</v>
          </cell>
          <cell r="H4">
            <v>40.357763055870976</v>
          </cell>
          <cell r="I4">
            <v>46.842564800623578</v>
          </cell>
          <cell r="J4">
            <v>52.771311300758015</v>
          </cell>
          <cell r="K4">
            <v>56.637663860401545</v>
          </cell>
          <cell r="L4">
            <v>58.450191604716068</v>
          </cell>
          <cell r="M4">
            <v>59.375251621779263</v>
          </cell>
          <cell r="N4">
            <v>60.541094401348786</v>
          </cell>
          <cell r="O4">
            <v>61.036948159310768</v>
          </cell>
          <cell r="P4">
            <v>61.25</v>
          </cell>
          <cell r="Q4">
            <v>58.940923770411821</v>
          </cell>
          <cell r="R4">
            <v>58.970424904560922</v>
          </cell>
          <cell r="S4">
            <v>56.671326361679036</v>
          </cell>
          <cell r="T4">
            <v>56.96950625581789</v>
          </cell>
          <cell r="U4">
            <v>57.43789350837163</v>
          </cell>
          <cell r="V4">
            <v>56.965742073776106</v>
          </cell>
          <cell r="W4">
            <v>59.00785185329336</v>
          </cell>
          <cell r="X4">
            <v>57.651500325070799</v>
          </cell>
          <cell r="Y4">
            <v>51.525013989011654</v>
          </cell>
        </row>
      </sheetData>
      <sheetData sheetId="21">
        <row r="2">
          <cell r="B2">
            <v>-10.460555889122473</v>
          </cell>
          <cell r="C2">
            <v>-13.60000711137498</v>
          </cell>
          <cell r="D2">
            <v>-14.989832438442269</v>
          </cell>
          <cell r="E2">
            <v>-13.679007427684805</v>
          </cell>
          <cell r="F2">
            <v>-14.662055579958459</v>
          </cell>
          <cell r="G2">
            <v>-15</v>
          </cell>
          <cell r="H2">
            <v>-13.000354277337081</v>
          </cell>
          <cell r="I2">
            <v>-2.0225630497432934</v>
          </cell>
          <cell r="J2">
            <v>6.4922785620283223</v>
          </cell>
          <cell r="K2">
            <v>9.4514956358025533</v>
          </cell>
          <cell r="L2">
            <v>7.4297205539571705</v>
          </cell>
          <cell r="M2">
            <v>9.8965917745325651</v>
          </cell>
          <cell r="N2">
            <v>8.7824322348813109</v>
          </cell>
          <cell r="O2">
            <v>9.0468606034475183</v>
          </cell>
          <cell r="P2">
            <v>4.6678480617715037</v>
          </cell>
          <cell r="Q2">
            <v>1.1800884944323786</v>
          </cell>
          <cell r="R2">
            <v>2.6252266815345489</v>
          </cell>
          <cell r="S2">
            <v>3.188742745063061</v>
          </cell>
          <cell r="T2">
            <v>1.9210974177443787</v>
          </cell>
          <cell r="U2">
            <v>-0.35837393675904172</v>
          </cell>
          <cell r="V2">
            <v>-1.39903428216524</v>
          </cell>
          <cell r="W2">
            <v>-0.97334439700275344</v>
          </cell>
          <cell r="X2">
            <v>-4.6679092230400974</v>
          </cell>
          <cell r="Y2">
            <v>-6.3183951985649145</v>
          </cell>
        </row>
        <row r="3">
          <cell r="B3">
            <v>-13.238700041483979</v>
          </cell>
          <cell r="C3">
            <v>-13.238700041483979</v>
          </cell>
          <cell r="D3">
            <v>-15.369350020741987</v>
          </cell>
          <cell r="E3">
            <v>-17.5</v>
          </cell>
          <cell r="F3">
            <v>-17.5</v>
          </cell>
          <cell r="G3">
            <v>-17.5</v>
          </cell>
          <cell r="H3">
            <v>-6.9778717969972428</v>
          </cell>
          <cell r="I3">
            <v>1.4463903636619411</v>
          </cell>
          <cell r="J3">
            <v>4.5932017328260173</v>
          </cell>
          <cell r="K3">
            <v>4.5932017328260173</v>
          </cell>
          <cell r="L3">
            <v>4.1998437124476347</v>
          </cell>
          <cell r="M3">
            <v>5.9043552318562922</v>
          </cell>
          <cell r="N3">
            <v>8.0022247716433341</v>
          </cell>
          <cell r="O3">
            <v>8.248077956938614</v>
          </cell>
          <cell r="P3">
            <v>4.6259786379411887</v>
          </cell>
          <cell r="Q3">
            <v>3.6098172295789577</v>
          </cell>
          <cell r="R3">
            <v>-0.58592188690745695</v>
          </cell>
          <cell r="S3">
            <v>-0.58592188690745695</v>
          </cell>
          <cell r="T3">
            <v>-0.58592188690745695</v>
          </cell>
          <cell r="U3">
            <v>-0.58592188690745695</v>
          </cell>
          <cell r="V3">
            <v>-3.7327367719711662</v>
          </cell>
          <cell r="W3">
            <v>-4.7816750669924017</v>
          </cell>
          <cell r="X3">
            <v>-13.369807661944664</v>
          </cell>
          <cell r="Y3">
            <v>-13.369807661944664</v>
          </cell>
        </row>
        <row r="4">
          <cell r="B4">
            <v>10.686627055883104</v>
          </cell>
          <cell r="C4">
            <v>8.1880271442666093</v>
          </cell>
          <cell r="D4">
            <v>7.7593821892689059</v>
          </cell>
          <cell r="E4">
            <v>6.7768420089803687</v>
          </cell>
          <cell r="F4">
            <v>7.8014863947853508</v>
          </cell>
          <cell r="G4">
            <v>3.6207907522596137</v>
          </cell>
          <cell r="H4">
            <v>6.3174342491118045</v>
          </cell>
          <cell r="I4">
            <v>12.13969632964368</v>
          </cell>
          <cell r="J4">
            <v>17.659552313749185</v>
          </cell>
          <cell r="K4">
            <v>20.984459895034021</v>
          </cell>
          <cell r="L4">
            <v>22.908570953690287</v>
          </cell>
          <cell r="M4">
            <v>23.744937648225861</v>
          </cell>
          <cell r="N4">
            <v>24.812272019843068</v>
          </cell>
          <cell r="O4">
            <v>25</v>
          </cell>
          <cell r="P4">
            <v>24.822550505179802</v>
          </cell>
          <cell r="Q4">
            <v>23.996243323270871</v>
          </cell>
          <cell r="R4">
            <v>22.836253635655485</v>
          </cell>
          <cell r="S4">
            <v>20.264603803871577</v>
          </cell>
          <cell r="T4">
            <v>20.17084909066174</v>
          </cell>
          <cell r="U4">
            <v>19.188566278503806</v>
          </cell>
          <cell r="V4">
            <v>17.296536957439471</v>
          </cell>
          <cell r="W4">
            <v>20.735169960805727</v>
          </cell>
          <cell r="X4">
            <v>18.579467024338225</v>
          </cell>
          <cell r="Y4">
            <v>14.952007043816234</v>
          </cell>
        </row>
      </sheetData>
      <sheetData sheetId="22">
        <row r="2">
          <cell r="B2">
            <v>-10.774372565796146</v>
          </cell>
          <cell r="C2">
            <v>-14.00800732471623</v>
          </cell>
          <cell r="D2">
            <v>-15.439527411595538</v>
          </cell>
          <cell r="E2">
            <v>-14.089377650515351</v>
          </cell>
          <cell r="F2">
            <v>-15.101917247357211</v>
          </cell>
          <cell r="G2">
            <v>-15.450000000000001</v>
          </cell>
          <cell r="H2">
            <v>-13.390364905657194</v>
          </cell>
          <cell r="I2">
            <v>-2.0832399412355924</v>
          </cell>
          <cell r="J2">
            <v>6.6870469188891724</v>
          </cell>
          <cell r="K2">
            <v>9.7350405048766291</v>
          </cell>
          <cell r="L2">
            <v>7.6526121705758863</v>
          </cell>
          <cell r="M2">
            <v>10.193489527768541</v>
          </cell>
          <cell r="N2">
            <v>9.0459052019277504</v>
          </cell>
          <cell r="O2">
            <v>9.318266421550943</v>
          </cell>
          <cell r="P2">
            <v>4.807883503624649</v>
          </cell>
          <cell r="Q2">
            <v>1.21549114926535</v>
          </cell>
          <cell r="R2">
            <v>2.7039834819805852</v>
          </cell>
          <cell r="S2">
            <v>3.284405027414953</v>
          </cell>
          <cell r="T2">
            <v>1.97873034027671</v>
          </cell>
          <cell r="U2">
            <v>-0.36912515486181302</v>
          </cell>
          <cell r="V2">
            <v>-1.4410053106301972</v>
          </cell>
          <cell r="W2">
            <v>-1.002544728912836</v>
          </cell>
          <cell r="X2">
            <v>-4.8079464997313011</v>
          </cell>
          <cell r="Y2">
            <v>-6.5079470545218614</v>
          </cell>
        </row>
        <row r="3">
          <cell r="B3">
            <v>-13.635861042728497</v>
          </cell>
          <cell r="C3">
            <v>-13.635861042728497</v>
          </cell>
          <cell r="D3">
            <v>-15.830430521364248</v>
          </cell>
          <cell r="E3">
            <v>-18.025000000000002</v>
          </cell>
          <cell r="F3">
            <v>-18.025000000000002</v>
          </cell>
          <cell r="G3">
            <v>-18.025000000000002</v>
          </cell>
          <cell r="H3">
            <v>-7.18720795090716</v>
          </cell>
          <cell r="I3">
            <v>1.4897820745717996</v>
          </cell>
          <cell r="J3">
            <v>4.730997784810798</v>
          </cell>
          <cell r="K3">
            <v>4.730997784810798</v>
          </cell>
          <cell r="L3">
            <v>4.3258390238210636</v>
          </cell>
          <cell r="M3">
            <v>6.0814858888119803</v>
          </cell>
          <cell r="N3">
            <v>8.2422915147926332</v>
          </cell>
          <cell r="O3">
            <v>8.4955202956467719</v>
          </cell>
          <cell r="P3">
            <v>4.7647579970794247</v>
          </cell>
          <cell r="Q3">
            <v>3.7181117464663269</v>
          </cell>
          <cell r="R3">
            <v>-0.6034995435146806</v>
          </cell>
          <cell r="S3">
            <v>-0.6034995435146806</v>
          </cell>
          <cell r="T3">
            <v>-0.6034995435146806</v>
          </cell>
          <cell r="U3">
            <v>-0.6034995435146806</v>
          </cell>
          <cell r="V3">
            <v>-3.8447188751303014</v>
          </cell>
          <cell r="W3">
            <v>-4.9251253190021744</v>
          </cell>
          <cell r="X3">
            <v>-13.770901891803005</v>
          </cell>
          <cell r="Y3">
            <v>-13.770901891803005</v>
          </cell>
        </row>
        <row r="4">
          <cell r="B4">
            <v>11.007225867559598</v>
          </cell>
          <cell r="C4">
            <v>8.4336679585946062</v>
          </cell>
          <cell r="D4">
            <v>7.9921636549469728</v>
          </cell>
          <cell r="E4">
            <v>6.9801472692497795</v>
          </cell>
          <cell r="F4">
            <v>8.0355309866289115</v>
          </cell>
          <cell r="G4">
            <v>3.7294144748274021</v>
          </cell>
          <cell r="H4">
            <v>6.5069572765851582</v>
          </cell>
          <cell r="I4">
            <v>12.503887219532992</v>
          </cell>
          <cell r="J4">
            <v>18.189338883161664</v>
          </cell>
          <cell r="K4">
            <v>21.613993691885042</v>
          </cell>
          <cell r="L4">
            <v>23.595828082300997</v>
          </cell>
          <cell r="M4">
            <v>24.457285777672638</v>
          </cell>
          <cell r="N4">
            <v>25.556640180438361</v>
          </cell>
          <cell r="O4">
            <v>25.75</v>
          </cell>
          <cell r="P4">
            <v>25.567227020335199</v>
          </cell>
          <cell r="Q4">
            <v>24.716130622968997</v>
          </cell>
          <cell r="R4">
            <v>23.52134124472515</v>
          </cell>
          <cell r="S4">
            <v>20.872541917987725</v>
          </cell>
          <cell r="T4">
            <v>20.775974563381595</v>
          </cell>
          <cell r="U4">
            <v>19.76422326685892</v>
          </cell>
          <cell r="V4">
            <v>17.815433066162655</v>
          </cell>
          <cell r="W4">
            <v>21.357225059629901</v>
          </cell>
          <cell r="X4">
            <v>19.136851035068371</v>
          </cell>
          <cell r="Y4">
            <v>15.400567255130722</v>
          </cell>
        </row>
      </sheetData>
      <sheetData sheetId="23">
        <row r="2">
          <cell r="B2">
            <v>-10.251344771340023</v>
          </cell>
          <cell r="C2">
            <v>-13.328006969147481</v>
          </cell>
          <cell r="D2">
            <v>-14.690035789673422</v>
          </cell>
          <cell r="E2">
            <v>-13.405427279131109</v>
          </cell>
          <cell r="F2">
            <v>-14.36881446835929</v>
          </cell>
          <cell r="G2">
            <v>-14.7</v>
          </cell>
          <cell r="H2">
            <v>-12.740347191790338</v>
          </cell>
          <cell r="I2">
            <v>-1.9821117887484276</v>
          </cell>
          <cell r="J2">
            <v>6.3624329907877559</v>
          </cell>
          <cell r="K2">
            <v>9.2624657230865015</v>
          </cell>
          <cell r="L2">
            <v>7.2811261428780272</v>
          </cell>
          <cell r="M2">
            <v>9.6986599390419137</v>
          </cell>
          <cell r="N2">
            <v>8.6067835901836851</v>
          </cell>
          <cell r="O2">
            <v>8.8659233913785673</v>
          </cell>
          <cell r="P2">
            <v>4.5744911005360738</v>
          </cell>
          <cell r="Q2">
            <v>1.1564867245437309</v>
          </cell>
          <cell r="R2">
            <v>2.5727221479038578</v>
          </cell>
          <cell r="S2">
            <v>3.1249678901617997</v>
          </cell>
          <cell r="T2">
            <v>1.8826754693894914</v>
          </cell>
          <cell r="U2">
            <v>-0.35120645802386091</v>
          </cell>
          <cell r="V2">
            <v>-1.371053596521935</v>
          </cell>
          <cell r="W2">
            <v>-0.9538775090626983</v>
          </cell>
          <cell r="X2">
            <v>-4.5745510385792958</v>
          </cell>
          <cell r="Y2">
            <v>-6.1920272945936166</v>
          </cell>
        </row>
        <row r="3">
          <cell r="B3">
            <v>-12.973926040654298</v>
          </cell>
          <cell r="C3">
            <v>-12.973926040654298</v>
          </cell>
          <cell r="D3">
            <v>-15.061963020327148</v>
          </cell>
          <cell r="E3">
            <v>-17.149999999999999</v>
          </cell>
          <cell r="F3">
            <v>-17.149999999999999</v>
          </cell>
          <cell r="G3">
            <v>-17.149999999999999</v>
          </cell>
          <cell r="H3">
            <v>-6.8383143610572974</v>
          </cell>
          <cell r="I3">
            <v>1.4174625563887022</v>
          </cell>
          <cell r="J3">
            <v>4.5013376981694968</v>
          </cell>
          <cell r="K3">
            <v>4.5013376981694968</v>
          </cell>
          <cell r="L3">
            <v>4.1158468381986815</v>
          </cell>
          <cell r="M3">
            <v>5.7862681272191665</v>
          </cell>
          <cell r="N3">
            <v>7.8421802762104669</v>
          </cell>
          <cell r="O3">
            <v>8.0831163977998415</v>
          </cell>
          <cell r="P3">
            <v>4.533459065182365</v>
          </cell>
          <cell r="Q3">
            <v>3.5376208849873785</v>
          </cell>
          <cell r="R3">
            <v>-0.57420344916930777</v>
          </cell>
          <cell r="S3">
            <v>-0.57420344916930777</v>
          </cell>
          <cell r="T3">
            <v>-0.57420344916930777</v>
          </cell>
          <cell r="U3">
            <v>-0.57420344916930777</v>
          </cell>
          <cell r="V3">
            <v>-3.6580820365317428</v>
          </cell>
          <cell r="W3">
            <v>-4.6860415656525536</v>
          </cell>
          <cell r="X3">
            <v>-13.102411508705773</v>
          </cell>
          <cell r="Y3">
            <v>-13.102411508705773</v>
          </cell>
        </row>
        <row r="4">
          <cell r="B4">
            <v>10.472894514765443</v>
          </cell>
          <cell r="C4">
            <v>8.0242666013812762</v>
          </cell>
          <cell r="D4">
            <v>7.6041945454835265</v>
          </cell>
          <cell r="E4">
            <v>6.6413051688007609</v>
          </cell>
          <cell r="F4">
            <v>7.6454566668896442</v>
          </cell>
          <cell r="G4">
            <v>3.5483749372144215</v>
          </cell>
          <cell r="H4">
            <v>6.1910855641295681</v>
          </cell>
          <cell r="I4">
            <v>11.896902403050806</v>
          </cell>
          <cell r="J4">
            <v>17.306361267474202</v>
          </cell>
          <cell r="K4">
            <v>20.564770697133341</v>
          </cell>
          <cell r="L4">
            <v>22.450399534616484</v>
          </cell>
          <cell r="M4">
            <v>23.270038895261344</v>
          </cell>
          <cell r="N4">
            <v>24.316026579446206</v>
          </cell>
          <cell r="O4">
            <v>24.5</v>
          </cell>
          <cell r="P4">
            <v>24.326099495076207</v>
          </cell>
          <cell r="Q4">
            <v>23.516318456805454</v>
          </cell>
          <cell r="R4">
            <v>22.379528562942376</v>
          </cell>
          <cell r="S4">
            <v>19.859311727794147</v>
          </cell>
          <cell r="T4">
            <v>19.767432108848507</v>
          </cell>
          <cell r="U4">
            <v>18.804794952933733</v>
          </cell>
          <cell r="V4">
            <v>16.95060621829068</v>
          </cell>
          <cell r="W4">
            <v>20.320466561589612</v>
          </cell>
          <cell r="X4">
            <v>18.207877683851461</v>
          </cell>
          <cell r="Y4">
            <v>14.652966902939909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4.9164000000000003</v>
          </cell>
          <cell r="C2">
            <v>5.0804</v>
          </cell>
          <cell r="D2">
            <v>4.5491999999999999</v>
          </cell>
          <cell r="E2">
            <v>4.3120000000000003</v>
          </cell>
          <cell r="F2">
            <v>3.5327999999999999</v>
          </cell>
          <cell r="G2">
            <v>2.9984000000000002</v>
          </cell>
          <cell r="H2">
            <v>3.6667999999999998</v>
          </cell>
          <cell r="I2">
            <v>0.63680000000000003</v>
          </cell>
          <cell r="J2">
            <v>0.56000000000000005</v>
          </cell>
          <cell r="K2">
            <v>0.81640000000000001</v>
          </cell>
          <cell r="L2">
            <v>0.48080000000000001</v>
          </cell>
          <cell r="M2">
            <v>0.6008</v>
          </cell>
          <cell r="N2">
            <v>0.95720000000000005</v>
          </cell>
          <cell r="O2">
            <v>1.7636000000000001</v>
          </cell>
          <cell r="P2">
            <v>1.8815999999999999</v>
          </cell>
          <cell r="Q2">
            <v>1.8504</v>
          </cell>
          <cell r="R2">
            <v>1.038</v>
          </cell>
          <cell r="S2">
            <v>2.1143999999999998</v>
          </cell>
          <cell r="T2">
            <v>1.2407999999999999</v>
          </cell>
          <cell r="U2">
            <v>0.87239999999999995</v>
          </cell>
          <cell r="V2">
            <v>1.3248</v>
          </cell>
          <cell r="W2">
            <v>0.81879999999999997</v>
          </cell>
          <cell r="X2">
            <v>3.7372000000000001</v>
          </cell>
          <cell r="Y2">
            <v>4.5052000000000003</v>
          </cell>
        </row>
        <row r="3">
          <cell r="B3">
            <v>-11.1</v>
          </cell>
          <cell r="C3">
            <v>-11.8696</v>
          </cell>
          <cell r="D3">
            <v>-13.349600000000001</v>
          </cell>
          <cell r="E3">
            <v>-14.400399999999999</v>
          </cell>
          <cell r="F3">
            <v>-15.391999999999999</v>
          </cell>
          <cell r="G3">
            <v>-16.797999999999998</v>
          </cell>
          <cell r="H3">
            <v>-16.028400000000001</v>
          </cell>
          <cell r="I3">
            <v>-17.979759999999999</v>
          </cell>
          <cell r="J3">
            <v>-16.307359999999999</v>
          </cell>
          <cell r="K3">
            <v>-23.952839999999998</v>
          </cell>
          <cell r="L3">
            <v>-23.707360000000001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</v>
          </cell>
          <cell r="Q3">
            <v>-17.204239999999999</v>
          </cell>
          <cell r="R3">
            <v>-16.086960000000001</v>
          </cell>
          <cell r="S3">
            <v>-14.396240000000001</v>
          </cell>
          <cell r="T3">
            <v>-9.1377199999999998</v>
          </cell>
          <cell r="U3">
            <v>-10.22648</v>
          </cell>
          <cell r="V3">
            <v>-10.809839999999999</v>
          </cell>
          <cell r="W3">
            <v>-11.605399999999999</v>
          </cell>
          <cell r="X3">
            <v>-9.2203999999999997</v>
          </cell>
          <cell r="Y3">
            <v>-9.7975999999999992</v>
          </cell>
        </row>
        <row r="4">
          <cell r="B4">
            <v>10.69356</v>
          </cell>
          <cell r="C4">
            <v>11.44032</v>
          </cell>
          <cell r="D4">
            <v>12.82724</v>
          </cell>
          <cell r="E4">
            <v>13.802440000000001</v>
          </cell>
          <cell r="F4">
            <v>14.6914</v>
          </cell>
          <cell r="G4">
            <v>16.042000000000002</v>
          </cell>
          <cell r="H4">
            <v>15.294</v>
          </cell>
          <cell r="I4">
            <v>17.259160000000001</v>
          </cell>
          <cell r="J4">
            <v>15.80916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</v>
          </cell>
          <cell r="Q4">
            <v>13.671480000000001</v>
          </cell>
          <cell r="R4">
            <v>12.736039999999999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</v>
          </cell>
          <cell r="W4">
            <v>11.41456</v>
          </cell>
          <cell r="X4">
            <v>8.8819999999999997</v>
          </cell>
          <cell r="Y4">
            <v>9.4448000000000008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4" sqref="B4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2044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1.269734648531915</v>
      </c>
    </row>
    <row r="6" spans="1:11" x14ac:dyDescent="0.3">
      <c r="A6" t="s">
        <v>10</v>
      </c>
      <c r="B6" s="7">
        <f>((1+[1]Main!$B$3)^($B$3-2020))*$B$4</f>
        <v>1.8087259495825889</v>
      </c>
    </row>
    <row r="7" spans="1:11" x14ac:dyDescent="0.3">
      <c r="A7" t="s">
        <v>12</v>
      </c>
      <c r="B7" s="2">
        <f>SUM('RES installed'!$C$2:$C$7)</f>
        <v>335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H42" sqref="H4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>
        <v>4</v>
      </c>
      <c r="B2">
        <v>4</v>
      </c>
      <c r="C2" s="4">
        <v>45</v>
      </c>
    </row>
    <row r="3" spans="1:3" x14ac:dyDescent="0.3">
      <c r="A3">
        <v>5</v>
      </c>
      <c r="B3">
        <v>6</v>
      </c>
      <c r="C3" s="4">
        <v>60</v>
      </c>
    </row>
    <row r="4" spans="1:3" x14ac:dyDescent="0.3">
      <c r="A4">
        <v>6</v>
      </c>
      <c r="B4">
        <v>8</v>
      </c>
      <c r="C4" s="4">
        <v>45</v>
      </c>
    </row>
    <row r="5" spans="1:3" x14ac:dyDescent="0.3">
      <c r="A5">
        <v>7</v>
      </c>
      <c r="B5">
        <v>4</v>
      </c>
      <c r="C5" s="4">
        <v>75</v>
      </c>
    </row>
    <row r="6" spans="1:3" x14ac:dyDescent="0.3">
      <c r="A6">
        <v>8</v>
      </c>
      <c r="B6">
        <v>6</v>
      </c>
      <c r="C6" s="4">
        <v>50</v>
      </c>
    </row>
    <row r="7" spans="1:3" x14ac:dyDescent="0.3">
      <c r="A7">
        <v>9</v>
      </c>
      <c r="B7">
        <v>8</v>
      </c>
      <c r="C7" s="4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B2" sqref="B2:B4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21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f>1/COUNT($A$2:$A$21)</f>
        <v>0.33333333333333331</v>
      </c>
    </row>
    <row r="3" spans="1:2" x14ac:dyDescent="0.3">
      <c r="A3">
        <v>2</v>
      </c>
      <c r="B3" s="1">
        <f t="shared" ref="B3:B4" si="0">1/COUNT($A$2:$A$21)</f>
        <v>0.33333333333333331</v>
      </c>
    </row>
    <row r="4" spans="1:2" x14ac:dyDescent="0.3">
      <c r="A4">
        <v>3</v>
      </c>
      <c r="B4" s="1">
        <f t="shared" si="0"/>
        <v>0.33333333333333331</v>
      </c>
    </row>
    <row r="5" spans="1:2" x14ac:dyDescent="0.3">
      <c r="B5" s="1"/>
    </row>
    <row r="6" spans="1:2" x14ac:dyDescent="0.3">
      <c r="B6" s="1"/>
    </row>
    <row r="7" spans="1:2" x14ac:dyDescent="0.3">
      <c r="B7" s="1"/>
    </row>
    <row r="8" spans="1:2" x14ac:dyDescent="0.3">
      <c r="B8" s="1"/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:Y4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8.8924202585278405</v>
      </c>
      <c r="C2" s="2">
        <f>'[1]EV Profiles'!C2*Main!$B$6</f>
        <v>9.1890513142593839</v>
      </c>
      <c r="D2" s="2">
        <f>'[1]EV Profiles'!D2*Main!$B$6</f>
        <v>8.2282560898411141</v>
      </c>
      <c r="E2" s="2">
        <f>'[1]EV Profiles'!E2*Main!$B$6</f>
        <v>7.7992262946001238</v>
      </c>
      <c r="F2" s="2">
        <f>'[1]EV Profiles'!F2*Main!$B$6</f>
        <v>6.3898670346853699</v>
      </c>
      <c r="G2" s="2">
        <f>'[1]EV Profiles'!G2*Main!$B$6</f>
        <v>5.4232838872284352</v>
      </c>
      <c r="H2" s="2">
        <f>'[1]EV Profiles'!H2*Main!$B$6</f>
        <v>6.6322363119294367</v>
      </c>
      <c r="I2" s="2">
        <f>'[1]EV Profiles'!I2*Main!$B$6</f>
        <v>1.1517966846941927</v>
      </c>
      <c r="J2" s="2">
        <f>'[1]EV Profiles'!J2*Main!$B$6</f>
        <v>1.0128865317662499</v>
      </c>
      <c r="K2" s="2">
        <f>'[1]EV Profiles'!K2*Main!$B$6</f>
        <v>1.4766438652392255</v>
      </c>
      <c r="L2" s="2">
        <f>'[1]EV Profiles'!L2*Main!$B$6</f>
        <v>0.86963543655930875</v>
      </c>
      <c r="M2" s="2">
        <f>'[1]EV Profiles'!M2*Main!$B$6</f>
        <v>1.0866825505092195</v>
      </c>
      <c r="N2" s="2">
        <f>'[1]EV Profiles'!N2*Main!$B$6</f>
        <v>1.7313124789404541</v>
      </c>
      <c r="O2" s="2">
        <f>'[1]EV Profiles'!O2*Main!$B$6</f>
        <v>3.189869084683854</v>
      </c>
      <c r="P2" s="2">
        <f>'[1]EV Profiles'!P2*Main!$B$6</f>
        <v>3.4032987467345994</v>
      </c>
      <c r="Q2" s="2">
        <f>'[1]EV Profiles'!Q2*Main!$B$6</f>
        <v>3.3468664971076225</v>
      </c>
      <c r="R2" s="2">
        <f>'[1]EV Profiles'!R2*Main!$B$6</f>
        <v>1.8774575356667274</v>
      </c>
      <c r="S2" s="2">
        <f>'[1]EV Profiles'!S2*Main!$B$6</f>
        <v>3.8243701477974259</v>
      </c>
      <c r="T2" s="2">
        <f>'[1]EV Profiles'!T2*Main!$B$6</f>
        <v>2.2442671582420761</v>
      </c>
      <c r="U2" s="2">
        <f>'[1]EV Profiles'!U2*Main!$B$6</f>
        <v>1.5779325184158506</v>
      </c>
      <c r="V2" s="2">
        <f>'[1]EV Profiles'!V2*Main!$B$6</f>
        <v>2.3962001380070137</v>
      </c>
      <c r="W2" s="2">
        <f>'[1]EV Profiles'!W2*Main!$B$6</f>
        <v>1.4809848075182237</v>
      </c>
      <c r="X2" s="2">
        <f>'[1]EV Profiles'!X2*Main!$B$6</f>
        <v>6.7595706187800513</v>
      </c>
      <c r="Y2" s="2">
        <f>'[1]EV Profiles'!Y2*Main!$B$6</f>
        <v>8.1486721480594806</v>
      </c>
    </row>
    <row r="3" spans="1:25" x14ac:dyDescent="0.3">
      <c r="A3" t="s">
        <v>17</v>
      </c>
      <c r="B3" s="2">
        <f>'[1]EV Profiles'!B3*Main!$B$6</f>
        <v>-20.076858040366737</v>
      </c>
      <c r="C3" s="2">
        <f>'[1]EV Profiles'!C3*Main!$B$6</f>
        <v>-21.468853531165497</v>
      </c>
      <c r="D3" s="2">
        <f>'[1]EV Profiles'!D3*Main!$B$6</f>
        <v>-24.145767936547731</v>
      </c>
      <c r="E3" s="2">
        <f>'[1]EV Profiles'!E3*Main!$B$6</f>
        <v>-26.046377164369112</v>
      </c>
      <c r="F3" s="2">
        <f>'[1]EV Profiles'!F3*Main!$B$6</f>
        <v>-27.839909815975208</v>
      </c>
      <c r="G3" s="2">
        <f>'[1]EV Profiles'!G3*Main!$B$6</f>
        <v>-30.382978501088324</v>
      </c>
      <c r="H3" s="2">
        <f>'[1]EV Profiles'!H3*Main!$B$6</f>
        <v>-28.990983010289572</v>
      </c>
      <c r="I3" s="2">
        <f>'[1]EV Profiles'!I3*Main!$B$6</f>
        <v>-32.520458479267049</v>
      </c>
      <c r="J3" s="2">
        <f>'[1]EV Profiles'!J3*Main!$B$6</f>
        <v>-29.495545201185127</v>
      </c>
      <c r="K3" s="2">
        <f>'[1]EV Profiles'!K3*Main!$B$6</f>
        <v>-43.324123274199813</v>
      </c>
      <c r="L3" s="2">
        <f>'[1]EV Profiles'!L3*Main!$B$6</f>
        <v>-42.880117228096289</v>
      </c>
      <c r="M3" s="2">
        <f>'[1]EV Profiles'!M3*Main!$B$6</f>
        <v>-39.198998175505807</v>
      </c>
      <c r="N3" s="2">
        <f>'[1]EV Profiles'!N3*Main!$B$6</f>
        <v>-37.575485763160472</v>
      </c>
      <c r="O3" s="2">
        <f>'[1]EV Profiles'!O3*Main!$B$6</f>
        <v>-36.278484559233789</v>
      </c>
      <c r="P3" s="2">
        <f>'[1]EV Profiles'!P3*Main!$B$6</f>
        <v>-34.195194010504558</v>
      </c>
      <c r="Q3" s="2">
        <f>'[1]EV Profiles'!Q3*Main!$B$6</f>
        <v>-31.117755330846759</v>
      </c>
      <c r="R3" s="2">
        <f>'[1]EV Profiles'!R3*Main!$B$6</f>
        <v>-29.096902001897128</v>
      </c>
      <c r="S3" s="2">
        <f>'[1]EV Profiles'!S3*Main!$B$6</f>
        <v>-26.03885286441885</v>
      </c>
      <c r="T3" s="2">
        <f>'[1]EV Profiles'!T3*Main!$B$6</f>
        <v>-16.527631284019815</v>
      </c>
      <c r="U3" s="2">
        <f>'[1]EV Profiles'!U3*Main!$B$6</f>
        <v>-18.496899748887355</v>
      </c>
      <c r="V3" s="2">
        <f>'[1]EV Profiles'!V3*Main!$B$6</f>
        <v>-19.552038118835853</v>
      </c>
      <c r="W3" s="2">
        <f>'[1]EV Profiles'!W3*Main!$B$6</f>
        <v>-20.990988135285775</v>
      </c>
      <c r="X3" s="2">
        <f>'[1]EV Profiles'!X3*Main!$B$6</f>
        <v>-16.677176745531302</v>
      </c>
      <c r="Y3" s="2">
        <f>'[1]EV Profiles'!Y3*Main!$B$6</f>
        <v>-17.721173363630371</v>
      </c>
    </row>
    <row r="4" spans="1:25" x14ac:dyDescent="0.3">
      <c r="A4" t="s">
        <v>18</v>
      </c>
      <c r="B4" s="2">
        <f>'[1]EV Profiles'!B4*Main!$B$6</f>
        <v>19.341719465418389</v>
      </c>
      <c r="C4" s="2">
        <f>'[1]EV Profiles'!C4*Main!$B$6</f>
        <v>20.692403655528683</v>
      </c>
      <c r="D4" s="2">
        <f>'[1]EV Profiles'!D4*Main!$B$6</f>
        <v>23.200961849523768</v>
      </c>
      <c r="E4" s="2">
        <f>'[1]EV Profiles'!E4*Main!$B$6</f>
        <v>24.964831395556711</v>
      </c>
      <c r="F4" s="2">
        <f>'[1]EV Profiles'!F4*Main!$B$6</f>
        <v>26.572716415697645</v>
      </c>
      <c r="G4" s="2">
        <f>'[1]EV Profiles'!G4*Main!$B$6</f>
        <v>29.015581683203894</v>
      </c>
      <c r="H4" s="2">
        <f>'[1]EV Profiles'!H4*Main!$B$6</f>
        <v>27.662654672916116</v>
      </c>
      <c r="I4" s="2">
        <f>'[1]EV Profiles'!I4*Main!$B$6</f>
        <v>31.217090559997839</v>
      </c>
      <c r="J4" s="2">
        <f>'[1]EV Profiles'!J4*Main!$B$6</f>
        <v>28.594437933103084</v>
      </c>
      <c r="K4" s="2">
        <f>'[1]EV Profiles'!K4*Main!$B$6</f>
        <v>32.628403243938138</v>
      </c>
      <c r="L4" s="2">
        <f>'[1]EV Profiles'!L4*Main!$B$6</f>
        <v>32.885314677816851</v>
      </c>
      <c r="M4" s="2">
        <f>'[1]EV Profiles'!M4*Main!$B$6</f>
        <v>30.783864520553813</v>
      </c>
      <c r="N4" s="2">
        <f>'[1]EV Profiles'!N4*Main!$B$6</f>
        <v>29.74630696683526</v>
      </c>
      <c r="O4" s="2">
        <f>'[1]EV Profiles'!O4*Main!$B$6</f>
        <v>28.981722333427705</v>
      </c>
      <c r="P4" s="2">
        <f>'[1]EV Profiles'!P4*Main!$B$6</f>
        <v>27.160407651236021</v>
      </c>
      <c r="Q4" s="2">
        <f>'[1]EV Profiles'!Q4*Main!$B$6</f>
        <v>24.727960645199374</v>
      </c>
      <c r="R4" s="2">
        <f>'[1]EV Profiles'!R4*Main!$B$6</f>
        <v>23.036006042921834</v>
      </c>
      <c r="S4" s="2">
        <f>'[1]EV Profiles'!S4*Main!$B$6</f>
        <v>20.588510436984659</v>
      </c>
      <c r="T4" s="2">
        <f>'[1]EV Profiles'!T4*Main!$B$6</f>
        <v>16.114590626173133</v>
      </c>
      <c r="U4" s="2">
        <f>'[1]EV Profiles'!U4*Main!$B$6</f>
        <v>18.036904565389509</v>
      </c>
      <c r="V4" s="2">
        <f>'[1]EV Profiles'!V4*Main!$B$6</f>
        <v>19.166273048308877</v>
      </c>
      <c r="W4" s="2">
        <f>'[1]EV Profiles'!W4*Main!$B$6</f>
        <v>20.645810875067436</v>
      </c>
      <c r="X4" s="2">
        <f>'[1]EV Profiles'!X4*Main!$B$6</f>
        <v>16.065103884192553</v>
      </c>
      <c r="Y4" s="2">
        <f>'[1]EV Profiles'!Y4*Main!$B$6</f>
        <v>17.083054848617635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36.366101696927366</v>
      </c>
      <c r="C2" s="2">
        <f>('[1]Pc, Winter, S1'!C2*Main!$B$5)+(_xlfn.IFNA(VLOOKUP($A2,'FL Ratio'!$A$3:$B$10,2,FALSE),0)*'FL Characterization'!C$2)</f>
        <v>33.920419316161762</v>
      </c>
      <c r="D2" s="2">
        <f>('[1]Pc, Winter, S1'!D2*Main!$B$5)+(_xlfn.IFNA(VLOOKUP($A2,'FL Ratio'!$A$3:$B$10,2,FALSE),0)*'FL Characterization'!D$2)</f>
        <v>32.140639723351974</v>
      </c>
      <c r="E2" s="2">
        <f>('[1]Pc, Winter, S1'!E2*Main!$B$5)+(_xlfn.IFNA(VLOOKUP($A2,'FL Ratio'!$A$3:$B$10,2,FALSE),0)*'FL Characterization'!E$2)</f>
        <v>31.913226810407153</v>
      </c>
      <c r="F2" s="2">
        <f>('[1]Pc, Winter, S1'!F2*Main!$B$5)+(_xlfn.IFNA(VLOOKUP($A2,'FL Ratio'!$A$3:$B$10,2,FALSE),0)*'FL Characterization'!F$2)</f>
        <v>32.298172782504153</v>
      </c>
      <c r="G2" s="2">
        <f>('[1]Pc, Winter, S1'!G2*Main!$B$5)+(_xlfn.IFNA(VLOOKUP($A2,'FL Ratio'!$A$3:$B$10,2,FALSE),0)*'FL Characterization'!G$2)</f>
        <v>35.502665544186208</v>
      </c>
      <c r="H2" s="2">
        <f>('[1]Pc, Winter, S1'!H2*Main!$B$5)+(_xlfn.IFNA(VLOOKUP($A2,'FL Ratio'!$A$3:$B$10,2,FALSE),0)*'FL Characterization'!H$2)</f>
        <v>42.363332063611018</v>
      </c>
      <c r="I2" s="2">
        <f>('[1]Pc, Winter, S1'!I2*Main!$B$5)+(_xlfn.IFNA(VLOOKUP($A2,'FL Ratio'!$A$3:$B$10,2,FALSE),0)*'FL Characterization'!I$2)</f>
        <v>50.99253616216739</v>
      </c>
      <c r="J2" s="2">
        <f>('[1]Pc, Winter, S1'!J2*Main!$B$5)+(_xlfn.IFNA(VLOOKUP($A2,'FL Ratio'!$A$3:$B$10,2,FALSE),0)*'FL Characterization'!J$2)</f>
        <v>55.517015657853932</v>
      </c>
      <c r="K2" s="2">
        <f>('[1]Pc, Winter, S1'!K2*Main!$B$5)+(_xlfn.IFNA(VLOOKUP($A2,'FL Ratio'!$A$3:$B$10,2,FALSE),0)*'FL Characterization'!K$2)</f>
        <v>56.209303389576661</v>
      </c>
      <c r="L2" s="2">
        <f>('[1]Pc, Winter, S1'!L2*Main!$B$5)+(_xlfn.IFNA(VLOOKUP($A2,'FL Ratio'!$A$3:$B$10,2,FALSE),0)*'FL Characterization'!L$2)</f>
        <v>54.692402634470071</v>
      </c>
      <c r="M2" s="2">
        <f>('[1]Pc, Winter, S1'!M2*Main!$B$5)+(_xlfn.IFNA(VLOOKUP($A2,'FL Ratio'!$A$3:$B$10,2,FALSE),0)*'FL Characterization'!M$2)</f>
        <v>54.974294587822349</v>
      </c>
      <c r="N2" s="2">
        <f>('[1]Pc, Winter, S1'!N2*Main!$B$5)+(_xlfn.IFNA(VLOOKUP($A2,'FL Ratio'!$A$3:$B$10,2,FALSE),0)*'FL Characterization'!N$2)</f>
        <v>54.929118252822633</v>
      </c>
      <c r="O2" s="2">
        <f>('[1]Pc, Winter, S1'!O2*Main!$B$5)+(_xlfn.IFNA(VLOOKUP($A2,'FL Ratio'!$A$3:$B$10,2,FALSE),0)*'FL Characterization'!O$2)</f>
        <v>54.032155172432617</v>
      </c>
      <c r="P2" s="2">
        <f>('[1]Pc, Winter, S1'!P2*Main!$B$5)+(_xlfn.IFNA(VLOOKUP($A2,'FL Ratio'!$A$3:$B$10,2,FALSE),0)*'FL Characterization'!P$2)</f>
        <v>50.952886791777701</v>
      </c>
      <c r="Q2" s="2">
        <f>('[1]Pc, Winter, S1'!Q2*Main!$B$5)+(_xlfn.IFNA(VLOOKUP($A2,'FL Ratio'!$A$3:$B$10,2,FALSE),0)*'FL Characterization'!Q$2)</f>
        <v>49.493067760778956</v>
      </c>
      <c r="R2" s="2">
        <f>('[1]Pc, Winter, S1'!R2*Main!$B$5)+(_xlfn.IFNA(VLOOKUP($A2,'FL Ratio'!$A$3:$B$10,2,FALSE),0)*'FL Characterization'!R$2)</f>
        <v>51.54451182125495</v>
      </c>
      <c r="S2" s="2">
        <f>('[1]Pc, Winter, S1'!S2*Main!$B$5)+(_xlfn.IFNA(VLOOKUP($A2,'FL Ratio'!$A$3:$B$10,2,FALSE),0)*'FL Characterization'!S$2)</f>
        <v>57.138059183936171</v>
      </c>
      <c r="T2" s="2">
        <f>('[1]Pc, Winter, S1'!T2*Main!$B$5)+(_xlfn.IFNA(VLOOKUP($A2,'FL Ratio'!$A$3:$B$10,2,FALSE),0)*'FL Characterization'!T$2)</f>
        <v>56.930934623073149</v>
      </c>
      <c r="U2" s="2">
        <f>('[1]Pc, Winter, S1'!U2*Main!$B$5)+(_xlfn.IFNA(VLOOKUP($A2,'FL Ratio'!$A$3:$B$10,2,FALSE),0)*'FL Characterization'!U$2)</f>
        <v>55.752259563847581</v>
      </c>
      <c r="V2" s="2">
        <f>('[1]Pc, Winter, S1'!V2*Main!$B$5)+(_xlfn.IFNA(VLOOKUP($A2,'FL Ratio'!$A$3:$B$10,2,FALSE),0)*'FL Characterization'!V$2)</f>
        <v>54.793464976059276</v>
      </c>
      <c r="W2" s="2">
        <f>('[1]Pc, Winter, S1'!W2*Main!$B$5)+(_xlfn.IFNA(VLOOKUP($A2,'FL Ratio'!$A$3:$B$10,2,FALSE),0)*'FL Characterization'!W$2)</f>
        <v>51.356214543795581</v>
      </c>
      <c r="X2" s="2">
        <f>('[1]Pc, Winter, S1'!X2*Main!$B$5)+(_xlfn.IFNA(VLOOKUP($A2,'FL Ratio'!$A$3:$B$10,2,FALSE),0)*'FL Characterization'!X$2)</f>
        <v>44.927132521312927</v>
      </c>
      <c r="Y2" s="2">
        <f>('[1]Pc, Winter, S1'!Y2*Main!$B$5)+(_xlfn.IFNA(VLOOKUP($A2,'FL Ratio'!$A$3:$B$10,2,FALSE),0)*'FL Characterization'!Y$2)</f>
        <v>40.760313410879029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38.921388430812407</v>
      </c>
      <c r="C3" s="2">
        <f>('[1]Pc, Winter, S1'!C3*Main!$B$5)+(_xlfn.IFNA(VLOOKUP($A3,'FL Ratio'!$A$3:$B$10,2,FALSE),0)*'FL Characterization'!C$2)</f>
        <v>36.476343678774107</v>
      </c>
      <c r="D3" s="2">
        <f>('[1]Pc, Winter, S1'!D3*Main!$B$5)+(_xlfn.IFNA(VLOOKUP($A3,'FL Ratio'!$A$3:$B$10,2,FALSE),0)*'FL Characterization'!D$2)</f>
        <v>32.980229998228396</v>
      </c>
      <c r="E3" s="2">
        <f>('[1]Pc, Winter, S1'!E3*Main!$B$5)+(_xlfn.IFNA(VLOOKUP($A3,'FL Ratio'!$A$3:$B$10,2,FALSE),0)*'FL Characterization'!E$2)</f>
        <v>35.121885331911969</v>
      </c>
      <c r="F3" s="2">
        <f>('[1]Pc, Winter, S1'!F3*Main!$B$5)+(_xlfn.IFNA(VLOOKUP($A3,'FL Ratio'!$A$3:$B$10,2,FALSE),0)*'FL Characterization'!F$2)</f>
        <v>34.538674627411176</v>
      </c>
      <c r="G3" s="2">
        <f>('[1]Pc, Winter, S1'!G3*Main!$B$5)+(_xlfn.IFNA(VLOOKUP($A3,'FL Ratio'!$A$3:$B$10,2,FALSE),0)*'FL Characterization'!G$2)</f>
        <v>35.593754732878367</v>
      </c>
      <c r="H3" s="2">
        <f>('[1]Pc, Winter, S1'!H3*Main!$B$5)+(_xlfn.IFNA(VLOOKUP($A3,'FL Ratio'!$A$3:$B$10,2,FALSE),0)*'FL Characterization'!H$2)</f>
        <v>52.491753513302776</v>
      </c>
      <c r="I3" s="2">
        <f>('[1]Pc, Winter, S1'!I3*Main!$B$5)+(_xlfn.IFNA(VLOOKUP($A3,'FL Ratio'!$A$3:$B$10,2,FALSE),0)*'FL Characterization'!I$2)</f>
        <v>56.384721117546313</v>
      </c>
      <c r="J3" s="2">
        <f>('[1]Pc, Winter, S1'!J3*Main!$B$5)+(_xlfn.IFNA(VLOOKUP($A3,'FL Ratio'!$A$3:$B$10,2,FALSE),0)*'FL Characterization'!J$2)</f>
        <v>61.734126196490742</v>
      </c>
      <c r="K3" s="2">
        <f>('[1]Pc, Winter, S1'!K3*Main!$B$5)+(_xlfn.IFNA(VLOOKUP($A3,'FL Ratio'!$A$3:$B$10,2,FALSE),0)*'FL Characterization'!K$2)</f>
        <v>61.921116429932056</v>
      </c>
      <c r="L3" s="2">
        <f>('[1]Pc, Winter, S1'!L3*Main!$B$5)+(_xlfn.IFNA(VLOOKUP($A3,'FL Ratio'!$A$3:$B$10,2,FALSE),0)*'FL Characterization'!L$2)</f>
        <v>58.316083107679113</v>
      </c>
      <c r="M3" s="2">
        <f>('[1]Pc, Winter, S1'!M3*Main!$B$5)+(_xlfn.IFNA(VLOOKUP($A3,'FL Ratio'!$A$3:$B$10,2,FALSE),0)*'FL Characterization'!M$2)</f>
        <v>63.848959943432156</v>
      </c>
      <c r="N3" s="2">
        <f>('[1]Pc, Winter, S1'!N3*Main!$B$5)+(_xlfn.IFNA(VLOOKUP($A3,'FL Ratio'!$A$3:$B$10,2,FALSE),0)*'FL Characterization'!N$2)</f>
        <v>60.450494812730156</v>
      </c>
      <c r="O3" s="2">
        <f>('[1]Pc, Winter, S1'!O3*Main!$B$5)+(_xlfn.IFNA(VLOOKUP($A3,'FL Ratio'!$A$3:$B$10,2,FALSE),0)*'FL Characterization'!O$2)</f>
        <v>57.112690486118474</v>
      </c>
      <c r="P3" s="2">
        <f>('[1]Pc, Winter, S1'!P3*Main!$B$5)+(_xlfn.IFNA(VLOOKUP($A3,'FL Ratio'!$A$3:$B$10,2,FALSE),0)*'FL Characterization'!P$2)</f>
        <v>55.482483379148285</v>
      </c>
      <c r="Q3" s="2">
        <f>('[1]Pc, Winter, S1'!Q3*Main!$B$5)+(_xlfn.IFNA(VLOOKUP($A3,'FL Ratio'!$A$3:$B$10,2,FALSE),0)*'FL Characterization'!Q$2)</f>
        <v>51.898935792088579</v>
      </c>
      <c r="R3" s="2">
        <f>('[1]Pc, Winter, S1'!R3*Main!$B$5)+(_xlfn.IFNA(VLOOKUP($A3,'FL Ratio'!$A$3:$B$10,2,FALSE),0)*'FL Characterization'!R$2)</f>
        <v>51.441540736506489</v>
      </c>
      <c r="S3" s="2">
        <f>('[1]Pc, Winter, S1'!S3*Main!$B$5)+(_xlfn.IFNA(VLOOKUP($A3,'FL Ratio'!$A$3:$B$10,2,FALSE),0)*'FL Characterization'!S$2)</f>
        <v>55.07193002611448</v>
      </c>
      <c r="T3" s="2">
        <f>('[1]Pc, Winter, S1'!T3*Main!$B$5)+(_xlfn.IFNA(VLOOKUP($A3,'FL Ratio'!$A$3:$B$10,2,FALSE),0)*'FL Characterization'!T$2)</f>
        <v>54.54522902959603</v>
      </c>
      <c r="U3" s="2">
        <f>('[1]Pc, Winter, S1'!U3*Main!$B$5)+(_xlfn.IFNA(VLOOKUP($A3,'FL Ratio'!$A$3:$B$10,2,FALSE),0)*'FL Characterization'!U$2)</f>
        <v>55.133274028803555</v>
      </c>
      <c r="V3" s="2">
        <f>('[1]Pc, Winter, S1'!V3*Main!$B$5)+(_xlfn.IFNA(VLOOKUP($A3,'FL Ratio'!$A$3:$B$10,2,FALSE),0)*'FL Characterization'!V$2)</f>
        <v>53.931524658334176</v>
      </c>
      <c r="W3" s="2">
        <f>('[1]Pc, Winter, S1'!W3*Main!$B$5)+(_xlfn.IFNA(VLOOKUP($A3,'FL Ratio'!$A$3:$B$10,2,FALSE),0)*'FL Characterization'!W$2)</f>
        <v>48.506194456812977</v>
      </c>
      <c r="X3" s="2">
        <f>('[1]Pc, Winter, S1'!X3*Main!$B$5)+(_xlfn.IFNA(VLOOKUP($A3,'FL Ratio'!$A$3:$B$10,2,FALSE),0)*'FL Characterization'!X$2)</f>
        <v>42.860802837269375</v>
      </c>
      <c r="Y3" s="2">
        <f>('[1]Pc, Winter, S1'!Y3*Main!$B$5)+(_xlfn.IFNA(VLOOKUP($A3,'FL Ratio'!$A$3:$B$10,2,FALSE),0)*'FL Characterization'!Y$2)</f>
        <v>42.011360666676858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55.228860627209308</v>
      </c>
      <c r="C4" s="2">
        <f>('[1]Pc, Winter, S1'!C4*Main!$B$5)+(_xlfn.IFNA(VLOOKUP($A4,'FL Ratio'!$A$3:$B$10,2,FALSE),0)*'FL Characterization'!C$2)</f>
        <v>49.048901518406424</v>
      </c>
      <c r="D4" s="2">
        <f>('[1]Pc, Winter, S1'!D4*Main!$B$5)+(_xlfn.IFNA(VLOOKUP($A4,'FL Ratio'!$A$3:$B$10,2,FALSE),0)*'FL Characterization'!D$2)</f>
        <v>46.036337077088646</v>
      </c>
      <c r="E4" s="2">
        <f>('[1]Pc, Winter, S1'!E4*Main!$B$5)+(_xlfn.IFNA(VLOOKUP($A4,'FL Ratio'!$A$3:$B$10,2,FALSE),0)*'FL Characterization'!E$2)</f>
        <v>45.379195401255046</v>
      </c>
      <c r="F4" s="2">
        <f>('[1]Pc, Winter, S1'!F4*Main!$B$5)+(_xlfn.IFNA(VLOOKUP($A4,'FL Ratio'!$A$3:$B$10,2,FALSE),0)*'FL Characterization'!F$2)</f>
        <v>46.907359731909054</v>
      </c>
      <c r="G4" s="2">
        <f>('[1]Pc, Winter, S1'!G4*Main!$B$5)+(_xlfn.IFNA(VLOOKUP($A4,'FL Ratio'!$A$3:$B$10,2,FALSE),0)*'FL Characterization'!G$2)</f>
        <v>50.154092389764507</v>
      </c>
      <c r="H4" s="2">
        <f>('[1]Pc, Winter, S1'!H4*Main!$B$5)+(_xlfn.IFNA(VLOOKUP($A4,'FL Ratio'!$A$3:$B$10,2,FALSE),0)*'FL Characterization'!H$2)</f>
        <v>60.549052303103814</v>
      </c>
      <c r="I4" s="2">
        <f>('[1]Pc, Winter, S1'!I4*Main!$B$5)+(_xlfn.IFNA(VLOOKUP($A4,'FL Ratio'!$A$3:$B$10,2,FALSE),0)*'FL Characterization'!I$2)</f>
        <v>65.602402304227923</v>
      </c>
      <c r="J4" s="2">
        <f>('[1]Pc, Winter, S1'!J4*Main!$B$5)+(_xlfn.IFNA(VLOOKUP($A4,'FL Ratio'!$A$3:$B$10,2,FALSE),0)*'FL Characterization'!J$2)</f>
        <v>69.365448063582789</v>
      </c>
      <c r="K4" s="2">
        <f>('[1]Pc, Winter, S1'!K4*Main!$B$5)+(_xlfn.IFNA(VLOOKUP($A4,'FL Ratio'!$A$3:$B$10,2,FALSE),0)*'FL Characterization'!K$2)</f>
        <v>71.868303262579374</v>
      </c>
      <c r="L4" s="2">
        <f>('[1]Pc, Winter, S1'!L4*Main!$B$5)+(_xlfn.IFNA(VLOOKUP($A4,'FL Ratio'!$A$3:$B$10,2,FALSE),0)*'FL Characterization'!L$2)</f>
        <v>72.319026495388258</v>
      </c>
      <c r="M4" s="2">
        <f>('[1]Pc, Winter, S1'!M4*Main!$B$5)+(_xlfn.IFNA(VLOOKUP($A4,'FL Ratio'!$A$3:$B$10,2,FALSE),0)*'FL Characterization'!M$2)</f>
        <v>71.640085943626801</v>
      </c>
      <c r="N4" s="2">
        <f>('[1]Pc, Winter, S1'!N4*Main!$B$5)+(_xlfn.IFNA(VLOOKUP($A4,'FL Ratio'!$A$3:$B$10,2,FALSE),0)*'FL Characterization'!N$2)</f>
        <v>71.450517201246939</v>
      </c>
      <c r="O4" s="2">
        <f>('[1]Pc, Winter, S1'!O4*Main!$B$5)+(_xlfn.IFNA(VLOOKUP($A4,'FL Ratio'!$A$3:$B$10,2,FALSE),0)*'FL Characterization'!O$2)</f>
        <v>70.475151169196593</v>
      </c>
      <c r="P4" s="2">
        <f>('[1]Pc, Winter, S1'!P4*Main!$B$5)+(_xlfn.IFNA(VLOOKUP($A4,'FL Ratio'!$A$3:$B$10,2,FALSE),0)*'FL Characterization'!P$2)</f>
        <v>68.336792347741437</v>
      </c>
      <c r="Q4" s="2">
        <f>('[1]Pc, Winter, S1'!Q4*Main!$B$5)+(_xlfn.IFNA(VLOOKUP($A4,'FL Ratio'!$A$3:$B$10,2,FALSE),0)*'FL Characterization'!Q$2)</f>
        <v>67.101171757060314</v>
      </c>
      <c r="R4" s="2">
        <f>('[1]Pc, Winter, S1'!R4*Main!$B$5)+(_xlfn.IFNA(VLOOKUP($A4,'FL Ratio'!$A$3:$B$10,2,FALSE),0)*'FL Characterization'!R$2)</f>
        <v>68.967010232064453</v>
      </c>
      <c r="S4" s="2">
        <f>('[1]Pc, Winter, S1'!S4*Main!$B$5)+(_xlfn.IFNA(VLOOKUP($A4,'FL Ratio'!$A$3:$B$10,2,FALSE),0)*'FL Characterization'!S$2)</f>
        <v>78.64669903624204</v>
      </c>
      <c r="T4" s="2">
        <f>('[1]Pc, Winter, S1'!T4*Main!$B$5)+(_xlfn.IFNA(VLOOKUP($A4,'FL Ratio'!$A$3:$B$10,2,FALSE),0)*'FL Characterization'!T$2)</f>
        <v>79.637969565329698</v>
      </c>
      <c r="U4" s="2">
        <f>('[1]Pc, Winter, S1'!U4*Main!$B$5)+(_xlfn.IFNA(VLOOKUP($A4,'FL Ratio'!$A$3:$B$10,2,FALSE),0)*'FL Characterization'!U$2)</f>
        <v>79.884393039383298</v>
      </c>
      <c r="V4" s="2">
        <f>('[1]Pc, Winter, S1'!V4*Main!$B$5)+(_xlfn.IFNA(VLOOKUP($A4,'FL Ratio'!$A$3:$B$10,2,FALSE),0)*'FL Characterization'!V$2)</f>
        <v>77.797272613696535</v>
      </c>
      <c r="W4" s="2">
        <f>('[1]Pc, Winter, S1'!W4*Main!$B$5)+(_xlfn.IFNA(VLOOKUP($A4,'FL Ratio'!$A$3:$B$10,2,FALSE),0)*'FL Characterization'!W$2)</f>
        <v>73.972470028062006</v>
      </c>
      <c r="X4" s="2">
        <f>('[1]Pc, Winter, S1'!X4*Main!$B$5)+(_xlfn.IFNA(VLOOKUP($A4,'FL Ratio'!$A$3:$B$10,2,FALSE),0)*'FL Characterization'!X$2)</f>
        <v>69.255110922431484</v>
      </c>
      <c r="Y4" s="2">
        <f>('[1]Pc, Winter, S1'!Y4*Main!$B$5)+(_xlfn.IFNA(VLOOKUP($A4,'FL Ratio'!$A$3:$B$10,2,FALSE),0)*'FL Characterization'!Y$2)</f>
        <v>61.939682109244437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36.366101696927366</v>
      </c>
      <c r="C2" s="2">
        <f>('[1]Pc, Winter, S1'!C2*Main!$B$5)+(_xlfn.IFNA(VLOOKUP($A2,'FL Ratio'!$A$3:$B$10,2,FALSE),0)*'FL Characterization'!C$2)</f>
        <v>33.920419316161762</v>
      </c>
      <c r="D2" s="2">
        <f>('[1]Pc, Winter, S1'!D2*Main!$B$5)+(_xlfn.IFNA(VLOOKUP($A2,'FL Ratio'!$A$3:$B$10,2,FALSE),0)*'FL Characterization'!D$2)</f>
        <v>32.140639723351974</v>
      </c>
      <c r="E2" s="2">
        <f>('[1]Pc, Winter, S1'!E2*Main!$B$5)+(_xlfn.IFNA(VLOOKUP($A2,'FL Ratio'!$A$3:$B$10,2,FALSE),0)*'FL Characterization'!E$2)</f>
        <v>31.913226810407153</v>
      </c>
      <c r="F2" s="2">
        <f>('[1]Pc, Winter, S1'!F2*Main!$B$5)+(_xlfn.IFNA(VLOOKUP($A2,'FL Ratio'!$A$3:$B$10,2,FALSE),0)*'FL Characterization'!F$2)</f>
        <v>32.298172782504153</v>
      </c>
      <c r="G2" s="2">
        <f>('[1]Pc, Winter, S1'!G2*Main!$B$5)+(_xlfn.IFNA(VLOOKUP($A2,'FL Ratio'!$A$3:$B$10,2,FALSE),0)*'FL Characterization'!G$2)</f>
        <v>35.502665544186208</v>
      </c>
      <c r="H2" s="2">
        <f>('[1]Pc, Winter, S1'!H2*Main!$B$5)+(_xlfn.IFNA(VLOOKUP($A2,'FL Ratio'!$A$3:$B$10,2,FALSE),0)*'FL Characterization'!H$2)</f>
        <v>42.363332063611018</v>
      </c>
      <c r="I2" s="2">
        <f>('[1]Pc, Winter, S1'!I2*Main!$B$5)+(_xlfn.IFNA(VLOOKUP($A2,'FL Ratio'!$A$3:$B$10,2,FALSE),0)*'FL Characterization'!I$2)</f>
        <v>50.99253616216739</v>
      </c>
      <c r="J2" s="2">
        <f>('[1]Pc, Winter, S1'!J2*Main!$B$5)+(_xlfn.IFNA(VLOOKUP($A2,'FL Ratio'!$A$3:$B$10,2,FALSE),0)*'FL Characterization'!J$2)</f>
        <v>55.517015657853932</v>
      </c>
      <c r="K2" s="2">
        <f>('[1]Pc, Winter, S1'!K2*Main!$B$5)+(_xlfn.IFNA(VLOOKUP($A2,'FL Ratio'!$A$3:$B$10,2,FALSE),0)*'FL Characterization'!K$2)</f>
        <v>56.209303389576661</v>
      </c>
      <c r="L2" s="2">
        <f>('[1]Pc, Winter, S1'!L2*Main!$B$5)+(_xlfn.IFNA(VLOOKUP($A2,'FL Ratio'!$A$3:$B$10,2,FALSE),0)*'FL Characterization'!L$2)</f>
        <v>54.692402634470071</v>
      </c>
      <c r="M2" s="2">
        <f>('[1]Pc, Winter, S1'!M2*Main!$B$5)+(_xlfn.IFNA(VLOOKUP($A2,'FL Ratio'!$A$3:$B$10,2,FALSE),0)*'FL Characterization'!M$2)</f>
        <v>54.974294587822349</v>
      </c>
      <c r="N2" s="2">
        <f>('[1]Pc, Winter, S1'!N2*Main!$B$5)+(_xlfn.IFNA(VLOOKUP($A2,'FL Ratio'!$A$3:$B$10,2,FALSE),0)*'FL Characterization'!N$2)</f>
        <v>54.929118252822633</v>
      </c>
      <c r="O2" s="2">
        <f>('[1]Pc, Winter, S1'!O2*Main!$B$5)+(_xlfn.IFNA(VLOOKUP($A2,'FL Ratio'!$A$3:$B$10,2,FALSE),0)*'FL Characterization'!O$2)</f>
        <v>54.032155172432617</v>
      </c>
      <c r="P2" s="2">
        <f>('[1]Pc, Winter, S1'!P2*Main!$B$5)+(_xlfn.IFNA(VLOOKUP($A2,'FL Ratio'!$A$3:$B$10,2,FALSE),0)*'FL Characterization'!P$2)</f>
        <v>50.952886791777701</v>
      </c>
      <c r="Q2" s="2">
        <f>('[1]Pc, Winter, S1'!Q2*Main!$B$5)+(_xlfn.IFNA(VLOOKUP($A2,'FL Ratio'!$A$3:$B$10,2,FALSE),0)*'FL Characterization'!Q$2)</f>
        <v>49.493067760778956</v>
      </c>
      <c r="R2" s="2">
        <f>('[1]Pc, Winter, S1'!R2*Main!$B$5)+(_xlfn.IFNA(VLOOKUP($A2,'FL Ratio'!$A$3:$B$10,2,FALSE),0)*'FL Characterization'!R$2)</f>
        <v>51.54451182125495</v>
      </c>
      <c r="S2" s="2">
        <f>('[1]Pc, Winter, S1'!S2*Main!$B$5)+(_xlfn.IFNA(VLOOKUP($A2,'FL Ratio'!$A$3:$B$10,2,FALSE),0)*'FL Characterization'!S$2)</f>
        <v>57.138059183936171</v>
      </c>
      <c r="T2" s="2">
        <f>('[1]Pc, Winter, S1'!T2*Main!$B$5)+(_xlfn.IFNA(VLOOKUP($A2,'FL Ratio'!$A$3:$B$10,2,FALSE),0)*'FL Characterization'!T$2)</f>
        <v>56.930934623073149</v>
      </c>
      <c r="U2" s="2">
        <f>('[1]Pc, Winter, S1'!U2*Main!$B$5)+(_xlfn.IFNA(VLOOKUP($A2,'FL Ratio'!$A$3:$B$10,2,FALSE),0)*'FL Characterization'!U$2)</f>
        <v>55.752259563847581</v>
      </c>
      <c r="V2" s="2">
        <f>('[1]Pc, Winter, S1'!V2*Main!$B$5)+(_xlfn.IFNA(VLOOKUP($A2,'FL Ratio'!$A$3:$B$10,2,FALSE),0)*'FL Characterization'!V$2)</f>
        <v>54.793464976059276</v>
      </c>
      <c r="W2" s="2">
        <f>('[1]Pc, Winter, S1'!W2*Main!$B$5)+(_xlfn.IFNA(VLOOKUP($A2,'FL Ratio'!$A$3:$B$10,2,FALSE),0)*'FL Characterization'!W$2)</f>
        <v>51.356214543795581</v>
      </c>
      <c r="X2" s="2">
        <f>('[1]Pc, Winter, S1'!X2*Main!$B$5)+(_xlfn.IFNA(VLOOKUP($A2,'FL Ratio'!$A$3:$B$10,2,FALSE),0)*'FL Characterization'!X$2)</f>
        <v>44.927132521312927</v>
      </c>
      <c r="Y2" s="2">
        <f>('[1]Pc, Winter, S1'!Y2*Main!$B$5)+(_xlfn.IFNA(VLOOKUP($A2,'FL Ratio'!$A$3:$B$10,2,FALSE),0)*'FL Characterization'!Y$2)</f>
        <v>40.760313410879029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38.921388430812407</v>
      </c>
      <c r="C3" s="2">
        <f>('[1]Pc, Winter, S1'!C3*Main!$B$5)+(_xlfn.IFNA(VLOOKUP($A3,'FL Ratio'!$A$3:$B$10,2,FALSE),0)*'FL Characterization'!C$2)</f>
        <v>36.476343678774107</v>
      </c>
      <c r="D3" s="2">
        <f>('[1]Pc, Winter, S1'!D3*Main!$B$5)+(_xlfn.IFNA(VLOOKUP($A3,'FL Ratio'!$A$3:$B$10,2,FALSE),0)*'FL Characterization'!D$2)</f>
        <v>32.980229998228396</v>
      </c>
      <c r="E3" s="2">
        <f>('[1]Pc, Winter, S1'!E3*Main!$B$5)+(_xlfn.IFNA(VLOOKUP($A3,'FL Ratio'!$A$3:$B$10,2,FALSE),0)*'FL Characterization'!E$2)</f>
        <v>35.121885331911969</v>
      </c>
      <c r="F3" s="2">
        <f>('[1]Pc, Winter, S1'!F3*Main!$B$5)+(_xlfn.IFNA(VLOOKUP($A3,'FL Ratio'!$A$3:$B$10,2,FALSE),0)*'FL Characterization'!F$2)</f>
        <v>34.538674627411176</v>
      </c>
      <c r="G3" s="2">
        <f>('[1]Pc, Winter, S1'!G3*Main!$B$5)+(_xlfn.IFNA(VLOOKUP($A3,'FL Ratio'!$A$3:$B$10,2,FALSE),0)*'FL Characterization'!G$2)</f>
        <v>35.593754732878367</v>
      </c>
      <c r="H3" s="2">
        <f>('[1]Pc, Winter, S1'!H3*Main!$B$5)+(_xlfn.IFNA(VLOOKUP($A3,'FL Ratio'!$A$3:$B$10,2,FALSE),0)*'FL Characterization'!H$2)</f>
        <v>52.491753513302776</v>
      </c>
      <c r="I3" s="2">
        <f>('[1]Pc, Winter, S1'!I3*Main!$B$5)+(_xlfn.IFNA(VLOOKUP($A3,'FL Ratio'!$A$3:$B$10,2,FALSE),0)*'FL Characterization'!I$2)</f>
        <v>56.384721117546313</v>
      </c>
      <c r="J3" s="2">
        <f>('[1]Pc, Winter, S1'!J3*Main!$B$5)+(_xlfn.IFNA(VLOOKUP($A3,'FL Ratio'!$A$3:$B$10,2,FALSE),0)*'FL Characterization'!J$2)</f>
        <v>61.734126196490742</v>
      </c>
      <c r="K3" s="2">
        <f>('[1]Pc, Winter, S1'!K3*Main!$B$5)+(_xlfn.IFNA(VLOOKUP($A3,'FL Ratio'!$A$3:$B$10,2,FALSE),0)*'FL Characterization'!K$2)</f>
        <v>61.921116429932056</v>
      </c>
      <c r="L3" s="2">
        <f>('[1]Pc, Winter, S1'!L3*Main!$B$5)+(_xlfn.IFNA(VLOOKUP($A3,'FL Ratio'!$A$3:$B$10,2,FALSE),0)*'FL Characterization'!L$2)</f>
        <v>58.316083107679113</v>
      </c>
      <c r="M3" s="2">
        <f>('[1]Pc, Winter, S1'!M3*Main!$B$5)+(_xlfn.IFNA(VLOOKUP($A3,'FL Ratio'!$A$3:$B$10,2,FALSE),0)*'FL Characterization'!M$2)</f>
        <v>63.848959943432156</v>
      </c>
      <c r="N3" s="2">
        <f>('[1]Pc, Winter, S1'!N3*Main!$B$5)+(_xlfn.IFNA(VLOOKUP($A3,'FL Ratio'!$A$3:$B$10,2,FALSE),0)*'FL Characterization'!N$2)</f>
        <v>60.450494812730156</v>
      </c>
      <c r="O3" s="2">
        <f>('[1]Pc, Winter, S1'!O3*Main!$B$5)+(_xlfn.IFNA(VLOOKUP($A3,'FL Ratio'!$A$3:$B$10,2,FALSE),0)*'FL Characterization'!O$2)</f>
        <v>57.112690486118474</v>
      </c>
      <c r="P3" s="2">
        <f>('[1]Pc, Winter, S1'!P3*Main!$B$5)+(_xlfn.IFNA(VLOOKUP($A3,'FL Ratio'!$A$3:$B$10,2,FALSE),0)*'FL Characterization'!P$2)</f>
        <v>55.482483379148285</v>
      </c>
      <c r="Q3" s="2">
        <f>('[1]Pc, Winter, S1'!Q3*Main!$B$5)+(_xlfn.IFNA(VLOOKUP($A3,'FL Ratio'!$A$3:$B$10,2,FALSE),0)*'FL Characterization'!Q$2)</f>
        <v>51.898935792088579</v>
      </c>
      <c r="R3" s="2">
        <f>('[1]Pc, Winter, S1'!R3*Main!$B$5)+(_xlfn.IFNA(VLOOKUP($A3,'FL Ratio'!$A$3:$B$10,2,FALSE),0)*'FL Characterization'!R$2)</f>
        <v>51.441540736506489</v>
      </c>
      <c r="S3" s="2">
        <f>('[1]Pc, Winter, S1'!S3*Main!$B$5)+(_xlfn.IFNA(VLOOKUP($A3,'FL Ratio'!$A$3:$B$10,2,FALSE),0)*'FL Characterization'!S$2)</f>
        <v>55.07193002611448</v>
      </c>
      <c r="T3" s="2">
        <f>('[1]Pc, Winter, S1'!T3*Main!$B$5)+(_xlfn.IFNA(VLOOKUP($A3,'FL Ratio'!$A$3:$B$10,2,FALSE),0)*'FL Characterization'!T$2)</f>
        <v>54.54522902959603</v>
      </c>
      <c r="U3" s="2">
        <f>('[1]Pc, Winter, S1'!U3*Main!$B$5)+(_xlfn.IFNA(VLOOKUP($A3,'FL Ratio'!$A$3:$B$10,2,FALSE),0)*'FL Characterization'!U$2)</f>
        <v>55.133274028803555</v>
      </c>
      <c r="V3" s="2">
        <f>('[1]Pc, Winter, S1'!V3*Main!$B$5)+(_xlfn.IFNA(VLOOKUP($A3,'FL Ratio'!$A$3:$B$10,2,FALSE),0)*'FL Characterization'!V$2)</f>
        <v>53.931524658334176</v>
      </c>
      <c r="W3" s="2">
        <f>('[1]Pc, Winter, S1'!W3*Main!$B$5)+(_xlfn.IFNA(VLOOKUP($A3,'FL Ratio'!$A$3:$B$10,2,FALSE),0)*'FL Characterization'!W$2)</f>
        <v>48.506194456812977</v>
      </c>
      <c r="X3" s="2">
        <f>('[1]Pc, Winter, S1'!X3*Main!$B$5)+(_xlfn.IFNA(VLOOKUP($A3,'FL Ratio'!$A$3:$B$10,2,FALSE),0)*'FL Characterization'!X$2)</f>
        <v>42.860802837269375</v>
      </c>
      <c r="Y3" s="2">
        <f>('[1]Pc, Winter, S1'!Y3*Main!$B$5)+(_xlfn.IFNA(VLOOKUP($A3,'FL Ratio'!$A$3:$B$10,2,FALSE),0)*'FL Characterization'!Y$2)</f>
        <v>42.011360666676858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55.228860627209308</v>
      </c>
      <c r="C4" s="2">
        <f>('[1]Pc, Winter, S1'!C4*Main!$B$5)+(_xlfn.IFNA(VLOOKUP($A4,'FL Ratio'!$A$3:$B$10,2,FALSE),0)*'FL Characterization'!C$2)</f>
        <v>49.048901518406424</v>
      </c>
      <c r="D4" s="2">
        <f>('[1]Pc, Winter, S1'!D4*Main!$B$5)+(_xlfn.IFNA(VLOOKUP($A4,'FL Ratio'!$A$3:$B$10,2,FALSE),0)*'FL Characterization'!D$2)</f>
        <v>46.036337077088646</v>
      </c>
      <c r="E4" s="2">
        <f>('[1]Pc, Winter, S1'!E4*Main!$B$5)+(_xlfn.IFNA(VLOOKUP($A4,'FL Ratio'!$A$3:$B$10,2,FALSE),0)*'FL Characterization'!E$2)</f>
        <v>45.379195401255046</v>
      </c>
      <c r="F4" s="2">
        <f>('[1]Pc, Winter, S1'!F4*Main!$B$5)+(_xlfn.IFNA(VLOOKUP($A4,'FL Ratio'!$A$3:$B$10,2,FALSE),0)*'FL Characterization'!F$2)</f>
        <v>46.907359731909054</v>
      </c>
      <c r="G4" s="2">
        <f>('[1]Pc, Winter, S1'!G4*Main!$B$5)+(_xlfn.IFNA(VLOOKUP($A4,'FL Ratio'!$A$3:$B$10,2,FALSE),0)*'FL Characterization'!G$2)</f>
        <v>50.154092389764507</v>
      </c>
      <c r="H4" s="2">
        <f>('[1]Pc, Winter, S1'!H4*Main!$B$5)+(_xlfn.IFNA(VLOOKUP($A4,'FL Ratio'!$A$3:$B$10,2,FALSE),0)*'FL Characterization'!H$2)</f>
        <v>60.549052303103814</v>
      </c>
      <c r="I4" s="2">
        <f>('[1]Pc, Winter, S1'!I4*Main!$B$5)+(_xlfn.IFNA(VLOOKUP($A4,'FL Ratio'!$A$3:$B$10,2,FALSE),0)*'FL Characterization'!I$2)</f>
        <v>65.602402304227923</v>
      </c>
      <c r="J4" s="2">
        <f>('[1]Pc, Winter, S1'!J4*Main!$B$5)+(_xlfn.IFNA(VLOOKUP($A4,'FL Ratio'!$A$3:$B$10,2,FALSE),0)*'FL Characterization'!J$2)</f>
        <v>69.365448063582789</v>
      </c>
      <c r="K4" s="2">
        <f>('[1]Pc, Winter, S1'!K4*Main!$B$5)+(_xlfn.IFNA(VLOOKUP($A4,'FL Ratio'!$A$3:$B$10,2,FALSE),0)*'FL Characterization'!K$2)</f>
        <v>71.868303262579374</v>
      </c>
      <c r="L4" s="2">
        <f>('[1]Pc, Winter, S1'!L4*Main!$B$5)+(_xlfn.IFNA(VLOOKUP($A4,'FL Ratio'!$A$3:$B$10,2,FALSE),0)*'FL Characterization'!L$2)</f>
        <v>72.319026495388258</v>
      </c>
      <c r="M4" s="2">
        <f>('[1]Pc, Winter, S1'!M4*Main!$B$5)+(_xlfn.IFNA(VLOOKUP($A4,'FL Ratio'!$A$3:$B$10,2,FALSE),0)*'FL Characterization'!M$2)</f>
        <v>71.640085943626801</v>
      </c>
      <c r="N4" s="2">
        <f>('[1]Pc, Winter, S1'!N4*Main!$B$5)+(_xlfn.IFNA(VLOOKUP($A4,'FL Ratio'!$A$3:$B$10,2,FALSE),0)*'FL Characterization'!N$2)</f>
        <v>71.450517201246939</v>
      </c>
      <c r="O4" s="2">
        <f>('[1]Pc, Winter, S1'!O4*Main!$B$5)+(_xlfn.IFNA(VLOOKUP($A4,'FL Ratio'!$A$3:$B$10,2,FALSE),0)*'FL Characterization'!O$2)</f>
        <v>70.475151169196593</v>
      </c>
      <c r="P4" s="2">
        <f>('[1]Pc, Winter, S1'!P4*Main!$B$5)+(_xlfn.IFNA(VLOOKUP($A4,'FL Ratio'!$A$3:$B$10,2,FALSE),0)*'FL Characterization'!P$2)</f>
        <v>68.336792347741437</v>
      </c>
      <c r="Q4" s="2">
        <f>('[1]Pc, Winter, S1'!Q4*Main!$B$5)+(_xlfn.IFNA(VLOOKUP($A4,'FL Ratio'!$A$3:$B$10,2,FALSE),0)*'FL Characterization'!Q$2)</f>
        <v>67.101171757060314</v>
      </c>
      <c r="R4" s="2">
        <f>('[1]Pc, Winter, S1'!R4*Main!$B$5)+(_xlfn.IFNA(VLOOKUP($A4,'FL Ratio'!$A$3:$B$10,2,FALSE),0)*'FL Characterization'!R$2)</f>
        <v>68.967010232064453</v>
      </c>
      <c r="S4" s="2">
        <f>('[1]Pc, Winter, S1'!S4*Main!$B$5)+(_xlfn.IFNA(VLOOKUP($A4,'FL Ratio'!$A$3:$B$10,2,FALSE),0)*'FL Characterization'!S$2)</f>
        <v>78.64669903624204</v>
      </c>
      <c r="T4" s="2">
        <f>('[1]Pc, Winter, S1'!T4*Main!$B$5)+(_xlfn.IFNA(VLOOKUP($A4,'FL Ratio'!$A$3:$B$10,2,FALSE),0)*'FL Characterization'!T$2)</f>
        <v>79.637969565329698</v>
      </c>
      <c r="U4" s="2">
        <f>('[1]Pc, Winter, S1'!U4*Main!$B$5)+(_xlfn.IFNA(VLOOKUP($A4,'FL Ratio'!$A$3:$B$10,2,FALSE),0)*'FL Characterization'!U$2)</f>
        <v>79.884393039383298</v>
      </c>
      <c r="V4" s="2">
        <f>('[1]Pc, Winter, S1'!V4*Main!$B$5)+(_xlfn.IFNA(VLOOKUP($A4,'FL Ratio'!$A$3:$B$10,2,FALSE),0)*'FL Characterization'!V$2)</f>
        <v>77.797272613696535</v>
      </c>
      <c r="W4" s="2">
        <f>('[1]Pc, Winter, S1'!W4*Main!$B$5)+(_xlfn.IFNA(VLOOKUP($A4,'FL Ratio'!$A$3:$B$10,2,FALSE),0)*'FL Characterization'!W$2)</f>
        <v>73.972470028062006</v>
      </c>
      <c r="X4" s="2">
        <f>('[1]Pc, Winter, S1'!X4*Main!$B$5)+(_xlfn.IFNA(VLOOKUP($A4,'FL Ratio'!$A$3:$B$10,2,FALSE),0)*'FL Characterization'!X$2)</f>
        <v>69.255110922431484</v>
      </c>
      <c r="Y4" s="2">
        <f>('[1]Pc, Winter, S1'!Y4*Main!$B$5)+(_xlfn.IFNA(VLOOKUP($A4,'FL Ratio'!$A$3:$B$10,2,FALSE),0)*'FL Characterization'!Y$2)</f>
        <v>61.939682109244437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36.366101696927366</v>
      </c>
      <c r="C2" s="2">
        <f>('[1]Pc, Winter, S1'!C2*Main!$B$5)+(_xlfn.IFNA(VLOOKUP($A2,'FL Ratio'!$A$3:$B$10,2,FALSE),0)*'FL Characterization'!C$2)</f>
        <v>33.920419316161762</v>
      </c>
      <c r="D2" s="2">
        <f>('[1]Pc, Winter, S1'!D2*Main!$B$5)+(_xlfn.IFNA(VLOOKUP($A2,'FL Ratio'!$A$3:$B$10,2,FALSE),0)*'FL Characterization'!D$2)</f>
        <v>32.140639723351974</v>
      </c>
      <c r="E2" s="2">
        <f>('[1]Pc, Winter, S1'!E2*Main!$B$5)+(_xlfn.IFNA(VLOOKUP($A2,'FL Ratio'!$A$3:$B$10,2,FALSE),0)*'FL Characterization'!E$2)</f>
        <v>31.913226810407153</v>
      </c>
      <c r="F2" s="2">
        <f>('[1]Pc, Winter, S1'!F2*Main!$B$5)+(_xlfn.IFNA(VLOOKUP($A2,'FL Ratio'!$A$3:$B$10,2,FALSE),0)*'FL Characterization'!F$2)</f>
        <v>32.298172782504153</v>
      </c>
      <c r="G2" s="2">
        <f>('[1]Pc, Winter, S1'!G2*Main!$B$5)+(_xlfn.IFNA(VLOOKUP($A2,'FL Ratio'!$A$3:$B$10,2,FALSE),0)*'FL Characterization'!G$2)</f>
        <v>35.502665544186208</v>
      </c>
      <c r="H2" s="2">
        <f>('[1]Pc, Winter, S1'!H2*Main!$B$5)+(_xlfn.IFNA(VLOOKUP($A2,'FL Ratio'!$A$3:$B$10,2,FALSE),0)*'FL Characterization'!H$2)</f>
        <v>42.363332063611018</v>
      </c>
      <c r="I2" s="2">
        <f>('[1]Pc, Winter, S1'!I2*Main!$B$5)+(_xlfn.IFNA(VLOOKUP($A2,'FL Ratio'!$A$3:$B$10,2,FALSE),0)*'FL Characterization'!I$2)</f>
        <v>50.99253616216739</v>
      </c>
      <c r="J2" s="2">
        <f>('[1]Pc, Winter, S1'!J2*Main!$B$5)+(_xlfn.IFNA(VLOOKUP($A2,'FL Ratio'!$A$3:$B$10,2,FALSE),0)*'FL Characterization'!J$2)</f>
        <v>55.517015657853932</v>
      </c>
      <c r="K2" s="2">
        <f>('[1]Pc, Winter, S1'!K2*Main!$B$5)+(_xlfn.IFNA(VLOOKUP($A2,'FL Ratio'!$A$3:$B$10,2,FALSE),0)*'FL Characterization'!K$2)</f>
        <v>56.209303389576661</v>
      </c>
      <c r="L2" s="2">
        <f>('[1]Pc, Winter, S1'!L2*Main!$B$5)+(_xlfn.IFNA(VLOOKUP($A2,'FL Ratio'!$A$3:$B$10,2,FALSE),0)*'FL Characterization'!L$2)</f>
        <v>54.692402634470071</v>
      </c>
      <c r="M2" s="2">
        <f>('[1]Pc, Winter, S1'!M2*Main!$B$5)+(_xlfn.IFNA(VLOOKUP($A2,'FL Ratio'!$A$3:$B$10,2,FALSE),0)*'FL Characterization'!M$2)</f>
        <v>54.974294587822349</v>
      </c>
      <c r="N2" s="2">
        <f>('[1]Pc, Winter, S1'!N2*Main!$B$5)+(_xlfn.IFNA(VLOOKUP($A2,'FL Ratio'!$A$3:$B$10,2,FALSE),0)*'FL Characterization'!N$2)</f>
        <v>54.929118252822633</v>
      </c>
      <c r="O2" s="2">
        <f>('[1]Pc, Winter, S1'!O2*Main!$B$5)+(_xlfn.IFNA(VLOOKUP($A2,'FL Ratio'!$A$3:$B$10,2,FALSE),0)*'FL Characterization'!O$2)</f>
        <v>54.032155172432617</v>
      </c>
      <c r="P2" s="2">
        <f>('[1]Pc, Winter, S1'!P2*Main!$B$5)+(_xlfn.IFNA(VLOOKUP($A2,'FL Ratio'!$A$3:$B$10,2,FALSE),0)*'FL Characterization'!P$2)</f>
        <v>50.952886791777701</v>
      </c>
      <c r="Q2" s="2">
        <f>('[1]Pc, Winter, S1'!Q2*Main!$B$5)+(_xlfn.IFNA(VLOOKUP($A2,'FL Ratio'!$A$3:$B$10,2,FALSE),0)*'FL Characterization'!Q$2)</f>
        <v>49.493067760778956</v>
      </c>
      <c r="R2" s="2">
        <f>('[1]Pc, Winter, S1'!R2*Main!$B$5)+(_xlfn.IFNA(VLOOKUP($A2,'FL Ratio'!$A$3:$B$10,2,FALSE),0)*'FL Characterization'!R$2)</f>
        <v>51.54451182125495</v>
      </c>
      <c r="S2" s="2">
        <f>('[1]Pc, Winter, S1'!S2*Main!$B$5)+(_xlfn.IFNA(VLOOKUP($A2,'FL Ratio'!$A$3:$B$10,2,FALSE),0)*'FL Characterization'!S$2)</f>
        <v>57.138059183936171</v>
      </c>
      <c r="T2" s="2">
        <f>('[1]Pc, Winter, S1'!T2*Main!$B$5)+(_xlfn.IFNA(VLOOKUP($A2,'FL Ratio'!$A$3:$B$10,2,FALSE),0)*'FL Characterization'!T$2)</f>
        <v>56.930934623073149</v>
      </c>
      <c r="U2" s="2">
        <f>('[1]Pc, Winter, S1'!U2*Main!$B$5)+(_xlfn.IFNA(VLOOKUP($A2,'FL Ratio'!$A$3:$B$10,2,FALSE),0)*'FL Characterization'!U$2)</f>
        <v>55.752259563847581</v>
      </c>
      <c r="V2" s="2">
        <f>('[1]Pc, Winter, S1'!V2*Main!$B$5)+(_xlfn.IFNA(VLOOKUP($A2,'FL Ratio'!$A$3:$B$10,2,FALSE),0)*'FL Characterization'!V$2)</f>
        <v>54.793464976059276</v>
      </c>
      <c r="W2" s="2">
        <f>('[1]Pc, Winter, S1'!W2*Main!$B$5)+(_xlfn.IFNA(VLOOKUP($A2,'FL Ratio'!$A$3:$B$10,2,FALSE),0)*'FL Characterization'!W$2)</f>
        <v>51.356214543795581</v>
      </c>
      <c r="X2" s="2">
        <f>('[1]Pc, Winter, S1'!X2*Main!$B$5)+(_xlfn.IFNA(VLOOKUP($A2,'FL Ratio'!$A$3:$B$10,2,FALSE),0)*'FL Characterization'!X$2)</f>
        <v>44.927132521312927</v>
      </c>
      <c r="Y2" s="2">
        <f>('[1]Pc, Winter, S1'!Y2*Main!$B$5)+(_xlfn.IFNA(VLOOKUP($A2,'FL Ratio'!$A$3:$B$10,2,FALSE),0)*'FL Characterization'!Y$2)</f>
        <v>40.760313410879029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38.921388430812407</v>
      </c>
      <c r="C3" s="2">
        <f>('[1]Pc, Winter, S1'!C3*Main!$B$5)+(_xlfn.IFNA(VLOOKUP($A3,'FL Ratio'!$A$3:$B$10,2,FALSE),0)*'FL Characterization'!C$2)</f>
        <v>36.476343678774107</v>
      </c>
      <c r="D3" s="2">
        <f>('[1]Pc, Winter, S1'!D3*Main!$B$5)+(_xlfn.IFNA(VLOOKUP($A3,'FL Ratio'!$A$3:$B$10,2,FALSE),0)*'FL Characterization'!D$2)</f>
        <v>32.980229998228396</v>
      </c>
      <c r="E3" s="2">
        <f>('[1]Pc, Winter, S1'!E3*Main!$B$5)+(_xlfn.IFNA(VLOOKUP($A3,'FL Ratio'!$A$3:$B$10,2,FALSE),0)*'FL Characterization'!E$2)</f>
        <v>35.121885331911969</v>
      </c>
      <c r="F3" s="2">
        <f>('[1]Pc, Winter, S1'!F3*Main!$B$5)+(_xlfn.IFNA(VLOOKUP($A3,'FL Ratio'!$A$3:$B$10,2,FALSE),0)*'FL Characterization'!F$2)</f>
        <v>34.538674627411176</v>
      </c>
      <c r="G3" s="2">
        <f>('[1]Pc, Winter, S1'!G3*Main!$B$5)+(_xlfn.IFNA(VLOOKUP($A3,'FL Ratio'!$A$3:$B$10,2,FALSE),0)*'FL Characterization'!G$2)</f>
        <v>35.593754732878367</v>
      </c>
      <c r="H3" s="2">
        <f>('[1]Pc, Winter, S1'!H3*Main!$B$5)+(_xlfn.IFNA(VLOOKUP($A3,'FL Ratio'!$A$3:$B$10,2,FALSE),0)*'FL Characterization'!H$2)</f>
        <v>52.491753513302776</v>
      </c>
      <c r="I3" s="2">
        <f>('[1]Pc, Winter, S1'!I3*Main!$B$5)+(_xlfn.IFNA(VLOOKUP($A3,'FL Ratio'!$A$3:$B$10,2,FALSE),0)*'FL Characterization'!I$2)</f>
        <v>56.384721117546313</v>
      </c>
      <c r="J3" s="2">
        <f>('[1]Pc, Winter, S1'!J3*Main!$B$5)+(_xlfn.IFNA(VLOOKUP($A3,'FL Ratio'!$A$3:$B$10,2,FALSE),0)*'FL Characterization'!J$2)</f>
        <v>61.734126196490742</v>
      </c>
      <c r="K3" s="2">
        <f>('[1]Pc, Winter, S1'!K3*Main!$B$5)+(_xlfn.IFNA(VLOOKUP($A3,'FL Ratio'!$A$3:$B$10,2,FALSE),0)*'FL Characterization'!K$2)</f>
        <v>61.921116429932056</v>
      </c>
      <c r="L3" s="2">
        <f>('[1]Pc, Winter, S1'!L3*Main!$B$5)+(_xlfn.IFNA(VLOOKUP($A3,'FL Ratio'!$A$3:$B$10,2,FALSE),0)*'FL Characterization'!L$2)</f>
        <v>58.316083107679113</v>
      </c>
      <c r="M3" s="2">
        <f>('[1]Pc, Winter, S1'!M3*Main!$B$5)+(_xlfn.IFNA(VLOOKUP($A3,'FL Ratio'!$A$3:$B$10,2,FALSE),0)*'FL Characterization'!M$2)</f>
        <v>63.848959943432156</v>
      </c>
      <c r="N3" s="2">
        <f>('[1]Pc, Winter, S1'!N3*Main!$B$5)+(_xlfn.IFNA(VLOOKUP($A3,'FL Ratio'!$A$3:$B$10,2,FALSE),0)*'FL Characterization'!N$2)</f>
        <v>60.450494812730156</v>
      </c>
      <c r="O3" s="2">
        <f>('[1]Pc, Winter, S1'!O3*Main!$B$5)+(_xlfn.IFNA(VLOOKUP($A3,'FL Ratio'!$A$3:$B$10,2,FALSE),0)*'FL Characterization'!O$2)</f>
        <v>57.112690486118474</v>
      </c>
      <c r="P3" s="2">
        <f>('[1]Pc, Winter, S1'!P3*Main!$B$5)+(_xlfn.IFNA(VLOOKUP($A3,'FL Ratio'!$A$3:$B$10,2,FALSE),0)*'FL Characterization'!P$2)</f>
        <v>55.482483379148285</v>
      </c>
      <c r="Q3" s="2">
        <f>('[1]Pc, Winter, S1'!Q3*Main!$B$5)+(_xlfn.IFNA(VLOOKUP($A3,'FL Ratio'!$A$3:$B$10,2,FALSE),0)*'FL Characterization'!Q$2)</f>
        <v>51.898935792088579</v>
      </c>
      <c r="R3" s="2">
        <f>('[1]Pc, Winter, S1'!R3*Main!$B$5)+(_xlfn.IFNA(VLOOKUP($A3,'FL Ratio'!$A$3:$B$10,2,FALSE),0)*'FL Characterization'!R$2)</f>
        <v>51.441540736506489</v>
      </c>
      <c r="S3" s="2">
        <f>('[1]Pc, Winter, S1'!S3*Main!$B$5)+(_xlfn.IFNA(VLOOKUP($A3,'FL Ratio'!$A$3:$B$10,2,FALSE),0)*'FL Characterization'!S$2)</f>
        <v>55.07193002611448</v>
      </c>
      <c r="T3" s="2">
        <f>('[1]Pc, Winter, S1'!T3*Main!$B$5)+(_xlfn.IFNA(VLOOKUP($A3,'FL Ratio'!$A$3:$B$10,2,FALSE),0)*'FL Characterization'!T$2)</f>
        <v>54.54522902959603</v>
      </c>
      <c r="U3" s="2">
        <f>('[1]Pc, Winter, S1'!U3*Main!$B$5)+(_xlfn.IFNA(VLOOKUP($A3,'FL Ratio'!$A$3:$B$10,2,FALSE),0)*'FL Characterization'!U$2)</f>
        <v>55.133274028803555</v>
      </c>
      <c r="V3" s="2">
        <f>('[1]Pc, Winter, S1'!V3*Main!$B$5)+(_xlfn.IFNA(VLOOKUP($A3,'FL Ratio'!$A$3:$B$10,2,FALSE),0)*'FL Characterization'!V$2)</f>
        <v>53.931524658334176</v>
      </c>
      <c r="W3" s="2">
        <f>('[1]Pc, Winter, S1'!W3*Main!$B$5)+(_xlfn.IFNA(VLOOKUP($A3,'FL Ratio'!$A$3:$B$10,2,FALSE),0)*'FL Characterization'!W$2)</f>
        <v>48.506194456812977</v>
      </c>
      <c r="X3" s="2">
        <f>('[1]Pc, Winter, S1'!X3*Main!$B$5)+(_xlfn.IFNA(VLOOKUP($A3,'FL Ratio'!$A$3:$B$10,2,FALSE),0)*'FL Characterization'!X$2)</f>
        <v>42.860802837269375</v>
      </c>
      <c r="Y3" s="2">
        <f>('[1]Pc, Winter, S1'!Y3*Main!$B$5)+(_xlfn.IFNA(VLOOKUP($A3,'FL Ratio'!$A$3:$B$10,2,FALSE),0)*'FL Characterization'!Y$2)</f>
        <v>42.011360666676858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55.228860627209308</v>
      </c>
      <c r="C4" s="2">
        <f>('[1]Pc, Winter, S1'!C4*Main!$B$5)+(_xlfn.IFNA(VLOOKUP($A4,'FL Ratio'!$A$3:$B$10,2,FALSE),0)*'FL Characterization'!C$2)</f>
        <v>49.048901518406424</v>
      </c>
      <c r="D4" s="2">
        <f>('[1]Pc, Winter, S1'!D4*Main!$B$5)+(_xlfn.IFNA(VLOOKUP($A4,'FL Ratio'!$A$3:$B$10,2,FALSE),0)*'FL Characterization'!D$2)</f>
        <v>46.036337077088646</v>
      </c>
      <c r="E4" s="2">
        <f>('[1]Pc, Winter, S1'!E4*Main!$B$5)+(_xlfn.IFNA(VLOOKUP($A4,'FL Ratio'!$A$3:$B$10,2,FALSE),0)*'FL Characterization'!E$2)</f>
        <v>45.379195401255046</v>
      </c>
      <c r="F4" s="2">
        <f>('[1]Pc, Winter, S1'!F4*Main!$B$5)+(_xlfn.IFNA(VLOOKUP($A4,'FL Ratio'!$A$3:$B$10,2,FALSE),0)*'FL Characterization'!F$2)</f>
        <v>46.907359731909054</v>
      </c>
      <c r="G4" s="2">
        <f>('[1]Pc, Winter, S1'!G4*Main!$B$5)+(_xlfn.IFNA(VLOOKUP($A4,'FL Ratio'!$A$3:$B$10,2,FALSE),0)*'FL Characterization'!G$2)</f>
        <v>50.154092389764507</v>
      </c>
      <c r="H4" s="2">
        <f>('[1]Pc, Winter, S1'!H4*Main!$B$5)+(_xlfn.IFNA(VLOOKUP($A4,'FL Ratio'!$A$3:$B$10,2,FALSE),0)*'FL Characterization'!H$2)</f>
        <v>60.549052303103814</v>
      </c>
      <c r="I4" s="2">
        <f>('[1]Pc, Winter, S1'!I4*Main!$B$5)+(_xlfn.IFNA(VLOOKUP($A4,'FL Ratio'!$A$3:$B$10,2,FALSE),0)*'FL Characterization'!I$2)</f>
        <v>65.602402304227923</v>
      </c>
      <c r="J4" s="2">
        <f>('[1]Pc, Winter, S1'!J4*Main!$B$5)+(_xlfn.IFNA(VLOOKUP($A4,'FL Ratio'!$A$3:$B$10,2,FALSE),0)*'FL Characterization'!J$2)</f>
        <v>69.365448063582789</v>
      </c>
      <c r="K4" s="2">
        <f>('[1]Pc, Winter, S1'!K4*Main!$B$5)+(_xlfn.IFNA(VLOOKUP($A4,'FL Ratio'!$A$3:$B$10,2,FALSE),0)*'FL Characterization'!K$2)</f>
        <v>71.868303262579374</v>
      </c>
      <c r="L4" s="2">
        <f>('[1]Pc, Winter, S1'!L4*Main!$B$5)+(_xlfn.IFNA(VLOOKUP($A4,'FL Ratio'!$A$3:$B$10,2,FALSE),0)*'FL Characterization'!L$2)</f>
        <v>72.319026495388258</v>
      </c>
      <c r="M4" s="2">
        <f>('[1]Pc, Winter, S1'!M4*Main!$B$5)+(_xlfn.IFNA(VLOOKUP($A4,'FL Ratio'!$A$3:$B$10,2,FALSE),0)*'FL Characterization'!M$2)</f>
        <v>71.640085943626801</v>
      </c>
      <c r="N4" s="2">
        <f>('[1]Pc, Winter, S1'!N4*Main!$B$5)+(_xlfn.IFNA(VLOOKUP($A4,'FL Ratio'!$A$3:$B$10,2,FALSE),0)*'FL Characterization'!N$2)</f>
        <v>71.450517201246939</v>
      </c>
      <c r="O4" s="2">
        <f>('[1]Pc, Winter, S1'!O4*Main!$B$5)+(_xlfn.IFNA(VLOOKUP($A4,'FL Ratio'!$A$3:$B$10,2,FALSE),0)*'FL Characterization'!O$2)</f>
        <v>70.475151169196593</v>
      </c>
      <c r="P4" s="2">
        <f>('[1]Pc, Winter, S1'!P4*Main!$B$5)+(_xlfn.IFNA(VLOOKUP($A4,'FL Ratio'!$A$3:$B$10,2,FALSE),0)*'FL Characterization'!P$2)</f>
        <v>68.336792347741437</v>
      </c>
      <c r="Q4" s="2">
        <f>('[1]Pc, Winter, S1'!Q4*Main!$B$5)+(_xlfn.IFNA(VLOOKUP($A4,'FL Ratio'!$A$3:$B$10,2,FALSE),0)*'FL Characterization'!Q$2)</f>
        <v>67.101171757060314</v>
      </c>
      <c r="R4" s="2">
        <f>('[1]Pc, Winter, S1'!R4*Main!$B$5)+(_xlfn.IFNA(VLOOKUP($A4,'FL Ratio'!$A$3:$B$10,2,FALSE),0)*'FL Characterization'!R$2)</f>
        <v>68.967010232064453</v>
      </c>
      <c r="S4" s="2">
        <f>('[1]Pc, Winter, S1'!S4*Main!$B$5)+(_xlfn.IFNA(VLOOKUP($A4,'FL Ratio'!$A$3:$B$10,2,FALSE),0)*'FL Characterization'!S$2)</f>
        <v>78.64669903624204</v>
      </c>
      <c r="T4" s="2">
        <f>('[1]Pc, Winter, S1'!T4*Main!$B$5)+(_xlfn.IFNA(VLOOKUP($A4,'FL Ratio'!$A$3:$B$10,2,FALSE),0)*'FL Characterization'!T$2)</f>
        <v>79.637969565329698</v>
      </c>
      <c r="U4" s="2">
        <f>('[1]Pc, Winter, S1'!U4*Main!$B$5)+(_xlfn.IFNA(VLOOKUP($A4,'FL Ratio'!$A$3:$B$10,2,FALSE),0)*'FL Characterization'!U$2)</f>
        <v>79.884393039383298</v>
      </c>
      <c r="V4" s="2">
        <f>('[1]Pc, Winter, S1'!V4*Main!$B$5)+(_xlfn.IFNA(VLOOKUP($A4,'FL Ratio'!$A$3:$B$10,2,FALSE),0)*'FL Characterization'!V$2)</f>
        <v>77.797272613696535</v>
      </c>
      <c r="W4" s="2">
        <f>('[1]Pc, Winter, S1'!W4*Main!$B$5)+(_xlfn.IFNA(VLOOKUP($A4,'FL Ratio'!$A$3:$B$10,2,FALSE),0)*'FL Characterization'!W$2)</f>
        <v>73.972470028062006</v>
      </c>
      <c r="X4" s="2">
        <f>('[1]Pc, Winter, S1'!X4*Main!$B$5)+(_xlfn.IFNA(VLOOKUP($A4,'FL Ratio'!$A$3:$B$10,2,FALSE),0)*'FL Characterization'!X$2)</f>
        <v>69.255110922431484</v>
      </c>
      <c r="Y4" s="2">
        <f>('[1]Pc, Winter, S1'!Y4*Main!$B$5)+(_xlfn.IFNA(VLOOKUP($A4,'FL Ratio'!$A$3:$B$10,2,FALSE),0)*'FL Characterization'!Y$2)</f>
        <v>61.939682109244437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37.457084747835189</v>
      </c>
      <c r="C2" s="2">
        <f>('[1]Pc, Winter, S2'!C2*Main!$B$5)+(_xlfn.IFNA(VLOOKUP($A2,'FL Ratio'!$A$3:$B$10,2,FALSE),0)*'FL Characterization'!C$2)</f>
        <v>34.938031895646617</v>
      </c>
      <c r="D2" s="2">
        <f>('[1]Pc, Winter, S2'!D2*Main!$B$5)+(_xlfn.IFNA(VLOOKUP($A2,'FL Ratio'!$A$3:$B$10,2,FALSE),0)*'FL Characterization'!D$2)</f>
        <v>33.104858915052539</v>
      </c>
      <c r="E2" s="2">
        <f>('[1]Pc, Winter, S2'!E2*Main!$B$5)+(_xlfn.IFNA(VLOOKUP($A2,'FL Ratio'!$A$3:$B$10,2,FALSE),0)*'FL Characterization'!E$2)</f>
        <v>32.870623614719364</v>
      </c>
      <c r="F2" s="2">
        <f>('[1]Pc, Winter, S2'!F2*Main!$B$5)+(_xlfn.IFNA(VLOOKUP($A2,'FL Ratio'!$A$3:$B$10,2,FALSE),0)*'FL Characterization'!F$2)</f>
        <v>33.267117965979281</v>
      </c>
      <c r="G2" s="2">
        <f>('[1]Pc, Winter, S2'!G2*Main!$B$5)+(_xlfn.IFNA(VLOOKUP($A2,'FL Ratio'!$A$3:$B$10,2,FALSE),0)*'FL Characterization'!G$2)</f>
        <v>36.567745510511799</v>
      </c>
      <c r="H2" s="2">
        <f>('[1]Pc, Winter, S2'!H2*Main!$B$5)+(_xlfn.IFNA(VLOOKUP($A2,'FL Ratio'!$A$3:$B$10,2,FALSE),0)*'FL Characterization'!H$2)</f>
        <v>43.634232025519346</v>
      </c>
      <c r="I2" s="2">
        <f>('[1]Pc, Winter, S2'!I2*Main!$B$5)+(_xlfn.IFNA(VLOOKUP($A2,'FL Ratio'!$A$3:$B$10,2,FALSE),0)*'FL Characterization'!I$2)</f>
        <v>52.52231224703241</v>
      </c>
      <c r="J2" s="2">
        <f>('[1]Pc, Winter, S2'!J2*Main!$B$5)+(_xlfn.IFNA(VLOOKUP($A2,'FL Ratio'!$A$3:$B$10,2,FALSE),0)*'FL Characterization'!J$2)</f>
        <v>57.182526127589547</v>
      </c>
      <c r="K2" s="2">
        <f>('[1]Pc, Winter, S2'!K2*Main!$B$5)+(_xlfn.IFNA(VLOOKUP($A2,'FL Ratio'!$A$3:$B$10,2,FALSE),0)*'FL Characterization'!K$2)</f>
        <v>57.895582491263973</v>
      </c>
      <c r="L2" s="2">
        <f>('[1]Pc, Winter, S2'!L2*Main!$B$5)+(_xlfn.IFNA(VLOOKUP($A2,'FL Ratio'!$A$3:$B$10,2,FALSE),0)*'FL Characterization'!L$2)</f>
        <v>56.333174713504178</v>
      </c>
      <c r="M2" s="2">
        <f>('[1]Pc, Winter, S2'!M2*Main!$B$5)+(_xlfn.IFNA(VLOOKUP($A2,'FL Ratio'!$A$3:$B$10,2,FALSE),0)*'FL Characterization'!M$2)</f>
        <v>56.62352342545703</v>
      </c>
      <c r="N2" s="2">
        <f>('[1]Pc, Winter, S2'!N2*Main!$B$5)+(_xlfn.IFNA(VLOOKUP($A2,'FL Ratio'!$A$3:$B$10,2,FALSE),0)*'FL Characterization'!N$2)</f>
        <v>56.57699180040732</v>
      </c>
      <c r="O2" s="2">
        <f>('[1]Pc, Winter, S2'!O2*Main!$B$5)+(_xlfn.IFNA(VLOOKUP($A2,'FL Ratio'!$A$3:$B$10,2,FALSE),0)*'FL Characterization'!O$2)</f>
        <v>55.6531198276056</v>
      </c>
      <c r="P2" s="2">
        <f>('[1]Pc, Winter, S2'!P2*Main!$B$5)+(_xlfn.IFNA(VLOOKUP($A2,'FL Ratio'!$A$3:$B$10,2,FALSE),0)*'FL Characterization'!P$2)</f>
        <v>52.481473395531026</v>
      </c>
      <c r="Q2" s="2">
        <f>('[1]Pc, Winter, S2'!Q2*Main!$B$5)+(_xlfn.IFNA(VLOOKUP($A2,'FL Ratio'!$A$3:$B$10,2,FALSE),0)*'FL Characterization'!Q$2)</f>
        <v>50.977859793602327</v>
      </c>
      <c r="R2" s="2">
        <f>('[1]Pc, Winter, S2'!R2*Main!$B$5)+(_xlfn.IFNA(VLOOKUP($A2,'FL Ratio'!$A$3:$B$10,2,FALSE),0)*'FL Characterization'!R$2)</f>
        <v>53.090847175892591</v>
      </c>
      <c r="S2" s="2">
        <f>('[1]Pc, Winter, S2'!S2*Main!$B$5)+(_xlfn.IFNA(VLOOKUP($A2,'FL Ratio'!$A$3:$B$10,2,FALSE),0)*'FL Characterization'!S$2)</f>
        <v>58.852200959454258</v>
      </c>
      <c r="T2" s="2">
        <f>('[1]Pc, Winter, S2'!T2*Main!$B$5)+(_xlfn.IFNA(VLOOKUP($A2,'FL Ratio'!$A$3:$B$10,2,FALSE),0)*'FL Characterization'!T$2)</f>
        <v>58.638862661765344</v>
      </c>
      <c r="U2" s="2">
        <f>('[1]Pc, Winter, S2'!U2*Main!$B$5)+(_xlfn.IFNA(VLOOKUP($A2,'FL Ratio'!$A$3:$B$10,2,FALSE),0)*'FL Characterization'!U$2)</f>
        <v>57.42482735076301</v>
      </c>
      <c r="V2" s="2">
        <f>('[1]Pc, Winter, S2'!V2*Main!$B$5)+(_xlfn.IFNA(VLOOKUP($A2,'FL Ratio'!$A$3:$B$10,2,FALSE),0)*'FL Characterization'!V$2)</f>
        <v>56.437268925341058</v>
      </c>
      <c r="W2" s="2">
        <f>('[1]Pc, Winter, S2'!W2*Main!$B$5)+(_xlfn.IFNA(VLOOKUP($A2,'FL Ratio'!$A$3:$B$10,2,FALSE),0)*'FL Characterization'!W$2)</f>
        <v>52.89690098010945</v>
      </c>
      <c r="X2" s="2">
        <f>('[1]Pc, Winter, S2'!X2*Main!$B$5)+(_xlfn.IFNA(VLOOKUP($A2,'FL Ratio'!$A$3:$B$10,2,FALSE),0)*'FL Characterization'!X$2)</f>
        <v>46.274946496952317</v>
      </c>
      <c r="Y2" s="2">
        <f>('[1]Pc, Winter, S2'!Y2*Main!$B$5)+(_xlfn.IFNA(VLOOKUP($A2,'FL Ratio'!$A$3:$B$10,2,FALSE),0)*'FL Characterization'!Y$2)</f>
        <v>41.983122813205405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40.000105881151498</v>
      </c>
      <c r="C3" s="2">
        <f>('[1]Pc, Winter, S2'!C3*Main!$B$5)+(_xlfn.IFNA(VLOOKUP($A3,'FL Ratio'!$A$3:$B$10,2,FALSE),0)*'FL Characterization'!C$2)</f>
        <v>37.478743475994733</v>
      </c>
      <c r="D3" s="2">
        <f>('[1]Pc, Winter, S2'!D3*Main!$B$5)+(_xlfn.IFNA(VLOOKUP($A3,'FL Ratio'!$A$3:$B$10,2,FALSE),0)*'FL Characterization'!D$2)</f>
        <v>33.887354337276832</v>
      </c>
      <c r="E3" s="2">
        <f>('[1]Pc, Winter, S2'!E3*Main!$B$5)+(_xlfn.IFNA(VLOOKUP($A3,'FL Ratio'!$A$3:$B$10,2,FALSE),0)*'FL Characterization'!E$2)</f>
        <v>36.097549628923332</v>
      </c>
      <c r="F3" s="2">
        <f>('[1]Pc, Winter, S2'!F3*Main!$B$5)+(_xlfn.IFNA(VLOOKUP($A3,'FL Ratio'!$A$3:$B$10,2,FALSE),0)*'FL Characterization'!F$2)</f>
        <v>35.510936195886657</v>
      </c>
      <c r="G3" s="2">
        <f>('[1]Pc, Winter, S2'!G3*Main!$B$5)+(_xlfn.IFNA(VLOOKUP($A3,'FL Ratio'!$A$3:$B$10,2,FALSE),0)*'FL Characterization'!G$2)</f>
        <v>36.607334535992429</v>
      </c>
      <c r="H3" s="2">
        <f>('[1]Pc, Winter, S2'!H3*Main!$B$5)+(_xlfn.IFNA(VLOOKUP($A3,'FL Ratio'!$A$3:$B$10,2,FALSE),0)*'FL Characterization'!H$2)</f>
        <v>54.000183755582576</v>
      </c>
      <c r="I3" s="2">
        <f>('[1]Pc, Winter, S2'!I3*Main!$B$5)+(_xlfn.IFNA(VLOOKUP($A3,'FL Ratio'!$A$3:$B$10,2,FALSE),0)*'FL Characterization'!I$2)</f>
        <v>58.064744784225752</v>
      </c>
      <c r="J3" s="2">
        <f>('[1]Pc, Winter, S2'!J3*Main!$B$5)+(_xlfn.IFNA(VLOOKUP($A3,'FL Ratio'!$A$3:$B$10,2,FALSE),0)*'FL Characterization'!J$2)</f>
        <v>63.576021117067803</v>
      </c>
      <c r="K3" s="2">
        <f>('[1]Pc, Winter, S2'!K3*Main!$B$5)+(_xlfn.IFNA(VLOOKUP($A3,'FL Ratio'!$A$3:$B$10,2,FALSE),0)*'FL Characterization'!K$2)</f>
        <v>63.763983484177622</v>
      </c>
      <c r="L3" s="2">
        <f>('[1]Pc, Winter, S2'!L3*Main!$B$5)+(_xlfn.IFNA(VLOOKUP($A3,'FL Ratio'!$A$3:$B$10,2,FALSE),0)*'FL Characterization'!L$2)</f>
        <v>60.056869246543897</v>
      </c>
      <c r="M3" s="2">
        <f>('[1]Pc, Winter, S2'!M3*Main!$B$5)+(_xlfn.IFNA(VLOOKUP($A3,'FL Ratio'!$A$3:$B$10,2,FALSE),0)*'FL Characterization'!M$2)</f>
        <v>65.753561916230041</v>
      </c>
      <c r="N3" s="2">
        <f>('[1]Pc, Winter, S2'!N3*Main!$B$5)+(_xlfn.IFNA(VLOOKUP($A3,'FL Ratio'!$A$3:$B$10,2,FALSE),0)*'FL Characterization'!N$2)</f>
        <v>62.246696532322659</v>
      </c>
      <c r="O3" s="2">
        <f>('[1]Pc, Winter, S2'!O3*Main!$B$5)+(_xlfn.IFNA(VLOOKUP($A3,'FL Ratio'!$A$3:$B$10,2,FALSE),0)*'FL Characterization'!O$2)</f>
        <v>58.794172509855194</v>
      </c>
      <c r="P3" s="2">
        <f>('[1]Pc, Winter, S2'!P3*Main!$B$5)+(_xlfn.IFNA(VLOOKUP($A3,'FL Ratio'!$A$3:$B$10,2,FALSE),0)*'FL Characterization'!P$2)</f>
        <v>57.1129248930554</v>
      </c>
      <c r="Q3" s="2">
        <f>('[1]Pc, Winter, S2'!Q3*Main!$B$5)+(_xlfn.IFNA(VLOOKUP($A3,'FL Ratio'!$A$3:$B$10,2,FALSE),0)*'FL Characterization'!Q$2)</f>
        <v>53.422435200880159</v>
      </c>
      <c r="R3" s="2">
        <f>('[1]Pc, Winter, S2'!R3*Main!$B$5)+(_xlfn.IFNA(VLOOKUP($A3,'FL Ratio'!$A$3:$B$10,2,FALSE),0)*'FL Characterization'!R$2)</f>
        <v>52.966012383245022</v>
      </c>
      <c r="S3" s="2">
        <f>('[1]Pc, Winter, S2'!S3*Main!$B$5)+(_xlfn.IFNA(VLOOKUP($A3,'FL Ratio'!$A$3:$B$10,2,FALSE),0)*'FL Characterization'!S$2)</f>
        <v>56.685844225419949</v>
      </c>
      <c r="T3" s="2">
        <f>('[1]Pc, Winter, S2'!T3*Main!$B$5)+(_xlfn.IFNA(VLOOKUP($A3,'FL Ratio'!$A$3:$B$10,2,FALSE),0)*'FL Characterization'!T$2)</f>
        <v>56.159143228901499</v>
      </c>
      <c r="U3" s="2">
        <f>('[1]Pc, Winter, S2'!U3*Main!$B$5)+(_xlfn.IFNA(VLOOKUP($A3,'FL Ratio'!$A$3:$B$10,2,FALSE),0)*'FL Characterization'!U$2)</f>
        <v>56.771492924483503</v>
      </c>
      <c r="V3" s="2">
        <f>('[1]Pc, Winter, S2'!V3*Main!$B$5)+(_xlfn.IFNA(VLOOKUP($A3,'FL Ratio'!$A$3:$B$10,2,FALSE),0)*'FL Characterization'!V$2)</f>
        <v>55.525508396704133</v>
      </c>
      <c r="W3" s="2">
        <f>('[1]Pc, Winter, S2'!W3*Main!$B$5)+(_xlfn.IFNA(VLOOKUP($A3,'FL Ratio'!$A$3:$B$10,2,FALSE),0)*'FL Characterization'!W$2)</f>
        <v>49.94657044244218</v>
      </c>
      <c r="X3" s="2">
        <f>('[1]Pc, Winter, S2'!X3*Main!$B$5)+(_xlfn.IFNA(VLOOKUP($A3,'FL Ratio'!$A$3:$B$10,2,FALSE),0)*'FL Characterization'!X$2)</f>
        <v>44.07903121619966</v>
      </c>
      <c r="Y3" s="2">
        <f>('[1]Pc, Winter, S2'!Y3*Main!$B$5)+(_xlfn.IFNA(VLOOKUP($A3,'FL Ratio'!$A$3:$B$10,2,FALSE),0)*'FL Characterization'!Y$2)</f>
        <v>43.190214765196572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56.796802243440311</v>
      </c>
      <c r="C4" s="2">
        <f>('[1]Pc, Winter, S2'!C4*Main!$B$5)+(_xlfn.IFNA(VLOOKUP($A4,'FL Ratio'!$A$3:$B$10,2,FALSE),0)*'FL Characterization'!C$2)</f>
        <v>50.428478050816032</v>
      </c>
      <c r="D4" s="2">
        <f>('[1]Pc, Winter, S2'!D4*Main!$B$5)+(_xlfn.IFNA(VLOOKUP($A4,'FL Ratio'!$A$3:$B$10,2,FALSE),0)*'FL Characterization'!D$2)</f>
        <v>47.335144628502889</v>
      </c>
      <c r="E4" s="2">
        <f>('[1]Pc, Winter, S2'!E4*Main!$B$5)+(_xlfn.IFNA(VLOOKUP($A4,'FL Ratio'!$A$3:$B$10,2,FALSE),0)*'FL Characterization'!E$2)</f>
        <v>46.662579000346696</v>
      </c>
      <c r="F4" s="2">
        <f>('[1]Pc, Winter, S2'!F4*Main!$B$5)+(_xlfn.IFNA(VLOOKUP($A4,'FL Ratio'!$A$3:$B$10,2,FALSE),0)*'FL Characterization'!F$2)</f>
        <v>48.250681853519467</v>
      </c>
      <c r="G4" s="2">
        <f>('[1]Pc, Winter, S2'!G4*Main!$B$5)+(_xlfn.IFNA(VLOOKUP($A4,'FL Ratio'!$A$3:$B$10,2,FALSE),0)*'FL Characterization'!G$2)</f>
        <v>51.604482322585163</v>
      </c>
      <c r="H4" s="2">
        <f>('[1]Pc, Winter, S2'!H4*Main!$B$5)+(_xlfn.IFNA(VLOOKUP($A4,'FL Ratio'!$A$3:$B$10,2,FALSE),0)*'FL Characterization'!H$2)</f>
        <v>62.299201509077626</v>
      </c>
      <c r="I4" s="2">
        <f>('[1]Pc, Winter, S2'!I4*Main!$B$5)+(_xlfn.IFNA(VLOOKUP($A4,'FL Ratio'!$A$3:$B$10,2,FALSE),0)*'FL Characterization'!I$2)</f>
        <v>67.558956406507818</v>
      </c>
      <c r="J4" s="2">
        <f>('[1]Pc, Winter, S2'!J4*Main!$B$5)+(_xlfn.IFNA(VLOOKUP($A4,'FL Ratio'!$A$3:$B$10,2,FALSE),0)*'FL Characterization'!J$2)</f>
        <v>71.436282640172607</v>
      </c>
      <c r="K4" s="2">
        <f>('[1]Pc, Winter, S2'!K4*Main!$B$5)+(_xlfn.IFNA(VLOOKUP($A4,'FL Ratio'!$A$3:$B$10,2,FALSE),0)*'FL Characterization'!K$2)</f>
        <v>74.009585921804359</v>
      </c>
      <c r="L4" s="2">
        <f>('[1]Pc, Winter, S2'!L4*Main!$B$5)+(_xlfn.IFNA(VLOOKUP($A4,'FL Ratio'!$A$3:$B$10,2,FALSE),0)*'FL Characterization'!L$2)</f>
        <v>74.479900935884302</v>
      </c>
      <c r="M4" s="2">
        <f>('[1]Pc, Winter, S2'!M4*Main!$B$5)+(_xlfn.IFNA(VLOOKUP($A4,'FL Ratio'!$A$3:$B$10,2,FALSE),0)*'FL Characterization'!M$2)</f>
        <v>73.778421696430513</v>
      </c>
      <c r="N4" s="2">
        <f>('[1]Pc, Winter, S2'!N4*Main!$B$5)+(_xlfn.IFNA(VLOOKUP($A4,'FL Ratio'!$A$3:$B$10,2,FALSE),0)*'FL Characterization'!N$2)</f>
        <v>73.576719592494953</v>
      </c>
      <c r="O4" s="2">
        <f>('[1]Pc, Winter, S2'!O4*Main!$B$5)+(_xlfn.IFNA(VLOOKUP($A4,'FL Ratio'!$A$3:$B$10,2,FALSE),0)*'FL Characterization'!O$2)</f>
        <v>72.557507013425649</v>
      </c>
      <c r="P4" s="2">
        <f>('[1]Pc, Winter, S2'!P4*Main!$B$5)+(_xlfn.IFNA(VLOOKUP($A4,'FL Ratio'!$A$3:$B$10,2,FALSE),0)*'FL Characterization'!P$2)</f>
        <v>70.352863130706325</v>
      </c>
      <c r="Q4" s="2">
        <f>('[1]Pc, Winter, S2'!Q4*Main!$B$5)+(_xlfn.IFNA(VLOOKUP($A4,'FL Ratio'!$A$3:$B$10,2,FALSE),0)*'FL Characterization'!Q$2)</f>
        <v>69.08073824480104</v>
      </c>
      <c r="R4" s="2">
        <f>('[1]Pc, Winter, S2'!R4*Main!$B$5)+(_xlfn.IFNA(VLOOKUP($A4,'FL Ratio'!$A$3:$B$10,2,FALSE),0)*'FL Characterization'!R$2)</f>
        <v>71.017245963669723</v>
      </c>
      <c r="S4" s="2">
        <f>('[1]Pc, Winter, S2'!S4*Main!$B$5)+(_xlfn.IFNA(VLOOKUP($A4,'FL Ratio'!$A$3:$B$10,2,FALSE),0)*'FL Characterization'!S$2)</f>
        <v>80.967856305851342</v>
      </c>
      <c r="T4" s="2">
        <f>('[1]Pc, Winter, S2'!T4*Main!$B$5)+(_xlfn.IFNA(VLOOKUP($A4,'FL Ratio'!$A$3:$B$10,2,FALSE),0)*'FL Characterization'!T$2)</f>
        <v>82.004665980707173</v>
      </c>
      <c r="U4" s="2">
        <f>('[1]Pc, Winter, S2'!U4*Main!$B$5)+(_xlfn.IFNA(VLOOKUP($A4,'FL Ratio'!$A$3:$B$10,2,FALSE),0)*'FL Characterization'!U$2)</f>
        <v>82.265145505380644</v>
      </c>
      <c r="V4" s="2">
        <f>('[1]Pc, Winter, S2'!V4*Main!$B$5)+(_xlfn.IFNA(VLOOKUP($A4,'FL Ratio'!$A$3:$B$10,2,FALSE),0)*'FL Characterization'!V$2)</f>
        <v>80.107228790727362</v>
      </c>
      <c r="W4" s="2">
        <f>('[1]Pc, Winter, S2'!W4*Main!$B$5)+(_xlfn.IFNA(VLOOKUP($A4,'FL Ratio'!$A$3:$B$10,2,FALSE),0)*'FL Characterization'!W$2)</f>
        <v>76.176834280828672</v>
      </c>
      <c r="X4" s="2">
        <f>('[1]Pc, Winter, S2'!X4*Main!$B$5)+(_xlfn.IFNA(VLOOKUP($A4,'FL Ratio'!$A$3:$B$10,2,FALSE),0)*'FL Characterization'!X$2)</f>
        <v>71.26516854391663</v>
      </c>
      <c r="Y4" s="2">
        <f>('[1]Pc, Winter, S2'!Y4*Main!$B$5)+(_xlfn.IFNA(VLOOKUP($A4,'FL Ratio'!$A$3:$B$10,2,FALSE),0)*'FL Characterization'!Y$2)</f>
        <v>63.716385851041174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37.457084747835189</v>
      </c>
      <c r="C2" s="2">
        <f>('[1]Pc, Winter, S2'!C2*Main!$B$5)+(_xlfn.IFNA(VLOOKUP($A2,'FL Ratio'!$A$3:$B$10,2,FALSE),0)*'FL Characterization'!C$2)</f>
        <v>34.938031895646617</v>
      </c>
      <c r="D2" s="2">
        <f>('[1]Pc, Winter, S2'!D2*Main!$B$5)+(_xlfn.IFNA(VLOOKUP($A2,'FL Ratio'!$A$3:$B$10,2,FALSE),0)*'FL Characterization'!D$2)</f>
        <v>33.104858915052539</v>
      </c>
      <c r="E2" s="2">
        <f>('[1]Pc, Winter, S2'!E2*Main!$B$5)+(_xlfn.IFNA(VLOOKUP($A2,'FL Ratio'!$A$3:$B$10,2,FALSE),0)*'FL Characterization'!E$2)</f>
        <v>32.870623614719364</v>
      </c>
      <c r="F2" s="2">
        <f>('[1]Pc, Winter, S2'!F2*Main!$B$5)+(_xlfn.IFNA(VLOOKUP($A2,'FL Ratio'!$A$3:$B$10,2,FALSE),0)*'FL Characterization'!F$2)</f>
        <v>33.267117965979281</v>
      </c>
      <c r="G2" s="2">
        <f>('[1]Pc, Winter, S2'!G2*Main!$B$5)+(_xlfn.IFNA(VLOOKUP($A2,'FL Ratio'!$A$3:$B$10,2,FALSE),0)*'FL Characterization'!G$2)</f>
        <v>36.567745510511799</v>
      </c>
      <c r="H2" s="2">
        <f>('[1]Pc, Winter, S2'!H2*Main!$B$5)+(_xlfn.IFNA(VLOOKUP($A2,'FL Ratio'!$A$3:$B$10,2,FALSE),0)*'FL Characterization'!H$2)</f>
        <v>43.634232025519346</v>
      </c>
      <c r="I2" s="2">
        <f>('[1]Pc, Winter, S2'!I2*Main!$B$5)+(_xlfn.IFNA(VLOOKUP($A2,'FL Ratio'!$A$3:$B$10,2,FALSE),0)*'FL Characterization'!I$2)</f>
        <v>52.52231224703241</v>
      </c>
      <c r="J2" s="2">
        <f>('[1]Pc, Winter, S2'!J2*Main!$B$5)+(_xlfn.IFNA(VLOOKUP($A2,'FL Ratio'!$A$3:$B$10,2,FALSE),0)*'FL Characterization'!J$2)</f>
        <v>57.182526127589547</v>
      </c>
      <c r="K2" s="2">
        <f>('[1]Pc, Winter, S2'!K2*Main!$B$5)+(_xlfn.IFNA(VLOOKUP($A2,'FL Ratio'!$A$3:$B$10,2,FALSE),0)*'FL Characterization'!K$2)</f>
        <v>57.895582491263973</v>
      </c>
      <c r="L2" s="2">
        <f>('[1]Pc, Winter, S2'!L2*Main!$B$5)+(_xlfn.IFNA(VLOOKUP($A2,'FL Ratio'!$A$3:$B$10,2,FALSE),0)*'FL Characterization'!L$2)</f>
        <v>56.333174713504178</v>
      </c>
      <c r="M2" s="2">
        <f>('[1]Pc, Winter, S2'!M2*Main!$B$5)+(_xlfn.IFNA(VLOOKUP($A2,'FL Ratio'!$A$3:$B$10,2,FALSE),0)*'FL Characterization'!M$2)</f>
        <v>56.62352342545703</v>
      </c>
      <c r="N2" s="2">
        <f>('[1]Pc, Winter, S2'!N2*Main!$B$5)+(_xlfn.IFNA(VLOOKUP($A2,'FL Ratio'!$A$3:$B$10,2,FALSE),0)*'FL Characterization'!N$2)</f>
        <v>56.57699180040732</v>
      </c>
      <c r="O2" s="2">
        <f>('[1]Pc, Winter, S2'!O2*Main!$B$5)+(_xlfn.IFNA(VLOOKUP($A2,'FL Ratio'!$A$3:$B$10,2,FALSE),0)*'FL Characterization'!O$2)</f>
        <v>55.6531198276056</v>
      </c>
      <c r="P2" s="2">
        <f>('[1]Pc, Winter, S2'!P2*Main!$B$5)+(_xlfn.IFNA(VLOOKUP($A2,'FL Ratio'!$A$3:$B$10,2,FALSE),0)*'FL Characterization'!P$2)</f>
        <v>52.481473395531026</v>
      </c>
      <c r="Q2" s="2">
        <f>('[1]Pc, Winter, S2'!Q2*Main!$B$5)+(_xlfn.IFNA(VLOOKUP($A2,'FL Ratio'!$A$3:$B$10,2,FALSE),0)*'FL Characterization'!Q$2)</f>
        <v>50.977859793602327</v>
      </c>
      <c r="R2" s="2">
        <f>('[1]Pc, Winter, S2'!R2*Main!$B$5)+(_xlfn.IFNA(VLOOKUP($A2,'FL Ratio'!$A$3:$B$10,2,FALSE),0)*'FL Characterization'!R$2)</f>
        <v>53.090847175892591</v>
      </c>
      <c r="S2" s="2">
        <f>('[1]Pc, Winter, S2'!S2*Main!$B$5)+(_xlfn.IFNA(VLOOKUP($A2,'FL Ratio'!$A$3:$B$10,2,FALSE),0)*'FL Characterization'!S$2)</f>
        <v>58.852200959454258</v>
      </c>
      <c r="T2" s="2">
        <f>('[1]Pc, Winter, S2'!T2*Main!$B$5)+(_xlfn.IFNA(VLOOKUP($A2,'FL Ratio'!$A$3:$B$10,2,FALSE),0)*'FL Characterization'!T$2)</f>
        <v>58.638862661765344</v>
      </c>
      <c r="U2" s="2">
        <f>('[1]Pc, Winter, S2'!U2*Main!$B$5)+(_xlfn.IFNA(VLOOKUP($A2,'FL Ratio'!$A$3:$B$10,2,FALSE),0)*'FL Characterization'!U$2)</f>
        <v>57.42482735076301</v>
      </c>
      <c r="V2" s="2">
        <f>('[1]Pc, Winter, S2'!V2*Main!$B$5)+(_xlfn.IFNA(VLOOKUP($A2,'FL Ratio'!$A$3:$B$10,2,FALSE),0)*'FL Characterization'!V$2)</f>
        <v>56.437268925341058</v>
      </c>
      <c r="W2" s="2">
        <f>('[1]Pc, Winter, S2'!W2*Main!$B$5)+(_xlfn.IFNA(VLOOKUP($A2,'FL Ratio'!$A$3:$B$10,2,FALSE),0)*'FL Characterization'!W$2)</f>
        <v>52.89690098010945</v>
      </c>
      <c r="X2" s="2">
        <f>('[1]Pc, Winter, S2'!X2*Main!$B$5)+(_xlfn.IFNA(VLOOKUP($A2,'FL Ratio'!$A$3:$B$10,2,FALSE),0)*'FL Characterization'!X$2)</f>
        <v>46.274946496952317</v>
      </c>
      <c r="Y2" s="2">
        <f>('[1]Pc, Winter, S2'!Y2*Main!$B$5)+(_xlfn.IFNA(VLOOKUP($A2,'FL Ratio'!$A$3:$B$10,2,FALSE),0)*'FL Characterization'!Y$2)</f>
        <v>41.983122813205405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40.000105881151498</v>
      </c>
      <c r="C3" s="2">
        <f>('[1]Pc, Winter, S2'!C3*Main!$B$5)+(_xlfn.IFNA(VLOOKUP($A3,'FL Ratio'!$A$3:$B$10,2,FALSE),0)*'FL Characterization'!C$2)</f>
        <v>37.478743475994733</v>
      </c>
      <c r="D3" s="2">
        <f>('[1]Pc, Winter, S2'!D3*Main!$B$5)+(_xlfn.IFNA(VLOOKUP($A3,'FL Ratio'!$A$3:$B$10,2,FALSE),0)*'FL Characterization'!D$2)</f>
        <v>33.887354337276832</v>
      </c>
      <c r="E3" s="2">
        <f>('[1]Pc, Winter, S2'!E3*Main!$B$5)+(_xlfn.IFNA(VLOOKUP($A3,'FL Ratio'!$A$3:$B$10,2,FALSE),0)*'FL Characterization'!E$2)</f>
        <v>36.097549628923332</v>
      </c>
      <c r="F3" s="2">
        <f>('[1]Pc, Winter, S2'!F3*Main!$B$5)+(_xlfn.IFNA(VLOOKUP($A3,'FL Ratio'!$A$3:$B$10,2,FALSE),0)*'FL Characterization'!F$2)</f>
        <v>35.510936195886657</v>
      </c>
      <c r="G3" s="2">
        <f>('[1]Pc, Winter, S2'!G3*Main!$B$5)+(_xlfn.IFNA(VLOOKUP($A3,'FL Ratio'!$A$3:$B$10,2,FALSE),0)*'FL Characterization'!G$2)</f>
        <v>36.607334535992429</v>
      </c>
      <c r="H3" s="2">
        <f>('[1]Pc, Winter, S2'!H3*Main!$B$5)+(_xlfn.IFNA(VLOOKUP($A3,'FL Ratio'!$A$3:$B$10,2,FALSE),0)*'FL Characterization'!H$2)</f>
        <v>54.000183755582576</v>
      </c>
      <c r="I3" s="2">
        <f>('[1]Pc, Winter, S2'!I3*Main!$B$5)+(_xlfn.IFNA(VLOOKUP($A3,'FL Ratio'!$A$3:$B$10,2,FALSE),0)*'FL Characterization'!I$2)</f>
        <v>58.064744784225752</v>
      </c>
      <c r="J3" s="2">
        <f>('[1]Pc, Winter, S2'!J3*Main!$B$5)+(_xlfn.IFNA(VLOOKUP($A3,'FL Ratio'!$A$3:$B$10,2,FALSE),0)*'FL Characterization'!J$2)</f>
        <v>63.576021117067803</v>
      </c>
      <c r="K3" s="2">
        <f>('[1]Pc, Winter, S2'!K3*Main!$B$5)+(_xlfn.IFNA(VLOOKUP($A3,'FL Ratio'!$A$3:$B$10,2,FALSE),0)*'FL Characterization'!K$2)</f>
        <v>63.763983484177622</v>
      </c>
      <c r="L3" s="2">
        <f>('[1]Pc, Winter, S2'!L3*Main!$B$5)+(_xlfn.IFNA(VLOOKUP($A3,'FL Ratio'!$A$3:$B$10,2,FALSE),0)*'FL Characterization'!L$2)</f>
        <v>60.056869246543897</v>
      </c>
      <c r="M3" s="2">
        <f>('[1]Pc, Winter, S2'!M3*Main!$B$5)+(_xlfn.IFNA(VLOOKUP($A3,'FL Ratio'!$A$3:$B$10,2,FALSE),0)*'FL Characterization'!M$2)</f>
        <v>65.753561916230041</v>
      </c>
      <c r="N3" s="2">
        <f>('[1]Pc, Winter, S2'!N3*Main!$B$5)+(_xlfn.IFNA(VLOOKUP($A3,'FL Ratio'!$A$3:$B$10,2,FALSE),0)*'FL Characterization'!N$2)</f>
        <v>62.246696532322659</v>
      </c>
      <c r="O3" s="2">
        <f>('[1]Pc, Winter, S2'!O3*Main!$B$5)+(_xlfn.IFNA(VLOOKUP($A3,'FL Ratio'!$A$3:$B$10,2,FALSE),0)*'FL Characterization'!O$2)</f>
        <v>58.794172509855194</v>
      </c>
      <c r="P3" s="2">
        <f>('[1]Pc, Winter, S2'!P3*Main!$B$5)+(_xlfn.IFNA(VLOOKUP($A3,'FL Ratio'!$A$3:$B$10,2,FALSE),0)*'FL Characterization'!P$2)</f>
        <v>57.1129248930554</v>
      </c>
      <c r="Q3" s="2">
        <f>('[1]Pc, Winter, S2'!Q3*Main!$B$5)+(_xlfn.IFNA(VLOOKUP($A3,'FL Ratio'!$A$3:$B$10,2,FALSE),0)*'FL Characterization'!Q$2)</f>
        <v>53.422435200880159</v>
      </c>
      <c r="R3" s="2">
        <f>('[1]Pc, Winter, S2'!R3*Main!$B$5)+(_xlfn.IFNA(VLOOKUP($A3,'FL Ratio'!$A$3:$B$10,2,FALSE),0)*'FL Characterization'!R$2)</f>
        <v>52.966012383245022</v>
      </c>
      <c r="S3" s="2">
        <f>('[1]Pc, Winter, S2'!S3*Main!$B$5)+(_xlfn.IFNA(VLOOKUP($A3,'FL Ratio'!$A$3:$B$10,2,FALSE),0)*'FL Characterization'!S$2)</f>
        <v>56.685844225419949</v>
      </c>
      <c r="T3" s="2">
        <f>('[1]Pc, Winter, S2'!T3*Main!$B$5)+(_xlfn.IFNA(VLOOKUP($A3,'FL Ratio'!$A$3:$B$10,2,FALSE),0)*'FL Characterization'!T$2)</f>
        <v>56.159143228901499</v>
      </c>
      <c r="U3" s="2">
        <f>('[1]Pc, Winter, S2'!U3*Main!$B$5)+(_xlfn.IFNA(VLOOKUP($A3,'FL Ratio'!$A$3:$B$10,2,FALSE),0)*'FL Characterization'!U$2)</f>
        <v>56.771492924483503</v>
      </c>
      <c r="V3" s="2">
        <f>('[1]Pc, Winter, S2'!V3*Main!$B$5)+(_xlfn.IFNA(VLOOKUP($A3,'FL Ratio'!$A$3:$B$10,2,FALSE),0)*'FL Characterization'!V$2)</f>
        <v>55.525508396704133</v>
      </c>
      <c r="W3" s="2">
        <f>('[1]Pc, Winter, S2'!W3*Main!$B$5)+(_xlfn.IFNA(VLOOKUP($A3,'FL Ratio'!$A$3:$B$10,2,FALSE),0)*'FL Characterization'!W$2)</f>
        <v>49.94657044244218</v>
      </c>
      <c r="X3" s="2">
        <f>('[1]Pc, Winter, S2'!X3*Main!$B$5)+(_xlfn.IFNA(VLOOKUP($A3,'FL Ratio'!$A$3:$B$10,2,FALSE),0)*'FL Characterization'!X$2)</f>
        <v>44.07903121619966</v>
      </c>
      <c r="Y3" s="2">
        <f>('[1]Pc, Winter, S2'!Y3*Main!$B$5)+(_xlfn.IFNA(VLOOKUP($A3,'FL Ratio'!$A$3:$B$10,2,FALSE),0)*'FL Characterization'!Y$2)</f>
        <v>43.190214765196572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56.796802243440311</v>
      </c>
      <c r="C4" s="2">
        <f>('[1]Pc, Winter, S2'!C4*Main!$B$5)+(_xlfn.IFNA(VLOOKUP($A4,'FL Ratio'!$A$3:$B$10,2,FALSE),0)*'FL Characterization'!C$2)</f>
        <v>50.428478050816032</v>
      </c>
      <c r="D4" s="2">
        <f>('[1]Pc, Winter, S2'!D4*Main!$B$5)+(_xlfn.IFNA(VLOOKUP($A4,'FL Ratio'!$A$3:$B$10,2,FALSE),0)*'FL Characterization'!D$2)</f>
        <v>47.335144628502889</v>
      </c>
      <c r="E4" s="2">
        <f>('[1]Pc, Winter, S2'!E4*Main!$B$5)+(_xlfn.IFNA(VLOOKUP($A4,'FL Ratio'!$A$3:$B$10,2,FALSE),0)*'FL Characterization'!E$2)</f>
        <v>46.662579000346696</v>
      </c>
      <c r="F4" s="2">
        <f>('[1]Pc, Winter, S2'!F4*Main!$B$5)+(_xlfn.IFNA(VLOOKUP($A4,'FL Ratio'!$A$3:$B$10,2,FALSE),0)*'FL Characterization'!F$2)</f>
        <v>48.250681853519467</v>
      </c>
      <c r="G4" s="2">
        <f>('[1]Pc, Winter, S2'!G4*Main!$B$5)+(_xlfn.IFNA(VLOOKUP($A4,'FL Ratio'!$A$3:$B$10,2,FALSE),0)*'FL Characterization'!G$2)</f>
        <v>51.604482322585163</v>
      </c>
      <c r="H4" s="2">
        <f>('[1]Pc, Winter, S2'!H4*Main!$B$5)+(_xlfn.IFNA(VLOOKUP($A4,'FL Ratio'!$A$3:$B$10,2,FALSE),0)*'FL Characterization'!H$2)</f>
        <v>62.299201509077626</v>
      </c>
      <c r="I4" s="2">
        <f>('[1]Pc, Winter, S2'!I4*Main!$B$5)+(_xlfn.IFNA(VLOOKUP($A4,'FL Ratio'!$A$3:$B$10,2,FALSE),0)*'FL Characterization'!I$2)</f>
        <v>67.558956406507818</v>
      </c>
      <c r="J4" s="2">
        <f>('[1]Pc, Winter, S2'!J4*Main!$B$5)+(_xlfn.IFNA(VLOOKUP($A4,'FL Ratio'!$A$3:$B$10,2,FALSE),0)*'FL Characterization'!J$2)</f>
        <v>71.436282640172607</v>
      </c>
      <c r="K4" s="2">
        <f>('[1]Pc, Winter, S2'!K4*Main!$B$5)+(_xlfn.IFNA(VLOOKUP($A4,'FL Ratio'!$A$3:$B$10,2,FALSE),0)*'FL Characterization'!K$2)</f>
        <v>74.009585921804359</v>
      </c>
      <c r="L4" s="2">
        <f>('[1]Pc, Winter, S2'!L4*Main!$B$5)+(_xlfn.IFNA(VLOOKUP($A4,'FL Ratio'!$A$3:$B$10,2,FALSE),0)*'FL Characterization'!L$2)</f>
        <v>74.479900935884302</v>
      </c>
      <c r="M4" s="2">
        <f>('[1]Pc, Winter, S2'!M4*Main!$B$5)+(_xlfn.IFNA(VLOOKUP($A4,'FL Ratio'!$A$3:$B$10,2,FALSE),0)*'FL Characterization'!M$2)</f>
        <v>73.778421696430513</v>
      </c>
      <c r="N4" s="2">
        <f>('[1]Pc, Winter, S2'!N4*Main!$B$5)+(_xlfn.IFNA(VLOOKUP($A4,'FL Ratio'!$A$3:$B$10,2,FALSE),0)*'FL Characterization'!N$2)</f>
        <v>73.576719592494953</v>
      </c>
      <c r="O4" s="2">
        <f>('[1]Pc, Winter, S2'!O4*Main!$B$5)+(_xlfn.IFNA(VLOOKUP($A4,'FL Ratio'!$A$3:$B$10,2,FALSE),0)*'FL Characterization'!O$2)</f>
        <v>72.557507013425649</v>
      </c>
      <c r="P4" s="2">
        <f>('[1]Pc, Winter, S2'!P4*Main!$B$5)+(_xlfn.IFNA(VLOOKUP($A4,'FL Ratio'!$A$3:$B$10,2,FALSE),0)*'FL Characterization'!P$2)</f>
        <v>70.352863130706325</v>
      </c>
      <c r="Q4" s="2">
        <f>('[1]Pc, Winter, S2'!Q4*Main!$B$5)+(_xlfn.IFNA(VLOOKUP($A4,'FL Ratio'!$A$3:$B$10,2,FALSE),0)*'FL Characterization'!Q$2)</f>
        <v>69.08073824480104</v>
      </c>
      <c r="R4" s="2">
        <f>('[1]Pc, Winter, S2'!R4*Main!$B$5)+(_xlfn.IFNA(VLOOKUP($A4,'FL Ratio'!$A$3:$B$10,2,FALSE),0)*'FL Characterization'!R$2)</f>
        <v>71.017245963669723</v>
      </c>
      <c r="S4" s="2">
        <f>('[1]Pc, Winter, S2'!S4*Main!$B$5)+(_xlfn.IFNA(VLOOKUP($A4,'FL Ratio'!$A$3:$B$10,2,FALSE),0)*'FL Characterization'!S$2)</f>
        <v>80.967856305851342</v>
      </c>
      <c r="T4" s="2">
        <f>('[1]Pc, Winter, S2'!T4*Main!$B$5)+(_xlfn.IFNA(VLOOKUP($A4,'FL Ratio'!$A$3:$B$10,2,FALSE),0)*'FL Characterization'!T$2)</f>
        <v>82.004665980707173</v>
      </c>
      <c r="U4" s="2">
        <f>('[1]Pc, Winter, S2'!U4*Main!$B$5)+(_xlfn.IFNA(VLOOKUP($A4,'FL Ratio'!$A$3:$B$10,2,FALSE),0)*'FL Characterization'!U$2)</f>
        <v>82.265145505380644</v>
      </c>
      <c r="V4" s="2">
        <f>('[1]Pc, Winter, S2'!V4*Main!$B$5)+(_xlfn.IFNA(VLOOKUP($A4,'FL Ratio'!$A$3:$B$10,2,FALSE),0)*'FL Characterization'!V$2)</f>
        <v>80.107228790727362</v>
      </c>
      <c r="W4" s="2">
        <f>('[1]Pc, Winter, S2'!W4*Main!$B$5)+(_xlfn.IFNA(VLOOKUP($A4,'FL Ratio'!$A$3:$B$10,2,FALSE),0)*'FL Characterization'!W$2)</f>
        <v>76.176834280828672</v>
      </c>
      <c r="X4" s="2">
        <f>('[1]Pc, Winter, S2'!X4*Main!$B$5)+(_xlfn.IFNA(VLOOKUP($A4,'FL Ratio'!$A$3:$B$10,2,FALSE),0)*'FL Characterization'!X$2)</f>
        <v>71.26516854391663</v>
      </c>
      <c r="Y4" s="2">
        <f>('[1]Pc, Winter, S2'!Y4*Main!$B$5)+(_xlfn.IFNA(VLOOKUP($A4,'FL Ratio'!$A$3:$B$10,2,FALSE),0)*'FL Characterization'!Y$2)</f>
        <v>63.716385851041174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37.457084747835189</v>
      </c>
      <c r="C2" s="2">
        <f>('[1]Pc, Winter, S2'!C2*Main!$B$5)+(_xlfn.IFNA(VLOOKUP($A2,'FL Ratio'!$A$3:$B$10,2,FALSE),0)*'FL Characterization'!C$2)</f>
        <v>34.938031895646617</v>
      </c>
      <c r="D2" s="2">
        <f>('[1]Pc, Winter, S2'!D2*Main!$B$5)+(_xlfn.IFNA(VLOOKUP($A2,'FL Ratio'!$A$3:$B$10,2,FALSE),0)*'FL Characterization'!D$2)</f>
        <v>33.104858915052539</v>
      </c>
      <c r="E2" s="2">
        <f>('[1]Pc, Winter, S2'!E2*Main!$B$5)+(_xlfn.IFNA(VLOOKUP($A2,'FL Ratio'!$A$3:$B$10,2,FALSE),0)*'FL Characterization'!E$2)</f>
        <v>32.870623614719364</v>
      </c>
      <c r="F2" s="2">
        <f>('[1]Pc, Winter, S2'!F2*Main!$B$5)+(_xlfn.IFNA(VLOOKUP($A2,'FL Ratio'!$A$3:$B$10,2,FALSE),0)*'FL Characterization'!F$2)</f>
        <v>33.267117965979281</v>
      </c>
      <c r="G2" s="2">
        <f>('[1]Pc, Winter, S2'!G2*Main!$B$5)+(_xlfn.IFNA(VLOOKUP($A2,'FL Ratio'!$A$3:$B$10,2,FALSE),0)*'FL Characterization'!G$2)</f>
        <v>36.567745510511799</v>
      </c>
      <c r="H2" s="2">
        <f>('[1]Pc, Winter, S2'!H2*Main!$B$5)+(_xlfn.IFNA(VLOOKUP($A2,'FL Ratio'!$A$3:$B$10,2,FALSE),0)*'FL Characterization'!H$2)</f>
        <v>43.634232025519346</v>
      </c>
      <c r="I2" s="2">
        <f>('[1]Pc, Winter, S2'!I2*Main!$B$5)+(_xlfn.IFNA(VLOOKUP($A2,'FL Ratio'!$A$3:$B$10,2,FALSE),0)*'FL Characterization'!I$2)</f>
        <v>52.52231224703241</v>
      </c>
      <c r="J2" s="2">
        <f>('[1]Pc, Winter, S2'!J2*Main!$B$5)+(_xlfn.IFNA(VLOOKUP($A2,'FL Ratio'!$A$3:$B$10,2,FALSE),0)*'FL Characterization'!J$2)</f>
        <v>57.182526127589547</v>
      </c>
      <c r="K2" s="2">
        <f>('[1]Pc, Winter, S2'!K2*Main!$B$5)+(_xlfn.IFNA(VLOOKUP($A2,'FL Ratio'!$A$3:$B$10,2,FALSE),0)*'FL Characterization'!K$2)</f>
        <v>57.895582491263973</v>
      </c>
      <c r="L2" s="2">
        <f>('[1]Pc, Winter, S2'!L2*Main!$B$5)+(_xlfn.IFNA(VLOOKUP($A2,'FL Ratio'!$A$3:$B$10,2,FALSE),0)*'FL Characterization'!L$2)</f>
        <v>56.333174713504178</v>
      </c>
      <c r="M2" s="2">
        <f>('[1]Pc, Winter, S2'!M2*Main!$B$5)+(_xlfn.IFNA(VLOOKUP($A2,'FL Ratio'!$A$3:$B$10,2,FALSE),0)*'FL Characterization'!M$2)</f>
        <v>56.62352342545703</v>
      </c>
      <c r="N2" s="2">
        <f>('[1]Pc, Winter, S2'!N2*Main!$B$5)+(_xlfn.IFNA(VLOOKUP($A2,'FL Ratio'!$A$3:$B$10,2,FALSE),0)*'FL Characterization'!N$2)</f>
        <v>56.57699180040732</v>
      </c>
      <c r="O2" s="2">
        <f>('[1]Pc, Winter, S2'!O2*Main!$B$5)+(_xlfn.IFNA(VLOOKUP($A2,'FL Ratio'!$A$3:$B$10,2,FALSE),0)*'FL Characterization'!O$2)</f>
        <v>55.6531198276056</v>
      </c>
      <c r="P2" s="2">
        <f>('[1]Pc, Winter, S2'!P2*Main!$B$5)+(_xlfn.IFNA(VLOOKUP($A2,'FL Ratio'!$A$3:$B$10,2,FALSE),0)*'FL Characterization'!P$2)</f>
        <v>52.481473395531026</v>
      </c>
      <c r="Q2" s="2">
        <f>('[1]Pc, Winter, S2'!Q2*Main!$B$5)+(_xlfn.IFNA(VLOOKUP($A2,'FL Ratio'!$A$3:$B$10,2,FALSE),0)*'FL Characterization'!Q$2)</f>
        <v>50.977859793602327</v>
      </c>
      <c r="R2" s="2">
        <f>('[1]Pc, Winter, S2'!R2*Main!$B$5)+(_xlfn.IFNA(VLOOKUP($A2,'FL Ratio'!$A$3:$B$10,2,FALSE),0)*'FL Characterization'!R$2)</f>
        <v>53.090847175892591</v>
      </c>
      <c r="S2" s="2">
        <f>('[1]Pc, Winter, S2'!S2*Main!$B$5)+(_xlfn.IFNA(VLOOKUP($A2,'FL Ratio'!$A$3:$B$10,2,FALSE),0)*'FL Characterization'!S$2)</f>
        <v>58.852200959454258</v>
      </c>
      <c r="T2" s="2">
        <f>('[1]Pc, Winter, S2'!T2*Main!$B$5)+(_xlfn.IFNA(VLOOKUP($A2,'FL Ratio'!$A$3:$B$10,2,FALSE),0)*'FL Characterization'!T$2)</f>
        <v>58.638862661765344</v>
      </c>
      <c r="U2" s="2">
        <f>('[1]Pc, Winter, S2'!U2*Main!$B$5)+(_xlfn.IFNA(VLOOKUP($A2,'FL Ratio'!$A$3:$B$10,2,FALSE),0)*'FL Characterization'!U$2)</f>
        <v>57.42482735076301</v>
      </c>
      <c r="V2" s="2">
        <f>('[1]Pc, Winter, S2'!V2*Main!$B$5)+(_xlfn.IFNA(VLOOKUP($A2,'FL Ratio'!$A$3:$B$10,2,FALSE),0)*'FL Characterization'!V$2)</f>
        <v>56.437268925341058</v>
      </c>
      <c r="W2" s="2">
        <f>('[1]Pc, Winter, S2'!W2*Main!$B$5)+(_xlfn.IFNA(VLOOKUP($A2,'FL Ratio'!$A$3:$B$10,2,FALSE),0)*'FL Characterization'!W$2)</f>
        <v>52.89690098010945</v>
      </c>
      <c r="X2" s="2">
        <f>('[1]Pc, Winter, S2'!X2*Main!$B$5)+(_xlfn.IFNA(VLOOKUP($A2,'FL Ratio'!$A$3:$B$10,2,FALSE),0)*'FL Characterization'!X$2)</f>
        <v>46.274946496952317</v>
      </c>
      <c r="Y2" s="2">
        <f>('[1]Pc, Winter, S2'!Y2*Main!$B$5)+(_xlfn.IFNA(VLOOKUP($A2,'FL Ratio'!$A$3:$B$10,2,FALSE),0)*'FL Characterization'!Y$2)</f>
        <v>41.983122813205405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40.000105881151498</v>
      </c>
      <c r="C3" s="2">
        <f>('[1]Pc, Winter, S2'!C3*Main!$B$5)+(_xlfn.IFNA(VLOOKUP($A3,'FL Ratio'!$A$3:$B$10,2,FALSE),0)*'FL Characterization'!C$2)</f>
        <v>37.478743475994733</v>
      </c>
      <c r="D3" s="2">
        <f>('[1]Pc, Winter, S2'!D3*Main!$B$5)+(_xlfn.IFNA(VLOOKUP($A3,'FL Ratio'!$A$3:$B$10,2,FALSE),0)*'FL Characterization'!D$2)</f>
        <v>33.887354337276832</v>
      </c>
      <c r="E3" s="2">
        <f>('[1]Pc, Winter, S2'!E3*Main!$B$5)+(_xlfn.IFNA(VLOOKUP($A3,'FL Ratio'!$A$3:$B$10,2,FALSE),0)*'FL Characterization'!E$2)</f>
        <v>36.097549628923332</v>
      </c>
      <c r="F3" s="2">
        <f>('[1]Pc, Winter, S2'!F3*Main!$B$5)+(_xlfn.IFNA(VLOOKUP($A3,'FL Ratio'!$A$3:$B$10,2,FALSE),0)*'FL Characterization'!F$2)</f>
        <v>35.510936195886657</v>
      </c>
      <c r="G3" s="2">
        <f>('[1]Pc, Winter, S2'!G3*Main!$B$5)+(_xlfn.IFNA(VLOOKUP($A3,'FL Ratio'!$A$3:$B$10,2,FALSE),0)*'FL Characterization'!G$2)</f>
        <v>36.607334535992429</v>
      </c>
      <c r="H3" s="2">
        <f>('[1]Pc, Winter, S2'!H3*Main!$B$5)+(_xlfn.IFNA(VLOOKUP($A3,'FL Ratio'!$A$3:$B$10,2,FALSE),0)*'FL Characterization'!H$2)</f>
        <v>54.000183755582576</v>
      </c>
      <c r="I3" s="2">
        <f>('[1]Pc, Winter, S2'!I3*Main!$B$5)+(_xlfn.IFNA(VLOOKUP($A3,'FL Ratio'!$A$3:$B$10,2,FALSE),0)*'FL Characterization'!I$2)</f>
        <v>58.064744784225752</v>
      </c>
      <c r="J3" s="2">
        <f>('[1]Pc, Winter, S2'!J3*Main!$B$5)+(_xlfn.IFNA(VLOOKUP($A3,'FL Ratio'!$A$3:$B$10,2,FALSE),0)*'FL Characterization'!J$2)</f>
        <v>63.576021117067803</v>
      </c>
      <c r="K3" s="2">
        <f>('[1]Pc, Winter, S2'!K3*Main!$B$5)+(_xlfn.IFNA(VLOOKUP($A3,'FL Ratio'!$A$3:$B$10,2,FALSE),0)*'FL Characterization'!K$2)</f>
        <v>63.763983484177622</v>
      </c>
      <c r="L3" s="2">
        <f>('[1]Pc, Winter, S2'!L3*Main!$B$5)+(_xlfn.IFNA(VLOOKUP($A3,'FL Ratio'!$A$3:$B$10,2,FALSE),0)*'FL Characterization'!L$2)</f>
        <v>60.056869246543897</v>
      </c>
      <c r="M3" s="2">
        <f>('[1]Pc, Winter, S2'!M3*Main!$B$5)+(_xlfn.IFNA(VLOOKUP($A3,'FL Ratio'!$A$3:$B$10,2,FALSE),0)*'FL Characterization'!M$2)</f>
        <v>65.753561916230041</v>
      </c>
      <c r="N3" s="2">
        <f>('[1]Pc, Winter, S2'!N3*Main!$B$5)+(_xlfn.IFNA(VLOOKUP($A3,'FL Ratio'!$A$3:$B$10,2,FALSE),0)*'FL Characterization'!N$2)</f>
        <v>62.246696532322659</v>
      </c>
      <c r="O3" s="2">
        <f>('[1]Pc, Winter, S2'!O3*Main!$B$5)+(_xlfn.IFNA(VLOOKUP($A3,'FL Ratio'!$A$3:$B$10,2,FALSE),0)*'FL Characterization'!O$2)</f>
        <v>58.794172509855194</v>
      </c>
      <c r="P3" s="2">
        <f>('[1]Pc, Winter, S2'!P3*Main!$B$5)+(_xlfn.IFNA(VLOOKUP($A3,'FL Ratio'!$A$3:$B$10,2,FALSE),0)*'FL Characterization'!P$2)</f>
        <v>57.1129248930554</v>
      </c>
      <c r="Q3" s="2">
        <f>('[1]Pc, Winter, S2'!Q3*Main!$B$5)+(_xlfn.IFNA(VLOOKUP($A3,'FL Ratio'!$A$3:$B$10,2,FALSE),0)*'FL Characterization'!Q$2)</f>
        <v>53.422435200880159</v>
      </c>
      <c r="R3" s="2">
        <f>('[1]Pc, Winter, S2'!R3*Main!$B$5)+(_xlfn.IFNA(VLOOKUP($A3,'FL Ratio'!$A$3:$B$10,2,FALSE),0)*'FL Characterization'!R$2)</f>
        <v>52.966012383245022</v>
      </c>
      <c r="S3" s="2">
        <f>('[1]Pc, Winter, S2'!S3*Main!$B$5)+(_xlfn.IFNA(VLOOKUP($A3,'FL Ratio'!$A$3:$B$10,2,FALSE),0)*'FL Characterization'!S$2)</f>
        <v>56.685844225419949</v>
      </c>
      <c r="T3" s="2">
        <f>('[1]Pc, Winter, S2'!T3*Main!$B$5)+(_xlfn.IFNA(VLOOKUP($A3,'FL Ratio'!$A$3:$B$10,2,FALSE),0)*'FL Characterization'!T$2)</f>
        <v>56.159143228901499</v>
      </c>
      <c r="U3" s="2">
        <f>('[1]Pc, Winter, S2'!U3*Main!$B$5)+(_xlfn.IFNA(VLOOKUP($A3,'FL Ratio'!$A$3:$B$10,2,FALSE),0)*'FL Characterization'!U$2)</f>
        <v>56.771492924483503</v>
      </c>
      <c r="V3" s="2">
        <f>('[1]Pc, Winter, S2'!V3*Main!$B$5)+(_xlfn.IFNA(VLOOKUP($A3,'FL Ratio'!$A$3:$B$10,2,FALSE),0)*'FL Characterization'!V$2)</f>
        <v>55.525508396704133</v>
      </c>
      <c r="W3" s="2">
        <f>('[1]Pc, Winter, S2'!W3*Main!$B$5)+(_xlfn.IFNA(VLOOKUP($A3,'FL Ratio'!$A$3:$B$10,2,FALSE),0)*'FL Characterization'!W$2)</f>
        <v>49.94657044244218</v>
      </c>
      <c r="X3" s="2">
        <f>('[1]Pc, Winter, S2'!X3*Main!$B$5)+(_xlfn.IFNA(VLOOKUP($A3,'FL Ratio'!$A$3:$B$10,2,FALSE),0)*'FL Characterization'!X$2)</f>
        <v>44.07903121619966</v>
      </c>
      <c r="Y3" s="2">
        <f>('[1]Pc, Winter, S2'!Y3*Main!$B$5)+(_xlfn.IFNA(VLOOKUP($A3,'FL Ratio'!$A$3:$B$10,2,FALSE),0)*'FL Characterization'!Y$2)</f>
        <v>43.190214765196572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56.796802243440311</v>
      </c>
      <c r="C4" s="2">
        <f>('[1]Pc, Winter, S2'!C4*Main!$B$5)+(_xlfn.IFNA(VLOOKUP($A4,'FL Ratio'!$A$3:$B$10,2,FALSE),0)*'FL Characterization'!C$2)</f>
        <v>50.428478050816032</v>
      </c>
      <c r="D4" s="2">
        <f>('[1]Pc, Winter, S2'!D4*Main!$B$5)+(_xlfn.IFNA(VLOOKUP($A4,'FL Ratio'!$A$3:$B$10,2,FALSE),0)*'FL Characterization'!D$2)</f>
        <v>47.335144628502889</v>
      </c>
      <c r="E4" s="2">
        <f>('[1]Pc, Winter, S2'!E4*Main!$B$5)+(_xlfn.IFNA(VLOOKUP($A4,'FL Ratio'!$A$3:$B$10,2,FALSE),0)*'FL Characterization'!E$2)</f>
        <v>46.662579000346696</v>
      </c>
      <c r="F4" s="2">
        <f>('[1]Pc, Winter, S2'!F4*Main!$B$5)+(_xlfn.IFNA(VLOOKUP($A4,'FL Ratio'!$A$3:$B$10,2,FALSE),0)*'FL Characterization'!F$2)</f>
        <v>48.250681853519467</v>
      </c>
      <c r="G4" s="2">
        <f>('[1]Pc, Winter, S2'!G4*Main!$B$5)+(_xlfn.IFNA(VLOOKUP($A4,'FL Ratio'!$A$3:$B$10,2,FALSE),0)*'FL Characterization'!G$2)</f>
        <v>51.604482322585163</v>
      </c>
      <c r="H4" s="2">
        <f>('[1]Pc, Winter, S2'!H4*Main!$B$5)+(_xlfn.IFNA(VLOOKUP($A4,'FL Ratio'!$A$3:$B$10,2,FALSE),0)*'FL Characterization'!H$2)</f>
        <v>62.299201509077626</v>
      </c>
      <c r="I4" s="2">
        <f>('[1]Pc, Winter, S2'!I4*Main!$B$5)+(_xlfn.IFNA(VLOOKUP($A4,'FL Ratio'!$A$3:$B$10,2,FALSE),0)*'FL Characterization'!I$2)</f>
        <v>67.558956406507818</v>
      </c>
      <c r="J4" s="2">
        <f>('[1]Pc, Winter, S2'!J4*Main!$B$5)+(_xlfn.IFNA(VLOOKUP($A4,'FL Ratio'!$A$3:$B$10,2,FALSE),0)*'FL Characterization'!J$2)</f>
        <v>71.436282640172607</v>
      </c>
      <c r="K4" s="2">
        <f>('[1]Pc, Winter, S2'!K4*Main!$B$5)+(_xlfn.IFNA(VLOOKUP($A4,'FL Ratio'!$A$3:$B$10,2,FALSE),0)*'FL Characterization'!K$2)</f>
        <v>74.009585921804359</v>
      </c>
      <c r="L4" s="2">
        <f>('[1]Pc, Winter, S2'!L4*Main!$B$5)+(_xlfn.IFNA(VLOOKUP($A4,'FL Ratio'!$A$3:$B$10,2,FALSE),0)*'FL Characterization'!L$2)</f>
        <v>74.479900935884302</v>
      </c>
      <c r="M4" s="2">
        <f>('[1]Pc, Winter, S2'!M4*Main!$B$5)+(_xlfn.IFNA(VLOOKUP($A4,'FL Ratio'!$A$3:$B$10,2,FALSE),0)*'FL Characterization'!M$2)</f>
        <v>73.778421696430513</v>
      </c>
      <c r="N4" s="2">
        <f>('[1]Pc, Winter, S2'!N4*Main!$B$5)+(_xlfn.IFNA(VLOOKUP($A4,'FL Ratio'!$A$3:$B$10,2,FALSE),0)*'FL Characterization'!N$2)</f>
        <v>73.576719592494953</v>
      </c>
      <c r="O4" s="2">
        <f>('[1]Pc, Winter, S2'!O4*Main!$B$5)+(_xlfn.IFNA(VLOOKUP($A4,'FL Ratio'!$A$3:$B$10,2,FALSE),0)*'FL Characterization'!O$2)</f>
        <v>72.557507013425649</v>
      </c>
      <c r="P4" s="2">
        <f>('[1]Pc, Winter, S2'!P4*Main!$B$5)+(_xlfn.IFNA(VLOOKUP($A4,'FL Ratio'!$A$3:$B$10,2,FALSE),0)*'FL Characterization'!P$2)</f>
        <v>70.352863130706325</v>
      </c>
      <c r="Q4" s="2">
        <f>('[1]Pc, Winter, S2'!Q4*Main!$B$5)+(_xlfn.IFNA(VLOOKUP($A4,'FL Ratio'!$A$3:$B$10,2,FALSE),0)*'FL Characterization'!Q$2)</f>
        <v>69.08073824480104</v>
      </c>
      <c r="R4" s="2">
        <f>('[1]Pc, Winter, S2'!R4*Main!$B$5)+(_xlfn.IFNA(VLOOKUP($A4,'FL Ratio'!$A$3:$B$10,2,FALSE),0)*'FL Characterization'!R$2)</f>
        <v>71.017245963669723</v>
      </c>
      <c r="S4" s="2">
        <f>('[1]Pc, Winter, S2'!S4*Main!$B$5)+(_xlfn.IFNA(VLOOKUP($A4,'FL Ratio'!$A$3:$B$10,2,FALSE),0)*'FL Characterization'!S$2)</f>
        <v>80.967856305851342</v>
      </c>
      <c r="T4" s="2">
        <f>('[1]Pc, Winter, S2'!T4*Main!$B$5)+(_xlfn.IFNA(VLOOKUP($A4,'FL Ratio'!$A$3:$B$10,2,FALSE),0)*'FL Characterization'!T$2)</f>
        <v>82.004665980707173</v>
      </c>
      <c r="U4" s="2">
        <f>('[1]Pc, Winter, S2'!U4*Main!$B$5)+(_xlfn.IFNA(VLOOKUP($A4,'FL Ratio'!$A$3:$B$10,2,FALSE),0)*'FL Characterization'!U$2)</f>
        <v>82.265145505380644</v>
      </c>
      <c r="V4" s="2">
        <f>('[1]Pc, Winter, S2'!V4*Main!$B$5)+(_xlfn.IFNA(VLOOKUP($A4,'FL Ratio'!$A$3:$B$10,2,FALSE),0)*'FL Characterization'!V$2)</f>
        <v>80.107228790727362</v>
      </c>
      <c r="W4" s="2">
        <f>('[1]Pc, Winter, S2'!W4*Main!$B$5)+(_xlfn.IFNA(VLOOKUP($A4,'FL Ratio'!$A$3:$B$10,2,FALSE),0)*'FL Characterization'!W$2)</f>
        <v>76.176834280828672</v>
      </c>
      <c r="X4" s="2">
        <f>('[1]Pc, Winter, S2'!X4*Main!$B$5)+(_xlfn.IFNA(VLOOKUP($A4,'FL Ratio'!$A$3:$B$10,2,FALSE),0)*'FL Characterization'!X$2)</f>
        <v>71.26516854391663</v>
      </c>
      <c r="Y4" s="2">
        <f>('[1]Pc, Winter, S2'!Y4*Main!$B$5)+(_xlfn.IFNA(VLOOKUP($A4,'FL Ratio'!$A$3:$B$10,2,FALSE),0)*'FL Characterization'!Y$2)</f>
        <v>63.716385851041174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35.638779662988817</v>
      </c>
      <c r="C2" s="2">
        <f>('[1]Pc, Winter, S3'!C2*Main!$B$5)+(_xlfn.IFNA(VLOOKUP($A2,'FL Ratio'!$A$3:$B$10,2,FALSE),0)*'FL Characterization'!C$2)</f>
        <v>33.242010929838521</v>
      </c>
      <c r="D2" s="2">
        <f>('[1]Pc, Winter, S3'!D2*Main!$B$5)+(_xlfn.IFNA(VLOOKUP($A2,'FL Ratio'!$A$3:$B$10,2,FALSE),0)*'FL Characterization'!D$2)</f>
        <v>31.497826928884937</v>
      </c>
      <c r="E2" s="2">
        <f>('[1]Pc, Winter, S3'!E2*Main!$B$5)+(_xlfn.IFNA(VLOOKUP($A2,'FL Ratio'!$A$3:$B$10,2,FALSE),0)*'FL Characterization'!E$2)</f>
        <v>31.274962274199009</v>
      </c>
      <c r="F2" s="2">
        <f>('[1]Pc, Winter, S3'!F2*Main!$B$5)+(_xlfn.IFNA(VLOOKUP($A2,'FL Ratio'!$A$3:$B$10,2,FALSE),0)*'FL Characterization'!F$2)</f>
        <v>31.652209326854074</v>
      </c>
      <c r="G2" s="2">
        <f>('[1]Pc, Winter, S3'!G2*Main!$B$5)+(_xlfn.IFNA(VLOOKUP($A2,'FL Ratio'!$A$3:$B$10,2,FALSE),0)*'FL Characterization'!G$2)</f>
        <v>34.792612233302485</v>
      </c>
      <c r="H2" s="2">
        <f>('[1]Pc, Winter, S3'!H2*Main!$B$5)+(_xlfn.IFNA(VLOOKUP($A2,'FL Ratio'!$A$3:$B$10,2,FALSE),0)*'FL Characterization'!H$2)</f>
        <v>41.516065422338798</v>
      </c>
      <c r="I2" s="2">
        <f>('[1]Pc, Winter, S3'!I2*Main!$B$5)+(_xlfn.IFNA(VLOOKUP($A2,'FL Ratio'!$A$3:$B$10,2,FALSE),0)*'FL Characterization'!I$2)</f>
        <v>49.972685438924032</v>
      </c>
      <c r="J2" s="2">
        <f>('[1]Pc, Winter, S3'!J2*Main!$B$5)+(_xlfn.IFNA(VLOOKUP($A2,'FL Ratio'!$A$3:$B$10,2,FALSE),0)*'FL Characterization'!J$2)</f>
        <v>54.406675344696851</v>
      </c>
      <c r="K2" s="2">
        <f>('[1]Pc, Winter, S3'!K2*Main!$B$5)+(_xlfn.IFNA(VLOOKUP($A2,'FL Ratio'!$A$3:$B$10,2,FALSE),0)*'FL Characterization'!K$2)</f>
        <v>55.085117321785127</v>
      </c>
      <c r="L2" s="2">
        <f>('[1]Pc, Winter, S3'!L2*Main!$B$5)+(_xlfn.IFNA(VLOOKUP($A2,'FL Ratio'!$A$3:$B$10,2,FALSE),0)*'FL Characterization'!L$2)</f>
        <v>53.598554581780661</v>
      </c>
      <c r="M2" s="2">
        <f>('[1]Pc, Winter, S3'!M2*Main!$B$5)+(_xlfn.IFNA(VLOOKUP($A2,'FL Ratio'!$A$3:$B$10,2,FALSE),0)*'FL Characterization'!M$2)</f>
        <v>53.874808696065905</v>
      </c>
      <c r="N2" s="2">
        <f>('[1]Pc, Winter, S3'!N2*Main!$B$5)+(_xlfn.IFNA(VLOOKUP($A2,'FL Ratio'!$A$3:$B$10,2,FALSE),0)*'FL Characterization'!N$2)</f>
        <v>53.830535887766182</v>
      </c>
      <c r="O2" s="2">
        <f>('[1]Pc, Winter, S3'!O2*Main!$B$5)+(_xlfn.IFNA(VLOOKUP($A2,'FL Ratio'!$A$3:$B$10,2,FALSE),0)*'FL Characterization'!O$2)</f>
        <v>52.951512068983959</v>
      </c>
      <c r="P2" s="2">
        <f>('[1]Pc, Winter, S3'!P2*Main!$B$5)+(_xlfn.IFNA(VLOOKUP($A2,'FL Ratio'!$A$3:$B$10,2,FALSE),0)*'FL Characterization'!P$2)</f>
        <v>49.933829055942141</v>
      </c>
      <c r="Q2" s="2">
        <f>('[1]Pc, Winter, S3'!Q2*Main!$B$5)+(_xlfn.IFNA(VLOOKUP($A2,'FL Ratio'!$A$3:$B$10,2,FALSE),0)*'FL Characterization'!Q$2)</f>
        <v>48.503206405563382</v>
      </c>
      <c r="R2" s="2">
        <f>('[1]Pc, Winter, S3'!R2*Main!$B$5)+(_xlfn.IFNA(VLOOKUP($A2,'FL Ratio'!$A$3:$B$10,2,FALSE),0)*'FL Characterization'!R$2)</f>
        <v>50.513621584829842</v>
      </c>
      <c r="S2" s="2">
        <f>('[1]Pc, Winter, S3'!S2*Main!$B$5)+(_xlfn.IFNA(VLOOKUP($A2,'FL Ratio'!$A$3:$B$10,2,FALSE),0)*'FL Characterization'!S$2)</f>
        <v>55.995298000257449</v>
      </c>
      <c r="T2" s="2">
        <f>('[1]Pc, Winter, S3'!T2*Main!$B$5)+(_xlfn.IFNA(VLOOKUP($A2,'FL Ratio'!$A$3:$B$10,2,FALSE),0)*'FL Characterization'!T$2)</f>
        <v>55.792315930611679</v>
      </c>
      <c r="U2" s="2">
        <f>('[1]Pc, Winter, S3'!U2*Main!$B$5)+(_xlfn.IFNA(VLOOKUP($A2,'FL Ratio'!$A$3:$B$10,2,FALSE),0)*'FL Characterization'!U$2)</f>
        <v>54.637214372570625</v>
      </c>
      <c r="V2" s="2">
        <f>('[1]Pc, Winter, S3'!V2*Main!$B$5)+(_xlfn.IFNA(VLOOKUP($A2,'FL Ratio'!$A$3:$B$10,2,FALSE),0)*'FL Characterization'!V$2)</f>
        <v>53.697595676538086</v>
      </c>
      <c r="W2" s="2">
        <f>('[1]Pc, Winter, S3'!W2*Main!$B$5)+(_xlfn.IFNA(VLOOKUP($A2,'FL Ratio'!$A$3:$B$10,2,FALSE),0)*'FL Characterization'!W$2)</f>
        <v>50.329090252919677</v>
      </c>
      <c r="X2" s="2">
        <f>('[1]Pc, Winter, S3'!X2*Main!$B$5)+(_xlfn.IFNA(VLOOKUP($A2,'FL Ratio'!$A$3:$B$10,2,FALSE),0)*'FL Characterization'!X$2)</f>
        <v>44.028589870886663</v>
      </c>
      <c r="Y2" s="2">
        <f>('[1]Pc, Winter, S3'!Y2*Main!$B$5)+(_xlfn.IFNA(VLOOKUP($A2,'FL Ratio'!$A$3:$B$10,2,FALSE),0)*'FL Characterization'!Y$2)</f>
        <v>39.945107142661449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38.202243463919679</v>
      </c>
      <c r="C3" s="2">
        <f>('[1]Pc, Winter, S3'!C3*Main!$B$5)+(_xlfn.IFNA(VLOOKUP($A3,'FL Ratio'!$A$3:$B$10,2,FALSE),0)*'FL Characterization'!C$2)</f>
        <v>35.808077147293687</v>
      </c>
      <c r="D3" s="2">
        <f>('[1]Pc, Winter, S3'!D3*Main!$B$5)+(_xlfn.IFNA(VLOOKUP($A3,'FL Ratio'!$A$3:$B$10,2,FALSE),0)*'FL Characterization'!D$2)</f>
        <v>32.375480438862766</v>
      </c>
      <c r="E3" s="2">
        <f>('[1]Pc, Winter, S3'!E3*Main!$B$5)+(_xlfn.IFNA(VLOOKUP($A3,'FL Ratio'!$A$3:$B$10,2,FALSE),0)*'FL Characterization'!E$2)</f>
        <v>34.471442467237736</v>
      </c>
      <c r="F3" s="2">
        <f>('[1]Pc, Winter, S3'!F3*Main!$B$5)+(_xlfn.IFNA(VLOOKUP($A3,'FL Ratio'!$A$3:$B$10,2,FALSE),0)*'FL Characterization'!F$2)</f>
        <v>33.890500248427522</v>
      </c>
      <c r="G3" s="2">
        <f>('[1]Pc, Winter, S3'!G3*Main!$B$5)+(_xlfn.IFNA(VLOOKUP($A3,'FL Ratio'!$A$3:$B$10,2,FALSE),0)*'FL Characterization'!G$2)</f>
        <v>34.918034864135649</v>
      </c>
      <c r="H3" s="2">
        <f>('[1]Pc, Winter, S3'!H3*Main!$B$5)+(_xlfn.IFNA(VLOOKUP($A3,'FL Ratio'!$A$3:$B$10,2,FALSE),0)*'FL Characterization'!H$2)</f>
        <v>51.486133351782925</v>
      </c>
      <c r="I3" s="2">
        <f>('[1]Pc, Winter, S3'!I3*Main!$B$5)+(_xlfn.IFNA(VLOOKUP($A3,'FL Ratio'!$A$3:$B$10,2,FALSE),0)*'FL Characterization'!I$2)</f>
        <v>55.264705339760013</v>
      </c>
      <c r="J3" s="2">
        <f>('[1]Pc, Winter, S3'!J3*Main!$B$5)+(_xlfn.IFNA(VLOOKUP($A3,'FL Ratio'!$A$3:$B$10,2,FALSE),0)*'FL Characterization'!J$2)</f>
        <v>60.50619624943937</v>
      </c>
      <c r="K3" s="2">
        <f>('[1]Pc, Winter, S3'!K3*Main!$B$5)+(_xlfn.IFNA(VLOOKUP($A3,'FL Ratio'!$A$3:$B$10,2,FALSE),0)*'FL Characterization'!K$2)</f>
        <v>60.692538393768338</v>
      </c>
      <c r="L3" s="2">
        <f>('[1]Pc, Winter, S3'!L3*Main!$B$5)+(_xlfn.IFNA(VLOOKUP($A3,'FL Ratio'!$A$3:$B$10,2,FALSE),0)*'FL Characterization'!L$2)</f>
        <v>57.155559015102597</v>
      </c>
      <c r="M3" s="2">
        <f>('[1]Pc, Winter, S3'!M3*Main!$B$5)+(_xlfn.IFNA(VLOOKUP($A3,'FL Ratio'!$A$3:$B$10,2,FALSE),0)*'FL Characterization'!M$2)</f>
        <v>62.57922529490024</v>
      </c>
      <c r="N3" s="2">
        <f>('[1]Pc, Winter, S3'!N3*Main!$B$5)+(_xlfn.IFNA(VLOOKUP($A3,'FL Ratio'!$A$3:$B$10,2,FALSE),0)*'FL Characterization'!N$2)</f>
        <v>59.253026999668492</v>
      </c>
      <c r="O3" s="2">
        <f>('[1]Pc, Winter, S3'!O3*Main!$B$5)+(_xlfn.IFNA(VLOOKUP($A3,'FL Ratio'!$A$3:$B$10,2,FALSE),0)*'FL Characterization'!O$2)</f>
        <v>55.991702470293994</v>
      </c>
      <c r="P3" s="2">
        <f>('[1]Pc, Winter, S3'!P3*Main!$B$5)+(_xlfn.IFNA(VLOOKUP($A3,'FL Ratio'!$A$3:$B$10,2,FALSE),0)*'FL Characterization'!P$2)</f>
        <v>54.395522369876886</v>
      </c>
      <c r="Q3" s="2">
        <f>('[1]Pc, Winter, S3'!Q3*Main!$B$5)+(_xlfn.IFNA(VLOOKUP($A3,'FL Ratio'!$A$3:$B$10,2,FALSE),0)*'FL Characterization'!Q$2)</f>
        <v>50.883269519560855</v>
      </c>
      <c r="R3" s="2">
        <f>('[1]Pc, Winter, S3'!R3*Main!$B$5)+(_xlfn.IFNA(VLOOKUP($A3,'FL Ratio'!$A$3:$B$10,2,FALSE),0)*'FL Characterization'!R$2)</f>
        <v>50.425226305347479</v>
      </c>
      <c r="S3" s="2">
        <f>('[1]Pc, Winter, S3'!S3*Main!$B$5)+(_xlfn.IFNA(VLOOKUP($A3,'FL Ratio'!$A$3:$B$10,2,FALSE),0)*'FL Characterization'!S$2)</f>
        <v>53.995987226577512</v>
      </c>
      <c r="T3" s="2">
        <f>('[1]Pc, Winter, S3'!T3*Main!$B$5)+(_xlfn.IFNA(VLOOKUP($A3,'FL Ratio'!$A$3:$B$10,2,FALSE),0)*'FL Characterization'!T$2)</f>
        <v>53.469286230059062</v>
      </c>
      <c r="U3" s="2">
        <f>('[1]Pc, Winter, S3'!U3*Main!$B$5)+(_xlfn.IFNA(VLOOKUP($A3,'FL Ratio'!$A$3:$B$10,2,FALSE),0)*'FL Characterization'!U$2)</f>
        <v>54.041128098350256</v>
      </c>
      <c r="V3" s="2">
        <f>('[1]Pc, Winter, S3'!V3*Main!$B$5)+(_xlfn.IFNA(VLOOKUP($A3,'FL Ratio'!$A$3:$B$10,2,FALSE),0)*'FL Characterization'!V$2)</f>
        <v>52.868868832754195</v>
      </c>
      <c r="W3" s="2">
        <f>('[1]Pc, Winter, S3'!W3*Main!$B$5)+(_xlfn.IFNA(VLOOKUP($A3,'FL Ratio'!$A$3:$B$10,2,FALSE),0)*'FL Characterization'!W$2)</f>
        <v>47.545943799726835</v>
      </c>
      <c r="X3" s="2">
        <f>('[1]Pc, Winter, S3'!X3*Main!$B$5)+(_xlfn.IFNA(VLOOKUP($A3,'FL Ratio'!$A$3:$B$10,2,FALSE),0)*'FL Characterization'!X$2)</f>
        <v>42.048650584649195</v>
      </c>
      <c r="Y3" s="2">
        <f>('[1]Pc, Winter, S3'!Y3*Main!$B$5)+(_xlfn.IFNA(VLOOKUP($A3,'FL Ratio'!$A$3:$B$10,2,FALSE),0)*'FL Characterization'!Y$2)</f>
        <v>41.225457934330386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54.183566216388648</v>
      </c>
      <c r="C4" s="2">
        <f>('[1]Pc, Winter, S3'!C4*Main!$B$5)+(_xlfn.IFNA(VLOOKUP($A4,'FL Ratio'!$A$3:$B$10,2,FALSE),0)*'FL Characterization'!C$2)</f>
        <v>48.129183830133364</v>
      </c>
      <c r="D4" s="2">
        <f>('[1]Pc, Winter, S3'!D4*Main!$B$5)+(_xlfn.IFNA(VLOOKUP($A4,'FL Ratio'!$A$3:$B$10,2,FALSE),0)*'FL Characterization'!D$2)</f>
        <v>45.170465376145813</v>
      </c>
      <c r="E4" s="2">
        <f>('[1]Pc, Winter, S3'!E4*Main!$B$5)+(_xlfn.IFNA(VLOOKUP($A4,'FL Ratio'!$A$3:$B$10,2,FALSE),0)*'FL Characterization'!E$2)</f>
        <v>44.523606335193946</v>
      </c>
      <c r="F4" s="2">
        <f>('[1]Pc, Winter, S3'!F4*Main!$B$5)+(_xlfn.IFNA(VLOOKUP($A4,'FL Ratio'!$A$3:$B$10,2,FALSE),0)*'FL Characterization'!F$2)</f>
        <v>46.01181165083544</v>
      </c>
      <c r="G4" s="2">
        <f>('[1]Pc, Winter, S3'!G4*Main!$B$5)+(_xlfn.IFNA(VLOOKUP($A4,'FL Ratio'!$A$3:$B$10,2,FALSE),0)*'FL Characterization'!G$2)</f>
        <v>49.187165767884068</v>
      </c>
      <c r="H4" s="2">
        <f>('[1]Pc, Winter, S3'!H4*Main!$B$5)+(_xlfn.IFNA(VLOOKUP($A4,'FL Ratio'!$A$3:$B$10,2,FALSE),0)*'FL Characterization'!H$2)</f>
        <v>59.382286165787917</v>
      </c>
      <c r="I4" s="2">
        <f>('[1]Pc, Winter, S3'!I4*Main!$B$5)+(_xlfn.IFNA(VLOOKUP($A4,'FL Ratio'!$A$3:$B$10,2,FALSE),0)*'FL Characterization'!I$2)</f>
        <v>64.298032902707973</v>
      </c>
      <c r="J4" s="2">
        <f>('[1]Pc, Winter, S3'!J4*Main!$B$5)+(_xlfn.IFNA(VLOOKUP($A4,'FL Ratio'!$A$3:$B$10,2,FALSE),0)*'FL Characterization'!J$2)</f>
        <v>67.984891679189573</v>
      </c>
      <c r="K4" s="2">
        <f>('[1]Pc, Winter, S3'!K4*Main!$B$5)+(_xlfn.IFNA(VLOOKUP($A4,'FL Ratio'!$A$3:$B$10,2,FALSE),0)*'FL Characterization'!K$2)</f>
        <v>70.440781489762713</v>
      </c>
      <c r="L4" s="2">
        <f>('[1]Pc, Winter, S3'!L4*Main!$B$5)+(_xlfn.IFNA(VLOOKUP($A4,'FL Ratio'!$A$3:$B$10,2,FALSE),0)*'FL Characterization'!L$2)</f>
        <v>70.878443535057542</v>
      </c>
      <c r="M4" s="2">
        <f>('[1]Pc, Winter, S3'!M4*Main!$B$5)+(_xlfn.IFNA(VLOOKUP($A4,'FL Ratio'!$A$3:$B$10,2,FALSE),0)*'FL Characterization'!M$2)</f>
        <v>70.214528775090997</v>
      </c>
      <c r="N4" s="2">
        <f>('[1]Pc, Winter, S3'!N4*Main!$B$5)+(_xlfn.IFNA(VLOOKUP($A4,'FL Ratio'!$A$3:$B$10,2,FALSE),0)*'FL Characterization'!N$2)</f>
        <v>70.033048940414943</v>
      </c>
      <c r="O4" s="2">
        <f>('[1]Pc, Winter, S3'!O4*Main!$B$5)+(_xlfn.IFNA(VLOOKUP($A4,'FL Ratio'!$A$3:$B$10,2,FALSE),0)*'FL Characterization'!O$2)</f>
        <v>69.086913939710541</v>
      </c>
      <c r="P4" s="2">
        <f>('[1]Pc, Winter, S3'!P4*Main!$B$5)+(_xlfn.IFNA(VLOOKUP($A4,'FL Ratio'!$A$3:$B$10,2,FALSE),0)*'FL Characterization'!P$2)</f>
        <v>66.992745159098178</v>
      </c>
      <c r="Q4" s="2">
        <f>('[1]Pc, Winter, S3'!Q4*Main!$B$5)+(_xlfn.IFNA(VLOOKUP($A4,'FL Ratio'!$A$3:$B$10,2,FALSE),0)*'FL Characterization'!Q$2)</f>
        <v>65.781460765233149</v>
      </c>
      <c r="R4" s="2">
        <f>('[1]Pc, Winter, S3'!R4*Main!$B$5)+(_xlfn.IFNA(VLOOKUP($A4,'FL Ratio'!$A$3:$B$10,2,FALSE),0)*'FL Characterization'!R$2)</f>
        <v>67.600186410994283</v>
      </c>
      <c r="S4" s="2">
        <f>('[1]Pc, Winter, S3'!S4*Main!$B$5)+(_xlfn.IFNA(VLOOKUP($A4,'FL Ratio'!$A$3:$B$10,2,FALSE),0)*'FL Characterization'!S$2)</f>
        <v>77.099260856502511</v>
      </c>
      <c r="T4" s="2">
        <f>('[1]Pc, Winter, S3'!T4*Main!$B$5)+(_xlfn.IFNA(VLOOKUP($A4,'FL Ratio'!$A$3:$B$10,2,FALSE),0)*'FL Characterization'!T$2)</f>
        <v>78.060171955078047</v>
      </c>
      <c r="U4" s="2">
        <f>('[1]Pc, Winter, S3'!U4*Main!$B$5)+(_xlfn.IFNA(VLOOKUP($A4,'FL Ratio'!$A$3:$B$10,2,FALSE),0)*'FL Characterization'!U$2)</f>
        <v>78.297224728718405</v>
      </c>
      <c r="V4" s="2">
        <f>('[1]Pc, Winter, S3'!V4*Main!$B$5)+(_xlfn.IFNA(VLOOKUP($A4,'FL Ratio'!$A$3:$B$10,2,FALSE),0)*'FL Characterization'!V$2)</f>
        <v>76.257301829009322</v>
      </c>
      <c r="W4" s="2">
        <f>('[1]Pc, Winter, S3'!W4*Main!$B$5)+(_xlfn.IFNA(VLOOKUP($A4,'FL Ratio'!$A$3:$B$10,2,FALSE),0)*'FL Characterization'!W$2)</f>
        <v>72.502893859550866</v>
      </c>
      <c r="X4" s="2">
        <f>('[1]Pc, Winter, S3'!X4*Main!$B$5)+(_xlfn.IFNA(VLOOKUP($A4,'FL Ratio'!$A$3:$B$10,2,FALSE),0)*'FL Characterization'!X$2)</f>
        <v>67.915072508108054</v>
      </c>
      <c r="Y4" s="2">
        <f>('[1]Pc, Winter, S3'!Y4*Main!$B$5)+(_xlfn.IFNA(VLOOKUP($A4,'FL Ratio'!$A$3:$B$10,2,FALSE),0)*'FL Characterization'!Y$2)</f>
        <v>60.755212948046612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35.638779662988817</v>
      </c>
      <c r="C2" s="2">
        <f>('[1]Pc, Winter, S3'!C2*Main!$B$5)+(_xlfn.IFNA(VLOOKUP($A2,'FL Ratio'!$A$3:$B$10,2,FALSE),0)*'FL Characterization'!C$2)</f>
        <v>33.242010929838521</v>
      </c>
      <c r="D2" s="2">
        <f>('[1]Pc, Winter, S3'!D2*Main!$B$5)+(_xlfn.IFNA(VLOOKUP($A2,'FL Ratio'!$A$3:$B$10,2,FALSE),0)*'FL Characterization'!D$2)</f>
        <v>31.497826928884937</v>
      </c>
      <c r="E2" s="2">
        <f>('[1]Pc, Winter, S3'!E2*Main!$B$5)+(_xlfn.IFNA(VLOOKUP($A2,'FL Ratio'!$A$3:$B$10,2,FALSE),0)*'FL Characterization'!E$2)</f>
        <v>31.274962274199009</v>
      </c>
      <c r="F2" s="2">
        <f>('[1]Pc, Winter, S3'!F2*Main!$B$5)+(_xlfn.IFNA(VLOOKUP($A2,'FL Ratio'!$A$3:$B$10,2,FALSE),0)*'FL Characterization'!F$2)</f>
        <v>31.652209326854074</v>
      </c>
      <c r="G2" s="2">
        <f>('[1]Pc, Winter, S3'!G2*Main!$B$5)+(_xlfn.IFNA(VLOOKUP($A2,'FL Ratio'!$A$3:$B$10,2,FALSE),0)*'FL Characterization'!G$2)</f>
        <v>34.792612233302485</v>
      </c>
      <c r="H2" s="2">
        <f>('[1]Pc, Winter, S3'!H2*Main!$B$5)+(_xlfn.IFNA(VLOOKUP($A2,'FL Ratio'!$A$3:$B$10,2,FALSE),0)*'FL Characterization'!H$2)</f>
        <v>41.516065422338798</v>
      </c>
      <c r="I2" s="2">
        <f>('[1]Pc, Winter, S3'!I2*Main!$B$5)+(_xlfn.IFNA(VLOOKUP($A2,'FL Ratio'!$A$3:$B$10,2,FALSE),0)*'FL Characterization'!I$2)</f>
        <v>49.972685438924032</v>
      </c>
      <c r="J2" s="2">
        <f>('[1]Pc, Winter, S3'!J2*Main!$B$5)+(_xlfn.IFNA(VLOOKUP($A2,'FL Ratio'!$A$3:$B$10,2,FALSE),0)*'FL Characterization'!J$2)</f>
        <v>54.406675344696851</v>
      </c>
      <c r="K2" s="2">
        <f>('[1]Pc, Winter, S3'!K2*Main!$B$5)+(_xlfn.IFNA(VLOOKUP($A2,'FL Ratio'!$A$3:$B$10,2,FALSE),0)*'FL Characterization'!K$2)</f>
        <v>55.085117321785127</v>
      </c>
      <c r="L2" s="2">
        <f>('[1]Pc, Winter, S3'!L2*Main!$B$5)+(_xlfn.IFNA(VLOOKUP($A2,'FL Ratio'!$A$3:$B$10,2,FALSE),0)*'FL Characterization'!L$2)</f>
        <v>53.598554581780661</v>
      </c>
      <c r="M2" s="2">
        <f>('[1]Pc, Winter, S3'!M2*Main!$B$5)+(_xlfn.IFNA(VLOOKUP($A2,'FL Ratio'!$A$3:$B$10,2,FALSE),0)*'FL Characterization'!M$2)</f>
        <v>53.874808696065905</v>
      </c>
      <c r="N2" s="2">
        <f>('[1]Pc, Winter, S3'!N2*Main!$B$5)+(_xlfn.IFNA(VLOOKUP($A2,'FL Ratio'!$A$3:$B$10,2,FALSE),0)*'FL Characterization'!N$2)</f>
        <v>53.830535887766182</v>
      </c>
      <c r="O2" s="2">
        <f>('[1]Pc, Winter, S3'!O2*Main!$B$5)+(_xlfn.IFNA(VLOOKUP($A2,'FL Ratio'!$A$3:$B$10,2,FALSE),0)*'FL Characterization'!O$2)</f>
        <v>52.951512068983959</v>
      </c>
      <c r="P2" s="2">
        <f>('[1]Pc, Winter, S3'!P2*Main!$B$5)+(_xlfn.IFNA(VLOOKUP($A2,'FL Ratio'!$A$3:$B$10,2,FALSE),0)*'FL Characterization'!P$2)</f>
        <v>49.933829055942141</v>
      </c>
      <c r="Q2" s="2">
        <f>('[1]Pc, Winter, S3'!Q2*Main!$B$5)+(_xlfn.IFNA(VLOOKUP($A2,'FL Ratio'!$A$3:$B$10,2,FALSE),0)*'FL Characterization'!Q$2)</f>
        <v>48.503206405563382</v>
      </c>
      <c r="R2" s="2">
        <f>('[1]Pc, Winter, S3'!R2*Main!$B$5)+(_xlfn.IFNA(VLOOKUP($A2,'FL Ratio'!$A$3:$B$10,2,FALSE),0)*'FL Characterization'!R$2)</f>
        <v>50.513621584829842</v>
      </c>
      <c r="S2" s="2">
        <f>('[1]Pc, Winter, S3'!S2*Main!$B$5)+(_xlfn.IFNA(VLOOKUP($A2,'FL Ratio'!$A$3:$B$10,2,FALSE),0)*'FL Characterization'!S$2)</f>
        <v>55.995298000257449</v>
      </c>
      <c r="T2" s="2">
        <f>('[1]Pc, Winter, S3'!T2*Main!$B$5)+(_xlfn.IFNA(VLOOKUP($A2,'FL Ratio'!$A$3:$B$10,2,FALSE),0)*'FL Characterization'!T$2)</f>
        <v>55.792315930611679</v>
      </c>
      <c r="U2" s="2">
        <f>('[1]Pc, Winter, S3'!U2*Main!$B$5)+(_xlfn.IFNA(VLOOKUP($A2,'FL Ratio'!$A$3:$B$10,2,FALSE),0)*'FL Characterization'!U$2)</f>
        <v>54.637214372570625</v>
      </c>
      <c r="V2" s="2">
        <f>('[1]Pc, Winter, S3'!V2*Main!$B$5)+(_xlfn.IFNA(VLOOKUP($A2,'FL Ratio'!$A$3:$B$10,2,FALSE),0)*'FL Characterization'!V$2)</f>
        <v>53.697595676538086</v>
      </c>
      <c r="W2" s="2">
        <f>('[1]Pc, Winter, S3'!W2*Main!$B$5)+(_xlfn.IFNA(VLOOKUP($A2,'FL Ratio'!$A$3:$B$10,2,FALSE),0)*'FL Characterization'!W$2)</f>
        <v>50.329090252919677</v>
      </c>
      <c r="X2" s="2">
        <f>('[1]Pc, Winter, S3'!X2*Main!$B$5)+(_xlfn.IFNA(VLOOKUP($A2,'FL Ratio'!$A$3:$B$10,2,FALSE),0)*'FL Characterization'!X$2)</f>
        <v>44.028589870886663</v>
      </c>
      <c r="Y2" s="2">
        <f>('[1]Pc, Winter, S3'!Y2*Main!$B$5)+(_xlfn.IFNA(VLOOKUP($A2,'FL Ratio'!$A$3:$B$10,2,FALSE),0)*'FL Characterization'!Y$2)</f>
        <v>39.945107142661449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38.202243463919679</v>
      </c>
      <c r="C3" s="2">
        <f>('[1]Pc, Winter, S3'!C3*Main!$B$5)+(_xlfn.IFNA(VLOOKUP($A3,'FL Ratio'!$A$3:$B$10,2,FALSE),0)*'FL Characterization'!C$2)</f>
        <v>35.808077147293687</v>
      </c>
      <c r="D3" s="2">
        <f>('[1]Pc, Winter, S3'!D3*Main!$B$5)+(_xlfn.IFNA(VLOOKUP($A3,'FL Ratio'!$A$3:$B$10,2,FALSE),0)*'FL Characterization'!D$2)</f>
        <v>32.375480438862766</v>
      </c>
      <c r="E3" s="2">
        <f>('[1]Pc, Winter, S3'!E3*Main!$B$5)+(_xlfn.IFNA(VLOOKUP($A3,'FL Ratio'!$A$3:$B$10,2,FALSE),0)*'FL Characterization'!E$2)</f>
        <v>34.471442467237736</v>
      </c>
      <c r="F3" s="2">
        <f>('[1]Pc, Winter, S3'!F3*Main!$B$5)+(_xlfn.IFNA(VLOOKUP($A3,'FL Ratio'!$A$3:$B$10,2,FALSE),0)*'FL Characterization'!F$2)</f>
        <v>33.890500248427522</v>
      </c>
      <c r="G3" s="2">
        <f>('[1]Pc, Winter, S3'!G3*Main!$B$5)+(_xlfn.IFNA(VLOOKUP($A3,'FL Ratio'!$A$3:$B$10,2,FALSE),0)*'FL Characterization'!G$2)</f>
        <v>34.918034864135649</v>
      </c>
      <c r="H3" s="2">
        <f>('[1]Pc, Winter, S3'!H3*Main!$B$5)+(_xlfn.IFNA(VLOOKUP($A3,'FL Ratio'!$A$3:$B$10,2,FALSE),0)*'FL Characterization'!H$2)</f>
        <v>51.486133351782925</v>
      </c>
      <c r="I3" s="2">
        <f>('[1]Pc, Winter, S3'!I3*Main!$B$5)+(_xlfn.IFNA(VLOOKUP($A3,'FL Ratio'!$A$3:$B$10,2,FALSE),0)*'FL Characterization'!I$2)</f>
        <v>55.264705339760013</v>
      </c>
      <c r="J3" s="2">
        <f>('[1]Pc, Winter, S3'!J3*Main!$B$5)+(_xlfn.IFNA(VLOOKUP($A3,'FL Ratio'!$A$3:$B$10,2,FALSE),0)*'FL Characterization'!J$2)</f>
        <v>60.50619624943937</v>
      </c>
      <c r="K3" s="2">
        <f>('[1]Pc, Winter, S3'!K3*Main!$B$5)+(_xlfn.IFNA(VLOOKUP($A3,'FL Ratio'!$A$3:$B$10,2,FALSE),0)*'FL Characterization'!K$2)</f>
        <v>60.692538393768338</v>
      </c>
      <c r="L3" s="2">
        <f>('[1]Pc, Winter, S3'!L3*Main!$B$5)+(_xlfn.IFNA(VLOOKUP($A3,'FL Ratio'!$A$3:$B$10,2,FALSE),0)*'FL Characterization'!L$2)</f>
        <v>57.155559015102597</v>
      </c>
      <c r="M3" s="2">
        <f>('[1]Pc, Winter, S3'!M3*Main!$B$5)+(_xlfn.IFNA(VLOOKUP($A3,'FL Ratio'!$A$3:$B$10,2,FALSE),0)*'FL Characterization'!M$2)</f>
        <v>62.57922529490024</v>
      </c>
      <c r="N3" s="2">
        <f>('[1]Pc, Winter, S3'!N3*Main!$B$5)+(_xlfn.IFNA(VLOOKUP($A3,'FL Ratio'!$A$3:$B$10,2,FALSE),0)*'FL Characterization'!N$2)</f>
        <v>59.253026999668492</v>
      </c>
      <c r="O3" s="2">
        <f>('[1]Pc, Winter, S3'!O3*Main!$B$5)+(_xlfn.IFNA(VLOOKUP($A3,'FL Ratio'!$A$3:$B$10,2,FALSE),0)*'FL Characterization'!O$2)</f>
        <v>55.991702470293994</v>
      </c>
      <c r="P3" s="2">
        <f>('[1]Pc, Winter, S3'!P3*Main!$B$5)+(_xlfn.IFNA(VLOOKUP($A3,'FL Ratio'!$A$3:$B$10,2,FALSE),0)*'FL Characterization'!P$2)</f>
        <v>54.395522369876886</v>
      </c>
      <c r="Q3" s="2">
        <f>('[1]Pc, Winter, S3'!Q3*Main!$B$5)+(_xlfn.IFNA(VLOOKUP($A3,'FL Ratio'!$A$3:$B$10,2,FALSE),0)*'FL Characterization'!Q$2)</f>
        <v>50.883269519560855</v>
      </c>
      <c r="R3" s="2">
        <f>('[1]Pc, Winter, S3'!R3*Main!$B$5)+(_xlfn.IFNA(VLOOKUP($A3,'FL Ratio'!$A$3:$B$10,2,FALSE),0)*'FL Characterization'!R$2)</f>
        <v>50.425226305347479</v>
      </c>
      <c r="S3" s="2">
        <f>('[1]Pc, Winter, S3'!S3*Main!$B$5)+(_xlfn.IFNA(VLOOKUP($A3,'FL Ratio'!$A$3:$B$10,2,FALSE),0)*'FL Characterization'!S$2)</f>
        <v>53.995987226577512</v>
      </c>
      <c r="T3" s="2">
        <f>('[1]Pc, Winter, S3'!T3*Main!$B$5)+(_xlfn.IFNA(VLOOKUP($A3,'FL Ratio'!$A$3:$B$10,2,FALSE),0)*'FL Characterization'!T$2)</f>
        <v>53.469286230059062</v>
      </c>
      <c r="U3" s="2">
        <f>('[1]Pc, Winter, S3'!U3*Main!$B$5)+(_xlfn.IFNA(VLOOKUP($A3,'FL Ratio'!$A$3:$B$10,2,FALSE),0)*'FL Characterization'!U$2)</f>
        <v>54.041128098350256</v>
      </c>
      <c r="V3" s="2">
        <f>('[1]Pc, Winter, S3'!V3*Main!$B$5)+(_xlfn.IFNA(VLOOKUP($A3,'FL Ratio'!$A$3:$B$10,2,FALSE),0)*'FL Characterization'!V$2)</f>
        <v>52.868868832754195</v>
      </c>
      <c r="W3" s="2">
        <f>('[1]Pc, Winter, S3'!W3*Main!$B$5)+(_xlfn.IFNA(VLOOKUP($A3,'FL Ratio'!$A$3:$B$10,2,FALSE),0)*'FL Characterization'!W$2)</f>
        <v>47.545943799726835</v>
      </c>
      <c r="X3" s="2">
        <f>('[1]Pc, Winter, S3'!X3*Main!$B$5)+(_xlfn.IFNA(VLOOKUP($A3,'FL Ratio'!$A$3:$B$10,2,FALSE),0)*'FL Characterization'!X$2)</f>
        <v>42.048650584649195</v>
      </c>
      <c r="Y3" s="2">
        <f>('[1]Pc, Winter, S3'!Y3*Main!$B$5)+(_xlfn.IFNA(VLOOKUP($A3,'FL Ratio'!$A$3:$B$10,2,FALSE),0)*'FL Characterization'!Y$2)</f>
        <v>41.225457934330386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54.183566216388648</v>
      </c>
      <c r="C4" s="2">
        <f>('[1]Pc, Winter, S3'!C4*Main!$B$5)+(_xlfn.IFNA(VLOOKUP($A4,'FL Ratio'!$A$3:$B$10,2,FALSE),0)*'FL Characterization'!C$2)</f>
        <v>48.129183830133364</v>
      </c>
      <c r="D4" s="2">
        <f>('[1]Pc, Winter, S3'!D4*Main!$B$5)+(_xlfn.IFNA(VLOOKUP($A4,'FL Ratio'!$A$3:$B$10,2,FALSE),0)*'FL Characterization'!D$2)</f>
        <v>45.170465376145813</v>
      </c>
      <c r="E4" s="2">
        <f>('[1]Pc, Winter, S3'!E4*Main!$B$5)+(_xlfn.IFNA(VLOOKUP($A4,'FL Ratio'!$A$3:$B$10,2,FALSE),0)*'FL Characterization'!E$2)</f>
        <v>44.523606335193946</v>
      </c>
      <c r="F4" s="2">
        <f>('[1]Pc, Winter, S3'!F4*Main!$B$5)+(_xlfn.IFNA(VLOOKUP($A4,'FL Ratio'!$A$3:$B$10,2,FALSE),0)*'FL Characterization'!F$2)</f>
        <v>46.01181165083544</v>
      </c>
      <c r="G4" s="2">
        <f>('[1]Pc, Winter, S3'!G4*Main!$B$5)+(_xlfn.IFNA(VLOOKUP($A4,'FL Ratio'!$A$3:$B$10,2,FALSE),0)*'FL Characterization'!G$2)</f>
        <v>49.187165767884068</v>
      </c>
      <c r="H4" s="2">
        <f>('[1]Pc, Winter, S3'!H4*Main!$B$5)+(_xlfn.IFNA(VLOOKUP($A4,'FL Ratio'!$A$3:$B$10,2,FALSE),0)*'FL Characterization'!H$2)</f>
        <v>59.382286165787917</v>
      </c>
      <c r="I4" s="2">
        <f>('[1]Pc, Winter, S3'!I4*Main!$B$5)+(_xlfn.IFNA(VLOOKUP($A4,'FL Ratio'!$A$3:$B$10,2,FALSE),0)*'FL Characterization'!I$2)</f>
        <v>64.298032902707973</v>
      </c>
      <c r="J4" s="2">
        <f>('[1]Pc, Winter, S3'!J4*Main!$B$5)+(_xlfn.IFNA(VLOOKUP($A4,'FL Ratio'!$A$3:$B$10,2,FALSE),0)*'FL Characterization'!J$2)</f>
        <v>67.984891679189573</v>
      </c>
      <c r="K4" s="2">
        <f>('[1]Pc, Winter, S3'!K4*Main!$B$5)+(_xlfn.IFNA(VLOOKUP($A4,'FL Ratio'!$A$3:$B$10,2,FALSE),0)*'FL Characterization'!K$2)</f>
        <v>70.440781489762713</v>
      </c>
      <c r="L4" s="2">
        <f>('[1]Pc, Winter, S3'!L4*Main!$B$5)+(_xlfn.IFNA(VLOOKUP($A4,'FL Ratio'!$A$3:$B$10,2,FALSE),0)*'FL Characterization'!L$2)</f>
        <v>70.878443535057542</v>
      </c>
      <c r="M4" s="2">
        <f>('[1]Pc, Winter, S3'!M4*Main!$B$5)+(_xlfn.IFNA(VLOOKUP($A4,'FL Ratio'!$A$3:$B$10,2,FALSE),0)*'FL Characterization'!M$2)</f>
        <v>70.214528775090997</v>
      </c>
      <c r="N4" s="2">
        <f>('[1]Pc, Winter, S3'!N4*Main!$B$5)+(_xlfn.IFNA(VLOOKUP($A4,'FL Ratio'!$A$3:$B$10,2,FALSE),0)*'FL Characterization'!N$2)</f>
        <v>70.033048940414943</v>
      </c>
      <c r="O4" s="2">
        <f>('[1]Pc, Winter, S3'!O4*Main!$B$5)+(_xlfn.IFNA(VLOOKUP($A4,'FL Ratio'!$A$3:$B$10,2,FALSE),0)*'FL Characterization'!O$2)</f>
        <v>69.086913939710541</v>
      </c>
      <c r="P4" s="2">
        <f>('[1]Pc, Winter, S3'!P4*Main!$B$5)+(_xlfn.IFNA(VLOOKUP($A4,'FL Ratio'!$A$3:$B$10,2,FALSE),0)*'FL Characterization'!P$2)</f>
        <v>66.992745159098178</v>
      </c>
      <c r="Q4" s="2">
        <f>('[1]Pc, Winter, S3'!Q4*Main!$B$5)+(_xlfn.IFNA(VLOOKUP($A4,'FL Ratio'!$A$3:$B$10,2,FALSE),0)*'FL Characterization'!Q$2)</f>
        <v>65.781460765233149</v>
      </c>
      <c r="R4" s="2">
        <f>('[1]Pc, Winter, S3'!R4*Main!$B$5)+(_xlfn.IFNA(VLOOKUP($A4,'FL Ratio'!$A$3:$B$10,2,FALSE),0)*'FL Characterization'!R$2)</f>
        <v>67.600186410994283</v>
      </c>
      <c r="S4" s="2">
        <f>('[1]Pc, Winter, S3'!S4*Main!$B$5)+(_xlfn.IFNA(VLOOKUP($A4,'FL Ratio'!$A$3:$B$10,2,FALSE),0)*'FL Characterization'!S$2)</f>
        <v>77.099260856502511</v>
      </c>
      <c r="T4" s="2">
        <f>('[1]Pc, Winter, S3'!T4*Main!$B$5)+(_xlfn.IFNA(VLOOKUP($A4,'FL Ratio'!$A$3:$B$10,2,FALSE),0)*'FL Characterization'!T$2)</f>
        <v>78.060171955078047</v>
      </c>
      <c r="U4" s="2">
        <f>('[1]Pc, Winter, S3'!U4*Main!$B$5)+(_xlfn.IFNA(VLOOKUP($A4,'FL Ratio'!$A$3:$B$10,2,FALSE),0)*'FL Characterization'!U$2)</f>
        <v>78.297224728718405</v>
      </c>
      <c r="V4" s="2">
        <f>('[1]Pc, Winter, S3'!V4*Main!$B$5)+(_xlfn.IFNA(VLOOKUP($A4,'FL Ratio'!$A$3:$B$10,2,FALSE),0)*'FL Characterization'!V$2)</f>
        <v>76.257301829009322</v>
      </c>
      <c r="W4" s="2">
        <f>('[1]Pc, Winter, S3'!W4*Main!$B$5)+(_xlfn.IFNA(VLOOKUP($A4,'FL Ratio'!$A$3:$B$10,2,FALSE),0)*'FL Characterization'!W$2)</f>
        <v>72.502893859550866</v>
      </c>
      <c r="X4" s="2">
        <f>('[1]Pc, Winter, S3'!X4*Main!$B$5)+(_xlfn.IFNA(VLOOKUP($A4,'FL Ratio'!$A$3:$B$10,2,FALSE),0)*'FL Characterization'!X$2)</f>
        <v>67.915072508108054</v>
      </c>
      <c r="Y4" s="2">
        <f>('[1]Pc, Winter, S3'!Y4*Main!$B$5)+(_xlfn.IFNA(VLOOKUP($A4,'FL Ratio'!$A$3:$B$10,2,FALSE),0)*'FL Characterization'!Y$2)</f>
        <v>60.755212948046612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35.638779662988817</v>
      </c>
      <c r="C2" s="2">
        <f>('[1]Pc, Winter, S3'!C2*Main!$B$5)+(_xlfn.IFNA(VLOOKUP($A2,'FL Ratio'!$A$3:$B$10,2,FALSE),0)*'FL Characterization'!C$2)</f>
        <v>33.242010929838521</v>
      </c>
      <c r="D2" s="2">
        <f>('[1]Pc, Winter, S3'!D2*Main!$B$5)+(_xlfn.IFNA(VLOOKUP($A2,'FL Ratio'!$A$3:$B$10,2,FALSE),0)*'FL Characterization'!D$2)</f>
        <v>31.497826928884937</v>
      </c>
      <c r="E2" s="2">
        <f>('[1]Pc, Winter, S3'!E2*Main!$B$5)+(_xlfn.IFNA(VLOOKUP($A2,'FL Ratio'!$A$3:$B$10,2,FALSE),0)*'FL Characterization'!E$2)</f>
        <v>31.274962274199009</v>
      </c>
      <c r="F2" s="2">
        <f>('[1]Pc, Winter, S3'!F2*Main!$B$5)+(_xlfn.IFNA(VLOOKUP($A2,'FL Ratio'!$A$3:$B$10,2,FALSE),0)*'FL Characterization'!F$2)</f>
        <v>31.652209326854074</v>
      </c>
      <c r="G2" s="2">
        <f>('[1]Pc, Winter, S3'!G2*Main!$B$5)+(_xlfn.IFNA(VLOOKUP($A2,'FL Ratio'!$A$3:$B$10,2,FALSE),0)*'FL Characterization'!G$2)</f>
        <v>34.792612233302485</v>
      </c>
      <c r="H2" s="2">
        <f>('[1]Pc, Winter, S3'!H2*Main!$B$5)+(_xlfn.IFNA(VLOOKUP($A2,'FL Ratio'!$A$3:$B$10,2,FALSE),0)*'FL Characterization'!H$2)</f>
        <v>41.516065422338798</v>
      </c>
      <c r="I2" s="2">
        <f>('[1]Pc, Winter, S3'!I2*Main!$B$5)+(_xlfn.IFNA(VLOOKUP($A2,'FL Ratio'!$A$3:$B$10,2,FALSE),0)*'FL Characterization'!I$2)</f>
        <v>49.972685438924032</v>
      </c>
      <c r="J2" s="2">
        <f>('[1]Pc, Winter, S3'!J2*Main!$B$5)+(_xlfn.IFNA(VLOOKUP($A2,'FL Ratio'!$A$3:$B$10,2,FALSE),0)*'FL Characterization'!J$2)</f>
        <v>54.406675344696851</v>
      </c>
      <c r="K2" s="2">
        <f>('[1]Pc, Winter, S3'!K2*Main!$B$5)+(_xlfn.IFNA(VLOOKUP($A2,'FL Ratio'!$A$3:$B$10,2,FALSE),0)*'FL Characterization'!K$2)</f>
        <v>55.085117321785127</v>
      </c>
      <c r="L2" s="2">
        <f>('[1]Pc, Winter, S3'!L2*Main!$B$5)+(_xlfn.IFNA(VLOOKUP($A2,'FL Ratio'!$A$3:$B$10,2,FALSE),0)*'FL Characterization'!L$2)</f>
        <v>53.598554581780661</v>
      </c>
      <c r="M2" s="2">
        <f>('[1]Pc, Winter, S3'!M2*Main!$B$5)+(_xlfn.IFNA(VLOOKUP($A2,'FL Ratio'!$A$3:$B$10,2,FALSE),0)*'FL Characterization'!M$2)</f>
        <v>53.874808696065905</v>
      </c>
      <c r="N2" s="2">
        <f>('[1]Pc, Winter, S3'!N2*Main!$B$5)+(_xlfn.IFNA(VLOOKUP($A2,'FL Ratio'!$A$3:$B$10,2,FALSE),0)*'FL Characterization'!N$2)</f>
        <v>53.830535887766182</v>
      </c>
      <c r="O2" s="2">
        <f>('[1]Pc, Winter, S3'!O2*Main!$B$5)+(_xlfn.IFNA(VLOOKUP($A2,'FL Ratio'!$A$3:$B$10,2,FALSE),0)*'FL Characterization'!O$2)</f>
        <v>52.951512068983959</v>
      </c>
      <c r="P2" s="2">
        <f>('[1]Pc, Winter, S3'!P2*Main!$B$5)+(_xlfn.IFNA(VLOOKUP($A2,'FL Ratio'!$A$3:$B$10,2,FALSE),0)*'FL Characterization'!P$2)</f>
        <v>49.933829055942141</v>
      </c>
      <c r="Q2" s="2">
        <f>('[1]Pc, Winter, S3'!Q2*Main!$B$5)+(_xlfn.IFNA(VLOOKUP($A2,'FL Ratio'!$A$3:$B$10,2,FALSE),0)*'FL Characterization'!Q$2)</f>
        <v>48.503206405563382</v>
      </c>
      <c r="R2" s="2">
        <f>('[1]Pc, Winter, S3'!R2*Main!$B$5)+(_xlfn.IFNA(VLOOKUP($A2,'FL Ratio'!$A$3:$B$10,2,FALSE),0)*'FL Characterization'!R$2)</f>
        <v>50.513621584829842</v>
      </c>
      <c r="S2" s="2">
        <f>('[1]Pc, Winter, S3'!S2*Main!$B$5)+(_xlfn.IFNA(VLOOKUP($A2,'FL Ratio'!$A$3:$B$10,2,FALSE),0)*'FL Characterization'!S$2)</f>
        <v>55.995298000257449</v>
      </c>
      <c r="T2" s="2">
        <f>('[1]Pc, Winter, S3'!T2*Main!$B$5)+(_xlfn.IFNA(VLOOKUP($A2,'FL Ratio'!$A$3:$B$10,2,FALSE),0)*'FL Characterization'!T$2)</f>
        <v>55.792315930611679</v>
      </c>
      <c r="U2" s="2">
        <f>('[1]Pc, Winter, S3'!U2*Main!$B$5)+(_xlfn.IFNA(VLOOKUP($A2,'FL Ratio'!$A$3:$B$10,2,FALSE),0)*'FL Characterization'!U$2)</f>
        <v>54.637214372570625</v>
      </c>
      <c r="V2" s="2">
        <f>('[1]Pc, Winter, S3'!V2*Main!$B$5)+(_xlfn.IFNA(VLOOKUP($A2,'FL Ratio'!$A$3:$B$10,2,FALSE),0)*'FL Characterization'!V$2)</f>
        <v>53.697595676538086</v>
      </c>
      <c r="W2" s="2">
        <f>('[1]Pc, Winter, S3'!W2*Main!$B$5)+(_xlfn.IFNA(VLOOKUP($A2,'FL Ratio'!$A$3:$B$10,2,FALSE),0)*'FL Characterization'!W$2)</f>
        <v>50.329090252919677</v>
      </c>
      <c r="X2" s="2">
        <f>('[1]Pc, Winter, S3'!X2*Main!$B$5)+(_xlfn.IFNA(VLOOKUP($A2,'FL Ratio'!$A$3:$B$10,2,FALSE),0)*'FL Characterization'!X$2)</f>
        <v>44.028589870886663</v>
      </c>
      <c r="Y2" s="2">
        <f>('[1]Pc, Winter, S3'!Y2*Main!$B$5)+(_xlfn.IFNA(VLOOKUP($A2,'FL Ratio'!$A$3:$B$10,2,FALSE),0)*'FL Characterization'!Y$2)</f>
        <v>39.945107142661449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38.202243463919679</v>
      </c>
      <c r="C3" s="2">
        <f>('[1]Pc, Winter, S3'!C3*Main!$B$5)+(_xlfn.IFNA(VLOOKUP($A3,'FL Ratio'!$A$3:$B$10,2,FALSE),0)*'FL Characterization'!C$2)</f>
        <v>35.808077147293687</v>
      </c>
      <c r="D3" s="2">
        <f>('[1]Pc, Winter, S3'!D3*Main!$B$5)+(_xlfn.IFNA(VLOOKUP($A3,'FL Ratio'!$A$3:$B$10,2,FALSE),0)*'FL Characterization'!D$2)</f>
        <v>32.375480438862766</v>
      </c>
      <c r="E3" s="2">
        <f>('[1]Pc, Winter, S3'!E3*Main!$B$5)+(_xlfn.IFNA(VLOOKUP($A3,'FL Ratio'!$A$3:$B$10,2,FALSE),0)*'FL Characterization'!E$2)</f>
        <v>34.471442467237736</v>
      </c>
      <c r="F3" s="2">
        <f>('[1]Pc, Winter, S3'!F3*Main!$B$5)+(_xlfn.IFNA(VLOOKUP($A3,'FL Ratio'!$A$3:$B$10,2,FALSE),0)*'FL Characterization'!F$2)</f>
        <v>33.890500248427522</v>
      </c>
      <c r="G3" s="2">
        <f>('[1]Pc, Winter, S3'!G3*Main!$B$5)+(_xlfn.IFNA(VLOOKUP($A3,'FL Ratio'!$A$3:$B$10,2,FALSE),0)*'FL Characterization'!G$2)</f>
        <v>34.918034864135649</v>
      </c>
      <c r="H3" s="2">
        <f>('[1]Pc, Winter, S3'!H3*Main!$B$5)+(_xlfn.IFNA(VLOOKUP($A3,'FL Ratio'!$A$3:$B$10,2,FALSE),0)*'FL Characterization'!H$2)</f>
        <v>51.486133351782925</v>
      </c>
      <c r="I3" s="2">
        <f>('[1]Pc, Winter, S3'!I3*Main!$B$5)+(_xlfn.IFNA(VLOOKUP($A3,'FL Ratio'!$A$3:$B$10,2,FALSE),0)*'FL Characterization'!I$2)</f>
        <v>55.264705339760013</v>
      </c>
      <c r="J3" s="2">
        <f>('[1]Pc, Winter, S3'!J3*Main!$B$5)+(_xlfn.IFNA(VLOOKUP($A3,'FL Ratio'!$A$3:$B$10,2,FALSE),0)*'FL Characterization'!J$2)</f>
        <v>60.50619624943937</v>
      </c>
      <c r="K3" s="2">
        <f>('[1]Pc, Winter, S3'!K3*Main!$B$5)+(_xlfn.IFNA(VLOOKUP($A3,'FL Ratio'!$A$3:$B$10,2,FALSE),0)*'FL Characterization'!K$2)</f>
        <v>60.692538393768338</v>
      </c>
      <c r="L3" s="2">
        <f>('[1]Pc, Winter, S3'!L3*Main!$B$5)+(_xlfn.IFNA(VLOOKUP($A3,'FL Ratio'!$A$3:$B$10,2,FALSE),0)*'FL Characterization'!L$2)</f>
        <v>57.155559015102597</v>
      </c>
      <c r="M3" s="2">
        <f>('[1]Pc, Winter, S3'!M3*Main!$B$5)+(_xlfn.IFNA(VLOOKUP($A3,'FL Ratio'!$A$3:$B$10,2,FALSE),0)*'FL Characterization'!M$2)</f>
        <v>62.57922529490024</v>
      </c>
      <c r="N3" s="2">
        <f>('[1]Pc, Winter, S3'!N3*Main!$B$5)+(_xlfn.IFNA(VLOOKUP($A3,'FL Ratio'!$A$3:$B$10,2,FALSE),0)*'FL Characterization'!N$2)</f>
        <v>59.253026999668492</v>
      </c>
      <c r="O3" s="2">
        <f>('[1]Pc, Winter, S3'!O3*Main!$B$5)+(_xlfn.IFNA(VLOOKUP($A3,'FL Ratio'!$A$3:$B$10,2,FALSE),0)*'FL Characterization'!O$2)</f>
        <v>55.991702470293994</v>
      </c>
      <c r="P3" s="2">
        <f>('[1]Pc, Winter, S3'!P3*Main!$B$5)+(_xlfn.IFNA(VLOOKUP($A3,'FL Ratio'!$A$3:$B$10,2,FALSE),0)*'FL Characterization'!P$2)</f>
        <v>54.395522369876886</v>
      </c>
      <c r="Q3" s="2">
        <f>('[1]Pc, Winter, S3'!Q3*Main!$B$5)+(_xlfn.IFNA(VLOOKUP($A3,'FL Ratio'!$A$3:$B$10,2,FALSE),0)*'FL Characterization'!Q$2)</f>
        <v>50.883269519560855</v>
      </c>
      <c r="R3" s="2">
        <f>('[1]Pc, Winter, S3'!R3*Main!$B$5)+(_xlfn.IFNA(VLOOKUP($A3,'FL Ratio'!$A$3:$B$10,2,FALSE),0)*'FL Characterization'!R$2)</f>
        <v>50.425226305347479</v>
      </c>
      <c r="S3" s="2">
        <f>('[1]Pc, Winter, S3'!S3*Main!$B$5)+(_xlfn.IFNA(VLOOKUP($A3,'FL Ratio'!$A$3:$B$10,2,FALSE),0)*'FL Characterization'!S$2)</f>
        <v>53.995987226577512</v>
      </c>
      <c r="T3" s="2">
        <f>('[1]Pc, Winter, S3'!T3*Main!$B$5)+(_xlfn.IFNA(VLOOKUP($A3,'FL Ratio'!$A$3:$B$10,2,FALSE),0)*'FL Characterization'!T$2)</f>
        <v>53.469286230059062</v>
      </c>
      <c r="U3" s="2">
        <f>('[1]Pc, Winter, S3'!U3*Main!$B$5)+(_xlfn.IFNA(VLOOKUP($A3,'FL Ratio'!$A$3:$B$10,2,FALSE),0)*'FL Characterization'!U$2)</f>
        <v>54.041128098350256</v>
      </c>
      <c r="V3" s="2">
        <f>('[1]Pc, Winter, S3'!V3*Main!$B$5)+(_xlfn.IFNA(VLOOKUP($A3,'FL Ratio'!$A$3:$B$10,2,FALSE),0)*'FL Characterization'!V$2)</f>
        <v>52.868868832754195</v>
      </c>
      <c r="W3" s="2">
        <f>('[1]Pc, Winter, S3'!W3*Main!$B$5)+(_xlfn.IFNA(VLOOKUP($A3,'FL Ratio'!$A$3:$B$10,2,FALSE),0)*'FL Characterization'!W$2)</f>
        <v>47.545943799726835</v>
      </c>
      <c r="X3" s="2">
        <f>('[1]Pc, Winter, S3'!X3*Main!$B$5)+(_xlfn.IFNA(VLOOKUP($A3,'FL Ratio'!$A$3:$B$10,2,FALSE),0)*'FL Characterization'!X$2)</f>
        <v>42.048650584649195</v>
      </c>
      <c r="Y3" s="2">
        <f>('[1]Pc, Winter, S3'!Y3*Main!$B$5)+(_xlfn.IFNA(VLOOKUP($A3,'FL Ratio'!$A$3:$B$10,2,FALSE),0)*'FL Characterization'!Y$2)</f>
        <v>41.225457934330386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54.183566216388648</v>
      </c>
      <c r="C4" s="2">
        <f>('[1]Pc, Winter, S3'!C4*Main!$B$5)+(_xlfn.IFNA(VLOOKUP($A4,'FL Ratio'!$A$3:$B$10,2,FALSE),0)*'FL Characterization'!C$2)</f>
        <v>48.129183830133364</v>
      </c>
      <c r="D4" s="2">
        <f>('[1]Pc, Winter, S3'!D4*Main!$B$5)+(_xlfn.IFNA(VLOOKUP($A4,'FL Ratio'!$A$3:$B$10,2,FALSE),0)*'FL Characterization'!D$2)</f>
        <v>45.170465376145813</v>
      </c>
      <c r="E4" s="2">
        <f>('[1]Pc, Winter, S3'!E4*Main!$B$5)+(_xlfn.IFNA(VLOOKUP($A4,'FL Ratio'!$A$3:$B$10,2,FALSE),0)*'FL Characterization'!E$2)</f>
        <v>44.523606335193946</v>
      </c>
      <c r="F4" s="2">
        <f>('[1]Pc, Winter, S3'!F4*Main!$B$5)+(_xlfn.IFNA(VLOOKUP($A4,'FL Ratio'!$A$3:$B$10,2,FALSE),0)*'FL Characterization'!F$2)</f>
        <v>46.01181165083544</v>
      </c>
      <c r="G4" s="2">
        <f>('[1]Pc, Winter, S3'!G4*Main!$B$5)+(_xlfn.IFNA(VLOOKUP($A4,'FL Ratio'!$A$3:$B$10,2,FALSE),0)*'FL Characterization'!G$2)</f>
        <v>49.187165767884068</v>
      </c>
      <c r="H4" s="2">
        <f>('[1]Pc, Winter, S3'!H4*Main!$B$5)+(_xlfn.IFNA(VLOOKUP($A4,'FL Ratio'!$A$3:$B$10,2,FALSE),0)*'FL Characterization'!H$2)</f>
        <v>59.382286165787917</v>
      </c>
      <c r="I4" s="2">
        <f>('[1]Pc, Winter, S3'!I4*Main!$B$5)+(_xlfn.IFNA(VLOOKUP($A4,'FL Ratio'!$A$3:$B$10,2,FALSE),0)*'FL Characterization'!I$2)</f>
        <v>64.298032902707973</v>
      </c>
      <c r="J4" s="2">
        <f>('[1]Pc, Winter, S3'!J4*Main!$B$5)+(_xlfn.IFNA(VLOOKUP($A4,'FL Ratio'!$A$3:$B$10,2,FALSE),0)*'FL Characterization'!J$2)</f>
        <v>67.984891679189573</v>
      </c>
      <c r="K4" s="2">
        <f>('[1]Pc, Winter, S3'!K4*Main!$B$5)+(_xlfn.IFNA(VLOOKUP($A4,'FL Ratio'!$A$3:$B$10,2,FALSE),0)*'FL Characterization'!K$2)</f>
        <v>70.440781489762713</v>
      </c>
      <c r="L4" s="2">
        <f>('[1]Pc, Winter, S3'!L4*Main!$B$5)+(_xlfn.IFNA(VLOOKUP($A4,'FL Ratio'!$A$3:$B$10,2,FALSE),0)*'FL Characterization'!L$2)</f>
        <v>70.878443535057542</v>
      </c>
      <c r="M4" s="2">
        <f>('[1]Pc, Winter, S3'!M4*Main!$B$5)+(_xlfn.IFNA(VLOOKUP($A4,'FL Ratio'!$A$3:$B$10,2,FALSE),0)*'FL Characterization'!M$2)</f>
        <v>70.214528775090997</v>
      </c>
      <c r="N4" s="2">
        <f>('[1]Pc, Winter, S3'!N4*Main!$B$5)+(_xlfn.IFNA(VLOOKUP($A4,'FL Ratio'!$A$3:$B$10,2,FALSE),0)*'FL Characterization'!N$2)</f>
        <v>70.033048940414943</v>
      </c>
      <c r="O4" s="2">
        <f>('[1]Pc, Winter, S3'!O4*Main!$B$5)+(_xlfn.IFNA(VLOOKUP($A4,'FL Ratio'!$A$3:$B$10,2,FALSE),0)*'FL Characterization'!O$2)</f>
        <v>69.086913939710541</v>
      </c>
      <c r="P4" s="2">
        <f>('[1]Pc, Winter, S3'!P4*Main!$B$5)+(_xlfn.IFNA(VLOOKUP($A4,'FL Ratio'!$A$3:$B$10,2,FALSE),0)*'FL Characterization'!P$2)</f>
        <v>66.992745159098178</v>
      </c>
      <c r="Q4" s="2">
        <f>('[1]Pc, Winter, S3'!Q4*Main!$B$5)+(_xlfn.IFNA(VLOOKUP($A4,'FL Ratio'!$A$3:$B$10,2,FALSE),0)*'FL Characterization'!Q$2)</f>
        <v>65.781460765233149</v>
      </c>
      <c r="R4" s="2">
        <f>('[1]Pc, Winter, S3'!R4*Main!$B$5)+(_xlfn.IFNA(VLOOKUP($A4,'FL Ratio'!$A$3:$B$10,2,FALSE),0)*'FL Characterization'!R$2)</f>
        <v>67.600186410994283</v>
      </c>
      <c r="S4" s="2">
        <f>('[1]Pc, Winter, S3'!S4*Main!$B$5)+(_xlfn.IFNA(VLOOKUP($A4,'FL Ratio'!$A$3:$B$10,2,FALSE),0)*'FL Characterization'!S$2)</f>
        <v>77.099260856502511</v>
      </c>
      <c r="T4" s="2">
        <f>('[1]Pc, Winter, S3'!T4*Main!$B$5)+(_xlfn.IFNA(VLOOKUP($A4,'FL Ratio'!$A$3:$B$10,2,FALSE),0)*'FL Characterization'!T$2)</f>
        <v>78.060171955078047</v>
      </c>
      <c r="U4" s="2">
        <f>('[1]Pc, Winter, S3'!U4*Main!$B$5)+(_xlfn.IFNA(VLOOKUP($A4,'FL Ratio'!$A$3:$B$10,2,FALSE),0)*'FL Characterization'!U$2)</f>
        <v>78.297224728718405</v>
      </c>
      <c r="V4" s="2">
        <f>('[1]Pc, Winter, S3'!V4*Main!$B$5)+(_xlfn.IFNA(VLOOKUP($A4,'FL Ratio'!$A$3:$B$10,2,FALSE),0)*'FL Characterization'!V$2)</f>
        <v>76.257301829009322</v>
      </c>
      <c r="W4" s="2">
        <f>('[1]Pc, Winter, S3'!W4*Main!$B$5)+(_xlfn.IFNA(VLOOKUP($A4,'FL Ratio'!$A$3:$B$10,2,FALSE),0)*'FL Characterization'!W$2)</f>
        <v>72.502893859550866</v>
      </c>
      <c r="X4" s="2">
        <f>('[1]Pc, Winter, S3'!X4*Main!$B$5)+(_xlfn.IFNA(VLOOKUP($A4,'FL Ratio'!$A$3:$B$10,2,FALSE),0)*'FL Characterization'!X$2)</f>
        <v>67.915072508108054</v>
      </c>
      <c r="Y4" s="2">
        <f>('[1]Pc, Winter, S3'!Y4*Main!$B$5)+(_xlfn.IFNA(VLOOKUP($A4,'FL Ratio'!$A$3:$B$10,2,FALSE),0)*'FL Characterization'!Y$2)</f>
        <v>60.755212948046612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-15.8333187257193</v>
      </c>
      <c r="C2" s="2">
        <f>('[1]Qc, Winter, S1'!C2*Main!$B$5)</f>
        <v>-17.208643168564414</v>
      </c>
      <c r="D2" s="2">
        <f>('[1]Qc, Winter, S1'!D2*Main!$B$5)</f>
        <v>-18.536085092091394</v>
      </c>
      <c r="E2" s="2">
        <f>('[1]Qc, Winter, S1'!E2*Main!$B$5)</f>
        <v>-18.40114714437394</v>
      </c>
      <c r="F2" s="2">
        <f>('[1]Qc, Winter, S1'!F2*Main!$B$5)</f>
        <v>-19.046019727978724</v>
      </c>
      <c r="G2" s="2">
        <f>('[1]Qc, Winter, S1'!G2*Main!$B$5)</f>
        <v>-16.954542777306433</v>
      </c>
      <c r="H2" s="2">
        <f>('[1]Qc, Winter, S1'!H2*Main!$B$5)</f>
        <v>-12.625803472252095</v>
      </c>
      <c r="I2" s="2">
        <f>('[1]Qc, Winter, S1'!I2*Main!$B$5)</f>
        <v>-5.1970319316360438</v>
      </c>
      <c r="J2" s="2">
        <f>('[1]Qc, Winter, S1'!J2*Main!$B$5)</f>
        <v>-1.5304960149339031</v>
      </c>
      <c r="K2" s="2">
        <f>('[1]Qc, Winter, S1'!K2*Main!$B$5)</f>
        <v>-0.23942063334764163</v>
      </c>
      <c r="L2" s="2">
        <f>('[1]Qc, Winter, S1'!L2*Main!$B$5)</f>
        <v>-2.1493819557283542</v>
      </c>
      <c r="M2" s="2">
        <f>('[1]Qc, Winter, S1'!M2*Main!$B$5)</f>
        <v>-1.5801838748617589</v>
      </c>
      <c r="N2" s="2">
        <f>('[1]Qc, Winter, S1'!N2*Main!$B$5)</f>
        <v>-2.1871895508941996</v>
      </c>
      <c r="O2" s="2">
        <f>('[1]Qc, Winter, S1'!O2*Main!$B$5)</f>
        <v>-2.2063682739638657</v>
      </c>
      <c r="P2" s="2">
        <f>('[1]Qc, Winter, S1'!P2*Main!$B$5)</f>
        <v>-5.5777613126595265</v>
      </c>
      <c r="Q2" s="2">
        <f>('[1]Qc, Winter, S1'!Q2*Main!$B$5)</f>
        <v>-8.0328544590274618</v>
      </c>
      <c r="R2" s="2">
        <f>('[1]Qc, Winter, S1'!R2*Main!$B$5)</f>
        <v>-7.1437569485482904</v>
      </c>
      <c r="S2" s="2">
        <f>('[1]Qc, Winter, S1'!S2*Main!$B$5)</f>
        <v>-2.43854121166888</v>
      </c>
      <c r="T2" s="2">
        <f>('[1]Qc, Winter, S1'!T2*Main!$B$5)</f>
        <v>-3.5472030483149579</v>
      </c>
      <c r="U2" s="2">
        <f>('[1]Qc, Winter, S1'!U2*Main!$B$5)</f>
        <v>-4.4590037588899039</v>
      </c>
      <c r="V2" s="2">
        <f>('[1]Qc, Winter, S1'!V2*Main!$B$5)</f>
        <v>-7.0043047145347925</v>
      </c>
      <c r="W2" s="2">
        <f>('[1]Qc, Winter, S1'!W2*Main!$B$5)</f>
        <v>-9.0920423958759109</v>
      </c>
      <c r="X2" s="2">
        <f>('[1]Qc, Winter, S1'!X2*Main!$B$5)</f>
        <v>-12.198211487670049</v>
      </c>
      <c r="Y2" s="2">
        <f>('[1]Qc, Winter, S1'!Y2*Main!$B$5)</f>
        <v>-13.730124696350545</v>
      </c>
    </row>
    <row r="3" spans="1:25" x14ac:dyDescent="0.3">
      <c r="A3">
        <v>2</v>
      </c>
      <c r="B3" s="2">
        <f>('[1]Qc, Winter, S1'!B3*Main!$B$5)</f>
        <v>17.938234514580955</v>
      </c>
      <c r="C3" s="2">
        <f>('[1]Qc, Winter, S1'!C3*Main!$B$5)</f>
        <v>22.220356349308513</v>
      </c>
      <c r="D3" s="2">
        <f>('[1]Qc, Winter, S1'!D3*Main!$B$5)</f>
        <v>22.220356349308513</v>
      </c>
      <c r="E3" s="2">
        <f>('[1]Qc, Winter, S1'!E3*Main!$B$5)</f>
        <v>22.220356349308513</v>
      </c>
      <c r="F3" s="2">
        <f>('[1]Qc, Winter, S1'!F3*Main!$B$5)</f>
        <v>22.220356349308513</v>
      </c>
      <c r="G3" s="2">
        <f>('[1]Qc, Winter, S1'!G3*Main!$B$5)</f>
        <v>18.004115704802512</v>
      </c>
      <c r="H3" s="2">
        <f>('[1]Qc, Winter, S1'!H3*Main!$B$5)</f>
        <v>8.1662209047145389</v>
      </c>
      <c r="I3" s="2">
        <f>('[1]Qc, Winter, S1'!I3*Main!$B$5)</f>
        <v>1.0513163000457313</v>
      </c>
      <c r="J3" s="2">
        <f>('[1]Qc, Winter, S1'!J3*Main!$B$5)</f>
        <v>-6.1514204824046406</v>
      </c>
      <c r="K3" s="2">
        <f>('[1]Qc, Winter, S1'!K3*Main!$B$5)</f>
        <v>-6.1514204824046406</v>
      </c>
      <c r="L3" s="2">
        <f>('[1]Qc, Winter, S1'!L3*Main!$B$5)</f>
        <v>-0.52976628972997208</v>
      </c>
      <c r="M3" s="2">
        <f>('[1]Qc, Winter, S1'!M3*Main!$B$5)</f>
        <v>-6.4149452432908696</v>
      </c>
      <c r="N3" s="2">
        <f>('[1]Qc, Winter, S1'!N3*Main!$B$5)</f>
        <v>-6.4149452432908696</v>
      </c>
      <c r="O3" s="2">
        <f>('[1]Qc, Winter, S1'!O3*Main!$B$5)</f>
        <v>-4.9656109016411643</v>
      </c>
      <c r="P3" s="2">
        <f>('[1]Qc, Winter, S1'!P3*Main!$B$5)</f>
        <v>-0.61760787669204864</v>
      </c>
      <c r="Q3" s="2">
        <f>('[1]Qc, Winter, S1'!Q3*Main!$B$5)</f>
        <v>3.7303810159399502</v>
      </c>
      <c r="R3" s="2">
        <f>('[1]Qc, Winter, S1'!R3*Main!$B$5)</f>
        <v>5.1797106468172842</v>
      </c>
      <c r="S3" s="2">
        <f>('[1]Qc, Winter, S1'!S3*Main!$B$5)</f>
        <v>5.1797106468172842</v>
      </c>
      <c r="T3" s="2">
        <f>('[1]Qc, Winter, S1'!T3*Main!$B$5)</f>
        <v>5.1797106468172842</v>
      </c>
      <c r="U3" s="2">
        <f>('[1]Qc, Winter, S1'!U3*Main!$B$5)</f>
        <v>5.1797106468172842</v>
      </c>
      <c r="V3" s="2">
        <f>('[1]Qc, Winter, S1'!V3*Main!$B$5)</f>
        <v>5.1797106468172842</v>
      </c>
      <c r="W3" s="2">
        <f>('[1]Qc, Winter, S1'!W3*Main!$B$5)</f>
        <v>10.801364790035024</v>
      </c>
      <c r="X3" s="2">
        <f>('[1]Qc, Winter, S1'!X3*Main!$B$5)</f>
        <v>16.510860569671767</v>
      </c>
      <c r="Y3" s="2">
        <f>('[1]Qc, Winter, S1'!Y3*Main!$B$5)</f>
        <v>16.510860569671767</v>
      </c>
    </row>
    <row r="4" spans="1:25" x14ac:dyDescent="0.3">
      <c r="A4">
        <v>3</v>
      </c>
      <c r="B4" s="2">
        <f>('[1]Qc, Winter, S1'!B4*Main!$B$5)</f>
        <v>12.171962465208038</v>
      </c>
      <c r="C4" s="2">
        <f>('[1]Qc, Winter, S1'!C4*Main!$B$5)</f>
        <v>9.3891174806690749</v>
      </c>
      <c r="D4" s="2">
        <f>('[1]Qc, Winter, S1'!D4*Main!$B$5)</f>
        <v>8.0375650587166305</v>
      </c>
      <c r="E4" s="2">
        <f>('[1]Qc, Winter, S1'!E4*Main!$B$5)</f>
        <v>7.865291562940409</v>
      </c>
      <c r="F4" s="2">
        <f>('[1]Qc, Winter, S1'!F4*Main!$B$5)</f>
        <v>8.9393818373753113</v>
      </c>
      <c r="G4" s="2">
        <f>('[1]Qc, Winter, S1'!G4*Main!$B$5)</f>
        <v>11.099474340780516</v>
      </c>
      <c r="H4" s="2">
        <f>('[1]Qc, Winter, S1'!H4*Main!$B$5)</f>
        <v>17.220925412543192</v>
      </c>
      <c r="I4" s="2">
        <f>('[1]Qc, Winter, S1'!I4*Main!$B$5)</f>
        <v>21.023454828288511</v>
      </c>
      <c r="J4" s="2">
        <f>('[1]Qc, Winter, S1'!J4*Main!$B$5)</f>
        <v>24.289624242410859</v>
      </c>
      <c r="K4" s="2">
        <f>('[1]Qc, Winter, S1'!K4*Main!$B$5)</f>
        <v>26.747345887552964</v>
      </c>
      <c r="L4" s="2">
        <f>('[1]Qc, Winter, S1'!L4*Main!$B$5)</f>
        <v>26.97307297680377</v>
      </c>
      <c r="M4" s="2">
        <f>('[1]Qc, Winter, S1'!M4*Main!$B$5)</f>
        <v>26.48942394382021</v>
      </c>
      <c r="N4" s="2">
        <f>('[1]Qc, Winter, S1'!N4*Main!$B$5)</f>
        <v>26.602241027090002</v>
      </c>
      <c r="O4" s="2">
        <f>('[1]Qc, Winter, S1'!O4*Main!$B$5)</f>
        <v>26.330780454351373</v>
      </c>
      <c r="P4" s="2">
        <f>('[1]Qc, Winter, S1'!P4*Main!$B$5)</f>
        <v>23.753403303885001</v>
      </c>
      <c r="Q4" s="2">
        <f>('[1]Qc, Winter, S1'!Q4*Main!$B$5)</f>
        <v>22.567866086603832</v>
      </c>
      <c r="R4" s="2">
        <f>('[1]Qc, Winter, S1'!R4*Main!$B$5)</f>
        <v>23.290106464641216</v>
      </c>
      <c r="S4" s="2">
        <f>('[1]Qc, Winter, S1'!S4*Main!$B$5)</f>
        <v>31.743366213297875</v>
      </c>
      <c r="T4" s="2">
        <f>('[1]Qc, Winter, S1'!T4*Main!$B$5)</f>
        <v>31.697284473716344</v>
      </c>
      <c r="U4" s="2">
        <f>('[1]Qc, Winter, S1'!U4*Main!$B$5)</f>
        <v>30.730032437182626</v>
      </c>
      <c r="V4" s="2">
        <f>('[1]Qc, Winter, S1'!V4*Main!$B$5)</f>
        <v>28.4438866066656</v>
      </c>
      <c r="W4" s="2">
        <f>('[1]Qc, Winter, S1'!W4*Main!$B$5)</f>
        <v>25.296095900189631</v>
      </c>
      <c r="X4" s="2">
        <f>('[1]Qc, Winter, S1'!X4*Main!$B$5)</f>
        <v>20.632083682336575</v>
      </c>
      <c r="Y4" s="2">
        <f>('[1]Qc, Winter, S1'!Y4*Main!$B$5)</f>
        <v>15.82878286832657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-15.8333187257193</v>
      </c>
      <c r="C2" s="2">
        <f>('[1]Qc, Winter, S1'!C2*Main!$B$5)</f>
        <v>-17.208643168564414</v>
      </c>
      <c r="D2" s="2">
        <f>('[1]Qc, Winter, S1'!D2*Main!$B$5)</f>
        <v>-18.536085092091394</v>
      </c>
      <c r="E2" s="2">
        <f>('[1]Qc, Winter, S1'!E2*Main!$B$5)</f>
        <v>-18.40114714437394</v>
      </c>
      <c r="F2" s="2">
        <f>('[1]Qc, Winter, S1'!F2*Main!$B$5)</f>
        <v>-19.046019727978724</v>
      </c>
      <c r="G2" s="2">
        <f>('[1]Qc, Winter, S1'!G2*Main!$B$5)</f>
        <v>-16.954542777306433</v>
      </c>
      <c r="H2" s="2">
        <f>('[1]Qc, Winter, S1'!H2*Main!$B$5)</f>
        <v>-12.625803472252095</v>
      </c>
      <c r="I2" s="2">
        <f>('[1]Qc, Winter, S1'!I2*Main!$B$5)</f>
        <v>-5.1970319316360438</v>
      </c>
      <c r="J2" s="2">
        <f>('[1]Qc, Winter, S1'!J2*Main!$B$5)</f>
        <v>-1.5304960149339031</v>
      </c>
      <c r="K2" s="2">
        <f>('[1]Qc, Winter, S1'!K2*Main!$B$5)</f>
        <v>-0.23942063334764163</v>
      </c>
      <c r="L2" s="2">
        <f>('[1]Qc, Winter, S1'!L2*Main!$B$5)</f>
        <v>-2.1493819557283542</v>
      </c>
      <c r="M2" s="2">
        <f>('[1]Qc, Winter, S1'!M2*Main!$B$5)</f>
        <v>-1.5801838748617589</v>
      </c>
      <c r="N2" s="2">
        <f>('[1]Qc, Winter, S1'!N2*Main!$B$5)</f>
        <v>-2.1871895508941996</v>
      </c>
      <c r="O2" s="2">
        <f>('[1]Qc, Winter, S1'!O2*Main!$B$5)</f>
        <v>-2.2063682739638657</v>
      </c>
      <c r="P2" s="2">
        <f>('[1]Qc, Winter, S1'!P2*Main!$B$5)</f>
        <v>-5.5777613126595265</v>
      </c>
      <c r="Q2" s="2">
        <f>('[1]Qc, Winter, S1'!Q2*Main!$B$5)</f>
        <v>-8.0328544590274618</v>
      </c>
      <c r="R2" s="2">
        <f>('[1]Qc, Winter, S1'!R2*Main!$B$5)</f>
        <v>-7.1437569485482904</v>
      </c>
      <c r="S2" s="2">
        <f>('[1]Qc, Winter, S1'!S2*Main!$B$5)</f>
        <v>-2.43854121166888</v>
      </c>
      <c r="T2" s="2">
        <f>('[1]Qc, Winter, S1'!T2*Main!$B$5)</f>
        <v>-3.5472030483149579</v>
      </c>
      <c r="U2" s="2">
        <f>('[1]Qc, Winter, S1'!U2*Main!$B$5)</f>
        <v>-4.4590037588899039</v>
      </c>
      <c r="V2" s="2">
        <f>('[1]Qc, Winter, S1'!V2*Main!$B$5)</f>
        <v>-7.0043047145347925</v>
      </c>
      <c r="W2" s="2">
        <f>('[1]Qc, Winter, S1'!W2*Main!$B$5)</f>
        <v>-9.0920423958759109</v>
      </c>
      <c r="X2" s="2">
        <f>('[1]Qc, Winter, S1'!X2*Main!$B$5)</f>
        <v>-12.198211487670049</v>
      </c>
      <c r="Y2" s="2">
        <f>('[1]Qc, Winter, S1'!Y2*Main!$B$5)</f>
        <v>-13.730124696350545</v>
      </c>
    </row>
    <row r="3" spans="1:25" x14ac:dyDescent="0.3">
      <c r="A3">
        <v>2</v>
      </c>
      <c r="B3" s="2">
        <f>('[1]Qc, Winter, S1'!B3*Main!$B$5)</f>
        <v>17.938234514580955</v>
      </c>
      <c r="C3" s="2">
        <f>('[1]Qc, Winter, S1'!C3*Main!$B$5)</f>
        <v>22.220356349308513</v>
      </c>
      <c r="D3" s="2">
        <f>('[1]Qc, Winter, S1'!D3*Main!$B$5)</f>
        <v>22.220356349308513</v>
      </c>
      <c r="E3" s="2">
        <f>('[1]Qc, Winter, S1'!E3*Main!$B$5)</f>
        <v>22.220356349308513</v>
      </c>
      <c r="F3" s="2">
        <f>('[1]Qc, Winter, S1'!F3*Main!$B$5)</f>
        <v>22.220356349308513</v>
      </c>
      <c r="G3" s="2">
        <f>('[1]Qc, Winter, S1'!G3*Main!$B$5)</f>
        <v>18.004115704802512</v>
      </c>
      <c r="H3" s="2">
        <f>('[1]Qc, Winter, S1'!H3*Main!$B$5)</f>
        <v>8.1662209047145389</v>
      </c>
      <c r="I3" s="2">
        <f>('[1]Qc, Winter, S1'!I3*Main!$B$5)</f>
        <v>1.0513163000457313</v>
      </c>
      <c r="J3" s="2">
        <f>('[1]Qc, Winter, S1'!J3*Main!$B$5)</f>
        <v>-6.1514204824046406</v>
      </c>
      <c r="K3" s="2">
        <f>('[1]Qc, Winter, S1'!K3*Main!$B$5)</f>
        <v>-6.1514204824046406</v>
      </c>
      <c r="L3" s="2">
        <f>('[1]Qc, Winter, S1'!L3*Main!$B$5)</f>
        <v>-0.52976628972997208</v>
      </c>
      <c r="M3" s="2">
        <f>('[1]Qc, Winter, S1'!M3*Main!$B$5)</f>
        <v>-6.4149452432908696</v>
      </c>
      <c r="N3" s="2">
        <f>('[1]Qc, Winter, S1'!N3*Main!$B$5)</f>
        <v>-6.4149452432908696</v>
      </c>
      <c r="O3" s="2">
        <f>('[1]Qc, Winter, S1'!O3*Main!$B$5)</f>
        <v>-4.9656109016411643</v>
      </c>
      <c r="P3" s="2">
        <f>('[1]Qc, Winter, S1'!P3*Main!$B$5)</f>
        <v>-0.61760787669204864</v>
      </c>
      <c r="Q3" s="2">
        <f>('[1]Qc, Winter, S1'!Q3*Main!$B$5)</f>
        <v>3.7303810159399502</v>
      </c>
      <c r="R3" s="2">
        <f>('[1]Qc, Winter, S1'!R3*Main!$B$5)</f>
        <v>5.1797106468172842</v>
      </c>
      <c r="S3" s="2">
        <f>('[1]Qc, Winter, S1'!S3*Main!$B$5)</f>
        <v>5.1797106468172842</v>
      </c>
      <c r="T3" s="2">
        <f>('[1]Qc, Winter, S1'!T3*Main!$B$5)</f>
        <v>5.1797106468172842</v>
      </c>
      <c r="U3" s="2">
        <f>('[1]Qc, Winter, S1'!U3*Main!$B$5)</f>
        <v>5.1797106468172842</v>
      </c>
      <c r="V3" s="2">
        <f>('[1]Qc, Winter, S1'!V3*Main!$B$5)</f>
        <v>5.1797106468172842</v>
      </c>
      <c r="W3" s="2">
        <f>('[1]Qc, Winter, S1'!W3*Main!$B$5)</f>
        <v>10.801364790035024</v>
      </c>
      <c r="X3" s="2">
        <f>('[1]Qc, Winter, S1'!X3*Main!$B$5)</f>
        <v>16.510860569671767</v>
      </c>
      <c r="Y3" s="2">
        <f>('[1]Qc, Winter, S1'!Y3*Main!$B$5)</f>
        <v>16.510860569671767</v>
      </c>
    </row>
    <row r="4" spans="1:25" x14ac:dyDescent="0.3">
      <c r="A4">
        <v>3</v>
      </c>
      <c r="B4" s="2">
        <f>('[1]Qc, Winter, S1'!B4*Main!$B$5)</f>
        <v>12.171962465208038</v>
      </c>
      <c r="C4" s="2">
        <f>('[1]Qc, Winter, S1'!C4*Main!$B$5)</f>
        <v>9.3891174806690749</v>
      </c>
      <c r="D4" s="2">
        <f>('[1]Qc, Winter, S1'!D4*Main!$B$5)</f>
        <v>8.0375650587166305</v>
      </c>
      <c r="E4" s="2">
        <f>('[1]Qc, Winter, S1'!E4*Main!$B$5)</f>
        <v>7.865291562940409</v>
      </c>
      <c r="F4" s="2">
        <f>('[1]Qc, Winter, S1'!F4*Main!$B$5)</f>
        <v>8.9393818373753113</v>
      </c>
      <c r="G4" s="2">
        <f>('[1]Qc, Winter, S1'!G4*Main!$B$5)</f>
        <v>11.099474340780516</v>
      </c>
      <c r="H4" s="2">
        <f>('[1]Qc, Winter, S1'!H4*Main!$B$5)</f>
        <v>17.220925412543192</v>
      </c>
      <c r="I4" s="2">
        <f>('[1]Qc, Winter, S1'!I4*Main!$B$5)</f>
        <v>21.023454828288511</v>
      </c>
      <c r="J4" s="2">
        <f>('[1]Qc, Winter, S1'!J4*Main!$B$5)</f>
        <v>24.289624242410859</v>
      </c>
      <c r="K4" s="2">
        <f>('[1]Qc, Winter, S1'!K4*Main!$B$5)</f>
        <v>26.747345887552964</v>
      </c>
      <c r="L4" s="2">
        <f>('[1]Qc, Winter, S1'!L4*Main!$B$5)</f>
        <v>26.97307297680377</v>
      </c>
      <c r="M4" s="2">
        <f>('[1]Qc, Winter, S1'!M4*Main!$B$5)</f>
        <v>26.48942394382021</v>
      </c>
      <c r="N4" s="2">
        <f>('[1]Qc, Winter, S1'!N4*Main!$B$5)</f>
        <v>26.602241027090002</v>
      </c>
      <c r="O4" s="2">
        <f>('[1]Qc, Winter, S1'!O4*Main!$B$5)</f>
        <v>26.330780454351373</v>
      </c>
      <c r="P4" s="2">
        <f>('[1]Qc, Winter, S1'!P4*Main!$B$5)</f>
        <v>23.753403303885001</v>
      </c>
      <c r="Q4" s="2">
        <f>('[1]Qc, Winter, S1'!Q4*Main!$B$5)</f>
        <v>22.567866086603832</v>
      </c>
      <c r="R4" s="2">
        <f>('[1]Qc, Winter, S1'!R4*Main!$B$5)</f>
        <v>23.290106464641216</v>
      </c>
      <c r="S4" s="2">
        <f>('[1]Qc, Winter, S1'!S4*Main!$B$5)</f>
        <v>31.743366213297875</v>
      </c>
      <c r="T4" s="2">
        <f>('[1]Qc, Winter, S1'!T4*Main!$B$5)</f>
        <v>31.697284473716344</v>
      </c>
      <c r="U4" s="2">
        <f>('[1]Qc, Winter, S1'!U4*Main!$B$5)</f>
        <v>30.730032437182626</v>
      </c>
      <c r="V4" s="2">
        <f>('[1]Qc, Winter, S1'!V4*Main!$B$5)</f>
        <v>28.4438866066656</v>
      </c>
      <c r="W4" s="2">
        <f>('[1]Qc, Winter, S1'!W4*Main!$B$5)</f>
        <v>25.296095900189631</v>
      </c>
      <c r="X4" s="2">
        <f>('[1]Qc, Winter, S1'!X4*Main!$B$5)</f>
        <v>20.632083682336575</v>
      </c>
      <c r="Y4" s="2">
        <f>('[1]Qc, Winter, S1'!Y4*Main!$B$5)</f>
        <v>15.82878286832657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-15.8333187257193</v>
      </c>
      <c r="C2" s="2">
        <f>('[1]Qc, Winter, S1'!C2*Main!$B$5)</f>
        <v>-17.208643168564414</v>
      </c>
      <c r="D2" s="2">
        <f>('[1]Qc, Winter, S1'!D2*Main!$B$5)</f>
        <v>-18.536085092091394</v>
      </c>
      <c r="E2" s="2">
        <f>('[1]Qc, Winter, S1'!E2*Main!$B$5)</f>
        <v>-18.40114714437394</v>
      </c>
      <c r="F2" s="2">
        <f>('[1]Qc, Winter, S1'!F2*Main!$B$5)</f>
        <v>-19.046019727978724</v>
      </c>
      <c r="G2" s="2">
        <f>('[1]Qc, Winter, S1'!G2*Main!$B$5)</f>
        <v>-16.954542777306433</v>
      </c>
      <c r="H2" s="2">
        <f>('[1]Qc, Winter, S1'!H2*Main!$B$5)</f>
        <v>-12.625803472252095</v>
      </c>
      <c r="I2" s="2">
        <f>('[1]Qc, Winter, S1'!I2*Main!$B$5)</f>
        <v>-5.1970319316360438</v>
      </c>
      <c r="J2" s="2">
        <f>('[1]Qc, Winter, S1'!J2*Main!$B$5)</f>
        <v>-1.5304960149339031</v>
      </c>
      <c r="K2" s="2">
        <f>('[1]Qc, Winter, S1'!K2*Main!$B$5)</f>
        <v>-0.23942063334764163</v>
      </c>
      <c r="L2" s="2">
        <f>('[1]Qc, Winter, S1'!L2*Main!$B$5)</f>
        <v>-2.1493819557283542</v>
      </c>
      <c r="M2" s="2">
        <f>('[1]Qc, Winter, S1'!M2*Main!$B$5)</f>
        <v>-1.5801838748617589</v>
      </c>
      <c r="N2" s="2">
        <f>('[1]Qc, Winter, S1'!N2*Main!$B$5)</f>
        <v>-2.1871895508941996</v>
      </c>
      <c r="O2" s="2">
        <f>('[1]Qc, Winter, S1'!O2*Main!$B$5)</f>
        <v>-2.2063682739638657</v>
      </c>
      <c r="P2" s="2">
        <f>('[1]Qc, Winter, S1'!P2*Main!$B$5)</f>
        <v>-5.5777613126595265</v>
      </c>
      <c r="Q2" s="2">
        <f>('[1]Qc, Winter, S1'!Q2*Main!$B$5)</f>
        <v>-8.0328544590274618</v>
      </c>
      <c r="R2" s="2">
        <f>('[1]Qc, Winter, S1'!R2*Main!$B$5)</f>
        <v>-7.1437569485482904</v>
      </c>
      <c r="S2" s="2">
        <f>('[1]Qc, Winter, S1'!S2*Main!$B$5)</f>
        <v>-2.43854121166888</v>
      </c>
      <c r="T2" s="2">
        <f>('[1]Qc, Winter, S1'!T2*Main!$B$5)</f>
        <v>-3.5472030483149579</v>
      </c>
      <c r="U2" s="2">
        <f>('[1]Qc, Winter, S1'!U2*Main!$B$5)</f>
        <v>-4.4590037588899039</v>
      </c>
      <c r="V2" s="2">
        <f>('[1]Qc, Winter, S1'!V2*Main!$B$5)</f>
        <v>-7.0043047145347925</v>
      </c>
      <c r="W2" s="2">
        <f>('[1]Qc, Winter, S1'!W2*Main!$B$5)</f>
        <v>-9.0920423958759109</v>
      </c>
      <c r="X2" s="2">
        <f>('[1]Qc, Winter, S1'!X2*Main!$B$5)</f>
        <v>-12.198211487670049</v>
      </c>
      <c r="Y2" s="2">
        <f>('[1]Qc, Winter, S1'!Y2*Main!$B$5)</f>
        <v>-13.730124696350545</v>
      </c>
    </row>
    <row r="3" spans="1:25" x14ac:dyDescent="0.3">
      <c r="A3">
        <v>2</v>
      </c>
      <c r="B3" s="2">
        <f>('[1]Qc, Winter, S1'!B3*Main!$B$5)</f>
        <v>17.938234514580955</v>
      </c>
      <c r="C3" s="2">
        <f>('[1]Qc, Winter, S1'!C3*Main!$B$5)</f>
        <v>22.220356349308513</v>
      </c>
      <c r="D3" s="2">
        <f>('[1]Qc, Winter, S1'!D3*Main!$B$5)</f>
        <v>22.220356349308513</v>
      </c>
      <c r="E3" s="2">
        <f>('[1]Qc, Winter, S1'!E3*Main!$B$5)</f>
        <v>22.220356349308513</v>
      </c>
      <c r="F3" s="2">
        <f>('[1]Qc, Winter, S1'!F3*Main!$B$5)</f>
        <v>22.220356349308513</v>
      </c>
      <c r="G3" s="2">
        <f>('[1]Qc, Winter, S1'!G3*Main!$B$5)</f>
        <v>18.004115704802512</v>
      </c>
      <c r="H3" s="2">
        <f>('[1]Qc, Winter, S1'!H3*Main!$B$5)</f>
        <v>8.1662209047145389</v>
      </c>
      <c r="I3" s="2">
        <f>('[1]Qc, Winter, S1'!I3*Main!$B$5)</f>
        <v>1.0513163000457313</v>
      </c>
      <c r="J3" s="2">
        <f>('[1]Qc, Winter, S1'!J3*Main!$B$5)</f>
        <v>-6.1514204824046406</v>
      </c>
      <c r="K3" s="2">
        <f>('[1]Qc, Winter, S1'!K3*Main!$B$5)</f>
        <v>-6.1514204824046406</v>
      </c>
      <c r="L3" s="2">
        <f>('[1]Qc, Winter, S1'!L3*Main!$B$5)</f>
        <v>-0.52976628972997208</v>
      </c>
      <c r="M3" s="2">
        <f>('[1]Qc, Winter, S1'!M3*Main!$B$5)</f>
        <v>-6.4149452432908696</v>
      </c>
      <c r="N3" s="2">
        <f>('[1]Qc, Winter, S1'!N3*Main!$B$5)</f>
        <v>-6.4149452432908696</v>
      </c>
      <c r="O3" s="2">
        <f>('[1]Qc, Winter, S1'!O3*Main!$B$5)</f>
        <v>-4.9656109016411643</v>
      </c>
      <c r="P3" s="2">
        <f>('[1]Qc, Winter, S1'!P3*Main!$B$5)</f>
        <v>-0.61760787669204864</v>
      </c>
      <c r="Q3" s="2">
        <f>('[1]Qc, Winter, S1'!Q3*Main!$B$5)</f>
        <v>3.7303810159399502</v>
      </c>
      <c r="R3" s="2">
        <f>('[1]Qc, Winter, S1'!R3*Main!$B$5)</f>
        <v>5.1797106468172842</v>
      </c>
      <c r="S3" s="2">
        <f>('[1]Qc, Winter, S1'!S3*Main!$B$5)</f>
        <v>5.1797106468172842</v>
      </c>
      <c r="T3" s="2">
        <f>('[1]Qc, Winter, S1'!T3*Main!$B$5)</f>
        <v>5.1797106468172842</v>
      </c>
      <c r="U3" s="2">
        <f>('[1]Qc, Winter, S1'!U3*Main!$B$5)</f>
        <v>5.1797106468172842</v>
      </c>
      <c r="V3" s="2">
        <f>('[1]Qc, Winter, S1'!V3*Main!$B$5)</f>
        <v>5.1797106468172842</v>
      </c>
      <c r="W3" s="2">
        <f>('[1]Qc, Winter, S1'!W3*Main!$B$5)</f>
        <v>10.801364790035024</v>
      </c>
      <c r="X3" s="2">
        <f>('[1]Qc, Winter, S1'!X3*Main!$B$5)</f>
        <v>16.510860569671767</v>
      </c>
      <c r="Y3" s="2">
        <f>('[1]Qc, Winter, S1'!Y3*Main!$B$5)</f>
        <v>16.510860569671767</v>
      </c>
    </row>
    <row r="4" spans="1:25" x14ac:dyDescent="0.3">
      <c r="A4">
        <v>3</v>
      </c>
      <c r="B4" s="2">
        <f>('[1]Qc, Winter, S1'!B4*Main!$B$5)</f>
        <v>12.171962465208038</v>
      </c>
      <c r="C4" s="2">
        <f>('[1]Qc, Winter, S1'!C4*Main!$B$5)</f>
        <v>9.3891174806690749</v>
      </c>
      <c r="D4" s="2">
        <f>('[1]Qc, Winter, S1'!D4*Main!$B$5)</f>
        <v>8.0375650587166305</v>
      </c>
      <c r="E4" s="2">
        <f>('[1]Qc, Winter, S1'!E4*Main!$B$5)</f>
        <v>7.865291562940409</v>
      </c>
      <c r="F4" s="2">
        <f>('[1]Qc, Winter, S1'!F4*Main!$B$5)</f>
        <v>8.9393818373753113</v>
      </c>
      <c r="G4" s="2">
        <f>('[1]Qc, Winter, S1'!G4*Main!$B$5)</f>
        <v>11.099474340780516</v>
      </c>
      <c r="H4" s="2">
        <f>('[1]Qc, Winter, S1'!H4*Main!$B$5)</f>
        <v>17.220925412543192</v>
      </c>
      <c r="I4" s="2">
        <f>('[1]Qc, Winter, S1'!I4*Main!$B$5)</f>
        <v>21.023454828288511</v>
      </c>
      <c r="J4" s="2">
        <f>('[1]Qc, Winter, S1'!J4*Main!$B$5)</f>
        <v>24.289624242410859</v>
      </c>
      <c r="K4" s="2">
        <f>('[1]Qc, Winter, S1'!K4*Main!$B$5)</f>
        <v>26.747345887552964</v>
      </c>
      <c r="L4" s="2">
        <f>('[1]Qc, Winter, S1'!L4*Main!$B$5)</f>
        <v>26.97307297680377</v>
      </c>
      <c r="M4" s="2">
        <f>('[1]Qc, Winter, S1'!M4*Main!$B$5)</f>
        <v>26.48942394382021</v>
      </c>
      <c r="N4" s="2">
        <f>('[1]Qc, Winter, S1'!N4*Main!$B$5)</f>
        <v>26.602241027090002</v>
      </c>
      <c r="O4" s="2">
        <f>('[1]Qc, Winter, S1'!O4*Main!$B$5)</f>
        <v>26.330780454351373</v>
      </c>
      <c r="P4" s="2">
        <f>('[1]Qc, Winter, S1'!P4*Main!$B$5)</f>
        <v>23.753403303885001</v>
      </c>
      <c r="Q4" s="2">
        <f>('[1]Qc, Winter, S1'!Q4*Main!$B$5)</f>
        <v>22.567866086603832</v>
      </c>
      <c r="R4" s="2">
        <f>('[1]Qc, Winter, S1'!R4*Main!$B$5)</f>
        <v>23.290106464641216</v>
      </c>
      <c r="S4" s="2">
        <f>('[1]Qc, Winter, S1'!S4*Main!$B$5)</f>
        <v>31.743366213297875</v>
      </c>
      <c r="T4" s="2">
        <f>('[1]Qc, Winter, S1'!T4*Main!$B$5)</f>
        <v>31.697284473716344</v>
      </c>
      <c r="U4" s="2">
        <f>('[1]Qc, Winter, S1'!U4*Main!$B$5)</f>
        <v>30.730032437182626</v>
      </c>
      <c r="V4" s="2">
        <f>('[1]Qc, Winter, S1'!V4*Main!$B$5)</f>
        <v>28.4438866066656</v>
      </c>
      <c r="W4" s="2">
        <f>('[1]Qc, Winter, S1'!W4*Main!$B$5)</f>
        <v>25.296095900189631</v>
      </c>
      <c r="X4" s="2">
        <f>('[1]Qc, Winter, S1'!X4*Main!$B$5)</f>
        <v>20.632083682336575</v>
      </c>
      <c r="Y4" s="2">
        <f>('[1]Qc, Winter, S1'!Y4*Main!$B$5)</f>
        <v>15.82878286832657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-16.308318287490881</v>
      </c>
      <c r="C2" s="2">
        <f>('[1]Qc, Winter, S2'!C2*Main!$B$5)</f>
        <v>-17.724902463621348</v>
      </c>
      <c r="D2" s="2">
        <f>('[1]Qc, Winter, S2'!D2*Main!$B$5)</f>
        <v>-19.092167644854136</v>
      </c>
      <c r="E2" s="2">
        <f>('[1]Qc, Winter, S2'!E2*Main!$B$5)</f>
        <v>-18.953181558705158</v>
      </c>
      <c r="F2" s="2">
        <f>('[1]Qc, Winter, S2'!F2*Main!$B$5)</f>
        <v>-19.617400319818088</v>
      </c>
      <c r="G2" s="2">
        <f>('[1]Qc, Winter, S2'!G2*Main!$B$5)</f>
        <v>-17.463179060625627</v>
      </c>
      <c r="H2" s="2">
        <f>('[1]Qc, Winter, S2'!H2*Main!$B$5)</f>
        <v>-13.004577576419656</v>
      </c>
      <c r="I2" s="2">
        <f>('[1]Qc, Winter, S2'!I2*Main!$B$5)</f>
        <v>-5.3529428895851243</v>
      </c>
      <c r="J2" s="2">
        <f>('[1]Qc, Winter, S2'!J2*Main!$B$5)</f>
        <v>-1.57641089538192</v>
      </c>
      <c r="K2" s="2">
        <f>('[1]Qc, Winter, S2'!K2*Main!$B$5)</f>
        <v>-0.24660325234807087</v>
      </c>
      <c r="L2" s="2">
        <f>('[1]Qc, Winter, S2'!L2*Main!$B$5)</f>
        <v>-2.2138634144002047</v>
      </c>
      <c r="M2" s="2">
        <f>('[1]Qc, Winter, S2'!M2*Main!$B$5)</f>
        <v>-1.6275893911076118</v>
      </c>
      <c r="N2" s="2">
        <f>('[1]Qc, Winter, S2'!N2*Main!$B$5)</f>
        <v>-2.2528052374210255</v>
      </c>
      <c r="O2" s="2">
        <f>('[1]Qc, Winter, S2'!O2*Main!$B$5)</f>
        <v>-2.2725593221827816</v>
      </c>
      <c r="P2" s="2">
        <f>('[1]Qc, Winter, S2'!P2*Main!$B$5)</f>
        <v>-5.7450941520393117</v>
      </c>
      <c r="Q2" s="2">
        <f>('[1]Qc, Winter, S2'!Q2*Main!$B$5)</f>
        <v>-8.2738400927982862</v>
      </c>
      <c r="R2" s="2">
        <f>('[1]Qc, Winter, S2'!R2*Main!$B$5)</f>
        <v>-7.3580696570047399</v>
      </c>
      <c r="S2" s="2">
        <f>('[1]Qc, Winter, S2'!S2*Main!$B$5)</f>
        <v>-2.5116974480189467</v>
      </c>
      <c r="T2" s="2">
        <f>('[1]Qc, Winter, S2'!T2*Main!$B$5)</f>
        <v>-3.6536191397644071</v>
      </c>
      <c r="U2" s="2">
        <f>('[1]Qc, Winter, S2'!U2*Main!$B$5)</f>
        <v>-4.5927738716566004</v>
      </c>
      <c r="V2" s="2">
        <f>('[1]Qc, Winter, S2'!V2*Main!$B$5)</f>
        <v>-7.214433855970837</v>
      </c>
      <c r="W2" s="2">
        <f>('[1]Qc, Winter, S2'!W2*Main!$B$5)</f>
        <v>-9.3648036677521898</v>
      </c>
      <c r="X2" s="2">
        <f>('[1]Qc, Winter, S2'!X2*Main!$B$5)</f>
        <v>-12.564157832300152</v>
      </c>
      <c r="Y2" s="2">
        <f>('[1]Qc, Winter, S2'!Y2*Main!$B$5)</f>
        <v>-14.142028437241061</v>
      </c>
    </row>
    <row r="3" spans="1:25" x14ac:dyDescent="0.3">
      <c r="A3">
        <v>2</v>
      </c>
      <c r="B3" s="2">
        <f>('[1]Qc, Winter, S2'!B3*Main!$B$5)</f>
        <v>18.476381550018385</v>
      </c>
      <c r="C3" s="2">
        <f>('[1]Qc, Winter, S2'!C3*Main!$B$5)</f>
        <v>22.88696703978777</v>
      </c>
      <c r="D3" s="2">
        <f>('[1]Qc, Winter, S2'!D3*Main!$B$5)</f>
        <v>22.88696703978777</v>
      </c>
      <c r="E3" s="2">
        <f>('[1]Qc, Winter, S2'!E3*Main!$B$5)</f>
        <v>22.88696703978777</v>
      </c>
      <c r="F3" s="2">
        <f>('[1]Qc, Winter, S2'!F3*Main!$B$5)</f>
        <v>22.88696703978777</v>
      </c>
      <c r="G3" s="2">
        <f>('[1]Qc, Winter, S2'!G3*Main!$B$5)</f>
        <v>18.54423917594659</v>
      </c>
      <c r="H3" s="2">
        <f>('[1]Qc, Winter, S2'!H3*Main!$B$5)</f>
        <v>8.4112075318559754</v>
      </c>
      <c r="I3" s="2">
        <f>('[1]Qc, Winter, S2'!I3*Main!$B$5)</f>
        <v>1.0828557890471033</v>
      </c>
      <c r="J3" s="2">
        <f>('[1]Qc, Winter, S2'!J3*Main!$B$5)</f>
        <v>-6.3359630968767799</v>
      </c>
      <c r="K3" s="2">
        <f>('[1]Qc, Winter, S2'!K3*Main!$B$5)</f>
        <v>-6.3359630968767799</v>
      </c>
      <c r="L3" s="2">
        <f>('[1]Qc, Winter, S2'!L3*Main!$B$5)</f>
        <v>-0.54565927842187123</v>
      </c>
      <c r="M3" s="2">
        <f>('[1]Qc, Winter, S2'!M3*Main!$B$5)</f>
        <v>-6.6073936005895968</v>
      </c>
      <c r="N3" s="2">
        <f>('[1]Qc, Winter, S2'!N3*Main!$B$5)</f>
        <v>-6.6073936005895968</v>
      </c>
      <c r="O3" s="2">
        <f>('[1]Qc, Winter, S2'!O3*Main!$B$5)</f>
        <v>-5.114579228690399</v>
      </c>
      <c r="P3" s="2">
        <f>('[1]Qc, Winter, S2'!P3*Main!$B$5)</f>
        <v>-0.63613611299281014</v>
      </c>
      <c r="Q3" s="2">
        <f>('[1]Qc, Winter, S2'!Q3*Main!$B$5)</f>
        <v>3.8422924464181492</v>
      </c>
      <c r="R3" s="2">
        <f>('[1]Qc, Winter, S2'!R3*Main!$B$5)</f>
        <v>5.3351019662218029</v>
      </c>
      <c r="S3" s="2">
        <f>('[1]Qc, Winter, S2'!S3*Main!$B$5)</f>
        <v>5.3351019662218029</v>
      </c>
      <c r="T3" s="2">
        <f>('[1]Qc, Winter, S2'!T3*Main!$B$5)</f>
        <v>5.3351019662218029</v>
      </c>
      <c r="U3" s="2">
        <f>('[1]Qc, Winter, S2'!U3*Main!$B$5)</f>
        <v>5.3351019662218029</v>
      </c>
      <c r="V3" s="2">
        <f>('[1]Qc, Winter, S2'!V3*Main!$B$5)</f>
        <v>5.3351019662218029</v>
      </c>
      <c r="W3" s="2">
        <f>('[1]Qc, Winter, S2'!W3*Main!$B$5)</f>
        <v>11.125405733736075</v>
      </c>
      <c r="X3" s="2">
        <f>('[1]Qc, Winter, S2'!X3*Main!$B$5)</f>
        <v>17.006186386761922</v>
      </c>
      <c r="Y3" s="2">
        <f>('[1]Qc, Winter, S2'!Y3*Main!$B$5)</f>
        <v>17.006186386761922</v>
      </c>
    </row>
    <row r="4" spans="1:25" x14ac:dyDescent="0.3">
      <c r="A4">
        <v>3</v>
      </c>
      <c r="B4" s="2">
        <f>('[1]Qc, Winter, S2'!B4*Main!$B$5)</f>
        <v>12.53712133916428</v>
      </c>
      <c r="C4" s="2">
        <f>('[1]Qc, Winter, S2'!C4*Main!$B$5)</f>
        <v>9.6707910050891464</v>
      </c>
      <c r="D4" s="2">
        <f>('[1]Qc, Winter, S2'!D4*Main!$B$5)</f>
        <v>8.2786920104781281</v>
      </c>
      <c r="E4" s="2">
        <f>('[1]Qc, Winter, S2'!E4*Main!$B$5)</f>
        <v>8.1012503098286217</v>
      </c>
      <c r="F4" s="2">
        <f>('[1]Qc, Winter, S2'!F4*Main!$B$5)</f>
        <v>9.2075632924965713</v>
      </c>
      <c r="G4" s="2">
        <f>('[1]Qc, Winter, S2'!G4*Main!$B$5)</f>
        <v>11.432458571003931</v>
      </c>
      <c r="H4" s="2">
        <f>('[1]Qc, Winter, S2'!H4*Main!$B$5)</f>
        <v>17.737553174919491</v>
      </c>
      <c r="I4" s="2">
        <f>('[1]Qc, Winter, S2'!I4*Main!$B$5)</f>
        <v>21.654158473137166</v>
      </c>
      <c r="J4" s="2">
        <f>('[1]Qc, Winter, S2'!J4*Main!$B$5)</f>
        <v>25.018312969683191</v>
      </c>
      <c r="K4" s="2">
        <f>('[1]Qc, Winter, S2'!K4*Main!$B$5)</f>
        <v>27.549766264179553</v>
      </c>
      <c r="L4" s="2">
        <f>('[1]Qc, Winter, S2'!L4*Main!$B$5)</f>
        <v>27.78226516610788</v>
      </c>
      <c r="M4" s="2">
        <f>('[1]Qc, Winter, S2'!M4*Main!$B$5)</f>
        <v>27.284106662134814</v>
      </c>
      <c r="N4" s="2">
        <f>('[1]Qc, Winter, S2'!N4*Main!$B$5)</f>
        <v>27.400308257902704</v>
      </c>
      <c r="O4" s="2">
        <f>('[1]Qc, Winter, S2'!O4*Main!$B$5)</f>
        <v>27.120703867981913</v>
      </c>
      <c r="P4" s="2">
        <f>('[1]Qc, Winter, S2'!P4*Main!$B$5)</f>
        <v>24.466005403001553</v>
      </c>
      <c r="Q4" s="2">
        <f>('[1]Qc, Winter, S2'!Q4*Main!$B$5)</f>
        <v>23.244902069201949</v>
      </c>
      <c r="R4" s="2">
        <f>('[1]Qc, Winter, S2'!R4*Main!$B$5)</f>
        <v>23.98880965858045</v>
      </c>
      <c r="S4" s="2">
        <f>('[1]Qc, Winter, S2'!S4*Main!$B$5)</f>
        <v>32.695667199696814</v>
      </c>
      <c r="T4" s="2">
        <f>('[1]Qc, Winter, S2'!T4*Main!$B$5)</f>
        <v>32.648203007927833</v>
      </c>
      <c r="U4" s="2">
        <f>('[1]Qc, Winter, S2'!U4*Main!$B$5)</f>
        <v>31.651933410298106</v>
      </c>
      <c r="V4" s="2">
        <f>('[1]Qc, Winter, S2'!V4*Main!$B$5)</f>
        <v>29.297203204865568</v>
      </c>
      <c r="W4" s="2">
        <f>('[1]Qc, Winter, S2'!W4*Main!$B$5)</f>
        <v>26.054978777195316</v>
      </c>
      <c r="X4" s="2">
        <f>('[1]Qc, Winter, S2'!X4*Main!$B$5)</f>
        <v>21.251046192806676</v>
      </c>
      <c r="Y4" s="2">
        <f>('[1]Qc, Winter, S2'!Y4*Main!$B$5)</f>
        <v>16.303646354376369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-16.308318287490881</v>
      </c>
      <c r="C2" s="2">
        <f>('[1]Qc, Winter, S2'!C2*Main!$B$5)</f>
        <v>-17.724902463621348</v>
      </c>
      <c r="D2" s="2">
        <f>('[1]Qc, Winter, S2'!D2*Main!$B$5)</f>
        <v>-19.092167644854136</v>
      </c>
      <c r="E2" s="2">
        <f>('[1]Qc, Winter, S2'!E2*Main!$B$5)</f>
        <v>-18.953181558705158</v>
      </c>
      <c r="F2" s="2">
        <f>('[1]Qc, Winter, S2'!F2*Main!$B$5)</f>
        <v>-19.617400319818088</v>
      </c>
      <c r="G2" s="2">
        <f>('[1]Qc, Winter, S2'!G2*Main!$B$5)</f>
        <v>-17.463179060625627</v>
      </c>
      <c r="H2" s="2">
        <f>('[1]Qc, Winter, S2'!H2*Main!$B$5)</f>
        <v>-13.004577576419656</v>
      </c>
      <c r="I2" s="2">
        <f>('[1]Qc, Winter, S2'!I2*Main!$B$5)</f>
        <v>-5.3529428895851243</v>
      </c>
      <c r="J2" s="2">
        <f>('[1]Qc, Winter, S2'!J2*Main!$B$5)</f>
        <v>-1.57641089538192</v>
      </c>
      <c r="K2" s="2">
        <f>('[1]Qc, Winter, S2'!K2*Main!$B$5)</f>
        <v>-0.24660325234807087</v>
      </c>
      <c r="L2" s="2">
        <f>('[1]Qc, Winter, S2'!L2*Main!$B$5)</f>
        <v>-2.2138634144002047</v>
      </c>
      <c r="M2" s="2">
        <f>('[1]Qc, Winter, S2'!M2*Main!$B$5)</f>
        <v>-1.6275893911076118</v>
      </c>
      <c r="N2" s="2">
        <f>('[1]Qc, Winter, S2'!N2*Main!$B$5)</f>
        <v>-2.2528052374210255</v>
      </c>
      <c r="O2" s="2">
        <f>('[1]Qc, Winter, S2'!O2*Main!$B$5)</f>
        <v>-2.2725593221827816</v>
      </c>
      <c r="P2" s="2">
        <f>('[1]Qc, Winter, S2'!P2*Main!$B$5)</f>
        <v>-5.7450941520393117</v>
      </c>
      <c r="Q2" s="2">
        <f>('[1]Qc, Winter, S2'!Q2*Main!$B$5)</f>
        <v>-8.2738400927982862</v>
      </c>
      <c r="R2" s="2">
        <f>('[1]Qc, Winter, S2'!R2*Main!$B$5)</f>
        <v>-7.3580696570047399</v>
      </c>
      <c r="S2" s="2">
        <f>('[1]Qc, Winter, S2'!S2*Main!$B$5)</f>
        <v>-2.5116974480189467</v>
      </c>
      <c r="T2" s="2">
        <f>('[1]Qc, Winter, S2'!T2*Main!$B$5)</f>
        <v>-3.6536191397644071</v>
      </c>
      <c r="U2" s="2">
        <f>('[1]Qc, Winter, S2'!U2*Main!$B$5)</f>
        <v>-4.5927738716566004</v>
      </c>
      <c r="V2" s="2">
        <f>('[1]Qc, Winter, S2'!V2*Main!$B$5)</f>
        <v>-7.214433855970837</v>
      </c>
      <c r="W2" s="2">
        <f>('[1]Qc, Winter, S2'!W2*Main!$B$5)</f>
        <v>-9.3648036677521898</v>
      </c>
      <c r="X2" s="2">
        <f>('[1]Qc, Winter, S2'!X2*Main!$B$5)</f>
        <v>-12.564157832300152</v>
      </c>
      <c r="Y2" s="2">
        <f>('[1]Qc, Winter, S2'!Y2*Main!$B$5)</f>
        <v>-14.142028437241061</v>
      </c>
    </row>
    <row r="3" spans="1:25" x14ac:dyDescent="0.3">
      <c r="A3">
        <v>2</v>
      </c>
      <c r="B3" s="2">
        <f>('[1]Qc, Winter, S2'!B3*Main!$B$5)</f>
        <v>18.476381550018385</v>
      </c>
      <c r="C3" s="2">
        <f>('[1]Qc, Winter, S2'!C3*Main!$B$5)</f>
        <v>22.88696703978777</v>
      </c>
      <c r="D3" s="2">
        <f>('[1]Qc, Winter, S2'!D3*Main!$B$5)</f>
        <v>22.88696703978777</v>
      </c>
      <c r="E3" s="2">
        <f>('[1]Qc, Winter, S2'!E3*Main!$B$5)</f>
        <v>22.88696703978777</v>
      </c>
      <c r="F3" s="2">
        <f>('[1]Qc, Winter, S2'!F3*Main!$B$5)</f>
        <v>22.88696703978777</v>
      </c>
      <c r="G3" s="2">
        <f>('[1]Qc, Winter, S2'!G3*Main!$B$5)</f>
        <v>18.54423917594659</v>
      </c>
      <c r="H3" s="2">
        <f>('[1]Qc, Winter, S2'!H3*Main!$B$5)</f>
        <v>8.4112075318559754</v>
      </c>
      <c r="I3" s="2">
        <f>('[1]Qc, Winter, S2'!I3*Main!$B$5)</f>
        <v>1.0828557890471033</v>
      </c>
      <c r="J3" s="2">
        <f>('[1]Qc, Winter, S2'!J3*Main!$B$5)</f>
        <v>-6.3359630968767799</v>
      </c>
      <c r="K3" s="2">
        <f>('[1]Qc, Winter, S2'!K3*Main!$B$5)</f>
        <v>-6.3359630968767799</v>
      </c>
      <c r="L3" s="2">
        <f>('[1]Qc, Winter, S2'!L3*Main!$B$5)</f>
        <v>-0.54565927842187123</v>
      </c>
      <c r="M3" s="2">
        <f>('[1]Qc, Winter, S2'!M3*Main!$B$5)</f>
        <v>-6.6073936005895968</v>
      </c>
      <c r="N3" s="2">
        <f>('[1]Qc, Winter, S2'!N3*Main!$B$5)</f>
        <v>-6.6073936005895968</v>
      </c>
      <c r="O3" s="2">
        <f>('[1]Qc, Winter, S2'!O3*Main!$B$5)</f>
        <v>-5.114579228690399</v>
      </c>
      <c r="P3" s="2">
        <f>('[1]Qc, Winter, S2'!P3*Main!$B$5)</f>
        <v>-0.63613611299281014</v>
      </c>
      <c r="Q3" s="2">
        <f>('[1]Qc, Winter, S2'!Q3*Main!$B$5)</f>
        <v>3.8422924464181492</v>
      </c>
      <c r="R3" s="2">
        <f>('[1]Qc, Winter, S2'!R3*Main!$B$5)</f>
        <v>5.3351019662218029</v>
      </c>
      <c r="S3" s="2">
        <f>('[1]Qc, Winter, S2'!S3*Main!$B$5)</f>
        <v>5.3351019662218029</v>
      </c>
      <c r="T3" s="2">
        <f>('[1]Qc, Winter, S2'!T3*Main!$B$5)</f>
        <v>5.3351019662218029</v>
      </c>
      <c r="U3" s="2">
        <f>('[1]Qc, Winter, S2'!U3*Main!$B$5)</f>
        <v>5.3351019662218029</v>
      </c>
      <c r="V3" s="2">
        <f>('[1]Qc, Winter, S2'!V3*Main!$B$5)</f>
        <v>5.3351019662218029</v>
      </c>
      <c r="W3" s="2">
        <f>('[1]Qc, Winter, S2'!W3*Main!$B$5)</f>
        <v>11.125405733736075</v>
      </c>
      <c r="X3" s="2">
        <f>('[1]Qc, Winter, S2'!X3*Main!$B$5)</f>
        <v>17.006186386761922</v>
      </c>
      <c r="Y3" s="2">
        <f>('[1]Qc, Winter, S2'!Y3*Main!$B$5)</f>
        <v>17.006186386761922</v>
      </c>
    </row>
    <row r="4" spans="1:25" x14ac:dyDescent="0.3">
      <c r="A4">
        <v>3</v>
      </c>
      <c r="B4" s="2">
        <f>('[1]Qc, Winter, S2'!B4*Main!$B$5)</f>
        <v>12.53712133916428</v>
      </c>
      <c r="C4" s="2">
        <f>('[1]Qc, Winter, S2'!C4*Main!$B$5)</f>
        <v>9.6707910050891464</v>
      </c>
      <c r="D4" s="2">
        <f>('[1]Qc, Winter, S2'!D4*Main!$B$5)</f>
        <v>8.2786920104781281</v>
      </c>
      <c r="E4" s="2">
        <f>('[1]Qc, Winter, S2'!E4*Main!$B$5)</f>
        <v>8.1012503098286217</v>
      </c>
      <c r="F4" s="2">
        <f>('[1]Qc, Winter, S2'!F4*Main!$B$5)</f>
        <v>9.2075632924965713</v>
      </c>
      <c r="G4" s="2">
        <f>('[1]Qc, Winter, S2'!G4*Main!$B$5)</f>
        <v>11.432458571003931</v>
      </c>
      <c r="H4" s="2">
        <f>('[1]Qc, Winter, S2'!H4*Main!$B$5)</f>
        <v>17.737553174919491</v>
      </c>
      <c r="I4" s="2">
        <f>('[1]Qc, Winter, S2'!I4*Main!$B$5)</f>
        <v>21.654158473137166</v>
      </c>
      <c r="J4" s="2">
        <f>('[1]Qc, Winter, S2'!J4*Main!$B$5)</f>
        <v>25.018312969683191</v>
      </c>
      <c r="K4" s="2">
        <f>('[1]Qc, Winter, S2'!K4*Main!$B$5)</f>
        <v>27.549766264179553</v>
      </c>
      <c r="L4" s="2">
        <f>('[1]Qc, Winter, S2'!L4*Main!$B$5)</f>
        <v>27.78226516610788</v>
      </c>
      <c r="M4" s="2">
        <f>('[1]Qc, Winter, S2'!M4*Main!$B$5)</f>
        <v>27.284106662134814</v>
      </c>
      <c r="N4" s="2">
        <f>('[1]Qc, Winter, S2'!N4*Main!$B$5)</f>
        <v>27.400308257902704</v>
      </c>
      <c r="O4" s="2">
        <f>('[1]Qc, Winter, S2'!O4*Main!$B$5)</f>
        <v>27.120703867981913</v>
      </c>
      <c r="P4" s="2">
        <f>('[1]Qc, Winter, S2'!P4*Main!$B$5)</f>
        <v>24.466005403001553</v>
      </c>
      <c r="Q4" s="2">
        <f>('[1]Qc, Winter, S2'!Q4*Main!$B$5)</f>
        <v>23.244902069201949</v>
      </c>
      <c r="R4" s="2">
        <f>('[1]Qc, Winter, S2'!R4*Main!$B$5)</f>
        <v>23.98880965858045</v>
      </c>
      <c r="S4" s="2">
        <f>('[1]Qc, Winter, S2'!S4*Main!$B$5)</f>
        <v>32.695667199696814</v>
      </c>
      <c r="T4" s="2">
        <f>('[1]Qc, Winter, S2'!T4*Main!$B$5)</f>
        <v>32.648203007927833</v>
      </c>
      <c r="U4" s="2">
        <f>('[1]Qc, Winter, S2'!U4*Main!$B$5)</f>
        <v>31.651933410298106</v>
      </c>
      <c r="V4" s="2">
        <f>('[1]Qc, Winter, S2'!V4*Main!$B$5)</f>
        <v>29.297203204865568</v>
      </c>
      <c r="W4" s="2">
        <f>('[1]Qc, Winter, S2'!W4*Main!$B$5)</f>
        <v>26.054978777195316</v>
      </c>
      <c r="X4" s="2">
        <f>('[1]Qc, Winter, S2'!X4*Main!$B$5)</f>
        <v>21.251046192806676</v>
      </c>
      <c r="Y4" s="2">
        <f>('[1]Qc, Winter, S2'!Y4*Main!$B$5)</f>
        <v>16.303646354376369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-16.308318287490881</v>
      </c>
      <c r="C2" s="2">
        <f>('[1]Qc, Winter, S2'!C2*Main!$B$5)</f>
        <v>-17.724902463621348</v>
      </c>
      <c r="D2" s="2">
        <f>('[1]Qc, Winter, S2'!D2*Main!$B$5)</f>
        <v>-19.092167644854136</v>
      </c>
      <c r="E2" s="2">
        <f>('[1]Qc, Winter, S2'!E2*Main!$B$5)</f>
        <v>-18.953181558705158</v>
      </c>
      <c r="F2" s="2">
        <f>('[1]Qc, Winter, S2'!F2*Main!$B$5)</f>
        <v>-19.617400319818088</v>
      </c>
      <c r="G2" s="2">
        <f>('[1]Qc, Winter, S2'!G2*Main!$B$5)</f>
        <v>-17.463179060625627</v>
      </c>
      <c r="H2" s="2">
        <f>('[1]Qc, Winter, S2'!H2*Main!$B$5)</f>
        <v>-13.004577576419656</v>
      </c>
      <c r="I2" s="2">
        <f>('[1]Qc, Winter, S2'!I2*Main!$B$5)</f>
        <v>-5.3529428895851243</v>
      </c>
      <c r="J2" s="2">
        <f>('[1]Qc, Winter, S2'!J2*Main!$B$5)</f>
        <v>-1.57641089538192</v>
      </c>
      <c r="K2" s="2">
        <f>('[1]Qc, Winter, S2'!K2*Main!$B$5)</f>
        <v>-0.24660325234807087</v>
      </c>
      <c r="L2" s="2">
        <f>('[1]Qc, Winter, S2'!L2*Main!$B$5)</f>
        <v>-2.2138634144002047</v>
      </c>
      <c r="M2" s="2">
        <f>('[1]Qc, Winter, S2'!M2*Main!$B$5)</f>
        <v>-1.6275893911076118</v>
      </c>
      <c r="N2" s="2">
        <f>('[1]Qc, Winter, S2'!N2*Main!$B$5)</f>
        <v>-2.2528052374210255</v>
      </c>
      <c r="O2" s="2">
        <f>('[1]Qc, Winter, S2'!O2*Main!$B$5)</f>
        <v>-2.2725593221827816</v>
      </c>
      <c r="P2" s="2">
        <f>('[1]Qc, Winter, S2'!P2*Main!$B$5)</f>
        <v>-5.7450941520393117</v>
      </c>
      <c r="Q2" s="2">
        <f>('[1]Qc, Winter, S2'!Q2*Main!$B$5)</f>
        <v>-8.2738400927982862</v>
      </c>
      <c r="R2" s="2">
        <f>('[1]Qc, Winter, S2'!R2*Main!$B$5)</f>
        <v>-7.3580696570047399</v>
      </c>
      <c r="S2" s="2">
        <f>('[1]Qc, Winter, S2'!S2*Main!$B$5)</f>
        <v>-2.5116974480189467</v>
      </c>
      <c r="T2" s="2">
        <f>('[1]Qc, Winter, S2'!T2*Main!$B$5)</f>
        <v>-3.6536191397644071</v>
      </c>
      <c r="U2" s="2">
        <f>('[1]Qc, Winter, S2'!U2*Main!$B$5)</f>
        <v>-4.5927738716566004</v>
      </c>
      <c r="V2" s="2">
        <f>('[1]Qc, Winter, S2'!V2*Main!$B$5)</f>
        <v>-7.214433855970837</v>
      </c>
      <c r="W2" s="2">
        <f>('[1]Qc, Winter, S2'!W2*Main!$B$5)</f>
        <v>-9.3648036677521898</v>
      </c>
      <c r="X2" s="2">
        <f>('[1]Qc, Winter, S2'!X2*Main!$B$5)</f>
        <v>-12.564157832300152</v>
      </c>
      <c r="Y2" s="2">
        <f>('[1]Qc, Winter, S2'!Y2*Main!$B$5)</f>
        <v>-14.142028437241061</v>
      </c>
    </row>
    <row r="3" spans="1:25" x14ac:dyDescent="0.3">
      <c r="A3">
        <v>2</v>
      </c>
      <c r="B3" s="2">
        <f>('[1]Qc, Winter, S2'!B3*Main!$B$5)</f>
        <v>18.476381550018385</v>
      </c>
      <c r="C3" s="2">
        <f>('[1]Qc, Winter, S2'!C3*Main!$B$5)</f>
        <v>22.88696703978777</v>
      </c>
      <c r="D3" s="2">
        <f>('[1]Qc, Winter, S2'!D3*Main!$B$5)</f>
        <v>22.88696703978777</v>
      </c>
      <c r="E3" s="2">
        <f>('[1]Qc, Winter, S2'!E3*Main!$B$5)</f>
        <v>22.88696703978777</v>
      </c>
      <c r="F3" s="2">
        <f>('[1]Qc, Winter, S2'!F3*Main!$B$5)</f>
        <v>22.88696703978777</v>
      </c>
      <c r="G3" s="2">
        <f>('[1]Qc, Winter, S2'!G3*Main!$B$5)</f>
        <v>18.54423917594659</v>
      </c>
      <c r="H3" s="2">
        <f>('[1]Qc, Winter, S2'!H3*Main!$B$5)</f>
        <v>8.4112075318559754</v>
      </c>
      <c r="I3" s="2">
        <f>('[1]Qc, Winter, S2'!I3*Main!$B$5)</f>
        <v>1.0828557890471033</v>
      </c>
      <c r="J3" s="2">
        <f>('[1]Qc, Winter, S2'!J3*Main!$B$5)</f>
        <v>-6.3359630968767799</v>
      </c>
      <c r="K3" s="2">
        <f>('[1]Qc, Winter, S2'!K3*Main!$B$5)</f>
        <v>-6.3359630968767799</v>
      </c>
      <c r="L3" s="2">
        <f>('[1]Qc, Winter, S2'!L3*Main!$B$5)</f>
        <v>-0.54565927842187123</v>
      </c>
      <c r="M3" s="2">
        <f>('[1]Qc, Winter, S2'!M3*Main!$B$5)</f>
        <v>-6.6073936005895968</v>
      </c>
      <c r="N3" s="2">
        <f>('[1]Qc, Winter, S2'!N3*Main!$B$5)</f>
        <v>-6.6073936005895968</v>
      </c>
      <c r="O3" s="2">
        <f>('[1]Qc, Winter, S2'!O3*Main!$B$5)</f>
        <v>-5.114579228690399</v>
      </c>
      <c r="P3" s="2">
        <f>('[1]Qc, Winter, S2'!P3*Main!$B$5)</f>
        <v>-0.63613611299281014</v>
      </c>
      <c r="Q3" s="2">
        <f>('[1]Qc, Winter, S2'!Q3*Main!$B$5)</f>
        <v>3.8422924464181492</v>
      </c>
      <c r="R3" s="2">
        <f>('[1]Qc, Winter, S2'!R3*Main!$B$5)</f>
        <v>5.3351019662218029</v>
      </c>
      <c r="S3" s="2">
        <f>('[1]Qc, Winter, S2'!S3*Main!$B$5)</f>
        <v>5.3351019662218029</v>
      </c>
      <c r="T3" s="2">
        <f>('[1]Qc, Winter, S2'!T3*Main!$B$5)</f>
        <v>5.3351019662218029</v>
      </c>
      <c r="U3" s="2">
        <f>('[1]Qc, Winter, S2'!U3*Main!$B$5)</f>
        <v>5.3351019662218029</v>
      </c>
      <c r="V3" s="2">
        <f>('[1]Qc, Winter, S2'!V3*Main!$B$5)</f>
        <v>5.3351019662218029</v>
      </c>
      <c r="W3" s="2">
        <f>('[1]Qc, Winter, S2'!W3*Main!$B$5)</f>
        <v>11.125405733736075</v>
      </c>
      <c r="X3" s="2">
        <f>('[1]Qc, Winter, S2'!X3*Main!$B$5)</f>
        <v>17.006186386761922</v>
      </c>
      <c r="Y3" s="2">
        <f>('[1]Qc, Winter, S2'!Y3*Main!$B$5)</f>
        <v>17.006186386761922</v>
      </c>
    </row>
    <row r="4" spans="1:25" x14ac:dyDescent="0.3">
      <c r="A4">
        <v>3</v>
      </c>
      <c r="B4" s="2">
        <f>('[1]Qc, Winter, S2'!B4*Main!$B$5)</f>
        <v>12.53712133916428</v>
      </c>
      <c r="C4" s="2">
        <f>('[1]Qc, Winter, S2'!C4*Main!$B$5)</f>
        <v>9.6707910050891464</v>
      </c>
      <c r="D4" s="2">
        <f>('[1]Qc, Winter, S2'!D4*Main!$B$5)</f>
        <v>8.2786920104781281</v>
      </c>
      <c r="E4" s="2">
        <f>('[1]Qc, Winter, S2'!E4*Main!$B$5)</f>
        <v>8.1012503098286217</v>
      </c>
      <c r="F4" s="2">
        <f>('[1]Qc, Winter, S2'!F4*Main!$B$5)</f>
        <v>9.2075632924965713</v>
      </c>
      <c r="G4" s="2">
        <f>('[1]Qc, Winter, S2'!G4*Main!$B$5)</f>
        <v>11.432458571003931</v>
      </c>
      <c r="H4" s="2">
        <f>('[1]Qc, Winter, S2'!H4*Main!$B$5)</f>
        <v>17.737553174919491</v>
      </c>
      <c r="I4" s="2">
        <f>('[1]Qc, Winter, S2'!I4*Main!$B$5)</f>
        <v>21.654158473137166</v>
      </c>
      <c r="J4" s="2">
        <f>('[1]Qc, Winter, S2'!J4*Main!$B$5)</f>
        <v>25.018312969683191</v>
      </c>
      <c r="K4" s="2">
        <f>('[1]Qc, Winter, S2'!K4*Main!$B$5)</f>
        <v>27.549766264179553</v>
      </c>
      <c r="L4" s="2">
        <f>('[1]Qc, Winter, S2'!L4*Main!$B$5)</f>
        <v>27.78226516610788</v>
      </c>
      <c r="M4" s="2">
        <f>('[1]Qc, Winter, S2'!M4*Main!$B$5)</f>
        <v>27.284106662134814</v>
      </c>
      <c r="N4" s="2">
        <f>('[1]Qc, Winter, S2'!N4*Main!$B$5)</f>
        <v>27.400308257902704</v>
      </c>
      <c r="O4" s="2">
        <f>('[1]Qc, Winter, S2'!O4*Main!$B$5)</f>
        <v>27.120703867981913</v>
      </c>
      <c r="P4" s="2">
        <f>('[1]Qc, Winter, S2'!P4*Main!$B$5)</f>
        <v>24.466005403001553</v>
      </c>
      <c r="Q4" s="2">
        <f>('[1]Qc, Winter, S2'!Q4*Main!$B$5)</f>
        <v>23.244902069201949</v>
      </c>
      <c r="R4" s="2">
        <f>('[1]Qc, Winter, S2'!R4*Main!$B$5)</f>
        <v>23.98880965858045</v>
      </c>
      <c r="S4" s="2">
        <f>('[1]Qc, Winter, S2'!S4*Main!$B$5)</f>
        <v>32.695667199696814</v>
      </c>
      <c r="T4" s="2">
        <f>('[1]Qc, Winter, S2'!T4*Main!$B$5)</f>
        <v>32.648203007927833</v>
      </c>
      <c r="U4" s="2">
        <f>('[1]Qc, Winter, S2'!U4*Main!$B$5)</f>
        <v>31.651933410298106</v>
      </c>
      <c r="V4" s="2">
        <f>('[1]Qc, Winter, S2'!V4*Main!$B$5)</f>
        <v>29.297203204865568</v>
      </c>
      <c r="W4" s="2">
        <f>('[1]Qc, Winter, S2'!W4*Main!$B$5)</f>
        <v>26.054978777195316</v>
      </c>
      <c r="X4" s="2">
        <f>('[1]Qc, Winter, S2'!X4*Main!$B$5)</f>
        <v>21.251046192806676</v>
      </c>
      <c r="Y4" s="2">
        <f>('[1]Qc, Winter, S2'!Y4*Main!$B$5)</f>
        <v>16.303646354376369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-15.516652351204913</v>
      </c>
      <c r="C2" s="2">
        <f>('[1]Qc, Winter, S3'!C2*Main!$B$5)</f>
        <v>-16.864470305193123</v>
      </c>
      <c r="D2" s="2">
        <f>('[1]Qc, Winter, S3'!D2*Main!$B$5)</f>
        <v>-18.165363390249567</v>
      </c>
      <c r="E2" s="2">
        <f>('[1]Qc, Winter, S3'!E2*Main!$B$5)</f>
        <v>-18.033124201486462</v>
      </c>
      <c r="F2" s="2">
        <f>('[1]Qc, Winter, S3'!F2*Main!$B$5)</f>
        <v>-18.66509933341915</v>
      </c>
      <c r="G2" s="2">
        <f>('[1]Qc, Winter, S3'!G2*Main!$B$5)</f>
        <v>-16.615451921760307</v>
      </c>
      <c r="H2" s="2">
        <f>('[1]Qc, Winter, S3'!H2*Main!$B$5)</f>
        <v>-12.373287402807049</v>
      </c>
      <c r="I2" s="2">
        <f>('[1]Qc, Winter, S3'!I2*Main!$B$5)</f>
        <v>-5.0930912930033223</v>
      </c>
      <c r="J2" s="2">
        <f>('[1]Qc, Winter, S3'!J2*Main!$B$5)</f>
        <v>-1.4998860946352248</v>
      </c>
      <c r="K2" s="2">
        <f>('[1]Qc, Winter, S3'!K2*Main!$B$5)</f>
        <v>-0.23463222068068881</v>
      </c>
      <c r="L2" s="2">
        <f>('[1]Qc, Winter, S3'!L2*Main!$B$5)</f>
        <v>-2.1063943166137875</v>
      </c>
      <c r="M2" s="2">
        <f>('[1]Qc, Winter, S3'!M2*Main!$B$5)</f>
        <v>-1.5485801973645235</v>
      </c>
      <c r="N2" s="2">
        <f>('[1]Qc, Winter, S3'!N2*Main!$B$5)</f>
        <v>-2.1434457598763155</v>
      </c>
      <c r="O2" s="2">
        <f>('[1]Qc, Winter, S3'!O2*Main!$B$5)</f>
        <v>-2.1622409084845882</v>
      </c>
      <c r="P2" s="2">
        <f>('[1]Qc, Winter, S3'!P2*Main!$B$5)</f>
        <v>-5.466206086406336</v>
      </c>
      <c r="Q2" s="2">
        <f>('[1]Qc, Winter, S3'!Q2*Main!$B$5)</f>
        <v>-7.8721973698469112</v>
      </c>
      <c r="R2" s="2">
        <f>('[1]Qc, Winter, S3'!R2*Main!$B$5)</f>
        <v>-7.000881809577324</v>
      </c>
      <c r="S2" s="2">
        <f>('[1]Qc, Winter, S3'!S2*Main!$B$5)</f>
        <v>-2.3897703874355019</v>
      </c>
      <c r="T2" s="2">
        <f>('[1]Qc, Winter, S3'!T2*Main!$B$5)</f>
        <v>-3.4762589873486589</v>
      </c>
      <c r="U2" s="2">
        <f>('[1]Qc, Winter, S3'!U2*Main!$B$5)</f>
        <v>-4.3698236837121058</v>
      </c>
      <c r="V2" s="2">
        <f>('[1]Qc, Winter, S3'!V2*Main!$B$5)</f>
        <v>-6.864218620244098</v>
      </c>
      <c r="W2" s="2">
        <f>('[1]Qc, Winter, S3'!W2*Main!$B$5)</f>
        <v>-8.9102015479583923</v>
      </c>
      <c r="X2" s="2">
        <f>('[1]Qc, Winter, S3'!X2*Main!$B$5)</f>
        <v>-11.954247257916647</v>
      </c>
      <c r="Y2" s="2">
        <f>('[1]Qc, Winter, S3'!Y2*Main!$B$5)</f>
        <v>-13.455522202423534</v>
      </c>
    </row>
    <row r="3" spans="1:25" x14ac:dyDescent="0.3">
      <c r="A3">
        <v>2</v>
      </c>
      <c r="B3" s="2">
        <f>('[1]Qc, Winter, S3'!B3*Main!$B$5)</f>
        <v>17.579469824289337</v>
      </c>
      <c r="C3" s="2">
        <f>('[1]Qc, Winter, S3'!C3*Main!$B$5)</f>
        <v>21.775949222322339</v>
      </c>
      <c r="D3" s="2">
        <f>('[1]Qc, Winter, S3'!D3*Main!$B$5)</f>
        <v>21.775949222322339</v>
      </c>
      <c r="E3" s="2">
        <f>('[1]Qc, Winter, S3'!E3*Main!$B$5)</f>
        <v>21.775949222322339</v>
      </c>
      <c r="F3" s="2">
        <f>('[1]Qc, Winter, S3'!F3*Main!$B$5)</f>
        <v>21.775949222322339</v>
      </c>
      <c r="G3" s="2">
        <f>('[1]Qc, Winter, S3'!G3*Main!$B$5)</f>
        <v>17.644033390706461</v>
      </c>
      <c r="H3" s="2">
        <f>('[1]Qc, Winter, S3'!H3*Main!$B$5)</f>
        <v>8.0028964866202497</v>
      </c>
      <c r="I3" s="2">
        <f>('[1]Qc, Winter, S3'!I3*Main!$B$5)</f>
        <v>1.0302899740448166</v>
      </c>
      <c r="J3" s="2">
        <f>('[1]Qc, Winter, S3'!J3*Main!$B$5)</f>
        <v>-6.0283920727565485</v>
      </c>
      <c r="K3" s="2">
        <f>('[1]Qc, Winter, S3'!K3*Main!$B$5)</f>
        <v>-6.0283920727565485</v>
      </c>
      <c r="L3" s="2">
        <f>('[1]Qc, Winter, S3'!L3*Main!$B$5)</f>
        <v>-0.51917096393537265</v>
      </c>
      <c r="M3" s="2">
        <f>('[1]Qc, Winter, S3'!M3*Main!$B$5)</f>
        <v>-6.2866463384250526</v>
      </c>
      <c r="N3" s="2">
        <f>('[1]Qc, Winter, S3'!N3*Main!$B$5)</f>
        <v>-6.2866463384250526</v>
      </c>
      <c r="O3" s="2">
        <f>('[1]Qc, Winter, S3'!O3*Main!$B$5)</f>
        <v>-4.8662986836083411</v>
      </c>
      <c r="P3" s="2">
        <f>('[1]Qc, Winter, S3'!P3*Main!$B$5)</f>
        <v>-0.60525571915820775</v>
      </c>
      <c r="Q3" s="2">
        <f>('[1]Qc, Winter, S3'!Q3*Main!$B$5)</f>
        <v>3.6557733956211509</v>
      </c>
      <c r="R3" s="2">
        <f>('[1]Qc, Winter, S3'!R3*Main!$B$5)</f>
        <v>5.0761164338809381</v>
      </c>
      <c r="S3" s="2">
        <f>('[1]Qc, Winter, S3'!S3*Main!$B$5)</f>
        <v>5.0761164338809381</v>
      </c>
      <c r="T3" s="2">
        <f>('[1]Qc, Winter, S3'!T3*Main!$B$5)</f>
        <v>5.0761164338809381</v>
      </c>
      <c r="U3" s="2">
        <f>('[1]Qc, Winter, S3'!U3*Main!$B$5)</f>
        <v>5.0761164338809381</v>
      </c>
      <c r="V3" s="2">
        <f>('[1]Qc, Winter, S3'!V3*Main!$B$5)</f>
        <v>5.0761164338809381</v>
      </c>
      <c r="W3" s="2">
        <f>('[1]Qc, Winter, S3'!W3*Main!$B$5)</f>
        <v>10.585337494234324</v>
      </c>
      <c r="X3" s="2">
        <f>('[1]Qc, Winter, S3'!X3*Main!$B$5)</f>
        <v>16.180643358278335</v>
      </c>
      <c r="Y3" s="2">
        <f>('[1]Qc, Winter, S3'!Y3*Main!$B$5)</f>
        <v>16.180643358278335</v>
      </c>
    </row>
    <row r="4" spans="1:25" x14ac:dyDescent="0.3">
      <c r="A4">
        <v>3</v>
      </c>
      <c r="B4" s="2">
        <f>('[1]Qc, Winter, S3'!B4*Main!$B$5)</f>
        <v>11.928523215903875</v>
      </c>
      <c r="C4" s="2">
        <f>('[1]Qc, Winter, S3'!C4*Main!$B$5)</f>
        <v>9.2013351310556946</v>
      </c>
      <c r="D4" s="2">
        <f>('[1]Qc, Winter, S3'!D4*Main!$B$5)</f>
        <v>7.8768137575422976</v>
      </c>
      <c r="E4" s="2">
        <f>('[1]Qc, Winter, S3'!E4*Main!$B$5)</f>
        <v>7.7079857316816005</v>
      </c>
      <c r="F4" s="2">
        <f>('[1]Qc, Winter, S3'!F4*Main!$B$5)</f>
        <v>8.7605942006278053</v>
      </c>
      <c r="G4" s="2">
        <f>('[1]Qc, Winter, S3'!G4*Main!$B$5)</f>
        <v>10.877484853964905</v>
      </c>
      <c r="H4" s="2">
        <f>('[1]Qc, Winter, S3'!H4*Main!$B$5)</f>
        <v>16.876506904292327</v>
      </c>
      <c r="I4" s="2">
        <f>('[1]Qc, Winter, S3'!I4*Main!$B$5)</f>
        <v>20.60298573172274</v>
      </c>
      <c r="J4" s="2">
        <f>('[1]Qc, Winter, S3'!J4*Main!$B$5)</f>
        <v>23.803831757562644</v>
      </c>
      <c r="K4" s="2">
        <f>('[1]Qc, Winter, S3'!K4*Main!$B$5)</f>
        <v>26.2123989698019</v>
      </c>
      <c r="L4" s="2">
        <f>('[1]Qc, Winter, S3'!L4*Main!$B$5)</f>
        <v>26.433611517267693</v>
      </c>
      <c r="M4" s="2">
        <f>('[1]Qc, Winter, S3'!M4*Main!$B$5)</f>
        <v>25.959635464943805</v>
      </c>
      <c r="N4" s="2">
        <f>('[1]Qc, Winter, S3'!N4*Main!$B$5)</f>
        <v>26.070196206548204</v>
      </c>
      <c r="O4" s="2">
        <f>('[1]Qc, Winter, S3'!O4*Main!$B$5)</f>
        <v>25.804164845264346</v>
      </c>
      <c r="P4" s="2">
        <f>('[1]Qc, Winter, S3'!P4*Main!$B$5)</f>
        <v>23.278335237807301</v>
      </c>
      <c r="Q4" s="2">
        <f>('[1]Qc, Winter, S3'!Q4*Main!$B$5)</f>
        <v>22.11650876487176</v>
      </c>
      <c r="R4" s="2">
        <f>('[1]Qc, Winter, S3'!R4*Main!$B$5)</f>
        <v>22.824304335348394</v>
      </c>
      <c r="S4" s="2">
        <f>('[1]Qc, Winter, S3'!S4*Main!$B$5)</f>
        <v>31.108498889031917</v>
      </c>
      <c r="T4" s="2">
        <f>('[1]Qc, Winter, S3'!T4*Main!$B$5)</f>
        <v>31.063338784242021</v>
      </c>
      <c r="U4" s="2">
        <f>('[1]Qc, Winter, S3'!U4*Main!$B$5)</f>
        <v>30.115431788438968</v>
      </c>
      <c r="V4" s="2">
        <f>('[1]Qc, Winter, S3'!V4*Main!$B$5)</f>
        <v>27.875008874532291</v>
      </c>
      <c r="W4" s="2">
        <f>('[1]Qc, Winter, S3'!W4*Main!$B$5)</f>
        <v>24.790173982185838</v>
      </c>
      <c r="X4" s="2">
        <f>('[1]Qc, Winter, S3'!X4*Main!$B$5)</f>
        <v>20.219442008689846</v>
      </c>
      <c r="Y4" s="2">
        <f>('[1]Qc, Winter, S3'!Y4*Main!$B$5)</f>
        <v>15.512207210960039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-15.516652351204913</v>
      </c>
      <c r="C2" s="2">
        <f>('[1]Qc, Winter, S3'!C2*Main!$B$5)</f>
        <v>-16.864470305193123</v>
      </c>
      <c r="D2" s="2">
        <f>('[1]Qc, Winter, S3'!D2*Main!$B$5)</f>
        <v>-18.165363390249567</v>
      </c>
      <c r="E2" s="2">
        <f>('[1]Qc, Winter, S3'!E2*Main!$B$5)</f>
        <v>-18.033124201486462</v>
      </c>
      <c r="F2" s="2">
        <f>('[1]Qc, Winter, S3'!F2*Main!$B$5)</f>
        <v>-18.66509933341915</v>
      </c>
      <c r="G2" s="2">
        <f>('[1]Qc, Winter, S3'!G2*Main!$B$5)</f>
        <v>-16.615451921760307</v>
      </c>
      <c r="H2" s="2">
        <f>('[1]Qc, Winter, S3'!H2*Main!$B$5)</f>
        <v>-12.373287402807049</v>
      </c>
      <c r="I2" s="2">
        <f>('[1]Qc, Winter, S3'!I2*Main!$B$5)</f>
        <v>-5.0930912930033223</v>
      </c>
      <c r="J2" s="2">
        <f>('[1]Qc, Winter, S3'!J2*Main!$B$5)</f>
        <v>-1.4998860946352248</v>
      </c>
      <c r="K2" s="2">
        <f>('[1]Qc, Winter, S3'!K2*Main!$B$5)</f>
        <v>-0.23463222068068881</v>
      </c>
      <c r="L2" s="2">
        <f>('[1]Qc, Winter, S3'!L2*Main!$B$5)</f>
        <v>-2.1063943166137875</v>
      </c>
      <c r="M2" s="2">
        <f>('[1]Qc, Winter, S3'!M2*Main!$B$5)</f>
        <v>-1.5485801973645235</v>
      </c>
      <c r="N2" s="2">
        <f>('[1]Qc, Winter, S3'!N2*Main!$B$5)</f>
        <v>-2.1434457598763155</v>
      </c>
      <c r="O2" s="2">
        <f>('[1]Qc, Winter, S3'!O2*Main!$B$5)</f>
        <v>-2.1622409084845882</v>
      </c>
      <c r="P2" s="2">
        <f>('[1]Qc, Winter, S3'!P2*Main!$B$5)</f>
        <v>-5.466206086406336</v>
      </c>
      <c r="Q2" s="2">
        <f>('[1]Qc, Winter, S3'!Q2*Main!$B$5)</f>
        <v>-7.8721973698469112</v>
      </c>
      <c r="R2" s="2">
        <f>('[1]Qc, Winter, S3'!R2*Main!$B$5)</f>
        <v>-7.000881809577324</v>
      </c>
      <c r="S2" s="2">
        <f>('[1]Qc, Winter, S3'!S2*Main!$B$5)</f>
        <v>-2.3897703874355019</v>
      </c>
      <c r="T2" s="2">
        <f>('[1]Qc, Winter, S3'!T2*Main!$B$5)</f>
        <v>-3.4762589873486589</v>
      </c>
      <c r="U2" s="2">
        <f>('[1]Qc, Winter, S3'!U2*Main!$B$5)</f>
        <v>-4.3698236837121058</v>
      </c>
      <c r="V2" s="2">
        <f>('[1]Qc, Winter, S3'!V2*Main!$B$5)</f>
        <v>-6.864218620244098</v>
      </c>
      <c r="W2" s="2">
        <f>('[1]Qc, Winter, S3'!W2*Main!$B$5)</f>
        <v>-8.9102015479583923</v>
      </c>
      <c r="X2" s="2">
        <f>('[1]Qc, Winter, S3'!X2*Main!$B$5)</f>
        <v>-11.954247257916647</v>
      </c>
      <c r="Y2" s="2">
        <f>('[1]Qc, Winter, S3'!Y2*Main!$B$5)</f>
        <v>-13.455522202423534</v>
      </c>
    </row>
    <row r="3" spans="1:25" x14ac:dyDescent="0.3">
      <c r="A3">
        <v>2</v>
      </c>
      <c r="B3" s="2">
        <f>('[1]Qc, Winter, S3'!B3*Main!$B$5)</f>
        <v>17.579469824289337</v>
      </c>
      <c r="C3" s="2">
        <f>('[1]Qc, Winter, S3'!C3*Main!$B$5)</f>
        <v>21.775949222322339</v>
      </c>
      <c r="D3" s="2">
        <f>('[1]Qc, Winter, S3'!D3*Main!$B$5)</f>
        <v>21.775949222322339</v>
      </c>
      <c r="E3" s="2">
        <f>('[1]Qc, Winter, S3'!E3*Main!$B$5)</f>
        <v>21.775949222322339</v>
      </c>
      <c r="F3" s="2">
        <f>('[1]Qc, Winter, S3'!F3*Main!$B$5)</f>
        <v>21.775949222322339</v>
      </c>
      <c r="G3" s="2">
        <f>('[1]Qc, Winter, S3'!G3*Main!$B$5)</f>
        <v>17.644033390706461</v>
      </c>
      <c r="H3" s="2">
        <f>('[1]Qc, Winter, S3'!H3*Main!$B$5)</f>
        <v>8.0028964866202497</v>
      </c>
      <c r="I3" s="2">
        <f>('[1]Qc, Winter, S3'!I3*Main!$B$5)</f>
        <v>1.0302899740448166</v>
      </c>
      <c r="J3" s="2">
        <f>('[1]Qc, Winter, S3'!J3*Main!$B$5)</f>
        <v>-6.0283920727565485</v>
      </c>
      <c r="K3" s="2">
        <f>('[1]Qc, Winter, S3'!K3*Main!$B$5)</f>
        <v>-6.0283920727565485</v>
      </c>
      <c r="L3" s="2">
        <f>('[1]Qc, Winter, S3'!L3*Main!$B$5)</f>
        <v>-0.51917096393537265</v>
      </c>
      <c r="M3" s="2">
        <f>('[1]Qc, Winter, S3'!M3*Main!$B$5)</f>
        <v>-6.2866463384250526</v>
      </c>
      <c r="N3" s="2">
        <f>('[1]Qc, Winter, S3'!N3*Main!$B$5)</f>
        <v>-6.2866463384250526</v>
      </c>
      <c r="O3" s="2">
        <f>('[1]Qc, Winter, S3'!O3*Main!$B$5)</f>
        <v>-4.8662986836083411</v>
      </c>
      <c r="P3" s="2">
        <f>('[1]Qc, Winter, S3'!P3*Main!$B$5)</f>
        <v>-0.60525571915820775</v>
      </c>
      <c r="Q3" s="2">
        <f>('[1]Qc, Winter, S3'!Q3*Main!$B$5)</f>
        <v>3.6557733956211509</v>
      </c>
      <c r="R3" s="2">
        <f>('[1]Qc, Winter, S3'!R3*Main!$B$5)</f>
        <v>5.0761164338809381</v>
      </c>
      <c r="S3" s="2">
        <f>('[1]Qc, Winter, S3'!S3*Main!$B$5)</f>
        <v>5.0761164338809381</v>
      </c>
      <c r="T3" s="2">
        <f>('[1]Qc, Winter, S3'!T3*Main!$B$5)</f>
        <v>5.0761164338809381</v>
      </c>
      <c r="U3" s="2">
        <f>('[1]Qc, Winter, S3'!U3*Main!$B$5)</f>
        <v>5.0761164338809381</v>
      </c>
      <c r="V3" s="2">
        <f>('[1]Qc, Winter, S3'!V3*Main!$B$5)</f>
        <v>5.0761164338809381</v>
      </c>
      <c r="W3" s="2">
        <f>('[1]Qc, Winter, S3'!W3*Main!$B$5)</f>
        <v>10.585337494234324</v>
      </c>
      <c r="X3" s="2">
        <f>('[1]Qc, Winter, S3'!X3*Main!$B$5)</f>
        <v>16.180643358278335</v>
      </c>
      <c r="Y3" s="2">
        <f>('[1]Qc, Winter, S3'!Y3*Main!$B$5)</f>
        <v>16.180643358278335</v>
      </c>
    </row>
    <row r="4" spans="1:25" x14ac:dyDescent="0.3">
      <c r="A4">
        <v>3</v>
      </c>
      <c r="B4" s="2">
        <f>('[1]Qc, Winter, S3'!B4*Main!$B$5)</f>
        <v>11.928523215903875</v>
      </c>
      <c r="C4" s="2">
        <f>('[1]Qc, Winter, S3'!C4*Main!$B$5)</f>
        <v>9.2013351310556946</v>
      </c>
      <c r="D4" s="2">
        <f>('[1]Qc, Winter, S3'!D4*Main!$B$5)</f>
        <v>7.8768137575422976</v>
      </c>
      <c r="E4" s="2">
        <f>('[1]Qc, Winter, S3'!E4*Main!$B$5)</f>
        <v>7.7079857316816005</v>
      </c>
      <c r="F4" s="2">
        <f>('[1]Qc, Winter, S3'!F4*Main!$B$5)</f>
        <v>8.7605942006278053</v>
      </c>
      <c r="G4" s="2">
        <f>('[1]Qc, Winter, S3'!G4*Main!$B$5)</f>
        <v>10.877484853964905</v>
      </c>
      <c r="H4" s="2">
        <f>('[1]Qc, Winter, S3'!H4*Main!$B$5)</f>
        <v>16.876506904292327</v>
      </c>
      <c r="I4" s="2">
        <f>('[1]Qc, Winter, S3'!I4*Main!$B$5)</f>
        <v>20.60298573172274</v>
      </c>
      <c r="J4" s="2">
        <f>('[1]Qc, Winter, S3'!J4*Main!$B$5)</f>
        <v>23.803831757562644</v>
      </c>
      <c r="K4" s="2">
        <f>('[1]Qc, Winter, S3'!K4*Main!$B$5)</f>
        <v>26.2123989698019</v>
      </c>
      <c r="L4" s="2">
        <f>('[1]Qc, Winter, S3'!L4*Main!$B$5)</f>
        <v>26.433611517267693</v>
      </c>
      <c r="M4" s="2">
        <f>('[1]Qc, Winter, S3'!M4*Main!$B$5)</f>
        <v>25.959635464943805</v>
      </c>
      <c r="N4" s="2">
        <f>('[1]Qc, Winter, S3'!N4*Main!$B$5)</f>
        <v>26.070196206548204</v>
      </c>
      <c r="O4" s="2">
        <f>('[1]Qc, Winter, S3'!O4*Main!$B$5)</f>
        <v>25.804164845264346</v>
      </c>
      <c r="P4" s="2">
        <f>('[1]Qc, Winter, S3'!P4*Main!$B$5)</f>
        <v>23.278335237807301</v>
      </c>
      <c r="Q4" s="2">
        <f>('[1]Qc, Winter, S3'!Q4*Main!$B$5)</f>
        <v>22.11650876487176</v>
      </c>
      <c r="R4" s="2">
        <f>('[1]Qc, Winter, S3'!R4*Main!$B$5)</f>
        <v>22.824304335348394</v>
      </c>
      <c r="S4" s="2">
        <f>('[1]Qc, Winter, S3'!S4*Main!$B$5)</f>
        <v>31.108498889031917</v>
      </c>
      <c r="T4" s="2">
        <f>('[1]Qc, Winter, S3'!T4*Main!$B$5)</f>
        <v>31.063338784242021</v>
      </c>
      <c r="U4" s="2">
        <f>('[1]Qc, Winter, S3'!U4*Main!$B$5)</f>
        <v>30.115431788438968</v>
      </c>
      <c r="V4" s="2">
        <f>('[1]Qc, Winter, S3'!V4*Main!$B$5)</f>
        <v>27.875008874532291</v>
      </c>
      <c r="W4" s="2">
        <f>('[1]Qc, Winter, S3'!W4*Main!$B$5)</f>
        <v>24.790173982185838</v>
      </c>
      <c r="X4" s="2">
        <f>('[1]Qc, Winter, S3'!X4*Main!$B$5)</f>
        <v>20.219442008689846</v>
      </c>
      <c r="Y4" s="2">
        <f>('[1]Qc, Winter, S3'!Y4*Main!$B$5)</f>
        <v>15.512207210960039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-15.516652351204913</v>
      </c>
      <c r="C2" s="2">
        <f>('[1]Qc, Winter, S3'!C2*Main!$B$5)</f>
        <v>-16.864470305193123</v>
      </c>
      <c r="D2" s="2">
        <f>('[1]Qc, Winter, S3'!D2*Main!$B$5)</f>
        <v>-18.165363390249567</v>
      </c>
      <c r="E2" s="2">
        <f>('[1]Qc, Winter, S3'!E2*Main!$B$5)</f>
        <v>-18.033124201486462</v>
      </c>
      <c r="F2" s="2">
        <f>('[1]Qc, Winter, S3'!F2*Main!$B$5)</f>
        <v>-18.66509933341915</v>
      </c>
      <c r="G2" s="2">
        <f>('[1]Qc, Winter, S3'!G2*Main!$B$5)</f>
        <v>-16.615451921760307</v>
      </c>
      <c r="H2" s="2">
        <f>('[1]Qc, Winter, S3'!H2*Main!$B$5)</f>
        <v>-12.373287402807049</v>
      </c>
      <c r="I2" s="2">
        <f>('[1]Qc, Winter, S3'!I2*Main!$B$5)</f>
        <v>-5.0930912930033223</v>
      </c>
      <c r="J2" s="2">
        <f>('[1]Qc, Winter, S3'!J2*Main!$B$5)</f>
        <v>-1.4998860946352248</v>
      </c>
      <c r="K2" s="2">
        <f>('[1]Qc, Winter, S3'!K2*Main!$B$5)</f>
        <v>-0.23463222068068881</v>
      </c>
      <c r="L2" s="2">
        <f>('[1]Qc, Winter, S3'!L2*Main!$B$5)</f>
        <v>-2.1063943166137875</v>
      </c>
      <c r="M2" s="2">
        <f>('[1]Qc, Winter, S3'!M2*Main!$B$5)</f>
        <v>-1.5485801973645235</v>
      </c>
      <c r="N2" s="2">
        <f>('[1]Qc, Winter, S3'!N2*Main!$B$5)</f>
        <v>-2.1434457598763155</v>
      </c>
      <c r="O2" s="2">
        <f>('[1]Qc, Winter, S3'!O2*Main!$B$5)</f>
        <v>-2.1622409084845882</v>
      </c>
      <c r="P2" s="2">
        <f>('[1]Qc, Winter, S3'!P2*Main!$B$5)</f>
        <v>-5.466206086406336</v>
      </c>
      <c r="Q2" s="2">
        <f>('[1]Qc, Winter, S3'!Q2*Main!$B$5)</f>
        <v>-7.8721973698469112</v>
      </c>
      <c r="R2" s="2">
        <f>('[1]Qc, Winter, S3'!R2*Main!$B$5)</f>
        <v>-7.000881809577324</v>
      </c>
      <c r="S2" s="2">
        <f>('[1]Qc, Winter, S3'!S2*Main!$B$5)</f>
        <v>-2.3897703874355019</v>
      </c>
      <c r="T2" s="2">
        <f>('[1]Qc, Winter, S3'!T2*Main!$B$5)</f>
        <v>-3.4762589873486589</v>
      </c>
      <c r="U2" s="2">
        <f>('[1]Qc, Winter, S3'!U2*Main!$B$5)</f>
        <v>-4.3698236837121058</v>
      </c>
      <c r="V2" s="2">
        <f>('[1]Qc, Winter, S3'!V2*Main!$B$5)</f>
        <v>-6.864218620244098</v>
      </c>
      <c r="W2" s="2">
        <f>('[1]Qc, Winter, S3'!W2*Main!$B$5)</f>
        <v>-8.9102015479583923</v>
      </c>
      <c r="X2" s="2">
        <f>('[1]Qc, Winter, S3'!X2*Main!$B$5)</f>
        <v>-11.954247257916647</v>
      </c>
      <c r="Y2" s="2">
        <f>('[1]Qc, Winter, S3'!Y2*Main!$B$5)</f>
        <v>-13.455522202423534</v>
      </c>
    </row>
    <row r="3" spans="1:25" x14ac:dyDescent="0.3">
      <c r="A3">
        <v>2</v>
      </c>
      <c r="B3" s="2">
        <f>('[1]Qc, Winter, S3'!B3*Main!$B$5)</f>
        <v>17.579469824289337</v>
      </c>
      <c r="C3" s="2">
        <f>('[1]Qc, Winter, S3'!C3*Main!$B$5)</f>
        <v>21.775949222322339</v>
      </c>
      <c r="D3" s="2">
        <f>('[1]Qc, Winter, S3'!D3*Main!$B$5)</f>
        <v>21.775949222322339</v>
      </c>
      <c r="E3" s="2">
        <f>('[1]Qc, Winter, S3'!E3*Main!$B$5)</f>
        <v>21.775949222322339</v>
      </c>
      <c r="F3" s="2">
        <f>('[1]Qc, Winter, S3'!F3*Main!$B$5)</f>
        <v>21.775949222322339</v>
      </c>
      <c r="G3" s="2">
        <f>('[1]Qc, Winter, S3'!G3*Main!$B$5)</f>
        <v>17.644033390706461</v>
      </c>
      <c r="H3" s="2">
        <f>('[1]Qc, Winter, S3'!H3*Main!$B$5)</f>
        <v>8.0028964866202497</v>
      </c>
      <c r="I3" s="2">
        <f>('[1]Qc, Winter, S3'!I3*Main!$B$5)</f>
        <v>1.0302899740448166</v>
      </c>
      <c r="J3" s="2">
        <f>('[1]Qc, Winter, S3'!J3*Main!$B$5)</f>
        <v>-6.0283920727565485</v>
      </c>
      <c r="K3" s="2">
        <f>('[1]Qc, Winter, S3'!K3*Main!$B$5)</f>
        <v>-6.0283920727565485</v>
      </c>
      <c r="L3" s="2">
        <f>('[1]Qc, Winter, S3'!L3*Main!$B$5)</f>
        <v>-0.51917096393537265</v>
      </c>
      <c r="M3" s="2">
        <f>('[1]Qc, Winter, S3'!M3*Main!$B$5)</f>
        <v>-6.2866463384250526</v>
      </c>
      <c r="N3" s="2">
        <f>('[1]Qc, Winter, S3'!N3*Main!$B$5)</f>
        <v>-6.2866463384250526</v>
      </c>
      <c r="O3" s="2">
        <f>('[1]Qc, Winter, S3'!O3*Main!$B$5)</f>
        <v>-4.8662986836083411</v>
      </c>
      <c r="P3" s="2">
        <f>('[1]Qc, Winter, S3'!P3*Main!$B$5)</f>
        <v>-0.60525571915820775</v>
      </c>
      <c r="Q3" s="2">
        <f>('[1]Qc, Winter, S3'!Q3*Main!$B$5)</f>
        <v>3.6557733956211509</v>
      </c>
      <c r="R3" s="2">
        <f>('[1]Qc, Winter, S3'!R3*Main!$B$5)</f>
        <v>5.0761164338809381</v>
      </c>
      <c r="S3" s="2">
        <f>('[1]Qc, Winter, S3'!S3*Main!$B$5)</f>
        <v>5.0761164338809381</v>
      </c>
      <c r="T3" s="2">
        <f>('[1]Qc, Winter, S3'!T3*Main!$B$5)</f>
        <v>5.0761164338809381</v>
      </c>
      <c r="U3" s="2">
        <f>('[1]Qc, Winter, S3'!U3*Main!$B$5)</f>
        <v>5.0761164338809381</v>
      </c>
      <c r="V3" s="2">
        <f>('[1]Qc, Winter, S3'!V3*Main!$B$5)</f>
        <v>5.0761164338809381</v>
      </c>
      <c r="W3" s="2">
        <f>('[1]Qc, Winter, S3'!W3*Main!$B$5)</f>
        <v>10.585337494234324</v>
      </c>
      <c r="X3" s="2">
        <f>('[1]Qc, Winter, S3'!X3*Main!$B$5)</f>
        <v>16.180643358278335</v>
      </c>
      <c r="Y3" s="2">
        <f>('[1]Qc, Winter, S3'!Y3*Main!$B$5)</f>
        <v>16.180643358278335</v>
      </c>
    </row>
    <row r="4" spans="1:25" x14ac:dyDescent="0.3">
      <c r="A4">
        <v>3</v>
      </c>
      <c r="B4" s="2">
        <f>('[1]Qc, Winter, S3'!B4*Main!$B$5)</f>
        <v>11.928523215903875</v>
      </c>
      <c r="C4" s="2">
        <f>('[1]Qc, Winter, S3'!C4*Main!$B$5)</f>
        <v>9.2013351310556946</v>
      </c>
      <c r="D4" s="2">
        <f>('[1]Qc, Winter, S3'!D4*Main!$B$5)</f>
        <v>7.8768137575422976</v>
      </c>
      <c r="E4" s="2">
        <f>('[1]Qc, Winter, S3'!E4*Main!$B$5)</f>
        <v>7.7079857316816005</v>
      </c>
      <c r="F4" s="2">
        <f>('[1]Qc, Winter, S3'!F4*Main!$B$5)</f>
        <v>8.7605942006278053</v>
      </c>
      <c r="G4" s="2">
        <f>('[1]Qc, Winter, S3'!G4*Main!$B$5)</f>
        <v>10.877484853964905</v>
      </c>
      <c r="H4" s="2">
        <f>('[1]Qc, Winter, S3'!H4*Main!$B$5)</f>
        <v>16.876506904292327</v>
      </c>
      <c r="I4" s="2">
        <f>('[1]Qc, Winter, S3'!I4*Main!$B$5)</f>
        <v>20.60298573172274</v>
      </c>
      <c r="J4" s="2">
        <f>('[1]Qc, Winter, S3'!J4*Main!$B$5)</f>
        <v>23.803831757562644</v>
      </c>
      <c r="K4" s="2">
        <f>('[1]Qc, Winter, S3'!K4*Main!$B$5)</f>
        <v>26.2123989698019</v>
      </c>
      <c r="L4" s="2">
        <f>('[1]Qc, Winter, S3'!L4*Main!$B$5)</f>
        <v>26.433611517267693</v>
      </c>
      <c r="M4" s="2">
        <f>('[1]Qc, Winter, S3'!M4*Main!$B$5)</f>
        <v>25.959635464943805</v>
      </c>
      <c r="N4" s="2">
        <f>('[1]Qc, Winter, S3'!N4*Main!$B$5)</f>
        <v>26.070196206548204</v>
      </c>
      <c r="O4" s="2">
        <f>('[1]Qc, Winter, S3'!O4*Main!$B$5)</f>
        <v>25.804164845264346</v>
      </c>
      <c r="P4" s="2">
        <f>('[1]Qc, Winter, S3'!P4*Main!$B$5)</f>
        <v>23.278335237807301</v>
      </c>
      <c r="Q4" s="2">
        <f>('[1]Qc, Winter, S3'!Q4*Main!$B$5)</f>
        <v>22.11650876487176</v>
      </c>
      <c r="R4" s="2">
        <f>('[1]Qc, Winter, S3'!R4*Main!$B$5)</f>
        <v>22.824304335348394</v>
      </c>
      <c r="S4" s="2">
        <f>('[1]Qc, Winter, S3'!S4*Main!$B$5)</f>
        <v>31.108498889031917</v>
      </c>
      <c r="T4" s="2">
        <f>('[1]Qc, Winter, S3'!T4*Main!$B$5)</f>
        <v>31.063338784242021</v>
      </c>
      <c r="U4" s="2">
        <f>('[1]Qc, Winter, S3'!U4*Main!$B$5)</f>
        <v>30.115431788438968</v>
      </c>
      <c r="V4" s="2">
        <f>('[1]Qc, Winter, S3'!V4*Main!$B$5)</f>
        <v>27.875008874532291</v>
      </c>
      <c r="W4" s="2">
        <f>('[1]Qc, Winter, S3'!W4*Main!$B$5)</f>
        <v>24.790173982185838</v>
      </c>
      <c r="X4" s="2">
        <f>('[1]Qc, Winter, S3'!X4*Main!$B$5)</f>
        <v>20.219442008689846</v>
      </c>
      <c r="Y4" s="2">
        <f>('[1]Qc, Winter, S3'!Y4*Main!$B$5)</f>
        <v>15.512207210960039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3.4830997356301827</v>
      </c>
      <c r="C2" s="2">
        <f>('FL Characterization'!C$4-'FL Characterization'!C$2)*VLOOKUP($A2,'FL Ratio'!$A$2:$B$21,2,FALSE)</f>
        <v>3.8344507804230994</v>
      </c>
      <c r="D2" s="2">
        <f>('FL Characterization'!D$4-'FL Characterization'!D$2)*VLOOKUP($A2,'FL Ratio'!$A$2:$B$21,2,FALSE)</f>
        <v>4.9909019198942177</v>
      </c>
      <c r="E2" s="2">
        <f>('FL Characterization'!E$4-'FL Characterization'!E$2)*VLOOKUP($A2,'FL Ratio'!$A$2:$B$21,2,FALSE)</f>
        <v>5.7218683669855288</v>
      </c>
      <c r="F2" s="2">
        <f>('FL Characterization'!F$4-'FL Characterization'!F$2)*VLOOKUP($A2,'FL Ratio'!$A$2:$B$21,2,FALSE)</f>
        <v>6.7276164603374244</v>
      </c>
      <c r="G2" s="2">
        <f>('FL Characterization'!G$4-'FL Characterization'!G$2)*VLOOKUP($A2,'FL Ratio'!$A$2:$B$21,2,FALSE)</f>
        <v>7.8640992653251525</v>
      </c>
      <c r="H2" s="2">
        <f>('FL Characterization'!H$4-'FL Characterization'!H$2)*VLOOKUP($A2,'FL Ratio'!$A$2:$B$21,2,FALSE)</f>
        <v>7.0101394536622266</v>
      </c>
      <c r="I2" s="2">
        <f>('FL Characterization'!I$4-'FL Characterization'!I$2)*VLOOKUP($A2,'FL Ratio'!$A$2:$B$21,2,FALSE)</f>
        <v>10.021764625101214</v>
      </c>
      <c r="J2" s="2">
        <f>('FL Characterization'!J$4-'FL Characterization'!J$2)*VLOOKUP($A2,'FL Ratio'!$A$2:$B$21,2,FALSE)</f>
        <v>9.1938504671122772</v>
      </c>
      <c r="K2" s="2">
        <f>('FL Characterization'!K$4-'FL Characterization'!K$2)*VLOOKUP($A2,'FL Ratio'!$A$2:$B$21,2,FALSE)</f>
        <v>10.383919792899636</v>
      </c>
      <c r="L2" s="2">
        <f>('FL Characterization'!L$4-'FL Characterization'!L$2)*VLOOKUP($A2,'FL Ratio'!$A$2:$B$21,2,FALSE)</f>
        <v>10.671893080419181</v>
      </c>
      <c r="M2" s="2">
        <f>('FL Characterization'!M$4-'FL Characterization'!M$2)*VLOOKUP($A2,'FL Ratio'!$A$2:$B$21,2,FALSE)</f>
        <v>9.8990606566815309</v>
      </c>
      <c r="N2" s="2">
        <f>('FL Characterization'!N$4-'FL Characterization'!N$2)*VLOOKUP($A2,'FL Ratio'!$A$2:$B$21,2,FALSE)</f>
        <v>9.3383314959649351</v>
      </c>
      <c r="O2" s="2">
        <f>('FL Characterization'!O$4-'FL Characterization'!O$2)*VLOOKUP($A2,'FL Ratio'!$A$2:$B$21,2,FALSE)</f>
        <v>8.59728441624795</v>
      </c>
      <c r="P2" s="2">
        <f>('FL Characterization'!P$4-'FL Characterization'!P$2)*VLOOKUP($A2,'FL Ratio'!$A$2:$B$21,2,FALSE)</f>
        <v>7.9190363015004737</v>
      </c>
      <c r="Q2" s="2">
        <f>('FL Characterization'!Q$4-'FL Characterization'!Q$2)*VLOOKUP($A2,'FL Ratio'!$A$2:$B$21,2,FALSE)</f>
        <v>7.1270313826972505</v>
      </c>
      <c r="R2" s="2">
        <f>('FL Characterization'!R$4-'FL Characterization'!R$2)*VLOOKUP($A2,'FL Ratio'!$A$2:$B$21,2,FALSE)</f>
        <v>7.0528495024183684</v>
      </c>
      <c r="S2" s="2">
        <f>('FL Characterization'!S$4-'FL Characterization'!S$2)*VLOOKUP($A2,'FL Ratio'!$A$2:$B$21,2,FALSE)</f>
        <v>5.58804676306241</v>
      </c>
      <c r="T2" s="2">
        <f>('FL Characterization'!T$4-'FL Characterization'!T$2)*VLOOKUP($A2,'FL Ratio'!$A$2:$B$21,2,FALSE)</f>
        <v>4.6234411559770185</v>
      </c>
      <c r="U2" s="2">
        <f>('FL Characterization'!U$4-'FL Characterization'!U$2)*VLOOKUP($A2,'FL Ratio'!$A$2:$B$21,2,FALSE)</f>
        <v>5.4863240156578863</v>
      </c>
      <c r="V2" s="2">
        <f>('FL Characterization'!V$4-'FL Characterization'!V$2)*VLOOKUP($A2,'FL Ratio'!$A$2:$B$21,2,FALSE)</f>
        <v>5.5900243034339541</v>
      </c>
      <c r="W2" s="2">
        <f>('FL Characterization'!W$4-'FL Characterization'!W$2)*VLOOKUP($A2,'FL Ratio'!$A$2:$B$21,2,FALSE)</f>
        <v>6.3882753558497374</v>
      </c>
      <c r="X2" s="2">
        <f>('FL Characterization'!X$4-'FL Characterization'!X$2)*VLOOKUP($A2,'FL Ratio'!$A$2:$B$21,2,FALSE)</f>
        <v>3.101844421804167</v>
      </c>
      <c r="Y2" s="2">
        <f>('FL Characterization'!Y$4-'FL Characterization'!Y$2)*VLOOKUP($A2,'FL Ratio'!$A$2:$B$21,2,FALSE)</f>
        <v>2.9781275668527183</v>
      </c>
    </row>
    <row r="3" spans="1:25" x14ac:dyDescent="0.3">
      <c r="A3">
        <v>2</v>
      </c>
      <c r="B3" s="2">
        <f>('FL Characterization'!B$4-'FL Characterization'!B$2)*VLOOKUP($A3,'FL Ratio'!$A$2:$B$21,2,FALSE)</f>
        <v>3.4830997356301827</v>
      </c>
      <c r="C3" s="2">
        <f>('FL Characterization'!C$4-'FL Characterization'!C$2)*VLOOKUP($A3,'FL Ratio'!$A$2:$B$21,2,FALSE)</f>
        <v>3.8344507804230994</v>
      </c>
      <c r="D3" s="2">
        <f>('FL Characterization'!D$4-'FL Characterization'!D$2)*VLOOKUP($A3,'FL Ratio'!$A$2:$B$21,2,FALSE)</f>
        <v>4.9909019198942177</v>
      </c>
      <c r="E3" s="2">
        <f>('FL Characterization'!E$4-'FL Characterization'!E$2)*VLOOKUP($A3,'FL Ratio'!$A$2:$B$21,2,FALSE)</f>
        <v>5.7218683669855288</v>
      </c>
      <c r="F3" s="2">
        <f>('FL Characterization'!F$4-'FL Characterization'!F$2)*VLOOKUP($A3,'FL Ratio'!$A$2:$B$21,2,FALSE)</f>
        <v>6.7276164603374244</v>
      </c>
      <c r="G3" s="2">
        <f>('FL Characterization'!G$4-'FL Characterization'!G$2)*VLOOKUP($A3,'FL Ratio'!$A$2:$B$21,2,FALSE)</f>
        <v>7.8640992653251525</v>
      </c>
      <c r="H3" s="2">
        <f>('FL Characterization'!H$4-'FL Characterization'!H$2)*VLOOKUP($A3,'FL Ratio'!$A$2:$B$21,2,FALSE)</f>
        <v>7.0101394536622266</v>
      </c>
      <c r="I3" s="2">
        <f>('FL Characterization'!I$4-'FL Characterization'!I$2)*VLOOKUP($A3,'FL Ratio'!$A$2:$B$21,2,FALSE)</f>
        <v>10.021764625101214</v>
      </c>
      <c r="J3" s="2">
        <f>('FL Characterization'!J$4-'FL Characterization'!J$2)*VLOOKUP($A3,'FL Ratio'!$A$2:$B$21,2,FALSE)</f>
        <v>9.1938504671122772</v>
      </c>
      <c r="K3" s="2">
        <f>('FL Characterization'!K$4-'FL Characterization'!K$2)*VLOOKUP($A3,'FL Ratio'!$A$2:$B$21,2,FALSE)</f>
        <v>10.383919792899636</v>
      </c>
      <c r="L3" s="2">
        <f>('FL Characterization'!L$4-'FL Characterization'!L$2)*VLOOKUP($A3,'FL Ratio'!$A$2:$B$21,2,FALSE)</f>
        <v>10.671893080419181</v>
      </c>
      <c r="M3" s="2">
        <f>('FL Characterization'!M$4-'FL Characterization'!M$2)*VLOOKUP($A3,'FL Ratio'!$A$2:$B$21,2,FALSE)</f>
        <v>9.8990606566815309</v>
      </c>
      <c r="N3" s="2">
        <f>('FL Characterization'!N$4-'FL Characterization'!N$2)*VLOOKUP($A3,'FL Ratio'!$A$2:$B$21,2,FALSE)</f>
        <v>9.3383314959649351</v>
      </c>
      <c r="O3" s="2">
        <f>('FL Characterization'!O$4-'FL Characterization'!O$2)*VLOOKUP($A3,'FL Ratio'!$A$2:$B$21,2,FALSE)</f>
        <v>8.59728441624795</v>
      </c>
      <c r="P3" s="2">
        <f>('FL Characterization'!P$4-'FL Characterization'!P$2)*VLOOKUP($A3,'FL Ratio'!$A$2:$B$21,2,FALSE)</f>
        <v>7.9190363015004737</v>
      </c>
      <c r="Q3" s="2">
        <f>('FL Characterization'!Q$4-'FL Characterization'!Q$2)*VLOOKUP($A3,'FL Ratio'!$A$2:$B$21,2,FALSE)</f>
        <v>7.1270313826972505</v>
      </c>
      <c r="R3" s="2">
        <f>('FL Characterization'!R$4-'FL Characterization'!R$2)*VLOOKUP($A3,'FL Ratio'!$A$2:$B$21,2,FALSE)</f>
        <v>7.0528495024183684</v>
      </c>
      <c r="S3" s="2">
        <f>('FL Characterization'!S$4-'FL Characterization'!S$2)*VLOOKUP($A3,'FL Ratio'!$A$2:$B$21,2,FALSE)</f>
        <v>5.58804676306241</v>
      </c>
      <c r="T3" s="2">
        <f>('FL Characterization'!T$4-'FL Characterization'!T$2)*VLOOKUP($A3,'FL Ratio'!$A$2:$B$21,2,FALSE)</f>
        <v>4.6234411559770185</v>
      </c>
      <c r="U3" s="2">
        <f>('FL Characterization'!U$4-'FL Characterization'!U$2)*VLOOKUP($A3,'FL Ratio'!$A$2:$B$21,2,FALSE)</f>
        <v>5.4863240156578863</v>
      </c>
      <c r="V3" s="2">
        <f>('FL Characterization'!V$4-'FL Characterization'!V$2)*VLOOKUP($A3,'FL Ratio'!$A$2:$B$21,2,FALSE)</f>
        <v>5.5900243034339541</v>
      </c>
      <c r="W3" s="2">
        <f>('FL Characterization'!W$4-'FL Characterization'!W$2)*VLOOKUP($A3,'FL Ratio'!$A$2:$B$21,2,FALSE)</f>
        <v>6.3882753558497374</v>
      </c>
      <c r="X3" s="2">
        <f>('FL Characterization'!X$4-'FL Characterization'!X$2)*VLOOKUP($A3,'FL Ratio'!$A$2:$B$21,2,FALSE)</f>
        <v>3.101844421804167</v>
      </c>
      <c r="Y3" s="2">
        <f>('FL Characterization'!Y$4-'FL Characterization'!Y$2)*VLOOKUP($A3,'FL Ratio'!$A$2:$B$21,2,FALSE)</f>
        <v>2.9781275668527183</v>
      </c>
    </row>
    <row r="4" spans="1:25" x14ac:dyDescent="0.3">
      <c r="A4">
        <v>3</v>
      </c>
      <c r="B4" s="2">
        <f>('FL Characterization'!B$4-'FL Characterization'!B$2)*VLOOKUP($A4,'FL Ratio'!$A$2:$B$21,2,FALSE)</f>
        <v>3.4830997356301827</v>
      </c>
      <c r="C4" s="2">
        <f>('FL Characterization'!C$4-'FL Characterization'!C$2)*VLOOKUP($A4,'FL Ratio'!$A$2:$B$21,2,FALSE)</f>
        <v>3.8344507804230994</v>
      </c>
      <c r="D4" s="2">
        <f>('FL Characterization'!D$4-'FL Characterization'!D$2)*VLOOKUP($A4,'FL Ratio'!$A$2:$B$21,2,FALSE)</f>
        <v>4.9909019198942177</v>
      </c>
      <c r="E4" s="2">
        <f>('FL Characterization'!E$4-'FL Characterization'!E$2)*VLOOKUP($A4,'FL Ratio'!$A$2:$B$21,2,FALSE)</f>
        <v>5.7218683669855288</v>
      </c>
      <c r="F4" s="2">
        <f>('FL Characterization'!F$4-'FL Characterization'!F$2)*VLOOKUP($A4,'FL Ratio'!$A$2:$B$21,2,FALSE)</f>
        <v>6.7276164603374244</v>
      </c>
      <c r="G4" s="2">
        <f>('FL Characterization'!G$4-'FL Characterization'!G$2)*VLOOKUP($A4,'FL Ratio'!$A$2:$B$21,2,FALSE)</f>
        <v>7.8640992653251525</v>
      </c>
      <c r="H4" s="2">
        <f>('FL Characterization'!H$4-'FL Characterization'!H$2)*VLOOKUP($A4,'FL Ratio'!$A$2:$B$21,2,FALSE)</f>
        <v>7.0101394536622266</v>
      </c>
      <c r="I4" s="2">
        <f>('FL Characterization'!I$4-'FL Characterization'!I$2)*VLOOKUP($A4,'FL Ratio'!$A$2:$B$21,2,FALSE)</f>
        <v>10.021764625101214</v>
      </c>
      <c r="J4" s="2">
        <f>('FL Characterization'!J$4-'FL Characterization'!J$2)*VLOOKUP($A4,'FL Ratio'!$A$2:$B$21,2,FALSE)</f>
        <v>9.1938504671122772</v>
      </c>
      <c r="K4" s="2">
        <f>('FL Characterization'!K$4-'FL Characterization'!K$2)*VLOOKUP($A4,'FL Ratio'!$A$2:$B$21,2,FALSE)</f>
        <v>10.383919792899636</v>
      </c>
      <c r="L4" s="2">
        <f>('FL Characterization'!L$4-'FL Characterization'!L$2)*VLOOKUP($A4,'FL Ratio'!$A$2:$B$21,2,FALSE)</f>
        <v>10.671893080419181</v>
      </c>
      <c r="M4" s="2">
        <f>('FL Characterization'!M$4-'FL Characterization'!M$2)*VLOOKUP($A4,'FL Ratio'!$A$2:$B$21,2,FALSE)</f>
        <v>9.8990606566815309</v>
      </c>
      <c r="N4" s="2">
        <f>('FL Characterization'!N$4-'FL Characterization'!N$2)*VLOOKUP($A4,'FL Ratio'!$A$2:$B$21,2,FALSE)</f>
        <v>9.3383314959649351</v>
      </c>
      <c r="O4" s="2">
        <f>('FL Characterization'!O$4-'FL Characterization'!O$2)*VLOOKUP($A4,'FL Ratio'!$A$2:$B$21,2,FALSE)</f>
        <v>8.59728441624795</v>
      </c>
      <c r="P4" s="2">
        <f>('FL Characterization'!P$4-'FL Characterization'!P$2)*VLOOKUP($A4,'FL Ratio'!$A$2:$B$21,2,FALSE)</f>
        <v>7.9190363015004737</v>
      </c>
      <c r="Q4" s="2">
        <f>('FL Characterization'!Q$4-'FL Characterization'!Q$2)*VLOOKUP($A4,'FL Ratio'!$A$2:$B$21,2,FALSE)</f>
        <v>7.1270313826972505</v>
      </c>
      <c r="R4" s="2">
        <f>('FL Characterization'!R$4-'FL Characterization'!R$2)*VLOOKUP($A4,'FL Ratio'!$A$2:$B$21,2,FALSE)</f>
        <v>7.0528495024183684</v>
      </c>
      <c r="S4" s="2">
        <f>('FL Characterization'!S$4-'FL Characterization'!S$2)*VLOOKUP($A4,'FL Ratio'!$A$2:$B$21,2,FALSE)</f>
        <v>5.58804676306241</v>
      </c>
      <c r="T4" s="2">
        <f>('FL Characterization'!T$4-'FL Characterization'!T$2)*VLOOKUP($A4,'FL Ratio'!$A$2:$B$21,2,FALSE)</f>
        <v>4.6234411559770185</v>
      </c>
      <c r="U4" s="2">
        <f>('FL Characterization'!U$4-'FL Characterization'!U$2)*VLOOKUP($A4,'FL Ratio'!$A$2:$B$21,2,FALSE)</f>
        <v>5.4863240156578863</v>
      </c>
      <c r="V4" s="2">
        <f>('FL Characterization'!V$4-'FL Characterization'!V$2)*VLOOKUP($A4,'FL Ratio'!$A$2:$B$21,2,FALSE)</f>
        <v>5.5900243034339541</v>
      </c>
      <c r="W4" s="2">
        <f>('FL Characterization'!W$4-'FL Characterization'!W$2)*VLOOKUP($A4,'FL Ratio'!$A$2:$B$21,2,FALSE)</f>
        <v>6.3882753558497374</v>
      </c>
      <c r="X4" s="2">
        <f>('FL Characterization'!X$4-'FL Characterization'!X$2)*VLOOKUP($A4,'FL Ratio'!$A$2:$B$21,2,FALSE)</f>
        <v>3.101844421804167</v>
      </c>
      <c r="Y4" s="2">
        <f>('FL Characterization'!Y$4-'FL Characterization'!Y$2)*VLOOKUP($A4,'FL Ratio'!$A$2:$B$21,2,FALSE)</f>
        <v>2.9781275668527183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9.6564260996315259</v>
      </c>
      <c r="C2" s="2">
        <f>('FL Characterization'!C$2-'FL Characterization'!C$3)*VLOOKUP($A2,'FL Ratio'!$A$2:$B$21,2,FALSE)</f>
        <v>10.219301615141626</v>
      </c>
      <c r="D2" s="2">
        <f>('FL Characterization'!D$2-'FL Characterization'!D$3)*VLOOKUP($A2,'FL Ratio'!$A$2:$B$21,2,FALSE)</f>
        <v>10.791341342129614</v>
      </c>
      <c r="E2" s="2">
        <f>('FL Characterization'!E$2-'FL Characterization'!E$3)*VLOOKUP($A2,'FL Ratio'!$A$2:$B$21,2,FALSE)</f>
        <v>11.281867819656412</v>
      </c>
      <c r="F2" s="2">
        <f>('FL Characterization'!F$2-'FL Characterization'!F$3)*VLOOKUP($A2,'FL Ratio'!$A$2:$B$21,2,FALSE)</f>
        <v>11.409925616886859</v>
      </c>
      <c r="G2" s="2">
        <f>('FL Characterization'!G$2-'FL Characterization'!G$3)*VLOOKUP($A2,'FL Ratio'!$A$2:$B$21,2,FALSE)</f>
        <v>11.935420796105586</v>
      </c>
      <c r="H2" s="2">
        <f>('FL Characterization'!H$2-'FL Characterization'!H$3)*VLOOKUP($A2,'FL Ratio'!$A$2:$B$21,2,FALSE)</f>
        <v>11.874406440739669</v>
      </c>
      <c r="I2" s="2">
        <f>('FL Characterization'!I$2-'FL Characterization'!I$3)*VLOOKUP($A2,'FL Ratio'!$A$2:$B$21,2,FALSE)</f>
        <v>11.224085054653745</v>
      </c>
      <c r="J2" s="2">
        <f>('FL Characterization'!J$2-'FL Characterization'!J$3)*VLOOKUP($A2,'FL Ratio'!$A$2:$B$21,2,FALSE)</f>
        <v>10.169477244317125</v>
      </c>
      <c r="K2" s="2">
        <f>('FL Characterization'!K$2-'FL Characterization'!K$3)*VLOOKUP($A2,'FL Ratio'!$A$2:$B$21,2,FALSE)</f>
        <v>14.933589046479678</v>
      </c>
      <c r="L2" s="2">
        <f>('FL Characterization'!L$2-'FL Characterization'!L$3)*VLOOKUP($A2,'FL Ratio'!$A$2:$B$21,2,FALSE)</f>
        <v>14.583250888218531</v>
      </c>
      <c r="M2" s="2">
        <f>('FL Characterization'!M$2-'FL Characterization'!M$3)*VLOOKUP($A2,'FL Ratio'!$A$2:$B$21,2,FALSE)</f>
        <v>13.428560242005007</v>
      </c>
      <c r="N2" s="2">
        <f>('FL Characterization'!N$2-'FL Characterization'!N$3)*VLOOKUP($A2,'FL Ratio'!$A$2:$B$21,2,FALSE)</f>
        <v>13.102266080700307</v>
      </c>
      <c r="O2" s="2">
        <f>('FL Characterization'!O$2-'FL Characterization'!O$3)*VLOOKUP($A2,'FL Ratio'!$A$2:$B$21,2,FALSE)</f>
        <v>13.156117881305882</v>
      </c>
      <c r="P2" s="2">
        <f>('FL Characterization'!P$2-'FL Characterization'!P$3)*VLOOKUP($A2,'FL Ratio'!$A$2:$B$21,2,FALSE)</f>
        <v>12.532830919079718</v>
      </c>
      <c r="Q2" s="2">
        <f>('FL Characterization'!Q$2-'FL Characterization'!Q$3)*VLOOKUP($A2,'FL Ratio'!$A$2:$B$21,2,FALSE)</f>
        <v>11.488207275984793</v>
      </c>
      <c r="R2" s="2">
        <f>('FL Characterization'!R$2-'FL Characterization'!R$3)*VLOOKUP($A2,'FL Ratio'!$A$2:$B$21,2,FALSE)</f>
        <v>10.324786512521285</v>
      </c>
      <c r="S2" s="2">
        <f>('FL Characterization'!S$2-'FL Characterization'!S$3)*VLOOKUP($A2,'FL Ratio'!$A$2:$B$21,2,FALSE)</f>
        <v>9.9544076707387568</v>
      </c>
      <c r="T2" s="2">
        <f>('FL Characterization'!T$2-'FL Characterization'!T$3)*VLOOKUP($A2,'FL Ratio'!$A$2:$B$21,2,FALSE)</f>
        <v>6.2572994807539644</v>
      </c>
      <c r="U2" s="2">
        <f>('FL Characterization'!U$2-'FL Characterization'!U$3)*VLOOKUP($A2,'FL Ratio'!$A$2:$B$21,2,FALSE)</f>
        <v>6.6916107557677345</v>
      </c>
      <c r="V2" s="2">
        <f>('FL Characterization'!V$2-'FL Characterization'!V$3)*VLOOKUP($A2,'FL Ratio'!$A$2:$B$21,2,FALSE)</f>
        <v>7.3160794189476217</v>
      </c>
      <c r="W2" s="2">
        <f>('FL Characterization'!W$2-'FL Characterization'!W$3)*VLOOKUP($A2,'FL Ratio'!$A$2:$B$21,2,FALSE)</f>
        <v>7.4906576476013322</v>
      </c>
      <c r="X2" s="2">
        <f>('FL Characterization'!X$2-'FL Characterization'!X$3)*VLOOKUP($A2,'FL Ratio'!$A$2:$B$21,2,FALSE)</f>
        <v>7.8122491214371168</v>
      </c>
      <c r="Y2" s="2">
        <f>('FL Characterization'!Y$2-'FL Characterization'!Y$3)*VLOOKUP($A2,'FL Ratio'!$A$2:$B$21,2,FALSE)</f>
        <v>8.6232818372299498</v>
      </c>
    </row>
    <row r="3" spans="1:25" x14ac:dyDescent="0.3">
      <c r="A3">
        <v>2</v>
      </c>
      <c r="B3" s="2">
        <f>('FL Characterization'!B$2-'FL Characterization'!B$3)*VLOOKUP($A3,'FL Ratio'!$A$2:$B$21,2,FALSE)</f>
        <v>9.6564260996315259</v>
      </c>
      <c r="C3" s="2">
        <f>('FL Characterization'!C$2-'FL Characterization'!C$3)*VLOOKUP($A3,'FL Ratio'!$A$2:$B$21,2,FALSE)</f>
        <v>10.219301615141626</v>
      </c>
      <c r="D3" s="2">
        <f>('FL Characterization'!D$2-'FL Characterization'!D$3)*VLOOKUP($A3,'FL Ratio'!$A$2:$B$21,2,FALSE)</f>
        <v>10.791341342129614</v>
      </c>
      <c r="E3" s="2">
        <f>('FL Characterization'!E$2-'FL Characterization'!E$3)*VLOOKUP($A3,'FL Ratio'!$A$2:$B$21,2,FALSE)</f>
        <v>11.281867819656412</v>
      </c>
      <c r="F3" s="2">
        <f>('FL Characterization'!F$2-'FL Characterization'!F$3)*VLOOKUP($A3,'FL Ratio'!$A$2:$B$21,2,FALSE)</f>
        <v>11.409925616886859</v>
      </c>
      <c r="G3" s="2">
        <f>('FL Characterization'!G$2-'FL Characterization'!G$3)*VLOOKUP($A3,'FL Ratio'!$A$2:$B$21,2,FALSE)</f>
        <v>11.935420796105586</v>
      </c>
      <c r="H3" s="2">
        <f>('FL Characterization'!H$2-'FL Characterization'!H$3)*VLOOKUP($A3,'FL Ratio'!$A$2:$B$21,2,FALSE)</f>
        <v>11.874406440739669</v>
      </c>
      <c r="I3" s="2">
        <f>('FL Characterization'!I$2-'FL Characterization'!I$3)*VLOOKUP($A3,'FL Ratio'!$A$2:$B$21,2,FALSE)</f>
        <v>11.224085054653745</v>
      </c>
      <c r="J3" s="2">
        <f>('FL Characterization'!J$2-'FL Characterization'!J$3)*VLOOKUP($A3,'FL Ratio'!$A$2:$B$21,2,FALSE)</f>
        <v>10.169477244317125</v>
      </c>
      <c r="K3" s="2">
        <f>('FL Characterization'!K$2-'FL Characterization'!K$3)*VLOOKUP($A3,'FL Ratio'!$A$2:$B$21,2,FALSE)</f>
        <v>14.933589046479678</v>
      </c>
      <c r="L3" s="2">
        <f>('FL Characterization'!L$2-'FL Characterization'!L$3)*VLOOKUP($A3,'FL Ratio'!$A$2:$B$21,2,FALSE)</f>
        <v>14.583250888218531</v>
      </c>
      <c r="M3" s="2">
        <f>('FL Characterization'!M$2-'FL Characterization'!M$3)*VLOOKUP($A3,'FL Ratio'!$A$2:$B$21,2,FALSE)</f>
        <v>13.428560242005007</v>
      </c>
      <c r="N3" s="2">
        <f>('FL Characterization'!N$2-'FL Characterization'!N$3)*VLOOKUP($A3,'FL Ratio'!$A$2:$B$21,2,FALSE)</f>
        <v>13.102266080700307</v>
      </c>
      <c r="O3" s="2">
        <f>('FL Characterization'!O$2-'FL Characterization'!O$3)*VLOOKUP($A3,'FL Ratio'!$A$2:$B$21,2,FALSE)</f>
        <v>13.156117881305882</v>
      </c>
      <c r="P3" s="2">
        <f>('FL Characterization'!P$2-'FL Characterization'!P$3)*VLOOKUP($A3,'FL Ratio'!$A$2:$B$21,2,FALSE)</f>
        <v>12.532830919079718</v>
      </c>
      <c r="Q3" s="2">
        <f>('FL Characterization'!Q$2-'FL Characterization'!Q$3)*VLOOKUP($A3,'FL Ratio'!$A$2:$B$21,2,FALSE)</f>
        <v>11.488207275984793</v>
      </c>
      <c r="R3" s="2">
        <f>('FL Characterization'!R$2-'FL Characterization'!R$3)*VLOOKUP($A3,'FL Ratio'!$A$2:$B$21,2,FALSE)</f>
        <v>10.324786512521285</v>
      </c>
      <c r="S3" s="2">
        <f>('FL Characterization'!S$2-'FL Characterization'!S$3)*VLOOKUP($A3,'FL Ratio'!$A$2:$B$21,2,FALSE)</f>
        <v>9.9544076707387568</v>
      </c>
      <c r="T3" s="2">
        <f>('FL Characterization'!T$2-'FL Characterization'!T$3)*VLOOKUP($A3,'FL Ratio'!$A$2:$B$21,2,FALSE)</f>
        <v>6.2572994807539644</v>
      </c>
      <c r="U3" s="2">
        <f>('FL Characterization'!U$2-'FL Characterization'!U$3)*VLOOKUP($A3,'FL Ratio'!$A$2:$B$21,2,FALSE)</f>
        <v>6.6916107557677345</v>
      </c>
      <c r="V3" s="2">
        <f>('FL Characterization'!V$2-'FL Characterization'!V$3)*VLOOKUP($A3,'FL Ratio'!$A$2:$B$21,2,FALSE)</f>
        <v>7.3160794189476217</v>
      </c>
      <c r="W3" s="2">
        <f>('FL Characterization'!W$2-'FL Characterization'!W$3)*VLOOKUP($A3,'FL Ratio'!$A$2:$B$21,2,FALSE)</f>
        <v>7.4906576476013322</v>
      </c>
      <c r="X3" s="2">
        <f>('FL Characterization'!X$2-'FL Characterization'!X$3)*VLOOKUP($A3,'FL Ratio'!$A$2:$B$21,2,FALSE)</f>
        <v>7.8122491214371168</v>
      </c>
      <c r="Y3" s="2">
        <f>('FL Characterization'!Y$2-'FL Characterization'!Y$3)*VLOOKUP($A3,'FL Ratio'!$A$2:$B$21,2,FALSE)</f>
        <v>8.6232818372299498</v>
      </c>
    </row>
    <row r="4" spans="1:25" x14ac:dyDescent="0.3">
      <c r="A4">
        <v>3</v>
      </c>
      <c r="B4" s="2">
        <f>('FL Characterization'!B$2-'FL Characterization'!B$3)*VLOOKUP($A4,'FL Ratio'!$A$2:$B$21,2,FALSE)</f>
        <v>9.6564260996315259</v>
      </c>
      <c r="C4" s="2">
        <f>('FL Characterization'!C$2-'FL Characterization'!C$3)*VLOOKUP($A4,'FL Ratio'!$A$2:$B$21,2,FALSE)</f>
        <v>10.219301615141626</v>
      </c>
      <c r="D4" s="2">
        <f>('FL Characterization'!D$2-'FL Characterization'!D$3)*VLOOKUP($A4,'FL Ratio'!$A$2:$B$21,2,FALSE)</f>
        <v>10.791341342129614</v>
      </c>
      <c r="E4" s="2">
        <f>('FL Characterization'!E$2-'FL Characterization'!E$3)*VLOOKUP($A4,'FL Ratio'!$A$2:$B$21,2,FALSE)</f>
        <v>11.281867819656412</v>
      </c>
      <c r="F4" s="2">
        <f>('FL Characterization'!F$2-'FL Characterization'!F$3)*VLOOKUP($A4,'FL Ratio'!$A$2:$B$21,2,FALSE)</f>
        <v>11.409925616886859</v>
      </c>
      <c r="G4" s="2">
        <f>('FL Characterization'!G$2-'FL Characterization'!G$3)*VLOOKUP($A4,'FL Ratio'!$A$2:$B$21,2,FALSE)</f>
        <v>11.935420796105586</v>
      </c>
      <c r="H4" s="2">
        <f>('FL Characterization'!H$2-'FL Characterization'!H$3)*VLOOKUP($A4,'FL Ratio'!$A$2:$B$21,2,FALSE)</f>
        <v>11.874406440739669</v>
      </c>
      <c r="I4" s="2">
        <f>('FL Characterization'!I$2-'FL Characterization'!I$3)*VLOOKUP($A4,'FL Ratio'!$A$2:$B$21,2,FALSE)</f>
        <v>11.224085054653745</v>
      </c>
      <c r="J4" s="2">
        <f>('FL Characterization'!J$2-'FL Characterization'!J$3)*VLOOKUP($A4,'FL Ratio'!$A$2:$B$21,2,FALSE)</f>
        <v>10.169477244317125</v>
      </c>
      <c r="K4" s="2">
        <f>('FL Characterization'!K$2-'FL Characterization'!K$3)*VLOOKUP($A4,'FL Ratio'!$A$2:$B$21,2,FALSE)</f>
        <v>14.933589046479678</v>
      </c>
      <c r="L4" s="2">
        <f>('FL Characterization'!L$2-'FL Characterization'!L$3)*VLOOKUP($A4,'FL Ratio'!$A$2:$B$21,2,FALSE)</f>
        <v>14.583250888218531</v>
      </c>
      <c r="M4" s="2">
        <f>('FL Characterization'!M$2-'FL Characterization'!M$3)*VLOOKUP($A4,'FL Ratio'!$A$2:$B$21,2,FALSE)</f>
        <v>13.428560242005007</v>
      </c>
      <c r="N4" s="2">
        <f>('FL Characterization'!N$2-'FL Characterization'!N$3)*VLOOKUP($A4,'FL Ratio'!$A$2:$B$21,2,FALSE)</f>
        <v>13.102266080700307</v>
      </c>
      <c r="O4" s="2">
        <f>('FL Characterization'!O$2-'FL Characterization'!O$3)*VLOOKUP($A4,'FL Ratio'!$A$2:$B$21,2,FALSE)</f>
        <v>13.156117881305882</v>
      </c>
      <c r="P4" s="2">
        <f>('FL Characterization'!P$2-'FL Characterization'!P$3)*VLOOKUP($A4,'FL Ratio'!$A$2:$B$21,2,FALSE)</f>
        <v>12.532830919079718</v>
      </c>
      <c r="Q4" s="2">
        <f>('FL Characterization'!Q$2-'FL Characterization'!Q$3)*VLOOKUP($A4,'FL Ratio'!$A$2:$B$21,2,FALSE)</f>
        <v>11.488207275984793</v>
      </c>
      <c r="R4" s="2">
        <f>('FL Characterization'!R$2-'FL Characterization'!R$3)*VLOOKUP($A4,'FL Ratio'!$A$2:$B$21,2,FALSE)</f>
        <v>10.324786512521285</v>
      </c>
      <c r="S4" s="2">
        <f>('FL Characterization'!S$2-'FL Characterization'!S$3)*VLOOKUP($A4,'FL Ratio'!$A$2:$B$21,2,FALSE)</f>
        <v>9.9544076707387568</v>
      </c>
      <c r="T4" s="2">
        <f>('FL Characterization'!T$2-'FL Characterization'!T$3)*VLOOKUP($A4,'FL Ratio'!$A$2:$B$21,2,FALSE)</f>
        <v>6.2572994807539644</v>
      </c>
      <c r="U4" s="2">
        <f>('FL Characterization'!U$2-'FL Characterization'!U$3)*VLOOKUP($A4,'FL Ratio'!$A$2:$B$21,2,FALSE)</f>
        <v>6.6916107557677345</v>
      </c>
      <c r="V4" s="2">
        <f>('FL Characterization'!V$2-'FL Characterization'!V$3)*VLOOKUP($A4,'FL Ratio'!$A$2:$B$21,2,FALSE)</f>
        <v>7.3160794189476217</v>
      </c>
      <c r="W4" s="2">
        <f>('FL Characterization'!W$2-'FL Characterization'!W$3)*VLOOKUP($A4,'FL Ratio'!$A$2:$B$21,2,FALSE)</f>
        <v>7.4906576476013322</v>
      </c>
      <c r="X4" s="2">
        <f>('FL Characterization'!X$2-'FL Characterization'!X$3)*VLOOKUP($A4,'FL Ratio'!$A$2:$B$21,2,FALSE)</f>
        <v>7.8122491214371168</v>
      </c>
      <c r="Y4" s="2">
        <f>('FL Characterization'!Y$2-'FL Characterization'!Y$3)*VLOOKUP($A4,'FL Ratio'!$A$2:$B$21,2,FALSE)</f>
        <v>8.6232818372299498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24.396828582898433</v>
      </c>
      <c r="C5" s="9">
        <f>VLOOKUP($A5,'RES installed'!$A$2:$C$7,3,FALSE)*'[1]Profiles, RES, Winter'!C$5</f>
        <v>26.248494580489762</v>
      </c>
      <c r="D5" s="9">
        <f>VLOOKUP($A5,'RES installed'!$A$2:$C$7,3,FALSE)*'[1]Profiles, RES, Winter'!D$5</f>
        <v>26.113006824568448</v>
      </c>
      <c r="E5" s="9">
        <f>VLOOKUP($A5,'RES installed'!$A$2:$C$7,3,FALSE)*'[1]Profiles, RES, Winter'!E$5</f>
        <v>26.167201926936976</v>
      </c>
      <c r="F5" s="9">
        <f>VLOOKUP($A5,'RES installed'!$A$2:$C$7,3,FALSE)*'[1]Profiles, RES, Winter'!F$5</f>
        <v>27.088518667201928</v>
      </c>
      <c r="G5" s="9">
        <f>VLOOKUP($A5,'RES installed'!$A$2:$C$7,3,FALSE)*'[1]Profiles, RES, Winter'!G$5</f>
        <v>28.596949016459256</v>
      </c>
      <c r="H5" s="9">
        <f>VLOOKUP($A5,'RES installed'!$A$2:$C$7,3,FALSE)*'[1]Profiles, RES, Winter'!H$5</f>
        <v>30.466680048173423</v>
      </c>
      <c r="I5" s="9">
        <f>VLOOKUP($A5,'RES installed'!$A$2:$C$7,3,FALSE)*'[1]Profiles, RES, Winter'!I$5</f>
        <v>30.520875150541951</v>
      </c>
      <c r="J5" s="9">
        <f>VLOOKUP($A5,'RES installed'!$A$2:$C$7,3,FALSE)*'[1]Profiles, RES, Winter'!J$5</f>
        <v>30.249899638699318</v>
      </c>
      <c r="K5" s="9">
        <f>VLOOKUP($A5,'RES installed'!$A$2:$C$7,3,FALSE)*'[1]Profiles, RES, Winter'!K$5</f>
        <v>28.389201124046568</v>
      </c>
      <c r="L5" s="9">
        <f>VLOOKUP($A5,'RES installed'!$A$2:$C$7,3,FALSE)*'[1]Profiles, RES, Winter'!L$5</f>
        <v>24.758129265355279</v>
      </c>
      <c r="M5" s="9">
        <f>VLOOKUP($A5,'RES installed'!$A$2:$C$7,3,FALSE)*'[1]Profiles, RES, Winter'!M$5</f>
        <v>22.780008028904053</v>
      </c>
      <c r="N5" s="9">
        <f>VLOOKUP($A5,'RES installed'!$A$2:$C$7,3,FALSE)*'[1]Profiles, RES, Winter'!N$5</f>
        <v>21.885788839823366</v>
      </c>
      <c r="O5" s="9">
        <f>VLOOKUP($A5,'RES installed'!$A$2:$C$7,3,FALSE)*'[1]Profiles, RES, Winter'!O$5</f>
        <v>20.39542352468888</v>
      </c>
      <c r="P5" s="9">
        <f>VLOOKUP($A5,'RES installed'!$A$2:$C$7,3,FALSE)*'[1]Profiles, RES, Winter'!P$5</f>
        <v>18.643115214773182</v>
      </c>
      <c r="Q5" s="9">
        <f>VLOOKUP($A5,'RES installed'!$A$2:$C$7,3,FALSE)*'[1]Profiles, RES, Winter'!Q$5</f>
        <v>18.805700521878762</v>
      </c>
      <c r="R5" s="9">
        <f>VLOOKUP($A5,'RES installed'!$A$2:$C$7,3,FALSE)*'[1]Profiles, RES, Winter'!R$5</f>
        <v>19.51023685266961</v>
      </c>
      <c r="S5" s="9">
        <f>VLOOKUP($A5,'RES installed'!$A$2:$C$7,3,FALSE)*'[1]Profiles, RES, Winter'!S$5</f>
        <v>22.481934965877159</v>
      </c>
      <c r="T5" s="9">
        <f>VLOOKUP($A5,'RES installed'!$A$2:$C$7,3,FALSE)*'[1]Profiles, RES, Winter'!T$5</f>
        <v>24.342633480529908</v>
      </c>
      <c r="U5" s="9">
        <f>VLOOKUP($A5,'RES installed'!$A$2:$C$7,3,FALSE)*'[1]Profiles, RES, Winter'!U$5</f>
        <v>24.947812123645122</v>
      </c>
      <c r="V5" s="9">
        <f>VLOOKUP($A5,'RES installed'!$A$2:$C$7,3,FALSE)*'[1]Profiles, RES, Winter'!V$5</f>
        <v>24.125853071055801</v>
      </c>
      <c r="W5" s="9">
        <f>VLOOKUP($A5,'RES installed'!$A$2:$C$7,3,FALSE)*'[1]Profiles, RES, Winter'!W$5</f>
        <v>22.816138097149736</v>
      </c>
      <c r="X5" s="9">
        <f>VLOOKUP($A5,'RES installed'!$A$2:$C$7,3,FALSE)*'[1]Profiles, RES, Winter'!X$5</f>
        <v>23.060016057808109</v>
      </c>
      <c r="Y5" s="9">
        <f>VLOOKUP($A5,'RES installed'!$A$2:$C$7,3,FALSE)*'[1]Profiles, RES, Winter'!Y$5</f>
        <v>24.008430349257328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24.396828582898433</v>
      </c>
      <c r="C7" s="9">
        <f>VLOOKUP($A7,'RES installed'!$A$2:$C$7,3,FALSE)*'[1]Profiles, RES, Winter'!C$5</f>
        <v>26.248494580489762</v>
      </c>
      <c r="D7" s="9">
        <f>VLOOKUP($A7,'RES installed'!$A$2:$C$7,3,FALSE)*'[1]Profiles, RES, Winter'!D$5</f>
        <v>26.113006824568448</v>
      </c>
      <c r="E7" s="9">
        <f>VLOOKUP($A7,'RES installed'!$A$2:$C$7,3,FALSE)*'[1]Profiles, RES, Winter'!E$5</f>
        <v>26.167201926936976</v>
      </c>
      <c r="F7" s="9">
        <f>VLOOKUP($A7,'RES installed'!$A$2:$C$7,3,FALSE)*'[1]Profiles, RES, Winter'!F$5</f>
        <v>27.088518667201928</v>
      </c>
      <c r="G7" s="9">
        <f>VLOOKUP($A7,'RES installed'!$A$2:$C$7,3,FALSE)*'[1]Profiles, RES, Winter'!G$5</f>
        <v>28.596949016459256</v>
      </c>
      <c r="H7" s="9">
        <f>VLOOKUP($A7,'RES installed'!$A$2:$C$7,3,FALSE)*'[1]Profiles, RES, Winter'!H$5</f>
        <v>30.466680048173423</v>
      </c>
      <c r="I7" s="9">
        <f>VLOOKUP($A7,'RES installed'!$A$2:$C$7,3,FALSE)*'[1]Profiles, RES, Winter'!I$5</f>
        <v>30.520875150541951</v>
      </c>
      <c r="J7" s="9">
        <f>VLOOKUP($A7,'RES installed'!$A$2:$C$7,3,FALSE)*'[1]Profiles, RES, Winter'!J$5</f>
        <v>30.249899638699318</v>
      </c>
      <c r="K7" s="9">
        <f>VLOOKUP($A7,'RES installed'!$A$2:$C$7,3,FALSE)*'[1]Profiles, RES, Winter'!K$5</f>
        <v>28.389201124046568</v>
      </c>
      <c r="L7" s="9">
        <f>VLOOKUP($A7,'RES installed'!$A$2:$C$7,3,FALSE)*'[1]Profiles, RES, Winter'!L$5</f>
        <v>24.758129265355279</v>
      </c>
      <c r="M7" s="9">
        <f>VLOOKUP($A7,'RES installed'!$A$2:$C$7,3,FALSE)*'[1]Profiles, RES, Winter'!M$5</f>
        <v>22.780008028904053</v>
      </c>
      <c r="N7" s="9">
        <f>VLOOKUP($A7,'RES installed'!$A$2:$C$7,3,FALSE)*'[1]Profiles, RES, Winter'!N$5</f>
        <v>21.885788839823366</v>
      </c>
      <c r="O7" s="9">
        <f>VLOOKUP($A7,'RES installed'!$A$2:$C$7,3,FALSE)*'[1]Profiles, RES, Winter'!O$5</f>
        <v>20.39542352468888</v>
      </c>
      <c r="P7" s="9">
        <f>VLOOKUP($A7,'RES installed'!$A$2:$C$7,3,FALSE)*'[1]Profiles, RES, Winter'!P$5</f>
        <v>18.643115214773182</v>
      </c>
      <c r="Q7" s="9">
        <f>VLOOKUP($A7,'RES installed'!$A$2:$C$7,3,FALSE)*'[1]Profiles, RES, Winter'!Q$5</f>
        <v>18.805700521878762</v>
      </c>
      <c r="R7" s="9">
        <f>VLOOKUP($A7,'RES installed'!$A$2:$C$7,3,FALSE)*'[1]Profiles, RES, Winter'!R$5</f>
        <v>19.51023685266961</v>
      </c>
      <c r="S7" s="9">
        <f>VLOOKUP($A7,'RES installed'!$A$2:$C$7,3,FALSE)*'[1]Profiles, RES, Winter'!S$5</f>
        <v>22.481934965877159</v>
      </c>
      <c r="T7" s="9">
        <f>VLOOKUP($A7,'RES installed'!$A$2:$C$7,3,FALSE)*'[1]Profiles, RES, Winter'!T$5</f>
        <v>24.342633480529908</v>
      </c>
      <c r="U7" s="9">
        <f>VLOOKUP($A7,'RES installed'!$A$2:$C$7,3,FALSE)*'[1]Profiles, RES, Winter'!U$5</f>
        <v>24.947812123645122</v>
      </c>
      <c r="V7" s="9">
        <f>VLOOKUP($A7,'RES installed'!$A$2:$C$7,3,FALSE)*'[1]Profiles, RES, Winter'!V$5</f>
        <v>24.125853071055801</v>
      </c>
      <c r="W7" s="9">
        <f>VLOOKUP($A7,'RES installed'!$A$2:$C$7,3,FALSE)*'[1]Profiles, RES, Winter'!W$5</f>
        <v>22.816138097149736</v>
      </c>
      <c r="X7" s="9">
        <f>VLOOKUP($A7,'RES installed'!$A$2:$C$7,3,FALSE)*'[1]Profiles, RES, Winter'!X$5</f>
        <v>23.060016057808109</v>
      </c>
      <c r="Y7" s="9">
        <f>VLOOKUP($A7,'RES installed'!$A$2:$C$7,3,FALSE)*'[1]Profiles, RES, Winter'!Y$5</f>
        <v>24.008430349257328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2.843062926459439E-2</v>
      </c>
      <c r="J8" s="6">
        <f>VLOOKUP($A8,'RES installed'!$A$2:$C$7,3,FALSE)*'[1]Profiles, RES, Winter'!J$2</f>
        <v>3.3263836239575437</v>
      </c>
      <c r="K8" s="6">
        <f>VLOOKUP($A8,'RES installed'!$A$2:$C$7,3,FALSE)*'[1]Profiles, RES, Winter'!K$2</f>
        <v>14.044730856709629</v>
      </c>
      <c r="L8" s="6">
        <f>VLOOKUP($A8,'RES installed'!$A$2:$C$7,3,FALSE)*'[1]Profiles, RES, Winter'!L$2</f>
        <v>24.706216830932526</v>
      </c>
      <c r="M8" s="6">
        <f>VLOOKUP($A8,'RES installed'!$A$2:$C$7,3,FALSE)*'[1]Profiles, RES, Winter'!M$2</f>
        <v>29.3972706595906</v>
      </c>
      <c r="N8" s="6">
        <f>VLOOKUP($A8,'RES installed'!$A$2:$C$7,3,FALSE)*'[1]Profiles, RES, Winter'!N$2</f>
        <v>28.288476118271419</v>
      </c>
      <c r="O8" s="6">
        <f>VLOOKUP($A8,'RES installed'!$A$2:$C$7,3,FALSE)*'[1]Profiles, RES, Winter'!O$2</f>
        <v>28.515921152388174</v>
      </c>
      <c r="P8" s="6">
        <f>VLOOKUP($A8,'RES installed'!$A$2:$C$7,3,FALSE)*'[1]Profiles, RES, Winter'!P$2</f>
        <v>26.923805913570888</v>
      </c>
      <c r="Q8" s="6">
        <f>VLOOKUP($A8,'RES installed'!$A$2:$C$7,3,FALSE)*'[1]Profiles, RES, Winter'!Q$2</f>
        <v>20.15731614859742</v>
      </c>
      <c r="R8" s="6">
        <f>VLOOKUP($A8,'RES installed'!$A$2:$C$7,3,FALSE)*'[1]Profiles, RES, Winter'!R$2</f>
        <v>7.5909780136467022</v>
      </c>
      <c r="S8" s="6">
        <f>VLOOKUP($A8,'RES installed'!$A$2:$C$7,3,FALSE)*'[1]Profiles, RES, Winter'!S$2</f>
        <v>0.3411675511751327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2.2744503411675512E-2</v>
      </c>
      <c r="J10" s="6">
        <f>VLOOKUP($A10,'RES installed'!$A$2:$C$7,3,FALSE)*'[1]Profiles, RES, Winter'!J$2</f>
        <v>2.6611068991660352</v>
      </c>
      <c r="K10" s="6">
        <f>VLOOKUP($A10,'RES installed'!$A$2:$C$7,3,FALSE)*'[1]Profiles, RES, Winter'!K$2</f>
        <v>11.235784685367703</v>
      </c>
      <c r="L10" s="6">
        <f>VLOOKUP($A10,'RES installed'!$A$2:$C$7,3,FALSE)*'[1]Profiles, RES, Winter'!L$2</f>
        <v>19.764973464746021</v>
      </c>
      <c r="M10" s="6">
        <f>VLOOKUP($A10,'RES installed'!$A$2:$C$7,3,FALSE)*'[1]Profiles, RES, Winter'!M$2</f>
        <v>23.51781652767248</v>
      </c>
      <c r="N10" s="6">
        <f>VLOOKUP($A10,'RES installed'!$A$2:$C$7,3,FALSE)*'[1]Profiles, RES, Winter'!N$2</f>
        <v>22.630780894617136</v>
      </c>
      <c r="O10" s="6">
        <f>VLOOKUP($A10,'RES installed'!$A$2:$C$7,3,FALSE)*'[1]Profiles, RES, Winter'!O$2</f>
        <v>22.812736921910538</v>
      </c>
      <c r="P10" s="6">
        <f>VLOOKUP($A10,'RES installed'!$A$2:$C$7,3,FALSE)*'[1]Profiles, RES, Winter'!P$2</f>
        <v>21.539044730856713</v>
      </c>
      <c r="Q10" s="6">
        <f>VLOOKUP($A10,'RES installed'!$A$2:$C$7,3,FALSE)*'[1]Profiles, RES, Winter'!Q$2</f>
        <v>16.125852918877939</v>
      </c>
      <c r="R10" s="6">
        <f>VLOOKUP($A10,'RES installed'!$A$2:$C$7,3,FALSE)*'[1]Profiles, RES, Winter'!R$2</f>
        <v>6.0727824109173616</v>
      </c>
      <c r="S10" s="6">
        <f>VLOOKUP($A10,'RES installed'!$A$2:$C$7,3,FALSE)*'[1]Profiles, RES, Winter'!S$2</f>
        <v>0.27293404094010615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23.610999598554798</v>
      </c>
      <c r="C5" s="9">
        <f>VLOOKUP($A5,'RES installed'!$A$2:$C$7,3,FALSE)*'[1]Profiles, RES, Winter'!C$6</f>
        <v>23.972300281011641</v>
      </c>
      <c r="D5" s="9">
        <f>VLOOKUP($A5,'RES installed'!$A$2:$C$7,3,FALSE)*'[1]Profiles, RES, Winter'!D$6</f>
        <v>24.053592934564428</v>
      </c>
      <c r="E5" s="9">
        <f>VLOOKUP($A5,'RES installed'!$A$2:$C$7,3,FALSE)*'[1]Profiles, RES, Winter'!E$6</f>
        <v>21.994179044560418</v>
      </c>
      <c r="F5" s="9">
        <f>VLOOKUP($A5,'RES installed'!$A$2:$C$7,3,FALSE)*'[1]Profiles, RES, Winter'!F$6</f>
        <v>22.698715375351266</v>
      </c>
      <c r="G5" s="9">
        <f>VLOOKUP($A5,'RES installed'!$A$2:$C$7,3,FALSE)*'[1]Profiles, RES, Winter'!G$6</f>
        <v>23.963267763950221</v>
      </c>
      <c r="H5" s="9">
        <f>VLOOKUP($A5,'RES installed'!$A$2:$C$7,3,FALSE)*'[1]Profiles, RES, Winter'!H$6</f>
        <v>24.532316338819751</v>
      </c>
      <c r="I5" s="9">
        <f>VLOOKUP($A5,'RES installed'!$A$2:$C$7,3,FALSE)*'[1]Profiles, RES, Winter'!I$6</f>
        <v>23.367121637896425</v>
      </c>
      <c r="J5" s="9">
        <f>VLOOKUP($A5,'RES installed'!$A$2:$C$7,3,FALSE)*'[1]Profiles, RES, Winter'!J$6</f>
        <v>22.238057005218788</v>
      </c>
      <c r="K5" s="9">
        <f>VLOOKUP($A5,'RES installed'!$A$2:$C$7,3,FALSE)*'[1]Profiles, RES, Winter'!K$6</f>
        <v>20.946407065435569</v>
      </c>
      <c r="L5" s="9">
        <f>VLOOKUP($A5,'RES installed'!$A$2:$C$7,3,FALSE)*'[1]Profiles, RES, Winter'!L$6</f>
        <v>19.681854676836611</v>
      </c>
      <c r="M5" s="9">
        <f>VLOOKUP($A5,'RES installed'!$A$2:$C$7,3,FALSE)*'[1]Profiles, RES, Winter'!M$6</f>
        <v>18.597952629466079</v>
      </c>
      <c r="N5" s="9">
        <f>VLOOKUP($A5,'RES installed'!$A$2:$C$7,3,FALSE)*'[1]Profiles, RES, Winter'!N$6</f>
        <v>17.143717382577279</v>
      </c>
      <c r="O5" s="9">
        <f>VLOOKUP($A5,'RES installed'!$A$2:$C$7,3,FALSE)*'[1]Profiles, RES, Winter'!O$6</f>
        <v>13.27780008028904</v>
      </c>
      <c r="P5" s="9">
        <f>VLOOKUP($A5,'RES installed'!$A$2:$C$7,3,FALSE)*'[1]Profiles, RES, Winter'!P$6</f>
        <v>12.988759534323565</v>
      </c>
      <c r="Q5" s="9">
        <f>VLOOKUP($A5,'RES installed'!$A$2:$C$7,3,FALSE)*'[1]Profiles, RES, Winter'!Q$6</f>
        <v>13.214572460859094</v>
      </c>
      <c r="R5" s="9">
        <f>VLOOKUP($A5,'RES installed'!$A$2:$C$7,3,FALSE)*'[1]Profiles, RES, Winter'!R$6</f>
        <v>16.764351665997591</v>
      </c>
      <c r="S5" s="9">
        <f>VLOOKUP($A5,'RES installed'!$A$2:$C$7,3,FALSE)*'[1]Profiles, RES, Winter'!S$6</f>
        <v>19.645724608590928</v>
      </c>
      <c r="T5" s="9">
        <f>VLOOKUP($A5,'RES installed'!$A$2:$C$7,3,FALSE)*'[1]Profiles, RES, Winter'!T$6</f>
        <v>20.928342031312724</v>
      </c>
      <c r="U5" s="9">
        <f>VLOOKUP($A5,'RES installed'!$A$2:$C$7,3,FALSE)*'[1]Profiles, RES, Winter'!U$6</f>
        <v>21.8586912886391</v>
      </c>
      <c r="V5" s="9">
        <f>VLOOKUP($A5,'RES installed'!$A$2:$C$7,3,FALSE)*'[1]Profiles, RES, Winter'!V$6</f>
        <v>22.590325170614211</v>
      </c>
      <c r="W5" s="9">
        <f>VLOOKUP($A5,'RES installed'!$A$2:$C$7,3,FALSE)*'[1]Profiles, RES, Winter'!W$6</f>
        <v>23.448414291449218</v>
      </c>
      <c r="X5" s="9">
        <f>VLOOKUP($A5,'RES installed'!$A$2:$C$7,3,FALSE)*'[1]Profiles, RES, Winter'!X$6</f>
        <v>23.005820955439585</v>
      </c>
      <c r="Y5" s="9">
        <f>VLOOKUP($A5,'RES installed'!$A$2:$C$7,3,FALSE)*'[1]Profiles, RES, Winter'!Y$6</f>
        <v>22.382577278201524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23.610999598554798</v>
      </c>
      <c r="C7" s="9">
        <f>VLOOKUP($A7,'RES installed'!$A$2:$C$7,3,FALSE)*'[1]Profiles, RES, Winter'!C$6</f>
        <v>23.972300281011641</v>
      </c>
      <c r="D7" s="9">
        <f>VLOOKUP($A7,'RES installed'!$A$2:$C$7,3,FALSE)*'[1]Profiles, RES, Winter'!D$6</f>
        <v>24.053592934564428</v>
      </c>
      <c r="E7" s="9">
        <f>VLOOKUP($A7,'RES installed'!$A$2:$C$7,3,FALSE)*'[1]Profiles, RES, Winter'!E$6</f>
        <v>21.994179044560418</v>
      </c>
      <c r="F7" s="9">
        <f>VLOOKUP($A7,'RES installed'!$A$2:$C$7,3,FALSE)*'[1]Profiles, RES, Winter'!F$6</f>
        <v>22.698715375351266</v>
      </c>
      <c r="G7" s="9">
        <f>VLOOKUP($A7,'RES installed'!$A$2:$C$7,3,FALSE)*'[1]Profiles, RES, Winter'!G$6</f>
        <v>23.963267763950221</v>
      </c>
      <c r="H7" s="9">
        <f>VLOOKUP($A7,'RES installed'!$A$2:$C$7,3,FALSE)*'[1]Profiles, RES, Winter'!H$6</f>
        <v>24.532316338819751</v>
      </c>
      <c r="I7" s="9">
        <f>VLOOKUP($A7,'RES installed'!$A$2:$C$7,3,FALSE)*'[1]Profiles, RES, Winter'!I$6</f>
        <v>23.367121637896425</v>
      </c>
      <c r="J7" s="9">
        <f>VLOOKUP($A7,'RES installed'!$A$2:$C$7,3,FALSE)*'[1]Profiles, RES, Winter'!J$6</f>
        <v>22.238057005218788</v>
      </c>
      <c r="K7" s="9">
        <f>VLOOKUP($A7,'RES installed'!$A$2:$C$7,3,FALSE)*'[1]Profiles, RES, Winter'!K$6</f>
        <v>20.946407065435569</v>
      </c>
      <c r="L7" s="9">
        <f>VLOOKUP($A7,'RES installed'!$A$2:$C$7,3,FALSE)*'[1]Profiles, RES, Winter'!L$6</f>
        <v>19.681854676836611</v>
      </c>
      <c r="M7" s="9">
        <f>VLOOKUP($A7,'RES installed'!$A$2:$C$7,3,FALSE)*'[1]Profiles, RES, Winter'!M$6</f>
        <v>18.597952629466079</v>
      </c>
      <c r="N7" s="9">
        <f>VLOOKUP($A7,'RES installed'!$A$2:$C$7,3,FALSE)*'[1]Profiles, RES, Winter'!N$6</f>
        <v>17.143717382577279</v>
      </c>
      <c r="O7" s="9">
        <f>VLOOKUP($A7,'RES installed'!$A$2:$C$7,3,FALSE)*'[1]Profiles, RES, Winter'!O$6</f>
        <v>13.27780008028904</v>
      </c>
      <c r="P7" s="9">
        <f>VLOOKUP($A7,'RES installed'!$A$2:$C$7,3,FALSE)*'[1]Profiles, RES, Winter'!P$6</f>
        <v>12.988759534323565</v>
      </c>
      <c r="Q7" s="9">
        <f>VLOOKUP($A7,'RES installed'!$A$2:$C$7,3,FALSE)*'[1]Profiles, RES, Winter'!Q$6</f>
        <v>13.214572460859094</v>
      </c>
      <c r="R7" s="9">
        <f>VLOOKUP($A7,'RES installed'!$A$2:$C$7,3,FALSE)*'[1]Profiles, RES, Winter'!R$6</f>
        <v>16.764351665997591</v>
      </c>
      <c r="S7" s="9">
        <f>VLOOKUP($A7,'RES installed'!$A$2:$C$7,3,FALSE)*'[1]Profiles, RES, Winter'!S$6</f>
        <v>19.645724608590928</v>
      </c>
      <c r="T7" s="9">
        <f>VLOOKUP($A7,'RES installed'!$A$2:$C$7,3,FALSE)*'[1]Profiles, RES, Winter'!T$6</f>
        <v>20.928342031312724</v>
      </c>
      <c r="U7" s="9">
        <f>VLOOKUP($A7,'RES installed'!$A$2:$C$7,3,FALSE)*'[1]Profiles, RES, Winter'!U$6</f>
        <v>21.8586912886391</v>
      </c>
      <c r="V7" s="9">
        <f>VLOOKUP($A7,'RES installed'!$A$2:$C$7,3,FALSE)*'[1]Profiles, RES, Winter'!V$6</f>
        <v>22.590325170614211</v>
      </c>
      <c r="W7" s="9">
        <f>VLOOKUP($A7,'RES installed'!$A$2:$C$7,3,FALSE)*'[1]Profiles, RES, Winter'!W$6</f>
        <v>23.448414291449218</v>
      </c>
      <c r="X7" s="9">
        <f>VLOOKUP($A7,'RES installed'!$A$2:$C$7,3,FALSE)*'[1]Profiles, RES, Winter'!X$6</f>
        <v>23.005820955439585</v>
      </c>
      <c r="Y7" s="9">
        <f>VLOOKUP($A7,'RES installed'!$A$2:$C$7,3,FALSE)*'[1]Profiles, RES, Winter'!Y$6</f>
        <v>22.382577278201524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5.6861258529188781E-2</v>
      </c>
      <c r="J8" s="6">
        <f>VLOOKUP($A8,'RES installed'!$A$2:$C$7,3,FALSE)*'[1]Profiles, RES, Winter'!J$3</f>
        <v>4.8616376042456411</v>
      </c>
      <c r="K8" s="6">
        <f>VLOOKUP($A8,'RES installed'!$A$2:$C$7,3,FALSE)*'[1]Profiles, RES, Winter'!K$3</f>
        <v>16.717210007581503</v>
      </c>
      <c r="L8" s="6">
        <f>VLOOKUP($A8,'RES installed'!$A$2:$C$7,3,FALSE)*'[1]Profiles, RES, Winter'!L$3</f>
        <v>25.672858225928731</v>
      </c>
      <c r="M8" s="6">
        <f>VLOOKUP($A8,'RES installed'!$A$2:$C$7,3,FALSE)*'[1]Profiles, RES, Winter'!M$3</f>
        <v>25.473843821076574</v>
      </c>
      <c r="N8" s="6">
        <f>VLOOKUP($A8,'RES installed'!$A$2:$C$7,3,FALSE)*'[1]Profiles, RES, Winter'!N$3</f>
        <v>28.316906747536013</v>
      </c>
      <c r="O8" s="6">
        <f>VLOOKUP($A8,'RES installed'!$A$2:$C$7,3,FALSE)*'[1]Profiles, RES, Winter'!O$3</f>
        <v>27.691432903714933</v>
      </c>
      <c r="P8" s="6">
        <f>VLOOKUP($A8,'RES installed'!$A$2:$C$7,3,FALSE)*'[1]Profiles, RES, Winter'!P$3</f>
        <v>23.426838514025775</v>
      </c>
      <c r="Q8" s="6">
        <f>VLOOKUP($A8,'RES installed'!$A$2:$C$7,3,FALSE)*'[1]Profiles, RES, Winter'!Q$3</f>
        <v>15.068233510235027</v>
      </c>
      <c r="R8" s="6">
        <f>VLOOKUP($A8,'RES installed'!$A$2:$C$7,3,FALSE)*'[1]Profiles, RES, Winter'!R$3</f>
        <v>4.8047763457164523</v>
      </c>
      <c r="S8" s="6">
        <f>VLOOKUP($A8,'RES installed'!$A$2:$C$7,3,FALSE)*'[1]Profiles, RES, Winter'!S$3</f>
        <v>0.28430629264594387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4.5489006823351025E-2</v>
      </c>
      <c r="J10" s="6">
        <f>VLOOKUP($A10,'RES installed'!$A$2:$C$7,3,FALSE)*'[1]Profiles, RES, Winter'!J$3</f>
        <v>3.8893100833965129</v>
      </c>
      <c r="K10" s="6">
        <f>VLOOKUP($A10,'RES installed'!$A$2:$C$7,3,FALSE)*'[1]Profiles, RES, Winter'!K$3</f>
        <v>13.373768006065202</v>
      </c>
      <c r="L10" s="6">
        <f>VLOOKUP($A10,'RES installed'!$A$2:$C$7,3,FALSE)*'[1]Profiles, RES, Winter'!L$3</f>
        <v>20.538286580742987</v>
      </c>
      <c r="M10" s="6">
        <f>VLOOKUP($A10,'RES installed'!$A$2:$C$7,3,FALSE)*'[1]Profiles, RES, Winter'!M$3</f>
        <v>20.379075056861261</v>
      </c>
      <c r="N10" s="6">
        <f>VLOOKUP($A10,'RES installed'!$A$2:$C$7,3,FALSE)*'[1]Profiles, RES, Winter'!N$3</f>
        <v>22.653525398028808</v>
      </c>
      <c r="O10" s="6">
        <f>VLOOKUP($A10,'RES installed'!$A$2:$C$7,3,FALSE)*'[1]Profiles, RES, Winter'!O$3</f>
        <v>22.153146322971946</v>
      </c>
      <c r="P10" s="6">
        <f>VLOOKUP($A10,'RES installed'!$A$2:$C$7,3,FALSE)*'[1]Profiles, RES, Winter'!P$3</f>
        <v>18.741470811220619</v>
      </c>
      <c r="Q10" s="6">
        <f>VLOOKUP($A10,'RES installed'!$A$2:$C$7,3,FALSE)*'[1]Profiles, RES, Winter'!Q$3</f>
        <v>12.05458680818802</v>
      </c>
      <c r="R10" s="6">
        <f>VLOOKUP($A10,'RES installed'!$A$2:$C$7,3,FALSE)*'[1]Profiles, RES, Winter'!R$3</f>
        <v>3.8438210765731617</v>
      </c>
      <c r="S10" s="6">
        <f>VLOOKUP($A10,'RES installed'!$A$2:$C$7,3,FALSE)*'[1]Profiles, RES, Winter'!S$3</f>
        <v>0.22744503411675512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22.608390204737056</v>
      </c>
      <c r="C5" s="9">
        <f>VLOOKUP($A5,'RES installed'!$A$2:$C$7,3,FALSE)*'[1]Profiles, RES, Winter'!C$7</f>
        <v>22.509032517061421</v>
      </c>
      <c r="D5" s="9">
        <f>VLOOKUP($A5,'RES installed'!$A$2:$C$7,3,FALSE)*'[1]Profiles, RES, Winter'!D$7</f>
        <v>21.939983942191891</v>
      </c>
      <c r="E5" s="9">
        <f>VLOOKUP($A5,'RES installed'!$A$2:$C$7,3,FALSE)*'[1]Profiles, RES, Winter'!E$7</f>
        <v>22.481934965877159</v>
      </c>
      <c r="F5" s="9">
        <f>VLOOKUP($A5,'RES installed'!$A$2:$C$7,3,FALSE)*'[1]Profiles, RES, Winter'!F$7</f>
        <v>21.84965877157768</v>
      </c>
      <c r="G5" s="9">
        <f>VLOOKUP($A5,'RES installed'!$A$2:$C$7,3,FALSE)*'[1]Profiles, RES, Winter'!G$7</f>
        <v>21.732236049779207</v>
      </c>
      <c r="H5" s="9">
        <f>VLOOKUP($A5,'RES installed'!$A$2:$C$7,3,FALSE)*'[1]Profiles, RES, Winter'!H$7</f>
        <v>22.518065034122841</v>
      </c>
      <c r="I5" s="9">
        <f>VLOOKUP($A5,'RES installed'!$A$2:$C$7,3,FALSE)*'[1]Profiles, RES, Winter'!I$7</f>
        <v>21.163187474909677</v>
      </c>
      <c r="J5" s="9">
        <f>VLOOKUP($A5,'RES installed'!$A$2:$C$7,3,FALSE)*'[1]Profiles, RES, Winter'!J$7</f>
        <v>19.483139301485345</v>
      </c>
      <c r="K5" s="9">
        <f>VLOOKUP($A5,'RES installed'!$A$2:$C$7,3,FALSE)*'[1]Profiles, RES, Winter'!K$7</f>
        <v>18.245684464070653</v>
      </c>
      <c r="L5" s="9">
        <f>VLOOKUP($A5,'RES installed'!$A$2:$C$7,3,FALSE)*'[1]Profiles, RES, Winter'!L$7</f>
        <v>16.502408671216379</v>
      </c>
      <c r="M5" s="9">
        <f>VLOOKUP($A5,'RES installed'!$A$2:$C$7,3,FALSE)*'[1]Profiles, RES, Winter'!M$7</f>
        <v>14.217181854676838</v>
      </c>
      <c r="N5" s="9">
        <f>VLOOKUP($A5,'RES installed'!$A$2:$C$7,3,FALSE)*'[1]Profiles, RES, Winter'!N$7</f>
        <v>12.817141710156562</v>
      </c>
      <c r="O5" s="9">
        <f>VLOOKUP($A5,'RES installed'!$A$2:$C$7,3,FALSE)*'[1]Profiles, RES, Winter'!O$7</f>
        <v>12.735849056603774</v>
      </c>
      <c r="P5" s="9">
        <f>VLOOKUP($A5,'RES installed'!$A$2:$C$7,3,FALSE)*'[1]Profiles, RES, Winter'!P$7</f>
        <v>14.452027298273785</v>
      </c>
      <c r="Q5" s="9">
        <f>VLOOKUP($A5,'RES installed'!$A$2:$C$7,3,FALSE)*'[1]Profiles, RES, Winter'!Q$7</f>
        <v>14.957848253713367</v>
      </c>
      <c r="R5" s="9">
        <f>VLOOKUP($A5,'RES installed'!$A$2:$C$7,3,FALSE)*'[1]Profiles, RES, Winter'!R$7</f>
        <v>16.538538739462066</v>
      </c>
      <c r="S5" s="9">
        <f>VLOOKUP($A5,'RES installed'!$A$2:$C$7,3,FALSE)*'[1]Profiles, RES, Winter'!S$7</f>
        <v>19.167001204335609</v>
      </c>
      <c r="T5" s="9">
        <f>VLOOKUP($A5,'RES installed'!$A$2:$C$7,3,FALSE)*'[1]Profiles, RES, Winter'!T$7</f>
        <v>20.847049377759937</v>
      </c>
      <c r="U5" s="9">
        <f>VLOOKUP($A5,'RES installed'!$A$2:$C$7,3,FALSE)*'[1]Profiles, RES, Winter'!U$7</f>
        <v>22.09353673223605</v>
      </c>
      <c r="V5" s="9">
        <f>VLOOKUP($A5,'RES installed'!$A$2:$C$7,3,FALSE)*'[1]Profiles, RES, Winter'!V$7</f>
        <v>22.274187073464471</v>
      </c>
      <c r="W5" s="9">
        <f>VLOOKUP($A5,'RES installed'!$A$2:$C$7,3,FALSE)*'[1]Profiles, RES, Winter'!W$7</f>
        <v>20.530911280610194</v>
      </c>
      <c r="X5" s="9">
        <f>VLOOKUP($A5,'RES installed'!$A$2:$C$7,3,FALSE)*'[1]Profiles, RES, Winter'!X$7</f>
        <v>18.932155760738659</v>
      </c>
      <c r="Y5" s="9">
        <f>VLOOKUP($A5,'RES installed'!$A$2:$C$7,3,FALSE)*'[1]Profiles, RES, Winter'!Y$7</f>
        <v>18.182456844640708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22.608390204737056</v>
      </c>
      <c r="C7" s="9">
        <f>VLOOKUP($A7,'RES installed'!$A$2:$C$7,3,FALSE)*'[1]Profiles, RES, Winter'!C$7</f>
        <v>22.509032517061421</v>
      </c>
      <c r="D7" s="9">
        <f>VLOOKUP($A7,'RES installed'!$A$2:$C$7,3,FALSE)*'[1]Profiles, RES, Winter'!D$7</f>
        <v>21.939983942191891</v>
      </c>
      <c r="E7" s="9">
        <f>VLOOKUP($A7,'RES installed'!$A$2:$C$7,3,FALSE)*'[1]Profiles, RES, Winter'!E$7</f>
        <v>22.481934965877159</v>
      </c>
      <c r="F7" s="9">
        <f>VLOOKUP($A7,'RES installed'!$A$2:$C$7,3,FALSE)*'[1]Profiles, RES, Winter'!F$7</f>
        <v>21.84965877157768</v>
      </c>
      <c r="G7" s="9">
        <f>VLOOKUP($A7,'RES installed'!$A$2:$C$7,3,FALSE)*'[1]Profiles, RES, Winter'!G$7</f>
        <v>21.732236049779207</v>
      </c>
      <c r="H7" s="9">
        <f>VLOOKUP($A7,'RES installed'!$A$2:$C$7,3,FALSE)*'[1]Profiles, RES, Winter'!H$7</f>
        <v>22.518065034122841</v>
      </c>
      <c r="I7" s="9">
        <f>VLOOKUP($A7,'RES installed'!$A$2:$C$7,3,FALSE)*'[1]Profiles, RES, Winter'!I$7</f>
        <v>21.163187474909677</v>
      </c>
      <c r="J7" s="9">
        <f>VLOOKUP($A7,'RES installed'!$A$2:$C$7,3,FALSE)*'[1]Profiles, RES, Winter'!J$7</f>
        <v>19.483139301485345</v>
      </c>
      <c r="K7" s="9">
        <f>VLOOKUP($A7,'RES installed'!$A$2:$C$7,3,FALSE)*'[1]Profiles, RES, Winter'!K$7</f>
        <v>18.245684464070653</v>
      </c>
      <c r="L7" s="9">
        <f>VLOOKUP($A7,'RES installed'!$A$2:$C$7,3,FALSE)*'[1]Profiles, RES, Winter'!L$7</f>
        <v>16.502408671216379</v>
      </c>
      <c r="M7" s="9">
        <f>VLOOKUP($A7,'RES installed'!$A$2:$C$7,3,FALSE)*'[1]Profiles, RES, Winter'!M$7</f>
        <v>14.217181854676838</v>
      </c>
      <c r="N7" s="9">
        <f>VLOOKUP($A7,'RES installed'!$A$2:$C$7,3,FALSE)*'[1]Profiles, RES, Winter'!N$7</f>
        <v>12.817141710156562</v>
      </c>
      <c r="O7" s="9">
        <f>VLOOKUP($A7,'RES installed'!$A$2:$C$7,3,FALSE)*'[1]Profiles, RES, Winter'!O$7</f>
        <v>12.735849056603774</v>
      </c>
      <c r="P7" s="9">
        <f>VLOOKUP($A7,'RES installed'!$A$2:$C$7,3,FALSE)*'[1]Profiles, RES, Winter'!P$7</f>
        <v>14.452027298273785</v>
      </c>
      <c r="Q7" s="9">
        <f>VLOOKUP($A7,'RES installed'!$A$2:$C$7,3,FALSE)*'[1]Profiles, RES, Winter'!Q$7</f>
        <v>14.957848253713367</v>
      </c>
      <c r="R7" s="9">
        <f>VLOOKUP($A7,'RES installed'!$A$2:$C$7,3,FALSE)*'[1]Profiles, RES, Winter'!R$7</f>
        <v>16.538538739462066</v>
      </c>
      <c r="S7" s="9">
        <f>VLOOKUP($A7,'RES installed'!$A$2:$C$7,3,FALSE)*'[1]Profiles, RES, Winter'!S$7</f>
        <v>19.167001204335609</v>
      </c>
      <c r="T7" s="9">
        <f>VLOOKUP($A7,'RES installed'!$A$2:$C$7,3,FALSE)*'[1]Profiles, RES, Winter'!T$7</f>
        <v>20.847049377759937</v>
      </c>
      <c r="U7" s="9">
        <f>VLOOKUP($A7,'RES installed'!$A$2:$C$7,3,FALSE)*'[1]Profiles, RES, Winter'!U$7</f>
        <v>22.09353673223605</v>
      </c>
      <c r="V7" s="9">
        <f>VLOOKUP($A7,'RES installed'!$A$2:$C$7,3,FALSE)*'[1]Profiles, RES, Winter'!V$7</f>
        <v>22.274187073464471</v>
      </c>
      <c r="W7" s="9">
        <f>VLOOKUP($A7,'RES installed'!$A$2:$C$7,3,FALSE)*'[1]Profiles, RES, Winter'!W$7</f>
        <v>20.530911280610194</v>
      </c>
      <c r="X7" s="9">
        <f>VLOOKUP($A7,'RES installed'!$A$2:$C$7,3,FALSE)*'[1]Profiles, RES, Winter'!X$7</f>
        <v>18.932155760738659</v>
      </c>
      <c r="Y7" s="9">
        <f>VLOOKUP($A7,'RES installed'!$A$2:$C$7,3,FALSE)*'[1]Profiles, RES, Winter'!Y$7</f>
        <v>18.182456844640708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2.843062926459439E-2</v>
      </c>
      <c r="J8" s="6">
        <f>VLOOKUP($A8,'RES installed'!$A$2:$C$7,3,FALSE)*'[1]Profiles, RES, Winter'!J$4</f>
        <v>2.5303260045489009</v>
      </c>
      <c r="K8" s="6">
        <f>VLOOKUP($A8,'RES installed'!$A$2:$C$7,3,FALSE)*'[1]Profiles, RES, Winter'!K$4</f>
        <v>10.860500379075058</v>
      </c>
      <c r="L8" s="6">
        <f>VLOOKUP($A8,'RES installed'!$A$2:$C$7,3,FALSE)*'[1]Profiles, RES, Winter'!L$4</f>
        <v>17.911296436694464</v>
      </c>
      <c r="M8" s="6">
        <f>VLOOKUP($A8,'RES installed'!$A$2:$C$7,3,FALSE)*'[1]Profiles, RES, Winter'!M$4</f>
        <v>20.356330553449585</v>
      </c>
      <c r="N8" s="6">
        <f>VLOOKUP($A8,'RES installed'!$A$2:$C$7,3,FALSE)*'[1]Profiles, RES, Winter'!N$4</f>
        <v>19.446550416982564</v>
      </c>
      <c r="O8" s="6">
        <f>VLOOKUP($A8,'RES installed'!$A$2:$C$7,3,FALSE)*'[1]Profiles, RES, Winter'!O$4</f>
        <v>19.816148597422291</v>
      </c>
      <c r="P8" s="6">
        <f>VLOOKUP($A8,'RES installed'!$A$2:$C$7,3,FALSE)*'[1]Profiles, RES, Winter'!P$4</f>
        <v>21.436694465504171</v>
      </c>
      <c r="Q8" s="6">
        <f>VLOOKUP($A8,'RES installed'!$A$2:$C$7,3,FALSE)*'[1]Profiles, RES, Winter'!Q$4</f>
        <v>19.531842304776344</v>
      </c>
      <c r="R8" s="6">
        <f>VLOOKUP($A8,'RES installed'!$A$2:$C$7,3,FALSE)*'[1]Profiles, RES, Winter'!R$4</f>
        <v>8.8987869598180431</v>
      </c>
      <c r="S8" s="6">
        <f>VLOOKUP($A8,'RES installed'!$A$2:$C$7,3,FALSE)*'[1]Profiles, RES, Winter'!S$4</f>
        <v>0.45489006823351025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2.2744503411675512E-2</v>
      </c>
      <c r="J10" s="6">
        <f>VLOOKUP($A10,'RES installed'!$A$2:$C$7,3,FALSE)*'[1]Profiles, RES, Winter'!J$4</f>
        <v>2.0242608036391205</v>
      </c>
      <c r="K10" s="6">
        <f>VLOOKUP($A10,'RES installed'!$A$2:$C$7,3,FALSE)*'[1]Profiles, RES, Winter'!K$4</f>
        <v>8.6884003032600461</v>
      </c>
      <c r="L10" s="6">
        <f>VLOOKUP($A10,'RES installed'!$A$2:$C$7,3,FALSE)*'[1]Profiles, RES, Winter'!L$4</f>
        <v>14.329037149355573</v>
      </c>
      <c r="M10" s="6">
        <f>VLOOKUP($A10,'RES installed'!$A$2:$C$7,3,FALSE)*'[1]Profiles, RES, Winter'!M$4</f>
        <v>16.285064442759666</v>
      </c>
      <c r="N10" s="6">
        <f>VLOOKUP($A10,'RES installed'!$A$2:$C$7,3,FALSE)*'[1]Profiles, RES, Winter'!N$4</f>
        <v>15.557240333586051</v>
      </c>
      <c r="O10" s="6">
        <f>VLOOKUP($A10,'RES installed'!$A$2:$C$7,3,FALSE)*'[1]Profiles, RES, Winter'!O$4</f>
        <v>15.852918877937832</v>
      </c>
      <c r="P10" s="6">
        <f>VLOOKUP($A10,'RES installed'!$A$2:$C$7,3,FALSE)*'[1]Profiles, RES, Winter'!P$4</f>
        <v>17.149355572403337</v>
      </c>
      <c r="Q10" s="6">
        <f>VLOOKUP($A10,'RES installed'!$A$2:$C$7,3,FALSE)*'[1]Profiles, RES, Winter'!Q$4</f>
        <v>15.625473843821075</v>
      </c>
      <c r="R10" s="6">
        <f>VLOOKUP($A10,'RES installed'!$A$2:$C$7,3,FALSE)*'[1]Profiles, RES, Winter'!R$4</f>
        <v>7.1190295678544349</v>
      </c>
      <c r="S10" s="6">
        <f>VLOOKUP($A10,'RES installed'!$A$2:$C$7,3,FALSE)*'[1]Profiles, RES, Winter'!S$4</f>
        <v>0.3639120545868082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FD42-4C76-4AC7-A518-39977CCB74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24.396828582898433</v>
      </c>
      <c r="C5" s="9">
        <f>VLOOKUP($A5,'RES installed'!$A$2:$C$7,3,FALSE)*'[1]Profiles, RES, Winter'!C$5</f>
        <v>26.248494580489762</v>
      </c>
      <c r="D5" s="9">
        <f>VLOOKUP($A5,'RES installed'!$A$2:$C$7,3,FALSE)*'[1]Profiles, RES, Winter'!D$5</f>
        <v>26.113006824568448</v>
      </c>
      <c r="E5" s="9">
        <f>VLOOKUP($A5,'RES installed'!$A$2:$C$7,3,FALSE)*'[1]Profiles, RES, Winter'!E$5</f>
        <v>26.167201926936976</v>
      </c>
      <c r="F5" s="9">
        <f>VLOOKUP($A5,'RES installed'!$A$2:$C$7,3,FALSE)*'[1]Profiles, RES, Winter'!F$5</f>
        <v>27.088518667201928</v>
      </c>
      <c r="G5" s="9">
        <f>VLOOKUP($A5,'RES installed'!$A$2:$C$7,3,FALSE)*'[1]Profiles, RES, Winter'!G$5</f>
        <v>28.596949016459256</v>
      </c>
      <c r="H5" s="9">
        <f>VLOOKUP($A5,'RES installed'!$A$2:$C$7,3,FALSE)*'[1]Profiles, RES, Winter'!H$5</f>
        <v>30.466680048173423</v>
      </c>
      <c r="I5" s="9">
        <f>VLOOKUP($A5,'RES installed'!$A$2:$C$7,3,FALSE)*'[1]Profiles, RES, Winter'!I$5</f>
        <v>30.520875150541951</v>
      </c>
      <c r="J5" s="9">
        <f>VLOOKUP($A5,'RES installed'!$A$2:$C$7,3,FALSE)*'[1]Profiles, RES, Winter'!J$5</f>
        <v>30.249899638699318</v>
      </c>
      <c r="K5" s="9">
        <f>VLOOKUP($A5,'RES installed'!$A$2:$C$7,3,FALSE)*'[1]Profiles, RES, Winter'!K$5</f>
        <v>28.389201124046568</v>
      </c>
      <c r="L5" s="9">
        <f>VLOOKUP($A5,'RES installed'!$A$2:$C$7,3,FALSE)*'[1]Profiles, RES, Winter'!L$5</f>
        <v>24.758129265355279</v>
      </c>
      <c r="M5" s="9">
        <f>VLOOKUP($A5,'RES installed'!$A$2:$C$7,3,FALSE)*'[1]Profiles, RES, Winter'!M$5</f>
        <v>22.780008028904053</v>
      </c>
      <c r="N5" s="9">
        <f>VLOOKUP($A5,'RES installed'!$A$2:$C$7,3,FALSE)*'[1]Profiles, RES, Winter'!N$5</f>
        <v>21.885788839823366</v>
      </c>
      <c r="O5" s="9">
        <f>VLOOKUP($A5,'RES installed'!$A$2:$C$7,3,FALSE)*'[1]Profiles, RES, Winter'!O$5</f>
        <v>20.39542352468888</v>
      </c>
      <c r="P5" s="9">
        <f>VLOOKUP($A5,'RES installed'!$A$2:$C$7,3,FALSE)*'[1]Profiles, RES, Winter'!P$5</f>
        <v>18.643115214773182</v>
      </c>
      <c r="Q5" s="9">
        <f>VLOOKUP($A5,'RES installed'!$A$2:$C$7,3,FALSE)*'[1]Profiles, RES, Winter'!Q$5</f>
        <v>18.805700521878762</v>
      </c>
      <c r="R5" s="9">
        <f>VLOOKUP($A5,'RES installed'!$A$2:$C$7,3,FALSE)*'[1]Profiles, RES, Winter'!R$5</f>
        <v>19.51023685266961</v>
      </c>
      <c r="S5" s="9">
        <f>VLOOKUP($A5,'RES installed'!$A$2:$C$7,3,FALSE)*'[1]Profiles, RES, Winter'!S$5</f>
        <v>22.481934965877159</v>
      </c>
      <c r="T5" s="9">
        <f>VLOOKUP($A5,'RES installed'!$A$2:$C$7,3,FALSE)*'[1]Profiles, RES, Winter'!T$5</f>
        <v>24.342633480529908</v>
      </c>
      <c r="U5" s="9">
        <f>VLOOKUP($A5,'RES installed'!$A$2:$C$7,3,FALSE)*'[1]Profiles, RES, Winter'!U$5</f>
        <v>24.947812123645122</v>
      </c>
      <c r="V5" s="9">
        <f>VLOOKUP($A5,'RES installed'!$A$2:$C$7,3,FALSE)*'[1]Profiles, RES, Winter'!V$5</f>
        <v>24.125853071055801</v>
      </c>
      <c r="W5" s="9">
        <f>VLOOKUP($A5,'RES installed'!$A$2:$C$7,3,FALSE)*'[1]Profiles, RES, Winter'!W$5</f>
        <v>22.816138097149736</v>
      </c>
      <c r="X5" s="9">
        <f>VLOOKUP($A5,'RES installed'!$A$2:$C$7,3,FALSE)*'[1]Profiles, RES, Winter'!X$5</f>
        <v>23.060016057808109</v>
      </c>
      <c r="Y5" s="9">
        <f>VLOOKUP($A5,'RES installed'!$A$2:$C$7,3,FALSE)*'[1]Profiles, RES, Winter'!Y$5</f>
        <v>24.008430349257328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24.396828582898433</v>
      </c>
      <c r="C7" s="9">
        <f>VLOOKUP($A7,'RES installed'!$A$2:$C$7,3,FALSE)*'[1]Profiles, RES, Winter'!C$5</f>
        <v>26.248494580489762</v>
      </c>
      <c r="D7" s="9">
        <f>VLOOKUP($A7,'RES installed'!$A$2:$C$7,3,FALSE)*'[1]Profiles, RES, Winter'!D$5</f>
        <v>26.113006824568448</v>
      </c>
      <c r="E7" s="9">
        <f>VLOOKUP($A7,'RES installed'!$A$2:$C$7,3,FALSE)*'[1]Profiles, RES, Winter'!E$5</f>
        <v>26.167201926936976</v>
      </c>
      <c r="F7" s="9">
        <f>VLOOKUP($A7,'RES installed'!$A$2:$C$7,3,FALSE)*'[1]Profiles, RES, Winter'!F$5</f>
        <v>27.088518667201928</v>
      </c>
      <c r="G7" s="9">
        <f>VLOOKUP($A7,'RES installed'!$A$2:$C$7,3,FALSE)*'[1]Profiles, RES, Winter'!G$5</f>
        <v>28.596949016459256</v>
      </c>
      <c r="H7" s="9">
        <f>VLOOKUP($A7,'RES installed'!$A$2:$C$7,3,FALSE)*'[1]Profiles, RES, Winter'!H$5</f>
        <v>30.466680048173423</v>
      </c>
      <c r="I7" s="9">
        <f>VLOOKUP($A7,'RES installed'!$A$2:$C$7,3,FALSE)*'[1]Profiles, RES, Winter'!I$5</f>
        <v>30.520875150541951</v>
      </c>
      <c r="J7" s="9">
        <f>VLOOKUP($A7,'RES installed'!$A$2:$C$7,3,FALSE)*'[1]Profiles, RES, Winter'!J$5</f>
        <v>30.249899638699318</v>
      </c>
      <c r="K7" s="9">
        <f>VLOOKUP($A7,'RES installed'!$A$2:$C$7,3,FALSE)*'[1]Profiles, RES, Winter'!K$5</f>
        <v>28.389201124046568</v>
      </c>
      <c r="L7" s="9">
        <f>VLOOKUP($A7,'RES installed'!$A$2:$C$7,3,FALSE)*'[1]Profiles, RES, Winter'!L$5</f>
        <v>24.758129265355279</v>
      </c>
      <c r="M7" s="9">
        <f>VLOOKUP($A7,'RES installed'!$A$2:$C$7,3,FALSE)*'[1]Profiles, RES, Winter'!M$5</f>
        <v>22.780008028904053</v>
      </c>
      <c r="N7" s="9">
        <f>VLOOKUP($A7,'RES installed'!$A$2:$C$7,3,FALSE)*'[1]Profiles, RES, Winter'!N$5</f>
        <v>21.885788839823366</v>
      </c>
      <c r="O7" s="9">
        <f>VLOOKUP($A7,'RES installed'!$A$2:$C$7,3,FALSE)*'[1]Profiles, RES, Winter'!O$5</f>
        <v>20.39542352468888</v>
      </c>
      <c r="P7" s="9">
        <f>VLOOKUP($A7,'RES installed'!$A$2:$C$7,3,FALSE)*'[1]Profiles, RES, Winter'!P$5</f>
        <v>18.643115214773182</v>
      </c>
      <c r="Q7" s="9">
        <f>VLOOKUP($A7,'RES installed'!$A$2:$C$7,3,FALSE)*'[1]Profiles, RES, Winter'!Q$5</f>
        <v>18.805700521878762</v>
      </c>
      <c r="R7" s="9">
        <f>VLOOKUP($A7,'RES installed'!$A$2:$C$7,3,FALSE)*'[1]Profiles, RES, Winter'!R$5</f>
        <v>19.51023685266961</v>
      </c>
      <c r="S7" s="9">
        <f>VLOOKUP($A7,'RES installed'!$A$2:$C$7,3,FALSE)*'[1]Profiles, RES, Winter'!S$5</f>
        <v>22.481934965877159</v>
      </c>
      <c r="T7" s="9">
        <f>VLOOKUP($A7,'RES installed'!$A$2:$C$7,3,FALSE)*'[1]Profiles, RES, Winter'!T$5</f>
        <v>24.342633480529908</v>
      </c>
      <c r="U7" s="9">
        <f>VLOOKUP($A7,'RES installed'!$A$2:$C$7,3,FALSE)*'[1]Profiles, RES, Winter'!U$5</f>
        <v>24.947812123645122</v>
      </c>
      <c r="V7" s="9">
        <f>VLOOKUP($A7,'RES installed'!$A$2:$C$7,3,FALSE)*'[1]Profiles, RES, Winter'!V$5</f>
        <v>24.125853071055801</v>
      </c>
      <c r="W7" s="9">
        <f>VLOOKUP($A7,'RES installed'!$A$2:$C$7,3,FALSE)*'[1]Profiles, RES, Winter'!W$5</f>
        <v>22.816138097149736</v>
      </c>
      <c r="X7" s="9">
        <f>VLOOKUP($A7,'RES installed'!$A$2:$C$7,3,FALSE)*'[1]Profiles, RES, Winter'!X$5</f>
        <v>23.060016057808109</v>
      </c>
      <c r="Y7" s="9">
        <f>VLOOKUP($A7,'RES installed'!$A$2:$C$7,3,FALSE)*'[1]Profiles, RES, Winter'!Y$5</f>
        <v>24.008430349257328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2.843062926459439E-2</v>
      </c>
      <c r="J8" s="6">
        <f>VLOOKUP($A8,'RES installed'!$A$2:$C$7,3,FALSE)*'[1]Profiles, RES, Winter'!J$2</f>
        <v>3.3263836239575437</v>
      </c>
      <c r="K8" s="6">
        <f>VLOOKUP($A8,'RES installed'!$A$2:$C$7,3,FALSE)*'[1]Profiles, RES, Winter'!K$2</f>
        <v>14.044730856709629</v>
      </c>
      <c r="L8" s="6">
        <f>VLOOKUP($A8,'RES installed'!$A$2:$C$7,3,FALSE)*'[1]Profiles, RES, Winter'!L$2</f>
        <v>24.706216830932526</v>
      </c>
      <c r="M8" s="6">
        <f>VLOOKUP($A8,'RES installed'!$A$2:$C$7,3,FALSE)*'[1]Profiles, RES, Winter'!M$2</f>
        <v>29.3972706595906</v>
      </c>
      <c r="N8" s="6">
        <f>VLOOKUP($A8,'RES installed'!$A$2:$C$7,3,FALSE)*'[1]Profiles, RES, Winter'!N$2</f>
        <v>28.288476118271419</v>
      </c>
      <c r="O8" s="6">
        <f>VLOOKUP($A8,'RES installed'!$A$2:$C$7,3,FALSE)*'[1]Profiles, RES, Winter'!O$2</f>
        <v>28.515921152388174</v>
      </c>
      <c r="P8" s="6">
        <f>VLOOKUP($A8,'RES installed'!$A$2:$C$7,3,FALSE)*'[1]Profiles, RES, Winter'!P$2</f>
        <v>26.923805913570888</v>
      </c>
      <c r="Q8" s="6">
        <f>VLOOKUP($A8,'RES installed'!$A$2:$C$7,3,FALSE)*'[1]Profiles, RES, Winter'!Q$2</f>
        <v>20.15731614859742</v>
      </c>
      <c r="R8" s="6">
        <f>VLOOKUP($A8,'RES installed'!$A$2:$C$7,3,FALSE)*'[1]Profiles, RES, Winter'!R$2</f>
        <v>7.5909780136467022</v>
      </c>
      <c r="S8" s="6">
        <f>VLOOKUP($A8,'RES installed'!$A$2:$C$7,3,FALSE)*'[1]Profiles, RES, Winter'!S$2</f>
        <v>0.3411675511751327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2.2744503411675512E-2</v>
      </c>
      <c r="J10" s="6">
        <f>VLOOKUP($A10,'RES installed'!$A$2:$C$7,3,FALSE)*'[1]Profiles, RES, Winter'!J$2</f>
        <v>2.6611068991660352</v>
      </c>
      <c r="K10" s="6">
        <f>VLOOKUP($A10,'RES installed'!$A$2:$C$7,3,FALSE)*'[1]Profiles, RES, Winter'!K$2</f>
        <v>11.235784685367703</v>
      </c>
      <c r="L10" s="6">
        <f>VLOOKUP($A10,'RES installed'!$A$2:$C$7,3,FALSE)*'[1]Profiles, RES, Winter'!L$2</f>
        <v>19.764973464746021</v>
      </c>
      <c r="M10" s="6">
        <f>VLOOKUP($A10,'RES installed'!$A$2:$C$7,3,FALSE)*'[1]Profiles, RES, Winter'!M$2</f>
        <v>23.51781652767248</v>
      </c>
      <c r="N10" s="6">
        <f>VLOOKUP($A10,'RES installed'!$A$2:$C$7,3,FALSE)*'[1]Profiles, RES, Winter'!N$2</f>
        <v>22.630780894617136</v>
      </c>
      <c r="O10" s="6">
        <f>VLOOKUP($A10,'RES installed'!$A$2:$C$7,3,FALSE)*'[1]Profiles, RES, Winter'!O$2</f>
        <v>22.812736921910538</v>
      </c>
      <c r="P10" s="6">
        <f>VLOOKUP($A10,'RES installed'!$A$2:$C$7,3,FALSE)*'[1]Profiles, RES, Winter'!P$2</f>
        <v>21.539044730856713</v>
      </c>
      <c r="Q10" s="6">
        <f>VLOOKUP($A10,'RES installed'!$A$2:$C$7,3,FALSE)*'[1]Profiles, RES, Winter'!Q$2</f>
        <v>16.125852918877939</v>
      </c>
      <c r="R10" s="6">
        <f>VLOOKUP($A10,'RES installed'!$A$2:$C$7,3,FALSE)*'[1]Profiles, RES, Winter'!R$2</f>
        <v>6.0727824109173616</v>
      </c>
      <c r="S10" s="6">
        <f>VLOOKUP($A10,'RES installed'!$A$2:$C$7,3,FALSE)*'[1]Profiles, RES, Winter'!S$2</f>
        <v>0.27293404094010615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C0DD-63EC-452B-B727-E7633F01A28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23.610999598554798</v>
      </c>
      <c r="C5" s="9">
        <f>VLOOKUP($A5,'RES installed'!$A$2:$C$7,3,FALSE)*'[1]Profiles, RES, Winter'!C$6</f>
        <v>23.972300281011641</v>
      </c>
      <c r="D5" s="9">
        <f>VLOOKUP($A5,'RES installed'!$A$2:$C$7,3,FALSE)*'[1]Profiles, RES, Winter'!D$6</f>
        <v>24.053592934564428</v>
      </c>
      <c r="E5" s="9">
        <f>VLOOKUP($A5,'RES installed'!$A$2:$C$7,3,FALSE)*'[1]Profiles, RES, Winter'!E$6</f>
        <v>21.994179044560418</v>
      </c>
      <c r="F5" s="9">
        <f>VLOOKUP($A5,'RES installed'!$A$2:$C$7,3,FALSE)*'[1]Profiles, RES, Winter'!F$6</f>
        <v>22.698715375351266</v>
      </c>
      <c r="G5" s="9">
        <f>VLOOKUP($A5,'RES installed'!$A$2:$C$7,3,FALSE)*'[1]Profiles, RES, Winter'!G$6</f>
        <v>23.963267763950221</v>
      </c>
      <c r="H5" s="9">
        <f>VLOOKUP($A5,'RES installed'!$A$2:$C$7,3,FALSE)*'[1]Profiles, RES, Winter'!H$6</f>
        <v>24.532316338819751</v>
      </c>
      <c r="I5" s="9">
        <f>VLOOKUP($A5,'RES installed'!$A$2:$C$7,3,FALSE)*'[1]Profiles, RES, Winter'!I$6</f>
        <v>23.367121637896425</v>
      </c>
      <c r="J5" s="9">
        <f>VLOOKUP($A5,'RES installed'!$A$2:$C$7,3,FALSE)*'[1]Profiles, RES, Winter'!J$6</f>
        <v>22.238057005218788</v>
      </c>
      <c r="K5" s="9">
        <f>VLOOKUP($A5,'RES installed'!$A$2:$C$7,3,FALSE)*'[1]Profiles, RES, Winter'!K$6</f>
        <v>20.946407065435569</v>
      </c>
      <c r="L5" s="9">
        <f>VLOOKUP($A5,'RES installed'!$A$2:$C$7,3,FALSE)*'[1]Profiles, RES, Winter'!L$6</f>
        <v>19.681854676836611</v>
      </c>
      <c r="M5" s="9">
        <f>VLOOKUP($A5,'RES installed'!$A$2:$C$7,3,FALSE)*'[1]Profiles, RES, Winter'!M$6</f>
        <v>18.597952629466079</v>
      </c>
      <c r="N5" s="9">
        <f>VLOOKUP($A5,'RES installed'!$A$2:$C$7,3,FALSE)*'[1]Profiles, RES, Winter'!N$6</f>
        <v>17.143717382577279</v>
      </c>
      <c r="O5" s="9">
        <f>VLOOKUP($A5,'RES installed'!$A$2:$C$7,3,FALSE)*'[1]Profiles, RES, Winter'!O$6</f>
        <v>13.27780008028904</v>
      </c>
      <c r="P5" s="9">
        <f>VLOOKUP($A5,'RES installed'!$A$2:$C$7,3,FALSE)*'[1]Profiles, RES, Winter'!P$6</f>
        <v>12.988759534323565</v>
      </c>
      <c r="Q5" s="9">
        <f>VLOOKUP($A5,'RES installed'!$A$2:$C$7,3,FALSE)*'[1]Profiles, RES, Winter'!Q$6</f>
        <v>13.214572460859094</v>
      </c>
      <c r="R5" s="9">
        <f>VLOOKUP($A5,'RES installed'!$A$2:$C$7,3,FALSE)*'[1]Profiles, RES, Winter'!R$6</f>
        <v>16.764351665997591</v>
      </c>
      <c r="S5" s="9">
        <f>VLOOKUP($A5,'RES installed'!$A$2:$C$7,3,FALSE)*'[1]Profiles, RES, Winter'!S$6</f>
        <v>19.645724608590928</v>
      </c>
      <c r="T5" s="9">
        <f>VLOOKUP($A5,'RES installed'!$A$2:$C$7,3,FALSE)*'[1]Profiles, RES, Winter'!T$6</f>
        <v>20.928342031312724</v>
      </c>
      <c r="U5" s="9">
        <f>VLOOKUP($A5,'RES installed'!$A$2:$C$7,3,FALSE)*'[1]Profiles, RES, Winter'!U$6</f>
        <v>21.8586912886391</v>
      </c>
      <c r="V5" s="9">
        <f>VLOOKUP($A5,'RES installed'!$A$2:$C$7,3,FALSE)*'[1]Profiles, RES, Winter'!V$6</f>
        <v>22.590325170614211</v>
      </c>
      <c r="W5" s="9">
        <f>VLOOKUP($A5,'RES installed'!$A$2:$C$7,3,FALSE)*'[1]Profiles, RES, Winter'!W$6</f>
        <v>23.448414291449218</v>
      </c>
      <c r="X5" s="9">
        <f>VLOOKUP($A5,'RES installed'!$A$2:$C$7,3,FALSE)*'[1]Profiles, RES, Winter'!X$6</f>
        <v>23.005820955439585</v>
      </c>
      <c r="Y5" s="9">
        <f>VLOOKUP($A5,'RES installed'!$A$2:$C$7,3,FALSE)*'[1]Profiles, RES, Winter'!Y$6</f>
        <v>22.382577278201524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23.610999598554798</v>
      </c>
      <c r="C7" s="9">
        <f>VLOOKUP($A7,'RES installed'!$A$2:$C$7,3,FALSE)*'[1]Profiles, RES, Winter'!C$6</f>
        <v>23.972300281011641</v>
      </c>
      <c r="D7" s="9">
        <f>VLOOKUP($A7,'RES installed'!$A$2:$C$7,3,FALSE)*'[1]Profiles, RES, Winter'!D$6</f>
        <v>24.053592934564428</v>
      </c>
      <c r="E7" s="9">
        <f>VLOOKUP($A7,'RES installed'!$A$2:$C$7,3,FALSE)*'[1]Profiles, RES, Winter'!E$6</f>
        <v>21.994179044560418</v>
      </c>
      <c r="F7" s="9">
        <f>VLOOKUP($A7,'RES installed'!$A$2:$C$7,3,FALSE)*'[1]Profiles, RES, Winter'!F$6</f>
        <v>22.698715375351266</v>
      </c>
      <c r="G7" s="9">
        <f>VLOOKUP($A7,'RES installed'!$A$2:$C$7,3,FALSE)*'[1]Profiles, RES, Winter'!G$6</f>
        <v>23.963267763950221</v>
      </c>
      <c r="H7" s="9">
        <f>VLOOKUP($A7,'RES installed'!$A$2:$C$7,3,FALSE)*'[1]Profiles, RES, Winter'!H$6</f>
        <v>24.532316338819751</v>
      </c>
      <c r="I7" s="9">
        <f>VLOOKUP($A7,'RES installed'!$A$2:$C$7,3,FALSE)*'[1]Profiles, RES, Winter'!I$6</f>
        <v>23.367121637896425</v>
      </c>
      <c r="J7" s="9">
        <f>VLOOKUP($A7,'RES installed'!$A$2:$C$7,3,FALSE)*'[1]Profiles, RES, Winter'!J$6</f>
        <v>22.238057005218788</v>
      </c>
      <c r="K7" s="9">
        <f>VLOOKUP($A7,'RES installed'!$A$2:$C$7,3,FALSE)*'[1]Profiles, RES, Winter'!K$6</f>
        <v>20.946407065435569</v>
      </c>
      <c r="L7" s="9">
        <f>VLOOKUP($A7,'RES installed'!$A$2:$C$7,3,FALSE)*'[1]Profiles, RES, Winter'!L$6</f>
        <v>19.681854676836611</v>
      </c>
      <c r="M7" s="9">
        <f>VLOOKUP($A7,'RES installed'!$A$2:$C$7,3,FALSE)*'[1]Profiles, RES, Winter'!M$6</f>
        <v>18.597952629466079</v>
      </c>
      <c r="N7" s="9">
        <f>VLOOKUP($A7,'RES installed'!$A$2:$C$7,3,FALSE)*'[1]Profiles, RES, Winter'!N$6</f>
        <v>17.143717382577279</v>
      </c>
      <c r="O7" s="9">
        <f>VLOOKUP($A7,'RES installed'!$A$2:$C$7,3,FALSE)*'[1]Profiles, RES, Winter'!O$6</f>
        <v>13.27780008028904</v>
      </c>
      <c r="P7" s="9">
        <f>VLOOKUP($A7,'RES installed'!$A$2:$C$7,3,FALSE)*'[1]Profiles, RES, Winter'!P$6</f>
        <v>12.988759534323565</v>
      </c>
      <c r="Q7" s="9">
        <f>VLOOKUP($A7,'RES installed'!$A$2:$C$7,3,FALSE)*'[1]Profiles, RES, Winter'!Q$6</f>
        <v>13.214572460859094</v>
      </c>
      <c r="R7" s="9">
        <f>VLOOKUP($A7,'RES installed'!$A$2:$C$7,3,FALSE)*'[1]Profiles, RES, Winter'!R$6</f>
        <v>16.764351665997591</v>
      </c>
      <c r="S7" s="9">
        <f>VLOOKUP($A7,'RES installed'!$A$2:$C$7,3,FALSE)*'[1]Profiles, RES, Winter'!S$6</f>
        <v>19.645724608590928</v>
      </c>
      <c r="T7" s="9">
        <f>VLOOKUP($A7,'RES installed'!$A$2:$C$7,3,FALSE)*'[1]Profiles, RES, Winter'!T$6</f>
        <v>20.928342031312724</v>
      </c>
      <c r="U7" s="9">
        <f>VLOOKUP($A7,'RES installed'!$A$2:$C$7,3,FALSE)*'[1]Profiles, RES, Winter'!U$6</f>
        <v>21.8586912886391</v>
      </c>
      <c r="V7" s="9">
        <f>VLOOKUP($A7,'RES installed'!$A$2:$C$7,3,FALSE)*'[1]Profiles, RES, Winter'!V$6</f>
        <v>22.590325170614211</v>
      </c>
      <c r="W7" s="9">
        <f>VLOOKUP($A7,'RES installed'!$A$2:$C$7,3,FALSE)*'[1]Profiles, RES, Winter'!W$6</f>
        <v>23.448414291449218</v>
      </c>
      <c r="X7" s="9">
        <f>VLOOKUP($A7,'RES installed'!$A$2:$C$7,3,FALSE)*'[1]Profiles, RES, Winter'!X$6</f>
        <v>23.005820955439585</v>
      </c>
      <c r="Y7" s="9">
        <f>VLOOKUP($A7,'RES installed'!$A$2:$C$7,3,FALSE)*'[1]Profiles, RES, Winter'!Y$6</f>
        <v>22.382577278201524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5.6861258529188781E-2</v>
      </c>
      <c r="J8" s="6">
        <f>VLOOKUP($A8,'RES installed'!$A$2:$C$7,3,FALSE)*'[1]Profiles, RES, Winter'!J$3</f>
        <v>4.8616376042456411</v>
      </c>
      <c r="K8" s="6">
        <f>VLOOKUP($A8,'RES installed'!$A$2:$C$7,3,FALSE)*'[1]Profiles, RES, Winter'!K$3</f>
        <v>16.717210007581503</v>
      </c>
      <c r="L8" s="6">
        <f>VLOOKUP($A8,'RES installed'!$A$2:$C$7,3,FALSE)*'[1]Profiles, RES, Winter'!L$3</f>
        <v>25.672858225928731</v>
      </c>
      <c r="M8" s="6">
        <f>VLOOKUP($A8,'RES installed'!$A$2:$C$7,3,FALSE)*'[1]Profiles, RES, Winter'!M$3</f>
        <v>25.473843821076574</v>
      </c>
      <c r="N8" s="6">
        <f>VLOOKUP($A8,'RES installed'!$A$2:$C$7,3,FALSE)*'[1]Profiles, RES, Winter'!N$3</f>
        <v>28.316906747536013</v>
      </c>
      <c r="O8" s="6">
        <f>VLOOKUP($A8,'RES installed'!$A$2:$C$7,3,FALSE)*'[1]Profiles, RES, Winter'!O$3</f>
        <v>27.691432903714933</v>
      </c>
      <c r="P8" s="6">
        <f>VLOOKUP($A8,'RES installed'!$A$2:$C$7,3,FALSE)*'[1]Profiles, RES, Winter'!P$3</f>
        <v>23.426838514025775</v>
      </c>
      <c r="Q8" s="6">
        <f>VLOOKUP($A8,'RES installed'!$A$2:$C$7,3,FALSE)*'[1]Profiles, RES, Winter'!Q$3</f>
        <v>15.068233510235027</v>
      </c>
      <c r="R8" s="6">
        <f>VLOOKUP($A8,'RES installed'!$A$2:$C$7,3,FALSE)*'[1]Profiles, RES, Winter'!R$3</f>
        <v>4.8047763457164523</v>
      </c>
      <c r="S8" s="6">
        <f>VLOOKUP($A8,'RES installed'!$A$2:$C$7,3,FALSE)*'[1]Profiles, RES, Winter'!S$3</f>
        <v>0.28430629264594387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4.5489006823351025E-2</v>
      </c>
      <c r="J10" s="6">
        <f>VLOOKUP($A10,'RES installed'!$A$2:$C$7,3,FALSE)*'[1]Profiles, RES, Winter'!J$3</f>
        <v>3.8893100833965129</v>
      </c>
      <c r="K10" s="6">
        <f>VLOOKUP($A10,'RES installed'!$A$2:$C$7,3,FALSE)*'[1]Profiles, RES, Winter'!K$3</f>
        <v>13.373768006065202</v>
      </c>
      <c r="L10" s="6">
        <f>VLOOKUP($A10,'RES installed'!$A$2:$C$7,3,FALSE)*'[1]Profiles, RES, Winter'!L$3</f>
        <v>20.538286580742987</v>
      </c>
      <c r="M10" s="6">
        <f>VLOOKUP($A10,'RES installed'!$A$2:$C$7,3,FALSE)*'[1]Profiles, RES, Winter'!M$3</f>
        <v>20.379075056861261</v>
      </c>
      <c r="N10" s="6">
        <f>VLOOKUP($A10,'RES installed'!$A$2:$C$7,3,FALSE)*'[1]Profiles, RES, Winter'!N$3</f>
        <v>22.653525398028808</v>
      </c>
      <c r="O10" s="6">
        <f>VLOOKUP($A10,'RES installed'!$A$2:$C$7,3,FALSE)*'[1]Profiles, RES, Winter'!O$3</f>
        <v>22.153146322971946</v>
      </c>
      <c r="P10" s="6">
        <f>VLOOKUP($A10,'RES installed'!$A$2:$C$7,3,FALSE)*'[1]Profiles, RES, Winter'!P$3</f>
        <v>18.741470811220619</v>
      </c>
      <c r="Q10" s="6">
        <f>VLOOKUP($A10,'RES installed'!$A$2:$C$7,3,FALSE)*'[1]Profiles, RES, Winter'!Q$3</f>
        <v>12.05458680818802</v>
      </c>
      <c r="R10" s="6">
        <f>VLOOKUP($A10,'RES installed'!$A$2:$C$7,3,FALSE)*'[1]Profiles, RES, Winter'!R$3</f>
        <v>3.8438210765731617</v>
      </c>
      <c r="S10" s="6">
        <f>VLOOKUP($A10,'RES installed'!$A$2:$C$7,3,FALSE)*'[1]Profiles, RES, Winter'!S$3</f>
        <v>0.22744503411675512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AF3F-B272-458C-AA52-13D468BF343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22.608390204737056</v>
      </c>
      <c r="C5" s="9">
        <f>VLOOKUP($A5,'RES installed'!$A$2:$C$7,3,FALSE)*'[1]Profiles, RES, Winter'!C$7</f>
        <v>22.509032517061421</v>
      </c>
      <c r="D5" s="9">
        <f>VLOOKUP($A5,'RES installed'!$A$2:$C$7,3,FALSE)*'[1]Profiles, RES, Winter'!D$7</f>
        <v>21.939983942191891</v>
      </c>
      <c r="E5" s="9">
        <f>VLOOKUP($A5,'RES installed'!$A$2:$C$7,3,FALSE)*'[1]Profiles, RES, Winter'!E$7</f>
        <v>22.481934965877159</v>
      </c>
      <c r="F5" s="9">
        <f>VLOOKUP($A5,'RES installed'!$A$2:$C$7,3,FALSE)*'[1]Profiles, RES, Winter'!F$7</f>
        <v>21.84965877157768</v>
      </c>
      <c r="G5" s="9">
        <f>VLOOKUP($A5,'RES installed'!$A$2:$C$7,3,FALSE)*'[1]Profiles, RES, Winter'!G$7</f>
        <v>21.732236049779207</v>
      </c>
      <c r="H5" s="9">
        <f>VLOOKUP($A5,'RES installed'!$A$2:$C$7,3,FALSE)*'[1]Profiles, RES, Winter'!H$7</f>
        <v>22.518065034122841</v>
      </c>
      <c r="I5" s="9">
        <f>VLOOKUP($A5,'RES installed'!$A$2:$C$7,3,FALSE)*'[1]Profiles, RES, Winter'!I$7</f>
        <v>21.163187474909677</v>
      </c>
      <c r="J5" s="9">
        <f>VLOOKUP($A5,'RES installed'!$A$2:$C$7,3,FALSE)*'[1]Profiles, RES, Winter'!J$7</f>
        <v>19.483139301485345</v>
      </c>
      <c r="K5" s="9">
        <f>VLOOKUP($A5,'RES installed'!$A$2:$C$7,3,FALSE)*'[1]Profiles, RES, Winter'!K$7</f>
        <v>18.245684464070653</v>
      </c>
      <c r="L5" s="9">
        <f>VLOOKUP($A5,'RES installed'!$A$2:$C$7,3,FALSE)*'[1]Profiles, RES, Winter'!L$7</f>
        <v>16.502408671216379</v>
      </c>
      <c r="M5" s="9">
        <f>VLOOKUP($A5,'RES installed'!$A$2:$C$7,3,FALSE)*'[1]Profiles, RES, Winter'!M$7</f>
        <v>14.217181854676838</v>
      </c>
      <c r="N5" s="9">
        <f>VLOOKUP($A5,'RES installed'!$A$2:$C$7,3,FALSE)*'[1]Profiles, RES, Winter'!N$7</f>
        <v>12.817141710156562</v>
      </c>
      <c r="O5" s="9">
        <f>VLOOKUP($A5,'RES installed'!$A$2:$C$7,3,FALSE)*'[1]Profiles, RES, Winter'!O$7</f>
        <v>12.735849056603774</v>
      </c>
      <c r="P5" s="9">
        <f>VLOOKUP($A5,'RES installed'!$A$2:$C$7,3,FALSE)*'[1]Profiles, RES, Winter'!P$7</f>
        <v>14.452027298273785</v>
      </c>
      <c r="Q5" s="9">
        <f>VLOOKUP($A5,'RES installed'!$A$2:$C$7,3,FALSE)*'[1]Profiles, RES, Winter'!Q$7</f>
        <v>14.957848253713367</v>
      </c>
      <c r="R5" s="9">
        <f>VLOOKUP($A5,'RES installed'!$A$2:$C$7,3,FALSE)*'[1]Profiles, RES, Winter'!R$7</f>
        <v>16.538538739462066</v>
      </c>
      <c r="S5" s="9">
        <f>VLOOKUP($A5,'RES installed'!$A$2:$C$7,3,FALSE)*'[1]Profiles, RES, Winter'!S$7</f>
        <v>19.167001204335609</v>
      </c>
      <c r="T5" s="9">
        <f>VLOOKUP($A5,'RES installed'!$A$2:$C$7,3,FALSE)*'[1]Profiles, RES, Winter'!T$7</f>
        <v>20.847049377759937</v>
      </c>
      <c r="U5" s="9">
        <f>VLOOKUP($A5,'RES installed'!$A$2:$C$7,3,FALSE)*'[1]Profiles, RES, Winter'!U$7</f>
        <v>22.09353673223605</v>
      </c>
      <c r="V5" s="9">
        <f>VLOOKUP($A5,'RES installed'!$A$2:$C$7,3,FALSE)*'[1]Profiles, RES, Winter'!V$7</f>
        <v>22.274187073464471</v>
      </c>
      <c r="W5" s="9">
        <f>VLOOKUP($A5,'RES installed'!$A$2:$C$7,3,FALSE)*'[1]Profiles, RES, Winter'!W$7</f>
        <v>20.530911280610194</v>
      </c>
      <c r="X5" s="9">
        <f>VLOOKUP($A5,'RES installed'!$A$2:$C$7,3,FALSE)*'[1]Profiles, RES, Winter'!X$7</f>
        <v>18.932155760738659</v>
      </c>
      <c r="Y5" s="9">
        <f>VLOOKUP($A5,'RES installed'!$A$2:$C$7,3,FALSE)*'[1]Profiles, RES, Winter'!Y$7</f>
        <v>18.182456844640708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22.608390204737056</v>
      </c>
      <c r="C7" s="9">
        <f>VLOOKUP($A7,'RES installed'!$A$2:$C$7,3,FALSE)*'[1]Profiles, RES, Winter'!C$7</f>
        <v>22.509032517061421</v>
      </c>
      <c r="D7" s="9">
        <f>VLOOKUP($A7,'RES installed'!$A$2:$C$7,3,FALSE)*'[1]Profiles, RES, Winter'!D$7</f>
        <v>21.939983942191891</v>
      </c>
      <c r="E7" s="9">
        <f>VLOOKUP($A7,'RES installed'!$A$2:$C$7,3,FALSE)*'[1]Profiles, RES, Winter'!E$7</f>
        <v>22.481934965877159</v>
      </c>
      <c r="F7" s="9">
        <f>VLOOKUP($A7,'RES installed'!$A$2:$C$7,3,FALSE)*'[1]Profiles, RES, Winter'!F$7</f>
        <v>21.84965877157768</v>
      </c>
      <c r="G7" s="9">
        <f>VLOOKUP($A7,'RES installed'!$A$2:$C$7,3,FALSE)*'[1]Profiles, RES, Winter'!G$7</f>
        <v>21.732236049779207</v>
      </c>
      <c r="H7" s="9">
        <f>VLOOKUP($A7,'RES installed'!$A$2:$C$7,3,FALSE)*'[1]Profiles, RES, Winter'!H$7</f>
        <v>22.518065034122841</v>
      </c>
      <c r="I7" s="9">
        <f>VLOOKUP($A7,'RES installed'!$A$2:$C$7,3,FALSE)*'[1]Profiles, RES, Winter'!I$7</f>
        <v>21.163187474909677</v>
      </c>
      <c r="J7" s="9">
        <f>VLOOKUP($A7,'RES installed'!$A$2:$C$7,3,FALSE)*'[1]Profiles, RES, Winter'!J$7</f>
        <v>19.483139301485345</v>
      </c>
      <c r="K7" s="9">
        <f>VLOOKUP($A7,'RES installed'!$A$2:$C$7,3,FALSE)*'[1]Profiles, RES, Winter'!K$7</f>
        <v>18.245684464070653</v>
      </c>
      <c r="L7" s="9">
        <f>VLOOKUP($A7,'RES installed'!$A$2:$C$7,3,FALSE)*'[1]Profiles, RES, Winter'!L$7</f>
        <v>16.502408671216379</v>
      </c>
      <c r="M7" s="9">
        <f>VLOOKUP($A7,'RES installed'!$A$2:$C$7,3,FALSE)*'[1]Profiles, RES, Winter'!M$7</f>
        <v>14.217181854676838</v>
      </c>
      <c r="N7" s="9">
        <f>VLOOKUP($A7,'RES installed'!$A$2:$C$7,3,FALSE)*'[1]Profiles, RES, Winter'!N$7</f>
        <v>12.817141710156562</v>
      </c>
      <c r="O7" s="9">
        <f>VLOOKUP($A7,'RES installed'!$A$2:$C$7,3,FALSE)*'[1]Profiles, RES, Winter'!O$7</f>
        <v>12.735849056603774</v>
      </c>
      <c r="P7" s="9">
        <f>VLOOKUP($A7,'RES installed'!$A$2:$C$7,3,FALSE)*'[1]Profiles, RES, Winter'!P$7</f>
        <v>14.452027298273785</v>
      </c>
      <c r="Q7" s="9">
        <f>VLOOKUP($A7,'RES installed'!$A$2:$C$7,3,FALSE)*'[1]Profiles, RES, Winter'!Q$7</f>
        <v>14.957848253713367</v>
      </c>
      <c r="R7" s="9">
        <f>VLOOKUP($A7,'RES installed'!$A$2:$C$7,3,FALSE)*'[1]Profiles, RES, Winter'!R$7</f>
        <v>16.538538739462066</v>
      </c>
      <c r="S7" s="9">
        <f>VLOOKUP($A7,'RES installed'!$A$2:$C$7,3,FALSE)*'[1]Profiles, RES, Winter'!S$7</f>
        <v>19.167001204335609</v>
      </c>
      <c r="T7" s="9">
        <f>VLOOKUP($A7,'RES installed'!$A$2:$C$7,3,FALSE)*'[1]Profiles, RES, Winter'!T$7</f>
        <v>20.847049377759937</v>
      </c>
      <c r="U7" s="9">
        <f>VLOOKUP($A7,'RES installed'!$A$2:$C$7,3,FALSE)*'[1]Profiles, RES, Winter'!U$7</f>
        <v>22.09353673223605</v>
      </c>
      <c r="V7" s="9">
        <f>VLOOKUP($A7,'RES installed'!$A$2:$C$7,3,FALSE)*'[1]Profiles, RES, Winter'!V$7</f>
        <v>22.274187073464471</v>
      </c>
      <c r="W7" s="9">
        <f>VLOOKUP($A7,'RES installed'!$A$2:$C$7,3,FALSE)*'[1]Profiles, RES, Winter'!W$7</f>
        <v>20.530911280610194</v>
      </c>
      <c r="X7" s="9">
        <f>VLOOKUP($A7,'RES installed'!$A$2:$C$7,3,FALSE)*'[1]Profiles, RES, Winter'!X$7</f>
        <v>18.932155760738659</v>
      </c>
      <c r="Y7" s="9">
        <f>VLOOKUP($A7,'RES installed'!$A$2:$C$7,3,FALSE)*'[1]Profiles, RES, Winter'!Y$7</f>
        <v>18.182456844640708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2.843062926459439E-2</v>
      </c>
      <c r="J8" s="6">
        <f>VLOOKUP($A8,'RES installed'!$A$2:$C$7,3,FALSE)*'[1]Profiles, RES, Winter'!J$4</f>
        <v>2.5303260045489009</v>
      </c>
      <c r="K8" s="6">
        <f>VLOOKUP($A8,'RES installed'!$A$2:$C$7,3,FALSE)*'[1]Profiles, RES, Winter'!K$4</f>
        <v>10.860500379075058</v>
      </c>
      <c r="L8" s="6">
        <f>VLOOKUP($A8,'RES installed'!$A$2:$C$7,3,FALSE)*'[1]Profiles, RES, Winter'!L$4</f>
        <v>17.911296436694464</v>
      </c>
      <c r="M8" s="6">
        <f>VLOOKUP($A8,'RES installed'!$A$2:$C$7,3,FALSE)*'[1]Profiles, RES, Winter'!M$4</f>
        <v>20.356330553449585</v>
      </c>
      <c r="N8" s="6">
        <f>VLOOKUP($A8,'RES installed'!$A$2:$C$7,3,FALSE)*'[1]Profiles, RES, Winter'!N$4</f>
        <v>19.446550416982564</v>
      </c>
      <c r="O8" s="6">
        <f>VLOOKUP($A8,'RES installed'!$A$2:$C$7,3,FALSE)*'[1]Profiles, RES, Winter'!O$4</f>
        <v>19.816148597422291</v>
      </c>
      <c r="P8" s="6">
        <f>VLOOKUP($A8,'RES installed'!$A$2:$C$7,3,FALSE)*'[1]Profiles, RES, Winter'!P$4</f>
        <v>21.436694465504171</v>
      </c>
      <c r="Q8" s="6">
        <f>VLOOKUP($A8,'RES installed'!$A$2:$C$7,3,FALSE)*'[1]Profiles, RES, Winter'!Q$4</f>
        <v>19.531842304776344</v>
      </c>
      <c r="R8" s="6">
        <f>VLOOKUP($A8,'RES installed'!$A$2:$C$7,3,FALSE)*'[1]Profiles, RES, Winter'!R$4</f>
        <v>8.8987869598180431</v>
      </c>
      <c r="S8" s="6">
        <f>VLOOKUP($A8,'RES installed'!$A$2:$C$7,3,FALSE)*'[1]Profiles, RES, Winter'!S$4</f>
        <v>0.45489006823351025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2.2744503411675512E-2</v>
      </c>
      <c r="J10" s="6">
        <f>VLOOKUP($A10,'RES installed'!$A$2:$C$7,3,FALSE)*'[1]Profiles, RES, Winter'!J$4</f>
        <v>2.0242608036391205</v>
      </c>
      <c r="K10" s="6">
        <f>VLOOKUP($A10,'RES installed'!$A$2:$C$7,3,FALSE)*'[1]Profiles, RES, Winter'!K$4</f>
        <v>8.6884003032600461</v>
      </c>
      <c r="L10" s="6">
        <f>VLOOKUP($A10,'RES installed'!$A$2:$C$7,3,FALSE)*'[1]Profiles, RES, Winter'!L$4</f>
        <v>14.329037149355573</v>
      </c>
      <c r="M10" s="6">
        <f>VLOOKUP($A10,'RES installed'!$A$2:$C$7,3,FALSE)*'[1]Profiles, RES, Winter'!M$4</f>
        <v>16.285064442759666</v>
      </c>
      <c r="N10" s="6">
        <f>VLOOKUP($A10,'RES installed'!$A$2:$C$7,3,FALSE)*'[1]Profiles, RES, Winter'!N$4</f>
        <v>15.557240333586051</v>
      </c>
      <c r="O10" s="6">
        <f>VLOOKUP($A10,'RES installed'!$A$2:$C$7,3,FALSE)*'[1]Profiles, RES, Winter'!O$4</f>
        <v>15.852918877937832</v>
      </c>
      <c r="P10" s="6">
        <f>VLOOKUP($A10,'RES installed'!$A$2:$C$7,3,FALSE)*'[1]Profiles, RES, Winter'!P$4</f>
        <v>17.149355572403337</v>
      </c>
      <c r="Q10" s="6">
        <f>VLOOKUP($A10,'RES installed'!$A$2:$C$7,3,FALSE)*'[1]Profiles, RES, Winter'!Q$4</f>
        <v>15.625473843821075</v>
      </c>
      <c r="R10" s="6">
        <f>VLOOKUP($A10,'RES installed'!$A$2:$C$7,3,FALSE)*'[1]Profiles, RES, Winter'!R$4</f>
        <v>7.1190295678544349</v>
      </c>
      <c r="S10" s="6">
        <f>VLOOKUP($A10,'RES installed'!$A$2:$C$7,3,FALSE)*'[1]Profiles, RES, Winter'!S$4</f>
        <v>0.3639120545868082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FE1B-2682-4FFE-8108-DD927AA6BC0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24.396828582898433</v>
      </c>
      <c r="C5" s="9">
        <f>VLOOKUP($A5,'RES installed'!$A$2:$C$7,3,FALSE)*'[1]Profiles, RES, Winter'!C$5</f>
        <v>26.248494580489762</v>
      </c>
      <c r="D5" s="9">
        <f>VLOOKUP($A5,'RES installed'!$A$2:$C$7,3,FALSE)*'[1]Profiles, RES, Winter'!D$5</f>
        <v>26.113006824568448</v>
      </c>
      <c r="E5" s="9">
        <f>VLOOKUP($A5,'RES installed'!$A$2:$C$7,3,FALSE)*'[1]Profiles, RES, Winter'!E$5</f>
        <v>26.167201926936976</v>
      </c>
      <c r="F5" s="9">
        <f>VLOOKUP($A5,'RES installed'!$A$2:$C$7,3,FALSE)*'[1]Profiles, RES, Winter'!F$5</f>
        <v>27.088518667201928</v>
      </c>
      <c r="G5" s="9">
        <f>VLOOKUP($A5,'RES installed'!$A$2:$C$7,3,FALSE)*'[1]Profiles, RES, Winter'!G$5</f>
        <v>28.596949016459256</v>
      </c>
      <c r="H5" s="9">
        <f>VLOOKUP($A5,'RES installed'!$A$2:$C$7,3,FALSE)*'[1]Profiles, RES, Winter'!H$5</f>
        <v>30.466680048173423</v>
      </c>
      <c r="I5" s="9">
        <f>VLOOKUP($A5,'RES installed'!$A$2:$C$7,3,FALSE)*'[1]Profiles, RES, Winter'!I$5</f>
        <v>30.520875150541951</v>
      </c>
      <c r="J5" s="9">
        <f>VLOOKUP($A5,'RES installed'!$A$2:$C$7,3,FALSE)*'[1]Profiles, RES, Winter'!J$5</f>
        <v>30.249899638699318</v>
      </c>
      <c r="K5" s="9">
        <f>VLOOKUP($A5,'RES installed'!$A$2:$C$7,3,FALSE)*'[1]Profiles, RES, Winter'!K$5</f>
        <v>28.389201124046568</v>
      </c>
      <c r="L5" s="9">
        <f>VLOOKUP($A5,'RES installed'!$A$2:$C$7,3,FALSE)*'[1]Profiles, RES, Winter'!L$5</f>
        <v>24.758129265355279</v>
      </c>
      <c r="M5" s="9">
        <f>VLOOKUP($A5,'RES installed'!$A$2:$C$7,3,FALSE)*'[1]Profiles, RES, Winter'!M$5</f>
        <v>22.780008028904053</v>
      </c>
      <c r="N5" s="9">
        <f>VLOOKUP($A5,'RES installed'!$A$2:$C$7,3,FALSE)*'[1]Profiles, RES, Winter'!N$5</f>
        <v>21.885788839823366</v>
      </c>
      <c r="O5" s="9">
        <f>VLOOKUP($A5,'RES installed'!$A$2:$C$7,3,FALSE)*'[1]Profiles, RES, Winter'!O$5</f>
        <v>20.39542352468888</v>
      </c>
      <c r="P5" s="9">
        <f>VLOOKUP($A5,'RES installed'!$A$2:$C$7,3,FALSE)*'[1]Profiles, RES, Winter'!P$5</f>
        <v>18.643115214773182</v>
      </c>
      <c r="Q5" s="9">
        <f>VLOOKUP($A5,'RES installed'!$A$2:$C$7,3,FALSE)*'[1]Profiles, RES, Winter'!Q$5</f>
        <v>18.805700521878762</v>
      </c>
      <c r="R5" s="9">
        <f>VLOOKUP($A5,'RES installed'!$A$2:$C$7,3,FALSE)*'[1]Profiles, RES, Winter'!R$5</f>
        <v>19.51023685266961</v>
      </c>
      <c r="S5" s="9">
        <f>VLOOKUP($A5,'RES installed'!$A$2:$C$7,3,FALSE)*'[1]Profiles, RES, Winter'!S$5</f>
        <v>22.481934965877159</v>
      </c>
      <c r="T5" s="9">
        <f>VLOOKUP($A5,'RES installed'!$A$2:$C$7,3,FALSE)*'[1]Profiles, RES, Winter'!T$5</f>
        <v>24.342633480529908</v>
      </c>
      <c r="U5" s="9">
        <f>VLOOKUP($A5,'RES installed'!$A$2:$C$7,3,FALSE)*'[1]Profiles, RES, Winter'!U$5</f>
        <v>24.947812123645122</v>
      </c>
      <c r="V5" s="9">
        <f>VLOOKUP($A5,'RES installed'!$A$2:$C$7,3,FALSE)*'[1]Profiles, RES, Winter'!V$5</f>
        <v>24.125853071055801</v>
      </c>
      <c r="W5" s="9">
        <f>VLOOKUP($A5,'RES installed'!$A$2:$C$7,3,FALSE)*'[1]Profiles, RES, Winter'!W$5</f>
        <v>22.816138097149736</v>
      </c>
      <c r="X5" s="9">
        <f>VLOOKUP($A5,'RES installed'!$A$2:$C$7,3,FALSE)*'[1]Profiles, RES, Winter'!X$5</f>
        <v>23.060016057808109</v>
      </c>
      <c r="Y5" s="9">
        <f>VLOOKUP($A5,'RES installed'!$A$2:$C$7,3,FALSE)*'[1]Profiles, RES, Winter'!Y$5</f>
        <v>24.008430349257328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24.396828582898433</v>
      </c>
      <c r="C7" s="9">
        <f>VLOOKUP($A7,'RES installed'!$A$2:$C$7,3,FALSE)*'[1]Profiles, RES, Winter'!C$5</f>
        <v>26.248494580489762</v>
      </c>
      <c r="D7" s="9">
        <f>VLOOKUP($A7,'RES installed'!$A$2:$C$7,3,FALSE)*'[1]Profiles, RES, Winter'!D$5</f>
        <v>26.113006824568448</v>
      </c>
      <c r="E7" s="9">
        <f>VLOOKUP($A7,'RES installed'!$A$2:$C$7,3,FALSE)*'[1]Profiles, RES, Winter'!E$5</f>
        <v>26.167201926936976</v>
      </c>
      <c r="F7" s="9">
        <f>VLOOKUP($A7,'RES installed'!$A$2:$C$7,3,FALSE)*'[1]Profiles, RES, Winter'!F$5</f>
        <v>27.088518667201928</v>
      </c>
      <c r="G7" s="9">
        <f>VLOOKUP($A7,'RES installed'!$A$2:$C$7,3,FALSE)*'[1]Profiles, RES, Winter'!G$5</f>
        <v>28.596949016459256</v>
      </c>
      <c r="H7" s="9">
        <f>VLOOKUP($A7,'RES installed'!$A$2:$C$7,3,FALSE)*'[1]Profiles, RES, Winter'!H$5</f>
        <v>30.466680048173423</v>
      </c>
      <c r="I7" s="9">
        <f>VLOOKUP($A7,'RES installed'!$A$2:$C$7,3,FALSE)*'[1]Profiles, RES, Winter'!I$5</f>
        <v>30.520875150541951</v>
      </c>
      <c r="J7" s="9">
        <f>VLOOKUP($A7,'RES installed'!$A$2:$C$7,3,FALSE)*'[1]Profiles, RES, Winter'!J$5</f>
        <v>30.249899638699318</v>
      </c>
      <c r="K7" s="9">
        <f>VLOOKUP($A7,'RES installed'!$A$2:$C$7,3,FALSE)*'[1]Profiles, RES, Winter'!K$5</f>
        <v>28.389201124046568</v>
      </c>
      <c r="L7" s="9">
        <f>VLOOKUP($A7,'RES installed'!$A$2:$C$7,3,FALSE)*'[1]Profiles, RES, Winter'!L$5</f>
        <v>24.758129265355279</v>
      </c>
      <c r="M7" s="9">
        <f>VLOOKUP($A7,'RES installed'!$A$2:$C$7,3,FALSE)*'[1]Profiles, RES, Winter'!M$5</f>
        <v>22.780008028904053</v>
      </c>
      <c r="N7" s="9">
        <f>VLOOKUP($A7,'RES installed'!$A$2:$C$7,3,FALSE)*'[1]Profiles, RES, Winter'!N$5</f>
        <v>21.885788839823366</v>
      </c>
      <c r="O7" s="9">
        <f>VLOOKUP($A7,'RES installed'!$A$2:$C$7,3,FALSE)*'[1]Profiles, RES, Winter'!O$5</f>
        <v>20.39542352468888</v>
      </c>
      <c r="P7" s="9">
        <f>VLOOKUP($A7,'RES installed'!$A$2:$C$7,3,FALSE)*'[1]Profiles, RES, Winter'!P$5</f>
        <v>18.643115214773182</v>
      </c>
      <c r="Q7" s="9">
        <f>VLOOKUP($A7,'RES installed'!$A$2:$C$7,3,FALSE)*'[1]Profiles, RES, Winter'!Q$5</f>
        <v>18.805700521878762</v>
      </c>
      <c r="R7" s="9">
        <f>VLOOKUP($A7,'RES installed'!$A$2:$C$7,3,FALSE)*'[1]Profiles, RES, Winter'!R$5</f>
        <v>19.51023685266961</v>
      </c>
      <c r="S7" s="9">
        <f>VLOOKUP($A7,'RES installed'!$A$2:$C$7,3,FALSE)*'[1]Profiles, RES, Winter'!S$5</f>
        <v>22.481934965877159</v>
      </c>
      <c r="T7" s="9">
        <f>VLOOKUP($A7,'RES installed'!$A$2:$C$7,3,FALSE)*'[1]Profiles, RES, Winter'!T$5</f>
        <v>24.342633480529908</v>
      </c>
      <c r="U7" s="9">
        <f>VLOOKUP($A7,'RES installed'!$A$2:$C$7,3,FALSE)*'[1]Profiles, RES, Winter'!U$5</f>
        <v>24.947812123645122</v>
      </c>
      <c r="V7" s="9">
        <f>VLOOKUP($A7,'RES installed'!$A$2:$C$7,3,FALSE)*'[1]Profiles, RES, Winter'!V$5</f>
        <v>24.125853071055801</v>
      </c>
      <c r="W7" s="9">
        <f>VLOOKUP($A7,'RES installed'!$A$2:$C$7,3,FALSE)*'[1]Profiles, RES, Winter'!W$5</f>
        <v>22.816138097149736</v>
      </c>
      <c r="X7" s="9">
        <f>VLOOKUP($A7,'RES installed'!$A$2:$C$7,3,FALSE)*'[1]Profiles, RES, Winter'!X$5</f>
        <v>23.060016057808109</v>
      </c>
      <c r="Y7" s="9">
        <f>VLOOKUP($A7,'RES installed'!$A$2:$C$7,3,FALSE)*'[1]Profiles, RES, Winter'!Y$5</f>
        <v>24.008430349257328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2.843062926459439E-2</v>
      </c>
      <c r="J8" s="6">
        <f>VLOOKUP($A8,'RES installed'!$A$2:$C$7,3,FALSE)*'[1]Profiles, RES, Winter'!J$2</f>
        <v>3.3263836239575437</v>
      </c>
      <c r="K8" s="6">
        <f>VLOOKUP($A8,'RES installed'!$A$2:$C$7,3,FALSE)*'[1]Profiles, RES, Winter'!K$2</f>
        <v>14.044730856709629</v>
      </c>
      <c r="L8" s="6">
        <f>VLOOKUP($A8,'RES installed'!$A$2:$C$7,3,FALSE)*'[1]Profiles, RES, Winter'!L$2</f>
        <v>24.706216830932526</v>
      </c>
      <c r="M8" s="6">
        <f>VLOOKUP($A8,'RES installed'!$A$2:$C$7,3,FALSE)*'[1]Profiles, RES, Winter'!M$2</f>
        <v>29.3972706595906</v>
      </c>
      <c r="N8" s="6">
        <f>VLOOKUP($A8,'RES installed'!$A$2:$C$7,3,FALSE)*'[1]Profiles, RES, Winter'!N$2</f>
        <v>28.288476118271419</v>
      </c>
      <c r="O8" s="6">
        <f>VLOOKUP($A8,'RES installed'!$A$2:$C$7,3,FALSE)*'[1]Profiles, RES, Winter'!O$2</f>
        <v>28.515921152388174</v>
      </c>
      <c r="P8" s="6">
        <f>VLOOKUP($A8,'RES installed'!$A$2:$C$7,3,FALSE)*'[1]Profiles, RES, Winter'!P$2</f>
        <v>26.923805913570888</v>
      </c>
      <c r="Q8" s="6">
        <f>VLOOKUP($A8,'RES installed'!$A$2:$C$7,3,FALSE)*'[1]Profiles, RES, Winter'!Q$2</f>
        <v>20.15731614859742</v>
      </c>
      <c r="R8" s="6">
        <f>VLOOKUP($A8,'RES installed'!$A$2:$C$7,3,FALSE)*'[1]Profiles, RES, Winter'!R$2</f>
        <v>7.5909780136467022</v>
      </c>
      <c r="S8" s="6">
        <f>VLOOKUP($A8,'RES installed'!$A$2:$C$7,3,FALSE)*'[1]Profiles, RES, Winter'!S$2</f>
        <v>0.3411675511751327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2.2744503411675512E-2</v>
      </c>
      <c r="J10" s="6">
        <f>VLOOKUP($A10,'RES installed'!$A$2:$C$7,3,FALSE)*'[1]Profiles, RES, Winter'!J$2</f>
        <v>2.6611068991660352</v>
      </c>
      <c r="K10" s="6">
        <f>VLOOKUP($A10,'RES installed'!$A$2:$C$7,3,FALSE)*'[1]Profiles, RES, Winter'!K$2</f>
        <v>11.235784685367703</v>
      </c>
      <c r="L10" s="6">
        <f>VLOOKUP($A10,'RES installed'!$A$2:$C$7,3,FALSE)*'[1]Profiles, RES, Winter'!L$2</f>
        <v>19.764973464746021</v>
      </c>
      <c r="M10" s="6">
        <f>VLOOKUP($A10,'RES installed'!$A$2:$C$7,3,FALSE)*'[1]Profiles, RES, Winter'!M$2</f>
        <v>23.51781652767248</v>
      </c>
      <c r="N10" s="6">
        <f>VLOOKUP($A10,'RES installed'!$A$2:$C$7,3,FALSE)*'[1]Profiles, RES, Winter'!N$2</f>
        <v>22.630780894617136</v>
      </c>
      <c r="O10" s="6">
        <f>VLOOKUP($A10,'RES installed'!$A$2:$C$7,3,FALSE)*'[1]Profiles, RES, Winter'!O$2</f>
        <v>22.812736921910538</v>
      </c>
      <c r="P10" s="6">
        <f>VLOOKUP($A10,'RES installed'!$A$2:$C$7,3,FALSE)*'[1]Profiles, RES, Winter'!P$2</f>
        <v>21.539044730856713</v>
      </c>
      <c r="Q10" s="6">
        <f>VLOOKUP($A10,'RES installed'!$A$2:$C$7,3,FALSE)*'[1]Profiles, RES, Winter'!Q$2</f>
        <v>16.125852918877939</v>
      </c>
      <c r="R10" s="6">
        <f>VLOOKUP($A10,'RES installed'!$A$2:$C$7,3,FALSE)*'[1]Profiles, RES, Winter'!R$2</f>
        <v>6.0727824109173616</v>
      </c>
      <c r="S10" s="6">
        <f>VLOOKUP($A10,'RES installed'!$A$2:$C$7,3,FALSE)*'[1]Profiles, RES, Winter'!S$2</f>
        <v>0.27293404094010615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5BE9-F0D1-4445-8605-4F4CF344826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23.610999598554798</v>
      </c>
      <c r="C5" s="9">
        <f>VLOOKUP($A5,'RES installed'!$A$2:$C$7,3,FALSE)*'[1]Profiles, RES, Winter'!C$6</f>
        <v>23.972300281011641</v>
      </c>
      <c r="D5" s="9">
        <f>VLOOKUP($A5,'RES installed'!$A$2:$C$7,3,FALSE)*'[1]Profiles, RES, Winter'!D$6</f>
        <v>24.053592934564428</v>
      </c>
      <c r="E5" s="9">
        <f>VLOOKUP($A5,'RES installed'!$A$2:$C$7,3,FALSE)*'[1]Profiles, RES, Winter'!E$6</f>
        <v>21.994179044560418</v>
      </c>
      <c r="F5" s="9">
        <f>VLOOKUP($A5,'RES installed'!$A$2:$C$7,3,FALSE)*'[1]Profiles, RES, Winter'!F$6</f>
        <v>22.698715375351266</v>
      </c>
      <c r="G5" s="9">
        <f>VLOOKUP($A5,'RES installed'!$A$2:$C$7,3,FALSE)*'[1]Profiles, RES, Winter'!G$6</f>
        <v>23.963267763950221</v>
      </c>
      <c r="H5" s="9">
        <f>VLOOKUP($A5,'RES installed'!$A$2:$C$7,3,FALSE)*'[1]Profiles, RES, Winter'!H$6</f>
        <v>24.532316338819751</v>
      </c>
      <c r="I5" s="9">
        <f>VLOOKUP($A5,'RES installed'!$A$2:$C$7,3,FALSE)*'[1]Profiles, RES, Winter'!I$6</f>
        <v>23.367121637896425</v>
      </c>
      <c r="J5" s="9">
        <f>VLOOKUP($A5,'RES installed'!$A$2:$C$7,3,FALSE)*'[1]Profiles, RES, Winter'!J$6</f>
        <v>22.238057005218788</v>
      </c>
      <c r="K5" s="9">
        <f>VLOOKUP($A5,'RES installed'!$A$2:$C$7,3,FALSE)*'[1]Profiles, RES, Winter'!K$6</f>
        <v>20.946407065435569</v>
      </c>
      <c r="L5" s="9">
        <f>VLOOKUP($A5,'RES installed'!$A$2:$C$7,3,FALSE)*'[1]Profiles, RES, Winter'!L$6</f>
        <v>19.681854676836611</v>
      </c>
      <c r="M5" s="9">
        <f>VLOOKUP($A5,'RES installed'!$A$2:$C$7,3,FALSE)*'[1]Profiles, RES, Winter'!M$6</f>
        <v>18.597952629466079</v>
      </c>
      <c r="N5" s="9">
        <f>VLOOKUP($A5,'RES installed'!$A$2:$C$7,3,FALSE)*'[1]Profiles, RES, Winter'!N$6</f>
        <v>17.143717382577279</v>
      </c>
      <c r="O5" s="9">
        <f>VLOOKUP($A5,'RES installed'!$A$2:$C$7,3,FALSE)*'[1]Profiles, RES, Winter'!O$6</f>
        <v>13.27780008028904</v>
      </c>
      <c r="P5" s="9">
        <f>VLOOKUP($A5,'RES installed'!$A$2:$C$7,3,FALSE)*'[1]Profiles, RES, Winter'!P$6</f>
        <v>12.988759534323565</v>
      </c>
      <c r="Q5" s="9">
        <f>VLOOKUP($A5,'RES installed'!$A$2:$C$7,3,FALSE)*'[1]Profiles, RES, Winter'!Q$6</f>
        <v>13.214572460859094</v>
      </c>
      <c r="R5" s="9">
        <f>VLOOKUP($A5,'RES installed'!$A$2:$C$7,3,FALSE)*'[1]Profiles, RES, Winter'!R$6</f>
        <v>16.764351665997591</v>
      </c>
      <c r="S5" s="9">
        <f>VLOOKUP($A5,'RES installed'!$A$2:$C$7,3,FALSE)*'[1]Profiles, RES, Winter'!S$6</f>
        <v>19.645724608590928</v>
      </c>
      <c r="T5" s="9">
        <f>VLOOKUP($A5,'RES installed'!$A$2:$C$7,3,FALSE)*'[1]Profiles, RES, Winter'!T$6</f>
        <v>20.928342031312724</v>
      </c>
      <c r="U5" s="9">
        <f>VLOOKUP($A5,'RES installed'!$A$2:$C$7,3,FALSE)*'[1]Profiles, RES, Winter'!U$6</f>
        <v>21.8586912886391</v>
      </c>
      <c r="V5" s="9">
        <f>VLOOKUP($A5,'RES installed'!$A$2:$C$7,3,FALSE)*'[1]Profiles, RES, Winter'!V$6</f>
        <v>22.590325170614211</v>
      </c>
      <c r="W5" s="9">
        <f>VLOOKUP($A5,'RES installed'!$A$2:$C$7,3,FALSE)*'[1]Profiles, RES, Winter'!W$6</f>
        <v>23.448414291449218</v>
      </c>
      <c r="X5" s="9">
        <f>VLOOKUP($A5,'RES installed'!$A$2:$C$7,3,FALSE)*'[1]Profiles, RES, Winter'!X$6</f>
        <v>23.005820955439585</v>
      </c>
      <c r="Y5" s="9">
        <f>VLOOKUP($A5,'RES installed'!$A$2:$C$7,3,FALSE)*'[1]Profiles, RES, Winter'!Y$6</f>
        <v>22.382577278201524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23.610999598554798</v>
      </c>
      <c r="C7" s="9">
        <f>VLOOKUP($A7,'RES installed'!$A$2:$C$7,3,FALSE)*'[1]Profiles, RES, Winter'!C$6</f>
        <v>23.972300281011641</v>
      </c>
      <c r="D7" s="9">
        <f>VLOOKUP($A7,'RES installed'!$A$2:$C$7,3,FALSE)*'[1]Profiles, RES, Winter'!D$6</f>
        <v>24.053592934564428</v>
      </c>
      <c r="E7" s="9">
        <f>VLOOKUP($A7,'RES installed'!$A$2:$C$7,3,FALSE)*'[1]Profiles, RES, Winter'!E$6</f>
        <v>21.994179044560418</v>
      </c>
      <c r="F7" s="9">
        <f>VLOOKUP($A7,'RES installed'!$A$2:$C$7,3,FALSE)*'[1]Profiles, RES, Winter'!F$6</f>
        <v>22.698715375351266</v>
      </c>
      <c r="G7" s="9">
        <f>VLOOKUP($A7,'RES installed'!$A$2:$C$7,3,FALSE)*'[1]Profiles, RES, Winter'!G$6</f>
        <v>23.963267763950221</v>
      </c>
      <c r="H7" s="9">
        <f>VLOOKUP($A7,'RES installed'!$A$2:$C$7,3,FALSE)*'[1]Profiles, RES, Winter'!H$6</f>
        <v>24.532316338819751</v>
      </c>
      <c r="I7" s="9">
        <f>VLOOKUP($A7,'RES installed'!$A$2:$C$7,3,FALSE)*'[1]Profiles, RES, Winter'!I$6</f>
        <v>23.367121637896425</v>
      </c>
      <c r="J7" s="9">
        <f>VLOOKUP($A7,'RES installed'!$A$2:$C$7,3,FALSE)*'[1]Profiles, RES, Winter'!J$6</f>
        <v>22.238057005218788</v>
      </c>
      <c r="K7" s="9">
        <f>VLOOKUP($A7,'RES installed'!$A$2:$C$7,3,FALSE)*'[1]Profiles, RES, Winter'!K$6</f>
        <v>20.946407065435569</v>
      </c>
      <c r="L7" s="9">
        <f>VLOOKUP($A7,'RES installed'!$A$2:$C$7,3,FALSE)*'[1]Profiles, RES, Winter'!L$6</f>
        <v>19.681854676836611</v>
      </c>
      <c r="M7" s="9">
        <f>VLOOKUP($A7,'RES installed'!$A$2:$C$7,3,FALSE)*'[1]Profiles, RES, Winter'!M$6</f>
        <v>18.597952629466079</v>
      </c>
      <c r="N7" s="9">
        <f>VLOOKUP($A7,'RES installed'!$A$2:$C$7,3,FALSE)*'[1]Profiles, RES, Winter'!N$6</f>
        <v>17.143717382577279</v>
      </c>
      <c r="O7" s="9">
        <f>VLOOKUP($A7,'RES installed'!$A$2:$C$7,3,FALSE)*'[1]Profiles, RES, Winter'!O$6</f>
        <v>13.27780008028904</v>
      </c>
      <c r="P7" s="9">
        <f>VLOOKUP($A7,'RES installed'!$A$2:$C$7,3,FALSE)*'[1]Profiles, RES, Winter'!P$6</f>
        <v>12.988759534323565</v>
      </c>
      <c r="Q7" s="9">
        <f>VLOOKUP($A7,'RES installed'!$A$2:$C$7,3,FALSE)*'[1]Profiles, RES, Winter'!Q$6</f>
        <v>13.214572460859094</v>
      </c>
      <c r="R7" s="9">
        <f>VLOOKUP($A7,'RES installed'!$A$2:$C$7,3,FALSE)*'[1]Profiles, RES, Winter'!R$6</f>
        <v>16.764351665997591</v>
      </c>
      <c r="S7" s="9">
        <f>VLOOKUP($A7,'RES installed'!$A$2:$C$7,3,FALSE)*'[1]Profiles, RES, Winter'!S$6</f>
        <v>19.645724608590928</v>
      </c>
      <c r="T7" s="9">
        <f>VLOOKUP($A7,'RES installed'!$A$2:$C$7,3,FALSE)*'[1]Profiles, RES, Winter'!T$6</f>
        <v>20.928342031312724</v>
      </c>
      <c r="U7" s="9">
        <f>VLOOKUP($A7,'RES installed'!$A$2:$C$7,3,FALSE)*'[1]Profiles, RES, Winter'!U$6</f>
        <v>21.8586912886391</v>
      </c>
      <c r="V7" s="9">
        <f>VLOOKUP($A7,'RES installed'!$A$2:$C$7,3,FALSE)*'[1]Profiles, RES, Winter'!V$6</f>
        <v>22.590325170614211</v>
      </c>
      <c r="W7" s="9">
        <f>VLOOKUP($A7,'RES installed'!$A$2:$C$7,3,FALSE)*'[1]Profiles, RES, Winter'!W$6</f>
        <v>23.448414291449218</v>
      </c>
      <c r="X7" s="9">
        <f>VLOOKUP($A7,'RES installed'!$A$2:$C$7,3,FALSE)*'[1]Profiles, RES, Winter'!X$6</f>
        <v>23.005820955439585</v>
      </c>
      <c r="Y7" s="9">
        <f>VLOOKUP($A7,'RES installed'!$A$2:$C$7,3,FALSE)*'[1]Profiles, RES, Winter'!Y$6</f>
        <v>22.382577278201524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5.6861258529188781E-2</v>
      </c>
      <c r="J8" s="6">
        <f>VLOOKUP($A8,'RES installed'!$A$2:$C$7,3,FALSE)*'[1]Profiles, RES, Winter'!J$3</f>
        <v>4.8616376042456411</v>
      </c>
      <c r="K8" s="6">
        <f>VLOOKUP($A8,'RES installed'!$A$2:$C$7,3,FALSE)*'[1]Profiles, RES, Winter'!K$3</f>
        <v>16.717210007581503</v>
      </c>
      <c r="L8" s="6">
        <f>VLOOKUP($A8,'RES installed'!$A$2:$C$7,3,FALSE)*'[1]Profiles, RES, Winter'!L$3</f>
        <v>25.672858225928731</v>
      </c>
      <c r="M8" s="6">
        <f>VLOOKUP($A8,'RES installed'!$A$2:$C$7,3,FALSE)*'[1]Profiles, RES, Winter'!M$3</f>
        <v>25.473843821076574</v>
      </c>
      <c r="N8" s="6">
        <f>VLOOKUP($A8,'RES installed'!$A$2:$C$7,3,FALSE)*'[1]Profiles, RES, Winter'!N$3</f>
        <v>28.316906747536013</v>
      </c>
      <c r="O8" s="6">
        <f>VLOOKUP($A8,'RES installed'!$A$2:$C$7,3,FALSE)*'[1]Profiles, RES, Winter'!O$3</f>
        <v>27.691432903714933</v>
      </c>
      <c r="P8" s="6">
        <f>VLOOKUP($A8,'RES installed'!$A$2:$C$7,3,FALSE)*'[1]Profiles, RES, Winter'!P$3</f>
        <v>23.426838514025775</v>
      </c>
      <c r="Q8" s="6">
        <f>VLOOKUP($A8,'RES installed'!$A$2:$C$7,3,FALSE)*'[1]Profiles, RES, Winter'!Q$3</f>
        <v>15.068233510235027</v>
      </c>
      <c r="R8" s="6">
        <f>VLOOKUP($A8,'RES installed'!$A$2:$C$7,3,FALSE)*'[1]Profiles, RES, Winter'!R$3</f>
        <v>4.8047763457164523</v>
      </c>
      <c r="S8" s="6">
        <f>VLOOKUP($A8,'RES installed'!$A$2:$C$7,3,FALSE)*'[1]Profiles, RES, Winter'!S$3</f>
        <v>0.28430629264594387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4.5489006823351025E-2</v>
      </c>
      <c r="J10" s="6">
        <f>VLOOKUP($A10,'RES installed'!$A$2:$C$7,3,FALSE)*'[1]Profiles, RES, Winter'!J$3</f>
        <v>3.8893100833965129</v>
      </c>
      <c r="K10" s="6">
        <f>VLOOKUP($A10,'RES installed'!$A$2:$C$7,3,FALSE)*'[1]Profiles, RES, Winter'!K$3</f>
        <v>13.373768006065202</v>
      </c>
      <c r="L10" s="6">
        <f>VLOOKUP($A10,'RES installed'!$A$2:$C$7,3,FALSE)*'[1]Profiles, RES, Winter'!L$3</f>
        <v>20.538286580742987</v>
      </c>
      <c r="M10" s="6">
        <f>VLOOKUP($A10,'RES installed'!$A$2:$C$7,3,FALSE)*'[1]Profiles, RES, Winter'!M$3</f>
        <v>20.379075056861261</v>
      </c>
      <c r="N10" s="6">
        <f>VLOOKUP($A10,'RES installed'!$A$2:$C$7,3,FALSE)*'[1]Profiles, RES, Winter'!N$3</f>
        <v>22.653525398028808</v>
      </c>
      <c r="O10" s="6">
        <f>VLOOKUP($A10,'RES installed'!$A$2:$C$7,3,FALSE)*'[1]Profiles, RES, Winter'!O$3</f>
        <v>22.153146322971946</v>
      </c>
      <c r="P10" s="6">
        <f>VLOOKUP($A10,'RES installed'!$A$2:$C$7,3,FALSE)*'[1]Profiles, RES, Winter'!P$3</f>
        <v>18.741470811220619</v>
      </c>
      <c r="Q10" s="6">
        <f>VLOOKUP($A10,'RES installed'!$A$2:$C$7,3,FALSE)*'[1]Profiles, RES, Winter'!Q$3</f>
        <v>12.05458680818802</v>
      </c>
      <c r="R10" s="6">
        <f>VLOOKUP($A10,'RES installed'!$A$2:$C$7,3,FALSE)*'[1]Profiles, RES, Winter'!R$3</f>
        <v>3.8438210765731617</v>
      </c>
      <c r="S10" s="6">
        <f>VLOOKUP($A10,'RES installed'!$A$2:$C$7,3,FALSE)*'[1]Profiles, RES, Winter'!S$3</f>
        <v>0.22744503411675512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2E7E-1977-4512-8AB6-AD858BA4704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22.608390204737056</v>
      </c>
      <c r="C5" s="9">
        <f>VLOOKUP($A5,'RES installed'!$A$2:$C$7,3,FALSE)*'[1]Profiles, RES, Winter'!C$7</f>
        <v>22.509032517061421</v>
      </c>
      <c r="D5" s="9">
        <f>VLOOKUP($A5,'RES installed'!$A$2:$C$7,3,FALSE)*'[1]Profiles, RES, Winter'!D$7</f>
        <v>21.939983942191891</v>
      </c>
      <c r="E5" s="9">
        <f>VLOOKUP($A5,'RES installed'!$A$2:$C$7,3,FALSE)*'[1]Profiles, RES, Winter'!E$7</f>
        <v>22.481934965877159</v>
      </c>
      <c r="F5" s="9">
        <f>VLOOKUP($A5,'RES installed'!$A$2:$C$7,3,FALSE)*'[1]Profiles, RES, Winter'!F$7</f>
        <v>21.84965877157768</v>
      </c>
      <c r="G5" s="9">
        <f>VLOOKUP($A5,'RES installed'!$A$2:$C$7,3,FALSE)*'[1]Profiles, RES, Winter'!G$7</f>
        <v>21.732236049779207</v>
      </c>
      <c r="H5" s="9">
        <f>VLOOKUP($A5,'RES installed'!$A$2:$C$7,3,FALSE)*'[1]Profiles, RES, Winter'!H$7</f>
        <v>22.518065034122841</v>
      </c>
      <c r="I5" s="9">
        <f>VLOOKUP($A5,'RES installed'!$A$2:$C$7,3,FALSE)*'[1]Profiles, RES, Winter'!I$7</f>
        <v>21.163187474909677</v>
      </c>
      <c r="J5" s="9">
        <f>VLOOKUP($A5,'RES installed'!$A$2:$C$7,3,FALSE)*'[1]Profiles, RES, Winter'!J$7</f>
        <v>19.483139301485345</v>
      </c>
      <c r="K5" s="9">
        <f>VLOOKUP($A5,'RES installed'!$A$2:$C$7,3,FALSE)*'[1]Profiles, RES, Winter'!K$7</f>
        <v>18.245684464070653</v>
      </c>
      <c r="L5" s="9">
        <f>VLOOKUP($A5,'RES installed'!$A$2:$C$7,3,FALSE)*'[1]Profiles, RES, Winter'!L$7</f>
        <v>16.502408671216379</v>
      </c>
      <c r="M5" s="9">
        <f>VLOOKUP($A5,'RES installed'!$A$2:$C$7,3,FALSE)*'[1]Profiles, RES, Winter'!M$7</f>
        <v>14.217181854676838</v>
      </c>
      <c r="N5" s="9">
        <f>VLOOKUP($A5,'RES installed'!$A$2:$C$7,3,FALSE)*'[1]Profiles, RES, Winter'!N$7</f>
        <v>12.817141710156562</v>
      </c>
      <c r="O5" s="9">
        <f>VLOOKUP($A5,'RES installed'!$A$2:$C$7,3,FALSE)*'[1]Profiles, RES, Winter'!O$7</f>
        <v>12.735849056603774</v>
      </c>
      <c r="P5" s="9">
        <f>VLOOKUP($A5,'RES installed'!$A$2:$C$7,3,FALSE)*'[1]Profiles, RES, Winter'!P$7</f>
        <v>14.452027298273785</v>
      </c>
      <c r="Q5" s="9">
        <f>VLOOKUP($A5,'RES installed'!$A$2:$C$7,3,FALSE)*'[1]Profiles, RES, Winter'!Q$7</f>
        <v>14.957848253713367</v>
      </c>
      <c r="R5" s="9">
        <f>VLOOKUP($A5,'RES installed'!$A$2:$C$7,3,FALSE)*'[1]Profiles, RES, Winter'!R$7</f>
        <v>16.538538739462066</v>
      </c>
      <c r="S5" s="9">
        <f>VLOOKUP($A5,'RES installed'!$A$2:$C$7,3,FALSE)*'[1]Profiles, RES, Winter'!S$7</f>
        <v>19.167001204335609</v>
      </c>
      <c r="T5" s="9">
        <f>VLOOKUP($A5,'RES installed'!$A$2:$C$7,3,FALSE)*'[1]Profiles, RES, Winter'!T$7</f>
        <v>20.847049377759937</v>
      </c>
      <c r="U5" s="9">
        <f>VLOOKUP($A5,'RES installed'!$A$2:$C$7,3,FALSE)*'[1]Profiles, RES, Winter'!U$7</f>
        <v>22.09353673223605</v>
      </c>
      <c r="V5" s="9">
        <f>VLOOKUP($A5,'RES installed'!$A$2:$C$7,3,FALSE)*'[1]Profiles, RES, Winter'!V$7</f>
        <v>22.274187073464471</v>
      </c>
      <c r="W5" s="9">
        <f>VLOOKUP($A5,'RES installed'!$A$2:$C$7,3,FALSE)*'[1]Profiles, RES, Winter'!W$7</f>
        <v>20.530911280610194</v>
      </c>
      <c r="X5" s="9">
        <f>VLOOKUP($A5,'RES installed'!$A$2:$C$7,3,FALSE)*'[1]Profiles, RES, Winter'!X$7</f>
        <v>18.932155760738659</v>
      </c>
      <c r="Y5" s="9">
        <f>VLOOKUP($A5,'RES installed'!$A$2:$C$7,3,FALSE)*'[1]Profiles, RES, Winter'!Y$7</f>
        <v>18.182456844640708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22.608390204737056</v>
      </c>
      <c r="C7" s="9">
        <f>VLOOKUP($A7,'RES installed'!$A$2:$C$7,3,FALSE)*'[1]Profiles, RES, Winter'!C$7</f>
        <v>22.509032517061421</v>
      </c>
      <c r="D7" s="9">
        <f>VLOOKUP($A7,'RES installed'!$A$2:$C$7,3,FALSE)*'[1]Profiles, RES, Winter'!D$7</f>
        <v>21.939983942191891</v>
      </c>
      <c r="E7" s="9">
        <f>VLOOKUP($A7,'RES installed'!$A$2:$C$7,3,FALSE)*'[1]Profiles, RES, Winter'!E$7</f>
        <v>22.481934965877159</v>
      </c>
      <c r="F7" s="9">
        <f>VLOOKUP($A7,'RES installed'!$A$2:$C$7,3,FALSE)*'[1]Profiles, RES, Winter'!F$7</f>
        <v>21.84965877157768</v>
      </c>
      <c r="G7" s="9">
        <f>VLOOKUP($A7,'RES installed'!$A$2:$C$7,3,FALSE)*'[1]Profiles, RES, Winter'!G$7</f>
        <v>21.732236049779207</v>
      </c>
      <c r="H7" s="9">
        <f>VLOOKUP($A7,'RES installed'!$A$2:$C$7,3,FALSE)*'[1]Profiles, RES, Winter'!H$7</f>
        <v>22.518065034122841</v>
      </c>
      <c r="I7" s="9">
        <f>VLOOKUP($A7,'RES installed'!$A$2:$C$7,3,FALSE)*'[1]Profiles, RES, Winter'!I$7</f>
        <v>21.163187474909677</v>
      </c>
      <c r="J7" s="9">
        <f>VLOOKUP($A7,'RES installed'!$A$2:$C$7,3,FALSE)*'[1]Profiles, RES, Winter'!J$7</f>
        <v>19.483139301485345</v>
      </c>
      <c r="K7" s="9">
        <f>VLOOKUP($A7,'RES installed'!$A$2:$C$7,3,FALSE)*'[1]Profiles, RES, Winter'!K$7</f>
        <v>18.245684464070653</v>
      </c>
      <c r="L7" s="9">
        <f>VLOOKUP($A7,'RES installed'!$A$2:$C$7,3,FALSE)*'[1]Profiles, RES, Winter'!L$7</f>
        <v>16.502408671216379</v>
      </c>
      <c r="M7" s="9">
        <f>VLOOKUP($A7,'RES installed'!$A$2:$C$7,3,FALSE)*'[1]Profiles, RES, Winter'!M$7</f>
        <v>14.217181854676838</v>
      </c>
      <c r="N7" s="9">
        <f>VLOOKUP($A7,'RES installed'!$A$2:$C$7,3,FALSE)*'[1]Profiles, RES, Winter'!N$7</f>
        <v>12.817141710156562</v>
      </c>
      <c r="O7" s="9">
        <f>VLOOKUP($A7,'RES installed'!$A$2:$C$7,3,FALSE)*'[1]Profiles, RES, Winter'!O$7</f>
        <v>12.735849056603774</v>
      </c>
      <c r="P7" s="9">
        <f>VLOOKUP($A7,'RES installed'!$A$2:$C$7,3,FALSE)*'[1]Profiles, RES, Winter'!P$7</f>
        <v>14.452027298273785</v>
      </c>
      <c r="Q7" s="9">
        <f>VLOOKUP($A7,'RES installed'!$A$2:$C$7,3,FALSE)*'[1]Profiles, RES, Winter'!Q$7</f>
        <v>14.957848253713367</v>
      </c>
      <c r="R7" s="9">
        <f>VLOOKUP($A7,'RES installed'!$A$2:$C$7,3,FALSE)*'[1]Profiles, RES, Winter'!R$7</f>
        <v>16.538538739462066</v>
      </c>
      <c r="S7" s="9">
        <f>VLOOKUP($A7,'RES installed'!$A$2:$C$7,3,FALSE)*'[1]Profiles, RES, Winter'!S$7</f>
        <v>19.167001204335609</v>
      </c>
      <c r="T7" s="9">
        <f>VLOOKUP($A7,'RES installed'!$A$2:$C$7,3,FALSE)*'[1]Profiles, RES, Winter'!T$7</f>
        <v>20.847049377759937</v>
      </c>
      <c r="U7" s="9">
        <f>VLOOKUP($A7,'RES installed'!$A$2:$C$7,3,FALSE)*'[1]Profiles, RES, Winter'!U$7</f>
        <v>22.09353673223605</v>
      </c>
      <c r="V7" s="9">
        <f>VLOOKUP($A7,'RES installed'!$A$2:$C$7,3,FALSE)*'[1]Profiles, RES, Winter'!V$7</f>
        <v>22.274187073464471</v>
      </c>
      <c r="W7" s="9">
        <f>VLOOKUP($A7,'RES installed'!$A$2:$C$7,3,FALSE)*'[1]Profiles, RES, Winter'!W$7</f>
        <v>20.530911280610194</v>
      </c>
      <c r="X7" s="9">
        <f>VLOOKUP($A7,'RES installed'!$A$2:$C$7,3,FALSE)*'[1]Profiles, RES, Winter'!X$7</f>
        <v>18.932155760738659</v>
      </c>
      <c r="Y7" s="9">
        <f>VLOOKUP($A7,'RES installed'!$A$2:$C$7,3,FALSE)*'[1]Profiles, RES, Winter'!Y$7</f>
        <v>18.182456844640708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2.843062926459439E-2</v>
      </c>
      <c r="J8" s="6">
        <f>VLOOKUP($A8,'RES installed'!$A$2:$C$7,3,FALSE)*'[1]Profiles, RES, Winter'!J$4</f>
        <v>2.5303260045489009</v>
      </c>
      <c r="K8" s="6">
        <f>VLOOKUP($A8,'RES installed'!$A$2:$C$7,3,FALSE)*'[1]Profiles, RES, Winter'!K$4</f>
        <v>10.860500379075058</v>
      </c>
      <c r="L8" s="6">
        <f>VLOOKUP($A8,'RES installed'!$A$2:$C$7,3,FALSE)*'[1]Profiles, RES, Winter'!L$4</f>
        <v>17.911296436694464</v>
      </c>
      <c r="M8" s="6">
        <f>VLOOKUP($A8,'RES installed'!$A$2:$C$7,3,FALSE)*'[1]Profiles, RES, Winter'!M$4</f>
        <v>20.356330553449585</v>
      </c>
      <c r="N8" s="6">
        <f>VLOOKUP($A8,'RES installed'!$A$2:$C$7,3,FALSE)*'[1]Profiles, RES, Winter'!N$4</f>
        <v>19.446550416982564</v>
      </c>
      <c r="O8" s="6">
        <f>VLOOKUP($A8,'RES installed'!$A$2:$C$7,3,FALSE)*'[1]Profiles, RES, Winter'!O$4</f>
        <v>19.816148597422291</v>
      </c>
      <c r="P8" s="6">
        <f>VLOOKUP($A8,'RES installed'!$A$2:$C$7,3,FALSE)*'[1]Profiles, RES, Winter'!P$4</f>
        <v>21.436694465504171</v>
      </c>
      <c r="Q8" s="6">
        <f>VLOOKUP($A8,'RES installed'!$A$2:$C$7,3,FALSE)*'[1]Profiles, RES, Winter'!Q$4</f>
        <v>19.531842304776344</v>
      </c>
      <c r="R8" s="6">
        <f>VLOOKUP($A8,'RES installed'!$A$2:$C$7,3,FALSE)*'[1]Profiles, RES, Winter'!R$4</f>
        <v>8.8987869598180431</v>
      </c>
      <c r="S8" s="6">
        <f>VLOOKUP($A8,'RES installed'!$A$2:$C$7,3,FALSE)*'[1]Profiles, RES, Winter'!S$4</f>
        <v>0.45489006823351025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2.2744503411675512E-2</v>
      </c>
      <c r="J10" s="6">
        <f>VLOOKUP($A10,'RES installed'!$A$2:$C$7,3,FALSE)*'[1]Profiles, RES, Winter'!J$4</f>
        <v>2.0242608036391205</v>
      </c>
      <c r="K10" s="6">
        <f>VLOOKUP($A10,'RES installed'!$A$2:$C$7,3,FALSE)*'[1]Profiles, RES, Winter'!K$4</f>
        <v>8.6884003032600461</v>
      </c>
      <c r="L10" s="6">
        <f>VLOOKUP($A10,'RES installed'!$A$2:$C$7,3,FALSE)*'[1]Profiles, RES, Winter'!L$4</f>
        <v>14.329037149355573</v>
      </c>
      <c r="M10" s="6">
        <f>VLOOKUP($A10,'RES installed'!$A$2:$C$7,3,FALSE)*'[1]Profiles, RES, Winter'!M$4</f>
        <v>16.285064442759666</v>
      </c>
      <c r="N10" s="6">
        <f>VLOOKUP($A10,'RES installed'!$A$2:$C$7,3,FALSE)*'[1]Profiles, RES, Winter'!N$4</f>
        <v>15.557240333586051</v>
      </c>
      <c r="O10" s="6">
        <f>VLOOKUP($A10,'RES installed'!$A$2:$C$7,3,FALSE)*'[1]Profiles, RES, Winter'!O$4</f>
        <v>15.852918877937832</v>
      </c>
      <c r="P10" s="6">
        <f>VLOOKUP($A10,'RES installed'!$A$2:$C$7,3,FALSE)*'[1]Profiles, RES, Winter'!P$4</f>
        <v>17.149355572403337</v>
      </c>
      <c r="Q10" s="6">
        <f>VLOOKUP($A10,'RES installed'!$A$2:$C$7,3,FALSE)*'[1]Profiles, RES, Winter'!Q$4</f>
        <v>15.625473843821075</v>
      </c>
      <c r="R10" s="6">
        <f>VLOOKUP($A10,'RES installed'!$A$2:$C$7,3,FALSE)*'[1]Profiles, RES, Winter'!R$4</f>
        <v>7.1190295678544349</v>
      </c>
      <c r="S10" s="6">
        <f>VLOOKUP($A10,'RES installed'!$A$2:$C$7,3,FALSE)*'[1]Profiles, RES, Winter'!S$4</f>
        <v>0.3639120545868082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10"/>
  <sheetViews>
    <sheetView workbookViewId="0">
      <selection activeCell="O2" sqref="L2:O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82E8-6F48-4FD6-B495-96CE5FAE95CC}">
  <dimension ref="A1:Y28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37.84339604192062</v>
      </c>
      <c r="C2" s="2">
        <f>('[1]Pc, Spring, S1'!C2*Main!$B$5)+(_xlfn.IFNA(VLOOKUP($A2,'FL Ratio'!$A$3:$B$10,2,FALSE),0)*'FL Characterization'!C$2)</f>
        <v>33.831851501711853</v>
      </c>
      <c r="D2" s="2">
        <f>('[1]Pc, Spring, S1'!D2*Main!$B$5)+(_xlfn.IFNA(VLOOKUP($A2,'FL Ratio'!$A$3:$B$10,2,FALSE),0)*'FL Characterization'!D$2)</f>
        <v>32.265982875008675</v>
      </c>
      <c r="E2" s="2">
        <f>('[1]Pc, Spring, S1'!E2*Main!$B$5)+(_xlfn.IFNA(VLOOKUP($A2,'FL Ratio'!$A$3:$B$10,2,FALSE),0)*'FL Characterization'!E$2)</f>
        <v>32.191770200172414</v>
      </c>
      <c r="F2" s="2">
        <f>('[1]Pc, Spring, S1'!F2*Main!$B$5)+(_xlfn.IFNA(VLOOKUP($A2,'FL Ratio'!$A$3:$B$10,2,FALSE),0)*'FL Characterization'!F$2)</f>
        <v>31.793284030803914</v>
      </c>
      <c r="G2" s="2">
        <f>('[1]Pc, Spring, S1'!G2*Main!$B$5)+(_xlfn.IFNA(VLOOKUP($A2,'FL Ratio'!$A$3:$B$10,2,FALSE),0)*'FL Characterization'!G$2)</f>
        <v>33.22384357425134</v>
      </c>
      <c r="H2" s="2">
        <f>('[1]Pc, Spring, S1'!H2*Main!$B$5)+(_xlfn.IFNA(VLOOKUP($A2,'FL Ratio'!$A$3:$B$10,2,FALSE),0)*'FL Characterization'!H$2)</f>
        <v>37.368769862799731</v>
      </c>
      <c r="I2" s="2">
        <f>('[1]Pc, Spring, S1'!I2*Main!$B$5)+(_xlfn.IFNA(VLOOKUP($A2,'FL Ratio'!$A$3:$B$10,2,FALSE),0)*'FL Characterization'!I$2)</f>
        <v>46.640317871037361</v>
      </c>
      <c r="J2" s="2">
        <f>('[1]Pc, Spring, S1'!J2*Main!$B$5)+(_xlfn.IFNA(VLOOKUP($A2,'FL Ratio'!$A$3:$B$10,2,FALSE),0)*'FL Characterization'!J$2)</f>
        <v>49.985800673354177</v>
      </c>
      <c r="K2" s="2">
        <f>('[1]Pc, Spring, S1'!K2*Main!$B$5)+(_xlfn.IFNA(VLOOKUP($A2,'FL Ratio'!$A$3:$B$10,2,FALSE),0)*'FL Characterization'!K$2)</f>
        <v>52.376291793056012</v>
      </c>
      <c r="L2" s="2">
        <f>('[1]Pc, Spring, S1'!L2*Main!$B$5)+(_xlfn.IFNA(VLOOKUP($A2,'FL Ratio'!$A$3:$B$10,2,FALSE),0)*'FL Characterization'!L$2)</f>
        <v>54.108044026322652</v>
      </c>
      <c r="M2" s="2">
        <f>('[1]Pc, Spring, S1'!M2*Main!$B$5)+(_xlfn.IFNA(VLOOKUP($A2,'FL Ratio'!$A$3:$B$10,2,FALSE),0)*'FL Characterization'!M$2)</f>
        <v>52.680008616141592</v>
      </c>
      <c r="N2" s="2">
        <f>('[1]Pc, Spring, S1'!N2*Main!$B$5)+(_xlfn.IFNA(VLOOKUP($A2,'FL Ratio'!$A$3:$B$10,2,FALSE),0)*'FL Characterization'!N$2)</f>
        <v>53.51185597066182</v>
      </c>
      <c r="O2" s="2">
        <f>('[1]Pc, Spring, S1'!O2*Main!$B$5)+(_xlfn.IFNA(VLOOKUP($A2,'FL Ratio'!$A$3:$B$10,2,FALSE),0)*'FL Characterization'!O$2)</f>
        <v>54.588556003370925</v>
      </c>
      <c r="P2" s="2">
        <f>('[1]Pc, Spring, S1'!P2*Main!$B$5)+(_xlfn.IFNA(VLOOKUP($A2,'FL Ratio'!$A$3:$B$10,2,FALSE),0)*'FL Characterization'!P$2)</f>
        <v>50.128286212956297</v>
      </c>
      <c r="Q2" s="2">
        <f>('[1]Pc, Spring, S1'!Q2*Main!$B$5)+(_xlfn.IFNA(VLOOKUP($A2,'FL Ratio'!$A$3:$B$10,2,FALSE),0)*'FL Characterization'!Q$2)</f>
        <v>46.255012864922001</v>
      </c>
      <c r="R2" s="2">
        <f>('[1]Pc, Spring, S1'!R2*Main!$B$5)+(_xlfn.IFNA(VLOOKUP($A2,'FL Ratio'!$A$3:$B$10,2,FALSE),0)*'FL Characterization'!R$2)</f>
        <v>48.003399327852158</v>
      </c>
      <c r="S2" s="2">
        <f>('[1]Pc, Spring, S1'!S2*Main!$B$5)+(_xlfn.IFNA(VLOOKUP($A2,'FL Ratio'!$A$3:$B$10,2,FALSE),0)*'FL Characterization'!S$2)</f>
        <v>50.452060570654176</v>
      </c>
      <c r="T2" s="2">
        <f>('[1]Pc, Spring, S1'!T2*Main!$B$5)+(_xlfn.IFNA(VLOOKUP($A2,'FL Ratio'!$A$3:$B$10,2,FALSE),0)*'FL Characterization'!T$2)</f>
        <v>53.469936928651663</v>
      </c>
      <c r="U2" s="2">
        <f>('[1]Pc, Spring, S1'!U2*Main!$B$5)+(_xlfn.IFNA(VLOOKUP($A2,'FL Ratio'!$A$3:$B$10,2,FALSE),0)*'FL Characterization'!U$2)</f>
        <v>52.532321498229706</v>
      </c>
      <c r="V2" s="2">
        <f>('[1]Pc, Spring, S1'!V2*Main!$B$5)+(_xlfn.IFNA(VLOOKUP($A2,'FL Ratio'!$A$3:$B$10,2,FALSE),0)*'FL Characterization'!V$2)</f>
        <v>50.608735828249337</v>
      </c>
      <c r="W2" s="2">
        <f>('[1]Pc, Spring, S1'!W2*Main!$B$5)+(_xlfn.IFNA(VLOOKUP($A2,'FL Ratio'!$A$3:$B$10,2,FALSE),0)*'FL Characterization'!W$2)</f>
        <v>52.449560524954123</v>
      </c>
      <c r="X2" s="2">
        <f>('[1]Pc, Spring, S1'!X2*Main!$B$5)+(_xlfn.IFNA(VLOOKUP($A2,'FL Ratio'!$A$3:$B$10,2,FALSE),0)*'FL Characterization'!X$2)</f>
        <v>43.948455633254703</v>
      </c>
      <c r="Y2" s="2">
        <f>('[1]Pc, Spring, S1'!Y2*Main!$B$5)+(_xlfn.IFNA(VLOOKUP($A2,'FL Ratio'!$A$3:$B$10,2,FALSE),0)*'FL Characterization'!Y$2)</f>
        <v>44.129905483830115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39.628173685041268</v>
      </c>
      <c r="C3" s="2">
        <f>('[1]Pc, Spring, S1'!C3*Main!$B$5)+(_xlfn.IFNA(VLOOKUP($A3,'FL Ratio'!$A$3:$B$10,2,FALSE),0)*'FL Characterization'!C$2)</f>
        <v>38.477637437196812</v>
      </c>
      <c r="D3" s="2">
        <f>('[1]Pc, Spring, S1'!D3*Main!$B$5)+(_xlfn.IFNA(VLOOKUP($A3,'FL Ratio'!$A$3:$B$10,2,FALSE),0)*'FL Characterization'!D$2)</f>
        <v>34.550007015206887</v>
      </c>
      <c r="E3" s="2">
        <f>('[1]Pc, Spring, S1'!E3*Main!$B$5)+(_xlfn.IFNA(VLOOKUP($A3,'FL Ratio'!$A$3:$B$10,2,FALSE),0)*'FL Characterization'!E$2)</f>
        <v>35.59071373825077</v>
      </c>
      <c r="F3" s="2">
        <f>('[1]Pc, Spring, S1'!F3*Main!$B$5)+(_xlfn.IFNA(VLOOKUP($A3,'FL Ratio'!$A$3:$B$10,2,FALSE),0)*'FL Characterization'!F$2)</f>
        <v>34.004422124316676</v>
      </c>
      <c r="G3" s="2">
        <f>('[1]Pc, Spring, S1'!G3*Main!$B$5)+(_xlfn.IFNA(VLOOKUP($A3,'FL Ratio'!$A$3:$B$10,2,FALSE),0)*'FL Characterization'!G$2)</f>
        <v>37.162504591431315</v>
      </c>
      <c r="H3" s="2">
        <f>('[1]Pc, Spring, S1'!H3*Main!$B$5)+(_xlfn.IFNA(VLOOKUP($A3,'FL Ratio'!$A$3:$B$10,2,FALSE),0)*'FL Characterization'!H$2)</f>
        <v>48.288796664575422</v>
      </c>
      <c r="I3" s="2">
        <f>('[1]Pc, Spring, S1'!I3*Main!$B$5)+(_xlfn.IFNA(VLOOKUP($A3,'FL Ratio'!$A$3:$B$10,2,FALSE),0)*'FL Characterization'!I$2)</f>
        <v>54.690215118600065</v>
      </c>
      <c r="J3" s="2">
        <f>('[1]Pc, Spring, S1'!J3*Main!$B$5)+(_xlfn.IFNA(VLOOKUP($A3,'FL Ratio'!$A$3:$B$10,2,FALSE),0)*'FL Characterization'!J$2)</f>
        <v>59.347033974272733</v>
      </c>
      <c r="K3" s="2">
        <f>('[1]Pc, Spring, S1'!K3*Main!$B$5)+(_xlfn.IFNA(VLOOKUP($A3,'FL Ratio'!$A$3:$B$10,2,FALSE),0)*'FL Characterization'!K$2)</f>
        <v>57.8333312198206</v>
      </c>
      <c r="L3" s="2">
        <f>('[1]Pc, Spring, S1'!L3*Main!$B$5)+(_xlfn.IFNA(VLOOKUP($A3,'FL Ratio'!$A$3:$B$10,2,FALSE),0)*'FL Characterization'!L$2)</f>
        <v>54.424502013680964</v>
      </c>
      <c r="M3" s="2">
        <f>('[1]Pc, Spring, S1'!M3*Main!$B$5)+(_xlfn.IFNA(VLOOKUP($A3,'FL Ratio'!$A$3:$B$10,2,FALSE),0)*'FL Characterization'!M$2)</f>
        <v>59.404888673570454</v>
      </c>
      <c r="N3" s="2">
        <f>('[1]Pc, Spring, S1'!N3*Main!$B$5)+(_xlfn.IFNA(VLOOKUP($A3,'FL Ratio'!$A$3:$B$10,2,FALSE),0)*'FL Characterization'!N$2)</f>
        <v>57.372334555567853</v>
      </c>
      <c r="O3" s="2">
        <f>('[1]Pc, Spring, S1'!O3*Main!$B$5)+(_xlfn.IFNA(VLOOKUP($A3,'FL Ratio'!$A$3:$B$10,2,FALSE),0)*'FL Characterization'!O$2)</f>
        <v>55.523909490096912</v>
      </c>
      <c r="P3" s="2">
        <f>('[1]Pc, Spring, S1'!P3*Main!$B$5)+(_xlfn.IFNA(VLOOKUP($A3,'FL Ratio'!$A$3:$B$10,2,FALSE),0)*'FL Characterization'!P$2)</f>
        <v>54.782607460327924</v>
      </c>
      <c r="Q3" s="2">
        <f>('[1]Pc, Spring, S1'!Q3*Main!$B$5)+(_xlfn.IFNA(VLOOKUP($A3,'FL Ratio'!$A$3:$B$10,2,FALSE),0)*'FL Characterization'!Q$2)</f>
        <v>52.598685082972636</v>
      </c>
      <c r="R3" s="2">
        <f>('[1]Pc, Spring, S1'!R3*Main!$B$5)+(_xlfn.IFNA(VLOOKUP($A3,'FL Ratio'!$A$3:$B$10,2,FALSE),0)*'FL Characterization'!R$2)</f>
        <v>48.478045644184391</v>
      </c>
      <c r="S3" s="2">
        <f>('[1]Pc, Spring, S1'!S3*Main!$B$5)+(_xlfn.IFNA(VLOOKUP($A3,'FL Ratio'!$A$3:$B$10,2,FALSE),0)*'FL Characterization'!S$2)</f>
        <v>53.625642173658179</v>
      </c>
      <c r="T3" s="2">
        <f>('[1]Pc, Spring, S1'!T3*Main!$B$5)+(_xlfn.IFNA(VLOOKUP($A3,'FL Ratio'!$A$3:$B$10,2,FALSE),0)*'FL Characterization'!T$2)</f>
        <v>53.32153663810552</v>
      </c>
      <c r="U3" s="2">
        <f>('[1]Pc, Spring, S1'!U3*Main!$B$5)+(_xlfn.IFNA(VLOOKUP($A3,'FL Ratio'!$A$3:$B$10,2,FALSE),0)*'FL Characterization'!U$2)</f>
        <v>51.672813594914729</v>
      </c>
      <c r="V3" s="2">
        <f>('[1]Pc, Spring, S1'!V3*Main!$B$5)+(_xlfn.IFNA(VLOOKUP($A3,'FL Ratio'!$A$3:$B$10,2,FALSE),0)*'FL Characterization'!V$2)</f>
        <v>49.706339105225986</v>
      </c>
      <c r="W3" s="2">
        <f>('[1]Pc, Spring, S1'!W3*Main!$B$5)+(_xlfn.IFNA(VLOOKUP($A3,'FL Ratio'!$A$3:$B$10,2,FALSE),0)*'FL Characterization'!W$2)</f>
        <v>48.66987829992906</v>
      </c>
      <c r="X3" s="2">
        <f>('[1]Pc, Spring, S1'!X3*Main!$B$5)+(_xlfn.IFNA(VLOOKUP($A3,'FL Ratio'!$A$3:$B$10,2,FALSE),0)*'FL Characterization'!X$2)</f>
        <v>46.599582199994948</v>
      </c>
      <c r="Y3" s="2">
        <f>('[1]Pc, Spring, S1'!Y3*Main!$B$5)+(_xlfn.IFNA(VLOOKUP($A3,'FL Ratio'!$A$3:$B$10,2,FALSE),0)*'FL Characterization'!Y$2)</f>
        <v>43.786842580057105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53.929121739487428</v>
      </c>
      <c r="C4" s="2">
        <f>('[1]Pc, Spring, S1'!C4*Main!$B$5)+(_xlfn.IFNA(VLOOKUP($A4,'FL Ratio'!$A$3:$B$10,2,FALSE),0)*'FL Characterization'!C$2)</f>
        <v>47.434080019472638</v>
      </c>
      <c r="D4" s="2">
        <f>('[1]Pc, Spring, S1'!D4*Main!$B$5)+(_xlfn.IFNA(VLOOKUP($A4,'FL Ratio'!$A$3:$B$10,2,FALSE),0)*'FL Characterization'!D$2)</f>
        <v>47.486091742032016</v>
      </c>
      <c r="E4" s="2">
        <f>('[1]Pc, Spring, S1'!E4*Main!$B$5)+(_xlfn.IFNA(VLOOKUP($A4,'FL Ratio'!$A$3:$B$10,2,FALSE),0)*'FL Characterization'!E$2)</f>
        <v>43.793196441522433</v>
      </c>
      <c r="F4" s="2">
        <f>('[1]Pc, Spring, S1'!F4*Main!$B$5)+(_xlfn.IFNA(VLOOKUP($A4,'FL Ratio'!$A$3:$B$10,2,FALSE),0)*'FL Characterization'!F$2)</f>
        <v>46.080907225560615</v>
      </c>
      <c r="G4" s="2">
        <f>('[1]Pc, Spring, S1'!G4*Main!$B$5)+(_xlfn.IFNA(VLOOKUP($A4,'FL Ratio'!$A$3:$B$10,2,FALSE),0)*'FL Characterization'!G$2)</f>
        <v>45.131618267417686</v>
      </c>
      <c r="H4" s="2">
        <f>('[1]Pc, Spring, S1'!H4*Main!$B$5)+(_xlfn.IFNA(VLOOKUP($A4,'FL Ratio'!$A$3:$B$10,2,FALSE),0)*'FL Characterization'!H$2)</f>
        <v>52.856749251491983</v>
      </c>
      <c r="I4" s="2">
        <f>('[1]Pc, Spring, S1'!I4*Main!$B$5)+(_xlfn.IFNA(VLOOKUP($A4,'FL Ratio'!$A$3:$B$10,2,FALSE),0)*'FL Characterization'!I$2)</f>
        <v>56.635968066676618</v>
      </c>
      <c r="J4" s="2">
        <f>('[1]Pc, Spring, S1'!J4*Main!$B$5)+(_xlfn.IFNA(VLOOKUP($A4,'FL Ratio'!$A$3:$B$10,2,FALSE),0)*'FL Characterization'!J$2)</f>
        <v>65.414553876013869</v>
      </c>
      <c r="K4" s="2">
        <f>('[1]Pc, Spring, S1'!K4*Main!$B$5)+(_xlfn.IFNA(VLOOKUP($A4,'FL Ratio'!$A$3:$B$10,2,FALSE),0)*'FL Characterization'!K$2)</f>
        <v>67.265729452727584</v>
      </c>
      <c r="L4" s="2">
        <f>('[1]Pc, Spring, S1'!L4*Main!$B$5)+(_xlfn.IFNA(VLOOKUP($A4,'FL Ratio'!$A$3:$B$10,2,FALSE),0)*'FL Characterization'!L$2)</f>
        <v>69.464384203297854</v>
      </c>
      <c r="M4" s="2">
        <f>('[1]Pc, Spring, S1'!M4*Main!$B$5)+(_xlfn.IFNA(VLOOKUP($A4,'FL Ratio'!$A$3:$B$10,2,FALSE),0)*'FL Characterization'!M$2)</f>
        <v>73.320343662538519</v>
      </c>
      <c r="N4" s="2">
        <f>('[1]Pc, Spring, S1'!N4*Main!$B$5)+(_xlfn.IFNA(VLOOKUP($A4,'FL Ratio'!$A$3:$B$10,2,FALSE),0)*'FL Characterization'!N$2)</f>
        <v>74.011517662642461</v>
      </c>
      <c r="O4" s="2">
        <f>('[1]Pc, Spring, S1'!O4*Main!$B$5)+(_xlfn.IFNA(VLOOKUP($A4,'FL Ratio'!$A$3:$B$10,2,FALSE),0)*'FL Characterization'!O$2)</f>
        <v>73.94023380624327</v>
      </c>
      <c r="P4" s="2">
        <f>('[1]Pc, Spring, S1'!P4*Main!$B$5)+(_xlfn.IFNA(VLOOKUP($A4,'FL Ratio'!$A$3:$B$10,2,FALSE),0)*'FL Characterization'!P$2)</f>
        <v>69.93955599869399</v>
      </c>
      <c r="Q4" s="2">
        <f>('[1]Pc, Spring, S1'!Q4*Main!$B$5)+(_xlfn.IFNA(VLOOKUP($A4,'FL Ratio'!$A$3:$B$10,2,FALSE),0)*'FL Characterization'!Q$2)</f>
        <v>70.635530888339204</v>
      </c>
      <c r="R4" s="2">
        <f>('[1]Pc, Spring, S1'!R4*Main!$B$5)+(_xlfn.IFNA(VLOOKUP($A4,'FL Ratio'!$A$3:$B$10,2,FALSE),0)*'FL Characterization'!R$2)</f>
        <v>69.872894047106655</v>
      </c>
      <c r="S4" s="2">
        <f>('[1]Pc, Spring, S1'!S4*Main!$B$5)+(_xlfn.IFNA(VLOOKUP($A4,'FL Ratio'!$A$3:$B$10,2,FALSE),0)*'FL Characterization'!S$2)</f>
        <v>72.754743191143604</v>
      </c>
      <c r="T4" s="2">
        <f>('[1]Pc, Spring, S1'!T4*Main!$B$5)+(_xlfn.IFNA(VLOOKUP($A4,'FL Ratio'!$A$3:$B$10,2,FALSE),0)*'FL Characterization'!T$2)</f>
        <v>72.168194931568365</v>
      </c>
      <c r="U4" s="2">
        <f>('[1]Pc, Spring, S1'!U4*Main!$B$5)+(_xlfn.IFNA(VLOOKUP($A4,'FL Ratio'!$A$3:$B$10,2,FALSE),0)*'FL Characterization'!U$2)</f>
        <v>70.49187719544247</v>
      </c>
      <c r="V4" s="2">
        <f>('[1]Pc, Spring, S1'!V4*Main!$B$5)+(_xlfn.IFNA(VLOOKUP($A4,'FL Ratio'!$A$3:$B$10,2,FALSE),0)*'FL Characterization'!V$2)</f>
        <v>69.125111419583405</v>
      </c>
      <c r="W4" s="2">
        <f>('[1]Pc, Spring, S1'!W4*Main!$B$5)+(_xlfn.IFNA(VLOOKUP($A4,'FL Ratio'!$A$3:$B$10,2,FALSE),0)*'FL Characterization'!W$2)</f>
        <v>72.087451652858789</v>
      </c>
      <c r="X4" s="2">
        <f>('[1]Pc, Spring, S1'!X4*Main!$B$5)+(_xlfn.IFNA(VLOOKUP($A4,'FL Ratio'!$A$3:$B$10,2,FALSE),0)*'FL Characterization'!X$2)</f>
        <v>68.049775232894291</v>
      </c>
      <c r="Y4" s="2">
        <f>('[1]Pc, Spring, S1'!Y4*Main!$B$5)+(_xlfn.IFNA(VLOOKUP($A4,'FL Ratio'!$A$3:$B$10,2,FALSE),0)*'FL Characterization'!Y$2)</f>
        <v>62.545485706614144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A6AE-8FD8-47E3-ACEB-AC17C2C6115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37.84339604192062</v>
      </c>
      <c r="C2" s="2">
        <f>('[1]Pc, Spring, S1'!C2*Main!$B$5)+(_xlfn.IFNA(VLOOKUP($A2,'FL Ratio'!$A$3:$B$10,2,FALSE),0)*'FL Characterization'!C$2)</f>
        <v>33.831851501711853</v>
      </c>
      <c r="D2" s="2">
        <f>('[1]Pc, Spring, S1'!D2*Main!$B$5)+(_xlfn.IFNA(VLOOKUP($A2,'FL Ratio'!$A$3:$B$10,2,FALSE),0)*'FL Characterization'!D$2)</f>
        <v>32.265982875008675</v>
      </c>
      <c r="E2" s="2">
        <f>('[1]Pc, Spring, S1'!E2*Main!$B$5)+(_xlfn.IFNA(VLOOKUP($A2,'FL Ratio'!$A$3:$B$10,2,FALSE),0)*'FL Characterization'!E$2)</f>
        <v>32.191770200172414</v>
      </c>
      <c r="F2" s="2">
        <f>('[1]Pc, Spring, S1'!F2*Main!$B$5)+(_xlfn.IFNA(VLOOKUP($A2,'FL Ratio'!$A$3:$B$10,2,FALSE),0)*'FL Characterization'!F$2)</f>
        <v>31.793284030803914</v>
      </c>
      <c r="G2" s="2">
        <f>('[1]Pc, Spring, S1'!G2*Main!$B$5)+(_xlfn.IFNA(VLOOKUP($A2,'FL Ratio'!$A$3:$B$10,2,FALSE),0)*'FL Characterization'!G$2)</f>
        <v>33.22384357425134</v>
      </c>
      <c r="H2" s="2">
        <f>('[1]Pc, Spring, S1'!H2*Main!$B$5)+(_xlfn.IFNA(VLOOKUP($A2,'FL Ratio'!$A$3:$B$10,2,FALSE),0)*'FL Characterization'!H$2)</f>
        <v>37.368769862799731</v>
      </c>
      <c r="I2" s="2">
        <f>('[1]Pc, Spring, S1'!I2*Main!$B$5)+(_xlfn.IFNA(VLOOKUP($A2,'FL Ratio'!$A$3:$B$10,2,FALSE),0)*'FL Characterization'!I$2)</f>
        <v>46.640317871037361</v>
      </c>
      <c r="J2" s="2">
        <f>('[1]Pc, Spring, S1'!J2*Main!$B$5)+(_xlfn.IFNA(VLOOKUP($A2,'FL Ratio'!$A$3:$B$10,2,FALSE),0)*'FL Characterization'!J$2)</f>
        <v>49.985800673354177</v>
      </c>
      <c r="K2" s="2">
        <f>('[1]Pc, Spring, S1'!K2*Main!$B$5)+(_xlfn.IFNA(VLOOKUP($A2,'FL Ratio'!$A$3:$B$10,2,FALSE),0)*'FL Characterization'!K$2)</f>
        <v>52.376291793056012</v>
      </c>
      <c r="L2" s="2">
        <f>('[1]Pc, Spring, S1'!L2*Main!$B$5)+(_xlfn.IFNA(VLOOKUP($A2,'FL Ratio'!$A$3:$B$10,2,FALSE),0)*'FL Characterization'!L$2)</f>
        <v>54.108044026322652</v>
      </c>
      <c r="M2" s="2">
        <f>('[1]Pc, Spring, S1'!M2*Main!$B$5)+(_xlfn.IFNA(VLOOKUP($A2,'FL Ratio'!$A$3:$B$10,2,FALSE),0)*'FL Characterization'!M$2)</f>
        <v>52.680008616141592</v>
      </c>
      <c r="N2" s="2">
        <f>('[1]Pc, Spring, S1'!N2*Main!$B$5)+(_xlfn.IFNA(VLOOKUP($A2,'FL Ratio'!$A$3:$B$10,2,FALSE),0)*'FL Characterization'!N$2)</f>
        <v>53.51185597066182</v>
      </c>
      <c r="O2" s="2">
        <f>('[1]Pc, Spring, S1'!O2*Main!$B$5)+(_xlfn.IFNA(VLOOKUP($A2,'FL Ratio'!$A$3:$B$10,2,FALSE),0)*'FL Characterization'!O$2)</f>
        <v>54.588556003370925</v>
      </c>
      <c r="P2" s="2">
        <f>('[1]Pc, Spring, S1'!P2*Main!$B$5)+(_xlfn.IFNA(VLOOKUP($A2,'FL Ratio'!$A$3:$B$10,2,FALSE),0)*'FL Characterization'!P$2)</f>
        <v>50.128286212956297</v>
      </c>
      <c r="Q2" s="2">
        <f>('[1]Pc, Spring, S1'!Q2*Main!$B$5)+(_xlfn.IFNA(VLOOKUP($A2,'FL Ratio'!$A$3:$B$10,2,FALSE),0)*'FL Characterization'!Q$2)</f>
        <v>46.255012864922001</v>
      </c>
      <c r="R2" s="2">
        <f>('[1]Pc, Spring, S1'!R2*Main!$B$5)+(_xlfn.IFNA(VLOOKUP($A2,'FL Ratio'!$A$3:$B$10,2,FALSE),0)*'FL Characterization'!R$2)</f>
        <v>48.003399327852158</v>
      </c>
      <c r="S2" s="2">
        <f>('[1]Pc, Spring, S1'!S2*Main!$B$5)+(_xlfn.IFNA(VLOOKUP($A2,'FL Ratio'!$A$3:$B$10,2,FALSE),0)*'FL Characterization'!S$2)</f>
        <v>50.452060570654176</v>
      </c>
      <c r="T2" s="2">
        <f>('[1]Pc, Spring, S1'!T2*Main!$B$5)+(_xlfn.IFNA(VLOOKUP($A2,'FL Ratio'!$A$3:$B$10,2,FALSE),0)*'FL Characterization'!T$2)</f>
        <v>53.469936928651663</v>
      </c>
      <c r="U2" s="2">
        <f>('[1]Pc, Spring, S1'!U2*Main!$B$5)+(_xlfn.IFNA(VLOOKUP($A2,'FL Ratio'!$A$3:$B$10,2,FALSE),0)*'FL Characterization'!U$2)</f>
        <v>52.532321498229706</v>
      </c>
      <c r="V2" s="2">
        <f>('[1]Pc, Spring, S1'!V2*Main!$B$5)+(_xlfn.IFNA(VLOOKUP($A2,'FL Ratio'!$A$3:$B$10,2,FALSE),0)*'FL Characterization'!V$2)</f>
        <v>50.608735828249337</v>
      </c>
      <c r="W2" s="2">
        <f>('[1]Pc, Spring, S1'!W2*Main!$B$5)+(_xlfn.IFNA(VLOOKUP($A2,'FL Ratio'!$A$3:$B$10,2,FALSE),0)*'FL Characterization'!W$2)</f>
        <v>52.449560524954123</v>
      </c>
      <c r="X2" s="2">
        <f>('[1]Pc, Spring, S1'!X2*Main!$B$5)+(_xlfn.IFNA(VLOOKUP($A2,'FL Ratio'!$A$3:$B$10,2,FALSE),0)*'FL Characterization'!X$2)</f>
        <v>43.948455633254703</v>
      </c>
      <c r="Y2" s="2">
        <f>('[1]Pc, Spring, S1'!Y2*Main!$B$5)+(_xlfn.IFNA(VLOOKUP($A2,'FL Ratio'!$A$3:$B$10,2,FALSE),0)*'FL Characterization'!Y$2)</f>
        <v>44.129905483830115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39.628173685041268</v>
      </c>
      <c r="C3" s="2">
        <f>('[1]Pc, Spring, S1'!C3*Main!$B$5)+(_xlfn.IFNA(VLOOKUP($A3,'FL Ratio'!$A$3:$B$10,2,FALSE),0)*'FL Characterization'!C$2)</f>
        <v>38.477637437196812</v>
      </c>
      <c r="D3" s="2">
        <f>('[1]Pc, Spring, S1'!D3*Main!$B$5)+(_xlfn.IFNA(VLOOKUP($A3,'FL Ratio'!$A$3:$B$10,2,FALSE),0)*'FL Characterization'!D$2)</f>
        <v>34.550007015206887</v>
      </c>
      <c r="E3" s="2">
        <f>('[1]Pc, Spring, S1'!E3*Main!$B$5)+(_xlfn.IFNA(VLOOKUP($A3,'FL Ratio'!$A$3:$B$10,2,FALSE),0)*'FL Characterization'!E$2)</f>
        <v>35.59071373825077</v>
      </c>
      <c r="F3" s="2">
        <f>('[1]Pc, Spring, S1'!F3*Main!$B$5)+(_xlfn.IFNA(VLOOKUP($A3,'FL Ratio'!$A$3:$B$10,2,FALSE),0)*'FL Characterization'!F$2)</f>
        <v>34.004422124316676</v>
      </c>
      <c r="G3" s="2">
        <f>('[1]Pc, Spring, S1'!G3*Main!$B$5)+(_xlfn.IFNA(VLOOKUP($A3,'FL Ratio'!$A$3:$B$10,2,FALSE),0)*'FL Characterization'!G$2)</f>
        <v>37.162504591431315</v>
      </c>
      <c r="H3" s="2">
        <f>('[1]Pc, Spring, S1'!H3*Main!$B$5)+(_xlfn.IFNA(VLOOKUP($A3,'FL Ratio'!$A$3:$B$10,2,FALSE),0)*'FL Characterization'!H$2)</f>
        <v>48.288796664575422</v>
      </c>
      <c r="I3" s="2">
        <f>('[1]Pc, Spring, S1'!I3*Main!$B$5)+(_xlfn.IFNA(VLOOKUP($A3,'FL Ratio'!$A$3:$B$10,2,FALSE),0)*'FL Characterization'!I$2)</f>
        <v>54.690215118600065</v>
      </c>
      <c r="J3" s="2">
        <f>('[1]Pc, Spring, S1'!J3*Main!$B$5)+(_xlfn.IFNA(VLOOKUP($A3,'FL Ratio'!$A$3:$B$10,2,FALSE),0)*'FL Characterization'!J$2)</f>
        <v>59.347033974272733</v>
      </c>
      <c r="K3" s="2">
        <f>('[1]Pc, Spring, S1'!K3*Main!$B$5)+(_xlfn.IFNA(VLOOKUP($A3,'FL Ratio'!$A$3:$B$10,2,FALSE),0)*'FL Characterization'!K$2)</f>
        <v>57.8333312198206</v>
      </c>
      <c r="L3" s="2">
        <f>('[1]Pc, Spring, S1'!L3*Main!$B$5)+(_xlfn.IFNA(VLOOKUP($A3,'FL Ratio'!$A$3:$B$10,2,FALSE),0)*'FL Characterization'!L$2)</f>
        <v>54.424502013680964</v>
      </c>
      <c r="M3" s="2">
        <f>('[1]Pc, Spring, S1'!M3*Main!$B$5)+(_xlfn.IFNA(VLOOKUP($A3,'FL Ratio'!$A$3:$B$10,2,FALSE),0)*'FL Characterization'!M$2)</f>
        <v>59.404888673570454</v>
      </c>
      <c r="N3" s="2">
        <f>('[1]Pc, Spring, S1'!N3*Main!$B$5)+(_xlfn.IFNA(VLOOKUP($A3,'FL Ratio'!$A$3:$B$10,2,FALSE),0)*'FL Characterization'!N$2)</f>
        <v>57.372334555567853</v>
      </c>
      <c r="O3" s="2">
        <f>('[1]Pc, Spring, S1'!O3*Main!$B$5)+(_xlfn.IFNA(VLOOKUP($A3,'FL Ratio'!$A$3:$B$10,2,FALSE),0)*'FL Characterization'!O$2)</f>
        <v>55.523909490096912</v>
      </c>
      <c r="P3" s="2">
        <f>('[1]Pc, Spring, S1'!P3*Main!$B$5)+(_xlfn.IFNA(VLOOKUP($A3,'FL Ratio'!$A$3:$B$10,2,FALSE),0)*'FL Characterization'!P$2)</f>
        <v>54.782607460327924</v>
      </c>
      <c r="Q3" s="2">
        <f>('[1]Pc, Spring, S1'!Q3*Main!$B$5)+(_xlfn.IFNA(VLOOKUP($A3,'FL Ratio'!$A$3:$B$10,2,FALSE),0)*'FL Characterization'!Q$2)</f>
        <v>52.598685082972636</v>
      </c>
      <c r="R3" s="2">
        <f>('[1]Pc, Spring, S1'!R3*Main!$B$5)+(_xlfn.IFNA(VLOOKUP($A3,'FL Ratio'!$A$3:$B$10,2,FALSE),0)*'FL Characterization'!R$2)</f>
        <v>48.478045644184391</v>
      </c>
      <c r="S3" s="2">
        <f>('[1]Pc, Spring, S1'!S3*Main!$B$5)+(_xlfn.IFNA(VLOOKUP($A3,'FL Ratio'!$A$3:$B$10,2,FALSE),0)*'FL Characterization'!S$2)</f>
        <v>53.625642173658179</v>
      </c>
      <c r="T3" s="2">
        <f>('[1]Pc, Spring, S1'!T3*Main!$B$5)+(_xlfn.IFNA(VLOOKUP($A3,'FL Ratio'!$A$3:$B$10,2,FALSE),0)*'FL Characterization'!T$2)</f>
        <v>53.32153663810552</v>
      </c>
      <c r="U3" s="2">
        <f>('[1]Pc, Spring, S1'!U3*Main!$B$5)+(_xlfn.IFNA(VLOOKUP($A3,'FL Ratio'!$A$3:$B$10,2,FALSE),0)*'FL Characterization'!U$2)</f>
        <v>51.672813594914729</v>
      </c>
      <c r="V3" s="2">
        <f>('[1]Pc, Spring, S1'!V3*Main!$B$5)+(_xlfn.IFNA(VLOOKUP($A3,'FL Ratio'!$A$3:$B$10,2,FALSE),0)*'FL Characterization'!V$2)</f>
        <v>49.706339105225986</v>
      </c>
      <c r="W3" s="2">
        <f>('[1]Pc, Spring, S1'!W3*Main!$B$5)+(_xlfn.IFNA(VLOOKUP($A3,'FL Ratio'!$A$3:$B$10,2,FALSE),0)*'FL Characterization'!W$2)</f>
        <v>48.66987829992906</v>
      </c>
      <c r="X3" s="2">
        <f>('[1]Pc, Spring, S1'!X3*Main!$B$5)+(_xlfn.IFNA(VLOOKUP($A3,'FL Ratio'!$A$3:$B$10,2,FALSE),0)*'FL Characterization'!X$2)</f>
        <v>46.599582199994948</v>
      </c>
      <c r="Y3" s="2">
        <f>('[1]Pc, Spring, S1'!Y3*Main!$B$5)+(_xlfn.IFNA(VLOOKUP($A3,'FL Ratio'!$A$3:$B$10,2,FALSE),0)*'FL Characterization'!Y$2)</f>
        <v>43.786842580057105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53.929121739487428</v>
      </c>
      <c r="C4" s="2">
        <f>('[1]Pc, Spring, S1'!C4*Main!$B$5)+(_xlfn.IFNA(VLOOKUP($A4,'FL Ratio'!$A$3:$B$10,2,FALSE),0)*'FL Characterization'!C$2)</f>
        <v>47.434080019472638</v>
      </c>
      <c r="D4" s="2">
        <f>('[1]Pc, Spring, S1'!D4*Main!$B$5)+(_xlfn.IFNA(VLOOKUP($A4,'FL Ratio'!$A$3:$B$10,2,FALSE),0)*'FL Characterization'!D$2)</f>
        <v>47.486091742032016</v>
      </c>
      <c r="E4" s="2">
        <f>('[1]Pc, Spring, S1'!E4*Main!$B$5)+(_xlfn.IFNA(VLOOKUP($A4,'FL Ratio'!$A$3:$B$10,2,FALSE),0)*'FL Characterization'!E$2)</f>
        <v>43.793196441522433</v>
      </c>
      <c r="F4" s="2">
        <f>('[1]Pc, Spring, S1'!F4*Main!$B$5)+(_xlfn.IFNA(VLOOKUP($A4,'FL Ratio'!$A$3:$B$10,2,FALSE),0)*'FL Characterization'!F$2)</f>
        <v>46.080907225560615</v>
      </c>
      <c r="G4" s="2">
        <f>('[1]Pc, Spring, S1'!G4*Main!$B$5)+(_xlfn.IFNA(VLOOKUP($A4,'FL Ratio'!$A$3:$B$10,2,FALSE),0)*'FL Characterization'!G$2)</f>
        <v>45.131618267417686</v>
      </c>
      <c r="H4" s="2">
        <f>('[1]Pc, Spring, S1'!H4*Main!$B$5)+(_xlfn.IFNA(VLOOKUP($A4,'FL Ratio'!$A$3:$B$10,2,FALSE),0)*'FL Characterization'!H$2)</f>
        <v>52.856749251491983</v>
      </c>
      <c r="I4" s="2">
        <f>('[1]Pc, Spring, S1'!I4*Main!$B$5)+(_xlfn.IFNA(VLOOKUP($A4,'FL Ratio'!$A$3:$B$10,2,FALSE),0)*'FL Characterization'!I$2)</f>
        <v>56.635968066676618</v>
      </c>
      <c r="J4" s="2">
        <f>('[1]Pc, Spring, S1'!J4*Main!$B$5)+(_xlfn.IFNA(VLOOKUP($A4,'FL Ratio'!$A$3:$B$10,2,FALSE),0)*'FL Characterization'!J$2)</f>
        <v>65.414553876013869</v>
      </c>
      <c r="K4" s="2">
        <f>('[1]Pc, Spring, S1'!K4*Main!$B$5)+(_xlfn.IFNA(VLOOKUP($A4,'FL Ratio'!$A$3:$B$10,2,FALSE),0)*'FL Characterization'!K$2)</f>
        <v>67.265729452727584</v>
      </c>
      <c r="L4" s="2">
        <f>('[1]Pc, Spring, S1'!L4*Main!$B$5)+(_xlfn.IFNA(VLOOKUP($A4,'FL Ratio'!$A$3:$B$10,2,FALSE),0)*'FL Characterization'!L$2)</f>
        <v>69.464384203297854</v>
      </c>
      <c r="M4" s="2">
        <f>('[1]Pc, Spring, S1'!M4*Main!$B$5)+(_xlfn.IFNA(VLOOKUP($A4,'FL Ratio'!$A$3:$B$10,2,FALSE),0)*'FL Characterization'!M$2)</f>
        <v>73.320343662538519</v>
      </c>
      <c r="N4" s="2">
        <f>('[1]Pc, Spring, S1'!N4*Main!$B$5)+(_xlfn.IFNA(VLOOKUP($A4,'FL Ratio'!$A$3:$B$10,2,FALSE),0)*'FL Characterization'!N$2)</f>
        <v>74.011517662642461</v>
      </c>
      <c r="O4" s="2">
        <f>('[1]Pc, Spring, S1'!O4*Main!$B$5)+(_xlfn.IFNA(VLOOKUP($A4,'FL Ratio'!$A$3:$B$10,2,FALSE),0)*'FL Characterization'!O$2)</f>
        <v>73.94023380624327</v>
      </c>
      <c r="P4" s="2">
        <f>('[1]Pc, Spring, S1'!P4*Main!$B$5)+(_xlfn.IFNA(VLOOKUP($A4,'FL Ratio'!$A$3:$B$10,2,FALSE),0)*'FL Characterization'!P$2)</f>
        <v>69.93955599869399</v>
      </c>
      <c r="Q4" s="2">
        <f>('[1]Pc, Spring, S1'!Q4*Main!$B$5)+(_xlfn.IFNA(VLOOKUP($A4,'FL Ratio'!$A$3:$B$10,2,FALSE),0)*'FL Characterization'!Q$2)</f>
        <v>70.635530888339204</v>
      </c>
      <c r="R4" s="2">
        <f>('[1]Pc, Spring, S1'!R4*Main!$B$5)+(_xlfn.IFNA(VLOOKUP($A4,'FL Ratio'!$A$3:$B$10,2,FALSE),0)*'FL Characterization'!R$2)</f>
        <v>69.872894047106655</v>
      </c>
      <c r="S4" s="2">
        <f>('[1]Pc, Spring, S1'!S4*Main!$B$5)+(_xlfn.IFNA(VLOOKUP($A4,'FL Ratio'!$A$3:$B$10,2,FALSE),0)*'FL Characterization'!S$2)</f>
        <v>72.754743191143604</v>
      </c>
      <c r="T4" s="2">
        <f>('[1]Pc, Spring, S1'!T4*Main!$B$5)+(_xlfn.IFNA(VLOOKUP($A4,'FL Ratio'!$A$3:$B$10,2,FALSE),0)*'FL Characterization'!T$2)</f>
        <v>72.168194931568365</v>
      </c>
      <c r="U4" s="2">
        <f>('[1]Pc, Spring, S1'!U4*Main!$B$5)+(_xlfn.IFNA(VLOOKUP($A4,'FL Ratio'!$A$3:$B$10,2,FALSE),0)*'FL Characterization'!U$2)</f>
        <v>70.49187719544247</v>
      </c>
      <c r="V4" s="2">
        <f>('[1]Pc, Spring, S1'!V4*Main!$B$5)+(_xlfn.IFNA(VLOOKUP($A4,'FL Ratio'!$A$3:$B$10,2,FALSE),0)*'FL Characterization'!V$2)</f>
        <v>69.125111419583405</v>
      </c>
      <c r="W4" s="2">
        <f>('[1]Pc, Spring, S1'!W4*Main!$B$5)+(_xlfn.IFNA(VLOOKUP($A4,'FL Ratio'!$A$3:$B$10,2,FALSE),0)*'FL Characterization'!W$2)</f>
        <v>72.087451652858789</v>
      </c>
      <c r="X4" s="2">
        <f>('[1]Pc, Spring, S1'!X4*Main!$B$5)+(_xlfn.IFNA(VLOOKUP($A4,'FL Ratio'!$A$3:$B$10,2,FALSE),0)*'FL Characterization'!X$2)</f>
        <v>68.049775232894291</v>
      </c>
      <c r="Y4" s="2">
        <f>('[1]Pc, Spring, S1'!Y4*Main!$B$5)+(_xlfn.IFNA(VLOOKUP($A4,'FL Ratio'!$A$3:$B$10,2,FALSE),0)*'FL Characterization'!Y$2)</f>
        <v>62.545485706614144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4B1F-CBF1-423B-9907-DFEE7C9E44C5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37.84339604192062</v>
      </c>
      <c r="C2" s="2">
        <f>('[1]Pc, Spring, S1'!C2*Main!$B$5)+(_xlfn.IFNA(VLOOKUP($A2,'FL Ratio'!$A$3:$B$10,2,FALSE),0)*'FL Characterization'!C$2)</f>
        <v>33.831851501711853</v>
      </c>
      <c r="D2" s="2">
        <f>('[1]Pc, Spring, S1'!D2*Main!$B$5)+(_xlfn.IFNA(VLOOKUP($A2,'FL Ratio'!$A$3:$B$10,2,FALSE),0)*'FL Characterization'!D$2)</f>
        <v>32.265982875008675</v>
      </c>
      <c r="E2" s="2">
        <f>('[1]Pc, Spring, S1'!E2*Main!$B$5)+(_xlfn.IFNA(VLOOKUP($A2,'FL Ratio'!$A$3:$B$10,2,FALSE),0)*'FL Characterization'!E$2)</f>
        <v>32.191770200172414</v>
      </c>
      <c r="F2" s="2">
        <f>('[1]Pc, Spring, S1'!F2*Main!$B$5)+(_xlfn.IFNA(VLOOKUP($A2,'FL Ratio'!$A$3:$B$10,2,FALSE),0)*'FL Characterization'!F$2)</f>
        <v>31.793284030803914</v>
      </c>
      <c r="G2" s="2">
        <f>('[1]Pc, Spring, S1'!G2*Main!$B$5)+(_xlfn.IFNA(VLOOKUP($A2,'FL Ratio'!$A$3:$B$10,2,FALSE),0)*'FL Characterization'!G$2)</f>
        <v>33.22384357425134</v>
      </c>
      <c r="H2" s="2">
        <f>('[1]Pc, Spring, S1'!H2*Main!$B$5)+(_xlfn.IFNA(VLOOKUP($A2,'FL Ratio'!$A$3:$B$10,2,FALSE),0)*'FL Characterization'!H$2)</f>
        <v>37.368769862799731</v>
      </c>
      <c r="I2" s="2">
        <f>('[1]Pc, Spring, S1'!I2*Main!$B$5)+(_xlfn.IFNA(VLOOKUP($A2,'FL Ratio'!$A$3:$B$10,2,FALSE),0)*'FL Characterization'!I$2)</f>
        <v>46.640317871037361</v>
      </c>
      <c r="J2" s="2">
        <f>('[1]Pc, Spring, S1'!J2*Main!$B$5)+(_xlfn.IFNA(VLOOKUP($A2,'FL Ratio'!$A$3:$B$10,2,FALSE),0)*'FL Characterization'!J$2)</f>
        <v>49.985800673354177</v>
      </c>
      <c r="K2" s="2">
        <f>('[1]Pc, Spring, S1'!K2*Main!$B$5)+(_xlfn.IFNA(VLOOKUP($A2,'FL Ratio'!$A$3:$B$10,2,FALSE),0)*'FL Characterization'!K$2)</f>
        <v>52.376291793056012</v>
      </c>
      <c r="L2" s="2">
        <f>('[1]Pc, Spring, S1'!L2*Main!$B$5)+(_xlfn.IFNA(VLOOKUP($A2,'FL Ratio'!$A$3:$B$10,2,FALSE),0)*'FL Characterization'!L$2)</f>
        <v>54.108044026322652</v>
      </c>
      <c r="M2" s="2">
        <f>('[1]Pc, Spring, S1'!M2*Main!$B$5)+(_xlfn.IFNA(VLOOKUP($A2,'FL Ratio'!$A$3:$B$10,2,FALSE),0)*'FL Characterization'!M$2)</f>
        <v>52.680008616141592</v>
      </c>
      <c r="N2" s="2">
        <f>('[1]Pc, Spring, S1'!N2*Main!$B$5)+(_xlfn.IFNA(VLOOKUP($A2,'FL Ratio'!$A$3:$B$10,2,FALSE),0)*'FL Characterization'!N$2)</f>
        <v>53.51185597066182</v>
      </c>
      <c r="O2" s="2">
        <f>('[1]Pc, Spring, S1'!O2*Main!$B$5)+(_xlfn.IFNA(VLOOKUP($A2,'FL Ratio'!$A$3:$B$10,2,FALSE),0)*'FL Characterization'!O$2)</f>
        <v>54.588556003370925</v>
      </c>
      <c r="P2" s="2">
        <f>('[1]Pc, Spring, S1'!P2*Main!$B$5)+(_xlfn.IFNA(VLOOKUP($A2,'FL Ratio'!$A$3:$B$10,2,FALSE),0)*'FL Characterization'!P$2)</f>
        <v>50.128286212956297</v>
      </c>
      <c r="Q2" s="2">
        <f>('[1]Pc, Spring, S1'!Q2*Main!$B$5)+(_xlfn.IFNA(VLOOKUP($A2,'FL Ratio'!$A$3:$B$10,2,FALSE),0)*'FL Characterization'!Q$2)</f>
        <v>46.255012864922001</v>
      </c>
      <c r="R2" s="2">
        <f>('[1]Pc, Spring, S1'!R2*Main!$B$5)+(_xlfn.IFNA(VLOOKUP($A2,'FL Ratio'!$A$3:$B$10,2,FALSE),0)*'FL Characterization'!R$2)</f>
        <v>48.003399327852158</v>
      </c>
      <c r="S2" s="2">
        <f>('[1]Pc, Spring, S1'!S2*Main!$B$5)+(_xlfn.IFNA(VLOOKUP($A2,'FL Ratio'!$A$3:$B$10,2,FALSE),0)*'FL Characterization'!S$2)</f>
        <v>50.452060570654176</v>
      </c>
      <c r="T2" s="2">
        <f>('[1]Pc, Spring, S1'!T2*Main!$B$5)+(_xlfn.IFNA(VLOOKUP($A2,'FL Ratio'!$A$3:$B$10,2,FALSE),0)*'FL Characterization'!T$2)</f>
        <v>53.469936928651663</v>
      </c>
      <c r="U2" s="2">
        <f>('[1]Pc, Spring, S1'!U2*Main!$B$5)+(_xlfn.IFNA(VLOOKUP($A2,'FL Ratio'!$A$3:$B$10,2,FALSE),0)*'FL Characterization'!U$2)</f>
        <v>52.532321498229706</v>
      </c>
      <c r="V2" s="2">
        <f>('[1]Pc, Spring, S1'!V2*Main!$B$5)+(_xlfn.IFNA(VLOOKUP($A2,'FL Ratio'!$A$3:$B$10,2,FALSE),0)*'FL Characterization'!V$2)</f>
        <v>50.608735828249337</v>
      </c>
      <c r="W2" s="2">
        <f>('[1]Pc, Spring, S1'!W2*Main!$B$5)+(_xlfn.IFNA(VLOOKUP($A2,'FL Ratio'!$A$3:$B$10,2,FALSE),0)*'FL Characterization'!W$2)</f>
        <v>52.449560524954123</v>
      </c>
      <c r="X2" s="2">
        <f>('[1]Pc, Spring, S1'!X2*Main!$B$5)+(_xlfn.IFNA(VLOOKUP($A2,'FL Ratio'!$A$3:$B$10,2,FALSE),0)*'FL Characterization'!X$2)</f>
        <v>43.948455633254703</v>
      </c>
      <c r="Y2" s="2">
        <f>('[1]Pc, Spring, S1'!Y2*Main!$B$5)+(_xlfn.IFNA(VLOOKUP($A2,'FL Ratio'!$A$3:$B$10,2,FALSE),0)*'FL Characterization'!Y$2)</f>
        <v>44.129905483830115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39.628173685041268</v>
      </c>
      <c r="C3" s="2">
        <f>('[1]Pc, Spring, S1'!C3*Main!$B$5)+(_xlfn.IFNA(VLOOKUP($A3,'FL Ratio'!$A$3:$B$10,2,FALSE),0)*'FL Characterization'!C$2)</f>
        <v>38.477637437196812</v>
      </c>
      <c r="D3" s="2">
        <f>('[1]Pc, Spring, S1'!D3*Main!$B$5)+(_xlfn.IFNA(VLOOKUP($A3,'FL Ratio'!$A$3:$B$10,2,FALSE),0)*'FL Characterization'!D$2)</f>
        <v>34.550007015206887</v>
      </c>
      <c r="E3" s="2">
        <f>('[1]Pc, Spring, S1'!E3*Main!$B$5)+(_xlfn.IFNA(VLOOKUP($A3,'FL Ratio'!$A$3:$B$10,2,FALSE),0)*'FL Characterization'!E$2)</f>
        <v>35.59071373825077</v>
      </c>
      <c r="F3" s="2">
        <f>('[1]Pc, Spring, S1'!F3*Main!$B$5)+(_xlfn.IFNA(VLOOKUP($A3,'FL Ratio'!$A$3:$B$10,2,FALSE),0)*'FL Characterization'!F$2)</f>
        <v>34.004422124316676</v>
      </c>
      <c r="G3" s="2">
        <f>('[1]Pc, Spring, S1'!G3*Main!$B$5)+(_xlfn.IFNA(VLOOKUP($A3,'FL Ratio'!$A$3:$B$10,2,FALSE),0)*'FL Characterization'!G$2)</f>
        <v>37.162504591431315</v>
      </c>
      <c r="H3" s="2">
        <f>('[1]Pc, Spring, S1'!H3*Main!$B$5)+(_xlfn.IFNA(VLOOKUP($A3,'FL Ratio'!$A$3:$B$10,2,FALSE),0)*'FL Characterization'!H$2)</f>
        <v>48.288796664575422</v>
      </c>
      <c r="I3" s="2">
        <f>('[1]Pc, Spring, S1'!I3*Main!$B$5)+(_xlfn.IFNA(VLOOKUP($A3,'FL Ratio'!$A$3:$B$10,2,FALSE),0)*'FL Characterization'!I$2)</f>
        <v>54.690215118600065</v>
      </c>
      <c r="J3" s="2">
        <f>('[1]Pc, Spring, S1'!J3*Main!$B$5)+(_xlfn.IFNA(VLOOKUP($A3,'FL Ratio'!$A$3:$B$10,2,FALSE),0)*'FL Characterization'!J$2)</f>
        <v>59.347033974272733</v>
      </c>
      <c r="K3" s="2">
        <f>('[1]Pc, Spring, S1'!K3*Main!$B$5)+(_xlfn.IFNA(VLOOKUP($A3,'FL Ratio'!$A$3:$B$10,2,FALSE),0)*'FL Characterization'!K$2)</f>
        <v>57.8333312198206</v>
      </c>
      <c r="L3" s="2">
        <f>('[1]Pc, Spring, S1'!L3*Main!$B$5)+(_xlfn.IFNA(VLOOKUP($A3,'FL Ratio'!$A$3:$B$10,2,FALSE),0)*'FL Characterization'!L$2)</f>
        <v>54.424502013680964</v>
      </c>
      <c r="M3" s="2">
        <f>('[1]Pc, Spring, S1'!M3*Main!$B$5)+(_xlfn.IFNA(VLOOKUP($A3,'FL Ratio'!$A$3:$B$10,2,FALSE),0)*'FL Characterization'!M$2)</f>
        <v>59.404888673570454</v>
      </c>
      <c r="N3" s="2">
        <f>('[1]Pc, Spring, S1'!N3*Main!$B$5)+(_xlfn.IFNA(VLOOKUP($A3,'FL Ratio'!$A$3:$B$10,2,FALSE),0)*'FL Characterization'!N$2)</f>
        <v>57.372334555567853</v>
      </c>
      <c r="O3" s="2">
        <f>('[1]Pc, Spring, S1'!O3*Main!$B$5)+(_xlfn.IFNA(VLOOKUP($A3,'FL Ratio'!$A$3:$B$10,2,FALSE),0)*'FL Characterization'!O$2)</f>
        <v>55.523909490096912</v>
      </c>
      <c r="P3" s="2">
        <f>('[1]Pc, Spring, S1'!P3*Main!$B$5)+(_xlfn.IFNA(VLOOKUP($A3,'FL Ratio'!$A$3:$B$10,2,FALSE),0)*'FL Characterization'!P$2)</f>
        <v>54.782607460327924</v>
      </c>
      <c r="Q3" s="2">
        <f>('[1]Pc, Spring, S1'!Q3*Main!$B$5)+(_xlfn.IFNA(VLOOKUP($A3,'FL Ratio'!$A$3:$B$10,2,FALSE),0)*'FL Characterization'!Q$2)</f>
        <v>52.598685082972636</v>
      </c>
      <c r="R3" s="2">
        <f>('[1]Pc, Spring, S1'!R3*Main!$B$5)+(_xlfn.IFNA(VLOOKUP($A3,'FL Ratio'!$A$3:$B$10,2,FALSE),0)*'FL Characterization'!R$2)</f>
        <v>48.478045644184391</v>
      </c>
      <c r="S3" s="2">
        <f>('[1]Pc, Spring, S1'!S3*Main!$B$5)+(_xlfn.IFNA(VLOOKUP($A3,'FL Ratio'!$A$3:$B$10,2,FALSE),0)*'FL Characterization'!S$2)</f>
        <v>53.625642173658179</v>
      </c>
      <c r="T3" s="2">
        <f>('[1]Pc, Spring, S1'!T3*Main!$B$5)+(_xlfn.IFNA(VLOOKUP($A3,'FL Ratio'!$A$3:$B$10,2,FALSE),0)*'FL Characterization'!T$2)</f>
        <v>53.32153663810552</v>
      </c>
      <c r="U3" s="2">
        <f>('[1]Pc, Spring, S1'!U3*Main!$B$5)+(_xlfn.IFNA(VLOOKUP($A3,'FL Ratio'!$A$3:$B$10,2,FALSE),0)*'FL Characterization'!U$2)</f>
        <v>51.672813594914729</v>
      </c>
      <c r="V3" s="2">
        <f>('[1]Pc, Spring, S1'!V3*Main!$B$5)+(_xlfn.IFNA(VLOOKUP($A3,'FL Ratio'!$A$3:$B$10,2,FALSE),0)*'FL Characterization'!V$2)</f>
        <v>49.706339105225986</v>
      </c>
      <c r="W3" s="2">
        <f>('[1]Pc, Spring, S1'!W3*Main!$B$5)+(_xlfn.IFNA(VLOOKUP($A3,'FL Ratio'!$A$3:$B$10,2,FALSE),0)*'FL Characterization'!W$2)</f>
        <v>48.66987829992906</v>
      </c>
      <c r="X3" s="2">
        <f>('[1]Pc, Spring, S1'!X3*Main!$B$5)+(_xlfn.IFNA(VLOOKUP($A3,'FL Ratio'!$A$3:$B$10,2,FALSE),0)*'FL Characterization'!X$2)</f>
        <v>46.599582199994948</v>
      </c>
      <c r="Y3" s="2">
        <f>('[1]Pc, Spring, S1'!Y3*Main!$B$5)+(_xlfn.IFNA(VLOOKUP($A3,'FL Ratio'!$A$3:$B$10,2,FALSE),0)*'FL Characterization'!Y$2)</f>
        <v>43.786842580057105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53.929121739487428</v>
      </c>
      <c r="C4" s="2">
        <f>('[1]Pc, Spring, S1'!C4*Main!$B$5)+(_xlfn.IFNA(VLOOKUP($A4,'FL Ratio'!$A$3:$B$10,2,FALSE),0)*'FL Characterization'!C$2)</f>
        <v>47.434080019472638</v>
      </c>
      <c r="D4" s="2">
        <f>('[1]Pc, Spring, S1'!D4*Main!$B$5)+(_xlfn.IFNA(VLOOKUP($A4,'FL Ratio'!$A$3:$B$10,2,FALSE),0)*'FL Characterization'!D$2)</f>
        <v>47.486091742032016</v>
      </c>
      <c r="E4" s="2">
        <f>('[1]Pc, Spring, S1'!E4*Main!$B$5)+(_xlfn.IFNA(VLOOKUP($A4,'FL Ratio'!$A$3:$B$10,2,FALSE),0)*'FL Characterization'!E$2)</f>
        <v>43.793196441522433</v>
      </c>
      <c r="F4" s="2">
        <f>('[1]Pc, Spring, S1'!F4*Main!$B$5)+(_xlfn.IFNA(VLOOKUP($A4,'FL Ratio'!$A$3:$B$10,2,FALSE),0)*'FL Characterization'!F$2)</f>
        <v>46.080907225560615</v>
      </c>
      <c r="G4" s="2">
        <f>('[1]Pc, Spring, S1'!G4*Main!$B$5)+(_xlfn.IFNA(VLOOKUP($A4,'FL Ratio'!$A$3:$B$10,2,FALSE),0)*'FL Characterization'!G$2)</f>
        <v>45.131618267417686</v>
      </c>
      <c r="H4" s="2">
        <f>('[1]Pc, Spring, S1'!H4*Main!$B$5)+(_xlfn.IFNA(VLOOKUP($A4,'FL Ratio'!$A$3:$B$10,2,FALSE),0)*'FL Characterization'!H$2)</f>
        <v>52.856749251491983</v>
      </c>
      <c r="I4" s="2">
        <f>('[1]Pc, Spring, S1'!I4*Main!$B$5)+(_xlfn.IFNA(VLOOKUP($A4,'FL Ratio'!$A$3:$B$10,2,FALSE),0)*'FL Characterization'!I$2)</f>
        <v>56.635968066676618</v>
      </c>
      <c r="J4" s="2">
        <f>('[1]Pc, Spring, S1'!J4*Main!$B$5)+(_xlfn.IFNA(VLOOKUP($A4,'FL Ratio'!$A$3:$B$10,2,FALSE),0)*'FL Characterization'!J$2)</f>
        <v>65.414553876013869</v>
      </c>
      <c r="K4" s="2">
        <f>('[1]Pc, Spring, S1'!K4*Main!$B$5)+(_xlfn.IFNA(VLOOKUP($A4,'FL Ratio'!$A$3:$B$10,2,FALSE),0)*'FL Characterization'!K$2)</f>
        <v>67.265729452727584</v>
      </c>
      <c r="L4" s="2">
        <f>('[1]Pc, Spring, S1'!L4*Main!$B$5)+(_xlfn.IFNA(VLOOKUP($A4,'FL Ratio'!$A$3:$B$10,2,FALSE),0)*'FL Characterization'!L$2)</f>
        <v>69.464384203297854</v>
      </c>
      <c r="M4" s="2">
        <f>('[1]Pc, Spring, S1'!M4*Main!$B$5)+(_xlfn.IFNA(VLOOKUP($A4,'FL Ratio'!$A$3:$B$10,2,FALSE),0)*'FL Characterization'!M$2)</f>
        <v>73.320343662538519</v>
      </c>
      <c r="N4" s="2">
        <f>('[1]Pc, Spring, S1'!N4*Main!$B$5)+(_xlfn.IFNA(VLOOKUP($A4,'FL Ratio'!$A$3:$B$10,2,FALSE),0)*'FL Characterization'!N$2)</f>
        <v>74.011517662642461</v>
      </c>
      <c r="O4" s="2">
        <f>('[1]Pc, Spring, S1'!O4*Main!$B$5)+(_xlfn.IFNA(VLOOKUP($A4,'FL Ratio'!$A$3:$B$10,2,FALSE),0)*'FL Characterization'!O$2)</f>
        <v>73.94023380624327</v>
      </c>
      <c r="P4" s="2">
        <f>('[1]Pc, Spring, S1'!P4*Main!$B$5)+(_xlfn.IFNA(VLOOKUP($A4,'FL Ratio'!$A$3:$B$10,2,FALSE),0)*'FL Characterization'!P$2)</f>
        <v>69.93955599869399</v>
      </c>
      <c r="Q4" s="2">
        <f>('[1]Pc, Spring, S1'!Q4*Main!$B$5)+(_xlfn.IFNA(VLOOKUP($A4,'FL Ratio'!$A$3:$B$10,2,FALSE),0)*'FL Characterization'!Q$2)</f>
        <v>70.635530888339204</v>
      </c>
      <c r="R4" s="2">
        <f>('[1]Pc, Spring, S1'!R4*Main!$B$5)+(_xlfn.IFNA(VLOOKUP($A4,'FL Ratio'!$A$3:$B$10,2,FALSE),0)*'FL Characterization'!R$2)</f>
        <v>69.872894047106655</v>
      </c>
      <c r="S4" s="2">
        <f>('[1]Pc, Spring, S1'!S4*Main!$B$5)+(_xlfn.IFNA(VLOOKUP($A4,'FL Ratio'!$A$3:$B$10,2,FALSE),0)*'FL Characterization'!S$2)</f>
        <v>72.754743191143604</v>
      </c>
      <c r="T4" s="2">
        <f>('[1]Pc, Spring, S1'!T4*Main!$B$5)+(_xlfn.IFNA(VLOOKUP($A4,'FL Ratio'!$A$3:$B$10,2,FALSE),0)*'FL Characterization'!T$2)</f>
        <v>72.168194931568365</v>
      </c>
      <c r="U4" s="2">
        <f>('[1]Pc, Spring, S1'!U4*Main!$B$5)+(_xlfn.IFNA(VLOOKUP($A4,'FL Ratio'!$A$3:$B$10,2,FALSE),0)*'FL Characterization'!U$2)</f>
        <v>70.49187719544247</v>
      </c>
      <c r="V4" s="2">
        <f>('[1]Pc, Spring, S1'!V4*Main!$B$5)+(_xlfn.IFNA(VLOOKUP($A4,'FL Ratio'!$A$3:$B$10,2,FALSE),0)*'FL Characterization'!V$2)</f>
        <v>69.125111419583405</v>
      </c>
      <c r="W4" s="2">
        <f>('[1]Pc, Spring, S1'!W4*Main!$B$5)+(_xlfn.IFNA(VLOOKUP($A4,'FL Ratio'!$A$3:$B$10,2,FALSE),0)*'FL Characterization'!W$2)</f>
        <v>72.087451652858789</v>
      </c>
      <c r="X4" s="2">
        <f>('[1]Pc, Spring, S1'!X4*Main!$B$5)+(_xlfn.IFNA(VLOOKUP($A4,'FL Ratio'!$A$3:$B$10,2,FALSE),0)*'FL Characterization'!X$2)</f>
        <v>68.049775232894291</v>
      </c>
      <c r="Y4" s="2">
        <f>('[1]Pc, Spring, S1'!Y4*Main!$B$5)+(_xlfn.IFNA(VLOOKUP($A4,'FL Ratio'!$A$3:$B$10,2,FALSE),0)*'FL Characterization'!Y$2)</f>
        <v>62.545485706614144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6CD5-359B-48BB-A2E5-55802D9FB14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38.978697923178238</v>
      </c>
      <c r="C2" s="2">
        <f>('[1]Pc, Spring, S2'!C2*Main!$B$5)+(_xlfn.IFNA(VLOOKUP($A2,'FL Ratio'!$A$3:$B$10,2,FALSE),0)*'FL Characterization'!C$2)</f>
        <v>34.84680704676321</v>
      </c>
      <c r="D2" s="2">
        <f>('[1]Pc, Spring, S2'!D2*Main!$B$5)+(_xlfn.IFNA(VLOOKUP($A2,'FL Ratio'!$A$3:$B$10,2,FALSE),0)*'FL Characterization'!D$2)</f>
        <v>33.233962361258939</v>
      </c>
      <c r="E2" s="2">
        <f>('[1]Pc, Spring, S2'!E2*Main!$B$5)+(_xlfn.IFNA(VLOOKUP($A2,'FL Ratio'!$A$3:$B$10,2,FALSE),0)*'FL Characterization'!E$2)</f>
        <v>33.157523306177588</v>
      </c>
      <c r="F2" s="2">
        <f>('[1]Pc, Spring, S2'!F2*Main!$B$5)+(_xlfn.IFNA(VLOOKUP($A2,'FL Ratio'!$A$3:$B$10,2,FALSE),0)*'FL Characterization'!F$2)</f>
        <v>32.747082551728035</v>
      </c>
      <c r="G2" s="2">
        <f>('[1]Pc, Spring, S2'!G2*Main!$B$5)+(_xlfn.IFNA(VLOOKUP($A2,'FL Ratio'!$A$3:$B$10,2,FALSE),0)*'FL Characterization'!G$2)</f>
        <v>34.22055888147888</v>
      </c>
      <c r="H2" s="2">
        <f>('[1]Pc, Spring, S2'!H2*Main!$B$5)+(_xlfn.IFNA(VLOOKUP($A2,'FL Ratio'!$A$3:$B$10,2,FALSE),0)*'FL Characterization'!H$2)</f>
        <v>38.489832958683721</v>
      </c>
      <c r="I2" s="2">
        <f>('[1]Pc, Spring, S2'!I2*Main!$B$5)+(_xlfn.IFNA(VLOOKUP($A2,'FL Ratio'!$A$3:$B$10,2,FALSE),0)*'FL Characterization'!I$2)</f>
        <v>48.039527407168478</v>
      </c>
      <c r="J2" s="2">
        <f>('[1]Pc, Spring, S2'!J2*Main!$B$5)+(_xlfn.IFNA(VLOOKUP($A2,'FL Ratio'!$A$3:$B$10,2,FALSE),0)*'FL Characterization'!J$2)</f>
        <v>51.485374693554796</v>
      </c>
      <c r="K2" s="2">
        <f>('[1]Pc, Spring, S2'!K2*Main!$B$5)+(_xlfn.IFNA(VLOOKUP($A2,'FL Ratio'!$A$3:$B$10,2,FALSE),0)*'FL Characterization'!K$2)</f>
        <v>53.947580546847696</v>
      </c>
      <c r="L2" s="2">
        <f>('[1]Pc, Spring, S2'!L2*Main!$B$5)+(_xlfn.IFNA(VLOOKUP($A2,'FL Ratio'!$A$3:$B$10,2,FALSE),0)*'FL Characterization'!L$2)</f>
        <v>55.731285347112333</v>
      </c>
      <c r="M2" s="2">
        <f>('[1]Pc, Spring, S2'!M2*Main!$B$5)+(_xlfn.IFNA(VLOOKUP($A2,'FL Ratio'!$A$3:$B$10,2,FALSE),0)*'FL Characterization'!M$2)</f>
        <v>54.260408874625853</v>
      </c>
      <c r="N2" s="2">
        <f>('[1]Pc, Spring, S2'!N2*Main!$B$5)+(_xlfn.IFNA(VLOOKUP($A2,'FL Ratio'!$A$3:$B$10,2,FALSE),0)*'FL Characterization'!N$2)</f>
        <v>55.11721164978168</v>
      </c>
      <c r="O2" s="2">
        <f>('[1]Pc, Spring, S2'!O2*Main!$B$5)+(_xlfn.IFNA(VLOOKUP($A2,'FL Ratio'!$A$3:$B$10,2,FALSE),0)*'FL Characterization'!O$2)</f>
        <v>56.226212683472049</v>
      </c>
      <c r="P2" s="2">
        <f>('[1]Pc, Spring, S2'!P2*Main!$B$5)+(_xlfn.IFNA(VLOOKUP($A2,'FL Ratio'!$A$3:$B$10,2,FALSE),0)*'FL Characterization'!P$2)</f>
        <v>51.632134799344989</v>
      </c>
      <c r="Q2" s="2">
        <f>('[1]Pc, Spring, S2'!Q2*Main!$B$5)+(_xlfn.IFNA(VLOOKUP($A2,'FL Ratio'!$A$3:$B$10,2,FALSE),0)*'FL Characterization'!Q$2)</f>
        <v>47.642663250869667</v>
      </c>
      <c r="R2" s="2">
        <f>('[1]Pc, Spring, S2'!R2*Main!$B$5)+(_xlfn.IFNA(VLOOKUP($A2,'FL Ratio'!$A$3:$B$10,2,FALSE),0)*'FL Characterization'!R$2)</f>
        <v>49.443501307687718</v>
      </c>
      <c r="S2" s="2">
        <f>('[1]Pc, Spring, S2'!S2*Main!$B$5)+(_xlfn.IFNA(VLOOKUP($A2,'FL Ratio'!$A$3:$B$10,2,FALSE),0)*'FL Characterization'!S$2)</f>
        <v>51.965622387773799</v>
      </c>
      <c r="T2" s="2">
        <f>('[1]Pc, Spring, S2'!T2*Main!$B$5)+(_xlfn.IFNA(VLOOKUP($A2,'FL Ratio'!$A$3:$B$10,2,FALSE),0)*'FL Characterization'!T$2)</f>
        <v>55.074035036511219</v>
      </c>
      <c r="U2" s="2">
        <f>('[1]Pc, Spring, S2'!U2*Main!$B$5)+(_xlfn.IFNA(VLOOKUP($A2,'FL Ratio'!$A$3:$B$10,2,FALSE),0)*'FL Characterization'!U$2)</f>
        <v>54.108291143176594</v>
      </c>
      <c r="V2" s="2">
        <f>('[1]Pc, Spring, S2'!V2*Main!$B$5)+(_xlfn.IFNA(VLOOKUP($A2,'FL Ratio'!$A$3:$B$10,2,FALSE),0)*'FL Characterization'!V$2)</f>
        <v>52.126997903096814</v>
      </c>
      <c r="W2" s="2">
        <f>('[1]Pc, Spring, S2'!W2*Main!$B$5)+(_xlfn.IFNA(VLOOKUP($A2,'FL Ratio'!$A$3:$B$10,2,FALSE),0)*'FL Characterization'!W$2)</f>
        <v>54.023047340702746</v>
      </c>
      <c r="X2" s="2">
        <f>('[1]Pc, Spring, S2'!X2*Main!$B$5)+(_xlfn.IFNA(VLOOKUP($A2,'FL Ratio'!$A$3:$B$10,2,FALSE),0)*'FL Characterization'!X$2)</f>
        <v>45.266909302252337</v>
      </c>
      <c r="Y2" s="2">
        <f>('[1]Pc, Spring, S2'!Y2*Main!$B$5)+(_xlfn.IFNA(VLOOKUP($A2,'FL Ratio'!$A$3:$B$10,2,FALSE),0)*'FL Characterization'!Y$2)</f>
        <v>45.453802648345025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40.728094693007229</v>
      </c>
      <c r="C3" s="2">
        <f>('[1]Pc, Spring, S2'!C3*Main!$B$5)+(_xlfn.IFNA(VLOOKUP($A3,'FL Ratio'!$A$3:$B$10,2,FALSE),0)*'FL Characterization'!C$2)</f>
        <v>39.540076047170125</v>
      </c>
      <c r="D3" s="2">
        <f>('[1]Pc, Spring, S2'!D3*Main!$B$5)+(_xlfn.IFNA(VLOOKUP($A3,'FL Ratio'!$A$3:$B$10,2,FALSE),0)*'FL Characterization'!D$2)</f>
        <v>35.504224664764678</v>
      </c>
      <c r="E3" s="2">
        <f>('[1]Pc, Spring, S2'!E3*Main!$B$5)+(_xlfn.IFNA(VLOOKUP($A3,'FL Ratio'!$A$3:$B$10,2,FALSE),0)*'FL Characterization'!E$2)</f>
        <v>36.580442887452286</v>
      </c>
      <c r="F3" s="2">
        <f>('[1]Pc, Spring, S2'!F3*Main!$B$5)+(_xlfn.IFNA(VLOOKUP($A3,'FL Ratio'!$A$3:$B$10,2,FALSE),0)*'FL Characterization'!F$2)</f>
        <v>34.960656117699322</v>
      </c>
      <c r="G3" s="2">
        <f>('[1]Pc, Spring, S2'!G3*Main!$B$5)+(_xlfn.IFNA(VLOOKUP($A3,'FL Ratio'!$A$3:$B$10,2,FALSE),0)*'FL Characterization'!G$2)</f>
        <v>38.223146890301969</v>
      </c>
      <c r="H3" s="2">
        <f>('[1]Pc, Spring, S2'!H3*Main!$B$5)+(_xlfn.IFNA(VLOOKUP($A3,'FL Ratio'!$A$3:$B$10,2,FALSE),0)*'FL Characterization'!H$2)</f>
        <v>49.67113820139339</v>
      </c>
      <c r="I3" s="2">
        <f>('[1]Pc, Spring, S2'!I3*Main!$B$5)+(_xlfn.IFNA(VLOOKUP($A3,'FL Ratio'!$A$3:$B$10,2,FALSE),0)*'FL Characterization'!I$2)</f>
        <v>56.319403605311123</v>
      </c>
      <c r="J3" s="2">
        <f>('[1]Pc, Spring, S2'!J3*Main!$B$5)+(_xlfn.IFNA(VLOOKUP($A3,'FL Ratio'!$A$3:$B$10,2,FALSE),0)*'FL Characterization'!J$2)</f>
        <v>61.117316128183255</v>
      </c>
      <c r="K3" s="2">
        <f>('[1]Pc, Spring, S2'!K3*Main!$B$5)+(_xlfn.IFNA(VLOOKUP($A3,'FL Ratio'!$A$3:$B$10,2,FALSE),0)*'FL Characterization'!K$2)</f>
        <v>59.553564717762832</v>
      </c>
      <c r="L3" s="2">
        <f>('[1]Pc, Spring, S2'!L3*Main!$B$5)+(_xlfn.IFNA(VLOOKUP($A3,'FL Ratio'!$A$3:$B$10,2,FALSE),0)*'FL Characterization'!L$2)</f>
        <v>56.048540719725807</v>
      </c>
      <c r="M3" s="2">
        <f>('[1]Pc, Spring, S2'!M3*Main!$B$5)+(_xlfn.IFNA(VLOOKUP($A3,'FL Ratio'!$A$3:$B$10,2,FALSE),0)*'FL Characterization'!M$2)</f>
        <v>61.176168508272475</v>
      </c>
      <c r="N3" s="2">
        <f>('[1]Pc, Spring, S2'!N3*Main!$B$5)+(_xlfn.IFNA(VLOOKUP($A3,'FL Ratio'!$A$3:$B$10,2,FALSE),0)*'FL Characterization'!N$2)</f>
        <v>59.076191467445483</v>
      </c>
      <c r="O3" s="2">
        <f>('[1]Pc, Spring, S2'!O3*Main!$B$5)+(_xlfn.IFNA(VLOOKUP($A3,'FL Ratio'!$A$3:$B$10,2,FALSE),0)*'FL Characterization'!O$2)</f>
        <v>57.157728083952982</v>
      </c>
      <c r="P3" s="2">
        <f>('[1]Pc, Spring, S2'!P3*Main!$B$5)+(_xlfn.IFNA(VLOOKUP($A3,'FL Ratio'!$A$3:$B$10,2,FALSE),0)*'FL Characterization'!P$2)</f>
        <v>56.392052696670412</v>
      </c>
      <c r="Q3" s="2">
        <f>('[1]Pc, Spring, S2'!Q3*Main!$B$5)+(_xlfn.IFNA(VLOOKUP($A3,'FL Ratio'!$A$3:$B$10,2,FALSE),0)*'FL Characterization'!Q$2)</f>
        <v>54.143176970490735</v>
      </c>
      <c r="R3" s="2">
        <f>('[1]Pc, Spring, S2'!R3*Main!$B$5)+(_xlfn.IFNA(VLOOKUP($A3,'FL Ratio'!$A$3:$B$10,2,FALSE),0)*'FL Characterization'!R$2)</f>
        <v>49.913612438153265</v>
      </c>
      <c r="S3" s="2">
        <f>('[1]Pc, Spring, S2'!S3*Main!$B$5)+(_xlfn.IFNA(VLOOKUP($A3,'FL Ratio'!$A$3:$B$10,2,FALSE),0)*'FL Characterization'!S$2)</f>
        <v>55.196167737389956</v>
      </c>
      <c r="T3" s="2">
        <f>('[1]Pc, Spring, S2'!T3*Main!$B$5)+(_xlfn.IFNA(VLOOKUP($A3,'FL Ratio'!$A$3:$B$10,2,FALSE),0)*'FL Characterization'!T$2)</f>
        <v>54.89874006566626</v>
      </c>
      <c r="U3" s="2">
        <f>('[1]Pc, Spring, S2'!U3*Main!$B$5)+(_xlfn.IFNA(VLOOKUP($A3,'FL Ratio'!$A$3:$B$10,2,FALSE),0)*'FL Characterization'!U$2)</f>
        <v>53.20721867757802</v>
      </c>
      <c r="V3" s="2">
        <f>('[1]Pc, Spring, S2'!V3*Main!$B$5)+(_xlfn.IFNA(VLOOKUP($A3,'FL Ratio'!$A$3:$B$10,2,FALSE),0)*'FL Characterization'!V$2)</f>
        <v>51.173567277002704</v>
      </c>
      <c r="W3" s="2">
        <f>('[1]Pc, Spring, S2'!W3*Main!$B$5)+(_xlfn.IFNA(VLOOKUP($A3,'FL Ratio'!$A$3:$B$10,2,FALSE),0)*'FL Characterization'!W$2)</f>
        <v>50.115164800851744</v>
      </c>
      <c r="X3" s="2">
        <f>('[1]Pc, Spring, S2'!X3*Main!$B$5)+(_xlfn.IFNA(VLOOKUP($A3,'FL Ratio'!$A$3:$B$10,2,FALSE),0)*'FL Characterization'!X$2)</f>
        <v>47.929973959806993</v>
      </c>
      <c r="Y3" s="2">
        <f>('[1]Pc, Spring, S2'!Y3*Main!$B$5)+(_xlfn.IFNA(VLOOKUP($A3,'FL Ratio'!$A$3:$B$10,2,FALSE),0)*'FL Characterization'!Y$2)</f>
        <v>45.018961135978216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55.458071189086773</v>
      </c>
      <c r="C4" s="2">
        <f>('[1]Pc, Spring, S2'!C4*Main!$B$5)+(_xlfn.IFNA(VLOOKUP($A4,'FL Ratio'!$A$3:$B$10,2,FALSE),0)*'FL Characterization'!C$2)</f>
        <v>48.765211906914217</v>
      </c>
      <c r="D4" s="2">
        <f>('[1]Pc, Spring, S2'!D4*Main!$B$5)+(_xlfn.IFNA(VLOOKUP($A4,'FL Ratio'!$A$3:$B$10,2,FALSE),0)*'FL Characterization'!D$2)</f>
        <v>48.828391933394556</v>
      </c>
      <c r="E4" s="2">
        <f>('[1]Pc, Spring, S2'!E4*Main!$B$5)+(_xlfn.IFNA(VLOOKUP($A4,'FL Ratio'!$A$3:$B$10,2,FALSE),0)*'FL Characterization'!E$2)</f>
        <v>45.029000071822111</v>
      </c>
      <c r="F4" s="2">
        <f>('[1]Pc, Spring, S2'!F4*Main!$B$5)+(_xlfn.IFNA(VLOOKUP($A4,'FL Ratio'!$A$3:$B$10,2,FALSE),0)*'FL Characterization'!F$2)</f>
        <v>47.399435771980578</v>
      </c>
      <c r="G4" s="2">
        <f>('[1]Pc, Spring, S2'!G4*Main!$B$5)+(_xlfn.IFNA(VLOOKUP($A4,'FL Ratio'!$A$3:$B$10,2,FALSE),0)*'FL Characterization'!G$2)</f>
        <v>46.431333976567934</v>
      </c>
      <c r="H4" s="2">
        <f>('[1]Pc, Spring, S2'!H4*Main!$B$5)+(_xlfn.IFNA(VLOOKUP($A4,'FL Ratio'!$A$3:$B$10,2,FALSE),0)*'FL Characterization'!H$2)</f>
        <v>54.37612936591745</v>
      </c>
      <c r="I4" s="2">
        <f>('[1]Pc, Spring, S2'!I4*Main!$B$5)+(_xlfn.IFNA(VLOOKUP($A4,'FL Ratio'!$A$3:$B$10,2,FALSE),0)*'FL Characterization'!I$2)</f>
        <v>58.323529141829979</v>
      </c>
      <c r="J4" s="2">
        <f>('[1]Pc, Spring, S2'!J4*Main!$B$5)+(_xlfn.IFNA(VLOOKUP($A4,'FL Ratio'!$A$3:$B$10,2,FALSE),0)*'FL Characterization'!J$2)</f>
        <v>67.366861626976629</v>
      </c>
      <c r="K4" s="2">
        <f>('[1]Pc, Spring, S2'!K4*Main!$B$5)+(_xlfn.IFNA(VLOOKUP($A4,'FL Ratio'!$A$3:$B$10,2,FALSE),0)*'FL Characterization'!K$2)</f>
        <v>69.268934897657019</v>
      </c>
      <c r="L4" s="2">
        <f>('[1]Pc, Spring, S2'!L4*Main!$B$5)+(_xlfn.IFNA(VLOOKUP($A4,'FL Ratio'!$A$3:$B$10,2,FALSE),0)*'FL Characterization'!L$2)</f>
        <v>71.539619375031194</v>
      </c>
      <c r="M4" s="2">
        <f>('[1]Pc, Spring, S2'!M4*Main!$B$5)+(_xlfn.IFNA(VLOOKUP($A4,'FL Ratio'!$A$3:$B$10,2,FALSE),0)*'FL Characterization'!M$2)</f>
        <v>75.509087146909593</v>
      </c>
      <c r="N4" s="2">
        <f>('[1]Pc, Spring, S2'!N4*Main!$B$5)+(_xlfn.IFNA(VLOOKUP($A4,'FL Ratio'!$A$3:$B$10,2,FALSE),0)*'FL Characterization'!N$2)</f>
        <v>76.214550067732347</v>
      </c>
      <c r="O4" s="2">
        <f>('[1]Pc, Spring, S2'!O4*Main!$B$5)+(_xlfn.IFNA(VLOOKUP($A4,'FL Ratio'!$A$3:$B$10,2,FALSE),0)*'FL Characterization'!O$2)</f>
        <v>76.126542129583726</v>
      </c>
      <c r="P4" s="2">
        <f>('[1]Pc, Spring, S2'!P4*Main!$B$5)+(_xlfn.IFNA(VLOOKUP($A4,'FL Ratio'!$A$3:$B$10,2,FALSE),0)*'FL Characterization'!P$2)</f>
        <v>72.003709691187467</v>
      </c>
      <c r="Q4" s="2">
        <f>('[1]Pc, Spring, S2'!Q4*Main!$B$5)+(_xlfn.IFNA(VLOOKUP($A4,'FL Ratio'!$A$3:$B$10,2,FALSE),0)*'FL Characterization'!Q$2)</f>
        <v>72.721128150018302</v>
      </c>
      <c r="R4" s="2">
        <f>('[1]Pc, Spring, S2'!R4*Main!$B$5)+(_xlfn.IFNA(VLOOKUP($A4,'FL Ratio'!$A$3:$B$10,2,FALSE),0)*'FL Characterization'!R$2)</f>
        <v>71.950306293163194</v>
      </c>
      <c r="S4" s="2">
        <f>('[1]Pc, Spring, S2'!S4*Main!$B$5)+(_xlfn.IFNA(VLOOKUP($A4,'FL Ratio'!$A$3:$B$10,2,FALSE),0)*'FL Characterization'!S$2)</f>
        <v>74.899141785399934</v>
      </c>
      <c r="T4" s="2">
        <f>('[1]Pc, Spring, S2'!T4*Main!$B$5)+(_xlfn.IFNA(VLOOKUP($A4,'FL Ratio'!$A$3:$B$10,2,FALSE),0)*'FL Characterization'!T$2)</f>
        <v>74.310798107932996</v>
      </c>
      <c r="U4" s="2">
        <f>('[1]Pc, Spring, S2'!U4*Main!$B$5)+(_xlfn.IFNA(VLOOKUP($A4,'FL Ratio'!$A$3:$B$10,2,FALSE),0)*'FL Characterization'!U$2)</f>
        <v>72.590854186121589</v>
      </c>
      <c r="V4" s="2">
        <f>('[1]Pc, Spring, S2'!V4*Main!$B$5)+(_xlfn.IFNA(VLOOKUP($A4,'FL Ratio'!$A$3:$B$10,2,FALSE),0)*'FL Characterization'!V$2)</f>
        <v>71.174902760790843</v>
      </c>
      <c r="W4" s="2">
        <f>('[1]Pc, Spring, S2'!W4*Main!$B$5)+(_xlfn.IFNA(VLOOKUP($A4,'FL Ratio'!$A$3:$B$10,2,FALSE),0)*'FL Characterization'!W$2)</f>
        <v>74.235265354369375</v>
      </c>
      <c r="X4" s="2">
        <f>('[1]Pc, Spring, S2'!X4*Main!$B$5)+(_xlfn.IFNA(VLOOKUP($A4,'FL Ratio'!$A$3:$B$10,2,FALSE),0)*'FL Characterization'!X$2)</f>
        <v>70.023672783693314</v>
      </c>
      <c r="Y4" s="2">
        <f>('[1]Pc, Spring, S2'!Y4*Main!$B$5)+(_xlfn.IFNA(VLOOKUP($A4,'FL Ratio'!$A$3:$B$10,2,FALSE),0)*'FL Characterization'!Y$2)</f>
        <v>64.34036355633198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5F3B-A6BB-4568-9E99-BFA17EFF7F46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38.978697923178238</v>
      </c>
      <c r="C2" s="2">
        <f>('[1]Pc, Spring, S2'!C2*Main!$B$5)+(_xlfn.IFNA(VLOOKUP($A2,'FL Ratio'!$A$3:$B$10,2,FALSE),0)*'FL Characterization'!C$2)</f>
        <v>34.84680704676321</v>
      </c>
      <c r="D2" s="2">
        <f>('[1]Pc, Spring, S2'!D2*Main!$B$5)+(_xlfn.IFNA(VLOOKUP($A2,'FL Ratio'!$A$3:$B$10,2,FALSE),0)*'FL Characterization'!D$2)</f>
        <v>33.233962361258939</v>
      </c>
      <c r="E2" s="2">
        <f>('[1]Pc, Spring, S2'!E2*Main!$B$5)+(_xlfn.IFNA(VLOOKUP($A2,'FL Ratio'!$A$3:$B$10,2,FALSE),0)*'FL Characterization'!E$2)</f>
        <v>33.157523306177588</v>
      </c>
      <c r="F2" s="2">
        <f>('[1]Pc, Spring, S2'!F2*Main!$B$5)+(_xlfn.IFNA(VLOOKUP($A2,'FL Ratio'!$A$3:$B$10,2,FALSE),0)*'FL Characterization'!F$2)</f>
        <v>32.747082551728035</v>
      </c>
      <c r="G2" s="2">
        <f>('[1]Pc, Spring, S2'!G2*Main!$B$5)+(_xlfn.IFNA(VLOOKUP($A2,'FL Ratio'!$A$3:$B$10,2,FALSE),0)*'FL Characterization'!G$2)</f>
        <v>34.22055888147888</v>
      </c>
      <c r="H2" s="2">
        <f>('[1]Pc, Spring, S2'!H2*Main!$B$5)+(_xlfn.IFNA(VLOOKUP($A2,'FL Ratio'!$A$3:$B$10,2,FALSE),0)*'FL Characterization'!H$2)</f>
        <v>38.489832958683721</v>
      </c>
      <c r="I2" s="2">
        <f>('[1]Pc, Spring, S2'!I2*Main!$B$5)+(_xlfn.IFNA(VLOOKUP($A2,'FL Ratio'!$A$3:$B$10,2,FALSE),0)*'FL Characterization'!I$2)</f>
        <v>48.039527407168478</v>
      </c>
      <c r="J2" s="2">
        <f>('[1]Pc, Spring, S2'!J2*Main!$B$5)+(_xlfn.IFNA(VLOOKUP($A2,'FL Ratio'!$A$3:$B$10,2,FALSE),0)*'FL Characterization'!J$2)</f>
        <v>51.485374693554796</v>
      </c>
      <c r="K2" s="2">
        <f>('[1]Pc, Spring, S2'!K2*Main!$B$5)+(_xlfn.IFNA(VLOOKUP($A2,'FL Ratio'!$A$3:$B$10,2,FALSE),0)*'FL Characterization'!K$2)</f>
        <v>53.947580546847696</v>
      </c>
      <c r="L2" s="2">
        <f>('[1]Pc, Spring, S2'!L2*Main!$B$5)+(_xlfn.IFNA(VLOOKUP($A2,'FL Ratio'!$A$3:$B$10,2,FALSE),0)*'FL Characterization'!L$2)</f>
        <v>55.731285347112333</v>
      </c>
      <c r="M2" s="2">
        <f>('[1]Pc, Spring, S2'!M2*Main!$B$5)+(_xlfn.IFNA(VLOOKUP($A2,'FL Ratio'!$A$3:$B$10,2,FALSE),0)*'FL Characterization'!M$2)</f>
        <v>54.260408874625853</v>
      </c>
      <c r="N2" s="2">
        <f>('[1]Pc, Spring, S2'!N2*Main!$B$5)+(_xlfn.IFNA(VLOOKUP($A2,'FL Ratio'!$A$3:$B$10,2,FALSE),0)*'FL Characterization'!N$2)</f>
        <v>55.11721164978168</v>
      </c>
      <c r="O2" s="2">
        <f>('[1]Pc, Spring, S2'!O2*Main!$B$5)+(_xlfn.IFNA(VLOOKUP($A2,'FL Ratio'!$A$3:$B$10,2,FALSE),0)*'FL Characterization'!O$2)</f>
        <v>56.226212683472049</v>
      </c>
      <c r="P2" s="2">
        <f>('[1]Pc, Spring, S2'!P2*Main!$B$5)+(_xlfn.IFNA(VLOOKUP($A2,'FL Ratio'!$A$3:$B$10,2,FALSE),0)*'FL Characterization'!P$2)</f>
        <v>51.632134799344989</v>
      </c>
      <c r="Q2" s="2">
        <f>('[1]Pc, Spring, S2'!Q2*Main!$B$5)+(_xlfn.IFNA(VLOOKUP($A2,'FL Ratio'!$A$3:$B$10,2,FALSE),0)*'FL Characterization'!Q$2)</f>
        <v>47.642663250869667</v>
      </c>
      <c r="R2" s="2">
        <f>('[1]Pc, Spring, S2'!R2*Main!$B$5)+(_xlfn.IFNA(VLOOKUP($A2,'FL Ratio'!$A$3:$B$10,2,FALSE),0)*'FL Characterization'!R$2)</f>
        <v>49.443501307687718</v>
      </c>
      <c r="S2" s="2">
        <f>('[1]Pc, Spring, S2'!S2*Main!$B$5)+(_xlfn.IFNA(VLOOKUP($A2,'FL Ratio'!$A$3:$B$10,2,FALSE),0)*'FL Characterization'!S$2)</f>
        <v>51.965622387773799</v>
      </c>
      <c r="T2" s="2">
        <f>('[1]Pc, Spring, S2'!T2*Main!$B$5)+(_xlfn.IFNA(VLOOKUP($A2,'FL Ratio'!$A$3:$B$10,2,FALSE),0)*'FL Characterization'!T$2)</f>
        <v>55.074035036511219</v>
      </c>
      <c r="U2" s="2">
        <f>('[1]Pc, Spring, S2'!U2*Main!$B$5)+(_xlfn.IFNA(VLOOKUP($A2,'FL Ratio'!$A$3:$B$10,2,FALSE),0)*'FL Characterization'!U$2)</f>
        <v>54.108291143176594</v>
      </c>
      <c r="V2" s="2">
        <f>('[1]Pc, Spring, S2'!V2*Main!$B$5)+(_xlfn.IFNA(VLOOKUP($A2,'FL Ratio'!$A$3:$B$10,2,FALSE),0)*'FL Characterization'!V$2)</f>
        <v>52.126997903096814</v>
      </c>
      <c r="W2" s="2">
        <f>('[1]Pc, Spring, S2'!W2*Main!$B$5)+(_xlfn.IFNA(VLOOKUP($A2,'FL Ratio'!$A$3:$B$10,2,FALSE),0)*'FL Characterization'!W$2)</f>
        <v>54.023047340702746</v>
      </c>
      <c r="X2" s="2">
        <f>('[1]Pc, Spring, S2'!X2*Main!$B$5)+(_xlfn.IFNA(VLOOKUP($A2,'FL Ratio'!$A$3:$B$10,2,FALSE),0)*'FL Characterization'!X$2)</f>
        <v>45.266909302252337</v>
      </c>
      <c r="Y2" s="2">
        <f>('[1]Pc, Spring, S2'!Y2*Main!$B$5)+(_xlfn.IFNA(VLOOKUP($A2,'FL Ratio'!$A$3:$B$10,2,FALSE),0)*'FL Characterization'!Y$2)</f>
        <v>45.453802648345025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40.728094693007229</v>
      </c>
      <c r="C3" s="2">
        <f>('[1]Pc, Spring, S2'!C3*Main!$B$5)+(_xlfn.IFNA(VLOOKUP($A3,'FL Ratio'!$A$3:$B$10,2,FALSE),0)*'FL Characterization'!C$2)</f>
        <v>39.540076047170125</v>
      </c>
      <c r="D3" s="2">
        <f>('[1]Pc, Spring, S2'!D3*Main!$B$5)+(_xlfn.IFNA(VLOOKUP($A3,'FL Ratio'!$A$3:$B$10,2,FALSE),0)*'FL Characterization'!D$2)</f>
        <v>35.504224664764678</v>
      </c>
      <c r="E3" s="2">
        <f>('[1]Pc, Spring, S2'!E3*Main!$B$5)+(_xlfn.IFNA(VLOOKUP($A3,'FL Ratio'!$A$3:$B$10,2,FALSE),0)*'FL Characterization'!E$2)</f>
        <v>36.580442887452286</v>
      </c>
      <c r="F3" s="2">
        <f>('[1]Pc, Spring, S2'!F3*Main!$B$5)+(_xlfn.IFNA(VLOOKUP($A3,'FL Ratio'!$A$3:$B$10,2,FALSE),0)*'FL Characterization'!F$2)</f>
        <v>34.960656117699322</v>
      </c>
      <c r="G3" s="2">
        <f>('[1]Pc, Spring, S2'!G3*Main!$B$5)+(_xlfn.IFNA(VLOOKUP($A3,'FL Ratio'!$A$3:$B$10,2,FALSE),0)*'FL Characterization'!G$2)</f>
        <v>38.223146890301969</v>
      </c>
      <c r="H3" s="2">
        <f>('[1]Pc, Spring, S2'!H3*Main!$B$5)+(_xlfn.IFNA(VLOOKUP($A3,'FL Ratio'!$A$3:$B$10,2,FALSE),0)*'FL Characterization'!H$2)</f>
        <v>49.67113820139339</v>
      </c>
      <c r="I3" s="2">
        <f>('[1]Pc, Spring, S2'!I3*Main!$B$5)+(_xlfn.IFNA(VLOOKUP($A3,'FL Ratio'!$A$3:$B$10,2,FALSE),0)*'FL Characterization'!I$2)</f>
        <v>56.319403605311123</v>
      </c>
      <c r="J3" s="2">
        <f>('[1]Pc, Spring, S2'!J3*Main!$B$5)+(_xlfn.IFNA(VLOOKUP($A3,'FL Ratio'!$A$3:$B$10,2,FALSE),0)*'FL Characterization'!J$2)</f>
        <v>61.117316128183255</v>
      </c>
      <c r="K3" s="2">
        <f>('[1]Pc, Spring, S2'!K3*Main!$B$5)+(_xlfn.IFNA(VLOOKUP($A3,'FL Ratio'!$A$3:$B$10,2,FALSE),0)*'FL Characterization'!K$2)</f>
        <v>59.553564717762832</v>
      </c>
      <c r="L3" s="2">
        <f>('[1]Pc, Spring, S2'!L3*Main!$B$5)+(_xlfn.IFNA(VLOOKUP($A3,'FL Ratio'!$A$3:$B$10,2,FALSE),0)*'FL Characterization'!L$2)</f>
        <v>56.048540719725807</v>
      </c>
      <c r="M3" s="2">
        <f>('[1]Pc, Spring, S2'!M3*Main!$B$5)+(_xlfn.IFNA(VLOOKUP($A3,'FL Ratio'!$A$3:$B$10,2,FALSE),0)*'FL Characterization'!M$2)</f>
        <v>61.176168508272475</v>
      </c>
      <c r="N3" s="2">
        <f>('[1]Pc, Spring, S2'!N3*Main!$B$5)+(_xlfn.IFNA(VLOOKUP($A3,'FL Ratio'!$A$3:$B$10,2,FALSE),0)*'FL Characterization'!N$2)</f>
        <v>59.076191467445483</v>
      </c>
      <c r="O3" s="2">
        <f>('[1]Pc, Spring, S2'!O3*Main!$B$5)+(_xlfn.IFNA(VLOOKUP($A3,'FL Ratio'!$A$3:$B$10,2,FALSE),0)*'FL Characterization'!O$2)</f>
        <v>57.157728083952982</v>
      </c>
      <c r="P3" s="2">
        <f>('[1]Pc, Spring, S2'!P3*Main!$B$5)+(_xlfn.IFNA(VLOOKUP($A3,'FL Ratio'!$A$3:$B$10,2,FALSE),0)*'FL Characterization'!P$2)</f>
        <v>56.392052696670412</v>
      </c>
      <c r="Q3" s="2">
        <f>('[1]Pc, Spring, S2'!Q3*Main!$B$5)+(_xlfn.IFNA(VLOOKUP($A3,'FL Ratio'!$A$3:$B$10,2,FALSE),0)*'FL Characterization'!Q$2)</f>
        <v>54.143176970490735</v>
      </c>
      <c r="R3" s="2">
        <f>('[1]Pc, Spring, S2'!R3*Main!$B$5)+(_xlfn.IFNA(VLOOKUP($A3,'FL Ratio'!$A$3:$B$10,2,FALSE),0)*'FL Characterization'!R$2)</f>
        <v>49.913612438153265</v>
      </c>
      <c r="S3" s="2">
        <f>('[1]Pc, Spring, S2'!S3*Main!$B$5)+(_xlfn.IFNA(VLOOKUP($A3,'FL Ratio'!$A$3:$B$10,2,FALSE),0)*'FL Characterization'!S$2)</f>
        <v>55.196167737389956</v>
      </c>
      <c r="T3" s="2">
        <f>('[1]Pc, Spring, S2'!T3*Main!$B$5)+(_xlfn.IFNA(VLOOKUP($A3,'FL Ratio'!$A$3:$B$10,2,FALSE),0)*'FL Characterization'!T$2)</f>
        <v>54.89874006566626</v>
      </c>
      <c r="U3" s="2">
        <f>('[1]Pc, Spring, S2'!U3*Main!$B$5)+(_xlfn.IFNA(VLOOKUP($A3,'FL Ratio'!$A$3:$B$10,2,FALSE),0)*'FL Characterization'!U$2)</f>
        <v>53.20721867757802</v>
      </c>
      <c r="V3" s="2">
        <f>('[1]Pc, Spring, S2'!V3*Main!$B$5)+(_xlfn.IFNA(VLOOKUP($A3,'FL Ratio'!$A$3:$B$10,2,FALSE),0)*'FL Characterization'!V$2)</f>
        <v>51.173567277002704</v>
      </c>
      <c r="W3" s="2">
        <f>('[1]Pc, Spring, S2'!W3*Main!$B$5)+(_xlfn.IFNA(VLOOKUP($A3,'FL Ratio'!$A$3:$B$10,2,FALSE),0)*'FL Characterization'!W$2)</f>
        <v>50.115164800851744</v>
      </c>
      <c r="X3" s="2">
        <f>('[1]Pc, Spring, S2'!X3*Main!$B$5)+(_xlfn.IFNA(VLOOKUP($A3,'FL Ratio'!$A$3:$B$10,2,FALSE),0)*'FL Characterization'!X$2)</f>
        <v>47.929973959806993</v>
      </c>
      <c r="Y3" s="2">
        <f>('[1]Pc, Spring, S2'!Y3*Main!$B$5)+(_xlfn.IFNA(VLOOKUP($A3,'FL Ratio'!$A$3:$B$10,2,FALSE),0)*'FL Characterization'!Y$2)</f>
        <v>45.018961135978216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55.458071189086773</v>
      </c>
      <c r="C4" s="2">
        <f>('[1]Pc, Spring, S2'!C4*Main!$B$5)+(_xlfn.IFNA(VLOOKUP($A4,'FL Ratio'!$A$3:$B$10,2,FALSE),0)*'FL Characterization'!C$2)</f>
        <v>48.765211906914217</v>
      </c>
      <c r="D4" s="2">
        <f>('[1]Pc, Spring, S2'!D4*Main!$B$5)+(_xlfn.IFNA(VLOOKUP($A4,'FL Ratio'!$A$3:$B$10,2,FALSE),0)*'FL Characterization'!D$2)</f>
        <v>48.828391933394556</v>
      </c>
      <c r="E4" s="2">
        <f>('[1]Pc, Spring, S2'!E4*Main!$B$5)+(_xlfn.IFNA(VLOOKUP($A4,'FL Ratio'!$A$3:$B$10,2,FALSE),0)*'FL Characterization'!E$2)</f>
        <v>45.029000071822111</v>
      </c>
      <c r="F4" s="2">
        <f>('[1]Pc, Spring, S2'!F4*Main!$B$5)+(_xlfn.IFNA(VLOOKUP($A4,'FL Ratio'!$A$3:$B$10,2,FALSE),0)*'FL Characterization'!F$2)</f>
        <v>47.399435771980578</v>
      </c>
      <c r="G4" s="2">
        <f>('[1]Pc, Spring, S2'!G4*Main!$B$5)+(_xlfn.IFNA(VLOOKUP($A4,'FL Ratio'!$A$3:$B$10,2,FALSE),0)*'FL Characterization'!G$2)</f>
        <v>46.431333976567934</v>
      </c>
      <c r="H4" s="2">
        <f>('[1]Pc, Spring, S2'!H4*Main!$B$5)+(_xlfn.IFNA(VLOOKUP($A4,'FL Ratio'!$A$3:$B$10,2,FALSE),0)*'FL Characterization'!H$2)</f>
        <v>54.37612936591745</v>
      </c>
      <c r="I4" s="2">
        <f>('[1]Pc, Spring, S2'!I4*Main!$B$5)+(_xlfn.IFNA(VLOOKUP($A4,'FL Ratio'!$A$3:$B$10,2,FALSE),0)*'FL Characterization'!I$2)</f>
        <v>58.323529141829979</v>
      </c>
      <c r="J4" s="2">
        <f>('[1]Pc, Spring, S2'!J4*Main!$B$5)+(_xlfn.IFNA(VLOOKUP($A4,'FL Ratio'!$A$3:$B$10,2,FALSE),0)*'FL Characterization'!J$2)</f>
        <v>67.366861626976629</v>
      </c>
      <c r="K4" s="2">
        <f>('[1]Pc, Spring, S2'!K4*Main!$B$5)+(_xlfn.IFNA(VLOOKUP($A4,'FL Ratio'!$A$3:$B$10,2,FALSE),0)*'FL Characterization'!K$2)</f>
        <v>69.268934897657019</v>
      </c>
      <c r="L4" s="2">
        <f>('[1]Pc, Spring, S2'!L4*Main!$B$5)+(_xlfn.IFNA(VLOOKUP($A4,'FL Ratio'!$A$3:$B$10,2,FALSE),0)*'FL Characterization'!L$2)</f>
        <v>71.539619375031194</v>
      </c>
      <c r="M4" s="2">
        <f>('[1]Pc, Spring, S2'!M4*Main!$B$5)+(_xlfn.IFNA(VLOOKUP($A4,'FL Ratio'!$A$3:$B$10,2,FALSE),0)*'FL Characterization'!M$2)</f>
        <v>75.509087146909593</v>
      </c>
      <c r="N4" s="2">
        <f>('[1]Pc, Spring, S2'!N4*Main!$B$5)+(_xlfn.IFNA(VLOOKUP($A4,'FL Ratio'!$A$3:$B$10,2,FALSE),0)*'FL Characterization'!N$2)</f>
        <v>76.214550067732347</v>
      </c>
      <c r="O4" s="2">
        <f>('[1]Pc, Spring, S2'!O4*Main!$B$5)+(_xlfn.IFNA(VLOOKUP($A4,'FL Ratio'!$A$3:$B$10,2,FALSE),0)*'FL Characterization'!O$2)</f>
        <v>76.126542129583726</v>
      </c>
      <c r="P4" s="2">
        <f>('[1]Pc, Spring, S2'!P4*Main!$B$5)+(_xlfn.IFNA(VLOOKUP($A4,'FL Ratio'!$A$3:$B$10,2,FALSE),0)*'FL Characterization'!P$2)</f>
        <v>72.003709691187467</v>
      </c>
      <c r="Q4" s="2">
        <f>('[1]Pc, Spring, S2'!Q4*Main!$B$5)+(_xlfn.IFNA(VLOOKUP($A4,'FL Ratio'!$A$3:$B$10,2,FALSE),0)*'FL Characterization'!Q$2)</f>
        <v>72.721128150018302</v>
      </c>
      <c r="R4" s="2">
        <f>('[1]Pc, Spring, S2'!R4*Main!$B$5)+(_xlfn.IFNA(VLOOKUP($A4,'FL Ratio'!$A$3:$B$10,2,FALSE),0)*'FL Characterization'!R$2)</f>
        <v>71.950306293163194</v>
      </c>
      <c r="S4" s="2">
        <f>('[1]Pc, Spring, S2'!S4*Main!$B$5)+(_xlfn.IFNA(VLOOKUP($A4,'FL Ratio'!$A$3:$B$10,2,FALSE),0)*'FL Characterization'!S$2)</f>
        <v>74.899141785399934</v>
      </c>
      <c r="T4" s="2">
        <f>('[1]Pc, Spring, S2'!T4*Main!$B$5)+(_xlfn.IFNA(VLOOKUP($A4,'FL Ratio'!$A$3:$B$10,2,FALSE),0)*'FL Characterization'!T$2)</f>
        <v>74.310798107932996</v>
      </c>
      <c r="U4" s="2">
        <f>('[1]Pc, Spring, S2'!U4*Main!$B$5)+(_xlfn.IFNA(VLOOKUP($A4,'FL Ratio'!$A$3:$B$10,2,FALSE),0)*'FL Characterization'!U$2)</f>
        <v>72.590854186121589</v>
      </c>
      <c r="V4" s="2">
        <f>('[1]Pc, Spring, S2'!V4*Main!$B$5)+(_xlfn.IFNA(VLOOKUP($A4,'FL Ratio'!$A$3:$B$10,2,FALSE),0)*'FL Characterization'!V$2)</f>
        <v>71.174902760790843</v>
      </c>
      <c r="W4" s="2">
        <f>('[1]Pc, Spring, S2'!W4*Main!$B$5)+(_xlfn.IFNA(VLOOKUP($A4,'FL Ratio'!$A$3:$B$10,2,FALSE),0)*'FL Characterization'!W$2)</f>
        <v>74.235265354369375</v>
      </c>
      <c r="X4" s="2">
        <f>('[1]Pc, Spring, S2'!X4*Main!$B$5)+(_xlfn.IFNA(VLOOKUP($A4,'FL Ratio'!$A$3:$B$10,2,FALSE),0)*'FL Characterization'!X$2)</f>
        <v>70.023672783693314</v>
      </c>
      <c r="Y4" s="2">
        <f>('[1]Pc, Spring, S2'!Y4*Main!$B$5)+(_xlfn.IFNA(VLOOKUP($A4,'FL Ratio'!$A$3:$B$10,2,FALSE),0)*'FL Characterization'!Y$2)</f>
        <v>64.34036355633198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355B-28E7-4651-81FC-2564B66FAF14}">
  <dimension ref="A1:Y28"/>
  <sheetViews>
    <sheetView workbookViewId="0">
      <selection activeCell="E17" sqref="E17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38.978697923178238</v>
      </c>
      <c r="C2" s="2">
        <f>('[1]Pc, Spring, S2'!C2*Main!$B$5)+(_xlfn.IFNA(VLOOKUP($A2,'FL Ratio'!$A$3:$B$10,2,FALSE),0)*'FL Characterization'!C$2)</f>
        <v>34.84680704676321</v>
      </c>
      <c r="D2" s="2">
        <f>('[1]Pc, Spring, S2'!D2*Main!$B$5)+(_xlfn.IFNA(VLOOKUP($A2,'FL Ratio'!$A$3:$B$10,2,FALSE),0)*'FL Characterization'!D$2)</f>
        <v>33.233962361258939</v>
      </c>
      <c r="E2" s="2">
        <f>('[1]Pc, Spring, S2'!E2*Main!$B$5)+(_xlfn.IFNA(VLOOKUP($A2,'FL Ratio'!$A$3:$B$10,2,FALSE),0)*'FL Characterization'!E$2)</f>
        <v>33.157523306177588</v>
      </c>
      <c r="F2" s="2">
        <f>('[1]Pc, Spring, S2'!F2*Main!$B$5)+(_xlfn.IFNA(VLOOKUP($A2,'FL Ratio'!$A$3:$B$10,2,FALSE),0)*'FL Characterization'!F$2)</f>
        <v>32.747082551728035</v>
      </c>
      <c r="G2" s="2">
        <f>('[1]Pc, Spring, S2'!G2*Main!$B$5)+(_xlfn.IFNA(VLOOKUP($A2,'FL Ratio'!$A$3:$B$10,2,FALSE),0)*'FL Characterization'!G$2)</f>
        <v>34.22055888147888</v>
      </c>
      <c r="H2" s="2">
        <f>('[1]Pc, Spring, S2'!H2*Main!$B$5)+(_xlfn.IFNA(VLOOKUP($A2,'FL Ratio'!$A$3:$B$10,2,FALSE),0)*'FL Characterization'!H$2)</f>
        <v>38.489832958683721</v>
      </c>
      <c r="I2" s="2">
        <f>('[1]Pc, Spring, S2'!I2*Main!$B$5)+(_xlfn.IFNA(VLOOKUP($A2,'FL Ratio'!$A$3:$B$10,2,FALSE),0)*'FL Characterization'!I$2)</f>
        <v>48.039527407168478</v>
      </c>
      <c r="J2" s="2">
        <f>('[1]Pc, Spring, S2'!J2*Main!$B$5)+(_xlfn.IFNA(VLOOKUP($A2,'FL Ratio'!$A$3:$B$10,2,FALSE),0)*'FL Characterization'!J$2)</f>
        <v>51.485374693554796</v>
      </c>
      <c r="K2" s="2">
        <f>('[1]Pc, Spring, S2'!K2*Main!$B$5)+(_xlfn.IFNA(VLOOKUP($A2,'FL Ratio'!$A$3:$B$10,2,FALSE),0)*'FL Characterization'!K$2)</f>
        <v>53.947580546847696</v>
      </c>
      <c r="L2" s="2">
        <f>('[1]Pc, Spring, S2'!L2*Main!$B$5)+(_xlfn.IFNA(VLOOKUP($A2,'FL Ratio'!$A$3:$B$10,2,FALSE),0)*'FL Characterization'!L$2)</f>
        <v>55.731285347112333</v>
      </c>
      <c r="M2" s="2">
        <f>('[1]Pc, Spring, S2'!M2*Main!$B$5)+(_xlfn.IFNA(VLOOKUP($A2,'FL Ratio'!$A$3:$B$10,2,FALSE),0)*'FL Characterization'!M$2)</f>
        <v>54.260408874625853</v>
      </c>
      <c r="N2" s="2">
        <f>('[1]Pc, Spring, S2'!N2*Main!$B$5)+(_xlfn.IFNA(VLOOKUP($A2,'FL Ratio'!$A$3:$B$10,2,FALSE),0)*'FL Characterization'!N$2)</f>
        <v>55.11721164978168</v>
      </c>
      <c r="O2" s="2">
        <f>('[1]Pc, Spring, S2'!O2*Main!$B$5)+(_xlfn.IFNA(VLOOKUP($A2,'FL Ratio'!$A$3:$B$10,2,FALSE),0)*'FL Characterization'!O$2)</f>
        <v>56.226212683472049</v>
      </c>
      <c r="P2" s="2">
        <f>('[1]Pc, Spring, S2'!P2*Main!$B$5)+(_xlfn.IFNA(VLOOKUP($A2,'FL Ratio'!$A$3:$B$10,2,FALSE),0)*'FL Characterization'!P$2)</f>
        <v>51.632134799344989</v>
      </c>
      <c r="Q2" s="2">
        <f>('[1]Pc, Spring, S2'!Q2*Main!$B$5)+(_xlfn.IFNA(VLOOKUP($A2,'FL Ratio'!$A$3:$B$10,2,FALSE),0)*'FL Characterization'!Q$2)</f>
        <v>47.642663250869667</v>
      </c>
      <c r="R2" s="2">
        <f>('[1]Pc, Spring, S2'!R2*Main!$B$5)+(_xlfn.IFNA(VLOOKUP($A2,'FL Ratio'!$A$3:$B$10,2,FALSE),0)*'FL Characterization'!R$2)</f>
        <v>49.443501307687718</v>
      </c>
      <c r="S2" s="2">
        <f>('[1]Pc, Spring, S2'!S2*Main!$B$5)+(_xlfn.IFNA(VLOOKUP($A2,'FL Ratio'!$A$3:$B$10,2,FALSE),0)*'FL Characterization'!S$2)</f>
        <v>51.965622387773799</v>
      </c>
      <c r="T2" s="2">
        <f>('[1]Pc, Spring, S2'!T2*Main!$B$5)+(_xlfn.IFNA(VLOOKUP($A2,'FL Ratio'!$A$3:$B$10,2,FALSE),0)*'FL Characterization'!T$2)</f>
        <v>55.074035036511219</v>
      </c>
      <c r="U2" s="2">
        <f>('[1]Pc, Spring, S2'!U2*Main!$B$5)+(_xlfn.IFNA(VLOOKUP($A2,'FL Ratio'!$A$3:$B$10,2,FALSE),0)*'FL Characterization'!U$2)</f>
        <v>54.108291143176594</v>
      </c>
      <c r="V2" s="2">
        <f>('[1]Pc, Spring, S2'!V2*Main!$B$5)+(_xlfn.IFNA(VLOOKUP($A2,'FL Ratio'!$A$3:$B$10,2,FALSE),0)*'FL Characterization'!V$2)</f>
        <v>52.126997903096814</v>
      </c>
      <c r="W2" s="2">
        <f>('[1]Pc, Spring, S2'!W2*Main!$B$5)+(_xlfn.IFNA(VLOOKUP($A2,'FL Ratio'!$A$3:$B$10,2,FALSE),0)*'FL Characterization'!W$2)</f>
        <v>54.023047340702746</v>
      </c>
      <c r="X2" s="2">
        <f>('[1]Pc, Spring, S2'!X2*Main!$B$5)+(_xlfn.IFNA(VLOOKUP($A2,'FL Ratio'!$A$3:$B$10,2,FALSE),0)*'FL Characterization'!X$2)</f>
        <v>45.266909302252337</v>
      </c>
      <c r="Y2" s="2">
        <f>('[1]Pc, Spring, S2'!Y2*Main!$B$5)+(_xlfn.IFNA(VLOOKUP($A2,'FL Ratio'!$A$3:$B$10,2,FALSE),0)*'FL Characterization'!Y$2)</f>
        <v>45.453802648345025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40.728094693007229</v>
      </c>
      <c r="C3" s="2">
        <f>('[1]Pc, Spring, S2'!C3*Main!$B$5)+(_xlfn.IFNA(VLOOKUP($A3,'FL Ratio'!$A$3:$B$10,2,FALSE),0)*'FL Characterization'!C$2)</f>
        <v>39.540076047170125</v>
      </c>
      <c r="D3" s="2">
        <f>('[1]Pc, Spring, S2'!D3*Main!$B$5)+(_xlfn.IFNA(VLOOKUP($A3,'FL Ratio'!$A$3:$B$10,2,FALSE),0)*'FL Characterization'!D$2)</f>
        <v>35.504224664764678</v>
      </c>
      <c r="E3" s="2">
        <f>('[1]Pc, Spring, S2'!E3*Main!$B$5)+(_xlfn.IFNA(VLOOKUP($A3,'FL Ratio'!$A$3:$B$10,2,FALSE),0)*'FL Characterization'!E$2)</f>
        <v>36.580442887452286</v>
      </c>
      <c r="F3" s="2">
        <f>('[1]Pc, Spring, S2'!F3*Main!$B$5)+(_xlfn.IFNA(VLOOKUP($A3,'FL Ratio'!$A$3:$B$10,2,FALSE),0)*'FL Characterization'!F$2)</f>
        <v>34.960656117699322</v>
      </c>
      <c r="G3" s="2">
        <f>('[1]Pc, Spring, S2'!G3*Main!$B$5)+(_xlfn.IFNA(VLOOKUP($A3,'FL Ratio'!$A$3:$B$10,2,FALSE),0)*'FL Characterization'!G$2)</f>
        <v>38.223146890301969</v>
      </c>
      <c r="H3" s="2">
        <f>('[1]Pc, Spring, S2'!H3*Main!$B$5)+(_xlfn.IFNA(VLOOKUP($A3,'FL Ratio'!$A$3:$B$10,2,FALSE),0)*'FL Characterization'!H$2)</f>
        <v>49.67113820139339</v>
      </c>
      <c r="I3" s="2">
        <f>('[1]Pc, Spring, S2'!I3*Main!$B$5)+(_xlfn.IFNA(VLOOKUP($A3,'FL Ratio'!$A$3:$B$10,2,FALSE),0)*'FL Characterization'!I$2)</f>
        <v>56.319403605311123</v>
      </c>
      <c r="J3" s="2">
        <f>('[1]Pc, Spring, S2'!J3*Main!$B$5)+(_xlfn.IFNA(VLOOKUP($A3,'FL Ratio'!$A$3:$B$10,2,FALSE),0)*'FL Characterization'!J$2)</f>
        <v>61.117316128183255</v>
      </c>
      <c r="K3" s="2">
        <f>('[1]Pc, Spring, S2'!K3*Main!$B$5)+(_xlfn.IFNA(VLOOKUP($A3,'FL Ratio'!$A$3:$B$10,2,FALSE),0)*'FL Characterization'!K$2)</f>
        <v>59.553564717762832</v>
      </c>
      <c r="L3" s="2">
        <f>('[1]Pc, Spring, S2'!L3*Main!$B$5)+(_xlfn.IFNA(VLOOKUP($A3,'FL Ratio'!$A$3:$B$10,2,FALSE),0)*'FL Characterization'!L$2)</f>
        <v>56.048540719725807</v>
      </c>
      <c r="M3" s="2">
        <f>('[1]Pc, Spring, S2'!M3*Main!$B$5)+(_xlfn.IFNA(VLOOKUP($A3,'FL Ratio'!$A$3:$B$10,2,FALSE),0)*'FL Characterization'!M$2)</f>
        <v>61.176168508272475</v>
      </c>
      <c r="N3" s="2">
        <f>('[1]Pc, Spring, S2'!N3*Main!$B$5)+(_xlfn.IFNA(VLOOKUP($A3,'FL Ratio'!$A$3:$B$10,2,FALSE),0)*'FL Characterization'!N$2)</f>
        <v>59.076191467445483</v>
      </c>
      <c r="O3" s="2">
        <f>('[1]Pc, Spring, S2'!O3*Main!$B$5)+(_xlfn.IFNA(VLOOKUP($A3,'FL Ratio'!$A$3:$B$10,2,FALSE),0)*'FL Characterization'!O$2)</f>
        <v>57.157728083952982</v>
      </c>
      <c r="P3" s="2">
        <f>('[1]Pc, Spring, S2'!P3*Main!$B$5)+(_xlfn.IFNA(VLOOKUP($A3,'FL Ratio'!$A$3:$B$10,2,FALSE),0)*'FL Characterization'!P$2)</f>
        <v>56.392052696670412</v>
      </c>
      <c r="Q3" s="2">
        <f>('[1]Pc, Spring, S2'!Q3*Main!$B$5)+(_xlfn.IFNA(VLOOKUP($A3,'FL Ratio'!$A$3:$B$10,2,FALSE),0)*'FL Characterization'!Q$2)</f>
        <v>54.143176970490735</v>
      </c>
      <c r="R3" s="2">
        <f>('[1]Pc, Spring, S2'!R3*Main!$B$5)+(_xlfn.IFNA(VLOOKUP($A3,'FL Ratio'!$A$3:$B$10,2,FALSE),0)*'FL Characterization'!R$2)</f>
        <v>49.913612438153265</v>
      </c>
      <c r="S3" s="2">
        <f>('[1]Pc, Spring, S2'!S3*Main!$B$5)+(_xlfn.IFNA(VLOOKUP($A3,'FL Ratio'!$A$3:$B$10,2,FALSE),0)*'FL Characterization'!S$2)</f>
        <v>55.196167737389956</v>
      </c>
      <c r="T3" s="2">
        <f>('[1]Pc, Spring, S2'!T3*Main!$B$5)+(_xlfn.IFNA(VLOOKUP($A3,'FL Ratio'!$A$3:$B$10,2,FALSE),0)*'FL Characterization'!T$2)</f>
        <v>54.89874006566626</v>
      </c>
      <c r="U3" s="2">
        <f>('[1]Pc, Spring, S2'!U3*Main!$B$5)+(_xlfn.IFNA(VLOOKUP($A3,'FL Ratio'!$A$3:$B$10,2,FALSE),0)*'FL Characterization'!U$2)</f>
        <v>53.20721867757802</v>
      </c>
      <c r="V3" s="2">
        <f>('[1]Pc, Spring, S2'!V3*Main!$B$5)+(_xlfn.IFNA(VLOOKUP($A3,'FL Ratio'!$A$3:$B$10,2,FALSE),0)*'FL Characterization'!V$2)</f>
        <v>51.173567277002704</v>
      </c>
      <c r="W3" s="2">
        <f>('[1]Pc, Spring, S2'!W3*Main!$B$5)+(_xlfn.IFNA(VLOOKUP($A3,'FL Ratio'!$A$3:$B$10,2,FALSE),0)*'FL Characterization'!W$2)</f>
        <v>50.115164800851744</v>
      </c>
      <c r="X3" s="2">
        <f>('[1]Pc, Spring, S2'!X3*Main!$B$5)+(_xlfn.IFNA(VLOOKUP($A3,'FL Ratio'!$A$3:$B$10,2,FALSE),0)*'FL Characterization'!X$2)</f>
        <v>47.929973959806993</v>
      </c>
      <c r="Y3" s="2">
        <f>('[1]Pc, Spring, S2'!Y3*Main!$B$5)+(_xlfn.IFNA(VLOOKUP($A3,'FL Ratio'!$A$3:$B$10,2,FALSE),0)*'FL Characterization'!Y$2)</f>
        <v>45.018961135978216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55.458071189086773</v>
      </c>
      <c r="C4" s="2">
        <f>('[1]Pc, Spring, S2'!C4*Main!$B$5)+(_xlfn.IFNA(VLOOKUP($A4,'FL Ratio'!$A$3:$B$10,2,FALSE),0)*'FL Characterization'!C$2)</f>
        <v>48.765211906914217</v>
      </c>
      <c r="D4" s="2">
        <f>('[1]Pc, Spring, S2'!D4*Main!$B$5)+(_xlfn.IFNA(VLOOKUP($A4,'FL Ratio'!$A$3:$B$10,2,FALSE),0)*'FL Characterization'!D$2)</f>
        <v>48.828391933394556</v>
      </c>
      <c r="E4" s="2">
        <f>('[1]Pc, Spring, S2'!E4*Main!$B$5)+(_xlfn.IFNA(VLOOKUP($A4,'FL Ratio'!$A$3:$B$10,2,FALSE),0)*'FL Characterization'!E$2)</f>
        <v>45.029000071822111</v>
      </c>
      <c r="F4" s="2">
        <f>('[1]Pc, Spring, S2'!F4*Main!$B$5)+(_xlfn.IFNA(VLOOKUP($A4,'FL Ratio'!$A$3:$B$10,2,FALSE),0)*'FL Characterization'!F$2)</f>
        <v>47.399435771980578</v>
      </c>
      <c r="G4" s="2">
        <f>('[1]Pc, Spring, S2'!G4*Main!$B$5)+(_xlfn.IFNA(VLOOKUP($A4,'FL Ratio'!$A$3:$B$10,2,FALSE),0)*'FL Characterization'!G$2)</f>
        <v>46.431333976567934</v>
      </c>
      <c r="H4" s="2">
        <f>('[1]Pc, Spring, S2'!H4*Main!$B$5)+(_xlfn.IFNA(VLOOKUP($A4,'FL Ratio'!$A$3:$B$10,2,FALSE),0)*'FL Characterization'!H$2)</f>
        <v>54.37612936591745</v>
      </c>
      <c r="I4" s="2">
        <f>('[1]Pc, Spring, S2'!I4*Main!$B$5)+(_xlfn.IFNA(VLOOKUP($A4,'FL Ratio'!$A$3:$B$10,2,FALSE),0)*'FL Characterization'!I$2)</f>
        <v>58.323529141829979</v>
      </c>
      <c r="J4" s="2">
        <f>('[1]Pc, Spring, S2'!J4*Main!$B$5)+(_xlfn.IFNA(VLOOKUP($A4,'FL Ratio'!$A$3:$B$10,2,FALSE),0)*'FL Characterization'!J$2)</f>
        <v>67.366861626976629</v>
      </c>
      <c r="K4" s="2">
        <f>('[1]Pc, Spring, S2'!K4*Main!$B$5)+(_xlfn.IFNA(VLOOKUP($A4,'FL Ratio'!$A$3:$B$10,2,FALSE),0)*'FL Characterization'!K$2)</f>
        <v>69.268934897657019</v>
      </c>
      <c r="L4" s="2">
        <f>('[1]Pc, Spring, S2'!L4*Main!$B$5)+(_xlfn.IFNA(VLOOKUP($A4,'FL Ratio'!$A$3:$B$10,2,FALSE),0)*'FL Characterization'!L$2)</f>
        <v>71.539619375031194</v>
      </c>
      <c r="M4" s="2">
        <f>('[1]Pc, Spring, S2'!M4*Main!$B$5)+(_xlfn.IFNA(VLOOKUP($A4,'FL Ratio'!$A$3:$B$10,2,FALSE),0)*'FL Characterization'!M$2)</f>
        <v>75.509087146909593</v>
      </c>
      <c r="N4" s="2">
        <f>('[1]Pc, Spring, S2'!N4*Main!$B$5)+(_xlfn.IFNA(VLOOKUP($A4,'FL Ratio'!$A$3:$B$10,2,FALSE),0)*'FL Characterization'!N$2)</f>
        <v>76.214550067732347</v>
      </c>
      <c r="O4" s="2">
        <f>('[1]Pc, Spring, S2'!O4*Main!$B$5)+(_xlfn.IFNA(VLOOKUP($A4,'FL Ratio'!$A$3:$B$10,2,FALSE),0)*'FL Characterization'!O$2)</f>
        <v>76.126542129583726</v>
      </c>
      <c r="P4" s="2">
        <f>('[1]Pc, Spring, S2'!P4*Main!$B$5)+(_xlfn.IFNA(VLOOKUP($A4,'FL Ratio'!$A$3:$B$10,2,FALSE),0)*'FL Characterization'!P$2)</f>
        <v>72.003709691187467</v>
      </c>
      <c r="Q4" s="2">
        <f>('[1]Pc, Spring, S2'!Q4*Main!$B$5)+(_xlfn.IFNA(VLOOKUP($A4,'FL Ratio'!$A$3:$B$10,2,FALSE),0)*'FL Characterization'!Q$2)</f>
        <v>72.721128150018302</v>
      </c>
      <c r="R4" s="2">
        <f>('[1]Pc, Spring, S2'!R4*Main!$B$5)+(_xlfn.IFNA(VLOOKUP($A4,'FL Ratio'!$A$3:$B$10,2,FALSE),0)*'FL Characterization'!R$2)</f>
        <v>71.950306293163194</v>
      </c>
      <c r="S4" s="2">
        <f>('[1]Pc, Spring, S2'!S4*Main!$B$5)+(_xlfn.IFNA(VLOOKUP($A4,'FL Ratio'!$A$3:$B$10,2,FALSE),0)*'FL Characterization'!S$2)</f>
        <v>74.899141785399934</v>
      </c>
      <c r="T4" s="2">
        <f>('[1]Pc, Spring, S2'!T4*Main!$B$5)+(_xlfn.IFNA(VLOOKUP($A4,'FL Ratio'!$A$3:$B$10,2,FALSE),0)*'FL Characterization'!T$2)</f>
        <v>74.310798107932996</v>
      </c>
      <c r="U4" s="2">
        <f>('[1]Pc, Spring, S2'!U4*Main!$B$5)+(_xlfn.IFNA(VLOOKUP($A4,'FL Ratio'!$A$3:$B$10,2,FALSE),0)*'FL Characterization'!U$2)</f>
        <v>72.590854186121589</v>
      </c>
      <c r="V4" s="2">
        <f>('[1]Pc, Spring, S2'!V4*Main!$B$5)+(_xlfn.IFNA(VLOOKUP($A4,'FL Ratio'!$A$3:$B$10,2,FALSE),0)*'FL Characterization'!V$2)</f>
        <v>71.174902760790843</v>
      </c>
      <c r="W4" s="2">
        <f>('[1]Pc, Spring, S2'!W4*Main!$B$5)+(_xlfn.IFNA(VLOOKUP($A4,'FL Ratio'!$A$3:$B$10,2,FALSE),0)*'FL Characterization'!W$2)</f>
        <v>74.235265354369375</v>
      </c>
      <c r="X4" s="2">
        <f>('[1]Pc, Spring, S2'!X4*Main!$B$5)+(_xlfn.IFNA(VLOOKUP($A4,'FL Ratio'!$A$3:$B$10,2,FALSE),0)*'FL Characterization'!X$2)</f>
        <v>70.023672783693314</v>
      </c>
      <c r="Y4" s="2">
        <f>('[1]Pc, Spring, S2'!Y4*Main!$B$5)+(_xlfn.IFNA(VLOOKUP($A4,'FL Ratio'!$A$3:$B$10,2,FALSE),0)*'FL Characterization'!Y$2)</f>
        <v>64.34036355633198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3171-7D56-4100-BF8F-9607196E6BB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37.086528121082203</v>
      </c>
      <c r="C2" s="2">
        <f>('[1]Pc, Spring, S3'!C2*Main!$B$5)+(_xlfn.IFNA(VLOOKUP($A2,'FL Ratio'!$A$3:$B$10,2,FALSE),0)*'FL Characterization'!C$2)</f>
        <v>33.155214471677617</v>
      </c>
      <c r="D2" s="2">
        <f>('[1]Pc, Spring, S3'!D2*Main!$B$5)+(_xlfn.IFNA(VLOOKUP($A2,'FL Ratio'!$A$3:$B$10,2,FALSE),0)*'FL Characterization'!D$2)</f>
        <v>31.620663217508504</v>
      </c>
      <c r="E2" s="2">
        <f>('[1]Pc, Spring, S3'!E2*Main!$B$5)+(_xlfn.IFNA(VLOOKUP($A2,'FL Ratio'!$A$3:$B$10,2,FALSE),0)*'FL Characterization'!E$2)</f>
        <v>31.547934796168963</v>
      </c>
      <c r="F2" s="2">
        <f>('[1]Pc, Spring, S3'!F2*Main!$B$5)+(_xlfn.IFNA(VLOOKUP($A2,'FL Ratio'!$A$3:$B$10,2,FALSE),0)*'FL Characterization'!F$2)</f>
        <v>31.157418350187829</v>
      </c>
      <c r="G2" s="2">
        <f>('[1]Pc, Spring, S3'!G2*Main!$B$5)+(_xlfn.IFNA(VLOOKUP($A2,'FL Ratio'!$A$3:$B$10,2,FALSE),0)*'FL Characterization'!G$2)</f>
        <v>32.559366702766312</v>
      </c>
      <c r="H2" s="2">
        <f>('[1]Pc, Spring, S3'!H2*Main!$B$5)+(_xlfn.IFNA(VLOOKUP($A2,'FL Ratio'!$A$3:$B$10,2,FALSE),0)*'FL Characterization'!H$2)</f>
        <v>36.621394465543737</v>
      </c>
      <c r="I2" s="2">
        <f>('[1]Pc, Spring, S3'!I2*Main!$B$5)+(_xlfn.IFNA(VLOOKUP($A2,'FL Ratio'!$A$3:$B$10,2,FALSE),0)*'FL Characterization'!I$2)</f>
        <v>45.707511513616602</v>
      </c>
      <c r="J2" s="2">
        <f>('[1]Pc, Spring, S3'!J2*Main!$B$5)+(_xlfn.IFNA(VLOOKUP($A2,'FL Ratio'!$A$3:$B$10,2,FALSE),0)*'FL Characterization'!J$2)</f>
        <v>48.986084659887084</v>
      </c>
      <c r="K2" s="2">
        <f>('[1]Pc, Spring, S3'!K2*Main!$B$5)+(_xlfn.IFNA(VLOOKUP($A2,'FL Ratio'!$A$3:$B$10,2,FALSE),0)*'FL Characterization'!K$2)</f>
        <v>51.328765957194889</v>
      </c>
      <c r="L2" s="2">
        <f>('[1]Pc, Spring, S3'!L2*Main!$B$5)+(_xlfn.IFNA(VLOOKUP($A2,'FL Ratio'!$A$3:$B$10,2,FALSE),0)*'FL Characterization'!L$2)</f>
        <v>53.025883145796207</v>
      </c>
      <c r="M2" s="2">
        <f>('[1]Pc, Spring, S3'!M2*Main!$B$5)+(_xlfn.IFNA(VLOOKUP($A2,'FL Ratio'!$A$3:$B$10,2,FALSE),0)*'FL Characterization'!M$2)</f>
        <v>51.626408443818768</v>
      </c>
      <c r="N2" s="2">
        <f>('[1]Pc, Spring, S3'!N2*Main!$B$5)+(_xlfn.IFNA(VLOOKUP($A2,'FL Ratio'!$A$3:$B$10,2,FALSE),0)*'FL Characterization'!N$2)</f>
        <v>52.441618851248585</v>
      </c>
      <c r="O2" s="2">
        <f>('[1]Pc, Spring, S3'!O2*Main!$B$5)+(_xlfn.IFNA(VLOOKUP($A2,'FL Ratio'!$A$3:$B$10,2,FALSE),0)*'FL Characterization'!O$2)</f>
        <v>53.496784883303498</v>
      </c>
      <c r="P2" s="2">
        <f>('[1]Pc, Spring, S3'!P2*Main!$B$5)+(_xlfn.IFNA(VLOOKUP($A2,'FL Ratio'!$A$3:$B$10,2,FALSE),0)*'FL Characterization'!P$2)</f>
        <v>49.125720488697169</v>
      </c>
      <c r="Q2" s="2">
        <f>('[1]Pc, Spring, S3'!Q2*Main!$B$5)+(_xlfn.IFNA(VLOOKUP($A2,'FL Ratio'!$A$3:$B$10,2,FALSE),0)*'FL Characterization'!Q$2)</f>
        <v>45.329912607623562</v>
      </c>
      <c r="R2" s="2">
        <f>('[1]Pc, Spring, S3'!R2*Main!$B$5)+(_xlfn.IFNA(VLOOKUP($A2,'FL Ratio'!$A$3:$B$10,2,FALSE),0)*'FL Characterization'!R$2)</f>
        <v>47.043331341295115</v>
      </c>
      <c r="S2" s="2">
        <f>('[1]Pc, Spring, S3'!S2*Main!$B$5)+(_xlfn.IFNA(VLOOKUP($A2,'FL Ratio'!$A$3:$B$10,2,FALSE),0)*'FL Characterization'!S$2)</f>
        <v>49.443019359241092</v>
      </c>
      <c r="T2" s="2">
        <f>('[1]Pc, Spring, S3'!T2*Main!$B$5)+(_xlfn.IFNA(VLOOKUP($A2,'FL Ratio'!$A$3:$B$10,2,FALSE),0)*'FL Characterization'!T$2)</f>
        <v>52.40053819007862</v>
      </c>
      <c r="U2" s="2">
        <f>('[1]Pc, Spring, S3'!U2*Main!$B$5)+(_xlfn.IFNA(VLOOKUP($A2,'FL Ratio'!$A$3:$B$10,2,FALSE),0)*'FL Characterization'!U$2)</f>
        <v>51.481675068265112</v>
      </c>
      <c r="V2" s="2">
        <f>('[1]Pc, Spring, S3'!V2*Main!$B$5)+(_xlfn.IFNA(VLOOKUP($A2,'FL Ratio'!$A$3:$B$10,2,FALSE),0)*'FL Characterization'!V$2)</f>
        <v>49.596561111684352</v>
      </c>
      <c r="W2" s="2">
        <f>('[1]Pc, Spring, S3'!W2*Main!$B$5)+(_xlfn.IFNA(VLOOKUP($A2,'FL Ratio'!$A$3:$B$10,2,FALSE),0)*'FL Characterization'!W$2)</f>
        <v>51.400569314455048</v>
      </c>
      <c r="X2" s="2">
        <f>('[1]Pc, Spring, S3'!X2*Main!$B$5)+(_xlfn.IFNA(VLOOKUP($A2,'FL Ratio'!$A$3:$B$10,2,FALSE),0)*'FL Characterization'!X$2)</f>
        <v>43.069486520589606</v>
      </c>
      <c r="Y2" s="2">
        <f>('[1]Pc, Spring, S3'!Y2*Main!$B$5)+(_xlfn.IFNA(VLOOKUP($A2,'FL Ratio'!$A$3:$B$10,2,FALSE),0)*'FL Characterization'!Y$2)</f>
        <v>43.247307374153515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38.894893013063964</v>
      </c>
      <c r="C3" s="2">
        <f>('[1]Pc, Spring, S3'!C3*Main!$B$5)+(_xlfn.IFNA(VLOOKUP($A3,'FL Ratio'!$A$3:$B$10,2,FALSE),0)*'FL Characterization'!C$2)</f>
        <v>37.769345030547932</v>
      </c>
      <c r="D3" s="2">
        <f>('[1]Pc, Spring, S3'!D3*Main!$B$5)+(_xlfn.IFNA(VLOOKUP($A3,'FL Ratio'!$A$3:$B$10,2,FALSE),0)*'FL Characterization'!D$2)</f>
        <v>33.913861915501684</v>
      </c>
      <c r="E3" s="2">
        <f>('[1]Pc, Spring, S3'!E3*Main!$B$5)+(_xlfn.IFNA(VLOOKUP($A3,'FL Ratio'!$A$3:$B$10,2,FALSE),0)*'FL Characterization'!E$2)</f>
        <v>34.930894305449755</v>
      </c>
      <c r="F3" s="2">
        <f>('[1]Pc, Spring, S3'!F3*Main!$B$5)+(_xlfn.IFNA(VLOOKUP($A3,'FL Ratio'!$A$3:$B$10,2,FALSE),0)*'FL Characterization'!F$2)</f>
        <v>33.366932795394916</v>
      </c>
      <c r="G3" s="2">
        <f>('[1]Pc, Spring, S3'!G3*Main!$B$5)+(_xlfn.IFNA(VLOOKUP($A3,'FL Ratio'!$A$3:$B$10,2,FALSE),0)*'FL Characterization'!G$2)</f>
        <v>36.455409725517541</v>
      </c>
      <c r="H3" s="2">
        <f>('[1]Pc, Spring, S3'!H3*Main!$B$5)+(_xlfn.IFNA(VLOOKUP($A3,'FL Ratio'!$A$3:$B$10,2,FALSE),0)*'FL Characterization'!H$2)</f>
        <v>47.36723564003011</v>
      </c>
      <c r="I3" s="2">
        <f>('[1]Pc, Spring, S3'!I3*Main!$B$5)+(_xlfn.IFNA(VLOOKUP($A3,'FL Ratio'!$A$3:$B$10,2,FALSE),0)*'FL Characterization'!I$2)</f>
        <v>53.604089460792686</v>
      </c>
      <c r="J3" s="2">
        <f>('[1]Pc, Spring, S3'!J3*Main!$B$5)+(_xlfn.IFNA(VLOOKUP($A3,'FL Ratio'!$A$3:$B$10,2,FALSE),0)*'FL Characterization'!J$2)</f>
        <v>58.166845871665721</v>
      </c>
      <c r="K3" s="2">
        <f>('[1]Pc, Spring, S3'!K3*Main!$B$5)+(_xlfn.IFNA(VLOOKUP($A3,'FL Ratio'!$A$3:$B$10,2,FALSE),0)*'FL Characterization'!K$2)</f>
        <v>56.686508887859119</v>
      </c>
      <c r="L3" s="2">
        <f>('[1]Pc, Spring, S3'!L3*Main!$B$5)+(_xlfn.IFNA(VLOOKUP($A3,'FL Ratio'!$A$3:$B$10,2,FALSE),0)*'FL Characterization'!L$2)</f>
        <v>53.341809542984407</v>
      </c>
      <c r="M3" s="2">
        <f>('[1]Pc, Spring, S3'!M3*Main!$B$5)+(_xlfn.IFNA(VLOOKUP($A3,'FL Ratio'!$A$3:$B$10,2,FALSE),0)*'FL Characterization'!M$2)</f>
        <v>58.224035450435771</v>
      </c>
      <c r="N3" s="2">
        <f>('[1]Pc, Spring, S3'!N3*Main!$B$5)+(_xlfn.IFNA(VLOOKUP($A3,'FL Ratio'!$A$3:$B$10,2,FALSE),0)*'FL Characterization'!N$2)</f>
        <v>56.236429947649434</v>
      </c>
      <c r="O3" s="2">
        <f>('[1]Pc, Spring, S3'!O3*Main!$B$5)+(_xlfn.IFNA(VLOOKUP($A3,'FL Ratio'!$A$3:$B$10,2,FALSE),0)*'FL Characterization'!O$2)</f>
        <v>54.434697094192863</v>
      </c>
      <c r="P3" s="2">
        <f>('[1]Pc, Spring, S3'!P3*Main!$B$5)+(_xlfn.IFNA(VLOOKUP($A3,'FL Ratio'!$A$3:$B$10,2,FALSE),0)*'FL Characterization'!P$2)</f>
        <v>53.709643969432932</v>
      </c>
      <c r="Q3" s="2">
        <f>('[1]Pc, Spring, S3'!Q3*Main!$B$5)+(_xlfn.IFNA(VLOOKUP($A3,'FL Ratio'!$A$3:$B$10,2,FALSE),0)*'FL Characterization'!Q$2)</f>
        <v>51.56902382462723</v>
      </c>
      <c r="R3" s="2">
        <f>('[1]Pc, Spring, S3'!R3*Main!$B$5)+(_xlfn.IFNA(VLOOKUP($A3,'FL Ratio'!$A$3:$B$10,2,FALSE),0)*'FL Characterization'!R$2)</f>
        <v>47.521001114871822</v>
      </c>
      <c r="S3" s="2">
        <f>('[1]Pc, Spring, S3'!S3*Main!$B$5)+(_xlfn.IFNA(VLOOKUP($A3,'FL Ratio'!$A$3:$B$10,2,FALSE),0)*'FL Characterization'!S$2)</f>
        <v>52.578625131170334</v>
      </c>
      <c r="T3" s="2">
        <f>('[1]Pc, Spring, S3'!T3*Main!$B$5)+(_xlfn.IFNA(VLOOKUP($A3,'FL Ratio'!$A$3:$B$10,2,FALSE),0)*'FL Characterization'!T$2)</f>
        <v>52.270067686398356</v>
      </c>
      <c r="U3" s="2">
        <f>('[1]Pc, Spring, S3'!U3*Main!$B$5)+(_xlfn.IFNA(VLOOKUP($A3,'FL Ratio'!$A$3:$B$10,2,FALSE),0)*'FL Characterization'!U$2)</f>
        <v>50.649876873139213</v>
      </c>
      <c r="V3" s="2">
        <f>('[1]Pc, Spring, S3'!V3*Main!$B$5)+(_xlfn.IFNA(VLOOKUP($A3,'FL Ratio'!$A$3:$B$10,2,FALSE),0)*'FL Characterization'!V$2)</f>
        <v>48.728186990708181</v>
      </c>
      <c r="W3" s="2">
        <f>('[1]Pc, Spring, S3'!W3*Main!$B$5)+(_xlfn.IFNA(VLOOKUP($A3,'FL Ratio'!$A$3:$B$10,2,FALSE),0)*'FL Characterization'!W$2)</f>
        <v>47.706353965980597</v>
      </c>
      <c r="X3" s="2">
        <f>('[1]Pc, Spring, S3'!X3*Main!$B$5)+(_xlfn.IFNA(VLOOKUP($A3,'FL Ratio'!$A$3:$B$10,2,FALSE),0)*'FL Characterization'!X$2)</f>
        <v>45.712654360120247</v>
      </c>
      <c r="Y3" s="2">
        <f>('[1]Pc, Spring, S3'!Y3*Main!$B$5)+(_xlfn.IFNA(VLOOKUP($A3,'FL Ratio'!$A$3:$B$10,2,FALSE),0)*'FL Characterization'!Y$2)</f>
        <v>42.965430209443028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52.909822106421196</v>
      </c>
      <c r="C4" s="2">
        <f>('[1]Pc, Spring, S3'!C4*Main!$B$5)+(_xlfn.IFNA(VLOOKUP($A4,'FL Ratio'!$A$3:$B$10,2,FALSE),0)*'FL Characterization'!C$2)</f>
        <v>46.546658761178243</v>
      </c>
      <c r="D4" s="2">
        <f>('[1]Pc, Spring, S3'!D4*Main!$B$5)+(_xlfn.IFNA(VLOOKUP($A4,'FL Ratio'!$A$3:$B$10,2,FALSE),0)*'FL Characterization'!D$2)</f>
        <v>46.591224947790309</v>
      </c>
      <c r="E4" s="2">
        <f>('[1]Pc, Spring, S3'!E4*Main!$B$5)+(_xlfn.IFNA(VLOOKUP($A4,'FL Ratio'!$A$3:$B$10,2,FALSE),0)*'FL Characterization'!E$2)</f>
        <v>42.969327354655988</v>
      </c>
      <c r="F4" s="2">
        <f>('[1]Pc, Spring, S3'!F4*Main!$B$5)+(_xlfn.IFNA(VLOOKUP($A4,'FL Ratio'!$A$3:$B$10,2,FALSE),0)*'FL Characterization'!F$2)</f>
        <v>45.201888194613964</v>
      </c>
      <c r="G4" s="2">
        <f>('[1]Pc, Spring, S3'!G4*Main!$B$5)+(_xlfn.IFNA(VLOOKUP($A4,'FL Ratio'!$A$3:$B$10,2,FALSE),0)*'FL Characterization'!G$2)</f>
        <v>44.265141127984187</v>
      </c>
      <c r="H4" s="2">
        <f>('[1]Pc, Spring, S3'!H4*Main!$B$5)+(_xlfn.IFNA(VLOOKUP($A4,'FL Ratio'!$A$3:$B$10,2,FALSE),0)*'FL Characterization'!H$2)</f>
        <v>51.843829175208349</v>
      </c>
      <c r="I4" s="2">
        <f>('[1]Pc, Spring, S3'!I4*Main!$B$5)+(_xlfn.IFNA(VLOOKUP($A4,'FL Ratio'!$A$3:$B$10,2,FALSE),0)*'FL Characterization'!I$2)</f>
        <v>55.51092734990771</v>
      </c>
      <c r="J4" s="2">
        <f>('[1]Pc, Spring, S3'!J4*Main!$B$5)+(_xlfn.IFNA(VLOOKUP($A4,'FL Ratio'!$A$3:$B$10,2,FALSE),0)*'FL Characterization'!J$2)</f>
        <v>64.113015375372029</v>
      </c>
      <c r="K4" s="2">
        <f>('[1]Pc, Spring, S3'!K4*Main!$B$5)+(_xlfn.IFNA(VLOOKUP($A4,'FL Ratio'!$A$3:$B$10,2,FALSE),0)*'FL Characterization'!K$2)</f>
        <v>65.930259156107951</v>
      </c>
      <c r="L4" s="2">
        <f>('[1]Pc, Spring, S3'!L4*Main!$B$5)+(_xlfn.IFNA(VLOOKUP($A4,'FL Ratio'!$A$3:$B$10,2,FALSE),0)*'FL Characterization'!L$2)</f>
        <v>68.080894088808961</v>
      </c>
      <c r="M4" s="2">
        <f>('[1]Pc, Spring, S3'!M4*Main!$B$5)+(_xlfn.IFNA(VLOOKUP($A4,'FL Ratio'!$A$3:$B$10,2,FALSE),0)*'FL Characterization'!M$2)</f>
        <v>71.86118133962448</v>
      </c>
      <c r="N4" s="2">
        <f>('[1]Pc, Spring, S3'!N4*Main!$B$5)+(_xlfn.IFNA(VLOOKUP($A4,'FL Ratio'!$A$3:$B$10,2,FALSE),0)*'FL Characterization'!N$2)</f>
        <v>72.542829392582547</v>
      </c>
      <c r="O4" s="2">
        <f>('[1]Pc, Spring, S3'!O4*Main!$B$5)+(_xlfn.IFNA(VLOOKUP($A4,'FL Ratio'!$A$3:$B$10,2,FALSE),0)*'FL Characterization'!O$2)</f>
        <v>72.4826949240163</v>
      </c>
      <c r="P4" s="2">
        <f>('[1]Pc, Spring, S3'!P4*Main!$B$5)+(_xlfn.IFNA(VLOOKUP($A4,'FL Ratio'!$A$3:$B$10,2,FALSE),0)*'FL Characterization'!P$2)</f>
        <v>68.563453537031677</v>
      </c>
      <c r="Q4" s="2">
        <f>('[1]Pc, Spring, S3'!Q4*Main!$B$5)+(_xlfn.IFNA(VLOOKUP($A4,'FL Ratio'!$A$3:$B$10,2,FALSE),0)*'FL Characterization'!Q$2)</f>
        <v>69.245132713886463</v>
      </c>
      <c r="R4" s="2">
        <f>('[1]Pc, Spring, S3'!R4*Main!$B$5)+(_xlfn.IFNA(VLOOKUP($A4,'FL Ratio'!$A$3:$B$10,2,FALSE),0)*'FL Characterization'!R$2)</f>
        <v>68.487952549735638</v>
      </c>
      <c r="S4" s="2">
        <f>('[1]Pc, Spring, S3'!S4*Main!$B$5)+(_xlfn.IFNA(VLOOKUP($A4,'FL Ratio'!$A$3:$B$10,2,FALSE),0)*'FL Characterization'!S$2)</f>
        <v>71.325144128306036</v>
      </c>
      <c r="T4" s="2">
        <f>('[1]Pc, Spring, S3'!T4*Main!$B$5)+(_xlfn.IFNA(VLOOKUP($A4,'FL Ratio'!$A$3:$B$10,2,FALSE),0)*'FL Characterization'!T$2)</f>
        <v>70.73979281399194</v>
      </c>
      <c r="U4" s="2">
        <f>('[1]Pc, Spring, S3'!U4*Main!$B$5)+(_xlfn.IFNA(VLOOKUP($A4,'FL Ratio'!$A$3:$B$10,2,FALSE),0)*'FL Characterization'!U$2)</f>
        <v>69.092559201656385</v>
      </c>
      <c r="V4" s="2">
        <f>('[1]Pc, Spring, S3'!V4*Main!$B$5)+(_xlfn.IFNA(VLOOKUP($A4,'FL Ratio'!$A$3:$B$10,2,FALSE),0)*'FL Characterization'!V$2)</f>
        <v>67.758583858778465</v>
      </c>
      <c r="W4" s="2">
        <f>('[1]Pc, Spring, S3'!W4*Main!$B$5)+(_xlfn.IFNA(VLOOKUP($A4,'FL Ratio'!$A$3:$B$10,2,FALSE),0)*'FL Characterization'!W$2)</f>
        <v>70.655575851851737</v>
      </c>
      <c r="X4" s="2">
        <f>('[1]Pc, Spring, S3'!X4*Main!$B$5)+(_xlfn.IFNA(VLOOKUP($A4,'FL Ratio'!$A$3:$B$10,2,FALSE),0)*'FL Characterization'!X$2)</f>
        <v>66.733843532361604</v>
      </c>
      <c r="Y4" s="2">
        <f>('[1]Pc, Spring, S3'!Y4*Main!$B$5)+(_xlfn.IFNA(VLOOKUP($A4,'FL Ratio'!$A$3:$B$10,2,FALSE),0)*'FL Characterization'!Y$2)</f>
        <v>61.348900473468916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3E46-6D7A-469F-8A04-3A5E4D10568A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37.086528121082203</v>
      </c>
      <c r="C2" s="2">
        <f>('[1]Pc, Spring, S3'!C2*Main!$B$5)+(_xlfn.IFNA(VLOOKUP($A2,'FL Ratio'!$A$3:$B$10,2,FALSE),0)*'FL Characterization'!C$2)</f>
        <v>33.155214471677617</v>
      </c>
      <c r="D2" s="2">
        <f>('[1]Pc, Spring, S3'!D2*Main!$B$5)+(_xlfn.IFNA(VLOOKUP($A2,'FL Ratio'!$A$3:$B$10,2,FALSE),0)*'FL Characterization'!D$2)</f>
        <v>31.620663217508504</v>
      </c>
      <c r="E2" s="2">
        <f>('[1]Pc, Spring, S3'!E2*Main!$B$5)+(_xlfn.IFNA(VLOOKUP($A2,'FL Ratio'!$A$3:$B$10,2,FALSE),0)*'FL Characterization'!E$2)</f>
        <v>31.547934796168963</v>
      </c>
      <c r="F2" s="2">
        <f>('[1]Pc, Spring, S3'!F2*Main!$B$5)+(_xlfn.IFNA(VLOOKUP($A2,'FL Ratio'!$A$3:$B$10,2,FALSE),0)*'FL Characterization'!F$2)</f>
        <v>31.157418350187829</v>
      </c>
      <c r="G2" s="2">
        <f>('[1]Pc, Spring, S3'!G2*Main!$B$5)+(_xlfn.IFNA(VLOOKUP($A2,'FL Ratio'!$A$3:$B$10,2,FALSE),0)*'FL Characterization'!G$2)</f>
        <v>32.559366702766312</v>
      </c>
      <c r="H2" s="2">
        <f>('[1]Pc, Spring, S3'!H2*Main!$B$5)+(_xlfn.IFNA(VLOOKUP($A2,'FL Ratio'!$A$3:$B$10,2,FALSE),0)*'FL Characterization'!H$2)</f>
        <v>36.621394465543737</v>
      </c>
      <c r="I2" s="2">
        <f>('[1]Pc, Spring, S3'!I2*Main!$B$5)+(_xlfn.IFNA(VLOOKUP($A2,'FL Ratio'!$A$3:$B$10,2,FALSE),0)*'FL Characterization'!I$2)</f>
        <v>45.707511513616602</v>
      </c>
      <c r="J2" s="2">
        <f>('[1]Pc, Spring, S3'!J2*Main!$B$5)+(_xlfn.IFNA(VLOOKUP($A2,'FL Ratio'!$A$3:$B$10,2,FALSE),0)*'FL Characterization'!J$2)</f>
        <v>48.986084659887084</v>
      </c>
      <c r="K2" s="2">
        <f>('[1]Pc, Spring, S3'!K2*Main!$B$5)+(_xlfn.IFNA(VLOOKUP($A2,'FL Ratio'!$A$3:$B$10,2,FALSE),0)*'FL Characterization'!K$2)</f>
        <v>51.328765957194889</v>
      </c>
      <c r="L2" s="2">
        <f>('[1]Pc, Spring, S3'!L2*Main!$B$5)+(_xlfn.IFNA(VLOOKUP($A2,'FL Ratio'!$A$3:$B$10,2,FALSE),0)*'FL Characterization'!L$2)</f>
        <v>53.025883145796207</v>
      </c>
      <c r="M2" s="2">
        <f>('[1]Pc, Spring, S3'!M2*Main!$B$5)+(_xlfn.IFNA(VLOOKUP($A2,'FL Ratio'!$A$3:$B$10,2,FALSE),0)*'FL Characterization'!M$2)</f>
        <v>51.626408443818768</v>
      </c>
      <c r="N2" s="2">
        <f>('[1]Pc, Spring, S3'!N2*Main!$B$5)+(_xlfn.IFNA(VLOOKUP($A2,'FL Ratio'!$A$3:$B$10,2,FALSE),0)*'FL Characterization'!N$2)</f>
        <v>52.441618851248585</v>
      </c>
      <c r="O2" s="2">
        <f>('[1]Pc, Spring, S3'!O2*Main!$B$5)+(_xlfn.IFNA(VLOOKUP($A2,'FL Ratio'!$A$3:$B$10,2,FALSE),0)*'FL Characterization'!O$2)</f>
        <v>53.496784883303498</v>
      </c>
      <c r="P2" s="2">
        <f>('[1]Pc, Spring, S3'!P2*Main!$B$5)+(_xlfn.IFNA(VLOOKUP($A2,'FL Ratio'!$A$3:$B$10,2,FALSE),0)*'FL Characterization'!P$2)</f>
        <v>49.125720488697169</v>
      </c>
      <c r="Q2" s="2">
        <f>('[1]Pc, Spring, S3'!Q2*Main!$B$5)+(_xlfn.IFNA(VLOOKUP($A2,'FL Ratio'!$A$3:$B$10,2,FALSE),0)*'FL Characterization'!Q$2)</f>
        <v>45.329912607623562</v>
      </c>
      <c r="R2" s="2">
        <f>('[1]Pc, Spring, S3'!R2*Main!$B$5)+(_xlfn.IFNA(VLOOKUP($A2,'FL Ratio'!$A$3:$B$10,2,FALSE),0)*'FL Characterization'!R$2)</f>
        <v>47.043331341295115</v>
      </c>
      <c r="S2" s="2">
        <f>('[1]Pc, Spring, S3'!S2*Main!$B$5)+(_xlfn.IFNA(VLOOKUP($A2,'FL Ratio'!$A$3:$B$10,2,FALSE),0)*'FL Characterization'!S$2)</f>
        <v>49.443019359241092</v>
      </c>
      <c r="T2" s="2">
        <f>('[1]Pc, Spring, S3'!T2*Main!$B$5)+(_xlfn.IFNA(VLOOKUP($A2,'FL Ratio'!$A$3:$B$10,2,FALSE),0)*'FL Characterization'!T$2)</f>
        <v>52.40053819007862</v>
      </c>
      <c r="U2" s="2">
        <f>('[1]Pc, Spring, S3'!U2*Main!$B$5)+(_xlfn.IFNA(VLOOKUP($A2,'FL Ratio'!$A$3:$B$10,2,FALSE),0)*'FL Characterization'!U$2)</f>
        <v>51.481675068265112</v>
      </c>
      <c r="V2" s="2">
        <f>('[1]Pc, Spring, S3'!V2*Main!$B$5)+(_xlfn.IFNA(VLOOKUP($A2,'FL Ratio'!$A$3:$B$10,2,FALSE),0)*'FL Characterization'!V$2)</f>
        <v>49.596561111684352</v>
      </c>
      <c r="W2" s="2">
        <f>('[1]Pc, Spring, S3'!W2*Main!$B$5)+(_xlfn.IFNA(VLOOKUP($A2,'FL Ratio'!$A$3:$B$10,2,FALSE),0)*'FL Characterization'!W$2)</f>
        <v>51.400569314455048</v>
      </c>
      <c r="X2" s="2">
        <f>('[1]Pc, Spring, S3'!X2*Main!$B$5)+(_xlfn.IFNA(VLOOKUP($A2,'FL Ratio'!$A$3:$B$10,2,FALSE),0)*'FL Characterization'!X$2)</f>
        <v>43.069486520589606</v>
      </c>
      <c r="Y2" s="2">
        <f>('[1]Pc, Spring, S3'!Y2*Main!$B$5)+(_xlfn.IFNA(VLOOKUP($A2,'FL Ratio'!$A$3:$B$10,2,FALSE),0)*'FL Characterization'!Y$2)</f>
        <v>43.247307374153515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38.894893013063964</v>
      </c>
      <c r="C3" s="2">
        <f>('[1]Pc, Spring, S3'!C3*Main!$B$5)+(_xlfn.IFNA(VLOOKUP($A3,'FL Ratio'!$A$3:$B$10,2,FALSE),0)*'FL Characterization'!C$2)</f>
        <v>37.769345030547932</v>
      </c>
      <c r="D3" s="2">
        <f>('[1]Pc, Spring, S3'!D3*Main!$B$5)+(_xlfn.IFNA(VLOOKUP($A3,'FL Ratio'!$A$3:$B$10,2,FALSE),0)*'FL Characterization'!D$2)</f>
        <v>33.913861915501684</v>
      </c>
      <c r="E3" s="2">
        <f>('[1]Pc, Spring, S3'!E3*Main!$B$5)+(_xlfn.IFNA(VLOOKUP($A3,'FL Ratio'!$A$3:$B$10,2,FALSE),0)*'FL Characterization'!E$2)</f>
        <v>34.930894305449755</v>
      </c>
      <c r="F3" s="2">
        <f>('[1]Pc, Spring, S3'!F3*Main!$B$5)+(_xlfn.IFNA(VLOOKUP($A3,'FL Ratio'!$A$3:$B$10,2,FALSE),0)*'FL Characterization'!F$2)</f>
        <v>33.366932795394916</v>
      </c>
      <c r="G3" s="2">
        <f>('[1]Pc, Spring, S3'!G3*Main!$B$5)+(_xlfn.IFNA(VLOOKUP($A3,'FL Ratio'!$A$3:$B$10,2,FALSE),0)*'FL Characterization'!G$2)</f>
        <v>36.455409725517541</v>
      </c>
      <c r="H3" s="2">
        <f>('[1]Pc, Spring, S3'!H3*Main!$B$5)+(_xlfn.IFNA(VLOOKUP($A3,'FL Ratio'!$A$3:$B$10,2,FALSE),0)*'FL Characterization'!H$2)</f>
        <v>47.36723564003011</v>
      </c>
      <c r="I3" s="2">
        <f>('[1]Pc, Spring, S3'!I3*Main!$B$5)+(_xlfn.IFNA(VLOOKUP($A3,'FL Ratio'!$A$3:$B$10,2,FALSE),0)*'FL Characterization'!I$2)</f>
        <v>53.604089460792686</v>
      </c>
      <c r="J3" s="2">
        <f>('[1]Pc, Spring, S3'!J3*Main!$B$5)+(_xlfn.IFNA(VLOOKUP($A3,'FL Ratio'!$A$3:$B$10,2,FALSE),0)*'FL Characterization'!J$2)</f>
        <v>58.166845871665721</v>
      </c>
      <c r="K3" s="2">
        <f>('[1]Pc, Spring, S3'!K3*Main!$B$5)+(_xlfn.IFNA(VLOOKUP($A3,'FL Ratio'!$A$3:$B$10,2,FALSE),0)*'FL Characterization'!K$2)</f>
        <v>56.686508887859119</v>
      </c>
      <c r="L3" s="2">
        <f>('[1]Pc, Spring, S3'!L3*Main!$B$5)+(_xlfn.IFNA(VLOOKUP($A3,'FL Ratio'!$A$3:$B$10,2,FALSE),0)*'FL Characterization'!L$2)</f>
        <v>53.341809542984407</v>
      </c>
      <c r="M3" s="2">
        <f>('[1]Pc, Spring, S3'!M3*Main!$B$5)+(_xlfn.IFNA(VLOOKUP($A3,'FL Ratio'!$A$3:$B$10,2,FALSE),0)*'FL Characterization'!M$2)</f>
        <v>58.224035450435771</v>
      </c>
      <c r="N3" s="2">
        <f>('[1]Pc, Spring, S3'!N3*Main!$B$5)+(_xlfn.IFNA(VLOOKUP($A3,'FL Ratio'!$A$3:$B$10,2,FALSE),0)*'FL Characterization'!N$2)</f>
        <v>56.236429947649434</v>
      </c>
      <c r="O3" s="2">
        <f>('[1]Pc, Spring, S3'!O3*Main!$B$5)+(_xlfn.IFNA(VLOOKUP($A3,'FL Ratio'!$A$3:$B$10,2,FALSE),0)*'FL Characterization'!O$2)</f>
        <v>54.434697094192863</v>
      </c>
      <c r="P3" s="2">
        <f>('[1]Pc, Spring, S3'!P3*Main!$B$5)+(_xlfn.IFNA(VLOOKUP($A3,'FL Ratio'!$A$3:$B$10,2,FALSE),0)*'FL Characterization'!P$2)</f>
        <v>53.709643969432932</v>
      </c>
      <c r="Q3" s="2">
        <f>('[1]Pc, Spring, S3'!Q3*Main!$B$5)+(_xlfn.IFNA(VLOOKUP($A3,'FL Ratio'!$A$3:$B$10,2,FALSE),0)*'FL Characterization'!Q$2)</f>
        <v>51.56902382462723</v>
      </c>
      <c r="R3" s="2">
        <f>('[1]Pc, Spring, S3'!R3*Main!$B$5)+(_xlfn.IFNA(VLOOKUP($A3,'FL Ratio'!$A$3:$B$10,2,FALSE),0)*'FL Characterization'!R$2)</f>
        <v>47.521001114871822</v>
      </c>
      <c r="S3" s="2">
        <f>('[1]Pc, Spring, S3'!S3*Main!$B$5)+(_xlfn.IFNA(VLOOKUP($A3,'FL Ratio'!$A$3:$B$10,2,FALSE),0)*'FL Characterization'!S$2)</f>
        <v>52.578625131170334</v>
      </c>
      <c r="T3" s="2">
        <f>('[1]Pc, Spring, S3'!T3*Main!$B$5)+(_xlfn.IFNA(VLOOKUP($A3,'FL Ratio'!$A$3:$B$10,2,FALSE),0)*'FL Characterization'!T$2)</f>
        <v>52.270067686398356</v>
      </c>
      <c r="U3" s="2">
        <f>('[1]Pc, Spring, S3'!U3*Main!$B$5)+(_xlfn.IFNA(VLOOKUP($A3,'FL Ratio'!$A$3:$B$10,2,FALSE),0)*'FL Characterization'!U$2)</f>
        <v>50.649876873139213</v>
      </c>
      <c r="V3" s="2">
        <f>('[1]Pc, Spring, S3'!V3*Main!$B$5)+(_xlfn.IFNA(VLOOKUP($A3,'FL Ratio'!$A$3:$B$10,2,FALSE),0)*'FL Characterization'!V$2)</f>
        <v>48.728186990708181</v>
      </c>
      <c r="W3" s="2">
        <f>('[1]Pc, Spring, S3'!W3*Main!$B$5)+(_xlfn.IFNA(VLOOKUP($A3,'FL Ratio'!$A$3:$B$10,2,FALSE),0)*'FL Characterization'!W$2)</f>
        <v>47.706353965980597</v>
      </c>
      <c r="X3" s="2">
        <f>('[1]Pc, Spring, S3'!X3*Main!$B$5)+(_xlfn.IFNA(VLOOKUP($A3,'FL Ratio'!$A$3:$B$10,2,FALSE),0)*'FL Characterization'!X$2)</f>
        <v>45.712654360120247</v>
      </c>
      <c r="Y3" s="2">
        <f>('[1]Pc, Spring, S3'!Y3*Main!$B$5)+(_xlfn.IFNA(VLOOKUP($A3,'FL Ratio'!$A$3:$B$10,2,FALSE),0)*'FL Characterization'!Y$2)</f>
        <v>42.965430209443028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52.909822106421196</v>
      </c>
      <c r="C4" s="2">
        <f>('[1]Pc, Spring, S3'!C4*Main!$B$5)+(_xlfn.IFNA(VLOOKUP($A4,'FL Ratio'!$A$3:$B$10,2,FALSE),0)*'FL Characterization'!C$2)</f>
        <v>46.546658761178243</v>
      </c>
      <c r="D4" s="2">
        <f>('[1]Pc, Spring, S3'!D4*Main!$B$5)+(_xlfn.IFNA(VLOOKUP($A4,'FL Ratio'!$A$3:$B$10,2,FALSE),0)*'FL Characterization'!D$2)</f>
        <v>46.591224947790309</v>
      </c>
      <c r="E4" s="2">
        <f>('[1]Pc, Spring, S3'!E4*Main!$B$5)+(_xlfn.IFNA(VLOOKUP($A4,'FL Ratio'!$A$3:$B$10,2,FALSE),0)*'FL Characterization'!E$2)</f>
        <v>42.969327354655988</v>
      </c>
      <c r="F4" s="2">
        <f>('[1]Pc, Spring, S3'!F4*Main!$B$5)+(_xlfn.IFNA(VLOOKUP($A4,'FL Ratio'!$A$3:$B$10,2,FALSE),0)*'FL Characterization'!F$2)</f>
        <v>45.201888194613964</v>
      </c>
      <c r="G4" s="2">
        <f>('[1]Pc, Spring, S3'!G4*Main!$B$5)+(_xlfn.IFNA(VLOOKUP($A4,'FL Ratio'!$A$3:$B$10,2,FALSE),0)*'FL Characterization'!G$2)</f>
        <v>44.265141127984187</v>
      </c>
      <c r="H4" s="2">
        <f>('[1]Pc, Spring, S3'!H4*Main!$B$5)+(_xlfn.IFNA(VLOOKUP($A4,'FL Ratio'!$A$3:$B$10,2,FALSE),0)*'FL Characterization'!H$2)</f>
        <v>51.843829175208349</v>
      </c>
      <c r="I4" s="2">
        <f>('[1]Pc, Spring, S3'!I4*Main!$B$5)+(_xlfn.IFNA(VLOOKUP($A4,'FL Ratio'!$A$3:$B$10,2,FALSE),0)*'FL Characterization'!I$2)</f>
        <v>55.51092734990771</v>
      </c>
      <c r="J4" s="2">
        <f>('[1]Pc, Spring, S3'!J4*Main!$B$5)+(_xlfn.IFNA(VLOOKUP($A4,'FL Ratio'!$A$3:$B$10,2,FALSE),0)*'FL Characterization'!J$2)</f>
        <v>64.113015375372029</v>
      </c>
      <c r="K4" s="2">
        <f>('[1]Pc, Spring, S3'!K4*Main!$B$5)+(_xlfn.IFNA(VLOOKUP($A4,'FL Ratio'!$A$3:$B$10,2,FALSE),0)*'FL Characterization'!K$2)</f>
        <v>65.930259156107951</v>
      </c>
      <c r="L4" s="2">
        <f>('[1]Pc, Spring, S3'!L4*Main!$B$5)+(_xlfn.IFNA(VLOOKUP($A4,'FL Ratio'!$A$3:$B$10,2,FALSE),0)*'FL Characterization'!L$2)</f>
        <v>68.080894088808961</v>
      </c>
      <c r="M4" s="2">
        <f>('[1]Pc, Spring, S3'!M4*Main!$B$5)+(_xlfn.IFNA(VLOOKUP($A4,'FL Ratio'!$A$3:$B$10,2,FALSE),0)*'FL Characterization'!M$2)</f>
        <v>71.86118133962448</v>
      </c>
      <c r="N4" s="2">
        <f>('[1]Pc, Spring, S3'!N4*Main!$B$5)+(_xlfn.IFNA(VLOOKUP($A4,'FL Ratio'!$A$3:$B$10,2,FALSE),0)*'FL Characterization'!N$2)</f>
        <v>72.542829392582547</v>
      </c>
      <c r="O4" s="2">
        <f>('[1]Pc, Spring, S3'!O4*Main!$B$5)+(_xlfn.IFNA(VLOOKUP($A4,'FL Ratio'!$A$3:$B$10,2,FALSE),0)*'FL Characterization'!O$2)</f>
        <v>72.4826949240163</v>
      </c>
      <c r="P4" s="2">
        <f>('[1]Pc, Spring, S3'!P4*Main!$B$5)+(_xlfn.IFNA(VLOOKUP($A4,'FL Ratio'!$A$3:$B$10,2,FALSE),0)*'FL Characterization'!P$2)</f>
        <v>68.563453537031677</v>
      </c>
      <c r="Q4" s="2">
        <f>('[1]Pc, Spring, S3'!Q4*Main!$B$5)+(_xlfn.IFNA(VLOOKUP($A4,'FL Ratio'!$A$3:$B$10,2,FALSE),0)*'FL Characterization'!Q$2)</f>
        <v>69.245132713886463</v>
      </c>
      <c r="R4" s="2">
        <f>('[1]Pc, Spring, S3'!R4*Main!$B$5)+(_xlfn.IFNA(VLOOKUP($A4,'FL Ratio'!$A$3:$B$10,2,FALSE),0)*'FL Characterization'!R$2)</f>
        <v>68.487952549735638</v>
      </c>
      <c r="S4" s="2">
        <f>('[1]Pc, Spring, S3'!S4*Main!$B$5)+(_xlfn.IFNA(VLOOKUP($A4,'FL Ratio'!$A$3:$B$10,2,FALSE),0)*'FL Characterization'!S$2)</f>
        <v>71.325144128306036</v>
      </c>
      <c r="T4" s="2">
        <f>('[1]Pc, Spring, S3'!T4*Main!$B$5)+(_xlfn.IFNA(VLOOKUP($A4,'FL Ratio'!$A$3:$B$10,2,FALSE),0)*'FL Characterization'!T$2)</f>
        <v>70.73979281399194</v>
      </c>
      <c r="U4" s="2">
        <f>('[1]Pc, Spring, S3'!U4*Main!$B$5)+(_xlfn.IFNA(VLOOKUP($A4,'FL Ratio'!$A$3:$B$10,2,FALSE),0)*'FL Characterization'!U$2)</f>
        <v>69.092559201656385</v>
      </c>
      <c r="V4" s="2">
        <f>('[1]Pc, Spring, S3'!V4*Main!$B$5)+(_xlfn.IFNA(VLOOKUP($A4,'FL Ratio'!$A$3:$B$10,2,FALSE),0)*'FL Characterization'!V$2)</f>
        <v>67.758583858778465</v>
      </c>
      <c r="W4" s="2">
        <f>('[1]Pc, Spring, S3'!W4*Main!$B$5)+(_xlfn.IFNA(VLOOKUP($A4,'FL Ratio'!$A$3:$B$10,2,FALSE),0)*'FL Characterization'!W$2)</f>
        <v>70.655575851851737</v>
      </c>
      <c r="X4" s="2">
        <f>('[1]Pc, Spring, S3'!X4*Main!$B$5)+(_xlfn.IFNA(VLOOKUP($A4,'FL Ratio'!$A$3:$B$10,2,FALSE),0)*'FL Characterization'!X$2)</f>
        <v>66.733843532361604</v>
      </c>
      <c r="Y4" s="2">
        <f>('[1]Pc, Spring, S3'!Y4*Main!$B$5)+(_xlfn.IFNA(VLOOKUP($A4,'FL Ratio'!$A$3:$B$10,2,FALSE),0)*'FL Characterization'!Y$2)</f>
        <v>61.348900473468916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5FD7-DA4E-4F62-8BFF-59F914C0DD2D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37.086528121082203</v>
      </c>
      <c r="C2" s="2">
        <f>('[1]Pc, Spring, S3'!C2*Main!$B$5)+(_xlfn.IFNA(VLOOKUP($A2,'FL Ratio'!$A$3:$B$10,2,FALSE),0)*'FL Characterization'!C$2)</f>
        <v>33.155214471677617</v>
      </c>
      <c r="D2" s="2">
        <f>('[1]Pc, Spring, S3'!D2*Main!$B$5)+(_xlfn.IFNA(VLOOKUP($A2,'FL Ratio'!$A$3:$B$10,2,FALSE),0)*'FL Characterization'!D$2)</f>
        <v>31.620663217508504</v>
      </c>
      <c r="E2" s="2">
        <f>('[1]Pc, Spring, S3'!E2*Main!$B$5)+(_xlfn.IFNA(VLOOKUP($A2,'FL Ratio'!$A$3:$B$10,2,FALSE),0)*'FL Characterization'!E$2)</f>
        <v>31.547934796168963</v>
      </c>
      <c r="F2" s="2">
        <f>('[1]Pc, Spring, S3'!F2*Main!$B$5)+(_xlfn.IFNA(VLOOKUP($A2,'FL Ratio'!$A$3:$B$10,2,FALSE),0)*'FL Characterization'!F$2)</f>
        <v>31.157418350187829</v>
      </c>
      <c r="G2" s="2">
        <f>('[1]Pc, Spring, S3'!G2*Main!$B$5)+(_xlfn.IFNA(VLOOKUP($A2,'FL Ratio'!$A$3:$B$10,2,FALSE),0)*'FL Characterization'!G$2)</f>
        <v>32.559366702766312</v>
      </c>
      <c r="H2" s="2">
        <f>('[1]Pc, Spring, S3'!H2*Main!$B$5)+(_xlfn.IFNA(VLOOKUP($A2,'FL Ratio'!$A$3:$B$10,2,FALSE),0)*'FL Characterization'!H$2)</f>
        <v>36.621394465543737</v>
      </c>
      <c r="I2" s="2">
        <f>('[1]Pc, Spring, S3'!I2*Main!$B$5)+(_xlfn.IFNA(VLOOKUP($A2,'FL Ratio'!$A$3:$B$10,2,FALSE),0)*'FL Characterization'!I$2)</f>
        <v>45.707511513616602</v>
      </c>
      <c r="J2" s="2">
        <f>('[1]Pc, Spring, S3'!J2*Main!$B$5)+(_xlfn.IFNA(VLOOKUP($A2,'FL Ratio'!$A$3:$B$10,2,FALSE),0)*'FL Characterization'!J$2)</f>
        <v>48.986084659887084</v>
      </c>
      <c r="K2" s="2">
        <f>('[1]Pc, Spring, S3'!K2*Main!$B$5)+(_xlfn.IFNA(VLOOKUP($A2,'FL Ratio'!$A$3:$B$10,2,FALSE),0)*'FL Characterization'!K$2)</f>
        <v>51.328765957194889</v>
      </c>
      <c r="L2" s="2">
        <f>('[1]Pc, Spring, S3'!L2*Main!$B$5)+(_xlfn.IFNA(VLOOKUP($A2,'FL Ratio'!$A$3:$B$10,2,FALSE),0)*'FL Characterization'!L$2)</f>
        <v>53.025883145796207</v>
      </c>
      <c r="M2" s="2">
        <f>('[1]Pc, Spring, S3'!M2*Main!$B$5)+(_xlfn.IFNA(VLOOKUP($A2,'FL Ratio'!$A$3:$B$10,2,FALSE),0)*'FL Characterization'!M$2)</f>
        <v>51.626408443818768</v>
      </c>
      <c r="N2" s="2">
        <f>('[1]Pc, Spring, S3'!N2*Main!$B$5)+(_xlfn.IFNA(VLOOKUP($A2,'FL Ratio'!$A$3:$B$10,2,FALSE),0)*'FL Characterization'!N$2)</f>
        <v>52.441618851248585</v>
      </c>
      <c r="O2" s="2">
        <f>('[1]Pc, Spring, S3'!O2*Main!$B$5)+(_xlfn.IFNA(VLOOKUP($A2,'FL Ratio'!$A$3:$B$10,2,FALSE),0)*'FL Characterization'!O$2)</f>
        <v>53.496784883303498</v>
      </c>
      <c r="P2" s="2">
        <f>('[1]Pc, Spring, S3'!P2*Main!$B$5)+(_xlfn.IFNA(VLOOKUP($A2,'FL Ratio'!$A$3:$B$10,2,FALSE),0)*'FL Characterization'!P$2)</f>
        <v>49.125720488697169</v>
      </c>
      <c r="Q2" s="2">
        <f>('[1]Pc, Spring, S3'!Q2*Main!$B$5)+(_xlfn.IFNA(VLOOKUP($A2,'FL Ratio'!$A$3:$B$10,2,FALSE),0)*'FL Characterization'!Q$2)</f>
        <v>45.329912607623562</v>
      </c>
      <c r="R2" s="2">
        <f>('[1]Pc, Spring, S3'!R2*Main!$B$5)+(_xlfn.IFNA(VLOOKUP($A2,'FL Ratio'!$A$3:$B$10,2,FALSE),0)*'FL Characterization'!R$2)</f>
        <v>47.043331341295115</v>
      </c>
      <c r="S2" s="2">
        <f>('[1]Pc, Spring, S3'!S2*Main!$B$5)+(_xlfn.IFNA(VLOOKUP($A2,'FL Ratio'!$A$3:$B$10,2,FALSE),0)*'FL Characterization'!S$2)</f>
        <v>49.443019359241092</v>
      </c>
      <c r="T2" s="2">
        <f>('[1]Pc, Spring, S3'!T2*Main!$B$5)+(_xlfn.IFNA(VLOOKUP($A2,'FL Ratio'!$A$3:$B$10,2,FALSE),0)*'FL Characterization'!T$2)</f>
        <v>52.40053819007862</v>
      </c>
      <c r="U2" s="2">
        <f>('[1]Pc, Spring, S3'!U2*Main!$B$5)+(_xlfn.IFNA(VLOOKUP($A2,'FL Ratio'!$A$3:$B$10,2,FALSE),0)*'FL Characterization'!U$2)</f>
        <v>51.481675068265112</v>
      </c>
      <c r="V2" s="2">
        <f>('[1]Pc, Spring, S3'!V2*Main!$B$5)+(_xlfn.IFNA(VLOOKUP($A2,'FL Ratio'!$A$3:$B$10,2,FALSE),0)*'FL Characterization'!V$2)</f>
        <v>49.596561111684352</v>
      </c>
      <c r="W2" s="2">
        <f>('[1]Pc, Spring, S3'!W2*Main!$B$5)+(_xlfn.IFNA(VLOOKUP($A2,'FL Ratio'!$A$3:$B$10,2,FALSE),0)*'FL Characterization'!W$2)</f>
        <v>51.400569314455048</v>
      </c>
      <c r="X2" s="2">
        <f>('[1]Pc, Spring, S3'!X2*Main!$B$5)+(_xlfn.IFNA(VLOOKUP($A2,'FL Ratio'!$A$3:$B$10,2,FALSE),0)*'FL Characterization'!X$2)</f>
        <v>43.069486520589606</v>
      </c>
      <c r="Y2" s="2">
        <f>('[1]Pc, Spring, S3'!Y2*Main!$B$5)+(_xlfn.IFNA(VLOOKUP($A2,'FL Ratio'!$A$3:$B$10,2,FALSE),0)*'FL Characterization'!Y$2)</f>
        <v>43.247307374153515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38.894893013063964</v>
      </c>
      <c r="C3" s="2">
        <f>('[1]Pc, Spring, S3'!C3*Main!$B$5)+(_xlfn.IFNA(VLOOKUP($A3,'FL Ratio'!$A$3:$B$10,2,FALSE),0)*'FL Characterization'!C$2)</f>
        <v>37.769345030547932</v>
      </c>
      <c r="D3" s="2">
        <f>('[1]Pc, Spring, S3'!D3*Main!$B$5)+(_xlfn.IFNA(VLOOKUP($A3,'FL Ratio'!$A$3:$B$10,2,FALSE),0)*'FL Characterization'!D$2)</f>
        <v>33.913861915501684</v>
      </c>
      <c r="E3" s="2">
        <f>('[1]Pc, Spring, S3'!E3*Main!$B$5)+(_xlfn.IFNA(VLOOKUP($A3,'FL Ratio'!$A$3:$B$10,2,FALSE),0)*'FL Characterization'!E$2)</f>
        <v>34.930894305449755</v>
      </c>
      <c r="F3" s="2">
        <f>('[1]Pc, Spring, S3'!F3*Main!$B$5)+(_xlfn.IFNA(VLOOKUP($A3,'FL Ratio'!$A$3:$B$10,2,FALSE),0)*'FL Characterization'!F$2)</f>
        <v>33.366932795394916</v>
      </c>
      <c r="G3" s="2">
        <f>('[1]Pc, Spring, S3'!G3*Main!$B$5)+(_xlfn.IFNA(VLOOKUP($A3,'FL Ratio'!$A$3:$B$10,2,FALSE),0)*'FL Characterization'!G$2)</f>
        <v>36.455409725517541</v>
      </c>
      <c r="H3" s="2">
        <f>('[1]Pc, Spring, S3'!H3*Main!$B$5)+(_xlfn.IFNA(VLOOKUP($A3,'FL Ratio'!$A$3:$B$10,2,FALSE),0)*'FL Characterization'!H$2)</f>
        <v>47.36723564003011</v>
      </c>
      <c r="I3" s="2">
        <f>('[1]Pc, Spring, S3'!I3*Main!$B$5)+(_xlfn.IFNA(VLOOKUP($A3,'FL Ratio'!$A$3:$B$10,2,FALSE),0)*'FL Characterization'!I$2)</f>
        <v>53.604089460792686</v>
      </c>
      <c r="J3" s="2">
        <f>('[1]Pc, Spring, S3'!J3*Main!$B$5)+(_xlfn.IFNA(VLOOKUP($A3,'FL Ratio'!$A$3:$B$10,2,FALSE),0)*'FL Characterization'!J$2)</f>
        <v>58.166845871665721</v>
      </c>
      <c r="K3" s="2">
        <f>('[1]Pc, Spring, S3'!K3*Main!$B$5)+(_xlfn.IFNA(VLOOKUP($A3,'FL Ratio'!$A$3:$B$10,2,FALSE),0)*'FL Characterization'!K$2)</f>
        <v>56.686508887859119</v>
      </c>
      <c r="L3" s="2">
        <f>('[1]Pc, Spring, S3'!L3*Main!$B$5)+(_xlfn.IFNA(VLOOKUP($A3,'FL Ratio'!$A$3:$B$10,2,FALSE),0)*'FL Characterization'!L$2)</f>
        <v>53.341809542984407</v>
      </c>
      <c r="M3" s="2">
        <f>('[1]Pc, Spring, S3'!M3*Main!$B$5)+(_xlfn.IFNA(VLOOKUP($A3,'FL Ratio'!$A$3:$B$10,2,FALSE),0)*'FL Characterization'!M$2)</f>
        <v>58.224035450435771</v>
      </c>
      <c r="N3" s="2">
        <f>('[1]Pc, Spring, S3'!N3*Main!$B$5)+(_xlfn.IFNA(VLOOKUP($A3,'FL Ratio'!$A$3:$B$10,2,FALSE),0)*'FL Characterization'!N$2)</f>
        <v>56.236429947649434</v>
      </c>
      <c r="O3" s="2">
        <f>('[1]Pc, Spring, S3'!O3*Main!$B$5)+(_xlfn.IFNA(VLOOKUP($A3,'FL Ratio'!$A$3:$B$10,2,FALSE),0)*'FL Characterization'!O$2)</f>
        <v>54.434697094192863</v>
      </c>
      <c r="P3" s="2">
        <f>('[1]Pc, Spring, S3'!P3*Main!$B$5)+(_xlfn.IFNA(VLOOKUP($A3,'FL Ratio'!$A$3:$B$10,2,FALSE),0)*'FL Characterization'!P$2)</f>
        <v>53.709643969432932</v>
      </c>
      <c r="Q3" s="2">
        <f>('[1]Pc, Spring, S3'!Q3*Main!$B$5)+(_xlfn.IFNA(VLOOKUP($A3,'FL Ratio'!$A$3:$B$10,2,FALSE),0)*'FL Characterization'!Q$2)</f>
        <v>51.56902382462723</v>
      </c>
      <c r="R3" s="2">
        <f>('[1]Pc, Spring, S3'!R3*Main!$B$5)+(_xlfn.IFNA(VLOOKUP($A3,'FL Ratio'!$A$3:$B$10,2,FALSE),0)*'FL Characterization'!R$2)</f>
        <v>47.521001114871822</v>
      </c>
      <c r="S3" s="2">
        <f>('[1]Pc, Spring, S3'!S3*Main!$B$5)+(_xlfn.IFNA(VLOOKUP($A3,'FL Ratio'!$A$3:$B$10,2,FALSE),0)*'FL Characterization'!S$2)</f>
        <v>52.578625131170334</v>
      </c>
      <c r="T3" s="2">
        <f>('[1]Pc, Spring, S3'!T3*Main!$B$5)+(_xlfn.IFNA(VLOOKUP($A3,'FL Ratio'!$A$3:$B$10,2,FALSE),0)*'FL Characterization'!T$2)</f>
        <v>52.270067686398356</v>
      </c>
      <c r="U3" s="2">
        <f>('[1]Pc, Spring, S3'!U3*Main!$B$5)+(_xlfn.IFNA(VLOOKUP($A3,'FL Ratio'!$A$3:$B$10,2,FALSE),0)*'FL Characterization'!U$2)</f>
        <v>50.649876873139213</v>
      </c>
      <c r="V3" s="2">
        <f>('[1]Pc, Spring, S3'!V3*Main!$B$5)+(_xlfn.IFNA(VLOOKUP($A3,'FL Ratio'!$A$3:$B$10,2,FALSE),0)*'FL Characterization'!V$2)</f>
        <v>48.728186990708181</v>
      </c>
      <c r="W3" s="2">
        <f>('[1]Pc, Spring, S3'!W3*Main!$B$5)+(_xlfn.IFNA(VLOOKUP($A3,'FL Ratio'!$A$3:$B$10,2,FALSE),0)*'FL Characterization'!W$2)</f>
        <v>47.706353965980597</v>
      </c>
      <c r="X3" s="2">
        <f>('[1]Pc, Spring, S3'!X3*Main!$B$5)+(_xlfn.IFNA(VLOOKUP($A3,'FL Ratio'!$A$3:$B$10,2,FALSE),0)*'FL Characterization'!X$2)</f>
        <v>45.712654360120247</v>
      </c>
      <c r="Y3" s="2">
        <f>('[1]Pc, Spring, S3'!Y3*Main!$B$5)+(_xlfn.IFNA(VLOOKUP($A3,'FL Ratio'!$A$3:$B$10,2,FALSE),0)*'FL Characterization'!Y$2)</f>
        <v>42.965430209443028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52.909822106421196</v>
      </c>
      <c r="C4" s="2">
        <f>('[1]Pc, Spring, S3'!C4*Main!$B$5)+(_xlfn.IFNA(VLOOKUP($A4,'FL Ratio'!$A$3:$B$10,2,FALSE),0)*'FL Characterization'!C$2)</f>
        <v>46.546658761178243</v>
      </c>
      <c r="D4" s="2">
        <f>('[1]Pc, Spring, S3'!D4*Main!$B$5)+(_xlfn.IFNA(VLOOKUP($A4,'FL Ratio'!$A$3:$B$10,2,FALSE),0)*'FL Characterization'!D$2)</f>
        <v>46.591224947790309</v>
      </c>
      <c r="E4" s="2">
        <f>('[1]Pc, Spring, S3'!E4*Main!$B$5)+(_xlfn.IFNA(VLOOKUP($A4,'FL Ratio'!$A$3:$B$10,2,FALSE),0)*'FL Characterization'!E$2)</f>
        <v>42.969327354655988</v>
      </c>
      <c r="F4" s="2">
        <f>('[1]Pc, Spring, S3'!F4*Main!$B$5)+(_xlfn.IFNA(VLOOKUP($A4,'FL Ratio'!$A$3:$B$10,2,FALSE),0)*'FL Characterization'!F$2)</f>
        <v>45.201888194613964</v>
      </c>
      <c r="G4" s="2">
        <f>('[1]Pc, Spring, S3'!G4*Main!$B$5)+(_xlfn.IFNA(VLOOKUP($A4,'FL Ratio'!$A$3:$B$10,2,FALSE),0)*'FL Characterization'!G$2)</f>
        <v>44.265141127984187</v>
      </c>
      <c r="H4" s="2">
        <f>('[1]Pc, Spring, S3'!H4*Main!$B$5)+(_xlfn.IFNA(VLOOKUP($A4,'FL Ratio'!$A$3:$B$10,2,FALSE),0)*'FL Characterization'!H$2)</f>
        <v>51.843829175208349</v>
      </c>
      <c r="I4" s="2">
        <f>('[1]Pc, Spring, S3'!I4*Main!$B$5)+(_xlfn.IFNA(VLOOKUP($A4,'FL Ratio'!$A$3:$B$10,2,FALSE),0)*'FL Characterization'!I$2)</f>
        <v>55.51092734990771</v>
      </c>
      <c r="J4" s="2">
        <f>('[1]Pc, Spring, S3'!J4*Main!$B$5)+(_xlfn.IFNA(VLOOKUP($A4,'FL Ratio'!$A$3:$B$10,2,FALSE),0)*'FL Characterization'!J$2)</f>
        <v>64.113015375372029</v>
      </c>
      <c r="K4" s="2">
        <f>('[1]Pc, Spring, S3'!K4*Main!$B$5)+(_xlfn.IFNA(VLOOKUP($A4,'FL Ratio'!$A$3:$B$10,2,FALSE),0)*'FL Characterization'!K$2)</f>
        <v>65.930259156107951</v>
      </c>
      <c r="L4" s="2">
        <f>('[1]Pc, Spring, S3'!L4*Main!$B$5)+(_xlfn.IFNA(VLOOKUP($A4,'FL Ratio'!$A$3:$B$10,2,FALSE),0)*'FL Characterization'!L$2)</f>
        <v>68.080894088808961</v>
      </c>
      <c r="M4" s="2">
        <f>('[1]Pc, Spring, S3'!M4*Main!$B$5)+(_xlfn.IFNA(VLOOKUP($A4,'FL Ratio'!$A$3:$B$10,2,FALSE),0)*'FL Characterization'!M$2)</f>
        <v>71.86118133962448</v>
      </c>
      <c r="N4" s="2">
        <f>('[1]Pc, Spring, S3'!N4*Main!$B$5)+(_xlfn.IFNA(VLOOKUP($A4,'FL Ratio'!$A$3:$B$10,2,FALSE),0)*'FL Characterization'!N$2)</f>
        <v>72.542829392582547</v>
      </c>
      <c r="O4" s="2">
        <f>('[1]Pc, Spring, S3'!O4*Main!$B$5)+(_xlfn.IFNA(VLOOKUP($A4,'FL Ratio'!$A$3:$B$10,2,FALSE),0)*'FL Characterization'!O$2)</f>
        <v>72.4826949240163</v>
      </c>
      <c r="P4" s="2">
        <f>('[1]Pc, Spring, S3'!P4*Main!$B$5)+(_xlfn.IFNA(VLOOKUP($A4,'FL Ratio'!$A$3:$B$10,2,FALSE),0)*'FL Characterization'!P$2)</f>
        <v>68.563453537031677</v>
      </c>
      <c r="Q4" s="2">
        <f>('[1]Pc, Spring, S3'!Q4*Main!$B$5)+(_xlfn.IFNA(VLOOKUP($A4,'FL Ratio'!$A$3:$B$10,2,FALSE),0)*'FL Characterization'!Q$2)</f>
        <v>69.245132713886463</v>
      </c>
      <c r="R4" s="2">
        <f>('[1]Pc, Spring, S3'!R4*Main!$B$5)+(_xlfn.IFNA(VLOOKUP($A4,'FL Ratio'!$A$3:$B$10,2,FALSE),0)*'FL Characterization'!R$2)</f>
        <v>68.487952549735638</v>
      </c>
      <c r="S4" s="2">
        <f>('[1]Pc, Spring, S3'!S4*Main!$B$5)+(_xlfn.IFNA(VLOOKUP($A4,'FL Ratio'!$A$3:$B$10,2,FALSE),0)*'FL Characterization'!S$2)</f>
        <v>71.325144128306036</v>
      </c>
      <c r="T4" s="2">
        <f>('[1]Pc, Spring, S3'!T4*Main!$B$5)+(_xlfn.IFNA(VLOOKUP($A4,'FL Ratio'!$A$3:$B$10,2,FALSE),0)*'FL Characterization'!T$2)</f>
        <v>70.73979281399194</v>
      </c>
      <c r="U4" s="2">
        <f>('[1]Pc, Spring, S3'!U4*Main!$B$5)+(_xlfn.IFNA(VLOOKUP($A4,'FL Ratio'!$A$3:$B$10,2,FALSE),0)*'FL Characterization'!U$2)</f>
        <v>69.092559201656385</v>
      </c>
      <c r="V4" s="2">
        <f>('[1]Pc, Spring, S3'!V4*Main!$B$5)+(_xlfn.IFNA(VLOOKUP($A4,'FL Ratio'!$A$3:$B$10,2,FALSE),0)*'FL Characterization'!V$2)</f>
        <v>67.758583858778465</v>
      </c>
      <c r="W4" s="2">
        <f>('[1]Pc, Spring, S3'!W4*Main!$B$5)+(_xlfn.IFNA(VLOOKUP($A4,'FL Ratio'!$A$3:$B$10,2,FALSE),0)*'FL Characterization'!W$2)</f>
        <v>70.655575851851737</v>
      </c>
      <c r="X4" s="2">
        <f>('[1]Pc, Spring, S3'!X4*Main!$B$5)+(_xlfn.IFNA(VLOOKUP($A4,'FL Ratio'!$A$3:$B$10,2,FALSE),0)*'FL Characterization'!X$2)</f>
        <v>66.733843532361604</v>
      </c>
      <c r="Y4" s="2">
        <f>('[1]Pc, Spring, S3'!Y4*Main!$B$5)+(_xlfn.IFNA(VLOOKUP($A4,'FL Ratio'!$A$3:$B$10,2,FALSE),0)*'FL Characterization'!Y$2)</f>
        <v>61.348900473468916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064D-398A-4E65-BE27-04F7B80F51C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-14.079886805514988</v>
      </c>
      <c r="C2" s="2">
        <f>('[1]Qc, Spring, S1'!C2*Main!$B$5)</f>
        <v>-16.589493349317753</v>
      </c>
      <c r="D2" s="2">
        <f>('[1]Qc, Spring, S1'!D2*Main!$B$5)</f>
        <v>-18.6459568123982</v>
      </c>
      <c r="E2" s="2">
        <f>('[1]Qc, Spring, S1'!E2*Main!$B$5)</f>
        <v>-17.560870905091182</v>
      </c>
      <c r="F2" s="2">
        <f>('[1]Qc, Spring, S1'!F2*Main!$B$5)</f>
        <v>-17.737430370187624</v>
      </c>
      <c r="G2" s="2">
        <f>('[1]Qc, Spring, S1'!G2*Main!$B$5)</f>
        <v>-17.438331342100259</v>
      </c>
      <c r="H2" s="2">
        <f>('[1]Qc, Spring, S1'!H2*Main!$B$5)</f>
        <v>-14.50588590386455</v>
      </c>
      <c r="I2" s="2">
        <f>('[1]Qc, Spring, S1'!I2*Main!$B$5)</f>
        <v>-3.4756259923987636</v>
      </c>
      <c r="J2" s="2">
        <f>('[1]Qc, Spring, S1'!J2*Main!$B$5)</f>
        <v>3.8948587649042361</v>
      </c>
      <c r="K2" s="2">
        <f>('[1]Qc, Spring, S1'!K2*Main!$B$5)</f>
        <v>7.110512735397295</v>
      </c>
      <c r="L2" s="2">
        <f>('[1]Qc, Spring, S1'!L2*Main!$B$5)</f>
        <v>4.6600760989088243</v>
      </c>
      <c r="M2" s="2">
        <f>('[1]Qc, Spring, S1'!M2*Main!$B$5)</f>
        <v>6.4050627690560553</v>
      </c>
      <c r="N2" s="2">
        <f>('[1]Qc, Spring, S1'!N2*Main!$B$5)</f>
        <v>5.6152148307235272</v>
      </c>
      <c r="O2" s="2">
        <f>('[1]Qc, Spring, S1'!O2*Main!$B$5)</f>
        <v>5.6138350125166783</v>
      </c>
      <c r="P2" s="2">
        <f>('[1]Qc, Spring, S1'!P2*Main!$B$5)</f>
        <v>1.2901714647574887</v>
      </c>
      <c r="Q2" s="2">
        <f>('[1]Qc, Spring, S1'!Q2*Main!$B$5)</f>
        <v>-2.3359131889358102</v>
      </c>
      <c r="R2" s="2">
        <f>('[1]Qc, Spring, S1'!R2*Main!$B$5)</f>
        <v>-1.0089234139491219</v>
      </c>
      <c r="S2" s="2">
        <f>('[1]Qc, Spring, S1'!S2*Main!$B$5)</f>
        <v>1.4445127165814591</v>
      </c>
      <c r="T2" s="2">
        <f>('[1]Qc, Spring, S1'!T2*Main!$B$5)</f>
        <v>8.7255589962933158E-2</v>
      </c>
      <c r="U2" s="2">
        <f>('[1]Qc, Spring, S1'!U2*Main!$B$5)</f>
        <v>-1.8687988627381449</v>
      </c>
      <c r="V2" s="2">
        <f>('[1]Qc, Spring, S1'!V2*Main!$B$5)</f>
        <v>-3.7929543706363602</v>
      </c>
      <c r="W2" s="2">
        <f>('[1]Qc, Spring, S1'!W2*Main!$B$5)</f>
        <v>-4.1816789046601803</v>
      </c>
      <c r="X2" s="2">
        <f>('[1]Qc, Spring, S1'!X2*Main!$B$5)</f>
        <v>-8.009583437019824</v>
      </c>
      <c r="Y2" s="2">
        <f>('[1]Qc, Spring, S1'!Y2*Main!$B$5)</f>
        <v>-10.092763454384935</v>
      </c>
    </row>
    <row r="3" spans="1:25" x14ac:dyDescent="0.3">
      <c r="A3">
        <v>2</v>
      </c>
      <c r="B3" s="2">
        <f>('[1]Qc, Spring, S1'!B3*Main!$B$5)</f>
        <v>-2.5923527317258244</v>
      </c>
      <c r="C3" s="2">
        <f>('[1]Qc, Spring, S1'!C3*Main!$B$5)</f>
        <v>-0.79420787933182291</v>
      </c>
      <c r="D3" s="2">
        <f>('[1]Qc, Spring, S1'!D3*Main!$B$5)</f>
        <v>-3.3259352086272109</v>
      </c>
      <c r="E3" s="2">
        <f>('[1]Qc, Spring, S1'!E3*Main!$B$5)</f>
        <v>-4.8440376841492547</v>
      </c>
      <c r="F3" s="2">
        <f>('[1]Qc, Spring, S1'!F3*Main!$B$5)</f>
        <v>-3.5552570158893628</v>
      </c>
      <c r="G3" s="2">
        <f>('[1]Qc, Spring, S1'!G3*Main!$B$5)</f>
        <v>-5.4347835245359137</v>
      </c>
      <c r="H3" s="2">
        <f>('[1]Qc, Spring, S1'!H3*Main!$B$5)</f>
        <v>-1.8612368874144518</v>
      </c>
      <c r="I3" s="2">
        <f>('[1]Qc, Spring, S1'!I3*Main!$B$5)</f>
        <v>1.4783689290037767</v>
      </c>
      <c r="J3" s="2">
        <f>('[1]Qc, Spring, S1'!J3*Main!$B$5)</f>
        <v>0.84681269046108654</v>
      </c>
      <c r="K3" s="2">
        <f>('[1]Qc, Spring, S1'!K3*Main!$B$5)</f>
        <v>1.0179458349626043</v>
      </c>
      <c r="L3" s="2">
        <f>('[1]Qc, Spring, S1'!L3*Main!$B$5)</f>
        <v>2.7145740859625138</v>
      </c>
      <c r="M3" s="2">
        <f>('[1]Qc, Spring, S1'!M3*Main!$B$5)</f>
        <v>1.6363413726920888</v>
      </c>
      <c r="N3" s="2">
        <f>('[1]Qc, Spring, S1'!N3*Main!$B$5)</f>
        <v>2.997780356866945</v>
      </c>
      <c r="O3" s="2">
        <f>('[1]Qc, Spring, S1'!O3*Main!$B$5)</f>
        <v>4.2447534060623369</v>
      </c>
      <c r="P3" s="2">
        <f>('[1]Qc, Spring, S1'!P3*Main!$B$5)</f>
        <v>3.0527518037431149</v>
      </c>
      <c r="Q3" s="2">
        <f>('[1]Qc, Spring, S1'!Q3*Main!$B$5)</f>
        <v>4.1550712568116905</v>
      </c>
      <c r="R3" s="2">
        <f>('[1]Qc, Spring, S1'!R3*Main!$B$5)</f>
        <v>1.5665487723751863</v>
      </c>
      <c r="S3" s="2">
        <f>('[1]Qc, Spring, S1'!S3*Main!$B$5)</f>
        <v>1.4629545594388405</v>
      </c>
      <c r="T3" s="2">
        <f>('[1]Qc, Spring, S1'!T3*Main!$B$5)</f>
        <v>1.5665487723751863</v>
      </c>
      <c r="U3" s="2">
        <f>('[1]Qc, Spring, S1'!U3*Main!$B$5)</f>
        <v>1.4434992746845716</v>
      </c>
      <c r="V3" s="2">
        <f>('[1]Qc, Spring, S1'!V3*Main!$B$5)</f>
        <v>-0.74627369964059387</v>
      </c>
      <c r="W3" s="2">
        <f>('[1]Qc, Spring, S1'!W3*Main!$B$5)</f>
        <v>0.67343931214873787</v>
      </c>
      <c r="X3" s="2">
        <f>('[1]Qc, Spring, S1'!X3*Main!$B$5)</f>
        <v>-3.73247177348797</v>
      </c>
      <c r="Y3" s="2">
        <f>('[1]Qc, Spring, S1'!Y3*Main!$B$5)</f>
        <v>-3.3664413561777535</v>
      </c>
    </row>
    <row r="4" spans="1:25" x14ac:dyDescent="0.3">
      <c r="A4">
        <v>3</v>
      </c>
      <c r="B4" s="2">
        <f>('[1]Qc, Spring, S1'!B4*Main!$B$5)</f>
        <v>11.985430521159412</v>
      </c>
      <c r="C4" s="2">
        <f>('[1]Qc, Spring, S1'!C4*Main!$B$5)</f>
        <v>9.5187623112119724</v>
      </c>
      <c r="D4" s="2">
        <f>('[1]Qc, Spring, S1'!D4*Main!$B$5)</f>
        <v>8.8370875315225472</v>
      </c>
      <c r="E4" s="2">
        <f>('[1]Qc, Spring, S1'!E4*Main!$B$5)</f>
        <v>8.1629790436397069</v>
      </c>
      <c r="F4" s="2">
        <f>('[1]Qc, Spring, S1'!F4*Main!$B$5)</f>
        <v>8.7103490670281349</v>
      </c>
      <c r="G4" s="2">
        <f>('[1]Qc, Spring, S1'!G4*Main!$B$5)</f>
        <v>6.7435054223021522</v>
      </c>
      <c r="H4" s="2">
        <f>('[1]Qc, Spring, S1'!H4*Main!$B$5)</f>
        <v>11.536107975047745</v>
      </c>
      <c r="I4" s="2">
        <f>('[1]Qc, Spring, S1'!I4*Main!$B$5)</f>
        <v>16.623597913996317</v>
      </c>
      <c r="J4" s="2">
        <f>('[1]Qc, Spring, S1'!J4*Main!$B$5)</f>
        <v>22.496928603652041</v>
      </c>
      <c r="K4" s="2">
        <f>('[1]Qc, Spring, S1'!K4*Main!$B$5)</f>
        <v>26.471777073592616</v>
      </c>
      <c r="L4" s="2">
        <f>('[1]Qc, Spring, S1'!L4*Main!$B$5)</f>
        <v>26.912332807659116</v>
      </c>
      <c r="M4" s="2">
        <f>('[1]Qc, Spring, S1'!M4*Main!$B$5)</f>
        <v>27.313383574776523</v>
      </c>
      <c r="N4" s="2">
        <f>('[1]Qc, Spring, S1'!N4*Main!$B$5)</f>
        <v>29.331079378055502</v>
      </c>
      <c r="O4" s="2">
        <f>('[1]Qc, Spring, S1'!O4*Main!$B$5)</f>
        <v>28.245110528760765</v>
      </c>
      <c r="P4" s="2">
        <f>('[1]Qc, Spring, S1'!P4*Main!$B$5)</f>
        <v>26.233312064893124</v>
      </c>
      <c r="Q4" s="2">
        <f>('[1]Qc, Spring, S1'!Q4*Main!$B$5)</f>
        <v>26.033311679086871</v>
      </c>
      <c r="R4" s="2">
        <f>('[1]Qc, Spring, S1'!R4*Main!$B$5)</f>
        <v>25.272445089688269</v>
      </c>
      <c r="S4" s="2">
        <f>('[1]Qc, Spring, S1'!S4*Main!$B$5)</f>
        <v>26.574576808993914</v>
      </c>
      <c r="T4" s="2">
        <f>('[1]Qc, Spring, S1'!T4*Main!$B$5)</f>
        <v>26.390016633233838</v>
      </c>
      <c r="U4" s="2">
        <f>('[1]Qc, Spring, S1'!U4*Main!$B$5)</f>
        <v>26.080059892028807</v>
      </c>
      <c r="V4" s="2">
        <f>('[1]Qc, Spring, S1'!V4*Main!$B$5)</f>
        <v>22.44061244589539</v>
      </c>
      <c r="W4" s="2">
        <f>('[1]Qc, Spring, S1'!W4*Main!$B$5)</f>
        <v>24.348031595096696</v>
      </c>
      <c r="X4" s="2">
        <f>('[1]Qc, Spring, S1'!X4*Main!$B$5)</f>
        <v>20.555817325333095</v>
      </c>
      <c r="Y4" s="2">
        <f>('[1]Qc, Spring, S1'!Y4*Main!$B$5)</f>
        <v>17.076974644279701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94AD-079E-420B-872E-C5172D7B66A6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-14.079886805514988</v>
      </c>
      <c r="C2" s="2">
        <f>('[1]Qc, Spring, S1'!C2*Main!$B$5)</f>
        <v>-16.589493349317753</v>
      </c>
      <c r="D2" s="2">
        <f>('[1]Qc, Spring, S1'!D2*Main!$B$5)</f>
        <v>-18.6459568123982</v>
      </c>
      <c r="E2" s="2">
        <f>('[1]Qc, Spring, S1'!E2*Main!$B$5)</f>
        <v>-17.560870905091182</v>
      </c>
      <c r="F2" s="2">
        <f>('[1]Qc, Spring, S1'!F2*Main!$B$5)</f>
        <v>-17.737430370187624</v>
      </c>
      <c r="G2" s="2">
        <f>('[1]Qc, Spring, S1'!G2*Main!$B$5)</f>
        <v>-17.438331342100259</v>
      </c>
      <c r="H2" s="2">
        <f>('[1]Qc, Spring, S1'!H2*Main!$B$5)</f>
        <v>-14.50588590386455</v>
      </c>
      <c r="I2" s="2">
        <f>('[1]Qc, Spring, S1'!I2*Main!$B$5)</f>
        <v>-3.4756259923987636</v>
      </c>
      <c r="J2" s="2">
        <f>('[1]Qc, Spring, S1'!J2*Main!$B$5)</f>
        <v>3.8948587649042361</v>
      </c>
      <c r="K2" s="2">
        <f>('[1]Qc, Spring, S1'!K2*Main!$B$5)</f>
        <v>7.110512735397295</v>
      </c>
      <c r="L2" s="2">
        <f>('[1]Qc, Spring, S1'!L2*Main!$B$5)</f>
        <v>4.6600760989088243</v>
      </c>
      <c r="M2" s="2">
        <f>('[1]Qc, Spring, S1'!M2*Main!$B$5)</f>
        <v>6.4050627690560553</v>
      </c>
      <c r="N2" s="2">
        <f>('[1]Qc, Spring, S1'!N2*Main!$B$5)</f>
        <v>5.6152148307235272</v>
      </c>
      <c r="O2" s="2">
        <f>('[1]Qc, Spring, S1'!O2*Main!$B$5)</f>
        <v>5.6138350125166783</v>
      </c>
      <c r="P2" s="2">
        <f>('[1]Qc, Spring, S1'!P2*Main!$B$5)</f>
        <v>1.2901714647574887</v>
      </c>
      <c r="Q2" s="2">
        <f>('[1]Qc, Spring, S1'!Q2*Main!$B$5)</f>
        <v>-2.3359131889358102</v>
      </c>
      <c r="R2" s="2">
        <f>('[1]Qc, Spring, S1'!R2*Main!$B$5)</f>
        <v>-1.0089234139491219</v>
      </c>
      <c r="S2" s="2">
        <f>('[1]Qc, Spring, S1'!S2*Main!$B$5)</f>
        <v>1.4445127165814591</v>
      </c>
      <c r="T2" s="2">
        <f>('[1]Qc, Spring, S1'!T2*Main!$B$5)</f>
        <v>8.7255589962933158E-2</v>
      </c>
      <c r="U2" s="2">
        <f>('[1]Qc, Spring, S1'!U2*Main!$B$5)</f>
        <v>-1.8687988627381449</v>
      </c>
      <c r="V2" s="2">
        <f>('[1]Qc, Spring, S1'!V2*Main!$B$5)</f>
        <v>-3.7929543706363602</v>
      </c>
      <c r="W2" s="2">
        <f>('[1]Qc, Spring, S1'!W2*Main!$B$5)</f>
        <v>-4.1816789046601803</v>
      </c>
      <c r="X2" s="2">
        <f>('[1]Qc, Spring, S1'!X2*Main!$B$5)</f>
        <v>-8.009583437019824</v>
      </c>
      <c r="Y2" s="2">
        <f>('[1]Qc, Spring, S1'!Y2*Main!$B$5)</f>
        <v>-10.092763454384935</v>
      </c>
    </row>
    <row r="3" spans="1:25" x14ac:dyDescent="0.3">
      <c r="A3">
        <v>2</v>
      </c>
      <c r="B3" s="2">
        <f>('[1]Qc, Spring, S1'!B3*Main!$B$5)</f>
        <v>-2.5923527317258244</v>
      </c>
      <c r="C3" s="2">
        <f>('[1]Qc, Spring, S1'!C3*Main!$B$5)</f>
        <v>-0.79420787933182291</v>
      </c>
      <c r="D3" s="2">
        <f>('[1]Qc, Spring, S1'!D3*Main!$B$5)</f>
        <v>-3.3259352086272109</v>
      </c>
      <c r="E3" s="2">
        <f>('[1]Qc, Spring, S1'!E3*Main!$B$5)</f>
        <v>-4.8440376841492547</v>
      </c>
      <c r="F3" s="2">
        <f>('[1]Qc, Spring, S1'!F3*Main!$B$5)</f>
        <v>-3.5552570158893628</v>
      </c>
      <c r="G3" s="2">
        <f>('[1]Qc, Spring, S1'!G3*Main!$B$5)</f>
        <v>-5.4347835245359137</v>
      </c>
      <c r="H3" s="2">
        <f>('[1]Qc, Spring, S1'!H3*Main!$B$5)</f>
        <v>-1.8612368874144518</v>
      </c>
      <c r="I3" s="2">
        <f>('[1]Qc, Spring, S1'!I3*Main!$B$5)</f>
        <v>1.4783689290037767</v>
      </c>
      <c r="J3" s="2">
        <f>('[1]Qc, Spring, S1'!J3*Main!$B$5)</f>
        <v>0.84681269046108654</v>
      </c>
      <c r="K3" s="2">
        <f>('[1]Qc, Spring, S1'!K3*Main!$B$5)</f>
        <v>1.0179458349626043</v>
      </c>
      <c r="L3" s="2">
        <f>('[1]Qc, Spring, S1'!L3*Main!$B$5)</f>
        <v>2.7145740859625138</v>
      </c>
      <c r="M3" s="2">
        <f>('[1]Qc, Spring, S1'!M3*Main!$B$5)</f>
        <v>1.6363413726920888</v>
      </c>
      <c r="N3" s="2">
        <f>('[1]Qc, Spring, S1'!N3*Main!$B$5)</f>
        <v>2.997780356866945</v>
      </c>
      <c r="O3" s="2">
        <f>('[1]Qc, Spring, S1'!O3*Main!$B$5)</f>
        <v>4.2447534060623369</v>
      </c>
      <c r="P3" s="2">
        <f>('[1]Qc, Spring, S1'!P3*Main!$B$5)</f>
        <v>3.0527518037431149</v>
      </c>
      <c r="Q3" s="2">
        <f>('[1]Qc, Spring, S1'!Q3*Main!$B$5)</f>
        <v>4.1550712568116905</v>
      </c>
      <c r="R3" s="2">
        <f>('[1]Qc, Spring, S1'!R3*Main!$B$5)</f>
        <v>1.5665487723751863</v>
      </c>
      <c r="S3" s="2">
        <f>('[1]Qc, Spring, S1'!S3*Main!$B$5)</f>
        <v>1.4629545594388405</v>
      </c>
      <c r="T3" s="2">
        <f>('[1]Qc, Spring, S1'!T3*Main!$B$5)</f>
        <v>1.5665487723751863</v>
      </c>
      <c r="U3" s="2">
        <f>('[1]Qc, Spring, S1'!U3*Main!$B$5)</f>
        <v>1.4434992746845716</v>
      </c>
      <c r="V3" s="2">
        <f>('[1]Qc, Spring, S1'!V3*Main!$B$5)</f>
        <v>-0.74627369964059387</v>
      </c>
      <c r="W3" s="2">
        <f>('[1]Qc, Spring, S1'!W3*Main!$B$5)</f>
        <v>0.67343931214873787</v>
      </c>
      <c r="X3" s="2">
        <f>('[1]Qc, Spring, S1'!X3*Main!$B$5)</f>
        <v>-3.73247177348797</v>
      </c>
      <c r="Y3" s="2">
        <f>('[1]Qc, Spring, S1'!Y3*Main!$B$5)</f>
        <v>-3.3664413561777535</v>
      </c>
    </row>
    <row r="4" spans="1:25" x14ac:dyDescent="0.3">
      <c r="A4">
        <v>3</v>
      </c>
      <c r="B4" s="2">
        <f>('[1]Qc, Spring, S1'!B4*Main!$B$5)</f>
        <v>11.985430521159412</v>
      </c>
      <c r="C4" s="2">
        <f>('[1]Qc, Spring, S1'!C4*Main!$B$5)</f>
        <v>9.5187623112119724</v>
      </c>
      <c r="D4" s="2">
        <f>('[1]Qc, Spring, S1'!D4*Main!$B$5)</f>
        <v>8.8370875315225472</v>
      </c>
      <c r="E4" s="2">
        <f>('[1]Qc, Spring, S1'!E4*Main!$B$5)</f>
        <v>8.1629790436397069</v>
      </c>
      <c r="F4" s="2">
        <f>('[1]Qc, Spring, S1'!F4*Main!$B$5)</f>
        <v>8.7103490670281349</v>
      </c>
      <c r="G4" s="2">
        <f>('[1]Qc, Spring, S1'!G4*Main!$B$5)</f>
        <v>6.7435054223021522</v>
      </c>
      <c r="H4" s="2">
        <f>('[1]Qc, Spring, S1'!H4*Main!$B$5)</f>
        <v>11.536107975047745</v>
      </c>
      <c r="I4" s="2">
        <f>('[1]Qc, Spring, S1'!I4*Main!$B$5)</f>
        <v>16.623597913996317</v>
      </c>
      <c r="J4" s="2">
        <f>('[1]Qc, Spring, S1'!J4*Main!$B$5)</f>
        <v>22.496928603652041</v>
      </c>
      <c r="K4" s="2">
        <f>('[1]Qc, Spring, S1'!K4*Main!$B$5)</f>
        <v>26.471777073592616</v>
      </c>
      <c r="L4" s="2">
        <f>('[1]Qc, Spring, S1'!L4*Main!$B$5)</f>
        <v>26.912332807659116</v>
      </c>
      <c r="M4" s="2">
        <f>('[1]Qc, Spring, S1'!M4*Main!$B$5)</f>
        <v>27.313383574776523</v>
      </c>
      <c r="N4" s="2">
        <f>('[1]Qc, Spring, S1'!N4*Main!$B$5)</f>
        <v>29.331079378055502</v>
      </c>
      <c r="O4" s="2">
        <f>('[1]Qc, Spring, S1'!O4*Main!$B$5)</f>
        <v>28.245110528760765</v>
      </c>
      <c r="P4" s="2">
        <f>('[1]Qc, Spring, S1'!P4*Main!$B$5)</f>
        <v>26.233312064893124</v>
      </c>
      <c r="Q4" s="2">
        <f>('[1]Qc, Spring, S1'!Q4*Main!$B$5)</f>
        <v>26.033311679086871</v>
      </c>
      <c r="R4" s="2">
        <f>('[1]Qc, Spring, S1'!R4*Main!$B$5)</f>
        <v>25.272445089688269</v>
      </c>
      <c r="S4" s="2">
        <f>('[1]Qc, Spring, S1'!S4*Main!$B$5)</f>
        <v>26.574576808993914</v>
      </c>
      <c r="T4" s="2">
        <f>('[1]Qc, Spring, S1'!T4*Main!$B$5)</f>
        <v>26.390016633233838</v>
      </c>
      <c r="U4" s="2">
        <f>('[1]Qc, Spring, S1'!U4*Main!$B$5)</f>
        <v>26.080059892028807</v>
      </c>
      <c r="V4" s="2">
        <f>('[1]Qc, Spring, S1'!V4*Main!$B$5)</f>
        <v>22.44061244589539</v>
      </c>
      <c r="W4" s="2">
        <f>('[1]Qc, Spring, S1'!W4*Main!$B$5)</f>
        <v>24.348031595096696</v>
      </c>
      <c r="X4" s="2">
        <f>('[1]Qc, Spring, S1'!X4*Main!$B$5)</f>
        <v>20.555817325333095</v>
      </c>
      <c r="Y4" s="2">
        <f>('[1]Qc, Spring, S1'!Y4*Main!$B$5)</f>
        <v>17.076974644279701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A5EA-0B6A-47A3-A1C6-41E65EF57CD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-14.079886805514988</v>
      </c>
      <c r="C2" s="2">
        <f>('[1]Qc, Spring, S1'!C2*Main!$B$5)</f>
        <v>-16.589493349317753</v>
      </c>
      <c r="D2" s="2">
        <f>('[1]Qc, Spring, S1'!D2*Main!$B$5)</f>
        <v>-18.6459568123982</v>
      </c>
      <c r="E2" s="2">
        <f>('[1]Qc, Spring, S1'!E2*Main!$B$5)</f>
        <v>-17.560870905091182</v>
      </c>
      <c r="F2" s="2">
        <f>('[1]Qc, Spring, S1'!F2*Main!$B$5)</f>
        <v>-17.737430370187624</v>
      </c>
      <c r="G2" s="2">
        <f>('[1]Qc, Spring, S1'!G2*Main!$B$5)</f>
        <v>-17.438331342100259</v>
      </c>
      <c r="H2" s="2">
        <f>('[1]Qc, Spring, S1'!H2*Main!$B$5)</f>
        <v>-14.50588590386455</v>
      </c>
      <c r="I2" s="2">
        <f>('[1]Qc, Spring, S1'!I2*Main!$B$5)</f>
        <v>-3.4756259923987636</v>
      </c>
      <c r="J2" s="2">
        <f>('[1]Qc, Spring, S1'!J2*Main!$B$5)</f>
        <v>3.8948587649042361</v>
      </c>
      <c r="K2" s="2">
        <f>('[1]Qc, Spring, S1'!K2*Main!$B$5)</f>
        <v>7.110512735397295</v>
      </c>
      <c r="L2" s="2">
        <f>('[1]Qc, Spring, S1'!L2*Main!$B$5)</f>
        <v>4.6600760989088243</v>
      </c>
      <c r="M2" s="2">
        <f>('[1]Qc, Spring, S1'!M2*Main!$B$5)</f>
        <v>6.4050627690560553</v>
      </c>
      <c r="N2" s="2">
        <f>('[1]Qc, Spring, S1'!N2*Main!$B$5)</f>
        <v>5.6152148307235272</v>
      </c>
      <c r="O2" s="2">
        <f>('[1]Qc, Spring, S1'!O2*Main!$B$5)</f>
        <v>5.6138350125166783</v>
      </c>
      <c r="P2" s="2">
        <f>('[1]Qc, Spring, S1'!P2*Main!$B$5)</f>
        <v>1.2901714647574887</v>
      </c>
      <c r="Q2" s="2">
        <f>('[1]Qc, Spring, S1'!Q2*Main!$B$5)</f>
        <v>-2.3359131889358102</v>
      </c>
      <c r="R2" s="2">
        <f>('[1]Qc, Spring, S1'!R2*Main!$B$5)</f>
        <v>-1.0089234139491219</v>
      </c>
      <c r="S2" s="2">
        <f>('[1]Qc, Spring, S1'!S2*Main!$B$5)</f>
        <v>1.4445127165814591</v>
      </c>
      <c r="T2" s="2">
        <f>('[1]Qc, Spring, S1'!T2*Main!$B$5)</f>
        <v>8.7255589962933158E-2</v>
      </c>
      <c r="U2" s="2">
        <f>('[1]Qc, Spring, S1'!U2*Main!$B$5)</f>
        <v>-1.8687988627381449</v>
      </c>
      <c r="V2" s="2">
        <f>('[1]Qc, Spring, S1'!V2*Main!$B$5)</f>
        <v>-3.7929543706363602</v>
      </c>
      <c r="W2" s="2">
        <f>('[1]Qc, Spring, S1'!W2*Main!$B$5)</f>
        <v>-4.1816789046601803</v>
      </c>
      <c r="X2" s="2">
        <f>('[1]Qc, Spring, S1'!X2*Main!$B$5)</f>
        <v>-8.009583437019824</v>
      </c>
      <c r="Y2" s="2">
        <f>('[1]Qc, Spring, S1'!Y2*Main!$B$5)</f>
        <v>-10.092763454384935</v>
      </c>
    </row>
    <row r="3" spans="1:25" x14ac:dyDescent="0.3">
      <c r="A3">
        <v>2</v>
      </c>
      <c r="B3" s="2">
        <f>('[1]Qc, Spring, S1'!B3*Main!$B$5)</f>
        <v>-2.5923527317258244</v>
      </c>
      <c r="C3" s="2">
        <f>('[1]Qc, Spring, S1'!C3*Main!$B$5)</f>
        <v>-0.79420787933182291</v>
      </c>
      <c r="D3" s="2">
        <f>('[1]Qc, Spring, S1'!D3*Main!$B$5)</f>
        <v>-3.3259352086272109</v>
      </c>
      <c r="E3" s="2">
        <f>('[1]Qc, Spring, S1'!E3*Main!$B$5)</f>
        <v>-4.8440376841492547</v>
      </c>
      <c r="F3" s="2">
        <f>('[1]Qc, Spring, S1'!F3*Main!$B$5)</f>
        <v>-3.5552570158893628</v>
      </c>
      <c r="G3" s="2">
        <f>('[1]Qc, Spring, S1'!G3*Main!$B$5)</f>
        <v>-5.4347835245359137</v>
      </c>
      <c r="H3" s="2">
        <f>('[1]Qc, Spring, S1'!H3*Main!$B$5)</f>
        <v>-1.8612368874144518</v>
      </c>
      <c r="I3" s="2">
        <f>('[1]Qc, Spring, S1'!I3*Main!$B$5)</f>
        <v>1.4783689290037767</v>
      </c>
      <c r="J3" s="2">
        <f>('[1]Qc, Spring, S1'!J3*Main!$B$5)</f>
        <v>0.84681269046108654</v>
      </c>
      <c r="K3" s="2">
        <f>('[1]Qc, Spring, S1'!K3*Main!$B$5)</f>
        <v>1.0179458349626043</v>
      </c>
      <c r="L3" s="2">
        <f>('[1]Qc, Spring, S1'!L3*Main!$B$5)</f>
        <v>2.7145740859625138</v>
      </c>
      <c r="M3" s="2">
        <f>('[1]Qc, Spring, S1'!M3*Main!$B$5)</f>
        <v>1.6363413726920888</v>
      </c>
      <c r="N3" s="2">
        <f>('[1]Qc, Spring, S1'!N3*Main!$B$5)</f>
        <v>2.997780356866945</v>
      </c>
      <c r="O3" s="2">
        <f>('[1]Qc, Spring, S1'!O3*Main!$B$5)</f>
        <v>4.2447534060623369</v>
      </c>
      <c r="P3" s="2">
        <f>('[1]Qc, Spring, S1'!P3*Main!$B$5)</f>
        <v>3.0527518037431149</v>
      </c>
      <c r="Q3" s="2">
        <f>('[1]Qc, Spring, S1'!Q3*Main!$B$5)</f>
        <v>4.1550712568116905</v>
      </c>
      <c r="R3" s="2">
        <f>('[1]Qc, Spring, S1'!R3*Main!$B$5)</f>
        <v>1.5665487723751863</v>
      </c>
      <c r="S3" s="2">
        <f>('[1]Qc, Spring, S1'!S3*Main!$B$5)</f>
        <v>1.4629545594388405</v>
      </c>
      <c r="T3" s="2">
        <f>('[1]Qc, Spring, S1'!T3*Main!$B$5)</f>
        <v>1.5665487723751863</v>
      </c>
      <c r="U3" s="2">
        <f>('[1]Qc, Spring, S1'!U3*Main!$B$5)</f>
        <v>1.4434992746845716</v>
      </c>
      <c r="V3" s="2">
        <f>('[1]Qc, Spring, S1'!V3*Main!$B$5)</f>
        <v>-0.74627369964059387</v>
      </c>
      <c r="W3" s="2">
        <f>('[1]Qc, Spring, S1'!W3*Main!$B$5)</f>
        <v>0.67343931214873787</v>
      </c>
      <c r="X3" s="2">
        <f>('[1]Qc, Spring, S1'!X3*Main!$B$5)</f>
        <v>-3.73247177348797</v>
      </c>
      <c r="Y3" s="2">
        <f>('[1]Qc, Spring, S1'!Y3*Main!$B$5)</f>
        <v>-3.3664413561777535</v>
      </c>
    </row>
    <row r="4" spans="1:25" x14ac:dyDescent="0.3">
      <c r="A4">
        <v>3</v>
      </c>
      <c r="B4" s="2">
        <f>('[1]Qc, Spring, S1'!B4*Main!$B$5)</f>
        <v>11.985430521159412</v>
      </c>
      <c r="C4" s="2">
        <f>('[1]Qc, Spring, S1'!C4*Main!$B$5)</f>
        <v>9.5187623112119724</v>
      </c>
      <c r="D4" s="2">
        <f>('[1]Qc, Spring, S1'!D4*Main!$B$5)</f>
        <v>8.8370875315225472</v>
      </c>
      <c r="E4" s="2">
        <f>('[1]Qc, Spring, S1'!E4*Main!$B$5)</f>
        <v>8.1629790436397069</v>
      </c>
      <c r="F4" s="2">
        <f>('[1]Qc, Spring, S1'!F4*Main!$B$5)</f>
        <v>8.7103490670281349</v>
      </c>
      <c r="G4" s="2">
        <f>('[1]Qc, Spring, S1'!G4*Main!$B$5)</f>
        <v>6.7435054223021522</v>
      </c>
      <c r="H4" s="2">
        <f>('[1]Qc, Spring, S1'!H4*Main!$B$5)</f>
        <v>11.536107975047745</v>
      </c>
      <c r="I4" s="2">
        <f>('[1]Qc, Spring, S1'!I4*Main!$B$5)</f>
        <v>16.623597913996317</v>
      </c>
      <c r="J4" s="2">
        <f>('[1]Qc, Spring, S1'!J4*Main!$B$5)</f>
        <v>22.496928603652041</v>
      </c>
      <c r="K4" s="2">
        <f>('[1]Qc, Spring, S1'!K4*Main!$B$5)</f>
        <v>26.471777073592616</v>
      </c>
      <c r="L4" s="2">
        <f>('[1]Qc, Spring, S1'!L4*Main!$B$5)</f>
        <v>26.912332807659116</v>
      </c>
      <c r="M4" s="2">
        <f>('[1]Qc, Spring, S1'!M4*Main!$B$5)</f>
        <v>27.313383574776523</v>
      </c>
      <c r="N4" s="2">
        <f>('[1]Qc, Spring, S1'!N4*Main!$B$5)</f>
        <v>29.331079378055502</v>
      </c>
      <c r="O4" s="2">
        <f>('[1]Qc, Spring, S1'!O4*Main!$B$5)</f>
        <v>28.245110528760765</v>
      </c>
      <c r="P4" s="2">
        <f>('[1]Qc, Spring, S1'!P4*Main!$B$5)</f>
        <v>26.233312064893124</v>
      </c>
      <c r="Q4" s="2">
        <f>('[1]Qc, Spring, S1'!Q4*Main!$B$5)</f>
        <v>26.033311679086871</v>
      </c>
      <c r="R4" s="2">
        <f>('[1]Qc, Spring, S1'!R4*Main!$B$5)</f>
        <v>25.272445089688269</v>
      </c>
      <c r="S4" s="2">
        <f>('[1]Qc, Spring, S1'!S4*Main!$B$5)</f>
        <v>26.574576808993914</v>
      </c>
      <c r="T4" s="2">
        <f>('[1]Qc, Spring, S1'!T4*Main!$B$5)</f>
        <v>26.390016633233838</v>
      </c>
      <c r="U4" s="2">
        <f>('[1]Qc, Spring, S1'!U4*Main!$B$5)</f>
        <v>26.080059892028807</v>
      </c>
      <c r="V4" s="2">
        <f>('[1]Qc, Spring, S1'!V4*Main!$B$5)</f>
        <v>22.44061244589539</v>
      </c>
      <c r="W4" s="2">
        <f>('[1]Qc, Spring, S1'!W4*Main!$B$5)</f>
        <v>24.348031595096696</v>
      </c>
      <c r="X4" s="2">
        <f>('[1]Qc, Spring, S1'!X4*Main!$B$5)</f>
        <v>20.555817325333095</v>
      </c>
      <c r="Y4" s="2">
        <f>('[1]Qc, Spring, S1'!Y4*Main!$B$5)</f>
        <v>17.076974644279701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4F07-C1AD-4D86-B5D4-DA6C81A87E64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-14.502283409680437</v>
      </c>
      <c r="C2" s="2">
        <f>('[1]Qc, Spring, S2'!C2*Main!$B$5)</f>
        <v>-17.087178149797285</v>
      </c>
      <c r="D2" s="2">
        <f>('[1]Qc, Spring, S2'!D2*Main!$B$5)</f>
        <v>-19.205335516770148</v>
      </c>
      <c r="E2" s="2">
        <f>('[1]Qc, Spring, S2'!E2*Main!$B$5)</f>
        <v>-18.087697032243916</v>
      </c>
      <c r="F2" s="2">
        <f>('[1]Qc, Spring, S2'!F2*Main!$B$5)</f>
        <v>-18.269553281293256</v>
      </c>
      <c r="G2" s="2">
        <f>('[1]Qc, Spring, S2'!G2*Main!$B$5)</f>
        <v>-17.961481282363266</v>
      </c>
      <c r="H2" s="2">
        <f>('[1]Qc, Spring, S2'!H2*Main!$B$5)</f>
        <v>-14.941062480980488</v>
      </c>
      <c r="I2" s="2">
        <f>('[1]Qc, Spring, S2'!I2*Main!$B$5)</f>
        <v>-3.5798947721707268</v>
      </c>
      <c r="J2" s="2">
        <f>('[1]Qc, Spring, S2'!J2*Main!$B$5)</f>
        <v>4.0117045278513634</v>
      </c>
      <c r="K2" s="2">
        <f>('[1]Qc, Spring, S2'!K2*Main!$B$5)</f>
        <v>7.3238281174592137</v>
      </c>
      <c r="L2" s="2">
        <f>('[1]Qc, Spring, S2'!L2*Main!$B$5)</f>
        <v>4.7998783818760895</v>
      </c>
      <c r="M2" s="2">
        <f>('[1]Qc, Spring, S2'!M2*Main!$B$5)</f>
        <v>6.5972146521277377</v>
      </c>
      <c r="N2" s="2">
        <f>('[1]Qc, Spring, S2'!N2*Main!$B$5)</f>
        <v>5.7836712756452338</v>
      </c>
      <c r="O2" s="2">
        <f>('[1]Qc, Spring, S2'!O2*Main!$B$5)</f>
        <v>5.7822500628921798</v>
      </c>
      <c r="P2" s="2">
        <f>('[1]Qc, Spring, S2'!P2*Main!$B$5)</f>
        <v>1.3288766087002135</v>
      </c>
      <c r="Q2" s="2">
        <f>('[1]Qc, Spring, S2'!Q2*Main!$B$5)</f>
        <v>-2.4059905846038849</v>
      </c>
      <c r="R2" s="2">
        <f>('[1]Qc, Spring, S2'!R2*Main!$B$5)</f>
        <v>-1.0391911163675958</v>
      </c>
      <c r="S2" s="2">
        <f>('[1]Qc, Spring, S2'!S2*Main!$B$5)</f>
        <v>1.4878480980789026</v>
      </c>
      <c r="T2" s="2">
        <f>('[1]Qc, Spring, S2'!T2*Main!$B$5)</f>
        <v>8.9873257661821165E-2</v>
      </c>
      <c r="U2" s="2">
        <f>('[1]Qc, Spring, S2'!U2*Main!$B$5)</f>
        <v>-1.9248628286202891</v>
      </c>
      <c r="V2" s="2">
        <f>('[1]Qc, Spring, S2'!V2*Main!$B$5)</f>
        <v>-3.9067430017554514</v>
      </c>
      <c r="W2" s="2">
        <f>('[1]Qc, Spring, S2'!W2*Main!$B$5)</f>
        <v>-4.3071292717999858</v>
      </c>
      <c r="X2" s="2">
        <f>('[1]Qc, Spring, S2'!X2*Main!$B$5)</f>
        <v>-8.2498709401304193</v>
      </c>
      <c r="Y2" s="2">
        <f>('[1]Qc, Spring, S2'!Y2*Main!$B$5)</f>
        <v>-10.395546358016484</v>
      </c>
    </row>
    <row r="3" spans="1:25" x14ac:dyDescent="0.3">
      <c r="A3">
        <v>2</v>
      </c>
      <c r="B3" s="2">
        <f>('[1]Qc, Spring, S2'!B3*Main!$B$5)</f>
        <v>-2.6701233136775988</v>
      </c>
      <c r="C3" s="2">
        <f>('[1]Qc, Spring, S2'!C3*Main!$B$5)</f>
        <v>-0.81803411571177775</v>
      </c>
      <c r="D3" s="2">
        <f>('[1]Qc, Spring, S2'!D3*Main!$B$5)</f>
        <v>-3.4257132648860269</v>
      </c>
      <c r="E3" s="2">
        <f>('[1]Qc, Spring, S2'!E3*Main!$B$5)</f>
        <v>-4.9893588146737331</v>
      </c>
      <c r="F3" s="2">
        <f>('[1]Qc, Spring, S2'!F3*Main!$B$5)</f>
        <v>-3.6619147263660432</v>
      </c>
      <c r="G3" s="2">
        <f>('[1]Qc, Spring, S2'!G3*Main!$B$5)</f>
        <v>-5.5978270302719917</v>
      </c>
      <c r="H3" s="2">
        <f>('[1]Qc, Spring, S2'!H3*Main!$B$5)</f>
        <v>-1.9170739940368853</v>
      </c>
      <c r="I3" s="2">
        <f>('[1]Qc, Spring, S2'!I3*Main!$B$5)</f>
        <v>1.52271999687389</v>
      </c>
      <c r="J3" s="2">
        <f>('[1]Qc, Spring, S2'!J3*Main!$B$5)</f>
        <v>0.87221707117491909</v>
      </c>
      <c r="K3" s="2">
        <f>('[1]Qc, Spring, S2'!K3*Main!$B$5)</f>
        <v>1.0484842100114824</v>
      </c>
      <c r="L3" s="2">
        <f>('[1]Qc, Spring, S2'!L3*Main!$B$5)</f>
        <v>2.7960113085413894</v>
      </c>
      <c r="M3" s="2">
        <f>('[1]Qc, Spring, S2'!M3*Main!$B$5)</f>
        <v>1.6854316138728516</v>
      </c>
      <c r="N3" s="2">
        <f>('[1]Qc, Spring, S2'!N3*Main!$B$5)</f>
        <v>3.087713767572954</v>
      </c>
      <c r="O3" s="2">
        <f>('[1]Qc, Spring, S2'!O3*Main!$B$5)</f>
        <v>4.3720960082442062</v>
      </c>
      <c r="P3" s="2">
        <f>('[1]Qc, Spring, S2'!P3*Main!$B$5)</f>
        <v>3.144334357855409</v>
      </c>
      <c r="Q3" s="2">
        <f>('[1]Qc, Spring, S2'!Q3*Main!$B$5)</f>
        <v>4.2797233945160418</v>
      </c>
      <c r="R3" s="2">
        <f>('[1]Qc, Spring, S2'!R3*Main!$B$5)</f>
        <v>1.6135452355464417</v>
      </c>
      <c r="S3" s="2">
        <f>('[1]Qc, Spring, S2'!S3*Main!$B$5)</f>
        <v>1.5068431962220057</v>
      </c>
      <c r="T3" s="2">
        <f>('[1]Qc, Spring, S2'!T3*Main!$B$5)</f>
        <v>1.6135452355464417</v>
      </c>
      <c r="U3" s="2">
        <f>('[1]Qc, Spring, S2'!U3*Main!$B$5)</f>
        <v>1.4868042529251086</v>
      </c>
      <c r="V3" s="2">
        <f>('[1]Qc, Spring, S2'!V3*Main!$B$5)</f>
        <v>-0.76866191062981171</v>
      </c>
      <c r="W3" s="2">
        <f>('[1]Qc, Spring, S2'!W3*Main!$B$5)</f>
        <v>0.69364249151320001</v>
      </c>
      <c r="X3" s="2">
        <f>('[1]Qc, Spring, S2'!X3*Main!$B$5)</f>
        <v>-3.8444459266926092</v>
      </c>
      <c r="Y3" s="2">
        <f>('[1]Qc, Spring, S2'!Y3*Main!$B$5)</f>
        <v>-3.467434596863086</v>
      </c>
    </row>
    <row r="4" spans="1:25" x14ac:dyDescent="0.3">
      <c r="A4">
        <v>3</v>
      </c>
      <c r="B4" s="2">
        <f>('[1]Qc, Spring, S2'!B4*Main!$B$5)</f>
        <v>12.344993436794192</v>
      </c>
      <c r="C4" s="2">
        <f>('[1]Qc, Spring, S2'!C4*Main!$B$5)</f>
        <v>9.8043251805483322</v>
      </c>
      <c r="D4" s="2">
        <f>('[1]Qc, Spring, S2'!D4*Main!$B$5)</f>
        <v>9.1022001574682232</v>
      </c>
      <c r="E4" s="2">
        <f>('[1]Qc, Spring, S2'!E4*Main!$B$5)</f>
        <v>8.4078684149488989</v>
      </c>
      <c r="F4" s="2">
        <f>('[1]Qc, Spring, S2'!F4*Main!$B$5)</f>
        <v>8.9716595390389795</v>
      </c>
      <c r="G4" s="2">
        <f>('[1]Qc, Spring, S2'!G4*Main!$B$5)</f>
        <v>6.9458105849712171</v>
      </c>
      <c r="H4" s="2">
        <f>('[1]Qc, Spring, S2'!H4*Main!$B$5)</f>
        <v>11.88219121429918</v>
      </c>
      <c r="I4" s="2">
        <f>('[1]Qc, Spring, S2'!I4*Main!$B$5)</f>
        <v>17.122305851416208</v>
      </c>
      <c r="J4" s="2">
        <f>('[1]Qc, Spring, S2'!J4*Main!$B$5)</f>
        <v>23.1718364617616</v>
      </c>
      <c r="K4" s="2">
        <f>('[1]Qc, Spring, S2'!K4*Main!$B$5)</f>
        <v>27.265930385800395</v>
      </c>
      <c r="L4" s="2">
        <f>('[1]Qc, Spring, S2'!L4*Main!$B$5)</f>
        <v>27.719702791888892</v>
      </c>
      <c r="M4" s="2">
        <f>('[1]Qc, Spring, S2'!M4*Main!$B$5)</f>
        <v>28.132785082019819</v>
      </c>
      <c r="N4" s="2">
        <f>('[1]Qc, Spring, S2'!N4*Main!$B$5)</f>
        <v>30.211011759397174</v>
      </c>
      <c r="O4" s="2">
        <f>('[1]Qc, Spring, S2'!O4*Main!$B$5)</f>
        <v>29.092463844623591</v>
      </c>
      <c r="P4" s="2">
        <f>('[1]Qc, Spring, S2'!P4*Main!$B$5)</f>
        <v>27.020311426839914</v>
      </c>
      <c r="Q4" s="2">
        <f>('[1]Qc, Spring, S2'!Q4*Main!$B$5)</f>
        <v>26.814311029459478</v>
      </c>
      <c r="R4" s="2">
        <f>('[1]Qc, Spring, S2'!R4*Main!$B$5)</f>
        <v>26.030618442378913</v>
      </c>
      <c r="S4" s="2">
        <f>('[1]Qc, Spring, S2'!S4*Main!$B$5)</f>
        <v>27.371814113263728</v>
      </c>
      <c r="T4" s="2">
        <f>('[1]Qc, Spring, S2'!T4*Main!$B$5)</f>
        <v>27.181717132230858</v>
      </c>
      <c r="U4" s="2">
        <f>('[1]Qc, Spring, S2'!U4*Main!$B$5)</f>
        <v>26.862461688789672</v>
      </c>
      <c r="V4" s="2">
        <f>('[1]Qc, Spring, S2'!V4*Main!$B$5)</f>
        <v>23.113830819272252</v>
      </c>
      <c r="W4" s="2">
        <f>('[1]Qc, Spring, S2'!W4*Main!$B$5)</f>
        <v>25.078472542949594</v>
      </c>
      <c r="X4" s="2">
        <f>('[1]Qc, Spring, S2'!X4*Main!$B$5)</f>
        <v>21.172491845093084</v>
      </c>
      <c r="Y4" s="2">
        <f>('[1]Qc, Spring, S2'!Y4*Main!$B$5)</f>
        <v>17.589283883608093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6530-5877-4027-8363-AD7F85A7384A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-14.502283409680437</v>
      </c>
      <c r="C2" s="2">
        <f>('[1]Qc, Spring, S2'!C2*Main!$B$5)</f>
        <v>-17.087178149797285</v>
      </c>
      <c r="D2" s="2">
        <f>('[1]Qc, Spring, S2'!D2*Main!$B$5)</f>
        <v>-19.205335516770148</v>
      </c>
      <c r="E2" s="2">
        <f>('[1]Qc, Spring, S2'!E2*Main!$B$5)</f>
        <v>-18.087697032243916</v>
      </c>
      <c r="F2" s="2">
        <f>('[1]Qc, Spring, S2'!F2*Main!$B$5)</f>
        <v>-18.269553281293256</v>
      </c>
      <c r="G2" s="2">
        <f>('[1]Qc, Spring, S2'!G2*Main!$B$5)</f>
        <v>-17.961481282363266</v>
      </c>
      <c r="H2" s="2">
        <f>('[1]Qc, Spring, S2'!H2*Main!$B$5)</f>
        <v>-14.941062480980488</v>
      </c>
      <c r="I2" s="2">
        <f>('[1]Qc, Spring, S2'!I2*Main!$B$5)</f>
        <v>-3.5798947721707268</v>
      </c>
      <c r="J2" s="2">
        <f>('[1]Qc, Spring, S2'!J2*Main!$B$5)</f>
        <v>4.0117045278513634</v>
      </c>
      <c r="K2" s="2">
        <f>('[1]Qc, Spring, S2'!K2*Main!$B$5)</f>
        <v>7.3238281174592137</v>
      </c>
      <c r="L2" s="2">
        <f>('[1]Qc, Spring, S2'!L2*Main!$B$5)</f>
        <v>4.7998783818760895</v>
      </c>
      <c r="M2" s="2">
        <f>('[1]Qc, Spring, S2'!M2*Main!$B$5)</f>
        <v>6.5972146521277377</v>
      </c>
      <c r="N2" s="2">
        <f>('[1]Qc, Spring, S2'!N2*Main!$B$5)</f>
        <v>5.7836712756452338</v>
      </c>
      <c r="O2" s="2">
        <f>('[1]Qc, Spring, S2'!O2*Main!$B$5)</f>
        <v>5.7822500628921798</v>
      </c>
      <c r="P2" s="2">
        <f>('[1]Qc, Spring, S2'!P2*Main!$B$5)</f>
        <v>1.3288766087002135</v>
      </c>
      <c r="Q2" s="2">
        <f>('[1]Qc, Spring, S2'!Q2*Main!$B$5)</f>
        <v>-2.4059905846038849</v>
      </c>
      <c r="R2" s="2">
        <f>('[1]Qc, Spring, S2'!R2*Main!$B$5)</f>
        <v>-1.0391911163675958</v>
      </c>
      <c r="S2" s="2">
        <f>('[1]Qc, Spring, S2'!S2*Main!$B$5)</f>
        <v>1.4878480980789026</v>
      </c>
      <c r="T2" s="2">
        <f>('[1]Qc, Spring, S2'!T2*Main!$B$5)</f>
        <v>8.9873257661821165E-2</v>
      </c>
      <c r="U2" s="2">
        <f>('[1]Qc, Spring, S2'!U2*Main!$B$5)</f>
        <v>-1.9248628286202891</v>
      </c>
      <c r="V2" s="2">
        <f>('[1]Qc, Spring, S2'!V2*Main!$B$5)</f>
        <v>-3.9067430017554514</v>
      </c>
      <c r="W2" s="2">
        <f>('[1]Qc, Spring, S2'!W2*Main!$B$5)</f>
        <v>-4.3071292717999858</v>
      </c>
      <c r="X2" s="2">
        <f>('[1]Qc, Spring, S2'!X2*Main!$B$5)</f>
        <v>-8.2498709401304193</v>
      </c>
      <c r="Y2" s="2">
        <f>('[1]Qc, Spring, S2'!Y2*Main!$B$5)</f>
        <v>-10.395546358016484</v>
      </c>
    </row>
    <row r="3" spans="1:25" x14ac:dyDescent="0.3">
      <c r="A3">
        <v>2</v>
      </c>
      <c r="B3" s="2">
        <f>('[1]Qc, Spring, S2'!B3*Main!$B$5)</f>
        <v>-2.6701233136775988</v>
      </c>
      <c r="C3" s="2">
        <f>('[1]Qc, Spring, S2'!C3*Main!$B$5)</f>
        <v>-0.81803411571177775</v>
      </c>
      <c r="D3" s="2">
        <f>('[1]Qc, Spring, S2'!D3*Main!$B$5)</f>
        <v>-3.4257132648860269</v>
      </c>
      <c r="E3" s="2">
        <f>('[1]Qc, Spring, S2'!E3*Main!$B$5)</f>
        <v>-4.9893588146737331</v>
      </c>
      <c r="F3" s="2">
        <f>('[1]Qc, Spring, S2'!F3*Main!$B$5)</f>
        <v>-3.6619147263660432</v>
      </c>
      <c r="G3" s="2">
        <f>('[1]Qc, Spring, S2'!G3*Main!$B$5)</f>
        <v>-5.5978270302719917</v>
      </c>
      <c r="H3" s="2">
        <f>('[1]Qc, Spring, S2'!H3*Main!$B$5)</f>
        <v>-1.9170739940368853</v>
      </c>
      <c r="I3" s="2">
        <f>('[1]Qc, Spring, S2'!I3*Main!$B$5)</f>
        <v>1.52271999687389</v>
      </c>
      <c r="J3" s="2">
        <f>('[1]Qc, Spring, S2'!J3*Main!$B$5)</f>
        <v>0.87221707117491909</v>
      </c>
      <c r="K3" s="2">
        <f>('[1]Qc, Spring, S2'!K3*Main!$B$5)</f>
        <v>1.0484842100114824</v>
      </c>
      <c r="L3" s="2">
        <f>('[1]Qc, Spring, S2'!L3*Main!$B$5)</f>
        <v>2.7960113085413894</v>
      </c>
      <c r="M3" s="2">
        <f>('[1]Qc, Spring, S2'!M3*Main!$B$5)</f>
        <v>1.6854316138728516</v>
      </c>
      <c r="N3" s="2">
        <f>('[1]Qc, Spring, S2'!N3*Main!$B$5)</f>
        <v>3.087713767572954</v>
      </c>
      <c r="O3" s="2">
        <f>('[1]Qc, Spring, S2'!O3*Main!$B$5)</f>
        <v>4.3720960082442062</v>
      </c>
      <c r="P3" s="2">
        <f>('[1]Qc, Spring, S2'!P3*Main!$B$5)</f>
        <v>3.144334357855409</v>
      </c>
      <c r="Q3" s="2">
        <f>('[1]Qc, Spring, S2'!Q3*Main!$B$5)</f>
        <v>4.2797233945160418</v>
      </c>
      <c r="R3" s="2">
        <f>('[1]Qc, Spring, S2'!R3*Main!$B$5)</f>
        <v>1.6135452355464417</v>
      </c>
      <c r="S3" s="2">
        <f>('[1]Qc, Spring, S2'!S3*Main!$B$5)</f>
        <v>1.5068431962220057</v>
      </c>
      <c r="T3" s="2">
        <f>('[1]Qc, Spring, S2'!T3*Main!$B$5)</f>
        <v>1.6135452355464417</v>
      </c>
      <c r="U3" s="2">
        <f>('[1]Qc, Spring, S2'!U3*Main!$B$5)</f>
        <v>1.4868042529251086</v>
      </c>
      <c r="V3" s="2">
        <f>('[1]Qc, Spring, S2'!V3*Main!$B$5)</f>
        <v>-0.76866191062981171</v>
      </c>
      <c r="W3" s="2">
        <f>('[1]Qc, Spring, S2'!W3*Main!$B$5)</f>
        <v>0.69364249151320001</v>
      </c>
      <c r="X3" s="2">
        <f>('[1]Qc, Spring, S2'!X3*Main!$B$5)</f>
        <v>-3.8444459266926092</v>
      </c>
      <c r="Y3" s="2">
        <f>('[1]Qc, Spring, S2'!Y3*Main!$B$5)</f>
        <v>-3.467434596863086</v>
      </c>
    </row>
    <row r="4" spans="1:25" x14ac:dyDescent="0.3">
      <c r="A4">
        <v>3</v>
      </c>
      <c r="B4" s="2">
        <f>('[1]Qc, Spring, S2'!B4*Main!$B$5)</f>
        <v>12.344993436794192</v>
      </c>
      <c r="C4" s="2">
        <f>('[1]Qc, Spring, S2'!C4*Main!$B$5)</f>
        <v>9.8043251805483322</v>
      </c>
      <c r="D4" s="2">
        <f>('[1]Qc, Spring, S2'!D4*Main!$B$5)</f>
        <v>9.1022001574682232</v>
      </c>
      <c r="E4" s="2">
        <f>('[1]Qc, Spring, S2'!E4*Main!$B$5)</f>
        <v>8.4078684149488989</v>
      </c>
      <c r="F4" s="2">
        <f>('[1]Qc, Spring, S2'!F4*Main!$B$5)</f>
        <v>8.9716595390389795</v>
      </c>
      <c r="G4" s="2">
        <f>('[1]Qc, Spring, S2'!G4*Main!$B$5)</f>
        <v>6.9458105849712171</v>
      </c>
      <c r="H4" s="2">
        <f>('[1]Qc, Spring, S2'!H4*Main!$B$5)</f>
        <v>11.88219121429918</v>
      </c>
      <c r="I4" s="2">
        <f>('[1]Qc, Spring, S2'!I4*Main!$B$5)</f>
        <v>17.122305851416208</v>
      </c>
      <c r="J4" s="2">
        <f>('[1]Qc, Spring, S2'!J4*Main!$B$5)</f>
        <v>23.1718364617616</v>
      </c>
      <c r="K4" s="2">
        <f>('[1]Qc, Spring, S2'!K4*Main!$B$5)</f>
        <v>27.265930385800395</v>
      </c>
      <c r="L4" s="2">
        <f>('[1]Qc, Spring, S2'!L4*Main!$B$5)</f>
        <v>27.719702791888892</v>
      </c>
      <c r="M4" s="2">
        <f>('[1]Qc, Spring, S2'!M4*Main!$B$5)</f>
        <v>28.132785082019819</v>
      </c>
      <c r="N4" s="2">
        <f>('[1]Qc, Spring, S2'!N4*Main!$B$5)</f>
        <v>30.211011759397174</v>
      </c>
      <c r="O4" s="2">
        <f>('[1]Qc, Spring, S2'!O4*Main!$B$5)</f>
        <v>29.092463844623591</v>
      </c>
      <c r="P4" s="2">
        <f>('[1]Qc, Spring, S2'!P4*Main!$B$5)</f>
        <v>27.020311426839914</v>
      </c>
      <c r="Q4" s="2">
        <f>('[1]Qc, Spring, S2'!Q4*Main!$B$5)</f>
        <v>26.814311029459478</v>
      </c>
      <c r="R4" s="2">
        <f>('[1]Qc, Spring, S2'!R4*Main!$B$5)</f>
        <v>26.030618442378913</v>
      </c>
      <c r="S4" s="2">
        <f>('[1]Qc, Spring, S2'!S4*Main!$B$5)</f>
        <v>27.371814113263728</v>
      </c>
      <c r="T4" s="2">
        <f>('[1]Qc, Spring, S2'!T4*Main!$B$5)</f>
        <v>27.181717132230858</v>
      </c>
      <c r="U4" s="2">
        <f>('[1]Qc, Spring, S2'!U4*Main!$B$5)</f>
        <v>26.862461688789672</v>
      </c>
      <c r="V4" s="2">
        <f>('[1]Qc, Spring, S2'!V4*Main!$B$5)</f>
        <v>23.113830819272252</v>
      </c>
      <c r="W4" s="2">
        <f>('[1]Qc, Spring, S2'!W4*Main!$B$5)</f>
        <v>25.078472542949594</v>
      </c>
      <c r="X4" s="2">
        <f>('[1]Qc, Spring, S2'!X4*Main!$B$5)</f>
        <v>21.172491845093084</v>
      </c>
      <c r="Y4" s="2">
        <f>('[1]Qc, Spring, S2'!Y4*Main!$B$5)</f>
        <v>17.589283883608093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49A7-1C83-42B0-A3E1-8713694E41C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-14.502283409680437</v>
      </c>
      <c r="C2" s="2">
        <f>('[1]Qc, Spring, S2'!C2*Main!$B$5)</f>
        <v>-17.087178149797285</v>
      </c>
      <c r="D2" s="2">
        <f>('[1]Qc, Spring, S2'!D2*Main!$B$5)</f>
        <v>-19.205335516770148</v>
      </c>
      <c r="E2" s="2">
        <f>('[1]Qc, Spring, S2'!E2*Main!$B$5)</f>
        <v>-18.087697032243916</v>
      </c>
      <c r="F2" s="2">
        <f>('[1]Qc, Spring, S2'!F2*Main!$B$5)</f>
        <v>-18.269553281293256</v>
      </c>
      <c r="G2" s="2">
        <f>('[1]Qc, Spring, S2'!G2*Main!$B$5)</f>
        <v>-17.961481282363266</v>
      </c>
      <c r="H2" s="2">
        <f>('[1]Qc, Spring, S2'!H2*Main!$B$5)</f>
        <v>-14.941062480980488</v>
      </c>
      <c r="I2" s="2">
        <f>('[1]Qc, Spring, S2'!I2*Main!$B$5)</f>
        <v>-3.5798947721707268</v>
      </c>
      <c r="J2" s="2">
        <f>('[1]Qc, Spring, S2'!J2*Main!$B$5)</f>
        <v>4.0117045278513634</v>
      </c>
      <c r="K2" s="2">
        <f>('[1]Qc, Spring, S2'!K2*Main!$B$5)</f>
        <v>7.3238281174592137</v>
      </c>
      <c r="L2" s="2">
        <f>('[1]Qc, Spring, S2'!L2*Main!$B$5)</f>
        <v>4.7998783818760895</v>
      </c>
      <c r="M2" s="2">
        <f>('[1]Qc, Spring, S2'!M2*Main!$B$5)</f>
        <v>6.5972146521277377</v>
      </c>
      <c r="N2" s="2">
        <f>('[1]Qc, Spring, S2'!N2*Main!$B$5)</f>
        <v>5.7836712756452338</v>
      </c>
      <c r="O2" s="2">
        <f>('[1]Qc, Spring, S2'!O2*Main!$B$5)</f>
        <v>5.7822500628921798</v>
      </c>
      <c r="P2" s="2">
        <f>('[1]Qc, Spring, S2'!P2*Main!$B$5)</f>
        <v>1.3288766087002135</v>
      </c>
      <c r="Q2" s="2">
        <f>('[1]Qc, Spring, S2'!Q2*Main!$B$5)</f>
        <v>-2.4059905846038849</v>
      </c>
      <c r="R2" s="2">
        <f>('[1]Qc, Spring, S2'!R2*Main!$B$5)</f>
        <v>-1.0391911163675958</v>
      </c>
      <c r="S2" s="2">
        <f>('[1]Qc, Spring, S2'!S2*Main!$B$5)</f>
        <v>1.4878480980789026</v>
      </c>
      <c r="T2" s="2">
        <f>('[1]Qc, Spring, S2'!T2*Main!$B$5)</f>
        <v>8.9873257661821165E-2</v>
      </c>
      <c r="U2" s="2">
        <f>('[1]Qc, Spring, S2'!U2*Main!$B$5)</f>
        <v>-1.9248628286202891</v>
      </c>
      <c r="V2" s="2">
        <f>('[1]Qc, Spring, S2'!V2*Main!$B$5)</f>
        <v>-3.9067430017554514</v>
      </c>
      <c r="W2" s="2">
        <f>('[1]Qc, Spring, S2'!W2*Main!$B$5)</f>
        <v>-4.3071292717999858</v>
      </c>
      <c r="X2" s="2">
        <f>('[1]Qc, Spring, S2'!X2*Main!$B$5)</f>
        <v>-8.2498709401304193</v>
      </c>
      <c r="Y2" s="2">
        <f>('[1]Qc, Spring, S2'!Y2*Main!$B$5)</f>
        <v>-10.395546358016484</v>
      </c>
    </row>
    <row r="3" spans="1:25" x14ac:dyDescent="0.3">
      <c r="A3">
        <v>2</v>
      </c>
      <c r="B3" s="2">
        <f>('[1]Qc, Spring, S2'!B3*Main!$B$5)</f>
        <v>-2.6701233136775988</v>
      </c>
      <c r="C3" s="2">
        <f>('[1]Qc, Spring, S2'!C3*Main!$B$5)</f>
        <v>-0.81803411571177775</v>
      </c>
      <c r="D3" s="2">
        <f>('[1]Qc, Spring, S2'!D3*Main!$B$5)</f>
        <v>-3.4257132648860269</v>
      </c>
      <c r="E3" s="2">
        <f>('[1]Qc, Spring, S2'!E3*Main!$B$5)</f>
        <v>-4.9893588146737331</v>
      </c>
      <c r="F3" s="2">
        <f>('[1]Qc, Spring, S2'!F3*Main!$B$5)</f>
        <v>-3.6619147263660432</v>
      </c>
      <c r="G3" s="2">
        <f>('[1]Qc, Spring, S2'!G3*Main!$B$5)</f>
        <v>-5.5978270302719917</v>
      </c>
      <c r="H3" s="2">
        <f>('[1]Qc, Spring, S2'!H3*Main!$B$5)</f>
        <v>-1.9170739940368853</v>
      </c>
      <c r="I3" s="2">
        <f>('[1]Qc, Spring, S2'!I3*Main!$B$5)</f>
        <v>1.52271999687389</v>
      </c>
      <c r="J3" s="2">
        <f>('[1]Qc, Spring, S2'!J3*Main!$B$5)</f>
        <v>0.87221707117491909</v>
      </c>
      <c r="K3" s="2">
        <f>('[1]Qc, Spring, S2'!K3*Main!$B$5)</f>
        <v>1.0484842100114824</v>
      </c>
      <c r="L3" s="2">
        <f>('[1]Qc, Spring, S2'!L3*Main!$B$5)</f>
        <v>2.7960113085413894</v>
      </c>
      <c r="M3" s="2">
        <f>('[1]Qc, Spring, S2'!M3*Main!$B$5)</f>
        <v>1.6854316138728516</v>
      </c>
      <c r="N3" s="2">
        <f>('[1]Qc, Spring, S2'!N3*Main!$B$5)</f>
        <v>3.087713767572954</v>
      </c>
      <c r="O3" s="2">
        <f>('[1]Qc, Spring, S2'!O3*Main!$B$5)</f>
        <v>4.3720960082442062</v>
      </c>
      <c r="P3" s="2">
        <f>('[1]Qc, Spring, S2'!P3*Main!$B$5)</f>
        <v>3.144334357855409</v>
      </c>
      <c r="Q3" s="2">
        <f>('[1]Qc, Spring, S2'!Q3*Main!$B$5)</f>
        <v>4.2797233945160418</v>
      </c>
      <c r="R3" s="2">
        <f>('[1]Qc, Spring, S2'!R3*Main!$B$5)</f>
        <v>1.6135452355464417</v>
      </c>
      <c r="S3" s="2">
        <f>('[1]Qc, Spring, S2'!S3*Main!$B$5)</f>
        <v>1.5068431962220057</v>
      </c>
      <c r="T3" s="2">
        <f>('[1]Qc, Spring, S2'!T3*Main!$B$5)</f>
        <v>1.6135452355464417</v>
      </c>
      <c r="U3" s="2">
        <f>('[1]Qc, Spring, S2'!U3*Main!$B$5)</f>
        <v>1.4868042529251086</v>
      </c>
      <c r="V3" s="2">
        <f>('[1]Qc, Spring, S2'!V3*Main!$B$5)</f>
        <v>-0.76866191062981171</v>
      </c>
      <c r="W3" s="2">
        <f>('[1]Qc, Spring, S2'!W3*Main!$B$5)</f>
        <v>0.69364249151320001</v>
      </c>
      <c r="X3" s="2">
        <f>('[1]Qc, Spring, S2'!X3*Main!$B$5)</f>
        <v>-3.8444459266926092</v>
      </c>
      <c r="Y3" s="2">
        <f>('[1]Qc, Spring, S2'!Y3*Main!$B$5)</f>
        <v>-3.467434596863086</v>
      </c>
    </row>
    <row r="4" spans="1:25" x14ac:dyDescent="0.3">
      <c r="A4">
        <v>3</v>
      </c>
      <c r="B4" s="2">
        <f>('[1]Qc, Spring, S2'!B4*Main!$B$5)</f>
        <v>12.344993436794192</v>
      </c>
      <c r="C4" s="2">
        <f>('[1]Qc, Spring, S2'!C4*Main!$B$5)</f>
        <v>9.8043251805483322</v>
      </c>
      <c r="D4" s="2">
        <f>('[1]Qc, Spring, S2'!D4*Main!$B$5)</f>
        <v>9.1022001574682232</v>
      </c>
      <c r="E4" s="2">
        <f>('[1]Qc, Spring, S2'!E4*Main!$B$5)</f>
        <v>8.4078684149488989</v>
      </c>
      <c r="F4" s="2">
        <f>('[1]Qc, Spring, S2'!F4*Main!$B$5)</f>
        <v>8.9716595390389795</v>
      </c>
      <c r="G4" s="2">
        <f>('[1]Qc, Spring, S2'!G4*Main!$B$5)</f>
        <v>6.9458105849712171</v>
      </c>
      <c r="H4" s="2">
        <f>('[1]Qc, Spring, S2'!H4*Main!$B$5)</f>
        <v>11.88219121429918</v>
      </c>
      <c r="I4" s="2">
        <f>('[1]Qc, Spring, S2'!I4*Main!$B$5)</f>
        <v>17.122305851416208</v>
      </c>
      <c r="J4" s="2">
        <f>('[1]Qc, Spring, S2'!J4*Main!$B$5)</f>
        <v>23.1718364617616</v>
      </c>
      <c r="K4" s="2">
        <f>('[1]Qc, Spring, S2'!K4*Main!$B$5)</f>
        <v>27.265930385800395</v>
      </c>
      <c r="L4" s="2">
        <f>('[1]Qc, Spring, S2'!L4*Main!$B$5)</f>
        <v>27.719702791888892</v>
      </c>
      <c r="M4" s="2">
        <f>('[1]Qc, Spring, S2'!M4*Main!$B$5)</f>
        <v>28.132785082019819</v>
      </c>
      <c r="N4" s="2">
        <f>('[1]Qc, Spring, S2'!N4*Main!$B$5)</f>
        <v>30.211011759397174</v>
      </c>
      <c r="O4" s="2">
        <f>('[1]Qc, Spring, S2'!O4*Main!$B$5)</f>
        <v>29.092463844623591</v>
      </c>
      <c r="P4" s="2">
        <f>('[1]Qc, Spring, S2'!P4*Main!$B$5)</f>
        <v>27.020311426839914</v>
      </c>
      <c r="Q4" s="2">
        <f>('[1]Qc, Spring, S2'!Q4*Main!$B$5)</f>
        <v>26.814311029459478</v>
      </c>
      <c r="R4" s="2">
        <f>('[1]Qc, Spring, S2'!R4*Main!$B$5)</f>
        <v>26.030618442378913</v>
      </c>
      <c r="S4" s="2">
        <f>('[1]Qc, Spring, S2'!S4*Main!$B$5)</f>
        <v>27.371814113263728</v>
      </c>
      <c r="T4" s="2">
        <f>('[1]Qc, Spring, S2'!T4*Main!$B$5)</f>
        <v>27.181717132230858</v>
      </c>
      <c r="U4" s="2">
        <f>('[1]Qc, Spring, S2'!U4*Main!$B$5)</f>
        <v>26.862461688789672</v>
      </c>
      <c r="V4" s="2">
        <f>('[1]Qc, Spring, S2'!V4*Main!$B$5)</f>
        <v>23.113830819272252</v>
      </c>
      <c r="W4" s="2">
        <f>('[1]Qc, Spring, S2'!W4*Main!$B$5)</f>
        <v>25.078472542949594</v>
      </c>
      <c r="X4" s="2">
        <f>('[1]Qc, Spring, S2'!X4*Main!$B$5)</f>
        <v>21.172491845093084</v>
      </c>
      <c r="Y4" s="2">
        <f>('[1]Qc, Spring, S2'!Y4*Main!$B$5)</f>
        <v>17.589283883608093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70E4-9B43-4938-B307-FF5A33680FEB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-13.798289069404689</v>
      </c>
      <c r="C2" s="2">
        <f>('[1]Qc, Spring, S3'!C2*Main!$B$5)</f>
        <v>-16.257703482331397</v>
      </c>
      <c r="D2" s="2">
        <f>('[1]Qc, Spring, S3'!D2*Main!$B$5)</f>
        <v>-18.273037676150238</v>
      </c>
      <c r="E2" s="2">
        <f>('[1]Qc, Spring, S3'!E2*Main!$B$5)</f>
        <v>-17.209653486989357</v>
      </c>
      <c r="F2" s="2">
        <f>('[1]Qc, Spring, S3'!F2*Main!$B$5)</f>
        <v>-17.382681762783875</v>
      </c>
      <c r="G2" s="2">
        <f>('[1]Qc, Spring, S3'!G2*Main!$B$5)</f>
        <v>-17.089564715258252</v>
      </c>
      <c r="H2" s="2">
        <f>('[1]Qc, Spring, S3'!H2*Main!$B$5)</f>
        <v>-14.215768185787258</v>
      </c>
      <c r="I2" s="2">
        <f>('[1]Qc, Spring, S3'!I2*Main!$B$5)</f>
        <v>-3.4061134725507882</v>
      </c>
      <c r="J2" s="2">
        <f>('[1]Qc, Spring, S3'!J2*Main!$B$5)</f>
        <v>3.8169615896061515</v>
      </c>
      <c r="K2" s="2">
        <f>('[1]Qc, Spring, S3'!K2*Main!$B$5)</f>
        <v>6.9683024806893492</v>
      </c>
      <c r="L2" s="2">
        <f>('[1]Qc, Spring, S3'!L2*Main!$B$5)</f>
        <v>4.5668745769306476</v>
      </c>
      <c r="M2" s="2">
        <f>('[1]Qc, Spring, S3'!M2*Main!$B$5)</f>
        <v>6.2769615136749328</v>
      </c>
      <c r="N2" s="2">
        <f>('[1]Qc, Spring, S3'!N2*Main!$B$5)</f>
        <v>5.5029105341090565</v>
      </c>
      <c r="O2" s="2">
        <f>('[1]Qc, Spring, S3'!O2*Main!$B$5)</f>
        <v>5.5015583122663463</v>
      </c>
      <c r="P2" s="2">
        <f>('[1]Qc, Spring, S3'!P2*Main!$B$5)</f>
        <v>1.2643680354623388</v>
      </c>
      <c r="Q2" s="2">
        <f>('[1]Qc, Spring, S3'!Q2*Main!$B$5)</f>
        <v>-2.2891949251570942</v>
      </c>
      <c r="R2" s="2">
        <f>('[1]Qc, Spring, S3'!R2*Main!$B$5)</f>
        <v>-0.98874494567013949</v>
      </c>
      <c r="S2" s="2">
        <f>('[1]Qc, Spring, S3'!S2*Main!$B$5)</f>
        <v>1.4156224622498297</v>
      </c>
      <c r="T2" s="2">
        <f>('[1]Qc, Spring, S3'!T2*Main!$B$5)</f>
        <v>8.5510478163674505E-2</v>
      </c>
      <c r="U2" s="2">
        <f>('[1]Qc, Spring, S3'!U2*Main!$B$5)</f>
        <v>-1.8314228854833821</v>
      </c>
      <c r="V2" s="2">
        <f>('[1]Qc, Spring, S3'!V2*Main!$B$5)</f>
        <v>-3.7170952832236326</v>
      </c>
      <c r="W2" s="2">
        <f>('[1]Qc, Spring, S3'!W2*Main!$B$5)</f>
        <v>-4.098045326566977</v>
      </c>
      <c r="X2" s="2">
        <f>('[1]Qc, Spring, S3'!X2*Main!$B$5)</f>
        <v>-7.8493917682794283</v>
      </c>
      <c r="Y2" s="2">
        <f>('[1]Qc, Spring, S3'!Y2*Main!$B$5)</f>
        <v>-9.8909081852972367</v>
      </c>
    </row>
    <row r="3" spans="1:25" x14ac:dyDescent="0.3">
      <c r="A3">
        <v>2</v>
      </c>
      <c r="B3" s="2">
        <f>('[1]Qc, Spring, S3'!B3*Main!$B$5)</f>
        <v>-2.5405056770913075</v>
      </c>
      <c r="C3" s="2">
        <f>('[1]Qc, Spring, S3'!C3*Main!$B$5)</f>
        <v>-0.77832372174518649</v>
      </c>
      <c r="D3" s="2">
        <f>('[1]Qc, Spring, S3'!D3*Main!$B$5)</f>
        <v>-3.2594165044546659</v>
      </c>
      <c r="E3" s="2">
        <f>('[1]Qc, Spring, S3'!E3*Main!$B$5)</f>
        <v>-4.7471569304662697</v>
      </c>
      <c r="F3" s="2">
        <f>('[1]Qc, Spring, S3'!F3*Main!$B$5)</f>
        <v>-3.484151875571575</v>
      </c>
      <c r="G3" s="2">
        <f>('[1]Qc, Spring, S3'!G3*Main!$B$5)</f>
        <v>-5.3260878540451948</v>
      </c>
      <c r="H3" s="2">
        <f>('[1]Qc, Spring, S3'!H3*Main!$B$5)</f>
        <v>-1.8240121496661628</v>
      </c>
      <c r="I3" s="2">
        <f>('[1]Qc, Spring, S3'!I3*Main!$B$5)</f>
        <v>1.4488015504237013</v>
      </c>
      <c r="J3" s="2">
        <f>('[1]Qc, Spring, S3'!J3*Main!$B$5)</f>
        <v>0.82987643665186483</v>
      </c>
      <c r="K3" s="2">
        <f>('[1]Qc, Spring, S3'!K3*Main!$B$5)</f>
        <v>0.997586918263352</v>
      </c>
      <c r="L3" s="2">
        <f>('[1]Qc, Spring, S3'!L3*Main!$B$5)</f>
        <v>2.6602826042432639</v>
      </c>
      <c r="M3" s="2">
        <f>('[1]Qc, Spring, S3'!M3*Main!$B$5)</f>
        <v>1.6036145452382469</v>
      </c>
      <c r="N3" s="2">
        <f>('[1]Qc, Spring, S3'!N3*Main!$B$5)</f>
        <v>2.9378247497296068</v>
      </c>
      <c r="O3" s="2">
        <f>('[1]Qc, Spring, S3'!O3*Main!$B$5)</f>
        <v>4.1598583379410901</v>
      </c>
      <c r="P3" s="2">
        <f>('[1]Qc, Spring, S3'!P3*Main!$B$5)</f>
        <v>2.9916967676682527</v>
      </c>
      <c r="Q3" s="2">
        <f>('[1]Qc, Spring, S3'!Q3*Main!$B$5)</f>
        <v>4.0719698316754567</v>
      </c>
      <c r="R3" s="2">
        <f>('[1]Qc, Spring, S3'!R3*Main!$B$5)</f>
        <v>1.5352177969276823</v>
      </c>
      <c r="S3" s="2">
        <f>('[1]Qc, Spring, S3'!S3*Main!$B$5)</f>
        <v>1.433695468250064</v>
      </c>
      <c r="T3" s="2">
        <f>('[1]Qc, Spring, S3'!T3*Main!$B$5)</f>
        <v>1.5352177969276823</v>
      </c>
      <c r="U3" s="2">
        <f>('[1]Qc, Spring, S3'!U3*Main!$B$5)</f>
        <v>1.4146292891908803</v>
      </c>
      <c r="V3" s="2">
        <f>('[1]Qc, Spring, S3'!V3*Main!$B$5)</f>
        <v>-0.7313482256477819</v>
      </c>
      <c r="W3" s="2">
        <f>('[1]Qc, Spring, S3'!W3*Main!$B$5)</f>
        <v>0.65997052590576311</v>
      </c>
      <c r="X3" s="2">
        <f>('[1]Qc, Spring, S3'!X3*Main!$B$5)</f>
        <v>-3.6578223380182102</v>
      </c>
      <c r="Y3" s="2">
        <f>('[1]Qc, Spring, S3'!Y3*Main!$B$5)</f>
        <v>-3.2991125290541983</v>
      </c>
    </row>
    <row r="4" spans="1:25" x14ac:dyDescent="0.3">
      <c r="A4">
        <v>3</v>
      </c>
      <c r="B4" s="2">
        <f>('[1]Qc, Spring, S3'!B4*Main!$B$5)</f>
        <v>11.74572191073622</v>
      </c>
      <c r="C4" s="2">
        <f>('[1]Qc, Spring, S3'!C4*Main!$B$5)</f>
        <v>9.3283870649877336</v>
      </c>
      <c r="D4" s="2">
        <f>('[1]Qc, Spring, S3'!D4*Main!$B$5)</f>
        <v>8.6603457808920954</v>
      </c>
      <c r="E4" s="2">
        <f>('[1]Qc, Spring, S3'!E4*Main!$B$5)</f>
        <v>7.9997194627669135</v>
      </c>
      <c r="F4" s="2">
        <f>('[1]Qc, Spring, S3'!F4*Main!$B$5)</f>
        <v>8.5361420856875725</v>
      </c>
      <c r="G4" s="2">
        <f>('[1]Qc, Spring, S3'!G4*Main!$B$5)</f>
        <v>6.6086353138561096</v>
      </c>
      <c r="H4" s="2">
        <f>('[1]Qc, Spring, S3'!H4*Main!$B$5)</f>
        <v>11.305385815546792</v>
      </c>
      <c r="I4" s="2">
        <f>('[1]Qc, Spring, S3'!I4*Main!$B$5)</f>
        <v>16.291125955716392</v>
      </c>
      <c r="J4" s="2">
        <f>('[1]Qc, Spring, S3'!J4*Main!$B$5)</f>
        <v>22.046990031578996</v>
      </c>
      <c r="K4" s="2">
        <f>('[1]Qc, Spring, S3'!K4*Main!$B$5)</f>
        <v>25.942341532120764</v>
      </c>
      <c r="L4" s="2">
        <f>('[1]Qc, Spring, S3'!L4*Main!$B$5)</f>
        <v>26.374086151505935</v>
      </c>
      <c r="M4" s="2">
        <f>('[1]Qc, Spring, S3'!M4*Main!$B$5)</f>
        <v>26.767115903280995</v>
      </c>
      <c r="N4" s="2">
        <f>('[1]Qc, Spring, S3'!N4*Main!$B$5)</f>
        <v>28.744457790494391</v>
      </c>
      <c r="O4" s="2">
        <f>('[1]Qc, Spring, S3'!O4*Main!$B$5)</f>
        <v>27.680208318185553</v>
      </c>
      <c r="P4" s="2">
        <f>('[1]Qc, Spring, S3'!P4*Main!$B$5)</f>
        <v>25.708645823595255</v>
      </c>
      <c r="Q4" s="2">
        <f>('[1]Qc, Spring, S3'!Q4*Main!$B$5)</f>
        <v>25.512645445505136</v>
      </c>
      <c r="R4" s="2">
        <f>('[1]Qc, Spring, S3'!R4*Main!$B$5)</f>
        <v>24.766996187894502</v>
      </c>
      <c r="S4" s="2">
        <f>('[1]Qc, Spring, S3'!S4*Main!$B$5)</f>
        <v>26.043085272814036</v>
      </c>
      <c r="T4" s="2">
        <f>('[1]Qc, Spring, S3'!T4*Main!$B$5)</f>
        <v>25.862216300569159</v>
      </c>
      <c r="U4" s="2">
        <f>('[1]Qc, Spring, S3'!U4*Main!$B$5)</f>
        <v>25.558458694188229</v>
      </c>
      <c r="V4" s="2">
        <f>('[1]Qc, Spring, S3'!V4*Main!$B$5)</f>
        <v>21.991800196977486</v>
      </c>
      <c r="W4" s="2">
        <f>('[1]Qc, Spring, S3'!W4*Main!$B$5)</f>
        <v>23.861070963194759</v>
      </c>
      <c r="X4" s="2">
        <f>('[1]Qc, Spring, S3'!X4*Main!$B$5)</f>
        <v>20.144700978826432</v>
      </c>
      <c r="Y4" s="2">
        <f>('[1]Qc, Spring, S3'!Y4*Main!$B$5)</f>
        <v>16.735435151394107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55EC-B3D7-4687-8F9B-F40946549B6E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-13.798289069404689</v>
      </c>
      <c r="C2" s="2">
        <f>('[1]Qc, Spring, S3'!C2*Main!$B$5)</f>
        <v>-16.257703482331397</v>
      </c>
      <c r="D2" s="2">
        <f>('[1]Qc, Spring, S3'!D2*Main!$B$5)</f>
        <v>-18.273037676150238</v>
      </c>
      <c r="E2" s="2">
        <f>('[1]Qc, Spring, S3'!E2*Main!$B$5)</f>
        <v>-17.209653486989357</v>
      </c>
      <c r="F2" s="2">
        <f>('[1]Qc, Spring, S3'!F2*Main!$B$5)</f>
        <v>-17.382681762783875</v>
      </c>
      <c r="G2" s="2">
        <f>('[1]Qc, Spring, S3'!G2*Main!$B$5)</f>
        <v>-17.089564715258252</v>
      </c>
      <c r="H2" s="2">
        <f>('[1]Qc, Spring, S3'!H2*Main!$B$5)</f>
        <v>-14.215768185787258</v>
      </c>
      <c r="I2" s="2">
        <f>('[1]Qc, Spring, S3'!I2*Main!$B$5)</f>
        <v>-3.4061134725507882</v>
      </c>
      <c r="J2" s="2">
        <f>('[1]Qc, Spring, S3'!J2*Main!$B$5)</f>
        <v>3.8169615896061515</v>
      </c>
      <c r="K2" s="2">
        <f>('[1]Qc, Spring, S3'!K2*Main!$B$5)</f>
        <v>6.9683024806893492</v>
      </c>
      <c r="L2" s="2">
        <f>('[1]Qc, Spring, S3'!L2*Main!$B$5)</f>
        <v>4.5668745769306476</v>
      </c>
      <c r="M2" s="2">
        <f>('[1]Qc, Spring, S3'!M2*Main!$B$5)</f>
        <v>6.2769615136749328</v>
      </c>
      <c r="N2" s="2">
        <f>('[1]Qc, Spring, S3'!N2*Main!$B$5)</f>
        <v>5.5029105341090565</v>
      </c>
      <c r="O2" s="2">
        <f>('[1]Qc, Spring, S3'!O2*Main!$B$5)</f>
        <v>5.5015583122663463</v>
      </c>
      <c r="P2" s="2">
        <f>('[1]Qc, Spring, S3'!P2*Main!$B$5)</f>
        <v>1.2643680354623388</v>
      </c>
      <c r="Q2" s="2">
        <f>('[1]Qc, Spring, S3'!Q2*Main!$B$5)</f>
        <v>-2.2891949251570942</v>
      </c>
      <c r="R2" s="2">
        <f>('[1]Qc, Spring, S3'!R2*Main!$B$5)</f>
        <v>-0.98874494567013949</v>
      </c>
      <c r="S2" s="2">
        <f>('[1]Qc, Spring, S3'!S2*Main!$B$5)</f>
        <v>1.4156224622498297</v>
      </c>
      <c r="T2" s="2">
        <f>('[1]Qc, Spring, S3'!T2*Main!$B$5)</f>
        <v>8.5510478163674505E-2</v>
      </c>
      <c r="U2" s="2">
        <f>('[1]Qc, Spring, S3'!U2*Main!$B$5)</f>
        <v>-1.8314228854833821</v>
      </c>
      <c r="V2" s="2">
        <f>('[1]Qc, Spring, S3'!V2*Main!$B$5)</f>
        <v>-3.7170952832236326</v>
      </c>
      <c r="W2" s="2">
        <f>('[1]Qc, Spring, S3'!W2*Main!$B$5)</f>
        <v>-4.098045326566977</v>
      </c>
      <c r="X2" s="2">
        <f>('[1]Qc, Spring, S3'!X2*Main!$B$5)</f>
        <v>-7.8493917682794283</v>
      </c>
      <c r="Y2" s="2">
        <f>('[1]Qc, Spring, S3'!Y2*Main!$B$5)</f>
        <v>-9.8909081852972367</v>
      </c>
    </row>
    <row r="3" spans="1:25" x14ac:dyDescent="0.3">
      <c r="A3">
        <v>2</v>
      </c>
      <c r="B3" s="2">
        <f>('[1]Qc, Spring, S3'!B3*Main!$B$5)</f>
        <v>-2.5405056770913075</v>
      </c>
      <c r="C3" s="2">
        <f>('[1]Qc, Spring, S3'!C3*Main!$B$5)</f>
        <v>-0.77832372174518649</v>
      </c>
      <c r="D3" s="2">
        <f>('[1]Qc, Spring, S3'!D3*Main!$B$5)</f>
        <v>-3.2594165044546659</v>
      </c>
      <c r="E3" s="2">
        <f>('[1]Qc, Spring, S3'!E3*Main!$B$5)</f>
        <v>-4.7471569304662697</v>
      </c>
      <c r="F3" s="2">
        <f>('[1]Qc, Spring, S3'!F3*Main!$B$5)</f>
        <v>-3.484151875571575</v>
      </c>
      <c r="G3" s="2">
        <f>('[1]Qc, Spring, S3'!G3*Main!$B$5)</f>
        <v>-5.3260878540451948</v>
      </c>
      <c r="H3" s="2">
        <f>('[1]Qc, Spring, S3'!H3*Main!$B$5)</f>
        <v>-1.8240121496661628</v>
      </c>
      <c r="I3" s="2">
        <f>('[1]Qc, Spring, S3'!I3*Main!$B$5)</f>
        <v>1.4488015504237013</v>
      </c>
      <c r="J3" s="2">
        <f>('[1]Qc, Spring, S3'!J3*Main!$B$5)</f>
        <v>0.82987643665186483</v>
      </c>
      <c r="K3" s="2">
        <f>('[1]Qc, Spring, S3'!K3*Main!$B$5)</f>
        <v>0.997586918263352</v>
      </c>
      <c r="L3" s="2">
        <f>('[1]Qc, Spring, S3'!L3*Main!$B$5)</f>
        <v>2.6602826042432639</v>
      </c>
      <c r="M3" s="2">
        <f>('[1]Qc, Spring, S3'!M3*Main!$B$5)</f>
        <v>1.6036145452382469</v>
      </c>
      <c r="N3" s="2">
        <f>('[1]Qc, Spring, S3'!N3*Main!$B$5)</f>
        <v>2.9378247497296068</v>
      </c>
      <c r="O3" s="2">
        <f>('[1]Qc, Spring, S3'!O3*Main!$B$5)</f>
        <v>4.1598583379410901</v>
      </c>
      <c r="P3" s="2">
        <f>('[1]Qc, Spring, S3'!P3*Main!$B$5)</f>
        <v>2.9916967676682527</v>
      </c>
      <c r="Q3" s="2">
        <f>('[1]Qc, Spring, S3'!Q3*Main!$B$5)</f>
        <v>4.0719698316754567</v>
      </c>
      <c r="R3" s="2">
        <f>('[1]Qc, Spring, S3'!R3*Main!$B$5)</f>
        <v>1.5352177969276823</v>
      </c>
      <c r="S3" s="2">
        <f>('[1]Qc, Spring, S3'!S3*Main!$B$5)</f>
        <v>1.433695468250064</v>
      </c>
      <c r="T3" s="2">
        <f>('[1]Qc, Spring, S3'!T3*Main!$B$5)</f>
        <v>1.5352177969276823</v>
      </c>
      <c r="U3" s="2">
        <f>('[1]Qc, Spring, S3'!U3*Main!$B$5)</f>
        <v>1.4146292891908803</v>
      </c>
      <c r="V3" s="2">
        <f>('[1]Qc, Spring, S3'!V3*Main!$B$5)</f>
        <v>-0.7313482256477819</v>
      </c>
      <c r="W3" s="2">
        <f>('[1]Qc, Spring, S3'!W3*Main!$B$5)</f>
        <v>0.65997052590576311</v>
      </c>
      <c r="X3" s="2">
        <f>('[1]Qc, Spring, S3'!X3*Main!$B$5)</f>
        <v>-3.6578223380182102</v>
      </c>
      <c r="Y3" s="2">
        <f>('[1]Qc, Spring, S3'!Y3*Main!$B$5)</f>
        <v>-3.2991125290541983</v>
      </c>
    </row>
    <row r="4" spans="1:25" x14ac:dyDescent="0.3">
      <c r="A4">
        <v>3</v>
      </c>
      <c r="B4" s="2">
        <f>('[1]Qc, Spring, S3'!B4*Main!$B$5)</f>
        <v>11.74572191073622</v>
      </c>
      <c r="C4" s="2">
        <f>('[1]Qc, Spring, S3'!C4*Main!$B$5)</f>
        <v>9.3283870649877336</v>
      </c>
      <c r="D4" s="2">
        <f>('[1]Qc, Spring, S3'!D4*Main!$B$5)</f>
        <v>8.6603457808920954</v>
      </c>
      <c r="E4" s="2">
        <f>('[1]Qc, Spring, S3'!E4*Main!$B$5)</f>
        <v>7.9997194627669135</v>
      </c>
      <c r="F4" s="2">
        <f>('[1]Qc, Spring, S3'!F4*Main!$B$5)</f>
        <v>8.5361420856875725</v>
      </c>
      <c r="G4" s="2">
        <f>('[1]Qc, Spring, S3'!G4*Main!$B$5)</f>
        <v>6.6086353138561096</v>
      </c>
      <c r="H4" s="2">
        <f>('[1]Qc, Spring, S3'!H4*Main!$B$5)</f>
        <v>11.305385815546792</v>
      </c>
      <c r="I4" s="2">
        <f>('[1]Qc, Spring, S3'!I4*Main!$B$5)</f>
        <v>16.291125955716392</v>
      </c>
      <c r="J4" s="2">
        <f>('[1]Qc, Spring, S3'!J4*Main!$B$5)</f>
        <v>22.046990031578996</v>
      </c>
      <c r="K4" s="2">
        <f>('[1]Qc, Spring, S3'!K4*Main!$B$5)</f>
        <v>25.942341532120764</v>
      </c>
      <c r="L4" s="2">
        <f>('[1]Qc, Spring, S3'!L4*Main!$B$5)</f>
        <v>26.374086151505935</v>
      </c>
      <c r="M4" s="2">
        <f>('[1]Qc, Spring, S3'!M4*Main!$B$5)</f>
        <v>26.767115903280995</v>
      </c>
      <c r="N4" s="2">
        <f>('[1]Qc, Spring, S3'!N4*Main!$B$5)</f>
        <v>28.744457790494391</v>
      </c>
      <c r="O4" s="2">
        <f>('[1]Qc, Spring, S3'!O4*Main!$B$5)</f>
        <v>27.680208318185553</v>
      </c>
      <c r="P4" s="2">
        <f>('[1]Qc, Spring, S3'!P4*Main!$B$5)</f>
        <v>25.708645823595255</v>
      </c>
      <c r="Q4" s="2">
        <f>('[1]Qc, Spring, S3'!Q4*Main!$B$5)</f>
        <v>25.512645445505136</v>
      </c>
      <c r="R4" s="2">
        <f>('[1]Qc, Spring, S3'!R4*Main!$B$5)</f>
        <v>24.766996187894502</v>
      </c>
      <c r="S4" s="2">
        <f>('[1]Qc, Spring, S3'!S4*Main!$B$5)</f>
        <v>26.043085272814036</v>
      </c>
      <c r="T4" s="2">
        <f>('[1]Qc, Spring, S3'!T4*Main!$B$5)</f>
        <v>25.862216300569159</v>
      </c>
      <c r="U4" s="2">
        <f>('[1]Qc, Spring, S3'!U4*Main!$B$5)</f>
        <v>25.558458694188229</v>
      </c>
      <c r="V4" s="2">
        <f>('[1]Qc, Spring, S3'!V4*Main!$B$5)</f>
        <v>21.991800196977486</v>
      </c>
      <c r="W4" s="2">
        <f>('[1]Qc, Spring, S3'!W4*Main!$B$5)</f>
        <v>23.861070963194759</v>
      </c>
      <c r="X4" s="2">
        <f>('[1]Qc, Spring, S3'!X4*Main!$B$5)</f>
        <v>20.144700978826432</v>
      </c>
      <c r="Y4" s="2">
        <f>('[1]Qc, Spring, S3'!Y4*Main!$B$5)</f>
        <v>16.735435151394107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D014-69BC-498C-8ED1-58EA159F995E}">
  <dimension ref="A1:Y10"/>
  <sheetViews>
    <sheetView workbookViewId="0">
      <selection activeCell="T53" sqref="T5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-13.798289069404689</v>
      </c>
      <c r="C2" s="2">
        <f>('[1]Qc, Spring, S3'!C2*Main!$B$5)</f>
        <v>-16.257703482331397</v>
      </c>
      <c r="D2" s="2">
        <f>('[1]Qc, Spring, S3'!D2*Main!$B$5)</f>
        <v>-18.273037676150238</v>
      </c>
      <c r="E2" s="2">
        <f>('[1]Qc, Spring, S3'!E2*Main!$B$5)</f>
        <v>-17.209653486989357</v>
      </c>
      <c r="F2" s="2">
        <f>('[1]Qc, Spring, S3'!F2*Main!$B$5)</f>
        <v>-17.382681762783875</v>
      </c>
      <c r="G2" s="2">
        <f>('[1]Qc, Spring, S3'!G2*Main!$B$5)</f>
        <v>-17.089564715258252</v>
      </c>
      <c r="H2" s="2">
        <f>('[1]Qc, Spring, S3'!H2*Main!$B$5)</f>
        <v>-14.215768185787258</v>
      </c>
      <c r="I2" s="2">
        <f>('[1]Qc, Spring, S3'!I2*Main!$B$5)</f>
        <v>-3.4061134725507882</v>
      </c>
      <c r="J2" s="2">
        <f>('[1]Qc, Spring, S3'!J2*Main!$B$5)</f>
        <v>3.8169615896061515</v>
      </c>
      <c r="K2" s="2">
        <f>('[1]Qc, Spring, S3'!K2*Main!$B$5)</f>
        <v>6.9683024806893492</v>
      </c>
      <c r="L2" s="2">
        <f>('[1]Qc, Spring, S3'!L2*Main!$B$5)</f>
        <v>4.5668745769306476</v>
      </c>
      <c r="M2" s="2">
        <f>('[1]Qc, Spring, S3'!M2*Main!$B$5)</f>
        <v>6.2769615136749328</v>
      </c>
      <c r="N2" s="2">
        <f>('[1]Qc, Spring, S3'!N2*Main!$B$5)</f>
        <v>5.5029105341090565</v>
      </c>
      <c r="O2" s="2">
        <f>('[1]Qc, Spring, S3'!O2*Main!$B$5)</f>
        <v>5.5015583122663463</v>
      </c>
      <c r="P2" s="2">
        <f>('[1]Qc, Spring, S3'!P2*Main!$B$5)</f>
        <v>1.2643680354623388</v>
      </c>
      <c r="Q2" s="2">
        <f>('[1]Qc, Spring, S3'!Q2*Main!$B$5)</f>
        <v>-2.2891949251570942</v>
      </c>
      <c r="R2" s="2">
        <f>('[1]Qc, Spring, S3'!R2*Main!$B$5)</f>
        <v>-0.98874494567013949</v>
      </c>
      <c r="S2" s="2">
        <f>('[1]Qc, Spring, S3'!S2*Main!$B$5)</f>
        <v>1.4156224622498297</v>
      </c>
      <c r="T2" s="2">
        <f>('[1]Qc, Spring, S3'!T2*Main!$B$5)</f>
        <v>8.5510478163674505E-2</v>
      </c>
      <c r="U2" s="2">
        <f>('[1]Qc, Spring, S3'!U2*Main!$B$5)</f>
        <v>-1.8314228854833821</v>
      </c>
      <c r="V2" s="2">
        <f>('[1]Qc, Spring, S3'!V2*Main!$B$5)</f>
        <v>-3.7170952832236326</v>
      </c>
      <c r="W2" s="2">
        <f>('[1]Qc, Spring, S3'!W2*Main!$B$5)</f>
        <v>-4.098045326566977</v>
      </c>
      <c r="X2" s="2">
        <f>('[1]Qc, Spring, S3'!X2*Main!$B$5)</f>
        <v>-7.8493917682794283</v>
      </c>
      <c r="Y2" s="2">
        <f>('[1]Qc, Spring, S3'!Y2*Main!$B$5)</f>
        <v>-9.8909081852972367</v>
      </c>
    </row>
    <row r="3" spans="1:25" x14ac:dyDescent="0.3">
      <c r="A3">
        <v>2</v>
      </c>
      <c r="B3" s="2">
        <f>('[1]Qc, Spring, S3'!B3*Main!$B$5)</f>
        <v>-2.5405056770913075</v>
      </c>
      <c r="C3" s="2">
        <f>('[1]Qc, Spring, S3'!C3*Main!$B$5)</f>
        <v>-0.77832372174518649</v>
      </c>
      <c r="D3" s="2">
        <f>('[1]Qc, Spring, S3'!D3*Main!$B$5)</f>
        <v>-3.2594165044546659</v>
      </c>
      <c r="E3" s="2">
        <f>('[1]Qc, Spring, S3'!E3*Main!$B$5)</f>
        <v>-4.7471569304662697</v>
      </c>
      <c r="F3" s="2">
        <f>('[1]Qc, Spring, S3'!F3*Main!$B$5)</f>
        <v>-3.484151875571575</v>
      </c>
      <c r="G3" s="2">
        <f>('[1]Qc, Spring, S3'!G3*Main!$B$5)</f>
        <v>-5.3260878540451948</v>
      </c>
      <c r="H3" s="2">
        <f>('[1]Qc, Spring, S3'!H3*Main!$B$5)</f>
        <v>-1.8240121496661628</v>
      </c>
      <c r="I3" s="2">
        <f>('[1]Qc, Spring, S3'!I3*Main!$B$5)</f>
        <v>1.4488015504237013</v>
      </c>
      <c r="J3" s="2">
        <f>('[1]Qc, Spring, S3'!J3*Main!$B$5)</f>
        <v>0.82987643665186483</v>
      </c>
      <c r="K3" s="2">
        <f>('[1]Qc, Spring, S3'!K3*Main!$B$5)</f>
        <v>0.997586918263352</v>
      </c>
      <c r="L3" s="2">
        <f>('[1]Qc, Spring, S3'!L3*Main!$B$5)</f>
        <v>2.6602826042432639</v>
      </c>
      <c r="M3" s="2">
        <f>('[1]Qc, Spring, S3'!M3*Main!$B$5)</f>
        <v>1.6036145452382469</v>
      </c>
      <c r="N3" s="2">
        <f>('[1]Qc, Spring, S3'!N3*Main!$B$5)</f>
        <v>2.9378247497296068</v>
      </c>
      <c r="O3" s="2">
        <f>('[1]Qc, Spring, S3'!O3*Main!$B$5)</f>
        <v>4.1598583379410901</v>
      </c>
      <c r="P3" s="2">
        <f>('[1]Qc, Spring, S3'!P3*Main!$B$5)</f>
        <v>2.9916967676682527</v>
      </c>
      <c r="Q3" s="2">
        <f>('[1]Qc, Spring, S3'!Q3*Main!$B$5)</f>
        <v>4.0719698316754567</v>
      </c>
      <c r="R3" s="2">
        <f>('[1]Qc, Spring, S3'!R3*Main!$B$5)</f>
        <v>1.5352177969276823</v>
      </c>
      <c r="S3" s="2">
        <f>('[1]Qc, Spring, S3'!S3*Main!$B$5)</f>
        <v>1.433695468250064</v>
      </c>
      <c r="T3" s="2">
        <f>('[1]Qc, Spring, S3'!T3*Main!$B$5)</f>
        <v>1.5352177969276823</v>
      </c>
      <c r="U3" s="2">
        <f>('[1]Qc, Spring, S3'!U3*Main!$B$5)</f>
        <v>1.4146292891908803</v>
      </c>
      <c r="V3" s="2">
        <f>('[1]Qc, Spring, S3'!V3*Main!$B$5)</f>
        <v>-0.7313482256477819</v>
      </c>
      <c r="W3" s="2">
        <f>('[1]Qc, Spring, S3'!W3*Main!$B$5)</f>
        <v>0.65997052590576311</v>
      </c>
      <c r="X3" s="2">
        <f>('[1]Qc, Spring, S3'!X3*Main!$B$5)</f>
        <v>-3.6578223380182102</v>
      </c>
      <c r="Y3" s="2">
        <f>('[1]Qc, Spring, S3'!Y3*Main!$B$5)</f>
        <v>-3.2991125290541983</v>
      </c>
    </row>
    <row r="4" spans="1:25" x14ac:dyDescent="0.3">
      <c r="A4">
        <v>3</v>
      </c>
      <c r="B4" s="2">
        <f>('[1]Qc, Spring, S3'!B4*Main!$B$5)</f>
        <v>11.74572191073622</v>
      </c>
      <c r="C4" s="2">
        <f>('[1]Qc, Spring, S3'!C4*Main!$B$5)</f>
        <v>9.3283870649877336</v>
      </c>
      <c r="D4" s="2">
        <f>('[1]Qc, Spring, S3'!D4*Main!$B$5)</f>
        <v>8.6603457808920954</v>
      </c>
      <c r="E4" s="2">
        <f>('[1]Qc, Spring, S3'!E4*Main!$B$5)</f>
        <v>7.9997194627669135</v>
      </c>
      <c r="F4" s="2">
        <f>('[1]Qc, Spring, S3'!F4*Main!$B$5)</f>
        <v>8.5361420856875725</v>
      </c>
      <c r="G4" s="2">
        <f>('[1]Qc, Spring, S3'!G4*Main!$B$5)</f>
        <v>6.6086353138561096</v>
      </c>
      <c r="H4" s="2">
        <f>('[1]Qc, Spring, S3'!H4*Main!$B$5)</f>
        <v>11.305385815546792</v>
      </c>
      <c r="I4" s="2">
        <f>('[1]Qc, Spring, S3'!I4*Main!$B$5)</f>
        <v>16.291125955716392</v>
      </c>
      <c r="J4" s="2">
        <f>('[1]Qc, Spring, S3'!J4*Main!$B$5)</f>
        <v>22.046990031578996</v>
      </c>
      <c r="K4" s="2">
        <f>('[1]Qc, Spring, S3'!K4*Main!$B$5)</f>
        <v>25.942341532120764</v>
      </c>
      <c r="L4" s="2">
        <f>('[1]Qc, Spring, S3'!L4*Main!$B$5)</f>
        <v>26.374086151505935</v>
      </c>
      <c r="M4" s="2">
        <f>('[1]Qc, Spring, S3'!M4*Main!$B$5)</f>
        <v>26.767115903280995</v>
      </c>
      <c r="N4" s="2">
        <f>('[1]Qc, Spring, S3'!N4*Main!$B$5)</f>
        <v>28.744457790494391</v>
      </c>
      <c r="O4" s="2">
        <f>('[1]Qc, Spring, S3'!O4*Main!$B$5)</f>
        <v>27.680208318185553</v>
      </c>
      <c r="P4" s="2">
        <f>('[1]Qc, Spring, S3'!P4*Main!$B$5)</f>
        <v>25.708645823595255</v>
      </c>
      <c r="Q4" s="2">
        <f>('[1]Qc, Spring, S3'!Q4*Main!$B$5)</f>
        <v>25.512645445505136</v>
      </c>
      <c r="R4" s="2">
        <f>('[1]Qc, Spring, S3'!R4*Main!$B$5)</f>
        <v>24.766996187894502</v>
      </c>
      <c r="S4" s="2">
        <f>('[1]Qc, Spring, S3'!S4*Main!$B$5)</f>
        <v>26.043085272814036</v>
      </c>
      <c r="T4" s="2">
        <f>('[1]Qc, Spring, S3'!T4*Main!$B$5)</f>
        <v>25.862216300569159</v>
      </c>
      <c r="U4" s="2">
        <f>('[1]Qc, Spring, S3'!U4*Main!$B$5)</f>
        <v>25.558458694188229</v>
      </c>
      <c r="V4" s="2">
        <f>('[1]Qc, Spring, S3'!V4*Main!$B$5)</f>
        <v>21.991800196977486</v>
      </c>
      <c r="W4" s="2">
        <f>('[1]Qc, Spring, S3'!W4*Main!$B$5)</f>
        <v>23.861070963194759</v>
      </c>
      <c r="X4" s="2">
        <f>('[1]Qc, Spring, S3'!X4*Main!$B$5)</f>
        <v>20.144700978826432</v>
      </c>
      <c r="Y4" s="2">
        <f>('[1]Qc, Spring, S3'!Y4*Main!$B$5)</f>
        <v>16.735435151394107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3252-224E-42D0-AEF3-875AB7F1DC39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3.4830997356301827</v>
      </c>
      <c r="C2" s="2">
        <f>('FL Characterization'!C$4-'FL Characterization'!C$2)*VLOOKUP($A2,'FL Ratio'!$A$2:$B$21,2,FALSE)</f>
        <v>3.8344507804230994</v>
      </c>
      <c r="D2" s="2">
        <f>('FL Characterization'!D$4-'FL Characterization'!D$2)*VLOOKUP($A2,'FL Ratio'!$A$2:$B$21,2,FALSE)</f>
        <v>4.9909019198942177</v>
      </c>
      <c r="E2" s="2">
        <f>('FL Characterization'!E$4-'FL Characterization'!E$2)*VLOOKUP($A2,'FL Ratio'!$A$2:$B$21,2,FALSE)</f>
        <v>5.7218683669855288</v>
      </c>
      <c r="F2" s="2">
        <f>('FL Characterization'!F$4-'FL Characterization'!F$2)*VLOOKUP($A2,'FL Ratio'!$A$2:$B$21,2,FALSE)</f>
        <v>6.7276164603374244</v>
      </c>
      <c r="G2" s="2">
        <f>('FL Characterization'!G$4-'FL Characterization'!G$2)*VLOOKUP($A2,'FL Ratio'!$A$2:$B$21,2,FALSE)</f>
        <v>7.8640992653251525</v>
      </c>
      <c r="H2" s="2">
        <f>('FL Characterization'!H$4-'FL Characterization'!H$2)*VLOOKUP($A2,'FL Ratio'!$A$2:$B$21,2,FALSE)</f>
        <v>7.0101394536622266</v>
      </c>
      <c r="I2" s="2">
        <f>('FL Characterization'!I$4-'FL Characterization'!I$2)*VLOOKUP($A2,'FL Ratio'!$A$2:$B$21,2,FALSE)</f>
        <v>10.021764625101214</v>
      </c>
      <c r="J2" s="2">
        <f>('FL Characterization'!J$4-'FL Characterization'!J$2)*VLOOKUP($A2,'FL Ratio'!$A$2:$B$21,2,FALSE)</f>
        <v>9.1938504671122772</v>
      </c>
      <c r="K2" s="2">
        <f>('FL Characterization'!K$4-'FL Characterization'!K$2)*VLOOKUP($A2,'FL Ratio'!$A$2:$B$21,2,FALSE)</f>
        <v>10.383919792899636</v>
      </c>
      <c r="L2" s="2">
        <f>('FL Characterization'!L$4-'FL Characterization'!L$2)*VLOOKUP($A2,'FL Ratio'!$A$2:$B$21,2,FALSE)</f>
        <v>10.671893080419181</v>
      </c>
      <c r="M2" s="2">
        <f>('FL Characterization'!M$4-'FL Characterization'!M$2)*VLOOKUP($A2,'FL Ratio'!$A$2:$B$21,2,FALSE)</f>
        <v>9.8990606566815309</v>
      </c>
      <c r="N2" s="2">
        <f>('FL Characterization'!N$4-'FL Characterization'!N$2)*VLOOKUP($A2,'FL Ratio'!$A$2:$B$21,2,FALSE)</f>
        <v>9.3383314959649351</v>
      </c>
      <c r="O2" s="2">
        <f>('FL Characterization'!O$4-'FL Characterization'!O$2)*VLOOKUP($A2,'FL Ratio'!$A$2:$B$21,2,FALSE)</f>
        <v>8.59728441624795</v>
      </c>
      <c r="P2" s="2">
        <f>('FL Characterization'!P$4-'FL Characterization'!P$2)*VLOOKUP($A2,'FL Ratio'!$A$2:$B$21,2,FALSE)</f>
        <v>7.9190363015004737</v>
      </c>
      <c r="Q2" s="2">
        <f>('FL Characterization'!Q$4-'FL Characterization'!Q$2)*VLOOKUP($A2,'FL Ratio'!$A$2:$B$21,2,FALSE)</f>
        <v>7.1270313826972505</v>
      </c>
      <c r="R2" s="2">
        <f>('FL Characterization'!R$4-'FL Characterization'!R$2)*VLOOKUP($A2,'FL Ratio'!$A$2:$B$21,2,FALSE)</f>
        <v>7.0528495024183684</v>
      </c>
      <c r="S2" s="2">
        <f>('FL Characterization'!S$4-'FL Characterization'!S$2)*VLOOKUP($A2,'FL Ratio'!$A$2:$B$21,2,FALSE)</f>
        <v>5.58804676306241</v>
      </c>
      <c r="T2" s="2">
        <f>('FL Characterization'!T$4-'FL Characterization'!T$2)*VLOOKUP($A2,'FL Ratio'!$A$2:$B$21,2,FALSE)</f>
        <v>4.6234411559770185</v>
      </c>
      <c r="U2" s="2">
        <f>('FL Characterization'!U$4-'FL Characterization'!U$2)*VLOOKUP($A2,'FL Ratio'!$A$2:$B$21,2,FALSE)</f>
        <v>5.4863240156578863</v>
      </c>
      <c r="V2" s="2">
        <f>('FL Characterization'!V$4-'FL Characterization'!V$2)*VLOOKUP($A2,'FL Ratio'!$A$2:$B$21,2,FALSE)</f>
        <v>5.5900243034339541</v>
      </c>
      <c r="W2" s="2">
        <f>('FL Characterization'!W$4-'FL Characterization'!W$2)*VLOOKUP($A2,'FL Ratio'!$A$2:$B$21,2,FALSE)</f>
        <v>6.3882753558497374</v>
      </c>
      <c r="X2" s="2">
        <f>('FL Characterization'!X$4-'FL Characterization'!X$2)*VLOOKUP($A2,'FL Ratio'!$A$2:$B$21,2,FALSE)</f>
        <v>3.101844421804167</v>
      </c>
      <c r="Y2" s="2">
        <f>('FL Characterization'!Y$4-'FL Characterization'!Y$2)*VLOOKUP($A2,'FL Ratio'!$A$2:$B$21,2,FALSE)</f>
        <v>2.9781275668527183</v>
      </c>
    </row>
    <row r="3" spans="1:25" x14ac:dyDescent="0.3">
      <c r="A3">
        <v>2</v>
      </c>
      <c r="B3" s="2">
        <f>('FL Characterization'!B$4-'FL Characterization'!B$2)*VLOOKUP($A3,'FL Ratio'!$A$2:$B$21,2,FALSE)</f>
        <v>3.4830997356301827</v>
      </c>
      <c r="C3" s="2">
        <f>('FL Characterization'!C$4-'FL Characterization'!C$2)*VLOOKUP($A3,'FL Ratio'!$A$2:$B$21,2,FALSE)</f>
        <v>3.8344507804230994</v>
      </c>
      <c r="D3" s="2">
        <f>('FL Characterization'!D$4-'FL Characterization'!D$2)*VLOOKUP($A3,'FL Ratio'!$A$2:$B$21,2,FALSE)</f>
        <v>4.9909019198942177</v>
      </c>
      <c r="E3" s="2">
        <f>('FL Characterization'!E$4-'FL Characterization'!E$2)*VLOOKUP($A3,'FL Ratio'!$A$2:$B$21,2,FALSE)</f>
        <v>5.7218683669855288</v>
      </c>
      <c r="F3" s="2">
        <f>('FL Characterization'!F$4-'FL Characterization'!F$2)*VLOOKUP($A3,'FL Ratio'!$A$2:$B$21,2,FALSE)</f>
        <v>6.7276164603374244</v>
      </c>
      <c r="G3" s="2">
        <f>('FL Characterization'!G$4-'FL Characterization'!G$2)*VLOOKUP($A3,'FL Ratio'!$A$2:$B$21,2,FALSE)</f>
        <v>7.8640992653251525</v>
      </c>
      <c r="H3" s="2">
        <f>('FL Characterization'!H$4-'FL Characterization'!H$2)*VLOOKUP($A3,'FL Ratio'!$A$2:$B$21,2,FALSE)</f>
        <v>7.0101394536622266</v>
      </c>
      <c r="I3" s="2">
        <f>('FL Characterization'!I$4-'FL Characterization'!I$2)*VLOOKUP($A3,'FL Ratio'!$A$2:$B$21,2,FALSE)</f>
        <v>10.021764625101214</v>
      </c>
      <c r="J3" s="2">
        <f>('FL Characterization'!J$4-'FL Characterization'!J$2)*VLOOKUP($A3,'FL Ratio'!$A$2:$B$21,2,FALSE)</f>
        <v>9.1938504671122772</v>
      </c>
      <c r="K3" s="2">
        <f>('FL Characterization'!K$4-'FL Characterization'!K$2)*VLOOKUP($A3,'FL Ratio'!$A$2:$B$21,2,FALSE)</f>
        <v>10.383919792899636</v>
      </c>
      <c r="L3" s="2">
        <f>('FL Characterization'!L$4-'FL Characterization'!L$2)*VLOOKUP($A3,'FL Ratio'!$A$2:$B$21,2,FALSE)</f>
        <v>10.671893080419181</v>
      </c>
      <c r="M3" s="2">
        <f>('FL Characterization'!M$4-'FL Characterization'!M$2)*VLOOKUP($A3,'FL Ratio'!$A$2:$B$21,2,FALSE)</f>
        <v>9.8990606566815309</v>
      </c>
      <c r="N3" s="2">
        <f>('FL Characterization'!N$4-'FL Characterization'!N$2)*VLOOKUP($A3,'FL Ratio'!$A$2:$B$21,2,FALSE)</f>
        <v>9.3383314959649351</v>
      </c>
      <c r="O3" s="2">
        <f>('FL Characterization'!O$4-'FL Characterization'!O$2)*VLOOKUP($A3,'FL Ratio'!$A$2:$B$21,2,FALSE)</f>
        <v>8.59728441624795</v>
      </c>
      <c r="P3" s="2">
        <f>('FL Characterization'!P$4-'FL Characterization'!P$2)*VLOOKUP($A3,'FL Ratio'!$A$2:$B$21,2,FALSE)</f>
        <v>7.9190363015004737</v>
      </c>
      <c r="Q3" s="2">
        <f>('FL Characterization'!Q$4-'FL Characterization'!Q$2)*VLOOKUP($A3,'FL Ratio'!$A$2:$B$21,2,FALSE)</f>
        <v>7.1270313826972505</v>
      </c>
      <c r="R3" s="2">
        <f>('FL Characterization'!R$4-'FL Characterization'!R$2)*VLOOKUP($A3,'FL Ratio'!$A$2:$B$21,2,FALSE)</f>
        <v>7.0528495024183684</v>
      </c>
      <c r="S3" s="2">
        <f>('FL Characterization'!S$4-'FL Characterization'!S$2)*VLOOKUP($A3,'FL Ratio'!$A$2:$B$21,2,FALSE)</f>
        <v>5.58804676306241</v>
      </c>
      <c r="T3" s="2">
        <f>('FL Characterization'!T$4-'FL Characterization'!T$2)*VLOOKUP($A3,'FL Ratio'!$A$2:$B$21,2,FALSE)</f>
        <v>4.6234411559770185</v>
      </c>
      <c r="U3" s="2">
        <f>('FL Characterization'!U$4-'FL Characterization'!U$2)*VLOOKUP($A3,'FL Ratio'!$A$2:$B$21,2,FALSE)</f>
        <v>5.4863240156578863</v>
      </c>
      <c r="V3" s="2">
        <f>('FL Characterization'!V$4-'FL Characterization'!V$2)*VLOOKUP($A3,'FL Ratio'!$A$2:$B$21,2,FALSE)</f>
        <v>5.5900243034339541</v>
      </c>
      <c r="W3" s="2">
        <f>('FL Characterization'!W$4-'FL Characterization'!W$2)*VLOOKUP($A3,'FL Ratio'!$A$2:$B$21,2,FALSE)</f>
        <v>6.3882753558497374</v>
      </c>
      <c r="X3" s="2">
        <f>('FL Characterization'!X$4-'FL Characterization'!X$2)*VLOOKUP($A3,'FL Ratio'!$A$2:$B$21,2,FALSE)</f>
        <v>3.101844421804167</v>
      </c>
      <c r="Y3" s="2">
        <f>('FL Characterization'!Y$4-'FL Characterization'!Y$2)*VLOOKUP($A3,'FL Ratio'!$A$2:$B$21,2,FALSE)</f>
        <v>2.9781275668527183</v>
      </c>
    </row>
    <row r="4" spans="1:25" x14ac:dyDescent="0.3">
      <c r="A4">
        <v>3</v>
      </c>
      <c r="B4" s="2">
        <f>('FL Characterization'!B$4-'FL Characterization'!B$2)*VLOOKUP($A4,'FL Ratio'!$A$2:$B$21,2,FALSE)</f>
        <v>3.4830997356301827</v>
      </c>
      <c r="C4" s="2">
        <f>('FL Characterization'!C$4-'FL Characterization'!C$2)*VLOOKUP($A4,'FL Ratio'!$A$2:$B$21,2,FALSE)</f>
        <v>3.8344507804230994</v>
      </c>
      <c r="D4" s="2">
        <f>('FL Characterization'!D$4-'FL Characterization'!D$2)*VLOOKUP($A4,'FL Ratio'!$A$2:$B$21,2,FALSE)</f>
        <v>4.9909019198942177</v>
      </c>
      <c r="E4" s="2">
        <f>('FL Characterization'!E$4-'FL Characterization'!E$2)*VLOOKUP($A4,'FL Ratio'!$A$2:$B$21,2,FALSE)</f>
        <v>5.7218683669855288</v>
      </c>
      <c r="F4" s="2">
        <f>('FL Characterization'!F$4-'FL Characterization'!F$2)*VLOOKUP($A4,'FL Ratio'!$A$2:$B$21,2,FALSE)</f>
        <v>6.7276164603374244</v>
      </c>
      <c r="G4" s="2">
        <f>('FL Characterization'!G$4-'FL Characterization'!G$2)*VLOOKUP($A4,'FL Ratio'!$A$2:$B$21,2,FALSE)</f>
        <v>7.8640992653251525</v>
      </c>
      <c r="H4" s="2">
        <f>('FL Characterization'!H$4-'FL Characterization'!H$2)*VLOOKUP($A4,'FL Ratio'!$A$2:$B$21,2,FALSE)</f>
        <v>7.0101394536622266</v>
      </c>
      <c r="I4" s="2">
        <f>('FL Characterization'!I$4-'FL Characterization'!I$2)*VLOOKUP($A4,'FL Ratio'!$A$2:$B$21,2,FALSE)</f>
        <v>10.021764625101214</v>
      </c>
      <c r="J4" s="2">
        <f>('FL Characterization'!J$4-'FL Characterization'!J$2)*VLOOKUP($A4,'FL Ratio'!$A$2:$B$21,2,FALSE)</f>
        <v>9.1938504671122772</v>
      </c>
      <c r="K4" s="2">
        <f>('FL Characterization'!K$4-'FL Characterization'!K$2)*VLOOKUP($A4,'FL Ratio'!$A$2:$B$21,2,FALSE)</f>
        <v>10.383919792899636</v>
      </c>
      <c r="L4" s="2">
        <f>('FL Characterization'!L$4-'FL Characterization'!L$2)*VLOOKUP($A4,'FL Ratio'!$A$2:$B$21,2,FALSE)</f>
        <v>10.671893080419181</v>
      </c>
      <c r="M4" s="2">
        <f>('FL Characterization'!M$4-'FL Characterization'!M$2)*VLOOKUP($A4,'FL Ratio'!$A$2:$B$21,2,FALSE)</f>
        <v>9.8990606566815309</v>
      </c>
      <c r="N4" s="2">
        <f>('FL Characterization'!N$4-'FL Characterization'!N$2)*VLOOKUP($A4,'FL Ratio'!$A$2:$B$21,2,FALSE)</f>
        <v>9.3383314959649351</v>
      </c>
      <c r="O4" s="2">
        <f>('FL Characterization'!O$4-'FL Characterization'!O$2)*VLOOKUP($A4,'FL Ratio'!$A$2:$B$21,2,FALSE)</f>
        <v>8.59728441624795</v>
      </c>
      <c r="P4" s="2">
        <f>('FL Characterization'!P$4-'FL Characterization'!P$2)*VLOOKUP($A4,'FL Ratio'!$A$2:$B$21,2,FALSE)</f>
        <v>7.9190363015004737</v>
      </c>
      <c r="Q4" s="2">
        <f>('FL Characterization'!Q$4-'FL Characterization'!Q$2)*VLOOKUP($A4,'FL Ratio'!$A$2:$B$21,2,FALSE)</f>
        <v>7.1270313826972505</v>
      </c>
      <c r="R4" s="2">
        <f>('FL Characterization'!R$4-'FL Characterization'!R$2)*VLOOKUP($A4,'FL Ratio'!$A$2:$B$21,2,FALSE)</f>
        <v>7.0528495024183684</v>
      </c>
      <c r="S4" s="2">
        <f>('FL Characterization'!S$4-'FL Characterization'!S$2)*VLOOKUP($A4,'FL Ratio'!$A$2:$B$21,2,FALSE)</f>
        <v>5.58804676306241</v>
      </c>
      <c r="T4" s="2">
        <f>('FL Characterization'!T$4-'FL Characterization'!T$2)*VLOOKUP($A4,'FL Ratio'!$A$2:$B$21,2,FALSE)</f>
        <v>4.6234411559770185</v>
      </c>
      <c r="U4" s="2">
        <f>('FL Characterization'!U$4-'FL Characterization'!U$2)*VLOOKUP($A4,'FL Ratio'!$A$2:$B$21,2,FALSE)</f>
        <v>5.4863240156578863</v>
      </c>
      <c r="V4" s="2">
        <f>('FL Characterization'!V$4-'FL Characterization'!V$2)*VLOOKUP($A4,'FL Ratio'!$A$2:$B$21,2,FALSE)</f>
        <v>5.5900243034339541</v>
      </c>
      <c r="W4" s="2">
        <f>('FL Characterization'!W$4-'FL Characterization'!W$2)*VLOOKUP($A4,'FL Ratio'!$A$2:$B$21,2,FALSE)</f>
        <v>6.3882753558497374</v>
      </c>
      <c r="X4" s="2">
        <f>('FL Characterization'!X$4-'FL Characterization'!X$2)*VLOOKUP($A4,'FL Ratio'!$A$2:$B$21,2,FALSE)</f>
        <v>3.101844421804167</v>
      </c>
      <c r="Y4" s="2">
        <f>('FL Characterization'!Y$4-'FL Characterization'!Y$2)*VLOOKUP($A4,'FL Ratio'!$A$2:$B$21,2,FALSE)</f>
        <v>2.9781275668527183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C90F-E5D8-4B0C-962A-1D3E48794422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9.6564260996315259</v>
      </c>
      <c r="C2" s="2">
        <f>('FL Characterization'!C$2-'FL Characterization'!C$3)*VLOOKUP($A2,'FL Ratio'!$A$2:$B$21,2,FALSE)</f>
        <v>10.219301615141626</v>
      </c>
      <c r="D2" s="2">
        <f>('FL Characterization'!D$2-'FL Characterization'!D$3)*VLOOKUP($A2,'FL Ratio'!$A$2:$B$21,2,FALSE)</f>
        <v>10.791341342129614</v>
      </c>
      <c r="E2" s="2">
        <f>('FL Characterization'!E$2-'FL Characterization'!E$3)*VLOOKUP($A2,'FL Ratio'!$A$2:$B$21,2,FALSE)</f>
        <v>11.281867819656412</v>
      </c>
      <c r="F2" s="2">
        <f>('FL Characterization'!F$2-'FL Characterization'!F$3)*VLOOKUP($A2,'FL Ratio'!$A$2:$B$21,2,FALSE)</f>
        <v>11.409925616886859</v>
      </c>
      <c r="G2" s="2">
        <f>('FL Characterization'!G$2-'FL Characterization'!G$3)*VLOOKUP($A2,'FL Ratio'!$A$2:$B$21,2,FALSE)</f>
        <v>11.935420796105586</v>
      </c>
      <c r="H2" s="2">
        <f>('FL Characterization'!H$2-'FL Characterization'!H$3)*VLOOKUP($A2,'FL Ratio'!$A$2:$B$21,2,FALSE)</f>
        <v>11.874406440739669</v>
      </c>
      <c r="I2" s="2">
        <f>('FL Characterization'!I$2-'FL Characterization'!I$3)*VLOOKUP($A2,'FL Ratio'!$A$2:$B$21,2,FALSE)</f>
        <v>11.224085054653745</v>
      </c>
      <c r="J2" s="2">
        <f>('FL Characterization'!J$2-'FL Characterization'!J$3)*VLOOKUP($A2,'FL Ratio'!$A$2:$B$21,2,FALSE)</f>
        <v>10.169477244317125</v>
      </c>
      <c r="K2" s="2">
        <f>('FL Characterization'!K$2-'FL Characterization'!K$3)*VLOOKUP($A2,'FL Ratio'!$A$2:$B$21,2,FALSE)</f>
        <v>14.933589046479678</v>
      </c>
      <c r="L2" s="2">
        <f>('FL Characterization'!L$2-'FL Characterization'!L$3)*VLOOKUP($A2,'FL Ratio'!$A$2:$B$21,2,FALSE)</f>
        <v>14.583250888218531</v>
      </c>
      <c r="M2" s="2">
        <f>('FL Characterization'!M$2-'FL Characterization'!M$3)*VLOOKUP($A2,'FL Ratio'!$A$2:$B$21,2,FALSE)</f>
        <v>13.428560242005007</v>
      </c>
      <c r="N2" s="2">
        <f>('FL Characterization'!N$2-'FL Characterization'!N$3)*VLOOKUP($A2,'FL Ratio'!$A$2:$B$21,2,FALSE)</f>
        <v>13.102266080700307</v>
      </c>
      <c r="O2" s="2">
        <f>('FL Characterization'!O$2-'FL Characterization'!O$3)*VLOOKUP($A2,'FL Ratio'!$A$2:$B$21,2,FALSE)</f>
        <v>13.156117881305882</v>
      </c>
      <c r="P2" s="2">
        <f>('FL Characterization'!P$2-'FL Characterization'!P$3)*VLOOKUP($A2,'FL Ratio'!$A$2:$B$21,2,FALSE)</f>
        <v>12.532830919079718</v>
      </c>
      <c r="Q2" s="2">
        <f>('FL Characterization'!Q$2-'FL Characterization'!Q$3)*VLOOKUP($A2,'FL Ratio'!$A$2:$B$21,2,FALSE)</f>
        <v>11.488207275984793</v>
      </c>
      <c r="R2" s="2">
        <f>('FL Characterization'!R$2-'FL Characterization'!R$3)*VLOOKUP($A2,'FL Ratio'!$A$2:$B$21,2,FALSE)</f>
        <v>10.324786512521285</v>
      </c>
      <c r="S2" s="2">
        <f>('FL Characterization'!S$2-'FL Characterization'!S$3)*VLOOKUP($A2,'FL Ratio'!$A$2:$B$21,2,FALSE)</f>
        <v>9.9544076707387568</v>
      </c>
      <c r="T2" s="2">
        <f>('FL Characterization'!T$2-'FL Characterization'!T$3)*VLOOKUP($A2,'FL Ratio'!$A$2:$B$21,2,FALSE)</f>
        <v>6.2572994807539644</v>
      </c>
      <c r="U2" s="2">
        <f>('FL Characterization'!U$2-'FL Characterization'!U$3)*VLOOKUP($A2,'FL Ratio'!$A$2:$B$21,2,FALSE)</f>
        <v>6.6916107557677345</v>
      </c>
      <c r="V2" s="2">
        <f>('FL Characterization'!V$2-'FL Characterization'!V$3)*VLOOKUP($A2,'FL Ratio'!$A$2:$B$21,2,FALSE)</f>
        <v>7.3160794189476217</v>
      </c>
      <c r="W2" s="2">
        <f>('FL Characterization'!W$2-'FL Characterization'!W$3)*VLOOKUP($A2,'FL Ratio'!$A$2:$B$21,2,FALSE)</f>
        <v>7.4906576476013322</v>
      </c>
      <c r="X2" s="2">
        <f>('FL Characterization'!X$2-'FL Characterization'!X$3)*VLOOKUP($A2,'FL Ratio'!$A$2:$B$21,2,FALSE)</f>
        <v>7.8122491214371168</v>
      </c>
      <c r="Y2" s="2">
        <f>('FL Characterization'!Y$2-'FL Characterization'!Y$3)*VLOOKUP($A2,'FL Ratio'!$A$2:$B$21,2,FALSE)</f>
        <v>8.6232818372299498</v>
      </c>
    </row>
    <row r="3" spans="1:25" x14ac:dyDescent="0.3">
      <c r="A3">
        <v>2</v>
      </c>
      <c r="B3" s="2">
        <f>('FL Characterization'!B$2-'FL Characterization'!B$3)*VLOOKUP($A3,'FL Ratio'!$A$2:$B$21,2,FALSE)</f>
        <v>9.6564260996315259</v>
      </c>
      <c r="C3" s="2">
        <f>('FL Characterization'!C$2-'FL Characterization'!C$3)*VLOOKUP($A3,'FL Ratio'!$A$2:$B$21,2,FALSE)</f>
        <v>10.219301615141626</v>
      </c>
      <c r="D3" s="2">
        <f>('FL Characterization'!D$2-'FL Characterization'!D$3)*VLOOKUP($A3,'FL Ratio'!$A$2:$B$21,2,FALSE)</f>
        <v>10.791341342129614</v>
      </c>
      <c r="E3" s="2">
        <f>('FL Characterization'!E$2-'FL Characterization'!E$3)*VLOOKUP($A3,'FL Ratio'!$A$2:$B$21,2,FALSE)</f>
        <v>11.281867819656412</v>
      </c>
      <c r="F3" s="2">
        <f>('FL Characterization'!F$2-'FL Characterization'!F$3)*VLOOKUP($A3,'FL Ratio'!$A$2:$B$21,2,FALSE)</f>
        <v>11.409925616886859</v>
      </c>
      <c r="G3" s="2">
        <f>('FL Characterization'!G$2-'FL Characterization'!G$3)*VLOOKUP($A3,'FL Ratio'!$A$2:$B$21,2,FALSE)</f>
        <v>11.935420796105586</v>
      </c>
      <c r="H3" s="2">
        <f>('FL Characterization'!H$2-'FL Characterization'!H$3)*VLOOKUP($A3,'FL Ratio'!$A$2:$B$21,2,FALSE)</f>
        <v>11.874406440739669</v>
      </c>
      <c r="I3" s="2">
        <f>('FL Characterization'!I$2-'FL Characterization'!I$3)*VLOOKUP($A3,'FL Ratio'!$A$2:$B$21,2,FALSE)</f>
        <v>11.224085054653745</v>
      </c>
      <c r="J3" s="2">
        <f>('FL Characterization'!J$2-'FL Characterization'!J$3)*VLOOKUP($A3,'FL Ratio'!$A$2:$B$21,2,FALSE)</f>
        <v>10.169477244317125</v>
      </c>
      <c r="K3" s="2">
        <f>('FL Characterization'!K$2-'FL Characterization'!K$3)*VLOOKUP($A3,'FL Ratio'!$A$2:$B$21,2,FALSE)</f>
        <v>14.933589046479678</v>
      </c>
      <c r="L3" s="2">
        <f>('FL Characterization'!L$2-'FL Characterization'!L$3)*VLOOKUP($A3,'FL Ratio'!$A$2:$B$21,2,FALSE)</f>
        <v>14.583250888218531</v>
      </c>
      <c r="M3" s="2">
        <f>('FL Characterization'!M$2-'FL Characterization'!M$3)*VLOOKUP($A3,'FL Ratio'!$A$2:$B$21,2,FALSE)</f>
        <v>13.428560242005007</v>
      </c>
      <c r="N3" s="2">
        <f>('FL Characterization'!N$2-'FL Characterization'!N$3)*VLOOKUP($A3,'FL Ratio'!$A$2:$B$21,2,FALSE)</f>
        <v>13.102266080700307</v>
      </c>
      <c r="O3" s="2">
        <f>('FL Characterization'!O$2-'FL Characterization'!O$3)*VLOOKUP($A3,'FL Ratio'!$A$2:$B$21,2,FALSE)</f>
        <v>13.156117881305882</v>
      </c>
      <c r="P3" s="2">
        <f>('FL Characterization'!P$2-'FL Characterization'!P$3)*VLOOKUP($A3,'FL Ratio'!$A$2:$B$21,2,FALSE)</f>
        <v>12.532830919079718</v>
      </c>
      <c r="Q3" s="2">
        <f>('FL Characterization'!Q$2-'FL Characterization'!Q$3)*VLOOKUP($A3,'FL Ratio'!$A$2:$B$21,2,FALSE)</f>
        <v>11.488207275984793</v>
      </c>
      <c r="R3" s="2">
        <f>('FL Characterization'!R$2-'FL Characterization'!R$3)*VLOOKUP($A3,'FL Ratio'!$A$2:$B$21,2,FALSE)</f>
        <v>10.324786512521285</v>
      </c>
      <c r="S3" s="2">
        <f>('FL Characterization'!S$2-'FL Characterization'!S$3)*VLOOKUP($A3,'FL Ratio'!$A$2:$B$21,2,FALSE)</f>
        <v>9.9544076707387568</v>
      </c>
      <c r="T3" s="2">
        <f>('FL Characterization'!T$2-'FL Characterization'!T$3)*VLOOKUP($A3,'FL Ratio'!$A$2:$B$21,2,FALSE)</f>
        <v>6.2572994807539644</v>
      </c>
      <c r="U3" s="2">
        <f>('FL Characterization'!U$2-'FL Characterization'!U$3)*VLOOKUP($A3,'FL Ratio'!$A$2:$B$21,2,FALSE)</f>
        <v>6.6916107557677345</v>
      </c>
      <c r="V3" s="2">
        <f>('FL Characterization'!V$2-'FL Characterization'!V$3)*VLOOKUP($A3,'FL Ratio'!$A$2:$B$21,2,FALSE)</f>
        <v>7.3160794189476217</v>
      </c>
      <c r="W3" s="2">
        <f>('FL Characterization'!W$2-'FL Characterization'!W$3)*VLOOKUP($A3,'FL Ratio'!$A$2:$B$21,2,FALSE)</f>
        <v>7.4906576476013322</v>
      </c>
      <c r="X3" s="2">
        <f>('FL Characterization'!X$2-'FL Characterization'!X$3)*VLOOKUP($A3,'FL Ratio'!$A$2:$B$21,2,FALSE)</f>
        <v>7.8122491214371168</v>
      </c>
      <c r="Y3" s="2">
        <f>('FL Characterization'!Y$2-'FL Characterization'!Y$3)*VLOOKUP($A3,'FL Ratio'!$A$2:$B$21,2,FALSE)</f>
        <v>8.6232818372299498</v>
      </c>
    </row>
    <row r="4" spans="1:25" x14ac:dyDescent="0.3">
      <c r="A4">
        <v>3</v>
      </c>
      <c r="B4" s="2">
        <f>('FL Characterization'!B$2-'FL Characterization'!B$3)*VLOOKUP($A4,'FL Ratio'!$A$2:$B$21,2,FALSE)</f>
        <v>9.6564260996315259</v>
      </c>
      <c r="C4" s="2">
        <f>('FL Characterization'!C$2-'FL Characterization'!C$3)*VLOOKUP($A4,'FL Ratio'!$A$2:$B$21,2,FALSE)</f>
        <v>10.219301615141626</v>
      </c>
      <c r="D4" s="2">
        <f>('FL Characterization'!D$2-'FL Characterization'!D$3)*VLOOKUP($A4,'FL Ratio'!$A$2:$B$21,2,FALSE)</f>
        <v>10.791341342129614</v>
      </c>
      <c r="E4" s="2">
        <f>('FL Characterization'!E$2-'FL Characterization'!E$3)*VLOOKUP($A4,'FL Ratio'!$A$2:$B$21,2,FALSE)</f>
        <v>11.281867819656412</v>
      </c>
      <c r="F4" s="2">
        <f>('FL Characterization'!F$2-'FL Characterization'!F$3)*VLOOKUP($A4,'FL Ratio'!$A$2:$B$21,2,FALSE)</f>
        <v>11.409925616886859</v>
      </c>
      <c r="G4" s="2">
        <f>('FL Characterization'!G$2-'FL Characterization'!G$3)*VLOOKUP($A4,'FL Ratio'!$A$2:$B$21,2,FALSE)</f>
        <v>11.935420796105586</v>
      </c>
      <c r="H4" s="2">
        <f>('FL Characterization'!H$2-'FL Characterization'!H$3)*VLOOKUP($A4,'FL Ratio'!$A$2:$B$21,2,FALSE)</f>
        <v>11.874406440739669</v>
      </c>
      <c r="I4" s="2">
        <f>('FL Characterization'!I$2-'FL Characterization'!I$3)*VLOOKUP($A4,'FL Ratio'!$A$2:$B$21,2,FALSE)</f>
        <v>11.224085054653745</v>
      </c>
      <c r="J4" s="2">
        <f>('FL Characterization'!J$2-'FL Characterization'!J$3)*VLOOKUP($A4,'FL Ratio'!$A$2:$B$21,2,FALSE)</f>
        <v>10.169477244317125</v>
      </c>
      <c r="K4" s="2">
        <f>('FL Characterization'!K$2-'FL Characterization'!K$3)*VLOOKUP($A4,'FL Ratio'!$A$2:$B$21,2,FALSE)</f>
        <v>14.933589046479678</v>
      </c>
      <c r="L4" s="2">
        <f>('FL Characterization'!L$2-'FL Characterization'!L$3)*VLOOKUP($A4,'FL Ratio'!$A$2:$B$21,2,FALSE)</f>
        <v>14.583250888218531</v>
      </c>
      <c r="M4" s="2">
        <f>('FL Characterization'!M$2-'FL Characterization'!M$3)*VLOOKUP($A4,'FL Ratio'!$A$2:$B$21,2,FALSE)</f>
        <v>13.428560242005007</v>
      </c>
      <c r="N4" s="2">
        <f>('FL Characterization'!N$2-'FL Characterization'!N$3)*VLOOKUP($A4,'FL Ratio'!$A$2:$B$21,2,FALSE)</f>
        <v>13.102266080700307</v>
      </c>
      <c r="O4" s="2">
        <f>('FL Characterization'!O$2-'FL Characterization'!O$3)*VLOOKUP($A4,'FL Ratio'!$A$2:$B$21,2,FALSE)</f>
        <v>13.156117881305882</v>
      </c>
      <c r="P4" s="2">
        <f>('FL Characterization'!P$2-'FL Characterization'!P$3)*VLOOKUP($A4,'FL Ratio'!$A$2:$B$21,2,FALSE)</f>
        <v>12.532830919079718</v>
      </c>
      <c r="Q4" s="2">
        <f>('FL Characterization'!Q$2-'FL Characterization'!Q$3)*VLOOKUP($A4,'FL Ratio'!$A$2:$B$21,2,FALSE)</f>
        <v>11.488207275984793</v>
      </c>
      <c r="R4" s="2">
        <f>('FL Characterization'!R$2-'FL Characterization'!R$3)*VLOOKUP($A4,'FL Ratio'!$A$2:$B$21,2,FALSE)</f>
        <v>10.324786512521285</v>
      </c>
      <c r="S4" s="2">
        <f>('FL Characterization'!S$2-'FL Characterization'!S$3)*VLOOKUP($A4,'FL Ratio'!$A$2:$B$21,2,FALSE)</f>
        <v>9.9544076707387568</v>
      </c>
      <c r="T4" s="2">
        <f>('FL Characterization'!T$2-'FL Characterization'!T$3)*VLOOKUP($A4,'FL Ratio'!$A$2:$B$21,2,FALSE)</f>
        <v>6.2572994807539644</v>
      </c>
      <c r="U4" s="2">
        <f>('FL Characterization'!U$2-'FL Characterization'!U$3)*VLOOKUP($A4,'FL Ratio'!$A$2:$B$21,2,FALSE)</f>
        <v>6.6916107557677345</v>
      </c>
      <c r="V4" s="2">
        <f>('FL Characterization'!V$2-'FL Characterization'!V$3)*VLOOKUP($A4,'FL Ratio'!$A$2:$B$21,2,FALSE)</f>
        <v>7.3160794189476217</v>
      </c>
      <c r="W4" s="2">
        <f>('FL Characterization'!W$2-'FL Characterization'!W$3)*VLOOKUP($A4,'FL Ratio'!$A$2:$B$21,2,FALSE)</f>
        <v>7.4906576476013322</v>
      </c>
      <c r="X4" s="2">
        <f>('FL Characterization'!X$2-'FL Characterization'!X$3)*VLOOKUP($A4,'FL Ratio'!$A$2:$B$21,2,FALSE)</f>
        <v>7.8122491214371168</v>
      </c>
      <c r="Y4" s="2">
        <f>('FL Characterization'!Y$2-'FL Characterization'!Y$3)*VLOOKUP($A4,'FL Ratio'!$A$2:$B$21,2,FALSE)</f>
        <v>8.6232818372299498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BEDA-3CED-4A36-B8B5-3C997C5803E9}">
  <dimension ref="A1:Y10"/>
  <sheetViews>
    <sheetView workbookViewId="0">
      <selection activeCell="B5" sqref="B5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11.615816940987557</v>
      </c>
      <c r="C5" s="9">
        <f>VLOOKUP($A5,'RES installed'!$A$2:$C$7,3,FALSE)*'[1]Profiles, RES, Spring'!C$5</f>
        <v>10.784825371336813</v>
      </c>
      <c r="D5" s="9">
        <f>VLOOKUP($A5,'RES installed'!$A$2:$C$7,3,FALSE)*'[1]Profiles, RES, Spring'!D$5</f>
        <v>10.839020473705339</v>
      </c>
      <c r="E5" s="9">
        <f>VLOOKUP($A5,'RES installed'!$A$2:$C$7,3,FALSE)*'[1]Profiles, RES, Spring'!E$5</f>
        <v>10.405459654757125</v>
      </c>
      <c r="F5" s="9">
        <f>VLOOKUP($A5,'RES installed'!$A$2:$C$7,3,FALSE)*'[1]Profiles, RES, Spring'!F$5</f>
        <v>10.306101967081492</v>
      </c>
      <c r="G5" s="9">
        <f>VLOOKUP($A5,'RES installed'!$A$2:$C$7,3,FALSE)*'[1]Profiles, RES, Spring'!G$5</f>
        <v>10.486752308309915</v>
      </c>
      <c r="H5" s="9">
        <f>VLOOKUP($A5,'RES installed'!$A$2:$C$7,3,FALSE)*'[1]Profiles, RES, Spring'!H$5</f>
        <v>9.4118827780008036</v>
      </c>
      <c r="I5" s="9">
        <f>VLOOKUP($A5,'RES installed'!$A$2:$C$7,3,FALSE)*'[1]Profiles, RES, Spring'!I$5</f>
        <v>7.5511842633480528</v>
      </c>
      <c r="J5" s="9">
        <f>VLOOKUP($A5,'RES installed'!$A$2:$C$7,3,FALSE)*'[1]Profiles, RES, Spring'!J$5</f>
        <v>5.9524287434765153</v>
      </c>
      <c r="K5" s="9">
        <f>VLOOKUP($A5,'RES installed'!$A$2:$C$7,3,FALSE)*'[1]Profiles, RES, Spring'!K$5</f>
        <v>4.4981934965877164</v>
      </c>
      <c r="L5" s="9">
        <f>VLOOKUP($A5,'RES installed'!$A$2:$C$7,3,FALSE)*'[1]Profiles, RES, Spring'!L$5</f>
        <v>4.2723805700521877</v>
      </c>
      <c r="M5" s="9">
        <f>VLOOKUP($A5,'RES installed'!$A$2:$C$7,3,FALSE)*'[1]Profiles, RES, Spring'!M$5</f>
        <v>5.2027298273785627</v>
      </c>
      <c r="N5" s="9">
        <f>VLOOKUP($A5,'RES installed'!$A$2:$C$7,3,FALSE)*'[1]Profiles, RES, Spring'!N$5</f>
        <v>6.8737454837414687</v>
      </c>
      <c r="O5" s="9">
        <f>VLOOKUP($A5,'RES installed'!$A$2:$C$7,3,FALSE)*'[1]Profiles, RES, Spring'!O$5</f>
        <v>9.5022079486150144</v>
      </c>
      <c r="P5" s="9">
        <f>VLOOKUP($A5,'RES installed'!$A$2:$C$7,3,FALSE)*'[1]Profiles, RES, Spring'!P$5</f>
        <v>12.401645925331193</v>
      </c>
      <c r="Q5" s="9">
        <f>VLOOKUP($A5,'RES installed'!$A$2:$C$7,3,FALSE)*'[1]Profiles, RES, Spring'!Q$5</f>
        <v>15.472701726214373</v>
      </c>
      <c r="R5" s="9">
        <f>VLOOKUP($A5,'RES installed'!$A$2:$C$7,3,FALSE)*'[1]Profiles, RES, Spring'!R$5</f>
        <v>19.26635889201124</v>
      </c>
      <c r="S5" s="9">
        <f>VLOOKUP($A5,'RES installed'!$A$2:$C$7,3,FALSE)*'[1]Profiles, RES, Spring'!S$5</f>
        <v>21.389000401445202</v>
      </c>
      <c r="T5" s="9">
        <f>VLOOKUP($A5,'RES installed'!$A$2:$C$7,3,FALSE)*'[1]Profiles, RES, Spring'!T$5</f>
        <v>21.461260537936575</v>
      </c>
      <c r="U5" s="9">
        <f>VLOOKUP($A5,'RES installed'!$A$2:$C$7,3,FALSE)*'[1]Profiles, RES, Spring'!U$5</f>
        <v>20.901244480128462</v>
      </c>
      <c r="V5" s="9">
        <f>VLOOKUP($A5,'RES installed'!$A$2:$C$7,3,FALSE)*'[1]Profiles, RES, Spring'!V$5</f>
        <v>18.950220794861501</v>
      </c>
      <c r="W5" s="9">
        <f>VLOOKUP($A5,'RES installed'!$A$2:$C$7,3,FALSE)*'[1]Profiles, RES, Spring'!W$5</f>
        <v>17.514050582095543</v>
      </c>
      <c r="X5" s="9">
        <f>VLOOKUP($A5,'RES installed'!$A$2:$C$7,3,FALSE)*'[1]Profiles, RES, Spring'!X$5</f>
        <v>17.48695303091128</v>
      </c>
      <c r="Y5" s="9">
        <f>VLOOKUP($A5,'RES installed'!$A$2:$C$7,3,FALSE)*'[1]Profiles, RES, Spring'!Y$5</f>
        <v>16.583701324769169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11.615816940987557</v>
      </c>
      <c r="C7" s="9">
        <f>VLOOKUP($A7,'RES installed'!$A$2:$C$7,3,FALSE)*'[1]Profiles, RES, Spring'!C$5</f>
        <v>10.784825371336813</v>
      </c>
      <c r="D7" s="9">
        <f>VLOOKUP($A7,'RES installed'!$A$2:$C$7,3,FALSE)*'[1]Profiles, RES, Spring'!D$5</f>
        <v>10.839020473705339</v>
      </c>
      <c r="E7" s="9">
        <f>VLOOKUP($A7,'RES installed'!$A$2:$C$7,3,FALSE)*'[1]Profiles, RES, Spring'!E$5</f>
        <v>10.405459654757125</v>
      </c>
      <c r="F7" s="9">
        <f>VLOOKUP($A7,'RES installed'!$A$2:$C$7,3,FALSE)*'[1]Profiles, RES, Spring'!F$5</f>
        <v>10.306101967081492</v>
      </c>
      <c r="G7" s="9">
        <f>VLOOKUP($A7,'RES installed'!$A$2:$C$7,3,FALSE)*'[1]Profiles, RES, Spring'!G$5</f>
        <v>10.486752308309915</v>
      </c>
      <c r="H7" s="9">
        <f>VLOOKUP($A7,'RES installed'!$A$2:$C$7,3,FALSE)*'[1]Profiles, RES, Spring'!H$5</f>
        <v>9.4118827780008036</v>
      </c>
      <c r="I7" s="9">
        <f>VLOOKUP($A7,'RES installed'!$A$2:$C$7,3,FALSE)*'[1]Profiles, RES, Spring'!I$5</f>
        <v>7.5511842633480528</v>
      </c>
      <c r="J7" s="9">
        <f>VLOOKUP($A7,'RES installed'!$A$2:$C$7,3,FALSE)*'[1]Profiles, RES, Spring'!J$5</f>
        <v>5.9524287434765153</v>
      </c>
      <c r="K7" s="9">
        <f>VLOOKUP($A7,'RES installed'!$A$2:$C$7,3,FALSE)*'[1]Profiles, RES, Spring'!K$5</f>
        <v>4.4981934965877164</v>
      </c>
      <c r="L7" s="9">
        <f>VLOOKUP($A7,'RES installed'!$A$2:$C$7,3,FALSE)*'[1]Profiles, RES, Spring'!L$5</f>
        <v>4.2723805700521877</v>
      </c>
      <c r="M7" s="9">
        <f>VLOOKUP($A7,'RES installed'!$A$2:$C$7,3,FALSE)*'[1]Profiles, RES, Spring'!M$5</f>
        <v>5.2027298273785627</v>
      </c>
      <c r="N7" s="9">
        <f>VLOOKUP($A7,'RES installed'!$A$2:$C$7,3,FALSE)*'[1]Profiles, RES, Spring'!N$5</f>
        <v>6.8737454837414687</v>
      </c>
      <c r="O7" s="9">
        <f>VLOOKUP($A7,'RES installed'!$A$2:$C$7,3,FALSE)*'[1]Profiles, RES, Spring'!O$5</f>
        <v>9.5022079486150144</v>
      </c>
      <c r="P7" s="9">
        <f>VLOOKUP($A7,'RES installed'!$A$2:$C$7,3,FALSE)*'[1]Profiles, RES, Spring'!P$5</f>
        <v>12.401645925331193</v>
      </c>
      <c r="Q7" s="9">
        <f>VLOOKUP($A7,'RES installed'!$A$2:$C$7,3,FALSE)*'[1]Profiles, RES, Spring'!Q$5</f>
        <v>15.472701726214373</v>
      </c>
      <c r="R7" s="9">
        <f>VLOOKUP($A7,'RES installed'!$A$2:$C$7,3,FALSE)*'[1]Profiles, RES, Spring'!R$5</f>
        <v>19.26635889201124</v>
      </c>
      <c r="S7" s="9">
        <f>VLOOKUP($A7,'RES installed'!$A$2:$C$7,3,FALSE)*'[1]Profiles, RES, Spring'!S$5</f>
        <v>21.389000401445202</v>
      </c>
      <c r="T7" s="9">
        <f>VLOOKUP($A7,'RES installed'!$A$2:$C$7,3,FALSE)*'[1]Profiles, RES, Spring'!T$5</f>
        <v>21.461260537936575</v>
      </c>
      <c r="U7" s="9">
        <f>VLOOKUP($A7,'RES installed'!$A$2:$C$7,3,FALSE)*'[1]Profiles, RES, Spring'!U$5</f>
        <v>20.901244480128462</v>
      </c>
      <c r="V7" s="9">
        <f>VLOOKUP($A7,'RES installed'!$A$2:$C$7,3,FALSE)*'[1]Profiles, RES, Spring'!V$5</f>
        <v>18.950220794861501</v>
      </c>
      <c r="W7" s="9">
        <f>VLOOKUP($A7,'RES installed'!$A$2:$C$7,3,FALSE)*'[1]Profiles, RES, Spring'!W$5</f>
        <v>17.514050582095543</v>
      </c>
      <c r="X7" s="9">
        <f>VLOOKUP($A7,'RES installed'!$A$2:$C$7,3,FALSE)*'[1]Profiles, RES, Spring'!X$5</f>
        <v>17.48695303091128</v>
      </c>
      <c r="Y7" s="9">
        <f>VLOOKUP($A7,'RES installed'!$A$2:$C$7,3,FALSE)*'[1]Profiles, RES, Spring'!Y$5</f>
        <v>16.583701324769169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0.71076573161485967</v>
      </c>
      <c r="H8" s="6">
        <f>VLOOKUP($A8,'RES installed'!$A$2:$C$7,3,FALSE)*'[1]Profiles, RES, Spring'!H$2</f>
        <v>7.136087945413192</v>
      </c>
      <c r="I8" s="6">
        <f>VLOOKUP($A8,'RES installed'!$A$2:$C$7,3,FALSE)*'[1]Profiles, RES, Spring'!I$2</f>
        <v>19.929871114480665</v>
      </c>
      <c r="J8" s="6">
        <f>VLOOKUP($A8,'RES installed'!$A$2:$C$7,3,FALSE)*'[1]Profiles, RES, Spring'!J$2</f>
        <v>30.790371493555725</v>
      </c>
      <c r="K8" s="6">
        <f>VLOOKUP($A8,'RES installed'!$A$2:$C$7,3,FALSE)*'[1]Profiles, RES, Spring'!K$2</f>
        <v>36.021607278241092</v>
      </c>
      <c r="L8" s="6">
        <f>VLOOKUP($A8,'RES installed'!$A$2:$C$7,3,FALSE)*'[1]Profiles, RES, Spring'!L$2</f>
        <v>41.167551175132679</v>
      </c>
      <c r="M8" s="6">
        <f>VLOOKUP($A8,'RES installed'!$A$2:$C$7,3,FALSE)*'[1]Profiles, RES, Spring'!M$2</f>
        <v>43.385140257771042</v>
      </c>
      <c r="N8" s="6">
        <f>VLOOKUP($A8,'RES installed'!$A$2:$C$7,3,FALSE)*'[1]Profiles, RES, Spring'!N$2</f>
        <v>46.796815769522368</v>
      </c>
      <c r="O8" s="6">
        <f>VLOOKUP($A8,'RES installed'!$A$2:$C$7,3,FALSE)*'[1]Profiles, RES, Spring'!O$2</f>
        <v>47.052691432903721</v>
      </c>
      <c r="P8" s="6">
        <f>VLOOKUP($A8,'RES installed'!$A$2:$C$7,3,FALSE)*'[1]Profiles, RES, Spring'!P$2</f>
        <v>47.30856709628506</v>
      </c>
      <c r="Q8" s="6">
        <f>VLOOKUP($A8,'RES installed'!$A$2:$C$7,3,FALSE)*'[1]Profiles, RES, Spring'!Q$2</f>
        <v>43.271417740712657</v>
      </c>
      <c r="R8" s="6">
        <f>VLOOKUP($A8,'RES installed'!$A$2:$C$7,3,FALSE)*'[1]Profiles, RES, Spring'!R$2</f>
        <v>34.429492039423806</v>
      </c>
      <c r="S8" s="6">
        <f>VLOOKUP($A8,'RES installed'!$A$2:$C$7,3,FALSE)*'[1]Profiles, RES, Spring'!S$2</f>
        <v>22.687642153146324</v>
      </c>
      <c r="T8" s="6">
        <f>VLOOKUP($A8,'RES installed'!$A$2:$C$7,3,FALSE)*'[1]Profiles, RES, Spring'!T$2</f>
        <v>8.3586050037907516</v>
      </c>
      <c r="U8" s="6">
        <f>VLOOKUP($A8,'RES installed'!$A$2:$C$7,3,FALSE)*'[1]Profiles, RES, Spring'!U$2</f>
        <v>0.73919636087945406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0.56861258529188774</v>
      </c>
      <c r="H10" s="6">
        <f>VLOOKUP($A10,'RES installed'!$A$2:$C$7,3,FALSE)*'[1]Profiles, RES, Spring'!H$2</f>
        <v>5.7088703563305536</v>
      </c>
      <c r="I10" s="6">
        <f>VLOOKUP($A10,'RES installed'!$A$2:$C$7,3,FALSE)*'[1]Profiles, RES, Spring'!I$2</f>
        <v>15.943896891584533</v>
      </c>
      <c r="J10" s="6">
        <f>VLOOKUP($A10,'RES installed'!$A$2:$C$7,3,FALSE)*'[1]Profiles, RES, Spring'!J$2</f>
        <v>24.632297194844579</v>
      </c>
      <c r="K10" s="6">
        <f>VLOOKUP($A10,'RES installed'!$A$2:$C$7,3,FALSE)*'[1]Profiles, RES, Spring'!K$2</f>
        <v>28.817285822592876</v>
      </c>
      <c r="L10" s="6">
        <f>VLOOKUP($A10,'RES installed'!$A$2:$C$7,3,FALSE)*'[1]Profiles, RES, Spring'!L$2</f>
        <v>32.934040940106144</v>
      </c>
      <c r="M10" s="6">
        <f>VLOOKUP($A10,'RES installed'!$A$2:$C$7,3,FALSE)*'[1]Profiles, RES, Spring'!M$2</f>
        <v>34.708112206216832</v>
      </c>
      <c r="N10" s="6">
        <f>VLOOKUP($A10,'RES installed'!$A$2:$C$7,3,FALSE)*'[1]Profiles, RES, Spring'!N$2</f>
        <v>37.437452615617893</v>
      </c>
      <c r="O10" s="6">
        <f>VLOOKUP($A10,'RES installed'!$A$2:$C$7,3,FALSE)*'[1]Profiles, RES, Spring'!O$2</f>
        <v>37.642153146322975</v>
      </c>
      <c r="P10" s="6">
        <f>VLOOKUP($A10,'RES installed'!$A$2:$C$7,3,FALSE)*'[1]Profiles, RES, Spring'!P$2</f>
        <v>37.846853677028051</v>
      </c>
      <c r="Q10" s="6">
        <f>VLOOKUP($A10,'RES installed'!$A$2:$C$7,3,FALSE)*'[1]Profiles, RES, Spring'!Q$2</f>
        <v>34.617134192570127</v>
      </c>
      <c r="R10" s="6">
        <f>VLOOKUP($A10,'RES installed'!$A$2:$C$7,3,FALSE)*'[1]Profiles, RES, Spring'!R$2</f>
        <v>27.543593631539046</v>
      </c>
      <c r="S10" s="6">
        <f>VLOOKUP($A10,'RES installed'!$A$2:$C$7,3,FALSE)*'[1]Profiles, RES, Spring'!S$2</f>
        <v>18.150113722517059</v>
      </c>
      <c r="T10" s="6">
        <f>VLOOKUP($A10,'RES installed'!$A$2:$C$7,3,FALSE)*'[1]Profiles, RES, Spring'!T$2</f>
        <v>6.6868840030326009</v>
      </c>
      <c r="U10" s="6">
        <f>VLOOKUP($A10,'RES installed'!$A$2:$C$7,3,FALSE)*'[1]Profiles, RES, Spring'!U$2</f>
        <v>0.59135708870356329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DCCF-8843-49E7-A2BE-F57333158CF0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15.228823765556003</v>
      </c>
      <c r="C5" s="9">
        <f>VLOOKUP($A5,'RES installed'!$A$2:$C$7,3,FALSE)*'[1]Profiles, RES, Spring'!C$6</f>
        <v>13.819751103974308</v>
      </c>
      <c r="D5" s="9">
        <f>VLOOKUP($A5,'RES installed'!$A$2:$C$7,3,FALSE)*'[1]Profiles, RES, Spring'!D$6</f>
        <v>12.058410276997192</v>
      </c>
      <c r="E5" s="9">
        <f>VLOOKUP($A5,'RES installed'!$A$2:$C$7,3,FALSE)*'[1]Profiles, RES, Spring'!E$6</f>
        <v>10.857085507828181</v>
      </c>
      <c r="F5" s="9">
        <f>VLOOKUP($A5,'RES installed'!$A$2:$C$7,3,FALSE)*'[1]Profiles, RES, Spring'!F$6</f>
        <v>10.613207547169811</v>
      </c>
      <c r="G5" s="9">
        <f>VLOOKUP($A5,'RES installed'!$A$2:$C$7,3,FALSE)*'[1]Profiles, RES, Spring'!G$6</f>
        <v>10.730630268968287</v>
      </c>
      <c r="H5" s="9">
        <f>VLOOKUP($A5,'RES installed'!$A$2:$C$7,3,FALSE)*'[1]Profiles, RES, Spring'!H$6</f>
        <v>9.1589723002810111</v>
      </c>
      <c r="I5" s="9">
        <f>VLOOKUP($A5,'RES installed'!$A$2:$C$7,3,FALSE)*'[1]Profiles, RES, Spring'!I$6</f>
        <v>6.8918105178643119</v>
      </c>
      <c r="J5" s="9">
        <f>VLOOKUP($A5,'RES installed'!$A$2:$C$7,3,FALSE)*'[1]Profiles, RES, Spring'!J$6</f>
        <v>6.2775993576876754</v>
      </c>
      <c r="K5" s="9">
        <f>VLOOKUP($A5,'RES installed'!$A$2:$C$7,3,FALSE)*'[1]Profiles, RES, Spring'!K$6</f>
        <v>6.5395423524688878</v>
      </c>
      <c r="L5" s="9">
        <f>VLOOKUP($A5,'RES installed'!$A$2:$C$7,3,FALSE)*'[1]Profiles, RES, Spring'!L$6</f>
        <v>7.3253713368125251</v>
      </c>
      <c r="M5" s="9">
        <f>VLOOKUP($A5,'RES installed'!$A$2:$C$7,3,FALSE)*'[1]Profiles, RES, Spring'!M$6</f>
        <v>8.4002408671216386</v>
      </c>
      <c r="N5" s="9">
        <f>VLOOKUP($A5,'RES installed'!$A$2:$C$7,3,FALSE)*'[1]Profiles, RES, Spring'!N$6</f>
        <v>10.92031312725813</v>
      </c>
      <c r="O5" s="9">
        <f>VLOOKUP($A5,'RES installed'!$A$2:$C$7,3,FALSE)*'[1]Profiles, RES, Spring'!O$6</f>
        <v>13.557808109193095</v>
      </c>
      <c r="P5" s="9">
        <f>VLOOKUP($A5,'RES installed'!$A$2:$C$7,3,FALSE)*'[1]Profiles, RES, Spring'!P$6</f>
        <v>15.400441589723002</v>
      </c>
      <c r="Q5" s="9">
        <f>VLOOKUP($A5,'RES installed'!$A$2:$C$7,3,FALSE)*'[1]Profiles, RES, Spring'!Q$6</f>
        <v>16.945002007226016</v>
      </c>
      <c r="R5" s="9">
        <f>VLOOKUP($A5,'RES installed'!$A$2:$C$7,3,FALSE)*'[1]Profiles, RES, Spring'!R$6</f>
        <v>18.570855078281813</v>
      </c>
      <c r="S5" s="9">
        <f>VLOOKUP($A5,'RES installed'!$A$2:$C$7,3,FALSE)*'[1]Profiles, RES, Spring'!S$6</f>
        <v>17.766961059815333</v>
      </c>
      <c r="T5" s="9">
        <f>VLOOKUP($A5,'RES installed'!$A$2:$C$7,3,FALSE)*'[1]Profiles, RES, Spring'!T$6</f>
        <v>15.716579686872743</v>
      </c>
      <c r="U5" s="9">
        <f>VLOOKUP($A5,'RES installed'!$A$2:$C$7,3,FALSE)*'[1]Profiles, RES, Spring'!U$6</f>
        <v>15.120433560818947</v>
      </c>
      <c r="V5" s="9">
        <f>VLOOKUP($A5,'RES installed'!$A$2:$C$7,3,FALSE)*'[1]Profiles, RES, Spring'!V$6</f>
        <v>14.063629064632678</v>
      </c>
      <c r="W5" s="9">
        <f>VLOOKUP($A5,'RES installed'!$A$2:$C$7,3,FALSE)*'[1]Profiles, RES, Spring'!W$6</f>
        <v>13.341027699718989</v>
      </c>
      <c r="X5" s="9">
        <f>VLOOKUP($A5,'RES installed'!$A$2:$C$7,3,FALSE)*'[1]Profiles, RES, Spring'!X$6</f>
        <v>12.094540345242873</v>
      </c>
      <c r="Y5" s="9">
        <f>VLOOKUP($A5,'RES installed'!$A$2:$C$7,3,FALSE)*'[1]Profiles, RES, Spring'!Y$6</f>
        <v>10.784825371336813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15.228823765556003</v>
      </c>
      <c r="C7" s="9">
        <f>VLOOKUP($A7,'RES installed'!$A$2:$C$7,3,FALSE)*'[1]Profiles, RES, Spring'!C$6</f>
        <v>13.819751103974308</v>
      </c>
      <c r="D7" s="9">
        <f>VLOOKUP($A7,'RES installed'!$A$2:$C$7,3,FALSE)*'[1]Profiles, RES, Spring'!D$6</f>
        <v>12.058410276997192</v>
      </c>
      <c r="E7" s="9">
        <f>VLOOKUP($A7,'RES installed'!$A$2:$C$7,3,FALSE)*'[1]Profiles, RES, Spring'!E$6</f>
        <v>10.857085507828181</v>
      </c>
      <c r="F7" s="9">
        <f>VLOOKUP($A7,'RES installed'!$A$2:$C$7,3,FALSE)*'[1]Profiles, RES, Spring'!F$6</f>
        <v>10.613207547169811</v>
      </c>
      <c r="G7" s="9">
        <f>VLOOKUP($A7,'RES installed'!$A$2:$C$7,3,FALSE)*'[1]Profiles, RES, Spring'!G$6</f>
        <v>10.730630268968287</v>
      </c>
      <c r="H7" s="9">
        <f>VLOOKUP($A7,'RES installed'!$A$2:$C$7,3,FALSE)*'[1]Profiles, RES, Spring'!H$6</f>
        <v>9.1589723002810111</v>
      </c>
      <c r="I7" s="9">
        <f>VLOOKUP($A7,'RES installed'!$A$2:$C$7,3,FALSE)*'[1]Profiles, RES, Spring'!I$6</f>
        <v>6.8918105178643119</v>
      </c>
      <c r="J7" s="9">
        <f>VLOOKUP($A7,'RES installed'!$A$2:$C$7,3,FALSE)*'[1]Profiles, RES, Spring'!J$6</f>
        <v>6.2775993576876754</v>
      </c>
      <c r="K7" s="9">
        <f>VLOOKUP($A7,'RES installed'!$A$2:$C$7,3,FALSE)*'[1]Profiles, RES, Spring'!K$6</f>
        <v>6.5395423524688878</v>
      </c>
      <c r="L7" s="9">
        <f>VLOOKUP($A7,'RES installed'!$A$2:$C$7,3,FALSE)*'[1]Profiles, RES, Spring'!L$6</f>
        <v>7.3253713368125251</v>
      </c>
      <c r="M7" s="9">
        <f>VLOOKUP($A7,'RES installed'!$A$2:$C$7,3,FALSE)*'[1]Profiles, RES, Spring'!M$6</f>
        <v>8.4002408671216386</v>
      </c>
      <c r="N7" s="9">
        <f>VLOOKUP($A7,'RES installed'!$A$2:$C$7,3,FALSE)*'[1]Profiles, RES, Spring'!N$6</f>
        <v>10.92031312725813</v>
      </c>
      <c r="O7" s="9">
        <f>VLOOKUP($A7,'RES installed'!$A$2:$C$7,3,FALSE)*'[1]Profiles, RES, Spring'!O$6</f>
        <v>13.557808109193095</v>
      </c>
      <c r="P7" s="9">
        <f>VLOOKUP($A7,'RES installed'!$A$2:$C$7,3,FALSE)*'[1]Profiles, RES, Spring'!P$6</f>
        <v>15.400441589723002</v>
      </c>
      <c r="Q7" s="9">
        <f>VLOOKUP($A7,'RES installed'!$A$2:$C$7,3,FALSE)*'[1]Profiles, RES, Spring'!Q$6</f>
        <v>16.945002007226016</v>
      </c>
      <c r="R7" s="9">
        <f>VLOOKUP($A7,'RES installed'!$A$2:$C$7,3,FALSE)*'[1]Profiles, RES, Spring'!R$6</f>
        <v>18.570855078281813</v>
      </c>
      <c r="S7" s="9">
        <f>VLOOKUP($A7,'RES installed'!$A$2:$C$7,3,FALSE)*'[1]Profiles, RES, Spring'!S$6</f>
        <v>17.766961059815333</v>
      </c>
      <c r="T7" s="9">
        <f>VLOOKUP($A7,'RES installed'!$A$2:$C$7,3,FALSE)*'[1]Profiles, RES, Spring'!T$6</f>
        <v>15.716579686872743</v>
      </c>
      <c r="U7" s="9">
        <f>VLOOKUP($A7,'RES installed'!$A$2:$C$7,3,FALSE)*'[1]Profiles, RES, Spring'!U$6</f>
        <v>15.120433560818947</v>
      </c>
      <c r="V7" s="9">
        <f>VLOOKUP($A7,'RES installed'!$A$2:$C$7,3,FALSE)*'[1]Profiles, RES, Spring'!V$6</f>
        <v>14.063629064632678</v>
      </c>
      <c r="W7" s="9">
        <f>VLOOKUP($A7,'RES installed'!$A$2:$C$7,3,FALSE)*'[1]Profiles, RES, Spring'!W$6</f>
        <v>13.341027699718989</v>
      </c>
      <c r="X7" s="9">
        <f>VLOOKUP($A7,'RES installed'!$A$2:$C$7,3,FALSE)*'[1]Profiles, RES, Spring'!X$6</f>
        <v>12.094540345242873</v>
      </c>
      <c r="Y7" s="9">
        <f>VLOOKUP($A7,'RES installed'!$A$2:$C$7,3,FALSE)*'[1]Profiles, RES, Spring'!Y$6</f>
        <v>10.784825371336813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0.85291887793783172</v>
      </c>
      <c r="H8" s="6">
        <f>VLOOKUP($A8,'RES installed'!$A$2:$C$7,3,FALSE)*'[1]Profiles, RES, Spring'!H$3</f>
        <v>7.4772554965883247</v>
      </c>
      <c r="I8" s="6">
        <f>VLOOKUP($A8,'RES installed'!$A$2:$C$7,3,FALSE)*'[1]Profiles, RES, Spring'!I$3</f>
        <v>17.996588324488251</v>
      </c>
      <c r="J8" s="6">
        <f>VLOOKUP($A8,'RES installed'!$A$2:$C$7,3,FALSE)*'[1]Profiles, RES, Spring'!J$3</f>
        <v>27.151250947687643</v>
      </c>
      <c r="K8" s="6">
        <f>VLOOKUP($A8,'RES installed'!$A$2:$C$7,3,FALSE)*'[1]Profiles, RES, Spring'!K$3</f>
        <v>37.812736921910542</v>
      </c>
      <c r="L8" s="6">
        <f>VLOOKUP($A8,'RES installed'!$A$2:$C$7,3,FALSE)*'[1]Profiles, RES, Spring'!L$3</f>
        <v>44.749810462471572</v>
      </c>
      <c r="M8" s="6">
        <f>VLOOKUP($A8,'RES installed'!$A$2:$C$7,3,FALSE)*'[1]Profiles, RES, Spring'!M$3</f>
        <v>45.801743745261561</v>
      </c>
      <c r="N8" s="6">
        <f>VLOOKUP($A8,'RES installed'!$A$2:$C$7,3,FALSE)*'[1]Profiles, RES, Spring'!N$3</f>
        <v>46.882107657316148</v>
      </c>
      <c r="O8" s="6">
        <f>VLOOKUP($A8,'RES installed'!$A$2:$C$7,3,FALSE)*'[1]Profiles, RES, Spring'!O$3</f>
        <v>45.23313115996968</v>
      </c>
      <c r="P8" s="6">
        <f>VLOOKUP($A8,'RES installed'!$A$2:$C$7,3,FALSE)*'[1]Profiles, RES, Spring'!P$3</f>
        <v>48.076194086429112</v>
      </c>
      <c r="Q8" s="6">
        <f>VLOOKUP($A8,'RES installed'!$A$2:$C$7,3,FALSE)*'[1]Profiles, RES, Spring'!Q$3</f>
        <v>42.674374526156178</v>
      </c>
      <c r="R8" s="6">
        <f>VLOOKUP($A8,'RES installed'!$A$2:$C$7,3,FALSE)*'[1]Profiles, RES, Spring'!R$3</f>
        <v>35.794162244124337</v>
      </c>
      <c r="S8" s="6">
        <f>VLOOKUP($A8,'RES installed'!$A$2:$C$7,3,FALSE)*'[1]Profiles, RES, Spring'!S$3</f>
        <v>23.398407884761184</v>
      </c>
      <c r="T8" s="6">
        <f>VLOOKUP($A8,'RES installed'!$A$2:$C$7,3,FALSE)*'[1]Profiles, RES, Spring'!T$3</f>
        <v>8.5291887793783179</v>
      </c>
      <c r="U8" s="6">
        <f>VLOOKUP($A8,'RES installed'!$A$2:$C$7,3,FALSE)*'[1]Profiles, RES, Spring'!U$3</f>
        <v>0.76762699014404845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0.6823351023502654</v>
      </c>
      <c r="H10" s="6">
        <f>VLOOKUP($A10,'RES installed'!$A$2:$C$7,3,FALSE)*'[1]Profiles, RES, Spring'!H$3</f>
        <v>5.9818043972706594</v>
      </c>
      <c r="I10" s="6">
        <f>VLOOKUP($A10,'RES installed'!$A$2:$C$7,3,FALSE)*'[1]Profiles, RES, Spring'!I$3</f>
        <v>14.3972706595906</v>
      </c>
      <c r="J10" s="6">
        <f>VLOOKUP($A10,'RES installed'!$A$2:$C$7,3,FALSE)*'[1]Profiles, RES, Spring'!J$3</f>
        <v>21.721000758150115</v>
      </c>
      <c r="K10" s="6">
        <f>VLOOKUP($A10,'RES installed'!$A$2:$C$7,3,FALSE)*'[1]Profiles, RES, Spring'!K$3</f>
        <v>30.250189537528431</v>
      </c>
      <c r="L10" s="6">
        <f>VLOOKUP($A10,'RES installed'!$A$2:$C$7,3,FALSE)*'[1]Profiles, RES, Spring'!L$3</f>
        <v>35.799848369977255</v>
      </c>
      <c r="M10" s="6">
        <f>VLOOKUP($A10,'RES installed'!$A$2:$C$7,3,FALSE)*'[1]Profiles, RES, Spring'!M$3</f>
        <v>36.64139499620925</v>
      </c>
      <c r="N10" s="6">
        <f>VLOOKUP($A10,'RES installed'!$A$2:$C$7,3,FALSE)*'[1]Profiles, RES, Spring'!N$3</f>
        <v>37.505686125852918</v>
      </c>
      <c r="O10" s="6">
        <f>VLOOKUP($A10,'RES installed'!$A$2:$C$7,3,FALSE)*'[1]Profiles, RES, Spring'!O$3</f>
        <v>36.18650492797574</v>
      </c>
      <c r="P10" s="6">
        <f>VLOOKUP($A10,'RES installed'!$A$2:$C$7,3,FALSE)*'[1]Profiles, RES, Spring'!P$3</f>
        <v>38.460955269143291</v>
      </c>
      <c r="Q10" s="6">
        <f>VLOOKUP($A10,'RES installed'!$A$2:$C$7,3,FALSE)*'[1]Profiles, RES, Spring'!Q$3</f>
        <v>34.139499620924944</v>
      </c>
      <c r="R10" s="6">
        <f>VLOOKUP($A10,'RES installed'!$A$2:$C$7,3,FALSE)*'[1]Profiles, RES, Spring'!R$3</f>
        <v>28.635329795299469</v>
      </c>
      <c r="S10" s="6">
        <f>VLOOKUP($A10,'RES installed'!$A$2:$C$7,3,FALSE)*'[1]Profiles, RES, Spring'!S$3</f>
        <v>18.718726307808947</v>
      </c>
      <c r="T10" s="6">
        <f>VLOOKUP($A10,'RES installed'!$A$2:$C$7,3,FALSE)*'[1]Profiles, RES, Spring'!T$3</f>
        <v>6.8233510235026538</v>
      </c>
      <c r="U10" s="6">
        <f>VLOOKUP($A10,'RES installed'!$A$2:$C$7,3,FALSE)*'[1]Profiles, RES, Spring'!U$3</f>
        <v>0.61410159211523874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612B-8B1B-4085-8089-2EC67F7C85E9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11.146126053793658</v>
      </c>
      <c r="C5" s="9">
        <f>VLOOKUP($A5,'RES installed'!$A$2:$C$7,3,FALSE)*'[1]Profiles, RES, Spring'!C$7</f>
        <v>10.568044961862705</v>
      </c>
      <c r="D5" s="9">
        <f>VLOOKUP($A5,'RES installed'!$A$2:$C$7,3,FALSE)*'[1]Profiles, RES, Spring'!D$7</f>
        <v>10.27900441589723</v>
      </c>
      <c r="E5" s="9">
        <f>VLOOKUP($A5,'RES installed'!$A$2:$C$7,3,FALSE)*'[1]Profiles, RES, Spring'!E$7</f>
        <v>10.820955439582496</v>
      </c>
      <c r="F5" s="9">
        <f>VLOOKUP($A5,'RES installed'!$A$2:$C$7,3,FALSE)*'[1]Profiles, RES, Spring'!F$7</f>
        <v>10.84805299076676</v>
      </c>
      <c r="G5" s="9">
        <f>VLOOKUP($A5,'RES installed'!$A$2:$C$7,3,FALSE)*'[1]Profiles, RES, Spring'!G$7</f>
        <v>9.6467282215977512</v>
      </c>
      <c r="H5" s="9">
        <f>VLOOKUP($A5,'RES installed'!$A$2:$C$7,3,FALSE)*'[1]Profiles, RES, Spring'!H$7</f>
        <v>8.2105580088317947</v>
      </c>
      <c r="I5" s="9">
        <f>VLOOKUP($A5,'RES installed'!$A$2:$C$7,3,FALSE)*'[1]Profiles, RES, Spring'!I$7</f>
        <v>6.1872741870734638</v>
      </c>
      <c r="J5" s="9">
        <f>VLOOKUP($A5,'RES installed'!$A$2:$C$7,3,FALSE)*'[1]Profiles, RES, Spring'!J$7</f>
        <v>5.2117623444399843</v>
      </c>
      <c r="K5" s="9">
        <f>VLOOKUP($A5,'RES installed'!$A$2:$C$7,3,FALSE)*'[1]Profiles, RES, Spring'!K$7</f>
        <v>5.6633881975110389</v>
      </c>
      <c r="L5" s="9">
        <f>VLOOKUP($A5,'RES installed'!$A$2:$C$7,3,FALSE)*'[1]Profiles, RES, Spring'!L$7</f>
        <v>6.6930951425130463</v>
      </c>
      <c r="M5" s="9">
        <f>VLOOKUP($A5,'RES installed'!$A$2:$C$7,3,FALSE)*'[1]Profiles, RES, Spring'!M$7</f>
        <v>6.6208350060216778</v>
      </c>
      <c r="N5" s="9">
        <f>VLOOKUP($A5,'RES installed'!$A$2:$C$7,3,FALSE)*'[1]Profiles, RES, Spring'!N$7</f>
        <v>7.6053793657165798</v>
      </c>
      <c r="O5" s="9">
        <f>VLOOKUP($A5,'RES installed'!$A$2:$C$7,3,FALSE)*'[1]Profiles, RES, Spring'!O$7</f>
        <v>9.7009233239662773</v>
      </c>
      <c r="P5" s="9">
        <f>VLOOKUP($A5,'RES installed'!$A$2:$C$7,3,FALSE)*'[1]Profiles, RES, Spring'!P$7</f>
        <v>11.326776395022078</v>
      </c>
      <c r="Q5" s="9">
        <f>VLOOKUP($A5,'RES installed'!$A$2:$C$7,3,FALSE)*'[1]Profiles, RES, Spring'!Q$7</f>
        <v>12.762946607788036</v>
      </c>
      <c r="R5" s="9">
        <f>VLOOKUP($A5,'RES installed'!$A$2:$C$7,3,FALSE)*'[1]Profiles, RES, Spring'!R$7</f>
        <v>14.343637093536733</v>
      </c>
      <c r="S5" s="9">
        <f>VLOOKUP($A5,'RES installed'!$A$2:$C$7,3,FALSE)*'[1]Profiles, RES, Spring'!S$7</f>
        <v>14.930750702529105</v>
      </c>
      <c r="T5" s="9">
        <f>VLOOKUP($A5,'RES installed'!$A$2:$C$7,3,FALSE)*'[1]Profiles, RES, Spring'!T$7</f>
        <v>14.939783219590526</v>
      </c>
      <c r="U5" s="9">
        <f>VLOOKUP($A5,'RES installed'!$A$2:$C$7,3,FALSE)*'[1]Profiles, RES, Spring'!U$7</f>
        <v>13.35909273384183</v>
      </c>
      <c r="V5" s="9">
        <f>VLOOKUP($A5,'RES installed'!$A$2:$C$7,3,FALSE)*'[1]Profiles, RES, Spring'!V$7</f>
        <v>12.753914090726616</v>
      </c>
      <c r="W5" s="9">
        <f>VLOOKUP($A5,'RES installed'!$A$2:$C$7,3,FALSE)*'[1]Profiles, RES, Spring'!W$7</f>
        <v>12.681653954235246</v>
      </c>
      <c r="X5" s="9">
        <f>VLOOKUP($A5,'RES installed'!$A$2:$C$7,3,FALSE)*'[1]Profiles, RES, Spring'!X$7</f>
        <v>12.889401846647933</v>
      </c>
      <c r="Y5" s="9">
        <f>VLOOKUP($A5,'RES installed'!$A$2:$C$7,3,FALSE)*'[1]Profiles, RES, Spring'!Y$7</f>
        <v>13.91910879164994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11.146126053793658</v>
      </c>
      <c r="C7" s="9">
        <f>VLOOKUP($A7,'RES installed'!$A$2:$C$7,3,FALSE)*'[1]Profiles, RES, Spring'!C$7</f>
        <v>10.568044961862705</v>
      </c>
      <c r="D7" s="9">
        <f>VLOOKUP($A7,'RES installed'!$A$2:$C$7,3,FALSE)*'[1]Profiles, RES, Spring'!D$7</f>
        <v>10.27900441589723</v>
      </c>
      <c r="E7" s="9">
        <f>VLOOKUP($A7,'RES installed'!$A$2:$C$7,3,FALSE)*'[1]Profiles, RES, Spring'!E$7</f>
        <v>10.820955439582496</v>
      </c>
      <c r="F7" s="9">
        <f>VLOOKUP($A7,'RES installed'!$A$2:$C$7,3,FALSE)*'[1]Profiles, RES, Spring'!F$7</f>
        <v>10.84805299076676</v>
      </c>
      <c r="G7" s="9">
        <f>VLOOKUP($A7,'RES installed'!$A$2:$C$7,3,FALSE)*'[1]Profiles, RES, Spring'!G$7</f>
        <v>9.6467282215977512</v>
      </c>
      <c r="H7" s="9">
        <f>VLOOKUP($A7,'RES installed'!$A$2:$C$7,3,FALSE)*'[1]Profiles, RES, Spring'!H$7</f>
        <v>8.2105580088317947</v>
      </c>
      <c r="I7" s="9">
        <f>VLOOKUP($A7,'RES installed'!$A$2:$C$7,3,FALSE)*'[1]Profiles, RES, Spring'!I$7</f>
        <v>6.1872741870734638</v>
      </c>
      <c r="J7" s="9">
        <f>VLOOKUP($A7,'RES installed'!$A$2:$C$7,3,FALSE)*'[1]Profiles, RES, Spring'!J$7</f>
        <v>5.2117623444399843</v>
      </c>
      <c r="K7" s="9">
        <f>VLOOKUP($A7,'RES installed'!$A$2:$C$7,3,FALSE)*'[1]Profiles, RES, Spring'!K$7</f>
        <v>5.6633881975110389</v>
      </c>
      <c r="L7" s="9">
        <f>VLOOKUP($A7,'RES installed'!$A$2:$C$7,3,FALSE)*'[1]Profiles, RES, Spring'!L$7</f>
        <v>6.6930951425130463</v>
      </c>
      <c r="M7" s="9">
        <f>VLOOKUP($A7,'RES installed'!$A$2:$C$7,3,FALSE)*'[1]Profiles, RES, Spring'!M$7</f>
        <v>6.6208350060216778</v>
      </c>
      <c r="N7" s="9">
        <f>VLOOKUP($A7,'RES installed'!$A$2:$C$7,3,FALSE)*'[1]Profiles, RES, Spring'!N$7</f>
        <v>7.6053793657165798</v>
      </c>
      <c r="O7" s="9">
        <f>VLOOKUP($A7,'RES installed'!$A$2:$C$7,3,FALSE)*'[1]Profiles, RES, Spring'!O$7</f>
        <v>9.7009233239662773</v>
      </c>
      <c r="P7" s="9">
        <f>VLOOKUP($A7,'RES installed'!$A$2:$C$7,3,FALSE)*'[1]Profiles, RES, Spring'!P$7</f>
        <v>11.326776395022078</v>
      </c>
      <c r="Q7" s="9">
        <f>VLOOKUP($A7,'RES installed'!$A$2:$C$7,3,FALSE)*'[1]Profiles, RES, Spring'!Q$7</f>
        <v>12.762946607788036</v>
      </c>
      <c r="R7" s="9">
        <f>VLOOKUP($A7,'RES installed'!$A$2:$C$7,3,FALSE)*'[1]Profiles, RES, Spring'!R$7</f>
        <v>14.343637093536733</v>
      </c>
      <c r="S7" s="9">
        <f>VLOOKUP($A7,'RES installed'!$A$2:$C$7,3,FALSE)*'[1]Profiles, RES, Spring'!S$7</f>
        <v>14.930750702529105</v>
      </c>
      <c r="T7" s="9">
        <f>VLOOKUP($A7,'RES installed'!$A$2:$C$7,3,FALSE)*'[1]Profiles, RES, Spring'!T$7</f>
        <v>14.939783219590526</v>
      </c>
      <c r="U7" s="9">
        <f>VLOOKUP($A7,'RES installed'!$A$2:$C$7,3,FALSE)*'[1]Profiles, RES, Spring'!U$7</f>
        <v>13.35909273384183</v>
      </c>
      <c r="V7" s="9">
        <f>VLOOKUP($A7,'RES installed'!$A$2:$C$7,3,FALSE)*'[1]Profiles, RES, Spring'!V$7</f>
        <v>12.753914090726616</v>
      </c>
      <c r="W7" s="9">
        <f>VLOOKUP($A7,'RES installed'!$A$2:$C$7,3,FALSE)*'[1]Profiles, RES, Spring'!W$7</f>
        <v>12.681653954235246</v>
      </c>
      <c r="X7" s="9">
        <f>VLOOKUP($A7,'RES installed'!$A$2:$C$7,3,FALSE)*'[1]Profiles, RES, Spring'!X$7</f>
        <v>12.889401846647933</v>
      </c>
      <c r="Y7" s="9">
        <f>VLOOKUP($A7,'RES installed'!$A$2:$C$7,3,FALSE)*'[1]Profiles, RES, Spring'!Y$7</f>
        <v>13.91910879164994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0.82448824867323733</v>
      </c>
      <c r="H8" s="6">
        <f>VLOOKUP($A8,'RES installed'!$A$2:$C$7,3,FALSE)*'[1]Profiles, RES, Spring'!H$4</f>
        <v>7.9037149355572396</v>
      </c>
      <c r="I8" s="6">
        <f>VLOOKUP($A8,'RES installed'!$A$2:$C$7,3,FALSE)*'[1]Profiles, RES, Spring'!I$4</f>
        <v>21.948445792266867</v>
      </c>
      <c r="J8" s="6">
        <f>VLOOKUP($A8,'RES installed'!$A$2:$C$7,3,FALSE)*'[1]Profiles, RES, Spring'!J$4</f>
        <v>35.225549658832449</v>
      </c>
      <c r="K8" s="6">
        <f>VLOOKUP($A8,'RES installed'!$A$2:$C$7,3,FALSE)*'[1]Profiles, RES, Spring'!K$4</f>
        <v>41.764594389689158</v>
      </c>
      <c r="L8" s="6">
        <f>VLOOKUP($A8,'RES installed'!$A$2:$C$7,3,FALSE)*'[1]Profiles, RES, Spring'!L$4</f>
        <v>46.171341925701284</v>
      </c>
      <c r="M8" s="6">
        <f>VLOOKUP($A8,'RES installed'!$A$2:$C$7,3,FALSE)*'[1]Profiles, RES, Spring'!M$4</f>
        <v>51.345716451857463</v>
      </c>
      <c r="N8" s="6">
        <f>VLOOKUP($A8,'RES installed'!$A$2:$C$7,3,FALSE)*'[1]Profiles, RES, Spring'!N$4</f>
        <v>50.123199393479908</v>
      </c>
      <c r="O8" s="6">
        <f>VLOOKUP($A8,'RES installed'!$A$2:$C$7,3,FALSE)*'[1]Profiles, RES, Spring'!O$4</f>
        <v>49.867323730098562</v>
      </c>
      <c r="P8" s="6">
        <f>VLOOKUP($A8,'RES installed'!$A$2:$C$7,3,FALSE)*'[1]Profiles, RES, Spring'!P$4</f>
        <v>50.208491281273687</v>
      </c>
      <c r="Q8" s="6">
        <f>VLOOKUP($A8,'RES installed'!$A$2:$C$7,3,FALSE)*'[1]Profiles, RES, Spring'!Q$4</f>
        <v>46.39878695981804</v>
      </c>
      <c r="R8" s="6">
        <f>VLOOKUP($A8,'RES installed'!$A$2:$C$7,3,FALSE)*'[1]Profiles, RES, Spring'!R$4</f>
        <v>37.727445034116755</v>
      </c>
      <c r="S8" s="6">
        <f>VLOOKUP($A8,'RES installed'!$A$2:$C$7,3,FALSE)*'[1]Profiles, RES, Spring'!S$4</f>
        <v>24.73464746019712</v>
      </c>
      <c r="T8" s="6">
        <f>VLOOKUP($A8,'RES installed'!$A$2:$C$7,3,FALSE)*'[1]Profiles, RES, Spring'!T$4</f>
        <v>8.7850644427596674</v>
      </c>
      <c r="U8" s="6">
        <f>VLOOKUP($A8,'RES installed'!$A$2:$C$7,3,FALSE)*'[1]Profiles, RES, Spring'!U$4</f>
        <v>0.90978013646702049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0.65959059893858984</v>
      </c>
      <c r="H10" s="6">
        <f>VLOOKUP($A10,'RES installed'!$A$2:$C$7,3,FALSE)*'[1]Profiles, RES, Spring'!H$4</f>
        <v>6.322971948445792</v>
      </c>
      <c r="I10" s="6">
        <f>VLOOKUP($A10,'RES installed'!$A$2:$C$7,3,FALSE)*'[1]Profiles, RES, Spring'!I$4</f>
        <v>17.558756633813495</v>
      </c>
      <c r="J10" s="6">
        <f>VLOOKUP($A10,'RES installed'!$A$2:$C$7,3,FALSE)*'[1]Profiles, RES, Spring'!J$4</f>
        <v>28.180439727065959</v>
      </c>
      <c r="K10" s="6">
        <f>VLOOKUP($A10,'RES installed'!$A$2:$C$7,3,FALSE)*'[1]Profiles, RES, Spring'!K$4</f>
        <v>33.411675511751326</v>
      </c>
      <c r="L10" s="6">
        <f>VLOOKUP($A10,'RES installed'!$A$2:$C$7,3,FALSE)*'[1]Profiles, RES, Spring'!L$4</f>
        <v>36.93707354056103</v>
      </c>
      <c r="M10" s="6">
        <f>VLOOKUP($A10,'RES installed'!$A$2:$C$7,3,FALSE)*'[1]Profiles, RES, Spring'!M$4</f>
        <v>41.076573161485975</v>
      </c>
      <c r="N10" s="6">
        <f>VLOOKUP($A10,'RES installed'!$A$2:$C$7,3,FALSE)*'[1]Profiles, RES, Spring'!N$4</f>
        <v>40.098559514783922</v>
      </c>
      <c r="O10" s="6">
        <f>VLOOKUP($A10,'RES installed'!$A$2:$C$7,3,FALSE)*'[1]Profiles, RES, Spring'!O$4</f>
        <v>39.893858984078847</v>
      </c>
      <c r="P10" s="6">
        <f>VLOOKUP($A10,'RES installed'!$A$2:$C$7,3,FALSE)*'[1]Profiles, RES, Spring'!P$4</f>
        <v>40.166793025018954</v>
      </c>
      <c r="Q10" s="6">
        <f>VLOOKUP($A10,'RES installed'!$A$2:$C$7,3,FALSE)*'[1]Profiles, RES, Spring'!Q$4</f>
        <v>37.119029567854433</v>
      </c>
      <c r="R10" s="6">
        <f>VLOOKUP($A10,'RES installed'!$A$2:$C$7,3,FALSE)*'[1]Profiles, RES, Spring'!R$4</f>
        <v>30.181956027293403</v>
      </c>
      <c r="S10" s="6">
        <f>VLOOKUP($A10,'RES installed'!$A$2:$C$7,3,FALSE)*'[1]Profiles, RES, Spring'!S$4</f>
        <v>19.787717968157697</v>
      </c>
      <c r="T10" s="6">
        <f>VLOOKUP($A10,'RES installed'!$A$2:$C$7,3,FALSE)*'[1]Profiles, RES, Spring'!T$4</f>
        <v>7.0280515542077335</v>
      </c>
      <c r="U10" s="6">
        <f>VLOOKUP($A10,'RES installed'!$A$2:$C$7,3,FALSE)*'[1]Profiles, RES, Spring'!U$4</f>
        <v>0.7278241091736164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EBAD-52D5-4B74-B4F0-0AD0510354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11.615816940987557</v>
      </c>
      <c r="C5" s="9">
        <f>VLOOKUP($A5,'RES installed'!$A$2:$C$7,3,FALSE)*'[1]Profiles, RES, Spring'!C$5</f>
        <v>10.784825371336813</v>
      </c>
      <c r="D5" s="9">
        <f>VLOOKUP($A5,'RES installed'!$A$2:$C$7,3,FALSE)*'[1]Profiles, RES, Spring'!D$5</f>
        <v>10.839020473705339</v>
      </c>
      <c r="E5" s="9">
        <f>VLOOKUP($A5,'RES installed'!$A$2:$C$7,3,FALSE)*'[1]Profiles, RES, Spring'!E$5</f>
        <v>10.405459654757125</v>
      </c>
      <c r="F5" s="9">
        <f>VLOOKUP($A5,'RES installed'!$A$2:$C$7,3,FALSE)*'[1]Profiles, RES, Spring'!F$5</f>
        <v>10.306101967081492</v>
      </c>
      <c r="G5" s="9">
        <f>VLOOKUP($A5,'RES installed'!$A$2:$C$7,3,FALSE)*'[1]Profiles, RES, Spring'!G$5</f>
        <v>10.486752308309915</v>
      </c>
      <c r="H5" s="9">
        <f>VLOOKUP($A5,'RES installed'!$A$2:$C$7,3,FALSE)*'[1]Profiles, RES, Spring'!H$5</f>
        <v>9.4118827780008036</v>
      </c>
      <c r="I5" s="9">
        <f>VLOOKUP($A5,'RES installed'!$A$2:$C$7,3,FALSE)*'[1]Profiles, RES, Spring'!I$5</f>
        <v>7.5511842633480528</v>
      </c>
      <c r="J5" s="9">
        <f>VLOOKUP($A5,'RES installed'!$A$2:$C$7,3,FALSE)*'[1]Profiles, RES, Spring'!J$5</f>
        <v>5.9524287434765153</v>
      </c>
      <c r="K5" s="9">
        <f>VLOOKUP($A5,'RES installed'!$A$2:$C$7,3,FALSE)*'[1]Profiles, RES, Spring'!K$5</f>
        <v>4.4981934965877164</v>
      </c>
      <c r="L5" s="9">
        <f>VLOOKUP($A5,'RES installed'!$A$2:$C$7,3,FALSE)*'[1]Profiles, RES, Spring'!L$5</f>
        <v>4.2723805700521877</v>
      </c>
      <c r="M5" s="9">
        <f>VLOOKUP($A5,'RES installed'!$A$2:$C$7,3,FALSE)*'[1]Profiles, RES, Spring'!M$5</f>
        <v>5.2027298273785627</v>
      </c>
      <c r="N5" s="9">
        <f>VLOOKUP($A5,'RES installed'!$A$2:$C$7,3,FALSE)*'[1]Profiles, RES, Spring'!N$5</f>
        <v>6.8737454837414687</v>
      </c>
      <c r="O5" s="9">
        <f>VLOOKUP($A5,'RES installed'!$A$2:$C$7,3,FALSE)*'[1]Profiles, RES, Spring'!O$5</f>
        <v>9.5022079486150144</v>
      </c>
      <c r="P5" s="9">
        <f>VLOOKUP($A5,'RES installed'!$A$2:$C$7,3,FALSE)*'[1]Profiles, RES, Spring'!P$5</f>
        <v>12.401645925331193</v>
      </c>
      <c r="Q5" s="9">
        <f>VLOOKUP($A5,'RES installed'!$A$2:$C$7,3,FALSE)*'[1]Profiles, RES, Spring'!Q$5</f>
        <v>15.472701726214373</v>
      </c>
      <c r="R5" s="9">
        <f>VLOOKUP($A5,'RES installed'!$A$2:$C$7,3,FALSE)*'[1]Profiles, RES, Spring'!R$5</f>
        <v>19.26635889201124</v>
      </c>
      <c r="S5" s="9">
        <f>VLOOKUP($A5,'RES installed'!$A$2:$C$7,3,FALSE)*'[1]Profiles, RES, Spring'!S$5</f>
        <v>21.389000401445202</v>
      </c>
      <c r="T5" s="9">
        <f>VLOOKUP($A5,'RES installed'!$A$2:$C$7,3,FALSE)*'[1]Profiles, RES, Spring'!T$5</f>
        <v>21.461260537936575</v>
      </c>
      <c r="U5" s="9">
        <f>VLOOKUP($A5,'RES installed'!$A$2:$C$7,3,FALSE)*'[1]Profiles, RES, Spring'!U$5</f>
        <v>20.901244480128462</v>
      </c>
      <c r="V5" s="9">
        <f>VLOOKUP($A5,'RES installed'!$A$2:$C$7,3,FALSE)*'[1]Profiles, RES, Spring'!V$5</f>
        <v>18.950220794861501</v>
      </c>
      <c r="W5" s="9">
        <f>VLOOKUP($A5,'RES installed'!$A$2:$C$7,3,FALSE)*'[1]Profiles, RES, Spring'!W$5</f>
        <v>17.514050582095543</v>
      </c>
      <c r="X5" s="9">
        <f>VLOOKUP($A5,'RES installed'!$A$2:$C$7,3,FALSE)*'[1]Profiles, RES, Spring'!X$5</f>
        <v>17.48695303091128</v>
      </c>
      <c r="Y5" s="9">
        <f>VLOOKUP($A5,'RES installed'!$A$2:$C$7,3,FALSE)*'[1]Profiles, RES, Spring'!Y$5</f>
        <v>16.583701324769169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11.615816940987557</v>
      </c>
      <c r="C7" s="9">
        <f>VLOOKUP($A7,'RES installed'!$A$2:$C$7,3,FALSE)*'[1]Profiles, RES, Spring'!C$5</f>
        <v>10.784825371336813</v>
      </c>
      <c r="D7" s="9">
        <f>VLOOKUP($A7,'RES installed'!$A$2:$C$7,3,FALSE)*'[1]Profiles, RES, Spring'!D$5</f>
        <v>10.839020473705339</v>
      </c>
      <c r="E7" s="9">
        <f>VLOOKUP($A7,'RES installed'!$A$2:$C$7,3,FALSE)*'[1]Profiles, RES, Spring'!E$5</f>
        <v>10.405459654757125</v>
      </c>
      <c r="F7" s="9">
        <f>VLOOKUP($A7,'RES installed'!$A$2:$C$7,3,FALSE)*'[1]Profiles, RES, Spring'!F$5</f>
        <v>10.306101967081492</v>
      </c>
      <c r="G7" s="9">
        <f>VLOOKUP($A7,'RES installed'!$A$2:$C$7,3,FALSE)*'[1]Profiles, RES, Spring'!G$5</f>
        <v>10.486752308309915</v>
      </c>
      <c r="H7" s="9">
        <f>VLOOKUP($A7,'RES installed'!$A$2:$C$7,3,FALSE)*'[1]Profiles, RES, Spring'!H$5</f>
        <v>9.4118827780008036</v>
      </c>
      <c r="I7" s="9">
        <f>VLOOKUP($A7,'RES installed'!$A$2:$C$7,3,FALSE)*'[1]Profiles, RES, Spring'!I$5</f>
        <v>7.5511842633480528</v>
      </c>
      <c r="J7" s="9">
        <f>VLOOKUP($A7,'RES installed'!$A$2:$C$7,3,FALSE)*'[1]Profiles, RES, Spring'!J$5</f>
        <v>5.9524287434765153</v>
      </c>
      <c r="K7" s="9">
        <f>VLOOKUP($A7,'RES installed'!$A$2:$C$7,3,FALSE)*'[1]Profiles, RES, Spring'!K$5</f>
        <v>4.4981934965877164</v>
      </c>
      <c r="L7" s="9">
        <f>VLOOKUP($A7,'RES installed'!$A$2:$C$7,3,FALSE)*'[1]Profiles, RES, Spring'!L$5</f>
        <v>4.2723805700521877</v>
      </c>
      <c r="M7" s="9">
        <f>VLOOKUP($A7,'RES installed'!$A$2:$C$7,3,FALSE)*'[1]Profiles, RES, Spring'!M$5</f>
        <v>5.2027298273785627</v>
      </c>
      <c r="N7" s="9">
        <f>VLOOKUP($A7,'RES installed'!$A$2:$C$7,3,FALSE)*'[1]Profiles, RES, Spring'!N$5</f>
        <v>6.8737454837414687</v>
      </c>
      <c r="O7" s="9">
        <f>VLOOKUP($A7,'RES installed'!$A$2:$C$7,3,FALSE)*'[1]Profiles, RES, Spring'!O$5</f>
        <v>9.5022079486150144</v>
      </c>
      <c r="P7" s="9">
        <f>VLOOKUP($A7,'RES installed'!$A$2:$C$7,3,FALSE)*'[1]Profiles, RES, Spring'!P$5</f>
        <v>12.401645925331193</v>
      </c>
      <c r="Q7" s="9">
        <f>VLOOKUP($A7,'RES installed'!$A$2:$C$7,3,FALSE)*'[1]Profiles, RES, Spring'!Q$5</f>
        <v>15.472701726214373</v>
      </c>
      <c r="R7" s="9">
        <f>VLOOKUP($A7,'RES installed'!$A$2:$C$7,3,FALSE)*'[1]Profiles, RES, Spring'!R$5</f>
        <v>19.26635889201124</v>
      </c>
      <c r="S7" s="9">
        <f>VLOOKUP($A7,'RES installed'!$A$2:$C$7,3,FALSE)*'[1]Profiles, RES, Spring'!S$5</f>
        <v>21.389000401445202</v>
      </c>
      <c r="T7" s="9">
        <f>VLOOKUP($A7,'RES installed'!$A$2:$C$7,3,FALSE)*'[1]Profiles, RES, Spring'!T$5</f>
        <v>21.461260537936575</v>
      </c>
      <c r="U7" s="9">
        <f>VLOOKUP($A7,'RES installed'!$A$2:$C$7,3,FALSE)*'[1]Profiles, RES, Spring'!U$5</f>
        <v>20.901244480128462</v>
      </c>
      <c r="V7" s="9">
        <f>VLOOKUP($A7,'RES installed'!$A$2:$C$7,3,FALSE)*'[1]Profiles, RES, Spring'!V$5</f>
        <v>18.950220794861501</v>
      </c>
      <c r="W7" s="9">
        <f>VLOOKUP($A7,'RES installed'!$A$2:$C$7,3,FALSE)*'[1]Profiles, RES, Spring'!W$5</f>
        <v>17.514050582095543</v>
      </c>
      <c r="X7" s="9">
        <f>VLOOKUP($A7,'RES installed'!$A$2:$C$7,3,FALSE)*'[1]Profiles, RES, Spring'!X$5</f>
        <v>17.48695303091128</v>
      </c>
      <c r="Y7" s="9">
        <f>VLOOKUP($A7,'RES installed'!$A$2:$C$7,3,FALSE)*'[1]Profiles, RES, Spring'!Y$5</f>
        <v>16.583701324769169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0.71076573161485967</v>
      </c>
      <c r="H8" s="6">
        <f>VLOOKUP($A8,'RES installed'!$A$2:$C$7,3,FALSE)*'[1]Profiles, RES, Spring'!H$2</f>
        <v>7.136087945413192</v>
      </c>
      <c r="I8" s="6">
        <f>VLOOKUP($A8,'RES installed'!$A$2:$C$7,3,FALSE)*'[1]Profiles, RES, Spring'!I$2</f>
        <v>19.929871114480665</v>
      </c>
      <c r="J8" s="6">
        <f>VLOOKUP($A8,'RES installed'!$A$2:$C$7,3,FALSE)*'[1]Profiles, RES, Spring'!J$2</f>
        <v>30.790371493555725</v>
      </c>
      <c r="K8" s="6">
        <f>VLOOKUP($A8,'RES installed'!$A$2:$C$7,3,FALSE)*'[1]Profiles, RES, Spring'!K$2</f>
        <v>36.021607278241092</v>
      </c>
      <c r="L8" s="6">
        <f>VLOOKUP($A8,'RES installed'!$A$2:$C$7,3,FALSE)*'[1]Profiles, RES, Spring'!L$2</f>
        <v>41.167551175132679</v>
      </c>
      <c r="M8" s="6">
        <f>VLOOKUP($A8,'RES installed'!$A$2:$C$7,3,FALSE)*'[1]Profiles, RES, Spring'!M$2</f>
        <v>43.385140257771042</v>
      </c>
      <c r="N8" s="6">
        <f>VLOOKUP($A8,'RES installed'!$A$2:$C$7,3,FALSE)*'[1]Profiles, RES, Spring'!N$2</f>
        <v>46.796815769522368</v>
      </c>
      <c r="O8" s="6">
        <f>VLOOKUP($A8,'RES installed'!$A$2:$C$7,3,FALSE)*'[1]Profiles, RES, Spring'!O$2</f>
        <v>47.052691432903721</v>
      </c>
      <c r="P8" s="6">
        <f>VLOOKUP($A8,'RES installed'!$A$2:$C$7,3,FALSE)*'[1]Profiles, RES, Spring'!P$2</f>
        <v>47.30856709628506</v>
      </c>
      <c r="Q8" s="6">
        <f>VLOOKUP($A8,'RES installed'!$A$2:$C$7,3,FALSE)*'[1]Profiles, RES, Spring'!Q$2</f>
        <v>43.271417740712657</v>
      </c>
      <c r="R8" s="6">
        <f>VLOOKUP($A8,'RES installed'!$A$2:$C$7,3,FALSE)*'[1]Profiles, RES, Spring'!R$2</f>
        <v>34.429492039423806</v>
      </c>
      <c r="S8" s="6">
        <f>VLOOKUP($A8,'RES installed'!$A$2:$C$7,3,FALSE)*'[1]Profiles, RES, Spring'!S$2</f>
        <v>22.687642153146324</v>
      </c>
      <c r="T8" s="6">
        <f>VLOOKUP($A8,'RES installed'!$A$2:$C$7,3,FALSE)*'[1]Profiles, RES, Spring'!T$2</f>
        <v>8.3586050037907516</v>
      </c>
      <c r="U8" s="6">
        <f>VLOOKUP($A8,'RES installed'!$A$2:$C$7,3,FALSE)*'[1]Profiles, RES, Spring'!U$2</f>
        <v>0.73919636087945406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0.56861258529188774</v>
      </c>
      <c r="H10" s="6">
        <f>VLOOKUP($A10,'RES installed'!$A$2:$C$7,3,FALSE)*'[1]Profiles, RES, Spring'!H$2</f>
        <v>5.7088703563305536</v>
      </c>
      <c r="I10" s="6">
        <f>VLOOKUP($A10,'RES installed'!$A$2:$C$7,3,FALSE)*'[1]Profiles, RES, Spring'!I$2</f>
        <v>15.943896891584533</v>
      </c>
      <c r="J10" s="6">
        <f>VLOOKUP($A10,'RES installed'!$A$2:$C$7,3,FALSE)*'[1]Profiles, RES, Spring'!J$2</f>
        <v>24.632297194844579</v>
      </c>
      <c r="K10" s="6">
        <f>VLOOKUP($A10,'RES installed'!$A$2:$C$7,3,FALSE)*'[1]Profiles, RES, Spring'!K$2</f>
        <v>28.817285822592876</v>
      </c>
      <c r="L10" s="6">
        <f>VLOOKUP($A10,'RES installed'!$A$2:$C$7,3,FALSE)*'[1]Profiles, RES, Spring'!L$2</f>
        <v>32.934040940106144</v>
      </c>
      <c r="M10" s="6">
        <f>VLOOKUP($A10,'RES installed'!$A$2:$C$7,3,FALSE)*'[1]Profiles, RES, Spring'!M$2</f>
        <v>34.708112206216832</v>
      </c>
      <c r="N10" s="6">
        <f>VLOOKUP($A10,'RES installed'!$A$2:$C$7,3,FALSE)*'[1]Profiles, RES, Spring'!N$2</f>
        <v>37.437452615617893</v>
      </c>
      <c r="O10" s="6">
        <f>VLOOKUP($A10,'RES installed'!$A$2:$C$7,3,FALSE)*'[1]Profiles, RES, Spring'!O$2</f>
        <v>37.642153146322975</v>
      </c>
      <c r="P10" s="6">
        <f>VLOOKUP($A10,'RES installed'!$A$2:$C$7,3,FALSE)*'[1]Profiles, RES, Spring'!P$2</f>
        <v>37.846853677028051</v>
      </c>
      <c r="Q10" s="6">
        <f>VLOOKUP($A10,'RES installed'!$A$2:$C$7,3,FALSE)*'[1]Profiles, RES, Spring'!Q$2</f>
        <v>34.617134192570127</v>
      </c>
      <c r="R10" s="6">
        <f>VLOOKUP($A10,'RES installed'!$A$2:$C$7,3,FALSE)*'[1]Profiles, RES, Spring'!R$2</f>
        <v>27.543593631539046</v>
      </c>
      <c r="S10" s="6">
        <f>VLOOKUP($A10,'RES installed'!$A$2:$C$7,3,FALSE)*'[1]Profiles, RES, Spring'!S$2</f>
        <v>18.150113722517059</v>
      </c>
      <c r="T10" s="6">
        <f>VLOOKUP($A10,'RES installed'!$A$2:$C$7,3,FALSE)*'[1]Profiles, RES, Spring'!T$2</f>
        <v>6.6868840030326009</v>
      </c>
      <c r="U10" s="6">
        <f>VLOOKUP($A10,'RES installed'!$A$2:$C$7,3,FALSE)*'[1]Profiles, RES, Spring'!U$2</f>
        <v>0.59135708870356329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76AB-CAAD-4D01-A6E3-BD56703B3D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15.228823765556003</v>
      </c>
      <c r="C5" s="9">
        <f>VLOOKUP($A5,'RES installed'!$A$2:$C$7,3,FALSE)*'[1]Profiles, RES, Spring'!C$6</f>
        <v>13.819751103974308</v>
      </c>
      <c r="D5" s="9">
        <f>VLOOKUP($A5,'RES installed'!$A$2:$C$7,3,FALSE)*'[1]Profiles, RES, Spring'!D$6</f>
        <v>12.058410276997192</v>
      </c>
      <c r="E5" s="9">
        <f>VLOOKUP($A5,'RES installed'!$A$2:$C$7,3,FALSE)*'[1]Profiles, RES, Spring'!E$6</f>
        <v>10.857085507828181</v>
      </c>
      <c r="F5" s="9">
        <f>VLOOKUP($A5,'RES installed'!$A$2:$C$7,3,FALSE)*'[1]Profiles, RES, Spring'!F$6</f>
        <v>10.613207547169811</v>
      </c>
      <c r="G5" s="9">
        <f>VLOOKUP($A5,'RES installed'!$A$2:$C$7,3,FALSE)*'[1]Profiles, RES, Spring'!G$6</f>
        <v>10.730630268968287</v>
      </c>
      <c r="H5" s="9">
        <f>VLOOKUP($A5,'RES installed'!$A$2:$C$7,3,FALSE)*'[1]Profiles, RES, Spring'!H$6</f>
        <v>9.1589723002810111</v>
      </c>
      <c r="I5" s="9">
        <f>VLOOKUP($A5,'RES installed'!$A$2:$C$7,3,FALSE)*'[1]Profiles, RES, Spring'!I$6</f>
        <v>6.8918105178643119</v>
      </c>
      <c r="J5" s="9">
        <f>VLOOKUP($A5,'RES installed'!$A$2:$C$7,3,FALSE)*'[1]Profiles, RES, Spring'!J$6</f>
        <v>6.2775993576876754</v>
      </c>
      <c r="K5" s="9">
        <f>VLOOKUP($A5,'RES installed'!$A$2:$C$7,3,FALSE)*'[1]Profiles, RES, Spring'!K$6</f>
        <v>6.5395423524688878</v>
      </c>
      <c r="L5" s="9">
        <f>VLOOKUP($A5,'RES installed'!$A$2:$C$7,3,FALSE)*'[1]Profiles, RES, Spring'!L$6</f>
        <v>7.3253713368125251</v>
      </c>
      <c r="M5" s="9">
        <f>VLOOKUP($A5,'RES installed'!$A$2:$C$7,3,FALSE)*'[1]Profiles, RES, Spring'!M$6</f>
        <v>8.4002408671216386</v>
      </c>
      <c r="N5" s="9">
        <f>VLOOKUP($A5,'RES installed'!$A$2:$C$7,3,FALSE)*'[1]Profiles, RES, Spring'!N$6</f>
        <v>10.92031312725813</v>
      </c>
      <c r="O5" s="9">
        <f>VLOOKUP($A5,'RES installed'!$A$2:$C$7,3,FALSE)*'[1]Profiles, RES, Spring'!O$6</f>
        <v>13.557808109193095</v>
      </c>
      <c r="P5" s="9">
        <f>VLOOKUP($A5,'RES installed'!$A$2:$C$7,3,FALSE)*'[1]Profiles, RES, Spring'!P$6</f>
        <v>15.400441589723002</v>
      </c>
      <c r="Q5" s="9">
        <f>VLOOKUP($A5,'RES installed'!$A$2:$C$7,3,FALSE)*'[1]Profiles, RES, Spring'!Q$6</f>
        <v>16.945002007226016</v>
      </c>
      <c r="R5" s="9">
        <f>VLOOKUP($A5,'RES installed'!$A$2:$C$7,3,FALSE)*'[1]Profiles, RES, Spring'!R$6</f>
        <v>18.570855078281813</v>
      </c>
      <c r="S5" s="9">
        <f>VLOOKUP($A5,'RES installed'!$A$2:$C$7,3,FALSE)*'[1]Profiles, RES, Spring'!S$6</f>
        <v>17.766961059815333</v>
      </c>
      <c r="T5" s="9">
        <f>VLOOKUP($A5,'RES installed'!$A$2:$C$7,3,FALSE)*'[1]Profiles, RES, Spring'!T$6</f>
        <v>15.716579686872743</v>
      </c>
      <c r="U5" s="9">
        <f>VLOOKUP($A5,'RES installed'!$A$2:$C$7,3,FALSE)*'[1]Profiles, RES, Spring'!U$6</f>
        <v>15.120433560818947</v>
      </c>
      <c r="V5" s="9">
        <f>VLOOKUP($A5,'RES installed'!$A$2:$C$7,3,FALSE)*'[1]Profiles, RES, Spring'!V$6</f>
        <v>14.063629064632678</v>
      </c>
      <c r="W5" s="9">
        <f>VLOOKUP($A5,'RES installed'!$A$2:$C$7,3,FALSE)*'[1]Profiles, RES, Spring'!W$6</f>
        <v>13.341027699718989</v>
      </c>
      <c r="X5" s="9">
        <f>VLOOKUP($A5,'RES installed'!$A$2:$C$7,3,FALSE)*'[1]Profiles, RES, Spring'!X$6</f>
        <v>12.094540345242873</v>
      </c>
      <c r="Y5" s="9">
        <f>VLOOKUP($A5,'RES installed'!$A$2:$C$7,3,FALSE)*'[1]Profiles, RES, Spring'!Y$6</f>
        <v>10.784825371336813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15.228823765556003</v>
      </c>
      <c r="C7" s="9">
        <f>VLOOKUP($A7,'RES installed'!$A$2:$C$7,3,FALSE)*'[1]Profiles, RES, Spring'!C$6</f>
        <v>13.819751103974308</v>
      </c>
      <c r="D7" s="9">
        <f>VLOOKUP($A7,'RES installed'!$A$2:$C$7,3,FALSE)*'[1]Profiles, RES, Spring'!D$6</f>
        <v>12.058410276997192</v>
      </c>
      <c r="E7" s="9">
        <f>VLOOKUP($A7,'RES installed'!$A$2:$C$7,3,FALSE)*'[1]Profiles, RES, Spring'!E$6</f>
        <v>10.857085507828181</v>
      </c>
      <c r="F7" s="9">
        <f>VLOOKUP($A7,'RES installed'!$A$2:$C$7,3,FALSE)*'[1]Profiles, RES, Spring'!F$6</f>
        <v>10.613207547169811</v>
      </c>
      <c r="G7" s="9">
        <f>VLOOKUP($A7,'RES installed'!$A$2:$C$7,3,FALSE)*'[1]Profiles, RES, Spring'!G$6</f>
        <v>10.730630268968287</v>
      </c>
      <c r="H7" s="9">
        <f>VLOOKUP($A7,'RES installed'!$A$2:$C$7,3,FALSE)*'[1]Profiles, RES, Spring'!H$6</f>
        <v>9.1589723002810111</v>
      </c>
      <c r="I7" s="9">
        <f>VLOOKUP($A7,'RES installed'!$A$2:$C$7,3,FALSE)*'[1]Profiles, RES, Spring'!I$6</f>
        <v>6.8918105178643119</v>
      </c>
      <c r="J7" s="9">
        <f>VLOOKUP($A7,'RES installed'!$A$2:$C$7,3,FALSE)*'[1]Profiles, RES, Spring'!J$6</f>
        <v>6.2775993576876754</v>
      </c>
      <c r="K7" s="9">
        <f>VLOOKUP($A7,'RES installed'!$A$2:$C$7,3,FALSE)*'[1]Profiles, RES, Spring'!K$6</f>
        <v>6.5395423524688878</v>
      </c>
      <c r="L7" s="9">
        <f>VLOOKUP($A7,'RES installed'!$A$2:$C$7,3,FALSE)*'[1]Profiles, RES, Spring'!L$6</f>
        <v>7.3253713368125251</v>
      </c>
      <c r="M7" s="9">
        <f>VLOOKUP($A7,'RES installed'!$A$2:$C$7,3,FALSE)*'[1]Profiles, RES, Spring'!M$6</f>
        <v>8.4002408671216386</v>
      </c>
      <c r="N7" s="9">
        <f>VLOOKUP($A7,'RES installed'!$A$2:$C$7,3,FALSE)*'[1]Profiles, RES, Spring'!N$6</f>
        <v>10.92031312725813</v>
      </c>
      <c r="O7" s="9">
        <f>VLOOKUP($A7,'RES installed'!$A$2:$C$7,3,FALSE)*'[1]Profiles, RES, Spring'!O$6</f>
        <v>13.557808109193095</v>
      </c>
      <c r="P7" s="9">
        <f>VLOOKUP($A7,'RES installed'!$A$2:$C$7,3,FALSE)*'[1]Profiles, RES, Spring'!P$6</f>
        <v>15.400441589723002</v>
      </c>
      <c r="Q7" s="9">
        <f>VLOOKUP($A7,'RES installed'!$A$2:$C$7,3,FALSE)*'[1]Profiles, RES, Spring'!Q$6</f>
        <v>16.945002007226016</v>
      </c>
      <c r="R7" s="9">
        <f>VLOOKUP($A7,'RES installed'!$A$2:$C$7,3,FALSE)*'[1]Profiles, RES, Spring'!R$6</f>
        <v>18.570855078281813</v>
      </c>
      <c r="S7" s="9">
        <f>VLOOKUP($A7,'RES installed'!$A$2:$C$7,3,FALSE)*'[1]Profiles, RES, Spring'!S$6</f>
        <v>17.766961059815333</v>
      </c>
      <c r="T7" s="9">
        <f>VLOOKUP($A7,'RES installed'!$A$2:$C$7,3,FALSE)*'[1]Profiles, RES, Spring'!T$6</f>
        <v>15.716579686872743</v>
      </c>
      <c r="U7" s="9">
        <f>VLOOKUP($A7,'RES installed'!$A$2:$C$7,3,FALSE)*'[1]Profiles, RES, Spring'!U$6</f>
        <v>15.120433560818947</v>
      </c>
      <c r="V7" s="9">
        <f>VLOOKUP($A7,'RES installed'!$A$2:$C$7,3,FALSE)*'[1]Profiles, RES, Spring'!V$6</f>
        <v>14.063629064632678</v>
      </c>
      <c r="W7" s="9">
        <f>VLOOKUP($A7,'RES installed'!$A$2:$C$7,3,FALSE)*'[1]Profiles, RES, Spring'!W$6</f>
        <v>13.341027699718989</v>
      </c>
      <c r="X7" s="9">
        <f>VLOOKUP($A7,'RES installed'!$A$2:$C$7,3,FALSE)*'[1]Profiles, RES, Spring'!X$6</f>
        <v>12.094540345242873</v>
      </c>
      <c r="Y7" s="9">
        <f>VLOOKUP($A7,'RES installed'!$A$2:$C$7,3,FALSE)*'[1]Profiles, RES, Spring'!Y$6</f>
        <v>10.784825371336813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0.85291887793783172</v>
      </c>
      <c r="H8" s="6">
        <f>VLOOKUP($A8,'RES installed'!$A$2:$C$7,3,FALSE)*'[1]Profiles, RES, Spring'!H$3</f>
        <v>7.4772554965883247</v>
      </c>
      <c r="I8" s="6">
        <f>VLOOKUP($A8,'RES installed'!$A$2:$C$7,3,FALSE)*'[1]Profiles, RES, Spring'!I$3</f>
        <v>17.996588324488251</v>
      </c>
      <c r="J8" s="6">
        <f>VLOOKUP($A8,'RES installed'!$A$2:$C$7,3,FALSE)*'[1]Profiles, RES, Spring'!J$3</f>
        <v>27.151250947687643</v>
      </c>
      <c r="K8" s="6">
        <f>VLOOKUP($A8,'RES installed'!$A$2:$C$7,3,FALSE)*'[1]Profiles, RES, Spring'!K$3</f>
        <v>37.812736921910542</v>
      </c>
      <c r="L8" s="6">
        <f>VLOOKUP($A8,'RES installed'!$A$2:$C$7,3,FALSE)*'[1]Profiles, RES, Spring'!L$3</f>
        <v>44.749810462471572</v>
      </c>
      <c r="M8" s="6">
        <f>VLOOKUP($A8,'RES installed'!$A$2:$C$7,3,FALSE)*'[1]Profiles, RES, Spring'!M$3</f>
        <v>45.801743745261561</v>
      </c>
      <c r="N8" s="6">
        <f>VLOOKUP($A8,'RES installed'!$A$2:$C$7,3,FALSE)*'[1]Profiles, RES, Spring'!N$3</f>
        <v>46.882107657316148</v>
      </c>
      <c r="O8" s="6">
        <f>VLOOKUP($A8,'RES installed'!$A$2:$C$7,3,FALSE)*'[1]Profiles, RES, Spring'!O$3</f>
        <v>45.23313115996968</v>
      </c>
      <c r="P8" s="6">
        <f>VLOOKUP($A8,'RES installed'!$A$2:$C$7,3,FALSE)*'[1]Profiles, RES, Spring'!P$3</f>
        <v>48.076194086429112</v>
      </c>
      <c r="Q8" s="6">
        <f>VLOOKUP($A8,'RES installed'!$A$2:$C$7,3,FALSE)*'[1]Profiles, RES, Spring'!Q$3</f>
        <v>42.674374526156178</v>
      </c>
      <c r="R8" s="6">
        <f>VLOOKUP($A8,'RES installed'!$A$2:$C$7,3,FALSE)*'[1]Profiles, RES, Spring'!R$3</f>
        <v>35.794162244124337</v>
      </c>
      <c r="S8" s="6">
        <f>VLOOKUP($A8,'RES installed'!$A$2:$C$7,3,FALSE)*'[1]Profiles, RES, Spring'!S$3</f>
        <v>23.398407884761184</v>
      </c>
      <c r="T8" s="6">
        <f>VLOOKUP($A8,'RES installed'!$A$2:$C$7,3,FALSE)*'[1]Profiles, RES, Spring'!T$3</f>
        <v>8.5291887793783179</v>
      </c>
      <c r="U8" s="6">
        <f>VLOOKUP($A8,'RES installed'!$A$2:$C$7,3,FALSE)*'[1]Profiles, RES, Spring'!U$3</f>
        <v>0.76762699014404845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0.6823351023502654</v>
      </c>
      <c r="H10" s="6">
        <f>VLOOKUP($A10,'RES installed'!$A$2:$C$7,3,FALSE)*'[1]Profiles, RES, Spring'!H$3</f>
        <v>5.9818043972706594</v>
      </c>
      <c r="I10" s="6">
        <f>VLOOKUP($A10,'RES installed'!$A$2:$C$7,3,FALSE)*'[1]Profiles, RES, Spring'!I$3</f>
        <v>14.3972706595906</v>
      </c>
      <c r="J10" s="6">
        <f>VLOOKUP($A10,'RES installed'!$A$2:$C$7,3,FALSE)*'[1]Profiles, RES, Spring'!J$3</f>
        <v>21.721000758150115</v>
      </c>
      <c r="K10" s="6">
        <f>VLOOKUP($A10,'RES installed'!$A$2:$C$7,3,FALSE)*'[1]Profiles, RES, Spring'!K$3</f>
        <v>30.250189537528431</v>
      </c>
      <c r="L10" s="6">
        <f>VLOOKUP($A10,'RES installed'!$A$2:$C$7,3,FALSE)*'[1]Profiles, RES, Spring'!L$3</f>
        <v>35.799848369977255</v>
      </c>
      <c r="M10" s="6">
        <f>VLOOKUP($A10,'RES installed'!$A$2:$C$7,3,FALSE)*'[1]Profiles, RES, Spring'!M$3</f>
        <v>36.64139499620925</v>
      </c>
      <c r="N10" s="6">
        <f>VLOOKUP($A10,'RES installed'!$A$2:$C$7,3,FALSE)*'[1]Profiles, RES, Spring'!N$3</f>
        <v>37.505686125852918</v>
      </c>
      <c r="O10" s="6">
        <f>VLOOKUP($A10,'RES installed'!$A$2:$C$7,3,FALSE)*'[1]Profiles, RES, Spring'!O$3</f>
        <v>36.18650492797574</v>
      </c>
      <c r="P10" s="6">
        <f>VLOOKUP($A10,'RES installed'!$A$2:$C$7,3,FALSE)*'[1]Profiles, RES, Spring'!P$3</f>
        <v>38.460955269143291</v>
      </c>
      <c r="Q10" s="6">
        <f>VLOOKUP($A10,'RES installed'!$A$2:$C$7,3,FALSE)*'[1]Profiles, RES, Spring'!Q$3</f>
        <v>34.139499620924944</v>
      </c>
      <c r="R10" s="6">
        <f>VLOOKUP($A10,'RES installed'!$A$2:$C$7,3,FALSE)*'[1]Profiles, RES, Spring'!R$3</f>
        <v>28.635329795299469</v>
      </c>
      <c r="S10" s="6">
        <f>VLOOKUP($A10,'RES installed'!$A$2:$C$7,3,FALSE)*'[1]Profiles, RES, Spring'!S$3</f>
        <v>18.718726307808947</v>
      </c>
      <c r="T10" s="6">
        <f>VLOOKUP($A10,'RES installed'!$A$2:$C$7,3,FALSE)*'[1]Profiles, RES, Spring'!T$3</f>
        <v>6.8233510235026538</v>
      </c>
      <c r="U10" s="6">
        <f>VLOOKUP($A10,'RES installed'!$A$2:$C$7,3,FALSE)*'[1]Profiles, RES, Spring'!U$3</f>
        <v>0.61410159211523874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D921-D097-4973-885E-7DCB80C972A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11.146126053793658</v>
      </c>
      <c r="C5" s="9">
        <f>VLOOKUP($A5,'RES installed'!$A$2:$C$7,3,FALSE)*'[1]Profiles, RES, Spring'!C$7</f>
        <v>10.568044961862705</v>
      </c>
      <c r="D5" s="9">
        <f>VLOOKUP($A5,'RES installed'!$A$2:$C$7,3,FALSE)*'[1]Profiles, RES, Spring'!D$7</f>
        <v>10.27900441589723</v>
      </c>
      <c r="E5" s="9">
        <f>VLOOKUP($A5,'RES installed'!$A$2:$C$7,3,FALSE)*'[1]Profiles, RES, Spring'!E$7</f>
        <v>10.820955439582496</v>
      </c>
      <c r="F5" s="9">
        <f>VLOOKUP($A5,'RES installed'!$A$2:$C$7,3,FALSE)*'[1]Profiles, RES, Spring'!F$7</f>
        <v>10.84805299076676</v>
      </c>
      <c r="G5" s="9">
        <f>VLOOKUP($A5,'RES installed'!$A$2:$C$7,3,FALSE)*'[1]Profiles, RES, Spring'!G$7</f>
        <v>9.6467282215977512</v>
      </c>
      <c r="H5" s="9">
        <f>VLOOKUP($A5,'RES installed'!$A$2:$C$7,3,FALSE)*'[1]Profiles, RES, Spring'!H$7</f>
        <v>8.2105580088317947</v>
      </c>
      <c r="I5" s="9">
        <f>VLOOKUP($A5,'RES installed'!$A$2:$C$7,3,FALSE)*'[1]Profiles, RES, Spring'!I$7</f>
        <v>6.1872741870734638</v>
      </c>
      <c r="J5" s="9">
        <f>VLOOKUP($A5,'RES installed'!$A$2:$C$7,3,FALSE)*'[1]Profiles, RES, Spring'!J$7</f>
        <v>5.2117623444399843</v>
      </c>
      <c r="K5" s="9">
        <f>VLOOKUP($A5,'RES installed'!$A$2:$C$7,3,FALSE)*'[1]Profiles, RES, Spring'!K$7</f>
        <v>5.6633881975110389</v>
      </c>
      <c r="L5" s="9">
        <f>VLOOKUP($A5,'RES installed'!$A$2:$C$7,3,FALSE)*'[1]Profiles, RES, Spring'!L$7</f>
        <v>6.6930951425130463</v>
      </c>
      <c r="M5" s="9">
        <f>VLOOKUP($A5,'RES installed'!$A$2:$C$7,3,FALSE)*'[1]Profiles, RES, Spring'!M$7</f>
        <v>6.6208350060216778</v>
      </c>
      <c r="N5" s="9">
        <f>VLOOKUP($A5,'RES installed'!$A$2:$C$7,3,FALSE)*'[1]Profiles, RES, Spring'!N$7</f>
        <v>7.6053793657165798</v>
      </c>
      <c r="O5" s="9">
        <f>VLOOKUP($A5,'RES installed'!$A$2:$C$7,3,FALSE)*'[1]Profiles, RES, Spring'!O$7</f>
        <v>9.7009233239662773</v>
      </c>
      <c r="P5" s="9">
        <f>VLOOKUP($A5,'RES installed'!$A$2:$C$7,3,FALSE)*'[1]Profiles, RES, Spring'!P$7</f>
        <v>11.326776395022078</v>
      </c>
      <c r="Q5" s="9">
        <f>VLOOKUP($A5,'RES installed'!$A$2:$C$7,3,FALSE)*'[1]Profiles, RES, Spring'!Q$7</f>
        <v>12.762946607788036</v>
      </c>
      <c r="R5" s="9">
        <f>VLOOKUP($A5,'RES installed'!$A$2:$C$7,3,FALSE)*'[1]Profiles, RES, Spring'!R$7</f>
        <v>14.343637093536733</v>
      </c>
      <c r="S5" s="9">
        <f>VLOOKUP($A5,'RES installed'!$A$2:$C$7,3,FALSE)*'[1]Profiles, RES, Spring'!S$7</f>
        <v>14.930750702529105</v>
      </c>
      <c r="T5" s="9">
        <f>VLOOKUP($A5,'RES installed'!$A$2:$C$7,3,FALSE)*'[1]Profiles, RES, Spring'!T$7</f>
        <v>14.939783219590526</v>
      </c>
      <c r="U5" s="9">
        <f>VLOOKUP($A5,'RES installed'!$A$2:$C$7,3,FALSE)*'[1]Profiles, RES, Spring'!U$7</f>
        <v>13.35909273384183</v>
      </c>
      <c r="V5" s="9">
        <f>VLOOKUP($A5,'RES installed'!$A$2:$C$7,3,FALSE)*'[1]Profiles, RES, Spring'!V$7</f>
        <v>12.753914090726616</v>
      </c>
      <c r="W5" s="9">
        <f>VLOOKUP($A5,'RES installed'!$A$2:$C$7,3,FALSE)*'[1]Profiles, RES, Spring'!W$7</f>
        <v>12.681653954235246</v>
      </c>
      <c r="X5" s="9">
        <f>VLOOKUP($A5,'RES installed'!$A$2:$C$7,3,FALSE)*'[1]Profiles, RES, Spring'!X$7</f>
        <v>12.889401846647933</v>
      </c>
      <c r="Y5" s="9">
        <f>VLOOKUP($A5,'RES installed'!$A$2:$C$7,3,FALSE)*'[1]Profiles, RES, Spring'!Y$7</f>
        <v>13.91910879164994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11.146126053793658</v>
      </c>
      <c r="C7" s="9">
        <f>VLOOKUP($A7,'RES installed'!$A$2:$C$7,3,FALSE)*'[1]Profiles, RES, Spring'!C$7</f>
        <v>10.568044961862705</v>
      </c>
      <c r="D7" s="9">
        <f>VLOOKUP($A7,'RES installed'!$A$2:$C$7,3,FALSE)*'[1]Profiles, RES, Spring'!D$7</f>
        <v>10.27900441589723</v>
      </c>
      <c r="E7" s="9">
        <f>VLOOKUP($A7,'RES installed'!$A$2:$C$7,3,FALSE)*'[1]Profiles, RES, Spring'!E$7</f>
        <v>10.820955439582496</v>
      </c>
      <c r="F7" s="9">
        <f>VLOOKUP($A7,'RES installed'!$A$2:$C$7,3,FALSE)*'[1]Profiles, RES, Spring'!F$7</f>
        <v>10.84805299076676</v>
      </c>
      <c r="G7" s="9">
        <f>VLOOKUP($A7,'RES installed'!$A$2:$C$7,3,FALSE)*'[1]Profiles, RES, Spring'!G$7</f>
        <v>9.6467282215977512</v>
      </c>
      <c r="H7" s="9">
        <f>VLOOKUP($A7,'RES installed'!$A$2:$C$7,3,FALSE)*'[1]Profiles, RES, Spring'!H$7</f>
        <v>8.2105580088317947</v>
      </c>
      <c r="I7" s="9">
        <f>VLOOKUP($A7,'RES installed'!$A$2:$C$7,3,FALSE)*'[1]Profiles, RES, Spring'!I$7</f>
        <v>6.1872741870734638</v>
      </c>
      <c r="J7" s="9">
        <f>VLOOKUP($A7,'RES installed'!$A$2:$C$7,3,FALSE)*'[1]Profiles, RES, Spring'!J$7</f>
        <v>5.2117623444399843</v>
      </c>
      <c r="K7" s="9">
        <f>VLOOKUP($A7,'RES installed'!$A$2:$C$7,3,FALSE)*'[1]Profiles, RES, Spring'!K$7</f>
        <v>5.6633881975110389</v>
      </c>
      <c r="L7" s="9">
        <f>VLOOKUP($A7,'RES installed'!$A$2:$C$7,3,FALSE)*'[1]Profiles, RES, Spring'!L$7</f>
        <v>6.6930951425130463</v>
      </c>
      <c r="M7" s="9">
        <f>VLOOKUP($A7,'RES installed'!$A$2:$C$7,3,FALSE)*'[1]Profiles, RES, Spring'!M$7</f>
        <v>6.6208350060216778</v>
      </c>
      <c r="N7" s="9">
        <f>VLOOKUP($A7,'RES installed'!$A$2:$C$7,3,FALSE)*'[1]Profiles, RES, Spring'!N$7</f>
        <v>7.6053793657165798</v>
      </c>
      <c r="O7" s="9">
        <f>VLOOKUP($A7,'RES installed'!$A$2:$C$7,3,FALSE)*'[1]Profiles, RES, Spring'!O$7</f>
        <v>9.7009233239662773</v>
      </c>
      <c r="P7" s="9">
        <f>VLOOKUP($A7,'RES installed'!$A$2:$C$7,3,FALSE)*'[1]Profiles, RES, Spring'!P$7</f>
        <v>11.326776395022078</v>
      </c>
      <c r="Q7" s="9">
        <f>VLOOKUP($A7,'RES installed'!$A$2:$C$7,3,FALSE)*'[1]Profiles, RES, Spring'!Q$7</f>
        <v>12.762946607788036</v>
      </c>
      <c r="R7" s="9">
        <f>VLOOKUP($A7,'RES installed'!$A$2:$C$7,3,FALSE)*'[1]Profiles, RES, Spring'!R$7</f>
        <v>14.343637093536733</v>
      </c>
      <c r="S7" s="9">
        <f>VLOOKUP($A7,'RES installed'!$A$2:$C$7,3,FALSE)*'[1]Profiles, RES, Spring'!S$7</f>
        <v>14.930750702529105</v>
      </c>
      <c r="T7" s="9">
        <f>VLOOKUP($A7,'RES installed'!$A$2:$C$7,3,FALSE)*'[1]Profiles, RES, Spring'!T$7</f>
        <v>14.939783219590526</v>
      </c>
      <c r="U7" s="9">
        <f>VLOOKUP($A7,'RES installed'!$A$2:$C$7,3,FALSE)*'[1]Profiles, RES, Spring'!U$7</f>
        <v>13.35909273384183</v>
      </c>
      <c r="V7" s="9">
        <f>VLOOKUP($A7,'RES installed'!$A$2:$C$7,3,FALSE)*'[1]Profiles, RES, Spring'!V$7</f>
        <v>12.753914090726616</v>
      </c>
      <c r="W7" s="9">
        <f>VLOOKUP($A7,'RES installed'!$A$2:$C$7,3,FALSE)*'[1]Profiles, RES, Spring'!W$7</f>
        <v>12.681653954235246</v>
      </c>
      <c r="X7" s="9">
        <f>VLOOKUP($A7,'RES installed'!$A$2:$C$7,3,FALSE)*'[1]Profiles, RES, Spring'!X$7</f>
        <v>12.889401846647933</v>
      </c>
      <c r="Y7" s="9">
        <f>VLOOKUP($A7,'RES installed'!$A$2:$C$7,3,FALSE)*'[1]Profiles, RES, Spring'!Y$7</f>
        <v>13.91910879164994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0.82448824867323733</v>
      </c>
      <c r="H8" s="6">
        <f>VLOOKUP($A8,'RES installed'!$A$2:$C$7,3,FALSE)*'[1]Profiles, RES, Spring'!H$4</f>
        <v>7.9037149355572396</v>
      </c>
      <c r="I8" s="6">
        <f>VLOOKUP($A8,'RES installed'!$A$2:$C$7,3,FALSE)*'[1]Profiles, RES, Spring'!I$4</f>
        <v>21.948445792266867</v>
      </c>
      <c r="J8" s="6">
        <f>VLOOKUP($A8,'RES installed'!$A$2:$C$7,3,FALSE)*'[1]Profiles, RES, Spring'!J$4</f>
        <v>35.225549658832449</v>
      </c>
      <c r="K8" s="6">
        <f>VLOOKUP($A8,'RES installed'!$A$2:$C$7,3,FALSE)*'[1]Profiles, RES, Spring'!K$4</f>
        <v>41.764594389689158</v>
      </c>
      <c r="L8" s="6">
        <f>VLOOKUP($A8,'RES installed'!$A$2:$C$7,3,FALSE)*'[1]Profiles, RES, Spring'!L$4</f>
        <v>46.171341925701284</v>
      </c>
      <c r="M8" s="6">
        <f>VLOOKUP($A8,'RES installed'!$A$2:$C$7,3,FALSE)*'[1]Profiles, RES, Spring'!M$4</f>
        <v>51.345716451857463</v>
      </c>
      <c r="N8" s="6">
        <f>VLOOKUP($A8,'RES installed'!$A$2:$C$7,3,FALSE)*'[1]Profiles, RES, Spring'!N$4</f>
        <v>50.123199393479908</v>
      </c>
      <c r="O8" s="6">
        <f>VLOOKUP($A8,'RES installed'!$A$2:$C$7,3,FALSE)*'[1]Profiles, RES, Spring'!O$4</f>
        <v>49.867323730098562</v>
      </c>
      <c r="P8" s="6">
        <f>VLOOKUP($A8,'RES installed'!$A$2:$C$7,3,FALSE)*'[1]Profiles, RES, Spring'!P$4</f>
        <v>50.208491281273687</v>
      </c>
      <c r="Q8" s="6">
        <f>VLOOKUP($A8,'RES installed'!$A$2:$C$7,3,FALSE)*'[1]Profiles, RES, Spring'!Q$4</f>
        <v>46.39878695981804</v>
      </c>
      <c r="R8" s="6">
        <f>VLOOKUP($A8,'RES installed'!$A$2:$C$7,3,FALSE)*'[1]Profiles, RES, Spring'!R$4</f>
        <v>37.727445034116755</v>
      </c>
      <c r="S8" s="6">
        <f>VLOOKUP($A8,'RES installed'!$A$2:$C$7,3,FALSE)*'[1]Profiles, RES, Spring'!S$4</f>
        <v>24.73464746019712</v>
      </c>
      <c r="T8" s="6">
        <f>VLOOKUP($A8,'RES installed'!$A$2:$C$7,3,FALSE)*'[1]Profiles, RES, Spring'!T$4</f>
        <v>8.7850644427596674</v>
      </c>
      <c r="U8" s="6">
        <f>VLOOKUP($A8,'RES installed'!$A$2:$C$7,3,FALSE)*'[1]Profiles, RES, Spring'!U$4</f>
        <v>0.90978013646702049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0.65959059893858984</v>
      </c>
      <c r="H10" s="6">
        <f>VLOOKUP($A10,'RES installed'!$A$2:$C$7,3,FALSE)*'[1]Profiles, RES, Spring'!H$4</f>
        <v>6.322971948445792</v>
      </c>
      <c r="I10" s="6">
        <f>VLOOKUP($A10,'RES installed'!$A$2:$C$7,3,FALSE)*'[1]Profiles, RES, Spring'!I$4</f>
        <v>17.558756633813495</v>
      </c>
      <c r="J10" s="6">
        <f>VLOOKUP($A10,'RES installed'!$A$2:$C$7,3,FALSE)*'[1]Profiles, RES, Spring'!J$4</f>
        <v>28.180439727065959</v>
      </c>
      <c r="K10" s="6">
        <f>VLOOKUP($A10,'RES installed'!$A$2:$C$7,3,FALSE)*'[1]Profiles, RES, Spring'!K$4</f>
        <v>33.411675511751326</v>
      </c>
      <c r="L10" s="6">
        <f>VLOOKUP($A10,'RES installed'!$A$2:$C$7,3,FALSE)*'[1]Profiles, RES, Spring'!L$4</f>
        <v>36.93707354056103</v>
      </c>
      <c r="M10" s="6">
        <f>VLOOKUP($A10,'RES installed'!$A$2:$C$7,3,FALSE)*'[1]Profiles, RES, Spring'!M$4</f>
        <v>41.076573161485975</v>
      </c>
      <c r="N10" s="6">
        <f>VLOOKUP($A10,'RES installed'!$A$2:$C$7,3,FALSE)*'[1]Profiles, RES, Spring'!N$4</f>
        <v>40.098559514783922</v>
      </c>
      <c r="O10" s="6">
        <f>VLOOKUP($A10,'RES installed'!$A$2:$C$7,3,FALSE)*'[1]Profiles, RES, Spring'!O$4</f>
        <v>39.893858984078847</v>
      </c>
      <c r="P10" s="6">
        <f>VLOOKUP($A10,'RES installed'!$A$2:$C$7,3,FALSE)*'[1]Profiles, RES, Spring'!P$4</f>
        <v>40.166793025018954</v>
      </c>
      <c r="Q10" s="6">
        <f>VLOOKUP($A10,'RES installed'!$A$2:$C$7,3,FALSE)*'[1]Profiles, RES, Spring'!Q$4</f>
        <v>37.119029567854433</v>
      </c>
      <c r="R10" s="6">
        <f>VLOOKUP($A10,'RES installed'!$A$2:$C$7,3,FALSE)*'[1]Profiles, RES, Spring'!R$4</f>
        <v>30.181956027293403</v>
      </c>
      <c r="S10" s="6">
        <f>VLOOKUP($A10,'RES installed'!$A$2:$C$7,3,FALSE)*'[1]Profiles, RES, Spring'!S$4</f>
        <v>19.787717968157697</v>
      </c>
      <c r="T10" s="6">
        <f>VLOOKUP($A10,'RES installed'!$A$2:$C$7,3,FALSE)*'[1]Profiles, RES, Spring'!T$4</f>
        <v>7.0280515542077335</v>
      </c>
      <c r="U10" s="6">
        <f>VLOOKUP($A10,'RES installed'!$A$2:$C$7,3,FALSE)*'[1]Profiles, RES, Spring'!U$4</f>
        <v>0.7278241091736164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5C99-6CFD-4194-9CB5-EC46C97B209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11.615816940987557</v>
      </c>
      <c r="C5" s="9">
        <f>VLOOKUP($A5,'RES installed'!$A$2:$C$7,3,FALSE)*'[1]Profiles, RES, Spring'!C$5</f>
        <v>10.784825371336813</v>
      </c>
      <c r="D5" s="9">
        <f>VLOOKUP($A5,'RES installed'!$A$2:$C$7,3,FALSE)*'[1]Profiles, RES, Spring'!D$5</f>
        <v>10.839020473705339</v>
      </c>
      <c r="E5" s="9">
        <f>VLOOKUP($A5,'RES installed'!$A$2:$C$7,3,FALSE)*'[1]Profiles, RES, Spring'!E$5</f>
        <v>10.405459654757125</v>
      </c>
      <c r="F5" s="9">
        <f>VLOOKUP($A5,'RES installed'!$A$2:$C$7,3,FALSE)*'[1]Profiles, RES, Spring'!F$5</f>
        <v>10.306101967081492</v>
      </c>
      <c r="G5" s="9">
        <f>VLOOKUP($A5,'RES installed'!$A$2:$C$7,3,FALSE)*'[1]Profiles, RES, Spring'!G$5</f>
        <v>10.486752308309915</v>
      </c>
      <c r="H5" s="9">
        <f>VLOOKUP($A5,'RES installed'!$A$2:$C$7,3,FALSE)*'[1]Profiles, RES, Spring'!H$5</f>
        <v>9.4118827780008036</v>
      </c>
      <c r="I5" s="9">
        <f>VLOOKUP($A5,'RES installed'!$A$2:$C$7,3,FALSE)*'[1]Profiles, RES, Spring'!I$5</f>
        <v>7.5511842633480528</v>
      </c>
      <c r="J5" s="9">
        <f>VLOOKUP($A5,'RES installed'!$A$2:$C$7,3,FALSE)*'[1]Profiles, RES, Spring'!J$5</f>
        <v>5.9524287434765153</v>
      </c>
      <c r="K5" s="9">
        <f>VLOOKUP($A5,'RES installed'!$A$2:$C$7,3,FALSE)*'[1]Profiles, RES, Spring'!K$5</f>
        <v>4.4981934965877164</v>
      </c>
      <c r="L5" s="9">
        <f>VLOOKUP($A5,'RES installed'!$A$2:$C$7,3,FALSE)*'[1]Profiles, RES, Spring'!L$5</f>
        <v>4.2723805700521877</v>
      </c>
      <c r="M5" s="9">
        <f>VLOOKUP($A5,'RES installed'!$A$2:$C$7,3,FALSE)*'[1]Profiles, RES, Spring'!M$5</f>
        <v>5.2027298273785627</v>
      </c>
      <c r="N5" s="9">
        <f>VLOOKUP($A5,'RES installed'!$A$2:$C$7,3,FALSE)*'[1]Profiles, RES, Spring'!N$5</f>
        <v>6.8737454837414687</v>
      </c>
      <c r="O5" s="9">
        <f>VLOOKUP($A5,'RES installed'!$A$2:$C$7,3,FALSE)*'[1]Profiles, RES, Spring'!O$5</f>
        <v>9.5022079486150144</v>
      </c>
      <c r="P5" s="9">
        <f>VLOOKUP($A5,'RES installed'!$A$2:$C$7,3,FALSE)*'[1]Profiles, RES, Spring'!P$5</f>
        <v>12.401645925331193</v>
      </c>
      <c r="Q5" s="9">
        <f>VLOOKUP($A5,'RES installed'!$A$2:$C$7,3,FALSE)*'[1]Profiles, RES, Spring'!Q$5</f>
        <v>15.472701726214373</v>
      </c>
      <c r="R5" s="9">
        <f>VLOOKUP($A5,'RES installed'!$A$2:$C$7,3,FALSE)*'[1]Profiles, RES, Spring'!R$5</f>
        <v>19.26635889201124</v>
      </c>
      <c r="S5" s="9">
        <f>VLOOKUP($A5,'RES installed'!$A$2:$C$7,3,FALSE)*'[1]Profiles, RES, Spring'!S$5</f>
        <v>21.389000401445202</v>
      </c>
      <c r="T5" s="9">
        <f>VLOOKUP($A5,'RES installed'!$A$2:$C$7,3,FALSE)*'[1]Profiles, RES, Spring'!T$5</f>
        <v>21.461260537936575</v>
      </c>
      <c r="U5" s="9">
        <f>VLOOKUP($A5,'RES installed'!$A$2:$C$7,3,FALSE)*'[1]Profiles, RES, Spring'!U$5</f>
        <v>20.901244480128462</v>
      </c>
      <c r="V5" s="9">
        <f>VLOOKUP($A5,'RES installed'!$A$2:$C$7,3,FALSE)*'[1]Profiles, RES, Spring'!V$5</f>
        <v>18.950220794861501</v>
      </c>
      <c r="W5" s="9">
        <f>VLOOKUP($A5,'RES installed'!$A$2:$C$7,3,FALSE)*'[1]Profiles, RES, Spring'!W$5</f>
        <v>17.514050582095543</v>
      </c>
      <c r="X5" s="9">
        <f>VLOOKUP($A5,'RES installed'!$A$2:$C$7,3,FALSE)*'[1]Profiles, RES, Spring'!X$5</f>
        <v>17.48695303091128</v>
      </c>
      <c r="Y5" s="9">
        <f>VLOOKUP($A5,'RES installed'!$A$2:$C$7,3,FALSE)*'[1]Profiles, RES, Spring'!Y$5</f>
        <v>16.583701324769169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11.615816940987557</v>
      </c>
      <c r="C7" s="9">
        <f>VLOOKUP($A7,'RES installed'!$A$2:$C$7,3,FALSE)*'[1]Profiles, RES, Spring'!C$5</f>
        <v>10.784825371336813</v>
      </c>
      <c r="D7" s="9">
        <f>VLOOKUP($A7,'RES installed'!$A$2:$C$7,3,FALSE)*'[1]Profiles, RES, Spring'!D$5</f>
        <v>10.839020473705339</v>
      </c>
      <c r="E7" s="9">
        <f>VLOOKUP($A7,'RES installed'!$A$2:$C$7,3,FALSE)*'[1]Profiles, RES, Spring'!E$5</f>
        <v>10.405459654757125</v>
      </c>
      <c r="F7" s="9">
        <f>VLOOKUP($A7,'RES installed'!$A$2:$C$7,3,FALSE)*'[1]Profiles, RES, Spring'!F$5</f>
        <v>10.306101967081492</v>
      </c>
      <c r="G7" s="9">
        <f>VLOOKUP($A7,'RES installed'!$A$2:$C$7,3,FALSE)*'[1]Profiles, RES, Spring'!G$5</f>
        <v>10.486752308309915</v>
      </c>
      <c r="H7" s="9">
        <f>VLOOKUP($A7,'RES installed'!$A$2:$C$7,3,FALSE)*'[1]Profiles, RES, Spring'!H$5</f>
        <v>9.4118827780008036</v>
      </c>
      <c r="I7" s="9">
        <f>VLOOKUP($A7,'RES installed'!$A$2:$C$7,3,FALSE)*'[1]Profiles, RES, Spring'!I$5</f>
        <v>7.5511842633480528</v>
      </c>
      <c r="J7" s="9">
        <f>VLOOKUP($A7,'RES installed'!$A$2:$C$7,3,FALSE)*'[1]Profiles, RES, Spring'!J$5</f>
        <v>5.9524287434765153</v>
      </c>
      <c r="K7" s="9">
        <f>VLOOKUP($A7,'RES installed'!$A$2:$C$7,3,FALSE)*'[1]Profiles, RES, Spring'!K$5</f>
        <v>4.4981934965877164</v>
      </c>
      <c r="L7" s="9">
        <f>VLOOKUP($A7,'RES installed'!$A$2:$C$7,3,FALSE)*'[1]Profiles, RES, Spring'!L$5</f>
        <v>4.2723805700521877</v>
      </c>
      <c r="M7" s="9">
        <f>VLOOKUP($A7,'RES installed'!$A$2:$C$7,3,FALSE)*'[1]Profiles, RES, Spring'!M$5</f>
        <v>5.2027298273785627</v>
      </c>
      <c r="N7" s="9">
        <f>VLOOKUP($A7,'RES installed'!$A$2:$C$7,3,FALSE)*'[1]Profiles, RES, Spring'!N$5</f>
        <v>6.8737454837414687</v>
      </c>
      <c r="O7" s="9">
        <f>VLOOKUP($A7,'RES installed'!$A$2:$C$7,3,FALSE)*'[1]Profiles, RES, Spring'!O$5</f>
        <v>9.5022079486150144</v>
      </c>
      <c r="P7" s="9">
        <f>VLOOKUP($A7,'RES installed'!$A$2:$C$7,3,FALSE)*'[1]Profiles, RES, Spring'!P$5</f>
        <v>12.401645925331193</v>
      </c>
      <c r="Q7" s="9">
        <f>VLOOKUP($A7,'RES installed'!$A$2:$C$7,3,FALSE)*'[1]Profiles, RES, Spring'!Q$5</f>
        <v>15.472701726214373</v>
      </c>
      <c r="R7" s="9">
        <f>VLOOKUP($A7,'RES installed'!$A$2:$C$7,3,FALSE)*'[1]Profiles, RES, Spring'!R$5</f>
        <v>19.26635889201124</v>
      </c>
      <c r="S7" s="9">
        <f>VLOOKUP($A7,'RES installed'!$A$2:$C$7,3,FALSE)*'[1]Profiles, RES, Spring'!S$5</f>
        <v>21.389000401445202</v>
      </c>
      <c r="T7" s="9">
        <f>VLOOKUP($A7,'RES installed'!$A$2:$C$7,3,FALSE)*'[1]Profiles, RES, Spring'!T$5</f>
        <v>21.461260537936575</v>
      </c>
      <c r="U7" s="9">
        <f>VLOOKUP($A7,'RES installed'!$A$2:$C$7,3,FALSE)*'[1]Profiles, RES, Spring'!U$5</f>
        <v>20.901244480128462</v>
      </c>
      <c r="V7" s="9">
        <f>VLOOKUP($A7,'RES installed'!$A$2:$C$7,3,FALSE)*'[1]Profiles, RES, Spring'!V$5</f>
        <v>18.950220794861501</v>
      </c>
      <c r="W7" s="9">
        <f>VLOOKUP($A7,'RES installed'!$A$2:$C$7,3,FALSE)*'[1]Profiles, RES, Spring'!W$5</f>
        <v>17.514050582095543</v>
      </c>
      <c r="X7" s="9">
        <f>VLOOKUP($A7,'RES installed'!$A$2:$C$7,3,FALSE)*'[1]Profiles, RES, Spring'!X$5</f>
        <v>17.48695303091128</v>
      </c>
      <c r="Y7" s="9">
        <f>VLOOKUP($A7,'RES installed'!$A$2:$C$7,3,FALSE)*'[1]Profiles, RES, Spring'!Y$5</f>
        <v>16.583701324769169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0.71076573161485967</v>
      </c>
      <c r="H8" s="6">
        <f>VLOOKUP($A8,'RES installed'!$A$2:$C$7,3,FALSE)*'[1]Profiles, RES, Spring'!H$2</f>
        <v>7.136087945413192</v>
      </c>
      <c r="I8" s="6">
        <f>VLOOKUP($A8,'RES installed'!$A$2:$C$7,3,FALSE)*'[1]Profiles, RES, Spring'!I$2</f>
        <v>19.929871114480665</v>
      </c>
      <c r="J8" s="6">
        <f>VLOOKUP($A8,'RES installed'!$A$2:$C$7,3,FALSE)*'[1]Profiles, RES, Spring'!J$2</f>
        <v>30.790371493555725</v>
      </c>
      <c r="K8" s="6">
        <f>VLOOKUP($A8,'RES installed'!$A$2:$C$7,3,FALSE)*'[1]Profiles, RES, Spring'!K$2</f>
        <v>36.021607278241092</v>
      </c>
      <c r="L8" s="6">
        <f>VLOOKUP($A8,'RES installed'!$A$2:$C$7,3,FALSE)*'[1]Profiles, RES, Spring'!L$2</f>
        <v>41.167551175132679</v>
      </c>
      <c r="M8" s="6">
        <f>VLOOKUP($A8,'RES installed'!$A$2:$C$7,3,FALSE)*'[1]Profiles, RES, Spring'!M$2</f>
        <v>43.385140257771042</v>
      </c>
      <c r="N8" s="6">
        <f>VLOOKUP($A8,'RES installed'!$A$2:$C$7,3,FALSE)*'[1]Profiles, RES, Spring'!N$2</f>
        <v>46.796815769522368</v>
      </c>
      <c r="O8" s="6">
        <f>VLOOKUP($A8,'RES installed'!$A$2:$C$7,3,FALSE)*'[1]Profiles, RES, Spring'!O$2</f>
        <v>47.052691432903721</v>
      </c>
      <c r="P8" s="6">
        <f>VLOOKUP($A8,'RES installed'!$A$2:$C$7,3,FALSE)*'[1]Profiles, RES, Spring'!P$2</f>
        <v>47.30856709628506</v>
      </c>
      <c r="Q8" s="6">
        <f>VLOOKUP($A8,'RES installed'!$A$2:$C$7,3,FALSE)*'[1]Profiles, RES, Spring'!Q$2</f>
        <v>43.271417740712657</v>
      </c>
      <c r="R8" s="6">
        <f>VLOOKUP($A8,'RES installed'!$A$2:$C$7,3,FALSE)*'[1]Profiles, RES, Spring'!R$2</f>
        <v>34.429492039423806</v>
      </c>
      <c r="S8" s="6">
        <f>VLOOKUP($A8,'RES installed'!$A$2:$C$7,3,FALSE)*'[1]Profiles, RES, Spring'!S$2</f>
        <v>22.687642153146324</v>
      </c>
      <c r="T8" s="6">
        <f>VLOOKUP($A8,'RES installed'!$A$2:$C$7,3,FALSE)*'[1]Profiles, RES, Spring'!T$2</f>
        <v>8.3586050037907516</v>
      </c>
      <c r="U8" s="6">
        <f>VLOOKUP($A8,'RES installed'!$A$2:$C$7,3,FALSE)*'[1]Profiles, RES, Spring'!U$2</f>
        <v>0.73919636087945406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0.56861258529188774</v>
      </c>
      <c r="H10" s="6">
        <f>VLOOKUP($A10,'RES installed'!$A$2:$C$7,3,FALSE)*'[1]Profiles, RES, Spring'!H$2</f>
        <v>5.7088703563305536</v>
      </c>
      <c r="I10" s="6">
        <f>VLOOKUP($A10,'RES installed'!$A$2:$C$7,3,FALSE)*'[1]Profiles, RES, Spring'!I$2</f>
        <v>15.943896891584533</v>
      </c>
      <c r="J10" s="6">
        <f>VLOOKUP($A10,'RES installed'!$A$2:$C$7,3,FALSE)*'[1]Profiles, RES, Spring'!J$2</f>
        <v>24.632297194844579</v>
      </c>
      <c r="K10" s="6">
        <f>VLOOKUP($A10,'RES installed'!$A$2:$C$7,3,FALSE)*'[1]Profiles, RES, Spring'!K$2</f>
        <v>28.817285822592876</v>
      </c>
      <c r="L10" s="6">
        <f>VLOOKUP($A10,'RES installed'!$A$2:$C$7,3,FALSE)*'[1]Profiles, RES, Spring'!L$2</f>
        <v>32.934040940106144</v>
      </c>
      <c r="M10" s="6">
        <f>VLOOKUP($A10,'RES installed'!$A$2:$C$7,3,FALSE)*'[1]Profiles, RES, Spring'!M$2</f>
        <v>34.708112206216832</v>
      </c>
      <c r="N10" s="6">
        <f>VLOOKUP($A10,'RES installed'!$A$2:$C$7,3,FALSE)*'[1]Profiles, RES, Spring'!N$2</f>
        <v>37.437452615617893</v>
      </c>
      <c r="O10" s="6">
        <f>VLOOKUP($A10,'RES installed'!$A$2:$C$7,3,FALSE)*'[1]Profiles, RES, Spring'!O$2</f>
        <v>37.642153146322975</v>
      </c>
      <c r="P10" s="6">
        <f>VLOOKUP($A10,'RES installed'!$A$2:$C$7,3,FALSE)*'[1]Profiles, RES, Spring'!P$2</f>
        <v>37.846853677028051</v>
      </c>
      <c r="Q10" s="6">
        <f>VLOOKUP($A10,'RES installed'!$A$2:$C$7,3,FALSE)*'[1]Profiles, RES, Spring'!Q$2</f>
        <v>34.617134192570127</v>
      </c>
      <c r="R10" s="6">
        <f>VLOOKUP($A10,'RES installed'!$A$2:$C$7,3,FALSE)*'[1]Profiles, RES, Spring'!R$2</f>
        <v>27.543593631539046</v>
      </c>
      <c r="S10" s="6">
        <f>VLOOKUP($A10,'RES installed'!$A$2:$C$7,3,FALSE)*'[1]Profiles, RES, Spring'!S$2</f>
        <v>18.150113722517059</v>
      </c>
      <c r="T10" s="6">
        <f>VLOOKUP($A10,'RES installed'!$A$2:$C$7,3,FALSE)*'[1]Profiles, RES, Spring'!T$2</f>
        <v>6.6868840030326009</v>
      </c>
      <c r="U10" s="6">
        <f>VLOOKUP($A10,'RES installed'!$A$2:$C$7,3,FALSE)*'[1]Profiles, RES, Spring'!U$2</f>
        <v>0.59135708870356329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42AE-FA04-479C-87E0-280EEE6608D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15.228823765556003</v>
      </c>
      <c r="C5" s="9">
        <f>VLOOKUP($A5,'RES installed'!$A$2:$C$7,3,FALSE)*'[1]Profiles, RES, Spring'!C$6</f>
        <v>13.819751103974308</v>
      </c>
      <c r="D5" s="9">
        <f>VLOOKUP($A5,'RES installed'!$A$2:$C$7,3,FALSE)*'[1]Profiles, RES, Spring'!D$6</f>
        <v>12.058410276997192</v>
      </c>
      <c r="E5" s="9">
        <f>VLOOKUP($A5,'RES installed'!$A$2:$C$7,3,FALSE)*'[1]Profiles, RES, Spring'!E$6</f>
        <v>10.857085507828181</v>
      </c>
      <c r="F5" s="9">
        <f>VLOOKUP($A5,'RES installed'!$A$2:$C$7,3,FALSE)*'[1]Profiles, RES, Spring'!F$6</f>
        <v>10.613207547169811</v>
      </c>
      <c r="G5" s="9">
        <f>VLOOKUP($A5,'RES installed'!$A$2:$C$7,3,FALSE)*'[1]Profiles, RES, Spring'!G$6</f>
        <v>10.730630268968287</v>
      </c>
      <c r="H5" s="9">
        <f>VLOOKUP($A5,'RES installed'!$A$2:$C$7,3,FALSE)*'[1]Profiles, RES, Spring'!H$6</f>
        <v>9.1589723002810111</v>
      </c>
      <c r="I5" s="9">
        <f>VLOOKUP($A5,'RES installed'!$A$2:$C$7,3,FALSE)*'[1]Profiles, RES, Spring'!I$6</f>
        <v>6.8918105178643119</v>
      </c>
      <c r="J5" s="9">
        <f>VLOOKUP($A5,'RES installed'!$A$2:$C$7,3,FALSE)*'[1]Profiles, RES, Spring'!J$6</f>
        <v>6.2775993576876754</v>
      </c>
      <c r="K5" s="9">
        <f>VLOOKUP($A5,'RES installed'!$A$2:$C$7,3,FALSE)*'[1]Profiles, RES, Spring'!K$6</f>
        <v>6.5395423524688878</v>
      </c>
      <c r="L5" s="9">
        <f>VLOOKUP($A5,'RES installed'!$A$2:$C$7,3,FALSE)*'[1]Profiles, RES, Spring'!L$6</f>
        <v>7.3253713368125251</v>
      </c>
      <c r="M5" s="9">
        <f>VLOOKUP($A5,'RES installed'!$A$2:$C$7,3,FALSE)*'[1]Profiles, RES, Spring'!M$6</f>
        <v>8.4002408671216386</v>
      </c>
      <c r="N5" s="9">
        <f>VLOOKUP($A5,'RES installed'!$A$2:$C$7,3,FALSE)*'[1]Profiles, RES, Spring'!N$6</f>
        <v>10.92031312725813</v>
      </c>
      <c r="O5" s="9">
        <f>VLOOKUP($A5,'RES installed'!$A$2:$C$7,3,FALSE)*'[1]Profiles, RES, Spring'!O$6</f>
        <v>13.557808109193095</v>
      </c>
      <c r="P5" s="9">
        <f>VLOOKUP($A5,'RES installed'!$A$2:$C$7,3,FALSE)*'[1]Profiles, RES, Spring'!P$6</f>
        <v>15.400441589723002</v>
      </c>
      <c r="Q5" s="9">
        <f>VLOOKUP($A5,'RES installed'!$A$2:$C$7,3,FALSE)*'[1]Profiles, RES, Spring'!Q$6</f>
        <v>16.945002007226016</v>
      </c>
      <c r="R5" s="9">
        <f>VLOOKUP($A5,'RES installed'!$A$2:$C$7,3,FALSE)*'[1]Profiles, RES, Spring'!R$6</f>
        <v>18.570855078281813</v>
      </c>
      <c r="S5" s="9">
        <f>VLOOKUP($A5,'RES installed'!$A$2:$C$7,3,FALSE)*'[1]Profiles, RES, Spring'!S$6</f>
        <v>17.766961059815333</v>
      </c>
      <c r="T5" s="9">
        <f>VLOOKUP($A5,'RES installed'!$A$2:$C$7,3,FALSE)*'[1]Profiles, RES, Spring'!T$6</f>
        <v>15.716579686872743</v>
      </c>
      <c r="U5" s="9">
        <f>VLOOKUP($A5,'RES installed'!$A$2:$C$7,3,FALSE)*'[1]Profiles, RES, Spring'!U$6</f>
        <v>15.120433560818947</v>
      </c>
      <c r="V5" s="9">
        <f>VLOOKUP($A5,'RES installed'!$A$2:$C$7,3,FALSE)*'[1]Profiles, RES, Spring'!V$6</f>
        <v>14.063629064632678</v>
      </c>
      <c r="W5" s="9">
        <f>VLOOKUP($A5,'RES installed'!$A$2:$C$7,3,FALSE)*'[1]Profiles, RES, Spring'!W$6</f>
        <v>13.341027699718989</v>
      </c>
      <c r="X5" s="9">
        <f>VLOOKUP($A5,'RES installed'!$A$2:$C$7,3,FALSE)*'[1]Profiles, RES, Spring'!X$6</f>
        <v>12.094540345242873</v>
      </c>
      <c r="Y5" s="9">
        <f>VLOOKUP($A5,'RES installed'!$A$2:$C$7,3,FALSE)*'[1]Profiles, RES, Spring'!Y$6</f>
        <v>10.784825371336813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15.228823765556003</v>
      </c>
      <c r="C7" s="9">
        <f>VLOOKUP($A7,'RES installed'!$A$2:$C$7,3,FALSE)*'[1]Profiles, RES, Spring'!C$6</f>
        <v>13.819751103974308</v>
      </c>
      <c r="D7" s="9">
        <f>VLOOKUP($A7,'RES installed'!$A$2:$C$7,3,FALSE)*'[1]Profiles, RES, Spring'!D$6</f>
        <v>12.058410276997192</v>
      </c>
      <c r="E7" s="9">
        <f>VLOOKUP($A7,'RES installed'!$A$2:$C$7,3,FALSE)*'[1]Profiles, RES, Spring'!E$6</f>
        <v>10.857085507828181</v>
      </c>
      <c r="F7" s="9">
        <f>VLOOKUP($A7,'RES installed'!$A$2:$C$7,3,FALSE)*'[1]Profiles, RES, Spring'!F$6</f>
        <v>10.613207547169811</v>
      </c>
      <c r="G7" s="9">
        <f>VLOOKUP($A7,'RES installed'!$A$2:$C$7,3,FALSE)*'[1]Profiles, RES, Spring'!G$6</f>
        <v>10.730630268968287</v>
      </c>
      <c r="H7" s="9">
        <f>VLOOKUP($A7,'RES installed'!$A$2:$C$7,3,FALSE)*'[1]Profiles, RES, Spring'!H$6</f>
        <v>9.1589723002810111</v>
      </c>
      <c r="I7" s="9">
        <f>VLOOKUP($A7,'RES installed'!$A$2:$C$7,3,FALSE)*'[1]Profiles, RES, Spring'!I$6</f>
        <v>6.8918105178643119</v>
      </c>
      <c r="J7" s="9">
        <f>VLOOKUP($A7,'RES installed'!$A$2:$C$7,3,FALSE)*'[1]Profiles, RES, Spring'!J$6</f>
        <v>6.2775993576876754</v>
      </c>
      <c r="K7" s="9">
        <f>VLOOKUP($A7,'RES installed'!$A$2:$C$7,3,FALSE)*'[1]Profiles, RES, Spring'!K$6</f>
        <v>6.5395423524688878</v>
      </c>
      <c r="L7" s="9">
        <f>VLOOKUP($A7,'RES installed'!$A$2:$C$7,3,FALSE)*'[1]Profiles, RES, Spring'!L$6</f>
        <v>7.3253713368125251</v>
      </c>
      <c r="M7" s="9">
        <f>VLOOKUP($A7,'RES installed'!$A$2:$C$7,3,FALSE)*'[1]Profiles, RES, Spring'!M$6</f>
        <v>8.4002408671216386</v>
      </c>
      <c r="N7" s="9">
        <f>VLOOKUP($A7,'RES installed'!$A$2:$C$7,3,FALSE)*'[1]Profiles, RES, Spring'!N$6</f>
        <v>10.92031312725813</v>
      </c>
      <c r="O7" s="9">
        <f>VLOOKUP($A7,'RES installed'!$A$2:$C$7,3,FALSE)*'[1]Profiles, RES, Spring'!O$6</f>
        <v>13.557808109193095</v>
      </c>
      <c r="P7" s="9">
        <f>VLOOKUP($A7,'RES installed'!$A$2:$C$7,3,FALSE)*'[1]Profiles, RES, Spring'!P$6</f>
        <v>15.400441589723002</v>
      </c>
      <c r="Q7" s="9">
        <f>VLOOKUP($A7,'RES installed'!$A$2:$C$7,3,FALSE)*'[1]Profiles, RES, Spring'!Q$6</f>
        <v>16.945002007226016</v>
      </c>
      <c r="R7" s="9">
        <f>VLOOKUP($A7,'RES installed'!$A$2:$C$7,3,FALSE)*'[1]Profiles, RES, Spring'!R$6</f>
        <v>18.570855078281813</v>
      </c>
      <c r="S7" s="9">
        <f>VLOOKUP($A7,'RES installed'!$A$2:$C$7,3,FALSE)*'[1]Profiles, RES, Spring'!S$6</f>
        <v>17.766961059815333</v>
      </c>
      <c r="T7" s="9">
        <f>VLOOKUP($A7,'RES installed'!$A$2:$C$7,3,FALSE)*'[1]Profiles, RES, Spring'!T$6</f>
        <v>15.716579686872743</v>
      </c>
      <c r="U7" s="9">
        <f>VLOOKUP($A7,'RES installed'!$A$2:$C$7,3,FALSE)*'[1]Profiles, RES, Spring'!U$6</f>
        <v>15.120433560818947</v>
      </c>
      <c r="V7" s="9">
        <f>VLOOKUP($A7,'RES installed'!$A$2:$C$7,3,FALSE)*'[1]Profiles, RES, Spring'!V$6</f>
        <v>14.063629064632678</v>
      </c>
      <c r="W7" s="9">
        <f>VLOOKUP($A7,'RES installed'!$A$2:$C$7,3,FALSE)*'[1]Profiles, RES, Spring'!W$6</f>
        <v>13.341027699718989</v>
      </c>
      <c r="X7" s="9">
        <f>VLOOKUP($A7,'RES installed'!$A$2:$C$7,3,FALSE)*'[1]Profiles, RES, Spring'!X$6</f>
        <v>12.094540345242873</v>
      </c>
      <c r="Y7" s="9">
        <f>VLOOKUP($A7,'RES installed'!$A$2:$C$7,3,FALSE)*'[1]Profiles, RES, Spring'!Y$6</f>
        <v>10.784825371336813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0.85291887793783172</v>
      </c>
      <c r="H8" s="6">
        <f>VLOOKUP($A8,'RES installed'!$A$2:$C$7,3,FALSE)*'[1]Profiles, RES, Spring'!H$3</f>
        <v>7.4772554965883247</v>
      </c>
      <c r="I8" s="6">
        <f>VLOOKUP($A8,'RES installed'!$A$2:$C$7,3,FALSE)*'[1]Profiles, RES, Spring'!I$3</f>
        <v>17.996588324488251</v>
      </c>
      <c r="J8" s="6">
        <f>VLOOKUP($A8,'RES installed'!$A$2:$C$7,3,FALSE)*'[1]Profiles, RES, Spring'!J$3</f>
        <v>27.151250947687643</v>
      </c>
      <c r="K8" s="6">
        <f>VLOOKUP($A8,'RES installed'!$A$2:$C$7,3,FALSE)*'[1]Profiles, RES, Spring'!K$3</f>
        <v>37.812736921910542</v>
      </c>
      <c r="L8" s="6">
        <f>VLOOKUP($A8,'RES installed'!$A$2:$C$7,3,FALSE)*'[1]Profiles, RES, Spring'!L$3</f>
        <v>44.749810462471572</v>
      </c>
      <c r="M8" s="6">
        <f>VLOOKUP($A8,'RES installed'!$A$2:$C$7,3,FALSE)*'[1]Profiles, RES, Spring'!M$3</f>
        <v>45.801743745261561</v>
      </c>
      <c r="N8" s="6">
        <f>VLOOKUP($A8,'RES installed'!$A$2:$C$7,3,FALSE)*'[1]Profiles, RES, Spring'!N$3</f>
        <v>46.882107657316148</v>
      </c>
      <c r="O8" s="6">
        <f>VLOOKUP($A8,'RES installed'!$A$2:$C$7,3,FALSE)*'[1]Profiles, RES, Spring'!O$3</f>
        <v>45.23313115996968</v>
      </c>
      <c r="P8" s="6">
        <f>VLOOKUP($A8,'RES installed'!$A$2:$C$7,3,FALSE)*'[1]Profiles, RES, Spring'!P$3</f>
        <v>48.076194086429112</v>
      </c>
      <c r="Q8" s="6">
        <f>VLOOKUP($A8,'RES installed'!$A$2:$C$7,3,FALSE)*'[1]Profiles, RES, Spring'!Q$3</f>
        <v>42.674374526156178</v>
      </c>
      <c r="R8" s="6">
        <f>VLOOKUP($A8,'RES installed'!$A$2:$C$7,3,FALSE)*'[1]Profiles, RES, Spring'!R$3</f>
        <v>35.794162244124337</v>
      </c>
      <c r="S8" s="6">
        <f>VLOOKUP($A8,'RES installed'!$A$2:$C$7,3,FALSE)*'[1]Profiles, RES, Spring'!S$3</f>
        <v>23.398407884761184</v>
      </c>
      <c r="T8" s="6">
        <f>VLOOKUP($A8,'RES installed'!$A$2:$C$7,3,FALSE)*'[1]Profiles, RES, Spring'!T$3</f>
        <v>8.5291887793783179</v>
      </c>
      <c r="U8" s="6">
        <f>VLOOKUP($A8,'RES installed'!$A$2:$C$7,3,FALSE)*'[1]Profiles, RES, Spring'!U$3</f>
        <v>0.76762699014404845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0.6823351023502654</v>
      </c>
      <c r="H10" s="6">
        <f>VLOOKUP($A10,'RES installed'!$A$2:$C$7,3,FALSE)*'[1]Profiles, RES, Spring'!H$3</f>
        <v>5.9818043972706594</v>
      </c>
      <c r="I10" s="6">
        <f>VLOOKUP($A10,'RES installed'!$A$2:$C$7,3,FALSE)*'[1]Profiles, RES, Spring'!I$3</f>
        <v>14.3972706595906</v>
      </c>
      <c r="J10" s="6">
        <f>VLOOKUP($A10,'RES installed'!$A$2:$C$7,3,FALSE)*'[1]Profiles, RES, Spring'!J$3</f>
        <v>21.721000758150115</v>
      </c>
      <c r="K10" s="6">
        <f>VLOOKUP($A10,'RES installed'!$A$2:$C$7,3,FALSE)*'[1]Profiles, RES, Spring'!K$3</f>
        <v>30.250189537528431</v>
      </c>
      <c r="L10" s="6">
        <f>VLOOKUP($A10,'RES installed'!$A$2:$C$7,3,FALSE)*'[1]Profiles, RES, Spring'!L$3</f>
        <v>35.799848369977255</v>
      </c>
      <c r="M10" s="6">
        <f>VLOOKUP($A10,'RES installed'!$A$2:$C$7,3,FALSE)*'[1]Profiles, RES, Spring'!M$3</f>
        <v>36.64139499620925</v>
      </c>
      <c r="N10" s="6">
        <f>VLOOKUP($A10,'RES installed'!$A$2:$C$7,3,FALSE)*'[1]Profiles, RES, Spring'!N$3</f>
        <v>37.505686125852918</v>
      </c>
      <c r="O10" s="6">
        <f>VLOOKUP($A10,'RES installed'!$A$2:$C$7,3,FALSE)*'[1]Profiles, RES, Spring'!O$3</f>
        <v>36.18650492797574</v>
      </c>
      <c r="P10" s="6">
        <f>VLOOKUP($A10,'RES installed'!$A$2:$C$7,3,FALSE)*'[1]Profiles, RES, Spring'!P$3</f>
        <v>38.460955269143291</v>
      </c>
      <c r="Q10" s="6">
        <f>VLOOKUP($A10,'RES installed'!$A$2:$C$7,3,FALSE)*'[1]Profiles, RES, Spring'!Q$3</f>
        <v>34.139499620924944</v>
      </c>
      <c r="R10" s="6">
        <f>VLOOKUP($A10,'RES installed'!$A$2:$C$7,3,FALSE)*'[1]Profiles, RES, Spring'!R$3</f>
        <v>28.635329795299469</v>
      </c>
      <c r="S10" s="6">
        <f>VLOOKUP($A10,'RES installed'!$A$2:$C$7,3,FALSE)*'[1]Profiles, RES, Spring'!S$3</f>
        <v>18.718726307808947</v>
      </c>
      <c r="T10" s="6">
        <f>VLOOKUP($A10,'RES installed'!$A$2:$C$7,3,FALSE)*'[1]Profiles, RES, Spring'!T$3</f>
        <v>6.8233510235026538</v>
      </c>
      <c r="U10" s="6">
        <f>VLOOKUP($A10,'RES installed'!$A$2:$C$7,3,FALSE)*'[1]Profiles, RES, Spring'!U$3</f>
        <v>0.61410159211523874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C291-8F02-4CFD-8967-9A87F45EB76F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11.146126053793658</v>
      </c>
      <c r="C5" s="9">
        <f>VLOOKUP($A5,'RES installed'!$A$2:$C$7,3,FALSE)*'[1]Profiles, RES, Spring'!C$7</f>
        <v>10.568044961862705</v>
      </c>
      <c r="D5" s="9">
        <f>VLOOKUP($A5,'RES installed'!$A$2:$C$7,3,FALSE)*'[1]Profiles, RES, Spring'!D$7</f>
        <v>10.27900441589723</v>
      </c>
      <c r="E5" s="9">
        <f>VLOOKUP($A5,'RES installed'!$A$2:$C$7,3,FALSE)*'[1]Profiles, RES, Spring'!E$7</f>
        <v>10.820955439582496</v>
      </c>
      <c r="F5" s="9">
        <f>VLOOKUP($A5,'RES installed'!$A$2:$C$7,3,FALSE)*'[1]Profiles, RES, Spring'!F$7</f>
        <v>10.84805299076676</v>
      </c>
      <c r="G5" s="9">
        <f>VLOOKUP($A5,'RES installed'!$A$2:$C$7,3,FALSE)*'[1]Profiles, RES, Spring'!G$7</f>
        <v>9.6467282215977512</v>
      </c>
      <c r="H5" s="9">
        <f>VLOOKUP($A5,'RES installed'!$A$2:$C$7,3,FALSE)*'[1]Profiles, RES, Spring'!H$7</f>
        <v>8.2105580088317947</v>
      </c>
      <c r="I5" s="9">
        <f>VLOOKUP($A5,'RES installed'!$A$2:$C$7,3,FALSE)*'[1]Profiles, RES, Spring'!I$7</f>
        <v>6.1872741870734638</v>
      </c>
      <c r="J5" s="9">
        <f>VLOOKUP($A5,'RES installed'!$A$2:$C$7,3,FALSE)*'[1]Profiles, RES, Spring'!J$7</f>
        <v>5.2117623444399843</v>
      </c>
      <c r="K5" s="9">
        <f>VLOOKUP($A5,'RES installed'!$A$2:$C$7,3,FALSE)*'[1]Profiles, RES, Spring'!K$7</f>
        <v>5.6633881975110389</v>
      </c>
      <c r="L5" s="9">
        <f>VLOOKUP($A5,'RES installed'!$A$2:$C$7,3,FALSE)*'[1]Profiles, RES, Spring'!L$7</f>
        <v>6.6930951425130463</v>
      </c>
      <c r="M5" s="9">
        <f>VLOOKUP($A5,'RES installed'!$A$2:$C$7,3,FALSE)*'[1]Profiles, RES, Spring'!M$7</f>
        <v>6.6208350060216778</v>
      </c>
      <c r="N5" s="9">
        <f>VLOOKUP($A5,'RES installed'!$A$2:$C$7,3,FALSE)*'[1]Profiles, RES, Spring'!N$7</f>
        <v>7.6053793657165798</v>
      </c>
      <c r="O5" s="9">
        <f>VLOOKUP($A5,'RES installed'!$A$2:$C$7,3,FALSE)*'[1]Profiles, RES, Spring'!O$7</f>
        <v>9.7009233239662773</v>
      </c>
      <c r="P5" s="9">
        <f>VLOOKUP($A5,'RES installed'!$A$2:$C$7,3,FALSE)*'[1]Profiles, RES, Spring'!P$7</f>
        <v>11.326776395022078</v>
      </c>
      <c r="Q5" s="9">
        <f>VLOOKUP($A5,'RES installed'!$A$2:$C$7,3,FALSE)*'[1]Profiles, RES, Spring'!Q$7</f>
        <v>12.762946607788036</v>
      </c>
      <c r="R5" s="9">
        <f>VLOOKUP($A5,'RES installed'!$A$2:$C$7,3,FALSE)*'[1]Profiles, RES, Spring'!R$7</f>
        <v>14.343637093536733</v>
      </c>
      <c r="S5" s="9">
        <f>VLOOKUP($A5,'RES installed'!$A$2:$C$7,3,FALSE)*'[1]Profiles, RES, Spring'!S$7</f>
        <v>14.930750702529105</v>
      </c>
      <c r="T5" s="9">
        <f>VLOOKUP($A5,'RES installed'!$A$2:$C$7,3,FALSE)*'[1]Profiles, RES, Spring'!T$7</f>
        <v>14.939783219590526</v>
      </c>
      <c r="U5" s="9">
        <f>VLOOKUP($A5,'RES installed'!$A$2:$C$7,3,FALSE)*'[1]Profiles, RES, Spring'!U$7</f>
        <v>13.35909273384183</v>
      </c>
      <c r="V5" s="9">
        <f>VLOOKUP($A5,'RES installed'!$A$2:$C$7,3,FALSE)*'[1]Profiles, RES, Spring'!V$7</f>
        <v>12.753914090726616</v>
      </c>
      <c r="W5" s="9">
        <f>VLOOKUP($A5,'RES installed'!$A$2:$C$7,3,FALSE)*'[1]Profiles, RES, Spring'!W$7</f>
        <v>12.681653954235246</v>
      </c>
      <c r="X5" s="9">
        <f>VLOOKUP($A5,'RES installed'!$A$2:$C$7,3,FALSE)*'[1]Profiles, RES, Spring'!X$7</f>
        <v>12.889401846647933</v>
      </c>
      <c r="Y5" s="9">
        <f>VLOOKUP($A5,'RES installed'!$A$2:$C$7,3,FALSE)*'[1]Profiles, RES, Spring'!Y$7</f>
        <v>13.91910879164994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11.146126053793658</v>
      </c>
      <c r="C7" s="9">
        <f>VLOOKUP($A7,'RES installed'!$A$2:$C$7,3,FALSE)*'[1]Profiles, RES, Spring'!C$7</f>
        <v>10.568044961862705</v>
      </c>
      <c r="D7" s="9">
        <f>VLOOKUP($A7,'RES installed'!$A$2:$C$7,3,FALSE)*'[1]Profiles, RES, Spring'!D$7</f>
        <v>10.27900441589723</v>
      </c>
      <c r="E7" s="9">
        <f>VLOOKUP($A7,'RES installed'!$A$2:$C$7,3,FALSE)*'[1]Profiles, RES, Spring'!E$7</f>
        <v>10.820955439582496</v>
      </c>
      <c r="F7" s="9">
        <f>VLOOKUP($A7,'RES installed'!$A$2:$C$7,3,FALSE)*'[1]Profiles, RES, Spring'!F$7</f>
        <v>10.84805299076676</v>
      </c>
      <c r="G7" s="9">
        <f>VLOOKUP($A7,'RES installed'!$A$2:$C$7,3,FALSE)*'[1]Profiles, RES, Spring'!G$7</f>
        <v>9.6467282215977512</v>
      </c>
      <c r="H7" s="9">
        <f>VLOOKUP($A7,'RES installed'!$A$2:$C$7,3,FALSE)*'[1]Profiles, RES, Spring'!H$7</f>
        <v>8.2105580088317947</v>
      </c>
      <c r="I7" s="9">
        <f>VLOOKUP($A7,'RES installed'!$A$2:$C$7,3,FALSE)*'[1]Profiles, RES, Spring'!I$7</f>
        <v>6.1872741870734638</v>
      </c>
      <c r="J7" s="9">
        <f>VLOOKUP($A7,'RES installed'!$A$2:$C$7,3,FALSE)*'[1]Profiles, RES, Spring'!J$7</f>
        <v>5.2117623444399843</v>
      </c>
      <c r="K7" s="9">
        <f>VLOOKUP($A7,'RES installed'!$A$2:$C$7,3,FALSE)*'[1]Profiles, RES, Spring'!K$7</f>
        <v>5.6633881975110389</v>
      </c>
      <c r="L7" s="9">
        <f>VLOOKUP($A7,'RES installed'!$A$2:$C$7,3,FALSE)*'[1]Profiles, RES, Spring'!L$7</f>
        <v>6.6930951425130463</v>
      </c>
      <c r="M7" s="9">
        <f>VLOOKUP($A7,'RES installed'!$A$2:$C$7,3,FALSE)*'[1]Profiles, RES, Spring'!M$7</f>
        <v>6.6208350060216778</v>
      </c>
      <c r="N7" s="9">
        <f>VLOOKUP($A7,'RES installed'!$A$2:$C$7,3,FALSE)*'[1]Profiles, RES, Spring'!N$7</f>
        <v>7.6053793657165798</v>
      </c>
      <c r="O7" s="9">
        <f>VLOOKUP($A7,'RES installed'!$A$2:$C$7,3,FALSE)*'[1]Profiles, RES, Spring'!O$7</f>
        <v>9.7009233239662773</v>
      </c>
      <c r="P7" s="9">
        <f>VLOOKUP($A7,'RES installed'!$A$2:$C$7,3,FALSE)*'[1]Profiles, RES, Spring'!P$7</f>
        <v>11.326776395022078</v>
      </c>
      <c r="Q7" s="9">
        <f>VLOOKUP($A7,'RES installed'!$A$2:$C$7,3,FALSE)*'[1]Profiles, RES, Spring'!Q$7</f>
        <v>12.762946607788036</v>
      </c>
      <c r="R7" s="9">
        <f>VLOOKUP($A7,'RES installed'!$A$2:$C$7,3,FALSE)*'[1]Profiles, RES, Spring'!R$7</f>
        <v>14.343637093536733</v>
      </c>
      <c r="S7" s="9">
        <f>VLOOKUP($A7,'RES installed'!$A$2:$C$7,3,FALSE)*'[1]Profiles, RES, Spring'!S$7</f>
        <v>14.930750702529105</v>
      </c>
      <c r="T7" s="9">
        <f>VLOOKUP($A7,'RES installed'!$A$2:$C$7,3,FALSE)*'[1]Profiles, RES, Spring'!T$7</f>
        <v>14.939783219590526</v>
      </c>
      <c r="U7" s="9">
        <f>VLOOKUP($A7,'RES installed'!$A$2:$C$7,3,FALSE)*'[1]Profiles, RES, Spring'!U$7</f>
        <v>13.35909273384183</v>
      </c>
      <c r="V7" s="9">
        <f>VLOOKUP($A7,'RES installed'!$A$2:$C$7,3,FALSE)*'[1]Profiles, RES, Spring'!V$7</f>
        <v>12.753914090726616</v>
      </c>
      <c r="W7" s="9">
        <f>VLOOKUP($A7,'RES installed'!$A$2:$C$7,3,FALSE)*'[1]Profiles, RES, Spring'!W$7</f>
        <v>12.681653954235246</v>
      </c>
      <c r="X7" s="9">
        <f>VLOOKUP($A7,'RES installed'!$A$2:$C$7,3,FALSE)*'[1]Profiles, RES, Spring'!X$7</f>
        <v>12.889401846647933</v>
      </c>
      <c r="Y7" s="9">
        <f>VLOOKUP($A7,'RES installed'!$A$2:$C$7,3,FALSE)*'[1]Profiles, RES, Spring'!Y$7</f>
        <v>13.91910879164994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0.82448824867323733</v>
      </c>
      <c r="H8" s="6">
        <f>VLOOKUP($A8,'RES installed'!$A$2:$C$7,3,FALSE)*'[1]Profiles, RES, Spring'!H$4</f>
        <v>7.9037149355572396</v>
      </c>
      <c r="I8" s="6">
        <f>VLOOKUP($A8,'RES installed'!$A$2:$C$7,3,FALSE)*'[1]Profiles, RES, Spring'!I$4</f>
        <v>21.948445792266867</v>
      </c>
      <c r="J8" s="6">
        <f>VLOOKUP($A8,'RES installed'!$A$2:$C$7,3,FALSE)*'[1]Profiles, RES, Spring'!J$4</f>
        <v>35.225549658832449</v>
      </c>
      <c r="K8" s="6">
        <f>VLOOKUP($A8,'RES installed'!$A$2:$C$7,3,FALSE)*'[1]Profiles, RES, Spring'!K$4</f>
        <v>41.764594389689158</v>
      </c>
      <c r="L8" s="6">
        <f>VLOOKUP($A8,'RES installed'!$A$2:$C$7,3,FALSE)*'[1]Profiles, RES, Spring'!L$4</f>
        <v>46.171341925701284</v>
      </c>
      <c r="M8" s="6">
        <f>VLOOKUP($A8,'RES installed'!$A$2:$C$7,3,FALSE)*'[1]Profiles, RES, Spring'!M$4</f>
        <v>51.345716451857463</v>
      </c>
      <c r="N8" s="6">
        <f>VLOOKUP($A8,'RES installed'!$A$2:$C$7,3,FALSE)*'[1]Profiles, RES, Spring'!N$4</f>
        <v>50.123199393479908</v>
      </c>
      <c r="O8" s="6">
        <f>VLOOKUP($A8,'RES installed'!$A$2:$C$7,3,FALSE)*'[1]Profiles, RES, Spring'!O$4</f>
        <v>49.867323730098562</v>
      </c>
      <c r="P8" s="6">
        <f>VLOOKUP($A8,'RES installed'!$A$2:$C$7,3,FALSE)*'[1]Profiles, RES, Spring'!P$4</f>
        <v>50.208491281273687</v>
      </c>
      <c r="Q8" s="6">
        <f>VLOOKUP($A8,'RES installed'!$A$2:$C$7,3,FALSE)*'[1]Profiles, RES, Spring'!Q$4</f>
        <v>46.39878695981804</v>
      </c>
      <c r="R8" s="6">
        <f>VLOOKUP($A8,'RES installed'!$A$2:$C$7,3,FALSE)*'[1]Profiles, RES, Spring'!R$4</f>
        <v>37.727445034116755</v>
      </c>
      <c r="S8" s="6">
        <f>VLOOKUP($A8,'RES installed'!$A$2:$C$7,3,FALSE)*'[1]Profiles, RES, Spring'!S$4</f>
        <v>24.73464746019712</v>
      </c>
      <c r="T8" s="6">
        <f>VLOOKUP($A8,'RES installed'!$A$2:$C$7,3,FALSE)*'[1]Profiles, RES, Spring'!T$4</f>
        <v>8.7850644427596674</v>
      </c>
      <c r="U8" s="6">
        <f>VLOOKUP($A8,'RES installed'!$A$2:$C$7,3,FALSE)*'[1]Profiles, RES, Spring'!U$4</f>
        <v>0.90978013646702049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0.65959059893858984</v>
      </c>
      <c r="H10" s="6">
        <f>VLOOKUP($A10,'RES installed'!$A$2:$C$7,3,FALSE)*'[1]Profiles, RES, Spring'!H$4</f>
        <v>6.322971948445792</v>
      </c>
      <c r="I10" s="6">
        <f>VLOOKUP($A10,'RES installed'!$A$2:$C$7,3,FALSE)*'[1]Profiles, RES, Spring'!I$4</f>
        <v>17.558756633813495</v>
      </c>
      <c r="J10" s="6">
        <f>VLOOKUP($A10,'RES installed'!$A$2:$C$7,3,FALSE)*'[1]Profiles, RES, Spring'!J$4</f>
        <v>28.180439727065959</v>
      </c>
      <c r="K10" s="6">
        <f>VLOOKUP($A10,'RES installed'!$A$2:$C$7,3,FALSE)*'[1]Profiles, RES, Spring'!K$4</f>
        <v>33.411675511751326</v>
      </c>
      <c r="L10" s="6">
        <f>VLOOKUP($A10,'RES installed'!$A$2:$C$7,3,FALSE)*'[1]Profiles, RES, Spring'!L$4</f>
        <v>36.93707354056103</v>
      </c>
      <c r="M10" s="6">
        <f>VLOOKUP($A10,'RES installed'!$A$2:$C$7,3,FALSE)*'[1]Profiles, RES, Spring'!M$4</f>
        <v>41.076573161485975</v>
      </c>
      <c r="N10" s="6">
        <f>VLOOKUP($A10,'RES installed'!$A$2:$C$7,3,FALSE)*'[1]Profiles, RES, Spring'!N$4</f>
        <v>40.098559514783922</v>
      </c>
      <c r="O10" s="6">
        <f>VLOOKUP($A10,'RES installed'!$A$2:$C$7,3,FALSE)*'[1]Profiles, RES, Spring'!O$4</f>
        <v>39.893858984078847</v>
      </c>
      <c r="P10" s="6">
        <f>VLOOKUP($A10,'RES installed'!$A$2:$C$7,3,FALSE)*'[1]Profiles, RES, Spring'!P$4</f>
        <v>40.166793025018954</v>
      </c>
      <c r="Q10" s="6">
        <f>VLOOKUP($A10,'RES installed'!$A$2:$C$7,3,FALSE)*'[1]Profiles, RES, Spring'!Q$4</f>
        <v>37.119029567854433</v>
      </c>
      <c r="R10" s="6">
        <f>VLOOKUP($A10,'RES installed'!$A$2:$C$7,3,FALSE)*'[1]Profiles, RES, Spring'!R$4</f>
        <v>30.181956027293403</v>
      </c>
      <c r="S10" s="6">
        <f>VLOOKUP($A10,'RES installed'!$A$2:$C$7,3,FALSE)*'[1]Profiles, RES, Spring'!S$4</f>
        <v>19.787717968157697</v>
      </c>
      <c r="T10" s="6">
        <f>VLOOKUP($A10,'RES installed'!$A$2:$C$7,3,FALSE)*'[1]Profiles, RES, Spring'!T$4</f>
        <v>7.0280515542077335</v>
      </c>
      <c r="U10" s="6">
        <f>VLOOKUP($A10,'RES installed'!$A$2:$C$7,3,FALSE)*'[1]Profiles, RES, Spring'!U$4</f>
        <v>0.7278241091736164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504A-A722-4235-A916-8500BF5DCFD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B266-9AF9-4D1C-8001-16512D48BE2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446D-A4B7-4C21-9AB7-EEB0420E813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F037-2461-4625-B59F-B0FEB5F9D2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B5D3-9FFF-47C8-A462-6DD6471A166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0660-12AF-4198-BF2A-456BAD655B2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CBB4-4605-4586-A136-29D57872046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7C91-FD0F-41E9-AAF2-509FDA62714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D011-67AD-4857-A72E-FFBE2D347BC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B815-0429-42A9-92EF-4B1286E2BDE5}">
  <dimension ref="A1:Y10"/>
  <sheetViews>
    <sheetView topLeftCell="G1" workbookViewId="0">
      <selection activeCell="J27" sqref="J2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41.669359311492869</v>
      </c>
      <c r="C2" s="2">
        <f>('[1]Pc, Summer, S1'!C2*Main!$B$5)+(_xlfn.IFNA(VLOOKUP($A2,'FL Ratio'!$A$3:$B$10,2,FALSE),0)*'FL Characterization'!C$2)</f>
        <v>37.858477668573428</v>
      </c>
      <c r="D2" s="2">
        <f>('[1]Pc, Summer, S1'!D2*Main!$B$5)+(_xlfn.IFNA(VLOOKUP($A2,'FL Ratio'!$A$3:$B$10,2,FALSE),0)*'FL Characterization'!D$2)</f>
        <v>37.197188457732125</v>
      </c>
      <c r="E2" s="2">
        <f>('[1]Pc, Summer, S1'!E2*Main!$B$5)+(_xlfn.IFNA(VLOOKUP($A2,'FL Ratio'!$A$3:$B$10,2,FALSE),0)*'FL Characterization'!E$2)</f>
        <v>37.102165857393977</v>
      </c>
      <c r="F2" s="2">
        <f>('[1]Pc, Summer, S1'!F2*Main!$B$5)+(_xlfn.IFNA(VLOOKUP($A2,'FL Ratio'!$A$3:$B$10,2,FALSE),0)*'FL Characterization'!F$2)</f>
        <v>37.105090996245188</v>
      </c>
      <c r="G2" s="2">
        <f>('[1]Pc, Summer, S1'!G2*Main!$B$5)+(_xlfn.IFNA(VLOOKUP($A2,'FL Ratio'!$A$3:$B$10,2,FALSE),0)*'FL Characterization'!G$2)</f>
        <v>36.776944413347017</v>
      </c>
      <c r="H2" s="2">
        <f>('[1]Pc, Summer, S1'!H2*Main!$B$5)+(_xlfn.IFNA(VLOOKUP($A2,'FL Ratio'!$A$3:$B$10,2,FALSE),0)*'FL Characterization'!H$2)</f>
        <v>39.70399445718887</v>
      </c>
      <c r="I2" s="2">
        <f>('[1]Pc, Summer, S1'!I2*Main!$B$5)+(_xlfn.IFNA(VLOOKUP($A2,'FL Ratio'!$A$3:$B$10,2,FALSE),0)*'FL Characterization'!I$2)</f>
        <v>47.13834142109517</v>
      </c>
      <c r="J2" s="2">
        <f>('[1]Pc, Summer, S1'!J2*Main!$B$5)+(_xlfn.IFNA(VLOOKUP($A2,'FL Ratio'!$A$3:$B$10,2,FALSE),0)*'FL Characterization'!J$2)</f>
        <v>53.724305583576026</v>
      </c>
      <c r="K2" s="2">
        <f>('[1]Pc, Summer, S1'!K2*Main!$B$5)+(_xlfn.IFNA(VLOOKUP($A2,'FL Ratio'!$A$3:$B$10,2,FALSE),0)*'FL Characterization'!K$2)</f>
        <v>55.375148691848317</v>
      </c>
      <c r="L2" s="2">
        <f>('[1]Pc, Summer, S1'!L2*Main!$B$5)+(_xlfn.IFNA(VLOOKUP($A2,'FL Ratio'!$A$3:$B$10,2,FALSE),0)*'FL Characterization'!L$2)</f>
        <v>54.814766960092904</v>
      </c>
      <c r="M2" s="2">
        <f>('[1]Pc, Summer, S1'!M2*Main!$B$5)+(_xlfn.IFNA(VLOOKUP($A2,'FL Ratio'!$A$3:$B$10,2,FALSE),0)*'FL Characterization'!M$2)</f>
        <v>56.364852256682802</v>
      </c>
      <c r="N2" s="2">
        <f>('[1]Pc, Summer, S1'!N2*Main!$B$5)+(_xlfn.IFNA(VLOOKUP($A2,'FL Ratio'!$A$3:$B$10,2,FALSE),0)*'FL Characterization'!N$2)</f>
        <v>57.138059183936171</v>
      </c>
      <c r="O2" s="2">
        <f>('[1]Pc, Summer, S1'!O2*Main!$B$5)+(_xlfn.IFNA(VLOOKUP($A2,'FL Ratio'!$A$3:$B$10,2,FALSE),0)*'FL Characterization'!O$2)</f>
        <v>56.081112133329718</v>
      </c>
      <c r="P2" s="2">
        <f>('[1]Pc, Summer, S1'!P2*Main!$B$5)+(_xlfn.IFNA(VLOOKUP($A2,'FL Ratio'!$A$3:$B$10,2,FALSE),0)*'FL Characterization'!P$2)</f>
        <v>53.889730971458732</v>
      </c>
      <c r="Q2" s="2">
        <f>('[1]Pc, Summer, S1'!Q2*Main!$B$5)+(_xlfn.IFNA(VLOOKUP($A2,'FL Ratio'!$A$3:$B$10,2,FALSE),0)*'FL Characterization'!Q$2)</f>
        <v>51.720762271059449</v>
      </c>
      <c r="R2" s="2">
        <f>('[1]Pc, Summer, S1'!R2*Main!$B$5)+(_xlfn.IFNA(VLOOKUP($A2,'FL Ratio'!$A$3:$B$10,2,FALSE),0)*'FL Characterization'!R$2)</f>
        <v>52.623120066250507</v>
      </c>
      <c r="S2" s="2">
        <f>('[1]Pc, Summer, S1'!S2*Main!$B$5)+(_xlfn.IFNA(VLOOKUP($A2,'FL Ratio'!$A$3:$B$10,2,FALSE),0)*'FL Characterization'!S$2)</f>
        <v>53.143023347135134</v>
      </c>
      <c r="T2" s="2">
        <f>('[1]Pc, Summer, S1'!T2*Main!$B$5)+(_xlfn.IFNA(VLOOKUP($A2,'FL Ratio'!$A$3:$B$10,2,FALSE),0)*'FL Characterization'!T$2)</f>
        <v>53.368595739624638</v>
      </c>
      <c r="U2" s="2">
        <f>('[1]Pc, Summer, S1'!U2*Main!$B$5)+(_xlfn.IFNA(VLOOKUP($A2,'FL Ratio'!$A$3:$B$10,2,FALSE),0)*'FL Characterization'!U$2)</f>
        <v>52.485100126199093</v>
      </c>
      <c r="V2" s="2">
        <f>('[1]Pc, Summer, S1'!V2*Main!$B$5)+(_xlfn.IFNA(VLOOKUP($A2,'FL Ratio'!$A$3:$B$10,2,FALSE),0)*'FL Characterization'!V$2)</f>
        <v>52.642794732019389</v>
      </c>
      <c r="W2" s="2">
        <f>('[1]Pc, Summer, S1'!W2*Main!$B$5)+(_xlfn.IFNA(VLOOKUP($A2,'FL Ratio'!$A$3:$B$10,2,FALSE),0)*'FL Characterization'!W$2)</f>
        <v>54.823152418274717</v>
      </c>
      <c r="X2" s="2">
        <f>('[1]Pc, Summer, S1'!X2*Main!$B$5)+(_xlfn.IFNA(VLOOKUP($A2,'FL Ratio'!$A$3:$B$10,2,FALSE),0)*'FL Characterization'!X$2)</f>
        <v>51.101813695364434</v>
      </c>
      <c r="Y2" s="2">
        <f>('[1]Pc, Summer, S1'!Y2*Main!$B$5)+(_xlfn.IFNA(VLOOKUP($A2,'FL Ratio'!$A$3:$B$10,2,FALSE),0)*'FL Characterization'!Y$2)</f>
        <v>46.844747675889749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45.214310698035533</v>
      </c>
      <c r="C3" s="2">
        <f>('[1]Pc, Summer, S1'!C3*Main!$B$5)+(_xlfn.IFNA(VLOOKUP($A3,'FL Ratio'!$A$3:$B$10,2,FALSE),0)*'FL Characterization'!C$2)</f>
        <v>41.533066836422819</v>
      </c>
      <c r="D3" s="2">
        <f>('[1]Pc, Summer, S1'!D3*Main!$B$5)+(_xlfn.IFNA(VLOOKUP($A3,'FL Ratio'!$A$3:$B$10,2,FALSE),0)*'FL Characterization'!D$2)</f>
        <v>39.329823489077114</v>
      </c>
      <c r="E3" s="2">
        <f>('[1]Pc, Summer, S1'!E3*Main!$B$5)+(_xlfn.IFNA(VLOOKUP($A3,'FL Ratio'!$A$3:$B$10,2,FALSE),0)*'FL Characterization'!E$2)</f>
        <v>37.884308623640038</v>
      </c>
      <c r="F3" s="2">
        <f>('[1]Pc, Summer, S1'!F3*Main!$B$5)+(_xlfn.IFNA(VLOOKUP($A3,'FL Ratio'!$A$3:$B$10,2,FALSE),0)*'FL Characterization'!F$2)</f>
        <v>37.414522203668454</v>
      </c>
      <c r="G3" s="2">
        <f>('[1]Pc, Summer, S1'!G3*Main!$B$5)+(_xlfn.IFNA(VLOOKUP($A3,'FL Ratio'!$A$3:$B$10,2,FALSE),0)*'FL Characterization'!G$2)</f>
        <v>39.640716809484154</v>
      </c>
      <c r="H3" s="2">
        <f>('[1]Pc, Summer, S1'!H3*Main!$B$5)+(_xlfn.IFNA(VLOOKUP($A3,'FL Ratio'!$A$3:$B$10,2,FALSE),0)*'FL Characterization'!H$2)</f>
        <v>49.614317953926466</v>
      </c>
      <c r="I3" s="2">
        <f>('[1]Pc, Summer, S1'!I3*Main!$B$5)+(_xlfn.IFNA(VLOOKUP($A3,'FL Ratio'!$A$3:$B$10,2,FALSE),0)*'FL Characterization'!I$2)</f>
        <v>58.717241470312551</v>
      </c>
      <c r="J3" s="2">
        <f>('[1]Pc, Summer, S1'!J3*Main!$B$5)+(_xlfn.IFNA(VLOOKUP($A3,'FL Ratio'!$A$3:$B$10,2,FALSE),0)*'FL Characterization'!J$2)</f>
        <v>61.219330127365872</v>
      </c>
      <c r="K3" s="2">
        <f>('[1]Pc, Summer, S1'!K3*Main!$B$5)+(_xlfn.IFNA(VLOOKUP($A3,'FL Ratio'!$A$3:$B$10,2,FALSE),0)*'FL Characterization'!K$2)</f>
        <v>60.099718365949677</v>
      </c>
      <c r="L3" s="2">
        <f>('[1]Pc, Summer, S1'!L3*Main!$B$5)+(_xlfn.IFNA(VLOOKUP($A3,'FL Ratio'!$A$3:$B$10,2,FALSE),0)*'FL Characterization'!L$2)</f>
        <v>59.869071791488395</v>
      </c>
      <c r="M3" s="2">
        <f>('[1]Pc, Summer, S1'!M3*Main!$B$5)+(_xlfn.IFNA(VLOOKUP($A3,'FL Ratio'!$A$3:$B$10,2,FALSE),0)*'FL Characterization'!M$2)</f>
        <v>63.848959943432156</v>
      </c>
      <c r="N3" s="2">
        <f>('[1]Pc, Summer, S1'!N3*Main!$B$5)+(_xlfn.IFNA(VLOOKUP($A3,'FL Ratio'!$A$3:$B$10,2,FALSE),0)*'FL Characterization'!N$2)</f>
        <v>64.063836586242573</v>
      </c>
      <c r="O3" s="2">
        <f>('[1]Pc, Summer, S1'!O3*Main!$B$5)+(_xlfn.IFNA(VLOOKUP($A3,'FL Ratio'!$A$3:$B$10,2,FALSE),0)*'FL Characterization'!O$2)</f>
        <v>64.550022121490372</v>
      </c>
      <c r="P3" s="2">
        <f>('[1]Pc, Summer, S1'!P3*Main!$B$5)+(_xlfn.IFNA(VLOOKUP($A3,'FL Ratio'!$A$3:$B$10,2,FALSE),0)*'FL Characterization'!P$2)</f>
        <v>61.435673012631852</v>
      </c>
      <c r="Q3" s="2">
        <f>('[1]Pc, Summer, S1'!Q3*Main!$B$5)+(_xlfn.IFNA(VLOOKUP($A3,'FL Ratio'!$A$3:$B$10,2,FALSE),0)*'FL Characterization'!Q$2)</f>
        <v>58.203053423423562</v>
      </c>
      <c r="R3" s="2">
        <f>('[1]Pc, Summer, S1'!R3*Main!$B$5)+(_xlfn.IFNA(VLOOKUP($A3,'FL Ratio'!$A$3:$B$10,2,FALSE),0)*'FL Characterization'!R$2)</f>
        <v>53.805717400538697</v>
      </c>
      <c r="S3" s="2">
        <f>('[1]Pc, Summer, S1'!S3*Main!$B$5)+(_xlfn.IFNA(VLOOKUP($A3,'FL Ratio'!$A$3:$B$10,2,FALSE),0)*'FL Characterization'!S$2)</f>
        <v>54.454688271248934</v>
      </c>
      <c r="T3" s="2">
        <f>('[1]Pc, Summer, S1'!T3*Main!$B$5)+(_xlfn.IFNA(VLOOKUP($A3,'FL Ratio'!$A$3:$B$10,2,FALSE),0)*'FL Characterization'!T$2)</f>
        <v>53.927987274730484</v>
      </c>
      <c r="U3" s="2">
        <f>('[1]Pc, Summer, S1'!U3*Main!$B$5)+(_xlfn.IFNA(VLOOKUP($A3,'FL Ratio'!$A$3:$B$10,2,FALSE),0)*'FL Characterization'!U$2)</f>
        <v>53.70587572812174</v>
      </c>
      <c r="V3" s="2">
        <f>('[1]Pc, Summer, S1'!V3*Main!$B$5)+(_xlfn.IFNA(VLOOKUP($A3,'FL Ratio'!$A$3:$B$10,2,FALSE),0)*'FL Characterization'!V$2)</f>
        <v>53.978631601318796</v>
      </c>
      <c r="W3" s="2">
        <f>('[1]Pc, Summer, S1'!W3*Main!$B$5)+(_xlfn.IFNA(VLOOKUP($A3,'FL Ratio'!$A$3:$B$10,2,FALSE),0)*'FL Characterization'!W$2)</f>
        <v>53.673559824489196</v>
      </c>
      <c r="X3" s="2">
        <f>('[1]Pc, Summer, S1'!X3*Main!$B$5)+(_xlfn.IFNA(VLOOKUP($A3,'FL Ratio'!$A$3:$B$10,2,FALSE),0)*'FL Characterization'!X$2)</f>
        <v>53.521805798372391</v>
      </c>
      <c r="Y3" s="2">
        <f>('[1]Pc, Summer, S1'!Y3*Main!$B$5)+(_xlfn.IFNA(VLOOKUP($A3,'FL Ratio'!$A$3:$B$10,2,FALSE),0)*'FL Characterization'!Y$2)</f>
        <v>50.6860964543677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59.931883397016236</v>
      </c>
      <c r="C4" s="2">
        <f>('[1]Pc, Summer, S1'!C4*Main!$B$5)+(_xlfn.IFNA(VLOOKUP($A4,'FL Ratio'!$A$3:$B$10,2,FALSE),0)*'FL Characterization'!C$2)</f>
        <v>53.211851132875104</v>
      </c>
      <c r="D4" s="2">
        <f>('[1]Pc, Summer, S1'!D4*Main!$B$5)+(_xlfn.IFNA(VLOOKUP($A4,'FL Ratio'!$A$3:$B$10,2,FALSE),0)*'FL Characterization'!D$2)</f>
        <v>50.163851743721764</v>
      </c>
      <c r="E4" s="2">
        <f>('[1]Pc, Summer, S1'!E4*Main!$B$5)+(_xlfn.IFNA(VLOOKUP($A4,'FL Ratio'!$A$3:$B$10,2,FALSE),0)*'FL Characterization'!E$2)</f>
        <v>48.516826938720435</v>
      </c>
      <c r="F4" s="2">
        <f>('[1]Pc, Summer, S1'!F4*Main!$B$5)+(_xlfn.IFNA(VLOOKUP($A4,'FL Ratio'!$A$3:$B$10,2,FALSE),0)*'FL Characterization'!F$2)</f>
        <v>50.806363690140692</v>
      </c>
      <c r="G4" s="2">
        <f>('[1]Pc, Summer, S1'!G4*Main!$B$5)+(_xlfn.IFNA(VLOOKUP($A4,'FL Ratio'!$A$3:$B$10,2,FALSE),0)*'FL Characterization'!G$2)</f>
        <v>46.392223140286646</v>
      </c>
      <c r="H4" s="2">
        <f>('[1]Pc, Summer, S1'!H4*Main!$B$5)+(_xlfn.IFNA(VLOOKUP($A4,'FL Ratio'!$A$3:$B$10,2,FALSE),0)*'FL Characterization'!H$2)</f>
        <v>54.500184303922701</v>
      </c>
      <c r="I4" s="2">
        <f>('[1]Pc, Summer, S1'!I4*Main!$B$5)+(_xlfn.IFNA(VLOOKUP($A4,'FL Ratio'!$A$3:$B$10,2,FALSE),0)*'FL Characterization'!I$2)</f>
        <v>61.075388915428569</v>
      </c>
      <c r="J4" s="2">
        <f>('[1]Pc, Summer, S1'!J4*Main!$B$5)+(_xlfn.IFNA(VLOOKUP($A4,'FL Ratio'!$A$3:$B$10,2,FALSE),0)*'FL Characterization'!J$2)</f>
        <v>68.710651708244797</v>
      </c>
      <c r="K4" s="2">
        <f>('[1]Pc, Summer, S1'!K4*Main!$B$5)+(_xlfn.IFNA(VLOOKUP($A4,'FL Ratio'!$A$3:$B$10,2,FALSE),0)*'FL Characterization'!K$2)</f>
        <v>73.87466790282366</v>
      </c>
      <c r="L4" s="2">
        <f>('[1]Pc, Summer, S1'!L4*Main!$B$5)+(_xlfn.IFNA(VLOOKUP($A4,'FL Ratio'!$A$3:$B$10,2,FALSE),0)*'FL Characterization'!L$2)</f>
        <v>76.020728982768659</v>
      </c>
      <c r="M4" s="2">
        <f>('[1]Pc, Summer, S1'!M4*Main!$B$5)+(_xlfn.IFNA(VLOOKUP($A4,'FL Ratio'!$A$3:$B$10,2,FALSE),0)*'FL Characterization'!M$2)</f>
        <v>77.291629812217963</v>
      </c>
      <c r="N4" s="2">
        <f>('[1]Pc, Summer, S1'!N4*Main!$B$5)+(_xlfn.IFNA(VLOOKUP($A4,'FL Ratio'!$A$3:$B$10,2,FALSE),0)*'FL Characterization'!N$2)</f>
        <v>79.017027854987731</v>
      </c>
      <c r="O4" s="2">
        <f>('[1]Pc, Summer, S1'!O4*Main!$B$5)+(_xlfn.IFNA(VLOOKUP($A4,'FL Ratio'!$A$3:$B$10,2,FALSE),0)*'FL Characterization'!O$2)</f>
        <v>80.145665121959084</v>
      </c>
      <c r="P4" s="2">
        <f>('[1]Pc, Summer, S1'!P4*Main!$B$5)+(_xlfn.IFNA(VLOOKUP($A4,'FL Ratio'!$A$3:$B$10,2,FALSE),0)*'FL Characterization'!P$2)</f>
        <v>80.492848448822883</v>
      </c>
      <c r="Q4" s="2">
        <f>('[1]Pc, Summer, S1'!Q4*Main!$B$5)+(_xlfn.IFNA(VLOOKUP($A4,'FL Ratio'!$A$3:$B$10,2,FALSE),0)*'FL Characterization'!Q$2)</f>
        <v>77.482288622610966</v>
      </c>
      <c r="R4" s="2">
        <f>('[1]Pc, Summer, S1'!R4*Main!$B$5)+(_xlfn.IFNA(VLOOKUP($A4,'FL Ratio'!$A$3:$B$10,2,FALSE),0)*'FL Characterization'!R$2)</f>
        <v>77.030708709137556</v>
      </c>
      <c r="S4" s="2">
        <f>('[1]Pc, Summer, S1'!S4*Main!$B$5)+(_xlfn.IFNA(VLOOKUP($A4,'FL Ratio'!$A$3:$B$10,2,FALSE),0)*'FL Characterization'!S$2)</f>
        <v>74.700858069351497</v>
      </c>
      <c r="T4" s="2">
        <f>('[1]Pc, Summer, S1'!T4*Main!$B$5)+(_xlfn.IFNA(VLOOKUP($A4,'FL Ratio'!$A$3:$B$10,2,FALSE),0)*'FL Characterization'!T$2)</f>
        <v>74.560493137204162</v>
      </c>
      <c r="U4" s="2">
        <f>('[1]Pc, Summer, S1'!U4*Main!$B$5)+(_xlfn.IFNA(VLOOKUP($A4,'FL Ratio'!$A$3:$B$10,2,FALSE),0)*'FL Characterization'!U$2)</f>
        <v>74.945246410491492</v>
      </c>
      <c r="V4" s="2">
        <f>('[1]Pc, Summer, S1'!V4*Main!$B$5)+(_xlfn.IFNA(VLOOKUP($A4,'FL Ratio'!$A$3:$B$10,2,FALSE),0)*'FL Characterization'!V$2)</f>
        <v>74.606260410362026</v>
      </c>
      <c r="W4" s="2">
        <f>('[1]Pc, Summer, S1'!W4*Main!$B$5)+(_xlfn.IFNA(VLOOKUP($A4,'FL Ratio'!$A$3:$B$10,2,FALSE),0)*'FL Characterization'!W$2)</f>
        <v>76.94704326940888</v>
      </c>
      <c r="X4" s="2">
        <f>('[1]Pc, Summer, S1'!X4*Main!$B$5)+(_xlfn.IFNA(VLOOKUP($A4,'FL Ratio'!$A$3:$B$10,2,FALSE),0)*'FL Characterization'!X$2)</f>
        <v>76.949218270128753</v>
      </c>
      <c r="Y4" s="2">
        <f>('[1]Pc, Summer, S1'!Y4*Main!$B$5)+(_xlfn.IFNA(VLOOKUP($A4,'FL Ratio'!$A$3:$B$10,2,FALSE),0)*'FL Characterization'!Y$2)</f>
        <v>69.474484792148786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41.669359311492869</v>
      </c>
      <c r="C2" s="2">
        <f>('[1]Pc, Summer, S1'!C2*Main!$B$5)+(_xlfn.IFNA(VLOOKUP($A2,'FL Ratio'!$A$3:$B$10,2,FALSE),0)*'FL Characterization'!C$2)</f>
        <v>37.858477668573428</v>
      </c>
      <c r="D2" s="2">
        <f>('[1]Pc, Summer, S1'!D2*Main!$B$5)+(_xlfn.IFNA(VLOOKUP($A2,'FL Ratio'!$A$3:$B$10,2,FALSE),0)*'FL Characterization'!D$2)</f>
        <v>37.197188457732125</v>
      </c>
      <c r="E2" s="2">
        <f>('[1]Pc, Summer, S1'!E2*Main!$B$5)+(_xlfn.IFNA(VLOOKUP($A2,'FL Ratio'!$A$3:$B$10,2,FALSE),0)*'FL Characterization'!E$2)</f>
        <v>37.102165857393977</v>
      </c>
      <c r="F2" s="2">
        <f>('[1]Pc, Summer, S1'!F2*Main!$B$5)+(_xlfn.IFNA(VLOOKUP($A2,'FL Ratio'!$A$3:$B$10,2,FALSE),0)*'FL Characterization'!F$2)</f>
        <v>37.105090996245188</v>
      </c>
      <c r="G2" s="2">
        <f>('[1]Pc, Summer, S1'!G2*Main!$B$5)+(_xlfn.IFNA(VLOOKUP($A2,'FL Ratio'!$A$3:$B$10,2,FALSE),0)*'FL Characterization'!G$2)</f>
        <v>36.776944413347017</v>
      </c>
      <c r="H2" s="2">
        <f>('[1]Pc, Summer, S1'!H2*Main!$B$5)+(_xlfn.IFNA(VLOOKUP($A2,'FL Ratio'!$A$3:$B$10,2,FALSE),0)*'FL Characterization'!H$2)</f>
        <v>39.70399445718887</v>
      </c>
      <c r="I2" s="2">
        <f>('[1]Pc, Summer, S1'!I2*Main!$B$5)+(_xlfn.IFNA(VLOOKUP($A2,'FL Ratio'!$A$3:$B$10,2,FALSE),0)*'FL Characterization'!I$2)</f>
        <v>47.13834142109517</v>
      </c>
      <c r="J2" s="2">
        <f>('[1]Pc, Summer, S1'!J2*Main!$B$5)+(_xlfn.IFNA(VLOOKUP($A2,'FL Ratio'!$A$3:$B$10,2,FALSE),0)*'FL Characterization'!J$2)</f>
        <v>53.724305583576026</v>
      </c>
      <c r="K2" s="2">
        <f>('[1]Pc, Summer, S1'!K2*Main!$B$5)+(_xlfn.IFNA(VLOOKUP($A2,'FL Ratio'!$A$3:$B$10,2,FALSE),0)*'FL Characterization'!K$2)</f>
        <v>55.375148691848317</v>
      </c>
      <c r="L2" s="2">
        <f>('[1]Pc, Summer, S1'!L2*Main!$B$5)+(_xlfn.IFNA(VLOOKUP($A2,'FL Ratio'!$A$3:$B$10,2,FALSE),0)*'FL Characterization'!L$2)</f>
        <v>54.814766960092904</v>
      </c>
      <c r="M2" s="2">
        <f>('[1]Pc, Summer, S1'!M2*Main!$B$5)+(_xlfn.IFNA(VLOOKUP($A2,'FL Ratio'!$A$3:$B$10,2,FALSE),0)*'FL Characterization'!M$2)</f>
        <v>56.364852256682802</v>
      </c>
      <c r="N2" s="2">
        <f>('[1]Pc, Summer, S1'!N2*Main!$B$5)+(_xlfn.IFNA(VLOOKUP($A2,'FL Ratio'!$A$3:$B$10,2,FALSE),0)*'FL Characterization'!N$2)</f>
        <v>57.138059183936171</v>
      </c>
      <c r="O2" s="2">
        <f>('[1]Pc, Summer, S1'!O2*Main!$B$5)+(_xlfn.IFNA(VLOOKUP($A2,'FL Ratio'!$A$3:$B$10,2,FALSE),0)*'FL Characterization'!O$2)</f>
        <v>56.081112133329718</v>
      </c>
      <c r="P2" s="2">
        <f>('[1]Pc, Summer, S1'!P2*Main!$B$5)+(_xlfn.IFNA(VLOOKUP($A2,'FL Ratio'!$A$3:$B$10,2,FALSE),0)*'FL Characterization'!P$2)</f>
        <v>53.889730971458732</v>
      </c>
      <c r="Q2" s="2">
        <f>('[1]Pc, Summer, S1'!Q2*Main!$B$5)+(_xlfn.IFNA(VLOOKUP($A2,'FL Ratio'!$A$3:$B$10,2,FALSE),0)*'FL Characterization'!Q$2)</f>
        <v>51.720762271059449</v>
      </c>
      <c r="R2" s="2">
        <f>('[1]Pc, Summer, S1'!R2*Main!$B$5)+(_xlfn.IFNA(VLOOKUP($A2,'FL Ratio'!$A$3:$B$10,2,FALSE),0)*'FL Characterization'!R$2)</f>
        <v>52.623120066250507</v>
      </c>
      <c r="S2" s="2">
        <f>('[1]Pc, Summer, S1'!S2*Main!$B$5)+(_xlfn.IFNA(VLOOKUP($A2,'FL Ratio'!$A$3:$B$10,2,FALSE),0)*'FL Characterization'!S$2)</f>
        <v>53.143023347135134</v>
      </c>
      <c r="T2" s="2">
        <f>('[1]Pc, Summer, S1'!T2*Main!$B$5)+(_xlfn.IFNA(VLOOKUP($A2,'FL Ratio'!$A$3:$B$10,2,FALSE),0)*'FL Characterization'!T$2)</f>
        <v>53.368595739624638</v>
      </c>
      <c r="U2" s="2">
        <f>('[1]Pc, Summer, S1'!U2*Main!$B$5)+(_xlfn.IFNA(VLOOKUP($A2,'FL Ratio'!$A$3:$B$10,2,FALSE),0)*'FL Characterization'!U$2)</f>
        <v>52.485100126199093</v>
      </c>
      <c r="V2" s="2">
        <f>('[1]Pc, Summer, S1'!V2*Main!$B$5)+(_xlfn.IFNA(VLOOKUP($A2,'FL Ratio'!$A$3:$B$10,2,FALSE),0)*'FL Characterization'!V$2)</f>
        <v>52.642794732019389</v>
      </c>
      <c r="W2" s="2">
        <f>('[1]Pc, Summer, S1'!W2*Main!$B$5)+(_xlfn.IFNA(VLOOKUP($A2,'FL Ratio'!$A$3:$B$10,2,FALSE),0)*'FL Characterization'!W$2)</f>
        <v>54.823152418274717</v>
      </c>
      <c r="X2" s="2">
        <f>('[1]Pc, Summer, S1'!X2*Main!$B$5)+(_xlfn.IFNA(VLOOKUP($A2,'FL Ratio'!$A$3:$B$10,2,FALSE),0)*'FL Characterization'!X$2)</f>
        <v>51.101813695364434</v>
      </c>
      <c r="Y2" s="2">
        <f>('[1]Pc, Summer, S1'!Y2*Main!$B$5)+(_xlfn.IFNA(VLOOKUP($A2,'FL Ratio'!$A$3:$B$10,2,FALSE),0)*'FL Characterization'!Y$2)</f>
        <v>46.844747675889749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45.214310698035533</v>
      </c>
      <c r="C3" s="2">
        <f>('[1]Pc, Summer, S1'!C3*Main!$B$5)+(_xlfn.IFNA(VLOOKUP($A3,'FL Ratio'!$A$3:$B$10,2,FALSE),0)*'FL Characterization'!C$2)</f>
        <v>41.533066836422819</v>
      </c>
      <c r="D3" s="2">
        <f>('[1]Pc, Summer, S1'!D3*Main!$B$5)+(_xlfn.IFNA(VLOOKUP($A3,'FL Ratio'!$A$3:$B$10,2,FALSE),0)*'FL Characterization'!D$2)</f>
        <v>39.329823489077114</v>
      </c>
      <c r="E3" s="2">
        <f>('[1]Pc, Summer, S1'!E3*Main!$B$5)+(_xlfn.IFNA(VLOOKUP($A3,'FL Ratio'!$A$3:$B$10,2,FALSE),0)*'FL Characterization'!E$2)</f>
        <v>37.884308623640038</v>
      </c>
      <c r="F3" s="2">
        <f>('[1]Pc, Summer, S1'!F3*Main!$B$5)+(_xlfn.IFNA(VLOOKUP($A3,'FL Ratio'!$A$3:$B$10,2,FALSE),0)*'FL Characterization'!F$2)</f>
        <v>37.414522203668454</v>
      </c>
      <c r="G3" s="2">
        <f>('[1]Pc, Summer, S1'!G3*Main!$B$5)+(_xlfn.IFNA(VLOOKUP($A3,'FL Ratio'!$A$3:$B$10,2,FALSE),0)*'FL Characterization'!G$2)</f>
        <v>39.640716809484154</v>
      </c>
      <c r="H3" s="2">
        <f>('[1]Pc, Summer, S1'!H3*Main!$B$5)+(_xlfn.IFNA(VLOOKUP($A3,'FL Ratio'!$A$3:$B$10,2,FALSE),0)*'FL Characterization'!H$2)</f>
        <v>49.614317953926466</v>
      </c>
      <c r="I3" s="2">
        <f>('[1]Pc, Summer, S1'!I3*Main!$B$5)+(_xlfn.IFNA(VLOOKUP($A3,'FL Ratio'!$A$3:$B$10,2,FALSE),0)*'FL Characterization'!I$2)</f>
        <v>58.717241470312551</v>
      </c>
      <c r="J3" s="2">
        <f>('[1]Pc, Summer, S1'!J3*Main!$B$5)+(_xlfn.IFNA(VLOOKUP($A3,'FL Ratio'!$A$3:$B$10,2,FALSE),0)*'FL Characterization'!J$2)</f>
        <v>61.219330127365872</v>
      </c>
      <c r="K3" s="2">
        <f>('[1]Pc, Summer, S1'!K3*Main!$B$5)+(_xlfn.IFNA(VLOOKUP($A3,'FL Ratio'!$A$3:$B$10,2,FALSE),0)*'FL Characterization'!K$2)</f>
        <v>60.099718365949677</v>
      </c>
      <c r="L3" s="2">
        <f>('[1]Pc, Summer, S1'!L3*Main!$B$5)+(_xlfn.IFNA(VLOOKUP($A3,'FL Ratio'!$A$3:$B$10,2,FALSE),0)*'FL Characterization'!L$2)</f>
        <v>59.869071791488395</v>
      </c>
      <c r="M3" s="2">
        <f>('[1]Pc, Summer, S1'!M3*Main!$B$5)+(_xlfn.IFNA(VLOOKUP($A3,'FL Ratio'!$A$3:$B$10,2,FALSE),0)*'FL Characterization'!M$2)</f>
        <v>63.848959943432156</v>
      </c>
      <c r="N3" s="2">
        <f>('[1]Pc, Summer, S1'!N3*Main!$B$5)+(_xlfn.IFNA(VLOOKUP($A3,'FL Ratio'!$A$3:$B$10,2,FALSE),0)*'FL Characterization'!N$2)</f>
        <v>64.063836586242573</v>
      </c>
      <c r="O3" s="2">
        <f>('[1]Pc, Summer, S1'!O3*Main!$B$5)+(_xlfn.IFNA(VLOOKUP($A3,'FL Ratio'!$A$3:$B$10,2,FALSE),0)*'FL Characterization'!O$2)</f>
        <v>64.550022121490372</v>
      </c>
      <c r="P3" s="2">
        <f>('[1]Pc, Summer, S1'!P3*Main!$B$5)+(_xlfn.IFNA(VLOOKUP($A3,'FL Ratio'!$A$3:$B$10,2,FALSE),0)*'FL Characterization'!P$2)</f>
        <v>61.435673012631852</v>
      </c>
      <c r="Q3" s="2">
        <f>('[1]Pc, Summer, S1'!Q3*Main!$B$5)+(_xlfn.IFNA(VLOOKUP($A3,'FL Ratio'!$A$3:$B$10,2,FALSE),0)*'FL Characterization'!Q$2)</f>
        <v>58.203053423423562</v>
      </c>
      <c r="R3" s="2">
        <f>('[1]Pc, Summer, S1'!R3*Main!$B$5)+(_xlfn.IFNA(VLOOKUP($A3,'FL Ratio'!$A$3:$B$10,2,FALSE),0)*'FL Characterization'!R$2)</f>
        <v>53.805717400538697</v>
      </c>
      <c r="S3" s="2">
        <f>('[1]Pc, Summer, S1'!S3*Main!$B$5)+(_xlfn.IFNA(VLOOKUP($A3,'FL Ratio'!$A$3:$B$10,2,FALSE),0)*'FL Characterization'!S$2)</f>
        <v>54.454688271248934</v>
      </c>
      <c r="T3" s="2">
        <f>('[1]Pc, Summer, S1'!T3*Main!$B$5)+(_xlfn.IFNA(VLOOKUP($A3,'FL Ratio'!$A$3:$B$10,2,FALSE),0)*'FL Characterization'!T$2)</f>
        <v>53.927987274730484</v>
      </c>
      <c r="U3" s="2">
        <f>('[1]Pc, Summer, S1'!U3*Main!$B$5)+(_xlfn.IFNA(VLOOKUP($A3,'FL Ratio'!$A$3:$B$10,2,FALSE),0)*'FL Characterization'!U$2)</f>
        <v>53.70587572812174</v>
      </c>
      <c r="V3" s="2">
        <f>('[1]Pc, Summer, S1'!V3*Main!$B$5)+(_xlfn.IFNA(VLOOKUP($A3,'FL Ratio'!$A$3:$B$10,2,FALSE),0)*'FL Characterization'!V$2)</f>
        <v>53.978631601318796</v>
      </c>
      <c r="W3" s="2">
        <f>('[1]Pc, Summer, S1'!W3*Main!$B$5)+(_xlfn.IFNA(VLOOKUP($A3,'FL Ratio'!$A$3:$B$10,2,FALSE),0)*'FL Characterization'!W$2)</f>
        <v>53.673559824489196</v>
      </c>
      <c r="X3" s="2">
        <f>('[1]Pc, Summer, S1'!X3*Main!$B$5)+(_xlfn.IFNA(VLOOKUP($A3,'FL Ratio'!$A$3:$B$10,2,FALSE),0)*'FL Characterization'!X$2)</f>
        <v>53.521805798372391</v>
      </c>
      <c r="Y3" s="2">
        <f>('[1]Pc, Summer, S1'!Y3*Main!$B$5)+(_xlfn.IFNA(VLOOKUP($A3,'FL Ratio'!$A$3:$B$10,2,FALSE),0)*'FL Characterization'!Y$2)</f>
        <v>50.6860964543677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59.931883397016236</v>
      </c>
      <c r="C4" s="2">
        <f>('[1]Pc, Summer, S1'!C4*Main!$B$5)+(_xlfn.IFNA(VLOOKUP($A4,'FL Ratio'!$A$3:$B$10,2,FALSE),0)*'FL Characterization'!C$2)</f>
        <v>53.211851132875104</v>
      </c>
      <c r="D4" s="2">
        <f>('[1]Pc, Summer, S1'!D4*Main!$B$5)+(_xlfn.IFNA(VLOOKUP($A4,'FL Ratio'!$A$3:$B$10,2,FALSE),0)*'FL Characterization'!D$2)</f>
        <v>50.163851743721764</v>
      </c>
      <c r="E4" s="2">
        <f>('[1]Pc, Summer, S1'!E4*Main!$B$5)+(_xlfn.IFNA(VLOOKUP($A4,'FL Ratio'!$A$3:$B$10,2,FALSE),0)*'FL Characterization'!E$2)</f>
        <v>48.516826938720435</v>
      </c>
      <c r="F4" s="2">
        <f>('[1]Pc, Summer, S1'!F4*Main!$B$5)+(_xlfn.IFNA(VLOOKUP($A4,'FL Ratio'!$A$3:$B$10,2,FALSE),0)*'FL Characterization'!F$2)</f>
        <v>50.806363690140692</v>
      </c>
      <c r="G4" s="2">
        <f>('[1]Pc, Summer, S1'!G4*Main!$B$5)+(_xlfn.IFNA(VLOOKUP($A4,'FL Ratio'!$A$3:$B$10,2,FALSE),0)*'FL Characterization'!G$2)</f>
        <v>46.392223140286646</v>
      </c>
      <c r="H4" s="2">
        <f>('[1]Pc, Summer, S1'!H4*Main!$B$5)+(_xlfn.IFNA(VLOOKUP($A4,'FL Ratio'!$A$3:$B$10,2,FALSE),0)*'FL Characterization'!H$2)</f>
        <v>54.500184303922701</v>
      </c>
      <c r="I4" s="2">
        <f>('[1]Pc, Summer, S1'!I4*Main!$B$5)+(_xlfn.IFNA(VLOOKUP($A4,'FL Ratio'!$A$3:$B$10,2,FALSE),0)*'FL Characterization'!I$2)</f>
        <v>61.075388915428569</v>
      </c>
      <c r="J4" s="2">
        <f>('[1]Pc, Summer, S1'!J4*Main!$B$5)+(_xlfn.IFNA(VLOOKUP($A4,'FL Ratio'!$A$3:$B$10,2,FALSE),0)*'FL Characterization'!J$2)</f>
        <v>68.710651708244797</v>
      </c>
      <c r="K4" s="2">
        <f>('[1]Pc, Summer, S1'!K4*Main!$B$5)+(_xlfn.IFNA(VLOOKUP($A4,'FL Ratio'!$A$3:$B$10,2,FALSE),0)*'FL Characterization'!K$2)</f>
        <v>73.87466790282366</v>
      </c>
      <c r="L4" s="2">
        <f>('[1]Pc, Summer, S1'!L4*Main!$B$5)+(_xlfn.IFNA(VLOOKUP($A4,'FL Ratio'!$A$3:$B$10,2,FALSE),0)*'FL Characterization'!L$2)</f>
        <v>76.020728982768659</v>
      </c>
      <c r="M4" s="2">
        <f>('[1]Pc, Summer, S1'!M4*Main!$B$5)+(_xlfn.IFNA(VLOOKUP($A4,'FL Ratio'!$A$3:$B$10,2,FALSE),0)*'FL Characterization'!M$2)</f>
        <v>77.291629812217963</v>
      </c>
      <c r="N4" s="2">
        <f>('[1]Pc, Summer, S1'!N4*Main!$B$5)+(_xlfn.IFNA(VLOOKUP($A4,'FL Ratio'!$A$3:$B$10,2,FALSE),0)*'FL Characterization'!N$2)</f>
        <v>79.017027854987731</v>
      </c>
      <c r="O4" s="2">
        <f>('[1]Pc, Summer, S1'!O4*Main!$B$5)+(_xlfn.IFNA(VLOOKUP($A4,'FL Ratio'!$A$3:$B$10,2,FALSE),0)*'FL Characterization'!O$2)</f>
        <v>80.145665121959084</v>
      </c>
      <c r="P4" s="2">
        <f>('[1]Pc, Summer, S1'!P4*Main!$B$5)+(_xlfn.IFNA(VLOOKUP($A4,'FL Ratio'!$A$3:$B$10,2,FALSE),0)*'FL Characterization'!P$2)</f>
        <v>80.492848448822883</v>
      </c>
      <c r="Q4" s="2">
        <f>('[1]Pc, Summer, S1'!Q4*Main!$B$5)+(_xlfn.IFNA(VLOOKUP($A4,'FL Ratio'!$A$3:$B$10,2,FALSE),0)*'FL Characterization'!Q$2)</f>
        <v>77.482288622610966</v>
      </c>
      <c r="R4" s="2">
        <f>('[1]Pc, Summer, S1'!R4*Main!$B$5)+(_xlfn.IFNA(VLOOKUP($A4,'FL Ratio'!$A$3:$B$10,2,FALSE),0)*'FL Characterization'!R$2)</f>
        <v>77.030708709137556</v>
      </c>
      <c r="S4" s="2">
        <f>('[1]Pc, Summer, S1'!S4*Main!$B$5)+(_xlfn.IFNA(VLOOKUP($A4,'FL Ratio'!$A$3:$B$10,2,FALSE),0)*'FL Characterization'!S$2)</f>
        <v>74.700858069351497</v>
      </c>
      <c r="T4" s="2">
        <f>('[1]Pc, Summer, S1'!T4*Main!$B$5)+(_xlfn.IFNA(VLOOKUP($A4,'FL Ratio'!$A$3:$B$10,2,FALSE),0)*'FL Characterization'!T$2)</f>
        <v>74.560493137204162</v>
      </c>
      <c r="U4" s="2">
        <f>('[1]Pc, Summer, S1'!U4*Main!$B$5)+(_xlfn.IFNA(VLOOKUP($A4,'FL Ratio'!$A$3:$B$10,2,FALSE),0)*'FL Characterization'!U$2)</f>
        <v>74.945246410491492</v>
      </c>
      <c r="V4" s="2">
        <f>('[1]Pc, Summer, S1'!V4*Main!$B$5)+(_xlfn.IFNA(VLOOKUP($A4,'FL Ratio'!$A$3:$B$10,2,FALSE),0)*'FL Characterization'!V$2)</f>
        <v>74.606260410362026</v>
      </c>
      <c r="W4" s="2">
        <f>('[1]Pc, Summer, S1'!W4*Main!$B$5)+(_xlfn.IFNA(VLOOKUP($A4,'FL Ratio'!$A$3:$B$10,2,FALSE),0)*'FL Characterization'!W$2)</f>
        <v>76.94704326940888</v>
      </c>
      <c r="X4" s="2">
        <f>('[1]Pc, Summer, S1'!X4*Main!$B$5)+(_xlfn.IFNA(VLOOKUP($A4,'FL Ratio'!$A$3:$B$10,2,FALSE),0)*'FL Characterization'!X$2)</f>
        <v>76.949218270128753</v>
      </c>
      <c r="Y4" s="2">
        <f>('[1]Pc, Summer, S1'!Y4*Main!$B$5)+(_xlfn.IFNA(VLOOKUP($A4,'FL Ratio'!$A$3:$B$10,2,FALSE),0)*'FL Characterization'!Y$2)</f>
        <v>69.474484792148786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41.669359311492869</v>
      </c>
      <c r="C2" s="2">
        <f>('[1]Pc, Summer, S1'!C2*Main!$B$5)+(_xlfn.IFNA(VLOOKUP($A2,'FL Ratio'!$A$3:$B$10,2,FALSE),0)*'FL Characterization'!C$2)</f>
        <v>37.858477668573428</v>
      </c>
      <c r="D2" s="2">
        <f>('[1]Pc, Summer, S1'!D2*Main!$B$5)+(_xlfn.IFNA(VLOOKUP($A2,'FL Ratio'!$A$3:$B$10,2,FALSE),0)*'FL Characterization'!D$2)</f>
        <v>37.197188457732125</v>
      </c>
      <c r="E2" s="2">
        <f>('[1]Pc, Summer, S1'!E2*Main!$B$5)+(_xlfn.IFNA(VLOOKUP($A2,'FL Ratio'!$A$3:$B$10,2,FALSE),0)*'FL Characterization'!E$2)</f>
        <v>37.102165857393977</v>
      </c>
      <c r="F2" s="2">
        <f>('[1]Pc, Summer, S1'!F2*Main!$B$5)+(_xlfn.IFNA(VLOOKUP($A2,'FL Ratio'!$A$3:$B$10,2,FALSE),0)*'FL Characterization'!F$2)</f>
        <v>37.105090996245188</v>
      </c>
      <c r="G2" s="2">
        <f>('[1]Pc, Summer, S1'!G2*Main!$B$5)+(_xlfn.IFNA(VLOOKUP($A2,'FL Ratio'!$A$3:$B$10,2,FALSE),0)*'FL Characterization'!G$2)</f>
        <v>36.776944413347017</v>
      </c>
      <c r="H2" s="2">
        <f>('[1]Pc, Summer, S1'!H2*Main!$B$5)+(_xlfn.IFNA(VLOOKUP($A2,'FL Ratio'!$A$3:$B$10,2,FALSE),0)*'FL Characterization'!H$2)</f>
        <v>39.70399445718887</v>
      </c>
      <c r="I2" s="2">
        <f>('[1]Pc, Summer, S1'!I2*Main!$B$5)+(_xlfn.IFNA(VLOOKUP($A2,'FL Ratio'!$A$3:$B$10,2,FALSE),0)*'FL Characterization'!I$2)</f>
        <v>47.13834142109517</v>
      </c>
      <c r="J2" s="2">
        <f>('[1]Pc, Summer, S1'!J2*Main!$B$5)+(_xlfn.IFNA(VLOOKUP($A2,'FL Ratio'!$A$3:$B$10,2,FALSE),0)*'FL Characterization'!J$2)</f>
        <v>53.724305583576026</v>
      </c>
      <c r="K2" s="2">
        <f>('[1]Pc, Summer, S1'!K2*Main!$B$5)+(_xlfn.IFNA(VLOOKUP($A2,'FL Ratio'!$A$3:$B$10,2,FALSE),0)*'FL Characterization'!K$2)</f>
        <v>55.375148691848317</v>
      </c>
      <c r="L2" s="2">
        <f>('[1]Pc, Summer, S1'!L2*Main!$B$5)+(_xlfn.IFNA(VLOOKUP($A2,'FL Ratio'!$A$3:$B$10,2,FALSE),0)*'FL Characterization'!L$2)</f>
        <v>54.814766960092904</v>
      </c>
      <c r="M2" s="2">
        <f>('[1]Pc, Summer, S1'!M2*Main!$B$5)+(_xlfn.IFNA(VLOOKUP($A2,'FL Ratio'!$A$3:$B$10,2,FALSE),0)*'FL Characterization'!M$2)</f>
        <v>56.364852256682802</v>
      </c>
      <c r="N2" s="2">
        <f>('[1]Pc, Summer, S1'!N2*Main!$B$5)+(_xlfn.IFNA(VLOOKUP($A2,'FL Ratio'!$A$3:$B$10,2,FALSE),0)*'FL Characterization'!N$2)</f>
        <v>57.138059183936171</v>
      </c>
      <c r="O2" s="2">
        <f>('[1]Pc, Summer, S1'!O2*Main!$B$5)+(_xlfn.IFNA(VLOOKUP($A2,'FL Ratio'!$A$3:$B$10,2,FALSE),0)*'FL Characterization'!O$2)</f>
        <v>56.081112133329718</v>
      </c>
      <c r="P2" s="2">
        <f>('[1]Pc, Summer, S1'!P2*Main!$B$5)+(_xlfn.IFNA(VLOOKUP($A2,'FL Ratio'!$A$3:$B$10,2,FALSE),0)*'FL Characterization'!P$2)</f>
        <v>53.889730971458732</v>
      </c>
      <c r="Q2" s="2">
        <f>('[1]Pc, Summer, S1'!Q2*Main!$B$5)+(_xlfn.IFNA(VLOOKUP($A2,'FL Ratio'!$A$3:$B$10,2,FALSE),0)*'FL Characterization'!Q$2)</f>
        <v>51.720762271059449</v>
      </c>
      <c r="R2" s="2">
        <f>('[1]Pc, Summer, S1'!R2*Main!$B$5)+(_xlfn.IFNA(VLOOKUP($A2,'FL Ratio'!$A$3:$B$10,2,FALSE),0)*'FL Characterization'!R$2)</f>
        <v>52.623120066250507</v>
      </c>
      <c r="S2" s="2">
        <f>('[1]Pc, Summer, S1'!S2*Main!$B$5)+(_xlfn.IFNA(VLOOKUP($A2,'FL Ratio'!$A$3:$B$10,2,FALSE),0)*'FL Characterization'!S$2)</f>
        <v>53.143023347135134</v>
      </c>
      <c r="T2" s="2">
        <f>('[1]Pc, Summer, S1'!T2*Main!$B$5)+(_xlfn.IFNA(VLOOKUP($A2,'FL Ratio'!$A$3:$B$10,2,FALSE),0)*'FL Characterization'!T$2)</f>
        <v>53.368595739624638</v>
      </c>
      <c r="U2" s="2">
        <f>('[1]Pc, Summer, S1'!U2*Main!$B$5)+(_xlfn.IFNA(VLOOKUP($A2,'FL Ratio'!$A$3:$B$10,2,FALSE),0)*'FL Characterization'!U$2)</f>
        <v>52.485100126199093</v>
      </c>
      <c r="V2" s="2">
        <f>('[1]Pc, Summer, S1'!V2*Main!$B$5)+(_xlfn.IFNA(VLOOKUP($A2,'FL Ratio'!$A$3:$B$10,2,FALSE),0)*'FL Characterization'!V$2)</f>
        <v>52.642794732019389</v>
      </c>
      <c r="W2" s="2">
        <f>('[1]Pc, Summer, S1'!W2*Main!$B$5)+(_xlfn.IFNA(VLOOKUP($A2,'FL Ratio'!$A$3:$B$10,2,FALSE),0)*'FL Characterization'!W$2)</f>
        <v>54.823152418274717</v>
      </c>
      <c r="X2" s="2">
        <f>('[1]Pc, Summer, S1'!X2*Main!$B$5)+(_xlfn.IFNA(VLOOKUP($A2,'FL Ratio'!$A$3:$B$10,2,FALSE),0)*'FL Characterization'!X$2)</f>
        <v>51.101813695364434</v>
      </c>
      <c r="Y2" s="2">
        <f>('[1]Pc, Summer, S1'!Y2*Main!$B$5)+(_xlfn.IFNA(VLOOKUP($A2,'FL Ratio'!$A$3:$B$10,2,FALSE),0)*'FL Characterization'!Y$2)</f>
        <v>46.844747675889749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45.214310698035533</v>
      </c>
      <c r="C3" s="2">
        <f>('[1]Pc, Summer, S1'!C3*Main!$B$5)+(_xlfn.IFNA(VLOOKUP($A3,'FL Ratio'!$A$3:$B$10,2,FALSE),0)*'FL Characterization'!C$2)</f>
        <v>41.533066836422819</v>
      </c>
      <c r="D3" s="2">
        <f>('[1]Pc, Summer, S1'!D3*Main!$B$5)+(_xlfn.IFNA(VLOOKUP($A3,'FL Ratio'!$A$3:$B$10,2,FALSE),0)*'FL Characterization'!D$2)</f>
        <v>39.329823489077114</v>
      </c>
      <c r="E3" s="2">
        <f>('[1]Pc, Summer, S1'!E3*Main!$B$5)+(_xlfn.IFNA(VLOOKUP($A3,'FL Ratio'!$A$3:$B$10,2,FALSE),0)*'FL Characterization'!E$2)</f>
        <v>37.884308623640038</v>
      </c>
      <c r="F3" s="2">
        <f>('[1]Pc, Summer, S1'!F3*Main!$B$5)+(_xlfn.IFNA(VLOOKUP($A3,'FL Ratio'!$A$3:$B$10,2,FALSE),0)*'FL Characterization'!F$2)</f>
        <v>37.414522203668454</v>
      </c>
      <c r="G3" s="2">
        <f>('[1]Pc, Summer, S1'!G3*Main!$B$5)+(_xlfn.IFNA(VLOOKUP($A3,'FL Ratio'!$A$3:$B$10,2,FALSE),0)*'FL Characterization'!G$2)</f>
        <v>39.640716809484154</v>
      </c>
      <c r="H3" s="2">
        <f>('[1]Pc, Summer, S1'!H3*Main!$B$5)+(_xlfn.IFNA(VLOOKUP($A3,'FL Ratio'!$A$3:$B$10,2,FALSE),0)*'FL Characterization'!H$2)</f>
        <v>49.614317953926466</v>
      </c>
      <c r="I3" s="2">
        <f>('[1]Pc, Summer, S1'!I3*Main!$B$5)+(_xlfn.IFNA(VLOOKUP($A3,'FL Ratio'!$A$3:$B$10,2,FALSE),0)*'FL Characterization'!I$2)</f>
        <v>58.717241470312551</v>
      </c>
      <c r="J3" s="2">
        <f>('[1]Pc, Summer, S1'!J3*Main!$B$5)+(_xlfn.IFNA(VLOOKUP($A3,'FL Ratio'!$A$3:$B$10,2,FALSE),0)*'FL Characterization'!J$2)</f>
        <v>61.219330127365872</v>
      </c>
      <c r="K3" s="2">
        <f>('[1]Pc, Summer, S1'!K3*Main!$B$5)+(_xlfn.IFNA(VLOOKUP($A3,'FL Ratio'!$A$3:$B$10,2,FALSE),0)*'FL Characterization'!K$2)</f>
        <v>60.099718365949677</v>
      </c>
      <c r="L3" s="2">
        <f>('[1]Pc, Summer, S1'!L3*Main!$B$5)+(_xlfn.IFNA(VLOOKUP($A3,'FL Ratio'!$A$3:$B$10,2,FALSE),0)*'FL Characterization'!L$2)</f>
        <v>59.869071791488395</v>
      </c>
      <c r="M3" s="2">
        <f>('[1]Pc, Summer, S1'!M3*Main!$B$5)+(_xlfn.IFNA(VLOOKUP($A3,'FL Ratio'!$A$3:$B$10,2,FALSE),0)*'FL Characterization'!M$2)</f>
        <v>63.848959943432156</v>
      </c>
      <c r="N3" s="2">
        <f>('[1]Pc, Summer, S1'!N3*Main!$B$5)+(_xlfn.IFNA(VLOOKUP($A3,'FL Ratio'!$A$3:$B$10,2,FALSE),0)*'FL Characterization'!N$2)</f>
        <v>64.063836586242573</v>
      </c>
      <c r="O3" s="2">
        <f>('[1]Pc, Summer, S1'!O3*Main!$B$5)+(_xlfn.IFNA(VLOOKUP($A3,'FL Ratio'!$A$3:$B$10,2,FALSE),0)*'FL Characterization'!O$2)</f>
        <v>64.550022121490372</v>
      </c>
      <c r="P3" s="2">
        <f>('[1]Pc, Summer, S1'!P3*Main!$B$5)+(_xlfn.IFNA(VLOOKUP($A3,'FL Ratio'!$A$3:$B$10,2,FALSE),0)*'FL Characterization'!P$2)</f>
        <v>61.435673012631852</v>
      </c>
      <c r="Q3" s="2">
        <f>('[1]Pc, Summer, S1'!Q3*Main!$B$5)+(_xlfn.IFNA(VLOOKUP($A3,'FL Ratio'!$A$3:$B$10,2,FALSE),0)*'FL Characterization'!Q$2)</f>
        <v>58.203053423423562</v>
      </c>
      <c r="R3" s="2">
        <f>('[1]Pc, Summer, S1'!R3*Main!$B$5)+(_xlfn.IFNA(VLOOKUP($A3,'FL Ratio'!$A$3:$B$10,2,FALSE),0)*'FL Characterization'!R$2)</f>
        <v>53.805717400538697</v>
      </c>
      <c r="S3" s="2">
        <f>('[1]Pc, Summer, S1'!S3*Main!$B$5)+(_xlfn.IFNA(VLOOKUP($A3,'FL Ratio'!$A$3:$B$10,2,FALSE),0)*'FL Characterization'!S$2)</f>
        <v>54.454688271248934</v>
      </c>
      <c r="T3" s="2">
        <f>('[1]Pc, Summer, S1'!T3*Main!$B$5)+(_xlfn.IFNA(VLOOKUP($A3,'FL Ratio'!$A$3:$B$10,2,FALSE),0)*'FL Characterization'!T$2)</f>
        <v>53.927987274730484</v>
      </c>
      <c r="U3" s="2">
        <f>('[1]Pc, Summer, S1'!U3*Main!$B$5)+(_xlfn.IFNA(VLOOKUP($A3,'FL Ratio'!$A$3:$B$10,2,FALSE),0)*'FL Characterization'!U$2)</f>
        <v>53.70587572812174</v>
      </c>
      <c r="V3" s="2">
        <f>('[1]Pc, Summer, S1'!V3*Main!$B$5)+(_xlfn.IFNA(VLOOKUP($A3,'FL Ratio'!$A$3:$B$10,2,FALSE),0)*'FL Characterization'!V$2)</f>
        <v>53.978631601318796</v>
      </c>
      <c r="W3" s="2">
        <f>('[1]Pc, Summer, S1'!W3*Main!$B$5)+(_xlfn.IFNA(VLOOKUP($A3,'FL Ratio'!$A$3:$B$10,2,FALSE),0)*'FL Characterization'!W$2)</f>
        <v>53.673559824489196</v>
      </c>
      <c r="X3" s="2">
        <f>('[1]Pc, Summer, S1'!X3*Main!$B$5)+(_xlfn.IFNA(VLOOKUP($A3,'FL Ratio'!$A$3:$B$10,2,FALSE),0)*'FL Characterization'!X$2)</f>
        <v>53.521805798372391</v>
      </c>
      <c r="Y3" s="2">
        <f>('[1]Pc, Summer, S1'!Y3*Main!$B$5)+(_xlfn.IFNA(VLOOKUP($A3,'FL Ratio'!$A$3:$B$10,2,FALSE),0)*'FL Characterization'!Y$2)</f>
        <v>50.6860964543677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59.931883397016236</v>
      </c>
      <c r="C4" s="2">
        <f>('[1]Pc, Summer, S1'!C4*Main!$B$5)+(_xlfn.IFNA(VLOOKUP($A4,'FL Ratio'!$A$3:$B$10,2,FALSE),0)*'FL Characterization'!C$2)</f>
        <v>53.211851132875104</v>
      </c>
      <c r="D4" s="2">
        <f>('[1]Pc, Summer, S1'!D4*Main!$B$5)+(_xlfn.IFNA(VLOOKUP($A4,'FL Ratio'!$A$3:$B$10,2,FALSE),0)*'FL Characterization'!D$2)</f>
        <v>50.163851743721764</v>
      </c>
      <c r="E4" s="2">
        <f>('[1]Pc, Summer, S1'!E4*Main!$B$5)+(_xlfn.IFNA(VLOOKUP($A4,'FL Ratio'!$A$3:$B$10,2,FALSE),0)*'FL Characterization'!E$2)</f>
        <v>48.516826938720435</v>
      </c>
      <c r="F4" s="2">
        <f>('[1]Pc, Summer, S1'!F4*Main!$B$5)+(_xlfn.IFNA(VLOOKUP($A4,'FL Ratio'!$A$3:$B$10,2,FALSE),0)*'FL Characterization'!F$2)</f>
        <v>50.806363690140692</v>
      </c>
      <c r="G4" s="2">
        <f>('[1]Pc, Summer, S1'!G4*Main!$B$5)+(_xlfn.IFNA(VLOOKUP($A4,'FL Ratio'!$A$3:$B$10,2,FALSE),0)*'FL Characterization'!G$2)</f>
        <v>46.392223140286646</v>
      </c>
      <c r="H4" s="2">
        <f>('[1]Pc, Summer, S1'!H4*Main!$B$5)+(_xlfn.IFNA(VLOOKUP($A4,'FL Ratio'!$A$3:$B$10,2,FALSE),0)*'FL Characterization'!H$2)</f>
        <v>54.500184303922701</v>
      </c>
      <c r="I4" s="2">
        <f>('[1]Pc, Summer, S1'!I4*Main!$B$5)+(_xlfn.IFNA(VLOOKUP($A4,'FL Ratio'!$A$3:$B$10,2,FALSE),0)*'FL Characterization'!I$2)</f>
        <v>61.075388915428569</v>
      </c>
      <c r="J4" s="2">
        <f>('[1]Pc, Summer, S1'!J4*Main!$B$5)+(_xlfn.IFNA(VLOOKUP($A4,'FL Ratio'!$A$3:$B$10,2,FALSE),0)*'FL Characterization'!J$2)</f>
        <v>68.710651708244797</v>
      </c>
      <c r="K4" s="2">
        <f>('[1]Pc, Summer, S1'!K4*Main!$B$5)+(_xlfn.IFNA(VLOOKUP($A4,'FL Ratio'!$A$3:$B$10,2,FALSE),0)*'FL Characterization'!K$2)</f>
        <v>73.87466790282366</v>
      </c>
      <c r="L4" s="2">
        <f>('[1]Pc, Summer, S1'!L4*Main!$B$5)+(_xlfn.IFNA(VLOOKUP($A4,'FL Ratio'!$A$3:$B$10,2,FALSE),0)*'FL Characterization'!L$2)</f>
        <v>76.020728982768659</v>
      </c>
      <c r="M4" s="2">
        <f>('[1]Pc, Summer, S1'!M4*Main!$B$5)+(_xlfn.IFNA(VLOOKUP($A4,'FL Ratio'!$A$3:$B$10,2,FALSE),0)*'FL Characterization'!M$2)</f>
        <v>77.291629812217963</v>
      </c>
      <c r="N4" s="2">
        <f>('[1]Pc, Summer, S1'!N4*Main!$B$5)+(_xlfn.IFNA(VLOOKUP($A4,'FL Ratio'!$A$3:$B$10,2,FALSE),0)*'FL Characterization'!N$2)</f>
        <v>79.017027854987731</v>
      </c>
      <c r="O4" s="2">
        <f>('[1]Pc, Summer, S1'!O4*Main!$B$5)+(_xlfn.IFNA(VLOOKUP($A4,'FL Ratio'!$A$3:$B$10,2,FALSE),0)*'FL Characterization'!O$2)</f>
        <v>80.145665121959084</v>
      </c>
      <c r="P4" s="2">
        <f>('[1]Pc, Summer, S1'!P4*Main!$B$5)+(_xlfn.IFNA(VLOOKUP($A4,'FL Ratio'!$A$3:$B$10,2,FALSE),0)*'FL Characterization'!P$2)</f>
        <v>80.492848448822883</v>
      </c>
      <c r="Q4" s="2">
        <f>('[1]Pc, Summer, S1'!Q4*Main!$B$5)+(_xlfn.IFNA(VLOOKUP($A4,'FL Ratio'!$A$3:$B$10,2,FALSE),0)*'FL Characterization'!Q$2)</f>
        <v>77.482288622610966</v>
      </c>
      <c r="R4" s="2">
        <f>('[1]Pc, Summer, S1'!R4*Main!$B$5)+(_xlfn.IFNA(VLOOKUP($A4,'FL Ratio'!$A$3:$B$10,2,FALSE),0)*'FL Characterization'!R$2)</f>
        <v>77.030708709137556</v>
      </c>
      <c r="S4" s="2">
        <f>('[1]Pc, Summer, S1'!S4*Main!$B$5)+(_xlfn.IFNA(VLOOKUP($A4,'FL Ratio'!$A$3:$B$10,2,FALSE),0)*'FL Characterization'!S$2)</f>
        <v>74.700858069351497</v>
      </c>
      <c r="T4" s="2">
        <f>('[1]Pc, Summer, S1'!T4*Main!$B$5)+(_xlfn.IFNA(VLOOKUP($A4,'FL Ratio'!$A$3:$B$10,2,FALSE),0)*'FL Characterization'!T$2)</f>
        <v>74.560493137204162</v>
      </c>
      <c r="U4" s="2">
        <f>('[1]Pc, Summer, S1'!U4*Main!$B$5)+(_xlfn.IFNA(VLOOKUP($A4,'FL Ratio'!$A$3:$B$10,2,FALSE),0)*'FL Characterization'!U$2)</f>
        <v>74.945246410491492</v>
      </c>
      <c r="V4" s="2">
        <f>('[1]Pc, Summer, S1'!V4*Main!$B$5)+(_xlfn.IFNA(VLOOKUP($A4,'FL Ratio'!$A$3:$B$10,2,FALSE),0)*'FL Characterization'!V$2)</f>
        <v>74.606260410362026</v>
      </c>
      <c r="W4" s="2">
        <f>('[1]Pc, Summer, S1'!W4*Main!$B$5)+(_xlfn.IFNA(VLOOKUP($A4,'FL Ratio'!$A$3:$B$10,2,FALSE),0)*'FL Characterization'!W$2)</f>
        <v>76.94704326940888</v>
      </c>
      <c r="X4" s="2">
        <f>('[1]Pc, Summer, S1'!X4*Main!$B$5)+(_xlfn.IFNA(VLOOKUP($A4,'FL Ratio'!$A$3:$B$10,2,FALSE),0)*'FL Characterization'!X$2)</f>
        <v>76.949218270128753</v>
      </c>
      <c r="Y4" s="2">
        <f>('[1]Pc, Summer, S1'!Y4*Main!$B$5)+(_xlfn.IFNA(VLOOKUP($A4,'FL Ratio'!$A$3:$B$10,2,FALSE),0)*'FL Characterization'!Y$2)</f>
        <v>69.474484792148786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42.919440090837661</v>
      </c>
      <c r="C2" s="2">
        <f>('[1]Pc, Summer, S2'!C2*Main!$B$5)+(_xlfn.IFNA(VLOOKUP($A2,'FL Ratio'!$A$3:$B$10,2,FALSE),0)*'FL Characterization'!C$2)</f>
        <v>38.994231998630639</v>
      </c>
      <c r="D2" s="2">
        <f>('[1]Pc, Summer, S2'!D2*Main!$B$5)+(_xlfn.IFNA(VLOOKUP($A2,'FL Ratio'!$A$3:$B$10,2,FALSE),0)*'FL Characterization'!D$2)</f>
        <v>38.313104111464085</v>
      </c>
      <c r="E2" s="2">
        <f>('[1]Pc, Summer, S2'!E2*Main!$B$5)+(_xlfn.IFNA(VLOOKUP($A2,'FL Ratio'!$A$3:$B$10,2,FALSE),0)*'FL Characterization'!E$2)</f>
        <v>38.215230833115797</v>
      </c>
      <c r="F2" s="2">
        <f>('[1]Pc, Summer, S2'!F2*Main!$B$5)+(_xlfn.IFNA(VLOOKUP($A2,'FL Ratio'!$A$3:$B$10,2,FALSE),0)*'FL Characterization'!F$2)</f>
        <v>38.218243726132549</v>
      </c>
      <c r="G2" s="2">
        <f>('[1]Pc, Summer, S2'!G2*Main!$B$5)+(_xlfn.IFNA(VLOOKUP($A2,'FL Ratio'!$A$3:$B$10,2,FALSE),0)*'FL Characterization'!G$2)</f>
        <v>37.880252745747434</v>
      </c>
      <c r="H2" s="2">
        <f>('[1]Pc, Summer, S2'!H2*Main!$B$5)+(_xlfn.IFNA(VLOOKUP($A2,'FL Ratio'!$A$3:$B$10,2,FALSE),0)*'FL Characterization'!H$2)</f>
        <v>40.895114290904537</v>
      </c>
      <c r="I2" s="2">
        <f>('[1]Pc, Summer, S2'!I2*Main!$B$5)+(_xlfn.IFNA(VLOOKUP($A2,'FL Ratio'!$A$3:$B$10,2,FALSE),0)*'FL Characterization'!I$2)</f>
        <v>48.55249166372802</v>
      </c>
      <c r="J2" s="2">
        <f>('[1]Pc, Summer, S2'!J2*Main!$B$5)+(_xlfn.IFNA(VLOOKUP($A2,'FL Ratio'!$A$3:$B$10,2,FALSE),0)*'FL Characterization'!J$2)</f>
        <v>55.336034751083311</v>
      </c>
      <c r="K2" s="2">
        <f>('[1]Pc, Summer, S2'!K2*Main!$B$5)+(_xlfn.IFNA(VLOOKUP($A2,'FL Ratio'!$A$3:$B$10,2,FALSE),0)*'FL Characterization'!K$2)</f>
        <v>57.036403152603768</v>
      </c>
      <c r="L2" s="2">
        <f>('[1]Pc, Summer, S2'!L2*Main!$B$5)+(_xlfn.IFNA(VLOOKUP($A2,'FL Ratio'!$A$3:$B$10,2,FALSE),0)*'FL Characterization'!L$2)</f>
        <v>56.459209968895685</v>
      </c>
      <c r="M2" s="2">
        <f>('[1]Pc, Summer, S2'!M2*Main!$B$5)+(_xlfn.IFNA(VLOOKUP($A2,'FL Ratio'!$A$3:$B$10,2,FALSE),0)*'FL Characterization'!M$2)</f>
        <v>58.055797824383291</v>
      </c>
      <c r="N2" s="2">
        <f>('[1]Pc, Summer, S2'!N2*Main!$B$5)+(_xlfn.IFNA(VLOOKUP($A2,'FL Ratio'!$A$3:$B$10,2,FALSE),0)*'FL Characterization'!N$2)</f>
        <v>58.852200959454258</v>
      </c>
      <c r="O2" s="2">
        <f>('[1]Pc, Summer, S2'!O2*Main!$B$5)+(_xlfn.IFNA(VLOOKUP($A2,'FL Ratio'!$A$3:$B$10,2,FALSE),0)*'FL Characterization'!O$2)</f>
        <v>57.763545497329602</v>
      </c>
      <c r="P2" s="2">
        <f>('[1]Pc, Summer, S2'!P2*Main!$B$5)+(_xlfn.IFNA(VLOOKUP($A2,'FL Ratio'!$A$3:$B$10,2,FALSE),0)*'FL Characterization'!P$2)</f>
        <v>55.506422900602495</v>
      </c>
      <c r="Q2" s="2">
        <f>('[1]Pc, Summer, S2'!Q2*Main!$B$5)+(_xlfn.IFNA(VLOOKUP($A2,'FL Ratio'!$A$3:$B$10,2,FALSE),0)*'FL Characterization'!Q$2)</f>
        <v>53.272385139191236</v>
      </c>
      <c r="R2" s="2">
        <f>('[1]Pc, Summer, S2'!R2*Main!$B$5)+(_xlfn.IFNA(VLOOKUP($A2,'FL Ratio'!$A$3:$B$10,2,FALSE),0)*'FL Characterization'!R$2)</f>
        <v>54.201813668238024</v>
      </c>
      <c r="S2" s="2">
        <f>('[1]Pc, Summer, S2'!S2*Main!$B$5)+(_xlfn.IFNA(VLOOKUP($A2,'FL Ratio'!$A$3:$B$10,2,FALSE),0)*'FL Characterization'!S$2)</f>
        <v>54.737314047549191</v>
      </c>
      <c r="T2" s="2">
        <f>('[1]Pc, Summer, S2'!T2*Main!$B$5)+(_xlfn.IFNA(VLOOKUP($A2,'FL Ratio'!$A$3:$B$10,2,FALSE),0)*'FL Characterization'!T$2)</f>
        <v>54.969653611813378</v>
      </c>
      <c r="U2" s="2">
        <f>('[1]Pc, Summer, S2'!U2*Main!$B$5)+(_xlfn.IFNA(VLOOKUP($A2,'FL Ratio'!$A$3:$B$10,2,FALSE),0)*'FL Characterization'!U$2)</f>
        <v>54.059653129985058</v>
      </c>
      <c r="V2" s="2">
        <f>('[1]Pc, Summer, S2'!V2*Main!$B$5)+(_xlfn.IFNA(VLOOKUP($A2,'FL Ratio'!$A$3:$B$10,2,FALSE),0)*'FL Characterization'!V$2)</f>
        <v>54.222078573979971</v>
      </c>
      <c r="W2" s="2">
        <f>('[1]Pc, Summer, S2'!W2*Main!$B$5)+(_xlfn.IFNA(VLOOKUP($A2,'FL Ratio'!$A$3:$B$10,2,FALSE),0)*'FL Characterization'!W$2)</f>
        <v>56.467846990822956</v>
      </c>
      <c r="X2" s="2">
        <f>('[1]Pc, Summer, S2'!X2*Main!$B$5)+(_xlfn.IFNA(VLOOKUP($A2,'FL Ratio'!$A$3:$B$10,2,FALSE),0)*'FL Characterization'!X$2)</f>
        <v>52.634868106225369</v>
      </c>
      <c r="Y2" s="2">
        <f>('[1]Pc, Summer, S2'!Y2*Main!$B$5)+(_xlfn.IFNA(VLOOKUP($A2,'FL Ratio'!$A$3:$B$10,2,FALSE),0)*'FL Characterization'!Y$2)</f>
        <v>48.250090106166439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46.481815816391318</v>
      </c>
      <c r="C3" s="2">
        <f>('[1]Pc, Summer, S2'!C3*Main!$B$5)+(_xlfn.IFNA(VLOOKUP($A3,'FL Ratio'!$A$3:$B$10,2,FALSE),0)*'FL Characterization'!C$2)</f>
        <v>42.687168328372906</v>
      </c>
      <c r="D3" s="2">
        <f>('[1]Pc, Summer, S2'!D3*Main!$B$5)+(_xlfn.IFNA(VLOOKUP($A3,'FL Ratio'!$A$3:$B$10,2,FALSE),0)*'FL Characterization'!D$2)</f>
        <v>40.427435632851029</v>
      </c>
      <c r="E3" s="2">
        <f>('[1]Pc, Summer, S2'!E3*Main!$B$5)+(_xlfn.IFNA(VLOOKUP($A3,'FL Ratio'!$A$3:$B$10,2,FALSE),0)*'FL Characterization'!E$2)</f>
        <v>38.942845619403244</v>
      </c>
      <c r="F3" s="2">
        <f>('[1]Pc, Summer, S2'!F3*Main!$B$5)+(_xlfn.IFNA(VLOOKUP($A3,'FL Ratio'!$A$3:$B$10,2,FALSE),0)*'FL Characterization'!F$2)</f>
        <v>38.47305919943166</v>
      </c>
      <c r="G3" s="2">
        <f>('[1]Pc, Summer, S2'!G3*Main!$B$5)+(_xlfn.IFNA(VLOOKUP($A3,'FL Ratio'!$A$3:$B$10,2,FALSE),0)*'FL Characterization'!G$2)</f>
        <v>40.775705474896398</v>
      </c>
      <c r="H3" s="2">
        <f>('[1]Pc, Summer, S2'!H3*Main!$B$5)+(_xlfn.IFNA(VLOOKUP($A3,'FL Ratio'!$A$3:$B$10,2,FALSE),0)*'FL Characterization'!H$2)</f>
        <v>51.036425129424963</v>
      </c>
      <c r="I3" s="2">
        <f>('[1]Pc, Summer, S2'!I3*Main!$B$5)+(_xlfn.IFNA(VLOOKUP($A3,'FL Ratio'!$A$3:$B$10,2,FALSE),0)*'FL Characterization'!I$2)</f>
        <v>60.467240747574998</v>
      </c>
      <c r="J3" s="2">
        <f>('[1]Pc, Summer, S2'!J3*Main!$B$5)+(_xlfn.IFNA(VLOOKUP($A3,'FL Ratio'!$A$3:$B$10,2,FALSE),0)*'FL Characterization'!J$2)</f>
        <v>63.045781165869194</v>
      </c>
      <c r="K3" s="2">
        <f>('[1]Pc, Summer, S2'!K3*Main!$B$5)+(_xlfn.IFNA(VLOOKUP($A3,'FL Ratio'!$A$3:$B$10,2,FALSE),0)*'FL Characterization'!K$2)</f>
        <v>61.88794347827578</v>
      </c>
      <c r="L3" s="2">
        <f>('[1]Pc, Summer, S2'!L3*Main!$B$5)+(_xlfn.IFNA(VLOOKUP($A3,'FL Ratio'!$A$3:$B$10,2,FALSE),0)*'FL Characterization'!L$2)</f>
        <v>61.656447590867465</v>
      </c>
      <c r="M3" s="2">
        <f>('[1]Pc, Summer, S2'!M3*Main!$B$5)+(_xlfn.IFNA(VLOOKUP($A3,'FL Ratio'!$A$3:$B$10,2,FALSE),0)*'FL Characterization'!M$2)</f>
        <v>65.753561916230041</v>
      </c>
      <c r="N3" s="2">
        <f>('[1]Pc, Summer, S2'!N3*Main!$B$5)+(_xlfn.IFNA(VLOOKUP($A3,'FL Ratio'!$A$3:$B$10,2,FALSE),0)*'FL Characterization'!N$2)</f>
        <v>65.96843855904045</v>
      </c>
      <c r="O3" s="2">
        <f>('[1]Pc, Summer, S2'!O3*Main!$B$5)+(_xlfn.IFNA(VLOOKUP($A3,'FL Ratio'!$A$3:$B$10,2,FALSE),0)*'FL Characterization'!O$2)</f>
        <v>66.454624094288249</v>
      </c>
      <c r="P3" s="2">
        <f>('[1]Pc, Summer, S2'!P3*Main!$B$5)+(_xlfn.IFNA(VLOOKUP($A3,'FL Ratio'!$A$3:$B$10,2,FALSE),0)*'FL Characterization'!P$2)</f>
        <v>63.244710215543464</v>
      </c>
      <c r="Q3" s="2">
        <f>('[1]Pc, Summer, S2'!Q3*Main!$B$5)+(_xlfn.IFNA(VLOOKUP($A3,'FL Ratio'!$A$3:$B$10,2,FALSE),0)*'FL Characterization'!Q$2)</f>
        <v>59.915676361155192</v>
      </c>
      <c r="R3" s="2">
        <f>('[1]Pc, Summer, S2'!R3*Main!$B$5)+(_xlfn.IFNA(VLOOKUP($A3,'FL Ratio'!$A$3:$B$10,2,FALSE),0)*'FL Characterization'!R$2)</f>
        <v>55.401114347198195</v>
      </c>
      <c r="S3" s="2">
        <f>('[1]Pc, Summer, S2'!S3*Main!$B$5)+(_xlfn.IFNA(VLOOKUP($A3,'FL Ratio'!$A$3:$B$10,2,FALSE),0)*'FL Characterization'!S$2)</f>
        <v>56.050085217908432</v>
      </c>
      <c r="T3" s="2">
        <f>('[1]Pc, Summer, S2'!T3*Main!$B$5)+(_xlfn.IFNA(VLOOKUP($A3,'FL Ratio'!$A$3:$B$10,2,FALSE),0)*'FL Characterization'!T$2)</f>
        <v>55.523384221389982</v>
      </c>
      <c r="U3" s="2">
        <f>('[1]Pc, Summer, S2'!U3*Main!$B$5)+(_xlfn.IFNA(VLOOKUP($A3,'FL Ratio'!$A$3:$B$10,2,FALSE),0)*'FL Characterization'!U$2)</f>
        <v>55.301272674781238</v>
      </c>
      <c r="V3" s="2">
        <f>('[1]Pc, Summer, S2'!V3*Main!$B$5)+(_xlfn.IFNA(VLOOKUP($A3,'FL Ratio'!$A$3:$B$10,2,FALSE),0)*'FL Characterization'!V$2)</f>
        <v>55.574028547978294</v>
      </c>
      <c r="W3" s="2">
        <f>('[1]Pc, Summer, S2'!W3*Main!$B$5)+(_xlfn.IFNA(VLOOKUP($A3,'FL Ratio'!$A$3:$B$10,2,FALSE),0)*'FL Characterization'!W$2)</f>
        <v>55.268956771148694</v>
      </c>
      <c r="X3" s="2">
        <f>('[1]Pc, Summer, S2'!X3*Main!$B$5)+(_xlfn.IFNA(VLOOKUP($A3,'FL Ratio'!$A$3:$B$10,2,FALSE),0)*'FL Characterization'!X$2)</f>
        <v>55.059864266135762</v>
      </c>
      <c r="Y3" s="2">
        <f>('[1]Pc, Summer, S2'!Y3*Main!$B$5)+(_xlfn.IFNA(VLOOKUP($A3,'FL Ratio'!$A$3:$B$10,2,FALSE),0)*'FL Characterization'!Y$2)</f>
        <v>52.125192626518135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61.640915696341452</v>
      </c>
      <c r="C4" s="2">
        <f>('[1]Pc, Summer, S2'!C4*Main!$B$5)+(_xlfn.IFNA(VLOOKUP($A4,'FL Ratio'!$A$3:$B$10,2,FALSE),0)*'FL Characterization'!C$2)</f>
        <v>54.716316153718765</v>
      </c>
      <c r="D4" s="2">
        <f>('[1]Pc, Summer, S2'!D4*Main!$B$5)+(_xlfn.IFNA(VLOOKUP($A4,'FL Ratio'!$A$3:$B$10,2,FALSE),0)*'FL Characterization'!D$2)</f>
        <v>51.586484735135002</v>
      </c>
      <c r="E4" s="2">
        <f>('[1]Pc, Summer, S2'!E4*Main!$B$5)+(_xlfn.IFNA(VLOOKUP($A4,'FL Ratio'!$A$3:$B$10,2,FALSE),0)*'FL Characterization'!E$2)</f>
        <v>49.894339483936044</v>
      </c>
      <c r="F4" s="2">
        <f>('[1]Pc, Summer, S2'!F4*Main!$B$5)+(_xlfn.IFNA(VLOOKUP($A4,'FL Ratio'!$A$3:$B$10,2,FALSE),0)*'FL Characterization'!F$2)</f>
        <v>52.266655930498054</v>
      </c>
      <c r="G4" s="2">
        <f>('[1]Pc, Summer, S2'!G4*Main!$B$5)+(_xlfn.IFNA(VLOOKUP($A4,'FL Ratio'!$A$3:$B$10,2,FALSE),0)*'FL Characterization'!G$2)</f>
        <v>47.729756995622964</v>
      </c>
      <c r="H4" s="2">
        <f>('[1]Pc, Summer, S2'!H4*Main!$B$5)+(_xlfn.IFNA(VLOOKUP($A4,'FL Ratio'!$A$3:$B$10,2,FALSE),0)*'FL Characterization'!H$2)</f>
        <v>56.068867469921081</v>
      </c>
      <c r="I4" s="2">
        <f>('[1]Pc, Summer, S2'!I4*Main!$B$5)+(_xlfn.IFNA(VLOOKUP($A4,'FL Ratio'!$A$3:$B$10,2,FALSE),0)*'FL Characterization'!I$2)</f>
        <v>62.89613261604449</v>
      </c>
      <c r="J4" s="2">
        <f>('[1]Pc, Summer, S2'!J4*Main!$B$5)+(_xlfn.IFNA(VLOOKUP($A4,'FL Ratio'!$A$3:$B$10,2,FALSE),0)*'FL Characterization'!J$2)</f>
        <v>70.761842394174479</v>
      </c>
      <c r="K4" s="2">
        <f>('[1]Pc, Summer, S2'!K4*Main!$B$5)+(_xlfn.IFNA(VLOOKUP($A4,'FL Ratio'!$A$3:$B$10,2,FALSE),0)*'FL Characterization'!K$2)</f>
        <v>76.076141501255975</v>
      </c>
      <c r="L4" s="2">
        <f>('[1]Pc, Summer, S2'!L4*Main!$B$5)+(_xlfn.IFNA(VLOOKUP($A4,'FL Ratio'!$A$3:$B$10,2,FALSE),0)*'FL Characterization'!L$2)</f>
        <v>78.292654497886133</v>
      </c>
      <c r="M4" s="2">
        <f>('[1]Pc, Summer, S2'!M4*Main!$B$5)+(_xlfn.IFNA(VLOOKUP($A4,'FL Ratio'!$A$3:$B$10,2,FALSE),0)*'FL Characterization'!M$2)</f>
        <v>79.599511881079408</v>
      </c>
      <c r="N4" s="2">
        <f>('[1]Pc, Summer, S2'!N4*Main!$B$5)+(_xlfn.IFNA(VLOOKUP($A4,'FL Ratio'!$A$3:$B$10,2,FALSE),0)*'FL Characterization'!N$2)</f>
        <v>81.37022556584796</v>
      </c>
      <c r="O4" s="2">
        <f>('[1]Pc, Summer, S2'!O4*Main!$B$5)+(_xlfn.IFNA(VLOOKUP($A4,'FL Ratio'!$A$3:$B$10,2,FALSE),0)*'FL Characterization'!O$2)</f>
        <v>82.518136384771012</v>
      </c>
      <c r="P4" s="2">
        <f>('[1]Pc, Summer, S2'!P4*Main!$B$5)+(_xlfn.IFNA(VLOOKUP($A4,'FL Ratio'!$A$3:$B$10,2,FALSE),0)*'FL Characterization'!P$2)</f>
        <v>82.87360091482023</v>
      </c>
      <c r="Q4" s="2">
        <f>('[1]Pc, Summer, S2'!Q4*Main!$B$5)+(_xlfn.IFNA(VLOOKUP($A4,'FL Ratio'!$A$3:$B$10,2,FALSE),0)*'FL Characterization'!Q$2)</f>
        <v>79.773288616318212</v>
      </c>
      <c r="R4" s="2">
        <f>('[1]Pc, Summer, S2'!R4*Main!$B$5)+(_xlfn.IFNA(VLOOKUP($A4,'FL Ratio'!$A$3:$B$10,2,FALSE),0)*'FL Characterization'!R$2)</f>
        <v>79.322855395055015</v>
      </c>
      <c r="S4" s="2">
        <f>('[1]Pc, Summer, S2'!S4*Main!$B$5)+(_xlfn.IFNA(VLOOKUP($A4,'FL Ratio'!$A$3:$B$10,2,FALSE),0)*'FL Characterization'!S$2)</f>
        <v>76.903640109954054</v>
      </c>
      <c r="T4" s="2">
        <f>('[1]Pc, Summer, S2'!T4*Main!$B$5)+(_xlfn.IFNA(VLOOKUP($A4,'FL Ratio'!$A$3:$B$10,2,FALSE),0)*'FL Characterization'!T$2)</f>
        <v>76.774865259737865</v>
      </c>
      <c r="U4" s="2">
        <f>('[1]Pc, Summer, S2'!U4*Main!$B$5)+(_xlfn.IFNA(VLOOKUP($A4,'FL Ratio'!$A$3:$B$10,2,FALSE),0)*'FL Characterization'!U$2)</f>
        <v>77.177824477622082</v>
      </c>
      <c r="V4" s="2">
        <f>('[1]Pc, Summer, S2'!V4*Main!$B$5)+(_xlfn.IFNA(VLOOKUP($A4,'FL Ratio'!$A$3:$B$10,2,FALSE),0)*'FL Characterization'!V$2)</f>
        <v>76.820486221292825</v>
      </c>
      <c r="W4" s="2">
        <f>('[1]Pc, Summer, S2'!W4*Main!$B$5)+(_xlfn.IFNA(VLOOKUP($A4,'FL Ratio'!$A$3:$B$10,2,FALSE),0)*'FL Characterization'!W$2)</f>
        <v>79.240644719415968</v>
      </c>
      <c r="X4" s="2">
        <f>('[1]Pc, Summer, S2'!X4*Main!$B$5)+(_xlfn.IFNA(VLOOKUP($A4,'FL Ratio'!$A$3:$B$10,2,FALSE),0)*'FL Characterization'!X$2)</f>
        <v>79.190099112044805</v>
      </c>
      <c r="Y4" s="2">
        <f>('[1]Pc, Summer, S2'!Y4*Main!$B$5)+(_xlfn.IFNA(VLOOKUP($A4,'FL Ratio'!$A$3:$B$10,2,FALSE),0)*'FL Characterization'!Y$2)</f>
        <v>71.477232614432651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42.919440090837661</v>
      </c>
      <c r="C2" s="2">
        <f>('[1]Pc, Summer, S2'!C2*Main!$B$5)+(_xlfn.IFNA(VLOOKUP($A2,'FL Ratio'!$A$3:$B$10,2,FALSE),0)*'FL Characterization'!C$2)</f>
        <v>38.994231998630639</v>
      </c>
      <c r="D2" s="2">
        <f>('[1]Pc, Summer, S2'!D2*Main!$B$5)+(_xlfn.IFNA(VLOOKUP($A2,'FL Ratio'!$A$3:$B$10,2,FALSE),0)*'FL Characterization'!D$2)</f>
        <v>38.313104111464085</v>
      </c>
      <c r="E2" s="2">
        <f>('[1]Pc, Summer, S2'!E2*Main!$B$5)+(_xlfn.IFNA(VLOOKUP($A2,'FL Ratio'!$A$3:$B$10,2,FALSE),0)*'FL Characterization'!E$2)</f>
        <v>38.215230833115797</v>
      </c>
      <c r="F2" s="2">
        <f>('[1]Pc, Summer, S2'!F2*Main!$B$5)+(_xlfn.IFNA(VLOOKUP($A2,'FL Ratio'!$A$3:$B$10,2,FALSE),0)*'FL Characterization'!F$2)</f>
        <v>38.218243726132549</v>
      </c>
      <c r="G2" s="2">
        <f>('[1]Pc, Summer, S2'!G2*Main!$B$5)+(_xlfn.IFNA(VLOOKUP($A2,'FL Ratio'!$A$3:$B$10,2,FALSE),0)*'FL Characterization'!G$2)</f>
        <v>37.880252745747434</v>
      </c>
      <c r="H2" s="2">
        <f>('[1]Pc, Summer, S2'!H2*Main!$B$5)+(_xlfn.IFNA(VLOOKUP($A2,'FL Ratio'!$A$3:$B$10,2,FALSE),0)*'FL Characterization'!H$2)</f>
        <v>40.895114290904537</v>
      </c>
      <c r="I2" s="2">
        <f>('[1]Pc, Summer, S2'!I2*Main!$B$5)+(_xlfn.IFNA(VLOOKUP($A2,'FL Ratio'!$A$3:$B$10,2,FALSE),0)*'FL Characterization'!I$2)</f>
        <v>48.55249166372802</v>
      </c>
      <c r="J2" s="2">
        <f>('[1]Pc, Summer, S2'!J2*Main!$B$5)+(_xlfn.IFNA(VLOOKUP($A2,'FL Ratio'!$A$3:$B$10,2,FALSE),0)*'FL Characterization'!J$2)</f>
        <v>55.336034751083311</v>
      </c>
      <c r="K2" s="2">
        <f>('[1]Pc, Summer, S2'!K2*Main!$B$5)+(_xlfn.IFNA(VLOOKUP($A2,'FL Ratio'!$A$3:$B$10,2,FALSE),0)*'FL Characterization'!K$2)</f>
        <v>57.036403152603768</v>
      </c>
      <c r="L2" s="2">
        <f>('[1]Pc, Summer, S2'!L2*Main!$B$5)+(_xlfn.IFNA(VLOOKUP($A2,'FL Ratio'!$A$3:$B$10,2,FALSE),0)*'FL Characterization'!L$2)</f>
        <v>56.459209968895685</v>
      </c>
      <c r="M2" s="2">
        <f>('[1]Pc, Summer, S2'!M2*Main!$B$5)+(_xlfn.IFNA(VLOOKUP($A2,'FL Ratio'!$A$3:$B$10,2,FALSE),0)*'FL Characterization'!M$2)</f>
        <v>58.055797824383291</v>
      </c>
      <c r="N2" s="2">
        <f>('[1]Pc, Summer, S2'!N2*Main!$B$5)+(_xlfn.IFNA(VLOOKUP($A2,'FL Ratio'!$A$3:$B$10,2,FALSE),0)*'FL Characterization'!N$2)</f>
        <v>58.852200959454258</v>
      </c>
      <c r="O2" s="2">
        <f>('[1]Pc, Summer, S2'!O2*Main!$B$5)+(_xlfn.IFNA(VLOOKUP($A2,'FL Ratio'!$A$3:$B$10,2,FALSE),0)*'FL Characterization'!O$2)</f>
        <v>57.763545497329602</v>
      </c>
      <c r="P2" s="2">
        <f>('[1]Pc, Summer, S2'!P2*Main!$B$5)+(_xlfn.IFNA(VLOOKUP($A2,'FL Ratio'!$A$3:$B$10,2,FALSE),0)*'FL Characterization'!P$2)</f>
        <v>55.506422900602495</v>
      </c>
      <c r="Q2" s="2">
        <f>('[1]Pc, Summer, S2'!Q2*Main!$B$5)+(_xlfn.IFNA(VLOOKUP($A2,'FL Ratio'!$A$3:$B$10,2,FALSE),0)*'FL Characterization'!Q$2)</f>
        <v>53.272385139191236</v>
      </c>
      <c r="R2" s="2">
        <f>('[1]Pc, Summer, S2'!R2*Main!$B$5)+(_xlfn.IFNA(VLOOKUP($A2,'FL Ratio'!$A$3:$B$10,2,FALSE),0)*'FL Characterization'!R$2)</f>
        <v>54.201813668238024</v>
      </c>
      <c r="S2" s="2">
        <f>('[1]Pc, Summer, S2'!S2*Main!$B$5)+(_xlfn.IFNA(VLOOKUP($A2,'FL Ratio'!$A$3:$B$10,2,FALSE),0)*'FL Characterization'!S$2)</f>
        <v>54.737314047549191</v>
      </c>
      <c r="T2" s="2">
        <f>('[1]Pc, Summer, S2'!T2*Main!$B$5)+(_xlfn.IFNA(VLOOKUP($A2,'FL Ratio'!$A$3:$B$10,2,FALSE),0)*'FL Characterization'!T$2)</f>
        <v>54.969653611813378</v>
      </c>
      <c r="U2" s="2">
        <f>('[1]Pc, Summer, S2'!U2*Main!$B$5)+(_xlfn.IFNA(VLOOKUP($A2,'FL Ratio'!$A$3:$B$10,2,FALSE),0)*'FL Characterization'!U$2)</f>
        <v>54.059653129985058</v>
      </c>
      <c r="V2" s="2">
        <f>('[1]Pc, Summer, S2'!V2*Main!$B$5)+(_xlfn.IFNA(VLOOKUP($A2,'FL Ratio'!$A$3:$B$10,2,FALSE),0)*'FL Characterization'!V$2)</f>
        <v>54.222078573979971</v>
      </c>
      <c r="W2" s="2">
        <f>('[1]Pc, Summer, S2'!W2*Main!$B$5)+(_xlfn.IFNA(VLOOKUP($A2,'FL Ratio'!$A$3:$B$10,2,FALSE),0)*'FL Characterization'!W$2)</f>
        <v>56.467846990822956</v>
      </c>
      <c r="X2" s="2">
        <f>('[1]Pc, Summer, S2'!X2*Main!$B$5)+(_xlfn.IFNA(VLOOKUP($A2,'FL Ratio'!$A$3:$B$10,2,FALSE),0)*'FL Characterization'!X$2)</f>
        <v>52.634868106225369</v>
      </c>
      <c r="Y2" s="2">
        <f>('[1]Pc, Summer, S2'!Y2*Main!$B$5)+(_xlfn.IFNA(VLOOKUP($A2,'FL Ratio'!$A$3:$B$10,2,FALSE),0)*'FL Characterization'!Y$2)</f>
        <v>48.250090106166439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46.481815816391318</v>
      </c>
      <c r="C3" s="2">
        <f>('[1]Pc, Summer, S2'!C3*Main!$B$5)+(_xlfn.IFNA(VLOOKUP($A3,'FL Ratio'!$A$3:$B$10,2,FALSE),0)*'FL Characterization'!C$2)</f>
        <v>42.687168328372906</v>
      </c>
      <c r="D3" s="2">
        <f>('[1]Pc, Summer, S2'!D3*Main!$B$5)+(_xlfn.IFNA(VLOOKUP($A3,'FL Ratio'!$A$3:$B$10,2,FALSE),0)*'FL Characterization'!D$2)</f>
        <v>40.427435632851029</v>
      </c>
      <c r="E3" s="2">
        <f>('[1]Pc, Summer, S2'!E3*Main!$B$5)+(_xlfn.IFNA(VLOOKUP($A3,'FL Ratio'!$A$3:$B$10,2,FALSE),0)*'FL Characterization'!E$2)</f>
        <v>38.942845619403244</v>
      </c>
      <c r="F3" s="2">
        <f>('[1]Pc, Summer, S2'!F3*Main!$B$5)+(_xlfn.IFNA(VLOOKUP($A3,'FL Ratio'!$A$3:$B$10,2,FALSE),0)*'FL Characterization'!F$2)</f>
        <v>38.47305919943166</v>
      </c>
      <c r="G3" s="2">
        <f>('[1]Pc, Summer, S2'!G3*Main!$B$5)+(_xlfn.IFNA(VLOOKUP($A3,'FL Ratio'!$A$3:$B$10,2,FALSE),0)*'FL Characterization'!G$2)</f>
        <v>40.775705474896398</v>
      </c>
      <c r="H3" s="2">
        <f>('[1]Pc, Summer, S2'!H3*Main!$B$5)+(_xlfn.IFNA(VLOOKUP($A3,'FL Ratio'!$A$3:$B$10,2,FALSE),0)*'FL Characterization'!H$2)</f>
        <v>51.036425129424963</v>
      </c>
      <c r="I3" s="2">
        <f>('[1]Pc, Summer, S2'!I3*Main!$B$5)+(_xlfn.IFNA(VLOOKUP($A3,'FL Ratio'!$A$3:$B$10,2,FALSE),0)*'FL Characterization'!I$2)</f>
        <v>60.467240747574998</v>
      </c>
      <c r="J3" s="2">
        <f>('[1]Pc, Summer, S2'!J3*Main!$B$5)+(_xlfn.IFNA(VLOOKUP($A3,'FL Ratio'!$A$3:$B$10,2,FALSE),0)*'FL Characterization'!J$2)</f>
        <v>63.045781165869194</v>
      </c>
      <c r="K3" s="2">
        <f>('[1]Pc, Summer, S2'!K3*Main!$B$5)+(_xlfn.IFNA(VLOOKUP($A3,'FL Ratio'!$A$3:$B$10,2,FALSE),0)*'FL Characterization'!K$2)</f>
        <v>61.88794347827578</v>
      </c>
      <c r="L3" s="2">
        <f>('[1]Pc, Summer, S2'!L3*Main!$B$5)+(_xlfn.IFNA(VLOOKUP($A3,'FL Ratio'!$A$3:$B$10,2,FALSE),0)*'FL Characterization'!L$2)</f>
        <v>61.656447590867465</v>
      </c>
      <c r="M3" s="2">
        <f>('[1]Pc, Summer, S2'!M3*Main!$B$5)+(_xlfn.IFNA(VLOOKUP($A3,'FL Ratio'!$A$3:$B$10,2,FALSE),0)*'FL Characterization'!M$2)</f>
        <v>65.753561916230041</v>
      </c>
      <c r="N3" s="2">
        <f>('[1]Pc, Summer, S2'!N3*Main!$B$5)+(_xlfn.IFNA(VLOOKUP($A3,'FL Ratio'!$A$3:$B$10,2,FALSE),0)*'FL Characterization'!N$2)</f>
        <v>65.96843855904045</v>
      </c>
      <c r="O3" s="2">
        <f>('[1]Pc, Summer, S2'!O3*Main!$B$5)+(_xlfn.IFNA(VLOOKUP($A3,'FL Ratio'!$A$3:$B$10,2,FALSE),0)*'FL Characterization'!O$2)</f>
        <v>66.454624094288249</v>
      </c>
      <c r="P3" s="2">
        <f>('[1]Pc, Summer, S2'!P3*Main!$B$5)+(_xlfn.IFNA(VLOOKUP($A3,'FL Ratio'!$A$3:$B$10,2,FALSE),0)*'FL Characterization'!P$2)</f>
        <v>63.244710215543464</v>
      </c>
      <c r="Q3" s="2">
        <f>('[1]Pc, Summer, S2'!Q3*Main!$B$5)+(_xlfn.IFNA(VLOOKUP($A3,'FL Ratio'!$A$3:$B$10,2,FALSE),0)*'FL Characterization'!Q$2)</f>
        <v>59.915676361155192</v>
      </c>
      <c r="R3" s="2">
        <f>('[1]Pc, Summer, S2'!R3*Main!$B$5)+(_xlfn.IFNA(VLOOKUP($A3,'FL Ratio'!$A$3:$B$10,2,FALSE),0)*'FL Characterization'!R$2)</f>
        <v>55.401114347198195</v>
      </c>
      <c r="S3" s="2">
        <f>('[1]Pc, Summer, S2'!S3*Main!$B$5)+(_xlfn.IFNA(VLOOKUP($A3,'FL Ratio'!$A$3:$B$10,2,FALSE),0)*'FL Characterization'!S$2)</f>
        <v>56.050085217908432</v>
      </c>
      <c r="T3" s="2">
        <f>('[1]Pc, Summer, S2'!T3*Main!$B$5)+(_xlfn.IFNA(VLOOKUP($A3,'FL Ratio'!$A$3:$B$10,2,FALSE),0)*'FL Characterization'!T$2)</f>
        <v>55.523384221389982</v>
      </c>
      <c r="U3" s="2">
        <f>('[1]Pc, Summer, S2'!U3*Main!$B$5)+(_xlfn.IFNA(VLOOKUP($A3,'FL Ratio'!$A$3:$B$10,2,FALSE),0)*'FL Characterization'!U$2)</f>
        <v>55.301272674781238</v>
      </c>
      <c r="V3" s="2">
        <f>('[1]Pc, Summer, S2'!V3*Main!$B$5)+(_xlfn.IFNA(VLOOKUP($A3,'FL Ratio'!$A$3:$B$10,2,FALSE),0)*'FL Characterization'!V$2)</f>
        <v>55.574028547978294</v>
      </c>
      <c r="W3" s="2">
        <f>('[1]Pc, Summer, S2'!W3*Main!$B$5)+(_xlfn.IFNA(VLOOKUP($A3,'FL Ratio'!$A$3:$B$10,2,FALSE),0)*'FL Characterization'!W$2)</f>
        <v>55.268956771148694</v>
      </c>
      <c r="X3" s="2">
        <f>('[1]Pc, Summer, S2'!X3*Main!$B$5)+(_xlfn.IFNA(VLOOKUP($A3,'FL Ratio'!$A$3:$B$10,2,FALSE),0)*'FL Characterization'!X$2)</f>
        <v>55.059864266135762</v>
      </c>
      <c r="Y3" s="2">
        <f>('[1]Pc, Summer, S2'!Y3*Main!$B$5)+(_xlfn.IFNA(VLOOKUP($A3,'FL Ratio'!$A$3:$B$10,2,FALSE),0)*'FL Characterization'!Y$2)</f>
        <v>52.125192626518135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61.640915696341452</v>
      </c>
      <c r="C4" s="2">
        <f>('[1]Pc, Summer, S2'!C4*Main!$B$5)+(_xlfn.IFNA(VLOOKUP($A4,'FL Ratio'!$A$3:$B$10,2,FALSE),0)*'FL Characterization'!C$2)</f>
        <v>54.716316153718765</v>
      </c>
      <c r="D4" s="2">
        <f>('[1]Pc, Summer, S2'!D4*Main!$B$5)+(_xlfn.IFNA(VLOOKUP($A4,'FL Ratio'!$A$3:$B$10,2,FALSE),0)*'FL Characterization'!D$2)</f>
        <v>51.586484735135002</v>
      </c>
      <c r="E4" s="2">
        <f>('[1]Pc, Summer, S2'!E4*Main!$B$5)+(_xlfn.IFNA(VLOOKUP($A4,'FL Ratio'!$A$3:$B$10,2,FALSE),0)*'FL Characterization'!E$2)</f>
        <v>49.894339483936044</v>
      </c>
      <c r="F4" s="2">
        <f>('[1]Pc, Summer, S2'!F4*Main!$B$5)+(_xlfn.IFNA(VLOOKUP($A4,'FL Ratio'!$A$3:$B$10,2,FALSE),0)*'FL Characterization'!F$2)</f>
        <v>52.266655930498054</v>
      </c>
      <c r="G4" s="2">
        <f>('[1]Pc, Summer, S2'!G4*Main!$B$5)+(_xlfn.IFNA(VLOOKUP($A4,'FL Ratio'!$A$3:$B$10,2,FALSE),0)*'FL Characterization'!G$2)</f>
        <v>47.729756995622964</v>
      </c>
      <c r="H4" s="2">
        <f>('[1]Pc, Summer, S2'!H4*Main!$B$5)+(_xlfn.IFNA(VLOOKUP($A4,'FL Ratio'!$A$3:$B$10,2,FALSE),0)*'FL Characterization'!H$2)</f>
        <v>56.068867469921081</v>
      </c>
      <c r="I4" s="2">
        <f>('[1]Pc, Summer, S2'!I4*Main!$B$5)+(_xlfn.IFNA(VLOOKUP($A4,'FL Ratio'!$A$3:$B$10,2,FALSE),0)*'FL Characterization'!I$2)</f>
        <v>62.89613261604449</v>
      </c>
      <c r="J4" s="2">
        <f>('[1]Pc, Summer, S2'!J4*Main!$B$5)+(_xlfn.IFNA(VLOOKUP($A4,'FL Ratio'!$A$3:$B$10,2,FALSE),0)*'FL Characterization'!J$2)</f>
        <v>70.761842394174479</v>
      </c>
      <c r="K4" s="2">
        <f>('[1]Pc, Summer, S2'!K4*Main!$B$5)+(_xlfn.IFNA(VLOOKUP($A4,'FL Ratio'!$A$3:$B$10,2,FALSE),0)*'FL Characterization'!K$2)</f>
        <v>76.076141501255975</v>
      </c>
      <c r="L4" s="2">
        <f>('[1]Pc, Summer, S2'!L4*Main!$B$5)+(_xlfn.IFNA(VLOOKUP($A4,'FL Ratio'!$A$3:$B$10,2,FALSE),0)*'FL Characterization'!L$2)</f>
        <v>78.292654497886133</v>
      </c>
      <c r="M4" s="2">
        <f>('[1]Pc, Summer, S2'!M4*Main!$B$5)+(_xlfn.IFNA(VLOOKUP($A4,'FL Ratio'!$A$3:$B$10,2,FALSE),0)*'FL Characterization'!M$2)</f>
        <v>79.599511881079408</v>
      </c>
      <c r="N4" s="2">
        <f>('[1]Pc, Summer, S2'!N4*Main!$B$5)+(_xlfn.IFNA(VLOOKUP($A4,'FL Ratio'!$A$3:$B$10,2,FALSE),0)*'FL Characterization'!N$2)</f>
        <v>81.37022556584796</v>
      </c>
      <c r="O4" s="2">
        <f>('[1]Pc, Summer, S2'!O4*Main!$B$5)+(_xlfn.IFNA(VLOOKUP($A4,'FL Ratio'!$A$3:$B$10,2,FALSE),0)*'FL Characterization'!O$2)</f>
        <v>82.518136384771012</v>
      </c>
      <c r="P4" s="2">
        <f>('[1]Pc, Summer, S2'!P4*Main!$B$5)+(_xlfn.IFNA(VLOOKUP($A4,'FL Ratio'!$A$3:$B$10,2,FALSE),0)*'FL Characterization'!P$2)</f>
        <v>82.87360091482023</v>
      </c>
      <c r="Q4" s="2">
        <f>('[1]Pc, Summer, S2'!Q4*Main!$B$5)+(_xlfn.IFNA(VLOOKUP($A4,'FL Ratio'!$A$3:$B$10,2,FALSE),0)*'FL Characterization'!Q$2)</f>
        <v>79.773288616318212</v>
      </c>
      <c r="R4" s="2">
        <f>('[1]Pc, Summer, S2'!R4*Main!$B$5)+(_xlfn.IFNA(VLOOKUP($A4,'FL Ratio'!$A$3:$B$10,2,FALSE),0)*'FL Characterization'!R$2)</f>
        <v>79.322855395055015</v>
      </c>
      <c r="S4" s="2">
        <f>('[1]Pc, Summer, S2'!S4*Main!$B$5)+(_xlfn.IFNA(VLOOKUP($A4,'FL Ratio'!$A$3:$B$10,2,FALSE),0)*'FL Characterization'!S$2)</f>
        <v>76.903640109954054</v>
      </c>
      <c r="T4" s="2">
        <f>('[1]Pc, Summer, S2'!T4*Main!$B$5)+(_xlfn.IFNA(VLOOKUP($A4,'FL Ratio'!$A$3:$B$10,2,FALSE),0)*'FL Characterization'!T$2)</f>
        <v>76.774865259737865</v>
      </c>
      <c r="U4" s="2">
        <f>('[1]Pc, Summer, S2'!U4*Main!$B$5)+(_xlfn.IFNA(VLOOKUP($A4,'FL Ratio'!$A$3:$B$10,2,FALSE),0)*'FL Characterization'!U$2)</f>
        <v>77.177824477622082</v>
      </c>
      <c r="V4" s="2">
        <f>('[1]Pc, Summer, S2'!V4*Main!$B$5)+(_xlfn.IFNA(VLOOKUP($A4,'FL Ratio'!$A$3:$B$10,2,FALSE),0)*'FL Characterization'!V$2)</f>
        <v>76.820486221292825</v>
      </c>
      <c r="W4" s="2">
        <f>('[1]Pc, Summer, S2'!W4*Main!$B$5)+(_xlfn.IFNA(VLOOKUP($A4,'FL Ratio'!$A$3:$B$10,2,FALSE),0)*'FL Characterization'!W$2)</f>
        <v>79.240644719415968</v>
      </c>
      <c r="X4" s="2">
        <f>('[1]Pc, Summer, S2'!X4*Main!$B$5)+(_xlfn.IFNA(VLOOKUP($A4,'FL Ratio'!$A$3:$B$10,2,FALSE),0)*'FL Characterization'!X$2)</f>
        <v>79.190099112044805</v>
      </c>
      <c r="Y4" s="2">
        <f>('[1]Pc, Summer, S2'!Y4*Main!$B$5)+(_xlfn.IFNA(VLOOKUP($A4,'FL Ratio'!$A$3:$B$10,2,FALSE),0)*'FL Characterization'!Y$2)</f>
        <v>71.477232614432651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42.919440090837661</v>
      </c>
      <c r="C2" s="2">
        <f>('[1]Pc, Summer, S2'!C2*Main!$B$5)+(_xlfn.IFNA(VLOOKUP($A2,'FL Ratio'!$A$3:$B$10,2,FALSE),0)*'FL Characterization'!C$2)</f>
        <v>38.994231998630639</v>
      </c>
      <c r="D2" s="2">
        <f>('[1]Pc, Summer, S2'!D2*Main!$B$5)+(_xlfn.IFNA(VLOOKUP($A2,'FL Ratio'!$A$3:$B$10,2,FALSE),0)*'FL Characterization'!D$2)</f>
        <v>38.313104111464085</v>
      </c>
      <c r="E2" s="2">
        <f>('[1]Pc, Summer, S2'!E2*Main!$B$5)+(_xlfn.IFNA(VLOOKUP($A2,'FL Ratio'!$A$3:$B$10,2,FALSE),0)*'FL Characterization'!E$2)</f>
        <v>38.215230833115797</v>
      </c>
      <c r="F2" s="2">
        <f>('[1]Pc, Summer, S2'!F2*Main!$B$5)+(_xlfn.IFNA(VLOOKUP($A2,'FL Ratio'!$A$3:$B$10,2,FALSE),0)*'FL Characterization'!F$2)</f>
        <v>38.218243726132549</v>
      </c>
      <c r="G2" s="2">
        <f>('[1]Pc, Summer, S2'!G2*Main!$B$5)+(_xlfn.IFNA(VLOOKUP($A2,'FL Ratio'!$A$3:$B$10,2,FALSE),0)*'FL Characterization'!G$2)</f>
        <v>37.880252745747434</v>
      </c>
      <c r="H2" s="2">
        <f>('[1]Pc, Summer, S2'!H2*Main!$B$5)+(_xlfn.IFNA(VLOOKUP($A2,'FL Ratio'!$A$3:$B$10,2,FALSE),0)*'FL Characterization'!H$2)</f>
        <v>40.895114290904537</v>
      </c>
      <c r="I2" s="2">
        <f>('[1]Pc, Summer, S2'!I2*Main!$B$5)+(_xlfn.IFNA(VLOOKUP($A2,'FL Ratio'!$A$3:$B$10,2,FALSE),0)*'FL Characterization'!I$2)</f>
        <v>48.55249166372802</v>
      </c>
      <c r="J2" s="2">
        <f>('[1]Pc, Summer, S2'!J2*Main!$B$5)+(_xlfn.IFNA(VLOOKUP($A2,'FL Ratio'!$A$3:$B$10,2,FALSE),0)*'FL Characterization'!J$2)</f>
        <v>55.336034751083311</v>
      </c>
      <c r="K2" s="2">
        <f>('[1]Pc, Summer, S2'!K2*Main!$B$5)+(_xlfn.IFNA(VLOOKUP($A2,'FL Ratio'!$A$3:$B$10,2,FALSE),0)*'FL Characterization'!K$2)</f>
        <v>57.036403152603768</v>
      </c>
      <c r="L2" s="2">
        <f>('[1]Pc, Summer, S2'!L2*Main!$B$5)+(_xlfn.IFNA(VLOOKUP($A2,'FL Ratio'!$A$3:$B$10,2,FALSE),0)*'FL Characterization'!L$2)</f>
        <v>56.459209968895685</v>
      </c>
      <c r="M2" s="2">
        <f>('[1]Pc, Summer, S2'!M2*Main!$B$5)+(_xlfn.IFNA(VLOOKUP($A2,'FL Ratio'!$A$3:$B$10,2,FALSE),0)*'FL Characterization'!M$2)</f>
        <v>58.055797824383291</v>
      </c>
      <c r="N2" s="2">
        <f>('[1]Pc, Summer, S2'!N2*Main!$B$5)+(_xlfn.IFNA(VLOOKUP($A2,'FL Ratio'!$A$3:$B$10,2,FALSE),0)*'FL Characterization'!N$2)</f>
        <v>58.852200959454258</v>
      </c>
      <c r="O2" s="2">
        <f>('[1]Pc, Summer, S2'!O2*Main!$B$5)+(_xlfn.IFNA(VLOOKUP($A2,'FL Ratio'!$A$3:$B$10,2,FALSE),0)*'FL Characterization'!O$2)</f>
        <v>57.763545497329602</v>
      </c>
      <c r="P2" s="2">
        <f>('[1]Pc, Summer, S2'!P2*Main!$B$5)+(_xlfn.IFNA(VLOOKUP($A2,'FL Ratio'!$A$3:$B$10,2,FALSE),0)*'FL Characterization'!P$2)</f>
        <v>55.506422900602495</v>
      </c>
      <c r="Q2" s="2">
        <f>('[1]Pc, Summer, S2'!Q2*Main!$B$5)+(_xlfn.IFNA(VLOOKUP($A2,'FL Ratio'!$A$3:$B$10,2,FALSE),0)*'FL Characterization'!Q$2)</f>
        <v>53.272385139191236</v>
      </c>
      <c r="R2" s="2">
        <f>('[1]Pc, Summer, S2'!R2*Main!$B$5)+(_xlfn.IFNA(VLOOKUP($A2,'FL Ratio'!$A$3:$B$10,2,FALSE),0)*'FL Characterization'!R$2)</f>
        <v>54.201813668238024</v>
      </c>
      <c r="S2" s="2">
        <f>('[1]Pc, Summer, S2'!S2*Main!$B$5)+(_xlfn.IFNA(VLOOKUP($A2,'FL Ratio'!$A$3:$B$10,2,FALSE),0)*'FL Characterization'!S$2)</f>
        <v>54.737314047549191</v>
      </c>
      <c r="T2" s="2">
        <f>('[1]Pc, Summer, S2'!T2*Main!$B$5)+(_xlfn.IFNA(VLOOKUP($A2,'FL Ratio'!$A$3:$B$10,2,FALSE),0)*'FL Characterization'!T$2)</f>
        <v>54.969653611813378</v>
      </c>
      <c r="U2" s="2">
        <f>('[1]Pc, Summer, S2'!U2*Main!$B$5)+(_xlfn.IFNA(VLOOKUP($A2,'FL Ratio'!$A$3:$B$10,2,FALSE),0)*'FL Characterization'!U$2)</f>
        <v>54.059653129985058</v>
      </c>
      <c r="V2" s="2">
        <f>('[1]Pc, Summer, S2'!V2*Main!$B$5)+(_xlfn.IFNA(VLOOKUP($A2,'FL Ratio'!$A$3:$B$10,2,FALSE),0)*'FL Characterization'!V$2)</f>
        <v>54.222078573979971</v>
      </c>
      <c r="W2" s="2">
        <f>('[1]Pc, Summer, S2'!W2*Main!$B$5)+(_xlfn.IFNA(VLOOKUP($A2,'FL Ratio'!$A$3:$B$10,2,FALSE),0)*'FL Characterization'!W$2)</f>
        <v>56.467846990822956</v>
      </c>
      <c r="X2" s="2">
        <f>('[1]Pc, Summer, S2'!X2*Main!$B$5)+(_xlfn.IFNA(VLOOKUP($A2,'FL Ratio'!$A$3:$B$10,2,FALSE),0)*'FL Characterization'!X$2)</f>
        <v>52.634868106225369</v>
      </c>
      <c r="Y2" s="2">
        <f>('[1]Pc, Summer, S2'!Y2*Main!$B$5)+(_xlfn.IFNA(VLOOKUP($A2,'FL Ratio'!$A$3:$B$10,2,FALSE),0)*'FL Characterization'!Y$2)</f>
        <v>48.250090106166439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46.481815816391318</v>
      </c>
      <c r="C3" s="2">
        <f>('[1]Pc, Summer, S2'!C3*Main!$B$5)+(_xlfn.IFNA(VLOOKUP($A3,'FL Ratio'!$A$3:$B$10,2,FALSE),0)*'FL Characterization'!C$2)</f>
        <v>42.687168328372906</v>
      </c>
      <c r="D3" s="2">
        <f>('[1]Pc, Summer, S2'!D3*Main!$B$5)+(_xlfn.IFNA(VLOOKUP($A3,'FL Ratio'!$A$3:$B$10,2,FALSE),0)*'FL Characterization'!D$2)</f>
        <v>40.427435632851029</v>
      </c>
      <c r="E3" s="2">
        <f>('[1]Pc, Summer, S2'!E3*Main!$B$5)+(_xlfn.IFNA(VLOOKUP($A3,'FL Ratio'!$A$3:$B$10,2,FALSE),0)*'FL Characterization'!E$2)</f>
        <v>38.942845619403244</v>
      </c>
      <c r="F3" s="2">
        <f>('[1]Pc, Summer, S2'!F3*Main!$B$5)+(_xlfn.IFNA(VLOOKUP($A3,'FL Ratio'!$A$3:$B$10,2,FALSE),0)*'FL Characterization'!F$2)</f>
        <v>38.47305919943166</v>
      </c>
      <c r="G3" s="2">
        <f>('[1]Pc, Summer, S2'!G3*Main!$B$5)+(_xlfn.IFNA(VLOOKUP($A3,'FL Ratio'!$A$3:$B$10,2,FALSE),0)*'FL Characterization'!G$2)</f>
        <v>40.775705474896398</v>
      </c>
      <c r="H3" s="2">
        <f>('[1]Pc, Summer, S2'!H3*Main!$B$5)+(_xlfn.IFNA(VLOOKUP($A3,'FL Ratio'!$A$3:$B$10,2,FALSE),0)*'FL Characterization'!H$2)</f>
        <v>51.036425129424963</v>
      </c>
      <c r="I3" s="2">
        <f>('[1]Pc, Summer, S2'!I3*Main!$B$5)+(_xlfn.IFNA(VLOOKUP($A3,'FL Ratio'!$A$3:$B$10,2,FALSE),0)*'FL Characterization'!I$2)</f>
        <v>60.467240747574998</v>
      </c>
      <c r="J3" s="2">
        <f>('[1]Pc, Summer, S2'!J3*Main!$B$5)+(_xlfn.IFNA(VLOOKUP($A3,'FL Ratio'!$A$3:$B$10,2,FALSE),0)*'FL Characterization'!J$2)</f>
        <v>63.045781165869194</v>
      </c>
      <c r="K3" s="2">
        <f>('[1]Pc, Summer, S2'!K3*Main!$B$5)+(_xlfn.IFNA(VLOOKUP($A3,'FL Ratio'!$A$3:$B$10,2,FALSE),0)*'FL Characterization'!K$2)</f>
        <v>61.88794347827578</v>
      </c>
      <c r="L3" s="2">
        <f>('[1]Pc, Summer, S2'!L3*Main!$B$5)+(_xlfn.IFNA(VLOOKUP($A3,'FL Ratio'!$A$3:$B$10,2,FALSE),0)*'FL Characterization'!L$2)</f>
        <v>61.656447590867465</v>
      </c>
      <c r="M3" s="2">
        <f>('[1]Pc, Summer, S2'!M3*Main!$B$5)+(_xlfn.IFNA(VLOOKUP($A3,'FL Ratio'!$A$3:$B$10,2,FALSE),0)*'FL Characterization'!M$2)</f>
        <v>65.753561916230041</v>
      </c>
      <c r="N3" s="2">
        <f>('[1]Pc, Summer, S2'!N3*Main!$B$5)+(_xlfn.IFNA(VLOOKUP($A3,'FL Ratio'!$A$3:$B$10,2,FALSE),0)*'FL Characterization'!N$2)</f>
        <v>65.96843855904045</v>
      </c>
      <c r="O3" s="2">
        <f>('[1]Pc, Summer, S2'!O3*Main!$B$5)+(_xlfn.IFNA(VLOOKUP($A3,'FL Ratio'!$A$3:$B$10,2,FALSE),0)*'FL Characterization'!O$2)</f>
        <v>66.454624094288249</v>
      </c>
      <c r="P3" s="2">
        <f>('[1]Pc, Summer, S2'!P3*Main!$B$5)+(_xlfn.IFNA(VLOOKUP($A3,'FL Ratio'!$A$3:$B$10,2,FALSE),0)*'FL Characterization'!P$2)</f>
        <v>63.244710215543464</v>
      </c>
      <c r="Q3" s="2">
        <f>('[1]Pc, Summer, S2'!Q3*Main!$B$5)+(_xlfn.IFNA(VLOOKUP($A3,'FL Ratio'!$A$3:$B$10,2,FALSE),0)*'FL Characterization'!Q$2)</f>
        <v>59.915676361155192</v>
      </c>
      <c r="R3" s="2">
        <f>('[1]Pc, Summer, S2'!R3*Main!$B$5)+(_xlfn.IFNA(VLOOKUP($A3,'FL Ratio'!$A$3:$B$10,2,FALSE),0)*'FL Characterization'!R$2)</f>
        <v>55.401114347198195</v>
      </c>
      <c r="S3" s="2">
        <f>('[1]Pc, Summer, S2'!S3*Main!$B$5)+(_xlfn.IFNA(VLOOKUP($A3,'FL Ratio'!$A$3:$B$10,2,FALSE),0)*'FL Characterization'!S$2)</f>
        <v>56.050085217908432</v>
      </c>
      <c r="T3" s="2">
        <f>('[1]Pc, Summer, S2'!T3*Main!$B$5)+(_xlfn.IFNA(VLOOKUP($A3,'FL Ratio'!$A$3:$B$10,2,FALSE),0)*'FL Characterization'!T$2)</f>
        <v>55.523384221389982</v>
      </c>
      <c r="U3" s="2">
        <f>('[1]Pc, Summer, S2'!U3*Main!$B$5)+(_xlfn.IFNA(VLOOKUP($A3,'FL Ratio'!$A$3:$B$10,2,FALSE),0)*'FL Characterization'!U$2)</f>
        <v>55.301272674781238</v>
      </c>
      <c r="V3" s="2">
        <f>('[1]Pc, Summer, S2'!V3*Main!$B$5)+(_xlfn.IFNA(VLOOKUP($A3,'FL Ratio'!$A$3:$B$10,2,FALSE),0)*'FL Characterization'!V$2)</f>
        <v>55.574028547978294</v>
      </c>
      <c r="W3" s="2">
        <f>('[1]Pc, Summer, S2'!W3*Main!$B$5)+(_xlfn.IFNA(VLOOKUP($A3,'FL Ratio'!$A$3:$B$10,2,FALSE),0)*'FL Characterization'!W$2)</f>
        <v>55.268956771148694</v>
      </c>
      <c r="X3" s="2">
        <f>('[1]Pc, Summer, S2'!X3*Main!$B$5)+(_xlfn.IFNA(VLOOKUP($A3,'FL Ratio'!$A$3:$B$10,2,FALSE),0)*'FL Characterization'!X$2)</f>
        <v>55.059864266135762</v>
      </c>
      <c r="Y3" s="2">
        <f>('[1]Pc, Summer, S2'!Y3*Main!$B$5)+(_xlfn.IFNA(VLOOKUP($A3,'FL Ratio'!$A$3:$B$10,2,FALSE),0)*'FL Characterization'!Y$2)</f>
        <v>52.125192626518135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61.640915696341452</v>
      </c>
      <c r="C4" s="2">
        <f>('[1]Pc, Summer, S2'!C4*Main!$B$5)+(_xlfn.IFNA(VLOOKUP($A4,'FL Ratio'!$A$3:$B$10,2,FALSE),0)*'FL Characterization'!C$2)</f>
        <v>54.716316153718765</v>
      </c>
      <c r="D4" s="2">
        <f>('[1]Pc, Summer, S2'!D4*Main!$B$5)+(_xlfn.IFNA(VLOOKUP($A4,'FL Ratio'!$A$3:$B$10,2,FALSE),0)*'FL Characterization'!D$2)</f>
        <v>51.586484735135002</v>
      </c>
      <c r="E4" s="2">
        <f>('[1]Pc, Summer, S2'!E4*Main!$B$5)+(_xlfn.IFNA(VLOOKUP($A4,'FL Ratio'!$A$3:$B$10,2,FALSE),0)*'FL Characterization'!E$2)</f>
        <v>49.894339483936044</v>
      </c>
      <c r="F4" s="2">
        <f>('[1]Pc, Summer, S2'!F4*Main!$B$5)+(_xlfn.IFNA(VLOOKUP($A4,'FL Ratio'!$A$3:$B$10,2,FALSE),0)*'FL Characterization'!F$2)</f>
        <v>52.266655930498054</v>
      </c>
      <c r="G4" s="2">
        <f>('[1]Pc, Summer, S2'!G4*Main!$B$5)+(_xlfn.IFNA(VLOOKUP($A4,'FL Ratio'!$A$3:$B$10,2,FALSE),0)*'FL Characterization'!G$2)</f>
        <v>47.729756995622964</v>
      </c>
      <c r="H4" s="2">
        <f>('[1]Pc, Summer, S2'!H4*Main!$B$5)+(_xlfn.IFNA(VLOOKUP($A4,'FL Ratio'!$A$3:$B$10,2,FALSE),0)*'FL Characterization'!H$2)</f>
        <v>56.068867469921081</v>
      </c>
      <c r="I4" s="2">
        <f>('[1]Pc, Summer, S2'!I4*Main!$B$5)+(_xlfn.IFNA(VLOOKUP($A4,'FL Ratio'!$A$3:$B$10,2,FALSE),0)*'FL Characterization'!I$2)</f>
        <v>62.89613261604449</v>
      </c>
      <c r="J4" s="2">
        <f>('[1]Pc, Summer, S2'!J4*Main!$B$5)+(_xlfn.IFNA(VLOOKUP($A4,'FL Ratio'!$A$3:$B$10,2,FALSE),0)*'FL Characterization'!J$2)</f>
        <v>70.761842394174479</v>
      </c>
      <c r="K4" s="2">
        <f>('[1]Pc, Summer, S2'!K4*Main!$B$5)+(_xlfn.IFNA(VLOOKUP($A4,'FL Ratio'!$A$3:$B$10,2,FALSE),0)*'FL Characterization'!K$2)</f>
        <v>76.076141501255975</v>
      </c>
      <c r="L4" s="2">
        <f>('[1]Pc, Summer, S2'!L4*Main!$B$5)+(_xlfn.IFNA(VLOOKUP($A4,'FL Ratio'!$A$3:$B$10,2,FALSE),0)*'FL Characterization'!L$2)</f>
        <v>78.292654497886133</v>
      </c>
      <c r="M4" s="2">
        <f>('[1]Pc, Summer, S2'!M4*Main!$B$5)+(_xlfn.IFNA(VLOOKUP($A4,'FL Ratio'!$A$3:$B$10,2,FALSE),0)*'FL Characterization'!M$2)</f>
        <v>79.599511881079408</v>
      </c>
      <c r="N4" s="2">
        <f>('[1]Pc, Summer, S2'!N4*Main!$B$5)+(_xlfn.IFNA(VLOOKUP($A4,'FL Ratio'!$A$3:$B$10,2,FALSE),0)*'FL Characterization'!N$2)</f>
        <v>81.37022556584796</v>
      </c>
      <c r="O4" s="2">
        <f>('[1]Pc, Summer, S2'!O4*Main!$B$5)+(_xlfn.IFNA(VLOOKUP($A4,'FL Ratio'!$A$3:$B$10,2,FALSE),0)*'FL Characterization'!O$2)</f>
        <v>82.518136384771012</v>
      </c>
      <c r="P4" s="2">
        <f>('[1]Pc, Summer, S2'!P4*Main!$B$5)+(_xlfn.IFNA(VLOOKUP($A4,'FL Ratio'!$A$3:$B$10,2,FALSE),0)*'FL Characterization'!P$2)</f>
        <v>82.87360091482023</v>
      </c>
      <c r="Q4" s="2">
        <f>('[1]Pc, Summer, S2'!Q4*Main!$B$5)+(_xlfn.IFNA(VLOOKUP($A4,'FL Ratio'!$A$3:$B$10,2,FALSE),0)*'FL Characterization'!Q$2)</f>
        <v>79.773288616318212</v>
      </c>
      <c r="R4" s="2">
        <f>('[1]Pc, Summer, S2'!R4*Main!$B$5)+(_xlfn.IFNA(VLOOKUP($A4,'FL Ratio'!$A$3:$B$10,2,FALSE),0)*'FL Characterization'!R$2)</f>
        <v>79.322855395055015</v>
      </c>
      <c r="S4" s="2">
        <f>('[1]Pc, Summer, S2'!S4*Main!$B$5)+(_xlfn.IFNA(VLOOKUP($A4,'FL Ratio'!$A$3:$B$10,2,FALSE),0)*'FL Characterization'!S$2)</f>
        <v>76.903640109954054</v>
      </c>
      <c r="T4" s="2">
        <f>('[1]Pc, Summer, S2'!T4*Main!$B$5)+(_xlfn.IFNA(VLOOKUP($A4,'FL Ratio'!$A$3:$B$10,2,FALSE),0)*'FL Characterization'!T$2)</f>
        <v>76.774865259737865</v>
      </c>
      <c r="U4" s="2">
        <f>('[1]Pc, Summer, S2'!U4*Main!$B$5)+(_xlfn.IFNA(VLOOKUP($A4,'FL Ratio'!$A$3:$B$10,2,FALSE),0)*'FL Characterization'!U$2)</f>
        <v>77.177824477622082</v>
      </c>
      <c r="V4" s="2">
        <f>('[1]Pc, Summer, S2'!V4*Main!$B$5)+(_xlfn.IFNA(VLOOKUP($A4,'FL Ratio'!$A$3:$B$10,2,FALSE),0)*'FL Characterization'!V$2)</f>
        <v>76.820486221292825</v>
      </c>
      <c r="W4" s="2">
        <f>('[1]Pc, Summer, S2'!W4*Main!$B$5)+(_xlfn.IFNA(VLOOKUP($A4,'FL Ratio'!$A$3:$B$10,2,FALSE),0)*'FL Characterization'!W$2)</f>
        <v>79.240644719415968</v>
      </c>
      <c r="X4" s="2">
        <f>('[1]Pc, Summer, S2'!X4*Main!$B$5)+(_xlfn.IFNA(VLOOKUP($A4,'FL Ratio'!$A$3:$B$10,2,FALSE),0)*'FL Characterization'!X$2)</f>
        <v>79.190099112044805</v>
      </c>
      <c r="Y4" s="2">
        <f>('[1]Pc, Summer, S2'!Y4*Main!$B$5)+(_xlfn.IFNA(VLOOKUP($A4,'FL Ratio'!$A$3:$B$10,2,FALSE),0)*'FL Characterization'!Y$2)</f>
        <v>71.477232614432651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40.835972125263012</v>
      </c>
      <c r="C2" s="2">
        <f>('[1]Pc, Summer, S3'!C2*Main!$B$5)+(_xlfn.IFNA(VLOOKUP($A2,'FL Ratio'!$A$3:$B$10,2,FALSE),0)*'FL Characterization'!C$2)</f>
        <v>37.101308115201967</v>
      </c>
      <c r="D2" s="2">
        <f>('[1]Pc, Summer, S3'!D2*Main!$B$5)+(_xlfn.IFNA(VLOOKUP($A2,'FL Ratio'!$A$3:$B$10,2,FALSE),0)*'FL Characterization'!D$2)</f>
        <v>36.453244688577485</v>
      </c>
      <c r="E2" s="2">
        <f>('[1]Pc, Summer, S3'!E2*Main!$B$5)+(_xlfn.IFNA(VLOOKUP($A2,'FL Ratio'!$A$3:$B$10,2,FALSE),0)*'FL Characterization'!E$2)</f>
        <v>36.360122540246095</v>
      </c>
      <c r="F2" s="2">
        <f>('[1]Pc, Summer, S3'!F2*Main!$B$5)+(_xlfn.IFNA(VLOOKUP($A2,'FL Ratio'!$A$3:$B$10,2,FALSE),0)*'FL Characterization'!F$2)</f>
        <v>36.362989176320283</v>
      </c>
      <c r="G2" s="2">
        <f>('[1]Pc, Summer, S3'!G2*Main!$B$5)+(_xlfn.IFNA(VLOOKUP($A2,'FL Ratio'!$A$3:$B$10,2,FALSE),0)*'FL Characterization'!G$2)</f>
        <v>36.04140552508008</v>
      </c>
      <c r="H2" s="2">
        <f>('[1]Pc, Summer, S3'!H2*Main!$B$5)+(_xlfn.IFNA(VLOOKUP($A2,'FL Ratio'!$A$3:$B$10,2,FALSE),0)*'FL Characterization'!H$2)</f>
        <v>38.909914568045096</v>
      </c>
      <c r="I2" s="2">
        <f>('[1]Pc, Summer, S3'!I2*Main!$B$5)+(_xlfn.IFNA(VLOOKUP($A2,'FL Ratio'!$A$3:$B$10,2,FALSE),0)*'FL Characterization'!I$2)</f>
        <v>46.195574592673267</v>
      </c>
      <c r="J2" s="2">
        <f>('[1]Pc, Summer, S3'!J2*Main!$B$5)+(_xlfn.IFNA(VLOOKUP($A2,'FL Ratio'!$A$3:$B$10,2,FALSE),0)*'FL Characterization'!J$2)</f>
        <v>52.649819471904507</v>
      </c>
      <c r="K2" s="2">
        <f>('[1]Pc, Summer, S3'!K2*Main!$B$5)+(_xlfn.IFNA(VLOOKUP($A2,'FL Ratio'!$A$3:$B$10,2,FALSE),0)*'FL Characterization'!K$2)</f>
        <v>54.267645718011345</v>
      </c>
      <c r="L2" s="2">
        <f>('[1]Pc, Summer, S3'!L2*Main!$B$5)+(_xlfn.IFNA(VLOOKUP($A2,'FL Ratio'!$A$3:$B$10,2,FALSE),0)*'FL Characterization'!L$2)</f>
        <v>53.718471620891052</v>
      </c>
      <c r="M2" s="2">
        <f>('[1]Pc, Summer, S3'!M2*Main!$B$5)+(_xlfn.IFNA(VLOOKUP($A2,'FL Ratio'!$A$3:$B$10,2,FALSE),0)*'FL Characterization'!M$2)</f>
        <v>55.23755521154915</v>
      </c>
      <c r="N2" s="2">
        <f>('[1]Pc, Summer, S3'!N2*Main!$B$5)+(_xlfn.IFNA(VLOOKUP($A2,'FL Ratio'!$A$3:$B$10,2,FALSE),0)*'FL Characterization'!N$2)</f>
        <v>55.995298000257449</v>
      </c>
      <c r="O2" s="2">
        <f>('[1]Pc, Summer, S3'!O2*Main!$B$5)+(_xlfn.IFNA(VLOOKUP($A2,'FL Ratio'!$A$3:$B$10,2,FALSE),0)*'FL Characterization'!O$2)</f>
        <v>54.959489890663114</v>
      </c>
      <c r="P2" s="2">
        <f>('[1]Pc, Summer, S3'!P2*Main!$B$5)+(_xlfn.IFNA(VLOOKUP($A2,'FL Ratio'!$A$3:$B$10,2,FALSE),0)*'FL Characterization'!P$2)</f>
        <v>52.811936352029555</v>
      </c>
      <c r="Q2" s="2">
        <f>('[1]Pc, Summer, S3'!Q2*Main!$B$5)+(_xlfn.IFNA(VLOOKUP($A2,'FL Ratio'!$A$3:$B$10,2,FALSE),0)*'FL Characterization'!Q$2)</f>
        <v>50.686347025638263</v>
      </c>
      <c r="R2" s="2">
        <f>('[1]Pc, Summer, S3'!R2*Main!$B$5)+(_xlfn.IFNA(VLOOKUP($A2,'FL Ratio'!$A$3:$B$10,2,FALSE),0)*'FL Characterization'!R$2)</f>
        <v>51.570657664925491</v>
      </c>
      <c r="S2" s="2">
        <f>('[1]Pc, Summer, S3'!S2*Main!$B$5)+(_xlfn.IFNA(VLOOKUP($A2,'FL Ratio'!$A$3:$B$10,2,FALSE),0)*'FL Characterization'!S$2)</f>
        <v>52.080162880192439</v>
      </c>
      <c r="T2" s="2">
        <f>('[1]Pc, Summer, S3'!T2*Main!$B$5)+(_xlfn.IFNA(VLOOKUP($A2,'FL Ratio'!$A$3:$B$10,2,FALSE),0)*'FL Characterization'!T$2)</f>
        <v>52.301223824832142</v>
      </c>
      <c r="U2" s="2">
        <f>('[1]Pc, Summer, S3'!U2*Main!$B$5)+(_xlfn.IFNA(VLOOKUP($A2,'FL Ratio'!$A$3:$B$10,2,FALSE),0)*'FL Characterization'!U$2)</f>
        <v>51.435398123675107</v>
      </c>
      <c r="V2" s="2">
        <f>('[1]Pc, Summer, S3'!V2*Main!$B$5)+(_xlfn.IFNA(VLOOKUP($A2,'FL Ratio'!$A$3:$B$10,2,FALSE),0)*'FL Characterization'!V$2)</f>
        <v>51.589938837378995</v>
      </c>
      <c r="W2" s="2">
        <f>('[1]Pc, Summer, S3'!W2*Main!$B$5)+(_xlfn.IFNA(VLOOKUP($A2,'FL Ratio'!$A$3:$B$10,2,FALSE),0)*'FL Characterization'!W$2)</f>
        <v>53.726689369909231</v>
      </c>
      <c r="X2" s="2">
        <f>('[1]Pc, Summer, S3'!X2*Main!$B$5)+(_xlfn.IFNA(VLOOKUP($A2,'FL Ratio'!$A$3:$B$10,2,FALSE),0)*'FL Characterization'!X$2)</f>
        <v>50.079777421457152</v>
      </c>
      <c r="Y2" s="2">
        <f>('[1]Pc, Summer, S3'!Y2*Main!$B$5)+(_xlfn.IFNA(VLOOKUP($A2,'FL Ratio'!$A$3:$B$10,2,FALSE),0)*'FL Characterization'!Y$2)</f>
        <v>45.907852722371949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44.369307285798342</v>
      </c>
      <c r="C3" s="2">
        <f>('[1]Pc, Summer, S3'!C3*Main!$B$5)+(_xlfn.IFNA(VLOOKUP($A3,'FL Ratio'!$A$3:$B$10,2,FALSE),0)*'FL Characterization'!C$2)</f>
        <v>40.763665841789425</v>
      </c>
      <c r="D3" s="2">
        <f>('[1]Pc, Summer, S3'!D3*Main!$B$5)+(_xlfn.IFNA(VLOOKUP($A3,'FL Ratio'!$A$3:$B$10,2,FALSE),0)*'FL Characterization'!D$2)</f>
        <v>38.598082059894523</v>
      </c>
      <c r="E3" s="2">
        <f>('[1]Pc, Summer, S3'!E3*Main!$B$5)+(_xlfn.IFNA(VLOOKUP($A3,'FL Ratio'!$A$3:$B$10,2,FALSE),0)*'FL Characterization'!E$2)</f>
        <v>37.178617293131232</v>
      </c>
      <c r="F3" s="2">
        <f>('[1]Pc, Summer, S3'!F3*Main!$B$5)+(_xlfn.IFNA(VLOOKUP($A3,'FL Ratio'!$A$3:$B$10,2,FALSE),0)*'FL Characterization'!F$2)</f>
        <v>36.708830873159648</v>
      </c>
      <c r="G3" s="2">
        <f>('[1]Pc, Summer, S3'!G3*Main!$B$5)+(_xlfn.IFNA(VLOOKUP($A3,'FL Ratio'!$A$3:$B$10,2,FALSE),0)*'FL Characterization'!G$2)</f>
        <v>38.884057699209329</v>
      </c>
      <c r="H3" s="2">
        <f>('[1]Pc, Summer, S3'!H3*Main!$B$5)+(_xlfn.IFNA(VLOOKUP($A3,'FL Ratio'!$A$3:$B$10,2,FALSE),0)*'FL Characterization'!H$2)</f>
        <v>48.666246503594131</v>
      </c>
      <c r="I3" s="2">
        <f>('[1]Pc, Summer, S3'!I3*Main!$B$5)+(_xlfn.IFNA(VLOOKUP($A3,'FL Ratio'!$A$3:$B$10,2,FALSE),0)*'FL Characterization'!I$2)</f>
        <v>57.550575285470934</v>
      </c>
      <c r="J3" s="2">
        <f>('[1]Pc, Summer, S3'!J3*Main!$B$5)+(_xlfn.IFNA(VLOOKUP($A3,'FL Ratio'!$A$3:$B$10,2,FALSE),0)*'FL Characterization'!J$2)</f>
        <v>60.001696101697007</v>
      </c>
      <c r="K3" s="2">
        <f>('[1]Pc, Summer, S3'!K3*Main!$B$5)+(_xlfn.IFNA(VLOOKUP($A3,'FL Ratio'!$A$3:$B$10,2,FALSE),0)*'FL Characterization'!K$2)</f>
        <v>58.907568291065608</v>
      </c>
      <c r="L3" s="2">
        <f>('[1]Pc, Summer, S3'!L3*Main!$B$5)+(_xlfn.IFNA(VLOOKUP($A3,'FL Ratio'!$A$3:$B$10,2,FALSE),0)*'FL Characterization'!L$2)</f>
        <v>58.677487925235702</v>
      </c>
      <c r="M3" s="2">
        <f>('[1]Pc, Summer, S3'!M3*Main!$B$5)+(_xlfn.IFNA(VLOOKUP($A3,'FL Ratio'!$A$3:$B$10,2,FALSE),0)*'FL Characterization'!M$2)</f>
        <v>62.57922529490024</v>
      </c>
      <c r="N3" s="2">
        <f>('[1]Pc, Summer, S3'!N3*Main!$B$5)+(_xlfn.IFNA(VLOOKUP($A3,'FL Ratio'!$A$3:$B$10,2,FALSE),0)*'FL Characterization'!N$2)</f>
        <v>62.79410193771065</v>
      </c>
      <c r="O3" s="2">
        <f>('[1]Pc, Summer, S3'!O3*Main!$B$5)+(_xlfn.IFNA(VLOOKUP($A3,'FL Ratio'!$A$3:$B$10,2,FALSE),0)*'FL Characterization'!O$2)</f>
        <v>63.280287472958456</v>
      </c>
      <c r="P3" s="2">
        <f>('[1]Pc, Summer, S3'!P3*Main!$B$5)+(_xlfn.IFNA(VLOOKUP($A3,'FL Ratio'!$A$3:$B$10,2,FALSE),0)*'FL Characterization'!P$2)</f>
        <v>60.229648210690769</v>
      </c>
      <c r="Q3" s="2">
        <f>('[1]Pc, Summer, S3'!Q3*Main!$B$5)+(_xlfn.IFNA(VLOOKUP($A3,'FL Ratio'!$A$3:$B$10,2,FALSE),0)*'FL Characterization'!Q$2)</f>
        <v>57.061304798269134</v>
      </c>
      <c r="R3" s="2">
        <f>('[1]Pc, Summer, S3'!R3*Main!$B$5)+(_xlfn.IFNA(VLOOKUP($A3,'FL Ratio'!$A$3:$B$10,2,FALSE),0)*'FL Characterization'!R$2)</f>
        <v>52.742119436099038</v>
      </c>
      <c r="S3" s="2">
        <f>('[1]Pc, Summer, S3'!S3*Main!$B$5)+(_xlfn.IFNA(VLOOKUP($A3,'FL Ratio'!$A$3:$B$10,2,FALSE),0)*'FL Characterization'!S$2)</f>
        <v>53.391090306809275</v>
      </c>
      <c r="T3" s="2">
        <f>('[1]Pc, Summer, S3'!T3*Main!$B$5)+(_xlfn.IFNA(VLOOKUP($A3,'FL Ratio'!$A$3:$B$10,2,FALSE),0)*'FL Characterization'!T$2)</f>
        <v>52.864389310290825</v>
      </c>
      <c r="U3" s="2">
        <f>('[1]Pc, Summer, S3'!U3*Main!$B$5)+(_xlfn.IFNA(VLOOKUP($A3,'FL Ratio'!$A$3:$B$10,2,FALSE),0)*'FL Characterization'!U$2)</f>
        <v>52.642277763682081</v>
      </c>
      <c r="V3" s="2">
        <f>('[1]Pc, Summer, S3'!V3*Main!$B$5)+(_xlfn.IFNA(VLOOKUP($A3,'FL Ratio'!$A$3:$B$10,2,FALSE),0)*'FL Characterization'!V$2)</f>
        <v>52.915033636879137</v>
      </c>
      <c r="W3" s="2">
        <f>('[1]Pc, Summer, S3'!W3*Main!$B$5)+(_xlfn.IFNA(VLOOKUP($A3,'FL Ratio'!$A$3:$B$10,2,FALSE),0)*'FL Characterization'!W$2)</f>
        <v>52.609961860049538</v>
      </c>
      <c r="X3" s="2">
        <f>('[1]Pc, Summer, S3'!X3*Main!$B$5)+(_xlfn.IFNA(VLOOKUP($A3,'FL Ratio'!$A$3:$B$10,2,FALSE),0)*'FL Characterization'!X$2)</f>
        <v>52.496433486530144</v>
      </c>
      <c r="Y3" s="2">
        <f>('[1]Pc, Summer, S3'!Y3*Main!$B$5)+(_xlfn.IFNA(VLOOKUP($A3,'FL Ratio'!$A$3:$B$10,2,FALSE),0)*'FL Characterization'!Y$2)</f>
        <v>49.726699006267403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58.79252853079943</v>
      </c>
      <c r="C4" s="2">
        <f>('[1]Pc, Summer, S3'!C4*Main!$B$5)+(_xlfn.IFNA(VLOOKUP($A4,'FL Ratio'!$A$3:$B$10,2,FALSE),0)*'FL Characterization'!C$2)</f>
        <v>52.208874452312671</v>
      </c>
      <c r="D4" s="2">
        <f>('[1]Pc, Summer, S3'!D4*Main!$B$5)+(_xlfn.IFNA(VLOOKUP($A4,'FL Ratio'!$A$3:$B$10,2,FALSE),0)*'FL Characterization'!D$2)</f>
        <v>49.215429749446258</v>
      </c>
      <c r="E4" s="2">
        <f>('[1]Pc, Summer, S3'!E4*Main!$B$5)+(_xlfn.IFNA(VLOOKUP($A4,'FL Ratio'!$A$3:$B$10,2,FALSE),0)*'FL Characterization'!E$2)</f>
        <v>47.598485241910033</v>
      </c>
      <c r="F4" s="2">
        <f>('[1]Pc, Summer, S3'!F4*Main!$B$5)+(_xlfn.IFNA(VLOOKUP($A4,'FL Ratio'!$A$3:$B$10,2,FALSE),0)*'FL Characterization'!F$2)</f>
        <v>49.832835529902447</v>
      </c>
      <c r="G4" s="2">
        <f>('[1]Pc, Summer, S3'!G4*Main!$B$5)+(_xlfn.IFNA(VLOOKUP($A4,'FL Ratio'!$A$3:$B$10,2,FALSE),0)*'FL Characterization'!G$2)</f>
        <v>45.500533903395777</v>
      </c>
      <c r="H4" s="2">
        <f>('[1]Pc, Summer, S3'!H4*Main!$B$5)+(_xlfn.IFNA(VLOOKUP($A4,'FL Ratio'!$A$3:$B$10,2,FALSE),0)*'FL Characterization'!H$2)</f>
        <v>53.454395526590446</v>
      </c>
      <c r="I4" s="2">
        <f>('[1]Pc, Summer, S3'!I4*Main!$B$5)+(_xlfn.IFNA(VLOOKUP($A4,'FL Ratio'!$A$3:$B$10,2,FALSE),0)*'FL Characterization'!I$2)</f>
        <v>59.861559781684626</v>
      </c>
      <c r="J4" s="2">
        <f>('[1]Pc, Summer, S3'!J4*Main!$B$5)+(_xlfn.IFNA(VLOOKUP($A4,'FL Ratio'!$A$3:$B$10,2,FALSE),0)*'FL Characterization'!J$2)</f>
        <v>67.343191250958341</v>
      </c>
      <c r="K4" s="2">
        <f>('[1]Pc, Summer, S3'!K4*Main!$B$5)+(_xlfn.IFNA(VLOOKUP($A4,'FL Ratio'!$A$3:$B$10,2,FALSE),0)*'FL Characterization'!K$2)</f>
        <v>72.407018837202116</v>
      </c>
      <c r="L4" s="2">
        <f>('[1]Pc, Summer, S3'!L4*Main!$B$5)+(_xlfn.IFNA(VLOOKUP($A4,'FL Ratio'!$A$3:$B$10,2,FALSE),0)*'FL Characterization'!L$2)</f>
        <v>74.506111972690334</v>
      </c>
      <c r="M4" s="2">
        <f>('[1]Pc, Summer, S3'!M4*Main!$B$5)+(_xlfn.IFNA(VLOOKUP($A4,'FL Ratio'!$A$3:$B$10,2,FALSE),0)*'FL Characterization'!M$2)</f>
        <v>75.753041766310318</v>
      </c>
      <c r="N4" s="2">
        <f>('[1]Pc, Summer, S3'!N4*Main!$B$5)+(_xlfn.IFNA(VLOOKUP($A4,'FL Ratio'!$A$3:$B$10,2,FALSE),0)*'FL Characterization'!N$2)</f>
        <v>77.448229381080907</v>
      </c>
      <c r="O4" s="2">
        <f>('[1]Pc, Summer, S3'!O4*Main!$B$5)+(_xlfn.IFNA(VLOOKUP($A4,'FL Ratio'!$A$3:$B$10,2,FALSE),0)*'FL Characterization'!O$2)</f>
        <v>78.564017613417789</v>
      </c>
      <c r="P4" s="2">
        <f>('[1]Pc, Summer, S3'!P4*Main!$B$5)+(_xlfn.IFNA(VLOOKUP($A4,'FL Ratio'!$A$3:$B$10,2,FALSE),0)*'FL Characterization'!P$2)</f>
        <v>78.90568013815799</v>
      </c>
      <c r="Q4" s="2">
        <f>('[1]Pc, Summer, S3'!Q4*Main!$B$5)+(_xlfn.IFNA(VLOOKUP($A4,'FL Ratio'!$A$3:$B$10,2,FALSE),0)*'FL Characterization'!Q$2)</f>
        <v>75.954955293472793</v>
      </c>
      <c r="R4" s="2">
        <f>('[1]Pc, Summer, S3'!R4*Main!$B$5)+(_xlfn.IFNA(VLOOKUP($A4,'FL Ratio'!$A$3:$B$10,2,FALSE),0)*'FL Characterization'!R$2)</f>
        <v>75.502610918525917</v>
      </c>
      <c r="S4" s="2">
        <f>('[1]Pc, Summer, S3'!S4*Main!$B$5)+(_xlfn.IFNA(VLOOKUP($A4,'FL Ratio'!$A$3:$B$10,2,FALSE),0)*'FL Characterization'!S$2)</f>
        <v>73.232336708949788</v>
      </c>
      <c r="T4" s="2">
        <f>('[1]Pc, Summer, S3'!T4*Main!$B$5)+(_xlfn.IFNA(VLOOKUP($A4,'FL Ratio'!$A$3:$B$10,2,FALSE),0)*'FL Characterization'!T$2)</f>
        <v>73.084245055515026</v>
      </c>
      <c r="U4" s="2">
        <f>('[1]Pc, Summer, S3'!U4*Main!$B$5)+(_xlfn.IFNA(VLOOKUP($A4,'FL Ratio'!$A$3:$B$10,2,FALSE),0)*'FL Characterization'!U$2)</f>
        <v>73.456861032404433</v>
      </c>
      <c r="V4" s="2">
        <f>('[1]Pc, Summer, S3'!V4*Main!$B$5)+(_xlfn.IFNA(VLOOKUP($A4,'FL Ratio'!$A$3:$B$10,2,FALSE),0)*'FL Characterization'!V$2)</f>
        <v>73.130109869741503</v>
      </c>
      <c r="W4" s="2">
        <f>('[1]Pc, Summer, S3'!W4*Main!$B$5)+(_xlfn.IFNA(VLOOKUP($A4,'FL Ratio'!$A$3:$B$10,2,FALSE),0)*'FL Characterization'!W$2)</f>
        <v>75.417975636070835</v>
      </c>
      <c r="X4" s="2">
        <f>('[1]Pc, Summer, S3'!X4*Main!$B$5)+(_xlfn.IFNA(VLOOKUP($A4,'FL Ratio'!$A$3:$B$10,2,FALSE),0)*'FL Characterization'!X$2)</f>
        <v>75.455297708851361</v>
      </c>
      <c r="Y4" s="2">
        <f>('[1]Pc, Summer, S3'!Y4*Main!$B$5)+(_xlfn.IFNA(VLOOKUP($A4,'FL Ratio'!$A$3:$B$10,2,FALSE),0)*'FL Characterization'!Y$2)</f>
        <v>68.139319577292881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40.835972125263012</v>
      </c>
      <c r="C2" s="2">
        <f>('[1]Pc, Summer, S3'!C2*Main!$B$5)+(_xlfn.IFNA(VLOOKUP($A2,'FL Ratio'!$A$3:$B$10,2,FALSE),0)*'FL Characterization'!C$2)</f>
        <v>37.101308115201967</v>
      </c>
      <c r="D2" s="2">
        <f>('[1]Pc, Summer, S3'!D2*Main!$B$5)+(_xlfn.IFNA(VLOOKUP($A2,'FL Ratio'!$A$3:$B$10,2,FALSE),0)*'FL Characterization'!D$2)</f>
        <v>36.453244688577485</v>
      </c>
      <c r="E2" s="2">
        <f>('[1]Pc, Summer, S3'!E2*Main!$B$5)+(_xlfn.IFNA(VLOOKUP($A2,'FL Ratio'!$A$3:$B$10,2,FALSE),0)*'FL Characterization'!E$2)</f>
        <v>36.360122540246095</v>
      </c>
      <c r="F2" s="2">
        <f>('[1]Pc, Summer, S3'!F2*Main!$B$5)+(_xlfn.IFNA(VLOOKUP($A2,'FL Ratio'!$A$3:$B$10,2,FALSE),0)*'FL Characterization'!F$2)</f>
        <v>36.362989176320283</v>
      </c>
      <c r="G2" s="2">
        <f>('[1]Pc, Summer, S3'!G2*Main!$B$5)+(_xlfn.IFNA(VLOOKUP($A2,'FL Ratio'!$A$3:$B$10,2,FALSE),0)*'FL Characterization'!G$2)</f>
        <v>36.04140552508008</v>
      </c>
      <c r="H2" s="2">
        <f>('[1]Pc, Summer, S3'!H2*Main!$B$5)+(_xlfn.IFNA(VLOOKUP($A2,'FL Ratio'!$A$3:$B$10,2,FALSE),0)*'FL Characterization'!H$2)</f>
        <v>38.909914568045096</v>
      </c>
      <c r="I2" s="2">
        <f>('[1]Pc, Summer, S3'!I2*Main!$B$5)+(_xlfn.IFNA(VLOOKUP($A2,'FL Ratio'!$A$3:$B$10,2,FALSE),0)*'FL Characterization'!I$2)</f>
        <v>46.195574592673267</v>
      </c>
      <c r="J2" s="2">
        <f>('[1]Pc, Summer, S3'!J2*Main!$B$5)+(_xlfn.IFNA(VLOOKUP($A2,'FL Ratio'!$A$3:$B$10,2,FALSE),0)*'FL Characterization'!J$2)</f>
        <v>52.649819471904507</v>
      </c>
      <c r="K2" s="2">
        <f>('[1]Pc, Summer, S3'!K2*Main!$B$5)+(_xlfn.IFNA(VLOOKUP($A2,'FL Ratio'!$A$3:$B$10,2,FALSE),0)*'FL Characterization'!K$2)</f>
        <v>54.267645718011345</v>
      </c>
      <c r="L2" s="2">
        <f>('[1]Pc, Summer, S3'!L2*Main!$B$5)+(_xlfn.IFNA(VLOOKUP($A2,'FL Ratio'!$A$3:$B$10,2,FALSE),0)*'FL Characterization'!L$2)</f>
        <v>53.718471620891052</v>
      </c>
      <c r="M2" s="2">
        <f>('[1]Pc, Summer, S3'!M2*Main!$B$5)+(_xlfn.IFNA(VLOOKUP($A2,'FL Ratio'!$A$3:$B$10,2,FALSE),0)*'FL Characterization'!M$2)</f>
        <v>55.23755521154915</v>
      </c>
      <c r="N2" s="2">
        <f>('[1]Pc, Summer, S3'!N2*Main!$B$5)+(_xlfn.IFNA(VLOOKUP($A2,'FL Ratio'!$A$3:$B$10,2,FALSE),0)*'FL Characterization'!N$2)</f>
        <v>55.995298000257449</v>
      </c>
      <c r="O2" s="2">
        <f>('[1]Pc, Summer, S3'!O2*Main!$B$5)+(_xlfn.IFNA(VLOOKUP($A2,'FL Ratio'!$A$3:$B$10,2,FALSE),0)*'FL Characterization'!O$2)</f>
        <v>54.959489890663114</v>
      </c>
      <c r="P2" s="2">
        <f>('[1]Pc, Summer, S3'!P2*Main!$B$5)+(_xlfn.IFNA(VLOOKUP($A2,'FL Ratio'!$A$3:$B$10,2,FALSE),0)*'FL Characterization'!P$2)</f>
        <v>52.811936352029555</v>
      </c>
      <c r="Q2" s="2">
        <f>('[1]Pc, Summer, S3'!Q2*Main!$B$5)+(_xlfn.IFNA(VLOOKUP($A2,'FL Ratio'!$A$3:$B$10,2,FALSE),0)*'FL Characterization'!Q$2)</f>
        <v>50.686347025638263</v>
      </c>
      <c r="R2" s="2">
        <f>('[1]Pc, Summer, S3'!R2*Main!$B$5)+(_xlfn.IFNA(VLOOKUP($A2,'FL Ratio'!$A$3:$B$10,2,FALSE),0)*'FL Characterization'!R$2)</f>
        <v>51.570657664925491</v>
      </c>
      <c r="S2" s="2">
        <f>('[1]Pc, Summer, S3'!S2*Main!$B$5)+(_xlfn.IFNA(VLOOKUP($A2,'FL Ratio'!$A$3:$B$10,2,FALSE),0)*'FL Characterization'!S$2)</f>
        <v>52.080162880192439</v>
      </c>
      <c r="T2" s="2">
        <f>('[1]Pc, Summer, S3'!T2*Main!$B$5)+(_xlfn.IFNA(VLOOKUP($A2,'FL Ratio'!$A$3:$B$10,2,FALSE),0)*'FL Characterization'!T$2)</f>
        <v>52.301223824832142</v>
      </c>
      <c r="U2" s="2">
        <f>('[1]Pc, Summer, S3'!U2*Main!$B$5)+(_xlfn.IFNA(VLOOKUP($A2,'FL Ratio'!$A$3:$B$10,2,FALSE),0)*'FL Characterization'!U$2)</f>
        <v>51.435398123675107</v>
      </c>
      <c r="V2" s="2">
        <f>('[1]Pc, Summer, S3'!V2*Main!$B$5)+(_xlfn.IFNA(VLOOKUP($A2,'FL Ratio'!$A$3:$B$10,2,FALSE),0)*'FL Characterization'!V$2)</f>
        <v>51.589938837378995</v>
      </c>
      <c r="W2" s="2">
        <f>('[1]Pc, Summer, S3'!W2*Main!$B$5)+(_xlfn.IFNA(VLOOKUP($A2,'FL Ratio'!$A$3:$B$10,2,FALSE),0)*'FL Characterization'!W$2)</f>
        <v>53.726689369909231</v>
      </c>
      <c r="X2" s="2">
        <f>('[1]Pc, Summer, S3'!X2*Main!$B$5)+(_xlfn.IFNA(VLOOKUP($A2,'FL Ratio'!$A$3:$B$10,2,FALSE),0)*'FL Characterization'!X$2)</f>
        <v>50.079777421457152</v>
      </c>
      <c r="Y2" s="2">
        <f>('[1]Pc, Summer, S3'!Y2*Main!$B$5)+(_xlfn.IFNA(VLOOKUP($A2,'FL Ratio'!$A$3:$B$10,2,FALSE),0)*'FL Characterization'!Y$2)</f>
        <v>45.907852722371949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44.369307285798342</v>
      </c>
      <c r="C3" s="2">
        <f>('[1]Pc, Summer, S3'!C3*Main!$B$5)+(_xlfn.IFNA(VLOOKUP($A3,'FL Ratio'!$A$3:$B$10,2,FALSE),0)*'FL Characterization'!C$2)</f>
        <v>40.763665841789425</v>
      </c>
      <c r="D3" s="2">
        <f>('[1]Pc, Summer, S3'!D3*Main!$B$5)+(_xlfn.IFNA(VLOOKUP($A3,'FL Ratio'!$A$3:$B$10,2,FALSE),0)*'FL Characterization'!D$2)</f>
        <v>38.598082059894523</v>
      </c>
      <c r="E3" s="2">
        <f>('[1]Pc, Summer, S3'!E3*Main!$B$5)+(_xlfn.IFNA(VLOOKUP($A3,'FL Ratio'!$A$3:$B$10,2,FALSE),0)*'FL Characterization'!E$2)</f>
        <v>37.178617293131232</v>
      </c>
      <c r="F3" s="2">
        <f>('[1]Pc, Summer, S3'!F3*Main!$B$5)+(_xlfn.IFNA(VLOOKUP($A3,'FL Ratio'!$A$3:$B$10,2,FALSE),0)*'FL Characterization'!F$2)</f>
        <v>36.708830873159648</v>
      </c>
      <c r="G3" s="2">
        <f>('[1]Pc, Summer, S3'!G3*Main!$B$5)+(_xlfn.IFNA(VLOOKUP($A3,'FL Ratio'!$A$3:$B$10,2,FALSE),0)*'FL Characterization'!G$2)</f>
        <v>38.884057699209329</v>
      </c>
      <c r="H3" s="2">
        <f>('[1]Pc, Summer, S3'!H3*Main!$B$5)+(_xlfn.IFNA(VLOOKUP($A3,'FL Ratio'!$A$3:$B$10,2,FALSE),0)*'FL Characterization'!H$2)</f>
        <v>48.666246503594131</v>
      </c>
      <c r="I3" s="2">
        <f>('[1]Pc, Summer, S3'!I3*Main!$B$5)+(_xlfn.IFNA(VLOOKUP($A3,'FL Ratio'!$A$3:$B$10,2,FALSE),0)*'FL Characterization'!I$2)</f>
        <v>57.550575285470934</v>
      </c>
      <c r="J3" s="2">
        <f>('[1]Pc, Summer, S3'!J3*Main!$B$5)+(_xlfn.IFNA(VLOOKUP($A3,'FL Ratio'!$A$3:$B$10,2,FALSE),0)*'FL Characterization'!J$2)</f>
        <v>60.001696101697007</v>
      </c>
      <c r="K3" s="2">
        <f>('[1]Pc, Summer, S3'!K3*Main!$B$5)+(_xlfn.IFNA(VLOOKUP($A3,'FL Ratio'!$A$3:$B$10,2,FALSE),0)*'FL Characterization'!K$2)</f>
        <v>58.907568291065608</v>
      </c>
      <c r="L3" s="2">
        <f>('[1]Pc, Summer, S3'!L3*Main!$B$5)+(_xlfn.IFNA(VLOOKUP($A3,'FL Ratio'!$A$3:$B$10,2,FALSE),0)*'FL Characterization'!L$2)</f>
        <v>58.677487925235702</v>
      </c>
      <c r="M3" s="2">
        <f>('[1]Pc, Summer, S3'!M3*Main!$B$5)+(_xlfn.IFNA(VLOOKUP($A3,'FL Ratio'!$A$3:$B$10,2,FALSE),0)*'FL Characterization'!M$2)</f>
        <v>62.57922529490024</v>
      </c>
      <c r="N3" s="2">
        <f>('[1]Pc, Summer, S3'!N3*Main!$B$5)+(_xlfn.IFNA(VLOOKUP($A3,'FL Ratio'!$A$3:$B$10,2,FALSE),0)*'FL Characterization'!N$2)</f>
        <v>62.79410193771065</v>
      </c>
      <c r="O3" s="2">
        <f>('[1]Pc, Summer, S3'!O3*Main!$B$5)+(_xlfn.IFNA(VLOOKUP($A3,'FL Ratio'!$A$3:$B$10,2,FALSE),0)*'FL Characterization'!O$2)</f>
        <v>63.280287472958456</v>
      </c>
      <c r="P3" s="2">
        <f>('[1]Pc, Summer, S3'!P3*Main!$B$5)+(_xlfn.IFNA(VLOOKUP($A3,'FL Ratio'!$A$3:$B$10,2,FALSE),0)*'FL Characterization'!P$2)</f>
        <v>60.229648210690769</v>
      </c>
      <c r="Q3" s="2">
        <f>('[1]Pc, Summer, S3'!Q3*Main!$B$5)+(_xlfn.IFNA(VLOOKUP($A3,'FL Ratio'!$A$3:$B$10,2,FALSE),0)*'FL Characterization'!Q$2)</f>
        <v>57.061304798269134</v>
      </c>
      <c r="R3" s="2">
        <f>('[1]Pc, Summer, S3'!R3*Main!$B$5)+(_xlfn.IFNA(VLOOKUP($A3,'FL Ratio'!$A$3:$B$10,2,FALSE),0)*'FL Characterization'!R$2)</f>
        <v>52.742119436099038</v>
      </c>
      <c r="S3" s="2">
        <f>('[1]Pc, Summer, S3'!S3*Main!$B$5)+(_xlfn.IFNA(VLOOKUP($A3,'FL Ratio'!$A$3:$B$10,2,FALSE),0)*'FL Characterization'!S$2)</f>
        <v>53.391090306809275</v>
      </c>
      <c r="T3" s="2">
        <f>('[1]Pc, Summer, S3'!T3*Main!$B$5)+(_xlfn.IFNA(VLOOKUP($A3,'FL Ratio'!$A$3:$B$10,2,FALSE),0)*'FL Characterization'!T$2)</f>
        <v>52.864389310290825</v>
      </c>
      <c r="U3" s="2">
        <f>('[1]Pc, Summer, S3'!U3*Main!$B$5)+(_xlfn.IFNA(VLOOKUP($A3,'FL Ratio'!$A$3:$B$10,2,FALSE),0)*'FL Characterization'!U$2)</f>
        <v>52.642277763682081</v>
      </c>
      <c r="V3" s="2">
        <f>('[1]Pc, Summer, S3'!V3*Main!$B$5)+(_xlfn.IFNA(VLOOKUP($A3,'FL Ratio'!$A$3:$B$10,2,FALSE),0)*'FL Characterization'!V$2)</f>
        <v>52.915033636879137</v>
      </c>
      <c r="W3" s="2">
        <f>('[1]Pc, Summer, S3'!W3*Main!$B$5)+(_xlfn.IFNA(VLOOKUP($A3,'FL Ratio'!$A$3:$B$10,2,FALSE),0)*'FL Characterization'!W$2)</f>
        <v>52.609961860049538</v>
      </c>
      <c r="X3" s="2">
        <f>('[1]Pc, Summer, S3'!X3*Main!$B$5)+(_xlfn.IFNA(VLOOKUP($A3,'FL Ratio'!$A$3:$B$10,2,FALSE),0)*'FL Characterization'!X$2)</f>
        <v>52.496433486530144</v>
      </c>
      <c r="Y3" s="2">
        <f>('[1]Pc, Summer, S3'!Y3*Main!$B$5)+(_xlfn.IFNA(VLOOKUP($A3,'FL Ratio'!$A$3:$B$10,2,FALSE),0)*'FL Characterization'!Y$2)</f>
        <v>49.726699006267403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58.79252853079943</v>
      </c>
      <c r="C4" s="2">
        <f>('[1]Pc, Summer, S3'!C4*Main!$B$5)+(_xlfn.IFNA(VLOOKUP($A4,'FL Ratio'!$A$3:$B$10,2,FALSE),0)*'FL Characterization'!C$2)</f>
        <v>52.208874452312671</v>
      </c>
      <c r="D4" s="2">
        <f>('[1]Pc, Summer, S3'!D4*Main!$B$5)+(_xlfn.IFNA(VLOOKUP($A4,'FL Ratio'!$A$3:$B$10,2,FALSE),0)*'FL Characterization'!D$2)</f>
        <v>49.215429749446258</v>
      </c>
      <c r="E4" s="2">
        <f>('[1]Pc, Summer, S3'!E4*Main!$B$5)+(_xlfn.IFNA(VLOOKUP($A4,'FL Ratio'!$A$3:$B$10,2,FALSE),0)*'FL Characterization'!E$2)</f>
        <v>47.598485241910033</v>
      </c>
      <c r="F4" s="2">
        <f>('[1]Pc, Summer, S3'!F4*Main!$B$5)+(_xlfn.IFNA(VLOOKUP($A4,'FL Ratio'!$A$3:$B$10,2,FALSE),0)*'FL Characterization'!F$2)</f>
        <v>49.832835529902447</v>
      </c>
      <c r="G4" s="2">
        <f>('[1]Pc, Summer, S3'!G4*Main!$B$5)+(_xlfn.IFNA(VLOOKUP($A4,'FL Ratio'!$A$3:$B$10,2,FALSE),0)*'FL Characterization'!G$2)</f>
        <v>45.500533903395777</v>
      </c>
      <c r="H4" s="2">
        <f>('[1]Pc, Summer, S3'!H4*Main!$B$5)+(_xlfn.IFNA(VLOOKUP($A4,'FL Ratio'!$A$3:$B$10,2,FALSE),0)*'FL Characterization'!H$2)</f>
        <v>53.454395526590446</v>
      </c>
      <c r="I4" s="2">
        <f>('[1]Pc, Summer, S3'!I4*Main!$B$5)+(_xlfn.IFNA(VLOOKUP($A4,'FL Ratio'!$A$3:$B$10,2,FALSE),0)*'FL Characterization'!I$2)</f>
        <v>59.861559781684626</v>
      </c>
      <c r="J4" s="2">
        <f>('[1]Pc, Summer, S3'!J4*Main!$B$5)+(_xlfn.IFNA(VLOOKUP($A4,'FL Ratio'!$A$3:$B$10,2,FALSE),0)*'FL Characterization'!J$2)</f>
        <v>67.343191250958341</v>
      </c>
      <c r="K4" s="2">
        <f>('[1]Pc, Summer, S3'!K4*Main!$B$5)+(_xlfn.IFNA(VLOOKUP($A4,'FL Ratio'!$A$3:$B$10,2,FALSE),0)*'FL Characterization'!K$2)</f>
        <v>72.407018837202116</v>
      </c>
      <c r="L4" s="2">
        <f>('[1]Pc, Summer, S3'!L4*Main!$B$5)+(_xlfn.IFNA(VLOOKUP($A4,'FL Ratio'!$A$3:$B$10,2,FALSE),0)*'FL Characterization'!L$2)</f>
        <v>74.506111972690334</v>
      </c>
      <c r="M4" s="2">
        <f>('[1]Pc, Summer, S3'!M4*Main!$B$5)+(_xlfn.IFNA(VLOOKUP($A4,'FL Ratio'!$A$3:$B$10,2,FALSE),0)*'FL Characterization'!M$2)</f>
        <v>75.753041766310318</v>
      </c>
      <c r="N4" s="2">
        <f>('[1]Pc, Summer, S3'!N4*Main!$B$5)+(_xlfn.IFNA(VLOOKUP($A4,'FL Ratio'!$A$3:$B$10,2,FALSE),0)*'FL Characterization'!N$2)</f>
        <v>77.448229381080907</v>
      </c>
      <c r="O4" s="2">
        <f>('[1]Pc, Summer, S3'!O4*Main!$B$5)+(_xlfn.IFNA(VLOOKUP($A4,'FL Ratio'!$A$3:$B$10,2,FALSE),0)*'FL Characterization'!O$2)</f>
        <v>78.564017613417789</v>
      </c>
      <c r="P4" s="2">
        <f>('[1]Pc, Summer, S3'!P4*Main!$B$5)+(_xlfn.IFNA(VLOOKUP($A4,'FL Ratio'!$A$3:$B$10,2,FALSE),0)*'FL Characterization'!P$2)</f>
        <v>78.90568013815799</v>
      </c>
      <c r="Q4" s="2">
        <f>('[1]Pc, Summer, S3'!Q4*Main!$B$5)+(_xlfn.IFNA(VLOOKUP($A4,'FL Ratio'!$A$3:$B$10,2,FALSE),0)*'FL Characterization'!Q$2)</f>
        <v>75.954955293472793</v>
      </c>
      <c r="R4" s="2">
        <f>('[1]Pc, Summer, S3'!R4*Main!$B$5)+(_xlfn.IFNA(VLOOKUP($A4,'FL Ratio'!$A$3:$B$10,2,FALSE),0)*'FL Characterization'!R$2)</f>
        <v>75.502610918525917</v>
      </c>
      <c r="S4" s="2">
        <f>('[1]Pc, Summer, S3'!S4*Main!$B$5)+(_xlfn.IFNA(VLOOKUP($A4,'FL Ratio'!$A$3:$B$10,2,FALSE),0)*'FL Characterization'!S$2)</f>
        <v>73.232336708949788</v>
      </c>
      <c r="T4" s="2">
        <f>('[1]Pc, Summer, S3'!T4*Main!$B$5)+(_xlfn.IFNA(VLOOKUP($A4,'FL Ratio'!$A$3:$B$10,2,FALSE),0)*'FL Characterization'!T$2)</f>
        <v>73.084245055515026</v>
      </c>
      <c r="U4" s="2">
        <f>('[1]Pc, Summer, S3'!U4*Main!$B$5)+(_xlfn.IFNA(VLOOKUP($A4,'FL Ratio'!$A$3:$B$10,2,FALSE),0)*'FL Characterization'!U$2)</f>
        <v>73.456861032404433</v>
      </c>
      <c r="V4" s="2">
        <f>('[1]Pc, Summer, S3'!V4*Main!$B$5)+(_xlfn.IFNA(VLOOKUP($A4,'FL Ratio'!$A$3:$B$10,2,FALSE),0)*'FL Characterization'!V$2)</f>
        <v>73.130109869741503</v>
      </c>
      <c r="W4" s="2">
        <f>('[1]Pc, Summer, S3'!W4*Main!$B$5)+(_xlfn.IFNA(VLOOKUP($A4,'FL Ratio'!$A$3:$B$10,2,FALSE),0)*'FL Characterization'!W$2)</f>
        <v>75.417975636070835</v>
      </c>
      <c r="X4" s="2">
        <f>('[1]Pc, Summer, S3'!X4*Main!$B$5)+(_xlfn.IFNA(VLOOKUP($A4,'FL Ratio'!$A$3:$B$10,2,FALSE),0)*'FL Characterization'!X$2)</f>
        <v>75.455297708851361</v>
      </c>
      <c r="Y4" s="2">
        <f>('[1]Pc, Summer, S3'!Y4*Main!$B$5)+(_xlfn.IFNA(VLOOKUP($A4,'FL Ratio'!$A$3:$B$10,2,FALSE),0)*'FL Characterization'!Y$2)</f>
        <v>68.139319577292881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40.835972125263012</v>
      </c>
      <c r="C2" s="2">
        <f>('[1]Pc, Summer, S3'!C2*Main!$B$5)+(_xlfn.IFNA(VLOOKUP($A2,'FL Ratio'!$A$3:$B$10,2,FALSE),0)*'FL Characterization'!C$2)</f>
        <v>37.101308115201967</v>
      </c>
      <c r="D2" s="2">
        <f>('[1]Pc, Summer, S3'!D2*Main!$B$5)+(_xlfn.IFNA(VLOOKUP($A2,'FL Ratio'!$A$3:$B$10,2,FALSE),0)*'FL Characterization'!D$2)</f>
        <v>36.453244688577485</v>
      </c>
      <c r="E2" s="2">
        <f>('[1]Pc, Summer, S3'!E2*Main!$B$5)+(_xlfn.IFNA(VLOOKUP($A2,'FL Ratio'!$A$3:$B$10,2,FALSE),0)*'FL Characterization'!E$2)</f>
        <v>36.360122540246095</v>
      </c>
      <c r="F2" s="2">
        <f>('[1]Pc, Summer, S3'!F2*Main!$B$5)+(_xlfn.IFNA(VLOOKUP($A2,'FL Ratio'!$A$3:$B$10,2,FALSE),0)*'FL Characterization'!F$2)</f>
        <v>36.362989176320283</v>
      </c>
      <c r="G2" s="2">
        <f>('[1]Pc, Summer, S3'!G2*Main!$B$5)+(_xlfn.IFNA(VLOOKUP($A2,'FL Ratio'!$A$3:$B$10,2,FALSE),0)*'FL Characterization'!G$2)</f>
        <v>36.04140552508008</v>
      </c>
      <c r="H2" s="2">
        <f>('[1]Pc, Summer, S3'!H2*Main!$B$5)+(_xlfn.IFNA(VLOOKUP($A2,'FL Ratio'!$A$3:$B$10,2,FALSE),0)*'FL Characterization'!H$2)</f>
        <v>38.909914568045096</v>
      </c>
      <c r="I2" s="2">
        <f>('[1]Pc, Summer, S3'!I2*Main!$B$5)+(_xlfn.IFNA(VLOOKUP($A2,'FL Ratio'!$A$3:$B$10,2,FALSE),0)*'FL Characterization'!I$2)</f>
        <v>46.195574592673267</v>
      </c>
      <c r="J2" s="2">
        <f>('[1]Pc, Summer, S3'!J2*Main!$B$5)+(_xlfn.IFNA(VLOOKUP($A2,'FL Ratio'!$A$3:$B$10,2,FALSE),0)*'FL Characterization'!J$2)</f>
        <v>52.649819471904507</v>
      </c>
      <c r="K2" s="2">
        <f>('[1]Pc, Summer, S3'!K2*Main!$B$5)+(_xlfn.IFNA(VLOOKUP($A2,'FL Ratio'!$A$3:$B$10,2,FALSE),0)*'FL Characterization'!K$2)</f>
        <v>54.267645718011345</v>
      </c>
      <c r="L2" s="2">
        <f>('[1]Pc, Summer, S3'!L2*Main!$B$5)+(_xlfn.IFNA(VLOOKUP($A2,'FL Ratio'!$A$3:$B$10,2,FALSE),0)*'FL Characterization'!L$2)</f>
        <v>53.718471620891052</v>
      </c>
      <c r="M2" s="2">
        <f>('[1]Pc, Summer, S3'!M2*Main!$B$5)+(_xlfn.IFNA(VLOOKUP($A2,'FL Ratio'!$A$3:$B$10,2,FALSE),0)*'FL Characterization'!M$2)</f>
        <v>55.23755521154915</v>
      </c>
      <c r="N2" s="2">
        <f>('[1]Pc, Summer, S3'!N2*Main!$B$5)+(_xlfn.IFNA(VLOOKUP($A2,'FL Ratio'!$A$3:$B$10,2,FALSE),0)*'FL Characterization'!N$2)</f>
        <v>55.995298000257449</v>
      </c>
      <c r="O2" s="2">
        <f>('[1]Pc, Summer, S3'!O2*Main!$B$5)+(_xlfn.IFNA(VLOOKUP($A2,'FL Ratio'!$A$3:$B$10,2,FALSE),0)*'FL Characterization'!O$2)</f>
        <v>54.959489890663114</v>
      </c>
      <c r="P2" s="2">
        <f>('[1]Pc, Summer, S3'!P2*Main!$B$5)+(_xlfn.IFNA(VLOOKUP($A2,'FL Ratio'!$A$3:$B$10,2,FALSE),0)*'FL Characterization'!P$2)</f>
        <v>52.811936352029555</v>
      </c>
      <c r="Q2" s="2">
        <f>('[1]Pc, Summer, S3'!Q2*Main!$B$5)+(_xlfn.IFNA(VLOOKUP($A2,'FL Ratio'!$A$3:$B$10,2,FALSE),0)*'FL Characterization'!Q$2)</f>
        <v>50.686347025638263</v>
      </c>
      <c r="R2" s="2">
        <f>('[1]Pc, Summer, S3'!R2*Main!$B$5)+(_xlfn.IFNA(VLOOKUP($A2,'FL Ratio'!$A$3:$B$10,2,FALSE),0)*'FL Characterization'!R$2)</f>
        <v>51.570657664925491</v>
      </c>
      <c r="S2" s="2">
        <f>('[1]Pc, Summer, S3'!S2*Main!$B$5)+(_xlfn.IFNA(VLOOKUP($A2,'FL Ratio'!$A$3:$B$10,2,FALSE),0)*'FL Characterization'!S$2)</f>
        <v>52.080162880192439</v>
      </c>
      <c r="T2" s="2">
        <f>('[1]Pc, Summer, S3'!T2*Main!$B$5)+(_xlfn.IFNA(VLOOKUP($A2,'FL Ratio'!$A$3:$B$10,2,FALSE),0)*'FL Characterization'!T$2)</f>
        <v>52.301223824832142</v>
      </c>
      <c r="U2" s="2">
        <f>('[1]Pc, Summer, S3'!U2*Main!$B$5)+(_xlfn.IFNA(VLOOKUP($A2,'FL Ratio'!$A$3:$B$10,2,FALSE),0)*'FL Characterization'!U$2)</f>
        <v>51.435398123675107</v>
      </c>
      <c r="V2" s="2">
        <f>('[1]Pc, Summer, S3'!V2*Main!$B$5)+(_xlfn.IFNA(VLOOKUP($A2,'FL Ratio'!$A$3:$B$10,2,FALSE),0)*'FL Characterization'!V$2)</f>
        <v>51.589938837378995</v>
      </c>
      <c r="W2" s="2">
        <f>('[1]Pc, Summer, S3'!W2*Main!$B$5)+(_xlfn.IFNA(VLOOKUP($A2,'FL Ratio'!$A$3:$B$10,2,FALSE),0)*'FL Characterization'!W$2)</f>
        <v>53.726689369909231</v>
      </c>
      <c r="X2" s="2">
        <f>('[1]Pc, Summer, S3'!X2*Main!$B$5)+(_xlfn.IFNA(VLOOKUP($A2,'FL Ratio'!$A$3:$B$10,2,FALSE),0)*'FL Characterization'!X$2)</f>
        <v>50.079777421457152</v>
      </c>
      <c r="Y2" s="2">
        <f>('[1]Pc, Summer, S3'!Y2*Main!$B$5)+(_xlfn.IFNA(VLOOKUP($A2,'FL Ratio'!$A$3:$B$10,2,FALSE),0)*'FL Characterization'!Y$2)</f>
        <v>45.907852722371949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44.369307285798342</v>
      </c>
      <c r="C3" s="2">
        <f>('[1]Pc, Summer, S3'!C3*Main!$B$5)+(_xlfn.IFNA(VLOOKUP($A3,'FL Ratio'!$A$3:$B$10,2,FALSE),0)*'FL Characterization'!C$2)</f>
        <v>40.763665841789425</v>
      </c>
      <c r="D3" s="2">
        <f>('[1]Pc, Summer, S3'!D3*Main!$B$5)+(_xlfn.IFNA(VLOOKUP($A3,'FL Ratio'!$A$3:$B$10,2,FALSE),0)*'FL Characterization'!D$2)</f>
        <v>38.598082059894523</v>
      </c>
      <c r="E3" s="2">
        <f>('[1]Pc, Summer, S3'!E3*Main!$B$5)+(_xlfn.IFNA(VLOOKUP($A3,'FL Ratio'!$A$3:$B$10,2,FALSE),0)*'FL Characterization'!E$2)</f>
        <v>37.178617293131232</v>
      </c>
      <c r="F3" s="2">
        <f>('[1]Pc, Summer, S3'!F3*Main!$B$5)+(_xlfn.IFNA(VLOOKUP($A3,'FL Ratio'!$A$3:$B$10,2,FALSE),0)*'FL Characterization'!F$2)</f>
        <v>36.708830873159648</v>
      </c>
      <c r="G3" s="2">
        <f>('[1]Pc, Summer, S3'!G3*Main!$B$5)+(_xlfn.IFNA(VLOOKUP($A3,'FL Ratio'!$A$3:$B$10,2,FALSE),0)*'FL Characterization'!G$2)</f>
        <v>38.884057699209329</v>
      </c>
      <c r="H3" s="2">
        <f>('[1]Pc, Summer, S3'!H3*Main!$B$5)+(_xlfn.IFNA(VLOOKUP($A3,'FL Ratio'!$A$3:$B$10,2,FALSE),0)*'FL Characterization'!H$2)</f>
        <v>48.666246503594131</v>
      </c>
      <c r="I3" s="2">
        <f>('[1]Pc, Summer, S3'!I3*Main!$B$5)+(_xlfn.IFNA(VLOOKUP($A3,'FL Ratio'!$A$3:$B$10,2,FALSE),0)*'FL Characterization'!I$2)</f>
        <v>57.550575285470934</v>
      </c>
      <c r="J3" s="2">
        <f>('[1]Pc, Summer, S3'!J3*Main!$B$5)+(_xlfn.IFNA(VLOOKUP($A3,'FL Ratio'!$A$3:$B$10,2,FALSE),0)*'FL Characterization'!J$2)</f>
        <v>60.001696101697007</v>
      </c>
      <c r="K3" s="2">
        <f>('[1]Pc, Summer, S3'!K3*Main!$B$5)+(_xlfn.IFNA(VLOOKUP($A3,'FL Ratio'!$A$3:$B$10,2,FALSE),0)*'FL Characterization'!K$2)</f>
        <v>58.907568291065608</v>
      </c>
      <c r="L3" s="2">
        <f>('[1]Pc, Summer, S3'!L3*Main!$B$5)+(_xlfn.IFNA(VLOOKUP($A3,'FL Ratio'!$A$3:$B$10,2,FALSE),0)*'FL Characterization'!L$2)</f>
        <v>58.677487925235702</v>
      </c>
      <c r="M3" s="2">
        <f>('[1]Pc, Summer, S3'!M3*Main!$B$5)+(_xlfn.IFNA(VLOOKUP($A3,'FL Ratio'!$A$3:$B$10,2,FALSE),0)*'FL Characterization'!M$2)</f>
        <v>62.57922529490024</v>
      </c>
      <c r="N3" s="2">
        <f>('[1]Pc, Summer, S3'!N3*Main!$B$5)+(_xlfn.IFNA(VLOOKUP($A3,'FL Ratio'!$A$3:$B$10,2,FALSE),0)*'FL Characterization'!N$2)</f>
        <v>62.79410193771065</v>
      </c>
      <c r="O3" s="2">
        <f>('[1]Pc, Summer, S3'!O3*Main!$B$5)+(_xlfn.IFNA(VLOOKUP($A3,'FL Ratio'!$A$3:$B$10,2,FALSE),0)*'FL Characterization'!O$2)</f>
        <v>63.280287472958456</v>
      </c>
      <c r="P3" s="2">
        <f>('[1]Pc, Summer, S3'!P3*Main!$B$5)+(_xlfn.IFNA(VLOOKUP($A3,'FL Ratio'!$A$3:$B$10,2,FALSE),0)*'FL Characterization'!P$2)</f>
        <v>60.229648210690769</v>
      </c>
      <c r="Q3" s="2">
        <f>('[1]Pc, Summer, S3'!Q3*Main!$B$5)+(_xlfn.IFNA(VLOOKUP($A3,'FL Ratio'!$A$3:$B$10,2,FALSE),0)*'FL Characterization'!Q$2)</f>
        <v>57.061304798269134</v>
      </c>
      <c r="R3" s="2">
        <f>('[1]Pc, Summer, S3'!R3*Main!$B$5)+(_xlfn.IFNA(VLOOKUP($A3,'FL Ratio'!$A$3:$B$10,2,FALSE),0)*'FL Characterization'!R$2)</f>
        <v>52.742119436099038</v>
      </c>
      <c r="S3" s="2">
        <f>('[1]Pc, Summer, S3'!S3*Main!$B$5)+(_xlfn.IFNA(VLOOKUP($A3,'FL Ratio'!$A$3:$B$10,2,FALSE),0)*'FL Characterization'!S$2)</f>
        <v>53.391090306809275</v>
      </c>
      <c r="T3" s="2">
        <f>('[1]Pc, Summer, S3'!T3*Main!$B$5)+(_xlfn.IFNA(VLOOKUP($A3,'FL Ratio'!$A$3:$B$10,2,FALSE),0)*'FL Characterization'!T$2)</f>
        <v>52.864389310290825</v>
      </c>
      <c r="U3" s="2">
        <f>('[1]Pc, Summer, S3'!U3*Main!$B$5)+(_xlfn.IFNA(VLOOKUP($A3,'FL Ratio'!$A$3:$B$10,2,FALSE),0)*'FL Characterization'!U$2)</f>
        <v>52.642277763682081</v>
      </c>
      <c r="V3" s="2">
        <f>('[1]Pc, Summer, S3'!V3*Main!$B$5)+(_xlfn.IFNA(VLOOKUP($A3,'FL Ratio'!$A$3:$B$10,2,FALSE),0)*'FL Characterization'!V$2)</f>
        <v>52.915033636879137</v>
      </c>
      <c r="W3" s="2">
        <f>('[1]Pc, Summer, S3'!W3*Main!$B$5)+(_xlfn.IFNA(VLOOKUP($A3,'FL Ratio'!$A$3:$B$10,2,FALSE),0)*'FL Characterization'!W$2)</f>
        <v>52.609961860049538</v>
      </c>
      <c r="X3" s="2">
        <f>('[1]Pc, Summer, S3'!X3*Main!$B$5)+(_xlfn.IFNA(VLOOKUP($A3,'FL Ratio'!$A$3:$B$10,2,FALSE),0)*'FL Characterization'!X$2)</f>
        <v>52.496433486530144</v>
      </c>
      <c r="Y3" s="2">
        <f>('[1]Pc, Summer, S3'!Y3*Main!$B$5)+(_xlfn.IFNA(VLOOKUP($A3,'FL Ratio'!$A$3:$B$10,2,FALSE),0)*'FL Characterization'!Y$2)</f>
        <v>49.726699006267403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58.79252853079943</v>
      </c>
      <c r="C4" s="2">
        <f>('[1]Pc, Summer, S3'!C4*Main!$B$5)+(_xlfn.IFNA(VLOOKUP($A4,'FL Ratio'!$A$3:$B$10,2,FALSE),0)*'FL Characterization'!C$2)</f>
        <v>52.208874452312671</v>
      </c>
      <c r="D4" s="2">
        <f>('[1]Pc, Summer, S3'!D4*Main!$B$5)+(_xlfn.IFNA(VLOOKUP($A4,'FL Ratio'!$A$3:$B$10,2,FALSE),0)*'FL Characterization'!D$2)</f>
        <v>49.215429749446258</v>
      </c>
      <c r="E4" s="2">
        <f>('[1]Pc, Summer, S3'!E4*Main!$B$5)+(_xlfn.IFNA(VLOOKUP($A4,'FL Ratio'!$A$3:$B$10,2,FALSE),0)*'FL Characterization'!E$2)</f>
        <v>47.598485241910033</v>
      </c>
      <c r="F4" s="2">
        <f>('[1]Pc, Summer, S3'!F4*Main!$B$5)+(_xlfn.IFNA(VLOOKUP($A4,'FL Ratio'!$A$3:$B$10,2,FALSE),0)*'FL Characterization'!F$2)</f>
        <v>49.832835529902447</v>
      </c>
      <c r="G4" s="2">
        <f>('[1]Pc, Summer, S3'!G4*Main!$B$5)+(_xlfn.IFNA(VLOOKUP($A4,'FL Ratio'!$A$3:$B$10,2,FALSE),0)*'FL Characterization'!G$2)</f>
        <v>45.500533903395777</v>
      </c>
      <c r="H4" s="2">
        <f>('[1]Pc, Summer, S3'!H4*Main!$B$5)+(_xlfn.IFNA(VLOOKUP($A4,'FL Ratio'!$A$3:$B$10,2,FALSE),0)*'FL Characterization'!H$2)</f>
        <v>53.454395526590446</v>
      </c>
      <c r="I4" s="2">
        <f>('[1]Pc, Summer, S3'!I4*Main!$B$5)+(_xlfn.IFNA(VLOOKUP($A4,'FL Ratio'!$A$3:$B$10,2,FALSE),0)*'FL Characterization'!I$2)</f>
        <v>59.861559781684626</v>
      </c>
      <c r="J4" s="2">
        <f>('[1]Pc, Summer, S3'!J4*Main!$B$5)+(_xlfn.IFNA(VLOOKUP($A4,'FL Ratio'!$A$3:$B$10,2,FALSE),0)*'FL Characterization'!J$2)</f>
        <v>67.343191250958341</v>
      </c>
      <c r="K4" s="2">
        <f>('[1]Pc, Summer, S3'!K4*Main!$B$5)+(_xlfn.IFNA(VLOOKUP($A4,'FL Ratio'!$A$3:$B$10,2,FALSE),0)*'FL Characterization'!K$2)</f>
        <v>72.407018837202116</v>
      </c>
      <c r="L4" s="2">
        <f>('[1]Pc, Summer, S3'!L4*Main!$B$5)+(_xlfn.IFNA(VLOOKUP($A4,'FL Ratio'!$A$3:$B$10,2,FALSE),0)*'FL Characterization'!L$2)</f>
        <v>74.506111972690334</v>
      </c>
      <c r="M4" s="2">
        <f>('[1]Pc, Summer, S3'!M4*Main!$B$5)+(_xlfn.IFNA(VLOOKUP($A4,'FL Ratio'!$A$3:$B$10,2,FALSE),0)*'FL Characterization'!M$2)</f>
        <v>75.753041766310318</v>
      </c>
      <c r="N4" s="2">
        <f>('[1]Pc, Summer, S3'!N4*Main!$B$5)+(_xlfn.IFNA(VLOOKUP($A4,'FL Ratio'!$A$3:$B$10,2,FALSE),0)*'FL Characterization'!N$2)</f>
        <v>77.448229381080907</v>
      </c>
      <c r="O4" s="2">
        <f>('[1]Pc, Summer, S3'!O4*Main!$B$5)+(_xlfn.IFNA(VLOOKUP($A4,'FL Ratio'!$A$3:$B$10,2,FALSE),0)*'FL Characterization'!O$2)</f>
        <v>78.564017613417789</v>
      </c>
      <c r="P4" s="2">
        <f>('[1]Pc, Summer, S3'!P4*Main!$B$5)+(_xlfn.IFNA(VLOOKUP($A4,'FL Ratio'!$A$3:$B$10,2,FALSE),0)*'FL Characterization'!P$2)</f>
        <v>78.90568013815799</v>
      </c>
      <c r="Q4" s="2">
        <f>('[1]Pc, Summer, S3'!Q4*Main!$B$5)+(_xlfn.IFNA(VLOOKUP($A4,'FL Ratio'!$A$3:$B$10,2,FALSE),0)*'FL Characterization'!Q$2)</f>
        <v>75.954955293472793</v>
      </c>
      <c r="R4" s="2">
        <f>('[1]Pc, Summer, S3'!R4*Main!$B$5)+(_xlfn.IFNA(VLOOKUP($A4,'FL Ratio'!$A$3:$B$10,2,FALSE),0)*'FL Characterization'!R$2)</f>
        <v>75.502610918525917</v>
      </c>
      <c r="S4" s="2">
        <f>('[1]Pc, Summer, S3'!S4*Main!$B$5)+(_xlfn.IFNA(VLOOKUP($A4,'FL Ratio'!$A$3:$B$10,2,FALSE),0)*'FL Characterization'!S$2)</f>
        <v>73.232336708949788</v>
      </c>
      <c r="T4" s="2">
        <f>('[1]Pc, Summer, S3'!T4*Main!$B$5)+(_xlfn.IFNA(VLOOKUP($A4,'FL Ratio'!$A$3:$B$10,2,FALSE),0)*'FL Characterization'!T$2)</f>
        <v>73.084245055515026</v>
      </c>
      <c r="U4" s="2">
        <f>('[1]Pc, Summer, S3'!U4*Main!$B$5)+(_xlfn.IFNA(VLOOKUP($A4,'FL Ratio'!$A$3:$B$10,2,FALSE),0)*'FL Characterization'!U$2)</f>
        <v>73.456861032404433</v>
      </c>
      <c r="V4" s="2">
        <f>('[1]Pc, Summer, S3'!V4*Main!$B$5)+(_xlfn.IFNA(VLOOKUP($A4,'FL Ratio'!$A$3:$B$10,2,FALSE),0)*'FL Characterization'!V$2)</f>
        <v>73.130109869741503</v>
      </c>
      <c r="W4" s="2">
        <f>('[1]Pc, Summer, S3'!W4*Main!$B$5)+(_xlfn.IFNA(VLOOKUP($A4,'FL Ratio'!$A$3:$B$10,2,FALSE),0)*'FL Characterization'!W$2)</f>
        <v>75.417975636070835</v>
      </c>
      <c r="X4" s="2">
        <f>('[1]Pc, Summer, S3'!X4*Main!$B$5)+(_xlfn.IFNA(VLOOKUP($A4,'FL Ratio'!$A$3:$B$10,2,FALSE),0)*'FL Characterization'!X$2)</f>
        <v>75.455297708851361</v>
      </c>
      <c r="Y4" s="2">
        <f>('[1]Pc, Summer, S3'!Y4*Main!$B$5)+(_xlfn.IFNA(VLOOKUP($A4,'FL Ratio'!$A$3:$B$10,2,FALSE),0)*'FL Characterization'!Y$2)</f>
        <v>68.139319577292881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-13.282130255323377</v>
      </c>
      <c r="C2" s="2">
        <f>('[1]Qc, Summer, S1'!C2*Main!$B$5)</f>
        <v>-17.268400249593256</v>
      </c>
      <c r="D2" s="2">
        <f>('[1]Qc, Summer, S1'!D2*Main!$B$5)</f>
        <v>-19.033109622777793</v>
      </c>
      <c r="E2" s="2">
        <f>('[1]Qc, Summer, S1'!E2*Main!$B$5)</f>
        <v>-17.368709688456821</v>
      </c>
      <c r="F2" s="2">
        <f>('[1]Qc, Summer, S1'!F2*Main!$B$5)</f>
        <v>-18.616919988573958</v>
      </c>
      <c r="G2" s="2">
        <f>('[1]Qc, Summer, S1'!G2*Main!$B$5)</f>
        <v>-19.046019727978724</v>
      </c>
      <c r="H2" s="2">
        <f>('[1]Qc, Summer, S1'!H2*Main!$B$5)</f>
        <v>-16.507000269124976</v>
      </c>
      <c r="I2" s="2">
        <f>('[1]Qc, Summer, S1'!I2*Main!$B$5)</f>
        <v>-2.5681183830994385</v>
      </c>
      <c r="J2" s="2">
        <f>('[1]Qc, Summer, S1'!J2*Main!$B$5)</f>
        <v>8.2434710381283178</v>
      </c>
      <c r="K2" s="2">
        <f>('[1]Qc, Summer, S1'!K2*Main!$B$5)</f>
        <v>12.000891489226683</v>
      </c>
      <c r="L2" s="2">
        <f>('[1]Qc, Summer, S1'!L2*Main!$B$5)</f>
        <v>9.4337736162691517</v>
      </c>
      <c r="M2" s="2">
        <f>('[1]Qc, Summer, S1'!M2*Main!$B$5)</f>
        <v>12.566045478499948</v>
      </c>
      <c r="N2" s="2">
        <f>('[1]Qc, Summer, S1'!N2*Main!$B$5)</f>
        <v>11.151358507012382</v>
      </c>
      <c r="O2" s="2">
        <f>('[1]Qc, Summer, S1'!O2*Main!$B$5)</f>
        <v>11.487112368635662</v>
      </c>
      <c r="P2" s="2">
        <f>('[1]Qc, Summer, S1'!P2*Main!$B$5)</f>
        <v>5.9269284181138211</v>
      </c>
      <c r="Q2" s="2">
        <f>('[1]Qc, Summer, S1'!Q2*Main!$B$5)</f>
        <v>1.498399249714653</v>
      </c>
      <c r="R2" s="2">
        <f>('[1]Qc, Summer, S1'!R2*Main!$B$5)</f>
        <v>3.3333412777948759</v>
      </c>
      <c r="S2" s="2">
        <f>('[1]Qc, Summer, S1'!S2*Main!$B$5)</f>
        <v>4.0488571486613392</v>
      </c>
      <c r="T2" s="2">
        <f>('[1]Qc, Summer, S1'!T2*Main!$B$5)</f>
        <v>2.4392839545152283</v>
      </c>
      <c r="U2" s="2">
        <f>('[1]Qc, Summer, S1'!U2*Main!$B$5)</f>
        <v>-0.45503980463374055</v>
      </c>
      <c r="V2" s="2">
        <f>('[1]Qc, Summer, S1'!V2*Main!$B$5)</f>
        <v>-1.7764023025491809</v>
      </c>
      <c r="W2" s="2">
        <f>('[1]Qc, Summer, S1'!W2*Main!$B$5)</f>
        <v>-1.2358891058288</v>
      </c>
      <c r="X2" s="2">
        <f>('[1]Qc, Summer, S1'!X2*Main!$B$5)</f>
        <v>-5.9270060766957027</v>
      </c>
      <c r="Y2" s="2">
        <f>('[1]Qc, Summer, S1'!Y2*Main!$B$5)</f>
        <v>-8.0226853067355606</v>
      </c>
    </row>
    <row r="3" spans="1:25" x14ac:dyDescent="0.3">
      <c r="A3">
        <v>2</v>
      </c>
      <c r="B3" s="2">
        <f>('[1]Qc, Summer, S1'!B3*Main!$B$5)</f>
        <v>-16.809636144193107</v>
      </c>
      <c r="C3" s="2">
        <f>('[1]Qc, Summer, S1'!C3*Main!$B$5)</f>
        <v>-16.809636144193107</v>
      </c>
      <c r="D3" s="2">
        <f>('[1]Qc, Summer, S1'!D3*Main!$B$5)</f>
        <v>-19.514996246750808</v>
      </c>
      <c r="E3" s="2">
        <f>('[1]Qc, Summer, S1'!E3*Main!$B$5)</f>
        <v>-22.220356349308513</v>
      </c>
      <c r="F3" s="2">
        <f>('[1]Qc, Summer, S1'!F3*Main!$B$5)</f>
        <v>-22.220356349308513</v>
      </c>
      <c r="G3" s="2">
        <f>('[1]Qc, Summer, S1'!G3*Main!$B$5)</f>
        <v>-22.220356349308513</v>
      </c>
      <c r="H3" s="2">
        <f>('[1]Qc, Summer, S1'!H3*Main!$B$5)</f>
        <v>-8.8600455936610558</v>
      </c>
      <c r="I3" s="2">
        <f>('[1]Qc, Summer, S1'!I3*Main!$B$5)</f>
        <v>1.8365319600442434</v>
      </c>
      <c r="J3" s="2">
        <f>('[1]Qc, Summer, S1'!J3*Main!$B$5)</f>
        <v>5.8321473878660255</v>
      </c>
      <c r="K3" s="2">
        <f>('[1]Qc, Summer, S1'!K3*Main!$B$5)</f>
        <v>5.8321473878660255</v>
      </c>
      <c r="L3" s="2">
        <f>('[1]Qc, Summer, S1'!L3*Main!$B$5)</f>
        <v>5.3326870801136703</v>
      </c>
      <c r="M3" s="2">
        <f>('[1]Qc, Summer, S1'!M3*Main!$B$5)</f>
        <v>7.4969644151286223</v>
      </c>
      <c r="N3" s="2">
        <f>('[1]Qc, Summer, S1'!N3*Main!$B$5)</f>
        <v>10.160702057895932</v>
      </c>
      <c r="O3" s="2">
        <f>('[1]Qc, Summer, S1'!O3*Main!$B$5)</f>
        <v>10.472870365717286</v>
      </c>
      <c r="P3" s="2">
        <f>('[1]Qc, Summer, S1'!P3*Main!$B$5)</f>
        <v>5.8737653599624018</v>
      </c>
      <c r="Q3" s="2">
        <f>('[1]Qc, Summer, S1'!Q3*Main!$B$5)</f>
        <v>4.5835100112638889</v>
      </c>
      <c r="R3" s="2">
        <f>('[1]Qc, Summer, S1'!R3*Main!$B$5)</f>
        <v>-0.74396532113959624</v>
      </c>
      <c r="S3" s="2">
        <f>('[1]Qc, Summer, S1'!S3*Main!$B$5)</f>
        <v>-0.74396532113959624</v>
      </c>
      <c r="T3" s="2">
        <f>('[1]Qc, Summer, S1'!T3*Main!$B$5)</f>
        <v>-0.74396532113959624</v>
      </c>
      <c r="U3" s="2">
        <f>('[1]Qc, Summer, S1'!U3*Main!$B$5)</f>
        <v>-0.74396532113959624</v>
      </c>
      <c r="V3" s="2">
        <f>('[1]Qc, Summer, S1'!V3*Main!$B$5)</f>
        <v>-4.7395852132209635</v>
      </c>
      <c r="W3" s="2">
        <f>('[1]Qc, Summer, S1'!W3*Main!$B$5)</f>
        <v>-6.0714585105814178</v>
      </c>
      <c r="X3" s="2">
        <f>('[1]Qc, Summer, S1'!X3*Main!$B$5)</f>
        <v>-16.976108032578612</v>
      </c>
      <c r="Y3" s="2">
        <f>('[1]Qc, Summer, S1'!Y3*Main!$B$5)</f>
        <v>-16.976108032578612</v>
      </c>
    </row>
    <row r="4" spans="1:25" x14ac:dyDescent="0.3">
      <c r="A4">
        <v>3</v>
      </c>
      <c r="B4" s="2">
        <f>('[1]Qc, Summer, S1'!B4*Main!$B$5)</f>
        <v>13.569180648793386</v>
      </c>
      <c r="C4" s="2">
        <f>('[1]Qc, Summer, S1'!C4*Main!$B$5)</f>
        <v>10.396621768195143</v>
      </c>
      <c r="D4" s="2">
        <f>('[1]Qc, Summer, S1'!D4*Main!$B$5)</f>
        <v>9.8523564169161553</v>
      </c>
      <c r="E4" s="2">
        <f>('[1]Qc, Summer, S1'!E4*Main!$B$5)</f>
        <v>8.6047911064290048</v>
      </c>
      <c r="F4" s="2">
        <f>('[1]Qc, Summer, S1'!F4*Main!$B$5)</f>
        <v>9.9058175855092934</v>
      </c>
      <c r="G4" s="2">
        <f>('[1]Qc, Summer, S1'!G4*Main!$B$5)</f>
        <v>4.597443473227969</v>
      </c>
      <c r="H4" s="2">
        <f>('[1]Qc, Summer, S1'!H4*Main!$B$5)</f>
        <v>8.0214651559194596</v>
      </c>
      <c r="I4" s="2">
        <f>('[1]Qc, Summer, S1'!I4*Main!$B$5)</f>
        <v>15.414193052404297</v>
      </c>
      <c r="J4" s="2">
        <f>('[1]Qc, Summer, S1'!J4*Main!$B$5)</f>
        <v>22.422945450329287</v>
      </c>
      <c r="K4" s="2">
        <f>('[1]Qc, Summer, S1'!K4*Main!$B$5)</f>
        <v>26.64469580945309</v>
      </c>
      <c r="L4" s="2">
        <f>('[1]Qc, Summer, S1'!L4*Main!$B$5)</f>
        <v>29.087806288252374</v>
      </c>
      <c r="M4" s="2">
        <f>('[1]Qc, Summer, S1'!M4*Main!$B$5)</f>
        <v>30.149770059182298</v>
      </c>
      <c r="N4" s="2">
        <f>('[1]Qc, Summer, S1'!N4*Main!$B$5)</f>
        <v>31.505001492393706</v>
      </c>
      <c r="O4" s="2">
        <f>('[1]Qc, Summer, S1'!O4*Main!$B$5)</f>
        <v>31.743366213297875</v>
      </c>
      <c r="P4" s="2">
        <f>('[1]Qc, Summer, S1'!P4*Main!$B$5)</f>
        <v>31.518052441360183</v>
      </c>
      <c r="Q4" s="2">
        <f>('[1]Qc, Summer, S1'!Q4*Main!$B$5)</f>
        <v>30.468861582159651</v>
      </c>
      <c r="R4" s="2">
        <f>('[1]Qc, Summer, S1'!R4*Main!$B$5)</f>
        <v>28.995982483854682</v>
      </c>
      <c r="S4" s="2">
        <f>('[1]Qc, Summer, S1'!S4*Main!$B$5)</f>
        <v>25.730669588547382</v>
      </c>
      <c r="T4" s="2">
        <f>('[1]Qc, Summer, S1'!T4*Main!$B$5)</f>
        <v>25.61162598072168</v>
      </c>
      <c r="U4" s="2">
        <f>('[1]Qc, Summer, S1'!U4*Main!$B$5)</f>
        <v>24.364387459467387</v>
      </c>
      <c r="V4" s="2">
        <f>('[1]Qc, Summer, S1'!V4*Main!$B$5)</f>
        <v>21.962012274473686</v>
      </c>
      <c r="W4" s="2">
        <f>('[1]Qc, Summer, S1'!W4*Main!$B$5)</f>
        <v>26.32816374243318</v>
      </c>
      <c r="X4" s="2">
        <f>('[1]Qc, Summer, S1'!X4*Main!$B$5)</f>
        <v>23.5909930320584</v>
      </c>
      <c r="Y4" s="2">
        <f>('[1]Qc, Summer, S1'!Y4*Main!$B$5)</f>
        <v>18.985081408626723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-13.282130255323377</v>
      </c>
      <c r="C2" s="2">
        <f>('[1]Qc, Summer, S1'!C2*Main!$B$5)</f>
        <v>-17.268400249593256</v>
      </c>
      <c r="D2" s="2">
        <f>('[1]Qc, Summer, S1'!D2*Main!$B$5)</f>
        <v>-19.033109622777793</v>
      </c>
      <c r="E2" s="2">
        <f>('[1]Qc, Summer, S1'!E2*Main!$B$5)</f>
        <v>-17.368709688456821</v>
      </c>
      <c r="F2" s="2">
        <f>('[1]Qc, Summer, S1'!F2*Main!$B$5)</f>
        <v>-18.616919988573958</v>
      </c>
      <c r="G2" s="2">
        <f>('[1]Qc, Summer, S1'!G2*Main!$B$5)</f>
        <v>-19.046019727978724</v>
      </c>
      <c r="H2" s="2">
        <f>('[1]Qc, Summer, S1'!H2*Main!$B$5)</f>
        <v>-16.507000269124976</v>
      </c>
      <c r="I2" s="2">
        <f>('[1]Qc, Summer, S1'!I2*Main!$B$5)</f>
        <v>-2.5681183830994385</v>
      </c>
      <c r="J2" s="2">
        <f>('[1]Qc, Summer, S1'!J2*Main!$B$5)</f>
        <v>8.2434710381283178</v>
      </c>
      <c r="K2" s="2">
        <f>('[1]Qc, Summer, S1'!K2*Main!$B$5)</f>
        <v>12.000891489226683</v>
      </c>
      <c r="L2" s="2">
        <f>('[1]Qc, Summer, S1'!L2*Main!$B$5)</f>
        <v>9.4337736162691517</v>
      </c>
      <c r="M2" s="2">
        <f>('[1]Qc, Summer, S1'!M2*Main!$B$5)</f>
        <v>12.566045478499948</v>
      </c>
      <c r="N2" s="2">
        <f>('[1]Qc, Summer, S1'!N2*Main!$B$5)</f>
        <v>11.151358507012382</v>
      </c>
      <c r="O2" s="2">
        <f>('[1]Qc, Summer, S1'!O2*Main!$B$5)</f>
        <v>11.487112368635662</v>
      </c>
      <c r="P2" s="2">
        <f>('[1]Qc, Summer, S1'!P2*Main!$B$5)</f>
        <v>5.9269284181138211</v>
      </c>
      <c r="Q2" s="2">
        <f>('[1]Qc, Summer, S1'!Q2*Main!$B$5)</f>
        <v>1.498399249714653</v>
      </c>
      <c r="R2" s="2">
        <f>('[1]Qc, Summer, S1'!R2*Main!$B$5)</f>
        <v>3.3333412777948759</v>
      </c>
      <c r="S2" s="2">
        <f>('[1]Qc, Summer, S1'!S2*Main!$B$5)</f>
        <v>4.0488571486613392</v>
      </c>
      <c r="T2" s="2">
        <f>('[1]Qc, Summer, S1'!T2*Main!$B$5)</f>
        <v>2.4392839545152283</v>
      </c>
      <c r="U2" s="2">
        <f>('[1]Qc, Summer, S1'!U2*Main!$B$5)</f>
        <v>-0.45503980463374055</v>
      </c>
      <c r="V2" s="2">
        <f>('[1]Qc, Summer, S1'!V2*Main!$B$5)</f>
        <v>-1.7764023025491809</v>
      </c>
      <c r="W2" s="2">
        <f>('[1]Qc, Summer, S1'!W2*Main!$B$5)</f>
        <v>-1.2358891058288</v>
      </c>
      <c r="X2" s="2">
        <f>('[1]Qc, Summer, S1'!X2*Main!$B$5)</f>
        <v>-5.9270060766957027</v>
      </c>
      <c r="Y2" s="2">
        <f>('[1]Qc, Summer, S1'!Y2*Main!$B$5)</f>
        <v>-8.0226853067355606</v>
      </c>
    </row>
    <row r="3" spans="1:25" x14ac:dyDescent="0.3">
      <c r="A3">
        <v>2</v>
      </c>
      <c r="B3" s="2">
        <f>('[1]Qc, Summer, S1'!B3*Main!$B$5)</f>
        <v>-16.809636144193107</v>
      </c>
      <c r="C3" s="2">
        <f>('[1]Qc, Summer, S1'!C3*Main!$B$5)</f>
        <v>-16.809636144193107</v>
      </c>
      <c r="D3" s="2">
        <f>('[1]Qc, Summer, S1'!D3*Main!$B$5)</f>
        <v>-19.514996246750808</v>
      </c>
      <c r="E3" s="2">
        <f>('[1]Qc, Summer, S1'!E3*Main!$B$5)</f>
        <v>-22.220356349308513</v>
      </c>
      <c r="F3" s="2">
        <f>('[1]Qc, Summer, S1'!F3*Main!$B$5)</f>
        <v>-22.220356349308513</v>
      </c>
      <c r="G3" s="2">
        <f>('[1]Qc, Summer, S1'!G3*Main!$B$5)</f>
        <v>-22.220356349308513</v>
      </c>
      <c r="H3" s="2">
        <f>('[1]Qc, Summer, S1'!H3*Main!$B$5)</f>
        <v>-8.8600455936610558</v>
      </c>
      <c r="I3" s="2">
        <f>('[1]Qc, Summer, S1'!I3*Main!$B$5)</f>
        <v>1.8365319600442434</v>
      </c>
      <c r="J3" s="2">
        <f>('[1]Qc, Summer, S1'!J3*Main!$B$5)</f>
        <v>5.8321473878660255</v>
      </c>
      <c r="K3" s="2">
        <f>('[1]Qc, Summer, S1'!K3*Main!$B$5)</f>
        <v>5.8321473878660255</v>
      </c>
      <c r="L3" s="2">
        <f>('[1]Qc, Summer, S1'!L3*Main!$B$5)</f>
        <v>5.3326870801136703</v>
      </c>
      <c r="M3" s="2">
        <f>('[1]Qc, Summer, S1'!M3*Main!$B$5)</f>
        <v>7.4969644151286223</v>
      </c>
      <c r="N3" s="2">
        <f>('[1]Qc, Summer, S1'!N3*Main!$B$5)</f>
        <v>10.160702057895932</v>
      </c>
      <c r="O3" s="2">
        <f>('[1]Qc, Summer, S1'!O3*Main!$B$5)</f>
        <v>10.472870365717286</v>
      </c>
      <c r="P3" s="2">
        <f>('[1]Qc, Summer, S1'!P3*Main!$B$5)</f>
        <v>5.8737653599624018</v>
      </c>
      <c r="Q3" s="2">
        <f>('[1]Qc, Summer, S1'!Q3*Main!$B$5)</f>
        <v>4.5835100112638889</v>
      </c>
      <c r="R3" s="2">
        <f>('[1]Qc, Summer, S1'!R3*Main!$B$5)</f>
        <v>-0.74396532113959624</v>
      </c>
      <c r="S3" s="2">
        <f>('[1]Qc, Summer, S1'!S3*Main!$B$5)</f>
        <v>-0.74396532113959624</v>
      </c>
      <c r="T3" s="2">
        <f>('[1]Qc, Summer, S1'!T3*Main!$B$5)</f>
        <v>-0.74396532113959624</v>
      </c>
      <c r="U3" s="2">
        <f>('[1]Qc, Summer, S1'!U3*Main!$B$5)</f>
        <v>-0.74396532113959624</v>
      </c>
      <c r="V3" s="2">
        <f>('[1]Qc, Summer, S1'!V3*Main!$B$5)</f>
        <v>-4.7395852132209635</v>
      </c>
      <c r="W3" s="2">
        <f>('[1]Qc, Summer, S1'!W3*Main!$B$5)</f>
        <v>-6.0714585105814178</v>
      </c>
      <c r="X3" s="2">
        <f>('[1]Qc, Summer, S1'!X3*Main!$B$5)</f>
        <v>-16.976108032578612</v>
      </c>
      <c r="Y3" s="2">
        <f>('[1]Qc, Summer, S1'!Y3*Main!$B$5)</f>
        <v>-16.976108032578612</v>
      </c>
    </row>
    <row r="4" spans="1:25" x14ac:dyDescent="0.3">
      <c r="A4">
        <v>3</v>
      </c>
      <c r="B4" s="2">
        <f>('[1]Qc, Summer, S1'!B4*Main!$B$5)</f>
        <v>13.569180648793386</v>
      </c>
      <c r="C4" s="2">
        <f>('[1]Qc, Summer, S1'!C4*Main!$B$5)</f>
        <v>10.396621768195143</v>
      </c>
      <c r="D4" s="2">
        <f>('[1]Qc, Summer, S1'!D4*Main!$B$5)</f>
        <v>9.8523564169161553</v>
      </c>
      <c r="E4" s="2">
        <f>('[1]Qc, Summer, S1'!E4*Main!$B$5)</f>
        <v>8.6047911064290048</v>
      </c>
      <c r="F4" s="2">
        <f>('[1]Qc, Summer, S1'!F4*Main!$B$5)</f>
        <v>9.9058175855092934</v>
      </c>
      <c r="G4" s="2">
        <f>('[1]Qc, Summer, S1'!G4*Main!$B$5)</f>
        <v>4.597443473227969</v>
      </c>
      <c r="H4" s="2">
        <f>('[1]Qc, Summer, S1'!H4*Main!$B$5)</f>
        <v>8.0214651559194596</v>
      </c>
      <c r="I4" s="2">
        <f>('[1]Qc, Summer, S1'!I4*Main!$B$5)</f>
        <v>15.414193052404297</v>
      </c>
      <c r="J4" s="2">
        <f>('[1]Qc, Summer, S1'!J4*Main!$B$5)</f>
        <v>22.422945450329287</v>
      </c>
      <c r="K4" s="2">
        <f>('[1]Qc, Summer, S1'!K4*Main!$B$5)</f>
        <v>26.64469580945309</v>
      </c>
      <c r="L4" s="2">
        <f>('[1]Qc, Summer, S1'!L4*Main!$B$5)</f>
        <v>29.087806288252374</v>
      </c>
      <c r="M4" s="2">
        <f>('[1]Qc, Summer, S1'!M4*Main!$B$5)</f>
        <v>30.149770059182298</v>
      </c>
      <c r="N4" s="2">
        <f>('[1]Qc, Summer, S1'!N4*Main!$B$5)</f>
        <v>31.505001492393706</v>
      </c>
      <c r="O4" s="2">
        <f>('[1]Qc, Summer, S1'!O4*Main!$B$5)</f>
        <v>31.743366213297875</v>
      </c>
      <c r="P4" s="2">
        <f>('[1]Qc, Summer, S1'!P4*Main!$B$5)</f>
        <v>31.518052441360183</v>
      </c>
      <c r="Q4" s="2">
        <f>('[1]Qc, Summer, S1'!Q4*Main!$B$5)</f>
        <v>30.468861582159651</v>
      </c>
      <c r="R4" s="2">
        <f>('[1]Qc, Summer, S1'!R4*Main!$B$5)</f>
        <v>28.995982483854682</v>
      </c>
      <c r="S4" s="2">
        <f>('[1]Qc, Summer, S1'!S4*Main!$B$5)</f>
        <v>25.730669588547382</v>
      </c>
      <c r="T4" s="2">
        <f>('[1]Qc, Summer, S1'!T4*Main!$B$5)</f>
        <v>25.61162598072168</v>
      </c>
      <c r="U4" s="2">
        <f>('[1]Qc, Summer, S1'!U4*Main!$B$5)</f>
        <v>24.364387459467387</v>
      </c>
      <c r="V4" s="2">
        <f>('[1]Qc, Summer, S1'!V4*Main!$B$5)</f>
        <v>21.962012274473686</v>
      </c>
      <c r="W4" s="2">
        <f>('[1]Qc, Summer, S1'!W4*Main!$B$5)</f>
        <v>26.32816374243318</v>
      </c>
      <c r="X4" s="2">
        <f>('[1]Qc, Summer, S1'!X4*Main!$B$5)</f>
        <v>23.5909930320584</v>
      </c>
      <c r="Y4" s="2">
        <f>('[1]Qc, Summer, S1'!Y4*Main!$B$5)</f>
        <v>18.985081408626723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-13.282130255323377</v>
      </c>
      <c r="C2" s="2">
        <f>('[1]Qc, Summer, S1'!C2*Main!$B$5)</f>
        <v>-17.268400249593256</v>
      </c>
      <c r="D2" s="2">
        <f>('[1]Qc, Summer, S1'!D2*Main!$B$5)</f>
        <v>-19.033109622777793</v>
      </c>
      <c r="E2" s="2">
        <f>('[1]Qc, Summer, S1'!E2*Main!$B$5)</f>
        <v>-17.368709688456821</v>
      </c>
      <c r="F2" s="2">
        <f>('[1]Qc, Summer, S1'!F2*Main!$B$5)</f>
        <v>-18.616919988573958</v>
      </c>
      <c r="G2" s="2">
        <f>('[1]Qc, Summer, S1'!G2*Main!$B$5)</f>
        <v>-19.046019727978724</v>
      </c>
      <c r="H2" s="2">
        <f>('[1]Qc, Summer, S1'!H2*Main!$B$5)</f>
        <v>-16.507000269124976</v>
      </c>
      <c r="I2" s="2">
        <f>('[1]Qc, Summer, S1'!I2*Main!$B$5)</f>
        <v>-2.5681183830994385</v>
      </c>
      <c r="J2" s="2">
        <f>('[1]Qc, Summer, S1'!J2*Main!$B$5)</f>
        <v>8.2434710381283178</v>
      </c>
      <c r="K2" s="2">
        <f>('[1]Qc, Summer, S1'!K2*Main!$B$5)</f>
        <v>12.000891489226683</v>
      </c>
      <c r="L2" s="2">
        <f>('[1]Qc, Summer, S1'!L2*Main!$B$5)</f>
        <v>9.4337736162691517</v>
      </c>
      <c r="M2" s="2">
        <f>('[1]Qc, Summer, S1'!M2*Main!$B$5)</f>
        <v>12.566045478499948</v>
      </c>
      <c r="N2" s="2">
        <f>('[1]Qc, Summer, S1'!N2*Main!$B$5)</f>
        <v>11.151358507012382</v>
      </c>
      <c r="O2" s="2">
        <f>('[1]Qc, Summer, S1'!O2*Main!$B$5)</f>
        <v>11.487112368635662</v>
      </c>
      <c r="P2" s="2">
        <f>('[1]Qc, Summer, S1'!P2*Main!$B$5)</f>
        <v>5.9269284181138211</v>
      </c>
      <c r="Q2" s="2">
        <f>('[1]Qc, Summer, S1'!Q2*Main!$B$5)</f>
        <v>1.498399249714653</v>
      </c>
      <c r="R2" s="2">
        <f>('[1]Qc, Summer, S1'!R2*Main!$B$5)</f>
        <v>3.3333412777948759</v>
      </c>
      <c r="S2" s="2">
        <f>('[1]Qc, Summer, S1'!S2*Main!$B$5)</f>
        <v>4.0488571486613392</v>
      </c>
      <c r="T2" s="2">
        <f>('[1]Qc, Summer, S1'!T2*Main!$B$5)</f>
        <v>2.4392839545152283</v>
      </c>
      <c r="U2" s="2">
        <f>('[1]Qc, Summer, S1'!U2*Main!$B$5)</f>
        <v>-0.45503980463374055</v>
      </c>
      <c r="V2" s="2">
        <f>('[1]Qc, Summer, S1'!V2*Main!$B$5)</f>
        <v>-1.7764023025491809</v>
      </c>
      <c r="W2" s="2">
        <f>('[1]Qc, Summer, S1'!W2*Main!$B$5)</f>
        <v>-1.2358891058288</v>
      </c>
      <c r="X2" s="2">
        <f>('[1]Qc, Summer, S1'!X2*Main!$B$5)</f>
        <v>-5.9270060766957027</v>
      </c>
      <c r="Y2" s="2">
        <f>('[1]Qc, Summer, S1'!Y2*Main!$B$5)</f>
        <v>-8.0226853067355606</v>
      </c>
    </row>
    <row r="3" spans="1:25" x14ac:dyDescent="0.3">
      <c r="A3">
        <v>2</v>
      </c>
      <c r="B3" s="2">
        <f>('[1]Qc, Summer, S1'!B3*Main!$B$5)</f>
        <v>-16.809636144193107</v>
      </c>
      <c r="C3" s="2">
        <f>('[1]Qc, Summer, S1'!C3*Main!$B$5)</f>
        <v>-16.809636144193107</v>
      </c>
      <c r="D3" s="2">
        <f>('[1]Qc, Summer, S1'!D3*Main!$B$5)</f>
        <v>-19.514996246750808</v>
      </c>
      <c r="E3" s="2">
        <f>('[1]Qc, Summer, S1'!E3*Main!$B$5)</f>
        <v>-22.220356349308513</v>
      </c>
      <c r="F3" s="2">
        <f>('[1]Qc, Summer, S1'!F3*Main!$B$5)</f>
        <v>-22.220356349308513</v>
      </c>
      <c r="G3" s="2">
        <f>('[1]Qc, Summer, S1'!G3*Main!$B$5)</f>
        <v>-22.220356349308513</v>
      </c>
      <c r="H3" s="2">
        <f>('[1]Qc, Summer, S1'!H3*Main!$B$5)</f>
        <v>-8.8600455936610558</v>
      </c>
      <c r="I3" s="2">
        <f>('[1]Qc, Summer, S1'!I3*Main!$B$5)</f>
        <v>1.8365319600442434</v>
      </c>
      <c r="J3" s="2">
        <f>('[1]Qc, Summer, S1'!J3*Main!$B$5)</f>
        <v>5.8321473878660255</v>
      </c>
      <c r="K3" s="2">
        <f>('[1]Qc, Summer, S1'!K3*Main!$B$5)</f>
        <v>5.8321473878660255</v>
      </c>
      <c r="L3" s="2">
        <f>('[1]Qc, Summer, S1'!L3*Main!$B$5)</f>
        <v>5.3326870801136703</v>
      </c>
      <c r="M3" s="2">
        <f>('[1]Qc, Summer, S1'!M3*Main!$B$5)</f>
        <v>7.4969644151286223</v>
      </c>
      <c r="N3" s="2">
        <f>('[1]Qc, Summer, S1'!N3*Main!$B$5)</f>
        <v>10.160702057895932</v>
      </c>
      <c r="O3" s="2">
        <f>('[1]Qc, Summer, S1'!O3*Main!$B$5)</f>
        <v>10.472870365717286</v>
      </c>
      <c r="P3" s="2">
        <f>('[1]Qc, Summer, S1'!P3*Main!$B$5)</f>
        <v>5.8737653599624018</v>
      </c>
      <c r="Q3" s="2">
        <f>('[1]Qc, Summer, S1'!Q3*Main!$B$5)</f>
        <v>4.5835100112638889</v>
      </c>
      <c r="R3" s="2">
        <f>('[1]Qc, Summer, S1'!R3*Main!$B$5)</f>
        <v>-0.74396532113959624</v>
      </c>
      <c r="S3" s="2">
        <f>('[1]Qc, Summer, S1'!S3*Main!$B$5)</f>
        <v>-0.74396532113959624</v>
      </c>
      <c r="T3" s="2">
        <f>('[1]Qc, Summer, S1'!T3*Main!$B$5)</f>
        <v>-0.74396532113959624</v>
      </c>
      <c r="U3" s="2">
        <f>('[1]Qc, Summer, S1'!U3*Main!$B$5)</f>
        <v>-0.74396532113959624</v>
      </c>
      <c r="V3" s="2">
        <f>('[1]Qc, Summer, S1'!V3*Main!$B$5)</f>
        <v>-4.7395852132209635</v>
      </c>
      <c r="W3" s="2">
        <f>('[1]Qc, Summer, S1'!W3*Main!$B$5)</f>
        <v>-6.0714585105814178</v>
      </c>
      <c r="X3" s="2">
        <f>('[1]Qc, Summer, S1'!X3*Main!$B$5)</f>
        <v>-16.976108032578612</v>
      </c>
      <c r="Y3" s="2">
        <f>('[1]Qc, Summer, S1'!Y3*Main!$B$5)</f>
        <v>-16.976108032578612</v>
      </c>
    </row>
    <row r="4" spans="1:25" x14ac:dyDescent="0.3">
      <c r="A4">
        <v>3</v>
      </c>
      <c r="B4" s="2">
        <f>('[1]Qc, Summer, S1'!B4*Main!$B$5)</f>
        <v>13.569180648793386</v>
      </c>
      <c r="C4" s="2">
        <f>('[1]Qc, Summer, S1'!C4*Main!$B$5)</f>
        <v>10.396621768195143</v>
      </c>
      <c r="D4" s="2">
        <f>('[1]Qc, Summer, S1'!D4*Main!$B$5)</f>
        <v>9.8523564169161553</v>
      </c>
      <c r="E4" s="2">
        <f>('[1]Qc, Summer, S1'!E4*Main!$B$5)</f>
        <v>8.6047911064290048</v>
      </c>
      <c r="F4" s="2">
        <f>('[1]Qc, Summer, S1'!F4*Main!$B$5)</f>
        <v>9.9058175855092934</v>
      </c>
      <c r="G4" s="2">
        <f>('[1]Qc, Summer, S1'!G4*Main!$B$5)</f>
        <v>4.597443473227969</v>
      </c>
      <c r="H4" s="2">
        <f>('[1]Qc, Summer, S1'!H4*Main!$B$5)</f>
        <v>8.0214651559194596</v>
      </c>
      <c r="I4" s="2">
        <f>('[1]Qc, Summer, S1'!I4*Main!$B$5)</f>
        <v>15.414193052404297</v>
      </c>
      <c r="J4" s="2">
        <f>('[1]Qc, Summer, S1'!J4*Main!$B$5)</f>
        <v>22.422945450329287</v>
      </c>
      <c r="K4" s="2">
        <f>('[1]Qc, Summer, S1'!K4*Main!$B$5)</f>
        <v>26.64469580945309</v>
      </c>
      <c r="L4" s="2">
        <f>('[1]Qc, Summer, S1'!L4*Main!$B$5)</f>
        <v>29.087806288252374</v>
      </c>
      <c r="M4" s="2">
        <f>('[1]Qc, Summer, S1'!M4*Main!$B$5)</f>
        <v>30.149770059182298</v>
      </c>
      <c r="N4" s="2">
        <f>('[1]Qc, Summer, S1'!N4*Main!$B$5)</f>
        <v>31.505001492393706</v>
      </c>
      <c r="O4" s="2">
        <f>('[1]Qc, Summer, S1'!O4*Main!$B$5)</f>
        <v>31.743366213297875</v>
      </c>
      <c r="P4" s="2">
        <f>('[1]Qc, Summer, S1'!P4*Main!$B$5)</f>
        <v>31.518052441360183</v>
      </c>
      <c r="Q4" s="2">
        <f>('[1]Qc, Summer, S1'!Q4*Main!$B$5)</f>
        <v>30.468861582159651</v>
      </c>
      <c r="R4" s="2">
        <f>('[1]Qc, Summer, S1'!R4*Main!$B$5)</f>
        <v>28.995982483854682</v>
      </c>
      <c r="S4" s="2">
        <f>('[1]Qc, Summer, S1'!S4*Main!$B$5)</f>
        <v>25.730669588547382</v>
      </c>
      <c r="T4" s="2">
        <f>('[1]Qc, Summer, S1'!T4*Main!$B$5)</f>
        <v>25.61162598072168</v>
      </c>
      <c r="U4" s="2">
        <f>('[1]Qc, Summer, S1'!U4*Main!$B$5)</f>
        <v>24.364387459467387</v>
      </c>
      <c r="V4" s="2">
        <f>('[1]Qc, Summer, S1'!V4*Main!$B$5)</f>
        <v>21.962012274473686</v>
      </c>
      <c r="W4" s="2">
        <f>('[1]Qc, Summer, S1'!W4*Main!$B$5)</f>
        <v>26.32816374243318</v>
      </c>
      <c r="X4" s="2">
        <f>('[1]Qc, Summer, S1'!X4*Main!$B$5)</f>
        <v>23.5909930320584</v>
      </c>
      <c r="Y4" s="2">
        <f>('[1]Qc, Summer, S1'!Y4*Main!$B$5)</f>
        <v>18.985081408626723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-13.680594162983075</v>
      </c>
      <c r="C2" s="2">
        <f>('[1]Qc, Summer, S2'!C2*Main!$B$5)</f>
        <v>-17.786452257081052</v>
      </c>
      <c r="D2" s="2">
        <f>('[1]Qc, Summer, S2'!D2*Main!$B$5)</f>
        <v>-19.604102911461126</v>
      </c>
      <c r="E2" s="2">
        <f>('[1]Qc, Summer, S2'!E2*Main!$B$5)</f>
        <v>-17.889770979110526</v>
      </c>
      <c r="F2" s="2">
        <f>('[1]Qc, Summer, S2'!F2*Main!$B$5)</f>
        <v>-19.175427588231173</v>
      </c>
      <c r="G2" s="2">
        <f>('[1]Qc, Summer, S2'!G2*Main!$B$5)</f>
        <v>-19.617400319818088</v>
      </c>
      <c r="H2" s="2">
        <f>('[1]Qc, Summer, S2'!H2*Main!$B$5)</f>
        <v>-17.002210277198724</v>
      </c>
      <c r="I2" s="2">
        <f>('[1]Qc, Summer, S2'!I2*Main!$B$5)</f>
        <v>-2.645161934592422</v>
      </c>
      <c r="J2" s="2">
        <f>('[1]Qc, Summer, S2'!J2*Main!$B$5)</f>
        <v>8.4907751692721689</v>
      </c>
      <c r="K2" s="2">
        <f>('[1]Qc, Summer, S2'!K2*Main!$B$5)</f>
        <v>12.360918233903483</v>
      </c>
      <c r="L2" s="2">
        <f>('[1]Qc, Summer, S2'!L2*Main!$B$5)</f>
        <v>9.7167868247572287</v>
      </c>
      <c r="M2" s="2">
        <f>('[1]Qc, Summer, S2'!M2*Main!$B$5)</f>
        <v>12.943026842854945</v>
      </c>
      <c r="N2" s="2">
        <f>('[1]Qc, Summer, S2'!N2*Main!$B$5)</f>
        <v>11.485899262222754</v>
      </c>
      <c r="O2" s="2">
        <f>('[1]Qc, Summer, S2'!O2*Main!$B$5)</f>
        <v>11.831725739694731</v>
      </c>
      <c r="P2" s="2">
        <f>('[1]Qc, Summer, S2'!P2*Main!$B$5)</f>
        <v>6.1047362706572352</v>
      </c>
      <c r="Q2" s="2">
        <f>('[1]Qc, Summer, S2'!Q2*Main!$B$5)</f>
        <v>1.5433512272060925</v>
      </c>
      <c r="R2" s="2">
        <f>('[1]Qc, Summer, S2'!R2*Main!$B$5)</f>
        <v>3.433341516128722</v>
      </c>
      <c r="S2" s="2">
        <f>('[1]Qc, Summer, S2'!S2*Main!$B$5)</f>
        <v>4.1703228631211795</v>
      </c>
      <c r="T2" s="2">
        <f>('[1]Qc, Summer, S2'!T2*Main!$B$5)</f>
        <v>2.512462473150685</v>
      </c>
      <c r="U2" s="2">
        <f>('[1]Qc, Summer, S2'!U2*Main!$B$5)</f>
        <v>-0.46869099877275283</v>
      </c>
      <c r="V2" s="2">
        <f>('[1]Qc, Summer, S2'!V2*Main!$B$5)</f>
        <v>-1.8296943716256564</v>
      </c>
      <c r="W2" s="2">
        <f>('[1]Qc, Summer, S2'!W2*Main!$B$5)</f>
        <v>-1.2729657790036637</v>
      </c>
      <c r="X2" s="2">
        <f>('[1]Qc, Summer, S2'!X2*Main!$B$5)</f>
        <v>-6.104816258996574</v>
      </c>
      <c r="Y2" s="2">
        <f>('[1]Qc, Summer, S2'!Y2*Main!$B$5)</f>
        <v>-8.2633658659376277</v>
      </c>
    </row>
    <row r="3" spans="1:25" x14ac:dyDescent="0.3">
      <c r="A3">
        <v>2</v>
      </c>
      <c r="B3" s="2">
        <f>('[1]Qc, Summer, S2'!B3*Main!$B$5)</f>
        <v>-17.313925228518901</v>
      </c>
      <c r="C3" s="2">
        <f>('[1]Qc, Summer, S2'!C3*Main!$B$5)</f>
        <v>-17.313925228518901</v>
      </c>
      <c r="D3" s="2">
        <f>('[1]Qc, Summer, S2'!D3*Main!$B$5)</f>
        <v>-20.100446134153334</v>
      </c>
      <c r="E3" s="2">
        <f>('[1]Qc, Summer, S2'!E3*Main!$B$5)</f>
        <v>-22.88696703978777</v>
      </c>
      <c r="F3" s="2">
        <f>('[1]Qc, Summer, S2'!F3*Main!$B$5)</f>
        <v>-22.88696703978777</v>
      </c>
      <c r="G3" s="2">
        <f>('[1]Qc, Summer, S2'!G3*Main!$B$5)</f>
        <v>-22.88696703978777</v>
      </c>
      <c r="H3" s="2">
        <f>('[1]Qc, Summer, S2'!H3*Main!$B$5)</f>
        <v>-9.1258469614708879</v>
      </c>
      <c r="I3" s="2">
        <f>('[1]Qc, Summer, S2'!I3*Main!$B$5)</f>
        <v>1.8916279188455711</v>
      </c>
      <c r="J3" s="2">
        <f>('[1]Qc, Summer, S2'!J3*Main!$B$5)</f>
        <v>6.0071118095020068</v>
      </c>
      <c r="K3" s="2">
        <f>('[1]Qc, Summer, S2'!K3*Main!$B$5)</f>
        <v>6.0071118095020068</v>
      </c>
      <c r="L3" s="2">
        <f>('[1]Qc, Summer, S2'!L3*Main!$B$5)</f>
        <v>5.4926676925170801</v>
      </c>
      <c r="M3" s="2">
        <f>('[1]Qc, Summer, S2'!M3*Main!$B$5)</f>
        <v>7.7218733475824806</v>
      </c>
      <c r="N3" s="2">
        <f>('[1]Qc, Summer, S2'!N3*Main!$B$5)</f>
        <v>10.46552311963281</v>
      </c>
      <c r="O3" s="2">
        <f>('[1]Qc, Summer, S2'!O3*Main!$B$5)</f>
        <v>10.787056476688804</v>
      </c>
      <c r="P3" s="2">
        <f>('[1]Qc, Summer, S2'!P3*Main!$B$5)</f>
        <v>6.0499783207612747</v>
      </c>
      <c r="Q3" s="2">
        <f>('[1]Qc, Summer, S2'!Q3*Main!$B$5)</f>
        <v>4.7210153116018061</v>
      </c>
      <c r="R3" s="2">
        <f>('[1]Qc, Summer, S2'!R3*Main!$B$5)</f>
        <v>-0.76628428077378408</v>
      </c>
      <c r="S3" s="2">
        <f>('[1]Qc, Summer, S2'!S3*Main!$B$5)</f>
        <v>-0.76628428077378408</v>
      </c>
      <c r="T3" s="2">
        <f>('[1]Qc, Summer, S2'!T3*Main!$B$5)</f>
        <v>-0.76628428077378408</v>
      </c>
      <c r="U3" s="2">
        <f>('[1]Qc, Summer, S2'!U3*Main!$B$5)</f>
        <v>-0.76628428077378408</v>
      </c>
      <c r="V3" s="2">
        <f>('[1]Qc, Summer, S2'!V3*Main!$B$5)</f>
        <v>-4.8817727696175925</v>
      </c>
      <c r="W3" s="2">
        <f>('[1]Qc, Summer, S2'!W3*Main!$B$5)</f>
        <v>-6.2536022658988619</v>
      </c>
      <c r="X3" s="2">
        <f>('[1]Qc, Summer, S2'!X3*Main!$B$5)</f>
        <v>-17.485391273555972</v>
      </c>
      <c r="Y3" s="2">
        <f>('[1]Qc, Summer, S2'!Y3*Main!$B$5)</f>
        <v>-17.485391273555972</v>
      </c>
    </row>
    <row r="4" spans="1:25" x14ac:dyDescent="0.3">
      <c r="A4">
        <v>3</v>
      </c>
      <c r="B4" s="2">
        <f>('[1]Qc, Summer, S2'!B4*Main!$B$5)</f>
        <v>13.976256068257188</v>
      </c>
      <c r="C4" s="2">
        <f>('[1]Qc, Summer, S2'!C4*Main!$B$5)</f>
        <v>10.708520421240996</v>
      </c>
      <c r="D4" s="2">
        <f>('[1]Qc, Summer, S2'!D4*Main!$B$5)</f>
        <v>10.147927109423639</v>
      </c>
      <c r="E4" s="2">
        <f>('[1]Qc, Summer, S2'!E4*Main!$B$5)</f>
        <v>8.8629348396218752</v>
      </c>
      <c r="F4" s="2">
        <f>('[1]Qc, Summer, S2'!F4*Main!$B$5)</f>
        <v>10.202992113074574</v>
      </c>
      <c r="G4" s="2">
        <f>('[1]Qc, Summer, S2'!G4*Main!$B$5)</f>
        <v>4.735366777424808</v>
      </c>
      <c r="H4" s="2">
        <f>('[1]Qc, Summer, S2'!H4*Main!$B$5)</f>
        <v>8.2621091105970432</v>
      </c>
      <c r="I4" s="2">
        <f>('[1]Qc, Summer, S2'!I4*Main!$B$5)</f>
        <v>15.876618843976427</v>
      </c>
      <c r="J4" s="2">
        <f>('[1]Qc, Summer, S2'!J4*Main!$B$5)</f>
        <v>23.095633813839171</v>
      </c>
      <c r="K4" s="2">
        <f>('[1]Qc, Summer, S2'!K4*Main!$B$5)</f>
        <v>27.44403668373668</v>
      </c>
      <c r="L4" s="2">
        <f>('[1]Qc, Summer, S2'!L4*Main!$B$5)</f>
        <v>29.960440476899947</v>
      </c>
      <c r="M4" s="2">
        <f>('[1]Qc, Summer, S2'!M4*Main!$B$5)</f>
        <v>31.05426316095777</v>
      </c>
      <c r="N4" s="2">
        <f>('[1]Qc, Summer, S2'!N4*Main!$B$5)</f>
        <v>32.450151537165517</v>
      </c>
      <c r="O4" s="2">
        <f>('[1]Qc, Summer, S2'!O4*Main!$B$5)</f>
        <v>32.695667199696814</v>
      </c>
      <c r="P4" s="2">
        <f>('[1]Qc, Summer, S2'!P4*Main!$B$5)</f>
        <v>32.463594014600993</v>
      </c>
      <c r="Q4" s="2">
        <f>('[1]Qc, Summer, S2'!Q4*Main!$B$5)</f>
        <v>31.382927429624441</v>
      </c>
      <c r="R4" s="2">
        <f>('[1]Qc, Summer, S2'!R4*Main!$B$5)</f>
        <v>29.865861958370324</v>
      </c>
      <c r="S4" s="2">
        <f>('[1]Qc, Summer, S2'!S4*Main!$B$5)</f>
        <v>26.502589676203808</v>
      </c>
      <c r="T4" s="2">
        <f>('[1]Qc, Summer, S2'!T4*Main!$B$5)</f>
        <v>26.379974760143337</v>
      </c>
      <c r="U4" s="2">
        <f>('[1]Qc, Summer, S2'!U4*Main!$B$5)</f>
        <v>25.095319083251407</v>
      </c>
      <c r="V4" s="2">
        <f>('[1]Qc, Summer, S2'!V4*Main!$B$5)</f>
        <v>22.620872642707894</v>
      </c>
      <c r="W4" s="2">
        <f>('[1]Qc, Summer, S2'!W4*Main!$B$5)</f>
        <v>27.11800865470618</v>
      </c>
      <c r="X4" s="2">
        <f>('[1]Qc, Summer, S2'!X4*Main!$B$5)</f>
        <v>24.298722823020153</v>
      </c>
      <c r="Y4" s="2">
        <f>('[1]Qc, Summer, S2'!Y4*Main!$B$5)</f>
        <v>19.554633850885526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-13.680594162983075</v>
      </c>
      <c r="C2" s="2">
        <f>('[1]Qc, Summer, S2'!C2*Main!$B$5)</f>
        <v>-17.786452257081052</v>
      </c>
      <c r="D2" s="2">
        <f>('[1]Qc, Summer, S2'!D2*Main!$B$5)</f>
        <v>-19.604102911461126</v>
      </c>
      <c r="E2" s="2">
        <f>('[1]Qc, Summer, S2'!E2*Main!$B$5)</f>
        <v>-17.889770979110526</v>
      </c>
      <c r="F2" s="2">
        <f>('[1]Qc, Summer, S2'!F2*Main!$B$5)</f>
        <v>-19.175427588231173</v>
      </c>
      <c r="G2" s="2">
        <f>('[1]Qc, Summer, S2'!G2*Main!$B$5)</f>
        <v>-19.617400319818088</v>
      </c>
      <c r="H2" s="2">
        <f>('[1]Qc, Summer, S2'!H2*Main!$B$5)</f>
        <v>-17.002210277198724</v>
      </c>
      <c r="I2" s="2">
        <f>('[1]Qc, Summer, S2'!I2*Main!$B$5)</f>
        <v>-2.645161934592422</v>
      </c>
      <c r="J2" s="2">
        <f>('[1]Qc, Summer, S2'!J2*Main!$B$5)</f>
        <v>8.4907751692721689</v>
      </c>
      <c r="K2" s="2">
        <f>('[1]Qc, Summer, S2'!K2*Main!$B$5)</f>
        <v>12.360918233903483</v>
      </c>
      <c r="L2" s="2">
        <f>('[1]Qc, Summer, S2'!L2*Main!$B$5)</f>
        <v>9.7167868247572287</v>
      </c>
      <c r="M2" s="2">
        <f>('[1]Qc, Summer, S2'!M2*Main!$B$5)</f>
        <v>12.943026842854945</v>
      </c>
      <c r="N2" s="2">
        <f>('[1]Qc, Summer, S2'!N2*Main!$B$5)</f>
        <v>11.485899262222754</v>
      </c>
      <c r="O2" s="2">
        <f>('[1]Qc, Summer, S2'!O2*Main!$B$5)</f>
        <v>11.831725739694731</v>
      </c>
      <c r="P2" s="2">
        <f>('[1]Qc, Summer, S2'!P2*Main!$B$5)</f>
        <v>6.1047362706572352</v>
      </c>
      <c r="Q2" s="2">
        <f>('[1]Qc, Summer, S2'!Q2*Main!$B$5)</f>
        <v>1.5433512272060925</v>
      </c>
      <c r="R2" s="2">
        <f>('[1]Qc, Summer, S2'!R2*Main!$B$5)</f>
        <v>3.433341516128722</v>
      </c>
      <c r="S2" s="2">
        <f>('[1]Qc, Summer, S2'!S2*Main!$B$5)</f>
        <v>4.1703228631211795</v>
      </c>
      <c r="T2" s="2">
        <f>('[1]Qc, Summer, S2'!T2*Main!$B$5)</f>
        <v>2.512462473150685</v>
      </c>
      <c r="U2" s="2">
        <f>('[1]Qc, Summer, S2'!U2*Main!$B$5)</f>
        <v>-0.46869099877275283</v>
      </c>
      <c r="V2" s="2">
        <f>('[1]Qc, Summer, S2'!V2*Main!$B$5)</f>
        <v>-1.8296943716256564</v>
      </c>
      <c r="W2" s="2">
        <f>('[1]Qc, Summer, S2'!W2*Main!$B$5)</f>
        <v>-1.2729657790036637</v>
      </c>
      <c r="X2" s="2">
        <f>('[1]Qc, Summer, S2'!X2*Main!$B$5)</f>
        <v>-6.104816258996574</v>
      </c>
      <c r="Y2" s="2">
        <f>('[1]Qc, Summer, S2'!Y2*Main!$B$5)</f>
        <v>-8.2633658659376277</v>
      </c>
    </row>
    <row r="3" spans="1:25" x14ac:dyDescent="0.3">
      <c r="A3">
        <v>2</v>
      </c>
      <c r="B3" s="2">
        <f>('[1]Qc, Summer, S2'!B3*Main!$B$5)</f>
        <v>-17.313925228518901</v>
      </c>
      <c r="C3" s="2">
        <f>('[1]Qc, Summer, S2'!C3*Main!$B$5)</f>
        <v>-17.313925228518901</v>
      </c>
      <c r="D3" s="2">
        <f>('[1]Qc, Summer, S2'!D3*Main!$B$5)</f>
        <v>-20.100446134153334</v>
      </c>
      <c r="E3" s="2">
        <f>('[1]Qc, Summer, S2'!E3*Main!$B$5)</f>
        <v>-22.88696703978777</v>
      </c>
      <c r="F3" s="2">
        <f>('[1]Qc, Summer, S2'!F3*Main!$B$5)</f>
        <v>-22.88696703978777</v>
      </c>
      <c r="G3" s="2">
        <f>('[1]Qc, Summer, S2'!G3*Main!$B$5)</f>
        <v>-22.88696703978777</v>
      </c>
      <c r="H3" s="2">
        <f>('[1]Qc, Summer, S2'!H3*Main!$B$5)</f>
        <v>-9.1258469614708879</v>
      </c>
      <c r="I3" s="2">
        <f>('[1]Qc, Summer, S2'!I3*Main!$B$5)</f>
        <v>1.8916279188455711</v>
      </c>
      <c r="J3" s="2">
        <f>('[1]Qc, Summer, S2'!J3*Main!$B$5)</f>
        <v>6.0071118095020068</v>
      </c>
      <c r="K3" s="2">
        <f>('[1]Qc, Summer, S2'!K3*Main!$B$5)</f>
        <v>6.0071118095020068</v>
      </c>
      <c r="L3" s="2">
        <f>('[1]Qc, Summer, S2'!L3*Main!$B$5)</f>
        <v>5.4926676925170801</v>
      </c>
      <c r="M3" s="2">
        <f>('[1]Qc, Summer, S2'!M3*Main!$B$5)</f>
        <v>7.7218733475824806</v>
      </c>
      <c r="N3" s="2">
        <f>('[1]Qc, Summer, S2'!N3*Main!$B$5)</f>
        <v>10.46552311963281</v>
      </c>
      <c r="O3" s="2">
        <f>('[1]Qc, Summer, S2'!O3*Main!$B$5)</f>
        <v>10.787056476688804</v>
      </c>
      <c r="P3" s="2">
        <f>('[1]Qc, Summer, S2'!P3*Main!$B$5)</f>
        <v>6.0499783207612747</v>
      </c>
      <c r="Q3" s="2">
        <f>('[1]Qc, Summer, S2'!Q3*Main!$B$5)</f>
        <v>4.7210153116018061</v>
      </c>
      <c r="R3" s="2">
        <f>('[1]Qc, Summer, S2'!R3*Main!$B$5)</f>
        <v>-0.76628428077378408</v>
      </c>
      <c r="S3" s="2">
        <f>('[1]Qc, Summer, S2'!S3*Main!$B$5)</f>
        <v>-0.76628428077378408</v>
      </c>
      <c r="T3" s="2">
        <f>('[1]Qc, Summer, S2'!T3*Main!$B$5)</f>
        <v>-0.76628428077378408</v>
      </c>
      <c r="U3" s="2">
        <f>('[1]Qc, Summer, S2'!U3*Main!$B$5)</f>
        <v>-0.76628428077378408</v>
      </c>
      <c r="V3" s="2">
        <f>('[1]Qc, Summer, S2'!V3*Main!$B$5)</f>
        <v>-4.8817727696175925</v>
      </c>
      <c r="W3" s="2">
        <f>('[1]Qc, Summer, S2'!W3*Main!$B$5)</f>
        <v>-6.2536022658988619</v>
      </c>
      <c r="X3" s="2">
        <f>('[1]Qc, Summer, S2'!X3*Main!$B$5)</f>
        <v>-17.485391273555972</v>
      </c>
      <c r="Y3" s="2">
        <f>('[1]Qc, Summer, S2'!Y3*Main!$B$5)</f>
        <v>-17.485391273555972</v>
      </c>
    </row>
    <row r="4" spans="1:25" x14ac:dyDescent="0.3">
      <c r="A4">
        <v>3</v>
      </c>
      <c r="B4" s="2">
        <f>('[1]Qc, Summer, S2'!B4*Main!$B$5)</f>
        <v>13.976256068257188</v>
      </c>
      <c r="C4" s="2">
        <f>('[1]Qc, Summer, S2'!C4*Main!$B$5)</f>
        <v>10.708520421240996</v>
      </c>
      <c r="D4" s="2">
        <f>('[1]Qc, Summer, S2'!D4*Main!$B$5)</f>
        <v>10.147927109423639</v>
      </c>
      <c r="E4" s="2">
        <f>('[1]Qc, Summer, S2'!E4*Main!$B$5)</f>
        <v>8.8629348396218752</v>
      </c>
      <c r="F4" s="2">
        <f>('[1]Qc, Summer, S2'!F4*Main!$B$5)</f>
        <v>10.202992113074574</v>
      </c>
      <c r="G4" s="2">
        <f>('[1]Qc, Summer, S2'!G4*Main!$B$5)</f>
        <v>4.735366777424808</v>
      </c>
      <c r="H4" s="2">
        <f>('[1]Qc, Summer, S2'!H4*Main!$B$5)</f>
        <v>8.2621091105970432</v>
      </c>
      <c r="I4" s="2">
        <f>('[1]Qc, Summer, S2'!I4*Main!$B$5)</f>
        <v>15.876618843976427</v>
      </c>
      <c r="J4" s="2">
        <f>('[1]Qc, Summer, S2'!J4*Main!$B$5)</f>
        <v>23.095633813839171</v>
      </c>
      <c r="K4" s="2">
        <f>('[1]Qc, Summer, S2'!K4*Main!$B$5)</f>
        <v>27.44403668373668</v>
      </c>
      <c r="L4" s="2">
        <f>('[1]Qc, Summer, S2'!L4*Main!$B$5)</f>
        <v>29.960440476899947</v>
      </c>
      <c r="M4" s="2">
        <f>('[1]Qc, Summer, S2'!M4*Main!$B$5)</f>
        <v>31.05426316095777</v>
      </c>
      <c r="N4" s="2">
        <f>('[1]Qc, Summer, S2'!N4*Main!$B$5)</f>
        <v>32.450151537165517</v>
      </c>
      <c r="O4" s="2">
        <f>('[1]Qc, Summer, S2'!O4*Main!$B$5)</f>
        <v>32.695667199696814</v>
      </c>
      <c r="P4" s="2">
        <f>('[1]Qc, Summer, S2'!P4*Main!$B$5)</f>
        <v>32.463594014600993</v>
      </c>
      <c r="Q4" s="2">
        <f>('[1]Qc, Summer, S2'!Q4*Main!$B$5)</f>
        <v>31.382927429624441</v>
      </c>
      <c r="R4" s="2">
        <f>('[1]Qc, Summer, S2'!R4*Main!$B$5)</f>
        <v>29.865861958370324</v>
      </c>
      <c r="S4" s="2">
        <f>('[1]Qc, Summer, S2'!S4*Main!$B$5)</f>
        <v>26.502589676203808</v>
      </c>
      <c r="T4" s="2">
        <f>('[1]Qc, Summer, S2'!T4*Main!$B$5)</f>
        <v>26.379974760143337</v>
      </c>
      <c r="U4" s="2">
        <f>('[1]Qc, Summer, S2'!U4*Main!$B$5)</f>
        <v>25.095319083251407</v>
      </c>
      <c r="V4" s="2">
        <f>('[1]Qc, Summer, S2'!V4*Main!$B$5)</f>
        <v>22.620872642707894</v>
      </c>
      <c r="W4" s="2">
        <f>('[1]Qc, Summer, S2'!W4*Main!$B$5)</f>
        <v>27.11800865470618</v>
      </c>
      <c r="X4" s="2">
        <f>('[1]Qc, Summer, S2'!X4*Main!$B$5)</f>
        <v>24.298722823020153</v>
      </c>
      <c r="Y4" s="2">
        <f>('[1]Qc, Summer, S2'!Y4*Main!$B$5)</f>
        <v>19.554633850885526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-13.680594162983075</v>
      </c>
      <c r="C2" s="2">
        <f>('[1]Qc, Summer, S2'!C2*Main!$B$5)</f>
        <v>-17.786452257081052</v>
      </c>
      <c r="D2" s="2">
        <f>('[1]Qc, Summer, S2'!D2*Main!$B$5)</f>
        <v>-19.604102911461126</v>
      </c>
      <c r="E2" s="2">
        <f>('[1]Qc, Summer, S2'!E2*Main!$B$5)</f>
        <v>-17.889770979110526</v>
      </c>
      <c r="F2" s="2">
        <f>('[1]Qc, Summer, S2'!F2*Main!$B$5)</f>
        <v>-19.175427588231173</v>
      </c>
      <c r="G2" s="2">
        <f>('[1]Qc, Summer, S2'!G2*Main!$B$5)</f>
        <v>-19.617400319818088</v>
      </c>
      <c r="H2" s="2">
        <f>('[1]Qc, Summer, S2'!H2*Main!$B$5)</f>
        <v>-17.002210277198724</v>
      </c>
      <c r="I2" s="2">
        <f>('[1]Qc, Summer, S2'!I2*Main!$B$5)</f>
        <v>-2.645161934592422</v>
      </c>
      <c r="J2" s="2">
        <f>('[1]Qc, Summer, S2'!J2*Main!$B$5)</f>
        <v>8.4907751692721689</v>
      </c>
      <c r="K2" s="2">
        <f>('[1]Qc, Summer, S2'!K2*Main!$B$5)</f>
        <v>12.360918233903483</v>
      </c>
      <c r="L2" s="2">
        <f>('[1]Qc, Summer, S2'!L2*Main!$B$5)</f>
        <v>9.7167868247572287</v>
      </c>
      <c r="M2" s="2">
        <f>('[1]Qc, Summer, S2'!M2*Main!$B$5)</f>
        <v>12.943026842854945</v>
      </c>
      <c r="N2" s="2">
        <f>('[1]Qc, Summer, S2'!N2*Main!$B$5)</f>
        <v>11.485899262222754</v>
      </c>
      <c r="O2" s="2">
        <f>('[1]Qc, Summer, S2'!O2*Main!$B$5)</f>
        <v>11.831725739694731</v>
      </c>
      <c r="P2" s="2">
        <f>('[1]Qc, Summer, S2'!P2*Main!$B$5)</f>
        <v>6.1047362706572352</v>
      </c>
      <c r="Q2" s="2">
        <f>('[1]Qc, Summer, S2'!Q2*Main!$B$5)</f>
        <v>1.5433512272060925</v>
      </c>
      <c r="R2" s="2">
        <f>('[1]Qc, Summer, S2'!R2*Main!$B$5)</f>
        <v>3.433341516128722</v>
      </c>
      <c r="S2" s="2">
        <f>('[1]Qc, Summer, S2'!S2*Main!$B$5)</f>
        <v>4.1703228631211795</v>
      </c>
      <c r="T2" s="2">
        <f>('[1]Qc, Summer, S2'!T2*Main!$B$5)</f>
        <v>2.512462473150685</v>
      </c>
      <c r="U2" s="2">
        <f>('[1]Qc, Summer, S2'!U2*Main!$B$5)</f>
        <v>-0.46869099877275283</v>
      </c>
      <c r="V2" s="2">
        <f>('[1]Qc, Summer, S2'!V2*Main!$B$5)</f>
        <v>-1.8296943716256564</v>
      </c>
      <c r="W2" s="2">
        <f>('[1]Qc, Summer, S2'!W2*Main!$B$5)</f>
        <v>-1.2729657790036637</v>
      </c>
      <c r="X2" s="2">
        <f>('[1]Qc, Summer, S2'!X2*Main!$B$5)</f>
        <v>-6.104816258996574</v>
      </c>
      <c r="Y2" s="2">
        <f>('[1]Qc, Summer, S2'!Y2*Main!$B$5)</f>
        <v>-8.2633658659376277</v>
      </c>
    </row>
    <row r="3" spans="1:25" x14ac:dyDescent="0.3">
      <c r="A3">
        <v>2</v>
      </c>
      <c r="B3" s="2">
        <f>('[1]Qc, Summer, S2'!B3*Main!$B$5)</f>
        <v>-17.313925228518901</v>
      </c>
      <c r="C3" s="2">
        <f>('[1]Qc, Summer, S2'!C3*Main!$B$5)</f>
        <v>-17.313925228518901</v>
      </c>
      <c r="D3" s="2">
        <f>('[1]Qc, Summer, S2'!D3*Main!$B$5)</f>
        <v>-20.100446134153334</v>
      </c>
      <c r="E3" s="2">
        <f>('[1]Qc, Summer, S2'!E3*Main!$B$5)</f>
        <v>-22.88696703978777</v>
      </c>
      <c r="F3" s="2">
        <f>('[1]Qc, Summer, S2'!F3*Main!$B$5)</f>
        <v>-22.88696703978777</v>
      </c>
      <c r="G3" s="2">
        <f>('[1]Qc, Summer, S2'!G3*Main!$B$5)</f>
        <v>-22.88696703978777</v>
      </c>
      <c r="H3" s="2">
        <f>('[1]Qc, Summer, S2'!H3*Main!$B$5)</f>
        <v>-9.1258469614708879</v>
      </c>
      <c r="I3" s="2">
        <f>('[1]Qc, Summer, S2'!I3*Main!$B$5)</f>
        <v>1.8916279188455711</v>
      </c>
      <c r="J3" s="2">
        <f>('[1]Qc, Summer, S2'!J3*Main!$B$5)</f>
        <v>6.0071118095020068</v>
      </c>
      <c r="K3" s="2">
        <f>('[1]Qc, Summer, S2'!K3*Main!$B$5)</f>
        <v>6.0071118095020068</v>
      </c>
      <c r="L3" s="2">
        <f>('[1]Qc, Summer, S2'!L3*Main!$B$5)</f>
        <v>5.4926676925170801</v>
      </c>
      <c r="M3" s="2">
        <f>('[1]Qc, Summer, S2'!M3*Main!$B$5)</f>
        <v>7.7218733475824806</v>
      </c>
      <c r="N3" s="2">
        <f>('[1]Qc, Summer, S2'!N3*Main!$B$5)</f>
        <v>10.46552311963281</v>
      </c>
      <c r="O3" s="2">
        <f>('[1]Qc, Summer, S2'!O3*Main!$B$5)</f>
        <v>10.787056476688804</v>
      </c>
      <c r="P3" s="2">
        <f>('[1]Qc, Summer, S2'!P3*Main!$B$5)</f>
        <v>6.0499783207612747</v>
      </c>
      <c r="Q3" s="2">
        <f>('[1]Qc, Summer, S2'!Q3*Main!$B$5)</f>
        <v>4.7210153116018061</v>
      </c>
      <c r="R3" s="2">
        <f>('[1]Qc, Summer, S2'!R3*Main!$B$5)</f>
        <v>-0.76628428077378408</v>
      </c>
      <c r="S3" s="2">
        <f>('[1]Qc, Summer, S2'!S3*Main!$B$5)</f>
        <v>-0.76628428077378408</v>
      </c>
      <c r="T3" s="2">
        <f>('[1]Qc, Summer, S2'!T3*Main!$B$5)</f>
        <v>-0.76628428077378408</v>
      </c>
      <c r="U3" s="2">
        <f>('[1]Qc, Summer, S2'!U3*Main!$B$5)</f>
        <v>-0.76628428077378408</v>
      </c>
      <c r="V3" s="2">
        <f>('[1]Qc, Summer, S2'!V3*Main!$B$5)</f>
        <v>-4.8817727696175925</v>
      </c>
      <c r="W3" s="2">
        <f>('[1]Qc, Summer, S2'!W3*Main!$B$5)</f>
        <v>-6.2536022658988619</v>
      </c>
      <c r="X3" s="2">
        <f>('[1]Qc, Summer, S2'!X3*Main!$B$5)</f>
        <v>-17.485391273555972</v>
      </c>
      <c r="Y3" s="2">
        <f>('[1]Qc, Summer, S2'!Y3*Main!$B$5)</f>
        <v>-17.485391273555972</v>
      </c>
    </row>
    <row r="4" spans="1:25" x14ac:dyDescent="0.3">
      <c r="A4">
        <v>3</v>
      </c>
      <c r="B4" s="2">
        <f>('[1]Qc, Summer, S2'!B4*Main!$B$5)</f>
        <v>13.976256068257188</v>
      </c>
      <c r="C4" s="2">
        <f>('[1]Qc, Summer, S2'!C4*Main!$B$5)</f>
        <v>10.708520421240996</v>
      </c>
      <c r="D4" s="2">
        <f>('[1]Qc, Summer, S2'!D4*Main!$B$5)</f>
        <v>10.147927109423639</v>
      </c>
      <c r="E4" s="2">
        <f>('[1]Qc, Summer, S2'!E4*Main!$B$5)</f>
        <v>8.8629348396218752</v>
      </c>
      <c r="F4" s="2">
        <f>('[1]Qc, Summer, S2'!F4*Main!$B$5)</f>
        <v>10.202992113074574</v>
      </c>
      <c r="G4" s="2">
        <f>('[1]Qc, Summer, S2'!G4*Main!$B$5)</f>
        <v>4.735366777424808</v>
      </c>
      <c r="H4" s="2">
        <f>('[1]Qc, Summer, S2'!H4*Main!$B$5)</f>
        <v>8.2621091105970432</v>
      </c>
      <c r="I4" s="2">
        <f>('[1]Qc, Summer, S2'!I4*Main!$B$5)</f>
        <v>15.876618843976427</v>
      </c>
      <c r="J4" s="2">
        <f>('[1]Qc, Summer, S2'!J4*Main!$B$5)</f>
        <v>23.095633813839171</v>
      </c>
      <c r="K4" s="2">
        <f>('[1]Qc, Summer, S2'!K4*Main!$B$5)</f>
        <v>27.44403668373668</v>
      </c>
      <c r="L4" s="2">
        <f>('[1]Qc, Summer, S2'!L4*Main!$B$5)</f>
        <v>29.960440476899947</v>
      </c>
      <c r="M4" s="2">
        <f>('[1]Qc, Summer, S2'!M4*Main!$B$5)</f>
        <v>31.05426316095777</v>
      </c>
      <c r="N4" s="2">
        <f>('[1]Qc, Summer, S2'!N4*Main!$B$5)</f>
        <v>32.450151537165517</v>
      </c>
      <c r="O4" s="2">
        <f>('[1]Qc, Summer, S2'!O4*Main!$B$5)</f>
        <v>32.695667199696814</v>
      </c>
      <c r="P4" s="2">
        <f>('[1]Qc, Summer, S2'!P4*Main!$B$5)</f>
        <v>32.463594014600993</v>
      </c>
      <c r="Q4" s="2">
        <f>('[1]Qc, Summer, S2'!Q4*Main!$B$5)</f>
        <v>31.382927429624441</v>
      </c>
      <c r="R4" s="2">
        <f>('[1]Qc, Summer, S2'!R4*Main!$B$5)</f>
        <v>29.865861958370324</v>
      </c>
      <c r="S4" s="2">
        <f>('[1]Qc, Summer, S2'!S4*Main!$B$5)</f>
        <v>26.502589676203808</v>
      </c>
      <c r="T4" s="2">
        <f>('[1]Qc, Summer, S2'!T4*Main!$B$5)</f>
        <v>26.379974760143337</v>
      </c>
      <c r="U4" s="2">
        <f>('[1]Qc, Summer, S2'!U4*Main!$B$5)</f>
        <v>25.095319083251407</v>
      </c>
      <c r="V4" s="2">
        <f>('[1]Qc, Summer, S2'!V4*Main!$B$5)</f>
        <v>22.620872642707894</v>
      </c>
      <c r="W4" s="2">
        <f>('[1]Qc, Summer, S2'!W4*Main!$B$5)</f>
        <v>27.11800865470618</v>
      </c>
      <c r="X4" s="2">
        <f>('[1]Qc, Summer, S2'!X4*Main!$B$5)</f>
        <v>24.298722823020153</v>
      </c>
      <c r="Y4" s="2">
        <f>('[1]Qc, Summer, S2'!Y4*Main!$B$5)</f>
        <v>19.554633850885526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-13.016487650216908</v>
      </c>
      <c r="C2" s="2">
        <f>('[1]Qc, Summer, S3'!C2*Main!$B$5)</f>
        <v>-16.923032244601391</v>
      </c>
      <c r="D2" s="2">
        <f>('[1]Qc, Summer, S3'!D2*Main!$B$5)</f>
        <v>-18.652447430322233</v>
      </c>
      <c r="E2" s="2">
        <f>('[1]Qc, Summer, S3'!E2*Main!$B$5)</f>
        <v>-17.021335494687683</v>
      </c>
      <c r="F2" s="2">
        <f>('[1]Qc, Summer, S3'!F2*Main!$B$5)</f>
        <v>-18.244581588802479</v>
      </c>
      <c r="G2" s="2">
        <f>('[1]Qc, Summer, S3'!G2*Main!$B$5)</f>
        <v>-18.66509933341915</v>
      </c>
      <c r="H2" s="2">
        <f>('[1]Qc, Summer, S3'!H2*Main!$B$5)</f>
        <v>-16.176860263742476</v>
      </c>
      <c r="I2" s="2">
        <f>('[1]Qc, Summer, S3'!I2*Main!$B$5)</f>
        <v>-2.51675601543745</v>
      </c>
      <c r="J2" s="2">
        <f>('[1]Qc, Summer, S3'!J2*Main!$B$5)</f>
        <v>8.0786016173657522</v>
      </c>
      <c r="K2" s="2">
        <f>('[1]Qc, Summer, S3'!K2*Main!$B$5)</f>
        <v>11.760873659442149</v>
      </c>
      <c r="L2" s="2">
        <f>('[1]Qc, Summer, S3'!L2*Main!$B$5)</f>
        <v>9.2450981439437694</v>
      </c>
      <c r="M2" s="2">
        <f>('[1]Qc, Summer, S3'!M2*Main!$B$5)</f>
        <v>12.314724568929948</v>
      </c>
      <c r="N2" s="2">
        <f>('[1]Qc, Summer, S3'!N2*Main!$B$5)</f>
        <v>10.928331336872136</v>
      </c>
      <c r="O2" s="2">
        <f>('[1]Qc, Summer, S3'!O2*Main!$B$5)</f>
        <v>11.257370121262948</v>
      </c>
      <c r="P2" s="2">
        <f>('[1]Qc, Summer, S3'!P2*Main!$B$5)</f>
        <v>5.8083898497515447</v>
      </c>
      <c r="Q2" s="2">
        <f>('[1]Qc, Summer, S3'!Q2*Main!$B$5)</f>
        <v>1.4684312647203597</v>
      </c>
      <c r="R2" s="2">
        <f>('[1]Qc, Summer, S3'!R2*Main!$B$5)</f>
        <v>3.2666744522389783</v>
      </c>
      <c r="S2" s="2">
        <f>('[1]Qc, Summer, S3'!S2*Main!$B$5)</f>
        <v>3.9678800056881127</v>
      </c>
      <c r="T2" s="2">
        <f>('[1]Qc, Summer, S3'!T2*Main!$B$5)</f>
        <v>2.3904982754249238</v>
      </c>
      <c r="U2" s="2">
        <f>('[1]Qc, Summer, S3'!U2*Main!$B$5)</f>
        <v>-0.44593900854106577</v>
      </c>
      <c r="V2" s="2">
        <f>('[1]Qc, Summer, S3'!V2*Main!$B$5)</f>
        <v>-1.7408742564981972</v>
      </c>
      <c r="W2" s="2">
        <f>('[1]Qc, Summer, S3'!W2*Main!$B$5)</f>
        <v>-1.2111713237122237</v>
      </c>
      <c r="X2" s="2">
        <f>('[1]Qc, Summer, S3'!X2*Main!$B$5)</f>
        <v>-5.8084659551617888</v>
      </c>
      <c r="Y2" s="2">
        <f>('[1]Qc, Summer, S3'!Y2*Main!$B$5)</f>
        <v>-7.8622316006008504</v>
      </c>
    </row>
    <row r="3" spans="1:25" x14ac:dyDescent="0.3">
      <c r="A3">
        <v>2</v>
      </c>
      <c r="B3" s="2">
        <f>('[1]Qc, Summer, S3'!B3*Main!$B$5)</f>
        <v>-16.473443421309245</v>
      </c>
      <c r="C3" s="2">
        <f>('[1]Qc, Summer, S3'!C3*Main!$B$5)</f>
        <v>-16.473443421309245</v>
      </c>
      <c r="D3" s="2">
        <f>('[1]Qc, Summer, S3'!D3*Main!$B$5)</f>
        <v>-19.124696321815794</v>
      </c>
      <c r="E3" s="2">
        <f>('[1]Qc, Summer, S3'!E3*Main!$B$5)</f>
        <v>-21.775949222322339</v>
      </c>
      <c r="F3" s="2">
        <f>('[1]Qc, Summer, S3'!F3*Main!$B$5)</f>
        <v>-21.775949222322339</v>
      </c>
      <c r="G3" s="2">
        <f>('[1]Qc, Summer, S3'!G3*Main!$B$5)</f>
        <v>-21.775949222322339</v>
      </c>
      <c r="H3" s="2">
        <f>('[1]Qc, Summer, S3'!H3*Main!$B$5)</f>
        <v>-8.6828446817878344</v>
      </c>
      <c r="I3" s="2">
        <f>('[1]Qc, Summer, S3'!I3*Main!$B$5)</f>
        <v>1.7998013208433585</v>
      </c>
      <c r="J3" s="2">
        <f>('[1]Qc, Summer, S3'!J3*Main!$B$5)</f>
        <v>5.7155044401087052</v>
      </c>
      <c r="K3" s="2">
        <f>('[1]Qc, Summer, S3'!K3*Main!$B$5)</f>
        <v>5.7155044401087052</v>
      </c>
      <c r="L3" s="2">
        <f>('[1]Qc, Summer, S3'!L3*Main!$B$5)</f>
        <v>5.226033338511396</v>
      </c>
      <c r="M3" s="2">
        <f>('[1]Qc, Summer, S3'!M3*Main!$B$5)</f>
        <v>7.3470251268260505</v>
      </c>
      <c r="N3" s="2">
        <f>('[1]Qc, Summer, S3'!N3*Main!$B$5)</f>
        <v>9.9574880167380133</v>
      </c>
      <c r="O3" s="2">
        <f>('[1]Qc, Summer, S3'!O3*Main!$B$5)</f>
        <v>10.26341295840294</v>
      </c>
      <c r="P3" s="2">
        <f>('[1]Qc, Summer, S3'!P3*Main!$B$5)</f>
        <v>5.7562900527631538</v>
      </c>
      <c r="Q3" s="2">
        <f>('[1]Qc, Summer, S3'!Q3*Main!$B$5)</f>
        <v>4.4918398110386111</v>
      </c>
      <c r="R3" s="2">
        <f>('[1]Qc, Summer, S3'!R3*Main!$B$5)</f>
        <v>-0.72908601471680434</v>
      </c>
      <c r="S3" s="2">
        <f>('[1]Qc, Summer, S3'!S3*Main!$B$5)</f>
        <v>-0.72908601471680434</v>
      </c>
      <c r="T3" s="2">
        <f>('[1]Qc, Summer, S3'!T3*Main!$B$5)</f>
        <v>-0.72908601471680434</v>
      </c>
      <c r="U3" s="2">
        <f>('[1]Qc, Summer, S3'!U3*Main!$B$5)</f>
        <v>-0.72908601471680434</v>
      </c>
      <c r="V3" s="2">
        <f>('[1]Qc, Summer, S3'!V3*Main!$B$5)</f>
        <v>-4.6447935089565444</v>
      </c>
      <c r="W3" s="2">
        <f>('[1]Qc, Summer, S3'!W3*Main!$B$5)</f>
        <v>-5.9500293403697899</v>
      </c>
      <c r="X3" s="2">
        <f>('[1]Qc, Summer, S3'!X3*Main!$B$5)</f>
        <v>-16.636585871927043</v>
      </c>
      <c r="Y3" s="2">
        <f>('[1]Qc, Summer, S3'!Y3*Main!$B$5)</f>
        <v>-16.636585871927043</v>
      </c>
    </row>
    <row r="4" spans="1:25" x14ac:dyDescent="0.3">
      <c r="A4">
        <v>3</v>
      </c>
      <c r="B4" s="2">
        <f>('[1]Qc, Summer, S3'!B4*Main!$B$5)</f>
        <v>13.297797035817521</v>
      </c>
      <c r="C4" s="2">
        <f>('[1]Qc, Summer, S3'!C4*Main!$B$5)</f>
        <v>10.188689332831238</v>
      </c>
      <c r="D4" s="2">
        <f>('[1]Qc, Summer, S3'!D4*Main!$B$5)</f>
        <v>9.6553092885778309</v>
      </c>
      <c r="E4" s="2">
        <f>('[1]Qc, Summer, S3'!E4*Main!$B$5)</f>
        <v>8.4326952843004239</v>
      </c>
      <c r="F4" s="2">
        <f>('[1]Qc, Summer, S3'!F4*Main!$B$5)</f>
        <v>9.7077012337991082</v>
      </c>
      <c r="G4" s="2">
        <f>('[1]Qc, Summer, S3'!G4*Main!$B$5)</f>
        <v>4.5054946037634096</v>
      </c>
      <c r="H4" s="2">
        <f>('[1]Qc, Summer, S3'!H4*Main!$B$5)</f>
        <v>7.86103585280107</v>
      </c>
      <c r="I4" s="2">
        <f>('[1]Qc, Summer, S3'!I4*Main!$B$5)</f>
        <v>15.10590919135621</v>
      </c>
      <c r="J4" s="2">
        <f>('[1]Qc, Summer, S3'!J4*Main!$B$5)</f>
        <v>21.974486541322701</v>
      </c>
      <c r="K4" s="2">
        <f>('[1]Qc, Summer, S3'!K4*Main!$B$5)</f>
        <v>26.111801893264026</v>
      </c>
      <c r="L4" s="2">
        <f>('[1]Qc, Summer, S3'!L4*Main!$B$5)</f>
        <v>28.506050162487327</v>
      </c>
      <c r="M4" s="2">
        <f>('[1]Qc, Summer, S3'!M4*Main!$B$5)</f>
        <v>29.546774657998654</v>
      </c>
      <c r="N4" s="2">
        <f>('[1]Qc, Summer, S3'!N4*Main!$B$5)</f>
        <v>30.874901462545832</v>
      </c>
      <c r="O4" s="2">
        <f>('[1]Qc, Summer, S3'!O4*Main!$B$5)</f>
        <v>31.108498889031917</v>
      </c>
      <c r="P4" s="2">
        <f>('[1]Qc, Summer, S3'!P4*Main!$B$5)</f>
        <v>30.887691392532982</v>
      </c>
      <c r="Q4" s="2">
        <f>('[1]Qc, Summer, S3'!Q4*Main!$B$5)</f>
        <v>29.859484350516457</v>
      </c>
      <c r="R4" s="2">
        <f>('[1]Qc, Summer, S3'!R4*Main!$B$5)</f>
        <v>28.416062834177591</v>
      </c>
      <c r="S4" s="2">
        <f>('[1]Qc, Summer, S3'!S4*Main!$B$5)</f>
        <v>25.216056196776439</v>
      </c>
      <c r="T4" s="2">
        <f>('[1]Qc, Summer, S3'!T4*Main!$B$5)</f>
        <v>25.099393461107251</v>
      </c>
      <c r="U4" s="2">
        <f>('[1]Qc, Summer, S3'!U4*Main!$B$5)</f>
        <v>23.877099710278042</v>
      </c>
      <c r="V4" s="2">
        <f>('[1]Qc, Summer, S3'!V4*Main!$B$5)</f>
        <v>21.52277202898421</v>
      </c>
      <c r="W4" s="2">
        <f>('[1]Qc, Summer, S3'!W4*Main!$B$5)</f>
        <v>25.801600467584517</v>
      </c>
      <c r="X4" s="2">
        <f>('[1]Qc, Summer, S3'!X4*Main!$B$5)</f>
        <v>23.119173171417234</v>
      </c>
      <c r="Y4" s="2">
        <f>('[1]Qc, Summer, S3'!Y4*Main!$B$5)</f>
        <v>18.605379780454189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-13.016487650216908</v>
      </c>
      <c r="C2" s="2">
        <f>('[1]Qc, Summer, S3'!C2*Main!$B$5)</f>
        <v>-16.923032244601391</v>
      </c>
      <c r="D2" s="2">
        <f>('[1]Qc, Summer, S3'!D2*Main!$B$5)</f>
        <v>-18.652447430322233</v>
      </c>
      <c r="E2" s="2">
        <f>('[1]Qc, Summer, S3'!E2*Main!$B$5)</f>
        <v>-17.021335494687683</v>
      </c>
      <c r="F2" s="2">
        <f>('[1]Qc, Summer, S3'!F2*Main!$B$5)</f>
        <v>-18.244581588802479</v>
      </c>
      <c r="G2" s="2">
        <f>('[1]Qc, Summer, S3'!G2*Main!$B$5)</f>
        <v>-18.66509933341915</v>
      </c>
      <c r="H2" s="2">
        <f>('[1]Qc, Summer, S3'!H2*Main!$B$5)</f>
        <v>-16.176860263742476</v>
      </c>
      <c r="I2" s="2">
        <f>('[1]Qc, Summer, S3'!I2*Main!$B$5)</f>
        <v>-2.51675601543745</v>
      </c>
      <c r="J2" s="2">
        <f>('[1]Qc, Summer, S3'!J2*Main!$B$5)</f>
        <v>8.0786016173657522</v>
      </c>
      <c r="K2" s="2">
        <f>('[1]Qc, Summer, S3'!K2*Main!$B$5)</f>
        <v>11.760873659442149</v>
      </c>
      <c r="L2" s="2">
        <f>('[1]Qc, Summer, S3'!L2*Main!$B$5)</f>
        <v>9.2450981439437694</v>
      </c>
      <c r="M2" s="2">
        <f>('[1]Qc, Summer, S3'!M2*Main!$B$5)</f>
        <v>12.314724568929948</v>
      </c>
      <c r="N2" s="2">
        <f>('[1]Qc, Summer, S3'!N2*Main!$B$5)</f>
        <v>10.928331336872136</v>
      </c>
      <c r="O2" s="2">
        <f>('[1]Qc, Summer, S3'!O2*Main!$B$5)</f>
        <v>11.257370121262948</v>
      </c>
      <c r="P2" s="2">
        <f>('[1]Qc, Summer, S3'!P2*Main!$B$5)</f>
        <v>5.8083898497515447</v>
      </c>
      <c r="Q2" s="2">
        <f>('[1]Qc, Summer, S3'!Q2*Main!$B$5)</f>
        <v>1.4684312647203597</v>
      </c>
      <c r="R2" s="2">
        <f>('[1]Qc, Summer, S3'!R2*Main!$B$5)</f>
        <v>3.2666744522389783</v>
      </c>
      <c r="S2" s="2">
        <f>('[1]Qc, Summer, S3'!S2*Main!$B$5)</f>
        <v>3.9678800056881127</v>
      </c>
      <c r="T2" s="2">
        <f>('[1]Qc, Summer, S3'!T2*Main!$B$5)</f>
        <v>2.3904982754249238</v>
      </c>
      <c r="U2" s="2">
        <f>('[1]Qc, Summer, S3'!U2*Main!$B$5)</f>
        <v>-0.44593900854106577</v>
      </c>
      <c r="V2" s="2">
        <f>('[1]Qc, Summer, S3'!V2*Main!$B$5)</f>
        <v>-1.7408742564981972</v>
      </c>
      <c r="W2" s="2">
        <f>('[1]Qc, Summer, S3'!W2*Main!$B$5)</f>
        <v>-1.2111713237122237</v>
      </c>
      <c r="X2" s="2">
        <f>('[1]Qc, Summer, S3'!X2*Main!$B$5)</f>
        <v>-5.8084659551617888</v>
      </c>
      <c r="Y2" s="2">
        <f>('[1]Qc, Summer, S3'!Y2*Main!$B$5)</f>
        <v>-7.8622316006008504</v>
      </c>
    </row>
    <row r="3" spans="1:25" x14ac:dyDescent="0.3">
      <c r="A3">
        <v>2</v>
      </c>
      <c r="B3" s="2">
        <f>('[1]Qc, Summer, S3'!B3*Main!$B$5)</f>
        <v>-16.473443421309245</v>
      </c>
      <c r="C3" s="2">
        <f>('[1]Qc, Summer, S3'!C3*Main!$B$5)</f>
        <v>-16.473443421309245</v>
      </c>
      <c r="D3" s="2">
        <f>('[1]Qc, Summer, S3'!D3*Main!$B$5)</f>
        <v>-19.124696321815794</v>
      </c>
      <c r="E3" s="2">
        <f>('[1]Qc, Summer, S3'!E3*Main!$B$5)</f>
        <v>-21.775949222322339</v>
      </c>
      <c r="F3" s="2">
        <f>('[1]Qc, Summer, S3'!F3*Main!$B$5)</f>
        <v>-21.775949222322339</v>
      </c>
      <c r="G3" s="2">
        <f>('[1]Qc, Summer, S3'!G3*Main!$B$5)</f>
        <v>-21.775949222322339</v>
      </c>
      <c r="H3" s="2">
        <f>('[1]Qc, Summer, S3'!H3*Main!$B$5)</f>
        <v>-8.6828446817878344</v>
      </c>
      <c r="I3" s="2">
        <f>('[1]Qc, Summer, S3'!I3*Main!$B$5)</f>
        <v>1.7998013208433585</v>
      </c>
      <c r="J3" s="2">
        <f>('[1]Qc, Summer, S3'!J3*Main!$B$5)</f>
        <v>5.7155044401087052</v>
      </c>
      <c r="K3" s="2">
        <f>('[1]Qc, Summer, S3'!K3*Main!$B$5)</f>
        <v>5.7155044401087052</v>
      </c>
      <c r="L3" s="2">
        <f>('[1]Qc, Summer, S3'!L3*Main!$B$5)</f>
        <v>5.226033338511396</v>
      </c>
      <c r="M3" s="2">
        <f>('[1]Qc, Summer, S3'!M3*Main!$B$5)</f>
        <v>7.3470251268260505</v>
      </c>
      <c r="N3" s="2">
        <f>('[1]Qc, Summer, S3'!N3*Main!$B$5)</f>
        <v>9.9574880167380133</v>
      </c>
      <c r="O3" s="2">
        <f>('[1]Qc, Summer, S3'!O3*Main!$B$5)</f>
        <v>10.26341295840294</v>
      </c>
      <c r="P3" s="2">
        <f>('[1]Qc, Summer, S3'!P3*Main!$B$5)</f>
        <v>5.7562900527631538</v>
      </c>
      <c r="Q3" s="2">
        <f>('[1]Qc, Summer, S3'!Q3*Main!$B$5)</f>
        <v>4.4918398110386111</v>
      </c>
      <c r="R3" s="2">
        <f>('[1]Qc, Summer, S3'!R3*Main!$B$5)</f>
        <v>-0.72908601471680434</v>
      </c>
      <c r="S3" s="2">
        <f>('[1]Qc, Summer, S3'!S3*Main!$B$5)</f>
        <v>-0.72908601471680434</v>
      </c>
      <c r="T3" s="2">
        <f>('[1]Qc, Summer, S3'!T3*Main!$B$5)</f>
        <v>-0.72908601471680434</v>
      </c>
      <c r="U3" s="2">
        <f>('[1]Qc, Summer, S3'!U3*Main!$B$5)</f>
        <v>-0.72908601471680434</v>
      </c>
      <c r="V3" s="2">
        <f>('[1]Qc, Summer, S3'!V3*Main!$B$5)</f>
        <v>-4.6447935089565444</v>
      </c>
      <c r="W3" s="2">
        <f>('[1]Qc, Summer, S3'!W3*Main!$B$5)</f>
        <v>-5.9500293403697899</v>
      </c>
      <c r="X3" s="2">
        <f>('[1]Qc, Summer, S3'!X3*Main!$B$5)</f>
        <v>-16.636585871927043</v>
      </c>
      <c r="Y3" s="2">
        <f>('[1]Qc, Summer, S3'!Y3*Main!$B$5)</f>
        <v>-16.636585871927043</v>
      </c>
    </row>
    <row r="4" spans="1:25" x14ac:dyDescent="0.3">
      <c r="A4">
        <v>3</v>
      </c>
      <c r="B4" s="2">
        <f>('[1]Qc, Summer, S3'!B4*Main!$B$5)</f>
        <v>13.297797035817521</v>
      </c>
      <c r="C4" s="2">
        <f>('[1]Qc, Summer, S3'!C4*Main!$B$5)</f>
        <v>10.188689332831238</v>
      </c>
      <c r="D4" s="2">
        <f>('[1]Qc, Summer, S3'!D4*Main!$B$5)</f>
        <v>9.6553092885778309</v>
      </c>
      <c r="E4" s="2">
        <f>('[1]Qc, Summer, S3'!E4*Main!$B$5)</f>
        <v>8.4326952843004239</v>
      </c>
      <c r="F4" s="2">
        <f>('[1]Qc, Summer, S3'!F4*Main!$B$5)</f>
        <v>9.7077012337991082</v>
      </c>
      <c r="G4" s="2">
        <f>('[1]Qc, Summer, S3'!G4*Main!$B$5)</f>
        <v>4.5054946037634096</v>
      </c>
      <c r="H4" s="2">
        <f>('[1]Qc, Summer, S3'!H4*Main!$B$5)</f>
        <v>7.86103585280107</v>
      </c>
      <c r="I4" s="2">
        <f>('[1]Qc, Summer, S3'!I4*Main!$B$5)</f>
        <v>15.10590919135621</v>
      </c>
      <c r="J4" s="2">
        <f>('[1]Qc, Summer, S3'!J4*Main!$B$5)</f>
        <v>21.974486541322701</v>
      </c>
      <c r="K4" s="2">
        <f>('[1]Qc, Summer, S3'!K4*Main!$B$5)</f>
        <v>26.111801893264026</v>
      </c>
      <c r="L4" s="2">
        <f>('[1]Qc, Summer, S3'!L4*Main!$B$5)</f>
        <v>28.506050162487327</v>
      </c>
      <c r="M4" s="2">
        <f>('[1]Qc, Summer, S3'!M4*Main!$B$5)</f>
        <v>29.546774657998654</v>
      </c>
      <c r="N4" s="2">
        <f>('[1]Qc, Summer, S3'!N4*Main!$B$5)</f>
        <v>30.874901462545832</v>
      </c>
      <c r="O4" s="2">
        <f>('[1]Qc, Summer, S3'!O4*Main!$B$5)</f>
        <v>31.108498889031917</v>
      </c>
      <c r="P4" s="2">
        <f>('[1]Qc, Summer, S3'!P4*Main!$B$5)</f>
        <v>30.887691392532982</v>
      </c>
      <c r="Q4" s="2">
        <f>('[1]Qc, Summer, S3'!Q4*Main!$B$5)</f>
        <v>29.859484350516457</v>
      </c>
      <c r="R4" s="2">
        <f>('[1]Qc, Summer, S3'!R4*Main!$B$5)</f>
        <v>28.416062834177591</v>
      </c>
      <c r="S4" s="2">
        <f>('[1]Qc, Summer, S3'!S4*Main!$B$5)</f>
        <v>25.216056196776439</v>
      </c>
      <c r="T4" s="2">
        <f>('[1]Qc, Summer, S3'!T4*Main!$B$5)</f>
        <v>25.099393461107251</v>
      </c>
      <c r="U4" s="2">
        <f>('[1]Qc, Summer, S3'!U4*Main!$B$5)</f>
        <v>23.877099710278042</v>
      </c>
      <c r="V4" s="2">
        <f>('[1]Qc, Summer, S3'!V4*Main!$B$5)</f>
        <v>21.52277202898421</v>
      </c>
      <c r="W4" s="2">
        <f>('[1]Qc, Summer, S3'!W4*Main!$B$5)</f>
        <v>25.801600467584517</v>
      </c>
      <c r="X4" s="2">
        <f>('[1]Qc, Summer, S3'!X4*Main!$B$5)</f>
        <v>23.119173171417234</v>
      </c>
      <c r="Y4" s="2">
        <f>('[1]Qc, Summer, S3'!Y4*Main!$B$5)</f>
        <v>18.605379780454189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-13.016487650216908</v>
      </c>
      <c r="C2" s="2">
        <f>('[1]Qc, Summer, S3'!C2*Main!$B$5)</f>
        <v>-16.923032244601391</v>
      </c>
      <c r="D2" s="2">
        <f>('[1]Qc, Summer, S3'!D2*Main!$B$5)</f>
        <v>-18.652447430322233</v>
      </c>
      <c r="E2" s="2">
        <f>('[1]Qc, Summer, S3'!E2*Main!$B$5)</f>
        <v>-17.021335494687683</v>
      </c>
      <c r="F2" s="2">
        <f>('[1]Qc, Summer, S3'!F2*Main!$B$5)</f>
        <v>-18.244581588802479</v>
      </c>
      <c r="G2" s="2">
        <f>('[1]Qc, Summer, S3'!G2*Main!$B$5)</f>
        <v>-18.66509933341915</v>
      </c>
      <c r="H2" s="2">
        <f>('[1]Qc, Summer, S3'!H2*Main!$B$5)</f>
        <v>-16.176860263742476</v>
      </c>
      <c r="I2" s="2">
        <f>('[1]Qc, Summer, S3'!I2*Main!$B$5)</f>
        <v>-2.51675601543745</v>
      </c>
      <c r="J2" s="2">
        <f>('[1]Qc, Summer, S3'!J2*Main!$B$5)</f>
        <v>8.0786016173657522</v>
      </c>
      <c r="K2" s="2">
        <f>('[1]Qc, Summer, S3'!K2*Main!$B$5)</f>
        <v>11.760873659442149</v>
      </c>
      <c r="L2" s="2">
        <f>('[1]Qc, Summer, S3'!L2*Main!$B$5)</f>
        <v>9.2450981439437694</v>
      </c>
      <c r="M2" s="2">
        <f>('[1]Qc, Summer, S3'!M2*Main!$B$5)</f>
        <v>12.314724568929948</v>
      </c>
      <c r="N2" s="2">
        <f>('[1]Qc, Summer, S3'!N2*Main!$B$5)</f>
        <v>10.928331336872136</v>
      </c>
      <c r="O2" s="2">
        <f>('[1]Qc, Summer, S3'!O2*Main!$B$5)</f>
        <v>11.257370121262948</v>
      </c>
      <c r="P2" s="2">
        <f>('[1]Qc, Summer, S3'!P2*Main!$B$5)</f>
        <v>5.8083898497515447</v>
      </c>
      <c r="Q2" s="2">
        <f>('[1]Qc, Summer, S3'!Q2*Main!$B$5)</f>
        <v>1.4684312647203597</v>
      </c>
      <c r="R2" s="2">
        <f>('[1]Qc, Summer, S3'!R2*Main!$B$5)</f>
        <v>3.2666744522389783</v>
      </c>
      <c r="S2" s="2">
        <f>('[1]Qc, Summer, S3'!S2*Main!$B$5)</f>
        <v>3.9678800056881127</v>
      </c>
      <c r="T2" s="2">
        <f>('[1]Qc, Summer, S3'!T2*Main!$B$5)</f>
        <v>2.3904982754249238</v>
      </c>
      <c r="U2" s="2">
        <f>('[1]Qc, Summer, S3'!U2*Main!$B$5)</f>
        <v>-0.44593900854106577</v>
      </c>
      <c r="V2" s="2">
        <f>('[1]Qc, Summer, S3'!V2*Main!$B$5)</f>
        <v>-1.7408742564981972</v>
      </c>
      <c r="W2" s="2">
        <f>('[1]Qc, Summer, S3'!W2*Main!$B$5)</f>
        <v>-1.2111713237122237</v>
      </c>
      <c r="X2" s="2">
        <f>('[1]Qc, Summer, S3'!X2*Main!$B$5)</f>
        <v>-5.8084659551617888</v>
      </c>
      <c r="Y2" s="2">
        <f>('[1]Qc, Summer, S3'!Y2*Main!$B$5)</f>
        <v>-7.8622316006008504</v>
      </c>
    </row>
    <row r="3" spans="1:25" x14ac:dyDescent="0.3">
      <c r="A3">
        <v>2</v>
      </c>
      <c r="B3" s="2">
        <f>('[1]Qc, Summer, S3'!B3*Main!$B$5)</f>
        <v>-16.473443421309245</v>
      </c>
      <c r="C3" s="2">
        <f>('[1]Qc, Summer, S3'!C3*Main!$B$5)</f>
        <v>-16.473443421309245</v>
      </c>
      <c r="D3" s="2">
        <f>('[1]Qc, Summer, S3'!D3*Main!$B$5)</f>
        <v>-19.124696321815794</v>
      </c>
      <c r="E3" s="2">
        <f>('[1]Qc, Summer, S3'!E3*Main!$B$5)</f>
        <v>-21.775949222322339</v>
      </c>
      <c r="F3" s="2">
        <f>('[1]Qc, Summer, S3'!F3*Main!$B$5)</f>
        <v>-21.775949222322339</v>
      </c>
      <c r="G3" s="2">
        <f>('[1]Qc, Summer, S3'!G3*Main!$B$5)</f>
        <v>-21.775949222322339</v>
      </c>
      <c r="H3" s="2">
        <f>('[1]Qc, Summer, S3'!H3*Main!$B$5)</f>
        <v>-8.6828446817878344</v>
      </c>
      <c r="I3" s="2">
        <f>('[1]Qc, Summer, S3'!I3*Main!$B$5)</f>
        <v>1.7998013208433585</v>
      </c>
      <c r="J3" s="2">
        <f>('[1]Qc, Summer, S3'!J3*Main!$B$5)</f>
        <v>5.7155044401087052</v>
      </c>
      <c r="K3" s="2">
        <f>('[1]Qc, Summer, S3'!K3*Main!$B$5)</f>
        <v>5.7155044401087052</v>
      </c>
      <c r="L3" s="2">
        <f>('[1]Qc, Summer, S3'!L3*Main!$B$5)</f>
        <v>5.226033338511396</v>
      </c>
      <c r="M3" s="2">
        <f>('[1]Qc, Summer, S3'!M3*Main!$B$5)</f>
        <v>7.3470251268260505</v>
      </c>
      <c r="N3" s="2">
        <f>('[1]Qc, Summer, S3'!N3*Main!$B$5)</f>
        <v>9.9574880167380133</v>
      </c>
      <c r="O3" s="2">
        <f>('[1]Qc, Summer, S3'!O3*Main!$B$5)</f>
        <v>10.26341295840294</v>
      </c>
      <c r="P3" s="2">
        <f>('[1]Qc, Summer, S3'!P3*Main!$B$5)</f>
        <v>5.7562900527631538</v>
      </c>
      <c r="Q3" s="2">
        <f>('[1]Qc, Summer, S3'!Q3*Main!$B$5)</f>
        <v>4.4918398110386111</v>
      </c>
      <c r="R3" s="2">
        <f>('[1]Qc, Summer, S3'!R3*Main!$B$5)</f>
        <v>-0.72908601471680434</v>
      </c>
      <c r="S3" s="2">
        <f>('[1]Qc, Summer, S3'!S3*Main!$B$5)</f>
        <v>-0.72908601471680434</v>
      </c>
      <c r="T3" s="2">
        <f>('[1]Qc, Summer, S3'!T3*Main!$B$5)</f>
        <v>-0.72908601471680434</v>
      </c>
      <c r="U3" s="2">
        <f>('[1]Qc, Summer, S3'!U3*Main!$B$5)</f>
        <v>-0.72908601471680434</v>
      </c>
      <c r="V3" s="2">
        <f>('[1]Qc, Summer, S3'!V3*Main!$B$5)</f>
        <v>-4.6447935089565444</v>
      </c>
      <c r="W3" s="2">
        <f>('[1]Qc, Summer, S3'!W3*Main!$B$5)</f>
        <v>-5.9500293403697899</v>
      </c>
      <c r="X3" s="2">
        <f>('[1]Qc, Summer, S3'!X3*Main!$B$5)</f>
        <v>-16.636585871927043</v>
      </c>
      <c r="Y3" s="2">
        <f>('[1]Qc, Summer, S3'!Y3*Main!$B$5)</f>
        <v>-16.636585871927043</v>
      </c>
    </row>
    <row r="4" spans="1:25" x14ac:dyDescent="0.3">
      <c r="A4">
        <v>3</v>
      </c>
      <c r="B4" s="2">
        <f>('[1]Qc, Summer, S3'!B4*Main!$B$5)</f>
        <v>13.297797035817521</v>
      </c>
      <c r="C4" s="2">
        <f>('[1]Qc, Summer, S3'!C4*Main!$B$5)</f>
        <v>10.188689332831238</v>
      </c>
      <c r="D4" s="2">
        <f>('[1]Qc, Summer, S3'!D4*Main!$B$5)</f>
        <v>9.6553092885778309</v>
      </c>
      <c r="E4" s="2">
        <f>('[1]Qc, Summer, S3'!E4*Main!$B$5)</f>
        <v>8.4326952843004239</v>
      </c>
      <c r="F4" s="2">
        <f>('[1]Qc, Summer, S3'!F4*Main!$B$5)</f>
        <v>9.7077012337991082</v>
      </c>
      <c r="G4" s="2">
        <f>('[1]Qc, Summer, S3'!G4*Main!$B$5)</f>
        <v>4.5054946037634096</v>
      </c>
      <c r="H4" s="2">
        <f>('[1]Qc, Summer, S3'!H4*Main!$B$5)</f>
        <v>7.86103585280107</v>
      </c>
      <c r="I4" s="2">
        <f>('[1]Qc, Summer, S3'!I4*Main!$B$5)</f>
        <v>15.10590919135621</v>
      </c>
      <c r="J4" s="2">
        <f>('[1]Qc, Summer, S3'!J4*Main!$B$5)</f>
        <v>21.974486541322701</v>
      </c>
      <c r="K4" s="2">
        <f>('[1]Qc, Summer, S3'!K4*Main!$B$5)</f>
        <v>26.111801893264026</v>
      </c>
      <c r="L4" s="2">
        <f>('[1]Qc, Summer, S3'!L4*Main!$B$5)</f>
        <v>28.506050162487327</v>
      </c>
      <c r="M4" s="2">
        <f>('[1]Qc, Summer, S3'!M4*Main!$B$5)</f>
        <v>29.546774657998654</v>
      </c>
      <c r="N4" s="2">
        <f>('[1]Qc, Summer, S3'!N4*Main!$B$5)</f>
        <v>30.874901462545832</v>
      </c>
      <c r="O4" s="2">
        <f>('[1]Qc, Summer, S3'!O4*Main!$B$5)</f>
        <v>31.108498889031917</v>
      </c>
      <c r="P4" s="2">
        <f>('[1]Qc, Summer, S3'!P4*Main!$B$5)</f>
        <v>30.887691392532982</v>
      </c>
      <c r="Q4" s="2">
        <f>('[1]Qc, Summer, S3'!Q4*Main!$B$5)</f>
        <v>29.859484350516457</v>
      </c>
      <c r="R4" s="2">
        <f>('[1]Qc, Summer, S3'!R4*Main!$B$5)</f>
        <v>28.416062834177591</v>
      </c>
      <c r="S4" s="2">
        <f>('[1]Qc, Summer, S3'!S4*Main!$B$5)</f>
        <v>25.216056196776439</v>
      </c>
      <c r="T4" s="2">
        <f>('[1]Qc, Summer, S3'!T4*Main!$B$5)</f>
        <v>25.099393461107251</v>
      </c>
      <c r="U4" s="2">
        <f>('[1]Qc, Summer, S3'!U4*Main!$B$5)</f>
        <v>23.877099710278042</v>
      </c>
      <c r="V4" s="2">
        <f>('[1]Qc, Summer, S3'!V4*Main!$B$5)</f>
        <v>21.52277202898421</v>
      </c>
      <c r="W4" s="2">
        <f>('[1]Qc, Summer, S3'!W4*Main!$B$5)</f>
        <v>25.801600467584517</v>
      </c>
      <c r="X4" s="2">
        <f>('[1]Qc, Summer, S3'!X4*Main!$B$5)</f>
        <v>23.119173171417234</v>
      </c>
      <c r="Y4" s="2">
        <f>('[1]Qc, Summer, S3'!Y4*Main!$B$5)</f>
        <v>18.605379780454189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3.4830997356301827</v>
      </c>
      <c r="C2" s="2">
        <f>('FL Characterization'!C$4-'FL Characterization'!C$2)*VLOOKUP($A2,'FL Ratio'!$A$2:$B$21,2,FALSE)</f>
        <v>3.8344507804230994</v>
      </c>
      <c r="D2" s="2">
        <f>('FL Characterization'!D$4-'FL Characterization'!D$2)*VLOOKUP($A2,'FL Ratio'!$A$2:$B$21,2,FALSE)</f>
        <v>4.9909019198942177</v>
      </c>
      <c r="E2" s="2">
        <f>('FL Characterization'!E$4-'FL Characterization'!E$2)*VLOOKUP($A2,'FL Ratio'!$A$2:$B$21,2,FALSE)</f>
        <v>5.7218683669855288</v>
      </c>
      <c r="F2" s="2">
        <f>('FL Characterization'!F$4-'FL Characterization'!F$2)*VLOOKUP($A2,'FL Ratio'!$A$2:$B$21,2,FALSE)</f>
        <v>6.7276164603374244</v>
      </c>
      <c r="G2" s="2">
        <f>('FL Characterization'!G$4-'FL Characterization'!G$2)*VLOOKUP($A2,'FL Ratio'!$A$2:$B$21,2,FALSE)</f>
        <v>7.8640992653251525</v>
      </c>
      <c r="H2" s="2">
        <f>('FL Characterization'!H$4-'FL Characterization'!H$2)*VLOOKUP($A2,'FL Ratio'!$A$2:$B$21,2,FALSE)</f>
        <v>7.0101394536622266</v>
      </c>
      <c r="I2" s="2">
        <f>('FL Characterization'!I$4-'FL Characterization'!I$2)*VLOOKUP($A2,'FL Ratio'!$A$2:$B$21,2,FALSE)</f>
        <v>10.021764625101214</v>
      </c>
      <c r="J2" s="2">
        <f>('FL Characterization'!J$4-'FL Characterization'!J$2)*VLOOKUP($A2,'FL Ratio'!$A$2:$B$21,2,FALSE)</f>
        <v>9.1938504671122772</v>
      </c>
      <c r="K2" s="2">
        <f>('FL Characterization'!K$4-'FL Characterization'!K$2)*VLOOKUP($A2,'FL Ratio'!$A$2:$B$21,2,FALSE)</f>
        <v>10.383919792899636</v>
      </c>
      <c r="L2" s="2">
        <f>('FL Characterization'!L$4-'FL Characterization'!L$2)*VLOOKUP($A2,'FL Ratio'!$A$2:$B$21,2,FALSE)</f>
        <v>10.671893080419181</v>
      </c>
      <c r="M2" s="2">
        <f>('FL Characterization'!M$4-'FL Characterization'!M$2)*VLOOKUP($A2,'FL Ratio'!$A$2:$B$21,2,FALSE)</f>
        <v>9.8990606566815309</v>
      </c>
      <c r="N2" s="2">
        <f>('FL Characterization'!N$4-'FL Characterization'!N$2)*VLOOKUP($A2,'FL Ratio'!$A$2:$B$21,2,FALSE)</f>
        <v>9.3383314959649351</v>
      </c>
      <c r="O2" s="2">
        <f>('FL Characterization'!O$4-'FL Characterization'!O$2)*VLOOKUP($A2,'FL Ratio'!$A$2:$B$21,2,FALSE)</f>
        <v>8.59728441624795</v>
      </c>
      <c r="P2" s="2">
        <f>('FL Characterization'!P$4-'FL Characterization'!P$2)*VLOOKUP($A2,'FL Ratio'!$A$2:$B$21,2,FALSE)</f>
        <v>7.9190363015004737</v>
      </c>
      <c r="Q2" s="2">
        <f>('FL Characterization'!Q$4-'FL Characterization'!Q$2)*VLOOKUP($A2,'FL Ratio'!$A$2:$B$21,2,FALSE)</f>
        <v>7.1270313826972505</v>
      </c>
      <c r="R2" s="2">
        <f>('FL Characterization'!R$4-'FL Characterization'!R$2)*VLOOKUP($A2,'FL Ratio'!$A$2:$B$21,2,FALSE)</f>
        <v>7.0528495024183684</v>
      </c>
      <c r="S2" s="2">
        <f>('FL Characterization'!S$4-'FL Characterization'!S$2)*VLOOKUP($A2,'FL Ratio'!$A$2:$B$21,2,FALSE)</f>
        <v>5.58804676306241</v>
      </c>
      <c r="T2" s="2">
        <f>('FL Characterization'!T$4-'FL Characterization'!T$2)*VLOOKUP($A2,'FL Ratio'!$A$2:$B$21,2,FALSE)</f>
        <v>4.6234411559770185</v>
      </c>
      <c r="U2" s="2">
        <f>('FL Characterization'!U$4-'FL Characterization'!U$2)*VLOOKUP($A2,'FL Ratio'!$A$2:$B$21,2,FALSE)</f>
        <v>5.4863240156578863</v>
      </c>
      <c r="V2" s="2">
        <f>('FL Characterization'!V$4-'FL Characterization'!V$2)*VLOOKUP($A2,'FL Ratio'!$A$2:$B$21,2,FALSE)</f>
        <v>5.5900243034339541</v>
      </c>
      <c r="W2" s="2">
        <f>('FL Characterization'!W$4-'FL Characterization'!W$2)*VLOOKUP($A2,'FL Ratio'!$A$2:$B$21,2,FALSE)</f>
        <v>6.3882753558497374</v>
      </c>
      <c r="X2" s="2">
        <f>('FL Characterization'!X$4-'FL Characterization'!X$2)*VLOOKUP($A2,'FL Ratio'!$A$2:$B$21,2,FALSE)</f>
        <v>3.101844421804167</v>
      </c>
      <c r="Y2" s="2">
        <f>('FL Characterization'!Y$4-'FL Characterization'!Y$2)*VLOOKUP($A2,'FL Ratio'!$A$2:$B$21,2,FALSE)</f>
        <v>2.9781275668527183</v>
      </c>
    </row>
    <row r="3" spans="1:25" x14ac:dyDescent="0.3">
      <c r="A3">
        <v>2</v>
      </c>
      <c r="B3" s="2">
        <f>('FL Characterization'!B$4-'FL Characterization'!B$2)*VLOOKUP($A3,'FL Ratio'!$A$2:$B$21,2,FALSE)</f>
        <v>3.4830997356301827</v>
      </c>
      <c r="C3" s="2">
        <f>('FL Characterization'!C$4-'FL Characterization'!C$2)*VLOOKUP($A3,'FL Ratio'!$A$2:$B$21,2,FALSE)</f>
        <v>3.8344507804230994</v>
      </c>
      <c r="D3" s="2">
        <f>('FL Characterization'!D$4-'FL Characterization'!D$2)*VLOOKUP($A3,'FL Ratio'!$A$2:$B$21,2,FALSE)</f>
        <v>4.9909019198942177</v>
      </c>
      <c r="E3" s="2">
        <f>('FL Characterization'!E$4-'FL Characterization'!E$2)*VLOOKUP($A3,'FL Ratio'!$A$2:$B$21,2,FALSE)</f>
        <v>5.7218683669855288</v>
      </c>
      <c r="F3" s="2">
        <f>('FL Characterization'!F$4-'FL Characterization'!F$2)*VLOOKUP($A3,'FL Ratio'!$A$2:$B$21,2,FALSE)</f>
        <v>6.7276164603374244</v>
      </c>
      <c r="G3" s="2">
        <f>('FL Characterization'!G$4-'FL Characterization'!G$2)*VLOOKUP($A3,'FL Ratio'!$A$2:$B$21,2,FALSE)</f>
        <v>7.8640992653251525</v>
      </c>
      <c r="H3" s="2">
        <f>('FL Characterization'!H$4-'FL Characterization'!H$2)*VLOOKUP($A3,'FL Ratio'!$A$2:$B$21,2,FALSE)</f>
        <v>7.0101394536622266</v>
      </c>
      <c r="I3" s="2">
        <f>('FL Characterization'!I$4-'FL Characterization'!I$2)*VLOOKUP($A3,'FL Ratio'!$A$2:$B$21,2,FALSE)</f>
        <v>10.021764625101214</v>
      </c>
      <c r="J3" s="2">
        <f>('FL Characterization'!J$4-'FL Characterization'!J$2)*VLOOKUP($A3,'FL Ratio'!$A$2:$B$21,2,FALSE)</f>
        <v>9.1938504671122772</v>
      </c>
      <c r="K3" s="2">
        <f>('FL Characterization'!K$4-'FL Characterization'!K$2)*VLOOKUP($A3,'FL Ratio'!$A$2:$B$21,2,FALSE)</f>
        <v>10.383919792899636</v>
      </c>
      <c r="L3" s="2">
        <f>('FL Characterization'!L$4-'FL Characterization'!L$2)*VLOOKUP($A3,'FL Ratio'!$A$2:$B$21,2,FALSE)</f>
        <v>10.671893080419181</v>
      </c>
      <c r="M3" s="2">
        <f>('FL Characterization'!M$4-'FL Characterization'!M$2)*VLOOKUP($A3,'FL Ratio'!$A$2:$B$21,2,FALSE)</f>
        <v>9.8990606566815309</v>
      </c>
      <c r="N3" s="2">
        <f>('FL Characterization'!N$4-'FL Characterization'!N$2)*VLOOKUP($A3,'FL Ratio'!$A$2:$B$21,2,FALSE)</f>
        <v>9.3383314959649351</v>
      </c>
      <c r="O3" s="2">
        <f>('FL Characterization'!O$4-'FL Characterization'!O$2)*VLOOKUP($A3,'FL Ratio'!$A$2:$B$21,2,FALSE)</f>
        <v>8.59728441624795</v>
      </c>
      <c r="P3" s="2">
        <f>('FL Characterization'!P$4-'FL Characterization'!P$2)*VLOOKUP($A3,'FL Ratio'!$A$2:$B$21,2,FALSE)</f>
        <v>7.9190363015004737</v>
      </c>
      <c r="Q3" s="2">
        <f>('FL Characterization'!Q$4-'FL Characterization'!Q$2)*VLOOKUP($A3,'FL Ratio'!$A$2:$B$21,2,FALSE)</f>
        <v>7.1270313826972505</v>
      </c>
      <c r="R3" s="2">
        <f>('FL Characterization'!R$4-'FL Characterization'!R$2)*VLOOKUP($A3,'FL Ratio'!$A$2:$B$21,2,FALSE)</f>
        <v>7.0528495024183684</v>
      </c>
      <c r="S3" s="2">
        <f>('FL Characterization'!S$4-'FL Characterization'!S$2)*VLOOKUP($A3,'FL Ratio'!$A$2:$B$21,2,FALSE)</f>
        <v>5.58804676306241</v>
      </c>
      <c r="T3" s="2">
        <f>('FL Characterization'!T$4-'FL Characterization'!T$2)*VLOOKUP($A3,'FL Ratio'!$A$2:$B$21,2,FALSE)</f>
        <v>4.6234411559770185</v>
      </c>
      <c r="U3" s="2">
        <f>('FL Characterization'!U$4-'FL Characterization'!U$2)*VLOOKUP($A3,'FL Ratio'!$A$2:$B$21,2,FALSE)</f>
        <v>5.4863240156578863</v>
      </c>
      <c r="V3" s="2">
        <f>('FL Characterization'!V$4-'FL Characterization'!V$2)*VLOOKUP($A3,'FL Ratio'!$A$2:$B$21,2,FALSE)</f>
        <v>5.5900243034339541</v>
      </c>
      <c r="W3" s="2">
        <f>('FL Characterization'!W$4-'FL Characterization'!W$2)*VLOOKUP($A3,'FL Ratio'!$A$2:$B$21,2,FALSE)</f>
        <v>6.3882753558497374</v>
      </c>
      <c r="X3" s="2">
        <f>('FL Characterization'!X$4-'FL Characterization'!X$2)*VLOOKUP($A3,'FL Ratio'!$A$2:$B$21,2,FALSE)</f>
        <v>3.101844421804167</v>
      </c>
      <c r="Y3" s="2">
        <f>('FL Characterization'!Y$4-'FL Characterization'!Y$2)*VLOOKUP($A3,'FL Ratio'!$A$2:$B$21,2,FALSE)</f>
        <v>2.9781275668527183</v>
      </c>
    </row>
    <row r="4" spans="1:25" x14ac:dyDescent="0.3">
      <c r="A4">
        <v>3</v>
      </c>
      <c r="B4" s="2">
        <f>('FL Characterization'!B$4-'FL Characterization'!B$2)*VLOOKUP($A4,'FL Ratio'!$A$2:$B$21,2,FALSE)</f>
        <v>3.4830997356301827</v>
      </c>
      <c r="C4" s="2">
        <f>('FL Characterization'!C$4-'FL Characterization'!C$2)*VLOOKUP($A4,'FL Ratio'!$A$2:$B$21,2,FALSE)</f>
        <v>3.8344507804230994</v>
      </c>
      <c r="D4" s="2">
        <f>('FL Characterization'!D$4-'FL Characterization'!D$2)*VLOOKUP($A4,'FL Ratio'!$A$2:$B$21,2,FALSE)</f>
        <v>4.9909019198942177</v>
      </c>
      <c r="E4" s="2">
        <f>('FL Characterization'!E$4-'FL Characterization'!E$2)*VLOOKUP($A4,'FL Ratio'!$A$2:$B$21,2,FALSE)</f>
        <v>5.7218683669855288</v>
      </c>
      <c r="F4" s="2">
        <f>('FL Characterization'!F$4-'FL Characterization'!F$2)*VLOOKUP($A4,'FL Ratio'!$A$2:$B$21,2,FALSE)</f>
        <v>6.7276164603374244</v>
      </c>
      <c r="G4" s="2">
        <f>('FL Characterization'!G$4-'FL Characterization'!G$2)*VLOOKUP($A4,'FL Ratio'!$A$2:$B$21,2,FALSE)</f>
        <v>7.8640992653251525</v>
      </c>
      <c r="H4" s="2">
        <f>('FL Characterization'!H$4-'FL Characterization'!H$2)*VLOOKUP($A4,'FL Ratio'!$A$2:$B$21,2,FALSE)</f>
        <v>7.0101394536622266</v>
      </c>
      <c r="I4" s="2">
        <f>('FL Characterization'!I$4-'FL Characterization'!I$2)*VLOOKUP($A4,'FL Ratio'!$A$2:$B$21,2,FALSE)</f>
        <v>10.021764625101214</v>
      </c>
      <c r="J4" s="2">
        <f>('FL Characterization'!J$4-'FL Characterization'!J$2)*VLOOKUP($A4,'FL Ratio'!$A$2:$B$21,2,FALSE)</f>
        <v>9.1938504671122772</v>
      </c>
      <c r="K4" s="2">
        <f>('FL Characterization'!K$4-'FL Characterization'!K$2)*VLOOKUP($A4,'FL Ratio'!$A$2:$B$21,2,FALSE)</f>
        <v>10.383919792899636</v>
      </c>
      <c r="L4" s="2">
        <f>('FL Characterization'!L$4-'FL Characterization'!L$2)*VLOOKUP($A4,'FL Ratio'!$A$2:$B$21,2,FALSE)</f>
        <v>10.671893080419181</v>
      </c>
      <c r="M4" s="2">
        <f>('FL Characterization'!M$4-'FL Characterization'!M$2)*VLOOKUP($A4,'FL Ratio'!$A$2:$B$21,2,FALSE)</f>
        <v>9.8990606566815309</v>
      </c>
      <c r="N4" s="2">
        <f>('FL Characterization'!N$4-'FL Characterization'!N$2)*VLOOKUP($A4,'FL Ratio'!$A$2:$B$21,2,FALSE)</f>
        <v>9.3383314959649351</v>
      </c>
      <c r="O4" s="2">
        <f>('FL Characterization'!O$4-'FL Characterization'!O$2)*VLOOKUP($A4,'FL Ratio'!$A$2:$B$21,2,FALSE)</f>
        <v>8.59728441624795</v>
      </c>
      <c r="P4" s="2">
        <f>('FL Characterization'!P$4-'FL Characterization'!P$2)*VLOOKUP($A4,'FL Ratio'!$A$2:$B$21,2,FALSE)</f>
        <v>7.9190363015004737</v>
      </c>
      <c r="Q4" s="2">
        <f>('FL Characterization'!Q$4-'FL Characterization'!Q$2)*VLOOKUP($A4,'FL Ratio'!$A$2:$B$21,2,FALSE)</f>
        <v>7.1270313826972505</v>
      </c>
      <c r="R4" s="2">
        <f>('FL Characterization'!R$4-'FL Characterization'!R$2)*VLOOKUP($A4,'FL Ratio'!$A$2:$B$21,2,FALSE)</f>
        <v>7.0528495024183684</v>
      </c>
      <c r="S4" s="2">
        <f>('FL Characterization'!S$4-'FL Characterization'!S$2)*VLOOKUP($A4,'FL Ratio'!$A$2:$B$21,2,FALSE)</f>
        <v>5.58804676306241</v>
      </c>
      <c r="T4" s="2">
        <f>('FL Characterization'!T$4-'FL Characterization'!T$2)*VLOOKUP($A4,'FL Ratio'!$A$2:$B$21,2,FALSE)</f>
        <v>4.6234411559770185</v>
      </c>
      <c r="U4" s="2">
        <f>('FL Characterization'!U$4-'FL Characterization'!U$2)*VLOOKUP($A4,'FL Ratio'!$A$2:$B$21,2,FALSE)</f>
        <v>5.4863240156578863</v>
      </c>
      <c r="V4" s="2">
        <f>('FL Characterization'!V$4-'FL Characterization'!V$2)*VLOOKUP($A4,'FL Ratio'!$A$2:$B$21,2,FALSE)</f>
        <v>5.5900243034339541</v>
      </c>
      <c r="W4" s="2">
        <f>('FL Characterization'!W$4-'FL Characterization'!W$2)*VLOOKUP($A4,'FL Ratio'!$A$2:$B$21,2,FALSE)</f>
        <v>6.3882753558497374</v>
      </c>
      <c r="X4" s="2">
        <f>('FL Characterization'!X$4-'FL Characterization'!X$2)*VLOOKUP($A4,'FL Ratio'!$A$2:$B$21,2,FALSE)</f>
        <v>3.101844421804167</v>
      </c>
      <c r="Y4" s="2">
        <f>('FL Characterization'!Y$4-'FL Characterization'!Y$2)*VLOOKUP($A4,'FL Ratio'!$A$2:$B$21,2,FALSE)</f>
        <v>2.9781275668527183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9.6564260996315259</v>
      </c>
      <c r="C2" s="2">
        <f>('FL Characterization'!C$2-'FL Characterization'!C$3)*VLOOKUP($A2,'FL Ratio'!$A$2:$B$21,2,FALSE)</f>
        <v>10.219301615141626</v>
      </c>
      <c r="D2" s="2">
        <f>('FL Characterization'!D$2-'FL Characterization'!D$3)*VLOOKUP($A2,'FL Ratio'!$A$2:$B$21,2,FALSE)</f>
        <v>10.791341342129614</v>
      </c>
      <c r="E2" s="2">
        <f>('FL Characterization'!E$2-'FL Characterization'!E$3)*VLOOKUP($A2,'FL Ratio'!$A$2:$B$21,2,FALSE)</f>
        <v>11.281867819656412</v>
      </c>
      <c r="F2" s="2">
        <f>('FL Characterization'!F$2-'FL Characterization'!F$3)*VLOOKUP($A2,'FL Ratio'!$A$2:$B$21,2,FALSE)</f>
        <v>11.409925616886859</v>
      </c>
      <c r="G2" s="2">
        <f>('FL Characterization'!G$2-'FL Characterization'!G$3)*VLOOKUP($A2,'FL Ratio'!$A$2:$B$21,2,FALSE)</f>
        <v>11.935420796105586</v>
      </c>
      <c r="H2" s="2">
        <f>('FL Characterization'!H$2-'FL Characterization'!H$3)*VLOOKUP($A2,'FL Ratio'!$A$2:$B$21,2,FALSE)</f>
        <v>11.874406440739669</v>
      </c>
      <c r="I2" s="2">
        <f>('FL Characterization'!I$2-'FL Characterization'!I$3)*VLOOKUP($A2,'FL Ratio'!$A$2:$B$21,2,FALSE)</f>
        <v>11.224085054653745</v>
      </c>
      <c r="J2" s="2">
        <f>('FL Characterization'!J$2-'FL Characterization'!J$3)*VLOOKUP($A2,'FL Ratio'!$A$2:$B$21,2,FALSE)</f>
        <v>10.169477244317125</v>
      </c>
      <c r="K2" s="2">
        <f>('FL Characterization'!K$2-'FL Characterization'!K$3)*VLOOKUP($A2,'FL Ratio'!$A$2:$B$21,2,FALSE)</f>
        <v>14.933589046479678</v>
      </c>
      <c r="L2" s="2">
        <f>('FL Characterization'!L$2-'FL Characterization'!L$3)*VLOOKUP($A2,'FL Ratio'!$A$2:$B$21,2,FALSE)</f>
        <v>14.583250888218531</v>
      </c>
      <c r="M2" s="2">
        <f>('FL Characterization'!M$2-'FL Characterization'!M$3)*VLOOKUP($A2,'FL Ratio'!$A$2:$B$21,2,FALSE)</f>
        <v>13.428560242005007</v>
      </c>
      <c r="N2" s="2">
        <f>('FL Characterization'!N$2-'FL Characterization'!N$3)*VLOOKUP($A2,'FL Ratio'!$A$2:$B$21,2,FALSE)</f>
        <v>13.102266080700307</v>
      </c>
      <c r="O2" s="2">
        <f>('FL Characterization'!O$2-'FL Characterization'!O$3)*VLOOKUP($A2,'FL Ratio'!$A$2:$B$21,2,FALSE)</f>
        <v>13.156117881305882</v>
      </c>
      <c r="P2" s="2">
        <f>('FL Characterization'!P$2-'FL Characterization'!P$3)*VLOOKUP($A2,'FL Ratio'!$A$2:$B$21,2,FALSE)</f>
        <v>12.532830919079718</v>
      </c>
      <c r="Q2" s="2">
        <f>('FL Characterization'!Q$2-'FL Characterization'!Q$3)*VLOOKUP($A2,'FL Ratio'!$A$2:$B$21,2,FALSE)</f>
        <v>11.488207275984793</v>
      </c>
      <c r="R2" s="2">
        <f>('FL Characterization'!R$2-'FL Characterization'!R$3)*VLOOKUP($A2,'FL Ratio'!$A$2:$B$21,2,FALSE)</f>
        <v>10.324786512521285</v>
      </c>
      <c r="S2" s="2">
        <f>('FL Characterization'!S$2-'FL Characterization'!S$3)*VLOOKUP($A2,'FL Ratio'!$A$2:$B$21,2,FALSE)</f>
        <v>9.9544076707387568</v>
      </c>
      <c r="T2" s="2">
        <f>('FL Characterization'!T$2-'FL Characterization'!T$3)*VLOOKUP($A2,'FL Ratio'!$A$2:$B$21,2,FALSE)</f>
        <v>6.2572994807539644</v>
      </c>
      <c r="U2" s="2">
        <f>('FL Characterization'!U$2-'FL Characterization'!U$3)*VLOOKUP($A2,'FL Ratio'!$A$2:$B$21,2,FALSE)</f>
        <v>6.6916107557677345</v>
      </c>
      <c r="V2" s="2">
        <f>('FL Characterization'!V$2-'FL Characterization'!V$3)*VLOOKUP($A2,'FL Ratio'!$A$2:$B$21,2,FALSE)</f>
        <v>7.3160794189476217</v>
      </c>
      <c r="W2" s="2">
        <f>('FL Characterization'!W$2-'FL Characterization'!W$3)*VLOOKUP($A2,'FL Ratio'!$A$2:$B$21,2,FALSE)</f>
        <v>7.4906576476013322</v>
      </c>
      <c r="X2" s="2">
        <f>('FL Characterization'!X$2-'FL Characterization'!X$3)*VLOOKUP($A2,'FL Ratio'!$A$2:$B$21,2,FALSE)</f>
        <v>7.8122491214371168</v>
      </c>
      <c r="Y2" s="2">
        <f>('FL Characterization'!Y$2-'FL Characterization'!Y$3)*VLOOKUP($A2,'FL Ratio'!$A$2:$B$21,2,FALSE)</f>
        <v>8.6232818372299498</v>
      </c>
    </row>
    <row r="3" spans="1:25" x14ac:dyDescent="0.3">
      <c r="A3">
        <v>2</v>
      </c>
      <c r="B3" s="2">
        <f>('FL Characterization'!B$2-'FL Characterization'!B$3)*VLOOKUP($A3,'FL Ratio'!$A$2:$B$21,2,FALSE)</f>
        <v>9.6564260996315259</v>
      </c>
      <c r="C3" s="2">
        <f>('FL Characterization'!C$2-'FL Characterization'!C$3)*VLOOKUP($A3,'FL Ratio'!$A$2:$B$21,2,FALSE)</f>
        <v>10.219301615141626</v>
      </c>
      <c r="D3" s="2">
        <f>('FL Characterization'!D$2-'FL Characterization'!D$3)*VLOOKUP($A3,'FL Ratio'!$A$2:$B$21,2,FALSE)</f>
        <v>10.791341342129614</v>
      </c>
      <c r="E3" s="2">
        <f>('FL Characterization'!E$2-'FL Characterization'!E$3)*VLOOKUP($A3,'FL Ratio'!$A$2:$B$21,2,FALSE)</f>
        <v>11.281867819656412</v>
      </c>
      <c r="F3" s="2">
        <f>('FL Characterization'!F$2-'FL Characterization'!F$3)*VLOOKUP($A3,'FL Ratio'!$A$2:$B$21,2,FALSE)</f>
        <v>11.409925616886859</v>
      </c>
      <c r="G3" s="2">
        <f>('FL Characterization'!G$2-'FL Characterization'!G$3)*VLOOKUP($A3,'FL Ratio'!$A$2:$B$21,2,FALSE)</f>
        <v>11.935420796105586</v>
      </c>
      <c r="H3" s="2">
        <f>('FL Characterization'!H$2-'FL Characterization'!H$3)*VLOOKUP($A3,'FL Ratio'!$A$2:$B$21,2,FALSE)</f>
        <v>11.874406440739669</v>
      </c>
      <c r="I3" s="2">
        <f>('FL Characterization'!I$2-'FL Characterization'!I$3)*VLOOKUP($A3,'FL Ratio'!$A$2:$B$21,2,FALSE)</f>
        <v>11.224085054653745</v>
      </c>
      <c r="J3" s="2">
        <f>('FL Characterization'!J$2-'FL Characterization'!J$3)*VLOOKUP($A3,'FL Ratio'!$A$2:$B$21,2,FALSE)</f>
        <v>10.169477244317125</v>
      </c>
      <c r="K3" s="2">
        <f>('FL Characterization'!K$2-'FL Characterization'!K$3)*VLOOKUP($A3,'FL Ratio'!$A$2:$B$21,2,FALSE)</f>
        <v>14.933589046479678</v>
      </c>
      <c r="L3" s="2">
        <f>('FL Characterization'!L$2-'FL Characterization'!L$3)*VLOOKUP($A3,'FL Ratio'!$A$2:$B$21,2,FALSE)</f>
        <v>14.583250888218531</v>
      </c>
      <c r="M3" s="2">
        <f>('FL Characterization'!M$2-'FL Characterization'!M$3)*VLOOKUP($A3,'FL Ratio'!$A$2:$B$21,2,FALSE)</f>
        <v>13.428560242005007</v>
      </c>
      <c r="N3" s="2">
        <f>('FL Characterization'!N$2-'FL Characterization'!N$3)*VLOOKUP($A3,'FL Ratio'!$A$2:$B$21,2,FALSE)</f>
        <v>13.102266080700307</v>
      </c>
      <c r="O3" s="2">
        <f>('FL Characterization'!O$2-'FL Characterization'!O$3)*VLOOKUP($A3,'FL Ratio'!$A$2:$B$21,2,FALSE)</f>
        <v>13.156117881305882</v>
      </c>
      <c r="P3" s="2">
        <f>('FL Characterization'!P$2-'FL Characterization'!P$3)*VLOOKUP($A3,'FL Ratio'!$A$2:$B$21,2,FALSE)</f>
        <v>12.532830919079718</v>
      </c>
      <c r="Q3" s="2">
        <f>('FL Characterization'!Q$2-'FL Characterization'!Q$3)*VLOOKUP($A3,'FL Ratio'!$A$2:$B$21,2,FALSE)</f>
        <v>11.488207275984793</v>
      </c>
      <c r="R3" s="2">
        <f>('FL Characterization'!R$2-'FL Characterization'!R$3)*VLOOKUP($A3,'FL Ratio'!$A$2:$B$21,2,FALSE)</f>
        <v>10.324786512521285</v>
      </c>
      <c r="S3" s="2">
        <f>('FL Characterization'!S$2-'FL Characterization'!S$3)*VLOOKUP($A3,'FL Ratio'!$A$2:$B$21,2,FALSE)</f>
        <v>9.9544076707387568</v>
      </c>
      <c r="T3" s="2">
        <f>('FL Characterization'!T$2-'FL Characterization'!T$3)*VLOOKUP($A3,'FL Ratio'!$A$2:$B$21,2,FALSE)</f>
        <v>6.2572994807539644</v>
      </c>
      <c r="U3" s="2">
        <f>('FL Characterization'!U$2-'FL Characterization'!U$3)*VLOOKUP($A3,'FL Ratio'!$A$2:$B$21,2,FALSE)</f>
        <v>6.6916107557677345</v>
      </c>
      <c r="V3" s="2">
        <f>('FL Characterization'!V$2-'FL Characterization'!V$3)*VLOOKUP($A3,'FL Ratio'!$A$2:$B$21,2,FALSE)</f>
        <v>7.3160794189476217</v>
      </c>
      <c r="W3" s="2">
        <f>('FL Characterization'!W$2-'FL Characterization'!W$3)*VLOOKUP($A3,'FL Ratio'!$A$2:$B$21,2,FALSE)</f>
        <v>7.4906576476013322</v>
      </c>
      <c r="X3" s="2">
        <f>('FL Characterization'!X$2-'FL Characterization'!X$3)*VLOOKUP($A3,'FL Ratio'!$A$2:$B$21,2,FALSE)</f>
        <v>7.8122491214371168</v>
      </c>
      <c r="Y3" s="2">
        <f>('FL Characterization'!Y$2-'FL Characterization'!Y$3)*VLOOKUP($A3,'FL Ratio'!$A$2:$B$21,2,FALSE)</f>
        <v>8.6232818372299498</v>
      </c>
    </row>
    <row r="4" spans="1:25" x14ac:dyDescent="0.3">
      <c r="A4">
        <v>3</v>
      </c>
      <c r="B4" s="2">
        <f>('FL Characterization'!B$2-'FL Characterization'!B$3)*VLOOKUP($A4,'FL Ratio'!$A$2:$B$21,2,FALSE)</f>
        <v>9.6564260996315259</v>
      </c>
      <c r="C4" s="2">
        <f>('FL Characterization'!C$2-'FL Characterization'!C$3)*VLOOKUP($A4,'FL Ratio'!$A$2:$B$21,2,FALSE)</f>
        <v>10.219301615141626</v>
      </c>
      <c r="D4" s="2">
        <f>('FL Characterization'!D$2-'FL Characterization'!D$3)*VLOOKUP($A4,'FL Ratio'!$A$2:$B$21,2,FALSE)</f>
        <v>10.791341342129614</v>
      </c>
      <c r="E4" s="2">
        <f>('FL Characterization'!E$2-'FL Characterization'!E$3)*VLOOKUP($A4,'FL Ratio'!$A$2:$B$21,2,FALSE)</f>
        <v>11.281867819656412</v>
      </c>
      <c r="F4" s="2">
        <f>('FL Characterization'!F$2-'FL Characterization'!F$3)*VLOOKUP($A4,'FL Ratio'!$A$2:$B$21,2,FALSE)</f>
        <v>11.409925616886859</v>
      </c>
      <c r="G4" s="2">
        <f>('FL Characterization'!G$2-'FL Characterization'!G$3)*VLOOKUP($A4,'FL Ratio'!$A$2:$B$21,2,FALSE)</f>
        <v>11.935420796105586</v>
      </c>
      <c r="H4" s="2">
        <f>('FL Characterization'!H$2-'FL Characterization'!H$3)*VLOOKUP($A4,'FL Ratio'!$A$2:$B$21,2,FALSE)</f>
        <v>11.874406440739669</v>
      </c>
      <c r="I4" s="2">
        <f>('FL Characterization'!I$2-'FL Characterization'!I$3)*VLOOKUP($A4,'FL Ratio'!$A$2:$B$21,2,FALSE)</f>
        <v>11.224085054653745</v>
      </c>
      <c r="J4" s="2">
        <f>('FL Characterization'!J$2-'FL Characterization'!J$3)*VLOOKUP($A4,'FL Ratio'!$A$2:$B$21,2,FALSE)</f>
        <v>10.169477244317125</v>
      </c>
      <c r="K4" s="2">
        <f>('FL Characterization'!K$2-'FL Characterization'!K$3)*VLOOKUP($A4,'FL Ratio'!$A$2:$B$21,2,FALSE)</f>
        <v>14.933589046479678</v>
      </c>
      <c r="L4" s="2">
        <f>('FL Characterization'!L$2-'FL Characterization'!L$3)*VLOOKUP($A4,'FL Ratio'!$A$2:$B$21,2,FALSE)</f>
        <v>14.583250888218531</v>
      </c>
      <c r="M4" s="2">
        <f>('FL Characterization'!M$2-'FL Characterization'!M$3)*VLOOKUP($A4,'FL Ratio'!$A$2:$B$21,2,FALSE)</f>
        <v>13.428560242005007</v>
      </c>
      <c r="N4" s="2">
        <f>('FL Characterization'!N$2-'FL Characterization'!N$3)*VLOOKUP($A4,'FL Ratio'!$A$2:$B$21,2,FALSE)</f>
        <v>13.102266080700307</v>
      </c>
      <c r="O4" s="2">
        <f>('FL Characterization'!O$2-'FL Characterization'!O$3)*VLOOKUP($A4,'FL Ratio'!$A$2:$B$21,2,FALSE)</f>
        <v>13.156117881305882</v>
      </c>
      <c r="P4" s="2">
        <f>('FL Characterization'!P$2-'FL Characterization'!P$3)*VLOOKUP($A4,'FL Ratio'!$A$2:$B$21,2,FALSE)</f>
        <v>12.532830919079718</v>
      </c>
      <c r="Q4" s="2">
        <f>('FL Characterization'!Q$2-'FL Characterization'!Q$3)*VLOOKUP($A4,'FL Ratio'!$A$2:$B$21,2,FALSE)</f>
        <v>11.488207275984793</v>
      </c>
      <c r="R4" s="2">
        <f>('FL Characterization'!R$2-'FL Characterization'!R$3)*VLOOKUP($A4,'FL Ratio'!$A$2:$B$21,2,FALSE)</f>
        <v>10.324786512521285</v>
      </c>
      <c r="S4" s="2">
        <f>('FL Characterization'!S$2-'FL Characterization'!S$3)*VLOOKUP($A4,'FL Ratio'!$A$2:$B$21,2,FALSE)</f>
        <v>9.9544076707387568</v>
      </c>
      <c r="T4" s="2">
        <f>('FL Characterization'!T$2-'FL Characterization'!T$3)*VLOOKUP($A4,'FL Ratio'!$A$2:$B$21,2,FALSE)</f>
        <v>6.2572994807539644</v>
      </c>
      <c r="U4" s="2">
        <f>('FL Characterization'!U$2-'FL Characterization'!U$3)*VLOOKUP($A4,'FL Ratio'!$A$2:$B$21,2,FALSE)</f>
        <v>6.6916107557677345</v>
      </c>
      <c r="V4" s="2">
        <f>('FL Characterization'!V$2-'FL Characterization'!V$3)*VLOOKUP($A4,'FL Ratio'!$A$2:$B$21,2,FALSE)</f>
        <v>7.3160794189476217</v>
      </c>
      <c r="W4" s="2">
        <f>('FL Characterization'!W$2-'FL Characterization'!W$3)*VLOOKUP($A4,'FL Ratio'!$A$2:$B$21,2,FALSE)</f>
        <v>7.4906576476013322</v>
      </c>
      <c r="X4" s="2">
        <f>('FL Characterization'!X$2-'FL Characterization'!X$3)*VLOOKUP($A4,'FL Ratio'!$A$2:$B$21,2,FALSE)</f>
        <v>7.8122491214371168</v>
      </c>
      <c r="Y4" s="2">
        <f>('FL Characterization'!Y$2-'FL Characterization'!Y$3)*VLOOKUP($A4,'FL Ratio'!$A$2:$B$21,2,FALSE)</f>
        <v>8.6232818372299498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D65C-DBC9-40DA-ABEE-816149CE725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88BB-74A3-477E-9B6F-19351CC6CB9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5497-56F8-42F6-A945-D4621CE2E97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CB5B-1DB1-4676-8A26-9AF5B04E0EB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413D-0BEB-471A-B6EA-DAA8F892829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476F-F11C-4FAD-8739-487008AFFD0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489A-F098-4871-AA5A-66ECC461660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039B-D4D9-47D8-9308-A8064C02CC8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A8B6-75B5-460C-B501-FE7E84FD18F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412E-03FF-4CAB-85E1-C58A8E86AF6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4C76-9EDF-4252-BA3B-EDA21B947A8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E3FA-BE46-4CB7-AE43-AF4A1A10FF9F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88C4-FEB5-4FAF-AB77-B6253D8060E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E660-9D0F-4249-B1FF-B682310B935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11CC-BA89-4319-A364-266BB9C3D1D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71DE-90DC-45C2-9AB6-C7985623333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334F-2329-484F-A3BB-F1C62E3D76A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EBA2-B0AD-4F22-9BB6-F0186F579EA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10"/>
  <sheetViews>
    <sheetView topLeftCell="G1" workbookViewId="0">
      <selection activeCell="M10" sqref="M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6DA5-92A0-4EFF-BFF4-80CC021F38B7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41.669359311492869</v>
      </c>
      <c r="C2" s="2">
        <f>('[1]Pc, Summer, S1'!C2*Main!$B$5)+(_xlfn.IFNA(VLOOKUP($A2,'FL Ratio'!$A$3:$B$10,2,FALSE),0)*'FL Characterization'!C$2)</f>
        <v>37.858477668573428</v>
      </c>
      <c r="D2" s="2">
        <f>('[1]Pc, Summer, S1'!D2*Main!$B$5)+(_xlfn.IFNA(VLOOKUP($A2,'FL Ratio'!$A$3:$B$10,2,FALSE),0)*'FL Characterization'!D$2)</f>
        <v>37.197188457732125</v>
      </c>
      <c r="E2" s="2">
        <f>('[1]Pc, Summer, S1'!E2*Main!$B$5)+(_xlfn.IFNA(VLOOKUP($A2,'FL Ratio'!$A$3:$B$10,2,FALSE),0)*'FL Characterization'!E$2)</f>
        <v>37.102165857393977</v>
      </c>
      <c r="F2" s="2">
        <f>('[1]Pc, Summer, S1'!F2*Main!$B$5)+(_xlfn.IFNA(VLOOKUP($A2,'FL Ratio'!$A$3:$B$10,2,FALSE),0)*'FL Characterization'!F$2)</f>
        <v>37.105090996245188</v>
      </c>
      <c r="G2" s="2">
        <f>('[1]Pc, Summer, S1'!G2*Main!$B$5)+(_xlfn.IFNA(VLOOKUP($A2,'FL Ratio'!$A$3:$B$10,2,FALSE),0)*'FL Characterization'!G$2)</f>
        <v>36.776944413347017</v>
      </c>
      <c r="H2" s="2">
        <f>('[1]Pc, Summer, S1'!H2*Main!$B$5)+(_xlfn.IFNA(VLOOKUP($A2,'FL Ratio'!$A$3:$B$10,2,FALSE),0)*'FL Characterization'!H$2)</f>
        <v>39.70399445718887</v>
      </c>
      <c r="I2" s="2">
        <f>('[1]Pc, Summer, S1'!I2*Main!$B$5)+(_xlfn.IFNA(VLOOKUP($A2,'FL Ratio'!$A$3:$B$10,2,FALSE),0)*'FL Characterization'!I$2)</f>
        <v>47.13834142109517</v>
      </c>
      <c r="J2" s="2">
        <f>('[1]Pc, Summer, S1'!J2*Main!$B$5)+(_xlfn.IFNA(VLOOKUP($A2,'FL Ratio'!$A$3:$B$10,2,FALSE),0)*'FL Characterization'!J$2)</f>
        <v>53.724305583576026</v>
      </c>
      <c r="K2" s="2">
        <f>('[1]Pc, Summer, S1'!K2*Main!$B$5)+(_xlfn.IFNA(VLOOKUP($A2,'FL Ratio'!$A$3:$B$10,2,FALSE),0)*'FL Characterization'!K$2)</f>
        <v>55.375148691848317</v>
      </c>
      <c r="L2" s="2">
        <f>('[1]Pc, Summer, S1'!L2*Main!$B$5)+(_xlfn.IFNA(VLOOKUP($A2,'FL Ratio'!$A$3:$B$10,2,FALSE),0)*'FL Characterization'!L$2)</f>
        <v>54.814766960092904</v>
      </c>
      <c r="M2" s="2">
        <f>('[1]Pc, Summer, S1'!M2*Main!$B$5)+(_xlfn.IFNA(VLOOKUP($A2,'FL Ratio'!$A$3:$B$10,2,FALSE),0)*'FL Characterization'!M$2)</f>
        <v>56.364852256682802</v>
      </c>
      <c r="N2" s="2">
        <f>('[1]Pc, Summer, S1'!N2*Main!$B$5)+(_xlfn.IFNA(VLOOKUP($A2,'FL Ratio'!$A$3:$B$10,2,FALSE),0)*'FL Characterization'!N$2)</f>
        <v>57.138059183936171</v>
      </c>
      <c r="O2" s="2">
        <f>('[1]Pc, Summer, S1'!O2*Main!$B$5)+(_xlfn.IFNA(VLOOKUP($A2,'FL Ratio'!$A$3:$B$10,2,FALSE),0)*'FL Characterization'!O$2)</f>
        <v>56.081112133329718</v>
      </c>
      <c r="P2" s="2">
        <f>('[1]Pc, Summer, S1'!P2*Main!$B$5)+(_xlfn.IFNA(VLOOKUP($A2,'FL Ratio'!$A$3:$B$10,2,FALSE),0)*'FL Characterization'!P$2)</f>
        <v>53.889730971458732</v>
      </c>
      <c r="Q2" s="2">
        <f>('[1]Pc, Summer, S1'!Q2*Main!$B$5)+(_xlfn.IFNA(VLOOKUP($A2,'FL Ratio'!$A$3:$B$10,2,FALSE),0)*'FL Characterization'!Q$2)</f>
        <v>51.720762271059449</v>
      </c>
      <c r="R2" s="2">
        <f>('[1]Pc, Summer, S1'!R2*Main!$B$5)+(_xlfn.IFNA(VLOOKUP($A2,'FL Ratio'!$A$3:$B$10,2,FALSE),0)*'FL Characterization'!R$2)</f>
        <v>52.623120066250507</v>
      </c>
      <c r="S2" s="2">
        <f>('[1]Pc, Summer, S1'!S2*Main!$B$5)+(_xlfn.IFNA(VLOOKUP($A2,'FL Ratio'!$A$3:$B$10,2,FALSE),0)*'FL Characterization'!S$2)</f>
        <v>53.143023347135134</v>
      </c>
      <c r="T2" s="2">
        <f>('[1]Pc, Summer, S1'!T2*Main!$B$5)+(_xlfn.IFNA(VLOOKUP($A2,'FL Ratio'!$A$3:$B$10,2,FALSE),0)*'FL Characterization'!T$2)</f>
        <v>53.368595739624638</v>
      </c>
      <c r="U2" s="2">
        <f>('[1]Pc, Summer, S1'!U2*Main!$B$5)+(_xlfn.IFNA(VLOOKUP($A2,'FL Ratio'!$A$3:$B$10,2,FALSE),0)*'FL Characterization'!U$2)</f>
        <v>52.485100126199093</v>
      </c>
      <c r="V2" s="2">
        <f>('[1]Pc, Summer, S1'!V2*Main!$B$5)+(_xlfn.IFNA(VLOOKUP($A2,'FL Ratio'!$A$3:$B$10,2,FALSE),0)*'FL Characterization'!V$2)</f>
        <v>52.642794732019389</v>
      </c>
      <c r="W2" s="2">
        <f>('[1]Pc, Summer, S1'!W2*Main!$B$5)+(_xlfn.IFNA(VLOOKUP($A2,'FL Ratio'!$A$3:$B$10,2,FALSE),0)*'FL Characterization'!W$2)</f>
        <v>54.823152418274717</v>
      </c>
      <c r="X2" s="2">
        <f>('[1]Pc, Summer, S1'!X2*Main!$B$5)+(_xlfn.IFNA(VLOOKUP($A2,'FL Ratio'!$A$3:$B$10,2,FALSE),0)*'FL Characterization'!X$2)</f>
        <v>51.101813695364434</v>
      </c>
      <c r="Y2" s="2">
        <f>('[1]Pc, Summer, S1'!Y2*Main!$B$5)+(_xlfn.IFNA(VLOOKUP($A2,'FL Ratio'!$A$3:$B$10,2,FALSE),0)*'FL Characterization'!Y$2)</f>
        <v>46.844747675889749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45.214310698035533</v>
      </c>
      <c r="C3" s="2">
        <f>('[1]Pc, Summer, S1'!C3*Main!$B$5)+(_xlfn.IFNA(VLOOKUP($A3,'FL Ratio'!$A$3:$B$10,2,FALSE),0)*'FL Characterization'!C$2)</f>
        <v>41.533066836422819</v>
      </c>
      <c r="D3" s="2">
        <f>('[1]Pc, Summer, S1'!D3*Main!$B$5)+(_xlfn.IFNA(VLOOKUP($A3,'FL Ratio'!$A$3:$B$10,2,FALSE),0)*'FL Characterization'!D$2)</f>
        <v>39.329823489077114</v>
      </c>
      <c r="E3" s="2">
        <f>('[1]Pc, Summer, S1'!E3*Main!$B$5)+(_xlfn.IFNA(VLOOKUP($A3,'FL Ratio'!$A$3:$B$10,2,FALSE),0)*'FL Characterization'!E$2)</f>
        <v>37.884308623640038</v>
      </c>
      <c r="F3" s="2">
        <f>('[1]Pc, Summer, S1'!F3*Main!$B$5)+(_xlfn.IFNA(VLOOKUP($A3,'FL Ratio'!$A$3:$B$10,2,FALSE),0)*'FL Characterization'!F$2)</f>
        <v>37.414522203668454</v>
      </c>
      <c r="G3" s="2">
        <f>('[1]Pc, Summer, S1'!G3*Main!$B$5)+(_xlfn.IFNA(VLOOKUP($A3,'FL Ratio'!$A$3:$B$10,2,FALSE),0)*'FL Characterization'!G$2)</f>
        <v>39.640716809484154</v>
      </c>
      <c r="H3" s="2">
        <f>('[1]Pc, Summer, S1'!H3*Main!$B$5)+(_xlfn.IFNA(VLOOKUP($A3,'FL Ratio'!$A$3:$B$10,2,FALSE),0)*'FL Characterization'!H$2)</f>
        <v>49.614317953926466</v>
      </c>
      <c r="I3" s="2">
        <f>('[1]Pc, Summer, S1'!I3*Main!$B$5)+(_xlfn.IFNA(VLOOKUP($A3,'FL Ratio'!$A$3:$B$10,2,FALSE),0)*'FL Characterization'!I$2)</f>
        <v>58.717241470312551</v>
      </c>
      <c r="J3" s="2">
        <f>('[1]Pc, Summer, S1'!J3*Main!$B$5)+(_xlfn.IFNA(VLOOKUP($A3,'FL Ratio'!$A$3:$B$10,2,FALSE),0)*'FL Characterization'!J$2)</f>
        <v>61.219330127365872</v>
      </c>
      <c r="K3" s="2">
        <f>('[1]Pc, Summer, S1'!K3*Main!$B$5)+(_xlfn.IFNA(VLOOKUP($A3,'FL Ratio'!$A$3:$B$10,2,FALSE),0)*'FL Characterization'!K$2)</f>
        <v>60.099718365949677</v>
      </c>
      <c r="L3" s="2">
        <f>('[1]Pc, Summer, S1'!L3*Main!$B$5)+(_xlfn.IFNA(VLOOKUP($A3,'FL Ratio'!$A$3:$B$10,2,FALSE),0)*'FL Characterization'!L$2)</f>
        <v>59.869071791488395</v>
      </c>
      <c r="M3" s="2">
        <f>('[1]Pc, Summer, S1'!M3*Main!$B$5)+(_xlfn.IFNA(VLOOKUP($A3,'FL Ratio'!$A$3:$B$10,2,FALSE),0)*'FL Characterization'!M$2)</f>
        <v>63.848959943432156</v>
      </c>
      <c r="N3" s="2">
        <f>('[1]Pc, Summer, S1'!N3*Main!$B$5)+(_xlfn.IFNA(VLOOKUP($A3,'FL Ratio'!$A$3:$B$10,2,FALSE),0)*'FL Characterization'!N$2)</f>
        <v>64.063836586242573</v>
      </c>
      <c r="O3" s="2">
        <f>('[1]Pc, Summer, S1'!O3*Main!$B$5)+(_xlfn.IFNA(VLOOKUP($A3,'FL Ratio'!$A$3:$B$10,2,FALSE),0)*'FL Characterization'!O$2)</f>
        <v>64.550022121490372</v>
      </c>
      <c r="P3" s="2">
        <f>('[1]Pc, Summer, S1'!P3*Main!$B$5)+(_xlfn.IFNA(VLOOKUP($A3,'FL Ratio'!$A$3:$B$10,2,FALSE),0)*'FL Characterization'!P$2)</f>
        <v>61.435673012631852</v>
      </c>
      <c r="Q3" s="2">
        <f>('[1]Pc, Summer, S1'!Q3*Main!$B$5)+(_xlfn.IFNA(VLOOKUP($A3,'FL Ratio'!$A$3:$B$10,2,FALSE),0)*'FL Characterization'!Q$2)</f>
        <v>58.203053423423562</v>
      </c>
      <c r="R3" s="2">
        <f>('[1]Pc, Summer, S1'!R3*Main!$B$5)+(_xlfn.IFNA(VLOOKUP($A3,'FL Ratio'!$A$3:$B$10,2,FALSE),0)*'FL Characterization'!R$2)</f>
        <v>53.805717400538697</v>
      </c>
      <c r="S3" s="2">
        <f>('[1]Pc, Summer, S1'!S3*Main!$B$5)+(_xlfn.IFNA(VLOOKUP($A3,'FL Ratio'!$A$3:$B$10,2,FALSE),0)*'FL Characterization'!S$2)</f>
        <v>54.454688271248934</v>
      </c>
      <c r="T3" s="2">
        <f>('[1]Pc, Summer, S1'!T3*Main!$B$5)+(_xlfn.IFNA(VLOOKUP($A3,'FL Ratio'!$A$3:$B$10,2,FALSE),0)*'FL Characterization'!T$2)</f>
        <v>53.927987274730484</v>
      </c>
      <c r="U3" s="2">
        <f>('[1]Pc, Summer, S1'!U3*Main!$B$5)+(_xlfn.IFNA(VLOOKUP($A3,'FL Ratio'!$A$3:$B$10,2,FALSE),0)*'FL Characterization'!U$2)</f>
        <v>53.70587572812174</v>
      </c>
      <c r="V3" s="2">
        <f>('[1]Pc, Summer, S1'!V3*Main!$B$5)+(_xlfn.IFNA(VLOOKUP($A3,'FL Ratio'!$A$3:$B$10,2,FALSE),0)*'FL Characterization'!V$2)</f>
        <v>53.978631601318796</v>
      </c>
      <c r="W3" s="2">
        <f>('[1]Pc, Summer, S1'!W3*Main!$B$5)+(_xlfn.IFNA(VLOOKUP($A3,'FL Ratio'!$A$3:$B$10,2,FALSE),0)*'FL Characterization'!W$2)</f>
        <v>53.673559824489196</v>
      </c>
      <c r="X3" s="2">
        <f>('[1]Pc, Summer, S1'!X3*Main!$B$5)+(_xlfn.IFNA(VLOOKUP($A3,'FL Ratio'!$A$3:$B$10,2,FALSE),0)*'FL Characterization'!X$2)</f>
        <v>53.521805798372391</v>
      </c>
      <c r="Y3" s="2">
        <f>('[1]Pc, Summer, S1'!Y3*Main!$B$5)+(_xlfn.IFNA(VLOOKUP($A3,'FL Ratio'!$A$3:$B$10,2,FALSE),0)*'FL Characterization'!Y$2)</f>
        <v>50.6860964543677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59.931883397016236</v>
      </c>
      <c r="C4" s="2">
        <f>('[1]Pc, Summer, S1'!C4*Main!$B$5)+(_xlfn.IFNA(VLOOKUP($A4,'FL Ratio'!$A$3:$B$10,2,FALSE),0)*'FL Characterization'!C$2)</f>
        <v>53.211851132875104</v>
      </c>
      <c r="D4" s="2">
        <f>('[1]Pc, Summer, S1'!D4*Main!$B$5)+(_xlfn.IFNA(VLOOKUP($A4,'FL Ratio'!$A$3:$B$10,2,FALSE),0)*'FL Characterization'!D$2)</f>
        <v>50.163851743721764</v>
      </c>
      <c r="E4" s="2">
        <f>('[1]Pc, Summer, S1'!E4*Main!$B$5)+(_xlfn.IFNA(VLOOKUP($A4,'FL Ratio'!$A$3:$B$10,2,FALSE),0)*'FL Characterization'!E$2)</f>
        <v>48.516826938720435</v>
      </c>
      <c r="F4" s="2">
        <f>('[1]Pc, Summer, S1'!F4*Main!$B$5)+(_xlfn.IFNA(VLOOKUP($A4,'FL Ratio'!$A$3:$B$10,2,FALSE),0)*'FL Characterization'!F$2)</f>
        <v>50.806363690140692</v>
      </c>
      <c r="G4" s="2">
        <f>('[1]Pc, Summer, S1'!G4*Main!$B$5)+(_xlfn.IFNA(VLOOKUP($A4,'FL Ratio'!$A$3:$B$10,2,FALSE),0)*'FL Characterization'!G$2)</f>
        <v>46.392223140286646</v>
      </c>
      <c r="H4" s="2">
        <f>('[1]Pc, Summer, S1'!H4*Main!$B$5)+(_xlfn.IFNA(VLOOKUP($A4,'FL Ratio'!$A$3:$B$10,2,FALSE),0)*'FL Characterization'!H$2)</f>
        <v>54.500184303922701</v>
      </c>
      <c r="I4" s="2">
        <f>('[1]Pc, Summer, S1'!I4*Main!$B$5)+(_xlfn.IFNA(VLOOKUP($A4,'FL Ratio'!$A$3:$B$10,2,FALSE),0)*'FL Characterization'!I$2)</f>
        <v>61.075388915428569</v>
      </c>
      <c r="J4" s="2">
        <f>('[1]Pc, Summer, S1'!J4*Main!$B$5)+(_xlfn.IFNA(VLOOKUP($A4,'FL Ratio'!$A$3:$B$10,2,FALSE),0)*'FL Characterization'!J$2)</f>
        <v>68.710651708244797</v>
      </c>
      <c r="K4" s="2">
        <f>('[1]Pc, Summer, S1'!K4*Main!$B$5)+(_xlfn.IFNA(VLOOKUP($A4,'FL Ratio'!$A$3:$B$10,2,FALSE),0)*'FL Characterization'!K$2)</f>
        <v>73.87466790282366</v>
      </c>
      <c r="L4" s="2">
        <f>('[1]Pc, Summer, S1'!L4*Main!$B$5)+(_xlfn.IFNA(VLOOKUP($A4,'FL Ratio'!$A$3:$B$10,2,FALSE),0)*'FL Characterization'!L$2)</f>
        <v>76.020728982768659</v>
      </c>
      <c r="M4" s="2">
        <f>('[1]Pc, Summer, S1'!M4*Main!$B$5)+(_xlfn.IFNA(VLOOKUP($A4,'FL Ratio'!$A$3:$B$10,2,FALSE),0)*'FL Characterization'!M$2)</f>
        <v>77.291629812217963</v>
      </c>
      <c r="N4" s="2">
        <f>('[1]Pc, Summer, S1'!N4*Main!$B$5)+(_xlfn.IFNA(VLOOKUP($A4,'FL Ratio'!$A$3:$B$10,2,FALSE),0)*'FL Characterization'!N$2)</f>
        <v>79.017027854987731</v>
      </c>
      <c r="O4" s="2">
        <f>('[1]Pc, Summer, S1'!O4*Main!$B$5)+(_xlfn.IFNA(VLOOKUP($A4,'FL Ratio'!$A$3:$B$10,2,FALSE),0)*'FL Characterization'!O$2)</f>
        <v>80.145665121959084</v>
      </c>
      <c r="P4" s="2">
        <f>('[1]Pc, Summer, S1'!P4*Main!$B$5)+(_xlfn.IFNA(VLOOKUP($A4,'FL Ratio'!$A$3:$B$10,2,FALSE),0)*'FL Characterization'!P$2)</f>
        <v>80.492848448822883</v>
      </c>
      <c r="Q4" s="2">
        <f>('[1]Pc, Summer, S1'!Q4*Main!$B$5)+(_xlfn.IFNA(VLOOKUP($A4,'FL Ratio'!$A$3:$B$10,2,FALSE),0)*'FL Characterization'!Q$2)</f>
        <v>77.482288622610966</v>
      </c>
      <c r="R4" s="2">
        <f>('[1]Pc, Summer, S1'!R4*Main!$B$5)+(_xlfn.IFNA(VLOOKUP($A4,'FL Ratio'!$A$3:$B$10,2,FALSE),0)*'FL Characterization'!R$2)</f>
        <v>77.030708709137556</v>
      </c>
      <c r="S4" s="2">
        <f>('[1]Pc, Summer, S1'!S4*Main!$B$5)+(_xlfn.IFNA(VLOOKUP($A4,'FL Ratio'!$A$3:$B$10,2,FALSE),0)*'FL Characterization'!S$2)</f>
        <v>74.700858069351497</v>
      </c>
      <c r="T4" s="2">
        <f>('[1]Pc, Summer, S1'!T4*Main!$B$5)+(_xlfn.IFNA(VLOOKUP($A4,'FL Ratio'!$A$3:$B$10,2,FALSE),0)*'FL Characterization'!T$2)</f>
        <v>74.560493137204162</v>
      </c>
      <c r="U4" s="2">
        <f>('[1]Pc, Summer, S1'!U4*Main!$B$5)+(_xlfn.IFNA(VLOOKUP($A4,'FL Ratio'!$A$3:$B$10,2,FALSE),0)*'FL Characterization'!U$2)</f>
        <v>74.945246410491492</v>
      </c>
      <c r="V4" s="2">
        <f>('[1]Pc, Summer, S1'!V4*Main!$B$5)+(_xlfn.IFNA(VLOOKUP($A4,'FL Ratio'!$A$3:$B$10,2,FALSE),0)*'FL Characterization'!V$2)</f>
        <v>74.606260410362026</v>
      </c>
      <c r="W4" s="2">
        <f>('[1]Pc, Summer, S1'!W4*Main!$B$5)+(_xlfn.IFNA(VLOOKUP($A4,'FL Ratio'!$A$3:$B$10,2,FALSE),0)*'FL Characterization'!W$2)</f>
        <v>76.94704326940888</v>
      </c>
      <c r="X4" s="2">
        <f>('[1]Pc, Summer, S1'!X4*Main!$B$5)+(_xlfn.IFNA(VLOOKUP($A4,'FL Ratio'!$A$3:$B$10,2,FALSE),0)*'FL Characterization'!X$2)</f>
        <v>76.949218270128753</v>
      </c>
      <c r="Y4" s="2">
        <f>('[1]Pc, Summer, S1'!Y4*Main!$B$5)+(_xlfn.IFNA(VLOOKUP($A4,'FL Ratio'!$A$3:$B$10,2,FALSE),0)*'FL Characterization'!Y$2)</f>
        <v>69.474484792148786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3274-B199-4149-B2FD-E279CA9FB15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41.669359311492869</v>
      </c>
      <c r="C2" s="2">
        <f>('[1]Pc, Summer, S1'!C2*Main!$B$5)+(_xlfn.IFNA(VLOOKUP($A2,'FL Ratio'!$A$3:$B$10,2,FALSE),0)*'FL Characterization'!C$2)</f>
        <v>37.858477668573428</v>
      </c>
      <c r="D2" s="2">
        <f>('[1]Pc, Summer, S1'!D2*Main!$B$5)+(_xlfn.IFNA(VLOOKUP($A2,'FL Ratio'!$A$3:$B$10,2,FALSE),0)*'FL Characterization'!D$2)</f>
        <v>37.197188457732125</v>
      </c>
      <c r="E2" s="2">
        <f>('[1]Pc, Summer, S1'!E2*Main!$B$5)+(_xlfn.IFNA(VLOOKUP($A2,'FL Ratio'!$A$3:$B$10,2,FALSE),0)*'FL Characterization'!E$2)</f>
        <v>37.102165857393977</v>
      </c>
      <c r="F2" s="2">
        <f>('[1]Pc, Summer, S1'!F2*Main!$B$5)+(_xlfn.IFNA(VLOOKUP($A2,'FL Ratio'!$A$3:$B$10,2,FALSE),0)*'FL Characterization'!F$2)</f>
        <v>37.105090996245188</v>
      </c>
      <c r="G2" s="2">
        <f>('[1]Pc, Summer, S1'!G2*Main!$B$5)+(_xlfn.IFNA(VLOOKUP($A2,'FL Ratio'!$A$3:$B$10,2,FALSE),0)*'FL Characterization'!G$2)</f>
        <v>36.776944413347017</v>
      </c>
      <c r="H2" s="2">
        <f>('[1]Pc, Summer, S1'!H2*Main!$B$5)+(_xlfn.IFNA(VLOOKUP($A2,'FL Ratio'!$A$3:$B$10,2,FALSE),0)*'FL Characterization'!H$2)</f>
        <v>39.70399445718887</v>
      </c>
      <c r="I2" s="2">
        <f>('[1]Pc, Summer, S1'!I2*Main!$B$5)+(_xlfn.IFNA(VLOOKUP($A2,'FL Ratio'!$A$3:$B$10,2,FALSE),0)*'FL Characterization'!I$2)</f>
        <v>47.13834142109517</v>
      </c>
      <c r="J2" s="2">
        <f>('[1]Pc, Summer, S1'!J2*Main!$B$5)+(_xlfn.IFNA(VLOOKUP($A2,'FL Ratio'!$A$3:$B$10,2,FALSE),0)*'FL Characterization'!J$2)</f>
        <v>53.724305583576026</v>
      </c>
      <c r="K2" s="2">
        <f>('[1]Pc, Summer, S1'!K2*Main!$B$5)+(_xlfn.IFNA(VLOOKUP($A2,'FL Ratio'!$A$3:$B$10,2,FALSE),0)*'FL Characterization'!K$2)</f>
        <v>55.375148691848317</v>
      </c>
      <c r="L2" s="2">
        <f>('[1]Pc, Summer, S1'!L2*Main!$B$5)+(_xlfn.IFNA(VLOOKUP($A2,'FL Ratio'!$A$3:$B$10,2,FALSE),0)*'FL Characterization'!L$2)</f>
        <v>54.814766960092904</v>
      </c>
      <c r="M2" s="2">
        <f>('[1]Pc, Summer, S1'!M2*Main!$B$5)+(_xlfn.IFNA(VLOOKUP($A2,'FL Ratio'!$A$3:$B$10,2,FALSE),0)*'FL Characterization'!M$2)</f>
        <v>56.364852256682802</v>
      </c>
      <c r="N2" s="2">
        <f>('[1]Pc, Summer, S1'!N2*Main!$B$5)+(_xlfn.IFNA(VLOOKUP($A2,'FL Ratio'!$A$3:$B$10,2,FALSE),0)*'FL Characterization'!N$2)</f>
        <v>57.138059183936171</v>
      </c>
      <c r="O2" s="2">
        <f>('[1]Pc, Summer, S1'!O2*Main!$B$5)+(_xlfn.IFNA(VLOOKUP($A2,'FL Ratio'!$A$3:$B$10,2,FALSE),0)*'FL Characterization'!O$2)</f>
        <v>56.081112133329718</v>
      </c>
      <c r="P2" s="2">
        <f>('[1]Pc, Summer, S1'!P2*Main!$B$5)+(_xlfn.IFNA(VLOOKUP($A2,'FL Ratio'!$A$3:$B$10,2,FALSE),0)*'FL Characterization'!P$2)</f>
        <v>53.889730971458732</v>
      </c>
      <c r="Q2" s="2">
        <f>('[1]Pc, Summer, S1'!Q2*Main!$B$5)+(_xlfn.IFNA(VLOOKUP($A2,'FL Ratio'!$A$3:$B$10,2,FALSE),0)*'FL Characterization'!Q$2)</f>
        <v>51.720762271059449</v>
      </c>
      <c r="R2" s="2">
        <f>('[1]Pc, Summer, S1'!R2*Main!$B$5)+(_xlfn.IFNA(VLOOKUP($A2,'FL Ratio'!$A$3:$B$10,2,FALSE),0)*'FL Characterization'!R$2)</f>
        <v>52.623120066250507</v>
      </c>
      <c r="S2" s="2">
        <f>('[1]Pc, Summer, S1'!S2*Main!$B$5)+(_xlfn.IFNA(VLOOKUP($A2,'FL Ratio'!$A$3:$B$10,2,FALSE),0)*'FL Characterization'!S$2)</f>
        <v>53.143023347135134</v>
      </c>
      <c r="T2" s="2">
        <f>('[1]Pc, Summer, S1'!T2*Main!$B$5)+(_xlfn.IFNA(VLOOKUP($A2,'FL Ratio'!$A$3:$B$10,2,FALSE),0)*'FL Characterization'!T$2)</f>
        <v>53.368595739624638</v>
      </c>
      <c r="U2" s="2">
        <f>('[1]Pc, Summer, S1'!U2*Main!$B$5)+(_xlfn.IFNA(VLOOKUP($A2,'FL Ratio'!$A$3:$B$10,2,FALSE),0)*'FL Characterization'!U$2)</f>
        <v>52.485100126199093</v>
      </c>
      <c r="V2" s="2">
        <f>('[1]Pc, Summer, S1'!V2*Main!$B$5)+(_xlfn.IFNA(VLOOKUP($A2,'FL Ratio'!$A$3:$B$10,2,FALSE),0)*'FL Characterization'!V$2)</f>
        <v>52.642794732019389</v>
      </c>
      <c r="W2" s="2">
        <f>('[1]Pc, Summer, S1'!W2*Main!$B$5)+(_xlfn.IFNA(VLOOKUP($A2,'FL Ratio'!$A$3:$B$10,2,FALSE),0)*'FL Characterization'!W$2)</f>
        <v>54.823152418274717</v>
      </c>
      <c r="X2" s="2">
        <f>('[1]Pc, Summer, S1'!X2*Main!$B$5)+(_xlfn.IFNA(VLOOKUP($A2,'FL Ratio'!$A$3:$B$10,2,FALSE),0)*'FL Characterization'!X$2)</f>
        <v>51.101813695364434</v>
      </c>
      <c r="Y2" s="2">
        <f>('[1]Pc, Summer, S1'!Y2*Main!$B$5)+(_xlfn.IFNA(VLOOKUP($A2,'FL Ratio'!$A$3:$B$10,2,FALSE),0)*'FL Characterization'!Y$2)</f>
        <v>46.844747675889749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45.214310698035533</v>
      </c>
      <c r="C3" s="2">
        <f>('[1]Pc, Summer, S1'!C3*Main!$B$5)+(_xlfn.IFNA(VLOOKUP($A3,'FL Ratio'!$A$3:$B$10,2,FALSE),0)*'FL Characterization'!C$2)</f>
        <v>41.533066836422819</v>
      </c>
      <c r="D3" s="2">
        <f>('[1]Pc, Summer, S1'!D3*Main!$B$5)+(_xlfn.IFNA(VLOOKUP($A3,'FL Ratio'!$A$3:$B$10,2,FALSE),0)*'FL Characterization'!D$2)</f>
        <v>39.329823489077114</v>
      </c>
      <c r="E3" s="2">
        <f>('[1]Pc, Summer, S1'!E3*Main!$B$5)+(_xlfn.IFNA(VLOOKUP($A3,'FL Ratio'!$A$3:$B$10,2,FALSE),0)*'FL Characterization'!E$2)</f>
        <v>37.884308623640038</v>
      </c>
      <c r="F3" s="2">
        <f>('[1]Pc, Summer, S1'!F3*Main!$B$5)+(_xlfn.IFNA(VLOOKUP($A3,'FL Ratio'!$A$3:$B$10,2,FALSE),0)*'FL Characterization'!F$2)</f>
        <v>37.414522203668454</v>
      </c>
      <c r="G3" s="2">
        <f>('[1]Pc, Summer, S1'!G3*Main!$B$5)+(_xlfn.IFNA(VLOOKUP($A3,'FL Ratio'!$A$3:$B$10,2,FALSE),0)*'FL Characterization'!G$2)</f>
        <v>39.640716809484154</v>
      </c>
      <c r="H3" s="2">
        <f>('[1]Pc, Summer, S1'!H3*Main!$B$5)+(_xlfn.IFNA(VLOOKUP($A3,'FL Ratio'!$A$3:$B$10,2,FALSE),0)*'FL Characterization'!H$2)</f>
        <v>49.614317953926466</v>
      </c>
      <c r="I3" s="2">
        <f>('[1]Pc, Summer, S1'!I3*Main!$B$5)+(_xlfn.IFNA(VLOOKUP($A3,'FL Ratio'!$A$3:$B$10,2,FALSE),0)*'FL Characterization'!I$2)</f>
        <v>58.717241470312551</v>
      </c>
      <c r="J3" s="2">
        <f>('[1]Pc, Summer, S1'!J3*Main!$B$5)+(_xlfn.IFNA(VLOOKUP($A3,'FL Ratio'!$A$3:$B$10,2,FALSE),0)*'FL Characterization'!J$2)</f>
        <v>61.219330127365872</v>
      </c>
      <c r="K3" s="2">
        <f>('[1]Pc, Summer, S1'!K3*Main!$B$5)+(_xlfn.IFNA(VLOOKUP($A3,'FL Ratio'!$A$3:$B$10,2,FALSE),0)*'FL Characterization'!K$2)</f>
        <v>60.099718365949677</v>
      </c>
      <c r="L3" s="2">
        <f>('[1]Pc, Summer, S1'!L3*Main!$B$5)+(_xlfn.IFNA(VLOOKUP($A3,'FL Ratio'!$A$3:$B$10,2,FALSE),0)*'FL Characterization'!L$2)</f>
        <v>59.869071791488395</v>
      </c>
      <c r="M3" s="2">
        <f>('[1]Pc, Summer, S1'!M3*Main!$B$5)+(_xlfn.IFNA(VLOOKUP($A3,'FL Ratio'!$A$3:$B$10,2,FALSE),0)*'FL Characterization'!M$2)</f>
        <v>63.848959943432156</v>
      </c>
      <c r="N3" s="2">
        <f>('[1]Pc, Summer, S1'!N3*Main!$B$5)+(_xlfn.IFNA(VLOOKUP($A3,'FL Ratio'!$A$3:$B$10,2,FALSE),0)*'FL Characterization'!N$2)</f>
        <v>64.063836586242573</v>
      </c>
      <c r="O3" s="2">
        <f>('[1]Pc, Summer, S1'!O3*Main!$B$5)+(_xlfn.IFNA(VLOOKUP($A3,'FL Ratio'!$A$3:$B$10,2,FALSE),0)*'FL Characterization'!O$2)</f>
        <v>64.550022121490372</v>
      </c>
      <c r="P3" s="2">
        <f>('[1]Pc, Summer, S1'!P3*Main!$B$5)+(_xlfn.IFNA(VLOOKUP($A3,'FL Ratio'!$A$3:$B$10,2,FALSE),0)*'FL Characterization'!P$2)</f>
        <v>61.435673012631852</v>
      </c>
      <c r="Q3" s="2">
        <f>('[1]Pc, Summer, S1'!Q3*Main!$B$5)+(_xlfn.IFNA(VLOOKUP($A3,'FL Ratio'!$A$3:$B$10,2,FALSE),0)*'FL Characterization'!Q$2)</f>
        <v>58.203053423423562</v>
      </c>
      <c r="R3" s="2">
        <f>('[1]Pc, Summer, S1'!R3*Main!$B$5)+(_xlfn.IFNA(VLOOKUP($A3,'FL Ratio'!$A$3:$B$10,2,FALSE),0)*'FL Characterization'!R$2)</f>
        <v>53.805717400538697</v>
      </c>
      <c r="S3" s="2">
        <f>('[1]Pc, Summer, S1'!S3*Main!$B$5)+(_xlfn.IFNA(VLOOKUP($A3,'FL Ratio'!$A$3:$B$10,2,FALSE),0)*'FL Characterization'!S$2)</f>
        <v>54.454688271248934</v>
      </c>
      <c r="T3" s="2">
        <f>('[1]Pc, Summer, S1'!T3*Main!$B$5)+(_xlfn.IFNA(VLOOKUP($A3,'FL Ratio'!$A$3:$B$10,2,FALSE),0)*'FL Characterization'!T$2)</f>
        <v>53.927987274730484</v>
      </c>
      <c r="U3" s="2">
        <f>('[1]Pc, Summer, S1'!U3*Main!$B$5)+(_xlfn.IFNA(VLOOKUP($A3,'FL Ratio'!$A$3:$B$10,2,FALSE),0)*'FL Characterization'!U$2)</f>
        <v>53.70587572812174</v>
      </c>
      <c r="V3" s="2">
        <f>('[1]Pc, Summer, S1'!V3*Main!$B$5)+(_xlfn.IFNA(VLOOKUP($A3,'FL Ratio'!$A$3:$B$10,2,FALSE),0)*'FL Characterization'!V$2)</f>
        <v>53.978631601318796</v>
      </c>
      <c r="W3" s="2">
        <f>('[1]Pc, Summer, S1'!W3*Main!$B$5)+(_xlfn.IFNA(VLOOKUP($A3,'FL Ratio'!$A$3:$B$10,2,FALSE),0)*'FL Characterization'!W$2)</f>
        <v>53.673559824489196</v>
      </c>
      <c r="X3" s="2">
        <f>('[1]Pc, Summer, S1'!X3*Main!$B$5)+(_xlfn.IFNA(VLOOKUP($A3,'FL Ratio'!$A$3:$B$10,2,FALSE),0)*'FL Characterization'!X$2)</f>
        <v>53.521805798372391</v>
      </c>
      <c r="Y3" s="2">
        <f>('[1]Pc, Summer, S1'!Y3*Main!$B$5)+(_xlfn.IFNA(VLOOKUP($A3,'FL Ratio'!$A$3:$B$10,2,FALSE),0)*'FL Characterization'!Y$2)</f>
        <v>50.6860964543677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59.931883397016236</v>
      </c>
      <c r="C4" s="2">
        <f>('[1]Pc, Summer, S1'!C4*Main!$B$5)+(_xlfn.IFNA(VLOOKUP($A4,'FL Ratio'!$A$3:$B$10,2,FALSE),0)*'FL Characterization'!C$2)</f>
        <v>53.211851132875104</v>
      </c>
      <c r="D4" s="2">
        <f>('[1]Pc, Summer, S1'!D4*Main!$B$5)+(_xlfn.IFNA(VLOOKUP($A4,'FL Ratio'!$A$3:$B$10,2,FALSE),0)*'FL Characterization'!D$2)</f>
        <v>50.163851743721764</v>
      </c>
      <c r="E4" s="2">
        <f>('[1]Pc, Summer, S1'!E4*Main!$B$5)+(_xlfn.IFNA(VLOOKUP($A4,'FL Ratio'!$A$3:$B$10,2,FALSE),0)*'FL Characterization'!E$2)</f>
        <v>48.516826938720435</v>
      </c>
      <c r="F4" s="2">
        <f>('[1]Pc, Summer, S1'!F4*Main!$B$5)+(_xlfn.IFNA(VLOOKUP($A4,'FL Ratio'!$A$3:$B$10,2,FALSE),0)*'FL Characterization'!F$2)</f>
        <v>50.806363690140692</v>
      </c>
      <c r="G4" s="2">
        <f>('[1]Pc, Summer, S1'!G4*Main!$B$5)+(_xlfn.IFNA(VLOOKUP($A4,'FL Ratio'!$A$3:$B$10,2,FALSE),0)*'FL Characterization'!G$2)</f>
        <v>46.392223140286646</v>
      </c>
      <c r="H4" s="2">
        <f>('[1]Pc, Summer, S1'!H4*Main!$B$5)+(_xlfn.IFNA(VLOOKUP($A4,'FL Ratio'!$A$3:$B$10,2,FALSE),0)*'FL Characterization'!H$2)</f>
        <v>54.500184303922701</v>
      </c>
      <c r="I4" s="2">
        <f>('[1]Pc, Summer, S1'!I4*Main!$B$5)+(_xlfn.IFNA(VLOOKUP($A4,'FL Ratio'!$A$3:$B$10,2,FALSE),0)*'FL Characterization'!I$2)</f>
        <v>61.075388915428569</v>
      </c>
      <c r="J4" s="2">
        <f>('[1]Pc, Summer, S1'!J4*Main!$B$5)+(_xlfn.IFNA(VLOOKUP($A4,'FL Ratio'!$A$3:$B$10,2,FALSE),0)*'FL Characterization'!J$2)</f>
        <v>68.710651708244797</v>
      </c>
      <c r="K4" s="2">
        <f>('[1]Pc, Summer, S1'!K4*Main!$B$5)+(_xlfn.IFNA(VLOOKUP($A4,'FL Ratio'!$A$3:$B$10,2,FALSE),0)*'FL Characterization'!K$2)</f>
        <v>73.87466790282366</v>
      </c>
      <c r="L4" s="2">
        <f>('[1]Pc, Summer, S1'!L4*Main!$B$5)+(_xlfn.IFNA(VLOOKUP($A4,'FL Ratio'!$A$3:$B$10,2,FALSE),0)*'FL Characterization'!L$2)</f>
        <v>76.020728982768659</v>
      </c>
      <c r="M4" s="2">
        <f>('[1]Pc, Summer, S1'!M4*Main!$B$5)+(_xlfn.IFNA(VLOOKUP($A4,'FL Ratio'!$A$3:$B$10,2,FALSE),0)*'FL Characterization'!M$2)</f>
        <v>77.291629812217963</v>
      </c>
      <c r="N4" s="2">
        <f>('[1]Pc, Summer, S1'!N4*Main!$B$5)+(_xlfn.IFNA(VLOOKUP($A4,'FL Ratio'!$A$3:$B$10,2,FALSE),0)*'FL Characterization'!N$2)</f>
        <v>79.017027854987731</v>
      </c>
      <c r="O4" s="2">
        <f>('[1]Pc, Summer, S1'!O4*Main!$B$5)+(_xlfn.IFNA(VLOOKUP($A4,'FL Ratio'!$A$3:$B$10,2,FALSE),0)*'FL Characterization'!O$2)</f>
        <v>80.145665121959084</v>
      </c>
      <c r="P4" s="2">
        <f>('[1]Pc, Summer, S1'!P4*Main!$B$5)+(_xlfn.IFNA(VLOOKUP($A4,'FL Ratio'!$A$3:$B$10,2,FALSE),0)*'FL Characterization'!P$2)</f>
        <v>80.492848448822883</v>
      </c>
      <c r="Q4" s="2">
        <f>('[1]Pc, Summer, S1'!Q4*Main!$B$5)+(_xlfn.IFNA(VLOOKUP($A4,'FL Ratio'!$A$3:$B$10,2,FALSE),0)*'FL Characterization'!Q$2)</f>
        <v>77.482288622610966</v>
      </c>
      <c r="R4" s="2">
        <f>('[1]Pc, Summer, S1'!R4*Main!$B$5)+(_xlfn.IFNA(VLOOKUP($A4,'FL Ratio'!$A$3:$B$10,2,FALSE),0)*'FL Characterization'!R$2)</f>
        <v>77.030708709137556</v>
      </c>
      <c r="S4" s="2">
        <f>('[1]Pc, Summer, S1'!S4*Main!$B$5)+(_xlfn.IFNA(VLOOKUP($A4,'FL Ratio'!$A$3:$B$10,2,FALSE),0)*'FL Characterization'!S$2)</f>
        <v>74.700858069351497</v>
      </c>
      <c r="T4" s="2">
        <f>('[1]Pc, Summer, S1'!T4*Main!$B$5)+(_xlfn.IFNA(VLOOKUP($A4,'FL Ratio'!$A$3:$B$10,2,FALSE),0)*'FL Characterization'!T$2)</f>
        <v>74.560493137204162</v>
      </c>
      <c r="U4" s="2">
        <f>('[1]Pc, Summer, S1'!U4*Main!$B$5)+(_xlfn.IFNA(VLOOKUP($A4,'FL Ratio'!$A$3:$B$10,2,FALSE),0)*'FL Characterization'!U$2)</f>
        <v>74.945246410491492</v>
      </c>
      <c r="V4" s="2">
        <f>('[1]Pc, Summer, S1'!V4*Main!$B$5)+(_xlfn.IFNA(VLOOKUP($A4,'FL Ratio'!$A$3:$B$10,2,FALSE),0)*'FL Characterization'!V$2)</f>
        <v>74.606260410362026</v>
      </c>
      <c r="W4" s="2">
        <f>('[1]Pc, Summer, S1'!W4*Main!$B$5)+(_xlfn.IFNA(VLOOKUP($A4,'FL Ratio'!$A$3:$B$10,2,FALSE),0)*'FL Characterization'!W$2)</f>
        <v>76.94704326940888</v>
      </c>
      <c r="X4" s="2">
        <f>('[1]Pc, Summer, S1'!X4*Main!$B$5)+(_xlfn.IFNA(VLOOKUP($A4,'FL Ratio'!$A$3:$B$10,2,FALSE),0)*'FL Characterization'!X$2)</f>
        <v>76.949218270128753</v>
      </c>
      <c r="Y4" s="2">
        <f>('[1]Pc, Summer, S1'!Y4*Main!$B$5)+(_xlfn.IFNA(VLOOKUP($A4,'FL Ratio'!$A$3:$B$10,2,FALSE),0)*'FL Characterization'!Y$2)</f>
        <v>69.474484792148786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2FDA-4D04-49F8-9B9F-34E983344C9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41.669359311492869</v>
      </c>
      <c r="C2" s="2">
        <f>('[1]Pc, Summer, S1'!C2*Main!$B$5)+(_xlfn.IFNA(VLOOKUP($A2,'FL Ratio'!$A$3:$B$10,2,FALSE),0)*'FL Characterization'!C$2)</f>
        <v>37.858477668573428</v>
      </c>
      <c r="D2" s="2">
        <f>('[1]Pc, Summer, S1'!D2*Main!$B$5)+(_xlfn.IFNA(VLOOKUP($A2,'FL Ratio'!$A$3:$B$10,2,FALSE),0)*'FL Characterization'!D$2)</f>
        <v>37.197188457732125</v>
      </c>
      <c r="E2" s="2">
        <f>('[1]Pc, Summer, S1'!E2*Main!$B$5)+(_xlfn.IFNA(VLOOKUP($A2,'FL Ratio'!$A$3:$B$10,2,FALSE),0)*'FL Characterization'!E$2)</f>
        <v>37.102165857393977</v>
      </c>
      <c r="F2" s="2">
        <f>('[1]Pc, Summer, S1'!F2*Main!$B$5)+(_xlfn.IFNA(VLOOKUP($A2,'FL Ratio'!$A$3:$B$10,2,FALSE),0)*'FL Characterization'!F$2)</f>
        <v>37.105090996245188</v>
      </c>
      <c r="G2" s="2">
        <f>('[1]Pc, Summer, S1'!G2*Main!$B$5)+(_xlfn.IFNA(VLOOKUP($A2,'FL Ratio'!$A$3:$B$10,2,FALSE),0)*'FL Characterization'!G$2)</f>
        <v>36.776944413347017</v>
      </c>
      <c r="H2" s="2">
        <f>('[1]Pc, Summer, S1'!H2*Main!$B$5)+(_xlfn.IFNA(VLOOKUP($A2,'FL Ratio'!$A$3:$B$10,2,FALSE),0)*'FL Characterization'!H$2)</f>
        <v>39.70399445718887</v>
      </c>
      <c r="I2" s="2">
        <f>('[1]Pc, Summer, S1'!I2*Main!$B$5)+(_xlfn.IFNA(VLOOKUP($A2,'FL Ratio'!$A$3:$B$10,2,FALSE),0)*'FL Characterization'!I$2)</f>
        <v>47.13834142109517</v>
      </c>
      <c r="J2" s="2">
        <f>('[1]Pc, Summer, S1'!J2*Main!$B$5)+(_xlfn.IFNA(VLOOKUP($A2,'FL Ratio'!$A$3:$B$10,2,FALSE),0)*'FL Characterization'!J$2)</f>
        <v>53.724305583576026</v>
      </c>
      <c r="K2" s="2">
        <f>('[1]Pc, Summer, S1'!K2*Main!$B$5)+(_xlfn.IFNA(VLOOKUP($A2,'FL Ratio'!$A$3:$B$10,2,FALSE),0)*'FL Characterization'!K$2)</f>
        <v>55.375148691848317</v>
      </c>
      <c r="L2" s="2">
        <f>('[1]Pc, Summer, S1'!L2*Main!$B$5)+(_xlfn.IFNA(VLOOKUP($A2,'FL Ratio'!$A$3:$B$10,2,FALSE),0)*'FL Characterization'!L$2)</f>
        <v>54.814766960092904</v>
      </c>
      <c r="M2" s="2">
        <f>('[1]Pc, Summer, S1'!M2*Main!$B$5)+(_xlfn.IFNA(VLOOKUP($A2,'FL Ratio'!$A$3:$B$10,2,FALSE),0)*'FL Characterization'!M$2)</f>
        <v>56.364852256682802</v>
      </c>
      <c r="N2" s="2">
        <f>('[1]Pc, Summer, S1'!N2*Main!$B$5)+(_xlfn.IFNA(VLOOKUP($A2,'FL Ratio'!$A$3:$B$10,2,FALSE),0)*'FL Characterization'!N$2)</f>
        <v>57.138059183936171</v>
      </c>
      <c r="O2" s="2">
        <f>('[1]Pc, Summer, S1'!O2*Main!$B$5)+(_xlfn.IFNA(VLOOKUP($A2,'FL Ratio'!$A$3:$B$10,2,FALSE),0)*'FL Characterization'!O$2)</f>
        <v>56.081112133329718</v>
      </c>
      <c r="P2" s="2">
        <f>('[1]Pc, Summer, S1'!P2*Main!$B$5)+(_xlfn.IFNA(VLOOKUP($A2,'FL Ratio'!$A$3:$B$10,2,FALSE),0)*'FL Characterization'!P$2)</f>
        <v>53.889730971458732</v>
      </c>
      <c r="Q2" s="2">
        <f>('[1]Pc, Summer, S1'!Q2*Main!$B$5)+(_xlfn.IFNA(VLOOKUP($A2,'FL Ratio'!$A$3:$B$10,2,FALSE),0)*'FL Characterization'!Q$2)</f>
        <v>51.720762271059449</v>
      </c>
      <c r="R2" s="2">
        <f>('[1]Pc, Summer, S1'!R2*Main!$B$5)+(_xlfn.IFNA(VLOOKUP($A2,'FL Ratio'!$A$3:$B$10,2,FALSE),0)*'FL Characterization'!R$2)</f>
        <v>52.623120066250507</v>
      </c>
      <c r="S2" s="2">
        <f>('[1]Pc, Summer, S1'!S2*Main!$B$5)+(_xlfn.IFNA(VLOOKUP($A2,'FL Ratio'!$A$3:$B$10,2,FALSE),0)*'FL Characterization'!S$2)</f>
        <v>53.143023347135134</v>
      </c>
      <c r="T2" s="2">
        <f>('[1]Pc, Summer, S1'!T2*Main!$B$5)+(_xlfn.IFNA(VLOOKUP($A2,'FL Ratio'!$A$3:$B$10,2,FALSE),0)*'FL Characterization'!T$2)</f>
        <v>53.368595739624638</v>
      </c>
      <c r="U2" s="2">
        <f>('[1]Pc, Summer, S1'!U2*Main!$B$5)+(_xlfn.IFNA(VLOOKUP($A2,'FL Ratio'!$A$3:$B$10,2,FALSE),0)*'FL Characterization'!U$2)</f>
        <v>52.485100126199093</v>
      </c>
      <c r="V2" s="2">
        <f>('[1]Pc, Summer, S1'!V2*Main!$B$5)+(_xlfn.IFNA(VLOOKUP($A2,'FL Ratio'!$A$3:$B$10,2,FALSE),0)*'FL Characterization'!V$2)</f>
        <v>52.642794732019389</v>
      </c>
      <c r="W2" s="2">
        <f>('[1]Pc, Summer, S1'!W2*Main!$B$5)+(_xlfn.IFNA(VLOOKUP($A2,'FL Ratio'!$A$3:$B$10,2,FALSE),0)*'FL Characterization'!W$2)</f>
        <v>54.823152418274717</v>
      </c>
      <c r="X2" s="2">
        <f>('[1]Pc, Summer, S1'!X2*Main!$B$5)+(_xlfn.IFNA(VLOOKUP($A2,'FL Ratio'!$A$3:$B$10,2,FALSE),0)*'FL Characterization'!X$2)</f>
        <v>51.101813695364434</v>
      </c>
      <c r="Y2" s="2">
        <f>('[1]Pc, Summer, S1'!Y2*Main!$B$5)+(_xlfn.IFNA(VLOOKUP($A2,'FL Ratio'!$A$3:$B$10,2,FALSE),0)*'FL Characterization'!Y$2)</f>
        <v>46.844747675889749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45.214310698035533</v>
      </c>
      <c r="C3" s="2">
        <f>('[1]Pc, Summer, S1'!C3*Main!$B$5)+(_xlfn.IFNA(VLOOKUP($A3,'FL Ratio'!$A$3:$B$10,2,FALSE),0)*'FL Characterization'!C$2)</f>
        <v>41.533066836422819</v>
      </c>
      <c r="D3" s="2">
        <f>('[1]Pc, Summer, S1'!D3*Main!$B$5)+(_xlfn.IFNA(VLOOKUP($A3,'FL Ratio'!$A$3:$B$10,2,FALSE),0)*'FL Characterization'!D$2)</f>
        <v>39.329823489077114</v>
      </c>
      <c r="E3" s="2">
        <f>('[1]Pc, Summer, S1'!E3*Main!$B$5)+(_xlfn.IFNA(VLOOKUP($A3,'FL Ratio'!$A$3:$B$10,2,FALSE),0)*'FL Characterization'!E$2)</f>
        <v>37.884308623640038</v>
      </c>
      <c r="F3" s="2">
        <f>('[1]Pc, Summer, S1'!F3*Main!$B$5)+(_xlfn.IFNA(VLOOKUP($A3,'FL Ratio'!$A$3:$B$10,2,FALSE),0)*'FL Characterization'!F$2)</f>
        <v>37.414522203668454</v>
      </c>
      <c r="G3" s="2">
        <f>('[1]Pc, Summer, S1'!G3*Main!$B$5)+(_xlfn.IFNA(VLOOKUP($A3,'FL Ratio'!$A$3:$B$10,2,FALSE),0)*'FL Characterization'!G$2)</f>
        <v>39.640716809484154</v>
      </c>
      <c r="H3" s="2">
        <f>('[1]Pc, Summer, S1'!H3*Main!$B$5)+(_xlfn.IFNA(VLOOKUP($A3,'FL Ratio'!$A$3:$B$10,2,FALSE),0)*'FL Characterization'!H$2)</f>
        <v>49.614317953926466</v>
      </c>
      <c r="I3" s="2">
        <f>('[1]Pc, Summer, S1'!I3*Main!$B$5)+(_xlfn.IFNA(VLOOKUP($A3,'FL Ratio'!$A$3:$B$10,2,FALSE),0)*'FL Characterization'!I$2)</f>
        <v>58.717241470312551</v>
      </c>
      <c r="J3" s="2">
        <f>('[1]Pc, Summer, S1'!J3*Main!$B$5)+(_xlfn.IFNA(VLOOKUP($A3,'FL Ratio'!$A$3:$B$10,2,FALSE),0)*'FL Characterization'!J$2)</f>
        <v>61.219330127365872</v>
      </c>
      <c r="K3" s="2">
        <f>('[1]Pc, Summer, S1'!K3*Main!$B$5)+(_xlfn.IFNA(VLOOKUP($A3,'FL Ratio'!$A$3:$B$10,2,FALSE),0)*'FL Characterization'!K$2)</f>
        <v>60.099718365949677</v>
      </c>
      <c r="L3" s="2">
        <f>('[1]Pc, Summer, S1'!L3*Main!$B$5)+(_xlfn.IFNA(VLOOKUP($A3,'FL Ratio'!$A$3:$B$10,2,FALSE),0)*'FL Characterization'!L$2)</f>
        <v>59.869071791488395</v>
      </c>
      <c r="M3" s="2">
        <f>('[1]Pc, Summer, S1'!M3*Main!$B$5)+(_xlfn.IFNA(VLOOKUP($A3,'FL Ratio'!$A$3:$B$10,2,FALSE),0)*'FL Characterization'!M$2)</f>
        <v>63.848959943432156</v>
      </c>
      <c r="N3" s="2">
        <f>('[1]Pc, Summer, S1'!N3*Main!$B$5)+(_xlfn.IFNA(VLOOKUP($A3,'FL Ratio'!$A$3:$B$10,2,FALSE),0)*'FL Characterization'!N$2)</f>
        <v>64.063836586242573</v>
      </c>
      <c r="O3" s="2">
        <f>('[1]Pc, Summer, S1'!O3*Main!$B$5)+(_xlfn.IFNA(VLOOKUP($A3,'FL Ratio'!$A$3:$B$10,2,FALSE),0)*'FL Characterization'!O$2)</f>
        <v>64.550022121490372</v>
      </c>
      <c r="P3" s="2">
        <f>('[1]Pc, Summer, S1'!P3*Main!$B$5)+(_xlfn.IFNA(VLOOKUP($A3,'FL Ratio'!$A$3:$B$10,2,FALSE),0)*'FL Characterization'!P$2)</f>
        <v>61.435673012631852</v>
      </c>
      <c r="Q3" s="2">
        <f>('[1]Pc, Summer, S1'!Q3*Main!$B$5)+(_xlfn.IFNA(VLOOKUP($A3,'FL Ratio'!$A$3:$B$10,2,FALSE),0)*'FL Characterization'!Q$2)</f>
        <v>58.203053423423562</v>
      </c>
      <c r="R3" s="2">
        <f>('[1]Pc, Summer, S1'!R3*Main!$B$5)+(_xlfn.IFNA(VLOOKUP($A3,'FL Ratio'!$A$3:$B$10,2,FALSE),0)*'FL Characterization'!R$2)</f>
        <v>53.805717400538697</v>
      </c>
      <c r="S3" s="2">
        <f>('[1]Pc, Summer, S1'!S3*Main!$B$5)+(_xlfn.IFNA(VLOOKUP($A3,'FL Ratio'!$A$3:$B$10,2,FALSE),0)*'FL Characterization'!S$2)</f>
        <v>54.454688271248934</v>
      </c>
      <c r="T3" s="2">
        <f>('[1]Pc, Summer, S1'!T3*Main!$B$5)+(_xlfn.IFNA(VLOOKUP($A3,'FL Ratio'!$A$3:$B$10,2,FALSE),0)*'FL Characterization'!T$2)</f>
        <v>53.927987274730484</v>
      </c>
      <c r="U3" s="2">
        <f>('[1]Pc, Summer, S1'!U3*Main!$B$5)+(_xlfn.IFNA(VLOOKUP($A3,'FL Ratio'!$A$3:$B$10,2,FALSE),0)*'FL Characterization'!U$2)</f>
        <v>53.70587572812174</v>
      </c>
      <c r="V3" s="2">
        <f>('[1]Pc, Summer, S1'!V3*Main!$B$5)+(_xlfn.IFNA(VLOOKUP($A3,'FL Ratio'!$A$3:$B$10,2,FALSE),0)*'FL Characterization'!V$2)</f>
        <v>53.978631601318796</v>
      </c>
      <c r="W3" s="2">
        <f>('[1]Pc, Summer, S1'!W3*Main!$B$5)+(_xlfn.IFNA(VLOOKUP($A3,'FL Ratio'!$A$3:$B$10,2,FALSE),0)*'FL Characterization'!W$2)</f>
        <v>53.673559824489196</v>
      </c>
      <c r="X3" s="2">
        <f>('[1]Pc, Summer, S1'!X3*Main!$B$5)+(_xlfn.IFNA(VLOOKUP($A3,'FL Ratio'!$A$3:$B$10,2,FALSE),0)*'FL Characterization'!X$2)</f>
        <v>53.521805798372391</v>
      </c>
      <c r="Y3" s="2">
        <f>('[1]Pc, Summer, S1'!Y3*Main!$B$5)+(_xlfn.IFNA(VLOOKUP($A3,'FL Ratio'!$A$3:$B$10,2,FALSE),0)*'FL Characterization'!Y$2)</f>
        <v>50.6860964543677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59.931883397016236</v>
      </c>
      <c r="C4" s="2">
        <f>('[1]Pc, Summer, S1'!C4*Main!$B$5)+(_xlfn.IFNA(VLOOKUP($A4,'FL Ratio'!$A$3:$B$10,2,FALSE),0)*'FL Characterization'!C$2)</f>
        <v>53.211851132875104</v>
      </c>
      <c r="D4" s="2">
        <f>('[1]Pc, Summer, S1'!D4*Main!$B$5)+(_xlfn.IFNA(VLOOKUP($A4,'FL Ratio'!$A$3:$B$10,2,FALSE),0)*'FL Characterization'!D$2)</f>
        <v>50.163851743721764</v>
      </c>
      <c r="E4" s="2">
        <f>('[1]Pc, Summer, S1'!E4*Main!$B$5)+(_xlfn.IFNA(VLOOKUP($A4,'FL Ratio'!$A$3:$B$10,2,FALSE),0)*'FL Characterization'!E$2)</f>
        <v>48.516826938720435</v>
      </c>
      <c r="F4" s="2">
        <f>('[1]Pc, Summer, S1'!F4*Main!$B$5)+(_xlfn.IFNA(VLOOKUP($A4,'FL Ratio'!$A$3:$B$10,2,FALSE),0)*'FL Characterization'!F$2)</f>
        <v>50.806363690140692</v>
      </c>
      <c r="G4" s="2">
        <f>('[1]Pc, Summer, S1'!G4*Main!$B$5)+(_xlfn.IFNA(VLOOKUP($A4,'FL Ratio'!$A$3:$B$10,2,FALSE),0)*'FL Characterization'!G$2)</f>
        <v>46.392223140286646</v>
      </c>
      <c r="H4" s="2">
        <f>('[1]Pc, Summer, S1'!H4*Main!$B$5)+(_xlfn.IFNA(VLOOKUP($A4,'FL Ratio'!$A$3:$B$10,2,FALSE),0)*'FL Characterization'!H$2)</f>
        <v>54.500184303922701</v>
      </c>
      <c r="I4" s="2">
        <f>('[1]Pc, Summer, S1'!I4*Main!$B$5)+(_xlfn.IFNA(VLOOKUP($A4,'FL Ratio'!$A$3:$B$10,2,FALSE),0)*'FL Characterization'!I$2)</f>
        <v>61.075388915428569</v>
      </c>
      <c r="J4" s="2">
        <f>('[1]Pc, Summer, S1'!J4*Main!$B$5)+(_xlfn.IFNA(VLOOKUP($A4,'FL Ratio'!$A$3:$B$10,2,FALSE),0)*'FL Characterization'!J$2)</f>
        <v>68.710651708244797</v>
      </c>
      <c r="K4" s="2">
        <f>('[1]Pc, Summer, S1'!K4*Main!$B$5)+(_xlfn.IFNA(VLOOKUP($A4,'FL Ratio'!$A$3:$B$10,2,FALSE),0)*'FL Characterization'!K$2)</f>
        <v>73.87466790282366</v>
      </c>
      <c r="L4" s="2">
        <f>('[1]Pc, Summer, S1'!L4*Main!$B$5)+(_xlfn.IFNA(VLOOKUP($A4,'FL Ratio'!$A$3:$B$10,2,FALSE),0)*'FL Characterization'!L$2)</f>
        <v>76.020728982768659</v>
      </c>
      <c r="M4" s="2">
        <f>('[1]Pc, Summer, S1'!M4*Main!$B$5)+(_xlfn.IFNA(VLOOKUP($A4,'FL Ratio'!$A$3:$B$10,2,FALSE),0)*'FL Characterization'!M$2)</f>
        <v>77.291629812217963</v>
      </c>
      <c r="N4" s="2">
        <f>('[1]Pc, Summer, S1'!N4*Main!$B$5)+(_xlfn.IFNA(VLOOKUP($A4,'FL Ratio'!$A$3:$B$10,2,FALSE),0)*'FL Characterization'!N$2)</f>
        <v>79.017027854987731</v>
      </c>
      <c r="O4" s="2">
        <f>('[1]Pc, Summer, S1'!O4*Main!$B$5)+(_xlfn.IFNA(VLOOKUP($A4,'FL Ratio'!$A$3:$B$10,2,FALSE),0)*'FL Characterization'!O$2)</f>
        <v>80.145665121959084</v>
      </c>
      <c r="P4" s="2">
        <f>('[1]Pc, Summer, S1'!P4*Main!$B$5)+(_xlfn.IFNA(VLOOKUP($A4,'FL Ratio'!$A$3:$B$10,2,FALSE),0)*'FL Characterization'!P$2)</f>
        <v>80.492848448822883</v>
      </c>
      <c r="Q4" s="2">
        <f>('[1]Pc, Summer, S1'!Q4*Main!$B$5)+(_xlfn.IFNA(VLOOKUP($A4,'FL Ratio'!$A$3:$B$10,2,FALSE),0)*'FL Characterization'!Q$2)</f>
        <v>77.482288622610966</v>
      </c>
      <c r="R4" s="2">
        <f>('[1]Pc, Summer, S1'!R4*Main!$B$5)+(_xlfn.IFNA(VLOOKUP($A4,'FL Ratio'!$A$3:$B$10,2,FALSE),0)*'FL Characterization'!R$2)</f>
        <v>77.030708709137556</v>
      </c>
      <c r="S4" s="2">
        <f>('[1]Pc, Summer, S1'!S4*Main!$B$5)+(_xlfn.IFNA(VLOOKUP($A4,'FL Ratio'!$A$3:$B$10,2,FALSE),0)*'FL Characterization'!S$2)</f>
        <v>74.700858069351497</v>
      </c>
      <c r="T4" s="2">
        <f>('[1]Pc, Summer, S1'!T4*Main!$B$5)+(_xlfn.IFNA(VLOOKUP($A4,'FL Ratio'!$A$3:$B$10,2,FALSE),0)*'FL Characterization'!T$2)</f>
        <v>74.560493137204162</v>
      </c>
      <c r="U4" s="2">
        <f>('[1]Pc, Summer, S1'!U4*Main!$B$5)+(_xlfn.IFNA(VLOOKUP($A4,'FL Ratio'!$A$3:$B$10,2,FALSE),0)*'FL Characterization'!U$2)</f>
        <v>74.945246410491492</v>
      </c>
      <c r="V4" s="2">
        <f>('[1]Pc, Summer, S1'!V4*Main!$B$5)+(_xlfn.IFNA(VLOOKUP($A4,'FL Ratio'!$A$3:$B$10,2,FALSE),0)*'FL Characterization'!V$2)</f>
        <v>74.606260410362026</v>
      </c>
      <c r="W4" s="2">
        <f>('[1]Pc, Summer, S1'!W4*Main!$B$5)+(_xlfn.IFNA(VLOOKUP($A4,'FL Ratio'!$A$3:$B$10,2,FALSE),0)*'FL Characterization'!W$2)</f>
        <v>76.94704326940888</v>
      </c>
      <c r="X4" s="2">
        <f>('[1]Pc, Summer, S1'!X4*Main!$B$5)+(_xlfn.IFNA(VLOOKUP($A4,'FL Ratio'!$A$3:$B$10,2,FALSE),0)*'FL Characterization'!X$2)</f>
        <v>76.949218270128753</v>
      </c>
      <c r="Y4" s="2">
        <f>('[1]Pc, Summer, S1'!Y4*Main!$B$5)+(_xlfn.IFNA(VLOOKUP($A4,'FL Ratio'!$A$3:$B$10,2,FALSE),0)*'FL Characterization'!Y$2)</f>
        <v>69.474484792148786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96BB-E9F6-4441-8479-A4E462FEE7A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42.919440090837661</v>
      </c>
      <c r="C2" s="2">
        <f>('[1]Pc, Summer, S2'!C2*Main!$B$5)+(_xlfn.IFNA(VLOOKUP($A2,'FL Ratio'!$A$3:$B$10,2,FALSE),0)*'FL Characterization'!C$2)</f>
        <v>38.994231998630639</v>
      </c>
      <c r="D2" s="2">
        <f>('[1]Pc, Summer, S2'!D2*Main!$B$5)+(_xlfn.IFNA(VLOOKUP($A2,'FL Ratio'!$A$3:$B$10,2,FALSE),0)*'FL Characterization'!D$2)</f>
        <v>38.313104111464085</v>
      </c>
      <c r="E2" s="2">
        <f>('[1]Pc, Summer, S2'!E2*Main!$B$5)+(_xlfn.IFNA(VLOOKUP($A2,'FL Ratio'!$A$3:$B$10,2,FALSE),0)*'FL Characterization'!E$2)</f>
        <v>38.215230833115797</v>
      </c>
      <c r="F2" s="2">
        <f>('[1]Pc, Summer, S2'!F2*Main!$B$5)+(_xlfn.IFNA(VLOOKUP($A2,'FL Ratio'!$A$3:$B$10,2,FALSE),0)*'FL Characterization'!F$2)</f>
        <v>38.218243726132549</v>
      </c>
      <c r="G2" s="2">
        <f>('[1]Pc, Summer, S2'!G2*Main!$B$5)+(_xlfn.IFNA(VLOOKUP($A2,'FL Ratio'!$A$3:$B$10,2,FALSE),0)*'FL Characterization'!G$2)</f>
        <v>37.880252745747434</v>
      </c>
      <c r="H2" s="2">
        <f>('[1]Pc, Summer, S2'!H2*Main!$B$5)+(_xlfn.IFNA(VLOOKUP($A2,'FL Ratio'!$A$3:$B$10,2,FALSE),0)*'FL Characterization'!H$2)</f>
        <v>40.895114290904537</v>
      </c>
      <c r="I2" s="2">
        <f>('[1]Pc, Summer, S2'!I2*Main!$B$5)+(_xlfn.IFNA(VLOOKUP($A2,'FL Ratio'!$A$3:$B$10,2,FALSE),0)*'FL Characterization'!I$2)</f>
        <v>48.55249166372802</v>
      </c>
      <c r="J2" s="2">
        <f>('[1]Pc, Summer, S2'!J2*Main!$B$5)+(_xlfn.IFNA(VLOOKUP($A2,'FL Ratio'!$A$3:$B$10,2,FALSE),0)*'FL Characterization'!J$2)</f>
        <v>55.336034751083311</v>
      </c>
      <c r="K2" s="2">
        <f>('[1]Pc, Summer, S2'!K2*Main!$B$5)+(_xlfn.IFNA(VLOOKUP($A2,'FL Ratio'!$A$3:$B$10,2,FALSE),0)*'FL Characterization'!K$2)</f>
        <v>57.036403152603768</v>
      </c>
      <c r="L2" s="2">
        <f>('[1]Pc, Summer, S2'!L2*Main!$B$5)+(_xlfn.IFNA(VLOOKUP($A2,'FL Ratio'!$A$3:$B$10,2,FALSE),0)*'FL Characterization'!L$2)</f>
        <v>56.459209968895685</v>
      </c>
      <c r="M2" s="2">
        <f>('[1]Pc, Summer, S2'!M2*Main!$B$5)+(_xlfn.IFNA(VLOOKUP($A2,'FL Ratio'!$A$3:$B$10,2,FALSE),0)*'FL Characterization'!M$2)</f>
        <v>58.055797824383291</v>
      </c>
      <c r="N2" s="2">
        <f>('[1]Pc, Summer, S2'!N2*Main!$B$5)+(_xlfn.IFNA(VLOOKUP($A2,'FL Ratio'!$A$3:$B$10,2,FALSE),0)*'FL Characterization'!N$2)</f>
        <v>58.852200959454258</v>
      </c>
      <c r="O2" s="2">
        <f>('[1]Pc, Summer, S2'!O2*Main!$B$5)+(_xlfn.IFNA(VLOOKUP($A2,'FL Ratio'!$A$3:$B$10,2,FALSE),0)*'FL Characterization'!O$2)</f>
        <v>57.763545497329602</v>
      </c>
      <c r="P2" s="2">
        <f>('[1]Pc, Summer, S2'!P2*Main!$B$5)+(_xlfn.IFNA(VLOOKUP($A2,'FL Ratio'!$A$3:$B$10,2,FALSE),0)*'FL Characterization'!P$2)</f>
        <v>55.506422900602495</v>
      </c>
      <c r="Q2" s="2">
        <f>('[1]Pc, Summer, S2'!Q2*Main!$B$5)+(_xlfn.IFNA(VLOOKUP($A2,'FL Ratio'!$A$3:$B$10,2,FALSE),0)*'FL Characterization'!Q$2)</f>
        <v>53.272385139191236</v>
      </c>
      <c r="R2" s="2">
        <f>('[1]Pc, Summer, S2'!R2*Main!$B$5)+(_xlfn.IFNA(VLOOKUP($A2,'FL Ratio'!$A$3:$B$10,2,FALSE),0)*'FL Characterization'!R$2)</f>
        <v>54.201813668238024</v>
      </c>
      <c r="S2" s="2">
        <f>('[1]Pc, Summer, S2'!S2*Main!$B$5)+(_xlfn.IFNA(VLOOKUP($A2,'FL Ratio'!$A$3:$B$10,2,FALSE),0)*'FL Characterization'!S$2)</f>
        <v>54.737314047549191</v>
      </c>
      <c r="T2" s="2">
        <f>('[1]Pc, Summer, S2'!T2*Main!$B$5)+(_xlfn.IFNA(VLOOKUP($A2,'FL Ratio'!$A$3:$B$10,2,FALSE),0)*'FL Characterization'!T$2)</f>
        <v>54.969653611813378</v>
      </c>
      <c r="U2" s="2">
        <f>('[1]Pc, Summer, S2'!U2*Main!$B$5)+(_xlfn.IFNA(VLOOKUP($A2,'FL Ratio'!$A$3:$B$10,2,FALSE),0)*'FL Characterization'!U$2)</f>
        <v>54.059653129985058</v>
      </c>
      <c r="V2" s="2">
        <f>('[1]Pc, Summer, S2'!V2*Main!$B$5)+(_xlfn.IFNA(VLOOKUP($A2,'FL Ratio'!$A$3:$B$10,2,FALSE),0)*'FL Characterization'!V$2)</f>
        <v>54.222078573979971</v>
      </c>
      <c r="W2" s="2">
        <f>('[1]Pc, Summer, S2'!W2*Main!$B$5)+(_xlfn.IFNA(VLOOKUP($A2,'FL Ratio'!$A$3:$B$10,2,FALSE),0)*'FL Characterization'!W$2)</f>
        <v>56.467846990822956</v>
      </c>
      <c r="X2" s="2">
        <f>('[1]Pc, Summer, S2'!X2*Main!$B$5)+(_xlfn.IFNA(VLOOKUP($A2,'FL Ratio'!$A$3:$B$10,2,FALSE),0)*'FL Characterization'!X$2)</f>
        <v>52.634868106225369</v>
      </c>
      <c r="Y2" s="2">
        <f>('[1]Pc, Summer, S2'!Y2*Main!$B$5)+(_xlfn.IFNA(VLOOKUP($A2,'FL Ratio'!$A$3:$B$10,2,FALSE),0)*'FL Characterization'!Y$2)</f>
        <v>48.250090106166439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46.481815816391318</v>
      </c>
      <c r="C3" s="2">
        <f>('[1]Pc, Summer, S2'!C3*Main!$B$5)+(_xlfn.IFNA(VLOOKUP($A3,'FL Ratio'!$A$3:$B$10,2,FALSE),0)*'FL Characterization'!C$2)</f>
        <v>42.687168328372906</v>
      </c>
      <c r="D3" s="2">
        <f>('[1]Pc, Summer, S2'!D3*Main!$B$5)+(_xlfn.IFNA(VLOOKUP($A3,'FL Ratio'!$A$3:$B$10,2,FALSE),0)*'FL Characterization'!D$2)</f>
        <v>40.427435632851029</v>
      </c>
      <c r="E3" s="2">
        <f>('[1]Pc, Summer, S2'!E3*Main!$B$5)+(_xlfn.IFNA(VLOOKUP($A3,'FL Ratio'!$A$3:$B$10,2,FALSE),0)*'FL Characterization'!E$2)</f>
        <v>38.942845619403244</v>
      </c>
      <c r="F3" s="2">
        <f>('[1]Pc, Summer, S2'!F3*Main!$B$5)+(_xlfn.IFNA(VLOOKUP($A3,'FL Ratio'!$A$3:$B$10,2,FALSE),0)*'FL Characterization'!F$2)</f>
        <v>38.47305919943166</v>
      </c>
      <c r="G3" s="2">
        <f>('[1]Pc, Summer, S2'!G3*Main!$B$5)+(_xlfn.IFNA(VLOOKUP($A3,'FL Ratio'!$A$3:$B$10,2,FALSE),0)*'FL Characterization'!G$2)</f>
        <v>40.775705474896398</v>
      </c>
      <c r="H3" s="2">
        <f>('[1]Pc, Summer, S2'!H3*Main!$B$5)+(_xlfn.IFNA(VLOOKUP($A3,'FL Ratio'!$A$3:$B$10,2,FALSE),0)*'FL Characterization'!H$2)</f>
        <v>51.036425129424963</v>
      </c>
      <c r="I3" s="2">
        <f>('[1]Pc, Summer, S2'!I3*Main!$B$5)+(_xlfn.IFNA(VLOOKUP($A3,'FL Ratio'!$A$3:$B$10,2,FALSE),0)*'FL Characterization'!I$2)</f>
        <v>60.467240747574998</v>
      </c>
      <c r="J3" s="2">
        <f>('[1]Pc, Summer, S2'!J3*Main!$B$5)+(_xlfn.IFNA(VLOOKUP($A3,'FL Ratio'!$A$3:$B$10,2,FALSE),0)*'FL Characterization'!J$2)</f>
        <v>63.045781165869194</v>
      </c>
      <c r="K3" s="2">
        <f>('[1]Pc, Summer, S2'!K3*Main!$B$5)+(_xlfn.IFNA(VLOOKUP($A3,'FL Ratio'!$A$3:$B$10,2,FALSE),0)*'FL Characterization'!K$2)</f>
        <v>61.88794347827578</v>
      </c>
      <c r="L3" s="2">
        <f>('[1]Pc, Summer, S2'!L3*Main!$B$5)+(_xlfn.IFNA(VLOOKUP($A3,'FL Ratio'!$A$3:$B$10,2,FALSE),0)*'FL Characterization'!L$2)</f>
        <v>61.656447590867465</v>
      </c>
      <c r="M3" s="2">
        <f>('[1]Pc, Summer, S2'!M3*Main!$B$5)+(_xlfn.IFNA(VLOOKUP($A3,'FL Ratio'!$A$3:$B$10,2,FALSE),0)*'FL Characterization'!M$2)</f>
        <v>65.753561916230041</v>
      </c>
      <c r="N3" s="2">
        <f>('[1]Pc, Summer, S2'!N3*Main!$B$5)+(_xlfn.IFNA(VLOOKUP($A3,'FL Ratio'!$A$3:$B$10,2,FALSE),0)*'FL Characterization'!N$2)</f>
        <v>65.96843855904045</v>
      </c>
      <c r="O3" s="2">
        <f>('[1]Pc, Summer, S2'!O3*Main!$B$5)+(_xlfn.IFNA(VLOOKUP($A3,'FL Ratio'!$A$3:$B$10,2,FALSE),0)*'FL Characterization'!O$2)</f>
        <v>66.454624094288249</v>
      </c>
      <c r="P3" s="2">
        <f>('[1]Pc, Summer, S2'!P3*Main!$B$5)+(_xlfn.IFNA(VLOOKUP($A3,'FL Ratio'!$A$3:$B$10,2,FALSE),0)*'FL Characterization'!P$2)</f>
        <v>63.244710215543464</v>
      </c>
      <c r="Q3" s="2">
        <f>('[1]Pc, Summer, S2'!Q3*Main!$B$5)+(_xlfn.IFNA(VLOOKUP($A3,'FL Ratio'!$A$3:$B$10,2,FALSE),0)*'FL Characterization'!Q$2)</f>
        <v>59.915676361155192</v>
      </c>
      <c r="R3" s="2">
        <f>('[1]Pc, Summer, S2'!R3*Main!$B$5)+(_xlfn.IFNA(VLOOKUP($A3,'FL Ratio'!$A$3:$B$10,2,FALSE),0)*'FL Characterization'!R$2)</f>
        <v>55.401114347198195</v>
      </c>
      <c r="S3" s="2">
        <f>('[1]Pc, Summer, S2'!S3*Main!$B$5)+(_xlfn.IFNA(VLOOKUP($A3,'FL Ratio'!$A$3:$B$10,2,FALSE),0)*'FL Characterization'!S$2)</f>
        <v>56.050085217908432</v>
      </c>
      <c r="T3" s="2">
        <f>('[1]Pc, Summer, S2'!T3*Main!$B$5)+(_xlfn.IFNA(VLOOKUP($A3,'FL Ratio'!$A$3:$B$10,2,FALSE),0)*'FL Characterization'!T$2)</f>
        <v>55.523384221389982</v>
      </c>
      <c r="U3" s="2">
        <f>('[1]Pc, Summer, S2'!U3*Main!$B$5)+(_xlfn.IFNA(VLOOKUP($A3,'FL Ratio'!$A$3:$B$10,2,FALSE),0)*'FL Characterization'!U$2)</f>
        <v>55.301272674781238</v>
      </c>
      <c r="V3" s="2">
        <f>('[1]Pc, Summer, S2'!V3*Main!$B$5)+(_xlfn.IFNA(VLOOKUP($A3,'FL Ratio'!$A$3:$B$10,2,FALSE),0)*'FL Characterization'!V$2)</f>
        <v>55.574028547978294</v>
      </c>
      <c r="W3" s="2">
        <f>('[1]Pc, Summer, S2'!W3*Main!$B$5)+(_xlfn.IFNA(VLOOKUP($A3,'FL Ratio'!$A$3:$B$10,2,FALSE),0)*'FL Characterization'!W$2)</f>
        <v>55.268956771148694</v>
      </c>
      <c r="X3" s="2">
        <f>('[1]Pc, Summer, S2'!X3*Main!$B$5)+(_xlfn.IFNA(VLOOKUP($A3,'FL Ratio'!$A$3:$B$10,2,FALSE),0)*'FL Characterization'!X$2)</f>
        <v>55.059864266135762</v>
      </c>
      <c r="Y3" s="2">
        <f>('[1]Pc, Summer, S2'!Y3*Main!$B$5)+(_xlfn.IFNA(VLOOKUP($A3,'FL Ratio'!$A$3:$B$10,2,FALSE),0)*'FL Characterization'!Y$2)</f>
        <v>52.125192626518135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61.640915696341452</v>
      </c>
      <c r="C4" s="2">
        <f>('[1]Pc, Summer, S2'!C4*Main!$B$5)+(_xlfn.IFNA(VLOOKUP($A4,'FL Ratio'!$A$3:$B$10,2,FALSE),0)*'FL Characterization'!C$2)</f>
        <v>54.716316153718765</v>
      </c>
      <c r="D4" s="2">
        <f>('[1]Pc, Summer, S2'!D4*Main!$B$5)+(_xlfn.IFNA(VLOOKUP($A4,'FL Ratio'!$A$3:$B$10,2,FALSE),0)*'FL Characterization'!D$2)</f>
        <v>51.586484735135002</v>
      </c>
      <c r="E4" s="2">
        <f>('[1]Pc, Summer, S2'!E4*Main!$B$5)+(_xlfn.IFNA(VLOOKUP($A4,'FL Ratio'!$A$3:$B$10,2,FALSE),0)*'FL Characterization'!E$2)</f>
        <v>49.894339483936044</v>
      </c>
      <c r="F4" s="2">
        <f>('[1]Pc, Summer, S2'!F4*Main!$B$5)+(_xlfn.IFNA(VLOOKUP($A4,'FL Ratio'!$A$3:$B$10,2,FALSE),0)*'FL Characterization'!F$2)</f>
        <v>52.266655930498054</v>
      </c>
      <c r="G4" s="2">
        <f>('[1]Pc, Summer, S2'!G4*Main!$B$5)+(_xlfn.IFNA(VLOOKUP($A4,'FL Ratio'!$A$3:$B$10,2,FALSE),0)*'FL Characterization'!G$2)</f>
        <v>47.729756995622964</v>
      </c>
      <c r="H4" s="2">
        <f>('[1]Pc, Summer, S2'!H4*Main!$B$5)+(_xlfn.IFNA(VLOOKUP($A4,'FL Ratio'!$A$3:$B$10,2,FALSE),0)*'FL Characterization'!H$2)</f>
        <v>56.068867469921081</v>
      </c>
      <c r="I4" s="2">
        <f>('[1]Pc, Summer, S2'!I4*Main!$B$5)+(_xlfn.IFNA(VLOOKUP($A4,'FL Ratio'!$A$3:$B$10,2,FALSE),0)*'FL Characterization'!I$2)</f>
        <v>62.89613261604449</v>
      </c>
      <c r="J4" s="2">
        <f>('[1]Pc, Summer, S2'!J4*Main!$B$5)+(_xlfn.IFNA(VLOOKUP($A4,'FL Ratio'!$A$3:$B$10,2,FALSE),0)*'FL Characterization'!J$2)</f>
        <v>70.761842394174479</v>
      </c>
      <c r="K4" s="2">
        <f>('[1]Pc, Summer, S2'!K4*Main!$B$5)+(_xlfn.IFNA(VLOOKUP($A4,'FL Ratio'!$A$3:$B$10,2,FALSE),0)*'FL Characterization'!K$2)</f>
        <v>76.076141501255975</v>
      </c>
      <c r="L4" s="2">
        <f>('[1]Pc, Summer, S2'!L4*Main!$B$5)+(_xlfn.IFNA(VLOOKUP($A4,'FL Ratio'!$A$3:$B$10,2,FALSE),0)*'FL Characterization'!L$2)</f>
        <v>78.292654497886133</v>
      </c>
      <c r="M4" s="2">
        <f>('[1]Pc, Summer, S2'!M4*Main!$B$5)+(_xlfn.IFNA(VLOOKUP($A4,'FL Ratio'!$A$3:$B$10,2,FALSE),0)*'FL Characterization'!M$2)</f>
        <v>79.599511881079408</v>
      </c>
      <c r="N4" s="2">
        <f>('[1]Pc, Summer, S2'!N4*Main!$B$5)+(_xlfn.IFNA(VLOOKUP($A4,'FL Ratio'!$A$3:$B$10,2,FALSE),0)*'FL Characterization'!N$2)</f>
        <v>81.37022556584796</v>
      </c>
      <c r="O4" s="2">
        <f>('[1]Pc, Summer, S2'!O4*Main!$B$5)+(_xlfn.IFNA(VLOOKUP($A4,'FL Ratio'!$A$3:$B$10,2,FALSE),0)*'FL Characterization'!O$2)</f>
        <v>82.518136384771012</v>
      </c>
      <c r="P4" s="2">
        <f>('[1]Pc, Summer, S2'!P4*Main!$B$5)+(_xlfn.IFNA(VLOOKUP($A4,'FL Ratio'!$A$3:$B$10,2,FALSE),0)*'FL Characterization'!P$2)</f>
        <v>82.87360091482023</v>
      </c>
      <c r="Q4" s="2">
        <f>('[1]Pc, Summer, S2'!Q4*Main!$B$5)+(_xlfn.IFNA(VLOOKUP($A4,'FL Ratio'!$A$3:$B$10,2,FALSE),0)*'FL Characterization'!Q$2)</f>
        <v>79.773288616318212</v>
      </c>
      <c r="R4" s="2">
        <f>('[1]Pc, Summer, S2'!R4*Main!$B$5)+(_xlfn.IFNA(VLOOKUP($A4,'FL Ratio'!$A$3:$B$10,2,FALSE),0)*'FL Characterization'!R$2)</f>
        <v>79.322855395055015</v>
      </c>
      <c r="S4" s="2">
        <f>('[1]Pc, Summer, S2'!S4*Main!$B$5)+(_xlfn.IFNA(VLOOKUP($A4,'FL Ratio'!$A$3:$B$10,2,FALSE),0)*'FL Characterization'!S$2)</f>
        <v>76.903640109954054</v>
      </c>
      <c r="T4" s="2">
        <f>('[1]Pc, Summer, S2'!T4*Main!$B$5)+(_xlfn.IFNA(VLOOKUP($A4,'FL Ratio'!$A$3:$B$10,2,FALSE),0)*'FL Characterization'!T$2)</f>
        <v>76.774865259737865</v>
      </c>
      <c r="U4" s="2">
        <f>('[1]Pc, Summer, S2'!U4*Main!$B$5)+(_xlfn.IFNA(VLOOKUP($A4,'FL Ratio'!$A$3:$B$10,2,FALSE),0)*'FL Characterization'!U$2)</f>
        <v>77.177824477622082</v>
      </c>
      <c r="V4" s="2">
        <f>('[1]Pc, Summer, S2'!V4*Main!$B$5)+(_xlfn.IFNA(VLOOKUP($A4,'FL Ratio'!$A$3:$B$10,2,FALSE),0)*'FL Characterization'!V$2)</f>
        <v>76.820486221292825</v>
      </c>
      <c r="W4" s="2">
        <f>('[1]Pc, Summer, S2'!W4*Main!$B$5)+(_xlfn.IFNA(VLOOKUP($A4,'FL Ratio'!$A$3:$B$10,2,FALSE),0)*'FL Characterization'!W$2)</f>
        <v>79.240644719415968</v>
      </c>
      <c r="X4" s="2">
        <f>('[1]Pc, Summer, S2'!X4*Main!$B$5)+(_xlfn.IFNA(VLOOKUP($A4,'FL Ratio'!$A$3:$B$10,2,FALSE),0)*'FL Characterization'!X$2)</f>
        <v>79.190099112044805</v>
      </c>
      <c r="Y4" s="2">
        <f>('[1]Pc, Summer, S2'!Y4*Main!$B$5)+(_xlfn.IFNA(VLOOKUP($A4,'FL Ratio'!$A$3:$B$10,2,FALSE),0)*'FL Characterization'!Y$2)</f>
        <v>71.477232614432651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0CD1-D625-4A92-9BA0-2060A94ABB5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42.919440090837661</v>
      </c>
      <c r="C2" s="2">
        <f>('[1]Pc, Summer, S2'!C2*Main!$B$5)+(_xlfn.IFNA(VLOOKUP($A2,'FL Ratio'!$A$3:$B$10,2,FALSE),0)*'FL Characterization'!C$2)</f>
        <v>38.994231998630639</v>
      </c>
      <c r="D2" s="2">
        <f>('[1]Pc, Summer, S2'!D2*Main!$B$5)+(_xlfn.IFNA(VLOOKUP($A2,'FL Ratio'!$A$3:$B$10,2,FALSE),0)*'FL Characterization'!D$2)</f>
        <v>38.313104111464085</v>
      </c>
      <c r="E2" s="2">
        <f>('[1]Pc, Summer, S2'!E2*Main!$B$5)+(_xlfn.IFNA(VLOOKUP($A2,'FL Ratio'!$A$3:$B$10,2,FALSE),0)*'FL Characterization'!E$2)</f>
        <v>38.215230833115797</v>
      </c>
      <c r="F2" s="2">
        <f>('[1]Pc, Summer, S2'!F2*Main!$B$5)+(_xlfn.IFNA(VLOOKUP($A2,'FL Ratio'!$A$3:$B$10,2,FALSE),0)*'FL Characterization'!F$2)</f>
        <v>38.218243726132549</v>
      </c>
      <c r="G2" s="2">
        <f>('[1]Pc, Summer, S2'!G2*Main!$B$5)+(_xlfn.IFNA(VLOOKUP($A2,'FL Ratio'!$A$3:$B$10,2,FALSE),0)*'FL Characterization'!G$2)</f>
        <v>37.880252745747434</v>
      </c>
      <c r="H2" s="2">
        <f>('[1]Pc, Summer, S2'!H2*Main!$B$5)+(_xlfn.IFNA(VLOOKUP($A2,'FL Ratio'!$A$3:$B$10,2,FALSE),0)*'FL Characterization'!H$2)</f>
        <v>40.895114290904537</v>
      </c>
      <c r="I2" s="2">
        <f>('[1]Pc, Summer, S2'!I2*Main!$B$5)+(_xlfn.IFNA(VLOOKUP($A2,'FL Ratio'!$A$3:$B$10,2,FALSE),0)*'FL Characterization'!I$2)</f>
        <v>48.55249166372802</v>
      </c>
      <c r="J2" s="2">
        <f>('[1]Pc, Summer, S2'!J2*Main!$B$5)+(_xlfn.IFNA(VLOOKUP($A2,'FL Ratio'!$A$3:$B$10,2,FALSE),0)*'FL Characterization'!J$2)</f>
        <v>55.336034751083311</v>
      </c>
      <c r="K2" s="2">
        <f>('[1]Pc, Summer, S2'!K2*Main!$B$5)+(_xlfn.IFNA(VLOOKUP($A2,'FL Ratio'!$A$3:$B$10,2,FALSE),0)*'FL Characterization'!K$2)</f>
        <v>57.036403152603768</v>
      </c>
      <c r="L2" s="2">
        <f>('[1]Pc, Summer, S2'!L2*Main!$B$5)+(_xlfn.IFNA(VLOOKUP($A2,'FL Ratio'!$A$3:$B$10,2,FALSE),0)*'FL Characterization'!L$2)</f>
        <v>56.459209968895685</v>
      </c>
      <c r="M2" s="2">
        <f>('[1]Pc, Summer, S2'!M2*Main!$B$5)+(_xlfn.IFNA(VLOOKUP($A2,'FL Ratio'!$A$3:$B$10,2,FALSE),0)*'FL Characterization'!M$2)</f>
        <v>58.055797824383291</v>
      </c>
      <c r="N2" s="2">
        <f>('[1]Pc, Summer, S2'!N2*Main!$B$5)+(_xlfn.IFNA(VLOOKUP($A2,'FL Ratio'!$A$3:$B$10,2,FALSE),0)*'FL Characterization'!N$2)</f>
        <v>58.852200959454258</v>
      </c>
      <c r="O2" s="2">
        <f>('[1]Pc, Summer, S2'!O2*Main!$B$5)+(_xlfn.IFNA(VLOOKUP($A2,'FL Ratio'!$A$3:$B$10,2,FALSE),0)*'FL Characterization'!O$2)</f>
        <v>57.763545497329602</v>
      </c>
      <c r="P2" s="2">
        <f>('[1]Pc, Summer, S2'!P2*Main!$B$5)+(_xlfn.IFNA(VLOOKUP($A2,'FL Ratio'!$A$3:$B$10,2,FALSE),0)*'FL Characterization'!P$2)</f>
        <v>55.506422900602495</v>
      </c>
      <c r="Q2" s="2">
        <f>('[1]Pc, Summer, S2'!Q2*Main!$B$5)+(_xlfn.IFNA(VLOOKUP($A2,'FL Ratio'!$A$3:$B$10,2,FALSE),0)*'FL Characterization'!Q$2)</f>
        <v>53.272385139191236</v>
      </c>
      <c r="R2" s="2">
        <f>('[1]Pc, Summer, S2'!R2*Main!$B$5)+(_xlfn.IFNA(VLOOKUP($A2,'FL Ratio'!$A$3:$B$10,2,FALSE),0)*'FL Characterization'!R$2)</f>
        <v>54.201813668238024</v>
      </c>
      <c r="S2" s="2">
        <f>('[1]Pc, Summer, S2'!S2*Main!$B$5)+(_xlfn.IFNA(VLOOKUP($A2,'FL Ratio'!$A$3:$B$10,2,FALSE),0)*'FL Characterization'!S$2)</f>
        <v>54.737314047549191</v>
      </c>
      <c r="T2" s="2">
        <f>('[1]Pc, Summer, S2'!T2*Main!$B$5)+(_xlfn.IFNA(VLOOKUP($A2,'FL Ratio'!$A$3:$B$10,2,FALSE),0)*'FL Characterization'!T$2)</f>
        <v>54.969653611813378</v>
      </c>
      <c r="U2" s="2">
        <f>('[1]Pc, Summer, S2'!U2*Main!$B$5)+(_xlfn.IFNA(VLOOKUP($A2,'FL Ratio'!$A$3:$B$10,2,FALSE),0)*'FL Characterization'!U$2)</f>
        <v>54.059653129985058</v>
      </c>
      <c r="V2" s="2">
        <f>('[1]Pc, Summer, S2'!V2*Main!$B$5)+(_xlfn.IFNA(VLOOKUP($A2,'FL Ratio'!$A$3:$B$10,2,FALSE),0)*'FL Characterization'!V$2)</f>
        <v>54.222078573979971</v>
      </c>
      <c r="W2" s="2">
        <f>('[1]Pc, Summer, S2'!W2*Main!$B$5)+(_xlfn.IFNA(VLOOKUP($A2,'FL Ratio'!$A$3:$B$10,2,FALSE),0)*'FL Characterization'!W$2)</f>
        <v>56.467846990822956</v>
      </c>
      <c r="X2" s="2">
        <f>('[1]Pc, Summer, S2'!X2*Main!$B$5)+(_xlfn.IFNA(VLOOKUP($A2,'FL Ratio'!$A$3:$B$10,2,FALSE),0)*'FL Characterization'!X$2)</f>
        <v>52.634868106225369</v>
      </c>
      <c r="Y2" s="2">
        <f>('[1]Pc, Summer, S2'!Y2*Main!$B$5)+(_xlfn.IFNA(VLOOKUP($A2,'FL Ratio'!$A$3:$B$10,2,FALSE),0)*'FL Characterization'!Y$2)</f>
        <v>48.250090106166439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46.481815816391318</v>
      </c>
      <c r="C3" s="2">
        <f>('[1]Pc, Summer, S2'!C3*Main!$B$5)+(_xlfn.IFNA(VLOOKUP($A3,'FL Ratio'!$A$3:$B$10,2,FALSE),0)*'FL Characterization'!C$2)</f>
        <v>42.687168328372906</v>
      </c>
      <c r="D3" s="2">
        <f>('[1]Pc, Summer, S2'!D3*Main!$B$5)+(_xlfn.IFNA(VLOOKUP($A3,'FL Ratio'!$A$3:$B$10,2,FALSE),0)*'FL Characterization'!D$2)</f>
        <v>40.427435632851029</v>
      </c>
      <c r="E3" s="2">
        <f>('[1]Pc, Summer, S2'!E3*Main!$B$5)+(_xlfn.IFNA(VLOOKUP($A3,'FL Ratio'!$A$3:$B$10,2,FALSE),0)*'FL Characterization'!E$2)</f>
        <v>38.942845619403244</v>
      </c>
      <c r="F3" s="2">
        <f>('[1]Pc, Summer, S2'!F3*Main!$B$5)+(_xlfn.IFNA(VLOOKUP($A3,'FL Ratio'!$A$3:$B$10,2,FALSE),0)*'FL Characterization'!F$2)</f>
        <v>38.47305919943166</v>
      </c>
      <c r="G3" s="2">
        <f>('[1]Pc, Summer, S2'!G3*Main!$B$5)+(_xlfn.IFNA(VLOOKUP($A3,'FL Ratio'!$A$3:$B$10,2,FALSE),0)*'FL Characterization'!G$2)</f>
        <v>40.775705474896398</v>
      </c>
      <c r="H3" s="2">
        <f>('[1]Pc, Summer, S2'!H3*Main!$B$5)+(_xlfn.IFNA(VLOOKUP($A3,'FL Ratio'!$A$3:$B$10,2,FALSE),0)*'FL Characterization'!H$2)</f>
        <v>51.036425129424963</v>
      </c>
      <c r="I3" s="2">
        <f>('[1]Pc, Summer, S2'!I3*Main!$B$5)+(_xlfn.IFNA(VLOOKUP($A3,'FL Ratio'!$A$3:$B$10,2,FALSE),0)*'FL Characterization'!I$2)</f>
        <v>60.467240747574998</v>
      </c>
      <c r="J3" s="2">
        <f>('[1]Pc, Summer, S2'!J3*Main!$B$5)+(_xlfn.IFNA(VLOOKUP($A3,'FL Ratio'!$A$3:$B$10,2,FALSE),0)*'FL Characterization'!J$2)</f>
        <v>63.045781165869194</v>
      </c>
      <c r="K3" s="2">
        <f>('[1]Pc, Summer, S2'!K3*Main!$B$5)+(_xlfn.IFNA(VLOOKUP($A3,'FL Ratio'!$A$3:$B$10,2,FALSE),0)*'FL Characterization'!K$2)</f>
        <v>61.88794347827578</v>
      </c>
      <c r="L3" s="2">
        <f>('[1]Pc, Summer, S2'!L3*Main!$B$5)+(_xlfn.IFNA(VLOOKUP($A3,'FL Ratio'!$A$3:$B$10,2,FALSE),0)*'FL Characterization'!L$2)</f>
        <v>61.656447590867465</v>
      </c>
      <c r="M3" s="2">
        <f>('[1]Pc, Summer, S2'!M3*Main!$B$5)+(_xlfn.IFNA(VLOOKUP($A3,'FL Ratio'!$A$3:$B$10,2,FALSE),0)*'FL Characterization'!M$2)</f>
        <v>65.753561916230041</v>
      </c>
      <c r="N3" s="2">
        <f>('[1]Pc, Summer, S2'!N3*Main!$B$5)+(_xlfn.IFNA(VLOOKUP($A3,'FL Ratio'!$A$3:$B$10,2,FALSE),0)*'FL Characterization'!N$2)</f>
        <v>65.96843855904045</v>
      </c>
      <c r="O3" s="2">
        <f>('[1]Pc, Summer, S2'!O3*Main!$B$5)+(_xlfn.IFNA(VLOOKUP($A3,'FL Ratio'!$A$3:$B$10,2,FALSE),0)*'FL Characterization'!O$2)</f>
        <v>66.454624094288249</v>
      </c>
      <c r="P3" s="2">
        <f>('[1]Pc, Summer, S2'!P3*Main!$B$5)+(_xlfn.IFNA(VLOOKUP($A3,'FL Ratio'!$A$3:$B$10,2,FALSE),0)*'FL Characterization'!P$2)</f>
        <v>63.244710215543464</v>
      </c>
      <c r="Q3" s="2">
        <f>('[1]Pc, Summer, S2'!Q3*Main!$B$5)+(_xlfn.IFNA(VLOOKUP($A3,'FL Ratio'!$A$3:$B$10,2,FALSE),0)*'FL Characterization'!Q$2)</f>
        <v>59.915676361155192</v>
      </c>
      <c r="R3" s="2">
        <f>('[1]Pc, Summer, S2'!R3*Main!$B$5)+(_xlfn.IFNA(VLOOKUP($A3,'FL Ratio'!$A$3:$B$10,2,FALSE),0)*'FL Characterization'!R$2)</f>
        <v>55.401114347198195</v>
      </c>
      <c r="S3" s="2">
        <f>('[1]Pc, Summer, S2'!S3*Main!$B$5)+(_xlfn.IFNA(VLOOKUP($A3,'FL Ratio'!$A$3:$B$10,2,FALSE),0)*'FL Characterization'!S$2)</f>
        <v>56.050085217908432</v>
      </c>
      <c r="T3" s="2">
        <f>('[1]Pc, Summer, S2'!T3*Main!$B$5)+(_xlfn.IFNA(VLOOKUP($A3,'FL Ratio'!$A$3:$B$10,2,FALSE),0)*'FL Characterization'!T$2)</f>
        <v>55.523384221389982</v>
      </c>
      <c r="U3" s="2">
        <f>('[1]Pc, Summer, S2'!U3*Main!$B$5)+(_xlfn.IFNA(VLOOKUP($A3,'FL Ratio'!$A$3:$B$10,2,FALSE),0)*'FL Characterization'!U$2)</f>
        <v>55.301272674781238</v>
      </c>
      <c r="V3" s="2">
        <f>('[1]Pc, Summer, S2'!V3*Main!$B$5)+(_xlfn.IFNA(VLOOKUP($A3,'FL Ratio'!$A$3:$B$10,2,FALSE),0)*'FL Characterization'!V$2)</f>
        <v>55.574028547978294</v>
      </c>
      <c r="W3" s="2">
        <f>('[1]Pc, Summer, S2'!W3*Main!$B$5)+(_xlfn.IFNA(VLOOKUP($A3,'FL Ratio'!$A$3:$B$10,2,FALSE),0)*'FL Characterization'!W$2)</f>
        <v>55.268956771148694</v>
      </c>
      <c r="X3" s="2">
        <f>('[1]Pc, Summer, S2'!X3*Main!$B$5)+(_xlfn.IFNA(VLOOKUP($A3,'FL Ratio'!$A$3:$B$10,2,FALSE),0)*'FL Characterization'!X$2)</f>
        <v>55.059864266135762</v>
      </c>
      <c r="Y3" s="2">
        <f>('[1]Pc, Summer, S2'!Y3*Main!$B$5)+(_xlfn.IFNA(VLOOKUP($A3,'FL Ratio'!$A$3:$B$10,2,FALSE),0)*'FL Characterization'!Y$2)</f>
        <v>52.125192626518135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61.640915696341452</v>
      </c>
      <c r="C4" s="2">
        <f>('[1]Pc, Summer, S2'!C4*Main!$B$5)+(_xlfn.IFNA(VLOOKUP($A4,'FL Ratio'!$A$3:$B$10,2,FALSE),0)*'FL Characterization'!C$2)</f>
        <v>54.716316153718765</v>
      </c>
      <c r="D4" s="2">
        <f>('[1]Pc, Summer, S2'!D4*Main!$B$5)+(_xlfn.IFNA(VLOOKUP($A4,'FL Ratio'!$A$3:$B$10,2,FALSE),0)*'FL Characterization'!D$2)</f>
        <v>51.586484735135002</v>
      </c>
      <c r="E4" s="2">
        <f>('[1]Pc, Summer, S2'!E4*Main!$B$5)+(_xlfn.IFNA(VLOOKUP($A4,'FL Ratio'!$A$3:$B$10,2,FALSE),0)*'FL Characterization'!E$2)</f>
        <v>49.894339483936044</v>
      </c>
      <c r="F4" s="2">
        <f>('[1]Pc, Summer, S2'!F4*Main!$B$5)+(_xlfn.IFNA(VLOOKUP($A4,'FL Ratio'!$A$3:$B$10,2,FALSE),0)*'FL Characterization'!F$2)</f>
        <v>52.266655930498054</v>
      </c>
      <c r="G4" s="2">
        <f>('[1]Pc, Summer, S2'!G4*Main!$B$5)+(_xlfn.IFNA(VLOOKUP($A4,'FL Ratio'!$A$3:$B$10,2,FALSE),0)*'FL Characterization'!G$2)</f>
        <v>47.729756995622964</v>
      </c>
      <c r="H4" s="2">
        <f>('[1]Pc, Summer, S2'!H4*Main!$B$5)+(_xlfn.IFNA(VLOOKUP($A4,'FL Ratio'!$A$3:$B$10,2,FALSE),0)*'FL Characterization'!H$2)</f>
        <v>56.068867469921081</v>
      </c>
      <c r="I4" s="2">
        <f>('[1]Pc, Summer, S2'!I4*Main!$B$5)+(_xlfn.IFNA(VLOOKUP($A4,'FL Ratio'!$A$3:$B$10,2,FALSE),0)*'FL Characterization'!I$2)</f>
        <v>62.89613261604449</v>
      </c>
      <c r="J4" s="2">
        <f>('[1]Pc, Summer, S2'!J4*Main!$B$5)+(_xlfn.IFNA(VLOOKUP($A4,'FL Ratio'!$A$3:$B$10,2,FALSE),0)*'FL Characterization'!J$2)</f>
        <v>70.761842394174479</v>
      </c>
      <c r="K4" s="2">
        <f>('[1]Pc, Summer, S2'!K4*Main!$B$5)+(_xlfn.IFNA(VLOOKUP($A4,'FL Ratio'!$A$3:$B$10,2,FALSE),0)*'FL Characterization'!K$2)</f>
        <v>76.076141501255975</v>
      </c>
      <c r="L4" s="2">
        <f>('[1]Pc, Summer, S2'!L4*Main!$B$5)+(_xlfn.IFNA(VLOOKUP($A4,'FL Ratio'!$A$3:$B$10,2,FALSE),0)*'FL Characterization'!L$2)</f>
        <v>78.292654497886133</v>
      </c>
      <c r="M4" s="2">
        <f>('[1]Pc, Summer, S2'!M4*Main!$B$5)+(_xlfn.IFNA(VLOOKUP($A4,'FL Ratio'!$A$3:$B$10,2,FALSE),0)*'FL Characterization'!M$2)</f>
        <v>79.599511881079408</v>
      </c>
      <c r="N4" s="2">
        <f>('[1]Pc, Summer, S2'!N4*Main!$B$5)+(_xlfn.IFNA(VLOOKUP($A4,'FL Ratio'!$A$3:$B$10,2,FALSE),0)*'FL Characterization'!N$2)</f>
        <v>81.37022556584796</v>
      </c>
      <c r="O4" s="2">
        <f>('[1]Pc, Summer, S2'!O4*Main!$B$5)+(_xlfn.IFNA(VLOOKUP($A4,'FL Ratio'!$A$3:$B$10,2,FALSE),0)*'FL Characterization'!O$2)</f>
        <v>82.518136384771012</v>
      </c>
      <c r="P4" s="2">
        <f>('[1]Pc, Summer, S2'!P4*Main!$B$5)+(_xlfn.IFNA(VLOOKUP($A4,'FL Ratio'!$A$3:$B$10,2,FALSE),0)*'FL Characterization'!P$2)</f>
        <v>82.87360091482023</v>
      </c>
      <c r="Q4" s="2">
        <f>('[1]Pc, Summer, S2'!Q4*Main!$B$5)+(_xlfn.IFNA(VLOOKUP($A4,'FL Ratio'!$A$3:$B$10,2,FALSE),0)*'FL Characterization'!Q$2)</f>
        <v>79.773288616318212</v>
      </c>
      <c r="R4" s="2">
        <f>('[1]Pc, Summer, S2'!R4*Main!$B$5)+(_xlfn.IFNA(VLOOKUP($A4,'FL Ratio'!$A$3:$B$10,2,FALSE),0)*'FL Characterization'!R$2)</f>
        <v>79.322855395055015</v>
      </c>
      <c r="S4" s="2">
        <f>('[1]Pc, Summer, S2'!S4*Main!$B$5)+(_xlfn.IFNA(VLOOKUP($A4,'FL Ratio'!$A$3:$B$10,2,FALSE),0)*'FL Characterization'!S$2)</f>
        <v>76.903640109954054</v>
      </c>
      <c r="T4" s="2">
        <f>('[1]Pc, Summer, S2'!T4*Main!$B$5)+(_xlfn.IFNA(VLOOKUP($A4,'FL Ratio'!$A$3:$B$10,2,FALSE),0)*'FL Characterization'!T$2)</f>
        <v>76.774865259737865</v>
      </c>
      <c r="U4" s="2">
        <f>('[1]Pc, Summer, S2'!U4*Main!$B$5)+(_xlfn.IFNA(VLOOKUP($A4,'FL Ratio'!$A$3:$B$10,2,FALSE),0)*'FL Characterization'!U$2)</f>
        <v>77.177824477622082</v>
      </c>
      <c r="V4" s="2">
        <f>('[1]Pc, Summer, S2'!V4*Main!$B$5)+(_xlfn.IFNA(VLOOKUP($A4,'FL Ratio'!$A$3:$B$10,2,FALSE),0)*'FL Characterization'!V$2)</f>
        <v>76.820486221292825</v>
      </c>
      <c r="W4" s="2">
        <f>('[1]Pc, Summer, S2'!W4*Main!$B$5)+(_xlfn.IFNA(VLOOKUP($A4,'FL Ratio'!$A$3:$B$10,2,FALSE),0)*'FL Characterization'!W$2)</f>
        <v>79.240644719415968</v>
      </c>
      <c r="X4" s="2">
        <f>('[1]Pc, Summer, S2'!X4*Main!$B$5)+(_xlfn.IFNA(VLOOKUP($A4,'FL Ratio'!$A$3:$B$10,2,FALSE),0)*'FL Characterization'!X$2)</f>
        <v>79.190099112044805</v>
      </c>
      <c r="Y4" s="2">
        <f>('[1]Pc, Summer, S2'!Y4*Main!$B$5)+(_xlfn.IFNA(VLOOKUP($A4,'FL Ratio'!$A$3:$B$10,2,FALSE),0)*'FL Characterization'!Y$2)</f>
        <v>71.477232614432651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092C-A374-4AA2-A2BC-FB6911C52662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42.919440090837661</v>
      </c>
      <c r="C2" s="2">
        <f>('[1]Pc, Summer, S2'!C2*Main!$B$5)+(_xlfn.IFNA(VLOOKUP($A2,'FL Ratio'!$A$3:$B$10,2,FALSE),0)*'FL Characterization'!C$2)</f>
        <v>38.994231998630639</v>
      </c>
      <c r="D2" s="2">
        <f>('[1]Pc, Summer, S2'!D2*Main!$B$5)+(_xlfn.IFNA(VLOOKUP($A2,'FL Ratio'!$A$3:$B$10,2,FALSE),0)*'FL Characterization'!D$2)</f>
        <v>38.313104111464085</v>
      </c>
      <c r="E2" s="2">
        <f>('[1]Pc, Summer, S2'!E2*Main!$B$5)+(_xlfn.IFNA(VLOOKUP($A2,'FL Ratio'!$A$3:$B$10,2,FALSE),0)*'FL Characterization'!E$2)</f>
        <v>38.215230833115797</v>
      </c>
      <c r="F2" s="2">
        <f>('[1]Pc, Summer, S2'!F2*Main!$B$5)+(_xlfn.IFNA(VLOOKUP($A2,'FL Ratio'!$A$3:$B$10,2,FALSE),0)*'FL Characterization'!F$2)</f>
        <v>38.218243726132549</v>
      </c>
      <c r="G2" s="2">
        <f>('[1]Pc, Summer, S2'!G2*Main!$B$5)+(_xlfn.IFNA(VLOOKUP($A2,'FL Ratio'!$A$3:$B$10,2,FALSE),0)*'FL Characterization'!G$2)</f>
        <v>37.880252745747434</v>
      </c>
      <c r="H2" s="2">
        <f>('[1]Pc, Summer, S2'!H2*Main!$B$5)+(_xlfn.IFNA(VLOOKUP($A2,'FL Ratio'!$A$3:$B$10,2,FALSE),0)*'FL Characterization'!H$2)</f>
        <v>40.895114290904537</v>
      </c>
      <c r="I2" s="2">
        <f>('[1]Pc, Summer, S2'!I2*Main!$B$5)+(_xlfn.IFNA(VLOOKUP($A2,'FL Ratio'!$A$3:$B$10,2,FALSE),0)*'FL Characterization'!I$2)</f>
        <v>48.55249166372802</v>
      </c>
      <c r="J2" s="2">
        <f>('[1]Pc, Summer, S2'!J2*Main!$B$5)+(_xlfn.IFNA(VLOOKUP($A2,'FL Ratio'!$A$3:$B$10,2,FALSE),0)*'FL Characterization'!J$2)</f>
        <v>55.336034751083311</v>
      </c>
      <c r="K2" s="2">
        <f>('[1]Pc, Summer, S2'!K2*Main!$B$5)+(_xlfn.IFNA(VLOOKUP($A2,'FL Ratio'!$A$3:$B$10,2,FALSE),0)*'FL Characterization'!K$2)</f>
        <v>57.036403152603768</v>
      </c>
      <c r="L2" s="2">
        <f>('[1]Pc, Summer, S2'!L2*Main!$B$5)+(_xlfn.IFNA(VLOOKUP($A2,'FL Ratio'!$A$3:$B$10,2,FALSE),0)*'FL Characterization'!L$2)</f>
        <v>56.459209968895685</v>
      </c>
      <c r="M2" s="2">
        <f>('[1]Pc, Summer, S2'!M2*Main!$B$5)+(_xlfn.IFNA(VLOOKUP($A2,'FL Ratio'!$A$3:$B$10,2,FALSE),0)*'FL Characterization'!M$2)</f>
        <v>58.055797824383291</v>
      </c>
      <c r="N2" s="2">
        <f>('[1]Pc, Summer, S2'!N2*Main!$B$5)+(_xlfn.IFNA(VLOOKUP($A2,'FL Ratio'!$A$3:$B$10,2,FALSE),0)*'FL Characterization'!N$2)</f>
        <v>58.852200959454258</v>
      </c>
      <c r="O2" s="2">
        <f>('[1]Pc, Summer, S2'!O2*Main!$B$5)+(_xlfn.IFNA(VLOOKUP($A2,'FL Ratio'!$A$3:$B$10,2,FALSE),0)*'FL Characterization'!O$2)</f>
        <v>57.763545497329602</v>
      </c>
      <c r="P2" s="2">
        <f>('[1]Pc, Summer, S2'!P2*Main!$B$5)+(_xlfn.IFNA(VLOOKUP($A2,'FL Ratio'!$A$3:$B$10,2,FALSE),0)*'FL Characterization'!P$2)</f>
        <v>55.506422900602495</v>
      </c>
      <c r="Q2" s="2">
        <f>('[1]Pc, Summer, S2'!Q2*Main!$B$5)+(_xlfn.IFNA(VLOOKUP($A2,'FL Ratio'!$A$3:$B$10,2,FALSE),0)*'FL Characterization'!Q$2)</f>
        <v>53.272385139191236</v>
      </c>
      <c r="R2" s="2">
        <f>('[1]Pc, Summer, S2'!R2*Main!$B$5)+(_xlfn.IFNA(VLOOKUP($A2,'FL Ratio'!$A$3:$B$10,2,FALSE),0)*'FL Characterization'!R$2)</f>
        <v>54.201813668238024</v>
      </c>
      <c r="S2" s="2">
        <f>('[1]Pc, Summer, S2'!S2*Main!$B$5)+(_xlfn.IFNA(VLOOKUP($A2,'FL Ratio'!$A$3:$B$10,2,FALSE),0)*'FL Characterization'!S$2)</f>
        <v>54.737314047549191</v>
      </c>
      <c r="T2" s="2">
        <f>('[1]Pc, Summer, S2'!T2*Main!$B$5)+(_xlfn.IFNA(VLOOKUP($A2,'FL Ratio'!$A$3:$B$10,2,FALSE),0)*'FL Characterization'!T$2)</f>
        <v>54.969653611813378</v>
      </c>
      <c r="U2" s="2">
        <f>('[1]Pc, Summer, S2'!U2*Main!$B$5)+(_xlfn.IFNA(VLOOKUP($A2,'FL Ratio'!$A$3:$B$10,2,FALSE),0)*'FL Characterization'!U$2)</f>
        <v>54.059653129985058</v>
      </c>
      <c r="V2" s="2">
        <f>('[1]Pc, Summer, S2'!V2*Main!$B$5)+(_xlfn.IFNA(VLOOKUP($A2,'FL Ratio'!$A$3:$B$10,2,FALSE),0)*'FL Characterization'!V$2)</f>
        <v>54.222078573979971</v>
      </c>
      <c r="W2" s="2">
        <f>('[1]Pc, Summer, S2'!W2*Main!$B$5)+(_xlfn.IFNA(VLOOKUP($A2,'FL Ratio'!$A$3:$B$10,2,FALSE),0)*'FL Characterization'!W$2)</f>
        <v>56.467846990822956</v>
      </c>
      <c r="X2" s="2">
        <f>('[1]Pc, Summer, S2'!X2*Main!$B$5)+(_xlfn.IFNA(VLOOKUP($A2,'FL Ratio'!$A$3:$B$10,2,FALSE),0)*'FL Characterization'!X$2)</f>
        <v>52.634868106225369</v>
      </c>
      <c r="Y2" s="2">
        <f>('[1]Pc, Summer, S2'!Y2*Main!$B$5)+(_xlfn.IFNA(VLOOKUP($A2,'FL Ratio'!$A$3:$B$10,2,FALSE),0)*'FL Characterization'!Y$2)</f>
        <v>48.250090106166439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46.481815816391318</v>
      </c>
      <c r="C3" s="2">
        <f>('[1]Pc, Summer, S2'!C3*Main!$B$5)+(_xlfn.IFNA(VLOOKUP($A3,'FL Ratio'!$A$3:$B$10,2,FALSE),0)*'FL Characterization'!C$2)</f>
        <v>42.687168328372906</v>
      </c>
      <c r="D3" s="2">
        <f>('[1]Pc, Summer, S2'!D3*Main!$B$5)+(_xlfn.IFNA(VLOOKUP($A3,'FL Ratio'!$A$3:$B$10,2,FALSE),0)*'FL Characterization'!D$2)</f>
        <v>40.427435632851029</v>
      </c>
      <c r="E3" s="2">
        <f>('[1]Pc, Summer, S2'!E3*Main!$B$5)+(_xlfn.IFNA(VLOOKUP($A3,'FL Ratio'!$A$3:$B$10,2,FALSE),0)*'FL Characterization'!E$2)</f>
        <v>38.942845619403244</v>
      </c>
      <c r="F3" s="2">
        <f>('[1]Pc, Summer, S2'!F3*Main!$B$5)+(_xlfn.IFNA(VLOOKUP($A3,'FL Ratio'!$A$3:$B$10,2,FALSE),0)*'FL Characterization'!F$2)</f>
        <v>38.47305919943166</v>
      </c>
      <c r="G3" s="2">
        <f>('[1]Pc, Summer, S2'!G3*Main!$B$5)+(_xlfn.IFNA(VLOOKUP($A3,'FL Ratio'!$A$3:$B$10,2,FALSE),0)*'FL Characterization'!G$2)</f>
        <v>40.775705474896398</v>
      </c>
      <c r="H3" s="2">
        <f>('[1]Pc, Summer, S2'!H3*Main!$B$5)+(_xlfn.IFNA(VLOOKUP($A3,'FL Ratio'!$A$3:$B$10,2,FALSE),0)*'FL Characterization'!H$2)</f>
        <v>51.036425129424963</v>
      </c>
      <c r="I3" s="2">
        <f>('[1]Pc, Summer, S2'!I3*Main!$B$5)+(_xlfn.IFNA(VLOOKUP($A3,'FL Ratio'!$A$3:$B$10,2,FALSE),0)*'FL Characterization'!I$2)</f>
        <v>60.467240747574998</v>
      </c>
      <c r="J3" s="2">
        <f>('[1]Pc, Summer, S2'!J3*Main!$B$5)+(_xlfn.IFNA(VLOOKUP($A3,'FL Ratio'!$A$3:$B$10,2,FALSE),0)*'FL Characterization'!J$2)</f>
        <v>63.045781165869194</v>
      </c>
      <c r="K3" s="2">
        <f>('[1]Pc, Summer, S2'!K3*Main!$B$5)+(_xlfn.IFNA(VLOOKUP($A3,'FL Ratio'!$A$3:$B$10,2,FALSE),0)*'FL Characterization'!K$2)</f>
        <v>61.88794347827578</v>
      </c>
      <c r="L3" s="2">
        <f>('[1]Pc, Summer, S2'!L3*Main!$B$5)+(_xlfn.IFNA(VLOOKUP($A3,'FL Ratio'!$A$3:$B$10,2,FALSE),0)*'FL Characterization'!L$2)</f>
        <v>61.656447590867465</v>
      </c>
      <c r="M3" s="2">
        <f>('[1]Pc, Summer, S2'!M3*Main!$B$5)+(_xlfn.IFNA(VLOOKUP($A3,'FL Ratio'!$A$3:$B$10,2,FALSE),0)*'FL Characterization'!M$2)</f>
        <v>65.753561916230041</v>
      </c>
      <c r="N3" s="2">
        <f>('[1]Pc, Summer, S2'!N3*Main!$B$5)+(_xlfn.IFNA(VLOOKUP($A3,'FL Ratio'!$A$3:$B$10,2,FALSE),0)*'FL Characterization'!N$2)</f>
        <v>65.96843855904045</v>
      </c>
      <c r="O3" s="2">
        <f>('[1]Pc, Summer, S2'!O3*Main!$B$5)+(_xlfn.IFNA(VLOOKUP($A3,'FL Ratio'!$A$3:$B$10,2,FALSE),0)*'FL Characterization'!O$2)</f>
        <v>66.454624094288249</v>
      </c>
      <c r="P3" s="2">
        <f>('[1]Pc, Summer, S2'!P3*Main!$B$5)+(_xlfn.IFNA(VLOOKUP($A3,'FL Ratio'!$A$3:$B$10,2,FALSE),0)*'FL Characterization'!P$2)</f>
        <v>63.244710215543464</v>
      </c>
      <c r="Q3" s="2">
        <f>('[1]Pc, Summer, S2'!Q3*Main!$B$5)+(_xlfn.IFNA(VLOOKUP($A3,'FL Ratio'!$A$3:$B$10,2,FALSE),0)*'FL Characterization'!Q$2)</f>
        <v>59.915676361155192</v>
      </c>
      <c r="R3" s="2">
        <f>('[1]Pc, Summer, S2'!R3*Main!$B$5)+(_xlfn.IFNA(VLOOKUP($A3,'FL Ratio'!$A$3:$B$10,2,FALSE),0)*'FL Characterization'!R$2)</f>
        <v>55.401114347198195</v>
      </c>
      <c r="S3" s="2">
        <f>('[1]Pc, Summer, S2'!S3*Main!$B$5)+(_xlfn.IFNA(VLOOKUP($A3,'FL Ratio'!$A$3:$B$10,2,FALSE),0)*'FL Characterization'!S$2)</f>
        <v>56.050085217908432</v>
      </c>
      <c r="T3" s="2">
        <f>('[1]Pc, Summer, S2'!T3*Main!$B$5)+(_xlfn.IFNA(VLOOKUP($A3,'FL Ratio'!$A$3:$B$10,2,FALSE),0)*'FL Characterization'!T$2)</f>
        <v>55.523384221389982</v>
      </c>
      <c r="U3" s="2">
        <f>('[1]Pc, Summer, S2'!U3*Main!$B$5)+(_xlfn.IFNA(VLOOKUP($A3,'FL Ratio'!$A$3:$B$10,2,FALSE),0)*'FL Characterization'!U$2)</f>
        <v>55.301272674781238</v>
      </c>
      <c r="V3" s="2">
        <f>('[1]Pc, Summer, S2'!V3*Main!$B$5)+(_xlfn.IFNA(VLOOKUP($A3,'FL Ratio'!$A$3:$B$10,2,FALSE),0)*'FL Characterization'!V$2)</f>
        <v>55.574028547978294</v>
      </c>
      <c r="W3" s="2">
        <f>('[1]Pc, Summer, S2'!W3*Main!$B$5)+(_xlfn.IFNA(VLOOKUP($A3,'FL Ratio'!$A$3:$B$10,2,FALSE),0)*'FL Characterization'!W$2)</f>
        <v>55.268956771148694</v>
      </c>
      <c r="X3" s="2">
        <f>('[1]Pc, Summer, S2'!X3*Main!$B$5)+(_xlfn.IFNA(VLOOKUP($A3,'FL Ratio'!$A$3:$B$10,2,FALSE),0)*'FL Characterization'!X$2)</f>
        <v>55.059864266135762</v>
      </c>
      <c r="Y3" s="2">
        <f>('[1]Pc, Summer, S2'!Y3*Main!$B$5)+(_xlfn.IFNA(VLOOKUP($A3,'FL Ratio'!$A$3:$B$10,2,FALSE),0)*'FL Characterization'!Y$2)</f>
        <v>52.125192626518135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61.640915696341452</v>
      </c>
      <c r="C4" s="2">
        <f>('[1]Pc, Summer, S2'!C4*Main!$B$5)+(_xlfn.IFNA(VLOOKUP($A4,'FL Ratio'!$A$3:$B$10,2,FALSE),0)*'FL Characterization'!C$2)</f>
        <v>54.716316153718765</v>
      </c>
      <c r="D4" s="2">
        <f>('[1]Pc, Summer, S2'!D4*Main!$B$5)+(_xlfn.IFNA(VLOOKUP($A4,'FL Ratio'!$A$3:$B$10,2,FALSE),0)*'FL Characterization'!D$2)</f>
        <v>51.586484735135002</v>
      </c>
      <c r="E4" s="2">
        <f>('[1]Pc, Summer, S2'!E4*Main!$B$5)+(_xlfn.IFNA(VLOOKUP($A4,'FL Ratio'!$A$3:$B$10,2,FALSE),0)*'FL Characterization'!E$2)</f>
        <v>49.894339483936044</v>
      </c>
      <c r="F4" s="2">
        <f>('[1]Pc, Summer, S2'!F4*Main!$B$5)+(_xlfn.IFNA(VLOOKUP($A4,'FL Ratio'!$A$3:$B$10,2,FALSE),0)*'FL Characterization'!F$2)</f>
        <v>52.266655930498054</v>
      </c>
      <c r="G4" s="2">
        <f>('[1]Pc, Summer, S2'!G4*Main!$B$5)+(_xlfn.IFNA(VLOOKUP($A4,'FL Ratio'!$A$3:$B$10,2,FALSE),0)*'FL Characterization'!G$2)</f>
        <v>47.729756995622964</v>
      </c>
      <c r="H4" s="2">
        <f>('[1]Pc, Summer, S2'!H4*Main!$B$5)+(_xlfn.IFNA(VLOOKUP($A4,'FL Ratio'!$A$3:$B$10,2,FALSE),0)*'FL Characterization'!H$2)</f>
        <v>56.068867469921081</v>
      </c>
      <c r="I4" s="2">
        <f>('[1]Pc, Summer, S2'!I4*Main!$B$5)+(_xlfn.IFNA(VLOOKUP($A4,'FL Ratio'!$A$3:$B$10,2,FALSE),0)*'FL Characterization'!I$2)</f>
        <v>62.89613261604449</v>
      </c>
      <c r="J4" s="2">
        <f>('[1]Pc, Summer, S2'!J4*Main!$B$5)+(_xlfn.IFNA(VLOOKUP($A4,'FL Ratio'!$A$3:$B$10,2,FALSE),0)*'FL Characterization'!J$2)</f>
        <v>70.761842394174479</v>
      </c>
      <c r="K4" s="2">
        <f>('[1]Pc, Summer, S2'!K4*Main!$B$5)+(_xlfn.IFNA(VLOOKUP($A4,'FL Ratio'!$A$3:$B$10,2,FALSE),0)*'FL Characterization'!K$2)</f>
        <v>76.076141501255975</v>
      </c>
      <c r="L4" s="2">
        <f>('[1]Pc, Summer, S2'!L4*Main!$B$5)+(_xlfn.IFNA(VLOOKUP($A4,'FL Ratio'!$A$3:$B$10,2,FALSE),0)*'FL Characterization'!L$2)</f>
        <v>78.292654497886133</v>
      </c>
      <c r="M4" s="2">
        <f>('[1]Pc, Summer, S2'!M4*Main!$B$5)+(_xlfn.IFNA(VLOOKUP($A4,'FL Ratio'!$A$3:$B$10,2,FALSE),0)*'FL Characterization'!M$2)</f>
        <v>79.599511881079408</v>
      </c>
      <c r="N4" s="2">
        <f>('[1]Pc, Summer, S2'!N4*Main!$B$5)+(_xlfn.IFNA(VLOOKUP($A4,'FL Ratio'!$A$3:$B$10,2,FALSE),0)*'FL Characterization'!N$2)</f>
        <v>81.37022556584796</v>
      </c>
      <c r="O4" s="2">
        <f>('[1]Pc, Summer, S2'!O4*Main!$B$5)+(_xlfn.IFNA(VLOOKUP($A4,'FL Ratio'!$A$3:$B$10,2,FALSE),0)*'FL Characterization'!O$2)</f>
        <v>82.518136384771012</v>
      </c>
      <c r="P4" s="2">
        <f>('[1]Pc, Summer, S2'!P4*Main!$B$5)+(_xlfn.IFNA(VLOOKUP($A4,'FL Ratio'!$A$3:$B$10,2,FALSE),0)*'FL Characterization'!P$2)</f>
        <v>82.87360091482023</v>
      </c>
      <c r="Q4" s="2">
        <f>('[1]Pc, Summer, S2'!Q4*Main!$B$5)+(_xlfn.IFNA(VLOOKUP($A4,'FL Ratio'!$A$3:$B$10,2,FALSE),0)*'FL Characterization'!Q$2)</f>
        <v>79.773288616318212</v>
      </c>
      <c r="R4" s="2">
        <f>('[1]Pc, Summer, S2'!R4*Main!$B$5)+(_xlfn.IFNA(VLOOKUP($A4,'FL Ratio'!$A$3:$B$10,2,FALSE),0)*'FL Characterization'!R$2)</f>
        <v>79.322855395055015</v>
      </c>
      <c r="S4" s="2">
        <f>('[1]Pc, Summer, S2'!S4*Main!$B$5)+(_xlfn.IFNA(VLOOKUP($A4,'FL Ratio'!$A$3:$B$10,2,FALSE),0)*'FL Characterization'!S$2)</f>
        <v>76.903640109954054</v>
      </c>
      <c r="T4" s="2">
        <f>('[1]Pc, Summer, S2'!T4*Main!$B$5)+(_xlfn.IFNA(VLOOKUP($A4,'FL Ratio'!$A$3:$B$10,2,FALSE),0)*'FL Characterization'!T$2)</f>
        <v>76.774865259737865</v>
      </c>
      <c r="U4" s="2">
        <f>('[1]Pc, Summer, S2'!U4*Main!$B$5)+(_xlfn.IFNA(VLOOKUP($A4,'FL Ratio'!$A$3:$B$10,2,FALSE),0)*'FL Characterization'!U$2)</f>
        <v>77.177824477622082</v>
      </c>
      <c r="V4" s="2">
        <f>('[1]Pc, Summer, S2'!V4*Main!$B$5)+(_xlfn.IFNA(VLOOKUP($A4,'FL Ratio'!$A$3:$B$10,2,FALSE),0)*'FL Characterization'!V$2)</f>
        <v>76.820486221292825</v>
      </c>
      <c r="W4" s="2">
        <f>('[1]Pc, Summer, S2'!W4*Main!$B$5)+(_xlfn.IFNA(VLOOKUP($A4,'FL Ratio'!$A$3:$B$10,2,FALSE),0)*'FL Characterization'!W$2)</f>
        <v>79.240644719415968</v>
      </c>
      <c r="X4" s="2">
        <f>('[1]Pc, Summer, S2'!X4*Main!$B$5)+(_xlfn.IFNA(VLOOKUP($A4,'FL Ratio'!$A$3:$B$10,2,FALSE),0)*'FL Characterization'!X$2)</f>
        <v>79.190099112044805</v>
      </c>
      <c r="Y4" s="2">
        <f>('[1]Pc, Summer, S2'!Y4*Main!$B$5)+(_xlfn.IFNA(VLOOKUP($A4,'FL Ratio'!$A$3:$B$10,2,FALSE),0)*'FL Characterization'!Y$2)</f>
        <v>71.477232614432651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F9CD-CB3D-425C-A8DE-D4D872192F8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40.835972125263012</v>
      </c>
      <c r="C2" s="2">
        <f>('[1]Pc, Summer, S3'!C2*Main!$B$5)+(_xlfn.IFNA(VLOOKUP($A2,'FL Ratio'!$A$3:$B$10,2,FALSE),0)*'FL Characterization'!C$2)</f>
        <v>37.101308115201967</v>
      </c>
      <c r="D2" s="2">
        <f>('[1]Pc, Summer, S3'!D2*Main!$B$5)+(_xlfn.IFNA(VLOOKUP($A2,'FL Ratio'!$A$3:$B$10,2,FALSE),0)*'FL Characterization'!D$2)</f>
        <v>36.453244688577485</v>
      </c>
      <c r="E2" s="2">
        <f>('[1]Pc, Summer, S3'!E2*Main!$B$5)+(_xlfn.IFNA(VLOOKUP($A2,'FL Ratio'!$A$3:$B$10,2,FALSE),0)*'FL Characterization'!E$2)</f>
        <v>36.360122540246095</v>
      </c>
      <c r="F2" s="2">
        <f>('[1]Pc, Summer, S3'!F2*Main!$B$5)+(_xlfn.IFNA(VLOOKUP($A2,'FL Ratio'!$A$3:$B$10,2,FALSE),0)*'FL Characterization'!F$2)</f>
        <v>36.362989176320283</v>
      </c>
      <c r="G2" s="2">
        <f>('[1]Pc, Summer, S3'!G2*Main!$B$5)+(_xlfn.IFNA(VLOOKUP($A2,'FL Ratio'!$A$3:$B$10,2,FALSE),0)*'FL Characterization'!G$2)</f>
        <v>36.04140552508008</v>
      </c>
      <c r="H2" s="2">
        <f>('[1]Pc, Summer, S3'!H2*Main!$B$5)+(_xlfn.IFNA(VLOOKUP($A2,'FL Ratio'!$A$3:$B$10,2,FALSE),0)*'FL Characterization'!H$2)</f>
        <v>38.909914568045096</v>
      </c>
      <c r="I2" s="2">
        <f>('[1]Pc, Summer, S3'!I2*Main!$B$5)+(_xlfn.IFNA(VLOOKUP($A2,'FL Ratio'!$A$3:$B$10,2,FALSE),0)*'FL Characterization'!I$2)</f>
        <v>46.195574592673267</v>
      </c>
      <c r="J2" s="2">
        <f>('[1]Pc, Summer, S3'!J2*Main!$B$5)+(_xlfn.IFNA(VLOOKUP($A2,'FL Ratio'!$A$3:$B$10,2,FALSE),0)*'FL Characterization'!J$2)</f>
        <v>52.649819471904507</v>
      </c>
      <c r="K2" s="2">
        <f>('[1]Pc, Summer, S3'!K2*Main!$B$5)+(_xlfn.IFNA(VLOOKUP($A2,'FL Ratio'!$A$3:$B$10,2,FALSE),0)*'FL Characterization'!K$2)</f>
        <v>54.267645718011345</v>
      </c>
      <c r="L2" s="2">
        <f>('[1]Pc, Summer, S3'!L2*Main!$B$5)+(_xlfn.IFNA(VLOOKUP($A2,'FL Ratio'!$A$3:$B$10,2,FALSE),0)*'FL Characterization'!L$2)</f>
        <v>53.718471620891052</v>
      </c>
      <c r="M2" s="2">
        <f>('[1]Pc, Summer, S3'!M2*Main!$B$5)+(_xlfn.IFNA(VLOOKUP($A2,'FL Ratio'!$A$3:$B$10,2,FALSE),0)*'FL Characterization'!M$2)</f>
        <v>55.23755521154915</v>
      </c>
      <c r="N2" s="2">
        <f>('[1]Pc, Summer, S3'!N2*Main!$B$5)+(_xlfn.IFNA(VLOOKUP($A2,'FL Ratio'!$A$3:$B$10,2,FALSE),0)*'FL Characterization'!N$2)</f>
        <v>55.995298000257449</v>
      </c>
      <c r="O2" s="2">
        <f>('[1]Pc, Summer, S3'!O2*Main!$B$5)+(_xlfn.IFNA(VLOOKUP($A2,'FL Ratio'!$A$3:$B$10,2,FALSE),0)*'FL Characterization'!O$2)</f>
        <v>54.959489890663114</v>
      </c>
      <c r="P2" s="2">
        <f>('[1]Pc, Summer, S3'!P2*Main!$B$5)+(_xlfn.IFNA(VLOOKUP($A2,'FL Ratio'!$A$3:$B$10,2,FALSE),0)*'FL Characterization'!P$2)</f>
        <v>52.811936352029555</v>
      </c>
      <c r="Q2" s="2">
        <f>('[1]Pc, Summer, S3'!Q2*Main!$B$5)+(_xlfn.IFNA(VLOOKUP($A2,'FL Ratio'!$A$3:$B$10,2,FALSE),0)*'FL Characterization'!Q$2)</f>
        <v>50.686347025638263</v>
      </c>
      <c r="R2" s="2">
        <f>('[1]Pc, Summer, S3'!R2*Main!$B$5)+(_xlfn.IFNA(VLOOKUP($A2,'FL Ratio'!$A$3:$B$10,2,FALSE),0)*'FL Characterization'!R$2)</f>
        <v>51.570657664925491</v>
      </c>
      <c r="S2" s="2">
        <f>('[1]Pc, Summer, S3'!S2*Main!$B$5)+(_xlfn.IFNA(VLOOKUP($A2,'FL Ratio'!$A$3:$B$10,2,FALSE),0)*'FL Characterization'!S$2)</f>
        <v>52.080162880192439</v>
      </c>
      <c r="T2" s="2">
        <f>('[1]Pc, Summer, S3'!T2*Main!$B$5)+(_xlfn.IFNA(VLOOKUP($A2,'FL Ratio'!$A$3:$B$10,2,FALSE),0)*'FL Characterization'!T$2)</f>
        <v>52.301223824832142</v>
      </c>
      <c r="U2" s="2">
        <f>('[1]Pc, Summer, S3'!U2*Main!$B$5)+(_xlfn.IFNA(VLOOKUP($A2,'FL Ratio'!$A$3:$B$10,2,FALSE),0)*'FL Characterization'!U$2)</f>
        <v>51.435398123675107</v>
      </c>
      <c r="V2" s="2">
        <f>('[1]Pc, Summer, S3'!V2*Main!$B$5)+(_xlfn.IFNA(VLOOKUP($A2,'FL Ratio'!$A$3:$B$10,2,FALSE),0)*'FL Characterization'!V$2)</f>
        <v>51.589938837378995</v>
      </c>
      <c r="W2" s="2">
        <f>('[1]Pc, Summer, S3'!W2*Main!$B$5)+(_xlfn.IFNA(VLOOKUP($A2,'FL Ratio'!$A$3:$B$10,2,FALSE),0)*'FL Characterization'!W$2)</f>
        <v>53.726689369909231</v>
      </c>
      <c r="X2" s="2">
        <f>('[1]Pc, Summer, S3'!X2*Main!$B$5)+(_xlfn.IFNA(VLOOKUP($A2,'FL Ratio'!$A$3:$B$10,2,FALSE),0)*'FL Characterization'!X$2)</f>
        <v>50.079777421457152</v>
      </c>
      <c r="Y2" s="2">
        <f>('[1]Pc, Summer, S3'!Y2*Main!$B$5)+(_xlfn.IFNA(VLOOKUP($A2,'FL Ratio'!$A$3:$B$10,2,FALSE),0)*'FL Characterization'!Y$2)</f>
        <v>45.907852722371949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44.369307285798342</v>
      </c>
      <c r="C3" s="2">
        <f>('[1]Pc, Summer, S3'!C3*Main!$B$5)+(_xlfn.IFNA(VLOOKUP($A3,'FL Ratio'!$A$3:$B$10,2,FALSE),0)*'FL Characterization'!C$2)</f>
        <v>40.763665841789425</v>
      </c>
      <c r="D3" s="2">
        <f>('[1]Pc, Summer, S3'!D3*Main!$B$5)+(_xlfn.IFNA(VLOOKUP($A3,'FL Ratio'!$A$3:$B$10,2,FALSE),0)*'FL Characterization'!D$2)</f>
        <v>38.598082059894523</v>
      </c>
      <c r="E3" s="2">
        <f>('[1]Pc, Summer, S3'!E3*Main!$B$5)+(_xlfn.IFNA(VLOOKUP($A3,'FL Ratio'!$A$3:$B$10,2,FALSE),0)*'FL Characterization'!E$2)</f>
        <v>37.178617293131232</v>
      </c>
      <c r="F3" s="2">
        <f>('[1]Pc, Summer, S3'!F3*Main!$B$5)+(_xlfn.IFNA(VLOOKUP($A3,'FL Ratio'!$A$3:$B$10,2,FALSE),0)*'FL Characterization'!F$2)</f>
        <v>36.708830873159648</v>
      </c>
      <c r="G3" s="2">
        <f>('[1]Pc, Summer, S3'!G3*Main!$B$5)+(_xlfn.IFNA(VLOOKUP($A3,'FL Ratio'!$A$3:$B$10,2,FALSE),0)*'FL Characterization'!G$2)</f>
        <v>38.884057699209329</v>
      </c>
      <c r="H3" s="2">
        <f>('[1]Pc, Summer, S3'!H3*Main!$B$5)+(_xlfn.IFNA(VLOOKUP($A3,'FL Ratio'!$A$3:$B$10,2,FALSE),0)*'FL Characterization'!H$2)</f>
        <v>48.666246503594131</v>
      </c>
      <c r="I3" s="2">
        <f>('[1]Pc, Summer, S3'!I3*Main!$B$5)+(_xlfn.IFNA(VLOOKUP($A3,'FL Ratio'!$A$3:$B$10,2,FALSE),0)*'FL Characterization'!I$2)</f>
        <v>57.550575285470934</v>
      </c>
      <c r="J3" s="2">
        <f>('[1]Pc, Summer, S3'!J3*Main!$B$5)+(_xlfn.IFNA(VLOOKUP($A3,'FL Ratio'!$A$3:$B$10,2,FALSE),0)*'FL Characterization'!J$2)</f>
        <v>60.001696101697007</v>
      </c>
      <c r="K3" s="2">
        <f>('[1]Pc, Summer, S3'!K3*Main!$B$5)+(_xlfn.IFNA(VLOOKUP($A3,'FL Ratio'!$A$3:$B$10,2,FALSE),0)*'FL Characterization'!K$2)</f>
        <v>58.907568291065608</v>
      </c>
      <c r="L3" s="2">
        <f>('[1]Pc, Summer, S3'!L3*Main!$B$5)+(_xlfn.IFNA(VLOOKUP($A3,'FL Ratio'!$A$3:$B$10,2,FALSE),0)*'FL Characterization'!L$2)</f>
        <v>58.677487925235702</v>
      </c>
      <c r="M3" s="2">
        <f>('[1]Pc, Summer, S3'!M3*Main!$B$5)+(_xlfn.IFNA(VLOOKUP($A3,'FL Ratio'!$A$3:$B$10,2,FALSE),0)*'FL Characterization'!M$2)</f>
        <v>62.57922529490024</v>
      </c>
      <c r="N3" s="2">
        <f>('[1]Pc, Summer, S3'!N3*Main!$B$5)+(_xlfn.IFNA(VLOOKUP($A3,'FL Ratio'!$A$3:$B$10,2,FALSE),0)*'FL Characterization'!N$2)</f>
        <v>62.79410193771065</v>
      </c>
      <c r="O3" s="2">
        <f>('[1]Pc, Summer, S3'!O3*Main!$B$5)+(_xlfn.IFNA(VLOOKUP($A3,'FL Ratio'!$A$3:$B$10,2,FALSE),0)*'FL Characterization'!O$2)</f>
        <v>63.280287472958456</v>
      </c>
      <c r="P3" s="2">
        <f>('[1]Pc, Summer, S3'!P3*Main!$B$5)+(_xlfn.IFNA(VLOOKUP($A3,'FL Ratio'!$A$3:$B$10,2,FALSE),0)*'FL Characterization'!P$2)</f>
        <v>60.229648210690769</v>
      </c>
      <c r="Q3" s="2">
        <f>('[1]Pc, Summer, S3'!Q3*Main!$B$5)+(_xlfn.IFNA(VLOOKUP($A3,'FL Ratio'!$A$3:$B$10,2,FALSE),0)*'FL Characterization'!Q$2)</f>
        <v>57.061304798269134</v>
      </c>
      <c r="R3" s="2">
        <f>('[1]Pc, Summer, S3'!R3*Main!$B$5)+(_xlfn.IFNA(VLOOKUP($A3,'FL Ratio'!$A$3:$B$10,2,FALSE),0)*'FL Characterization'!R$2)</f>
        <v>52.742119436099038</v>
      </c>
      <c r="S3" s="2">
        <f>('[1]Pc, Summer, S3'!S3*Main!$B$5)+(_xlfn.IFNA(VLOOKUP($A3,'FL Ratio'!$A$3:$B$10,2,FALSE),0)*'FL Characterization'!S$2)</f>
        <v>53.391090306809275</v>
      </c>
      <c r="T3" s="2">
        <f>('[1]Pc, Summer, S3'!T3*Main!$B$5)+(_xlfn.IFNA(VLOOKUP($A3,'FL Ratio'!$A$3:$B$10,2,FALSE),0)*'FL Characterization'!T$2)</f>
        <v>52.864389310290825</v>
      </c>
      <c r="U3" s="2">
        <f>('[1]Pc, Summer, S3'!U3*Main!$B$5)+(_xlfn.IFNA(VLOOKUP($A3,'FL Ratio'!$A$3:$B$10,2,FALSE),0)*'FL Characterization'!U$2)</f>
        <v>52.642277763682081</v>
      </c>
      <c r="V3" s="2">
        <f>('[1]Pc, Summer, S3'!V3*Main!$B$5)+(_xlfn.IFNA(VLOOKUP($A3,'FL Ratio'!$A$3:$B$10,2,FALSE),0)*'FL Characterization'!V$2)</f>
        <v>52.915033636879137</v>
      </c>
      <c r="W3" s="2">
        <f>('[1]Pc, Summer, S3'!W3*Main!$B$5)+(_xlfn.IFNA(VLOOKUP($A3,'FL Ratio'!$A$3:$B$10,2,FALSE),0)*'FL Characterization'!W$2)</f>
        <v>52.609961860049538</v>
      </c>
      <c r="X3" s="2">
        <f>('[1]Pc, Summer, S3'!X3*Main!$B$5)+(_xlfn.IFNA(VLOOKUP($A3,'FL Ratio'!$A$3:$B$10,2,FALSE),0)*'FL Characterization'!X$2)</f>
        <v>52.496433486530144</v>
      </c>
      <c r="Y3" s="2">
        <f>('[1]Pc, Summer, S3'!Y3*Main!$B$5)+(_xlfn.IFNA(VLOOKUP($A3,'FL Ratio'!$A$3:$B$10,2,FALSE),0)*'FL Characterization'!Y$2)</f>
        <v>49.726699006267403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58.79252853079943</v>
      </c>
      <c r="C4" s="2">
        <f>('[1]Pc, Summer, S3'!C4*Main!$B$5)+(_xlfn.IFNA(VLOOKUP($A4,'FL Ratio'!$A$3:$B$10,2,FALSE),0)*'FL Characterization'!C$2)</f>
        <v>52.208874452312671</v>
      </c>
      <c r="D4" s="2">
        <f>('[1]Pc, Summer, S3'!D4*Main!$B$5)+(_xlfn.IFNA(VLOOKUP($A4,'FL Ratio'!$A$3:$B$10,2,FALSE),0)*'FL Characterization'!D$2)</f>
        <v>49.215429749446258</v>
      </c>
      <c r="E4" s="2">
        <f>('[1]Pc, Summer, S3'!E4*Main!$B$5)+(_xlfn.IFNA(VLOOKUP($A4,'FL Ratio'!$A$3:$B$10,2,FALSE),0)*'FL Characterization'!E$2)</f>
        <v>47.598485241910033</v>
      </c>
      <c r="F4" s="2">
        <f>('[1]Pc, Summer, S3'!F4*Main!$B$5)+(_xlfn.IFNA(VLOOKUP($A4,'FL Ratio'!$A$3:$B$10,2,FALSE),0)*'FL Characterization'!F$2)</f>
        <v>49.832835529902447</v>
      </c>
      <c r="G4" s="2">
        <f>('[1]Pc, Summer, S3'!G4*Main!$B$5)+(_xlfn.IFNA(VLOOKUP($A4,'FL Ratio'!$A$3:$B$10,2,FALSE),0)*'FL Characterization'!G$2)</f>
        <v>45.500533903395777</v>
      </c>
      <c r="H4" s="2">
        <f>('[1]Pc, Summer, S3'!H4*Main!$B$5)+(_xlfn.IFNA(VLOOKUP($A4,'FL Ratio'!$A$3:$B$10,2,FALSE),0)*'FL Characterization'!H$2)</f>
        <v>53.454395526590446</v>
      </c>
      <c r="I4" s="2">
        <f>('[1]Pc, Summer, S3'!I4*Main!$B$5)+(_xlfn.IFNA(VLOOKUP($A4,'FL Ratio'!$A$3:$B$10,2,FALSE),0)*'FL Characterization'!I$2)</f>
        <v>59.861559781684626</v>
      </c>
      <c r="J4" s="2">
        <f>('[1]Pc, Summer, S3'!J4*Main!$B$5)+(_xlfn.IFNA(VLOOKUP($A4,'FL Ratio'!$A$3:$B$10,2,FALSE),0)*'FL Characterization'!J$2)</f>
        <v>67.343191250958341</v>
      </c>
      <c r="K4" s="2">
        <f>('[1]Pc, Summer, S3'!K4*Main!$B$5)+(_xlfn.IFNA(VLOOKUP($A4,'FL Ratio'!$A$3:$B$10,2,FALSE),0)*'FL Characterization'!K$2)</f>
        <v>72.407018837202116</v>
      </c>
      <c r="L4" s="2">
        <f>('[1]Pc, Summer, S3'!L4*Main!$B$5)+(_xlfn.IFNA(VLOOKUP($A4,'FL Ratio'!$A$3:$B$10,2,FALSE),0)*'FL Characterization'!L$2)</f>
        <v>74.506111972690334</v>
      </c>
      <c r="M4" s="2">
        <f>('[1]Pc, Summer, S3'!M4*Main!$B$5)+(_xlfn.IFNA(VLOOKUP($A4,'FL Ratio'!$A$3:$B$10,2,FALSE),0)*'FL Characterization'!M$2)</f>
        <v>75.753041766310318</v>
      </c>
      <c r="N4" s="2">
        <f>('[1]Pc, Summer, S3'!N4*Main!$B$5)+(_xlfn.IFNA(VLOOKUP($A4,'FL Ratio'!$A$3:$B$10,2,FALSE),0)*'FL Characterization'!N$2)</f>
        <v>77.448229381080907</v>
      </c>
      <c r="O4" s="2">
        <f>('[1]Pc, Summer, S3'!O4*Main!$B$5)+(_xlfn.IFNA(VLOOKUP($A4,'FL Ratio'!$A$3:$B$10,2,FALSE),0)*'FL Characterization'!O$2)</f>
        <v>78.564017613417789</v>
      </c>
      <c r="P4" s="2">
        <f>('[1]Pc, Summer, S3'!P4*Main!$B$5)+(_xlfn.IFNA(VLOOKUP($A4,'FL Ratio'!$A$3:$B$10,2,FALSE),0)*'FL Characterization'!P$2)</f>
        <v>78.90568013815799</v>
      </c>
      <c r="Q4" s="2">
        <f>('[1]Pc, Summer, S3'!Q4*Main!$B$5)+(_xlfn.IFNA(VLOOKUP($A4,'FL Ratio'!$A$3:$B$10,2,FALSE),0)*'FL Characterization'!Q$2)</f>
        <v>75.954955293472793</v>
      </c>
      <c r="R4" s="2">
        <f>('[1]Pc, Summer, S3'!R4*Main!$B$5)+(_xlfn.IFNA(VLOOKUP($A4,'FL Ratio'!$A$3:$B$10,2,FALSE),0)*'FL Characterization'!R$2)</f>
        <v>75.502610918525917</v>
      </c>
      <c r="S4" s="2">
        <f>('[1]Pc, Summer, S3'!S4*Main!$B$5)+(_xlfn.IFNA(VLOOKUP($A4,'FL Ratio'!$A$3:$B$10,2,FALSE),0)*'FL Characterization'!S$2)</f>
        <v>73.232336708949788</v>
      </c>
      <c r="T4" s="2">
        <f>('[1]Pc, Summer, S3'!T4*Main!$B$5)+(_xlfn.IFNA(VLOOKUP($A4,'FL Ratio'!$A$3:$B$10,2,FALSE),0)*'FL Characterization'!T$2)</f>
        <v>73.084245055515026</v>
      </c>
      <c r="U4" s="2">
        <f>('[1]Pc, Summer, S3'!U4*Main!$B$5)+(_xlfn.IFNA(VLOOKUP($A4,'FL Ratio'!$A$3:$B$10,2,FALSE),0)*'FL Characterization'!U$2)</f>
        <v>73.456861032404433</v>
      </c>
      <c r="V4" s="2">
        <f>('[1]Pc, Summer, S3'!V4*Main!$B$5)+(_xlfn.IFNA(VLOOKUP($A4,'FL Ratio'!$A$3:$B$10,2,FALSE),0)*'FL Characterization'!V$2)</f>
        <v>73.130109869741503</v>
      </c>
      <c r="W4" s="2">
        <f>('[1]Pc, Summer, S3'!W4*Main!$B$5)+(_xlfn.IFNA(VLOOKUP($A4,'FL Ratio'!$A$3:$B$10,2,FALSE),0)*'FL Characterization'!W$2)</f>
        <v>75.417975636070835</v>
      </c>
      <c r="X4" s="2">
        <f>('[1]Pc, Summer, S3'!X4*Main!$B$5)+(_xlfn.IFNA(VLOOKUP($A4,'FL Ratio'!$A$3:$B$10,2,FALSE),0)*'FL Characterization'!X$2)</f>
        <v>75.455297708851361</v>
      </c>
      <c r="Y4" s="2">
        <f>('[1]Pc, Summer, S3'!Y4*Main!$B$5)+(_xlfn.IFNA(VLOOKUP($A4,'FL Ratio'!$A$3:$B$10,2,FALSE),0)*'FL Characterization'!Y$2)</f>
        <v>68.139319577292881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093A-A009-45C7-8400-95923DE29AB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40.835972125263012</v>
      </c>
      <c r="C2" s="2">
        <f>('[1]Pc, Summer, S3'!C2*Main!$B$5)+(_xlfn.IFNA(VLOOKUP($A2,'FL Ratio'!$A$3:$B$10,2,FALSE),0)*'FL Characterization'!C$2)</f>
        <v>37.101308115201967</v>
      </c>
      <c r="D2" s="2">
        <f>('[1]Pc, Summer, S3'!D2*Main!$B$5)+(_xlfn.IFNA(VLOOKUP($A2,'FL Ratio'!$A$3:$B$10,2,FALSE),0)*'FL Characterization'!D$2)</f>
        <v>36.453244688577485</v>
      </c>
      <c r="E2" s="2">
        <f>('[1]Pc, Summer, S3'!E2*Main!$B$5)+(_xlfn.IFNA(VLOOKUP($A2,'FL Ratio'!$A$3:$B$10,2,FALSE),0)*'FL Characterization'!E$2)</f>
        <v>36.360122540246095</v>
      </c>
      <c r="F2" s="2">
        <f>('[1]Pc, Summer, S3'!F2*Main!$B$5)+(_xlfn.IFNA(VLOOKUP($A2,'FL Ratio'!$A$3:$B$10,2,FALSE),0)*'FL Characterization'!F$2)</f>
        <v>36.362989176320283</v>
      </c>
      <c r="G2" s="2">
        <f>('[1]Pc, Summer, S3'!G2*Main!$B$5)+(_xlfn.IFNA(VLOOKUP($A2,'FL Ratio'!$A$3:$B$10,2,FALSE),0)*'FL Characterization'!G$2)</f>
        <v>36.04140552508008</v>
      </c>
      <c r="H2" s="2">
        <f>('[1]Pc, Summer, S3'!H2*Main!$B$5)+(_xlfn.IFNA(VLOOKUP($A2,'FL Ratio'!$A$3:$B$10,2,FALSE),0)*'FL Characterization'!H$2)</f>
        <v>38.909914568045096</v>
      </c>
      <c r="I2" s="2">
        <f>('[1]Pc, Summer, S3'!I2*Main!$B$5)+(_xlfn.IFNA(VLOOKUP($A2,'FL Ratio'!$A$3:$B$10,2,FALSE),0)*'FL Characterization'!I$2)</f>
        <v>46.195574592673267</v>
      </c>
      <c r="J2" s="2">
        <f>('[1]Pc, Summer, S3'!J2*Main!$B$5)+(_xlfn.IFNA(VLOOKUP($A2,'FL Ratio'!$A$3:$B$10,2,FALSE),0)*'FL Characterization'!J$2)</f>
        <v>52.649819471904507</v>
      </c>
      <c r="K2" s="2">
        <f>('[1]Pc, Summer, S3'!K2*Main!$B$5)+(_xlfn.IFNA(VLOOKUP($A2,'FL Ratio'!$A$3:$B$10,2,FALSE),0)*'FL Characterization'!K$2)</f>
        <v>54.267645718011345</v>
      </c>
      <c r="L2" s="2">
        <f>('[1]Pc, Summer, S3'!L2*Main!$B$5)+(_xlfn.IFNA(VLOOKUP($A2,'FL Ratio'!$A$3:$B$10,2,FALSE),0)*'FL Characterization'!L$2)</f>
        <v>53.718471620891052</v>
      </c>
      <c r="M2" s="2">
        <f>('[1]Pc, Summer, S3'!M2*Main!$B$5)+(_xlfn.IFNA(VLOOKUP($A2,'FL Ratio'!$A$3:$B$10,2,FALSE),0)*'FL Characterization'!M$2)</f>
        <v>55.23755521154915</v>
      </c>
      <c r="N2" s="2">
        <f>('[1]Pc, Summer, S3'!N2*Main!$B$5)+(_xlfn.IFNA(VLOOKUP($A2,'FL Ratio'!$A$3:$B$10,2,FALSE),0)*'FL Characterization'!N$2)</f>
        <v>55.995298000257449</v>
      </c>
      <c r="O2" s="2">
        <f>('[1]Pc, Summer, S3'!O2*Main!$B$5)+(_xlfn.IFNA(VLOOKUP($A2,'FL Ratio'!$A$3:$B$10,2,FALSE),0)*'FL Characterization'!O$2)</f>
        <v>54.959489890663114</v>
      </c>
      <c r="P2" s="2">
        <f>('[1]Pc, Summer, S3'!P2*Main!$B$5)+(_xlfn.IFNA(VLOOKUP($A2,'FL Ratio'!$A$3:$B$10,2,FALSE),0)*'FL Characterization'!P$2)</f>
        <v>52.811936352029555</v>
      </c>
      <c r="Q2" s="2">
        <f>('[1]Pc, Summer, S3'!Q2*Main!$B$5)+(_xlfn.IFNA(VLOOKUP($A2,'FL Ratio'!$A$3:$B$10,2,FALSE),0)*'FL Characterization'!Q$2)</f>
        <v>50.686347025638263</v>
      </c>
      <c r="R2" s="2">
        <f>('[1]Pc, Summer, S3'!R2*Main!$B$5)+(_xlfn.IFNA(VLOOKUP($A2,'FL Ratio'!$A$3:$B$10,2,FALSE),0)*'FL Characterization'!R$2)</f>
        <v>51.570657664925491</v>
      </c>
      <c r="S2" s="2">
        <f>('[1]Pc, Summer, S3'!S2*Main!$B$5)+(_xlfn.IFNA(VLOOKUP($A2,'FL Ratio'!$A$3:$B$10,2,FALSE),0)*'FL Characterization'!S$2)</f>
        <v>52.080162880192439</v>
      </c>
      <c r="T2" s="2">
        <f>('[1]Pc, Summer, S3'!T2*Main!$B$5)+(_xlfn.IFNA(VLOOKUP($A2,'FL Ratio'!$A$3:$B$10,2,FALSE),0)*'FL Characterization'!T$2)</f>
        <v>52.301223824832142</v>
      </c>
      <c r="U2" s="2">
        <f>('[1]Pc, Summer, S3'!U2*Main!$B$5)+(_xlfn.IFNA(VLOOKUP($A2,'FL Ratio'!$A$3:$B$10,2,FALSE),0)*'FL Characterization'!U$2)</f>
        <v>51.435398123675107</v>
      </c>
      <c r="V2" s="2">
        <f>('[1]Pc, Summer, S3'!V2*Main!$B$5)+(_xlfn.IFNA(VLOOKUP($A2,'FL Ratio'!$A$3:$B$10,2,FALSE),0)*'FL Characterization'!V$2)</f>
        <v>51.589938837378995</v>
      </c>
      <c r="W2" s="2">
        <f>('[1]Pc, Summer, S3'!W2*Main!$B$5)+(_xlfn.IFNA(VLOOKUP($A2,'FL Ratio'!$A$3:$B$10,2,FALSE),0)*'FL Characterization'!W$2)</f>
        <v>53.726689369909231</v>
      </c>
      <c r="X2" s="2">
        <f>('[1]Pc, Summer, S3'!X2*Main!$B$5)+(_xlfn.IFNA(VLOOKUP($A2,'FL Ratio'!$A$3:$B$10,2,FALSE),0)*'FL Characterization'!X$2)</f>
        <v>50.079777421457152</v>
      </c>
      <c r="Y2" s="2">
        <f>('[1]Pc, Summer, S3'!Y2*Main!$B$5)+(_xlfn.IFNA(VLOOKUP($A2,'FL Ratio'!$A$3:$B$10,2,FALSE),0)*'FL Characterization'!Y$2)</f>
        <v>45.907852722371949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44.369307285798342</v>
      </c>
      <c r="C3" s="2">
        <f>('[1]Pc, Summer, S3'!C3*Main!$B$5)+(_xlfn.IFNA(VLOOKUP($A3,'FL Ratio'!$A$3:$B$10,2,FALSE),0)*'FL Characterization'!C$2)</f>
        <v>40.763665841789425</v>
      </c>
      <c r="D3" s="2">
        <f>('[1]Pc, Summer, S3'!D3*Main!$B$5)+(_xlfn.IFNA(VLOOKUP($A3,'FL Ratio'!$A$3:$B$10,2,FALSE),0)*'FL Characterization'!D$2)</f>
        <v>38.598082059894523</v>
      </c>
      <c r="E3" s="2">
        <f>('[1]Pc, Summer, S3'!E3*Main!$B$5)+(_xlfn.IFNA(VLOOKUP($A3,'FL Ratio'!$A$3:$B$10,2,FALSE),0)*'FL Characterization'!E$2)</f>
        <v>37.178617293131232</v>
      </c>
      <c r="F3" s="2">
        <f>('[1]Pc, Summer, S3'!F3*Main!$B$5)+(_xlfn.IFNA(VLOOKUP($A3,'FL Ratio'!$A$3:$B$10,2,FALSE),0)*'FL Characterization'!F$2)</f>
        <v>36.708830873159648</v>
      </c>
      <c r="G3" s="2">
        <f>('[1]Pc, Summer, S3'!G3*Main!$B$5)+(_xlfn.IFNA(VLOOKUP($A3,'FL Ratio'!$A$3:$B$10,2,FALSE),0)*'FL Characterization'!G$2)</f>
        <v>38.884057699209329</v>
      </c>
      <c r="H3" s="2">
        <f>('[1]Pc, Summer, S3'!H3*Main!$B$5)+(_xlfn.IFNA(VLOOKUP($A3,'FL Ratio'!$A$3:$B$10,2,FALSE),0)*'FL Characterization'!H$2)</f>
        <v>48.666246503594131</v>
      </c>
      <c r="I3" s="2">
        <f>('[1]Pc, Summer, S3'!I3*Main!$B$5)+(_xlfn.IFNA(VLOOKUP($A3,'FL Ratio'!$A$3:$B$10,2,FALSE),0)*'FL Characterization'!I$2)</f>
        <v>57.550575285470934</v>
      </c>
      <c r="J3" s="2">
        <f>('[1]Pc, Summer, S3'!J3*Main!$B$5)+(_xlfn.IFNA(VLOOKUP($A3,'FL Ratio'!$A$3:$B$10,2,FALSE),0)*'FL Characterization'!J$2)</f>
        <v>60.001696101697007</v>
      </c>
      <c r="K3" s="2">
        <f>('[1]Pc, Summer, S3'!K3*Main!$B$5)+(_xlfn.IFNA(VLOOKUP($A3,'FL Ratio'!$A$3:$B$10,2,FALSE),0)*'FL Characterization'!K$2)</f>
        <v>58.907568291065608</v>
      </c>
      <c r="L3" s="2">
        <f>('[1]Pc, Summer, S3'!L3*Main!$B$5)+(_xlfn.IFNA(VLOOKUP($A3,'FL Ratio'!$A$3:$B$10,2,FALSE),0)*'FL Characterization'!L$2)</f>
        <v>58.677487925235702</v>
      </c>
      <c r="M3" s="2">
        <f>('[1]Pc, Summer, S3'!M3*Main!$B$5)+(_xlfn.IFNA(VLOOKUP($A3,'FL Ratio'!$A$3:$B$10,2,FALSE),0)*'FL Characterization'!M$2)</f>
        <v>62.57922529490024</v>
      </c>
      <c r="N3" s="2">
        <f>('[1]Pc, Summer, S3'!N3*Main!$B$5)+(_xlfn.IFNA(VLOOKUP($A3,'FL Ratio'!$A$3:$B$10,2,FALSE),0)*'FL Characterization'!N$2)</f>
        <v>62.79410193771065</v>
      </c>
      <c r="O3" s="2">
        <f>('[1]Pc, Summer, S3'!O3*Main!$B$5)+(_xlfn.IFNA(VLOOKUP($A3,'FL Ratio'!$A$3:$B$10,2,FALSE),0)*'FL Characterization'!O$2)</f>
        <v>63.280287472958456</v>
      </c>
      <c r="P3" s="2">
        <f>('[1]Pc, Summer, S3'!P3*Main!$B$5)+(_xlfn.IFNA(VLOOKUP($A3,'FL Ratio'!$A$3:$B$10,2,FALSE),0)*'FL Characterization'!P$2)</f>
        <v>60.229648210690769</v>
      </c>
      <c r="Q3" s="2">
        <f>('[1]Pc, Summer, S3'!Q3*Main!$B$5)+(_xlfn.IFNA(VLOOKUP($A3,'FL Ratio'!$A$3:$B$10,2,FALSE),0)*'FL Characterization'!Q$2)</f>
        <v>57.061304798269134</v>
      </c>
      <c r="R3" s="2">
        <f>('[1]Pc, Summer, S3'!R3*Main!$B$5)+(_xlfn.IFNA(VLOOKUP($A3,'FL Ratio'!$A$3:$B$10,2,FALSE),0)*'FL Characterization'!R$2)</f>
        <v>52.742119436099038</v>
      </c>
      <c r="S3" s="2">
        <f>('[1]Pc, Summer, S3'!S3*Main!$B$5)+(_xlfn.IFNA(VLOOKUP($A3,'FL Ratio'!$A$3:$B$10,2,FALSE),0)*'FL Characterization'!S$2)</f>
        <v>53.391090306809275</v>
      </c>
      <c r="T3" s="2">
        <f>('[1]Pc, Summer, S3'!T3*Main!$B$5)+(_xlfn.IFNA(VLOOKUP($A3,'FL Ratio'!$A$3:$B$10,2,FALSE),0)*'FL Characterization'!T$2)</f>
        <v>52.864389310290825</v>
      </c>
      <c r="U3" s="2">
        <f>('[1]Pc, Summer, S3'!U3*Main!$B$5)+(_xlfn.IFNA(VLOOKUP($A3,'FL Ratio'!$A$3:$B$10,2,FALSE),0)*'FL Characterization'!U$2)</f>
        <v>52.642277763682081</v>
      </c>
      <c r="V3" s="2">
        <f>('[1]Pc, Summer, S3'!V3*Main!$B$5)+(_xlfn.IFNA(VLOOKUP($A3,'FL Ratio'!$A$3:$B$10,2,FALSE),0)*'FL Characterization'!V$2)</f>
        <v>52.915033636879137</v>
      </c>
      <c r="W3" s="2">
        <f>('[1]Pc, Summer, S3'!W3*Main!$B$5)+(_xlfn.IFNA(VLOOKUP($A3,'FL Ratio'!$A$3:$B$10,2,FALSE),0)*'FL Characterization'!W$2)</f>
        <v>52.609961860049538</v>
      </c>
      <c r="X3" s="2">
        <f>('[1]Pc, Summer, S3'!X3*Main!$B$5)+(_xlfn.IFNA(VLOOKUP($A3,'FL Ratio'!$A$3:$B$10,2,FALSE),0)*'FL Characterization'!X$2)</f>
        <v>52.496433486530144</v>
      </c>
      <c r="Y3" s="2">
        <f>('[1]Pc, Summer, S3'!Y3*Main!$B$5)+(_xlfn.IFNA(VLOOKUP($A3,'FL Ratio'!$A$3:$B$10,2,FALSE),0)*'FL Characterization'!Y$2)</f>
        <v>49.726699006267403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58.79252853079943</v>
      </c>
      <c r="C4" s="2">
        <f>('[1]Pc, Summer, S3'!C4*Main!$B$5)+(_xlfn.IFNA(VLOOKUP($A4,'FL Ratio'!$A$3:$B$10,2,FALSE),0)*'FL Characterization'!C$2)</f>
        <v>52.208874452312671</v>
      </c>
      <c r="D4" s="2">
        <f>('[1]Pc, Summer, S3'!D4*Main!$B$5)+(_xlfn.IFNA(VLOOKUP($A4,'FL Ratio'!$A$3:$B$10,2,FALSE),0)*'FL Characterization'!D$2)</f>
        <v>49.215429749446258</v>
      </c>
      <c r="E4" s="2">
        <f>('[1]Pc, Summer, S3'!E4*Main!$B$5)+(_xlfn.IFNA(VLOOKUP($A4,'FL Ratio'!$A$3:$B$10,2,FALSE),0)*'FL Characterization'!E$2)</f>
        <v>47.598485241910033</v>
      </c>
      <c r="F4" s="2">
        <f>('[1]Pc, Summer, S3'!F4*Main!$B$5)+(_xlfn.IFNA(VLOOKUP($A4,'FL Ratio'!$A$3:$B$10,2,FALSE),0)*'FL Characterization'!F$2)</f>
        <v>49.832835529902447</v>
      </c>
      <c r="G4" s="2">
        <f>('[1]Pc, Summer, S3'!G4*Main!$B$5)+(_xlfn.IFNA(VLOOKUP($A4,'FL Ratio'!$A$3:$B$10,2,FALSE),0)*'FL Characterization'!G$2)</f>
        <v>45.500533903395777</v>
      </c>
      <c r="H4" s="2">
        <f>('[1]Pc, Summer, S3'!H4*Main!$B$5)+(_xlfn.IFNA(VLOOKUP($A4,'FL Ratio'!$A$3:$B$10,2,FALSE),0)*'FL Characterization'!H$2)</f>
        <v>53.454395526590446</v>
      </c>
      <c r="I4" s="2">
        <f>('[1]Pc, Summer, S3'!I4*Main!$B$5)+(_xlfn.IFNA(VLOOKUP($A4,'FL Ratio'!$A$3:$B$10,2,FALSE),0)*'FL Characterization'!I$2)</f>
        <v>59.861559781684626</v>
      </c>
      <c r="J4" s="2">
        <f>('[1]Pc, Summer, S3'!J4*Main!$B$5)+(_xlfn.IFNA(VLOOKUP($A4,'FL Ratio'!$A$3:$B$10,2,FALSE),0)*'FL Characterization'!J$2)</f>
        <v>67.343191250958341</v>
      </c>
      <c r="K4" s="2">
        <f>('[1]Pc, Summer, S3'!K4*Main!$B$5)+(_xlfn.IFNA(VLOOKUP($A4,'FL Ratio'!$A$3:$B$10,2,FALSE),0)*'FL Characterization'!K$2)</f>
        <v>72.407018837202116</v>
      </c>
      <c r="L4" s="2">
        <f>('[1]Pc, Summer, S3'!L4*Main!$B$5)+(_xlfn.IFNA(VLOOKUP($A4,'FL Ratio'!$A$3:$B$10,2,FALSE),0)*'FL Characterization'!L$2)</f>
        <v>74.506111972690334</v>
      </c>
      <c r="M4" s="2">
        <f>('[1]Pc, Summer, S3'!M4*Main!$B$5)+(_xlfn.IFNA(VLOOKUP($A4,'FL Ratio'!$A$3:$B$10,2,FALSE),0)*'FL Characterization'!M$2)</f>
        <v>75.753041766310318</v>
      </c>
      <c r="N4" s="2">
        <f>('[1]Pc, Summer, S3'!N4*Main!$B$5)+(_xlfn.IFNA(VLOOKUP($A4,'FL Ratio'!$A$3:$B$10,2,FALSE),0)*'FL Characterization'!N$2)</f>
        <v>77.448229381080907</v>
      </c>
      <c r="O4" s="2">
        <f>('[1]Pc, Summer, S3'!O4*Main!$B$5)+(_xlfn.IFNA(VLOOKUP($A4,'FL Ratio'!$A$3:$B$10,2,FALSE),0)*'FL Characterization'!O$2)</f>
        <v>78.564017613417789</v>
      </c>
      <c r="P4" s="2">
        <f>('[1]Pc, Summer, S3'!P4*Main!$B$5)+(_xlfn.IFNA(VLOOKUP($A4,'FL Ratio'!$A$3:$B$10,2,FALSE),0)*'FL Characterization'!P$2)</f>
        <v>78.90568013815799</v>
      </c>
      <c r="Q4" s="2">
        <f>('[1]Pc, Summer, S3'!Q4*Main!$B$5)+(_xlfn.IFNA(VLOOKUP($A4,'FL Ratio'!$A$3:$B$10,2,FALSE),0)*'FL Characterization'!Q$2)</f>
        <v>75.954955293472793</v>
      </c>
      <c r="R4" s="2">
        <f>('[1]Pc, Summer, S3'!R4*Main!$B$5)+(_xlfn.IFNA(VLOOKUP($A4,'FL Ratio'!$A$3:$B$10,2,FALSE),0)*'FL Characterization'!R$2)</f>
        <v>75.502610918525917</v>
      </c>
      <c r="S4" s="2">
        <f>('[1]Pc, Summer, S3'!S4*Main!$B$5)+(_xlfn.IFNA(VLOOKUP($A4,'FL Ratio'!$A$3:$B$10,2,FALSE),0)*'FL Characterization'!S$2)</f>
        <v>73.232336708949788</v>
      </c>
      <c r="T4" s="2">
        <f>('[1]Pc, Summer, S3'!T4*Main!$B$5)+(_xlfn.IFNA(VLOOKUP($A4,'FL Ratio'!$A$3:$B$10,2,FALSE),0)*'FL Characterization'!T$2)</f>
        <v>73.084245055515026</v>
      </c>
      <c r="U4" s="2">
        <f>('[1]Pc, Summer, S3'!U4*Main!$B$5)+(_xlfn.IFNA(VLOOKUP($A4,'FL Ratio'!$A$3:$B$10,2,FALSE),0)*'FL Characterization'!U$2)</f>
        <v>73.456861032404433</v>
      </c>
      <c r="V4" s="2">
        <f>('[1]Pc, Summer, S3'!V4*Main!$B$5)+(_xlfn.IFNA(VLOOKUP($A4,'FL Ratio'!$A$3:$B$10,2,FALSE),0)*'FL Characterization'!V$2)</f>
        <v>73.130109869741503</v>
      </c>
      <c r="W4" s="2">
        <f>('[1]Pc, Summer, S3'!W4*Main!$B$5)+(_xlfn.IFNA(VLOOKUP($A4,'FL Ratio'!$A$3:$B$10,2,FALSE),0)*'FL Characterization'!W$2)</f>
        <v>75.417975636070835</v>
      </c>
      <c r="X4" s="2">
        <f>('[1]Pc, Summer, S3'!X4*Main!$B$5)+(_xlfn.IFNA(VLOOKUP($A4,'FL Ratio'!$A$3:$B$10,2,FALSE),0)*'FL Characterization'!X$2)</f>
        <v>75.455297708851361</v>
      </c>
      <c r="Y4" s="2">
        <f>('[1]Pc, Summer, S3'!Y4*Main!$B$5)+(_xlfn.IFNA(VLOOKUP($A4,'FL Ratio'!$A$3:$B$10,2,FALSE),0)*'FL Characterization'!Y$2)</f>
        <v>68.139319577292881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E3D7-C1B6-4623-A296-E98A362F351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40.835972125263012</v>
      </c>
      <c r="C2" s="2">
        <f>('[1]Pc, Summer, S3'!C2*Main!$B$5)+(_xlfn.IFNA(VLOOKUP($A2,'FL Ratio'!$A$3:$B$10,2,FALSE),0)*'FL Characterization'!C$2)</f>
        <v>37.101308115201967</v>
      </c>
      <c r="D2" s="2">
        <f>('[1]Pc, Summer, S3'!D2*Main!$B$5)+(_xlfn.IFNA(VLOOKUP($A2,'FL Ratio'!$A$3:$B$10,2,FALSE),0)*'FL Characterization'!D$2)</f>
        <v>36.453244688577485</v>
      </c>
      <c r="E2" s="2">
        <f>('[1]Pc, Summer, S3'!E2*Main!$B$5)+(_xlfn.IFNA(VLOOKUP($A2,'FL Ratio'!$A$3:$B$10,2,FALSE),0)*'FL Characterization'!E$2)</f>
        <v>36.360122540246095</v>
      </c>
      <c r="F2" s="2">
        <f>('[1]Pc, Summer, S3'!F2*Main!$B$5)+(_xlfn.IFNA(VLOOKUP($A2,'FL Ratio'!$A$3:$B$10,2,FALSE),0)*'FL Characterization'!F$2)</f>
        <v>36.362989176320283</v>
      </c>
      <c r="G2" s="2">
        <f>('[1]Pc, Summer, S3'!G2*Main!$B$5)+(_xlfn.IFNA(VLOOKUP($A2,'FL Ratio'!$A$3:$B$10,2,FALSE),0)*'FL Characterization'!G$2)</f>
        <v>36.04140552508008</v>
      </c>
      <c r="H2" s="2">
        <f>('[1]Pc, Summer, S3'!H2*Main!$B$5)+(_xlfn.IFNA(VLOOKUP($A2,'FL Ratio'!$A$3:$B$10,2,FALSE),0)*'FL Characterization'!H$2)</f>
        <v>38.909914568045096</v>
      </c>
      <c r="I2" s="2">
        <f>('[1]Pc, Summer, S3'!I2*Main!$B$5)+(_xlfn.IFNA(VLOOKUP($A2,'FL Ratio'!$A$3:$B$10,2,FALSE),0)*'FL Characterization'!I$2)</f>
        <v>46.195574592673267</v>
      </c>
      <c r="J2" s="2">
        <f>('[1]Pc, Summer, S3'!J2*Main!$B$5)+(_xlfn.IFNA(VLOOKUP($A2,'FL Ratio'!$A$3:$B$10,2,FALSE),0)*'FL Characterization'!J$2)</f>
        <v>52.649819471904507</v>
      </c>
      <c r="K2" s="2">
        <f>('[1]Pc, Summer, S3'!K2*Main!$B$5)+(_xlfn.IFNA(VLOOKUP($A2,'FL Ratio'!$A$3:$B$10,2,FALSE),0)*'FL Characterization'!K$2)</f>
        <v>54.267645718011345</v>
      </c>
      <c r="L2" s="2">
        <f>('[1]Pc, Summer, S3'!L2*Main!$B$5)+(_xlfn.IFNA(VLOOKUP($A2,'FL Ratio'!$A$3:$B$10,2,FALSE),0)*'FL Characterization'!L$2)</f>
        <v>53.718471620891052</v>
      </c>
      <c r="M2" s="2">
        <f>('[1]Pc, Summer, S3'!M2*Main!$B$5)+(_xlfn.IFNA(VLOOKUP($A2,'FL Ratio'!$A$3:$B$10,2,FALSE),0)*'FL Characterization'!M$2)</f>
        <v>55.23755521154915</v>
      </c>
      <c r="N2" s="2">
        <f>('[1]Pc, Summer, S3'!N2*Main!$B$5)+(_xlfn.IFNA(VLOOKUP($A2,'FL Ratio'!$A$3:$B$10,2,FALSE),0)*'FL Characterization'!N$2)</f>
        <v>55.995298000257449</v>
      </c>
      <c r="O2" s="2">
        <f>('[1]Pc, Summer, S3'!O2*Main!$B$5)+(_xlfn.IFNA(VLOOKUP($A2,'FL Ratio'!$A$3:$B$10,2,FALSE),0)*'FL Characterization'!O$2)</f>
        <v>54.959489890663114</v>
      </c>
      <c r="P2" s="2">
        <f>('[1]Pc, Summer, S3'!P2*Main!$B$5)+(_xlfn.IFNA(VLOOKUP($A2,'FL Ratio'!$A$3:$B$10,2,FALSE),0)*'FL Characterization'!P$2)</f>
        <v>52.811936352029555</v>
      </c>
      <c r="Q2" s="2">
        <f>('[1]Pc, Summer, S3'!Q2*Main!$B$5)+(_xlfn.IFNA(VLOOKUP($A2,'FL Ratio'!$A$3:$B$10,2,FALSE),0)*'FL Characterization'!Q$2)</f>
        <v>50.686347025638263</v>
      </c>
      <c r="R2" s="2">
        <f>('[1]Pc, Summer, S3'!R2*Main!$B$5)+(_xlfn.IFNA(VLOOKUP($A2,'FL Ratio'!$A$3:$B$10,2,FALSE),0)*'FL Characterization'!R$2)</f>
        <v>51.570657664925491</v>
      </c>
      <c r="S2" s="2">
        <f>('[1]Pc, Summer, S3'!S2*Main!$B$5)+(_xlfn.IFNA(VLOOKUP($A2,'FL Ratio'!$A$3:$B$10,2,FALSE),0)*'FL Characterization'!S$2)</f>
        <v>52.080162880192439</v>
      </c>
      <c r="T2" s="2">
        <f>('[1]Pc, Summer, S3'!T2*Main!$B$5)+(_xlfn.IFNA(VLOOKUP($A2,'FL Ratio'!$A$3:$B$10,2,FALSE),0)*'FL Characterization'!T$2)</f>
        <v>52.301223824832142</v>
      </c>
      <c r="U2" s="2">
        <f>('[1]Pc, Summer, S3'!U2*Main!$B$5)+(_xlfn.IFNA(VLOOKUP($A2,'FL Ratio'!$A$3:$B$10,2,FALSE),0)*'FL Characterization'!U$2)</f>
        <v>51.435398123675107</v>
      </c>
      <c r="V2" s="2">
        <f>('[1]Pc, Summer, S3'!V2*Main!$B$5)+(_xlfn.IFNA(VLOOKUP($A2,'FL Ratio'!$A$3:$B$10,2,FALSE),0)*'FL Characterization'!V$2)</f>
        <v>51.589938837378995</v>
      </c>
      <c r="W2" s="2">
        <f>('[1]Pc, Summer, S3'!W2*Main!$B$5)+(_xlfn.IFNA(VLOOKUP($A2,'FL Ratio'!$A$3:$B$10,2,FALSE),0)*'FL Characterization'!W$2)</f>
        <v>53.726689369909231</v>
      </c>
      <c r="X2" s="2">
        <f>('[1]Pc, Summer, S3'!X2*Main!$B$5)+(_xlfn.IFNA(VLOOKUP($A2,'FL Ratio'!$A$3:$B$10,2,FALSE),0)*'FL Characterization'!X$2)</f>
        <v>50.079777421457152</v>
      </c>
      <c r="Y2" s="2">
        <f>('[1]Pc, Summer, S3'!Y2*Main!$B$5)+(_xlfn.IFNA(VLOOKUP($A2,'FL Ratio'!$A$3:$B$10,2,FALSE),0)*'FL Characterization'!Y$2)</f>
        <v>45.907852722371949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44.369307285798342</v>
      </c>
      <c r="C3" s="2">
        <f>('[1]Pc, Summer, S3'!C3*Main!$B$5)+(_xlfn.IFNA(VLOOKUP($A3,'FL Ratio'!$A$3:$B$10,2,FALSE),0)*'FL Characterization'!C$2)</f>
        <v>40.763665841789425</v>
      </c>
      <c r="D3" s="2">
        <f>('[1]Pc, Summer, S3'!D3*Main!$B$5)+(_xlfn.IFNA(VLOOKUP($A3,'FL Ratio'!$A$3:$B$10,2,FALSE),0)*'FL Characterization'!D$2)</f>
        <v>38.598082059894523</v>
      </c>
      <c r="E3" s="2">
        <f>('[1]Pc, Summer, S3'!E3*Main!$B$5)+(_xlfn.IFNA(VLOOKUP($A3,'FL Ratio'!$A$3:$B$10,2,FALSE),0)*'FL Characterization'!E$2)</f>
        <v>37.178617293131232</v>
      </c>
      <c r="F3" s="2">
        <f>('[1]Pc, Summer, S3'!F3*Main!$B$5)+(_xlfn.IFNA(VLOOKUP($A3,'FL Ratio'!$A$3:$B$10,2,FALSE),0)*'FL Characterization'!F$2)</f>
        <v>36.708830873159648</v>
      </c>
      <c r="G3" s="2">
        <f>('[1]Pc, Summer, S3'!G3*Main!$B$5)+(_xlfn.IFNA(VLOOKUP($A3,'FL Ratio'!$A$3:$B$10,2,FALSE),0)*'FL Characterization'!G$2)</f>
        <v>38.884057699209329</v>
      </c>
      <c r="H3" s="2">
        <f>('[1]Pc, Summer, S3'!H3*Main!$B$5)+(_xlfn.IFNA(VLOOKUP($A3,'FL Ratio'!$A$3:$B$10,2,FALSE),0)*'FL Characterization'!H$2)</f>
        <v>48.666246503594131</v>
      </c>
      <c r="I3" s="2">
        <f>('[1]Pc, Summer, S3'!I3*Main!$B$5)+(_xlfn.IFNA(VLOOKUP($A3,'FL Ratio'!$A$3:$B$10,2,FALSE),0)*'FL Characterization'!I$2)</f>
        <v>57.550575285470934</v>
      </c>
      <c r="J3" s="2">
        <f>('[1]Pc, Summer, S3'!J3*Main!$B$5)+(_xlfn.IFNA(VLOOKUP($A3,'FL Ratio'!$A$3:$B$10,2,FALSE),0)*'FL Characterization'!J$2)</f>
        <v>60.001696101697007</v>
      </c>
      <c r="K3" s="2">
        <f>('[1]Pc, Summer, S3'!K3*Main!$B$5)+(_xlfn.IFNA(VLOOKUP($A3,'FL Ratio'!$A$3:$B$10,2,FALSE),0)*'FL Characterization'!K$2)</f>
        <v>58.907568291065608</v>
      </c>
      <c r="L3" s="2">
        <f>('[1]Pc, Summer, S3'!L3*Main!$B$5)+(_xlfn.IFNA(VLOOKUP($A3,'FL Ratio'!$A$3:$B$10,2,FALSE),0)*'FL Characterization'!L$2)</f>
        <v>58.677487925235702</v>
      </c>
      <c r="M3" s="2">
        <f>('[1]Pc, Summer, S3'!M3*Main!$B$5)+(_xlfn.IFNA(VLOOKUP($A3,'FL Ratio'!$A$3:$B$10,2,FALSE),0)*'FL Characterization'!M$2)</f>
        <v>62.57922529490024</v>
      </c>
      <c r="N3" s="2">
        <f>('[1]Pc, Summer, S3'!N3*Main!$B$5)+(_xlfn.IFNA(VLOOKUP($A3,'FL Ratio'!$A$3:$B$10,2,FALSE),0)*'FL Characterization'!N$2)</f>
        <v>62.79410193771065</v>
      </c>
      <c r="O3" s="2">
        <f>('[1]Pc, Summer, S3'!O3*Main!$B$5)+(_xlfn.IFNA(VLOOKUP($A3,'FL Ratio'!$A$3:$B$10,2,FALSE),0)*'FL Characterization'!O$2)</f>
        <v>63.280287472958456</v>
      </c>
      <c r="P3" s="2">
        <f>('[1]Pc, Summer, S3'!P3*Main!$B$5)+(_xlfn.IFNA(VLOOKUP($A3,'FL Ratio'!$A$3:$B$10,2,FALSE),0)*'FL Characterization'!P$2)</f>
        <v>60.229648210690769</v>
      </c>
      <c r="Q3" s="2">
        <f>('[1]Pc, Summer, S3'!Q3*Main!$B$5)+(_xlfn.IFNA(VLOOKUP($A3,'FL Ratio'!$A$3:$B$10,2,FALSE),0)*'FL Characterization'!Q$2)</f>
        <v>57.061304798269134</v>
      </c>
      <c r="R3" s="2">
        <f>('[1]Pc, Summer, S3'!R3*Main!$B$5)+(_xlfn.IFNA(VLOOKUP($A3,'FL Ratio'!$A$3:$B$10,2,FALSE),0)*'FL Characterization'!R$2)</f>
        <v>52.742119436099038</v>
      </c>
      <c r="S3" s="2">
        <f>('[1]Pc, Summer, S3'!S3*Main!$B$5)+(_xlfn.IFNA(VLOOKUP($A3,'FL Ratio'!$A$3:$B$10,2,FALSE),0)*'FL Characterization'!S$2)</f>
        <v>53.391090306809275</v>
      </c>
      <c r="T3" s="2">
        <f>('[1]Pc, Summer, S3'!T3*Main!$B$5)+(_xlfn.IFNA(VLOOKUP($A3,'FL Ratio'!$A$3:$B$10,2,FALSE),0)*'FL Characterization'!T$2)</f>
        <v>52.864389310290825</v>
      </c>
      <c r="U3" s="2">
        <f>('[1]Pc, Summer, S3'!U3*Main!$B$5)+(_xlfn.IFNA(VLOOKUP($A3,'FL Ratio'!$A$3:$B$10,2,FALSE),0)*'FL Characterization'!U$2)</f>
        <v>52.642277763682081</v>
      </c>
      <c r="V3" s="2">
        <f>('[1]Pc, Summer, S3'!V3*Main!$B$5)+(_xlfn.IFNA(VLOOKUP($A3,'FL Ratio'!$A$3:$B$10,2,FALSE),0)*'FL Characterization'!V$2)</f>
        <v>52.915033636879137</v>
      </c>
      <c r="W3" s="2">
        <f>('[1]Pc, Summer, S3'!W3*Main!$B$5)+(_xlfn.IFNA(VLOOKUP($A3,'FL Ratio'!$A$3:$B$10,2,FALSE),0)*'FL Characterization'!W$2)</f>
        <v>52.609961860049538</v>
      </c>
      <c r="X3" s="2">
        <f>('[1]Pc, Summer, S3'!X3*Main!$B$5)+(_xlfn.IFNA(VLOOKUP($A3,'FL Ratio'!$A$3:$B$10,2,FALSE),0)*'FL Characterization'!X$2)</f>
        <v>52.496433486530144</v>
      </c>
      <c r="Y3" s="2">
        <f>('[1]Pc, Summer, S3'!Y3*Main!$B$5)+(_xlfn.IFNA(VLOOKUP($A3,'FL Ratio'!$A$3:$B$10,2,FALSE),0)*'FL Characterization'!Y$2)</f>
        <v>49.726699006267403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58.79252853079943</v>
      </c>
      <c r="C4" s="2">
        <f>('[1]Pc, Summer, S3'!C4*Main!$B$5)+(_xlfn.IFNA(VLOOKUP($A4,'FL Ratio'!$A$3:$B$10,2,FALSE),0)*'FL Characterization'!C$2)</f>
        <v>52.208874452312671</v>
      </c>
      <c r="D4" s="2">
        <f>('[1]Pc, Summer, S3'!D4*Main!$B$5)+(_xlfn.IFNA(VLOOKUP($A4,'FL Ratio'!$A$3:$B$10,2,FALSE),0)*'FL Characterization'!D$2)</f>
        <v>49.215429749446258</v>
      </c>
      <c r="E4" s="2">
        <f>('[1]Pc, Summer, S3'!E4*Main!$B$5)+(_xlfn.IFNA(VLOOKUP($A4,'FL Ratio'!$A$3:$B$10,2,FALSE),0)*'FL Characterization'!E$2)</f>
        <v>47.598485241910033</v>
      </c>
      <c r="F4" s="2">
        <f>('[1]Pc, Summer, S3'!F4*Main!$B$5)+(_xlfn.IFNA(VLOOKUP($A4,'FL Ratio'!$A$3:$B$10,2,FALSE),0)*'FL Characterization'!F$2)</f>
        <v>49.832835529902447</v>
      </c>
      <c r="G4" s="2">
        <f>('[1]Pc, Summer, S3'!G4*Main!$B$5)+(_xlfn.IFNA(VLOOKUP($A4,'FL Ratio'!$A$3:$B$10,2,FALSE),0)*'FL Characterization'!G$2)</f>
        <v>45.500533903395777</v>
      </c>
      <c r="H4" s="2">
        <f>('[1]Pc, Summer, S3'!H4*Main!$B$5)+(_xlfn.IFNA(VLOOKUP($A4,'FL Ratio'!$A$3:$B$10,2,FALSE),0)*'FL Characterization'!H$2)</f>
        <v>53.454395526590446</v>
      </c>
      <c r="I4" s="2">
        <f>('[1]Pc, Summer, S3'!I4*Main!$B$5)+(_xlfn.IFNA(VLOOKUP($A4,'FL Ratio'!$A$3:$B$10,2,FALSE),0)*'FL Characterization'!I$2)</f>
        <v>59.861559781684626</v>
      </c>
      <c r="J4" s="2">
        <f>('[1]Pc, Summer, S3'!J4*Main!$B$5)+(_xlfn.IFNA(VLOOKUP($A4,'FL Ratio'!$A$3:$B$10,2,FALSE),0)*'FL Characterization'!J$2)</f>
        <v>67.343191250958341</v>
      </c>
      <c r="K4" s="2">
        <f>('[1]Pc, Summer, S3'!K4*Main!$B$5)+(_xlfn.IFNA(VLOOKUP($A4,'FL Ratio'!$A$3:$B$10,2,FALSE),0)*'FL Characterization'!K$2)</f>
        <v>72.407018837202116</v>
      </c>
      <c r="L4" s="2">
        <f>('[1]Pc, Summer, S3'!L4*Main!$B$5)+(_xlfn.IFNA(VLOOKUP($A4,'FL Ratio'!$A$3:$B$10,2,FALSE),0)*'FL Characterization'!L$2)</f>
        <v>74.506111972690334</v>
      </c>
      <c r="M4" s="2">
        <f>('[1]Pc, Summer, S3'!M4*Main!$B$5)+(_xlfn.IFNA(VLOOKUP($A4,'FL Ratio'!$A$3:$B$10,2,FALSE),0)*'FL Characterization'!M$2)</f>
        <v>75.753041766310318</v>
      </c>
      <c r="N4" s="2">
        <f>('[1]Pc, Summer, S3'!N4*Main!$B$5)+(_xlfn.IFNA(VLOOKUP($A4,'FL Ratio'!$A$3:$B$10,2,FALSE),0)*'FL Characterization'!N$2)</f>
        <v>77.448229381080907</v>
      </c>
      <c r="O4" s="2">
        <f>('[1]Pc, Summer, S3'!O4*Main!$B$5)+(_xlfn.IFNA(VLOOKUP($A4,'FL Ratio'!$A$3:$B$10,2,FALSE),0)*'FL Characterization'!O$2)</f>
        <v>78.564017613417789</v>
      </c>
      <c r="P4" s="2">
        <f>('[1]Pc, Summer, S3'!P4*Main!$B$5)+(_xlfn.IFNA(VLOOKUP($A4,'FL Ratio'!$A$3:$B$10,2,FALSE),0)*'FL Characterization'!P$2)</f>
        <v>78.90568013815799</v>
      </c>
      <c r="Q4" s="2">
        <f>('[1]Pc, Summer, S3'!Q4*Main!$B$5)+(_xlfn.IFNA(VLOOKUP($A4,'FL Ratio'!$A$3:$B$10,2,FALSE),0)*'FL Characterization'!Q$2)</f>
        <v>75.954955293472793</v>
      </c>
      <c r="R4" s="2">
        <f>('[1]Pc, Summer, S3'!R4*Main!$B$5)+(_xlfn.IFNA(VLOOKUP($A4,'FL Ratio'!$A$3:$B$10,2,FALSE),0)*'FL Characterization'!R$2)</f>
        <v>75.502610918525917</v>
      </c>
      <c r="S4" s="2">
        <f>('[1]Pc, Summer, S3'!S4*Main!$B$5)+(_xlfn.IFNA(VLOOKUP($A4,'FL Ratio'!$A$3:$B$10,2,FALSE),0)*'FL Characterization'!S$2)</f>
        <v>73.232336708949788</v>
      </c>
      <c r="T4" s="2">
        <f>('[1]Pc, Summer, S3'!T4*Main!$B$5)+(_xlfn.IFNA(VLOOKUP($A4,'FL Ratio'!$A$3:$B$10,2,FALSE),0)*'FL Characterization'!T$2)</f>
        <v>73.084245055515026</v>
      </c>
      <c r="U4" s="2">
        <f>('[1]Pc, Summer, S3'!U4*Main!$B$5)+(_xlfn.IFNA(VLOOKUP($A4,'FL Ratio'!$A$3:$B$10,2,FALSE),0)*'FL Characterization'!U$2)</f>
        <v>73.456861032404433</v>
      </c>
      <c r="V4" s="2">
        <f>('[1]Pc, Summer, S3'!V4*Main!$B$5)+(_xlfn.IFNA(VLOOKUP($A4,'FL Ratio'!$A$3:$B$10,2,FALSE),0)*'FL Characterization'!V$2)</f>
        <v>73.130109869741503</v>
      </c>
      <c r="W4" s="2">
        <f>('[1]Pc, Summer, S3'!W4*Main!$B$5)+(_xlfn.IFNA(VLOOKUP($A4,'FL Ratio'!$A$3:$B$10,2,FALSE),0)*'FL Characterization'!W$2)</f>
        <v>75.417975636070835</v>
      </c>
      <c r="X4" s="2">
        <f>('[1]Pc, Summer, S3'!X4*Main!$B$5)+(_xlfn.IFNA(VLOOKUP($A4,'FL Ratio'!$A$3:$B$10,2,FALSE),0)*'FL Characterization'!X$2)</f>
        <v>75.455297708851361</v>
      </c>
      <c r="Y4" s="2">
        <f>('[1]Pc, Summer, S3'!Y4*Main!$B$5)+(_xlfn.IFNA(VLOOKUP($A4,'FL Ratio'!$A$3:$B$10,2,FALSE),0)*'FL Characterization'!Y$2)</f>
        <v>68.139319577292881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3056-E6B3-4F0E-8018-F15414CCE61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-13.282130255323377</v>
      </c>
      <c r="C2" s="2">
        <f>('[1]Qc, Summer, S1'!C2*Main!$B$5)</f>
        <v>-17.268400249593256</v>
      </c>
      <c r="D2" s="2">
        <f>('[1]Qc, Summer, S1'!D2*Main!$B$5)</f>
        <v>-19.033109622777793</v>
      </c>
      <c r="E2" s="2">
        <f>('[1]Qc, Summer, S1'!E2*Main!$B$5)</f>
        <v>-17.368709688456821</v>
      </c>
      <c r="F2" s="2">
        <f>('[1]Qc, Summer, S1'!F2*Main!$B$5)</f>
        <v>-18.616919988573958</v>
      </c>
      <c r="G2" s="2">
        <f>('[1]Qc, Summer, S1'!G2*Main!$B$5)</f>
        <v>-19.046019727978724</v>
      </c>
      <c r="H2" s="2">
        <f>('[1]Qc, Summer, S1'!H2*Main!$B$5)</f>
        <v>-16.507000269124976</v>
      </c>
      <c r="I2" s="2">
        <f>('[1]Qc, Summer, S1'!I2*Main!$B$5)</f>
        <v>-2.5681183830994385</v>
      </c>
      <c r="J2" s="2">
        <f>('[1]Qc, Summer, S1'!J2*Main!$B$5)</f>
        <v>8.2434710381283178</v>
      </c>
      <c r="K2" s="2">
        <f>('[1]Qc, Summer, S1'!K2*Main!$B$5)</f>
        <v>12.000891489226683</v>
      </c>
      <c r="L2" s="2">
        <f>('[1]Qc, Summer, S1'!L2*Main!$B$5)</f>
        <v>9.4337736162691517</v>
      </c>
      <c r="M2" s="2">
        <f>('[1]Qc, Summer, S1'!M2*Main!$B$5)</f>
        <v>12.566045478499948</v>
      </c>
      <c r="N2" s="2">
        <f>('[1]Qc, Summer, S1'!N2*Main!$B$5)</f>
        <v>11.151358507012382</v>
      </c>
      <c r="O2" s="2">
        <f>('[1]Qc, Summer, S1'!O2*Main!$B$5)</f>
        <v>11.487112368635662</v>
      </c>
      <c r="P2" s="2">
        <f>('[1]Qc, Summer, S1'!P2*Main!$B$5)</f>
        <v>5.9269284181138211</v>
      </c>
      <c r="Q2" s="2">
        <f>('[1]Qc, Summer, S1'!Q2*Main!$B$5)</f>
        <v>1.498399249714653</v>
      </c>
      <c r="R2" s="2">
        <f>('[1]Qc, Summer, S1'!R2*Main!$B$5)</f>
        <v>3.3333412777948759</v>
      </c>
      <c r="S2" s="2">
        <f>('[1]Qc, Summer, S1'!S2*Main!$B$5)</f>
        <v>4.0488571486613392</v>
      </c>
      <c r="T2" s="2">
        <f>('[1]Qc, Summer, S1'!T2*Main!$B$5)</f>
        <v>2.4392839545152283</v>
      </c>
      <c r="U2" s="2">
        <f>('[1]Qc, Summer, S1'!U2*Main!$B$5)</f>
        <v>-0.45503980463374055</v>
      </c>
      <c r="V2" s="2">
        <f>('[1]Qc, Summer, S1'!V2*Main!$B$5)</f>
        <v>-1.7764023025491809</v>
      </c>
      <c r="W2" s="2">
        <f>('[1]Qc, Summer, S1'!W2*Main!$B$5)</f>
        <v>-1.2358891058288</v>
      </c>
      <c r="X2" s="2">
        <f>('[1]Qc, Summer, S1'!X2*Main!$B$5)</f>
        <v>-5.9270060766957027</v>
      </c>
      <c r="Y2" s="2">
        <f>('[1]Qc, Summer, S1'!Y2*Main!$B$5)</f>
        <v>-8.0226853067355606</v>
      </c>
    </row>
    <row r="3" spans="1:25" x14ac:dyDescent="0.3">
      <c r="A3">
        <v>2</v>
      </c>
      <c r="B3" s="2">
        <f>('[1]Qc, Summer, S1'!B3*Main!$B$5)</f>
        <v>-16.809636144193107</v>
      </c>
      <c r="C3" s="2">
        <f>('[1]Qc, Summer, S1'!C3*Main!$B$5)</f>
        <v>-16.809636144193107</v>
      </c>
      <c r="D3" s="2">
        <f>('[1]Qc, Summer, S1'!D3*Main!$B$5)</f>
        <v>-19.514996246750808</v>
      </c>
      <c r="E3" s="2">
        <f>('[1]Qc, Summer, S1'!E3*Main!$B$5)</f>
        <v>-22.220356349308513</v>
      </c>
      <c r="F3" s="2">
        <f>('[1]Qc, Summer, S1'!F3*Main!$B$5)</f>
        <v>-22.220356349308513</v>
      </c>
      <c r="G3" s="2">
        <f>('[1]Qc, Summer, S1'!G3*Main!$B$5)</f>
        <v>-22.220356349308513</v>
      </c>
      <c r="H3" s="2">
        <f>('[1]Qc, Summer, S1'!H3*Main!$B$5)</f>
        <v>-8.8600455936610558</v>
      </c>
      <c r="I3" s="2">
        <f>('[1]Qc, Summer, S1'!I3*Main!$B$5)</f>
        <v>1.8365319600442434</v>
      </c>
      <c r="J3" s="2">
        <f>('[1]Qc, Summer, S1'!J3*Main!$B$5)</f>
        <v>5.8321473878660255</v>
      </c>
      <c r="K3" s="2">
        <f>('[1]Qc, Summer, S1'!K3*Main!$B$5)</f>
        <v>5.8321473878660255</v>
      </c>
      <c r="L3" s="2">
        <f>('[1]Qc, Summer, S1'!L3*Main!$B$5)</f>
        <v>5.3326870801136703</v>
      </c>
      <c r="M3" s="2">
        <f>('[1]Qc, Summer, S1'!M3*Main!$B$5)</f>
        <v>7.4969644151286223</v>
      </c>
      <c r="N3" s="2">
        <f>('[1]Qc, Summer, S1'!N3*Main!$B$5)</f>
        <v>10.160702057895932</v>
      </c>
      <c r="O3" s="2">
        <f>('[1]Qc, Summer, S1'!O3*Main!$B$5)</f>
        <v>10.472870365717286</v>
      </c>
      <c r="P3" s="2">
        <f>('[1]Qc, Summer, S1'!P3*Main!$B$5)</f>
        <v>5.8737653599624018</v>
      </c>
      <c r="Q3" s="2">
        <f>('[1]Qc, Summer, S1'!Q3*Main!$B$5)</f>
        <v>4.5835100112638889</v>
      </c>
      <c r="R3" s="2">
        <f>('[1]Qc, Summer, S1'!R3*Main!$B$5)</f>
        <v>-0.74396532113959624</v>
      </c>
      <c r="S3" s="2">
        <f>('[1]Qc, Summer, S1'!S3*Main!$B$5)</f>
        <v>-0.74396532113959624</v>
      </c>
      <c r="T3" s="2">
        <f>('[1]Qc, Summer, S1'!T3*Main!$B$5)</f>
        <v>-0.74396532113959624</v>
      </c>
      <c r="U3" s="2">
        <f>('[1]Qc, Summer, S1'!U3*Main!$B$5)</f>
        <v>-0.74396532113959624</v>
      </c>
      <c r="V3" s="2">
        <f>('[1]Qc, Summer, S1'!V3*Main!$B$5)</f>
        <v>-4.7395852132209635</v>
      </c>
      <c r="W3" s="2">
        <f>('[1]Qc, Summer, S1'!W3*Main!$B$5)</f>
        <v>-6.0714585105814178</v>
      </c>
      <c r="X3" s="2">
        <f>('[1]Qc, Summer, S1'!X3*Main!$B$5)</f>
        <v>-16.976108032578612</v>
      </c>
      <c r="Y3" s="2">
        <f>('[1]Qc, Summer, S1'!Y3*Main!$B$5)</f>
        <v>-16.976108032578612</v>
      </c>
    </row>
    <row r="4" spans="1:25" x14ac:dyDescent="0.3">
      <c r="A4">
        <v>3</v>
      </c>
      <c r="B4" s="2">
        <f>('[1]Qc, Summer, S1'!B4*Main!$B$5)</f>
        <v>13.569180648793386</v>
      </c>
      <c r="C4" s="2">
        <f>('[1]Qc, Summer, S1'!C4*Main!$B$5)</f>
        <v>10.396621768195143</v>
      </c>
      <c r="D4" s="2">
        <f>('[1]Qc, Summer, S1'!D4*Main!$B$5)</f>
        <v>9.8523564169161553</v>
      </c>
      <c r="E4" s="2">
        <f>('[1]Qc, Summer, S1'!E4*Main!$B$5)</f>
        <v>8.6047911064290048</v>
      </c>
      <c r="F4" s="2">
        <f>('[1]Qc, Summer, S1'!F4*Main!$B$5)</f>
        <v>9.9058175855092934</v>
      </c>
      <c r="G4" s="2">
        <f>('[1]Qc, Summer, S1'!G4*Main!$B$5)</f>
        <v>4.597443473227969</v>
      </c>
      <c r="H4" s="2">
        <f>('[1]Qc, Summer, S1'!H4*Main!$B$5)</f>
        <v>8.0214651559194596</v>
      </c>
      <c r="I4" s="2">
        <f>('[1]Qc, Summer, S1'!I4*Main!$B$5)</f>
        <v>15.414193052404297</v>
      </c>
      <c r="J4" s="2">
        <f>('[1]Qc, Summer, S1'!J4*Main!$B$5)</f>
        <v>22.422945450329287</v>
      </c>
      <c r="K4" s="2">
        <f>('[1]Qc, Summer, S1'!K4*Main!$B$5)</f>
        <v>26.64469580945309</v>
      </c>
      <c r="L4" s="2">
        <f>('[1]Qc, Summer, S1'!L4*Main!$B$5)</f>
        <v>29.087806288252374</v>
      </c>
      <c r="M4" s="2">
        <f>('[1]Qc, Summer, S1'!M4*Main!$B$5)</f>
        <v>30.149770059182298</v>
      </c>
      <c r="N4" s="2">
        <f>('[1]Qc, Summer, S1'!N4*Main!$B$5)</f>
        <v>31.505001492393706</v>
      </c>
      <c r="O4" s="2">
        <f>('[1]Qc, Summer, S1'!O4*Main!$B$5)</f>
        <v>31.743366213297875</v>
      </c>
      <c r="P4" s="2">
        <f>('[1]Qc, Summer, S1'!P4*Main!$B$5)</f>
        <v>31.518052441360183</v>
      </c>
      <c r="Q4" s="2">
        <f>('[1]Qc, Summer, S1'!Q4*Main!$B$5)</f>
        <v>30.468861582159651</v>
      </c>
      <c r="R4" s="2">
        <f>('[1]Qc, Summer, S1'!R4*Main!$B$5)</f>
        <v>28.995982483854682</v>
      </c>
      <c r="S4" s="2">
        <f>('[1]Qc, Summer, S1'!S4*Main!$B$5)</f>
        <v>25.730669588547382</v>
      </c>
      <c r="T4" s="2">
        <f>('[1]Qc, Summer, S1'!T4*Main!$B$5)</f>
        <v>25.61162598072168</v>
      </c>
      <c r="U4" s="2">
        <f>('[1]Qc, Summer, S1'!U4*Main!$B$5)</f>
        <v>24.364387459467387</v>
      </c>
      <c r="V4" s="2">
        <f>('[1]Qc, Summer, S1'!V4*Main!$B$5)</f>
        <v>21.962012274473686</v>
      </c>
      <c r="W4" s="2">
        <f>('[1]Qc, Summer, S1'!W4*Main!$B$5)</f>
        <v>26.32816374243318</v>
      </c>
      <c r="X4" s="2">
        <f>('[1]Qc, Summer, S1'!X4*Main!$B$5)</f>
        <v>23.5909930320584</v>
      </c>
      <c r="Y4" s="2">
        <f>('[1]Qc, Summer, S1'!Y4*Main!$B$5)</f>
        <v>18.985081408626723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0F2B-C4B7-4CA6-9F6F-9625BF8A2D24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-13.282130255323377</v>
      </c>
      <c r="C2" s="2">
        <f>('[1]Qc, Summer, S1'!C2*Main!$B$5)</f>
        <v>-17.268400249593256</v>
      </c>
      <c r="D2" s="2">
        <f>('[1]Qc, Summer, S1'!D2*Main!$B$5)</f>
        <v>-19.033109622777793</v>
      </c>
      <c r="E2" s="2">
        <f>('[1]Qc, Summer, S1'!E2*Main!$B$5)</f>
        <v>-17.368709688456821</v>
      </c>
      <c r="F2" s="2">
        <f>('[1]Qc, Summer, S1'!F2*Main!$B$5)</f>
        <v>-18.616919988573958</v>
      </c>
      <c r="G2" s="2">
        <f>('[1]Qc, Summer, S1'!G2*Main!$B$5)</f>
        <v>-19.046019727978724</v>
      </c>
      <c r="H2" s="2">
        <f>('[1]Qc, Summer, S1'!H2*Main!$B$5)</f>
        <v>-16.507000269124976</v>
      </c>
      <c r="I2" s="2">
        <f>('[1]Qc, Summer, S1'!I2*Main!$B$5)</f>
        <v>-2.5681183830994385</v>
      </c>
      <c r="J2" s="2">
        <f>('[1]Qc, Summer, S1'!J2*Main!$B$5)</f>
        <v>8.2434710381283178</v>
      </c>
      <c r="K2" s="2">
        <f>('[1]Qc, Summer, S1'!K2*Main!$B$5)</f>
        <v>12.000891489226683</v>
      </c>
      <c r="L2" s="2">
        <f>('[1]Qc, Summer, S1'!L2*Main!$B$5)</f>
        <v>9.4337736162691517</v>
      </c>
      <c r="M2" s="2">
        <f>('[1]Qc, Summer, S1'!M2*Main!$B$5)</f>
        <v>12.566045478499948</v>
      </c>
      <c r="N2" s="2">
        <f>('[1]Qc, Summer, S1'!N2*Main!$B$5)</f>
        <v>11.151358507012382</v>
      </c>
      <c r="O2" s="2">
        <f>('[1]Qc, Summer, S1'!O2*Main!$B$5)</f>
        <v>11.487112368635662</v>
      </c>
      <c r="P2" s="2">
        <f>('[1]Qc, Summer, S1'!P2*Main!$B$5)</f>
        <v>5.9269284181138211</v>
      </c>
      <c r="Q2" s="2">
        <f>('[1]Qc, Summer, S1'!Q2*Main!$B$5)</f>
        <v>1.498399249714653</v>
      </c>
      <c r="R2" s="2">
        <f>('[1]Qc, Summer, S1'!R2*Main!$B$5)</f>
        <v>3.3333412777948759</v>
      </c>
      <c r="S2" s="2">
        <f>('[1]Qc, Summer, S1'!S2*Main!$B$5)</f>
        <v>4.0488571486613392</v>
      </c>
      <c r="T2" s="2">
        <f>('[1]Qc, Summer, S1'!T2*Main!$B$5)</f>
        <v>2.4392839545152283</v>
      </c>
      <c r="U2" s="2">
        <f>('[1]Qc, Summer, S1'!U2*Main!$B$5)</f>
        <v>-0.45503980463374055</v>
      </c>
      <c r="V2" s="2">
        <f>('[1]Qc, Summer, S1'!V2*Main!$B$5)</f>
        <v>-1.7764023025491809</v>
      </c>
      <c r="W2" s="2">
        <f>('[1]Qc, Summer, S1'!W2*Main!$B$5)</f>
        <v>-1.2358891058288</v>
      </c>
      <c r="X2" s="2">
        <f>('[1]Qc, Summer, S1'!X2*Main!$B$5)</f>
        <v>-5.9270060766957027</v>
      </c>
      <c r="Y2" s="2">
        <f>('[1]Qc, Summer, S1'!Y2*Main!$B$5)</f>
        <v>-8.0226853067355606</v>
      </c>
    </row>
    <row r="3" spans="1:25" x14ac:dyDescent="0.3">
      <c r="A3">
        <v>2</v>
      </c>
      <c r="B3" s="2">
        <f>('[1]Qc, Summer, S1'!B3*Main!$B$5)</f>
        <v>-16.809636144193107</v>
      </c>
      <c r="C3" s="2">
        <f>('[1]Qc, Summer, S1'!C3*Main!$B$5)</f>
        <v>-16.809636144193107</v>
      </c>
      <c r="D3" s="2">
        <f>('[1]Qc, Summer, S1'!D3*Main!$B$5)</f>
        <v>-19.514996246750808</v>
      </c>
      <c r="E3" s="2">
        <f>('[1]Qc, Summer, S1'!E3*Main!$B$5)</f>
        <v>-22.220356349308513</v>
      </c>
      <c r="F3" s="2">
        <f>('[1]Qc, Summer, S1'!F3*Main!$B$5)</f>
        <v>-22.220356349308513</v>
      </c>
      <c r="G3" s="2">
        <f>('[1]Qc, Summer, S1'!G3*Main!$B$5)</f>
        <v>-22.220356349308513</v>
      </c>
      <c r="H3" s="2">
        <f>('[1]Qc, Summer, S1'!H3*Main!$B$5)</f>
        <v>-8.8600455936610558</v>
      </c>
      <c r="I3" s="2">
        <f>('[1]Qc, Summer, S1'!I3*Main!$B$5)</f>
        <v>1.8365319600442434</v>
      </c>
      <c r="J3" s="2">
        <f>('[1]Qc, Summer, S1'!J3*Main!$B$5)</f>
        <v>5.8321473878660255</v>
      </c>
      <c r="K3" s="2">
        <f>('[1]Qc, Summer, S1'!K3*Main!$B$5)</f>
        <v>5.8321473878660255</v>
      </c>
      <c r="L3" s="2">
        <f>('[1]Qc, Summer, S1'!L3*Main!$B$5)</f>
        <v>5.3326870801136703</v>
      </c>
      <c r="M3" s="2">
        <f>('[1]Qc, Summer, S1'!M3*Main!$B$5)</f>
        <v>7.4969644151286223</v>
      </c>
      <c r="N3" s="2">
        <f>('[1]Qc, Summer, S1'!N3*Main!$B$5)</f>
        <v>10.160702057895932</v>
      </c>
      <c r="O3" s="2">
        <f>('[1]Qc, Summer, S1'!O3*Main!$B$5)</f>
        <v>10.472870365717286</v>
      </c>
      <c r="P3" s="2">
        <f>('[1]Qc, Summer, S1'!P3*Main!$B$5)</f>
        <v>5.8737653599624018</v>
      </c>
      <c r="Q3" s="2">
        <f>('[1]Qc, Summer, S1'!Q3*Main!$B$5)</f>
        <v>4.5835100112638889</v>
      </c>
      <c r="R3" s="2">
        <f>('[1]Qc, Summer, S1'!R3*Main!$B$5)</f>
        <v>-0.74396532113959624</v>
      </c>
      <c r="S3" s="2">
        <f>('[1]Qc, Summer, S1'!S3*Main!$B$5)</f>
        <v>-0.74396532113959624</v>
      </c>
      <c r="T3" s="2">
        <f>('[1]Qc, Summer, S1'!T3*Main!$B$5)</f>
        <v>-0.74396532113959624</v>
      </c>
      <c r="U3" s="2">
        <f>('[1]Qc, Summer, S1'!U3*Main!$B$5)</f>
        <v>-0.74396532113959624</v>
      </c>
      <c r="V3" s="2">
        <f>('[1]Qc, Summer, S1'!V3*Main!$B$5)</f>
        <v>-4.7395852132209635</v>
      </c>
      <c r="W3" s="2">
        <f>('[1]Qc, Summer, S1'!W3*Main!$B$5)</f>
        <v>-6.0714585105814178</v>
      </c>
      <c r="X3" s="2">
        <f>('[1]Qc, Summer, S1'!X3*Main!$B$5)</f>
        <v>-16.976108032578612</v>
      </c>
      <c r="Y3" s="2">
        <f>('[1]Qc, Summer, S1'!Y3*Main!$B$5)</f>
        <v>-16.976108032578612</v>
      </c>
    </row>
    <row r="4" spans="1:25" x14ac:dyDescent="0.3">
      <c r="A4">
        <v>3</v>
      </c>
      <c r="B4" s="2">
        <f>('[1]Qc, Summer, S1'!B4*Main!$B$5)</f>
        <v>13.569180648793386</v>
      </c>
      <c r="C4" s="2">
        <f>('[1]Qc, Summer, S1'!C4*Main!$B$5)</f>
        <v>10.396621768195143</v>
      </c>
      <c r="D4" s="2">
        <f>('[1]Qc, Summer, S1'!D4*Main!$B$5)</f>
        <v>9.8523564169161553</v>
      </c>
      <c r="E4" s="2">
        <f>('[1]Qc, Summer, S1'!E4*Main!$B$5)</f>
        <v>8.6047911064290048</v>
      </c>
      <c r="F4" s="2">
        <f>('[1]Qc, Summer, S1'!F4*Main!$B$5)</f>
        <v>9.9058175855092934</v>
      </c>
      <c r="G4" s="2">
        <f>('[1]Qc, Summer, S1'!G4*Main!$B$5)</f>
        <v>4.597443473227969</v>
      </c>
      <c r="H4" s="2">
        <f>('[1]Qc, Summer, S1'!H4*Main!$B$5)</f>
        <v>8.0214651559194596</v>
      </c>
      <c r="I4" s="2">
        <f>('[1]Qc, Summer, S1'!I4*Main!$B$5)</f>
        <v>15.414193052404297</v>
      </c>
      <c r="J4" s="2">
        <f>('[1]Qc, Summer, S1'!J4*Main!$B$5)</f>
        <v>22.422945450329287</v>
      </c>
      <c r="K4" s="2">
        <f>('[1]Qc, Summer, S1'!K4*Main!$B$5)</f>
        <v>26.64469580945309</v>
      </c>
      <c r="L4" s="2">
        <f>('[1]Qc, Summer, S1'!L4*Main!$B$5)</f>
        <v>29.087806288252374</v>
      </c>
      <c r="M4" s="2">
        <f>('[1]Qc, Summer, S1'!M4*Main!$B$5)</f>
        <v>30.149770059182298</v>
      </c>
      <c r="N4" s="2">
        <f>('[1]Qc, Summer, S1'!N4*Main!$B$5)</f>
        <v>31.505001492393706</v>
      </c>
      <c r="O4" s="2">
        <f>('[1]Qc, Summer, S1'!O4*Main!$B$5)</f>
        <v>31.743366213297875</v>
      </c>
      <c r="P4" s="2">
        <f>('[1]Qc, Summer, S1'!P4*Main!$B$5)</f>
        <v>31.518052441360183</v>
      </c>
      <c r="Q4" s="2">
        <f>('[1]Qc, Summer, S1'!Q4*Main!$B$5)</f>
        <v>30.468861582159651</v>
      </c>
      <c r="R4" s="2">
        <f>('[1]Qc, Summer, S1'!R4*Main!$B$5)</f>
        <v>28.995982483854682</v>
      </c>
      <c r="S4" s="2">
        <f>('[1]Qc, Summer, S1'!S4*Main!$B$5)</f>
        <v>25.730669588547382</v>
      </c>
      <c r="T4" s="2">
        <f>('[1]Qc, Summer, S1'!T4*Main!$B$5)</f>
        <v>25.61162598072168</v>
      </c>
      <c r="U4" s="2">
        <f>('[1]Qc, Summer, S1'!U4*Main!$B$5)</f>
        <v>24.364387459467387</v>
      </c>
      <c r="V4" s="2">
        <f>('[1]Qc, Summer, S1'!V4*Main!$B$5)</f>
        <v>21.962012274473686</v>
      </c>
      <c r="W4" s="2">
        <f>('[1]Qc, Summer, S1'!W4*Main!$B$5)</f>
        <v>26.32816374243318</v>
      </c>
      <c r="X4" s="2">
        <f>('[1]Qc, Summer, S1'!X4*Main!$B$5)</f>
        <v>23.5909930320584</v>
      </c>
      <c r="Y4" s="2">
        <f>('[1]Qc, Summer, S1'!Y4*Main!$B$5)</f>
        <v>18.985081408626723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A2B2-F3C9-45A7-B421-2FBE8BE2B44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-13.282130255323377</v>
      </c>
      <c r="C2" s="2">
        <f>('[1]Qc, Summer, S1'!C2*Main!$B$5)</f>
        <v>-17.268400249593256</v>
      </c>
      <c r="D2" s="2">
        <f>('[1]Qc, Summer, S1'!D2*Main!$B$5)</f>
        <v>-19.033109622777793</v>
      </c>
      <c r="E2" s="2">
        <f>('[1]Qc, Summer, S1'!E2*Main!$B$5)</f>
        <v>-17.368709688456821</v>
      </c>
      <c r="F2" s="2">
        <f>('[1]Qc, Summer, S1'!F2*Main!$B$5)</f>
        <v>-18.616919988573958</v>
      </c>
      <c r="G2" s="2">
        <f>('[1]Qc, Summer, S1'!G2*Main!$B$5)</f>
        <v>-19.046019727978724</v>
      </c>
      <c r="H2" s="2">
        <f>('[1]Qc, Summer, S1'!H2*Main!$B$5)</f>
        <v>-16.507000269124976</v>
      </c>
      <c r="I2" s="2">
        <f>('[1]Qc, Summer, S1'!I2*Main!$B$5)</f>
        <v>-2.5681183830994385</v>
      </c>
      <c r="J2" s="2">
        <f>('[1]Qc, Summer, S1'!J2*Main!$B$5)</f>
        <v>8.2434710381283178</v>
      </c>
      <c r="K2" s="2">
        <f>('[1]Qc, Summer, S1'!K2*Main!$B$5)</f>
        <v>12.000891489226683</v>
      </c>
      <c r="L2" s="2">
        <f>('[1]Qc, Summer, S1'!L2*Main!$B$5)</f>
        <v>9.4337736162691517</v>
      </c>
      <c r="M2" s="2">
        <f>('[1]Qc, Summer, S1'!M2*Main!$B$5)</f>
        <v>12.566045478499948</v>
      </c>
      <c r="N2" s="2">
        <f>('[1]Qc, Summer, S1'!N2*Main!$B$5)</f>
        <v>11.151358507012382</v>
      </c>
      <c r="O2" s="2">
        <f>('[1]Qc, Summer, S1'!O2*Main!$B$5)</f>
        <v>11.487112368635662</v>
      </c>
      <c r="P2" s="2">
        <f>('[1]Qc, Summer, S1'!P2*Main!$B$5)</f>
        <v>5.9269284181138211</v>
      </c>
      <c r="Q2" s="2">
        <f>('[1]Qc, Summer, S1'!Q2*Main!$B$5)</f>
        <v>1.498399249714653</v>
      </c>
      <c r="R2" s="2">
        <f>('[1]Qc, Summer, S1'!R2*Main!$B$5)</f>
        <v>3.3333412777948759</v>
      </c>
      <c r="S2" s="2">
        <f>('[1]Qc, Summer, S1'!S2*Main!$B$5)</f>
        <v>4.0488571486613392</v>
      </c>
      <c r="T2" s="2">
        <f>('[1]Qc, Summer, S1'!T2*Main!$B$5)</f>
        <v>2.4392839545152283</v>
      </c>
      <c r="U2" s="2">
        <f>('[1]Qc, Summer, S1'!U2*Main!$B$5)</f>
        <v>-0.45503980463374055</v>
      </c>
      <c r="V2" s="2">
        <f>('[1]Qc, Summer, S1'!V2*Main!$B$5)</f>
        <v>-1.7764023025491809</v>
      </c>
      <c r="W2" s="2">
        <f>('[1]Qc, Summer, S1'!W2*Main!$B$5)</f>
        <v>-1.2358891058288</v>
      </c>
      <c r="X2" s="2">
        <f>('[1]Qc, Summer, S1'!X2*Main!$B$5)</f>
        <v>-5.9270060766957027</v>
      </c>
      <c r="Y2" s="2">
        <f>('[1]Qc, Summer, S1'!Y2*Main!$B$5)</f>
        <v>-8.0226853067355606</v>
      </c>
    </row>
    <row r="3" spans="1:25" x14ac:dyDescent="0.3">
      <c r="A3">
        <v>2</v>
      </c>
      <c r="B3" s="2">
        <f>('[1]Qc, Summer, S1'!B3*Main!$B$5)</f>
        <v>-16.809636144193107</v>
      </c>
      <c r="C3" s="2">
        <f>('[1]Qc, Summer, S1'!C3*Main!$B$5)</f>
        <v>-16.809636144193107</v>
      </c>
      <c r="D3" s="2">
        <f>('[1]Qc, Summer, S1'!D3*Main!$B$5)</f>
        <v>-19.514996246750808</v>
      </c>
      <c r="E3" s="2">
        <f>('[1]Qc, Summer, S1'!E3*Main!$B$5)</f>
        <v>-22.220356349308513</v>
      </c>
      <c r="F3" s="2">
        <f>('[1]Qc, Summer, S1'!F3*Main!$B$5)</f>
        <v>-22.220356349308513</v>
      </c>
      <c r="G3" s="2">
        <f>('[1]Qc, Summer, S1'!G3*Main!$B$5)</f>
        <v>-22.220356349308513</v>
      </c>
      <c r="H3" s="2">
        <f>('[1]Qc, Summer, S1'!H3*Main!$B$5)</f>
        <v>-8.8600455936610558</v>
      </c>
      <c r="I3" s="2">
        <f>('[1]Qc, Summer, S1'!I3*Main!$B$5)</f>
        <v>1.8365319600442434</v>
      </c>
      <c r="J3" s="2">
        <f>('[1]Qc, Summer, S1'!J3*Main!$B$5)</f>
        <v>5.8321473878660255</v>
      </c>
      <c r="K3" s="2">
        <f>('[1]Qc, Summer, S1'!K3*Main!$B$5)</f>
        <v>5.8321473878660255</v>
      </c>
      <c r="L3" s="2">
        <f>('[1]Qc, Summer, S1'!L3*Main!$B$5)</f>
        <v>5.3326870801136703</v>
      </c>
      <c r="M3" s="2">
        <f>('[1]Qc, Summer, S1'!M3*Main!$B$5)</f>
        <v>7.4969644151286223</v>
      </c>
      <c r="N3" s="2">
        <f>('[1]Qc, Summer, S1'!N3*Main!$B$5)</f>
        <v>10.160702057895932</v>
      </c>
      <c r="O3" s="2">
        <f>('[1]Qc, Summer, S1'!O3*Main!$B$5)</f>
        <v>10.472870365717286</v>
      </c>
      <c r="P3" s="2">
        <f>('[1]Qc, Summer, S1'!P3*Main!$B$5)</f>
        <v>5.8737653599624018</v>
      </c>
      <c r="Q3" s="2">
        <f>('[1]Qc, Summer, S1'!Q3*Main!$B$5)</f>
        <v>4.5835100112638889</v>
      </c>
      <c r="R3" s="2">
        <f>('[1]Qc, Summer, S1'!R3*Main!$B$5)</f>
        <v>-0.74396532113959624</v>
      </c>
      <c r="S3" s="2">
        <f>('[1]Qc, Summer, S1'!S3*Main!$B$5)</f>
        <v>-0.74396532113959624</v>
      </c>
      <c r="T3" s="2">
        <f>('[1]Qc, Summer, S1'!T3*Main!$B$5)</f>
        <v>-0.74396532113959624</v>
      </c>
      <c r="U3" s="2">
        <f>('[1]Qc, Summer, S1'!U3*Main!$B$5)</f>
        <v>-0.74396532113959624</v>
      </c>
      <c r="V3" s="2">
        <f>('[1]Qc, Summer, S1'!V3*Main!$B$5)</f>
        <v>-4.7395852132209635</v>
      </c>
      <c r="W3" s="2">
        <f>('[1]Qc, Summer, S1'!W3*Main!$B$5)</f>
        <v>-6.0714585105814178</v>
      </c>
      <c r="X3" s="2">
        <f>('[1]Qc, Summer, S1'!X3*Main!$B$5)</f>
        <v>-16.976108032578612</v>
      </c>
      <c r="Y3" s="2">
        <f>('[1]Qc, Summer, S1'!Y3*Main!$B$5)</f>
        <v>-16.976108032578612</v>
      </c>
    </row>
    <row r="4" spans="1:25" x14ac:dyDescent="0.3">
      <c r="A4">
        <v>3</v>
      </c>
      <c r="B4" s="2">
        <f>('[1]Qc, Summer, S1'!B4*Main!$B$5)</f>
        <v>13.569180648793386</v>
      </c>
      <c r="C4" s="2">
        <f>('[1]Qc, Summer, S1'!C4*Main!$B$5)</f>
        <v>10.396621768195143</v>
      </c>
      <c r="D4" s="2">
        <f>('[1]Qc, Summer, S1'!D4*Main!$B$5)</f>
        <v>9.8523564169161553</v>
      </c>
      <c r="E4" s="2">
        <f>('[1]Qc, Summer, S1'!E4*Main!$B$5)</f>
        <v>8.6047911064290048</v>
      </c>
      <c r="F4" s="2">
        <f>('[1]Qc, Summer, S1'!F4*Main!$B$5)</f>
        <v>9.9058175855092934</v>
      </c>
      <c r="G4" s="2">
        <f>('[1]Qc, Summer, S1'!G4*Main!$B$5)</f>
        <v>4.597443473227969</v>
      </c>
      <c r="H4" s="2">
        <f>('[1]Qc, Summer, S1'!H4*Main!$B$5)</f>
        <v>8.0214651559194596</v>
      </c>
      <c r="I4" s="2">
        <f>('[1]Qc, Summer, S1'!I4*Main!$B$5)</f>
        <v>15.414193052404297</v>
      </c>
      <c r="J4" s="2">
        <f>('[1]Qc, Summer, S1'!J4*Main!$B$5)</f>
        <v>22.422945450329287</v>
      </c>
      <c r="K4" s="2">
        <f>('[1]Qc, Summer, S1'!K4*Main!$B$5)</f>
        <v>26.64469580945309</v>
      </c>
      <c r="L4" s="2">
        <f>('[1]Qc, Summer, S1'!L4*Main!$B$5)</f>
        <v>29.087806288252374</v>
      </c>
      <c r="M4" s="2">
        <f>('[1]Qc, Summer, S1'!M4*Main!$B$5)</f>
        <v>30.149770059182298</v>
      </c>
      <c r="N4" s="2">
        <f>('[1]Qc, Summer, S1'!N4*Main!$B$5)</f>
        <v>31.505001492393706</v>
      </c>
      <c r="O4" s="2">
        <f>('[1]Qc, Summer, S1'!O4*Main!$B$5)</f>
        <v>31.743366213297875</v>
      </c>
      <c r="P4" s="2">
        <f>('[1]Qc, Summer, S1'!P4*Main!$B$5)</f>
        <v>31.518052441360183</v>
      </c>
      <c r="Q4" s="2">
        <f>('[1]Qc, Summer, S1'!Q4*Main!$B$5)</f>
        <v>30.468861582159651</v>
      </c>
      <c r="R4" s="2">
        <f>('[1]Qc, Summer, S1'!R4*Main!$B$5)</f>
        <v>28.995982483854682</v>
      </c>
      <c r="S4" s="2">
        <f>('[1]Qc, Summer, S1'!S4*Main!$B$5)</f>
        <v>25.730669588547382</v>
      </c>
      <c r="T4" s="2">
        <f>('[1]Qc, Summer, S1'!T4*Main!$B$5)</f>
        <v>25.61162598072168</v>
      </c>
      <c r="U4" s="2">
        <f>('[1]Qc, Summer, S1'!U4*Main!$B$5)</f>
        <v>24.364387459467387</v>
      </c>
      <c r="V4" s="2">
        <f>('[1]Qc, Summer, S1'!V4*Main!$B$5)</f>
        <v>21.962012274473686</v>
      </c>
      <c r="W4" s="2">
        <f>('[1]Qc, Summer, S1'!W4*Main!$B$5)</f>
        <v>26.32816374243318</v>
      </c>
      <c r="X4" s="2">
        <f>('[1]Qc, Summer, S1'!X4*Main!$B$5)</f>
        <v>23.5909930320584</v>
      </c>
      <c r="Y4" s="2">
        <f>('[1]Qc, Summer, S1'!Y4*Main!$B$5)</f>
        <v>18.985081408626723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436F-3476-4DB3-805A-C57EDD458B3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-13.680594162983075</v>
      </c>
      <c r="C2" s="2">
        <f>('[1]Qc, Summer, S2'!C2*Main!$B$5)</f>
        <v>-17.786452257081052</v>
      </c>
      <c r="D2" s="2">
        <f>('[1]Qc, Summer, S2'!D2*Main!$B$5)</f>
        <v>-19.604102911461126</v>
      </c>
      <c r="E2" s="2">
        <f>('[1]Qc, Summer, S2'!E2*Main!$B$5)</f>
        <v>-17.889770979110526</v>
      </c>
      <c r="F2" s="2">
        <f>('[1]Qc, Summer, S2'!F2*Main!$B$5)</f>
        <v>-19.175427588231173</v>
      </c>
      <c r="G2" s="2">
        <f>('[1]Qc, Summer, S2'!G2*Main!$B$5)</f>
        <v>-19.617400319818088</v>
      </c>
      <c r="H2" s="2">
        <f>('[1]Qc, Summer, S2'!H2*Main!$B$5)</f>
        <v>-17.002210277198724</v>
      </c>
      <c r="I2" s="2">
        <f>('[1]Qc, Summer, S2'!I2*Main!$B$5)</f>
        <v>-2.645161934592422</v>
      </c>
      <c r="J2" s="2">
        <f>('[1]Qc, Summer, S2'!J2*Main!$B$5)</f>
        <v>8.4907751692721689</v>
      </c>
      <c r="K2" s="2">
        <f>('[1]Qc, Summer, S2'!K2*Main!$B$5)</f>
        <v>12.360918233903483</v>
      </c>
      <c r="L2" s="2">
        <f>('[1]Qc, Summer, S2'!L2*Main!$B$5)</f>
        <v>9.7167868247572287</v>
      </c>
      <c r="M2" s="2">
        <f>('[1]Qc, Summer, S2'!M2*Main!$B$5)</f>
        <v>12.943026842854945</v>
      </c>
      <c r="N2" s="2">
        <f>('[1]Qc, Summer, S2'!N2*Main!$B$5)</f>
        <v>11.485899262222754</v>
      </c>
      <c r="O2" s="2">
        <f>('[1]Qc, Summer, S2'!O2*Main!$B$5)</f>
        <v>11.831725739694731</v>
      </c>
      <c r="P2" s="2">
        <f>('[1]Qc, Summer, S2'!P2*Main!$B$5)</f>
        <v>6.1047362706572352</v>
      </c>
      <c r="Q2" s="2">
        <f>('[1]Qc, Summer, S2'!Q2*Main!$B$5)</f>
        <v>1.5433512272060925</v>
      </c>
      <c r="R2" s="2">
        <f>('[1]Qc, Summer, S2'!R2*Main!$B$5)</f>
        <v>3.433341516128722</v>
      </c>
      <c r="S2" s="2">
        <f>('[1]Qc, Summer, S2'!S2*Main!$B$5)</f>
        <v>4.1703228631211795</v>
      </c>
      <c r="T2" s="2">
        <f>('[1]Qc, Summer, S2'!T2*Main!$B$5)</f>
        <v>2.512462473150685</v>
      </c>
      <c r="U2" s="2">
        <f>('[1]Qc, Summer, S2'!U2*Main!$B$5)</f>
        <v>-0.46869099877275283</v>
      </c>
      <c r="V2" s="2">
        <f>('[1]Qc, Summer, S2'!V2*Main!$B$5)</f>
        <v>-1.8296943716256564</v>
      </c>
      <c r="W2" s="2">
        <f>('[1]Qc, Summer, S2'!W2*Main!$B$5)</f>
        <v>-1.2729657790036637</v>
      </c>
      <c r="X2" s="2">
        <f>('[1]Qc, Summer, S2'!X2*Main!$B$5)</f>
        <v>-6.104816258996574</v>
      </c>
      <c r="Y2" s="2">
        <f>('[1]Qc, Summer, S2'!Y2*Main!$B$5)</f>
        <v>-8.2633658659376277</v>
      </c>
    </row>
    <row r="3" spans="1:25" x14ac:dyDescent="0.3">
      <c r="A3">
        <v>2</v>
      </c>
      <c r="B3" s="2">
        <f>('[1]Qc, Summer, S2'!B3*Main!$B$5)</f>
        <v>-17.313925228518901</v>
      </c>
      <c r="C3" s="2">
        <f>('[1]Qc, Summer, S2'!C3*Main!$B$5)</f>
        <v>-17.313925228518901</v>
      </c>
      <c r="D3" s="2">
        <f>('[1]Qc, Summer, S2'!D3*Main!$B$5)</f>
        <v>-20.100446134153334</v>
      </c>
      <c r="E3" s="2">
        <f>('[1]Qc, Summer, S2'!E3*Main!$B$5)</f>
        <v>-22.88696703978777</v>
      </c>
      <c r="F3" s="2">
        <f>('[1]Qc, Summer, S2'!F3*Main!$B$5)</f>
        <v>-22.88696703978777</v>
      </c>
      <c r="G3" s="2">
        <f>('[1]Qc, Summer, S2'!G3*Main!$B$5)</f>
        <v>-22.88696703978777</v>
      </c>
      <c r="H3" s="2">
        <f>('[1]Qc, Summer, S2'!H3*Main!$B$5)</f>
        <v>-9.1258469614708879</v>
      </c>
      <c r="I3" s="2">
        <f>('[1]Qc, Summer, S2'!I3*Main!$B$5)</f>
        <v>1.8916279188455711</v>
      </c>
      <c r="J3" s="2">
        <f>('[1]Qc, Summer, S2'!J3*Main!$B$5)</f>
        <v>6.0071118095020068</v>
      </c>
      <c r="K3" s="2">
        <f>('[1]Qc, Summer, S2'!K3*Main!$B$5)</f>
        <v>6.0071118095020068</v>
      </c>
      <c r="L3" s="2">
        <f>('[1]Qc, Summer, S2'!L3*Main!$B$5)</f>
        <v>5.4926676925170801</v>
      </c>
      <c r="M3" s="2">
        <f>('[1]Qc, Summer, S2'!M3*Main!$B$5)</f>
        <v>7.7218733475824806</v>
      </c>
      <c r="N3" s="2">
        <f>('[1]Qc, Summer, S2'!N3*Main!$B$5)</f>
        <v>10.46552311963281</v>
      </c>
      <c r="O3" s="2">
        <f>('[1]Qc, Summer, S2'!O3*Main!$B$5)</f>
        <v>10.787056476688804</v>
      </c>
      <c r="P3" s="2">
        <f>('[1]Qc, Summer, S2'!P3*Main!$B$5)</f>
        <v>6.0499783207612747</v>
      </c>
      <c r="Q3" s="2">
        <f>('[1]Qc, Summer, S2'!Q3*Main!$B$5)</f>
        <v>4.7210153116018061</v>
      </c>
      <c r="R3" s="2">
        <f>('[1]Qc, Summer, S2'!R3*Main!$B$5)</f>
        <v>-0.76628428077378408</v>
      </c>
      <c r="S3" s="2">
        <f>('[1]Qc, Summer, S2'!S3*Main!$B$5)</f>
        <v>-0.76628428077378408</v>
      </c>
      <c r="T3" s="2">
        <f>('[1]Qc, Summer, S2'!T3*Main!$B$5)</f>
        <v>-0.76628428077378408</v>
      </c>
      <c r="U3" s="2">
        <f>('[1]Qc, Summer, S2'!U3*Main!$B$5)</f>
        <v>-0.76628428077378408</v>
      </c>
      <c r="V3" s="2">
        <f>('[1]Qc, Summer, S2'!V3*Main!$B$5)</f>
        <v>-4.8817727696175925</v>
      </c>
      <c r="W3" s="2">
        <f>('[1]Qc, Summer, S2'!W3*Main!$B$5)</f>
        <v>-6.2536022658988619</v>
      </c>
      <c r="X3" s="2">
        <f>('[1]Qc, Summer, S2'!X3*Main!$B$5)</f>
        <v>-17.485391273555972</v>
      </c>
      <c r="Y3" s="2">
        <f>('[1]Qc, Summer, S2'!Y3*Main!$B$5)</f>
        <v>-17.485391273555972</v>
      </c>
    </row>
    <row r="4" spans="1:25" x14ac:dyDescent="0.3">
      <c r="A4">
        <v>3</v>
      </c>
      <c r="B4" s="2">
        <f>('[1]Qc, Summer, S2'!B4*Main!$B$5)</f>
        <v>13.976256068257188</v>
      </c>
      <c r="C4" s="2">
        <f>('[1]Qc, Summer, S2'!C4*Main!$B$5)</f>
        <v>10.708520421240996</v>
      </c>
      <c r="D4" s="2">
        <f>('[1]Qc, Summer, S2'!D4*Main!$B$5)</f>
        <v>10.147927109423639</v>
      </c>
      <c r="E4" s="2">
        <f>('[1]Qc, Summer, S2'!E4*Main!$B$5)</f>
        <v>8.8629348396218752</v>
      </c>
      <c r="F4" s="2">
        <f>('[1]Qc, Summer, S2'!F4*Main!$B$5)</f>
        <v>10.202992113074574</v>
      </c>
      <c r="G4" s="2">
        <f>('[1]Qc, Summer, S2'!G4*Main!$B$5)</f>
        <v>4.735366777424808</v>
      </c>
      <c r="H4" s="2">
        <f>('[1]Qc, Summer, S2'!H4*Main!$B$5)</f>
        <v>8.2621091105970432</v>
      </c>
      <c r="I4" s="2">
        <f>('[1]Qc, Summer, S2'!I4*Main!$B$5)</f>
        <v>15.876618843976427</v>
      </c>
      <c r="J4" s="2">
        <f>('[1]Qc, Summer, S2'!J4*Main!$B$5)</f>
        <v>23.095633813839171</v>
      </c>
      <c r="K4" s="2">
        <f>('[1]Qc, Summer, S2'!K4*Main!$B$5)</f>
        <v>27.44403668373668</v>
      </c>
      <c r="L4" s="2">
        <f>('[1]Qc, Summer, S2'!L4*Main!$B$5)</f>
        <v>29.960440476899947</v>
      </c>
      <c r="M4" s="2">
        <f>('[1]Qc, Summer, S2'!M4*Main!$B$5)</f>
        <v>31.05426316095777</v>
      </c>
      <c r="N4" s="2">
        <f>('[1]Qc, Summer, S2'!N4*Main!$B$5)</f>
        <v>32.450151537165517</v>
      </c>
      <c r="O4" s="2">
        <f>('[1]Qc, Summer, S2'!O4*Main!$B$5)</f>
        <v>32.695667199696814</v>
      </c>
      <c r="P4" s="2">
        <f>('[1]Qc, Summer, S2'!P4*Main!$B$5)</f>
        <v>32.463594014600993</v>
      </c>
      <c r="Q4" s="2">
        <f>('[1]Qc, Summer, S2'!Q4*Main!$B$5)</f>
        <v>31.382927429624441</v>
      </c>
      <c r="R4" s="2">
        <f>('[1]Qc, Summer, S2'!R4*Main!$B$5)</f>
        <v>29.865861958370324</v>
      </c>
      <c r="S4" s="2">
        <f>('[1]Qc, Summer, S2'!S4*Main!$B$5)</f>
        <v>26.502589676203808</v>
      </c>
      <c r="T4" s="2">
        <f>('[1]Qc, Summer, S2'!T4*Main!$B$5)</f>
        <v>26.379974760143337</v>
      </c>
      <c r="U4" s="2">
        <f>('[1]Qc, Summer, S2'!U4*Main!$B$5)</f>
        <v>25.095319083251407</v>
      </c>
      <c r="V4" s="2">
        <f>('[1]Qc, Summer, S2'!V4*Main!$B$5)</f>
        <v>22.620872642707894</v>
      </c>
      <c r="W4" s="2">
        <f>('[1]Qc, Summer, S2'!W4*Main!$B$5)</f>
        <v>27.11800865470618</v>
      </c>
      <c r="X4" s="2">
        <f>('[1]Qc, Summer, S2'!X4*Main!$B$5)</f>
        <v>24.298722823020153</v>
      </c>
      <c r="Y4" s="2">
        <f>('[1]Qc, Summer, S2'!Y4*Main!$B$5)</f>
        <v>19.554633850885526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66DC-49E9-4005-859A-30B80B18882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-13.680594162983075</v>
      </c>
      <c r="C2" s="2">
        <f>('[1]Qc, Summer, S2'!C2*Main!$B$5)</f>
        <v>-17.786452257081052</v>
      </c>
      <c r="D2" s="2">
        <f>('[1]Qc, Summer, S2'!D2*Main!$B$5)</f>
        <v>-19.604102911461126</v>
      </c>
      <c r="E2" s="2">
        <f>('[1]Qc, Summer, S2'!E2*Main!$B$5)</f>
        <v>-17.889770979110526</v>
      </c>
      <c r="F2" s="2">
        <f>('[1]Qc, Summer, S2'!F2*Main!$B$5)</f>
        <v>-19.175427588231173</v>
      </c>
      <c r="G2" s="2">
        <f>('[1]Qc, Summer, S2'!G2*Main!$B$5)</f>
        <v>-19.617400319818088</v>
      </c>
      <c r="H2" s="2">
        <f>('[1]Qc, Summer, S2'!H2*Main!$B$5)</f>
        <v>-17.002210277198724</v>
      </c>
      <c r="I2" s="2">
        <f>('[1]Qc, Summer, S2'!I2*Main!$B$5)</f>
        <v>-2.645161934592422</v>
      </c>
      <c r="J2" s="2">
        <f>('[1]Qc, Summer, S2'!J2*Main!$B$5)</f>
        <v>8.4907751692721689</v>
      </c>
      <c r="K2" s="2">
        <f>('[1]Qc, Summer, S2'!K2*Main!$B$5)</f>
        <v>12.360918233903483</v>
      </c>
      <c r="L2" s="2">
        <f>('[1]Qc, Summer, S2'!L2*Main!$B$5)</f>
        <v>9.7167868247572287</v>
      </c>
      <c r="M2" s="2">
        <f>('[1]Qc, Summer, S2'!M2*Main!$B$5)</f>
        <v>12.943026842854945</v>
      </c>
      <c r="N2" s="2">
        <f>('[1]Qc, Summer, S2'!N2*Main!$B$5)</f>
        <v>11.485899262222754</v>
      </c>
      <c r="O2" s="2">
        <f>('[1]Qc, Summer, S2'!O2*Main!$B$5)</f>
        <v>11.831725739694731</v>
      </c>
      <c r="P2" s="2">
        <f>('[1]Qc, Summer, S2'!P2*Main!$B$5)</f>
        <v>6.1047362706572352</v>
      </c>
      <c r="Q2" s="2">
        <f>('[1]Qc, Summer, S2'!Q2*Main!$B$5)</f>
        <v>1.5433512272060925</v>
      </c>
      <c r="R2" s="2">
        <f>('[1]Qc, Summer, S2'!R2*Main!$B$5)</f>
        <v>3.433341516128722</v>
      </c>
      <c r="S2" s="2">
        <f>('[1]Qc, Summer, S2'!S2*Main!$B$5)</f>
        <v>4.1703228631211795</v>
      </c>
      <c r="T2" s="2">
        <f>('[1]Qc, Summer, S2'!T2*Main!$B$5)</f>
        <v>2.512462473150685</v>
      </c>
      <c r="U2" s="2">
        <f>('[1]Qc, Summer, S2'!U2*Main!$B$5)</f>
        <v>-0.46869099877275283</v>
      </c>
      <c r="V2" s="2">
        <f>('[1]Qc, Summer, S2'!V2*Main!$B$5)</f>
        <v>-1.8296943716256564</v>
      </c>
      <c r="W2" s="2">
        <f>('[1]Qc, Summer, S2'!W2*Main!$B$5)</f>
        <v>-1.2729657790036637</v>
      </c>
      <c r="X2" s="2">
        <f>('[1]Qc, Summer, S2'!X2*Main!$B$5)</f>
        <v>-6.104816258996574</v>
      </c>
      <c r="Y2" s="2">
        <f>('[1]Qc, Summer, S2'!Y2*Main!$B$5)</f>
        <v>-8.2633658659376277</v>
      </c>
    </row>
    <row r="3" spans="1:25" x14ac:dyDescent="0.3">
      <c r="A3">
        <v>2</v>
      </c>
      <c r="B3" s="2">
        <f>('[1]Qc, Summer, S2'!B3*Main!$B$5)</f>
        <v>-17.313925228518901</v>
      </c>
      <c r="C3" s="2">
        <f>('[1]Qc, Summer, S2'!C3*Main!$B$5)</f>
        <v>-17.313925228518901</v>
      </c>
      <c r="D3" s="2">
        <f>('[1]Qc, Summer, S2'!D3*Main!$B$5)</f>
        <v>-20.100446134153334</v>
      </c>
      <c r="E3" s="2">
        <f>('[1]Qc, Summer, S2'!E3*Main!$B$5)</f>
        <v>-22.88696703978777</v>
      </c>
      <c r="F3" s="2">
        <f>('[1]Qc, Summer, S2'!F3*Main!$B$5)</f>
        <v>-22.88696703978777</v>
      </c>
      <c r="G3" s="2">
        <f>('[1]Qc, Summer, S2'!G3*Main!$B$5)</f>
        <v>-22.88696703978777</v>
      </c>
      <c r="H3" s="2">
        <f>('[1]Qc, Summer, S2'!H3*Main!$B$5)</f>
        <v>-9.1258469614708879</v>
      </c>
      <c r="I3" s="2">
        <f>('[1]Qc, Summer, S2'!I3*Main!$B$5)</f>
        <v>1.8916279188455711</v>
      </c>
      <c r="J3" s="2">
        <f>('[1]Qc, Summer, S2'!J3*Main!$B$5)</f>
        <v>6.0071118095020068</v>
      </c>
      <c r="K3" s="2">
        <f>('[1]Qc, Summer, S2'!K3*Main!$B$5)</f>
        <v>6.0071118095020068</v>
      </c>
      <c r="L3" s="2">
        <f>('[1]Qc, Summer, S2'!L3*Main!$B$5)</f>
        <v>5.4926676925170801</v>
      </c>
      <c r="M3" s="2">
        <f>('[1]Qc, Summer, S2'!M3*Main!$B$5)</f>
        <v>7.7218733475824806</v>
      </c>
      <c r="N3" s="2">
        <f>('[1]Qc, Summer, S2'!N3*Main!$B$5)</f>
        <v>10.46552311963281</v>
      </c>
      <c r="O3" s="2">
        <f>('[1]Qc, Summer, S2'!O3*Main!$B$5)</f>
        <v>10.787056476688804</v>
      </c>
      <c r="P3" s="2">
        <f>('[1]Qc, Summer, S2'!P3*Main!$B$5)</f>
        <v>6.0499783207612747</v>
      </c>
      <c r="Q3" s="2">
        <f>('[1]Qc, Summer, S2'!Q3*Main!$B$5)</f>
        <v>4.7210153116018061</v>
      </c>
      <c r="R3" s="2">
        <f>('[1]Qc, Summer, S2'!R3*Main!$B$5)</f>
        <v>-0.76628428077378408</v>
      </c>
      <c r="S3" s="2">
        <f>('[1]Qc, Summer, S2'!S3*Main!$B$5)</f>
        <v>-0.76628428077378408</v>
      </c>
      <c r="T3" s="2">
        <f>('[1]Qc, Summer, S2'!T3*Main!$B$5)</f>
        <v>-0.76628428077378408</v>
      </c>
      <c r="U3" s="2">
        <f>('[1]Qc, Summer, S2'!U3*Main!$B$5)</f>
        <v>-0.76628428077378408</v>
      </c>
      <c r="V3" s="2">
        <f>('[1]Qc, Summer, S2'!V3*Main!$B$5)</f>
        <v>-4.8817727696175925</v>
      </c>
      <c r="W3" s="2">
        <f>('[1]Qc, Summer, S2'!W3*Main!$B$5)</f>
        <v>-6.2536022658988619</v>
      </c>
      <c r="X3" s="2">
        <f>('[1]Qc, Summer, S2'!X3*Main!$B$5)</f>
        <v>-17.485391273555972</v>
      </c>
      <c r="Y3" s="2">
        <f>('[1]Qc, Summer, S2'!Y3*Main!$B$5)</f>
        <v>-17.485391273555972</v>
      </c>
    </row>
    <row r="4" spans="1:25" x14ac:dyDescent="0.3">
      <c r="A4">
        <v>3</v>
      </c>
      <c r="B4" s="2">
        <f>('[1]Qc, Summer, S2'!B4*Main!$B$5)</f>
        <v>13.976256068257188</v>
      </c>
      <c r="C4" s="2">
        <f>('[1]Qc, Summer, S2'!C4*Main!$B$5)</f>
        <v>10.708520421240996</v>
      </c>
      <c r="D4" s="2">
        <f>('[1]Qc, Summer, S2'!D4*Main!$B$5)</f>
        <v>10.147927109423639</v>
      </c>
      <c r="E4" s="2">
        <f>('[1]Qc, Summer, S2'!E4*Main!$B$5)</f>
        <v>8.8629348396218752</v>
      </c>
      <c r="F4" s="2">
        <f>('[1]Qc, Summer, S2'!F4*Main!$B$5)</f>
        <v>10.202992113074574</v>
      </c>
      <c r="G4" s="2">
        <f>('[1]Qc, Summer, S2'!G4*Main!$B$5)</f>
        <v>4.735366777424808</v>
      </c>
      <c r="H4" s="2">
        <f>('[1]Qc, Summer, S2'!H4*Main!$B$5)</f>
        <v>8.2621091105970432</v>
      </c>
      <c r="I4" s="2">
        <f>('[1]Qc, Summer, S2'!I4*Main!$B$5)</f>
        <v>15.876618843976427</v>
      </c>
      <c r="J4" s="2">
        <f>('[1]Qc, Summer, S2'!J4*Main!$B$5)</f>
        <v>23.095633813839171</v>
      </c>
      <c r="K4" s="2">
        <f>('[1]Qc, Summer, S2'!K4*Main!$B$5)</f>
        <v>27.44403668373668</v>
      </c>
      <c r="L4" s="2">
        <f>('[1]Qc, Summer, S2'!L4*Main!$B$5)</f>
        <v>29.960440476899947</v>
      </c>
      <c r="M4" s="2">
        <f>('[1]Qc, Summer, S2'!M4*Main!$B$5)</f>
        <v>31.05426316095777</v>
      </c>
      <c r="N4" s="2">
        <f>('[1]Qc, Summer, S2'!N4*Main!$B$5)</f>
        <v>32.450151537165517</v>
      </c>
      <c r="O4" s="2">
        <f>('[1]Qc, Summer, S2'!O4*Main!$B$5)</f>
        <v>32.695667199696814</v>
      </c>
      <c r="P4" s="2">
        <f>('[1]Qc, Summer, S2'!P4*Main!$B$5)</f>
        <v>32.463594014600993</v>
      </c>
      <c r="Q4" s="2">
        <f>('[1]Qc, Summer, S2'!Q4*Main!$B$5)</f>
        <v>31.382927429624441</v>
      </c>
      <c r="R4" s="2">
        <f>('[1]Qc, Summer, S2'!R4*Main!$B$5)</f>
        <v>29.865861958370324</v>
      </c>
      <c r="S4" s="2">
        <f>('[1]Qc, Summer, S2'!S4*Main!$B$5)</f>
        <v>26.502589676203808</v>
      </c>
      <c r="T4" s="2">
        <f>('[1]Qc, Summer, S2'!T4*Main!$B$5)</f>
        <v>26.379974760143337</v>
      </c>
      <c r="U4" s="2">
        <f>('[1]Qc, Summer, S2'!U4*Main!$B$5)</f>
        <v>25.095319083251407</v>
      </c>
      <c r="V4" s="2">
        <f>('[1]Qc, Summer, S2'!V4*Main!$B$5)</f>
        <v>22.620872642707894</v>
      </c>
      <c r="W4" s="2">
        <f>('[1]Qc, Summer, S2'!W4*Main!$B$5)</f>
        <v>27.11800865470618</v>
      </c>
      <c r="X4" s="2">
        <f>('[1]Qc, Summer, S2'!X4*Main!$B$5)</f>
        <v>24.298722823020153</v>
      </c>
      <c r="Y4" s="2">
        <f>('[1]Qc, Summer, S2'!Y4*Main!$B$5)</f>
        <v>19.554633850885526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A79A-A7A5-4753-BFC0-753B09052AA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-13.680594162983075</v>
      </c>
      <c r="C2" s="2">
        <f>('[1]Qc, Summer, S2'!C2*Main!$B$5)</f>
        <v>-17.786452257081052</v>
      </c>
      <c r="D2" s="2">
        <f>('[1]Qc, Summer, S2'!D2*Main!$B$5)</f>
        <v>-19.604102911461126</v>
      </c>
      <c r="E2" s="2">
        <f>('[1]Qc, Summer, S2'!E2*Main!$B$5)</f>
        <v>-17.889770979110526</v>
      </c>
      <c r="F2" s="2">
        <f>('[1]Qc, Summer, S2'!F2*Main!$B$5)</f>
        <v>-19.175427588231173</v>
      </c>
      <c r="G2" s="2">
        <f>('[1]Qc, Summer, S2'!G2*Main!$B$5)</f>
        <v>-19.617400319818088</v>
      </c>
      <c r="H2" s="2">
        <f>('[1]Qc, Summer, S2'!H2*Main!$B$5)</f>
        <v>-17.002210277198724</v>
      </c>
      <c r="I2" s="2">
        <f>('[1]Qc, Summer, S2'!I2*Main!$B$5)</f>
        <v>-2.645161934592422</v>
      </c>
      <c r="J2" s="2">
        <f>('[1]Qc, Summer, S2'!J2*Main!$B$5)</f>
        <v>8.4907751692721689</v>
      </c>
      <c r="K2" s="2">
        <f>('[1]Qc, Summer, S2'!K2*Main!$B$5)</f>
        <v>12.360918233903483</v>
      </c>
      <c r="L2" s="2">
        <f>('[1]Qc, Summer, S2'!L2*Main!$B$5)</f>
        <v>9.7167868247572287</v>
      </c>
      <c r="M2" s="2">
        <f>('[1]Qc, Summer, S2'!M2*Main!$B$5)</f>
        <v>12.943026842854945</v>
      </c>
      <c r="N2" s="2">
        <f>('[1]Qc, Summer, S2'!N2*Main!$B$5)</f>
        <v>11.485899262222754</v>
      </c>
      <c r="O2" s="2">
        <f>('[1]Qc, Summer, S2'!O2*Main!$B$5)</f>
        <v>11.831725739694731</v>
      </c>
      <c r="P2" s="2">
        <f>('[1]Qc, Summer, S2'!P2*Main!$B$5)</f>
        <v>6.1047362706572352</v>
      </c>
      <c r="Q2" s="2">
        <f>('[1]Qc, Summer, S2'!Q2*Main!$B$5)</f>
        <v>1.5433512272060925</v>
      </c>
      <c r="R2" s="2">
        <f>('[1]Qc, Summer, S2'!R2*Main!$B$5)</f>
        <v>3.433341516128722</v>
      </c>
      <c r="S2" s="2">
        <f>('[1]Qc, Summer, S2'!S2*Main!$B$5)</f>
        <v>4.1703228631211795</v>
      </c>
      <c r="T2" s="2">
        <f>('[1]Qc, Summer, S2'!T2*Main!$B$5)</f>
        <v>2.512462473150685</v>
      </c>
      <c r="U2" s="2">
        <f>('[1]Qc, Summer, S2'!U2*Main!$B$5)</f>
        <v>-0.46869099877275283</v>
      </c>
      <c r="V2" s="2">
        <f>('[1]Qc, Summer, S2'!V2*Main!$B$5)</f>
        <v>-1.8296943716256564</v>
      </c>
      <c r="W2" s="2">
        <f>('[1]Qc, Summer, S2'!W2*Main!$B$5)</f>
        <v>-1.2729657790036637</v>
      </c>
      <c r="X2" s="2">
        <f>('[1]Qc, Summer, S2'!X2*Main!$B$5)</f>
        <v>-6.104816258996574</v>
      </c>
      <c r="Y2" s="2">
        <f>('[1]Qc, Summer, S2'!Y2*Main!$B$5)</f>
        <v>-8.2633658659376277</v>
      </c>
    </row>
    <row r="3" spans="1:25" x14ac:dyDescent="0.3">
      <c r="A3">
        <v>2</v>
      </c>
      <c r="B3" s="2">
        <f>('[1]Qc, Summer, S2'!B3*Main!$B$5)</f>
        <v>-17.313925228518901</v>
      </c>
      <c r="C3" s="2">
        <f>('[1]Qc, Summer, S2'!C3*Main!$B$5)</f>
        <v>-17.313925228518901</v>
      </c>
      <c r="D3" s="2">
        <f>('[1]Qc, Summer, S2'!D3*Main!$B$5)</f>
        <v>-20.100446134153334</v>
      </c>
      <c r="E3" s="2">
        <f>('[1]Qc, Summer, S2'!E3*Main!$B$5)</f>
        <v>-22.88696703978777</v>
      </c>
      <c r="F3" s="2">
        <f>('[1]Qc, Summer, S2'!F3*Main!$B$5)</f>
        <v>-22.88696703978777</v>
      </c>
      <c r="G3" s="2">
        <f>('[1]Qc, Summer, S2'!G3*Main!$B$5)</f>
        <v>-22.88696703978777</v>
      </c>
      <c r="H3" s="2">
        <f>('[1]Qc, Summer, S2'!H3*Main!$B$5)</f>
        <v>-9.1258469614708879</v>
      </c>
      <c r="I3" s="2">
        <f>('[1]Qc, Summer, S2'!I3*Main!$B$5)</f>
        <v>1.8916279188455711</v>
      </c>
      <c r="J3" s="2">
        <f>('[1]Qc, Summer, S2'!J3*Main!$B$5)</f>
        <v>6.0071118095020068</v>
      </c>
      <c r="K3" s="2">
        <f>('[1]Qc, Summer, S2'!K3*Main!$B$5)</f>
        <v>6.0071118095020068</v>
      </c>
      <c r="L3" s="2">
        <f>('[1]Qc, Summer, S2'!L3*Main!$B$5)</f>
        <v>5.4926676925170801</v>
      </c>
      <c r="M3" s="2">
        <f>('[1]Qc, Summer, S2'!M3*Main!$B$5)</f>
        <v>7.7218733475824806</v>
      </c>
      <c r="N3" s="2">
        <f>('[1]Qc, Summer, S2'!N3*Main!$B$5)</f>
        <v>10.46552311963281</v>
      </c>
      <c r="O3" s="2">
        <f>('[1]Qc, Summer, S2'!O3*Main!$B$5)</f>
        <v>10.787056476688804</v>
      </c>
      <c r="P3" s="2">
        <f>('[1]Qc, Summer, S2'!P3*Main!$B$5)</f>
        <v>6.0499783207612747</v>
      </c>
      <c r="Q3" s="2">
        <f>('[1]Qc, Summer, S2'!Q3*Main!$B$5)</f>
        <v>4.7210153116018061</v>
      </c>
      <c r="R3" s="2">
        <f>('[1]Qc, Summer, S2'!R3*Main!$B$5)</f>
        <v>-0.76628428077378408</v>
      </c>
      <c r="S3" s="2">
        <f>('[1]Qc, Summer, S2'!S3*Main!$B$5)</f>
        <v>-0.76628428077378408</v>
      </c>
      <c r="T3" s="2">
        <f>('[1]Qc, Summer, S2'!T3*Main!$B$5)</f>
        <v>-0.76628428077378408</v>
      </c>
      <c r="U3" s="2">
        <f>('[1]Qc, Summer, S2'!U3*Main!$B$5)</f>
        <v>-0.76628428077378408</v>
      </c>
      <c r="V3" s="2">
        <f>('[1]Qc, Summer, S2'!V3*Main!$B$5)</f>
        <v>-4.8817727696175925</v>
      </c>
      <c r="W3" s="2">
        <f>('[1]Qc, Summer, S2'!W3*Main!$B$5)</f>
        <v>-6.2536022658988619</v>
      </c>
      <c r="X3" s="2">
        <f>('[1]Qc, Summer, S2'!X3*Main!$B$5)</f>
        <v>-17.485391273555972</v>
      </c>
      <c r="Y3" s="2">
        <f>('[1]Qc, Summer, S2'!Y3*Main!$B$5)</f>
        <v>-17.485391273555972</v>
      </c>
    </row>
    <row r="4" spans="1:25" x14ac:dyDescent="0.3">
      <c r="A4">
        <v>3</v>
      </c>
      <c r="B4" s="2">
        <f>('[1]Qc, Summer, S2'!B4*Main!$B$5)</f>
        <v>13.976256068257188</v>
      </c>
      <c r="C4" s="2">
        <f>('[1]Qc, Summer, S2'!C4*Main!$B$5)</f>
        <v>10.708520421240996</v>
      </c>
      <c r="D4" s="2">
        <f>('[1]Qc, Summer, S2'!D4*Main!$B$5)</f>
        <v>10.147927109423639</v>
      </c>
      <c r="E4" s="2">
        <f>('[1]Qc, Summer, S2'!E4*Main!$B$5)</f>
        <v>8.8629348396218752</v>
      </c>
      <c r="F4" s="2">
        <f>('[1]Qc, Summer, S2'!F4*Main!$B$5)</f>
        <v>10.202992113074574</v>
      </c>
      <c r="G4" s="2">
        <f>('[1]Qc, Summer, S2'!G4*Main!$B$5)</f>
        <v>4.735366777424808</v>
      </c>
      <c r="H4" s="2">
        <f>('[1]Qc, Summer, S2'!H4*Main!$B$5)</f>
        <v>8.2621091105970432</v>
      </c>
      <c r="I4" s="2">
        <f>('[1]Qc, Summer, S2'!I4*Main!$B$5)</f>
        <v>15.876618843976427</v>
      </c>
      <c r="J4" s="2">
        <f>('[1]Qc, Summer, S2'!J4*Main!$B$5)</f>
        <v>23.095633813839171</v>
      </c>
      <c r="K4" s="2">
        <f>('[1]Qc, Summer, S2'!K4*Main!$B$5)</f>
        <v>27.44403668373668</v>
      </c>
      <c r="L4" s="2">
        <f>('[1]Qc, Summer, S2'!L4*Main!$B$5)</f>
        <v>29.960440476899947</v>
      </c>
      <c r="M4" s="2">
        <f>('[1]Qc, Summer, S2'!M4*Main!$B$5)</f>
        <v>31.05426316095777</v>
      </c>
      <c r="N4" s="2">
        <f>('[1]Qc, Summer, S2'!N4*Main!$B$5)</f>
        <v>32.450151537165517</v>
      </c>
      <c r="O4" s="2">
        <f>('[1]Qc, Summer, S2'!O4*Main!$B$5)</f>
        <v>32.695667199696814</v>
      </c>
      <c r="P4" s="2">
        <f>('[1]Qc, Summer, S2'!P4*Main!$B$5)</f>
        <v>32.463594014600993</v>
      </c>
      <c r="Q4" s="2">
        <f>('[1]Qc, Summer, S2'!Q4*Main!$B$5)</f>
        <v>31.382927429624441</v>
      </c>
      <c r="R4" s="2">
        <f>('[1]Qc, Summer, S2'!R4*Main!$B$5)</f>
        <v>29.865861958370324</v>
      </c>
      <c r="S4" s="2">
        <f>('[1]Qc, Summer, S2'!S4*Main!$B$5)</f>
        <v>26.502589676203808</v>
      </c>
      <c r="T4" s="2">
        <f>('[1]Qc, Summer, S2'!T4*Main!$B$5)</f>
        <v>26.379974760143337</v>
      </c>
      <c r="U4" s="2">
        <f>('[1]Qc, Summer, S2'!U4*Main!$B$5)</f>
        <v>25.095319083251407</v>
      </c>
      <c r="V4" s="2">
        <f>('[1]Qc, Summer, S2'!V4*Main!$B$5)</f>
        <v>22.620872642707894</v>
      </c>
      <c r="W4" s="2">
        <f>('[1]Qc, Summer, S2'!W4*Main!$B$5)</f>
        <v>27.11800865470618</v>
      </c>
      <c r="X4" s="2">
        <f>('[1]Qc, Summer, S2'!X4*Main!$B$5)</f>
        <v>24.298722823020153</v>
      </c>
      <c r="Y4" s="2">
        <f>('[1]Qc, Summer, S2'!Y4*Main!$B$5)</f>
        <v>19.554633850885526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CB74-1EDC-42F0-8237-BA1DB1708AA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-13.016487650216908</v>
      </c>
      <c r="C2" s="2">
        <f>('[1]Qc, Summer, S3'!C2*Main!$B$5)</f>
        <v>-16.923032244601391</v>
      </c>
      <c r="D2" s="2">
        <f>('[1]Qc, Summer, S3'!D2*Main!$B$5)</f>
        <v>-18.652447430322233</v>
      </c>
      <c r="E2" s="2">
        <f>('[1]Qc, Summer, S3'!E2*Main!$B$5)</f>
        <v>-17.021335494687683</v>
      </c>
      <c r="F2" s="2">
        <f>('[1]Qc, Summer, S3'!F2*Main!$B$5)</f>
        <v>-18.244581588802479</v>
      </c>
      <c r="G2" s="2">
        <f>('[1]Qc, Summer, S3'!G2*Main!$B$5)</f>
        <v>-18.66509933341915</v>
      </c>
      <c r="H2" s="2">
        <f>('[1]Qc, Summer, S3'!H2*Main!$B$5)</f>
        <v>-16.176860263742476</v>
      </c>
      <c r="I2" s="2">
        <f>('[1]Qc, Summer, S3'!I2*Main!$B$5)</f>
        <v>-2.51675601543745</v>
      </c>
      <c r="J2" s="2">
        <f>('[1]Qc, Summer, S3'!J2*Main!$B$5)</f>
        <v>8.0786016173657522</v>
      </c>
      <c r="K2" s="2">
        <f>('[1]Qc, Summer, S3'!K2*Main!$B$5)</f>
        <v>11.760873659442149</v>
      </c>
      <c r="L2" s="2">
        <f>('[1]Qc, Summer, S3'!L2*Main!$B$5)</f>
        <v>9.2450981439437694</v>
      </c>
      <c r="M2" s="2">
        <f>('[1]Qc, Summer, S3'!M2*Main!$B$5)</f>
        <v>12.314724568929948</v>
      </c>
      <c r="N2" s="2">
        <f>('[1]Qc, Summer, S3'!N2*Main!$B$5)</f>
        <v>10.928331336872136</v>
      </c>
      <c r="O2" s="2">
        <f>('[1]Qc, Summer, S3'!O2*Main!$B$5)</f>
        <v>11.257370121262948</v>
      </c>
      <c r="P2" s="2">
        <f>('[1]Qc, Summer, S3'!P2*Main!$B$5)</f>
        <v>5.8083898497515447</v>
      </c>
      <c r="Q2" s="2">
        <f>('[1]Qc, Summer, S3'!Q2*Main!$B$5)</f>
        <v>1.4684312647203597</v>
      </c>
      <c r="R2" s="2">
        <f>('[1]Qc, Summer, S3'!R2*Main!$B$5)</f>
        <v>3.2666744522389783</v>
      </c>
      <c r="S2" s="2">
        <f>('[1]Qc, Summer, S3'!S2*Main!$B$5)</f>
        <v>3.9678800056881127</v>
      </c>
      <c r="T2" s="2">
        <f>('[1]Qc, Summer, S3'!T2*Main!$B$5)</f>
        <v>2.3904982754249238</v>
      </c>
      <c r="U2" s="2">
        <f>('[1]Qc, Summer, S3'!U2*Main!$B$5)</f>
        <v>-0.44593900854106577</v>
      </c>
      <c r="V2" s="2">
        <f>('[1]Qc, Summer, S3'!V2*Main!$B$5)</f>
        <v>-1.7408742564981972</v>
      </c>
      <c r="W2" s="2">
        <f>('[1]Qc, Summer, S3'!W2*Main!$B$5)</f>
        <v>-1.2111713237122237</v>
      </c>
      <c r="X2" s="2">
        <f>('[1]Qc, Summer, S3'!X2*Main!$B$5)</f>
        <v>-5.8084659551617888</v>
      </c>
      <c r="Y2" s="2">
        <f>('[1]Qc, Summer, S3'!Y2*Main!$B$5)</f>
        <v>-7.8622316006008504</v>
      </c>
    </row>
    <row r="3" spans="1:25" x14ac:dyDescent="0.3">
      <c r="A3">
        <v>2</v>
      </c>
      <c r="B3" s="2">
        <f>('[1]Qc, Summer, S3'!B3*Main!$B$5)</f>
        <v>-16.473443421309245</v>
      </c>
      <c r="C3" s="2">
        <f>('[1]Qc, Summer, S3'!C3*Main!$B$5)</f>
        <v>-16.473443421309245</v>
      </c>
      <c r="D3" s="2">
        <f>('[1]Qc, Summer, S3'!D3*Main!$B$5)</f>
        <v>-19.124696321815794</v>
      </c>
      <c r="E3" s="2">
        <f>('[1]Qc, Summer, S3'!E3*Main!$B$5)</f>
        <v>-21.775949222322339</v>
      </c>
      <c r="F3" s="2">
        <f>('[1]Qc, Summer, S3'!F3*Main!$B$5)</f>
        <v>-21.775949222322339</v>
      </c>
      <c r="G3" s="2">
        <f>('[1]Qc, Summer, S3'!G3*Main!$B$5)</f>
        <v>-21.775949222322339</v>
      </c>
      <c r="H3" s="2">
        <f>('[1]Qc, Summer, S3'!H3*Main!$B$5)</f>
        <v>-8.6828446817878344</v>
      </c>
      <c r="I3" s="2">
        <f>('[1]Qc, Summer, S3'!I3*Main!$B$5)</f>
        <v>1.7998013208433585</v>
      </c>
      <c r="J3" s="2">
        <f>('[1]Qc, Summer, S3'!J3*Main!$B$5)</f>
        <v>5.7155044401087052</v>
      </c>
      <c r="K3" s="2">
        <f>('[1]Qc, Summer, S3'!K3*Main!$B$5)</f>
        <v>5.7155044401087052</v>
      </c>
      <c r="L3" s="2">
        <f>('[1]Qc, Summer, S3'!L3*Main!$B$5)</f>
        <v>5.226033338511396</v>
      </c>
      <c r="M3" s="2">
        <f>('[1]Qc, Summer, S3'!M3*Main!$B$5)</f>
        <v>7.3470251268260505</v>
      </c>
      <c r="N3" s="2">
        <f>('[1]Qc, Summer, S3'!N3*Main!$B$5)</f>
        <v>9.9574880167380133</v>
      </c>
      <c r="O3" s="2">
        <f>('[1]Qc, Summer, S3'!O3*Main!$B$5)</f>
        <v>10.26341295840294</v>
      </c>
      <c r="P3" s="2">
        <f>('[1]Qc, Summer, S3'!P3*Main!$B$5)</f>
        <v>5.7562900527631538</v>
      </c>
      <c r="Q3" s="2">
        <f>('[1]Qc, Summer, S3'!Q3*Main!$B$5)</f>
        <v>4.4918398110386111</v>
      </c>
      <c r="R3" s="2">
        <f>('[1]Qc, Summer, S3'!R3*Main!$B$5)</f>
        <v>-0.72908601471680434</v>
      </c>
      <c r="S3" s="2">
        <f>('[1]Qc, Summer, S3'!S3*Main!$B$5)</f>
        <v>-0.72908601471680434</v>
      </c>
      <c r="T3" s="2">
        <f>('[1]Qc, Summer, S3'!T3*Main!$B$5)</f>
        <v>-0.72908601471680434</v>
      </c>
      <c r="U3" s="2">
        <f>('[1]Qc, Summer, S3'!U3*Main!$B$5)</f>
        <v>-0.72908601471680434</v>
      </c>
      <c r="V3" s="2">
        <f>('[1]Qc, Summer, S3'!V3*Main!$B$5)</f>
        <v>-4.6447935089565444</v>
      </c>
      <c r="W3" s="2">
        <f>('[1]Qc, Summer, S3'!W3*Main!$B$5)</f>
        <v>-5.9500293403697899</v>
      </c>
      <c r="X3" s="2">
        <f>('[1]Qc, Summer, S3'!X3*Main!$B$5)</f>
        <v>-16.636585871927043</v>
      </c>
      <c r="Y3" s="2">
        <f>('[1]Qc, Summer, S3'!Y3*Main!$B$5)</f>
        <v>-16.636585871927043</v>
      </c>
    </row>
    <row r="4" spans="1:25" x14ac:dyDescent="0.3">
      <c r="A4">
        <v>3</v>
      </c>
      <c r="B4" s="2">
        <f>('[1]Qc, Summer, S3'!B4*Main!$B$5)</f>
        <v>13.297797035817521</v>
      </c>
      <c r="C4" s="2">
        <f>('[1]Qc, Summer, S3'!C4*Main!$B$5)</f>
        <v>10.188689332831238</v>
      </c>
      <c r="D4" s="2">
        <f>('[1]Qc, Summer, S3'!D4*Main!$B$5)</f>
        <v>9.6553092885778309</v>
      </c>
      <c r="E4" s="2">
        <f>('[1]Qc, Summer, S3'!E4*Main!$B$5)</f>
        <v>8.4326952843004239</v>
      </c>
      <c r="F4" s="2">
        <f>('[1]Qc, Summer, S3'!F4*Main!$B$5)</f>
        <v>9.7077012337991082</v>
      </c>
      <c r="G4" s="2">
        <f>('[1]Qc, Summer, S3'!G4*Main!$B$5)</f>
        <v>4.5054946037634096</v>
      </c>
      <c r="H4" s="2">
        <f>('[1]Qc, Summer, S3'!H4*Main!$B$5)</f>
        <v>7.86103585280107</v>
      </c>
      <c r="I4" s="2">
        <f>('[1]Qc, Summer, S3'!I4*Main!$B$5)</f>
        <v>15.10590919135621</v>
      </c>
      <c r="J4" s="2">
        <f>('[1]Qc, Summer, S3'!J4*Main!$B$5)</f>
        <v>21.974486541322701</v>
      </c>
      <c r="K4" s="2">
        <f>('[1]Qc, Summer, S3'!K4*Main!$B$5)</f>
        <v>26.111801893264026</v>
      </c>
      <c r="L4" s="2">
        <f>('[1]Qc, Summer, S3'!L4*Main!$B$5)</f>
        <v>28.506050162487327</v>
      </c>
      <c r="M4" s="2">
        <f>('[1]Qc, Summer, S3'!M4*Main!$B$5)</f>
        <v>29.546774657998654</v>
      </c>
      <c r="N4" s="2">
        <f>('[1]Qc, Summer, S3'!N4*Main!$B$5)</f>
        <v>30.874901462545832</v>
      </c>
      <c r="O4" s="2">
        <f>('[1]Qc, Summer, S3'!O4*Main!$B$5)</f>
        <v>31.108498889031917</v>
      </c>
      <c r="P4" s="2">
        <f>('[1]Qc, Summer, S3'!P4*Main!$B$5)</f>
        <v>30.887691392532982</v>
      </c>
      <c r="Q4" s="2">
        <f>('[1]Qc, Summer, S3'!Q4*Main!$B$5)</f>
        <v>29.859484350516457</v>
      </c>
      <c r="R4" s="2">
        <f>('[1]Qc, Summer, S3'!R4*Main!$B$5)</f>
        <v>28.416062834177591</v>
      </c>
      <c r="S4" s="2">
        <f>('[1]Qc, Summer, S3'!S4*Main!$B$5)</f>
        <v>25.216056196776439</v>
      </c>
      <c r="T4" s="2">
        <f>('[1]Qc, Summer, S3'!T4*Main!$B$5)</f>
        <v>25.099393461107251</v>
      </c>
      <c r="U4" s="2">
        <f>('[1]Qc, Summer, S3'!U4*Main!$B$5)</f>
        <v>23.877099710278042</v>
      </c>
      <c r="V4" s="2">
        <f>('[1]Qc, Summer, S3'!V4*Main!$B$5)</f>
        <v>21.52277202898421</v>
      </c>
      <c r="W4" s="2">
        <f>('[1]Qc, Summer, S3'!W4*Main!$B$5)</f>
        <v>25.801600467584517</v>
      </c>
      <c r="X4" s="2">
        <f>('[1]Qc, Summer, S3'!X4*Main!$B$5)</f>
        <v>23.119173171417234</v>
      </c>
      <c r="Y4" s="2">
        <f>('[1]Qc, Summer, S3'!Y4*Main!$B$5)</f>
        <v>18.605379780454189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2D06-6809-4291-8C45-542A8D81801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-13.016487650216908</v>
      </c>
      <c r="C2" s="2">
        <f>('[1]Qc, Summer, S3'!C2*Main!$B$5)</f>
        <v>-16.923032244601391</v>
      </c>
      <c r="D2" s="2">
        <f>('[1]Qc, Summer, S3'!D2*Main!$B$5)</f>
        <v>-18.652447430322233</v>
      </c>
      <c r="E2" s="2">
        <f>('[1]Qc, Summer, S3'!E2*Main!$B$5)</f>
        <v>-17.021335494687683</v>
      </c>
      <c r="F2" s="2">
        <f>('[1]Qc, Summer, S3'!F2*Main!$B$5)</f>
        <v>-18.244581588802479</v>
      </c>
      <c r="G2" s="2">
        <f>('[1]Qc, Summer, S3'!G2*Main!$B$5)</f>
        <v>-18.66509933341915</v>
      </c>
      <c r="H2" s="2">
        <f>('[1]Qc, Summer, S3'!H2*Main!$B$5)</f>
        <v>-16.176860263742476</v>
      </c>
      <c r="I2" s="2">
        <f>('[1]Qc, Summer, S3'!I2*Main!$B$5)</f>
        <v>-2.51675601543745</v>
      </c>
      <c r="J2" s="2">
        <f>('[1]Qc, Summer, S3'!J2*Main!$B$5)</f>
        <v>8.0786016173657522</v>
      </c>
      <c r="K2" s="2">
        <f>('[1]Qc, Summer, S3'!K2*Main!$B$5)</f>
        <v>11.760873659442149</v>
      </c>
      <c r="L2" s="2">
        <f>('[1]Qc, Summer, S3'!L2*Main!$B$5)</f>
        <v>9.2450981439437694</v>
      </c>
      <c r="M2" s="2">
        <f>('[1]Qc, Summer, S3'!M2*Main!$B$5)</f>
        <v>12.314724568929948</v>
      </c>
      <c r="N2" s="2">
        <f>('[1]Qc, Summer, S3'!N2*Main!$B$5)</f>
        <v>10.928331336872136</v>
      </c>
      <c r="O2" s="2">
        <f>('[1]Qc, Summer, S3'!O2*Main!$B$5)</f>
        <v>11.257370121262948</v>
      </c>
      <c r="P2" s="2">
        <f>('[1]Qc, Summer, S3'!P2*Main!$B$5)</f>
        <v>5.8083898497515447</v>
      </c>
      <c r="Q2" s="2">
        <f>('[1]Qc, Summer, S3'!Q2*Main!$B$5)</f>
        <v>1.4684312647203597</v>
      </c>
      <c r="R2" s="2">
        <f>('[1]Qc, Summer, S3'!R2*Main!$B$5)</f>
        <v>3.2666744522389783</v>
      </c>
      <c r="S2" s="2">
        <f>('[1]Qc, Summer, S3'!S2*Main!$B$5)</f>
        <v>3.9678800056881127</v>
      </c>
      <c r="T2" s="2">
        <f>('[1]Qc, Summer, S3'!T2*Main!$B$5)</f>
        <v>2.3904982754249238</v>
      </c>
      <c r="U2" s="2">
        <f>('[1]Qc, Summer, S3'!U2*Main!$B$5)</f>
        <v>-0.44593900854106577</v>
      </c>
      <c r="V2" s="2">
        <f>('[1]Qc, Summer, S3'!V2*Main!$B$5)</f>
        <v>-1.7408742564981972</v>
      </c>
      <c r="W2" s="2">
        <f>('[1]Qc, Summer, S3'!W2*Main!$B$5)</f>
        <v>-1.2111713237122237</v>
      </c>
      <c r="X2" s="2">
        <f>('[1]Qc, Summer, S3'!X2*Main!$B$5)</f>
        <v>-5.8084659551617888</v>
      </c>
      <c r="Y2" s="2">
        <f>('[1]Qc, Summer, S3'!Y2*Main!$B$5)</f>
        <v>-7.8622316006008504</v>
      </c>
    </row>
    <row r="3" spans="1:25" x14ac:dyDescent="0.3">
      <c r="A3">
        <v>2</v>
      </c>
      <c r="B3" s="2">
        <f>('[1]Qc, Summer, S3'!B3*Main!$B$5)</f>
        <v>-16.473443421309245</v>
      </c>
      <c r="C3" s="2">
        <f>('[1]Qc, Summer, S3'!C3*Main!$B$5)</f>
        <v>-16.473443421309245</v>
      </c>
      <c r="D3" s="2">
        <f>('[1]Qc, Summer, S3'!D3*Main!$B$5)</f>
        <v>-19.124696321815794</v>
      </c>
      <c r="E3" s="2">
        <f>('[1]Qc, Summer, S3'!E3*Main!$B$5)</f>
        <v>-21.775949222322339</v>
      </c>
      <c r="F3" s="2">
        <f>('[1]Qc, Summer, S3'!F3*Main!$B$5)</f>
        <v>-21.775949222322339</v>
      </c>
      <c r="G3" s="2">
        <f>('[1]Qc, Summer, S3'!G3*Main!$B$5)</f>
        <v>-21.775949222322339</v>
      </c>
      <c r="H3" s="2">
        <f>('[1]Qc, Summer, S3'!H3*Main!$B$5)</f>
        <v>-8.6828446817878344</v>
      </c>
      <c r="I3" s="2">
        <f>('[1]Qc, Summer, S3'!I3*Main!$B$5)</f>
        <v>1.7998013208433585</v>
      </c>
      <c r="J3" s="2">
        <f>('[1]Qc, Summer, S3'!J3*Main!$B$5)</f>
        <v>5.7155044401087052</v>
      </c>
      <c r="K3" s="2">
        <f>('[1]Qc, Summer, S3'!K3*Main!$B$5)</f>
        <v>5.7155044401087052</v>
      </c>
      <c r="L3" s="2">
        <f>('[1]Qc, Summer, S3'!L3*Main!$B$5)</f>
        <v>5.226033338511396</v>
      </c>
      <c r="M3" s="2">
        <f>('[1]Qc, Summer, S3'!M3*Main!$B$5)</f>
        <v>7.3470251268260505</v>
      </c>
      <c r="N3" s="2">
        <f>('[1]Qc, Summer, S3'!N3*Main!$B$5)</f>
        <v>9.9574880167380133</v>
      </c>
      <c r="O3" s="2">
        <f>('[1]Qc, Summer, S3'!O3*Main!$B$5)</f>
        <v>10.26341295840294</v>
      </c>
      <c r="P3" s="2">
        <f>('[1]Qc, Summer, S3'!P3*Main!$B$5)</f>
        <v>5.7562900527631538</v>
      </c>
      <c r="Q3" s="2">
        <f>('[1]Qc, Summer, S3'!Q3*Main!$B$5)</f>
        <v>4.4918398110386111</v>
      </c>
      <c r="R3" s="2">
        <f>('[1]Qc, Summer, S3'!R3*Main!$B$5)</f>
        <v>-0.72908601471680434</v>
      </c>
      <c r="S3" s="2">
        <f>('[1]Qc, Summer, S3'!S3*Main!$B$5)</f>
        <v>-0.72908601471680434</v>
      </c>
      <c r="T3" s="2">
        <f>('[1]Qc, Summer, S3'!T3*Main!$B$5)</f>
        <v>-0.72908601471680434</v>
      </c>
      <c r="U3" s="2">
        <f>('[1]Qc, Summer, S3'!U3*Main!$B$5)</f>
        <v>-0.72908601471680434</v>
      </c>
      <c r="V3" s="2">
        <f>('[1]Qc, Summer, S3'!V3*Main!$B$5)</f>
        <v>-4.6447935089565444</v>
      </c>
      <c r="W3" s="2">
        <f>('[1]Qc, Summer, S3'!W3*Main!$B$5)</f>
        <v>-5.9500293403697899</v>
      </c>
      <c r="X3" s="2">
        <f>('[1]Qc, Summer, S3'!X3*Main!$B$5)</f>
        <v>-16.636585871927043</v>
      </c>
      <c r="Y3" s="2">
        <f>('[1]Qc, Summer, S3'!Y3*Main!$B$5)</f>
        <v>-16.636585871927043</v>
      </c>
    </row>
    <row r="4" spans="1:25" x14ac:dyDescent="0.3">
      <c r="A4">
        <v>3</v>
      </c>
      <c r="B4" s="2">
        <f>('[1]Qc, Summer, S3'!B4*Main!$B$5)</f>
        <v>13.297797035817521</v>
      </c>
      <c r="C4" s="2">
        <f>('[1]Qc, Summer, S3'!C4*Main!$B$5)</f>
        <v>10.188689332831238</v>
      </c>
      <c r="D4" s="2">
        <f>('[1]Qc, Summer, S3'!D4*Main!$B$5)</f>
        <v>9.6553092885778309</v>
      </c>
      <c r="E4" s="2">
        <f>('[1]Qc, Summer, S3'!E4*Main!$B$5)</f>
        <v>8.4326952843004239</v>
      </c>
      <c r="F4" s="2">
        <f>('[1]Qc, Summer, S3'!F4*Main!$B$5)</f>
        <v>9.7077012337991082</v>
      </c>
      <c r="G4" s="2">
        <f>('[1]Qc, Summer, S3'!G4*Main!$B$5)</f>
        <v>4.5054946037634096</v>
      </c>
      <c r="H4" s="2">
        <f>('[1]Qc, Summer, S3'!H4*Main!$B$5)</f>
        <v>7.86103585280107</v>
      </c>
      <c r="I4" s="2">
        <f>('[1]Qc, Summer, S3'!I4*Main!$B$5)</f>
        <v>15.10590919135621</v>
      </c>
      <c r="J4" s="2">
        <f>('[1]Qc, Summer, S3'!J4*Main!$B$5)</f>
        <v>21.974486541322701</v>
      </c>
      <c r="K4" s="2">
        <f>('[1]Qc, Summer, S3'!K4*Main!$B$5)</f>
        <v>26.111801893264026</v>
      </c>
      <c r="L4" s="2">
        <f>('[1]Qc, Summer, S3'!L4*Main!$B$5)</f>
        <v>28.506050162487327</v>
      </c>
      <c r="M4" s="2">
        <f>('[1]Qc, Summer, S3'!M4*Main!$B$5)</f>
        <v>29.546774657998654</v>
      </c>
      <c r="N4" s="2">
        <f>('[1]Qc, Summer, S3'!N4*Main!$B$5)</f>
        <v>30.874901462545832</v>
      </c>
      <c r="O4" s="2">
        <f>('[1]Qc, Summer, S3'!O4*Main!$B$5)</f>
        <v>31.108498889031917</v>
      </c>
      <c r="P4" s="2">
        <f>('[1]Qc, Summer, S3'!P4*Main!$B$5)</f>
        <v>30.887691392532982</v>
      </c>
      <c r="Q4" s="2">
        <f>('[1]Qc, Summer, S3'!Q4*Main!$B$5)</f>
        <v>29.859484350516457</v>
      </c>
      <c r="R4" s="2">
        <f>('[1]Qc, Summer, S3'!R4*Main!$B$5)</f>
        <v>28.416062834177591</v>
      </c>
      <c r="S4" s="2">
        <f>('[1]Qc, Summer, S3'!S4*Main!$B$5)</f>
        <v>25.216056196776439</v>
      </c>
      <c r="T4" s="2">
        <f>('[1]Qc, Summer, S3'!T4*Main!$B$5)</f>
        <v>25.099393461107251</v>
      </c>
      <c r="U4" s="2">
        <f>('[1]Qc, Summer, S3'!U4*Main!$B$5)</f>
        <v>23.877099710278042</v>
      </c>
      <c r="V4" s="2">
        <f>('[1]Qc, Summer, S3'!V4*Main!$B$5)</f>
        <v>21.52277202898421</v>
      </c>
      <c r="W4" s="2">
        <f>('[1]Qc, Summer, S3'!W4*Main!$B$5)</f>
        <v>25.801600467584517</v>
      </c>
      <c r="X4" s="2">
        <f>('[1]Qc, Summer, S3'!X4*Main!$B$5)</f>
        <v>23.119173171417234</v>
      </c>
      <c r="Y4" s="2">
        <f>('[1]Qc, Summer, S3'!Y4*Main!$B$5)</f>
        <v>18.605379780454189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8CBD-8163-4197-999D-14E463C9318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-13.016487650216908</v>
      </c>
      <c r="C2" s="2">
        <f>('[1]Qc, Summer, S3'!C2*Main!$B$5)</f>
        <v>-16.923032244601391</v>
      </c>
      <c r="D2" s="2">
        <f>('[1]Qc, Summer, S3'!D2*Main!$B$5)</f>
        <v>-18.652447430322233</v>
      </c>
      <c r="E2" s="2">
        <f>('[1]Qc, Summer, S3'!E2*Main!$B$5)</f>
        <v>-17.021335494687683</v>
      </c>
      <c r="F2" s="2">
        <f>('[1]Qc, Summer, S3'!F2*Main!$B$5)</f>
        <v>-18.244581588802479</v>
      </c>
      <c r="G2" s="2">
        <f>('[1]Qc, Summer, S3'!G2*Main!$B$5)</f>
        <v>-18.66509933341915</v>
      </c>
      <c r="H2" s="2">
        <f>('[1]Qc, Summer, S3'!H2*Main!$B$5)</f>
        <v>-16.176860263742476</v>
      </c>
      <c r="I2" s="2">
        <f>('[1]Qc, Summer, S3'!I2*Main!$B$5)</f>
        <v>-2.51675601543745</v>
      </c>
      <c r="J2" s="2">
        <f>('[1]Qc, Summer, S3'!J2*Main!$B$5)</f>
        <v>8.0786016173657522</v>
      </c>
      <c r="K2" s="2">
        <f>('[1]Qc, Summer, S3'!K2*Main!$B$5)</f>
        <v>11.760873659442149</v>
      </c>
      <c r="L2" s="2">
        <f>('[1]Qc, Summer, S3'!L2*Main!$B$5)</f>
        <v>9.2450981439437694</v>
      </c>
      <c r="M2" s="2">
        <f>('[1]Qc, Summer, S3'!M2*Main!$B$5)</f>
        <v>12.314724568929948</v>
      </c>
      <c r="N2" s="2">
        <f>('[1]Qc, Summer, S3'!N2*Main!$B$5)</f>
        <v>10.928331336872136</v>
      </c>
      <c r="O2" s="2">
        <f>('[1]Qc, Summer, S3'!O2*Main!$B$5)</f>
        <v>11.257370121262948</v>
      </c>
      <c r="P2" s="2">
        <f>('[1]Qc, Summer, S3'!P2*Main!$B$5)</f>
        <v>5.8083898497515447</v>
      </c>
      <c r="Q2" s="2">
        <f>('[1]Qc, Summer, S3'!Q2*Main!$B$5)</f>
        <v>1.4684312647203597</v>
      </c>
      <c r="R2" s="2">
        <f>('[1]Qc, Summer, S3'!R2*Main!$B$5)</f>
        <v>3.2666744522389783</v>
      </c>
      <c r="S2" s="2">
        <f>('[1]Qc, Summer, S3'!S2*Main!$B$5)</f>
        <v>3.9678800056881127</v>
      </c>
      <c r="T2" s="2">
        <f>('[1]Qc, Summer, S3'!T2*Main!$B$5)</f>
        <v>2.3904982754249238</v>
      </c>
      <c r="U2" s="2">
        <f>('[1]Qc, Summer, S3'!U2*Main!$B$5)</f>
        <v>-0.44593900854106577</v>
      </c>
      <c r="V2" s="2">
        <f>('[1]Qc, Summer, S3'!V2*Main!$B$5)</f>
        <v>-1.7408742564981972</v>
      </c>
      <c r="W2" s="2">
        <f>('[1]Qc, Summer, S3'!W2*Main!$B$5)</f>
        <v>-1.2111713237122237</v>
      </c>
      <c r="X2" s="2">
        <f>('[1]Qc, Summer, S3'!X2*Main!$B$5)</f>
        <v>-5.8084659551617888</v>
      </c>
      <c r="Y2" s="2">
        <f>('[1]Qc, Summer, S3'!Y2*Main!$B$5)</f>
        <v>-7.8622316006008504</v>
      </c>
    </row>
    <row r="3" spans="1:25" x14ac:dyDescent="0.3">
      <c r="A3">
        <v>2</v>
      </c>
      <c r="B3" s="2">
        <f>('[1]Qc, Summer, S3'!B3*Main!$B$5)</f>
        <v>-16.473443421309245</v>
      </c>
      <c r="C3" s="2">
        <f>('[1]Qc, Summer, S3'!C3*Main!$B$5)</f>
        <v>-16.473443421309245</v>
      </c>
      <c r="D3" s="2">
        <f>('[1]Qc, Summer, S3'!D3*Main!$B$5)</f>
        <v>-19.124696321815794</v>
      </c>
      <c r="E3" s="2">
        <f>('[1]Qc, Summer, S3'!E3*Main!$B$5)</f>
        <v>-21.775949222322339</v>
      </c>
      <c r="F3" s="2">
        <f>('[1]Qc, Summer, S3'!F3*Main!$B$5)</f>
        <v>-21.775949222322339</v>
      </c>
      <c r="G3" s="2">
        <f>('[1]Qc, Summer, S3'!G3*Main!$B$5)</f>
        <v>-21.775949222322339</v>
      </c>
      <c r="H3" s="2">
        <f>('[1]Qc, Summer, S3'!H3*Main!$B$5)</f>
        <v>-8.6828446817878344</v>
      </c>
      <c r="I3" s="2">
        <f>('[1]Qc, Summer, S3'!I3*Main!$B$5)</f>
        <v>1.7998013208433585</v>
      </c>
      <c r="J3" s="2">
        <f>('[1]Qc, Summer, S3'!J3*Main!$B$5)</f>
        <v>5.7155044401087052</v>
      </c>
      <c r="K3" s="2">
        <f>('[1]Qc, Summer, S3'!K3*Main!$B$5)</f>
        <v>5.7155044401087052</v>
      </c>
      <c r="L3" s="2">
        <f>('[1]Qc, Summer, S3'!L3*Main!$B$5)</f>
        <v>5.226033338511396</v>
      </c>
      <c r="M3" s="2">
        <f>('[1]Qc, Summer, S3'!M3*Main!$B$5)</f>
        <v>7.3470251268260505</v>
      </c>
      <c r="N3" s="2">
        <f>('[1]Qc, Summer, S3'!N3*Main!$B$5)</f>
        <v>9.9574880167380133</v>
      </c>
      <c r="O3" s="2">
        <f>('[1]Qc, Summer, S3'!O3*Main!$B$5)</f>
        <v>10.26341295840294</v>
      </c>
      <c r="P3" s="2">
        <f>('[1]Qc, Summer, S3'!P3*Main!$B$5)</f>
        <v>5.7562900527631538</v>
      </c>
      <c r="Q3" s="2">
        <f>('[1]Qc, Summer, S3'!Q3*Main!$B$5)</f>
        <v>4.4918398110386111</v>
      </c>
      <c r="R3" s="2">
        <f>('[1]Qc, Summer, S3'!R3*Main!$B$5)</f>
        <v>-0.72908601471680434</v>
      </c>
      <c r="S3" s="2">
        <f>('[1]Qc, Summer, S3'!S3*Main!$B$5)</f>
        <v>-0.72908601471680434</v>
      </c>
      <c r="T3" s="2">
        <f>('[1]Qc, Summer, S3'!T3*Main!$B$5)</f>
        <v>-0.72908601471680434</v>
      </c>
      <c r="U3" s="2">
        <f>('[1]Qc, Summer, S3'!U3*Main!$B$5)</f>
        <v>-0.72908601471680434</v>
      </c>
      <c r="V3" s="2">
        <f>('[1]Qc, Summer, S3'!V3*Main!$B$5)</f>
        <v>-4.6447935089565444</v>
      </c>
      <c r="W3" s="2">
        <f>('[1]Qc, Summer, S3'!W3*Main!$B$5)</f>
        <v>-5.9500293403697899</v>
      </c>
      <c r="X3" s="2">
        <f>('[1]Qc, Summer, S3'!X3*Main!$B$5)</f>
        <v>-16.636585871927043</v>
      </c>
      <c r="Y3" s="2">
        <f>('[1]Qc, Summer, S3'!Y3*Main!$B$5)</f>
        <v>-16.636585871927043</v>
      </c>
    </row>
    <row r="4" spans="1:25" x14ac:dyDescent="0.3">
      <c r="A4">
        <v>3</v>
      </c>
      <c r="B4" s="2">
        <f>('[1]Qc, Summer, S3'!B4*Main!$B$5)</f>
        <v>13.297797035817521</v>
      </c>
      <c r="C4" s="2">
        <f>('[1]Qc, Summer, S3'!C4*Main!$B$5)</f>
        <v>10.188689332831238</v>
      </c>
      <c r="D4" s="2">
        <f>('[1]Qc, Summer, S3'!D4*Main!$B$5)</f>
        <v>9.6553092885778309</v>
      </c>
      <c r="E4" s="2">
        <f>('[1]Qc, Summer, S3'!E4*Main!$B$5)</f>
        <v>8.4326952843004239</v>
      </c>
      <c r="F4" s="2">
        <f>('[1]Qc, Summer, S3'!F4*Main!$B$5)</f>
        <v>9.7077012337991082</v>
      </c>
      <c r="G4" s="2">
        <f>('[1]Qc, Summer, S3'!G4*Main!$B$5)</f>
        <v>4.5054946037634096</v>
      </c>
      <c r="H4" s="2">
        <f>('[1]Qc, Summer, S3'!H4*Main!$B$5)</f>
        <v>7.86103585280107</v>
      </c>
      <c r="I4" s="2">
        <f>('[1]Qc, Summer, S3'!I4*Main!$B$5)</f>
        <v>15.10590919135621</v>
      </c>
      <c r="J4" s="2">
        <f>('[1]Qc, Summer, S3'!J4*Main!$B$5)</f>
        <v>21.974486541322701</v>
      </c>
      <c r="K4" s="2">
        <f>('[1]Qc, Summer, S3'!K4*Main!$B$5)</f>
        <v>26.111801893264026</v>
      </c>
      <c r="L4" s="2">
        <f>('[1]Qc, Summer, S3'!L4*Main!$B$5)</f>
        <v>28.506050162487327</v>
      </c>
      <c r="M4" s="2">
        <f>('[1]Qc, Summer, S3'!M4*Main!$B$5)</f>
        <v>29.546774657998654</v>
      </c>
      <c r="N4" s="2">
        <f>('[1]Qc, Summer, S3'!N4*Main!$B$5)</f>
        <v>30.874901462545832</v>
      </c>
      <c r="O4" s="2">
        <f>('[1]Qc, Summer, S3'!O4*Main!$B$5)</f>
        <v>31.108498889031917</v>
      </c>
      <c r="P4" s="2">
        <f>('[1]Qc, Summer, S3'!P4*Main!$B$5)</f>
        <v>30.887691392532982</v>
      </c>
      <c r="Q4" s="2">
        <f>('[1]Qc, Summer, S3'!Q4*Main!$B$5)</f>
        <v>29.859484350516457</v>
      </c>
      <c r="R4" s="2">
        <f>('[1]Qc, Summer, S3'!R4*Main!$B$5)</f>
        <v>28.416062834177591</v>
      </c>
      <c r="S4" s="2">
        <f>('[1]Qc, Summer, S3'!S4*Main!$B$5)</f>
        <v>25.216056196776439</v>
      </c>
      <c r="T4" s="2">
        <f>('[1]Qc, Summer, S3'!T4*Main!$B$5)</f>
        <v>25.099393461107251</v>
      </c>
      <c r="U4" s="2">
        <f>('[1]Qc, Summer, S3'!U4*Main!$B$5)</f>
        <v>23.877099710278042</v>
      </c>
      <c r="V4" s="2">
        <f>('[1]Qc, Summer, S3'!V4*Main!$B$5)</f>
        <v>21.52277202898421</v>
      </c>
      <c r="W4" s="2">
        <f>('[1]Qc, Summer, S3'!W4*Main!$B$5)</f>
        <v>25.801600467584517</v>
      </c>
      <c r="X4" s="2">
        <f>('[1]Qc, Summer, S3'!X4*Main!$B$5)</f>
        <v>23.119173171417234</v>
      </c>
      <c r="Y4" s="2">
        <f>('[1]Qc, Summer, S3'!Y4*Main!$B$5)</f>
        <v>18.605379780454189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F70F-3329-4929-BF5C-6E86340FED71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3.4830997356301827</v>
      </c>
      <c r="C2" s="2">
        <f>('FL Characterization'!C$4-'FL Characterization'!C$2)*VLOOKUP($A2,'FL Ratio'!$A$2:$B$21,2,FALSE)</f>
        <v>3.8344507804230994</v>
      </c>
      <c r="D2" s="2">
        <f>('FL Characterization'!D$4-'FL Characterization'!D$2)*VLOOKUP($A2,'FL Ratio'!$A$2:$B$21,2,FALSE)</f>
        <v>4.9909019198942177</v>
      </c>
      <c r="E2" s="2">
        <f>('FL Characterization'!E$4-'FL Characterization'!E$2)*VLOOKUP($A2,'FL Ratio'!$A$2:$B$21,2,FALSE)</f>
        <v>5.7218683669855288</v>
      </c>
      <c r="F2" s="2">
        <f>('FL Characterization'!F$4-'FL Characterization'!F$2)*VLOOKUP($A2,'FL Ratio'!$A$2:$B$21,2,FALSE)</f>
        <v>6.7276164603374244</v>
      </c>
      <c r="G2" s="2">
        <f>('FL Characterization'!G$4-'FL Characterization'!G$2)*VLOOKUP($A2,'FL Ratio'!$A$2:$B$21,2,FALSE)</f>
        <v>7.8640992653251525</v>
      </c>
      <c r="H2" s="2">
        <f>('FL Characterization'!H$4-'FL Characterization'!H$2)*VLOOKUP($A2,'FL Ratio'!$A$2:$B$21,2,FALSE)</f>
        <v>7.0101394536622266</v>
      </c>
      <c r="I2" s="2">
        <f>('FL Characterization'!I$4-'FL Characterization'!I$2)*VLOOKUP($A2,'FL Ratio'!$A$2:$B$21,2,FALSE)</f>
        <v>10.021764625101214</v>
      </c>
      <c r="J2" s="2">
        <f>('FL Characterization'!J$4-'FL Characterization'!J$2)*VLOOKUP($A2,'FL Ratio'!$A$2:$B$21,2,FALSE)</f>
        <v>9.1938504671122772</v>
      </c>
      <c r="K2" s="2">
        <f>('FL Characterization'!K$4-'FL Characterization'!K$2)*VLOOKUP($A2,'FL Ratio'!$A$2:$B$21,2,FALSE)</f>
        <v>10.383919792899636</v>
      </c>
      <c r="L2" s="2">
        <f>('FL Characterization'!L$4-'FL Characterization'!L$2)*VLOOKUP($A2,'FL Ratio'!$A$2:$B$21,2,FALSE)</f>
        <v>10.671893080419181</v>
      </c>
      <c r="M2" s="2">
        <f>('FL Characterization'!M$4-'FL Characterization'!M$2)*VLOOKUP($A2,'FL Ratio'!$A$2:$B$21,2,FALSE)</f>
        <v>9.8990606566815309</v>
      </c>
      <c r="N2" s="2">
        <f>('FL Characterization'!N$4-'FL Characterization'!N$2)*VLOOKUP($A2,'FL Ratio'!$A$2:$B$21,2,FALSE)</f>
        <v>9.3383314959649351</v>
      </c>
      <c r="O2" s="2">
        <f>('FL Characterization'!O$4-'FL Characterization'!O$2)*VLOOKUP($A2,'FL Ratio'!$A$2:$B$21,2,FALSE)</f>
        <v>8.59728441624795</v>
      </c>
      <c r="P2" s="2">
        <f>('FL Characterization'!P$4-'FL Characterization'!P$2)*VLOOKUP($A2,'FL Ratio'!$A$2:$B$21,2,FALSE)</f>
        <v>7.9190363015004737</v>
      </c>
      <c r="Q2" s="2">
        <f>('FL Characterization'!Q$4-'FL Characterization'!Q$2)*VLOOKUP($A2,'FL Ratio'!$A$2:$B$21,2,FALSE)</f>
        <v>7.1270313826972505</v>
      </c>
      <c r="R2" s="2">
        <f>('FL Characterization'!R$4-'FL Characterization'!R$2)*VLOOKUP($A2,'FL Ratio'!$A$2:$B$21,2,FALSE)</f>
        <v>7.0528495024183684</v>
      </c>
      <c r="S2" s="2">
        <f>('FL Characterization'!S$4-'FL Characterization'!S$2)*VLOOKUP($A2,'FL Ratio'!$A$2:$B$21,2,FALSE)</f>
        <v>5.58804676306241</v>
      </c>
      <c r="T2" s="2">
        <f>('FL Characterization'!T$4-'FL Characterization'!T$2)*VLOOKUP($A2,'FL Ratio'!$A$2:$B$21,2,FALSE)</f>
        <v>4.6234411559770185</v>
      </c>
      <c r="U2" s="2">
        <f>('FL Characterization'!U$4-'FL Characterization'!U$2)*VLOOKUP($A2,'FL Ratio'!$A$2:$B$21,2,FALSE)</f>
        <v>5.4863240156578863</v>
      </c>
      <c r="V2" s="2">
        <f>('FL Characterization'!V$4-'FL Characterization'!V$2)*VLOOKUP($A2,'FL Ratio'!$A$2:$B$21,2,FALSE)</f>
        <v>5.5900243034339541</v>
      </c>
      <c r="W2" s="2">
        <f>('FL Characterization'!W$4-'FL Characterization'!W$2)*VLOOKUP($A2,'FL Ratio'!$A$2:$B$21,2,FALSE)</f>
        <v>6.3882753558497374</v>
      </c>
      <c r="X2" s="2">
        <f>('FL Characterization'!X$4-'FL Characterization'!X$2)*VLOOKUP($A2,'FL Ratio'!$A$2:$B$21,2,FALSE)</f>
        <v>3.101844421804167</v>
      </c>
      <c r="Y2" s="2">
        <f>('FL Characterization'!Y$4-'FL Characterization'!Y$2)*VLOOKUP($A2,'FL Ratio'!$A$2:$B$21,2,FALSE)</f>
        <v>2.9781275668527183</v>
      </c>
    </row>
    <row r="3" spans="1:25" x14ac:dyDescent="0.3">
      <c r="A3">
        <v>2</v>
      </c>
      <c r="B3" s="2">
        <f>('FL Characterization'!B$4-'FL Characterization'!B$2)*VLOOKUP($A3,'FL Ratio'!$A$2:$B$21,2,FALSE)</f>
        <v>3.4830997356301827</v>
      </c>
      <c r="C3" s="2">
        <f>('FL Characterization'!C$4-'FL Characterization'!C$2)*VLOOKUP($A3,'FL Ratio'!$A$2:$B$21,2,FALSE)</f>
        <v>3.8344507804230994</v>
      </c>
      <c r="D3" s="2">
        <f>('FL Characterization'!D$4-'FL Characterization'!D$2)*VLOOKUP($A3,'FL Ratio'!$A$2:$B$21,2,FALSE)</f>
        <v>4.9909019198942177</v>
      </c>
      <c r="E3" s="2">
        <f>('FL Characterization'!E$4-'FL Characterization'!E$2)*VLOOKUP($A3,'FL Ratio'!$A$2:$B$21,2,FALSE)</f>
        <v>5.7218683669855288</v>
      </c>
      <c r="F3" s="2">
        <f>('FL Characterization'!F$4-'FL Characterization'!F$2)*VLOOKUP($A3,'FL Ratio'!$A$2:$B$21,2,FALSE)</f>
        <v>6.7276164603374244</v>
      </c>
      <c r="G3" s="2">
        <f>('FL Characterization'!G$4-'FL Characterization'!G$2)*VLOOKUP($A3,'FL Ratio'!$A$2:$B$21,2,FALSE)</f>
        <v>7.8640992653251525</v>
      </c>
      <c r="H3" s="2">
        <f>('FL Characterization'!H$4-'FL Characterization'!H$2)*VLOOKUP($A3,'FL Ratio'!$A$2:$B$21,2,FALSE)</f>
        <v>7.0101394536622266</v>
      </c>
      <c r="I3" s="2">
        <f>('FL Characterization'!I$4-'FL Characterization'!I$2)*VLOOKUP($A3,'FL Ratio'!$A$2:$B$21,2,FALSE)</f>
        <v>10.021764625101214</v>
      </c>
      <c r="J3" s="2">
        <f>('FL Characterization'!J$4-'FL Characterization'!J$2)*VLOOKUP($A3,'FL Ratio'!$A$2:$B$21,2,FALSE)</f>
        <v>9.1938504671122772</v>
      </c>
      <c r="K3" s="2">
        <f>('FL Characterization'!K$4-'FL Characterization'!K$2)*VLOOKUP($A3,'FL Ratio'!$A$2:$B$21,2,FALSE)</f>
        <v>10.383919792899636</v>
      </c>
      <c r="L3" s="2">
        <f>('FL Characterization'!L$4-'FL Characterization'!L$2)*VLOOKUP($A3,'FL Ratio'!$A$2:$B$21,2,FALSE)</f>
        <v>10.671893080419181</v>
      </c>
      <c r="M3" s="2">
        <f>('FL Characterization'!M$4-'FL Characterization'!M$2)*VLOOKUP($A3,'FL Ratio'!$A$2:$B$21,2,FALSE)</f>
        <v>9.8990606566815309</v>
      </c>
      <c r="N3" s="2">
        <f>('FL Characterization'!N$4-'FL Characterization'!N$2)*VLOOKUP($A3,'FL Ratio'!$A$2:$B$21,2,FALSE)</f>
        <v>9.3383314959649351</v>
      </c>
      <c r="O3" s="2">
        <f>('FL Characterization'!O$4-'FL Characterization'!O$2)*VLOOKUP($A3,'FL Ratio'!$A$2:$B$21,2,FALSE)</f>
        <v>8.59728441624795</v>
      </c>
      <c r="P3" s="2">
        <f>('FL Characterization'!P$4-'FL Characterization'!P$2)*VLOOKUP($A3,'FL Ratio'!$A$2:$B$21,2,FALSE)</f>
        <v>7.9190363015004737</v>
      </c>
      <c r="Q3" s="2">
        <f>('FL Characterization'!Q$4-'FL Characterization'!Q$2)*VLOOKUP($A3,'FL Ratio'!$A$2:$B$21,2,FALSE)</f>
        <v>7.1270313826972505</v>
      </c>
      <c r="R3" s="2">
        <f>('FL Characterization'!R$4-'FL Characterization'!R$2)*VLOOKUP($A3,'FL Ratio'!$A$2:$B$21,2,FALSE)</f>
        <v>7.0528495024183684</v>
      </c>
      <c r="S3" s="2">
        <f>('FL Characterization'!S$4-'FL Characterization'!S$2)*VLOOKUP($A3,'FL Ratio'!$A$2:$B$21,2,FALSE)</f>
        <v>5.58804676306241</v>
      </c>
      <c r="T3" s="2">
        <f>('FL Characterization'!T$4-'FL Characterization'!T$2)*VLOOKUP($A3,'FL Ratio'!$A$2:$B$21,2,FALSE)</f>
        <v>4.6234411559770185</v>
      </c>
      <c r="U3" s="2">
        <f>('FL Characterization'!U$4-'FL Characterization'!U$2)*VLOOKUP($A3,'FL Ratio'!$A$2:$B$21,2,FALSE)</f>
        <v>5.4863240156578863</v>
      </c>
      <c r="V3" s="2">
        <f>('FL Characterization'!V$4-'FL Characterization'!V$2)*VLOOKUP($A3,'FL Ratio'!$A$2:$B$21,2,FALSE)</f>
        <v>5.5900243034339541</v>
      </c>
      <c r="W3" s="2">
        <f>('FL Characterization'!W$4-'FL Characterization'!W$2)*VLOOKUP($A3,'FL Ratio'!$A$2:$B$21,2,FALSE)</f>
        <v>6.3882753558497374</v>
      </c>
      <c r="X3" s="2">
        <f>('FL Characterization'!X$4-'FL Characterization'!X$2)*VLOOKUP($A3,'FL Ratio'!$A$2:$B$21,2,FALSE)</f>
        <v>3.101844421804167</v>
      </c>
      <c r="Y3" s="2">
        <f>('FL Characterization'!Y$4-'FL Characterization'!Y$2)*VLOOKUP($A3,'FL Ratio'!$A$2:$B$21,2,FALSE)</f>
        <v>2.9781275668527183</v>
      </c>
    </row>
    <row r="4" spans="1:25" x14ac:dyDescent="0.3">
      <c r="A4">
        <v>3</v>
      </c>
      <c r="B4" s="2">
        <f>('FL Characterization'!B$4-'FL Characterization'!B$2)*VLOOKUP($A4,'FL Ratio'!$A$2:$B$21,2,FALSE)</f>
        <v>3.4830997356301827</v>
      </c>
      <c r="C4" s="2">
        <f>('FL Characterization'!C$4-'FL Characterization'!C$2)*VLOOKUP($A4,'FL Ratio'!$A$2:$B$21,2,FALSE)</f>
        <v>3.8344507804230994</v>
      </c>
      <c r="D4" s="2">
        <f>('FL Characterization'!D$4-'FL Characterization'!D$2)*VLOOKUP($A4,'FL Ratio'!$A$2:$B$21,2,FALSE)</f>
        <v>4.9909019198942177</v>
      </c>
      <c r="E4" s="2">
        <f>('FL Characterization'!E$4-'FL Characterization'!E$2)*VLOOKUP($A4,'FL Ratio'!$A$2:$B$21,2,FALSE)</f>
        <v>5.7218683669855288</v>
      </c>
      <c r="F4" s="2">
        <f>('FL Characterization'!F$4-'FL Characterization'!F$2)*VLOOKUP($A4,'FL Ratio'!$A$2:$B$21,2,FALSE)</f>
        <v>6.7276164603374244</v>
      </c>
      <c r="G4" s="2">
        <f>('FL Characterization'!G$4-'FL Characterization'!G$2)*VLOOKUP($A4,'FL Ratio'!$A$2:$B$21,2,FALSE)</f>
        <v>7.8640992653251525</v>
      </c>
      <c r="H4" s="2">
        <f>('FL Characterization'!H$4-'FL Characterization'!H$2)*VLOOKUP($A4,'FL Ratio'!$A$2:$B$21,2,FALSE)</f>
        <v>7.0101394536622266</v>
      </c>
      <c r="I4" s="2">
        <f>('FL Characterization'!I$4-'FL Characterization'!I$2)*VLOOKUP($A4,'FL Ratio'!$A$2:$B$21,2,FALSE)</f>
        <v>10.021764625101214</v>
      </c>
      <c r="J4" s="2">
        <f>('FL Characterization'!J$4-'FL Characterization'!J$2)*VLOOKUP($A4,'FL Ratio'!$A$2:$B$21,2,FALSE)</f>
        <v>9.1938504671122772</v>
      </c>
      <c r="K4" s="2">
        <f>('FL Characterization'!K$4-'FL Characterization'!K$2)*VLOOKUP($A4,'FL Ratio'!$A$2:$B$21,2,FALSE)</f>
        <v>10.383919792899636</v>
      </c>
      <c r="L4" s="2">
        <f>('FL Characterization'!L$4-'FL Characterization'!L$2)*VLOOKUP($A4,'FL Ratio'!$A$2:$B$21,2,FALSE)</f>
        <v>10.671893080419181</v>
      </c>
      <c r="M4" s="2">
        <f>('FL Characterization'!M$4-'FL Characterization'!M$2)*VLOOKUP($A4,'FL Ratio'!$A$2:$B$21,2,FALSE)</f>
        <v>9.8990606566815309</v>
      </c>
      <c r="N4" s="2">
        <f>('FL Characterization'!N$4-'FL Characterization'!N$2)*VLOOKUP($A4,'FL Ratio'!$A$2:$B$21,2,FALSE)</f>
        <v>9.3383314959649351</v>
      </c>
      <c r="O4" s="2">
        <f>('FL Characterization'!O$4-'FL Characterization'!O$2)*VLOOKUP($A4,'FL Ratio'!$A$2:$B$21,2,FALSE)</f>
        <v>8.59728441624795</v>
      </c>
      <c r="P4" s="2">
        <f>('FL Characterization'!P$4-'FL Characterization'!P$2)*VLOOKUP($A4,'FL Ratio'!$A$2:$B$21,2,FALSE)</f>
        <v>7.9190363015004737</v>
      </c>
      <c r="Q4" s="2">
        <f>('FL Characterization'!Q$4-'FL Characterization'!Q$2)*VLOOKUP($A4,'FL Ratio'!$A$2:$B$21,2,FALSE)</f>
        <v>7.1270313826972505</v>
      </c>
      <c r="R4" s="2">
        <f>('FL Characterization'!R$4-'FL Characterization'!R$2)*VLOOKUP($A4,'FL Ratio'!$A$2:$B$21,2,FALSE)</f>
        <v>7.0528495024183684</v>
      </c>
      <c r="S4" s="2">
        <f>('FL Characterization'!S$4-'FL Characterization'!S$2)*VLOOKUP($A4,'FL Ratio'!$A$2:$B$21,2,FALSE)</f>
        <v>5.58804676306241</v>
      </c>
      <c r="T4" s="2">
        <f>('FL Characterization'!T$4-'FL Characterization'!T$2)*VLOOKUP($A4,'FL Ratio'!$A$2:$B$21,2,FALSE)</f>
        <v>4.6234411559770185</v>
      </c>
      <c r="U4" s="2">
        <f>('FL Characterization'!U$4-'FL Characterization'!U$2)*VLOOKUP($A4,'FL Ratio'!$A$2:$B$21,2,FALSE)</f>
        <v>5.4863240156578863</v>
      </c>
      <c r="V4" s="2">
        <f>('FL Characterization'!V$4-'FL Characterization'!V$2)*VLOOKUP($A4,'FL Ratio'!$A$2:$B$21,2,FALSE)</f>
        <v>5.5900243034339541</v>
      </c>
      <c r="W4" s="2">
        <f>('FL Characterization'!W$4-'FL Characterization'!W$2)*VLOOKUP($A4,'FL Ratio'!$A$2:$B$21,2,FALSE)</f>
        <v>6.3882753558497374</v>
      </c>
      <c r="X4" s="2">
        <f>('FL Characterization'!X$4-'FL Characterization'!X$2)*VLOOKUP($A4,'FL Ratio'!$A$2:$B$21,2,FALSE)</f>
        <v>3.101844421804167</v>
      </c>
      <c r="Y4" s="2">
        <f>('FL Characterization'!Y$4-'FL Characterization'!Y$2)*VLOOKUP($A4,'FL Ratio'!$A$2:$B$21,2,FALSE)</f>
        <v>2.9781275668527183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F068-EA6B-4E04-A0B4-69DFD4212DC7}">
  <dimension ref="A1:Y4"/>
  <sheetViews>
    <sheetView workbookViewId="0">
      <selection activeCell="Y4" sqref="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9.6564260996315259</v>
      </c>
      <c r="C2" s="2">
        <f>('FL Characterization'!C$2-'FL Characterization'!C$3)*VLOOKUP($A2,'FL Ratio'!$A$2:$B$21,2,FALSE)</f>
        <v>10.219301615141626</v>
      </c>
      <c r="D2" s="2">
        <f>('FL Characterization'!D$2-'FL Characterization'!D$3)*VLOOKUP($A2,'FL Ratio'!$A$2:$B$21,2,FALSE)</f>
        <v>10.791341342129614</v>
      </c>
      <c r="E2" s="2">
        <f>('FL Characterization'!E$2-'FL Characterization'!E$3)*VLOOKUP($A2,'FL Ratio'!$A$2:$B$21,2,FALSE)</f>
        <v>11.281867819656412</v>
      </c>
      <c r="F2" s="2">
        <f>('FL Characterization'!F$2-'FL Characterization'!F$3)*VLOOKUP($A2,'FL Ratio'!$A$2:$B$21,2,FALSE)</f>
        <v>11.409925616886859</v>
      </c>
      <c r="G2" s="2">
        <f>('FL Characterization'!G$2-'FL Characterization'!G$3)*VLOOKUP($A2,'FL Ratio'!$A$2:$B$21,2,FALSE)</f>
        <v>11.935420796105586</v>
      </c>
      <c r="H2" s="2">
        <f>('FL Characterization'!H$2-'FL Characterization'!H$3)*VLOOKUP($A2,'FL Ratio'!$A$2:$B$21,2,FALSE)</f>
        <v>11.874406440739669</v>
      </c>
      <c r="I2" s="2">
        <f>('FL Characterization'!I$2-'FL Characterization'!I$3)*VLOOKUP($A2,'FL Ratio'!$A$2:$B$21,2,FALSE)</f>
        <v>11.224085054653745</v>
      </c>
      <c r="J2" s="2">
        <f>('FL Characterization'!J$2-'FL Characterization'!J$3)*VLOOKUP($A2,'FL Ratio'!$A$2:$B$21,2,FALSE)</f>
        <v>10.169477244317125</v>
      </c>
      <c r="K2" s="2">
        <f>('FL Characterization'!K$2-'FL Characterization'!K$3)*VLOOKUP($A2,'FL Ratio'!$A$2:$B$21,2,FALSE)</f>
        <v>14.933589046479678</v>
      </c>
      <c r="L2" s="2">
        <f>('FL Characterization'!L$2-'FL Characterization'!L$3)*VLOOKUP($A2,'FL Ratio'!$A$2:$B$21,2,FALSE)</f>
        <v>14.583250888218531</v>
      </c>
      <c r="M2" s="2">
        <f>('FL Characterization'!M$2-'FL Characterization'!M$3)*VLOOKUP($A2,'FL Ratio'!$A$2:$B$21,2,FALSE)</f>
        <v>13.428560242005007</v>
      </c>
      <c r="N2" s="2">
        <f>('FL Characterization'!N$2-'FL Characterization'!N$3)*VLOOKUP($A2,'FL Ratio'!$A$2:$B$21,2,FALSE)</f>
        <v>13.102266080700307</v>
      </c>
      <c r="O2" s="2">
        <f>('FL Characterization'!O$2-'FL Characterization'!O$3)*VLOOKUP($A2,'FL Ratio'!$A$2:$B$21,2,FALSE)</f>
        <v>13.156117881305882</v>
      </c>
      <c r="P2" s="2">
        <f>('FL Characterization'!P$2-'FL Characterization'!P$3)*VLOOKUP($A2,'FL Ratio'!$A$2:$B$21,2,FALSE)</f>
        <v>12.532830919079718</v>
      </c>
      <c r="Q2" s="2">
        <f>('FL Characterization'!Q$2-'FL Characterization'!Q$3)*VLOOKUP($A2,'FL Ratio'!$A$2:$B$21,2,FALSE)</f>
        <v>11.488207275984793</v>
      </c>
      <c r="R2" s="2">
        <f>('FL Characterization'!R$2-'FL Characterization'!R$3)*VLOOKUP($A2,'FL Ratio'!$A$2:$B$21,2,FALSE)</f>
        <v>10.324786512521285</v>
      </c>
      <c r="S2" s="2">
        <f>('FL Characterization'!S$2-'FL Characterization'!S$3)*VLOOKUP($A2,'FL Ratio'!$A$2:$B$21,2,FALSE)</f>
        <v>9.9544076707387568</v>
      </c>
      <c r="T2" s="2">
        <f>('FL Characterization'!T$2-'FL Characterization'!T$3)*VLOOKUP($A2,'FL Ratio'!$A$2:$B$21,2,FALSE)</f>
        <v>6.2572994807539644</v>
      </c>
      <c r="U2" s="2">
        <f>('FL Characterization'!U$2-'FL Characterization'!U$3)*VLOOKUP($A2,'FL Ratio'!$A$2:$B$21,2,FALSE)</f>
        <v>6.6916107557677345</v>
      </c>
      <c r="V2" s="2">
        <f>('FL Characterization'!V$2-'FL Characterization'!V$3)*VLOOKUP($A2,'FL Ratio'!$A$2:$B$21,2,FALSE)</f>
        <v>7.3160794189476217</v>
      </c>
      <c r="W2" s="2">
        <f>('FL Characterization'!W$2-'FL Characterization'!W$3)*VLOOKUP($A2,'FL Ratio'!$A$2:$B$21,2,FALSE)</f>
        <v>7.4906576476013322</v>
      </c>
      <c r="X2" s="2">
        <f>('FL Characterization'!X$2-'FL Characterization'!X$3)*VLOOKUP($A2,'FL Ratio'!$A$2:$B$21,2,FALSE)</f>
        <v>7.8122491214371168</v>
      </c>
      <c r="Y2" s="2">
        <f>('FL Characterization'!Y$2-'FL Characterization'!Y$3)*VLOOKUP($A2,'FL Ratio'!$A$2:$B$21,2,FALSE)</f>
        <v>8.6232818372299498</v>
      </c>
    </row>
    <row r="3" spans="1:25" x14ac:dyDescent="0.3">
      <c r="A3">
        <v>2</v>
      </c>
      <c r="B3" s="2">
        <f>('FL Characterization'!B$2-'FL Characterization'!B$3)*VLOOKUP($A3,'FL Ratio'!$A$2:$B$21,2,FALSE)</f>
        <v>9.6564260996315259</v>
      </c>
      <c r="C3" s="2">
        <f>('FL Characterization'!C$2-'FL Characterization'!C$3)*VLOOKUP($A3,'FL Ratio'!$A$2:$B$21,2,FALSE)</f>
        <v>10.219301615141626</v>
      </c>
      <c r="D3" s="2">
        <f>('FL Characterization'!D$2-'FL Characterization'!D$3)*VLOOKUP($A3,'FL Ratio'!$A$2:$B$21,2,FALSE)</f>
        <v>10.791341342129614</v>
      </c>
      <c r="E3" s="2">
        <f>('FL Characterization'!E$2-'FL Characterization'!E$3)*VLOOKUP($A3,'FL Ratio'!$A$2:$B$21,2,FALSE)</f>
        <v>11.281867819656412</v>
      </c>
      <c r="F3" s="2">
        <f>('FL Characterization'!F$2-'FL Characterization'!F$3)*VLOOKUP($A3,'FL Ratio'!$A$2:$B$21,2,FALSE)</f>
        <v>11.409925616886859</v>
      </c>
      <c r="G3" s="2">
        <f>('FL Characterization'!G$2-'FL Characterization'!G$3)*VLOOKUP($A3,'FL Ratio'!$A$2:$B$21,2,FALSE)</f>
        <v>11.935420796105586</v>
      </c>
      <c r="H3" s="2">
        <f>('FL Characterization'!H$2-'FL Characterization'!H$3)*VLOOKUP($A3,'FL Ratio'!$A$2:$B$21,2,FALSE)</f>
        <v>11.874406440739669</v>
      </c>
      <c r="I3" s="2">
        <f>('FL Characterization'!I$2-'FL Characterization'!I$3)*VLOOKUP($A3,'FL Ratio'!$A$2:$B$21,2,FALSE)</f>
        <v>11.224085054653745</v>
      </c>
      <c r="J3" s="2">
        <f>('FL Characterization'!J$2-'FL Characterization'!J$3)*VLOOKUP($A3,'FL Ratio'!$A$2:$B$21,2,FALSE)</f>
        <v>10.169477244317125</v>
      </c>
      <c r="K3" s="2">
        <f>('FL Characterization'!K$2-'FL Characterization'!K$3)*VLOOKUP($A3,'FL Ratio'!$A$2:$B$21,2,FALSE)</f>
        <v>14.933589046479678</v>
      </c>
      <c r="L3" s="2">
        <f>('FL Characterization'!L$2-'FL Characterization'!L$3)*VLOOKUP($A3,'FL Ratio'!$A$2:$B$21,2,FALSE)</f>
        <v>14.583250888218531</v>
      </c>
      <c r="M3" s="2">
        <f>('FL Characterization'!M$2-'FL Characterization'!M$3)*VLOOKUP($A3,'FL Ratio'!$A$2:$B$21,2,FALSE)</f>
        <v>13.428560242005007</v>
      </c>
      <c r="N3" s="2">
        <f>('FL Characterization'!N$2-'FL Characterization'!N$3)*VLOOKUP($A3,'FL Ratio'!$A$2:$B$21,2,FALSE)</f>
        <v>13.102266080700307</v>
      </c>
      <c r="O3" s="2">
        <f>('FL Characterization'!O$2-'FL Characterization'!O$3)*VLOOKUP($A3,'FL Ratio'!$A$2:$B$21,2,FALSE)</f>
        <v>13.156117881305882</v>
      </c>
      <c r="P3" s="2">
        <f>('FL Characterization'!P$2-'FL Characterization'!P$3)*VLOOKUP($A3,'FL Ratio'!$A$2:$B$21,2,FALSE)</f>
        <v>12.532830919079718</v>
      </c>
      <c r="Q3" s="2">
        <f>('FL Characterization'!Q$2-'FL Characterization'!Q$3)*VLOOKUP($A3,'FL Ratio'!$A$2:$B$21,2,FALSE)</f>
        <v>11.488207275984793</v>
      </c>
      <c r="R3" s="2">
        <f>('FL Characterization'!R$2-'FL Characterization'!R$3)*VLOOKUP($A3,'FL Ratio'!$A$2:$B$21,2,FALSE)</f>
        <v>10.324786512521285</v>
      </c>
      <c r="S3" s="2">
        <f>('FL Characterization'!S$2-'FL Characterization'!S$3)*VLOOKUP($A3,'FL Ratio'!$A$2:$B$21,2,FALSE)</f>
        <v>9.9544076707387568</v>
      </c>
      <c r="T3" s="2">
        <f>('FL Characterization'!T$2-'FL Characterization'!T$3)*VLOOKUP($A3,'FL Ratio'!$A$2:$B$21,2,FALSE)</f>
        <v>6.2572994807539644</v>
      </c>
      <c r="U3" s="2">
        <f>('FL Characterization'!U$2-'FL Characterization'!U$3)*VLOOKUP($A3,'FL Ratio'!$A$2:$B$21,2,FALSE)</f>
        <v>6.6916107557677345</v>
      </c>
      <c r="V3" s="2">
        <f>('FL Characterization'!V$2-'FL Characterization'!V$3)*VLOOKUP($A3,'FL Ratio'!$A$2:$B$21,2,FALSE)</f>
        <v>7.3160794189476217</v>
      </c>
      <c r="W3" s="2">
        <f>('FL Characterization'!W$2-'FL Characterization'!W$3)*VLOOKUP($A3,'FL Ratio'!$A$2:$B$21,2,FALSE)</f>
        <v>7.4906576476013322</v>
      </c>
      <c r="X3" s="2">
        <f>('FL Characterization'!X$2-'FL Characterization'!X$3)*VLOOKUP($A3,'FL Ratio'!$A$2:$B$21,2,FALSE)</f>
        <v>7.8122491214371168</v>
      </c>
      <c r="Y3" s="2">
        <f>('FL Characterization'!Y$2-'FL Characterization'!Y$3)*VLOOKUP($A3,'FL Ratio'!$A$2:$B$21,2,FALSE)</f>
        <v>8.6232818372299498</v>
      </c>
    </row>
    <row r="4" spans="1:25" x14ac:dyDescent="0.3">
      <c r="A4">
        <v>3</v>
      </c>
      <c r="B4" s="2">
        <f>('FL Characterization'!B$2-'FL Characterization'!B$3)*VLOOKUP($A4,'FL Ratio'!$A$2:$B$21,2,FALSE)</f>
        <v>9.6564260996315259</v>
      </c>
      <c r="C4" s="2">
        <f>('FL Characterization'!C$2-'FL Characterization'!C$3)*VLOOKUP($A4,'FL Ratio'!$A$2:$B$21,2,FALSE)</f>
        <v>10.219301615141626</v>
      </c>
      <c r="D4" s="2">
        <f>('FL Characterization'!D$2-'FL Characterization'!D$3)*VLOOKUP($A4,'FL Ratio'!$A$2:$B$21,2,FALSE)</f>
        <v>10.791341342129614</v>
      </c>
      <c r="E4" s="2">
        <f>('FL Characterization'!E$2-'FL Characterization'!E$3)*VLOOKUP($A4,'FL Ratio'!$A$2:$B$21,2,FALSE)</f>
        <v>11.281867819656412</v>
      </c>
      <c r="F4" s="2">
        <f>('FL Characterization'!F$2-'FL Characterization'!F$3)*VLOOKUP($A4,'FL Ratio'!$A$2:$B$21,2,FALSE)</f>
        <v>11.409925616886859</v>
      </c>
      <c r="G4" s="2">
        <f>('FL Characterization'!G$2-'FL Characterization'!G$3)*VLOOKUP($A4,'FL Ratio'!$A$2:$B$21,2,FALSE)</f>
        <v>11.935420796105586</v>
      </c>
      <c r="H4" s="2">
        <f>('FL Characterization'!H$2-'FL Characterization'!H$3)*VLOOKUP($A4,'FL Ratio'!$A$2:$B$21,2,FALSE)</f>
        <v>11.874406440739669</v>
      </c>
      <c r="I4" s="2">
        <f>('FL Characterization'!I$2-'FL Characterization'!I$3)*VLOOKUP($A4,'FL Ratio'!$A$2:$B$21,2,FALSE)</f>
        <v>11.224085054653745</v>
      </c>
      <c r="J4" s="2">
        <f>('FL Characterization'!J$2-'FL Characterization'!J$3)*VLOOKUP($A4,'FL Ratio'!$A$2:$B$21,2,FALSE)</f>
        <v>10.169477244317125</v>
      </c>
      <c r="K4" s="2">
        <f>('FL Characterization'!K$2-'FL Characterization'!K$3)*VLOOKUP($A4,'FL Ratio'!$A$2:$B$21,2,FALSE)</f>
        <v>14.933589046479678</v>
      </c>
      <c r="L4" s="2">
        <f>('FL Characterization'!L$2-'FL Characterization'!L$3)*VLOOKUP($A4,'FL Ratio'!$A$2:$B$21,2,FALSE)</f>
        <v>14.583250888218531</v>
      </c>
      <c r="M4" s="2">
        <f>('FL Characterization'!M$2-'FL Characterization'!M$3)*VLOOKUP($A4,'FL Ratio'!$A$2:$B$21,2,FALSE)</f>
        <v>13.428560242005007</v>
      </c>
      <c r="N4" s="2">
        <f>('FL Characterization'!N$2-'FL Characterization'!N$3)*VLOOKUP($A4,'FL Ratio'!$A$2:$B$21,2,FALSE)</f>
        <v>13.102266080700307</v>
      </c>
      <c r="O4" s="2">
        <f>('FL Characterization'!O$2-'FL Characterization'!O$3)*VLOOKUP($A4,'FL Ratio'!$A$2:$B$21,2,FALSE)</f>
        <v>13.156117881305882</v>
      </c>
      <c r="P4" s="2">
        <f>('FL Characterization'!P$2-'FL Characterization'!P$3)*VLOOKUP($A4,'FL Ratio'!$A$2:$B$21,2,FALSE)</f>
        <v>12.532830919079718</v>
      </c>
      <c r="Q4" s="2">
        <f>('FL Characterization'!Q$2-'FL Characterization'!Q$3)*VLOOKUP($A4,'FL Ratio'!$A$2:$B$21,2,FALSE)</f>
        <v>11.488207275984793</v>
      </c>
      <c r="R4" s="2">
        <f>('FL Characterization'!R$2-'FL Characterization'!R$3)*VLOOKUP($A4,'FL Ratio'!$A$2:$B$21,2,FALSE)</f>
        <v>10.324786512521285</v>
      </c>
      <c r="S4" s="2">
        <f>('FL Characterization'!S$2-'FL Characterization'!S$3)*VLOOKUP($A4,'FL Ratio'!$A$2:$B$21,2,FALSE)</f>
        <v>9.9544076707387568</v>
      </c>
      <c r="T4" s="2">
        <f>('FL Characterization'!T$2-'FL Characterization'!T$3)*VLOOKUP($A4,'FL Ratio'!$A$2:$B$21,2,FALSE)</f>
        <v>6.2572994807539644</v>
      </c>
      <c r="U4" s="2">
        <f>('FL Characterization'!U$2-'FL Characterization'!U$3)*VLOOKUP($A4,'FL Ratio'!$A$2:$B$21,2,FALSE)</f>
        <v>6.6916107557677345</v>
      </c>
      <c r="V4" s="2">
        <f>('FL Characterization'!V$2-'FL Characterization'!V$3)*VLOOKUP($A4,'FL Ratio'!$A$2:$B$21,2,FALSE)</f>
        <v>7.3160794189476217</v>
      </c>
      <c r="W4" s="2">
        <f>('FL Characterization'!W$2-'FL Characterization'!W$3)*VLOOKUP($A4,'FL Ratio'!$A$2:$B$21,2,FALSE)</f>
        <v>7.4906576476013322</v>
      </c>
      <c r="X4" s="2">
        <f>('FL Characterization'!X$2-'FL Characterization'!X$3)*VLOOKUP($A4,'FL Ratio'!$A$2:$B$21,2,FALSE)</f>
        <v>7.8122491214371168</v>
      </c>
      <c r="Y4" s="2">
        <f>('FL Characterization'!Y$2-'FL Characterization'!Y$3)*VLOOKUP($A4,'FL Ratio'!$A$2:$B$21,2,FALSE)</f>
        <v>8.6232818372299498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9E0F-6E82-40ED-BD4B-A154F29D17F6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B206-735C-4169-9573-F70381DB2C7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ED32-E37A-4C7F-9A3A-6C171EDA3DE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A333-26E9-417B-A58C-EE721377156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0B82-25CF-4E12-83AD-E927C94A30D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4843-2128-4444-8EC6-765145130A0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44F0-7F15-48D3-B0E1-41FD5A2D6DC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ABC2-C2BD-4099-8F87-452525C0E91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240F-3F68-4E99-9835-98D43081D49C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310E-3DB0-4C43-A82E-ED41E0D1FB3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BBA2-3995-4A96-B4C3-5711AF5AF9B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21A2-A9FA-46E1-AE16-7A197096CC8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15AD-4FA9-4630-A4FA-A501FABA562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6378-35BA-4FD0-A744-E752A6BC7C8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14FD-8154-4080-9D07-055678893CA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7BD6-E866-483A-B517-30B00C56E19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4B83-BAC8-4413-8A3C-4A5C2F786B3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F3CB-EC41-4B40-BF24-79BC6C576CF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48FA-B634-45EF-B224-4D781DFA4529}">
  <dimension ref="A1:Y10"/>
  <sheetViews>
    <sheetView topLeftCell="G1" workbookViewId="0">
      <selection activeCell="R2" sqref="R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2025-06-17T08:31:49Z</dcterms:modified>
</cp:coreProperties>
</file>